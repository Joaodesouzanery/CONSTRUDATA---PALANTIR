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Ícaro Átila\Desktop\"/>
    </mc:Choice>
  </mc:AlternateContent>
  <bookViews>
    <workbookView xWindow="0" yWindow="0" windowWidth="20490" windowHeight="7530" tabRatio="864" firstSheet="6" activeTab="11"/>
  </bookViews>
  <sheets>
    <sheet name="GUIA RÁPIDO" sheetId="1" r:id="rId1"/>
    <sheet name="00. LEIA-ME" sheetId="2" r:id="rId2"/>
    <sheet name="01. CONFIGURAÇÕES" sheetId="3" r:id="rId3"/>
    <sheet name="01A. BANCO DE CUSTOS" sheetId="4" r:id="rId4"/>
    <sheet name="01B. CARTEIRA E TICKET" sheetId="5" r:id="rId5"/>
    <sheet name="02. TABELA DE PREÇOS" sheetId="6" r:id="rId6"/>
    <sheet name="03. CADASTRO DE SERVIÇOS" sheetId="7" r:id="rId7"/>
    <sheet name="04. PROGRAMAÇÃO DIÁRIA" sheetId="8" r:id="rId8"/>
    <sheet name="05. ORDENS DE SERVIÇO" sheetId="9" r:id="rId9"/>
    <sheet name="06. APONTAMENTO DIÁRIO" sheetId="10" r:id="rId10"/>
    <sheet name="07. MATERIAIS" sheetId="11" r:id="rId11"/>
    <sheet name="08. EQUIPE" sheetId="12" r:id="rId12"/>
    <sheet name="09. MEDIÇÃO" sheetId="13" r:id="rId13"/>
    <sheet name="10. DIÁRIO DE OBRA" sheetId="14" r:id="rId14"/>
    <sheet name="11. OCORRÊNCIAS" sheetId="15" r:id="rId15"/>
    <sheet name="12. FATURAMENTO" sheetId="16" r:id="rId16"/>
    <sheet name="13. RESUMO GERENCIAL" sheetId="17" r:id="rId17"/>
    <sheet name="14. DASHBOARD" sheetId="18" r:id="rId18"/>
    <sheet name="15. ATAS DE REUNIÃO" sheetId="19" r:id="rId19"/>
    <sheet name="16. LOOKAHEAD E RESTRIÇÕES" sheetId="20" r:id="rId20"/>
    <sheet name="17. PLANO SEMANAL E PPC" sheetId="21" r:id="rId21"/>
    <sheet name="18. PLANEJADO x REALIZADO" sheetId="22" r:id="rId22"/>
  </sheets>
  <definedNames>
    <definedName name="_xlnm._FilterDatabase" localSheetId="5" hidden="1">'02. TABELA DE PREÇOS'!$A$4:$I$515</definedName>
    <definedName name="_xlnm._FilterDatabase" localSheetId="6" hidden="1">'03. CADASTRO DE SERVIÇOS'!$A$4:$X$4</definedName>
    <definedName name="_xlnm._FilterDatabase" localSheetId="7" hidden="1">'04. PROGRAMAÇÃO DIÁRIA'!$A$4:$R$4</definedName>
    <definedName name="_xlnm._FilterDatabase" localSheetId="8" hidden="1">'05. ORDENS DE SERVIÇO'!$A$4:$V$4</definedName>
    <definedName name="_xlnm._FilterDatabase" localSheetId="9" hidden="1">'06. APONTAMENTO DIÁRIO'!$A$4:$AB$4</definedName>
    <definedName name="_xlnm._FilterDatabase" localSheetId="10" hidden="1">'07. MATERIAIS'!$A$4:$P$4</definedName>
    <definedName name="_xlnm._FilterDatabase" localSheetId="11" hidden="1">'08. EQUIPE'!$A$4:$U$4</definedName>
    <definedName name="_xlnm._FilterDatabase" localSheetId="12" hidden="1">'09. MEDIÇÃO'!$A$4:$T$4</definedName>
    <definedName name="_xlnm._FilterDatabase" localSheetId="13" hidden="1">'10. DIÁRIO DE OBRA'!$A$4:$Q$4</definedName>
    <definedName name="_xlnm._FilterDatabase" localSheetId="14" hidden="1">'11. OCORRÊNCIAS'!$A$4:$Q$4</definedName>
    <definedName name="_xlnm._FilterDatabase" localSheetId="15" hidden="1">'12. FATURAMENTO'!$A$4:$S$4</definedName>
    <definedName name="APT_CONTR">'06. APONTAMENTO DIÁRIO'!$D$5:$D$504</definedName>
    <definedName name="APT_DATA">'06. APONTAMENTO DIÁRIO'!$A$5:$A$504</definedName>
    <definedName name="APT_EQUIPE">'06. APONTAMENTO DIÁRIO'!$E$5:$E$504</definedName>
    <definedName name="APT_HH">'06. APONTAMENTO DIÁRIO'!$I$5:$I$504</definedName>
    <definedName name="APT_KM">'06. APONTAMENTO DIÁRIO'!$P$5:$P$504</definedName>
    <definedName name="APT_PARADA">'06. APONTAMENTO DIÁRIO'!$AA$5:$AA$504</definedName>
    <definedName name="APT_PESSOAS">'06. APONTAMENTO DIÁRIO'!$F$5:$F$504</definedName>
    <definedName name="APT_RETRO">'06. APONTAMENTO DIÁRIO'!$J$5:$J$504</definedName>
    <definedName name="_xlnm.Print_Area" localSheetId="0">'GUIA RÁPIDO'!$A$1:$C$307</definedName>
    <definedName name="ATA_CONTR">'15. ATAS DE REUNIÃO'!$E$5:$E$204</definedName>
    <definedName name="ATA_DATA">'15. ATAS DE REUNIÃO'!$B$5:$B$304</definedName>
    <definedName name="ATA_NUM">'15. ATAS DE REUNIÃO'!$A$5:$A$304</definedName>
    <definedName name="ATA_PEND">'15. ATAS DE REUNIÃO'!$L$5:$L$304</definedName>
    <definedName name="ATA_PRAZO">'15. ATAS DE REUNIÃO'!$N$5:$N$304</definedName>
    <definedName name="ATA_PRIO">'15. ATAS DE REUNIÃO'!$O$5:$O$304</definedName>
    <definedName name="ATA_RESP">'15. ATAS DE REUNIÃO'!$M$5:$M$304</definedName>
    <definedName name="ATA_STATUS">'15. ATAS DE REUNIÃO'!$P$5:$P$304</definedName>
    <definedName name="ATA_TIPO">'15. ATAS DE REUNIÃO'!$D$5:$D$204</definedName>
    <definedName name="BEN_PESSOA">'01A. BANCO DE CUSTOS'!$C$35</definedName>
    <definedName name="CAD_BAIRRO">'03. CADASTRO DE SERVIÇOS'!$K$5:$K$604</definedName>
    <definedName name="CAD_CONTR">'03. CADASTRO DE SERVIÇOS'!$B$5:$B$604</definedName>
    <definedName name="CAD_DTEXEC">'03. CADASTRO DE SERVIÇOS'!$R$5:$R$604</definedName>
    <definedName name="CAD_DTSOL">'03. CADASTRO DE SERVIÇOS'!$D$5:$D$604</definedName>
    <definedName name="CAD_ID">'03. CADASTRO DE SERVIÇOS'!$A$5:$A$604</definedName>
    <definedName name="CAD_SITPZ">'03. CADASTRO DE SERVIÇOS'!$U$5:$U$604</definedName>
    <definedName name="CAD_STATUS">'03. CADASTRO DE SERVIÇOS'!$S$5:$S$604</definedName>
    <definedName name="CAD_TAB">'03. CADASTRO DE SERVIÇOS'!$A$5:$X$604</definedName>
    <definedName name="CAD_TIPO">'03. CADASTRO DE SERVIÇOS'!$H$5:$H$604</definedName>
    <definedName name="CAD_VLR">'03. CADASTRO DE SERVIÇOS'!$V$5:$V$604</definedName>
    <definedName name="ENC_FATOR">'01A. BANCO DE CUSTOS'!$C$34</definedName>
    <definedName name="EQP_ATIVO">'08. EQUIPE'!$U$5:$U$60</definedName>
    <definedName name="EQP_CONTR">'08. EQUIPE'!$B$5:$B$60</definedName>
    <definedName name="EQP_CUSTOMES">'08. EQUIPE'!$J$5:$J$60</definedName>
    <definedName name="EQP_EQUIPE">'08. EQUIPE'!$C$5:$C$60</definedName>
    <definedName name="EQP_NOMES">'08. EQUIPE'!$D$5:$D$60</definedName>
    <definedName name="FAT_BRUTO">'12. FATURAMENTO'!$C$5:$C$52</definedName>
    <definedName name="FAT_CONTR">'12. FATURAMENTO'!$B$5:$B$52</definedName>
    <definedName name="FAT_MES">'12. FATURAMENTO'!$A$5:$A$52</definedName>
    <definedName name="FAT_RESULT">'12. FATURAMENTO'!$R$5:$R$52</definedName>
    <definedName name="LK_ID">'16. LOOKAHEAD E RESTRIÇÕES'!$C$5:$C$404</definedName>
    <definedName name="LK_PEND">'16. LOOKAHEAD E RESTRIÇÕES'!$M$5:$M$404</definedName>
    <definedName name="LK_SEM">'16. LOOKAHEAD E RESTRIÇÕES'!$A$5:$A$404</definedName>
    <definedName name="LK_SIT">'16. LOOKAHEAD E RESTRIÇÕES'!$N$5:$N$404</definedName>
    <definedName name="LST_BAIRRO">'01. CONFIGURAÇÕES'!$M$44:$M$85</definedName>
    <definedName name="LST_CAUSA_NC">'01. CONFIGURAÇÕES'!$Z$44:$Z$70</definedName>
    <definedName name="LST_CLIMA">'01. CONFIGURAÇÕES'!$T$44:$T$60</definedName>
    <definedName name="LST_CONTRATO">'01. CONFIGURAÇÕES'!$A$44:$A$57</definedName>
    <definedName name="LST_DIA">'01. CONFIGURAÇÕES'!$Y$44:$Y$61</definedName>
    <definedName name="LST_EQUIPAMENTO">'01. CONFIGURAÇÕES'!$O$44:$O$69</definedName>
    <definedName name="LST_EQUIPE">'01. CONFIGURAÇÕES'!$B$44:$B$65</definedName>
    <definedName name="LST_FUNCAO">'01. CONFIGURAÇÕES'!$N$44:$N$68</definedName>
    <definedName name="LST_GRAVIDADE">'01. CONFIGURAÇÕES'!$W$44:$W$59</definedName>
    <definedName name="LST_MATERIAL">'01. CONFIGURAÇÕES'!$P$44:$P$84</definedName>
    <definedName name="LST_MOTIVO_NE">'01. CONFIGURAÇÕES'!$J$44:$J$70</definedName>
    <definedName name="LST_MOTIVO_PARADA">'01. CONFIGURAÇÕES'!$K$44:$K$65</definedName>
    <definedName name="LST_MOVIMENTO">'01. CONFIGURAÇÕES'!$Q$44:$Q$60</definedName>
    <definedName name="LST_PAVIMENTO">'01. CONFIGURAÇÕES'!$L$44:$L$62</definedName>
    <definedName name="LST_PRIORIDADE">'01. CONFIGURAÇÕES'!$C$44:$C$59</definedName>
    <definedName name="LST_RESTRICAO">'01. CONFIGURAÇÕES'!$AA$44:$AA$70</definedName>
    <definedName name="LST_SN">'01. CONFIGURAÇÕES'!$R$44:$R$57</definedName>
    <definedName name="LST_SNP">'01. CONFIGURAÇÕES'!$S$44:$S$59</definedName>
    <definedName name="LST_SOLO">'01. CONFIGURAÇÕES'!$U$44:$U$59</definedName>
    <definedName name="LST_STATUS_CAD">'01. CONFIGURAÇÕES'!$E$44:$E$62</definedName>
    <definedName name="LST_STATUS_FAT">'01. CONFIGURAÇÕES'!$I$44:$I$62</definedName>
    <definedName name="LST_STATUS_MED">'01. CONFIGURAÇÕES'!$H$44:$H$62</definedName>
    <definedName name="LST_STATUS_OC">'01. CONFIGURAÇÕES'!$X$44:$X$59</definedName>
    <definedName name="LST_STATUS_OS">'01. CONFIGURAÇÕES'!$G$44:$G$62</definedName>
    <definedName name="LST_STATUS_PROG">'01. CONFIGURAÇÕES'!$F$44:$F$60</definedName>
    <definedName name="LST_TIPO">'01. CONFIGURAÇÕES'!$D$44:$D$80</definedName>
    <definedName name="LST_TIPO_OCOR">'01. CONFIGURAÇÕES'!$V$44:$V$67</definedName>
    <definedName name="MED_CONTR">'09. MEDIÇÃO'!$D$5:$D$1512</definedName>
    <definedName name="MED_DATA">'09. MEDIÇÃO'!$G$5:$G$1512</definedName>
    <definedName name="MED_DATAEX">'09. MEDIÇÃO'!$G$5:$G$1512</definedName>
    <definedName name="MED_EQUIPE">'09. MEDIÇÃO'!$F$5:$F$1512</definedName>
    <definedName name="MED_GLOSA">'09. MEDIÇÃO'!$P$5:$P$1512</definedName>
    <definedName name="MED_ID">'09. MEDIÇÃO'!$C$5:$C$1512</definedName>
    <definedName name="MED_MES">'09. MEDIÇÃO'!$B$5:$B$1512</definedName>
    <definedName name="MED_STATUS">'09. MEDIÇÃO'!$N$5:$N$1512</definedName>
    <definedName name="MED_VLR">'09. MEDIÇÃO'!$M$5:$M$1512</definedName>
    <definedName name="OC_CONTR">'11. OCORRÊNCIAS'!$C$5:$C$304</definedName>
    <definedName name="OC_DATA">'11. OCORRÊNCIAS'!$B$5:$B$304</definedName>
    <definedName name="OC_STATUS">'11. OCORRÊNCIAS'!$N$5:$N$304</definedName>
    <definedName name="OC_TIPO">'11. OCORRÊNCIAS'!$F$5:$F$304</definedName>
    <definedName name="OS_CONTR">'05. ORDENS DE SERVIÇO'!$B$5:$B$608</definedName>
    <definedName name="OS_EQUIPE">'05. ORDENS DE SERVIÇO'!$G$5:$G$608</definedName>
    <definedName name="OS_FIM">'05. ORDENS DE SERVIÇO'!$J$5:$J$608</definedName>
    <definedName name="OS_ID">'05. ORDENS DE SERVIÇO'!$A$5:$A$608</definedName>
    <definedName name="OS_INI">'05. ORDENS DE SERVIÇO'!$I$5:$I$608</definedName>
    <definedName name="OS_STATUS">'05. ORDENS DE SERVIÇO'!$U$5:$U$608</definedName>
    <definedName name="OS_TAB">'05. ORDENS DE SERVIÇO'!$A$5:$V$608</definedName>
    <definedName name="PRE_TAB">'02. TABELA DE PREÇOS'!$A$5:$H$515</definedName>
    <definedName name="PROG_CONTR">'04. PROGRAMAÇÃO DIÁRIA'!$B$5:$B$904</definedName>
    <definedName name="PROG_DATA">'04. PROGRAMAÇÃO DIÁRIA'!$A$5:$A$904</definedName>
    <definedName name="PROG_EQUIPE">'04. PROGRAMAÇÃO DIÁRIA'!$C$5:$C$904</definedName>
    <definedName name="PROG_EXEC">'04. PROGRAMAÇÃO DIÁRIA'!$L$5:$L$904</definedName>
    <definedName name="PROG_HPREV">'04. PROGRAMAÇÃO DIÁRIA'!$K$5:$K$904</definedName>
    <definedName name="PROG_ID">'04. PROGRAMAÇÃO DIÁRIA'!$E$5:$E$904</definedName>
    <definedName name="PROG_MOTIVO">'04. PROGRAMAÇÃO DIÁRIA'!$N$5:$N$904</definedName>
    <definedName name="PROG_STATUS">'04. PROGRAMAÇÃO DIÁRIA'!$P$5:$P$904</definedName>
    <definedName name="PS_CAUSA">'17. PLANO SEMANAL E PPC'!$J$5:$J$504</definedName>
    <definedName name="PS_EQUIPE">'17. PLANO SEMANAL E PPC'!$C$5:$C$504</definedName>
    <definedName name="PS_ID">'17. PLANO SEMANAL E PPC'!$D$5:$D$504</definedName>
    <definedName name="PS_OK">'17. PLANO SEMANAL E PPC'!$H$5:$H$504</definedName>
    <definedName name="PS_SEM">'17. PLANO SEMANAL E PPC'!$A$5:$A$504</definedName>
    <definedName name="_xlnm.Print_Titles" localSheetId="1">'00. LEIA-ME'!$1:$1</definedName>
    <definedName name="_xlnm.Print_Titles" localSheetId="5">'02. TABELA DE PREÇOS'!$4:$4</definedName>
    <definedName name="_xlnm.Print_Titles" localSheetId="6">'03. CADASTRO DE SERVIÇOS'!$4:$4</definedName>
    <definedName name="_xlnm.Print_Titles" localSheetId="7">'04. PROGRAMAÇÃO DIÁRIA'!$4:$4</definedName>
    <definedName name="_xlnm.Print_Titles" localSheetId="8">'05. ORDENS DE SERVIÇO'!$4:$4</definedName>
    <definedName name="_xlnm.Print_Titles" localSheetId="9">'06. APONTAMENTO DIÁRIO'!$4:$4</definedName>
    <definedName name="_xlnm.Print_Titles" localSheetId="10">'07. MATERIAIS'!$4:$4</definedName>
    <definedName name="_xlnm.Print_Titles" localSheetId="11">'08. EQUIPE'!$4:$4</definedName>
    <definedName name="_xlnm.Print_Titles" localSheetId="12">'09. MEDIÇÃO'!$4:$4</definedName>
    <definedName name="_xlnm.Print_Titles" localSheetId="13">'10. DIÁRIO DE OBRA'!$4:$4</definedName>
    <definedName name="_xlnm.Print_Titles" localSheetId="14">'11. OCORRÊNCIAS'!$4:$4</definedName>
    <definedName name="_xlnm.Print_Titles" localSheetId="15">'12. FATURAMENTO'!$4:$4</definedName>
    <definedName name="_xlnm.Print_Titles" localSheetId="16">'13. RESUMO GERENCIAL'!$7:$7</definedName>
    <definedName name="TRIB_TOTAL">'01A. BANCO DE CUSTOS'!$C$47</definedName>
  </definedNames>
  <calcPr calcId="162913"/>
</workbook>
</file>

<file path=xl/calcChain.xml><?xml version="1.0" encoding="utf-8"?>
<calcChain xmlns="http://schemas.openxmlformats.org/spreadsheetml/2006/main">
  <c r="B72" i="13" l="1"/>
  <c r="D72" i="13"/>
  <c r="E72" i="13"/>
  <c r="F72" i="13"/>
  <c r="I72" i="13"/>
  <c r="J72" i="13"/>
  <c r="L72" i="13"/>
  <c r="M72" i="13" s="1"/>
  <c r="R72" i="13" s="1"/>
  <c r="B73" i="13"/>
  <c r="D73" i="13"/>
  <c r="E73" i="13"/>
  <c r="F73" i="13"/>
  <c r="I73" i="13"/>
  <c r="J73" i="13"/>
  <c r="L73" i="13"/>
  <c r="M73" i="13" s="1"/>
  <c r="R73" i="13" s="1"/>
  <c r="B74" i="13"/>
  <c r="D74" i="13"/>
  <c r="E74" i="13"/>
  <c r="F74" i="13"/>
  <c r="I74" i="13"/>
  <c r="J74" i="13"/>
  <c r="L74" i="13"/>
  <c r="M74" i="13" s="1"/>
  <c r="R74" i="13" s="1"/>
  <c r="B55" i="13"/>
  <c r="D55" i="13"/>
  <c r="E55" i="13"/>
  <c r="F55" i="13"/>
  <c r="I55" i="13"/>
  <c r="J55" i="13"/>
  <c r="L55" i="13"/>
  <c r="M55" i="13"/>
  <c r="R55" i="13" s="1"/>
  <c r="B56" i="13"/>
  <c r="D56" i="13"/>
  <c r="E56" i="13"/>
  <c r="F56" i="13"/>
  <c r="I56" i="13"/>
  <c r="J56" i="13"/>
  <c r="L56" i="13"/>
  <c r="M56" i="13" s="1"/>
  <c r="B71" i="13"/>
  <c r="D71" i="13"/>
  <c r="E71" i="13"/>
  <c r="F71" i="13"/>
  <c r="I71" i="13"/>
  <c r="J71" i="13"/>
  <c r="L71" i="13"/>
  <c r="M71" i="13" s="1"/>
  <c r="D58" i="13"/>
  <c r="E58" i="13"/>
  <c r="F58" i="13"/>
  <c r="B58" i="13"/>
  <c r="I58" i="13"/>
  <c r="J58" i="13"/>
  <c r="L58" i="13"/>
  <c r="M58" i="13" s="1"/>
  <c r="R58" i="13" s="1"/>
  <c r="D59" i="13"/>
  <c r="E59" i="13"/>
  <c r="F59" i="13"/>
  <c r="B59" i="13"/>
  <c r="I59" i="13"/>
  <c r="J59" i="13"/>
  <c r="L59" i="13"/>
  <c r="M59" i="13" s="1"/>
  <c r="I5" i="12"/>
  <c r="L40" i="22"/>
  <c r="J40" i="22"/>
  <c r="K40" i="22" s="1"/>
  <c r="I40" i="22"/>
  <c r="G40" i="22"/>
  <c r="D40" i="22"/>
  <c r="C40" i="22"/>
  <c r="E40" i="22" s="1"/>
  <c r="L39" i="22"/>
  <c r="J39" i="22"/>
  <c r="K39" i="22" s="1"/>
  <c r="I39" i="22"/>
  <c r="G39" i="22"/>
  <c r="D39" i="22"/>
  <c r="C39" i="22"/>
  <c r="E39" i="22" s="1"/>
  <c r="L38" i="22"/>
  <c r="J38" i="22"/>
  <c r="K38" i="22" s="1"/>
  <c r="I38" i="22"/>
  <c r="G38" i="22"/>
  <c r="E38" i="22"/>
  <c r="D38" i="22"/>
  <c r="C38" i="22"/>
  <c r="L37" i="22"/>
  <c r="J37" i="22"/>
  <c r="K37" i="22" s="1"/>
  <c r="I37" i="22"/>
  <c r="G37" i="22"/>
  <c r="E37" i="22"/>
  <c r="D37" i="22"/>
  <c r="C37" i="22"/>
  <c r="L36" i="22"/>
  <c r="J36" i="22"/>
  <c r="K36" i="22" s="1"/>
  <c r="I36" i="22"/>
  <c r="G36" i="22"/>
  <c r="E36" i="22"/>
  <c r="D36" i="22"/>
  <c r="C36" i="22"/>
  <c r="L35" i="22"/>
  <c r="J35" i="22"/>
  <c r="K35" i="22" s="1"/>
  <c r="I35" i="22"/>
  <c r="G35" i="22"/>
  <c r="E35" i="22"/>
  <c r="D35" i="22"/>
  <c r="C35" i="22"/>
  <c r="M30" i="22"/>
  <c r="K30" i="22"/>
  <c r="L30" i="22" s="1"/>
  <c r="J30" i="22"/>
  <c r="H30" i="22"/>
  <c r="G30" i="22"/>
  <c r="I30" i="22" s="1"/>
  <c r="F30" i="22"/>
  <c r="E30" i="22"/>
  <c r="D30" i="22"/>
  <c r="C30" i="22"/>
  <c r="M29" i="22"/>
  <c r="K29" i="22"/>
  <c r="L29" i="22" s="1"/>
  <c r="J29" i="22"/>
  <c r="H29" i="22"/>
  <c r="G29" i="22"/>
  <c r="I29" i="22" s="1"/>
  <c r="F29" i="22"/>
  <c r="E29" i="22"/>
  <c r="D29" i="22"/>
  <c r="C29" i="22"/>
  <c r="M28" i="22"/>
  <c r="K28" i="22"/>
  <c r="L28" i="22" s="1"/>
  <c r="J28" i="22"/>
  <c r="I28" i="22"/>
  <c r="H28" i="22"/>
  <c r="G28" i="22"/>
  <c r="F28" i="22"/>
  <c r="D28" i="22"/>
  <c r="C28" i="22"/>
  <c r="E28" i="22" s="1"/>
  <c r="M27" i="22"/>
  <c r="K27" i="22"/>
  <c r="L27" i="22" s="1"/>
  <c r="J27" i="22"/>
  <c r="I27" i="22"/>
  <c r="H27" i="22"/>
  <c r="G27" i="22"/>
  <c r="F27" i="22"/>
  <c r="D27" i="22"/>
  <c r="C27" i="22"/>
  <c r="E27" i="22" s="1"/>
  <c r="M26" i="22"/>
  <c r="K26" i="22"/>
  <c r="L26" i="22" s="1"/>
  <c r="J26" i="22"/>
  <c r="I26" i="22"/>
  <c r="H26" i="22"/>
  <c r="G26" i="22"/>
  <c r="F26" i="22"/>
  <c r="E26" i="22"/>
  <c r="D26" i="22"/>
  <c r="C26" i="22"/>
  <c r="M25" i="22"/>
  <c r="K25" i="22"/>
  <c r="L25" i="22" s="1"/>
  <c r="J25" i="22"/>
  <c r="H25" i="22"/>
  <c r="G25" i="22"/>
  <c r="I25" i="22" s="1"/>
  <c r="F25" i="22"/>
  <c r="D25" i="22"/>
  <c r="C25" i="22"/>
  <c r="E25" i="22" s="1"/>
  <c r="M24" i="22"/>
  <c r="K24" i="22"/>
  <c r="L24" i="22" s="1"/>
  <c r="J24" i="22"/>
  <c r="H24" i="22"/>
  <c r="G24" i="22"/>
  <c r="I24" i="22" s="1"/>
  <c r="F24" i="22"/>
  <c r="E24" i="22"/>
  <c r="D24" i="22"/>
  <c r="C24" i="22"/>
  <c r="M23" i="22"/>
  <c r="K23" i="22"/>
  <c r="L23" i="22" s="1"/>
  <c r="J23" i="22"/>
  <c r="I23" i="22"/>
  <c r="H23" i="22"/>
  <c r="G23" i="22"/>
  <c r="F23" i="22"/>
  <c r="E23" i="22"/>
  <c r="D23" i="22"/>
  <c r="C23" i="22"/>
  <c r="M22" i="22"/>
  <c r="K22" i="22"/>
  <c r="L22" i="22" s="1"/>
  <c r="J22" i="22"/>
  <c r="I22" i="22"/>
  <c r="H22" i="22"/>
  <c r="G22" i="22"/>
  <c r="F22" i="22"/>
  <c r="D22" i="22"/>
  <c r="C22" i="22"/>
  <c r="E22" i="22" s="1"/>
  <c r="M21" i="22"/>
  <c r="K21" i="22"/>
  <c r="L21" i="22" s="1"/>
  <c r="J21" i="22"/>
  <c r="H21" i="22"/>
  <c r="G21" i="22"/>
  <c r="I21" i="22" s="1"/>
  <c r="F21" i="22"/>
  <c r="D21" i="22"/>
  <c r="C21" i="22"/>
  <c r="E21" i="22" s="1"/>
  <c r="M20" i="22"/>
  <c r="K20" i="22"/>
  <c r="L20" i="22" s="1"/>
  <c r="J20" i="22"/>
  <c r="I20" i="22"/>
  <c r="H20" i="22"/>
  <c r="G20" i="22"/>
  <c r="F20" i="22"/>
  <c r="D20" i="22"/>
  <c r="C20" i="22"/>
  <c r="E20" i="22" s="1"/>
  <c r="M19" i="22"/>
  <c r="K19" i="22"/>
  <c r="L19" i="22" s="1"/>
  <c r="J19" i="22"/>
  <c r="H19" i="22"/>
  <c r="G19" i="22"/>
  <c r="I19" i="22" s="1"/>
  <c r="F19" i="22"/>
  <c r="E19" i="22"/>
  <c r="D19" i="22"/>
  <c r="C19" i="22"/>
  <c r="M18" i="22"/>
  <c r="K18" i="22"/>
  <c r="L18" i="22" s="1"/>
  <c r="J18" i="22"/>
  <c r="I18" i="22"/>
  <c r="H18" i="22"/>
  <c r="G18" i="22"/>
  <c r="F18" i="22"/>
  <c r="E18" i="22"/>
  <c r="D18" i="22"/>
  <c r="C18" i="22"/>
  <c r="M17" i="22"/>
  <c r="K17" i="22"/>
  <c r="L17" i="22" s="1"/>
  <c r="J17" i="22"/>
  <c r="I17" i="22"/>
  <c r="H17" i="22"/>
  <c r="G17" i="22"/>
  <c r="F17" i="22"/>
  <c r="D17" i="22"/>
  <c r="C17" i="22"/>
  <c r="E17" i="22" s="1"/>
  <c r="M16" i="22"/>
  <c r="K16" i="22"/>
  <c r="L16" i="22" s="1"/>
  <c r="J16" i="22"/>
  <c r="H16" i="22"/>
  <c r="G16" i="22"/>
  <c r="I16" i="22" s="1"/>
  <c r="F16" i="22"/>
  <c r="D16" i="22"/>
  <c r="C16" i="22"/>
  <c r="E16" i="22" s="1"/>
  <c r="M15" i="22"/>
  <c r="K15" i="22"/>
  <c r="L15" i="22" s="1"/>
  <c r="J15" i="22"/>
  <c r="I15" i="22"/>
  <c r="H15" i="22"/>
  <c r="G15" i="22"/>
  <c r="F15" i="22"/>
  <c r="E15" i="22"/>
  <c r="D15" i="22"/>
  <c r="C15" i="22"/>
  <c r="M14" i="22"/>
  <c r="K14" i="22"/>
  <c r="L14" i="22" s="1"/>
  <c r="J14" i="22"/>
  <c r="H14" i="22"/>
  <c r="G14" i="22"/>
  <c r="I14" i="22" s="1"/>
  <c r="F14" i="22"/>
  <c r="E14" i="22"/>
  <c r="D14" i="22"/>
  <c r="C14" i="22"/>
  <c r="M13" i="22"/>
  <c r="K13" i="22"/>
  <c r="L13" i="22" s="1"/>
  <c r="J13" i="22"/>
  <c r="H13" i="22"/>
  <c r="G13" i="22"/>
  <c r="I13" i="22" s="1"/>
  <c r="F13" i="22"/>
  <c r="E13" i="22"/>
  <c r="D13" i="22"/>
  <c r="C13" i="22"/>
  <c r="M12" i="22"/>
  <c r="K12" i="22"/>
  <c r="L12" i="22" s="1"/>
  <c r="J12" i="22"/>
  <c r="I12" i="22"/>
  <c r="H12" i="22"/>
  <c r="G12" i="22"/>
  <c r="F12" i="22"/>
  <c r="D12" i="22"/>
  <c r="C12" i="22"/>
  <c r="E12" i="22" s="1"/>
  <c r="M11" i="22"/>
  <c r="K11" i="22"/>
  <c r="L11" i="22" s="1"/>
  <c r="J11" i="22"/>
  <c r="I11" i="22"/>
  <c r="H11" i="22"/>
  <c r="G11" i="22"/>
  <c r="F11" i="22"/>
  <c r="D11" i="22"/>
  <c r="C11" i="22"/>
  <c r="E11" i="22" s="1"/>
  <c r="M10" i="22"/>
  <c r="K10" i="22"/>
  <c r="L10" i="22" s="1"/>
  <c r="J10" i="22"/>
  <c r="I10" i="22"/>
  <c r="H10" i="22"/>
  <c r="G10" i="22"/>
  <c r="F10" i="22"/>
  <c r="E10" i="22"/>
  <c r="D10" i="22"/>
  <c r="C10" i="22"/>
  <c r="M9" i="22"/>
  <c r="K9" i="22"/>
  <c r="L9" i="22" s="1"/>
  <c r="J9" i="22"/>
  <c r="H9" i="22"/>
  <c r="G9" i="22"/>
  <c r="I9" i="22" s="1"/>
  <c r="F9" i="22"/>
  <c r="D9" i="22"/>
  <c r="C9" i="22"/>
  <c r="E9" i="22" s="1"/>
  <c r="M8" i="22"/>
  <c r="K8" i="22"/>
  <c r="L8" i="22" s="1"/>
  <c r="J8" i="22"/>
  <c r="H8" i="22"/>
  <c r="G8" i="22"/>
  <c r="I8" i="22" s="1"/>
  <c r="F8" i="22"/>
  <c r="E8" i="22"/>
  <c r="D8" i="22"/>
  <c r="C8" i="22"/>
  <c r="M7" i="22"/>
  <c r="K7" i="22"/>
  <c r="L7" i="22" s="1"/>
  <c r="J7" i="22"/>
  <c r="I7" i="22"/>
  <c r="H7" i="22"/>
  <c r="G7" i="22"/>
  <c r="F7" i="22"/>
  <c r="E7" i="22"/>
  <c r="D7" i="22"/>
  <c r="C7" i="22"/>
  <c r="M6" i="22"/>
  <c r="K6" i="22"/>
  <c r="L6" i="22" s="1"/>
  <c r="J6" i="22"/>
  <c r="I6" i="22"/>
  <c r="H6" i="22"/>
  <c r="G6" i="22"/>
  <c r="F6" i="22"/>
  <c r="D6" i="22"/>
  <c r="C6" i="22"/>
  <c r="E6" i="22" s="1"/>
  <c r="M5" i="22"/>
  <c r="K5" i="22"/>
  <c r="L5" i="22" s="1"/>
  <c r="J5" i="22"/>
  <c r="H5" i="22"/>
  <c r="G5" i="22"/>
  <c r="I5" i="22" s="1"/>
  <c r="F5" i="22"/>
  <c r="D5" i="22"/>
  <c r="C5" i="22"/>
  <c r="E5" i="22" s="1"/>
  <c r="F504" i="21"/>
  <c r="E504" i="21"/>
  <c r="F503" i="21"/>
  <c r="E503" i="21"/>
  <c r="F502" i="21"/>
  <c r="E502" i="21"/>
  <c r="F501" i="21"/>
  <c r="E501" i="21"/>
  <c r="F500" i="21"/>
  <c r="E500" i="21"/>
  <c r="F499" i="21"/>
  <c r="E499" i="21"/>
  <c r="F498" i="21"/>
  <c r="E498" i="21"/>
  <c r="F497" i="21"/>
  <c r="E497" i="21"/>
  <c r="F496" i="21"/>
  <c r="E496" i="21"/>
  <c r="F495" i="21"/>
  <c r="E495" i="21"/>
  <c r="F494" i="21"/>
  <c r="E494" i="21"/>
  <c r="F493" i="21"/>
  <c r="E493" i="21"/>
  <c r="F492" i="21"/>
  <c r="E492" i="21"/>
  <c r="F491" i="21"/>
  <c r="E491" i="21"/>
  <c r="F490" i="21"/>
  <c r="E490" i="21"/>
  <c r="F489" i="21"/>
  <c r="E489" i="21"/>
  <c r="F488" i="21"/>
  <c r="E488" i="21"/>
  <c r="F487" i="21"/>
  <c r="E487" i="21"/>
  <c r="F486" i="21"/>
  <c r="E486" i="21"/>
  <c r="F485" i="21"/>
  <c r="E485" i="21"/>
  <c r="F484" i="21"/>
  <c r="E484" i="21"/>
  <c r="F483" i="21"/>
  <c r="E483" i="21"/>
  <c r="F482" i="21"/>
  <c r="E482" i="21"/>
  <c r="F481" i="21"/>
  <c r="E481" i="21"/>
  <c r="F480" i="21"/>
  <c r="E480" i="21"/>
  <c r="F479" i="21"/>
  <c r="E479" i="21"/>
  <c r="F478" i="21"/>
  <c r="E478" i="21"/>
  <c r="F477" i="21"/>
  <c r="E477" i="21"/>
  <c r="F476" i="21"/>
  <c r="E476" i="21"/>
  <c r="F475" i="21"/>
  <c r="E475" i="21"/>
  <c r="F474" i="21"/>
  <c r="E474" i="21"/>
  <c r="F473" i="21"/>
  <c r="E473" i="21"/>
  <c r="F472" i="21"/>
  <c r="E472" i="21"/>
  <c r="F471" i="21"/>
  <c r="E471" i="21"/>
  <c r="F470" i="21"/>
  <c r="E470" i="21"/>
  <c r="F469" i="21"/>
  <c r="E469" i="21"/>
  <c r="F468" i="21"/>
  <c r="E468" i="21"/>
  <c r="F467" i="21"/>
  <c r="E467" i="21"/>
  <c r="F466" i="21"/>
  <c r="E466" i="21"/>
  <c r="F465" i="21"/>
  <c r="E465" i="21"/>
  <c r="F464" i="21"/>
  <c r="E464" i="21"/>
  <c r="F463" i="21"/>
  <c r="E463" i="21"/>
  <c r="F462" i="21"/>
  <c r="E462" i="21"/>
  <c r="F461" i="21"/>
  <c r="E461" i="21"/>
  <c r="F460" i="21"/>
  <c r="E460" i="21"/>
  <c r="F459" i="21"/>
  <c r="E459" i="21"/>
  <c r="F458" i="21"/>
  <c r="E458" i="21"/>
  <c r="F457" i="21"/>
  <c r="E457" i="21"/>
  <c r="F456" i="21"/>
  <c r="E456" i="21"/>
  <c r="F455" i="21"/>
  <c r="E455" i="21"/>
  <c r="F454" i="21"/>
  <c r="E454" i="21"/>
  <c r="F453" i="21"/>
  <c r="E453" i="21"/>
  <c r="F452" i="21"/>
  <c r="E452" i="21"/>
  <c r="F451" i="21"/>
  <c r="E451" i="21"/>
  <c r="F450" i="21"/>
  <c r="E450" i="21"/>
  <c r="F449" i="21"/>
  <c r="E449" i="21"/>
  <c r="F448" i="21"/>
  <c r="E448" i="21"/>
  <c r="F447" i="21"/>
  <c r="E447" i="21"/>
  <c r="F446" i="21"/>
  <c r="E446" i="21"/>
  <c r="F445" i="21"/>
  <c r="E445" i="21"/>
  <c r="F444" i="21"/>
  <c r="E444" i="21"/>
  <c r="F443" i="21"/>
  <c r="E443" i="21"/>
  <c r="F442" i="21"/>
  <c r="E442" i="21"/>
  <c r="F441" i="21"/>
  <c r="E441" i="21"/>
  <c r="F440" i="21"/>
  <c r="E440" i="21"/>
  <c r="F439" i="21"/>
  <c r="E439" i="21"/>
  <c r="F438" i="21"/>
  <c r="E438" i="21"/>
  <c r="F437" i="21"/>
  <c r="E437" i="21"/>
  <c r="F436" i="21"/>
  <c r="E436" i="21"/>
  <c r="F435" i="21"/>
  <c r="E435" i="21"/>
  <c r="F434" i="21"/>
  <c r="E434" i="21"/>
  <c r="F433" i="21"/>
  <c r="E433" i="21"/>
  <c r="F432" i="21"/>
  <c r="E432" i="21"/>
  <c r="F431" i="21"/>
  <c r="E431" i="21"/>
  <c r="F430" i="21"/>
  <c r="E430" i="21"/>
  <c r="F429" i="21"/>
  <c r="E429" i="21"/>
  <c r="F428" i="21"/>
  <c r="E428" i="21"/>
  <c r="F427" i="21"/>
  <c r="E427" i="21"/>
  <c r="F426" i="21"/>
  <c r="E426" i="21"/>
  <c r="F425" i="21"/>
  <c r="E425" i="21"/>
  <c r="F424" i="21"/>
  <c r="E424" i="21"/>
  <c r="F423" i="21"/>
  <c r="E423" i="21"/>
  <c r="F422" i="21"/>
  <c r="E422" i="21"/>
  <c r="F421" i="21"/>
  <c r="E421" i="21"/>
  <c r="F420" i="21"/>
  <c r="E420" i="21"/>
  <c r="F419" i="21"/>
  <c r="E419" i="21"/>
  <c r="F418" i="21"/>
  <c r="E418" i="21"/>
  <c r="F417" i="21"/>
  <c r="E417" i="21"/>
  <c r="F416" i="21"/>
  <c r="E416" i="21"/>
  <c r="F415" i="21"/>
  <c r="E415" i="21"/>
  <c r="F414" i="21"/>
  <c r="E414" i="21"/>
  <c r="F413" i="21"/>
  <c r="E413" i="21"/>
  <c r="F412" i="21"/>
  <c r="E412" i="21"/>
  <c r="F411" i="21"/>
  <c r="E411" i="21"/>
  <c r="F410" i="21"/>
  <c r="E410" i="21"/>
  <c r="F409" i="21"/>
  <c r="E409" i="21"/>
  <c r="F408" i="21"/>
  <c r="E408" i="21"/>
  <c r="F407" i="21"/>
  <c r="E407" i="21"/>
  <c r="F406" i="21"/>
  <c r="E406" i="21"/>
  <c r="F405" i="21"/>
  <c r="E405" i="21"/>
  <c r="F404" i="21"/>
  <c r="E404" i="21"/>
  <c r="F403" i="21"/>
  <c r="E403" i="21"/>
  <c r="F402" i="21"/>
  <c r="E402" i="21"/>
  <c r="F401" i="21"/>
  <c r="E401" i="21"/>
  <c r="F400" i="21"/>
  <c r="E400" i="21"/>
  <c r="F399" i="21"/>
  <c r="E399" i="21"/>
  <c r="F398" i="21"/>
  <c r="E398" i="21"/>
  <c r="F397" i="21"/>
  <c r="E397" i="21"/>
  <c r="F396" i="21"/>
  <c r="E396" i="21"/>
  <c r="F395" i="21"/>
  <c r="E395" i="21"/>
  <c r="F394" i="21"/>
  <c r="E394" i="21"/>
  <c r="F393" i="21"/>
  <c r="E393" i="21"/>
  <c r="F392" i="21"/>
  <c r="E392" i="21"/>
  <c r="F391" i="21"/>
  <c r="E391" i="21"/>
  <c r="F390" i="21"/>
  <c r="E390" i="21"/>
  <c r="F389" i="21"/>
  <c r="E389" i="21"/>
  <c r="F388" i="21"/>
  <c r="E388" i="21"/>
  <c r="F387" i="21"/>
  <c r="E387" i="21"/>
  <c r="F386" i="21"/>
  <c r="E386" i="21"/>
  <c r="F385" i="21"/>
  <c r="E385" i="21"/>
  <c r="F384" i="21"/>
  <c r="E384" i="21"/>
  <c r="F383" i="21"/>
  <c r="E383" i="21"/>
  <c r="F382" i="21"/>
  <c r="E382" i="21"/>
  <c r="F381" i="21"/>
  <c r="E381" i="21"/>
  <c r="F380" i="21"/>
  <c r="E380" i="21"/>
  <c r="F379" i="21"/>
  <c r="E379" i="21"/>
  <c r="F378" i="21"/>
  <c r="E378" i="21"/>
  <c r="F377" i="21"/>
  <c r="E377" i="21"/>
  <c r="F376" i="21"/>
  <c r="E376" i="21"/>
  <c r="F375" i="21"/>
  <c r="E375" i="21"/>
  <c r="F374" i="21"/>
  <c r="E374" i="21"/>
  <c r="F373" i="21"/>
  <c r="E373" i="21"/>
  <c r="F372" i="21"/>
  <c r="E372" i="21"/>
  <c r="F371" i="21"/>
  <c r="E371" i="21"/>
  <c r="F370" i="21"/>
  <c r="E370" i="21"/>
  <c r="F369" i="21"/>
  <c r="E369" i="21"/>
  <c r="F368" i="21"/>
  <c r="E368" i="21"/>
  <c r="F367" i="21"/>
  <c r="E367" i="21"/>
  <c r="F366" i="21"/>
  <c r="E366" i="21"/>
  <c r="F365" i="21"/>
  <c r="E365" i="21"/>
  <c r="F364" i="21"/>
  <c r="E364" i="21"/>
  <c r="F363" i="21"/>
  <c r="E363" i="21"/>
  <c r="F362" i="21"/>
  <c r="E362" i="21"/>
  <c r="F361" i="21"/>
  <c r="E361" i="21"/>
  <c r="F360" i="21"/>
  <c r="E360" i="21"/>
  <c r="F359" i="21"/>
  <c r="E359" i="21"/>
  <c r="F358" i="21"/>
  <c r="E358" i="21"/>
  <c r="F357" i="21"/>
  <c r="E357" i="21"/>
  <c r="F356" i="21"/>
  <c r="E356" i="21"/>
  <c r="F355" i="21"/>
  <c r="E355" i="21"/>
  <c r="F354" i="21"/>
  <c r="E354" i="21"/>
  <c r="F353" i="21"/>
  <c r="E353" i="21"/>
  <c r="F352" i="21"/>
  <c r="E352" i="21"/>
  <c r="F351" i="21"/>
  <c r="E351" i="21"/>
  <c r="F350" i="21"/>
  <c r="E350" i="21"/>
  <c r="F349" i="21"/>
  <c r="E349" i="21"/>
  <c r="F348" i="21"/>
  <c r="E348" i="21"/>
  <c r="F347" i="21"/>
  <c r="E347" i="21"/>
  <c r="F346" i="21"/>
  <c r="E346" i="21"/>
  <c r="F345" i="21"/>
  <c r="E345" i="21"/>
  <c r="F344" i="21"/>
  <c r="E344" i="21"/>
  <c r="F343" i="21"/>
  <c r="E343" i="21"/>
  <c r="F342" i="21"/>
  <c r="E342" i="21"/>
  <c r="F341" i="21"/>
  <c r="E341" i="21"/>
  <c r="F340" i="21"/>
  <c r="E340" i="21"/>
  <c r="F339" i="21"/>
  <c r="E339" i="21"/>
  <c r="F338" i="21"/>
  <c r="E338" i="21"/>
  <c r="F337" i="21"/>
  <c r="E337" i="21"/>
  <c r="F336" i="21"/>
  <c r="E336" i="21"/>
  <c r="F335" i="21"/>
  <c r="E335" i="21"/>
  <c r="F334" i="21"/>
  <c r="E334" i="21"/>
  <c r="F333" i="21"/>
  <c r="E333" i="21"/>
  <c r="F332" i="21"/>
  <c r="E332" i="21"/>
  <c r="F331" i="21"/>
  <c r="E331" i="21"/>
  <c r="F330" i="21"/>
  <c r="E330" i="21"/>
  <c r="F329" i="21"/>
  <c r="E329" i="21"/>
  <c r="F328" i="21"/>
  <c r="E328" i="21"/>
  <c r="F327" i="21"/>
  <c r="E327" i="21"/>
  <c r="F326" i="21"/>
  <c r="E326" i="21"/>
  <c r="F325" i="21"/>
  <c r="E325" i="21"/>
  <c r="F324" i="21"/>
  <c r="E324" i="21"/>
  <c r="F323" i="21"/>
  <c r="E323" i="21"/>
  <c r="F322" i="21"/>
  <c r="E322" i="21"/>
  <c r="F321" i="21"/>
  <c r="E321" i="21"/>
  <c r="F320" i="21"/>
  <c r="E320" i="21"/>
  <c r="F319" i="21"/>
  <c r="E319" i="21"/>
  <c r="F318" i="21"/>
  <c r="E318" i="21"/>
  <c r="F317" i="21"/>
  <c r="E317" i="21"/>
  <c r="F316" i="21"/>
  <c r="E316" i="21"/>
  <c r="F315" i="21"/>
  <c r="E315" i="21"/>
  <c r="F314" i="21"/>
  <c r="E314" i="21"/>
  <c r="F313" i="21"/>
  <c r="E313" i="21"/>
  <c r="F312" i="21"/>
  <c r="E312" i="21"/>
  <c r="F311" i="21"/>
  <c r="E311" i="21"/>
  <c r="F310" i="21"/>
  <c r="E310" i="21"/>
  <c r="F309" i="21"/>
  <c r="E309" i="21"/>
  <c r="F308" i="21"/>
  <c r="E308" i="21"/>
  <c r="F307" i="21"/>
  <c r="E307" i="21"/>
  <c r="F306" i="21"/>
  <c r="E306" i="21"/>
  <c r="F305" i="21"/>
  <c r="E305" i="21"/>
  <c r="F304" i="21"/>
  <c r="E304" i="21"/>
  <c r="F303" i="21"/>
  <c r="E303" i="21"/>
  <c r="F302" i="21"/>
  <c r="E302" i="21"/>
  <c r="F301" i="21"/>
  <c r="E301" i="21"/>
  <c r="F300" i="21"/>
  <c r="E300" i="21"/>
  <c r="F299" i="21"/>
  <c r="E299" i="21"/>
  <c r="F298" i="21"/>
  <c r="E298" i="21"/>
  <c r="F297" i="21"/>
  <c r="E297" i="21"/>
  <c r="F296" i="21"/>
  <c r="E296" i="21"/>
  <c r="F295" i="21"/>
  <c r="E295" i="21"/>
  <c r="F294" i="21"/>
  <c r="E294" i="21"/>
  <c r="F293" i="21"/>
  <c r="E293" i="21"/>
  <c r="F292" i="21"/>
  <c r="E292" i="21"/>
  <c r="F291" i="21"/>
  <c r="E291" i="21"/>
  <c r="F290" i="21"/>
  <c r="E290" i="21"/>
  <c r="F289" i="21"/>
  <c r="E289" i="21"/>
  <c r="F288" i="21"/>
  <c r="E288" i="21"/>
  <c r="F287" i="21"/>
  <c r="E287" i="21"/>
  <c r="F286" i="21"/>
  <c r="E286" i="21"/>
  <c r="F285" i="21"/>
  <c r="E285" i="21"/>
  <c r="F284" i="21"/>
  <c r="E284" i="21"/>
  <c r="F283" i="21"/>
  <c r="E283" i="21"/>
  <c r="F282" i="21"/>
  <c r="E282" i="21"/>
  <c r="F281" i="21"/>
  <c r="E281" i="21"/>
  <c r="F280" i="21"/>
  <c r="E280" i="21"/>
  <c r="F279" i="21"/>
  <c r="E279" i="21"/>
  <c r="F278" i="21"/>
  <c r="E278" i="21"/>
  <c r="F277" i="21"/>
  <c r="E277" i="21"/>
  <c r="F276" i="21"/>
  <c r="E276" i="21"/>
  <c r="F275" i="21"/>
  <c r="E275" i="21"/>
  <c r="F274" i="21"/>
  <c r="E274" i="21"/>
  <c r="F273" i="21"/>
  <c r="E273" i="21"/>
  <c r="F272" i="21"/>
  <c r="E272" i="21"/>
  <c r="F271" i="21"/>
  <c r="E271" i="21"/>
  <c r="F270" i="21"/>
  <c r="E270" i="21"/>
  <c r="F269" i="21"/>
  <c r="E269" i="21"/>
  <c r="F268" i="21"/>
  <c r="E268" i="21"/>
  <c r="F267" i="21"/>
  <c r="E267" i="21"/>
  <c r="F266" i="21"/>
  <c r="E266" i="21"/>
  <c r="F265" i="21"/>
  <c r="E265" i="21"/>
  <c r="F264" i="21"/>
  <c r="E264" i="21"/>
  <c r="F263" i="21"/>
  <c r="E263" i="21"/>
  <c r="F262" i="21"/>
  <c r="E262" i="21"/>
  <c r="F261" i="21"/>
  <c r="E261" i="21"/>
  <c r="F260" i="21"/>
  <c r="E260" i="21"/>
  <c r="F259" i="21"/>
  <c r="E259" i="21"/>
  <c r="F258" i="21"/>
  <c r="E258" i="21"/>
  <c r="F257" i="21"/>
  <c r="E257" i="21"/>
  <c r="F256" i="21"/>
  <c r="E256" i="21"/>
  <c r="F255" i="21"/>
  <c r="E255" i="21"/>
  <c r="F254" i="21"/>
  <c r="E254" i="21"/>
  <c r="F253" i="21"/>
  <c r="E253" i="21"/>
  <c r="F252" i="21"/>
  <c r="E252" i="21"/>
  <c r="F251" i="21"/>
  <c r="E251" i="21"/>
  <c r="F250" i="21"/>
  <c r="E250" i="21"/>
  <c r="F249" i="21"/>
  <c r="E249" i="21"/>
  <c r="F248" i="21"/>
  <c r="E248" i="21"/>
  <c r="F247" i="21"/>
  <c r="E247" i="21"/>
  <c r="F246" i="21"/>
  <c r="E246" i="21"/>
  <c r="F245" i="21"/>
  <c r="E245" i="21"/>
  <c r="F244" i="21"/>
  <c r="E244" i="21"/>
  <c r="F243" i="21"/>
  <c r="E243" i="21"/>
  <c r="F242" i="21"/>
  <c r="E242" i="21"/>
  <c r="F241" i="21"/>
  <c r="E241" i="21"/>
  <c r="F240" i="21"/>
  <c r="E240" i="21"/>
  <c r="F239" i="21"/>
  <c r="E239" i="21"/>
  <c r="F238" i="21"/>
  <c r="E238" i="21"/>
  <c r="F237" i="21"/>
  <c r="E237" i="21"/>
  <c r="F236" i="21"/>
  <c r="E236" i="21"/>
  <c r="F235" i="21"/>
  <c r="E235" i="21"/>
  <c r="F234" i="21"/>
  <c r="E234" i="21"/>
  <c r="F233" i="21"/>
  <c r="E233" i="21"/>
  <c r="F232" i="21"/>
  <c r="E232" i="21"/>
  <c r="F231" i="21"/>
  <c r="E231" i="21"/>
  <c r="F230" i="21"/>
  <c r="E230" i="21"/>
  <c r="F229" i="21"/>
  <c r="E229" i="21"/>
  <c r="F228" i="21"/>
  <c r="E228" i="21"/>
  <c r="F227" i="21"/>
  <c r="E227" i="21"/>
  <c r="F226" i="21"/>
  <c r="E226" i="21"/>
  <c r="F225" i="21"/>
  <c r="E225" i="21"/>
  <c r="F224" i="21"/>
  <c r="E224" i="21"/>
  <c r="F223" i="21"/>
  <c r="E223" i="21"/>
  <c r="F222" i="21"/>
  <c r="E222" i="21"/>
  <c r="F221" i="21"/>
  <c r="E221" i="21"/>
  <c r="F220" i="21"/>
  <c r="E220" i="21"/>
  <c r="F219" i="21"/>
  <c r="E219" i="21"/>
  <c r="F218" i="21"/>
  <c r="E218" i="21"/>
  <c r="F217" i="21"/>
  <c r="E217" i="21"/>
  <c r="F216" i="21"/>
  <c r="E216" i="21"/>
  <c r="F215" i="21"/>
  <c r="E215" i="21"/>
  <c r="F214" i="21"/>
  <c r="E214" i="21"/>
  <c r="F213" i="21"/>
  <c r="E213" i="21"/>
  <c r="F212" i="21"/>
  <c r="E212" i="21"/>
  <c r="F211" i="21"/>
  <c r="E211" i="21"/>
  <c r="F210" i="21"/>
  <c r="E210" i="21"/>
  <c r="F209" i="21"/>
  <c r="E209" i="21"/>
  <c r="F208" i="21"/>
  <c r="E208" i="21"/>
  <c r="F207" i="21"/>
  <c r="E207" i="21"/>
  <c r="F206" i="21"/>
  <c r="E206" i="21"/>
  <c r="F205" i="21"/>
  <c r="E205" i="21"/>
  <c r="F204" i="21"/>
  <c r="E204" i="21"/>
  <c r="F203" i="21"/>
  <c r="E203" i="21"/>
  <c r="F202" i="21"/>
  <c r="E202" i="21"/>
  <c r="F201" i="21"/>
  <c r="E201" i="21"/>
  <c r="F200" i="21"/>
  <c r="E200" i="21"/>
  <c r="F199" i="21"/>
  <c r="E199" i="21"/>
  <c r="F198" i="21"/>
  <c r="E198" i="21"/>
  <c r="F197" i="21"/>
  <c r="E197" i="21"/>
  <c r="F196" i="21"/>
  <c r="E196" i="21"/>
  <c r="F195" i="21"/>
  <c r="E195" i="21"/>
  <c r="F194" i="21"/>
  <c r="E194" i="21"/>
  <c r="F193" i="21"/>
  <c r="E193" i="21"/>
  <c r="F192" i="21"/>
  <c r="E192" i="21"/>
  <c r="F191" i="21"/>
  <c r="E191" i="21"/>
  <c r="F190" i="21"/>
  <c r="E190" i="21"/>
  <c r="F189" i="21"/>
  <c r="E189" i="21"/>
  <c r="F188" i="21"/>
  <c r="E188" i="21"/>
  <c r="F187" i="21"/>
  <c r="E187" i="21"/>
  <c r="F186" i="21"/>
  <c r="E186" i="21"/>
  <c r="F185" i="21"/>
  <c r="E185" i="21"/>
  <c r="F184" i="21"/>
  <c r="E184" i="21"/>
  <c r="F183" i="21"/>
  <c r="E183" i="21"/>
  <c r="F182" i="21"/>
  <c r="E182" i="21"/>
  <c r="F181" i="21"/>
  <c r="E181" i="21"/>
  <c r="F180" i="21"/>
  <c r="E180" i="21"/>
  <c r="F179" i="21"/>
  <c r="E179" i="21"/>
  <c r="F178" i="21"/>
  <c r="E178" i="21"/>
  <c r="F177" i="21"/>
  <c r="E177" i="21"/>
  <c r="F176" i="21"/>
  <c r="E176" i="21"/>
  <c r="F175" i="21"/>
  <c r="E175" i="21"/>
  <c r="F174" i="21"/>
  <c r="E174" i="21"/>
  <c r="F173" i="21"/>
  <c r="E173" i="21"/>
  <c r="F172" i="21"/>
  <c r="E172" i="21"/>
  <c r="F171" i="21"/>
  <c r="E171" i="21"/>
  <c r="F170" i="21"/>
  <c r="E170" i="21"/>
  <c r="F169" i="21"/>
  <c r="E169" i="21"/>
  <c r="F168" i="21"/>
  <c r="E168" i="21"/>
  <c r="F167" i="21"/>
  <c r="E167" i="21"/>
  <c r="F166" i="21"/>
  <c r="E166" i="21"/>
  <c r="F165" i="21"/>
  <c r="E165" i="21"/>
  <c r="F164" i="21"/>
  <c r="E164" i="21"/>
  <c r="F163" i="21"/>
  <c r="E163" i="21"/>
  <c r="F162" i="21"/>
  <c r="E162" i="21"/>
  <c r="F161" i="21"/>
  <c r="E161" i="21"/>
  <c r="F160" i="21"/>
  <c r="E160" i="21"/>
  <c r="F159" i="21"/>
  <c r="E159" i="21"/>
  <c r="F158" i="21"/>
  <c r="E158" i="21"/>
  <c r="F157" i="21"/>
  <c r="E157" i="21"/>
  <c r="F156" i="21"/>
  <c r="E156" i="21"/>
  <c r="F155" i="21"/>
  <c r="E155" i="21"/>
  <c r="F154" i="21"/>
  <c r="E154" i="21"/>
  <c r="F153" i="21"/>
  <c r="E153" i="21"/>
  <c r="F152" i="21"/>
  <c r="E152" i="21"/>
  <c r="F151" i="21"/>
  <c r="E151" i="21"/>
  <c r="F150" i="21"/>
  <c r="E150" i="21"/>
  <c r="F149" i="21"/>
  <c r="E149" i="21"/>
  <c r="F148" i="21"/>
  <c r="E148" i="21"/>
  <c r="F147" i="21"/>
  <c r="E147" i="21"/>
  <c r="F146" i="21"/>
  <c r="E146" i="21"/>
  <c r="F145" i="21"/>
  <c r="E145" i="21"/>
  <c r="F144" i="21"/>
  <c r="E144" i="21"/>
  <c r="F143" i="21"/>
  <c r="E143" i="21"/>
  <c r="F142" i="21"/>
  <c r="E142" i="21"/>
  <c r="F141" i="21"/>
  <c r="E141" i="21"/>
  <c r="F140" i="21"/>
  <c r="E140" i="21"/>
  <c r="F139" i="21"/>
  <c r="E139" i="21"/>
  <c r="F138" i="21"/>
  <c r="E138" i="21"/>
  <c r="F137" i="21"/>
  <c r="E137" i="21"/>
  <c r="F136" i="21"/>
  <c r="E136" i="21"/>
  <c r="F135" i="21"/>
  <c r="E135" i="21"/>
  <c r="F134" i="21"/>
  <c r="E134" i="21"/>
  <c r="F133" i="21"/>
  <c r="E133" i="21"/>
  <c r="F132" i="21"/>
  <c r="E132" i="21"/>
  <c r="F131" i="21"/>
  <c r="E131" i="21"/>
  <c r="F130" i="21"/>
  <c r="E130" i="21"/>
  <c r="F129" i="21"/>
  <c r="E129" i="21"/>
  <c r="F128" i="21"/>
  <c r="E128" i="21"/>
  <c r="F127" i="21"/>
  <c r="E127" i="21"/>
  <c r="F126" i="21"/>
  <c r="E126" i="21"/>
  <c r="F125" i="21"/>
  <c r="E125" i="21"/>
  <c r="F124" i="21"/>
  <c r="E124" i="21"/>
  <c r="F123" i="21"/>
  <c r="E123" i="21"/>
  <c r="F122" i="21"/>
  <c r="E122" i="21"/>
  <c r="F121" i="21"/>
  <c r="E121" i="21"/>
  <c r="F120" i="21"/>
  <c r="E120" i="21"/>
  <c r="F119" i="21"/>
  <c r="E119" i="21"/>
  <c r="F118" i="21"/>
  <c r="E118" i="21"/>
  <c r="F117" i="21"/>
  <c r="E117" i="21"/>
  <c r="F116" i="21"/>
  <c r="E116" i="21"/>
  <c r="F115" i="21"/>
  <c r="E115" i="21"/>
  <c r="F114" i="21"/>
  <c r="E114" i="21"/>
  <c r="F113" i="21"/>
  <c r="E113" i="21"/>
  <c r="F112" i="21"/>
  <c r="E112" i="21"/>
  <c r="F111" i="21"/>
  <c r="E111" i="21"/>
  <c r="F110" i="21"/>
  <c r="E110" i="21"/>
  <c r="F109" i="21"/>
  <c r="E109" i="21"/>
  <c r="F108" i="21"/>
  <c r="E108" i="21"/>
  <c r="F107" i="21"/>
  <c r="E107" i="21"/>
  <c r="F106" i="21"/>
  <c r="E106" i="21"/>
  <c r="F105" i="21"/>
  <c r="E105" i="21"/>
  <c r="F104" i="21"/>
  <c r="E104" i="21"/>
  <c r="F103" i="21"/>
  <c r="E103" i="21"/>
  <c r="F102" i="21"/>
  <c r="E102" i="21"/>
  <c r="F101" i="21"/>
  <c r="E101" i="21"/>
  <c r="F100" i="21"/>
  <c r="E100" i="21"/>
  <c r="F99" i="21"/>
  <c r="E99" i="21"/>
  <c r="F98" i="21"/>
  <c r="E98" i="21"/>
  <c r="F97" i="21"/>
  <c r="E97" i="21"/>
  <c r="F96" i="21"/>
  <c r="E96" i="21"/>
  <c r="F95" i="21"/>
  <c r="E95" i="21"/>
  <c r="F94" i="21"/>
  <c r="E94" i="21"/>
  <c r="F93" i="21"/>
  <c r="E93" i="21"/>
  <c r="F92" i="21"/>
  <c r="E92" i="21"/>
  <c r="F91" i="21"/>
  <c r="E91" i="21"/>
  <c r="F90" i="21"/>
  <c r="E90" i="21"/>
  <c r="F89" i="21"/>
  <c r="E89" i="21"/>
  <c r="F88" i="21"/>
  <c r="E88" i="21"/>
  <c r="F87" i="21"/>
  <c r="E87" i="21"/>
  <c r="F86" i="21"/>
  <c r="E86" i="21"/>
  <c r="F85" i="21"/>
  <c r="E85" i="21"/>
  <c r="F84" i="21"/>
  <c r="E84" i="21"/>
  <c r="F83" i="21"/>
  <c r="E83" i="21"/>
  <c r="F82" i="21"/>
  <c r="E82" i="21"/>
  <c r="F81" i="21"/>
  <c r="E81" i="21"/>
  <c r="F80" i="21"/>
  <c r="E80" i="21"/>
  <c r="F79" i="21"/>
  <c r="E79" i="21"/>
  <c r="F78" i="21"/>
  <c r="E78" i="21"/>
  <c r="F77" i="21"/>
  <c r="E77" i="21"/>
  <c r="F76" i="21"/>
  <c r="E76" i="21"/>
  <c r="F75" i="21"/>
  <c r="E75" i="21"/>
  <c r="F74" i="21"/>
  <c r="E74" i="21"/>
  <c r="F73" i="21"/>
  <c r="E73" i="21"/>
  <c r="F72" i="21"/>
  <c r="E72" i="21"/>
  <c r="F71" i="21"/>
  <c r="E71" i="21"/>
  <c r="F70" i="21"/>
  <c r="E70" i="21"/>
  <c r="F69" i="21"/>
  <c r="E69" i="21"/>
  <c r="F68" i="21"/>
  <c r="E68" i="21"/>
  <c r="F67" i="21"/>
  <c r="E67" i="21"/>
  <c r="F66" i="21"/>
  <c r="E66" i="21"/>
  <c r="F65" i="21"/>
  <c r="E65" i="21"/>
  <c r="F64" i="21"/>
  <c r="E64" i="21"/>
  <c r="F63" i="21"/>
  <c r="E63" i="21"/>
  <c r="F62" i="21"/>
  <c r="E62" i="21"/>
  <c r="F61" i="21"/>
  <c r="E61" i="21"/>
  <c r="F60" i="21"/>
  <c r="E60" i="21"/>
  <c r="F59" i="21"/>
  <c r="E59" i="21"/>
  <c r="F58" i="21"/>
  <c r="E58" i="21"/>
  <c r="F57" i="21"/>
  <c r="E57" i="21"/>
  <c r="F56" i="21"/>
  <c r="E56" i="21"/>
  <c r="F55" i="21"/>
  <c r="E55" i="21"/>
  <c r="F54" i="21"/>
  <c r="E54" i="21"/>
  <c r="F53" i="21"/>
  <c r="E53" i="21"/>
  <c r="F52" i="21"/>
  <c r="E52" i="21"/>
  <c r="F51" i="21"/>
  <c r="E51" i="21"/>
  <c r="F50" i="21"/>
  <c r="E50" i="21"/>
  <c r="F49" i="21"/>
  <c r="E49" i="21"/>
  <c r="F48" i="21"/>
  <c r="E48" i="21"/>
  <c r="F47" i="21"/>
  <c r="E47" i="21"/>
  <c r="F46" i="21"/>
  <c r="E46" i="21"/>
  <c r="F45" i="21"/>
  <c r="E45" i="21"/>
  <c r="F44" i="21"/>
  <c r="E44" i="21"/>
  <c r="F43" i="21"/>
  <c r="E43" i="21"/>
  <c r="F42" i="21"/>
  <c r="E42" i="21"/>
  <c r="F41" i="21"/>
  <c r="E41" i="21"/>
  <c r="F40" i="21"/>
  <c r="E40" i="21"/>
  <c r="F39" i="21"/>
  <c r="E39" i="21"/>
  <c r="F38" i="21"/>
  <c r="E38" i="21"/>
  <c r="F37" i="21"/>
  <c r="E37" i="21"/>
  <c r="F36" i="21"/>
  <c r="E36" i="21"/>
  <c r="F35" i="21"/>
  <c r="E35" i="21"/>
  <c r="F34" i="21"/>
  <c r="E34" i="21"/>
  <c r="F33" i="21"/>
  <c r="E33" i="21"/>
  <c r="F32" i="21"/>
  <c r="E32" i="21"/>
  <c r="Q31" i="21"/>
  <c r="P31" i="21"/>
  <c r="O31" i="21"/>
  <c r="F31" i="21"/>
  <c r="E31" i="21"/>
  <c r="Q30" i="21"/>
  <c r="P30" i="21"/>
  <c r="O30" i="21"/>
  <c r="F30" i="21"/>
  <c r="E30" i="21"/>
  <c r="P29" i="21"/>
  <c r="O29" i="21"/>
  <c r="Q29" i="21" s="1"/>
  <c r="F29" i="21"/>
  <c r="E29" i="21"/>
  <c r="P28" i="21"/>
  <c r="O28" i="21"/>
  <c r="Q28" i="21" s="1"/>
  <c r="F28" i="21"/>
  <c r="E28" i="21"/>
  <c r="Q27" i="21"/>
  <c r="P27" i="21"/>
  <c r="O27" i="21"/>
  <c r="F27" i="21"/>
  <c r="E27" i="21"/>
  <c r="Q26" i="21"/>
  <c r="P26" i="21"/>
  <c r="O26" i="21"/>
  <c r="F26" i="21"/>
  <c r="E26" i="21"/>
  <c r="P25" i="21"/>
  <c r="O25" i="21"/>
  <c r="Q25" i="21" s="1"/>
  <c r="F25" i="21"/>
  <c r="E25" i="21"/>
  <c r="Q24" i="21"/>
  <c r="P24" i="21"/>
  <c r="O24" i="21"/>
  <c r="F24" i="21"/>
  <c r="E24" i="21"/>
  <c r="Q23" i="21"/>
  <c r="P23" i="21"/>
  <c r="O23" i="21"/>
  <c r="F23" i="21"/>
  <c r="E23" i="21"/>
  <c r="Q22" i="21"/>
  <c r="P22" i="21"/>
  <c r="O22" i="21"/>
  <c r="F22" i="21"/>
  <c r="E22" i="21"/>
  <c r="P21" i="21"/>
  <c r="O21" i="21"/>
  <c r="Q21" i="21" s="1"/>
  <c r="F21" i="21"/>
  <c r="E21" i="21"/>
  <c r="P20" i="21"/>
  <c r="O20" i="21"/>
  <c r="Q20" i="21" s="1"/>
  <c r="F20" i="21"/>
  <c r="E20" i="21"/>
  <c r="Q19" i="21"/>
  <c r="P19" i="21"/>
  <c r="O19" i="21"/>
  <c r="F19" i="21"/>
  <c r="E19" i="21"/>
  <c r="T18" i="21"/>
  <c r="Q18" i="21"/>
  <c r="P18" i="21"/>
  <c r="O18" i="21"/>
  <c r="F18" i="21"/>
  <c r="E18" i="21"/>
  <c r="T17" i="21"/>
  <c r="Q17" i="21"/>
  <c r="P17" i="21"/>
  <c r="O17" i="21"/>
  <c r="F17" i="21"/>
  <c r="E17" i="21"/>
  <c r="T16" i="21"/>
  <c r="Q16" i="21"/>
  <c r="P16" i="21"/>
  <c r="O16" i="21"/>
  <c r="F16" i="21"/>
  <c r="E16" i="21"/>
  <c r="T15" i="21"/>
  <c r="Q15" i="21"/>
  <c r="P15" i="21"/>
  <c r="O15" i="21"/>
  <c r="F15" i="21"/>
  <c r="E15" i="21"/>
  <c r="T14" i="21"/>
  <c r="Q14" i="21"/>
  <c r="P14" i="21"/>
  <c r="O14" i="21"/>
  <c r="F14" i="21"/>
  <c r="E14" i="21"/>
  <c r="T13" i="21"/>
  <c r="P13" i="21"/>
  <c r="O13" i="21"/>
  <c r="Q13" i="21" s="1"/>
  <c r="F13" i="21"/>
  <c r="E13" i="21"/>
  <c r="T12" i="21"/>
  <c r="P12" i="21"/>
  <c r="O12" i="21"/>
  <c r="Q12" i="21" s="1"/>
  <c r="F12" i="21"/>
  <c r="E12" i="21"/>
  <c r="T11" i="21"/>
  <c r="Q11" i="21"/>
  <c r="P11" i="21"/>
  <c r="O11" i="21"/>
  <c r="F11" i="21"/>
  <c r="E11" i="21"/>
  <c r="T10" i="21"/>
  <c r="Q10" i="21"/>
  <c r="P10" i="21"/>
  <c r="O10" i="21"/>
  <c r="F10" i="21"/>
  <c r="E10" i="21"/>
  <c r="T9" i="21"/>
  <c r="Q9" i="21"/>
  <c r="P9" i="21"/>
  <c r="O9" i="21"/>
  <c r="F9" i="21"/>
  <c r="E9" i="21"/>
  <c r="U8" i="21"/>
  <c r="T8" i="21"/>
  <c r="P8" i="21"/>
  <c r="O8" i="21"/>
  <c r="Q8" i="21" s="1"/>
  <c r="F8" i="21"/>
  <c r="E8" i="21"/>
  <c r="T7" i="21"/>
  <c r="Q7" i="21"/>
  <c r="P7" i="21"/>
  <c r="O7" i="21"/>
  <c r="F7" i="21"/>
  <c r="E7" i="21"/>
  <c r="T6" i="21"/>
  <c r="U13" i="21" s="1"/>
  <c r="Q6" i="21"/>
  <c r="P6" i="21"/>
  <c r="O6" i="21"/>
  <c r="F6" i="21"/>
  <c r="E6" i="21"/>
  <c r="F5" i="21"/>
  <c r="E5" i="21"/>
  <c r="N404" i="20"/>
  <c r="M404" i="20"/>
  <c r="F404" i="20"/>
  <c r="E404" i="20"/>
  <c r="D404" i="20"/>
  <c r="N403" i="20"/>
  <c r="M403" i="20"/>
  <c r="F403" i="20"/>
  <c r="E403" i="20"/>
  <c r="D403" i="20"/>
  <c r="N402" i="20"/>
  <c r="M402" i="20"/>
  <c r="F402" i="20"/>
  <c r="E402" i="20"/>
  <c r="D402" i="20"/>
  <c r="N401" i="20"/>
  <c r="M401" i="20"/>
  <c r="F401" i="20"/>
  <c r="E401" i="20"/>
  <c r="D401" i="20"/>
  <c r="N400" i="20"/>
  <c r="M400" i="20"/>
  <c r="F400" i="20"/>
  <c r="E400" i="20"/>
  <c r="D400" i="20"/>
  <c r="N399" i="20"/>
  <c r="M399" i="20"/>
  <c r="F399" i="20"/>
  <c r="E399" i="20"/>
  <c r="D399" i="20"/>
  <c r="N398" i="20"/>
  <c r="M398" i="20"/>
  <c r="F398" i="20"/>
  <c r="E398" i="20"/>
  <c r="D398" i="20"/>
  <c r="N397" i="20"/>
  <c r="M397" i="20"/>
  <c r="F397" i="20"/>
  <c r="E397" i="20"/>
  <c r="D397" i="20"/>
  <c r="N396" i="20"/>
  <c r="M396" i="20"/>
  <c r="F396" i="20"/>
  <c r="E396" i="20"/>
  <c r="D396" i="20"/>
  <c r="N395" i="20"/>
  <c r="M395" i="20"/>
  <c r="F395" i="20"/>
  <c r="E395" i="20"/>
  <c r="D395" i="20"/>
  <c r="N394" i="20"/>
  <c r="M394" i="20"/>
  <c r="F394" i="20"/>
  <c r="E394" i="20"/>
  <c r="D394" i="20"/>
  <c r="N393" i="20"/>
  <c r="M393" i="20"/>
  <c r="F393" i="20"/>
  <c r="E393" i="20"/>
  <c r="D393" i="20"/>
  <c r="N392" i="20"/>
  <c r="M392" i="20"/>
  <c r="F392" i="20"/>
  <c r="E392" i="20"/>
  <c r="D392" i="20"/>
  <c r="N391" i="20"/>
  <c r="M391" i="20"/>
  <c r="F391" i="20"/>
  <c r="E391" i="20"/>
  <c r="D391" i="20"/>
  <c r="N390" i="20"/>
  <c r="M390" i="20"/>
  <c r="F390" i="20"/>
  <c r="E390" i="20"/>
  <c r="D390" i="20"/>
  <c r="N389" i="20"/>
  <c r="M389" i="20"/>
  <c r="F389" i="20"/>
  <c r="E389" i="20"/>
  <c r="D389" i="20"/>
  <c r="N388" i="20"/>
  <c r="M388" i="20"/>
  <c r="F388" i="20"/>
  <c r="E388" i="20"/>
  <c r="D388" i="20"/>
  <c r="N387" i="20"/>
  <c r="M387" i="20"/>
  <c r="F387" i="20"/>
  <c r="E387" i="20"/>
  <c r="D387" i="20"/>
  <c r="N386" i="20"/>
  <c r="M386" i="20"/>
  <c r="F386" i="20"/>
  <c r="E386" i="20"/>
  <c r="D386" i="20"/>
  <c r="N385" i="20"/>
  <c r="M385" i="20"/>
  <c r="F385" i="20"/>
  <c r="E385" i="20"/>
  <c r="D385" i="20"/>
  <c r="N384" i="20"/>
  <c r="M384" i="20"/>
  <c r="F384" i="20"/>
  <c r="E384" i="20"/>
  <c r="D384" i="20"/>
  <c r="N383" i="20"/>
  <c r="M383" i="20"/>
  <c r="F383" i="20"/>
  <c r="E383" i="20"/>
  <c r="D383" i="20"/>
  <c r="N382" i="20"/>
  <c r="M382" i="20"/>
  <c r="F382" i="20"/>
  <c r="E382" i="20"/>
  <c r="D382" i="20"/>
  <c r="N381" i="20"/>
  <c r="M381" i="20"/>
  <c r="F381" i="20"/>
  <c r="E381" i="20"/>
  <c r="D381" i="20"/>
  <c r="N380" i="20"/>
  <c r="M380" i="20"/>
  <c r="F380" i="20"/>
  <c r="E380" i="20"/>
  <c r="D380" i="20"/>
  <c r="N379" i="20"/>
  <c r="M379" i="20"/>
  <c r="F379" i="20"/>
  <c r="E379" i="20"/>
  <c r="D379" i="20"/>
  <c r="N378" i="20"/>
  <c r="M378" i="20"/>
  <c r="F378" i="20"/>
  <c r="E378" i="20"/>
  <c r="D378" i="20"/>
  <c r="N377" i="20"/>
  <c r="M377" i="20"/>
  <c r="F377" i="20"/>
  <c r="E377" i="20"/>
  <c r="D377" i="20"/>
  <c r="N376" i="20"/>
  <c r="M376" i="20"/>
  <c r="F376" i="20"/>
  <c r="E376" i="20"/>
  <c r="D376" i="20"/>
  <c r="N375" i="20"/>
  <c r="M375" i="20"/>
  <c r="F375" i="20"/>
  <c r="E375" i="20"/>
  <c r="D375" i="20"/>
  <c r="N374" i="20"/>
  <c r="M374" i="20"/>
  <c r="F374" i="20"/>
  <c r="E374" i="20"/>
  <c r="D374" i="20"/>
  <c r="N373" i="20"/>
  <c r="M373" i="20"/>
  <c r="F373" i="20"/>
  <c r="E373" i="20"/>
  <c r="D373" i="20"/>
  <c r="N372" i="20"/>
  <c r="M372" i="20"/>
  <c r="F372" i="20"/>
  <c r="E372" i="20"/>
  <c r="D372" i="20"/>
  <c r="N371" i="20"/>
  <c r="M371" i="20"/>
  <c r="F371" i="20"/>
  <c r="E371" i="20"/>
  <c r="D371" i="20"/>
  <c r="N370" i="20"/>
  <c r="M370" i="20"/>
  <c r="F370" i="20"/>
  <c r="E370" i="20"/>
  <c r="D370" i="20"/>
  <c r="N369" i="20"/>
  <c r="M369" i="20"/>
  <c r="F369" i="20"/>
  <c r="E369" i="20"/>
  <c r="D369" i="20"/>
  <c r="N368" i="20"/>
  <c r="M368" i="20"/>
  <c r="F368" i="20"/>
  <c r="E368" i="20"/>
  <c r="D368" i="20"/>
  <c r="N367" i="20"/>
  <c r="M367" i="20"/>
  <c r="F367" i="20"/>
  <c r="E367" i="20"/>
  <c r="D367" i="20"/>
  <c r="N366" i="20"/>
  <c r="M366" i="20"/>
  <c r="F366" i="20"/>
  <c r="E366" i="20"/>
  <c r="D366" i="20"/>
  <c r="N365" i="20"/>
  <c r="M365" i="20"/>
  <c r="F365" i="20"/>
  <c r="E365" i="20"/>
  <c r="D365" i="20"/>
  <c r="N364" i="20"/>
  <c r="M364" i="20"/>
  <c r="F364" i="20"/>
  <c r="E364" i="20"/>
  <c r="D364" i="20"/>
  <c r="N363" i="20"/>
  <c r="M363" i="20"/>
  <c r="F363" i="20"/>
  <c r="E363" i="20"/>
  <c r="D363" i="20"/>
  <c r="N362" i="20"/>
  <c r="M362" i="20"/>
  <c r="F362" i="20"/>
  <c r="E362" i="20"/>
  <c r="D362" i="20"/>
  <c r="N361" i="20"/>
  <c r="M361" i="20"/>
  <c r="F361" i="20"/>
  <c r="E361" i="20"/>
  <c r="D361" i="20"/>
  <c r="N360" i="20"/>
  <c r="M360" i="20"/>
  <c r="F360" i="20"/>
  <c r="E360" i="20"/>
  <c r="D360" i="20"/>
  <c r="N359" i="20"/>
  <c r="M359" i="20"/>
  <c r="F359" i="20"/>
  <c r="E359" i="20"/>
  <c r="D359" i="20"/>
  <c r="N358" i="20"/>
  <c r="M358" i="20"/>
  <c r="F358" i="20"/>
  <c r="E358" i="20"/>
  <c r="D358" i="20"/>
  <c r="N357" i="20"/>
  <c r="M357" i="20"/>
  <c r="F357" i="20"/>
  <c r="E357" i="20"/>
  <c r="D357" i="20"/>
  <c r="N356" i="20"/>
  <c r="M356" i="20"/>
  <c r="F356" i="20"/>
  <c r="E356" i="20"/>
  <c r="D356" i="20"/>
  <c r="N355" i="20"/>
  <c r="M355" i="20"/>
  <c r="F355" i="20"/>
  <c r="E355" i="20"/>
  <c r="D355" i="20"/>
  <c r="N354" i="20"/>
  <c r="M354" i="20"/>
  <c r="F354" i="20"/>
  <c r="E354" i="20"/>
  <c r="D354" i="20"/>
  <c r="N353" i="20"/>
  <c r="M353" i="20"/>
  <c r="F353" i="20"/>
  <c r="E353" i="20"/>
  <c r="D353" i="20"/>
  <c r="N352" i="20"/>
  <c r="M352" i="20"/>
  <c r="F352" i="20"/>
  <c r="E352" i="20"/>
  <c r="D352" i="20"/>
  <c r="N351" i="20"/>
  <c r="M351" i="20"/>
  <c r="F351" i="20"/>
  <c r="E351" i="20"/>
  <c r="D351" i="20"/>
  <c r="N350" i="20"/>
  <c r="M350" i="20"/>
  <c r="F350" i="20"/>
  <c r="E350" i="20"/>
  <c r="D350" i="20"/>
  <c r="N349" i="20"/>
  <c r="M349" i="20"/>
  <c r="F349" i="20"/>
  <c r="E349" i="20"/>
  <c r="D349" i="20"/>
  <c r="N348" i="20"/>
  <c r="M348" i="20"/>
  <c r="F348" i="20"/>
  <c r="E348" i="20"/>
  <c r="D348" i="20"/>
  <c r="N347" i="20"/>
  <c r="M347" i="20"/>
  <c r="F347" i="20"/>
  <c r="E347" i="20"/>
  <c r="D347" i="20"/>
  <c r="N346" i="20"/>
  <c r="M346" i="20"/>
  <c r="F346" i="20"/>
  <c r="E346" i="20"/>
  <c r="D346" i="20"/>
  <c r="N345" i="20"/>
  <c r="M345" i="20"/>
  <c r="F345" i="20"/>
  <c r="E345" i="20"/>
  <c r="D345" i="20"/>
  <c r="N344" i="20"/>
  <c r="M344" i="20"/>
  <c r="F344" i="20"/>
  <c r="E344" i="20"/>
  <c r="D344" i="20"/>
  <c r="N343" i="20"/>
  <c r="M343" i="20"/>
  <c r="F343" i="20"/>
  <c r="E343" i="20"/>
  <c r="D343" i="20"/>
  <c r="N342" i="20"/>
  <c r="M342" i="20"/>
  <c r="F342" i="20"/>
  <c r="E342" i="20"/>
  <c r="D342" i="20"/>
  <c r="N341" i="20"/>
  <c r="M341" i="20"/>
  <c r="F341" i="20"/>
  <c r="E341" i="20"/>
  <c r="D341" i="20"/>
  <c r="N340" i="20"/>
  <c r="M340" i="20"/>
  <c r="F340" i="20"/>
  <c r="E340" i="20"/>
  <c r="D340" i="20"/>
  <c r="N339" i="20"/>
  <c r="M339" i="20"/>
  <c r="F339" i="20"/>
  <c r="E339" i="20"/>
  <c r="D339" i="20"/>
  <c r="N338" i="20"/>
  <c r="M338" i="20"/>
  <c r="F338" i="20"/>
  <c r="E338" i="20"/>
  <c r="D338" i="20"/>
  <c r="N337" i="20"/>
  <c r="M337" i="20"/>
  <c r="F337" i="20"/>
  <c r="E337" i="20"/>
  <c r="D337" i="20"/>
  <c r="N336" i="20"/>
  <c r="M336" i="20"/>
  <c r="F336" i="20"/>
  <c r="E336" i="20"/>
  <c r="D336" i="20"/>
  <c r="N335" i="20"/>
  <c r="M335" i="20"/>
  <c r="F335" i="20"/>
  <c r="E335" i="20"/>
  <c r="D335" i="20"/>
  <c r="N334" i="20"/>
  <c r="M334" i="20"/>
  <c r="F334" i="20"/>
  <c r="E334" i="20"/>
  <c r="D334" i="20"/>
  <c r="N333" i="20"/>
  <c r="M333" i="20"/>
  <c r="F333" i="20"/>
  <c r="E333" i="20"/>
  <c r="D333" i="20"/>
  <c r="N332" i="20"/>
  <c r="M332" i="20"/>
  <c r="F332" i="20"/>
  <c r="E332" i="20"/>
  <c r="D332" i="20"/>
  <c r="N331" i="20"/>
  <c r="M331" i="20"/>
  <c r="F331" i="20"/>
  <c r="E331" i="20"/>
  <c r="D331" i="20"/>
  <c r="N330" i="20"/>
  <c r="M330" i="20"/>
  <c r="F330" i="20"/>
  <c r="E330" i="20"/>
  <c r="D330" i="20"/>
  <c r="N329" i="20"/>
  <c r="M329" i="20"/>
  <c r="F329" i="20"/>
  <c r="E329" i="20"/>
  <c r="D329" i="20"/>
  <c r="N328" i="20"/>
  <c r="M328" i="20"/>
  <c r="F328" i="20"/>
  <c r="E328" i="20"/>
  <c r="D328" i="20"/>
  <c r="N327" i="20"/>
  <c r="M327" i="20"/>
  <c r="F327" i="20"/>
  <c r="E327" i="20"/>
  <c r="D327" i="20"/>
  <c r="N326" i="20"/>
  <c r="M326" i="20"/>
  <c r="F326" i="20"/>
  <c r="E326" i="20"/>
  <c r="D326" i="20"/>
  <c r="N325" i="20"/>
  <c r="M325" i="20"/>
  <c r="F325" i="20"/>
  <c r="E325" i="20"/>
  <c r="D325" i="20"/>
  <c r="N324" i="20"/>
  <c r="M324" i="20"/>
  <c r="F324" i="20"/>
  <c r="E324" i="20"/>
  <c r="D324" i="20"/>
  <c r="N323" i="20"/>
  <c r="M323" i="20"/>
  <c r="F323" i="20"/>
  <c r="E323" i="20"/>
  <c r="D323" i="20"/>
  <c r="N322" i="20"/>
  <c r="M322" i="20"/>
  <c r="F322" i="20"/>
  <c r="E322" i="20"/>
  <c r="D322" i="20"/>
  <c r="N321" i="20"/>
  <c r="M321" i="20"/>
  <c r="F321" i="20"/>
  <c r="E321" i="20"/>
  <c r="D321" i="20"/>
  <c r="N320" i="20"/>
  <c r="M320" i="20"/>
  <c r="F320" i="20"/>
  <c r="E320" i="20"/>
  <c r="D320" i="20"/>
  <c r="N319" i="20"/>
  <c r="M319" i="20"/>
  <c r="F319" i="20"/>
  <c r="E319" i="20"/>
  <c r="D319" i="20"/>
  <c r="N318" i="20"/>
  <c r="M318" i="20"/>
  <c r="F318" i="20"/>
  <c r="E318" i="20"/>
  <c r="D318" i="20"/>
  <c r="N317" i="20"/>
  <c r="M317" i="20"/>
  <c r="F317" i="20"/>
  <c r="E317" i="20"/>
  <c r="D317" i="20"/>
  <c r="N316" i="20"/>
  <c r="M316" i="20"/>
  <c r="F316" i="20"/>
  <c r="E316" i="20"/>
  <c r="D316" i="20"/>
  <c r="N315" i="20"/>
  <c r="M315" i="20"/>
  <c r="F315" i="20"/>
  <c r="E315" i="20"/>
  <c r="D315" i="20"/>
  <c r="N314" i="20"/>
  <c r="M314" i="20"/>
  <c r="F314" i="20"/>
  <c r="E314" i="20"/>
  <c r="D314" i="20"/>
  <c r="N313" i="20"/>
  <c r="M313" i="20"/>
  <c r="F313" i="20"/>
  <c r="E313" i="20"/>
  <c r="D313" i="20"/>
  <c r="N312" i="20"/>
  <c r="M312" i="20"/>
  <c r="F312" i="20"/>
  <c r="E312" i="20"/>
  <c r="D312" i="20"/>
  <c r="N311" i="20"/>
  <c r="M311" i="20"/>
  <c r="F311" i="20"/>
  <c r="E311" i="20"/>
  <c r="D311" i="20"/>
  <c r="N310" i="20"/>
  <c r="M310" i="20"/>
  <c r="F310" i="20"/>
  <c r="E310" i="20"/>
  <c r="D310" i="20"/>
  <c r="N309" i="20"/>
  <c r="M309" i="20"/>
  <c r="F309" i="20"/>
  <c r="E309" i="20"/>
  <c r="D309" i="20"/>
  <c r="N308" i="20"/>
  <c r="M308" i="20"/>
  <c r="F308" i="20"/>
  <c r="E308" i="20"/>
  <c r="D308" i="20"/>
  <c r="N307" i="20"/>
  <c r="M307" i="20"/>
  <c r="F307" i="20"/>
  <c r="E307" i="20"/>
  <c r="D307" i="20"/>
  <c r="N306" i="20"/>
  <c r="M306" i="20"/>
  <c r="F306" i="20"/>
  <c r="E306" i="20"/>
  <c r="D306" i="20"/>
  <c r="N305" i="20"/>
  <c r="M305" i="20"/>
  <c r="F305" i="20"/>
  <c r="E305" i="20"/>
  <c r="D305" i="20"/>
  <c r="N304" i="20"/>
  <c r="M304" i="20"/>
  <c r="F304" i="20"/>
  <c r="E304" i="20"/>
  <c r="D304" i="20"/>
  <c r="N303" i="20"/>
  <c r="M303" i="20"/>
  <c r="F303" i="20"/>
  <c r="E303" i="20"/>
  <c r="D303" i="20"/>
  <c r="N302" i="20"/>
  <c r="M302" i="20"/>
  <c r="F302" i="20"/>
  <c r="E302" i="20"/>
  <c r="D302" i="20"/>
  <c r="N301" i="20"/>
  <c r="M301" i="20"/>
  <c r="F301" i="20"/>
  <c r="E301" i="20"/>
  <c r="D301" i="20"/>
  <c r="N300" i="20"/>
  <c r="M300" i="20"/>
  <c r="F300" i="20"/>
  <c r="E300" i="20"/>
  <c r="D300" i="20"/>
  <c r="N299" i="20"/>
  <c r="M299" i="20"/>
  <c r="F299" i="20"/>
  <c r="E299" i="20"/>
  <c r="D299" i="20"/>
  <c r="N298" i="20"/>
  <c r="M298" i="20"/>
  <c r="F298" i="20"/>
  <c r="E298" i="20"/>
  <c r="D298" i="20"/>
  <c r="N297" i="20"/>
  <c r="M297" i="20"/>
  <c r="F297" i="20"/>
  <c r="E297" i="20"/>
  <c r="D297" i="20"/>
  <c r="N296" i="20"/>
  <c r="M296" i="20"/>
  <c r="F296" i="20"/>
  <c r="E296" i="20"/>
  <c r="D296" i="20"/>
  <c r="N295" i="20"/>
  <c r="M295" i="20"/>
  <c r="F295" i="20"/>
  <c r="E295" i="20"/>
  <c r="D295" i="20"/>
  <c r="N294" i="20"/>
  <c r="M294" i="20"/>
  <c r="F294" i="20"/>
  <c r="E294" i="20"/>
  <c r="D294" i="20"/>
  <c r="N293" i="20"/>
  <c r="M293" i="20"/>
  <c r="F293" i="20"/>
  <c r="E293" i="20"/>
  <c r="D293" i="20"/>
  <c r="N292" i="20"/>
  <c r="M292" i="20"/>
  <c r="F292" i="20"/>
  <c r="E292" i="20"/>
  <c r="D292" i="20"/>
  <c r="N291" i="20"/>
  <c r="M291" i="20"/>
  <c r="F291" i="20"/>
  <c r="E291" i="20"/>
  <c r="D291" i="20"/>
  <c r="N290" i="20"/>
  <c r="M290" i="20"/>
  <c r="F290" i="20"/>
  <c r="E290" i="20"/>
  <c r="D290" i="20"/>
  <c r="N289" i="20"/>
  <c r="M289" i="20"/>
  <c r="F289" i="20"/>
  <c r="E289" i="20"/>
  <c r="D289" i="20"/>
  <c r="N288" i="20"/>
  <c r="M288" i="20"/>
  <c r="F288" i="20"/>
  <c r="E288" i="20"/>
  <c r="D288" i="20"/>
  <c r="N287" i="20"/>
  <c r="M287" i="20"/>
  <c r="F287" i="20"/>
  <c r="E287" i="20"/>
  <c r="D287" i="20"/>
  <c r="N286" i="20"/>
  <c r="M286" i="20"/>
  <c r="F286" i="20"/>
  <c r="E286" i="20"/>
  <c r="D286" i="20"/>
  <c r="N285" i="20"/>
  <c r="M285" i="20"/>
  <c r="F285" i="20"/>
  <c r="E285" i="20"/>
  <c r="D285" i="20"/>
  <c r="N284" i="20"/>
  <c r="M284" i="20"/>
  <c r="F284" i="20"/>
  <c r="E284" i="20"/>
  <c r="D284" i="20"/>
  <c r="N283" i="20"/>
  <c r="M283" i="20"/>
  <c r="F283" i="20"/>
  <c r="E283" i="20"/>
  <c r="D283" i="20"/>
  <c r="N282" i="20"/>
  <c r="M282" i="20"/>
  <c r="F282" i="20"/>
  <c r="E282" i="20"/>
  <c r="D282" i="20"/>
  <c r="N281" i="20"/>
  <c r="M281" i="20"/>
  <c r="F281" i="20"/>
  <c r="E281" i="20"/>
  <c r="D281" i="20"/>
  <c r="N280" i="20"/>
  <c r="M280" i="20"/>
  <c r="F280" i="20"/>
  <c r="E280" i="20"/>
  <c r="D280" i="20"/>
  <c r="N279" i="20"/>
  <c r="M279" i="20"/>
  <c r="F279" i="20"/>
  <c r="E279" i="20"/>
  <c r="D279" i="20"/>
  <c r="N278" i="20"/>
  <c r="M278" i="20"/>
  <c r="F278" i="20"/>
  <c r="E278" i="20"/>
  <c r="D278" i="20"/>
  <c r="N277" i="20"/>
  <c r="M277" i="20"/>
  <c r="F277" i="20"/>
  <c r="E277" i="20"/>
  <c r="D277" i="20"/>
  <c r="N276" i="20"/>
  <c r="M276" i="20"/>
  <c r="F276" i="20"/>
  <c r="E276" i="20"/>
  <c r="D276" i="20"/>
  <c r="N275" i="20"/>
  <c r="M275" i="20"/>
  <c r="F275" i="20"/>
  <c r="E275" i="20"/>
  <c r="D275" i="20"/>
  <c r="N274" i="20"/>
  <c r="M274" i="20"/>
  <c r="F274" i="20"/>
  <c r="E274" i="20"/>
  <c r="D274" i="20"/>
  <c r="N273" i="20"/>
  <c r="M273" i="20"/>
  <c r="F273" i="20"/>
  <c r="E273" i="20"/>
  <c r="D273" i="20"/>
  <c r="N272" i="20"/>
  <c r="M272" i="20"/>
  <c r="F272" i="20"/>
  <c r="E272" i="20"/>
  <c r="D272" i="20"/>
  <c r="N271" i="20"/>
  <c r="M271" i="20"/>
  <c r="F271" i="20"/>
  <c r="E271" i="20"/>
  <c r="D271" i="20"/>
  <c r="N270" i="20"/>
  <c r="M270" i="20"/>
  <c r="F270" i="20"/>
  <c r="E270" i="20"/>
  <c r="D270" i="20"/>
  <c r="N269" i="20"/>
  <c r="M269" i="20"/>
  <c r="F269" i="20"/>
  <c r="E269" i="20"/>
  <c r="D269" i="20"/>
  <c r="N268" i="20"/>
  <c r="M268" i="20"/>
  <c r="F268" i="20"/>
  <c r="E268" i="20"/>
  <c r="D268" i="20"/>
  <c r="N267" i="20"/>
  <c r="M267" i="20"/>
  <c r="F267" i="20"/>
  <c r="E267" i="20"/>
  <c r="D267" i="20"/>
  <c r="N266" i="20"/>
  <c r="M266" i="20"/>
  <c r="F266" i="20"/>
  <c r="E266" i="20"/>
  <c r="D266" i="20"/>
  <c r="N265" i="20"/>
  <c r="M265" i="20"/>
  <c r="F265" i="20"/>
  <c r="E265" i="20"/>
  <c r="D265" i="20"/>
  <c r="N264" i="20"/>
  <c r="M264" i="20"/>
  <c r="F264" i="20"/>
  <c r="E264" i="20"/>
  <c r="D264" i="20"/>
  <c r="N263" i="20"/>
  <c r="M263" i="20"/>
  <c r="F263" i="20"/>
  <c r="E263" i="20"/>
  <c r="D263" i="20"/>
  <c r="N262" i="20"/>
  <c r="M262" i="20"/>
  <c r="F262" i="20"/>
  <c r="E262" i="20"/>
  <c r="D262" i="20"/>
  <c r="N261" i="20"/>
  <c r="M261" i="20"/>
  <c r="F261" i="20"/>
  <c r="E261" i="20"/>
  <c r="D261" i="20"/>
  <c r="N260" i="20"/>
  <c r="M260" i="20"/>
  <c r="F260" i="20"/>
  <c r="E260" i="20"/>
  <c r="D260" i="20"/>
  <c r="N259" i="20"/>
  <c r="M259" i="20"/>
  <c r="F259" i="20"/>
  <c r="E259" i="20"/>
  <c r="D259" i="20"/>
  <c r="N258" i="20"/>
  <c r="M258" i="20"/>
  <c r="F258" i="20"/>
  <c r="E258" i="20"/>
  <c r="D258" i="20"/>
  <c r="N257" i="20"/>
  <c r="M257" i="20"/>
  <c r="F257" i="20"/>
  <c r="E257" i="20"/>
  <c r="D257" i="20"/>
  <c r="N256" i="20"/>
  <c r="M256" i="20"/>
  <c r="F256" i="20"/>
  <c r="E256" i="20"/>
  <c r="D256" i="20"/>
  <c r="N255" i="20"/>
  <c r="M255" i="20"/>
  <c r="F255" i="20"/>
  <c r="E255" i="20"/>
  <c r="D255" i="20"/>
  <c r="N254" i="20"/>
  <c r="M254" i="20"/>
  <c r="F254" i="20"/>
  <c r="E254" i="20"/>
  <c r="D254" i="20"/>
  <c r="N253" i="20"/>
  <c r="M253" i="20"/>
  <c r="F253" i="20"/>
  <c r="E253" i="20"/>
  <c r="D253" i="20"/>
  <c r="N252" i="20"/>
  <c r="M252" i="20"/>
  <c r="F252" i="20"/>
  <c r="E252" i="20"/>
  <c r="D252" i="20"/>
  <c r="N251" i="20"/>
  <c r="M251" i="20"/>
  <c r="F251" i="20"/>
  <c r="E251" i="20"/>
  <c r="D251" i="20"/>
  <c r="N250" i="20"/>
  <c r="M250" i="20"/>
  <c r="F250" i="20"/>
  <c r="E250" i="20"/>
  <c r="D250" i="20"/>
  <c r="N249" i="20"/>
  <c r="M249" i="20"/>
  <c r="F249" i="20"/>
  <c r="E249" i="20"/>
  <c r="D249" i="20"/>
  <c r="N248" i="20"/>
  <c r="M248" i="20"/>
  <c r="F248" i="20"/>
  <c r="E248" i="20"/>
  <c r="D248" i="20"/>
  <c r="N247" i="20"/>
  <c r="M247" i="20"/>
  <c r="F247" i="20"/>
  <c r="E247" i="20"/>
  <c r="D247" i="20"/>
  <c r="N246" i="20"/>
  <c r="M246" i="20"/>
  <c r="F246" i="20"/>
  <c r="E246" i="20"/>
  <c r="D246" i="20"/>
  <c r="N245" i="20"/>
  <c r="M245" i="20"/>
  <c r="F245" i="20"/>
  <c r="E245" i="20"/>
  <c r="D245" i="20"/>
  <c r="N244" i="20"/>
  <c r="M244" i="20"/>
  <c r="F244" i="20"/>
  <c r="E244" i="20"/>
  <c r="D244" i="20"/>
  <c r="N243" i="20"/>
  <c r="M243" i="20"/>
  <c r="F243" i="20"/>
  <c r="E243" i="20"/>
  <c r="D243" i="20"/>
  <c r="N242" i="20"/>
  <c r="M242" i="20"/>
  <c r="F242" i="20"/>
  <c r="E242" i="20"/>
  <c r="D242" i="20"/>
  <c r="N241" i="20"/>
  <c r="M241" i="20"/>
  <c r="F241" i="20"/>
  <c r="E241" i="20"/>
  <c r="D241" i="20"/>
  <c r="N240" i="20"/>
  <c r="M240" i="20"/>
  <c r="F240" i="20"/>
  <c r="E240" i="20"/>
  <c r="D240" i="20"/>
  <c r="N239" i="20"/>
  <c r="M239" i="20"/>
  <c r="F239" i="20"/>
  <c r="E239" i="20"/>
  <c r="D239" i="20"/>
  <c r="N238" i="20"/>
  <c r="M238" i="20"/>
  <c r="F238" i="20"/>
  <c r="E238" i="20"/>
  <c r="D238" i="20"/>
  <c r="N237" i="20"/>
  <c r="M237" i="20"/>
  <c r="F237" i="20"/>
  <c r="E237" i="20"/>
  <c r="D237" i="20"/>
  <c r="N236" i="20"/>
  <c r="M236" i="20"/>
  <c r="F236" i="20"/>
  <c r="E236" i="20"/>
  <c r="D236" i="20"/>
  <c r="N235" i="20"/>
  <c r="M235" i="20"/>
  <c r="F235" i="20"/>
  <c r="E235" i="20"/>
  <c r="D235" i="20"/>
  <c r="N234" i="20"/>
  <c r="M234" i="20"/>
  <c r="F234" i="20"/>
  <c r="E234" i="20"/>
  <c r="D234" i="20"/>
  <c r="N233" i="20"/>
  <c r="M233" i="20"/>
  <c r="F233" i="20"/>
  <c r="E233" i="20"/>
  <c r="D233" i="20"/>
  <c r="N232" i="20"/>
  <c r="M232" i="20"/>
  <c r="F232" i="20"/>
  <c r="E232" i="20"/>
  <c r="D232" i="20"/>
  <c r="N231" i="20"/>
  <c r="M231" i="20"/>
  <c r="F231" i="20"/>
  <c r="E231" i="20"/>
  <c r="D231" i="20"/>
  <c r="N230" i="20"/>
  <c r="M230" i="20"/>
  <c r="F230" i="20"/>
  <c r="E230" i="20"/>
  <c r="D230" i="20"/>
  <c r="N229" i="20"/>
  <c r="M229" i="20"/>
  <c r="F229" i="20"/>
  <c r="E229" i="20"/>
  <c r="D229" i="20"/>
  <c r="N228" i="20"/>
  <c r="M228" i="20"/>
  <c r="F228" i="20"/>
  <c r="E228" i="20"/>
  <c r="D228" i="20"/>
  <c r="N227" i="20"/>
  <c r="M227" i="20"/>
  <c r="F227" i="20"/>
  <c r="E227" i="20"/>
  <c r="D227" i="20"/>
  <c r="N226" i="20"/>
  <c r="M226" i="20"/>
  <c r="F226" i="20"/>
  <c r="E226" i="20"/>
  <c r="D226" i="20"/>
  <c r="N225" i="20"/>
  <c r="M225" i="20"/>
  <c r="F225" i="20"/>
  <c r="E225" i="20"/>
  <c r="D225" i="20"/>
  <c r="N224" i="20"/>
  <c r="M224" i="20"/>
  <c r="F224" i="20"/>
  <c r="E224" i="20"/>
  <c r="D224" i="20"/>
  <c r="N223" i="20"/>
  <c r="M223" i="20"/>
  <c r="F223" i="20"/>
  <c r="E223" i="20"/>
  <c r="D223" i="20"/>
  <c r="N222" i="20"/>
  <c r="M222" i="20"/>
  <c r="F222" i="20"/>
  <c r="E222" i="20"/>
  <c r="D222" i="20"/>
  <c r="N221" i="20"/>
  <c r="M221" i="20"/>
  <c r="F221" i="20"/>
  <c r="E221" i="20"/>
  <c r="D221" i="20"/>
  <c r="N220" i="20"/>
  <c r="M220" i="20"/>
  <c r="F220" i="20"/>
  <c r="E220" i="20"/>
  <c r="D220" i="20"/>
  <c r="N219" i="20"/>
  <c r="M219" i="20"/>
  <c r="F219" i="20"/>
  <c r="E219" i="20"/>
  <c r="D219" i="20"/>
  <c r="N218" i="20"/>
  <c r="M218" i="20"/>
  <c r="F218" i="20"/>
  <c r="E218" i="20"/>
  <c r="D218" i="20"/>
  <c r="N217" i="20"/>
  <c r="M217" i="20"/>
  <c r="F217" i="20"/>
  <c r="E217" i="20"/>
  <c r="D217" i="20"/>
  <c r="N216" i="20"/>
  <c r="M216" i="20"/>
  <c r="F216" i="20"/>
  <c r="E216" i="20"/>
  <c r="D216" i="20"/>
  <c r="N215" i="20"/>
  <c r="M215" i="20"/>
  <c r="F215" i="20"/>
  <c r="E215" i="20"/>
  <c r="D215" i="20"/>
  <c r="N214" i="20"/>
  <c r="M214" i="20"/>
  <c r="F214" i="20"/>
  <c r="E214" i="20"/>
  <c r="D214" i="20"/>
  <c r="N213" i="20"/>
  <c r="M213" i="20"/>
  <c r="F213" i="20"/>
  <c r="E213" i="20"/>
  <c r="D213" i="20"/>
  <c r="N212" i="20"/>
  <c r="M212" i="20"/>
  <c r="F212" i="20"/>
  <c r="E212" i="20"/>
  <c r="D212" i="20"/>
  <c r="N211" i="20"/>
  <c r="M211" i="20"/>
  <c r="F211" i="20"/>
  <c r="E211" i="20"/>
  <c r="D211" i="20"/>
  <c r="N210" i="20"/>
  <c r="M210" i="20"/>
  <c r="F210" i="20"/>
  <c r="E210" i="20"/>
  <c r="D210" i="20"/>
  <c r="N209" i="20"/>
  <c r="M209" i="20"/>
  <c r="F209" i="20"/>
  <c r="E209" i="20"/>
  <c r="D209" i="20"/>
  <c r="N208" i="20"/>
  <c r="M208" i="20"/>
  <c r="F208" i="20"/>
  <c r="E208" i="20"/>
  <c r="D208" i="20"/>
  <c r="N207" i="20"/>
  <c r="M207" i="20"/>
  <c r="F207" i="20"/>
  <c r="E207" i="20"/>
  <c r="D207" i="20"/>
  <c r="N206" i="20"/>
  <c r="M206" i="20"/>
  <c r="F206" i="20"/>
  <c r="E206" i="20"/>
  <c r="D206" i="20"/>
  <c r="N205" i="20"/>
  <c r="M205" i="20"/>
  <c r="F205" i="20"/>
  <c r="E205" i="20"/>
  <c r="D205" i="20"/>
  <c r="N204" i="20"/>
  <c r="M204" i="20"/>
  <c r="F204" i="20"/>
  <c r="E204" i="20"/>
  <c r="D204" i="20"/>
  <c r="N203" i="20"/>
  <c r="M203" i="20"/>
  <c r="F203" i="20"/>
  <c r="E203" i="20"/>
  <c r="D203" i="20"/>
  <c r="N202" i="20"/>
  <c r="M202" i="20"/>
  <c r="F202" i="20"/>
  <c r="E202" i="20"/>
  <c r="D202" i="20"/>
  <c r="N201" i="20"/>
  <c r="M201" i="20"/>
  <c r="F201" i="20"/>
  <c r="E201" i="20"/>
  <c r="D201" i="20"/>
  <c r="N200" i="20"/>
  <c r="M200" i="20"/>
  <c r="F200" i="20"/>
  <c r="E200" i="20"/>
  <c r="D200" i="20"/>
  <c r="N199" i="20"/>
  <c r="M199" i="20"/>
  <c r="F199" i="20"/>
  <c r="E199" i="20"/>
  <c r="D199" i="20"/>
  <c r="N198" i="20"/>
  <c r="M198" i="20"/>
  <c r="F198" i="20"/>
  <c r="E198" i="20"/>
  <c r="D198" i="20"/>
  <c r="N197" i="20"/>
  <c r="M197" i="20"/>
  <c r="F197" i="20"/>
  <c r="E197" i="20"/>
  <c r="D197" i="20"/>
  <c r="N196" i="20"/>
  <c r="M196" i="20"/>
  <c r="F196" i="20"/>
  <c r="E196" i="20"/>
  <c r="D196" i="20"/>
  <c r="N195" i="20"/>
  <c r="M195" i="20"/>
  <c r="F195" i="20"/>
  <c r="E195" i="20"/>
  <c r="D195" i="20"/>
  <c r="N194" i="20"/>
  <c r="M194" i="20"/>
  <c r="F194" i="20"/>
  <c r="E194" i="20"/>
  <c r="D194" i="20"/>
  <c r="N193" i="20"/>
  <c r="M193" i="20"/>
  <c r="F193" i="20"/>
  <c r="E193" i="20"/>
  <c r="D193" i="20"/>
  <c r="N192" i="20"/>
  <c r="M192" i="20"/>
  <c r="F192" i="20"/>
  <c r="E192" i="20"/>
  <c r="D192" i="20"/>
  <c r="N191" i="20"/>
  <c r="M191" i="20"/>
  <c r="F191" i="20"/>
  <c r="E191" i="20"/>
  <c r="D191" i="20"/>
  <c r="N190" i="20"/>
  <c r="M190" i="20"/>
  <c r="F190" i="20"/>
  <c r="E190" i="20"/>
  <c r="D190" i="20"/>
  <c r="N189" i="20"/>
  <c r="M189" i="20"/>
  <c r="F189" i="20"/>
  <c r="E189" i="20"/>
  <c r="D189" i="20"/>
  <c r="N188" i="20"/>
  <c r="M188" i="20"/>
  <c r="F188" i="20"/>
  <c r="E188" i="20"/>
  <c r="D188" i="20"/>
  <c r="N187" i="20"/>
  <c r="M187" i="20"/>
  <c r="F187" i="20"/>
  <c r="E187" i="20"/>
  <c r="D187" i="20"/>
  <c r="N186" i="20"/>
  <c r="M186" i="20"/>
  <c r="F186" i="20"/>
  <c r="E186" i="20"/>
  <c r="D186" i="20"/>
  <c r="N185" i="20"/>
  <c r="M185" i="20"/>
  <c r="F185" i="20"/>
  <c r="E185" i="20"/>
  <c r="D185" i="20"/>
  <c r="N184" i="20"/>
  <c r="M184" i="20"/>
  <c r="F184" i="20"/>
  <c r="E184" i="20"/>
  <c r="D184" i="20"/>
  <c r="N183" i="20"/>
  <c r="M183" i="20"/>
  <c r="F183" i="20"/>
  <c r="E183" i="20"/>
  <c r="D183" i="20"/>
  <c r="N182" i="20"/>
  <c r="M182" i="20"/>
  <c r="F182" i="20"/>
  <c r="E182" i="20"/>
  <c r="D182" i="20"/>
  <c r="N181" i="20"/>
  <c r="M181" i="20"/>
  <c r="F181" i="20"/>
  <c r="E181" i="20"/>
  <c r="D181" i="20"/>
  <c r="N180" i="20"/>
  <c r="M180" i="20"/>
  <c r="F180" i="20"/>
  <c r="E180" i="20"/>
  <c r="D180" i="20"/>
  <c r="N179" i="20"/>
  <c r="M179" i="20"/>
  <c r="F179" i="20"/>
  <c r="E179" i="20"/>
  <c r="D179" i="20"/>
  <c r="N178" i="20"/>
  <c r="M178" i="20"/>
  <c r="F178" i="20"/>
  <c r="E178" i="20"/>
  <c r="D178" i="20"/>
  <c r="N177" i="20"/>
  <c r="M177" i="20"/>
  <c r="F177" i="20"/>
  <c r="E177" i="20"/>
  <c r="D177" i="20"/>
  <c r="N176" i="20"/>
  <c r="M176" i="20"/>
  <c r="F176" i="20"/>
  <c r="E176" i="20"/>
  <c r="D176" i="20"/>
  <c r="N175" i="20"/>
  <c r="M175" i="20"/>
  <c r="F175" i="20"/>
  <c r="E175" i="20"/>
  <c r="D175" i="20"/>
  <c r="N174" i="20"/>
  <c r="M174" i="20"/>
  <c r="F174" i="20"/>
  <c r="E174" i="20"/>
  <c r="D174" i="20"/>
  <c r="N173" i="20"/>
  <c r="M173" i="20"/>
  <c r="F173" i="20"/>
  <c r="E173" i="20"/>
  <c r="D173" i="20"/>
  <c r="N172" i="20"/>
  <c r="M172" i="20"/>
  <c r="F172" i="20"/>
  <c r="E172" i="20"/>
  <c r="D172" i="20"/>
  <c r="N171" i="20"/>
  <c r="M171" i="20"/>
  <c r="F171" i="20"/>
  <c r="E171" i="20"/>
  <c r="D171" i="20"/>
  <c r="N170" i="20"/>
  <c r="M170" i="20"/>
  <c r="F170" i="20"/>
  <c r="E170" i="20"/>
  <c r="D170" i="20"/>
  <c r="N169" i="20"/>
  <c r="M169" i="20"/>
  <c r="F169" i="20"/>
  <c r="E169" i="20"/>
  <c r="D169" i="20"/>
  <c r="N168" i="20"/>
  <c r="M168" i="20"/>
  <c r="F168" i="20"/>
  <c r="E168" i="20"/>
  <c r="D168" i="20"/>
  <c r="N167" i="20"/>
  <c r="M167" i="20"/>
  <c r="F167" i="20"/>
  <c r="E167" i="20"/>
  <c r="D167" i="20"/>
  <c r="N166" i="20"/>
  <c r="M166" i="20"/>
  <c r="F166" i="20"/>
  <c r="E166" i="20"/>
  <c r="D166" i="20"/>
  <c r="N165" i="20"/>
  <c r="M165" i="20"/>
  <c r="F165" i="20"/>
  <c r="E165" i="20"/>
  <c r="D165" i="20"/>
  <c r="N164" i="20"/>
  <c r="M164" i="20"/>
  <c r="F164" i="20"/>
  <c r="E164" i="20"/>
  <c r="D164" i="20"/>
  <c r="N163" i="20"/>
  <c r="M163" i="20"/>
  <c r="F163" i="20"/>
  <c r="E163" i="20"/>
  <c r="D163" i="20"/>
  <c r="N162" i="20"/>
  <c r="M162" i="20"/>
  <c r="F162" i="20"/>
  <c r="E162" i="20"/>
  <c r="D162" i="20"/>
  <c r="N161" i="20"/>
  <c r="M161" i="20"/>
  <c r="F161" i="20"/>
  <c r="E161" i="20"/>
  <c r="D161" i="20"/>
  <c r="N160" i="20"/>
  <c r="M160" i="20"/>
  <c r="F160" i="20"/>
  <c r="E160" i="20"/>
  <c r="D160" i="20"/>
  <c r="N159" i="20"/>
  <c r="M159" i="20"/>
  <c r="F159" i="20"/>
  <c r="E159" i="20"/>
  <c r="D159" i="20"/>
  <c r="N158" i="20"/>
  <c r="M158" i="20"/>
  <c r="F158" i="20"/>
  <c r="E158" i="20"/>
  <c r="D158" i="20"/>
  <c r="N157" i="20"/>
  <c r="M157" i="20"/>
  <c r="F157" i="20"/>
  <c r="E157" i="20"/>
  <c r="D157" i="20"/>
  <c r="N156" i="20"/>
  <c r="M156" i="20"/>
  <c r="F156" i="20"/>
  <c r="E156" i="20"/>
  <c r="D156" i="20"/>
  <c r="N155" i="20"/>
  <c r="M155" i="20"/>
  <c r="F155" i="20"/>
  <c r="E155" i="20"/>
  <c r="D155" i="20"/>
  <c r="N154" i="20"/>
  <c r="M154" i="20"/>
  <c r="F154" i="20"/>
  <c r="E154" i="20"/>
  <c r="D154" i="20"/>
  <c r="N153" i="20"/>
  <c r="M153" i="20"/>
  <c r="F153" i="20"/>
  <c r="E153" i="20"/>
  <c r="D153" i="20"/>
  <c r="N152" i="20"/>
  <c r="M152" i="20"/>
  <c r="F152" i="20"/>
  <c r="E152" i="20"/>
  <c r="D152" i="20"/>
  <c r="N151" i="20"/>
  <c r="M151" i="20"/>
  <c r="F151" i="20"/>
  <c r="E151" i="20"/>
  <c r="D151" i="20"/>
  <c r="N150" i="20"/>
  <c r="M150" i="20"/>
  <c r="F150" i="20"/>
  <c r="E150" i="20"/>
  <c r="D150" i="20"/>
  <c r="N149" i="20"/>
  <c r="M149" i="20"/>
  <c r="F149" i="20"/>
  <c r="E149" i="20"/>
  <c r="D149" i="20"/>
  <c r="N148" i="20"/>
  <c r="M148" i="20"/>
  <c r="F148" i="20"/>
  <c r="E148" i="20"/>
  <c r="D148" i="20"/>
  <c r="N147" i="20"/>
  <c r="M147" i="20"/>
  <c r="F147" i="20"/>
  <c r="E147" i="20"/>
  <c r="D147" i="20"/>
  <c r="N146" i="20"/>
  <c r="M146" i="20"/>
  <c r="F146" i="20"/>
  <c r="E146" i="20"/>
  <c r="D146" i="20"/>
  <c r="N145" i="20"/>
  <c r="M145" i="20"/>
  <c r="F145" i="20"/>
  <c r="E145" i="20"/>
  <c r="D145" i="20"/>
  <c r="N144" i="20"/>
  <c r="M144" i="20"/>
  <c r="F144" i="20"/>
  <c r="E144" i="20"/>
  <c r="D144" i="20"/>
  <c r="N143" i="20"/>
  <c r="M143" i="20"/>
  <c r="F143" i="20"/>
  <c r="E143" i="20"/>
  <c r="D143" i="20"/>
  <c r="N142" i="20"/>
  <c r="M142" i="20"/>
  <c r="F142" i="20"/>
  <c r="E142" i="20"/>
  <c r="D142" i="20"/>
  <c r="N141" i="20"/>
  <c r="M141" i="20"/>
  <c r="F141" i="20"/>
  <c r="E141" i="20"/>
  <c r="D141" i="20"/>
  <c r="N140" i="20"/>
  <c r="M140" i="20"/>
  <c r="F140" i="20"/>
  <c r="E140" i="20"/>
  <c r="D140" i="20"/>
  <c r="N139" i="20"/>
  <c r="M139" i="20"/>
  <c r="F139" i="20"/>
  <c r="E139" i="20"/>
  <c r="D139" i="20"/>
  <c r="N138" i="20"/>
  <c r="M138" i="20"/>
  <c r="F138" i="20"/>
  <c r="E138" i="20"/>
  <c r="D138" i="20"/>
  <c r="N137" i="20"/>
  <c r="M137" i="20"/>
  <c r="F137" i="20"/>
  <c r="E137" i="20"/>
  <c r="D137" i="20"/>
  <c r="N136" i="20"/>
  <c r="M136" i="20"/>
  <c r="F136" i="20"/>
  <c r="E136" i="20"/>
  <c r="D136" i="20"/>
  <c r="N135" i="20"/>
  <c r="M135" i="20"/>
  <c r="F135" i="20"/>
  <c r="E135" i="20"/>
  <c r="D135" i="20"/>
  <c r="N134" i="20"/>
  <c r="M134" i="20"/>
  <c r="F134" i="20"/>
  <c r="E134" i="20"/>
  <c r="D134" i="20"/>
  <c r="N133" i="20"/>
  <c r="M133" i="20"/>
  <c r="F133" i="20"/>
  <c r="E133" i="20"/>
  <c r="D133" i="20"/>
  <c r="N132" i="20"/>
  <c r="M132" i="20"/>
  <c r="F132" i="20"/>
  <c r="E132" i="20"/>
  <c r="D132" i="20"/>
  <c r="N131" i="20"/>
  <c r="M131" i="20"/>
  <c r="F131" i="20"/>
  <c r="E131" i="20"/>
  <c r="D131" i="20"/>
  <c r="N130" i="20"/>
  <c r="M130" i="20"/>
  <c r="F130" i="20"/>
  <c r="E130" i="20"/>
  <c r="D130" i="20"/>
  <c r="N129" i="20"/>
  <c r="M129" i="20"/>
  <c r="F129" i="20"/>
  <c r="E129" i="20"/>
  <c r="D129" i="20"/>
  <c r="N128" i="20"/>
  <c r="M128" i="20"/>
  <c r="F128" i="20"/>
  <c r="E128" i="20"/>
  <c r="D128" i="20"/>
  <c r="N127" i="20"/>
  <c r="M127" i="20"/>
  <c r="F127" i="20"/>
  <c r="E127" i="20"/>
  <c r="D127" i="20"/>
  <c r="N126" i="20"/>
  <c r="M126" i="20"/>
  <c r="F126" i="20"/>
  <c r="E126" i="20"/>
  <c r="D126" i="20"/>
  <c r="N125" i="20"/>
  <c r="M125" i="20"/>
  <c r="F125" i="20"/>
  <c r="E125" i="20"/>
  <c r="D125" i="20"/>
  <c r="N124" i="20"/>
  <c r="M124" i="20"/>
  <c r="F124" i="20"/>
  <c r="E124" i="20"/>
  <c r="D124" i="20"/>
  <c r="N123" i="20"/>
  <c r="M123" i="20"/>
  <c r="F123" i="20"/>
  <c r="E123" i="20"/>
  <c r="D123" i="20"/>
  <c r="N122" i="20"/>
  <c r="M122" i="20"/>
  <c r="F122" i="20"/>
  <c r="E122" i="20"/>
  <c r="D122" i="20"/>
  <c r="N121" i="20"/>
  <c r="M121" i="20"/>
  <c r="F121" i="20"/>
  <c r="E121" i="20"/>
  <c r="D121" i="20"/>
  <c r="N120" i="20"/>
  <c r="M120" i="20"/>
  <c r="F120" i="20"/>
  <c r="E120" i="20"/>
  <c r="D120" i="20"/>
  <c r="N119" i="20"/>
  <c r="M119" i="20"/>
  <c r="F119" i="20"/>
  <c r="E119" i="20"/>
  <c r="D119" i="20"/>
  <c r="N118" i="20"/>
  <c r="M118" i="20"/>
  <c r="F118" i="20"/>
  <c r="E118" i="20"/>
  <c r="D118" i="20"/>
  <c r="N117" i="20"/>
  <c r="M117" i="20"/>
  <c r="F117" i="20"/>
  <c r="E117" i="20"/>
  <c r="D117" i="20"/>
  <c r="N116" i="20"/>
  <c r="M116" i="20"/>
  <c r="F116" i="20"/>
  <c r="E116" i="20"/>
  <c r="D116" i="20"/>
  <c r="N115" i="20"/>
  <c r="M115" i="20"/>
  <c r="F115" i="20"/>
  <c r="E115" i="20"/>
  <c r="D115" i="20"/>
  <c r="N114" i="20"/>
  <c r="M114" i="20"/>
  <c r="F114" i="20"/>
  <c r="E114" i="20"/>
  <c r="D114" i="20"/>
  <c r="N113" i="20"/>
  <c r="M113" i="20"/>
  <c r="F113" i="20"/>
  <c r="E113" i="20"/>
  <c r="D113" i="20"/>
  <c r="N112" i="20"/>
  <c r="M112" i="20"/>
  <c r="F112" i="20"/>
  <c r="E112" i="20"/>
  <c r="D112" i="20"/>
  <c r="N111" i="20"/>
  <c r="M111" i="20"/>
  <c r="F111" i="20"/>
  <c r="E111" i="20"/>
  <c r="D111" i="20"/>
  <c r="N110" i="20"/>
  <c r="M110" i="20"/>
  <c r="F110" i="20"/>
  <c r="E110" i="20"/>
  <c r="D110" i="20"/>
  <c r="N109" i="20"/>
  <c r="M109" i="20"/>
  <c r="F109" i="20"/>
  <c r="E109" i="20"/>
  <c r="D109" i="20"/>
  <c r="N108" i="20"/>
  <c r="M108" i="20"/>
  <c r="F108" i="20"/>
  <c r="E108" i="20"/>
  <c r="D108" i="20"/>
  <c r="N107" i="20"/>
  <c r="M107" i="20"/>
  <c r="F107" i="20"/>
  <c r="E107" i="20"/>
  <c r="D107" i="20"/>
  <c r="N106" i="20"/>
  <c r="M106" i="20"/>
  <c r="F106" i="20"/>
  <c r="E106" i="20"/>
  <c r="D106" i="20"/>
  <c r="N105" i="20"/>
  <c r="M105" i="20"/>
  <c r="F105" i="20"/>
  <c r="E105" i="20"/>
  <c r="D105" i="20"/>
  <c r="N104" i="20"/>
  <c r="M104" i="20"/>
  <c r="F104" i="20"/>
  <c r="E104" i="20"/>
  <c r="D104" i="20"/>
  <c r="N103" i="20"/>
  <c r="M103" i="20"/>
  <c r="F103" i="20"/>
  <c r="E103" i="20"/>
  <c r="D103" i="20"/>
  <c r="N102" i="20"/>
  <c r="M102" i="20"/>
  <c r="F102" i="20"/>
  <c r="E102" i="20"/>
  <c r="D102" i="20"/>
  <c r="N101" i="20"/>
  <c r="M101" i="20"/>
  <c r="F101" i="20"/>
  <c r="E101" i="20"/>
  <c r="D101" i="20"/>
  <c r="N100" i="20"/>
  <c r="M100" i="20"/>
  <c r="F100" i="20"/>
  <c r="E100" i="20"/>
  <c r="D100" i="20"/>
  <c r="N99" i="20"/>
  <c r="M99" i="20"/>
  <c r="F99" i="20"/>
  <c r="E99" i="20"/>
  <c r="D99" i="20"/>
  <c r="N98" i="20"/>
  <c r="M98" i="20"/>
  <c r="F98" i="20"/>
  <c r="E98" i="20"/>
  <c r="D98" i="20"/>
  <c r="N97" i="20"/>
  <c r="M97" i="20"/>
  <c r="F97" i="20"/>
  <c r="E97" i="20"/>
  <c r="D97" i="20"/>
  <c r="N96" i="20"/>
  <c r="M96" i="20"/>
  <c r="F96" i="20"/>
  <c r="E96" i="20"/>
  <c r="D96" i="20"/>
  <c r="N95" i="20"/>
  <c r="M95" i="20"/>
  <c r="F95" i="20"/>
  <c r="E95" i="20"/>
  <c r="D95" i="20"/>
  <c r="N94" i="20"/>
  <c r="M94" i="20"/>
  <c r="F94" i="20"/>
  <c r="E94" i="20"/>
  <c r="D94" i="20"/>
  <c r="N93" i="20"/>
  <c r="M93" i="20"/>
  <c r="F93" i="20"/>
  <c r="E93" i="20"/>
  <c r="D93" i="20"/>
  <c r="N92" i="20"/>
  <c r="M92" i="20"/>
  <c r="F92" i="20"/>
  <c r="E92" i="20"/>
  <c r="D92" i="20"/>
  <c r="N91" i="20"/>
  <c r="M91" i="20"/>
  <c r="F91" i="20"/>
  <c r="E91" i="20"/>
  <c r="D91" i="20"/>
  <c r="N90" i="20"/>
  <c r="M90" i="20"/>
  <c r="F90" i="20"/>
  <c r="E90" i="20"/>
  <c r="D90" i="20"/>
  <c r="N89" i="20"/>
  <c r="M89" i="20"/>
  <c r="F89" i="20"/>
  <c r="E89" i="20"/>
  <c r="D89" i="20"/>
  <c r="N88" i="20"/>
  <c r="M88" i="20"/>
  <c r="F88" i="20"/>
  <c r="E88" i="20"/>
  <c r="D88" i="20"/>
  <c r="N87" i="20"/>
  <c r="M87" i="20"/>
  <c r="F87" i="20"/>
  <c r="E87" i="20"/>
  <c r="D87" i="20"/>
  <c r="N86" i="20"/>
  <c r="M86" i="20"/>
  <c r="F86" i="20"/>
  <c r="E86" i="20"/>
  <c r="D86" i="20"/>
  <c r="N85" i="20"/>
  <c r="M85" i="20"/>
  <c r="F85" i="20"/>
  <c r="E85" i="20"/>
  <c r="D85" i="20"/>
  <c r="N84" i="20"/>
  <c r="M84" i="20"/>
  <c r="F84" i="20"/>
  <c r="E84" i="20"/>
  <c r="D84" i="20"/>
  <c r="N83" i="20"/>
  <c r="M83" i="20"/>
  <c r="F83" i="20"/>
  <c r="E83" i="20"/>
  <c r="D83" i="20"/>
  <c r="N82" i="20"/>
  <c r="M82" i="20"/>
  <c r="F82" i="20"/>
  <c r="E82" i="20"/>
  <c r="D82" i="20"/>
  <c r="N81" i="20"/>
  <c r="M81" i="20"/>
  <c r="F81" i="20"/>
  <c r="E81" i="20"/>
  <c r="D81" i="20"/>
  <c r="N80" i="20"/>
  <c r="M80" i="20"/>
  <c r="F80" i="20"/>
  <c r="E80" i="20"/>
  <c r="D80" i="20"/>
  <c r="N79" i="20"/>
  <c r="M79" i="20"/>
  <c r="F79" i="20"/>
  <c r="E79" i="20"/>
  <c r="D79" i="20"/>
  <c r="N78" i="20"/>
  <c r="M78" i="20"/>
  <c r="F78" i="20"/>
  <c r="E78" i="20"/>
  <c r="D78" i="20"/>
  <c r="N77" i="20"/>
  <c r="M77" i="20"/>
  <c r="F77" i="20"/>
  <c r="E77" i="20"/>
  <c r="D77" i="20"/>
  <c r="N76" i="20"/>
  <c r="M76" i="20"/>
  <c r="F76" i="20"/>
  <c r="E76" i="20"/>
  <c r="D76" i="20"/>
  <c r="N75" i="20"/>
  <c r="M75" i="20"/>
  <c r="F75" i="20"/>
  <c r="E75" i="20"/>
  <c r="D75" i="20"/>
  <c r="N74" i="20"/>
  <c r="M74" i="20"/>
  <c r="F74" i="20"/>
  <c r="E74" i="20"/>
  <c r="D74" i="20"/>
  <c r="N73" i="20"/>
  <c r="M73" i="20"/>
  <c r="F73" i="20"/>
  <c r="E73" i="20"/>
  <c r="D73" i="20"/>
  <c r="N72" i="20"/>
  <c r="M72" i="20"/>
  <c r="F72" i="20"/>
  <c r="E72" i="20"/>
  <c r="D72" i="20"/>
  <c r="N71" i="20"/>
  <c r="M71" i="20"/>
  <c r="F71" i="20"/>
  <c r="E71" i="20"/>
  <c r="D71" i="20"/>
  <c r="N70" i="20"/>
  <c r="M70" i="20"/>
  <c r="F70" i="20"/>
  <c r="E70" i="20"/>
  <c r="D70" i="20"/>
  <c r="N69" i="20"/>
  <c r="M69" i="20"/>
  <c r="F69" i="20"/>
  <c r="E69" i="20"/>
  <c r="D69" i="20"/>
  <c r="N68" i="20"/>
  <c r="M68" i="20"/>
  <c r="F68" i="20"/>
  <c r="E68" i="20"/>
  <c r="D68" i="20"/>
  <c r="N67" i="20"/>
  <c r="M67" i="20"/>
  <c r="F67" i="20"/>
  <c r="E67" i="20"/>
  <c r="D67" i="20"/>
  <c r="N66" i="20"/>
  <c r="M66" i="20"/>
  <c r="F66" i="20"/>
  <c r="E66" i="20"/>
  <c r="D66" i="20"/>
  <c r="N65" i="20"/>
  <c r="M65" i="20"/>
  <c r="F65" i="20"/>
  <c r="E65" i="20"/>
  <c r="D65" i="20"/>
  <c r="N64" i="20"/>
  <c r="M64" i="20"/>
  <c r="F64" i="20"/>
  <c r="E64" i="20"/>
  <c r="D64" i="20"/>
  <c r="N63" i="20"/>
  <c r="M63" i="20"/>
  <c r="F63" i="20"/>
  <c r="E63" i="20"/>
  <c r="D63" i="20"/>
  <c r="N62" i="20"/>
  <c r="M62" i="20"/>
  <c r="F62" i="20"/>
  <c r="E62" i="20"/>
  <c r="D62" i="20"/>
  <c r="N61" i="20"/>
  <c r="M61" i="20"/>
  <c r="F61" i="20"/>
  <c r="E61" i="20"/>
  <c r="D61" i="20"/>
  <c r="N60" i="20"/>
  <c r="M60" i="20"/>
  <c r="F60" i="20"/>
  <c r="E60" i="20"/>
  <c r="D60" i="20"/>
  <c r="N59" i="20"/>
  <c r="M59" i="20"/>
  <c r="F59" i="20"/>
  <c r="E59" i="20"/>
  <c r="D59" i="20"/>
  <c r="N58" i="20"/>
  <c r="M58" i="20"/>
  <c r="F58" i="20"/>
  <c r="E58" i="20"/>
  <c r="D58" i="20"/>
  <c r="N57" i="20"/>
  <c r="M57" i="20"/>
  <c r="F57" i="20"/>
  <c r="E57" i="20"/>
  <c r="D57" i="20"/>
  <c r="N56" i="20"/>
  <c r="M56" i="20"/>
  <c r="F56" i="20"/>
  <c r="E56" i="20"/>
  <c r="D56" i="20"/>
  <c r="N55" i="20"/>
  <c r="M55" i="20"/>
  <c r="F55" i="20"/>
  <c r="E55" i="20"/>
  <c r="D55" i="20"/>
  <c r="N54" i="20"/>
  <c r="M54" i="20"/>
  <c r="F54" i="20"/>
  <c r="E54" i="20"/>
  <c r="D54" i="20"/>
  <c r="N53" i="20"/>
  <c r="M53" i="20"/>
  <c r="F53" i="20"/>
  <c r="E53" i="20"/>
  <c r="D53" i="20"/>
  <c r="N52" i="20"/>
  <c r="M52" i="20"/>
  <c r="F52" i="20"/>
  <c r="E52" i="20"/>
  <c r="D52" i="20"/>
  <c r="N51" i="20"/>
  <c r="M51" i="20"/>
  <c r="F51" i="20"/>
  <c r="E51" i="20"/>
  <c r="D51" i="20"/>
  <c r="N50" i="20"/>
  <c r="M50" i="20"/>
  <c r="F50" i="20"/>
  <c r="E50" i="20"/>
  <c r="D50" i="20"/>
  <c r="N49" i="20"/>
  <c r="M49" i="20"/>
  <c r="F49" i="20"/>
  <c r="E49" i="20"/>
  <c r="D49" i="20"/>
  <c r="N48" i="20"/>
  <c r="M48" i="20"/>
  <c r="F48" i="20"/>
  <c r="E48" i="20"/>
  <c r="D48" i="20"/>
  <c r="N47" i="20"/>
  <c r="M47" i="20"/>
  <c r="F47" i="20"/>
  <c r="E47" i="20"/>
  <c r="D47" i="20"/>
  <c r="N46" i="20"/>
  <c r="M46" i="20"/>
  <c r="F46" i="20"/>
  <c r="E46" i="20"/>
  <c r="D46" i="20"/>
  <c r="N45" i="20"/>
  <c r="M45" i="20"/>
  <c r="F45" i="20"/>
  <c r="E45" i="20"/>
  <c r="D45" i="20"/>
  <c r="N44" i="20"/>
  <c r="M44" i="20"/>
  <c r="F44" i="20"/>
  <c r="E44" i="20"/>
  <c r="D44" i="20"/>
  <c r="N43" i="20"/>
  <c r="M43" i="20"/>
  <c r="F43" i="20"/>
  <c r="E43" i="20"/>
  <c r="D43" i="20"/>
  <c r="N42" i="20"/>
  <c r="M42" i="20"/>
  <c r="F42" i="20"/>
  <c r="E42" i="20"/>
  <c r="D42" i="20"/>
  <c r="N41" i="20"/>
  <c r="M41" i="20"/>
  <c r="F41" i="20"/>
  <c r="E41" i="20"/>
  <c r="D41" i="20"/>
  <c r="N40" i="20"/>
  <c r="M40" i="20"/>
  <c r="F40" i="20"/>
  <c r="E40" i="20"/>
  <c r="D40" i="20"/>
  <c r="N39" i="20"/>
  <c r="M39" i="20"/>
  <c r="F39" i="20"/>
  <c r="E39" i="20"/>
  <c r="D39" i="20"/>
  <c r="N38" i="20"/>
  <c r="M38" i="20"/>
  <c r="F38" i="20"/>
  <c r="E38" i="20"/>
  <c r="D38" i="20"/>
  <c r="N37" i="20"/>
  <c r="M37" i="20"/>
  <c r="F37" i="20"/>
  <c r="E37" i="20"/>
  <c r="D37" i="20"/>
  <c r="N36" i="20"/>
  <c r="M36" i="20"/>
  <c r="F36" i="20"/>
  <c r="E36" i="20"/>
  <c r="D36" i="20"/>
  <c r="N35" i="20"/>
  <c r="M35" i="20"/>
  <c r="F35" i="20"/>
  <c r="E35" i="20"/>
  <c r="D35" i="20"/>
  <c r="N34" i="20"/>
  <c r="M34" i="20"/>
  <c r="F34" i="20"/>
  <c r="E34" i="20"/>
  <c r="D34" i="20"/>
  <c r="N33" i="20"/>
  <c r="M33" i="20"/>
  <c r="F33" i="20"/>
  <c r="E33" i="20"/>
  <c r="D33" i="20"/>
  <c r="N32" i="20"/>
  <c r="M32" i="20"/>
  <c r="F32" i="20"/>
  <c r="E32" i="20"/>
  <c r="D32" i="20"/>
  <c r="N31" i="20"/>
  <c r="M31" i="20"/>
  <c r="F31" i="20"/>
  <c r="E31" i="20"/>
  <c r="D31" i="20"/>
  <c r="N30" i="20"/>
  <c r="M30" i="20"/>
  <c r="F30" i="20"/>
  <c r="E30" i="20"/>
  <c r="D30" i="20"/>
  <c r="N29" i="20"/>
  <c r="M29" i="20"/>
  <c r="F29" i="20"/>
  <c r="E29" i="20"/>
  <c r="D29" i="20"/>
  <c r="N28" i="20"/>
  <c r="M28" i="20"/>
  <c r="F28" i="20"/>
  <c r="E28" i="20"/>
  <c r="D28" i="20"/>
  <c r="N27" i="20"/>
  <c r="M27" i="20"/>
  <c r="F27" i="20"/>
  <c r="E27" i="20"/>
  <c r="D27" i="20"/>
  <c r="N26" i="20"/>
  <c r="M26" i="20"/>
  <c r="F26" i="20"/>
  <c r="E26" i="20"/>
  <c r="D26" i="20"/>
  <c r="N25" i="20"/>
  <c r="M25" i="20"/>
  <c r="F25" i="20"/>
  <c r="E25" i="20"/>
  <c r="D25" i="20"/>
  <c r="N24" i="20"/>
  <c r="M24" i="20"/>
  <c r="F24" i="20"/>
  <c r="E24" i="20"/>
  <c r="D24" i="20"/>
  <c r="N23" i="20"/>
  <c r="M23" i="20"/>
  <c r="F23" i="20"/>
  <c r="E23" i="20"/>
  <c r="D23" i="20"/>
  <c r="N22" i="20"/>
  <c r="M22" i="20"/>
  <c r="F22" i="20"/>
  <c r="E22" i="20"/>
  <c r="D22" i="20"/>
  <c r="N21" i="20"/>
  <c r="M21" i="20"/>
  <c r="F21" i="20"/>
  <c r="E21" i="20"/>
  <c r="D21" i="20"/>
  <c r="N20" i="20"/>
  <c r="M20" i="20"/>
  <c r="F20" i="20"/>
  <c r="E20" i="20"/>
  <c r="D20" i="20"/>
  <c r="N19" i="20"/>
  <c r="M19" i="20"/>
  <c r="F19" i="20"/>
  <c r="E19" i="20"/>
  <c r="D19" i="20"/>
  <c r="N18" i="20"/>
  <c r="M18" i="20"/>
  <c r="F18" i="20"/>
  <c r="E18" i="20"/>
  <c r="D18" i="20"/>
  <c r="N17" i="20"/>
  <c r="M17" i="20"/>
  <c r="F17" i="20"/>
  <c r="E17" i="20"/>
  <c r="D17" i="20"/>
  <c r="N16" i="20"/>
  <c r="M16" i="20"/>
  <c r="F16" i="20"/>
  <c r="E16" i="20"/>
  <c r="D16" i="20"/>
  <c r="N15" i="20"/>
  <c r="M15" i="20"/>
  <c r="F15" i="20"/>
  <c r="E15" i="20"/>
  <c r="D15" i="20"/>
  <c r="N14" i="20"/>
  <c r="M14" i="20"/>
  <c r="F14" i="20"/>
  <c r="E14" i="20"/>
  <c r="D14" i="20"/>
  <c r="N13" i="20"/>
  <c r="M13" i="20"/>
  <c r="F13" i="20"/>
  <c r="E13" i="20"/>
  <c r="D13" i="20"/>
  <c r="N12" i="20"/>
  <c r="M12" i="20"/>
  <c r="F12" i="20"/>
  <c r="E12" i="20"/>
  <c r="D12" i="20"/>
  <c r="N11" i="20"/>
  <c r="M11" i="20"/>
  <c r="F11" i="20"/>
  <c r="E11" i="20"/>
  <c r="D11" i="20"/>
  <c r="N10" i="20"/>
  <c r="M10" i="20"/>
  <c r="F10" i="20"/>
  <c r="E10" i="20"/>
  <c r="D10" i="20"/>
  <c r="N9" i="20"/>
  <c r="M9" i="20"/>
  <c r="F9" i="20"/>
  <c r="E9" i="20"/>
  <c r="D9" i="20"/>
  <c r="N8" i="20"/>
  <c r="M8" i="20"/>
  <c r="F8" i="20"/>
  <c r="E8" i="20"/>
  <c r="D8" i="20"/>
  <c r="N7" i="20"/>
  <c r="M7" i="20"/>
  <c r="F7" i="20"/>
  <c r="E7" i="20"/>
  <c r="D7" i="20"/>
  <c r="N6" i="20"/>
  <c r="M6" i="20"/>
  <c r="F6" i="20"/>
  <c r="E6" i="20"/>
  <c r="D6" i="20"/>
  <c r="N5" i="20"/>
  <c r="M5" i="20"/>
  <c r="F5" i="20"/>
  <c r="E5" i="20"/>
  <c r="D5" i="20"/>
  <c r="Q304" i="19"/>
  <c r="A304" i="19"/>
  <c r="Q303" i="19"/>
  <c r="A303" i="19"/>
  <c r="Q302" i="19"/>
  <c r="A302" i="19"/>
  <c r="Q301" i="19"/>
  <c r="A301" i="19"/>
  <c r="Q300" i="19"/>
  <c r="A300" i="19"/>
  <c r="Q299" i="19"/>
  <c r="A299" i="19"/>
  <c r="Q298" i="19"/>
  <c r="A298" i="19"/>
  <c r="Q297" i="19"/>
  <c r="A297" i="19"/>
  <c r="Q296" i="19"/>
  <c r="A296" i="19"/>
  <c r="Q295" i="19"/>
  <c r="A295" i="19"/>
  <c r="Q294" i="19"/>
  <c r="A294" i="19"/>
  <c r="Q293" i="19"/>
  <c r="A293" i="19"/>
  <c r="Q292" i="19"/>
  <c r="A292" i="19"/>
  <c r="Q291" i="19"/>
  <c r="A291" i="19"/>
  <c r="Q290" i="19"/>
  <c r="A290" i="19"/>
  <c r="Q289" i="19"/>
  <c r="A289" i="19"/>
  <c r="Q288" i="19"/>
  <c r="A288" i="19"/>
  <c r="Q287" i="19"/>
  <c r="A287" i="19"/>
  <c r="Q286" i="19"/>
  <c r="A286" i="19"/>
  <c r="Q285" i="19"/>
  <c r="A285" i="19"/>
  <c r="Q284" i="19"/>
  <c r="A284" i="19"/>
  <c r="Q283" i="19"/>
  <c r="A283" i="19"/>
  <c r="Q282" i="19"/>
  <c r="A282" i="19"/>
  <c r="Q281" i="19"/>
  <c r="A281" i="19"/>
  <c r="Q280" i="19"/>
  <c r="A280" i="19"/>
  <c r="Q279" i="19"/>
  <c r="A279" i="19"/>
  <c r="Q278" i="19"/>
  <c r="A278" i="19"/>
  <c r="Q277" i="19"/>
  <c r="A277" i="19"/>
  <c r="Q276" i="19"/>
  <c r="A276" i="19"/>
  <c r="Q275" i="19"/>
  <c r="A275" i="19"/>
  <c r="Q274" i="19"/>
  <c r="A274" i="19"/>
  <c r="Q273" i="19"/>
  <c r="A273" i="19"/>
  <c r="Q272" i="19"/>
  <c r="A272" i="19"/>
  <c r="Q271" i="19"/>
  <c r="A271" i="19"/>
  <c r="Q270" i="19"/>
  <c r="A270" i="19"/>
  <c r="Q269" i="19"/>
  <c r="A269" i="19"/>
  <c r="Q268" i="19"/>
  <c r="A268" i="19"/>
  <c r="Q267" i="19"/>
  <c r="A267" i="19"/>
  <c r="Q266" i="19"/>
  <c r="A266" i="19"/>
  <c r="Q265" i="19"/>
  <c r="A265" i="19"/>
  <c r="Q264" i="19"/>
  <c r="A264" i="19"/>
  <c r="Q263" i="19"/>
  <c r="A263" i="19"/>
  <c r="Q262" i="19"/>
  <c r="A262" i="19"/>
  <c r="Q261" i="19"/>
  <c r="A261" i="19"/>
  <c r="Q260" i="19"/>
  <c r="A260" i="19"/>
  <c r="Q259" i="19"/>
  <c r="A259" i="19"/>
  <c r="Q258" i="19"/>
  <c r="A258" i="19"/>
  <c r="Q257" i="19"/>
  <c r="A257" i="19"/>
  <c r="Q256" i="19"/>
  <c r="A256" i="19"/>
  <c r="Q255" i="19"/>
  <c r="A255" i="19"/>
  <c r="Q254" i="19"/>
  <c r="A254" i="19"/>
  <c r="Q253" i="19"/>
  <c r="A253" i="19"/>
  <c r="Q252" i="19"/>
  <c r="A252" i="19"/>
  <c r="Q251" i="19"/>
  <c r="A251" i="19"/>
  <c r="Q250" i="19"/>
  <c r="A250" i="19"/>
  <c r="Q249" i="19"/>
  <c r="A249" i="19"/>
  <c r="Q248" i="19"/>
  <c r="A248" i="19"/>
  <c r="Q247" i="19"/>
  <c r="A247" i="19"/>
  <c r="Q246" i="19"/>
  <c r="A246" i="19"/>
  <c r="Q245" i="19"/>
  <c r="A245" i="19"/>
  <c r="Q244" i="19"/>
  <c r="A244" i="19"/>
  <c r="Q243" i="19"/>
  <c r="A243" i="19"/>
  <c r="Q242" i="19"/>
  <c r="A242" i="19"/>
  <c r="Q241" i="19"/>
  <c r="A241" i="19"/>
  <c r="Q240" i="19"/>
  <c r="A240" i="19"/>
  <c r="Q239" i="19"/>
  <c r="A239" i="19"/>
  <c r="Q238" i="19"/>
  <c r="A238" i="19"/>
  <c r="Q237" i="19"/>
  <c r="A237" i="19"/>
  <c r="Q236" i="19"/>
  <c r="A236" i="19"/>
  <c r="Q235" i="19"/>
  <c r="A235" i="19"/>
  <c r="Q234" i="19"/>
  <c r="A234" i="19"/>
  <c r="Q233" i="19"/>
  <c r="A233" i="19"/>
  <c r="Q232" i="19"/>
  <c r="A232" i="19"/>
  <c r="Q231" i="19"/>
  <c r="A231" i="19"/>
  <c r="Q230" i="19"/>
  <c r="A230" i="19"/>
  <c r="Q229" i="19"/>
  <c r="A229" i="19"/>
  <c r="Q228" i="19"/>
  <c r="A228" i="19"/>
  <c r="Q227" i="19"/>
  <c r="A227" i="19"/>
  <c r="Q226" i="19"/>
  <c r="A226" i="19"/>
  <c r="Q225" i="19"/>
  <c r="A225" i="19"/>
  <c r="Q224" i="19"/>
  <c r="A224" i="19"/>
  <c r="Q223" i="19"/>
  <c r="A223" i="19"/>
  <c r="Q222" i="19"/>
  <c r="A222" i="19"/>
  <c r="Q221" i="19"/>
  <c r="A221" i="19"/>
  <c r="Q220" i="19"/>
  <c r="A220" i="19"/>
  <c r="Q219" i="19"/>
  <c r="A219" i="19"/>
  <c r="Q218" i="19"/>
  <c r="A218" i="19"/>
  <c r="Q217" i="19"/>
  <c r="A217" i="19"/>
  <c r="Q216" i="19"/>
  <c r="A216" i="19"/>
  <c r="Q215" i="19"/>
  <c r="A215" i="19"/>
  <c r="Q214" i="19"/>
  <c r="A214" i="19"/>
  <c r="Q213" i="19"/>
  <c r="A213" i="19"/>
  <c r="Q212" i="19"/>
  <c r="A212" i="19"/>
  <c r="Q211" i="19"/>
  <c r="A211" i="19"/>
  <c r="Q210" i="19"/>
  <c r="A210" i="19"/>
  <c r="Q209" i="19"/>
  <c r="A209" i="19"/>
  <c r="Q208" i="19"/>
  <c r="A208" i="19"/>
  <c r="Q207" i="19"/>
  <c r="A207" i="19"/>
  <c r="Q206" i="19"/>
  <c r="A206" i="19"/>
  <c r="Q205" i="19"/>
  <c r="A205" i="19"/>
  <c r="Q204" i="19"/>
  <c r="A204" i="19"/>
  <c r="Q203" i="19"/>
  <c r="A203" i="19"/>
  <c r="Q202" i="19"/>
  <c r="A202" i="19"/>
  <c r="Q201" i="19"/>
  <c r="A201" i="19"/>
  <c r="Q200" i="19"/>
  <c r="A200" i="19"/>
  <c r="Q199" i="19"/>
  <c r="A199" i="19"/>
  <c r="Q198" i="19"/>
  <c r="A198" i="19"/>
  <c r="Q197" i="19"/>
  <c r="A197" i="19"/>
  <c r="Q196" i="19"/>
  <c r="A196" i="19"/>
  <c r="Q195" i="19"/>
  <c r="A195" i="19"/>
  <c r="Q194" i="19"/>
  <c r="A194" i="19"/>
  <c r="Q193" i="19"/>
  <c r="A193" i="19"/>
  <c r="Q192" i="19"/>
  <c r="A192" i="19"/>
  <c r="Q191" i="19"/>
  <c r="A191" i="19"/>
  <c r="Q190" i="19"/>
  <c r="A190" i="19"/>
  <c r="Q189" i="19"/>
  <c r="A189" i="19"/>
  <c r="Q188" i="19"/>
  <c r="A188" i="19"/>
  <c r="Q187" i="19"/>
  <c r="A187" i="19"/>
  <c r="Q186" i="19"/>
  <c r="A186" i="19"/>
  <c r="Q185" i="19"/>
  <c r="A185" i="19"/>
  <c r="Q184" i="19"/>
  <c r="A184" i="19"/>
  <c r="Q183" i="19"/>
  <c r="A183" i="19"/>
  <c r="Q182" i="19"/>
  <c r="A182" i="19"/>
  <c r="Q181" i="19"/>
  <c r="A181" i="19"/>
  <c r="Q180" i="19"/>
  <c r="A180" i="19"/>
  <c r="Q179" i="19"/>
  <c r="A179" i="19"/>
  <c r="Q178" i="19"/>
  <c r="A178" i="19"/>
  <c r="Q177" i="19"/>
  <c r="A177" i="19"/>
  <c r="Q176" i="19"/>
  <c r="A176" i="19"/>
  <c r="Q175" i="19"/>
  <c r="A175" i="19"/>
  <c r="Q174" i="19"/>
  <c r="A174" i="19"/>
  <c r="Q173" i="19"/>
  <c r="A173" i="19"/>
  <c r="Q172" i="19"/>
  <c r="A172" i="19"/>
  <c r="Q171" i="19"/>
  <c r="A171" i="19"/>
  <c r="Q170" i="19"/>
  <c r="A170" i="19"/>
  <c r="Q169" i="19"/>
  <c r="A169" i="19"/>
  <c r="Q168" i="19"/>
  <c r="A168" i="19"/>
  <c r="Q167" i="19"/>
  <c r="A167" i="19"/>
  <c r="Q166" i="19"/>
  <c r="A166" i="19"/>
  <c r="Q165" i="19"/>
  <c r="A165" i="19"/>
  <c r="Q164" i="19"/>
  <c r="A164" i="19"/>
  <c r="Q163" i="19"/>
  <c r="A163" i="19"/>
  <c r="Q162" i="19"/>
  <c r="A162" i="19"/>
  <c r="Q161" i="19"/>
  <c r="A161" i="19"/>
  <c r="Q160" i="19"/>
  <c r="A160" i="19"/>
  <c r="Q159" i="19"/>
  <c r="A159" i="19"/>
  <c r="Q158" i="19"/>
  <c r="A158" i="19"/>
  <c r="Q157" i="19"/>
  <c r="A157" i="19"/>
  <c r="Q156" i="19"/>
  <c r="A156" i="19"/>
  <c r="Q155" i="19"/>
  <c r="A155" i="19"/>
  <c r="Q154" i="19"/>
  <c r="A154" i="19"/>
  <c r="Q153" i="19"/>
  <c r="A153" i="19"/>
  <c r="Q152" i="19"/>
  <c r="A152" i="19"/>
  <c r="Q151" i="19"/>
  <c r="A151" i="19"/>
  <c r="Q150" i="19"/>
  <c r="A150" i="19"/>
  <c r="Q149" i="19"/>
  <c r="A149" i="19"/>
  <c r="Q148" i="19"/>
  <c r="A148" i="19"/>
  <c r="Q147" i="19"/>
  <c r="A147" i="19"/>
  <c r="Q146" i="19"/>
  <c r="A146" i="19"/>
  <c r="Q145" i="19"/>
  <c r="A145" i="19"/>
  <c r="Q144" i="19"/>
  <c r="A144" i="19"/>
  <c r="Q143" i="19"/>
  <c r="A143" i="19"/>
  <c r="Q142" i="19"/>
  <c r="A142" i="19"/>
  <c r="Q141" i="19"/>
  <c r="A141" i="19"/>
  <c r="Q140" i="19"/>
  <c r="A140" i="19"/>
  <c r="Q139" i="19"/>
  <c r="A139" i="19"/>
  <c r="Q138" i="19"/>
  <c r="A138" i="19"/>
  <c r="Q137" i="19"/>
  <c r="A137" i="19"/>
  <c r="Q136" i="19"/>
  <c r="A136" i="19"/>
  <c r="Q135" i="19"/>
  <c r="A135" i="19"/>
  <c r="Q134" i="19"/>
  <c r="A134" i="19"/>
  <c r="Q133" i="19"/>
  <c r="A133" i="19"/>
  <c r="Q132" i="19"/>
  <c r="A132" i="19"/>
  <c r="Q131" i="19"/>
  <c r="A131" i="19"/>
  <c r="Q130" i="19"/>
  <c r="A130" i="19"/>
  <c r="Q129" i="19"/>
  <c r="A129" i="19"/>
  <c r="Q128" i="19"/>
  <c r="A128" i="19"/>
  <c r="Q127" i="19"/>
  <c r="A127" i="19"/>
  <c r="Q126" i="19"/>
  <c r="A126" i="19"/>
  <c r="Q125" i="19"/>
  <c r="A125" i="19"/>
  <c r="Q124" i="19"/>
  <c r="A124" i="19"/>
  <c r="Q123" i="19"/>
  <c r="A123" i="19"/>
  <c r="Q122" i="19"/>
  <c r="A122" i="19"/>
  <c r="Q121" i="19"/>
  <c r="A121" i="19"/>
  <c r="Q120" i="19"/>
  <c r="A120" i="19"/>
  <c r="Q119" i="19"/>
  <c r="A119" i="19"/>
  <c r="Q118" i="19"/>
  <c r="A118" i="19"/>
  <c r="Q117" i="19"/>
  <c r="A117" i="19"/>
  <c r="Q116" i="19"/>
  <c r="A116" i="19"/>
  <c r="Q115" i="19"/>
  <c r="A115" i="19"/>
  <c r="Q114" i="19"/>
  <c r="A114" i="19"/>
  <c r="Q113" i="19"/>
  <c r="A113" i="19"/>
  <c r="Q112" i="19"/>
  <c r="A112" i="19"/>
  <c r="Q111" i="19"/>
  <c r="A111" i="19"/>
  <c r="Q110" i="19"/>
  <c r="A110" i="19"/>
  <c r="Q109" i="19"/>
  <c r="A109" i="19"/>
  <c r="Q108" i="19"/>
  <c r="A108" i="19"/>
  <c r="Q107" i="19"/>
  <c r="A107" i="19"/>
  <c r="Q106" i="19"/>
  <c r="A106" i="19"/>
  <c r="Q105" i="19"/>
  <c r="A105" i="19"/>
  <c r="Q104" i="19"/>
  <c r="A104" i="19"/>
  <c r="Q103" i="19"/>
  <c r="A103" i="19"/>
  <c r="Q102" i="19"/>
  <c r="A102" i="19"/>
  <c r="Q101" i="19"/>
  <c r="A101" i="19"/>
  <c r="Q100" i="19"/>
  <c r="A100" i="19"/>
  <c r="Q99" i="19"/>
  <c r="A99" i="19"/>
  <c r="Q98" i="19"/>
  <c r="A98" i="19"/>
  <c r="Q97" i="19"/>
  <c r="A97" i="19"/>
  <c r="Q96" i="19"/>
  <c r="A96" i="19"/>
  <c r="Q95" i="19"/>
  <c r="A95" i="19"/>
  <c r="Q94" i="19"/>
  <c r="A94" i="19"/>
  <c r="Q93" i="19"/>
  <c r="A93" i="19"/>
  <c r="Q92" i="19"/>
  <c r="A92" i="19"/>
  <c r="Q91" i="19"/>
  <c r="A91" i="19"/>
  <c r="Q90" i="19"/>
  <c r="A90" i="19"/>
  <c r="Q89" i="19"/>
  <c r="A89" i="19"/>
  <c r="Q88" i="19"/>
  <c r="A88" i="19"/>
  <c r="Q87" i="19"/>
  <c r="A87" i="19"/>
  <c r="Q86" i="19"/>
  <c r="A86" i="19"/>
  <c r="Q85" i="19"/>
  <c r="A85" i="19"/>
  <c r="Q84" i="19"/>
  <c r="A84" i="19"/>
  <c r="Q83" i="19"/>
  <c r="A83" i="19"/>
  <c r="Q82" i="19"/>
  <c r="A82" i="19"/>
  <c r="Q81" i="19"/>
  <c r="A81" i="19"/>
  <c r="Q80" i="19"/>
  <c r="A80" i="19"/>
  <c r="Q79" i="19"/>
  <c r="A79" i="19"/>
  <c r="Q78" i="19"/>
  <c r="A78" i="19"/>
  <c r="Q77" i="19"/>
  <c r="A77" i="19"/>
  <c r="Q76" i="19"/>
  <c r="A76" i="19"/>
  <c r="Q75" i="19"/>
  <c r="A75" i="19"/>
  <c r="Q74" i="19"/>
  <c r="A74" i="19"/>
  <c r="Q73" i="19"/>
  <c r="A73" i="19"/>
  <c r="Q72" i="19"/>
  <c r="A72" i="19"/>
  <c r="Q71" i="19"/>
  <c r="A71" i="19"/>
  <c r="Q70" i="19"/>
  <c r="A70" i="19"/>
  <c r="Q69" i="19"/>
  <c r="A69" i="19"/>
  <c r="Q68" i="19"/>
  <c r="A68" i="19"/>
  <c r="Q67" i="19"/>
  <c r="A67" i="19"/>
  <c r="Q66" i="19"/>
  <c r="A66" i="19"/>
  <c r="Q65" i="19"/>
  <c r="A65" i="19"/>
  <c r="Q64" i="19"/>
  <c r="A64" i="19"/>
  <c r="Q63" i="19"/>
  <c r="A63" i="19"/>
  <c r="Q62" i="19"/>
  <c r="A62" i="19"/>
  <c r="Q61" i="19"/>
  <c r="A61" i="19"/>
  <c r="Q60" i="19"/>
  <c r="A60" i="19"/>
  <c r="Q59" i="19"/>
  <c r="A59" i="19"/>
  <c r="Q58" i="19"/>
  <c r="A58" i="19"/>
  <c r="Q57" i="19"/>
  <c r="A57" i="19"/>
  <c r="Q56" i="19"/>
  <c r="A56" i="19"/>
  <c r="Q55" i="19"/>
  <c r="A55" i="19"/>
  <c r="Q54" i="19"/>
  <c r="A54" i="19"/>
  <c r="Q53" i="19"/>
  <c r="A53" i="19"/>
  <c r="Q52" i="19"/>
  <c r="A52" i="19"/>
  <c r="Q51" i="19"/>
  <c r="A51" i="19"/>
  <c r="Q50" i="19"/>
  <c r="A50" i="19"/>
  <c r="Q49" i="19"/>
  <c r="A49" i="19"/>
  <c r="Q48" i="19"/>
  <c r="A48" i="19"/>
  <c r="Q47" i="19"/>
  <c r="A47" i="19"/>
  <c r="Q46" i="19"/>
  <c r="A46" i="19"/>
  <c r="Q45" i="19"/>
  <c r="A45" i="19"/>
  <c r="Q44" i="19"/>
  <c r="A44" i="19"/>
  <c r="Q43" i="19"/>
  <c r="A43" i="19"/>
  <c r="Q42" i="19"/>
  <c r="A42" i="19"/>
  <c r="Q41" i="19"/>
  <c r="A41" i="19"/>
  <c r="Q40" i="19"/>
  <c r="A40" i="19"/>
  <c r="Q39" i="19"/>
  <c r="A39" i="19"/>
  <c r="Q38" i="19"/>
  <c r="A38" i="19"/>
  <c r="Q37" i="19"/>
  <c r="A37" i="19"/>
  <c r="Q36" i="19"/>
  <c r="A36" i="19"/>
  <c r="Q35" i="19"/>
  <c r="A35" i="19"/>
  <c r="Q34" i="19"/>
  <c r="A34" i="19"/>
  <c r="Q33" i="19"/>
  <c r="A33" i="19"/>
  <c r="Q32" i="19"/>
  <c r="A32" i="19"/>
  <c r="Q31" i="19"/>
  <c r="A31" i="19"/>
  <c r="Q30" i="19"/>
  <c r="A30" i="19"/>
  <c r="Q29" i="19"/>
  <c r="A29" i="19"/>
  <c r="Q28" i="19"/>
  <c r="A28" i="19"/>
  <c r="Q27" i="19"/>
  <c r="A27" i="19"/>
  <c r="Q26" i="19"/>
  <c r="A26" i="19"/>
  <c r="Q25" i="19"/>
  <c r="A25" i="19"/>
  <c r="Q24" i="19"/>
  <c r="A24" i="19"/>
  <c r="Q23" i="19"/>
  <c r="A23" i="19"/>
  <c r="Q22" i="19"/>
  <c r="A22" i="19"/>
  <c r="Q21" i="19"/>
  <c r="A21" i="19"/>
  <c r="Q20" i="19"/>
  <c r="A20" i="19"/>
  <c r="Q19" i="19"/>
  <c r="A19" i="19"/>
  <c r="Q18" i="19"/>
  <c r="A18" i="19"/>
  <c r="Q17" i="19"/>
  <c r="A17" i="19"/>
  <c r="Q16" i="19"/>
  <c r="A16" i="19"/>
  <c r="Q15" i="19"/>
  <c r="A15" i="19"/>
  <c r="Q14" i="19"/>
  <c r="A14" i="19"/>
  <c r="Q13" i="19"/>
  <c r="A13" i="19"/>
  <c r="Q12" i="19"/>
  <c r="A12" i="19"/>
  <c r="Q11" i="19"/>
  <c r="A11" i="19"/>
  <c r="Q10" i="19"/>
  <c r="A10" i="19"/>
  <c r="Q9" i="19"/>
  <c r="A9" i="19"/>
  <c r="Q8" i="19"/>
  <c r="A8" i="19"/>
  <c r="Q7" i="19"/>
  <c r="A7" i="19"/>
  <c r="Q6" i="19"/>
  <c r="A6" i="19"/>
  <c r="Q5" i="19"/>
  <c r="A5" i="19"/>
  <c r="D109" i="17"/>
  <c r="C109" i="17"/>
  <c r="E109" i="17" s="1"/>
  <c r="D108" i="17"/>
  <c r="C108" i="17"/>
  <c r="E108" i="17" s="1"/>
  <c r="D107" i="17"/>
  <c r="C107" i="17"/>
  <c r="E107" i="17" s="1"/>
  <c r="D106" i="17"/>
  <c r="C106" i="17"/>
  <c r="E106" i="17" s="1"/>
  <c r="D105" i="17"/>
  <c r="C105" i="17"/>
  <c r="E105" i="17" s="1"/>
  <c r="D104" i="17"/>
  <c r="C104" i="17"/>
  <c r="E104" i="17" s="1"/>
  <c r="D103" i="17"/>
  <c r="C103" i="17"/>
  <c r="E103" i="17" s="1"/>
  <c r="D102" i="17"/>
  <c r="C102" i="17"/>
  <c r="E102" i="17" s="1"/>
  <c r="D101" i="17"/>
  <c r="C101" i="17"/>
  <c r="E101" i="17" s="1"/>
  <c r="D100" i="17"/>
  <c r="C100" i="17"/>
  <c r="E100" i="17" s="1"/>
  <c r="D99" i="17"/>
  <c r="C99" i="17"/>
  <c r="E99" i="17" s="1"/>
  <c r="D98" i="17"/>
  <c r="C98" i="17"/>
  <c r="E98" i="17" s="1"/>
  <c r="D97" i="17"/>
  <c r="C97" i="17"/>
  <c r="E97" i="17" s="1"/>
  <c r="D96" i="17"/>
  <c r="C96" i="17"/>
  <c r="E96" i="17" s="1"/>
  <c r="D95" i="17"/>
  <c r="C95" i="17"/>
  <c r="E95" i="17" s="1"/>
  <c r="D94" i="17"/>
  <c r="C94" i="17"/>
  <c r="E94" i="17" s="1"/>
  <c r="D93" i="17"/>
  <c r="C93" i="17"/>
  <c r="E93" i="17" s="1"/>
  <c r="D92" i="17"/>
  <c r="C92" i="17"/>
  <c r="E92" i="17" s="1"/>
  <c r="D88" i="17"/>
  <c r="C88" i="17"/>
  <c r="E88" i="17" s="1"/>
  <c r="D87" i="17"/>
  <c r="C87" i="17"/>
  <c r="E87" i="17" s="1"/>
  <c r="C81" i="17"/>
  <c r="C80" i="17"/>
  <c r="C79" i="17"/>
  <c r="C78" i="17"/>
  <c r="C77" i="17"/>
  <c r="C76" i="17"/>
  <c r="C75" i="17"/>
  <c r="C74" i="17"/>
  <c r="C73" i="17"/>
  <c r="C72" i="17"/>
  <c r="C71" i="17"/>
  <c r="C70" i="17"/>
  <c r="C69" i="17"/>
  <c r="C68" i="17"/>
  <c r="C67" i="17"/>
  <c r="K63" i="17"/>
  <c r="G63" i="17"/>
  <c r="F63" i="17"/>
  <c r="H63" i="17" s="1"/>
  <c r="E63" i="17"/>
  <c r="J63" i="17" s="1"/>
  <c r="D63" i="17"/>
  <c r="G62" i="17"/>
  <c r="F62" i="17"/>
  <c r="H62" i="17" s="1"/>
  <c r="E62" i="17"/>
  <c r="J62" i="17" s="1"/>
  <c r="D62" i="17"/>
  <c r="K62" i="17" s="1"/>
  <c r="G61" i="17"/>
  <c r="F61" i="17"/>
  <c r="H61" i="17" s="1"/>
  <c r="E61" i="17"/>
  <c r="J61" i="17" s="1"/>
  <c r="D61" i="17"/>
  <c r="K61" i="17" s="1"/>
  <c r="G60" i="17"/>
  <c r="F60" i="17"/>
  <c r="H60" i="17" s="1"/>
  <c r="E60" i="17"/>
  <c r="J60" i="17" s="1"/>
  <c r="D60" i="17"/>
  <c r="K60" i="17" s="1"/>
  <c r="G59" i="17"/>
  <c r="F59" i="17"/>
  <c r="H59" i="17" s="1"/>
  <c r="E59" i="17"/>
  <c r="J59" i="17" s="1"/>
  <c r="D59" i="17"/>
  <c r="K59" i="17" s="1"/>
  <c r="K58" i="17"/>
  <c r="G58" i="17"/>
  <c r="F58" i="17"/>
  <c r="H58" i="17" s="1"/>
  <c r="E58" i="17"/>
  <c r="J58" i="17" s="1"/>
  <c r="D58" i="17"/>
  <c r="J57" i="17"/>
  <c r="G57" i="17"/>
  <c r="F57" i="17"/>
  <c r="H57" i="17" s="1"/>
  <c r="E57" i="17"/>
  <c r="D57" i="17"/>
  <c r="K57" i="17" s="1"/>
  <c r="G56" i="17"/>
  <c r="F56" i="17"/>
  <c r="H56" i="17" s="1"/>
  <c r="E56" i="17"/>
  <c r="J56" i="17" s="1"/>
  <c r="D56" i="17"/>
  <c r="K56" i="17" s="1"/>
  <c r="D33" i="17"/>
  <c r="C33" i="17"/>
  <c r="E33" i="17" s="1"/>
  <c r="D32" i="17"/>
  <c r="C32" i="17"/>
  <c r="E32" i="17" s="1"/>
  <c r="D30" i="17"/>
  <c r="C30" i="17"/>
  <c r="E30" i="17" s="1"/>
  <c r="D29" i="17"/>
  <c r="C29" i="17"/>
  <c r="D27" i="17"/>
  <c r="D28" i="17" s="1"/>
  <c r="D14" i="17"/>
  <c r="D13" i="17"/>
  <c r="D8" i="17"/>
  <c r="C8" i="17"/>
  <c r="E8" i="17" s="1"/>
  <c r="M54" i="16"/>
  <c r="N52" i="16"/>
  <c r="K52" i="16"/>
  <c r="N51" i="16"/>
  <c r="K51" i="16"/>
  <c r="N50" i="16"/>
  <c r="K50" i="16"/>
  <c r="N49" i="16"/>
  <c r="K49" i="16"/>
  <c r="N48" i="16"/>
  <c r="K48" i="16"/>
  <c r="N47" i="16"/>
  <c r="K47" i="16"/>
  <c r="N46" i="16"/>
  <c r="K46" i="16"/>
  <c r="N45" i="16"/>
  <c r="K45" i="16"/>
  <c r="N44" i="16"/>
  <c r="K44" i="16"/>
  <c r="N43" i="16"/>
  <c r="K43" i="16"/>
  <c r="N42" i="16"/>
  <c r="K42" i="16"/>
  <c r="N41" i="16"/>
  <c r="K41" i="16"/>
  <c r="N40" i="16"/>
  <c r="K40" i="16"/>
  <c r="N39" i="16"/>
  <c r="K39" i="16"/>
  <c r="N38" i="16"/>
  <c r="K38" i="16"/>
  <c r="N37" i="16"/>
  <c r="K37" i="16"/>
  <c r="N36" i="16"/>
  <c r="K36" i="16"/>
  <c r="N35" i="16"/>
  <c r="K35" i="16"/>
  <c r="N34" i="16"/>
  <c r="K34" i="16"/>
  <c r="N33" i="16"/>
  <c r="K33" i="16"/>
  <c r="N32" i="16"/>
  <c r="K32" i="16"/>
  <c r="N31" i="16"/>
  <c r="K31" i="16"/>
  <c r="N30" i="16"/>
  <c r="K30" i="16"/>
  <c r="N29" i="16"/>
  <c r="K29" i="16"/>
  <c r="N28" i="16"/>
  <c r="K28" i="16"/>
  <c r="N27" i="16"/>
  <c r="K27" i="16"/>
  <c r="N26" i="16"/>
  <c r="K26" i="16"/>
  <c r="N25" i="16"/>
  <c r="K25" i="16"/>
  <c r="N24" i="16"/>
  <c r="K24" i="16"/>
  <c r="N23" i="16"/>
  <c r="K23" i="16"/>
  <c r="N22" i="16"/>
  <c r="K22" i="16"/>
  <c r="N21" i="16"/>
  <c r="K21" i="16"/>
  <c r="N20" i="16"/>
  <c r="K20" i="16"/>
  <c r="N19" i="16"/>
  <c r="K19" i="16"/>
  <c r="N18" i="16"/>
  <c r="K18" i="16"/>
  <c r="N17" i="16"/>
  <c r="K17" i="16"/>
  <c r="N16" i="16"/>
  <c r="K16" i="16"/>
  <c r="N15" i="16"/>
  <c r="K15" i="16"/>
  <c r="N14" i="16"/>
  <c r="K14" i="16"/>
  <c r="N13" i="16"/>
  <c r="K13" i="16"/>
  <c r="N12" i="16"/>
  <c r="K12" i="16"/>
  <c r="N11" i="16"/>
  <c r="K11" i="16"/>
  <c r="N10" i="16"/>
  <c r="K10" i="16"/>
  <c r="N9" i="16"/>
  <c r="K9" i="16"/>
  <c r="N8" i="16"/>
  <c r="K8" i="16"/>
  <c r="N7" i="16"/>
  <c r="K7" i="16"/>
  <c r="N6" i="16"/>
  <c r="K6" i="16"/>
  <c r="N5" i="16"/>
  <c r="K5" i="16"/>
  <c r="P304" i="15"/>
  <c r="A304" i="15"/>
  <c r="P303" i="15"/>
  <c r="A303" i="15"/>
  <c r="P302" i="15"/>
  <c r="A302" i="15"/>
  <c r="P301" i="15"/>
  <c r="A301" i="15"/>
  <c r="P300" i="15"/>
  <c r="A300" i="15"/>
  <c r="P299" i="15"/>
  <c r="A299" i="15"/>
  <c r="P298" i="15"/>
  <c r="A298" i="15"/>
  <c r="P297" i="15"/>
  <c r="A297" i="15"/>
  <c r="P296" i="15"/>
  <c r="A296" i="15"/>
  <c r="P295" i="15"/>
  <c r="A295" i="15"/>
  <c r="P294" i="15"/>
  <c r="A294" i="15"/>
  <c r="P293" i="15"/>
  <c r="A293" i="15"/>
  <c r="P292" i="15"/>
  <c r="A292" i="15"/>
  <c r="P291" i="15"/>
  <c r="A291" i="15"/>
  <c r="P290" i="15"/>
  <c r="A290" i="15"/>
  <c r="P289" i="15"/>
  <c r="A289" i="15"/>
  <c r="P288" i="15"/>
  <c r="A288" i="15"/>
  <c r="P287" i="15"/>
  <c r="A287" i="15"/>
  <c r="P286" i="15"/>
  <c r="A286" i="15"/>
  <c r="P285" i="15"/>
  <c r="A285" i="15"/>
  <c r="P284" i="15"/>
  <c r="A284" i="15"/>
  <c r="P283" i="15"/>
  <c r="A283" i="15"/>
  <c r="P282" i="15"/>
  <c r="A282" i="15"/>
  <c r="P281" i="15"/>
  <c r="A281" i="15"/>
  <c r="P280" i="15"/>
  <c r="A280" i="15"/>
  <c r="P279" i="15"/>
  <c r="A279" i="15"/>
  <c r="P278" i="15"/>
  <c r="A278" i="15"/>
  <c r="P277" i="15"/>
  <c r="A277" i="15"/>
  <c r="P276" i="15"/>
  <c r="A276" i="15"/>
  <c r="P275" i="15"/>
  <c r="A275" i="15"/>
  <c r="P274" i="15"/>
  <c r="A274" i="15"/>
  <c r="P273" i="15"/>
  <c r="A273" i="15"/>
  <c r="P272" i="15"/>
  <c r="A272" i="15"/>
  <c r="P271" i="15"/>
  <c r="A271" i="15"/>
  <c r="P270" i="15"/>
  <c r="A270" i="15"/>
  <c r="P269" i="15"/>
  <c r="A269" i="15"/>
  <c r="P268" i="15"/>
  <c r="A268" i="15"/>
  <c r="P267" i="15"/>
  <c r="A267" i="15"/>
  <c r="P266" i="15"/>
  <c r="A266" i="15"/>
  <c r="P265" i="15"/>
  <c r="A265" i="15"/>
  <c r="P264" i="15"/>
  <c r="A264" i="15"/>
  <c r="P263" i="15"/>
  <c r="A263" i="15"/>
  <c r="P262" i="15"/>
  <c r="A262" i="15"/>
  <c r="P261" i="15"/>
  <c r="A261" i="15"/>
  <c r="P260" i="15"/>
  <c r="A260" i="15"/>
  <c r="P259" i="15"/>
  <c r="A259" i="15"/>
  <c r="P258" i="15"/>
  <c r="A258" i="15"/>
  <c r="P257" i="15"/>
  <c r="A257" i="15"/>
  <c r="P256" i="15"/>
  <c r="A256" i="15"/>
  <c r="P255" i="15"/>
  <c r="A255" i="15"/>
  <c r="P254" i="15"/>
  <c r="A254" i="15"/>
  <c r="P253" i="15"/>
  <c r="A253" i="15"/>
  <c r="P252" i="15"/>
  <c r="A252" i="15"/>
  <c r="P251" i="15"/>
  <c r="A251" i="15"/>
  <c r="P250" i="15"/>
  <c r="A250" i="15"/>
  <c r="P249" i="15"/>
  <c r="A249" i="15"/>
  <c r="P248" i="15"/>
  <c r="A248" i="15"/>
  <c r="P247" i="15"/>
  <c r="A247" i="15"/>
  <c r="P246" i="15"/>
  <c r="A246" i="15"/>
  <c r="P245" i="15"/>
  <c r="A245" i="15"/>
  <c r="P244" i="15"/>
  <c r="A244" i="15"/>
  <c r="P243" i="15"/>
  <c r="A243" i="15"/>
  <c r="P242" i="15"/>
  <c r="A242" i="15"/>
  <c r="P241" i="15"/>
  <c r="A241" i="15"/>
  <c r="P240" i="15"/>
  <c r="A240" i="15"/>
  <c r="P239" i="15"/>
  <c r="A239" i="15"/>
  <c r="P238" i="15"/>
  <c r="A238" i="15"/>
  <c r="P237" i="15"/>
  <c r="A237" i="15"/>
  <c r="P236" i="15"/>
  <c r="A236" i="15"/>
  <c r="P235" i="15"/>
  <c r="A235" i="15"/>
  <c r="P234" i="15"/>
  <c r="A234" i="15"/>
  <c r="P233" i="15"/>
  <c r="A233" i="15"/>
  <c r="P232" i="15"/>
  <c r="A232" i="15"/>
  <c r="P231" i="15"/>
  <c r="A231" i="15"/>
  <c r="P230" i="15"/>
  <c r="A230" i="15"/>
  <c r="P229" i="15"/>
  <c r="A229" i="15"/>
  <c r="P228" i="15"/>
  <c r="A228" i="15"/>
  <c r="P227" i="15"/>
  <c r="A227" i="15"/>
  <c r="P226" i="15"/>
  <c r="A226" i="15"/>
  <c r="P225" i="15"/>
  <c r="A225" i="15"/>
  <c r="P224" i="15"/>
  <c r="A224" i="15"/>
  <c r="P223" i="15"/>
  <c r="A223" i="15"/>
  <c r="P222" i="15"/>
  <c r="A222" i="15"/>
  <c r="P221" i="15"/>
  <c r="A221" i="15"/>
  <c r="P220" i="15"/>
  <c r="A220" i="15"/>
  <c r="P219" i="15"/>
  <c r="A219" i="15"/>
  <c r="P218" i="15"/>
  <c r="A218" i="15"/>
  <c r="P217" i="15"/>
  <c r="A217" i="15"/>
  <c r="P216" i="15"/>
  <c r="A216" i="15"/>
  <c r="P215" i="15"/>
  <c r="A215" i="15"/>
  <c r="P214" i="15"/>
  <c r="A214" i="15"/>
  <c r="P213" i="15"/>
  <c r="A213" i="15"/>
  <c r="P212" i="15"/>
  <c r="A212" i="15"/>
  <c r="P211" i="15"/>
  <c r="A211" i="15"/>
  <c r="P210" i="15"/>
  <c r="A210" i="15"/>
  <c r="P209" i="15"/>
  <c r="A209" i="15"/>
  <c r="P208" i="15"/>
  <c r="A208" i="15"/>
  <c r="P207" i="15"/>
  <c r="A207" i="15"/>
  <c r="P206" i="15"/>
  <c r="A206" i="15"/>
  <c r="P205" i="15"/>
  <c r="A205" i="15"/>
  <c r="P204" i="15"/>
  <c r="A204" i="15"/>
  <c r="P203" i="15"/>
  <c r="A203" i="15"/>
  <c r="P202" i="15"/>
  <c r="A202" i="15"/>
  <c r="P201" i="15"/>
  <c r="A201" i="15"/>
  <c r="P200" i="15"/>
  <c r="A200" i="15"/>
  <c r="P199" i="15"/>
  <c r="A199" i="15"/>
  <c r="P198" i="15"/>
  <c r="A198" i="15"/>
  <c r="P197" i="15"/>
  <c r="A197" i="15"/>
  <c r="P196" i="15"/>
  <c r="A196" i="15"/>
  <c r="P195" i="15"/>
  <c r="A195" i="15"/>
  <c r="P194" i="15"/>
  <c r="A194" i="15"/>
  <c r="P193" i="15"/>
  <c r="A193" i="15"/>
  <c r="P192" i="15"/>
  <c r="A192" i="15"/>
  <c r="P191" i="15"/>
  <c r="A191" i="15"/>
  <c r="P190" i="15"/>
  <c r="A190" i="15"/>
  <c r="P189" i="15"/>
  <c r="A189" i="15"/>
  <c r="P188" i="15"/>
  <c r="A188" i="15"/>
  <c r="P187" i="15"/>
  <c r="A187" i="15"/>
  <c r="P186" i="15"/>
  <c r="A186" i="15"/>
  <c r="P185" i="15"/>
  <c r="A185" i="15"/>
  <c r="P184" i="15"/>
  <c r="A184" i="15"/>
  <c r="P183" i="15"/>
  <c r="A183" i="15"/>
  <c r="P182" i="15"/>
  <c r="A182" i="15"/>
  <c r="P181" i="15"/>
  <c r="A181" i="15"/>
  <c r="P180" i="15"/>
  <c r="A180" i="15"/>
  <c r="P179" i="15"/>
  <c r="A179" i="15"/>
  <c r="P178" i="15"/>
  <c r="A178" i="15"/>
  <c r="P177" i="15"/>
  <c r="A177" i="15"/>
  <c r="P176" i="15"/>
  <c r="A176" i="15"/>
  <c r="P175" i="15"/>
  <c r="A175" i="15"/>
  <c r="P174" i="15"/>
  <c r="A174" i="15"/>
  <c r="P173" i="15"/>
  <c r="A173" i="15"/>
  <c r="P172" i="15"/>
  <c r="A172" i="15"/>
  <c r="P171" i="15"/>
  <c r="A171" i="15"/>
  <c r="P170" i="15"/>
  <c r="A170" i="15"/>
  <c r="P169" i="15"/>
  <c r="A169" i="15"/>
  <c r="P168" i="15"/>
  <c r="A168" i="15"/>
  <c r="P167" i="15"/>
  <c r="A167" i="15"/>
  <c r="P166" i="15"/>
  <c r="A166" i="15"/>
  <c r="P165" i="15"/>
  <c r="A165" i="15"/>
  <c r="P164" i="15"/>
  <c r="A164" i="15"/>
  <c r="P163" i="15"/>
  <c r="A163" i="15"/>
  <c r="P162" i="15"/>
  <c r="A162" i="15"/>
  <c r="P161" i="15"/>
  <c r="A161" i="15"/>
  <c r="P160" i="15"/>
  <c r="A160" i="15"/>
  <c r="P159" i="15"/>
  <c r="A159" i="15"/>
  <c r="P158" i="15"/>
  <c r="A158" i="15"/>
  <c r="P157" i="15"/>
  <c r="A157" i="15"/>
  <c r="P156" i="15"/>
  <c r="A156" i="15"/>
  <c r="P155" i="15"/>
  <c r="A155" i="15"/>
  <c r="P154" i="15"/>
  <c r="A154" i="15"/>
  <c r="P153" i="15"/>
  <c r="A153" i="15"/>
  <c r="P152" i="15"/>
  <c r="A152" i="15"/>
  <c r="P151" i="15"/>
  <c r="A151" i="15"/>
  <c r="P150" i="15"/>
  <c r="A150" i="15"/>
  <c r="P149" i="15"/>
  <c r="A149" i="15"/>
  <c r="P148" i="15"/>
  <c r="A148" i="15"/>
  <c r="P147" i="15"/>
  <c r="A147" i="15"/>
  <c r="P146" i="15"/>
  <c r="A146" i="15"/>
  <c r="P145" i="15"/>
  <c r="A145" i="15"/>
  <c r="P144" i="15"/>
  <c r="A144" i="15"/>
  <c r="P143" i="15"/>
  <c r="A143" i="15"/>
  <c r="P142" i="15"/>
  <c r="A142" i="15"/>
  <c r="P141" i="15"/>
  <c r="A141" i="15"/>
  <c r="P140" i="15"/>
  <c r="A140" i="15"/>
  <c r="P139" i="15"/>
  <c r="A139" i="15"/>
  <c r="P138" i="15"/>
  <c r="A138" i="15"/>
  <c r="P137" i="15"/>
  <c r="A137" i="15"/>
  <c r="P136" i="15"/>
  <c r="A136" i="15"/>
  <c r="P135" i="15"/>
  <c r="A135" i="15"/>
  <c r="P134" i="15"/>
  <c r="A134" i="15"/>
  <c r="P133" i="15"/>
  <c r="A133" i="15"/>
  <c r="P132" i="15"/>
  <c r="A132" i="15"/>
  <c r="P131" i="15"/>
  <c r="A131" i="15"/>
  <c r="P130" i="15"/>
  <c r="A130" i="15"/>
  <c r="P129" i="15"/>
  <c r="A129" i="15"/>
  <c r="P128" i="15"/>
  <c r="A128" i="15"/>
  <c r="P127" i="15"/>
  <c r="A127" i="15"/>
  <c r="P126" i="15"/>
  <c r="A126" i="15"/>
  <c r="P125" i="15"/>
  <c r="A125" i="15"/>
  <c r="P124" i="15"/>
  <c r="A124" i="15"/>
  <c r="P123" i="15"/>
  <c r="A123" i="15"/>
  <c r="P122" i="15"/>
  <c r="A122" i="15"/>
  <c r="P121" i="15"/>
  <c r="A121" i="15"/>
  <c r="P120" i="15"/>
  <c r="A120" i="15"/>
  <c r="P119" i="15"/>
  <c r="A119" i="15"/>
  <c r="P118" i="15"/>
  <c r="A118" i="15"/>
  <c r="P117" i="15"/>
  <c r="A117" i="15"/>
  <c r="P116" i="15"/>
  <c r="A116" i="15"/>
  <c r="P115" i="15"/>
  <c r="A115" i="15"/>
  <c r="P114" i="15"/>
  <c r="A114" i="15"/>
  <c r="P113" i="15"/>
  <c r="A113" i="15"/>
  <c r="P112" i="15"/>
  <c r="A112" i="15"/>
  <c r="P111" i="15"/>
  <c r="A111" i="15"/>
  <c r="P110" i="15"/>
  <c r="A110" i="15"/>
  <c r="P109" i="15"/>
  <c r="A109" i="15"/>
  <c r="P108" i="15"/>
  <c r="A108" i="15"/>
  <c r="P107" i="15"/>
  <c r="A107" i="15"/>
  <c r="P106" i="15"/>
  <c r="A106" i="15"/>
  <c r="P105" i="15"/>
  <c r="A105" i="15"/>
  <c r="P104" i="15"/>
  <c r="A104" i="15"/>
  <c r="P103" i="15"/>
  <c r="A103" i="15"/>
  <c r="P102" i="15"/>
  <c r="A102" i="15"/>
  <c r="P101" i="15"/>
  <c r="A101" i="15"/>
  <c r="P100" i="15"/>
  <c r="A100" i="15"/>
  <c r="P99" i="15"/>
  <c r="A99" i="15"/>
  <c r="P98" i="15"/>
  <c r="A98" i="15"/>
  <c r="P97" i="15"/>
  <c r="A97" i="15"/>
  <c r="P96" i="15"/>
  <c r="A96" i="15"/>
  <c r="P95" i="15"/>
  <c r="A95" i="15"/>
  <c r="P94" i="15"/>
  <c r="A94" i="15"/>
  <c r="P93" i="15"/>
  <c r="A93" i="15"/>
  <c r="P92" i="15"/>
  <c r="A92" i="15"/>
  <c r="P91" i="15"/>
  <c r="A91" i="15"/>
  <c r="P90" i="15"/>
  <c r="A90" i="15"/>
  <c r="P89" i="15"/>
  <c r="A89" i="15"/>
  <c r="P88" i="15"/>
  <c r="A88" i="15"/>
  <c r="P87" i="15"/>
  <c r="A87" i="15"/>
  <c r="P86" i="15"/>
  <c r="A86" i="15"/>
  <c r="P85" i="15"/>
  <c r="A85" i="15"/>
  <c r="P84" i="15"/>
  <c r="A84" i="15"/>
  <c r="P83" i="15"/>
  <c r="A83" i="15"/>
  <c r="P82" i="15"/>
  <c r="A82" i="15"/>
  <c r="P81" i="15"/>
  <c r="A81" i="15"/>
  <c r="P80" i="15"/>
  <c r="A80" i="15"/>
  <c r="P79" i="15"/>
  <c r="A79" i="15"/>
  <c r="P78" i="15"/>
  <c r="A78" i="15"/>
  <c r="P77" i="15"/>
  <c r="A77" i="15"/>
  <c r="P76" i="15"/>
  <c r="A76" i="15"/>
  <c r="P75" i="15"/>
  <c r="A75" i="15"/>
  <c r="P74" i="15"/>
  <c r="A74" i="15"/>
  <c r="P73" i="15"/>
  <c r="A73" i="15"/>
  <c r="P72" i="15"/>
  <c r="A72" i="15"/>
  <c r="P71" i="15"/>
  <c r="A71" i="15"/>
  <c r="P70" i="15"/>
  <c r="A70" i="15"/>
  <c r="P69" i="15"/>
  <c r="A69" i="15"/>
  <c r="P68" i="15"/>
  <c r="A68" i="15"/>
  <c r="P67" i="15"/>
  <c r="A67" i="15"/>
  <c r="P66" i="15"/>
  <c r="A66" i="15"/>
  <c r="P65" i="15"/>
  <c r="A65" i="15"/>
  <c r="P64" i="15"/>
  <c r="A64" i="15"/>
  <c r="P63" i="15"/>
  <c r="A63" i="15"/>
  <c r="P62" i="15"/>
  <c r="A62" i="15"/>
  <c r="P61" i="15"/>
  <c r="A61" i="15"/>
  <c r="P60" i="15"/>
  <c r="A60" i="15"/>
  <c r="P59" i="15"/>
  <c r="A59" i="15"/>
  <c r="P58" i="15"/>
  <c r="A58" i="15"/>
  <c r="P57" i="15"/>
  <c r="A57" i="15"/>
  <c r="P56" i="15"/>
  <c r="A56" i="15"/>
  <c r="P55" i="15"/>
  <c r="A55" i="15"/>
  <c r="P54" i="15"/>
  <c r="A54" i="15"/>
  <c r="P53" i="15"/>
  <c r="A53" i="15"/>
  <c r="P52" i="15"/>
  <c r="A52" i="15"/>
  <c r="P51" i="15"/>
  <c r="A51" i="15"/>
  <c r="P50" i="15"/>
  <c r="A50" i="15"/>
  <c r="P49" i="15"/>
  <c r="A49" i="15"/>
  <c r="P48" i="15"/>
  <c r="A48" i="15"/>
  <c r="P47" i="15"/>
  <c r="A47" i="15"/>
  <c r="P46" i="15"/>
  <c r="A46" i="15"/>
  <c r="P45" i="15"/>
  <c r="A45" i="15"/>
  <c r="P44" i="15"/>
  <c r="A44" i="15"/>
  <c r="P43" i="15"/>
  <c r="A43" i="15"/>
  <c r="P42" i="15"/>
  <c r="A42" i="15"/>
  <c r="P41" i="15"/>
  <c r="A41" i="15"/>
  <c r="P40" i="15"/>
  <c r="A40" i="15"/>
  <c r="P39" i="15"/>
  <c r="A39" i="15"/>
  <c r="P38" i="15"/>
  <c r="A38" i="15"/>
  <c r="P37" i="15"/>
  <c r="A37" i="15"/>
  <c r="P36" i="15"/>
  <c r="A36" i="15"/>
  <c r="P35" i="15"/>
  <c r="A35" i="15"/>
  <c r="P34" i="15"/>
  <c r="A34" i="15"/>
  <c r="P33" i="15"/>
  <c r="A33" i="15"/>
  <c r="P32" i="15"/>
  <c r="A32" i="15"/>
  <c r="P31" i="15"/>
  <c r="A31" i="15"/>
  <c r="P30" i="15"/>
  <c r="A30" i="15"/>
  <c r="P29" i="15"/>
  <c r="A29" i="15"/>
  <c r="P28" i="15"/>
  <c r="A28" i="15"/>
  <c r="P27" i="15"/>
  <c r="A27" i="15"/>
  <c r="P26" i="15"/>
  <c r="A26" i="15"/>
  <c r="P25" i="15"/>
  <c r="A25" i="15"/>
  <c r="P24" i="15"/>
  <c r="A24" i="15"/>
  <c r="P23" i="15"/>
  <c r="A23" i="15"/>
  <c r="P22" i="15"/>
  <c r="A22" i="15"/>
  <c r="P21" i="15"/>
  <c r="A21" i="15"/>
  <c r="P20" i="15"/>
  <c r="A20" i="15"/>
  <c r="P19" i="15"/>
  <c r="A19" i="15"/>
  <c r="P18" i="15"/>
  <c r="A18" i="15"/>
  <c r="P17" i="15"/>
  <c r="A17" i="15"/>
  <c r="P16" i="15"/>
  <c r="A16" i="15"/>
  <c r="P15" i="15"/>
  <c r="A15" i="15"/>
  <c r="P14" i="15"/>
  <c r="A14" i="15"/>
  <c r="P13" i="15"/>
  <c r="A13" i="15"/>
  <c r="P12" i="15"/>
  <c r="A12" i="15"/>
  <c r="P11" i="15"/>
  <c r="P10" i="15"/>
  <c r="P9" i="15"/>
  <c r="A9" i="15"/>
  <c r="P8" i="15"/>
  <c r="A8" i="15"/>
  <c r="P7" i="15"/>
  <c r="A7" i="15"/>
  <c r="P6" i="15"/>
  <c r="A6" i="15"/>
  <c r="P5" i="15"/>
  <c r="A5" i="15"/>
  <c r="N304" i="14"/>
  <c r="K304" i="14"/>
  <c r="J304" i="14"/>
  <c r="I304" i="14"/>
  <c r="H304" i="14"/>
  <c r="G304" i="14"/>
  <c r="A304" i="14"/>
  <c r="N303" i="14"/>
  <c r="K303" i="14"/>
  <c r="J303" i="14"/>
  <c r="I303" i="14"/>
  <c r="H303" i="14"/>
  <c r="G303" i="14"/>
  <c r="A303" i="14"/>
  <c r="N302" i="14"/>
  <c r="K302" i="14"/>
  <c r="J302" i="14"/>
  <c r="I302" i="14"/>
  <c r="H302" i="14"/>
  <c r="G302" i="14"/>
  <c r="A302" i="14"/>
  <c r="N301" i="14"/>
  <c r="K301" i="14"/>
  <c r="J301" i="14"/>
  <c r="I301" i="14"/>
  <c r="H301" i="14"/>
  <c r="G301" i="14"/>
  <c r="A301" i="14"/>
  <c r="N300" i="14"/>
  <c r="K300" i="14"/>
  <c r="J300" i="14"/>
  <c r="I300" i="14"/>
  <c r="H300" i="14"/>
  <c r="G300" i="14"/>
  <c r="A300" i="14"/>
  <c r="N299" i="14"/>
  <c r="K299" i="14"/>
  <c r="J299" i="14"/>
  <c r="I299" i="14"/>
  <c r="H299" i="14"/>
  <c r="G299" i="14"/>
  <c r="A299" i="14"/>
  <c r="N298" i="14"/>
  <c r="K298" i="14"/>
  <c r="J298" i="14"/>
  <c r="I298" i="14"/>
  <c r="H298" i="14"/>
  <c r="G298" i="14"/>
  <c r="A298" i="14"/>
  <c r="N297" i="14"/>
  <c r="K297" i="14"/>
  <c r="J297" i="14"/>
  <c r="I297" i="14"/>
  <c r="H297" i="14"/>
  <c r="G297" i="14"/>
  <c r="A297" i="14"/>
  <c r="N296" i="14"/>
  <c r="K296" i="14"/>
  <c r="J296" i="14"/>
  <c r="I296" i="14"/>
  <c r="H296" i="14"/>
  <c r="G296" i="14"/>
  <c r="A296" i="14"/>
  <c r="N295" i="14"/>
  <c r="K295" i="14"/>
  <c r="J295" i="14"/>
  <c r="I295" i="14"/>
  <c r="H295" i="14"/>
  <c r="G295" i="14"/>
  <c r="A295" i="14"/>
  <c r="N294" i="14"/>
  <c r="K294" i="14"/>
  <c r="J294" i="14"/>
  <c r="I294" i="14"/>
  <c r="H294" i="14"/>
  <c r="G294" i="14"/>
  <c r="A294" i="14"/>
  <c r="N293" i="14"/>
  <c r="K293" i="14"/>
  <c r="J293" i="14"/>
  <c r="I293" i="14"/>
  <c r="H293" i="14"/>
  <c r="G293" i="14"/>
  <c r="A293" i="14"/>
  <c r="N292" i="14"/>
  <c r="K292" i="14"/>
  <c r="J292" i="14"/>
  <c r="I292" i="14"/>
  <c r="H292" i="14"/>
  <c r="G292" i="14"/>
  <c r="A292" i="14"/>
  <c r="N291" i="14"/>
  <c r="K291" i="14"/>
  <c r="J291" i="14"/>
  <c r="I291" i="14"/>
  <c r="H291" i="14"/>
  <c r="G291" i="14"/>
  <c r="A291" i="14"/>
  <c r="N290" i="14"/>
  <c r="K290" i="14"/>
  <c r="J290" i="14"/>
  <c r="I290" i="14"/>
  <c r="H290" i="14"/>
  <c r="G290" i="14"/>
  <c r="A290" i="14"/>
  <c r="N289" i="14"/>
  <c r="K289" i="14"/>
  <c r="J289" i="14"/>
  <c r="I289" i="14"/>
  <c r="H289" i="14"/>
  <c r="G289" i="14"/>
  <c r="A289" i="14"/>
  <c r="N288" i="14"/>
  <c r="K288" i="14"/>
  <c r="J288" i="14"/>
  <c r="I288" i="14"/>
  <c r="H288" i="14"/>
  <c r="G288" i="14"/>
  <c r="A288" i="14"/>
  <c r="N287" i="14"/>
  <c r="K287" i="14"/>
  <c r="J287" i="14"/>
  <c r="I287" i="14"/>
  <c r="H287" i="14"/>
  <c r="G287" i="14"/>
  <c r="A287" i="14"/>
  <c r="N286" i="14"/>
  <c r="K286" i="14"/>
  <c r="J286" i="14"/>
  <c r="I286" i="14"/>
  <c r="H286" i="14"/>
  <c r="G286" i="14"/>
  <c r="A286" i="14"/>
  <c r="N285" i="14"/>
  <c r="K285" i="14"/>
  <c r="J285" i="14"/>
  <c r="I285" i="14"/>
  <c r="H285" i="14"/>
  <c r="G285" i="14"/>
  <c r="A285" i="14"/>
  <c r="N284" i="14"/>
  <c r="K284" i="14"/>
  <c r="J284" i="14"/>
  <c r="I284" i="14"/>
  <c r="H284" i="14"/>
  <c r="G284" i="14"/>
  <c r="A284" i="14"/>
  <c r="N283" i="14"/>
  <c r="K283" i="14"/>
  <c r="J283" i="14"/>
  <c r="I283" i="14"/>
  <c r="H283" i="14"/>
  <c r="G283" i="14"/>
  <c r="A283" i="14"/>
  <c r="N282" i="14"/>
  <c r="K282" i="14"/>
  <c r="J282" i="14"/>
  <c r="I282" i="14"/>
  <c r="H282" i="14"/>
  <c r="G282" i="14"/>
  <c r="A282" i="14"/>
  <c r="N281" i="14"/>
  <c r="K281" i="14"/>
  <c r="J281" i="14"/>
  <c r="I281" i="14"/>
  <c r="H281" i="14"/>
  <c r="G281" i="14"/>
  <c r="A281" i="14"/>
  <c r="N280" i="14"/>
  <c r="K280" i="14"/>
  <c r="J280" i="14"/>
  <c r="I280" i="14"/>
  <c r="H280" i="14"/>
  <c r="G280" i="14"/>
  <c r="A280" i="14"/>
  <c r="N279" i="14"/>
  <c r="K279" i="14"/>
  <c r="J279" i="14"/>
  <c r="I279" i="14"/>
  <c r="H279" i="14"/>
  <c r="G279" i="14"/>
  <c r="A279" i="14"/>
  <c r="N278" i="14"/>
  <c r="K278" i="14"/>
  <c r="J278" i="14"/>
  <c r="I278" i="14"/>
  <c r="H278" i="14"/>
  <c r="G278" i="14"/>
  <c r="A278" i="14"/>
  <c r="N277" i="14"/>
  <c r="K277" i="14"/>
  <c r="J277" i="14"/>
  <c r="I277" i="14"/>
  <c r="H277" i="14"/>
  <c r="G277" i="14"/>
  <c r="A277" i="14"/>
  <c r="N276" i="14"/>
  <c r="K276" i="14"/>
  <c r="J276" i="14"/>
  <c r="I276" i="14"/>
  <c r="H276" i="14"/>
  <c r="G276" i="14"/>
  <c r="A276" i="14"/>
  <c r="N275" i="14"/>
  <c r="K275" i="14"/>
  <c r="J275" i="14"/>
  <c r="I275" i="14"/>
  <c r="H275" i="14"/>
  <c r="G275" i="14"/>
  <c r="A275" i="14"/>
  <c r="N274" i="14"/>
  <c r="K274" i="14"/>
  <c r="J274" i="14"/>
  <c r="I274" i="14"/>
  <c r="H274" i="14"/>
  <c r="G274" i="14"/>
  <c r="A274" i="14"/>
  <c r="N273" i="14"/>
  <c r="K273" i="14"/>
  <c r="J273" i="14"/>
  <c r="I273" i="14"/>
  <c r="H273" i="14"/>
  <c r="G273" i="14"/>
  <c r="A273" i="14"/>
  <c r="N272" i="14"/>
  <c r="K272" i="14"/>
  <c r="J272" i="14"/>
  <c r="I272" i="14"/>
  <c r="H272" i="14"/>
  <c r="G272" i="14"/>
  <c r="A272" i="14"/>
  <c r="N271" i="14"/>
  <c r="K271" i="14"/>
  <c r="J271" i="14"/>
  <c r="I271" i="14"/>
  <c r="H271" i="14"/>
  <c r="G271" i="14"/>
  <c r="A271" i="14"/>
  <c r="N270" i="14"/>
  <c r="K270" i="14"/>
  <c r="J270" i="14"/>
  <c r="I270" i="14"/>
  <c r="H270" i="14"/>
  <c r="G270" i="14"/>
  <c r="A270" i="14"/>
  <c r="N269" i="14"/>
  <c r="K269" i="14"/>
  <c r="J269" i="14"/>
  <c r="I269" i="14"/>
  <c r="H269" i="14"/>
  <c r="G269" i="14"/>
  <c r="A269" i="14"/>
  <c r="N268" i="14"/>
  <c r="K268" i="14"/>
  <c r="J268" i="14"/>
  <c r="I268" i="14"/>
  <c r="H268" i="14"/>
  <c r="G268" i="14"/>
  <c r="A268" i="14"/>
  <c r="N267" i="14"/>
  <c r="K267" i="14"/>
  <c r="J267" i="14"/>
  <c r="I267" i="14"/>
  <c r="H267" i="14"/>
  <c r="G267" i="14"/>
  <c r="A267" i="14"/>
  <c r="N266" i="14"/>
  <c r="K266" i="14"/>
  <c r="J266" i="14"/>
  <c r="I266" i="14"/>
  <c r="H266" i="14"/>
  <c r="G266" i="14"/>
  <c r="A266" i="14"/>
  <c r="N265" i="14"/>
  <c r="K265" i="14"/>
  <c r="J265" i="14"/>
  <c r="I265" i="14"/>
  <c r="H265" i="14"/>
  <c r="G265" i="14"/>
  <c r="A265" i="14"/>
  <c r="N264" i="14"/>
  <c r="K264" i="14"/>
  <c r="J264" i="14"/>
  <c r="I264" i="14"/>
  <c r="H264" i="14"/>
  <c r="G264" i="14"/>
  <c r="A264" i="14"/>
  <c r="N263" i="14"/>
  <c r="K263" i="14"/>
  <c r="J263" i="14"/>
  <c r="I263" i="14"/>
  <c r="H263" i="14"/>
  <c r="G263" i="14"/>
  <c r="A263" i="14"/>
  <c r="N262" i="14"/>
  <c r="K262" i="14"/>
  <c r="J262" i="14"/>
  <c r="I262" i="14"/>
  <c r="H262" i="14"/>
  <c r="G262" i="14"/>
  <c r="A262" i="14"/>
  <c r="N261" i="14"/>
  <c r="K261" i="14"/>
  <c r="J261" i="14"/>
  <c r="I261" i="14"/>
  <c r="H261" i="14"/>
  <c r="G261" i="14"/>
  <c r="A261" i="14"/>
  <c r="N260" i="14"/>
  <c r="K260" i="14"/>
  <c r="J260" i="14"/>
  <c r="I260" i="14"/>
  <c r="H260" i="14"/>
  <c r="G260" i="14"/>
  <c r="A260" i="14"/>
  <c r="N259" i="14"/>
  <c r="K259" i="14"/>
  <c r="J259" i="14"/>
  <c r="I259" i="14"/>
  <c r="H259" i="14"/>
  <c r="G259" i="14"/>
  <c r="A259" i="14"/>
  <c r="N258" i="14"/>
  <c r="K258" i="14"/>
  <c r="J258" i="14"/>
  <c r="I258" i="14"/>
  <c r="H258" i="14"/>
  <c r="G258" i="14"/>
  <c r="A258" i="14"/>
  <c r="N257" i="14"/>
  <c r="K257" i="14"/>
  <c r="J257" i="14"/>
  <c r="I257" i="14"/>
  <c r="H257" i="14"/>
  <c r="G257" i="14"/>
  <c r="A257" i="14"/>
  <c r="N256" i="14"/>
  <c r="K256" i="14"/>
  <c r="J256" i="14"/>
  <c r="I256" i="14"/>
  <c r="H256" i="14"/>
  <c r="G256" i="14"/>
  <c r="A256" i="14"/>
  <c r="N255" i="14"/>
  <c r="K255" i="14"/>
  <c r="J255" i="14"/>
  <c r="I255" i="14"/>
  <c r="H255" i="14"/>
  <c r="G255" i="14"/>
  <c r="A255" i="14"/>
  <c r="N254" i="14"/>
  <c r="K254" i="14"/>
  <c r="J254" i="14"/>
  <c r="I254" i="14"/>
  <c r="H254" i="14"/>
  <c r="G254" i="14"/>
  <c r="A254" i="14"/>
  <c r="N253" i="14"/>
  <c r="K253" i="14"/>
  <c r="J253" i="14"/>
  <c r="I253" i="14"/>
  <c r="H253" i="14"/>
  <c r="G253" i="14"/>
  <c r="A253" i="14"/>
  <c r="N252" i="14"/>
  <c r="K252" i="14"/>
  <c r="J252" i="14"/>
  <c r="I252" i="14"/>
  <c r="H252" i="14"/>
  <c r="G252" i="14"/>
  <c r="A252" i="14"/>
  <c r="N251" i="14"/>
  <c r="K251" i="14"/>
  <c r="J251" i="14"/>
  <c r="I251" i="14"/>
  <c r="H251" i="14"/>
  <c r="G251" i="14"/>
  <c r="A251" i="14"/>
  <c r="N250" i="14"/>
  <c r="K250" i="14"/>
  <c r="J250" i="14"/>
  <c r="I250" i="14"/>
  <c r="H250" i="14"/>
  <c r="G250" i="14"/>
  <c r="A250" i="14"/>
  <c r="N249" i="14"/>
  <c r="K249" i="14"/>
  <c r="J249" i="14"/>
  <c r="I249" i="14"/>
  <c r="H249" i="14"/>
  <c r="G249" i="14"/>
  <c r="A249" i="14"/>
  <c r="N248" i="14"/>
  <c r="K248" i="14"/>
  <c r="J248" i="14"/>
  <c r="I248" i="14"/>
  <c r="H248" i="14"/>
  <c r="G248" i="14"/>
  <c r="A248" i="14"/>
  <c r="N247" i="14"/>
  <c r="K247" i="14"/>
  <c r="J247" i="14"/>
  <c r="I247" i="14"/>
  <c r="H247" i="14"/>
  <c r="G247" i="14"/>
  <c r="A247" i="14"/>
  <c r="N246" i="14"/>
  <c r="K246" i="14"/>
  <c r="J246" i="14"/>
  <c r="I246" i="14"/>
  <c r="H246" i="14"/>
  <c r="G246" i="14"/>
  <c r="A246" i="14"/>
  <c r="N245" i="14"/>
  <c r="K245" i="14"/>
  <c r="J245" i="14"/>
  <c r="I245" i="14"/>
  <c r="H245" i="14"/>
  <c r="G245" i="14"/>
  <c r="A245" i="14"/>
  <c r="N244" i="14"/>
  <c r="K244" i="14"/>
  <c r="J244" i="14"/>
  <c r="I244" i="14"/>
  <c r="H244" i="14"/>
  <c r="G244" i="14"/>
  <c r="A244" i="14"/>
  <c r="N243" i="14"/>
  <c r="K243" i="14"/>
  <c r="J243" i="14"/>
  <c r="I243" i="14"/>
  <c r="H243" i="14"/>
  <c r="G243" i="14"/>
  <c r="A243" i="14"/>
  <c r="N242" i="14"/>
  <c r="K242" i="14"/>
  <c r="J242" i="14"/>
  <c r="I242" i="14"/>
  <c r="H242" i="14"/>
  <c r="G242" i="14"/>
  <c r="A242" i="14"/>
  <c r="N241" i="14"/>
  <c r="K241" i="14"/>
  <c r="J241" i="14"/>
  <c r="I241" i="14"/>
  <c r="H241" i="14"/>
  <c r="G241" i="14"/>
  <c r="A241" i="14"/>
  <c r="N240" i="14"/>
  <c r="K240" i="14"/>
  <c r="J240" i="14"/>
  <c r="I240" i="14"/>
  <c r="H240" i="14"/>
  <c r="G240" i="14"/>
  <c r="A240" i="14"/>
  <c r="N239" i="14"/>
  <c r="K239" i="14"/>
  <c r="J239" i="14"/>
  <c r="I239" i="14"/>
  <c r="H239" i="14"/>
  <c r="G239" i="14"/>
  <c r="A239" i="14"/>
  <c r="N238" i="14"/>
  <c r="K238" i="14"/>
  <c r="J238" i="14"/>
  <c r="I238" i="14"/>
  <c r="H238" i="14"/>
  <c r="G238" i="14"/>
  <c r="A238" i="14"/>
  <c r="N237" i="14"/>
  <c r="K237" i="14"/>
  <c r="J237" i="14"/>
  <c r="I237" i="14"/>
  <c r="H237" i="14"/>
  <c r="G237" i="14"/>
  <c r="A237" i="14"/>
  <c r="N236" i="14"/>
  <c r="K236" i="14"/>
  <c r="J236" i="14"/>
  <c r="I236" i="14"/>
  <c r="H236" i="14"/>
  <c r="G236" i="14"/>
  <c r="A236" i="14"/>
  <c r="N235" i="14"/>
  <c r="K235" i="14"/>
  <c r="J235" i="14"/>
  <c r="I235" i="14"/>
  <c r="H235" i="14"/>
  <c r="G235" i="14"/>
  <c r="A235" i="14"/>
  <c r="N234" i="14"/>
  <c r="K234" i="14"/>
  <c r="J234" i="14"/>
  <c r="I234" i="14"/>
  <c r="H234" i="14"/>
  <c r="G234" i="14"/>
  <c r="A234" i="14"/>
  <c r="N233" i="14"/>
  <c r="K233" i="14"/>
  <c r="J233" i="14"/>
  <c r="I233" i="14"/>
  <c r="H233" i="14"/>
  <c r="G233" i="14"/>
  <c r="A233" i="14"/>
  <c r="N232" i="14"/>
  <c r="K232" i="14"/>
  <c r="J232" i="14"/>
  <c r="I232" i="14"/>
  <c r="H232" i="14"/>
  <c r="G232" i="14"/>
  <c r="A232" i="14"/>
  <c r="N231" i="14"/>
  <c r="K231" i="14"/>
  <c r="J231" i="14"/>
  <c r="I231" i="14"/>
  <c r="H231" i="14"/>
  <c r="G231" i="14"/>
  <c r="A231" i="14"/>
  <c r="N230" i="14"/>
  <c r="K230" i="14"/>
  <c r="J230" i="14"/>
  <c r="I230" i="14"/>
  <c r="H230" i="14"/>
  <c r="G230" i="14"/>
  <c r="A230" i="14"/>
  <c r="N229" i="14"/>
  <c r="K229" i="14"/>
  <c r="J229" i="14"/>
  <c r="I229" i="14"/>
  <c r="H229" i="14"/>
  <c r="G229" i="14"/>
  <c r="A229" i="14"/>
  <c r="N228" i="14"/>
  <c r="K228" i="14"/>
  <c r="J228" i="14"/>
  <c r="I228" i="14"/>
  <c r="H228" i="14"/>
  <c r="G228" i="14"/>
  <c r="A228" i="14"/>
  <c r="N227" i="14"/>
  <c r="K227" i="14"/>
  <c r="J227" i="14"/>
  <c r="I227" i="14"/>
  <c r="H227" i="14"/>
  <c r="G227" i="14"/>
  <c r="A227" i="14"/>
  <c r="N226" i="14"/>
  <c r="K226" i="14"/>
  <c r="J226" i="14"/>
  <c r="I226" i="14"/>
  <c r="H226" i="14"/>
  <c r="G226" i="14"/>
  <c r="A226" i="14"/>
  <c r="N225" i="14"/>
  <c r="K225" i="14"/>
  <c r="J225" i="14"/>
  <c r="I225" i="14"/>
  <c r="H225" i="14"/>
  <c r="G225" i="14"/>
  <c r="A225" i="14"/>
  <c r="N224" i="14"/>
  <c r="K224" i="14"/>
  <c r="J224" i="14"/>
  <c r="I224" i="14"/>
  <c r="H224" i="14"/>
  <c r="G224" i="14"/>
  <c r="A224" i="14"/>
  <c r="N223" i="14"/>
  <c r="K223" i="14"/>
  <c r="J223" i="14"/>
  <c r="I223" i="14"/>
  <c r="H223" i="14"/>
  <c r="G223" i="14"/>
  <c r="A223" i="14"/>
  <c r="N222" i="14"/>
  <c r="K222" i="14"/>
  <c r="J222" i="14"/>
  <c r="I222" i="14"/>
  <c r="H222" i="14"/>
  <c r="G222" i="14"/>
  <c r="A222" i="14"/>
  <c r="N221" i="14"/>
  <c r="K221" i="14"/>
  <c r="J221" i="14"/>
  <c r="I221" i="14"/>
  <c r="H221" i="14"/>
  <c r="G221" i="14"/>
  <c r="A221" i="14"/>
  <c r="N220" i="14"/>
  <c r="K220" i="14"/>
  <c r="J220" i="14"/>
  <c r="I220" i="14"/>
  <c r="H220" i="14"/>
  <c r="G220" i="14"/>
  <c r="A220" i="14"/>
  <c r="N219" i="14"/>
  <c r="K219" i="14"/>
  <c r="J219" i="14"/>
  <c r="I219" i="14"/>
  <c r="H219" i="14"/>
  <c r="G219" i="14"/>
  <c r="A219" i="14"/>
  <c r="N218" i="14"/>
  <c r="K218" i="14"/>
  <c r="J218" i="14"/>
  <c r="I218" i="14"/>
  <c r="H218" i="14"/>
  <c r="G218" i="14"/>
  <c r="A218" i="14"/>
  <c r="N217" i="14"/>
  <c r="K217" i="14"/>
  <c r="J217" i="14"/>
  <c r="I217" i="14"/>
  <c r="H217" i="14"/>
  <c r="G217" i="14"/>
  <c r="A217" i="14"/>
  <c r="N216" i="14"/>
  <c r="K216" i="14"/>
  <c r="J216" i="14"/>
  <c r="I216" i="14"/>
  <c r="H216" i="14"/>
  <c r="G216" i="14"/>
  <c r="A216" i="14"/>
  <c r="N215" i="14"/>
  <c r="K215" i="14"/>
  <c r="J215" i="14"/>
  <c r="I215" i="14"/>
  <c r="H215" i="14"/>
  <c r="G215" i="14"/>
  <c r="A215" i="14"/>
  <c r="N214" i="14"/>
  <c r="K214" i="14"/>
  <c r="J214" i="14"/>
  <c r="I214" i="14"/>
  <c r="H214" i="14"/>
  <c r="G214" i="14"/>
  <c r="A214" i="14"/>
  <c r="N213" i="14"/>
  <c r="K213" i="14"/>
  <c r="J213" i="14"/>
  <c r="I213" i="14"/>
  <c r="H213" i="14"/>
  <c r="G213" i="14"/>
  <c r="A213" i="14"/>
  <c r="N212" i="14"/>
  <c r="K212" i="14"/>
  <c r="J212" i="14"/>
  <c r="I212" i="14"/>
  <c r="H212" i="14"/>
  <c r="G212" i="14"/>
  <c r="A212" i="14"/>
  <c r="N211" i="14"/>
  <c r="K211" i="14"/>
  <c r="J211" i="14"/>
  <c r="I211" i="14"/>
  <c r="H211" i="14"/>
  <c r="G211" i="14"/>
  <c r="A211" i="14"/>
  <c r="N210" i="14"/>
  <c r="K210" i="14"/>
  <c r="J210" i="14"/>
  <c r="I210" i="14"/>
  <c r="H210" i="14"/>
  <c r="G210" i="14"/>
  <c r="A210" i="14"/>
  <c r="N209" i="14"/>
  <c r="K209" i="14"/>
  <c r="J209" i="14"/>
  <c r="I209" i="14"/>
  <c r="H209" i="14"/>
  <c r="G209" i="14"/>
  <c r="A209" i="14"/>
  <c r="N208" i="14"/>
  <c r="K208" i="14"/>
  <c r="J208" i="14"/>
  <c r="I208" i="14"/>
  <c r="H208" i="14"/>
  <c r="G208" i="14"/>
  <c r="A208" i="14"/>
  <c r="N207" i="14"/>
  <c r="K207" i="14"/>
  <c r="J207" i="14"/>
  <c r="I207" i="14"/>
  <c r="H207" i="14"/>
  <c r="G207" i="14"/>
  <c r="A207" i="14"/>
  <c r="N206" i="14"/>
  <c r="K206" i="14"/>
  <c r="J206" i="14"/>
  <c r="I206" i="14"/>
  <c r="H206" i="14"/>
  <c r="G206" i="14"/>
  <c r="A206" i="14"/>
  <c r="N205" i="14"/>
  <c r="K205" i="14"/>
  <c r="J205" i="14"/>
  <c r="I205" i="14"/>
  <c r="H205" i="14"/>
  <c r="G205" i="14"/>
  <c r="A205" i="14"/>
  <c r="N204" i="14"/>
  <c r="K204" i="14"/>
  <c r="J204" i="14"/>
  <c r="I204" i="14"/>
  <c r="H204" i="14"/>
  <c r="G204" i="14"/>
  <c r="A204" i="14"/>
  <c r="N203" i="14"/>
  <c r="K203" i="14"/>
  <c r="J203" i="14"/>
  <c r="I203" i="14"/>
  <c r="H203" i="14"/>
  <c r="G203" i="14"/>
  <c r="A203" i="14"/>
  <c r="N202" i="14"/>
  <c r="K202" i="14"/>
  <c r="J202" i="14"/>
  <c r="I202" i="14"/>
  <c r="H202" i="14"/>
  <c r="G202" i="14"/>
  <c r="A202" i="14"/>
  <c r="N201" i="14"/>
  <c r="K201" i="14"/>
  <c r="J201" i="14"/>
  <c r="I201" i="14"/>
  <c r="H201" i="14"/>
  <c r="G201" i="14"/>
  <c r="A201" i="14"/>
  <c r="N200" i="14"/>
  <c r="K200" i="14"/>
  <c r="J200" i="14"/>
  <c r="I200" i="14"/>
  <c r="H200" i="14"/>
  <c r="G200" i="14"/>
  <c r="A200" i="14"/>
  <c r="N199" i="14"/>
  <c r="K199" i="14"/>
  <c r="J199" i="14"/>
  <c r="I199" i="14"/>
  <c r="H199" i="14"/>
  <c r="G199" i="14"/>
  <c r="A199" i="14"/>
  <c r="N198" i="14"/>
  <c r="K198" i="14"/>
  <c r="J198" i="14"/>
  <c r="I198" i="14"/>
  <c r="H198" i="14"/>
  <c r="G198" i="14"/>
  <c r="A198" i="14"/>
  <c r="N197" i="14"/>
  <c r="K197" i="14"/>
  <c r="J197" i="14"/>
  <c r="I197" i="14"/>
  <c r="H197" i="14"/>
  <c r="G197" i="14"/>
  <c r="A197" i="14"/>
  <c r="N196" i="14"/>
  <c r="K196" i="14"/>
  <c r="J196" i="14"/>
  <c r="I196" i="14"/>
  <c r="H196" i="14"/>
  <c r="G196" i="14"/>
  <c r="A196" i="14"/>
  <c r="N195" i="14"/>
  <c r="K195" i="14"/>
  <c r="J195" i="14"/>
  <c r="I195" i="14"/>
  <c r="H195" i="14"/>
  <c r="G195" i="14"/>
  <c r="A195" i="14"/>
  <c r="N194" i="14"/>
  <c r="K194" i="14"/>
  <c r="J194" i="14"/>
  <c r="I194" i="14"/>
  <c r="H194" i="14"/>
  <c r="G194" i="14"/>
  <c r="A194" i="14"/>
  <c r="N193" i="14"/>
  <c r="K193" i="14"/>
  <c r="J193" i="14"/>
  <c r="I193" i="14"/>
  <c r="H193" i="14"/>
  <c r="G193" i="14"/>
  <c r="A193" i="14"/>
  <c r="N192" i="14"/>
  <c r="K192" i="14"/>
  <c r="J192" i="14"/>
  <c r="I192" i="14"/>
  <c r="H192" i="14"/>
  <c r="G192" i="14"/>
  <c r="A192" i="14"/>
  <c r="N191" i="14"/>
  <c r="K191" i="14"/>
  <c r="J191" i="14"/>
  <c r="I191" i="14"/>
  <c r="H191" i="14"/>
  <c r="G191" i="14"/>
  <c r="A191" i="14"/>
  <c r="N190" i="14"/>
  <c r="K190" i="14"/>
  <c r="J190" i="14"/>
  <c r="I190" i="14"/>
  <c r="H190" i="14"/>
  <c r="G190" i="14"/>
  <c r="A190" i="14"/>
  <c r="N189" i="14"/>
  <c r="K189" i="14"/>
  <c r="J189" i="14"/>
  <c r="I189" i="14"/>
  <c r="H189" i="14"/>
  <c r="G189" i="14"/>
  <c r="A189" i="14"/>
  <c r="N188" i="14"/>
  <c r="K188" i="14"/>
  <c r="J188" i="14"/>
  <c r="I188" i="14"/>
  <c r="H188" i="14"/>
  <c r="G188" i="14"/>
  <c r="A188" i="14"/>
  <c r="N187" i="14"/>
  <c r="K187" i="14"/>
  <c r="J187" i="14"/>
  <c r="I187" i="14"/>
  <c r="H187" i="14"/>
  <c r="G187" i="14"/>
  <c r="A187" i="14"/>
  <c r="N186" i="14"/>
  <c r="K186" i="14"/>
  <c r="J186" i="14"/>
  <c r="I186" i="14"/>
  <c r="H186" i="14"/>
  <c r="G186" i="14"/>
  <c r="A186" i="14"/>
  <c r="N185" i="14"/>
  <c r="K185" i="14"/>
  <c r="J185" i="14"/>
  <c r="I185" i="14"/>
  <c r="H185" i="14"/>
  <c r="G185" i="14"/>
  <c r="A185" i="14"/>
  <c r="N184" i="14"/>
  <c r="K184" i="14"/>
  <c r="J184" i="14"/>
  <c r="I184" i="14"/>
  <c r="H184" i="14"/>
  <c r="G184" i="14"/>
  <c r="A184" i="14"/>
  <c r="N183" i="14"/>
  <c r="K183" i="14"/>
  <c r="J183" i="14"/>
  <c r="I183" i="14"/>
  <c r="H183" i="14"/>
  <c r="G183" i="14"/>
  <c r="A183" i="14"/>
  <c r="N182" i="14"/>
  <c r="K182" i="14"/>
  <c r="J182" i="14"/>
  <c r="I182" i="14"/>
  <c r="H182" i="14"/>
  <c r="G182" i="14"/>
  <c r="A182" i="14"/>
  <c r="N181" i="14"/>
  <c r="K181" i="14"/>
  <c r="J181" i="14"/>
  <c r="I181" i="14"/>
  <c r="H181" i="14"/>
  <c r="G181" i="14"/>
  <c r="A181" i="14"/>
  <c r="N180" i="14"/>
  <c r="K180" i="14"/>
  <c r="J180" i="14"/>
  <c r="I180" i="14"/>
  <c r="H180" i="14"/>
  <c r="G180" i="14"/>
  <c r="A180" i="14"/>
  <c r="N179" i="14"/>
  <c r="K179" i="14"/>
  <c r="J179" i="14"/>
  <c r="I179" i="14"/>
  <c r="H179" i="14"/>
  <c r="G179" i="14"/>
  <c r="A179" i="14"/>
  <c r="N178" i="14"/>
  <c r="K178" i="14"/>
  <c r="J178" i="14"/>
  <c r="I178" i="14"/>
  <c r="H178" i="14"/>
  <c r="G178" i="14"/>
  <c r="A178" i="14"/>
  <c r="N177" i="14"/>
  <c r="K177" i="14"/>
  <c r="J177" i="14"/>
  <c r="I177" i="14"/>
  <c r="H177" i="14"/>
  <c r="G177" i="14"/>
  <c r="A177" i="14"/>
  <c r="N176" i="14"/>
  <c r="K176" i="14"/>
  <c r="J176" i="14"/>
  <c r="I176" i="14"/>
  <c r="H176" i="14"/>
  <c r="G176" i="14"/>
  <c r="A176" i="14"/>
  <c r="N175" i="14"/>
  <c r="K175" i="14"/>
  <c r="J175" i="14"/>
  <c r="I175" i="14"/>
  <c r="H175" i="14"/>
  <c r="G175" i="14"/>
  <c r="A175" i="14"/>
  <c r="N174" i="14"/>
  <c r="K174" i="14"/>
  <c r="J174" i="14"/>
  <c r="I174" i="14"/>
  <c r="H174" i="14"/>
  <c r="G174" i="14"/>
  <c r="A174" i="14"/>
  <c r="N173" i="14"/>
  <c r="K173" i="14"/>
  <c r="J173" i="14"/>
  <c r="I173" i="14"/>
  <c r="H173" i="14"/>
  <c r="G173" i="14"/>
  <c r="A173" i="14"/>
  <c r="N172" i="14"/>
  <c r="K172" i="14"/>
  <c r="J172" i="14"/>
  <c r="I172" i="14"/>
  <c r="H172" i="14"/>
  <c r="G172" i="14"/>
  <c r="A172" i="14"/>
  <c r="N171" i="14"/>
  <c r="K171" i="14"/>
  <c r="J171" i="14"/>
  <c r="I171" i="14"/>
  <c r="H171" i="14"/>
  <c r="G171" i="14"/>
  <c r="A171" i="14"/>
  <c r="N170" i="14"/>
  <c r="K170" i="14"/>
  <c r="J170" i="14"/>
  <c r="I170" i="14"/>
  <c r="H170" i="14"/>
  <c r="G170" i="14"/>
  <c r="A170" i="14"/>
  <c r="N169" i="14"/>
  <c r="K169" i="14"/>
  <c r="J169" i="14"/>
  <c r="I169" i="14"/>
  <c r="H169" i="14"/>
  <c r="G169" i="14"/>
  <c r="A169" i="14"/>
  <c r="N168" i="14"/>
  <c r="K168" i="14"/>
  <c r="J168" i="14"/>
  <c r="I168" i="14"/>
  <c r="H168" i="14"/>
  <c r="G168" i="14"/>
  <c r="A168" i="14"/>
  <c r="N167" i="14"/>
  <c r="K167" i="14"/>
  <c r="J167" i="14"/>
  <c r="I167" i="14"/>
  <c r="H167" i="14"/>
  <c r="G167" i="14"/>
  <c r="A167" i="14"/>
  <c r="N166" i="14"/>
  <c r="K166" i="14"/>
  <c r="J166" i="14"/>
  <c r="I166" i="14"/>
  <c r="H166" i="14"/>
  <c r="G166" i="14"/>
  <c r="A166" i="14"/>
  <c r="N165" i="14"/>
  <c r="K165" i="14"/>
  <c r="J165" i="14"/>
  <c r="I165" i="14"/>
  <c r="H165" i="14"/>
  <c r="G165" i="14"/>
  <c r="A165" i="14"/>
  <c r="N164" i="14"/>
  <c r="K164" i="14"/>
  <c r="J164" i="14"/>
  <c r="I164" i="14"/>
  <c r="H164" i="14"/>
  <c r="G164" i="14"/>
  <c r="A164" i="14"/>
  <c r="N163" i="14"/>
  <c r="K163" i="14"/>
  <c r="J163" i="14"/>
  <c r="I163" i="14"/>
  <c r="H163" i="14"/>
  <c r="G163" i="14"/>
  <c r="A163" i="14"/>
  <c r="N162" i="14"/>
  <c r="K162" i="14"/>
  <c r="J162" i="14"/>
  <c r="I162" i="14"/>
  <c r="H162" i="14"/>
  <c r="G162" i="14"/>
  <c r="A162" i="14"/>
  <c r="N161" i="14"/>
  <c r="K161" i="14"/>
  <c r="J161" i="14"/>
  <c r="I161" i="14"/>
  <c r="H161" i="14"/>
  <c r="G161" i="14"/>
  <c r="A161" i="14"/>
  <c r="N160" i="14"/>
  <c r="K160" i="14"/>
  <c r="J160" i="14"/>
  <c r="I160" i="14"/>
  <c r="H160" i="14"/>
  <c r="G160" i="14"/>
  <c r="A160" i="14"/>
  <c r="N159" i="14"/>
  <c r="K159" i="14"/>
  <c r="J159" i="14"/>
  <c r="I159" i="14"/>
  <c r="H159" i="14"/>
  <c r="G159" i="14"/>
  <c r="A159" i="14"/>
  <c r="N158" i="14"/>
  <c r="K158" i="14"/>
  <c r="J158" i="14"/>
  <c r="I158" i="14"/>
  <c r="H158" i="14"/>
  <c r="G158" i="14"/>
  <c r="A158" i="14"/>
  <c r="N157" i="14"/>
  <c r="K157" i="14"/>
  <c r="J157" i="14"/>
  <c r="I157" i="14"/>
  <c r="H157" i="14"/>
  <c r="G157" i="14"/>
  <c r="A157" i="14"/>
  <c r="N156" i="14"/>
  <c r="K156" i="14"/>
  <c r="J156" i="14"/>
  <c r="I156" i="14"/>
  <c r="H156" i="14"/>
  <c r="G156" i="14"/>
  <c r="A156" i="14"/>
  <c r="N155" i="14"/>
  <c r="K155" i="14"/>
  <c r="J155" i="14"/>
  <c r="I155" i="14"/>
  <c r="H155" i="14"/>
  <c r="G155" i="14"/>
  <c r="A155" i="14"/>
  <c r="N154" i="14"/>
  <c r="K154" i="14"/>
  <c r="J154" i="14"/>
  <c r="I154" i="14"/>
  <c r="H154" i="14"/>
  <c r="G154" i="14"/>
  <c r="A154" i="14"/>
  <c r="N153" i="14"/>
  <c r="K153" i="14"/>
  <c r="J153" i="14"/>
  <c r="I153" i="14"/>
  <c r="H153" i="14"/>
  <c r="G153" i="14"/>
  <c r="A153" i="14"/>
  <c r="N152" i="14"/>
  <c r="K152" i="14"/>
  <c r="J152" i="14"/>
  <c r="I152" i="14"/>
  <c r="H152" i="14"/>
  <c r="G152" i="14"/>
  <c r="A152" i="14"/>
  <c r="N151" i="14"/>
  <c r="K151" i="14"/>
  <c r="J151" i="14"/>
  <c r="I151" i="14"/>
  <c r="H151" i="14"/>
  <c r="G151" i="14"/>
  <c r="A151" i="14"/>
  <c r="N150" i="14"/>
  <c r="K150" i="14"/>
  <c r="J150" i="14"/>
  <c r="I150" i="14"/>
  <c r="H150" i="14"/>
  <c r="G150" i="14"/>
  <c r="A150" i="14"/>
  <c r="N149" i="14"/>
  <c r="K149" i="14"/>
  <c r="J149" i="14"/>
  <c r="I149" i="14"/>
  <c r="H149" i="14"/>
  <c r="G149" i="14"/>
  <c r="A149" i="14"/>
  <c r="N148" i="14"/>
  <c r="K148" i="14"/>
  <c r="J148" i="14"/>
  <c r="I148" i="14"/>
  <c r="H148" i="14"/>
  <c r="G148" i="14"/>
  <c r="A148" i="14"/>
  <c r="N147" i="14"/>
  <c r="K147" i="14"/>
  <c r="J147" i="14"/>
  <c r="I147" i="14"/>
  <c r="H147" i="14"/>
  <c r="G147" i="14"/>
  <c r="A147" i="14"/>
  <c r="N146" i="14"/>
  <c r="K146" i="14"/>
  <c r="J146" i="14"/>
  <c r="I146" i="14"/>
  <c r="H146" i="14"/>
  <c r="G146" i="14"/>
  <c r="A146" i="14"/>
  <c r="N145" i="14"/>
  <c r="K145" i="14"/>
  <c r="J145" i="14"/>
  <c r="I145" i="14"/>
  <c r="H145" i="14"/>
  <c r="G145" i="14"/>
  <c r="A145" i="14"/>
  <c r="N144" i="14"/>
  <c r="K144" i="14"/>
  <c r="J144" i="14"/>
  <c r="I144" i="14"/>
  <c r="H144" i="14"/>
  <c r="G144" i="14"/>
  <c r="A144" i="14"/>
  <c r="N143" i="14"/>
  <c r="K143" i="14"/>
  <c r="J143" i="14"/>
  <c r="I143" i="14"/>
  <c r="H143" i="14"/>
  <c r="G143" i="14"/>
  <c r="A143" i="14"/>
  <c r="N142" i="14"/>
  <c r="K142" i="14"/>
  <c r="J142" i="14"/>
  <c r="I142" i="14"/>
  <c r="H142" i="14"/>
  <c r="G142" i="14"/>
  <c r="A142" i="14"/>
  <c r="N141" i="14"/>
  <c r="K141" i="14"/>
  <c r="J141" i="14"/>
  <c r="I141" i="14"/>
  <c r="H141" i="14"/>
  <c r="G141" i="14"/>
  <c r="A141" i="14"/>
  <c r="N140" i="14"/>
  <c r="K140" i="14"/>
  <c r="J140" i="14"/>
  <c r="I140" i="14"/>
  <c r="H140" i="14"/>
  <c r="G140" i="14"/>
  <c r="A140" i="14"/>
  <c r="N139" i="14"/>
  <c r="K139" i="14"/>
  <c r="J139" i="14"/>
  <c r="I139" i="14"/>
  <c r="H139" i="14"/>
  <c r="G139" i="14"/>
  <c r="A139" i="14"/>
  <c r="N138" i="14"/>
  <c r="K138" i="14"/>
  <c r="J138" i="14"/>
  <c r="I138" i="14"/>
  <c r="H138" i="14"/>
  <c r="G138" i="14"/>
  <c r="A138" i="14"/>
  <c r="N137" i="14"/>
  <c r="K137" i="14"/>
  <c r="J137" i="14"/>
  <c r="I137" i="14"/>
  <c r="H137" i="14"/>
  <c r="G137" i="14"/>
  <c r="A137" i="14"/>
  <c r="N136" i="14"/>
  <c r="K136" i="14"/>
  <c r="J136" i="14"/>
  <c r="I136" i="14"/>
  <c r="H136" i="14"/>
  <c r="G136" i="14"/>
  <c r="A136" i="14"/>
  <c r="N135" i="14"/>
  <c r="K135" i="14"/>
  <c r="J135" i="14"/>
  <c r="I135" i="14"/>
  <c r="H135" i="14"/>
  <c r="G135" i="14"/>
  <c r="A135" i="14"/>
  <c r="N134" i="14"/>
  <c r="K134" i="14"/>
  <c r="J134" i="14"/>
  <c r="I134" i="14"/>
  <c r="H134" i="14"/>
  <c r="G134" i="14"/>
  <c r="A134" i="14"/>
  <c r="N133" i="14"/>
  <c r="K133" i="14"/>
  <c r="J133" i="14"/>
  <c r="I133" i="14"/>
  <c r="H133" i="14"/>
  <c r="G133" i="14"/>
  <c r="A133" i="14"/>
  <c r="N132" i="14"/>
  <c r="K132" i="14"/>
  <c r="J132" i="14"/>
  <c r="I132" i="14"/>
  <c r="H132" i="14"/>
  <c r="G132" i="14"/>
  <c r="A132" i="14"/>
  <c r="N131" i="14"/>
  <c r="K131" i="14"/>
  <c r="J131" i="14"/>
  <c r="I131" i="14"/>
  <c r="H131" i="14"/>
  <c r="G131" i="14"/>
  <c r="A131" i="14"/>
  <c r="N130" i="14"/>
  <c r="K130" i="14"/>
  <c r="J130" i="14"/>
  <c r="I130" i="14"/>
  <c r="H130" i="14"/>
  <c r="G130" i="14"/>
  <c r="A130" i="14"/>
  <c r="N129" i="14"/>
  <c r="K129" i="14"/>
  <c r="J129" i="14"/>
  <c r="I129" i="14"/>
  <c r="H129" i="14"/>
  <c r="G129" i="14"/>
  <c r="A129" i="14"/>
  <c r="N128" i="14"/>
  <c r="K128" i="14"/>
  <c r="J128" i="14"/>
  <c r="I128" i="14"/>
  <c r="H128" i="14"/>
  <c r="G128" i="14"/>
  <c r="A128" i="14"/>
  <c r="N127" i="14"/>
  <c r="K127" i="14"/>
  <c r="J127" i="14"/>
  <c r="I127" i="14"/>
  <c r="H127" i="14"/>
  <c r="G127" i="14"/>
  <c r="A127" i="14"/>
  <c r="N126" i="14"/>
  <c r="K126" i="14"/>
  <c r="J126" i="14"/>
  <c r="I126" i="14"/>
  <c r="H126" i="14"/>
  <c r="G126" i="14"/>
  <c r="A126" i="14"/>
  <c r="N125" i="14"/>
  <c r="K125" i="14"/>
  <c r="J125" i="14"/>
  <c r="I125" i="14"/>
  <c r="H125" i="14"/>
  <c r="G125" i="14"/>
  <c r="A125" i="14"/>
  <c r="N124" i="14"/>
  <c r="K124" i="14"/>
  <c r="J124" i="14"/>
  <c r="I124" i="14"/>
  <c r="H124" i="14"/>
  <c r="G124" i="14"/>
  <c r="A124" i="14"/>
  <c r="N123" i="14"/>
  <c r="K123" i="14"/>
  <c r="J123" i="14"/>
  <c r="I123" i="14"/>
  <c r="H123" i="14"/>
  <c r="G123" i="14"/>
  <c r="A123" i="14"/>
  <c r="N122" i="14"/>
  <c r="K122" i="14"/>
  <c r="J122" i="14"/>
  <c r="I122" i="14"/>
  <c r="H122" i="14"/>
  <c r="G122" i="14"/>
  <c r="A122" i="14"/>
  <c r="N121" i="14"/>
  <c r="K121" i="14"/>
  <c r="J121" i="14"/>
  <c r="I121" i="14"/>
  <c r="H121" i="14"/>
  <c r="G121" i="14"/>
  <c r="A121" i="14"/>
  <c r="N120" i="14"/>
  <c r="K120" i="14"/>
  <c r="J120" i="14"/>
  <c r="I120" i="14"/>
  <c r="H120" i="14"/>
  <c r="G120" i="14"/>
  <c r="A120" i="14"/>
  <c r="N119" i="14"/>
  <c r="K119" i="14"/>
  <c r="J119" i="14"/>
  <c r="I119" i="14"/>
  <c r="H119" i="14"/>
  <c r="G119" i="14"/>
  <c r="A119" i="14"/>
  <c r="N118" i="14"/>
  <c r="K118" i="14"/>
  <c r="J118" i="14"/>
  <c r="I118" i="14"/>
  <c r="H118" i="14"/>
  <c r="G118" i="14"/>
  <c r="A118" i="14"/>
  <c r="N117" i="14"/>
  <c r="K117" i="14"/>
  <c r="J117" i="14"/>
  <c r="I117" i="14"/>
  <c r="H117" i="14"/>
  <c r="G117" i="14"/>
  <c r="A117" i="14"/>
  <c r="N116" i="14"/>
  <c r="K116" i="14"/>
  <c r="J116" i="14"/>
  <c r="I116" i="14"/>
  <c r="H116" i="14"/>
  <c r="G116" i="14"/>
  <c r="A116" i="14"/>
  <c r="N115" i="14"/>
  <c r="K115" i="14"/>
  <c r="J115" i="14"/>
  <c r="I115" i="14"/>
  <c r="H115" i="14"/>
  <c r="G115" i="14"/>
  <c r="A115" i="14"/>
  <c r="N114" i="14"/>
  <c r="K114" i="14"/>
  <c r="J114" i="14"/>
  <c r="I114" i="14"/>
  <c r="H114" i="14"/>
  <c r="G114" i="14"/>
  <c r="A114" i="14"/>
  <c r="N113" i="14"/>
  <c r="K113" i="14"/>
  <c r="J113" i="14"/>
  <c r="I113" i="14"/>
  <c r="H113" i="14"/>
  <c r="G113" i="14"/>
  <c r="A113" i="14"/>
  <c r="N112" i="14"/>
  <c r="K112" i="14"/>
  <c r="J112" i="14"/>
  <c r="I112" i="14"/>
  <c r="H112" i="14"/>
  <c r="G112" i="14"/>
  <c r="A112" i="14"/>
  <c r="N111" i="14"/>
  <c r="K111" i="14"/>
  <c r="J111" i="14"/>
  <c r="I111" i="14"/>
  <c r="H111" i="14"/>
  <c r="G111" i="14"/>
  <c r="A111" i="14"/>
  <c r="N110" i="14"/>
  <c r="K110" i="14"/>
  <c r="J110" i="14"/>
  <c r="I110" i="14"/>
  <c r="H110" i="14"/>
  <c r="G110" i="14"/>
  <c r="A110" i="14"/>
  <c r="N109" i="14"/>
  <c r="K109" i="14"/>
  <c r="J109" i="14"/>
  <c r="I109" i="14"/>
  <c r="H109" i="14"/>
  <c r="G109" i="14"/>
  <c r="A109" i="14"/>
  <c r="N108" i="14"/>
  <c r="K108" i="14"/>
  <c r="J108" i="14"/>
  <c r="I108" i="14"/>
  <c r="H108" i="14"/>
  <c r="G108" i="14"/>
  <c r="A108" i="14"/>
  <c r="N107" i="14"/>
  <c r="K107" i="14"/>
  <c r="J107" i="14"/>
  <c r="I107" i="14"/>
  <c r="H107" i="14"/>
  <c r="G107" i="14"/>
  <c r="A107" i="14"/>
  <c r="N106" i="14"/>
  <c r="K106" i="14"/>
  <c r="J106" i="14"/>
  <c r="I106" i="14"/>
  <c r="H106" i="14"/>
  <c r="G106" i="14"/>
  <c r="A106" i="14"/>
  <c r="N105" i="14"/>
  <c r="K105" i="14"/>
  <c r="J105" i="14"/>
  <c r="I105" i="14"/>
  <c r="H105" i="14"/>
  <c r="G105" i="14"/>
  <c r="A105" i="14"/>
  <c r="N104" i="14"/>
  <c r="K104" i="14"/>
  <c r="J104" i="14"/>
  <c r="I104" i="14"/>
  <c r="H104" i="14"/>
  <c r="G104" i="14"/>
  <c r="A104" i="14"/>
  <c r="N103" i="14"/>
  <c r="K103" i="14"/>
  <c r="J103" i="14"/>
  <c r="I103" i="14"/>
  <c r="H103" i="14"/>
  <c r="G103" i="14"/>
  <c r="A103" i="14"/>
  <c r="N102" i="14"/>
  <c r="K102" i="14"/>
  <c r="J102" i="14"/>
  <c r="I102" i="14"/>
  <c r="H102" i="14"/>
  <c r="G102" i="14"/>
  <c r="A102" i="14"/>
  <c r="N101" i="14"/>
  <c r="K101" i="14"/>
  <c r="J101" i="14"/>
  <c r="I101" i="14"/>
  <c r="H101" i="14"/>
  <c r="G101" i="14"/>
  <c r="A101" i="14"/>
  <c r="N100" i="14"/>
  <c r="K100" i="14"/>
  <c r="J100" i="14"/>
  <c r="I100" i="14"/>
  <c r="H100" i="14"/>
  <c r="G100" i="14"/>
  <c r="A100" i="14"/>
  <c r="N99" i="14"/>
  <c r="K99" i="14"/>
  <c r="J99" i="14"/>
  <c r="I99" i="14"/>
  <c r="H99" i="14"/>
  <c r="G99" i="14"/>
  <c r="A99" i="14"/>
  <c r="N98" i="14"/>
  <c r="K98" i="14"/>
  <c r="J98" i="14"/>
  <c r="I98" i="14"/>
  <c r="H98" i="14"/>
  <c r="G98" i="14"/>
  <c r="A98" i="14"/>
  <c r="N97" i="14"/>
  <c r="K97" i="14"/>
  <c r="J97" i="14"/>
  <c r="I97" i="14"/>
  <c r="H97" i="14"/>
  <c r="G97" i="14"/>
  <c r="A97" i="14"/>
  <c r="N96" i="14"/>
  <c r="K96" i="14"/>
  <c r="J96" i="14"/>
  <c r="I96" i="14"/>
  <c r="H96" i="14"/>
  <c r="G96" i="14"/>
  <c r="A96" i="14"/>
  <c r="N95" i="14"/>
  <c r="K95" i="14"/>
  <c r="J95" i="14"/>
  <c r="I95" i="14"/>
  <c r="H95" i="14"/>
  <c r="G95" i="14"/>
  <c r="A95" i="14"/>
  <c r="N94" i="14"/>
  <c r="K94" i="14"/>
  <c r="J94" i="14"/>
  <c r="I94" i="14"/>
  <c r="H94" i="14"/>
  <c r="G94" i="14"/>
  <c r="A94" i="14"/>
  <c r="N93" i="14"/>
  <c r="K93" i="14"/>
  <c r="J93" i="14"/>
  <c r="I93" i="14"/>
  <c r="H93" i="14"/>
  <c r="G93" i="14"/>
  <c r="A93" i="14"/>
  <c r="N92" i="14"/>
  <c r="K92" i="14"/>
  <c r="J92" i="14"/>
  <c r="I92" i="14"/>
  <c r="H92" i="14"/>
  <c r="G92" i="14"/>
  <c r="A92" i="14"/>
  <c r="N91" i="14"/>
  <c r="K91" i="14"/>
  <c r="J91" i="14"/>
  <c r="I91" i="14"/>
  <c r="H91" i="14"/>
  <c r="G91" i="14"/>
  <c r="A91" i="14"/>
  <c r="N90" i="14"/>
  <c r="K90" i="14"/>
  <c r="J90" i="14"/>
  <c r="I90" i="14"/>
  <c r="H90" i="14"/>
  <c r="G90" i="14"/>
  <c r="A90" i="14"/>
  <c r="N89" i="14"/>
  <c r="K89" i="14"/>
  <c r="J89" i="14"/>
  <c r="I89" i="14"/>
  <c r="H89" i="14"/>
  <c r="G89" i="14"/>
  <c r="A89" i="14"/>
  <c r="N88" i="14"/>
  <c r="K88" i="14"/>
  <c r="J88" i="14"/>
  <c r="I88" i="14"/>
  <c r="H88" i="14"/>
  <c r="G88" i="14"/>
  <c r="A88" i="14"/>
  <c r="N87" i="14"/>
  <c r="K87" i="14"/>
  <c r="J87" i="14"/>
  <c r="I87" i="14"/>
  <c r="H87" i="14"/>
  <c r="G87" i="14"/>
  <c r="A87" i="14"/>
  <c r="N86" i="14"/>
  <c r="K86" i="14"/>
  <c r="J86" i="14"/>
  <c r="I86" i="14"/>
  <c r="H86" i="14"/>
  <c r="G86" i="14"/>
  <c r="A86" i="14"/>
  <c r="N85" i="14"/>
  <c r="K85" i="14"/>
  <c r="J85" i="14"/>
  <c r="I85" i="14"/>
  <c r="H85" i="14"/>
  <c r="G85" i="14"/>
  <c r="A85" i="14"/>
  <c r="N84" i="14"/>
  <c r="K84" i="14"/>
  <c r="J84" i="14"/>
  <c r="I84" i="14"/>
  <c r="H84" i="14"/>
  <c r="G84" i="14"/>
  <c r="A84" i="14"/>
  <c r="N83" i="14"/>
  <c r="K83" i="14"/>
  <c r="J83" i="14"/>
  <c r="I83" i="14"/>
  <c r="H83" i="14"/>
  <c r="G83" i="14"/>
  <c r="A83" i="14"/>
  <c r="N82" i="14"/>
  <c r="K82" i="14"/>
  <c r="J82" i="14"/>
  <c r="I82" i="14"/>
  <c r="H82" i="14"/>
  <c r="G82" i="14"/>
  <c r="A82" i="14"/>
  <c r="N81" i="14"/>
  <c r="K81" i="14"/>
  <c r="J81" i="14"/>
  <c r="I81" i="14"/>
  <c r="H81" i="14"/>
  <c r="G81" i="14"/>
  <c r="A81" i="14"/>
  <c r="N80" i="14"/>
  <c r="K80" i="14"/>
  <c r="J80" i="14"/>
  <c r="I80" i="14"/>
  <c r="H80" i="14"/>
  <c r="G80" i="14"/>
  <c r="A80" i="14"/>
  <c r="N79" i="14"/>
  <c r="K79" i="14"/>
  <c r="J79" i="14"/>
  <c r="I79" i="14"/>
  <c r="H79" i="14"/>
  <c r="G79" i="14"/>
  <c r="A79" i="14"/>
  <c r="N78" i="14"/>
  <c r="K78" i="14"/>
  <c r="J78" i="14"/>
  <c r="I78" i="14"/>
  <c r="H78" i="14"/>
  <c r="G78" i="14"/>
  <c r="A78" i="14"/>
  <c r="N77" i="14"/>
  <c r="K77" i="14"/>
  <c r="J77" i="14"/>
  <c r="I77" i="14"/>
  <c r="H77" i="14"/>
  <c r="G77" i="14"/>
  <c r="A77" i="14"/>
  <c r="N76" i="14"/>
  <c r="K76" i="14"/>
  <c r="J76" i="14"/>
  <c r="I76" i="14"/>
  <c r="H76" i="14"/>
  <c r="G76" i="14"/>
  <c r="A76" i="14"/>
  <c r="N75" i="14"/>
  <c r="K75" i="14"/>
  <c r="J75" i="14"/>
  <c r="I75" i="14"/>
  <c r="H75" i="14"/>
  <c r="G75" i="14"/>
  <c r="A75" i="14"/>
  <c r="N74" i="14"/>
  <c r="K74" i="14"/>
  <c r="J74" i="14"/>
  <c r="I74" i="14"/>
  <c r="H74" i="14"/>
  <c r="G74" i="14"/>
  <c r="A74" i="14"/>
  <c r="N73" i="14"/>
  <c r="K73" i="14"/>
  <c r="J73" i="14"/>
  <c r="I73" i="14"/>
  <c r="H73" i="14"/>
  <c r="G73" i="14"/>
  <c r="A73" i="14"/>
  <c r="N72" i="14"/>
  <c r="K72" i="14"/>
  <c r="J72" i="14"/>
  <c r="I72" i="14"/>
  <c r="H72" i="14"/>
  <c r="G72" i="14"/>
  <c r="A72" i="14"/>
  <c r="N71" i="14"/>
  <c r="K71" i="14"/>
  <c r="J71" i="14"/>
  <c r="I71" i="14"/>
  <c r="H71" i="14"/>
  <c r="G71" i="14"/>
  <c r="A71" i="14"/>
  <c r="N70" i="14"/>
  <c r="K70" i="14"/>
  <c r="J70" i="14"/>
  <c r="I70" i="14"/>
  <c r="H70" i="14"/>
  <c r="G70" i="14"/>
  <c r="A70" i="14"/>
  <c r="N69" i="14"/>
  <c r="K69" i="14"/>
  <c r="J69" i="14"/>
  <c r="I69" i="14"/>
  <c r="H69" i="14"/>
  <c r="G69" i="14"/>
  <c r="A69" i="14"/>
  <c r="N68" i="14"/>
  <c r="K68" i="14"/>
  <c r="J68" i="14"/>
  <c r="I68" i="14"/>
  <c r="H68" i="14"/>
  <c r="G68" i="14"/>
  <c r="A68" i="14"/>
  <c r="N67" i="14"/>
  <c r="K67" i="14"/>
  <c r="J67" i="14"/>
  <c r="I67" i="14"/>
  <c r="H67" i="14"/>
  <c r="G67" i="14"/>
  <c r="A67" i="14"/>
  <c r="N66" i="14"/>
  <c r="K66" i="14"/>
  <c r="J66" i="14"/>
  <c r="I66" i="14"/>
  <c r="H66" i="14"/>
  <c r="G66" i="14"/>
  <c r="A66" i="14"/>
  <c r="N65" i="14"/>
  <c r="K65" i="14"/>
  <c r="J65" i="14"/>
  <c r="I65" i="14"/>
  <c r="H65" i="14"/>
  <c r="G65" i="14"/>
  <c r="A65" i="14"/>
  <c r="N64" i="14"/>
  <c r="K64" i="14"/>
  <c r="J64" i="14"/>
  <c r="I64" i="14"/>
  <c r="H64" i="14"/>
  <c r="G64" i="14"/>
  <c r="A64" i="14"/>
  <c r="N63" i="14"/>
  <c r="K63" i="14"/>
  <c r="J63" i="14"/>
  <c r="I63" i="14"/>
  <c r="H63" i="14"/>
  <c r="G63" i="14"/>
  <c r="A63" i="14"/>
  <c r="N62" i="14"/>
  <c r="K62" i="14"/>
  <c r="J62" i="14"/>
  <c r="I62" i="14"/>
  <c r="H62" i="14"/>
  <c r="G62" i="14"/>
  <c r="A62" i="14"/>
  <c r="N61" i="14"/>
  <c r="K61" i="14"/>
  <c r="J61" i="14"/>
  <c r="I61" i="14"/>
  <c r="H61" i="14"/>
  <c r="G61" i="14"/>
  <c r="A61" i="14"/>
  <c r="N60" i="14"/>
  <c r="K60" i="14"/>
  <c r="J60" i="14"/>
  <c r="I60" i="14"/>
  <c r="H60" i="14"/>
  <c r="G60" i="14"/>
  <c r="A60" i="14"/>
  <c r="N59" i="14"/>
  <c r="K59" i="14"/>
  <c r="J59" i="14"/>
  <c r="I59" i="14"/>
  <c r="H59" i="14"/>
  <c r="G59" i="14"/>
  <c r="A59" i="14"/>
  <c r="N58" i="14"/>
  <c r="K58" i="14"/>
  <c r="J58" i="14"/>
  <c r="I58" i="14"/>
  <c r="H58" i="14"/>
  <c r="G58" i="14"/>
  <c r="A58" i="14"/>
  <c r="N57" i="14"/>
  <c r="K57" i="14"/>
  <c r="J57" i="14"/>
  <c r="I57" i="14"/>
  <c r="H57" i="14"/>
  <c r="G57" i="14"/>
  <c r="A57" i="14"/>
  <c r="N56" i="14"/>
  <c r="K56" i="14"/>
  <c r="J56" i="14"/>
  <c r="I56" i="14"/>
  <c r="H56" i="14"/>
  <c r="G56" i="14"/>
  <c r="A56" i="14"/>
  <c r="N55" i="14"/>
  <c r="K55" i="14"/>
  <c r="J55" i="14"/>
  <c r="I55" i="14"/>
  <c r="H55" i="14"/>
  <c r="G55" i="14"/>
  <c r="A55" i="14"/>
  <c r="N54" i="14"/>
  <c r="K54" i="14"/>
  <c r="J54" i="14"/>
  <c r="I54" i="14"/>
  <c r="H54" i="14"/>
  <c r="G54" i="14"/>
  <c r="A54" i="14"/>
  <c r="N53" i="14"/>
  <c r="K53" i="14"/>
  <c r="J53" i="14"/>
  <c r="I53" i="14"/>
  <c r="H53" i="14"/>
  <c r="G53" i="14"/>
  <c r="A53" i="14"/>
  <c r="N52" i="14"/>
  <c r="K52" i="14"/>
  <c r="J52" i="14"/>
  <c r="I52" i="14"/>
  <c r="H52" i="14"/>
  <c r="G52" i="14"/>
  <c r="A52" i="14"/>
  <c r="N51" i="14"/>
  <c r="K51" i="14"/>
  <c r="J51" i="14"/>
  <c r="I51" i="14"/>
  <c r="H51" i="14"/>
  <c r="G51" i="14"/>
  <c r="A51" i="14"/>
  <c r="N50" i="14"/>
  <c r="K50" i="14"/>
  <c r="J50" i="14"/>
  <c r="I50" i="14"/>
  <c r="H50" i="14"/>
  <c r="G50" i="14"/>
  <c r="A50" i="14"/>
  <c r="N49" i="14"/>
  <c r="K49" i="14"/>
  <c r="J49" i="14"/>
  <c r="I49" i="14"/>
  <c r="H49" i="14"/>
  <c r="G49" i="14"/>
  <c r="A49" i="14"/>
  <c r="N48" i="14"/>
  <c r="K48" i="14"/>
  <c r="J48" i="14"/>
  <c r="I48" i="14"/>
  <c r="H48" i="14"/>
  <c r="G48" i="14"/>
  <c r="A48" i="14"/>
  <c r="N47" i="14"/>
  <c r="K47" i="14"/>
  <c r="J47" i="14"/>
  <c r="I47" i="14"/>
  <c r="H47" i="14"/>
  <c r="G47" i="14"/>
  <c r="A47" i="14"/>
  <c r="N46" i="14"/>
  <c r="K46" i="14"/>
  <c r="J46" i="14"/>
  <c r="I46" i="14"/>
  <c r="H46" i="14"/>
  <c r="G46" i="14"/>
  <c r="A46" i="14"/>
  <c r="N45" i="14"/>
  <c r="K45" i="14"/>
  <c r="J45" i="14"/>
  <c r="I45" i="14"/>
  <c r="H45" i="14"/>
  <c r="G45" i="14"/>
  <c r="A45" i="14"/>
  <c r="N44" i="14"/>
  <c r="K44" i="14"/>
  <c r="J44" i="14"/>
  <c r="I44" i="14"/>
  <c r="H44" i="14"/>
  <c r="G44" i="14"/>
  <c r="A44" i="14"/>
  <c r="N43" i="14"/>
  <c r="K43" i="14"/>
  <c r="J43" i="14"/>
  <c r="I43" i="14"/>
  <c r="H43" i="14"/>
  <c r="G43" i="14"/>
  <c r="A43" i="14"/>
  <c r="N42" i="14"/>
  <c r="K42" i="14"/>
  <c r="J42" i="14"/>
  <c r="I42" i="14"/>
  <c r="H42" i="14"/>
  <c r="G42" i="14"/>
  <c r="A42" i="14"/>
  <c r="N41" i="14"/>
  <c r="K41" i="14"/>
  <c r="J41" i="14"/>
  <c r="I41" i="14"/>
  <c r="H41" i="14"/>
  <c r="G41" i="14"/>
  <c r="A41" i="14"/>
  <c r="N40" i="14"/>
  <c r="K40" i="14"/>
  <c r="J40" i="14"/>
  <c r="I40" i="14"/>
  <c r="H40" i="14"/>
  <c r="G40" i="14"/>
  <c r="A40" i="14"/>
  <c r="N39" i="14"/>
  <c r="K39" i="14"/>
  <c r="J39" i="14"/>
  <c r="I39" i="14"/>
  <c r="H39" i="14"/>
  <c r="G39" i="14"/>
  <c r="A39" i="14"/>
  <c r="N38" i="14"/>
  <c r="K38" i="14"/>
  <c r="J38" i="14"/>
  <c r="I38" i="14"/>
  <c r="H38" i="14"/>
  <c r="G38" i="14"/>
  <c r="A38" i="14"/>
  <c r="N37" i="14"/>
  <c r="K37" i="14"/>
  <c r="J37" i="14"/>
  <c r="I37" i="14"/>
  <c r="H37" i="14"/>
  <c r="G37" i="14"/>
  <c r="A37" i="14"/>
  <c r="N36" i="14"/>
  <c r="K36" i="14"/>
  <c r="J36" i="14"/>
  <c r="I36" i="14"/>
  <c r="H36" i="14"/>
  <c r="G36" i="14"/>
  <c r="A36" i="14"/>
  <c r="N35" i="14"/>
  <c r="K35" i="14"/>
  <c r="J35" i="14"/>
  <c r="I35" i="14"/>
  <c r="H35" i="14"/>
  <c r="G35" i="14"/>
  <c r="A35" i="14"/>
  <c r="N34" i="14"/>
  <c r="K34" i="14"/>
  <c r="J34" i="14"/>
  <c r="I34" i="14"/>
  <c r="H34" i="14"/>
  <c r="G34" i="14"/>
  <c r="A34" i="14"/>
  <c r="N33" i="14"/>
  <c r="K33" i="14"/>
  <c r="J33" i="14"/>
  <c r="I33" i="14"/>
  <c r="H33" i="14"/>
  <c r="G33" i="14"/>
  <c r="A33" i="14"/>
  <c r="N32" i="14"/>
  <c r="K32" i="14"/>
  <c r="J32" i="14"/>
  <c r="I32" i="14"/>
  <c r="H32" i="14"/>
  <c r="G32" i="14"/>
  <c r="A32" i="14"/>
  <c r="N31" i="14"/>
  <c r="K31" i="14"/>
  <c r="J31" i="14"/>
  <c r="I31" i="14"/>
  <c r="H31" i="14"/>
  <c r="G31" i="14"/>
  <c r="A31" i="14"/>
  <c r="N30" i="14"/>
  <c r="K30" i="14"/>
  <c r="J30" i="14"/>
  <c r="I30" i="14"/>
  <c r="H30" i="14"/>
  <c r="G30" i="14"/>
  <c r="A30" i="14"/>
  <c r="N29" i="14"/>
  <c r="K29" i="14"/>
  <c r="J29" i="14"/>
  <c r="I29" i="14"/>
  <c r="H29" i="14"/>
  <c r="G29" i="14"/>
  <c r="A29" i="14"/>
  <c r="N28" i="14"/>
  <c r="K28" i="14"/>
  <c r="J28" i="14"/>
  <c r="I28" i="14"/>
  <c r="H28" i="14"/>
  <c r="G28" i="14"/>
  <c r="A28" i="14"/>
  <c r="N27" i="14"/>
  <c r="K27" i="14"/>
  <c r="J27" i="14"/>
  <c r="I27" i="14"/>
  <c r="H27" i="14"/>
  <c r="G27" i="14"/>
  <c r="A27" i="14"/>
  <c r="N26" i="14"/>
  <c r="K26" i="14"/>
  <c r="J26" i="14"/>
  <c r="I26" i="14"/>
  <c r="H26" i="14"/>
  <c r="G26" i="14"/>
  <c r="A26" i="14"/>
  <c r="N25" i="14"/>
  <c r="K25" i="14"/>
  <c r="J25" i="14"/>
  <c r="I25" i="14"/>
  <c r="H25" i="14"/>
  <c r="G25" i="14"/>
  <c r="A25" i="14"/>
  <c r="N24" i="14"/>
  <c r="K24" i="14"/>
  <c r="J24" i="14"/>
  <c r="I24" i="14"/>
  <c r="H24" i="14"/>
  <c r="G24" i="14"/>
  <c r="A24" i="14"/>
  <c r="N23" i="14"/>
  <c r="K23" i="14"/>
  <c r="J23" i="14"/>
  <c r="I23" i="14"/>
  <c r="H23" i="14"/>
  <c r="G23" i="14"/>
  <c r="A23" i="14"/>
  <c r="N22" i="14"/>
  <c r="K22" i="14"/>
  <c r="J22" i="14"/>
  <c r="I22" i="14"/>
  <c r="H22" i="14"/>
  <c r="G22" i="14"/>
  <c r="A22" i="14"/>
  <c r="N21" i="14"/>
  <c r="K21" i="14"/>
  <c r="J21" i="14"/>
  <c r="I21" i="14"/>
  <c r="H21" i="14"/>
  <c r="G21" i="14"/>
  <c r="A21" i="14"/>
  <c r="N20" i="14"/>
  <c r="K20" i="14"/>
  <c r="J20" i="14"/>
  <c r="I20" i="14"/>
  <c r="H20" i="14"/>
  <c r="G20" i="14"/>
  <c r="A20" i="14"/>
  <c r="N19" i="14"/>
  <c r="K19" i="14"/>
  <c r="J19" i="14"/>
  <c r="I19" i="14"/>
  <c r="H19" i="14"/>
  <c r="G19" i="14"/>
  <c r="A19" i="14"/>
  <c r="N18" i="14"/>
  <c r="K18" i="14"/>
  <c r="J18" i="14"/>
  <c r="I18" i="14"/>
  <c r="H18" i="14"/>
  <c r="G18" i="14"/>
  <c r="A18" i="14"/>
  <c r="N17" i="14"/>
  <c r="K17" i="14"/>
  <c r="J17" i="14"/>
  <c r="I17" i="14"/>
  <c r="H17" i="14"/>
  <c r="G17" i="14"/>
  <c r="A17" i="14"/>
  <c r="N16" i="14"/>
  <c r="K16" i="14"/>
  <c r="J16" i="14"/>
  <c r="I16" i="14"/>
  <c r="H16" i="14"/>
  <c r="G16" i="14"/>
  <c r="A16" i="14"/>
  <c r="N15" i="14"/>
  <c r="I15" i="14"/>
  <c r="H15" i="14"/>
  <c r="G15" i="14"/>
  <c r="A15" i="14"/>
  <c r="N14" i="14"/>
  <c r="H14" i="14"/>
  <c r="G14" i="14"/>
  <c r="A14" i="14"/>
  <c r="N13" i="14"/>
  <c r="H13" i="14"/>
  <c r="G13" i="14"/>
  <c r="A13" i="14"/>
  <c r="N12" i="14"/>
  <c r="H12" i="14"/>
  <c r="G12" i="14"/>
  <c r="A12" i="14"/>
  <c r="N11" i="14"/>
  <c r="J11" i="14"/>
  <c r="H11" i="14"/>
  <c r="G11" i="14"/>
  <c r="A11" i="14"/>
  <c r="N10" i="14"/>
  <c r="H10" i="14"/>
  <c r="G10" i="14"/>
  <c r="A10" i="14"/>
  <c r="N9" i="14"/>
  <c r="H9" i="14"/>
  <c r="G9" i="14"/>
  <c r="A9" i="14"/>
  <c r="N8" i="14"/>
  <c r="H8" i="14"/>
  <c r="G8" i="14"/>
  <c r="A8" i="14"/>
  <c r="N7" i="14"/>
  <c r="H7" i="14"/>
  <c r="G7" i="14"/>
  <c r="A7" i="14"/>
  <c r="N6" i="14"/>
  <c r="J6" i="14"/>
  <c r="H6" i="14"/>
  <c r="G6" i="14"/>
  <c r="A6" i="14"/>
  <c r="N5" i="14"/>
  <c r="J5" i="14"/>
  <c r="H5" i="14"/>
  <c r="G5" i="14"/>
  <c r="A5" i="14"/>
  <c r="R1512" i="13"/>
  <c r="M1512" i="13"/>
  <c r="L1512" i="13"/>
  <c r="J1512" i="13"/>
  <c r="I1512" i="13"/>
  <c r="G1512" i="13"/>
  <c r="B1512" i="13" s="1"/>
  <c r="F1512" i="13"/>
  <c r="E1512" i="13"/>
  <c r="D1512" i="13"/>
  <c r="R1511" i="13"/>
  <c r="M1511" i="13"/>
  <c r="L1511" i="13"/>
  <c r="J1511" i="13"/>
  <c r="I1511" i="13"/>
  <c r="G1511" i="13"/>
  <c r="B1511" i="13" s="1"/>
  <c r="F1511" i="13"/>
  <c r="E1511" i="13"/>
  <c r="D1511" i="13"/>
  <c r="R1510" i="13"/>
  <c r="M1510" i="13"/>
  <c r="L1510" i="13"/>
  <c r="J1510" i="13"/>
  <c r="I1510" i="13"/>
  <c r="G1510" i="13"/>
  <c r="B1510" i="13" s="1"/>
  <c r="F1510" i="13"/>
  <c r="E1510" i="13"/>
  <c r="D1510" i="13"/>
  <c r="R1509" i="13"/>
  <c r="M1509" i="13"/>
  <c r="L1509" i="13"/>
  <c r="J1509" i="13"/>
  <c r="I1509" i="13"/>
  <c r="G1509" i="13"/>
  <c r="B1509" i="13" s="1"/>
  <c r="F1509" i="13"/>
  <c r="E1509" i="13"/>
  <c r="D1509" i="13"/>
  <c r="R1508" i="13"/>
  <c r="M1508" i="13"/>
  <c r="L1508" i="13"/>
  <c r="J1508" i="13"/>
  <c r="I1508" i="13"/>
  <c r="G1508" i="13"/>
  <c r="B1508" i="13" s="1"/>
  <c r="F1508" i="13"/>
  <c r="E1508" i="13"/>
  <c r="D1508" i="13"/>
  <c r="R1507" i="13"/>
  <c r="M1507" i="13"/>
  <c r="L1507" i="13"/>
  <c r="J1507" i="13"/>
  <c r="I1507" i="13"/>
  <c r="G1507" i="13"/>
  <c r="B1507" i="13" s="1"/>
  <c r="F1507" i="13"/>
  <c r="E1507" i="13"/>
  <c r="D1507" i="13"/>
  <c r="R1506" i="13"/>
  <c r="M1506" i="13"/>
  <c r="L1506" i="13"/>
  <c r="J1506" i="13"/>
  <c r="I1506" i="13"/>
  <c r="G1506" i="13"/>
  <c r="B1506" i="13" s="1"/>
  <c r="F1506" i="13"/>
  <c r="E1506" i="13"/>
  <c r="D1506" i="13"/>
  <c r="R1505" i="13"/>
  <c r="M1505" i="13"/>
  <c r="L1505" i="13"/>
  <c r="J1505" i="13"/>
  <c r="I1505" i="13"/>
  <c r="G1505" i="13"/>
  <c r="B1505" i="13" s="1"/>
  <c r="F1505" i="13"/>
  <c r="E1505" i="13"/>
  <c r="D1505" i="13"/>
  <c r="R1504" i="13"/>
  <c r="M1504" i="13"/>
  <c r="L1504" i="13"/>
  <c r="J1504" i="13"/>
  <c r="I1504" i="13"/>
  <c r="G1504" i="13"/>
  <c r="B1504" i="13" s="1"/>
  <c r="F1504" i="13"/>
  <c r="E1504" i="13"/>
  <c r="D1504" i="13"/>
  <c r="R1503" i="13"/>
  <c r="M1503" i="13"/>
  <c r="L1503" i="13"/>
  <c r="J1503" i="13"/>
  <c r="I1503" i="13"/>
  <c r="G1503" i="13"/>
  <c r="B1503" i="13" s="1"/>
  <c r="F1503" i="13"/>
  <c r="E1503" i="13"/>
  <c r="D1503" i="13"/>
  <c r="R1502" i="13"/>
  <c r="M1502" i="13"/>
  <c r="L1502" i="13"/>
  <c r="J1502" i="13"/>
  <c r="I1502" i="13"/>
  <c r="G1502" i="13"/>
  <c r="B1502" i="13" s="1"/>
  <c r="F1502" i="13"/>
  <c r="E1502" i="13"/>
  <c r="D1502" i="13"/>
  <c r="R1501" i="13"/>
  <c r="M1501" i="13"/>
  <c r="L1501" i="13"/>
  <c r="J1501" i="13"/>
  <c r="I1501" i="13"/>
  <c r="G1501" i="13"/>
  <c r="B1501" i="13" s="1"/>
  <c r="F1501" i="13"/>
  <c r="E1501" i="13"/>
  <c r="D1501" i="13"/>
  <c r="R1500" i="13"/>
  <c r="M1500" i="13"/>
  <c r="L1500" i="13"/>
  <c r="J1500" i="13"/>
  <c r="I1500" i="13"/>
  <c r="G1500" i="13"/>
  <c r="B1500" i="13" s="1"/>
  <c r="F1500" i="13"/>
  <c r="E1500" i="13"/>
  <c r="D1500" i="13"/>
  <c r="R1499" i="13"/>
  <c r="M1499" i="13"/>
  <c r="L1499" i="13"/>
  <c r="J1499" i="13"/>
  <c r="I1499" i="13"/>
  <c r="G1499" i="13"/>
  <c r="B1499" i="13" s="1"/>
  <c r="F1499" i="13"/>
  <c r="E1499" i="13"/>
  <c r="D1499" i="13"/>
  <c r="R1498" i="13"/>
  <c r="M1498" i="13"/>
  <c r="L1498" i="13"/>
  <c r="J1498" i="13"/>
  <c r="I1498" i="13"/>
  <c r="G1498" i="13"/>
  <c r="B1498" i="13" s="1"/>
  <c r="F1498" i="13"/>
  <c r="E1498" i="13"/>
  <c r="D1498" i="13"/>
  <c r="R1497" i="13"/>
  <c r="M1497" i="13"/>
  <c r="L1497" i="13"/>
  <c r="J1497" i="13"/>
  <c r="I1497" i="13"/>
  <c r="G1497" i="13"/>
  <c r="B1497" i="13" s="1"/>
  <c r="F1497" i="13"/>
  <c r="E1497" i="13"/>
  <c r="D1497" i="13"/>
  <c r="R1496" i="13"/>
  <c r="M1496" i="13"/>
  <c r="L1496" i="13"/>
  <c r="J1496" i="13"/>
  <c r="I1496" i="13"/>
  <c r="G1496" i="13"/>
  <c r="B1496" i="13" s="1"/>
  <c r="F1496" i="13"/>
  <c r="E1496" i="13"/>
  <c r="D1496" i="13"/>
  <c r="R1495" i="13"/>
  <c r="M1495" i="13"/>
  <c r="L1495" i="13"/>
  <c r="J1495" i="13"/>
  <c r="I1495" i="13"/>
  <c r="G1495" i="13"/>
  <c r="B1495" i="13" s="1"/>
  <c r="F1495" i="13"/>
  <c r="E1495" i="13"/>
  <c r="D1495" i="13"/>
  <c r="R1494" i="13"/>
  <c r="M1494" i="13"/>
  <c r="L1494" i="13"/>
  <c r="J1494" i="13"/>
  <c r="I1494" i="13"/>
  <c r="G1494" i="13"/>
  <c r="B1494" i="13" s="1"/>
  <c r="F1494" i="13"/>
  <c r="E1494" i="13"/>
  <c r="D1494" i="13"/>
  <c r="R1493" i="13"/>
  <c r="M1493" i="13"/>
  <c r="L1493" i="13"/>
  <c r="J1493" i="13"/>
  <c r="I1493" i="13"/>
  <c r="G1493" i="13"/>
  <c r="B1493" i="13" s="1"/>
  <c r="F1493" i="13"/>
  <c r="E1493" i="13"/>
  <c r="D1493" i="13"/>
  <c r="R1492" i="13"/>
  <c r="M1492" i="13"/>
  <c r="L1492" i="13"/>
  <c r="J1492" i="13"/>
  <c r="I1492" i="13"/>
  <c r="G1492" i="13"/>
  <c r="B1492" i="13" s="1"/>
  <c r="F1492" i="13"/>
  <c r="E1492" i="13"/>
  <c r="D1492" i="13"/>
  <c r="R1491" i="13"/>
  <c r="M1491" i="13"/>
  <c r="L1491" i="13"/>
  <c r="J1491" i="13"/>
  <c r="I1491" i="13"/>
  <c r="G1491" i="13"/>
  <c r="B1491" i="13" s="1"/>
  <c r="F1491" i="13"/>
  <c r="E1491" i="13"/>
  <c r="D1491" i="13"/>
  <c r="R1490" i="13"/>
  <c r="M1490" i="13"/>
  <c r="L1490" i="13"/>
  <c r="J1490" i="13"/>
  <c r="I1490" i="13"/>
  <c r="G1490" i="13"/>
  <c r="B1490" i="13" s="1"/>
  <c r="F1490" i="13"/>
  <c r="E1490" i="13"/>
  <c r="D1490" i="13"/>
  <c r="R1489" i="13"/>
  <c r="M1489" i="13"/>
  <c r="L1489" i="13"/>
  <c r="J1489" i="13"/>
  <c r="I1489" i="13"/>
  <c r="G1489" i="13"/>
  <c r="B1489" i="13" s="1"/>
  <c r="F1489" i="13"/>
  <c r="E1489" i="13"/>
  <c r="D1489" i="13"/>
  <c r="R1488" i="13"/>
  <c r="M1488" i="13"/>
  <c r="L1488" i="13"/>
  <c r="J1488" i="13"/>
  <c r="I1488" i="13"/>
  <c r="G1488" i="13"/>
  <c r="B1488" i="13" s="1"/>
  <c r="F1488" i="13"/>
  <c r="E1488" i="13"/>
  <c r="D1488" i="13"/>
  <c r="R1487" i="13"/>
  <c r="M1487" i="13"/>
  <c r="L1487" i="13"/>
  <c r="J1487" i="13"/>
  <c r="I1487" i="13"/>
  <c r="G1487" i="13"/>
  <c r="B1487" i="13" s="1"/>
  <c r="F1487" i="13"/>
  <c r="E1487" i="13"/>
  <c r="D1487" i="13"/>
  <c r="R1486" i="13"/>
  <c r="M1486" i="13"/>
  <c r="L1486" i="13"/>
  <c r="J1486" i="13"/>
  <c r="I1486" i="13"/>
  <c r="G1486" i="13"/>
  <c r="B1486" i="13" s="1"/>
  <c r="F1486" i="13"/>
  <c r="E1486" i="13"/>
  <c r="D1486" i="13"/>
  <c r="R1485" i="13"/>
  <c r="M1485" i="13"/>
  <c r="L1485" i="13"/>
  <c r="J1485" i="13"/>
  <c r="I1485" i="13"/>
  <c r="G1485" i="13"/>
  <c r="B1485" i="13" s="1"/>
  <c r="F1485" i="13"/>
  <c r="E1485" i="13"/>
  <c r="D1485" i="13"/>
  <c r="R1484" i="13"/>
  <c r="M1484" i="13"/>
  <c r="L1484" i="13"/>
  <c r="J1484" i="13"/>
  <c r="I1484" i="13"/>
  <c r="G1484" i="13"/>
  <c r="B1484" i="13" s="1"/>
  <c r="F1484" i="13"/>
  <c r="E1484" i="13"/>
  <c r="D1484" i="13"/>
  <c r="R1483" i="13"/>
  <c r="M1483" i="13"/>
  <c r="L1483" i="13"/>
  <c r="J1483" i="13"/>
  <c r="I1483" i="13"/>
  <c r="G1483" i="13"/>
  <c r="B1483" i="13" s="1"/>
  <c r="F1483" i="13"/>
  <c r="E1483" i="13"/>
  <c r="D1483" i="13"/>
  <c r="R1482" i="13"/>
  <c r="M1482" i="13"/>
  <c r="L1482" i="13"/>
  <c r="J1482" i="13"/>
  <c r="I1482" i="13"/>
  <c r="G1482" i="13"/>
  <c r="B1482" i="13" s="1"/>
  <c r="F1482" i="13"/>
  <c r="E1482" i="13"/>
  <c r="D1482" i="13"/>
  <c r="R1481" i="13"/>
  <c r="M1481" i="13"/>
  <c r="L1481" i="13"/>
  <c r="J1481" i="13"/>
  <c r="I1481" i="13"/>
  <c r="G1481" i="13"/>
  <c r="B1481" i="13" s="1"/>
  <c r="F1481" i="13"/>
  <c r="E1481" i="13"/>
  <c r="D1481" i="13"/>
  <c r="R1480" i="13"/>
  <c r="M1480" i="13"/>
  <c r="L1480" i="13"/>
  <c r="J1480" i="13"/>
  <c r="I1480" i="13"/>
  <c r="G1480" i="13"/>
  <c r="B1480" i="13" s="1"/>
  <c r="F1480" i="13"/>
  <c r="E1480" i="13"/>
  <c r="D1480" i="13"/>
  <c r="R1479" i="13"/>
  <c r="M1479" i="13"/>
  <c r="L1479" i="13"/>
  <c r="J1479" i="13"/>
  <c r="I1479" i="13"/>
  <c r="G1479" i="13"/>
  <c r="B1479" i="13" s="1"/>
  <c r="F1479" i="13"/>
  <c r="E1479" i="13"/>
  <c r="D1479" i="13"/>
  <c r="R1478" i="13"/>
  <c r="M1478" i="13"/>
  <c r="L1478" i="13"/>
  <c r="J1478" i="13"/>
  <c r="I1478" i="13"/>
  <c r="G1478" i="13"/>
  <c r="B1478" i="13" s="1"/>
  <c r="F1478" i="13"/>
  <c r="E1478" i="13"/>
  <c r="D1478" i="13"/>
  <c r="R1477" i="13"/>
  <c r="M1477" i="13"/>
  <c r="L1477" i="13"/>
  <c r="J1477" i="13"/>
  <c r="I1477" i="13"/>
  <c r="G1477" i="13"/>
  <c r="B1477" i="13" s="1"/>
  <c r="F1477" i="13"/>
  <c r="E1477" i="13"/>
  <c r="D1477" i="13"/>
  <c r="R1476" i="13"/>
  <c r="M1476" i="13"/>
  <c r="L1476" i="13"/>
  <c r="J1476" i="13"/>
  <c r="I1476" i="13"/>
  <c r="G1476" i="13"/>
  <c r="B1476" i="13" s="1"/>
  <c r="F1476" i="13"/>
  <c r="E1476" i="13"/>
  <c r="D1476" i="13"/>
  <c r="R1475" i="13"/>
  <c r="M1475" i="13"/>
  <c r="L1475" i="13"/>
  <c r="J1475" i="13"/>
  <c r="I1475" i="13"/>
  <c r="G1475" i="13"/>
  <c r="B1475" i="13" s="1"/>
  <c r="F1475" i="13"/>
  <c r="E1475" i="13"/>
  <c r="D1475" i="13"/>
  <c r="R1474" i="13"/>
  <c r="M1474" i="13"/>
  <c r="L1474" i="13"/>
  <c r="J1474" i="13"/>
  <c r="I1474" i="13"/>
  <c r="G1474" i="13"/>
  <c r="B1474" i="13" s="1"/>
  <c r="F1474" i="13"/>
  <c r="E1474" i="13"/>
  <c r="D1474" i="13"/>
  <c r="R1473" i="13"/>
  <c r="M1473" i="13"/>
  <c r="L1473" i="13"/>
  <c r="J1473" i="13"/>
  <c r="I1473" i="13"/>
  <c r="G1473" i="13"/>
  <c r="B1473" i="13" s="1"/>
  <c r="F1473" i="13"/>
  <c r="E1473" i="13"/>
  <c r="D1473" i="13"/>
  <c r="R1472" i="13"/>
  <c r="M1472" i="13"/>
  <c r="L1472" i="13"/>
  <c r="J1472" i="13"/>
  <c r="I1472" i="13"/>
  <c r="G1472" i="13"/>
  <c r="B1472" i="13" s="1"/>
  <c r="F1472" i="13"/>
  <c r="E1472" i="13"/>
  <c r="D1472" i="13"/>
  <c r="R1471" i="13"/>
  <c r="M1471" i="13"/>
  <c r="L1471" i="13"/>
  <c r="J1471" i="13"/>
  <c r="I1471" i="13"/>
  <c r="G1471" i="13"/>
  <c r="B1471" i="13" s="1"/>
  <c r="F1471" i="13"/>
  <c r="E1471" i="13"/>
  <c r="D1471" i="13"/>
  <c r="R1470" i="13"/>
  <c r="M1470" i="13"/>
  <c r="L1470" i="13"/>
  <c r="J1470" i="13"/>
  <c r="I1470" i="13"/>
  <c r="G1470" i="13"/>
  <c r="B1470" i="13" s="1"/>
  <c r="F1470" i="13"/>
  <c r="E1470" i="13"/>
  <c r="D1470" i="13"/>
  <c r="R1469" i="13"/>
  <c r="M1469" i="13"/>
  <c r="L1469" i="13"/>
  <c r="J1469" i="13"/>
  <c r="I1469" i="13"/>
  <c r="G1469" i="13"/>
  <c r="B1469" i="13" s="1"/>
  <c r="F1469" i="13"/>
  <c r="E1469" i="13"/>
  <c r="D1469" i="13"/>
  <c r="R1468" i="13"/>
  <c r="M1468" i="13"/>
  <c r="L1468" i="13"/>
  <c r="J1468" i="13"/>
  <c r="I1468" i="13"/>
  <c r="G1468" i="13"/>
  <c r="B1468" i="13" s="1"/>
  <c r="F1468" i="13"/>
  <c r="E1468" i="13"/>
  <c r="D1468" i="13"/>
  <c r="R1467" i="13"/>
  <c r="M1467" i="13"/>
  <c r="L1467" i="13"/>
  <c r="J1467" i="13"/>
  <c r="I1467" i="13"/>
  <c r="G1467" i="13"/>
  <c r="B1467" i="13" s="1"/>
  <c r="F1467" i="13"/>
  <c r="E1467" i="13"/>
  <c r="D1467" i="13"/>
  <c r="R1466" i="13"/>
  <c r="M1466" i="13"/>
  <c r="L1466" i="13"/>
  <c r="J1466" i="13"/>
  <c r="I1466" i="13"/>
  <c r="G1466" i="13"/>
  <c r="B1466" i="13" s="1"/>
  <c r="F1466" i="13"/>
  <c r="E1466" i="13"/>
  <c r="D1466" i="13"/>
  <c r="R1465" i="13"/>
  <c r="M1465" i="13"/>
  <c r="L1465" i="13"/>
  <c r="J1465" i="13"/>
  <c r="I1465" i="13"/>
  <c r="G1465" i="13"/>
  <c r="B1465" i="13" s="1"/>
  <c r="F1465" i="13"/>
  <c r="E1465" i="13"/>
  <c r="D1465" i="13"/>
  <c r="R1464" i="13"/>
  <c r="M1464" i="13"/>
  <c r="L1464" i="13"/>
  <c r="J1464" i="13"/>
  <c r="I1464" i="13"/>
  <c r="G1464" i="13"/>
  <c r="B1464" i="13" s="1"/>
  <c r="F1464" i="13"/>
  <c r="E1464" i="13"/>
  <c r="D1464" i="13"/>
  <c r="R1463" i="13"/>
  <c r="M1463" i="13"/>
  <c r="L1463" i="13"/>
  <c r="J1463" i="13"/>
  <c r="I1463" i="13"/>
  <c r="G1463" i="13"/>
  <c r="B1463" i="13" s="1"/>
  <c r="F1463" i="13"/>
  <c r="E1463" i="13"/>
  <c r="D1463" i="13"/>
  <c r="R1462" i="13"/>
  <c r="M1462" i="13"/>
  <c r="L1462" i="13"/>
  <c r="J1462" i="13"/>
  <c r="I1462" i="13"/>
  <c r="G1462" i="13"/>
  <c r="B1462" i="13" s="1"/>
  <c r="F1462" i="13"/>
  <c r="E1462" i="13"/>
  <c r="D1462" i="13"/>
  <c r="R1461" i="13"/>
  <c r="M1461" i="13"/>
  <c r="L1461" i="13"/>
  <c r="J1461" i="13"/>
  <c r="I1461" i="13"/>
  <c r="G1461" i="13"/>
  <c r="B1461" i="13" s="1"/>
  <c r="F1461" i="13"/>
  <c r="E1461" i="13"/>
  <c r="D1461" i="13"/>
  <c r="R1460" i="13"/>
  <c r="M1460" i="13"/>
  <c r="L1460" i="13"/>
  <c r="J1460" i="13"/>
  <c r="I1460" i="13"/>
  <c r="G1460" i="13"/>
  <c r="B1460" i="13" s="1"/>
  <c r="F1460" i="13"/>
  <c r="E1460" i="13"/>
  <c r="D1460" i="13"/>
  <c r="R1459" i="13"/>
  <c r="M1459" i="13"/>
  <c r="L1459" i="13"/>
  <c r="J1459" i="13"/>
  <c r="I1459" i="13"/>
  <c r="G1459" i="13"/>
  <c r="B1459" i="13" s="1"/>
  <c r="F1459" i="13"/>
  <c r="E1459" i="13"/>
  <c r="D1459" i="13"/>
  <c r="R1458" i="13"/>
  <c r="M1458" i="13"/>
  <c r="L1458" i="13"/>
  <c r="J1458" i="13"/>
  <c r="I1458" i="13"/>
  <c r="G1458" i="13"/>
  <c r="B1458" i="13" s="1"/>
  <c r="F1458" i="13"/>
  <c r="E1458" i="13"/>
  <c r="D1458" i="13"/>
  <c r="R1457" i="13"/>
  <c r="M1457" i="13"/>
  <c r="L1457" i="13"/>
  <c r="J1457" i="13"/>
  <c r="I1457" i="13"/>
  <c r="G1457" i="13"/>
  <c r="B1457" i="13" s="1"/>
  <c r="F1457" i="13"/>
  <c r="E1457" i="13"/>
  <c r="D1457" i="13"/>
  <c r="R1456" i="13"/>
  <c r="M1456" i="13"/>
  <c r="L1456" i="13"/>
  <c r="J1456" i="13"/>
  <c r="I1456" i="13"/>
  <c r="G1456" i="13"/>
  <c r="B1456" i="13" s="1"/>
  <c r="F1456" i="13"/>
  <c r="E1456" i="13"/>
  <c r="D1456" i="13"/>
  <c r="R1455" i="13"/>
  <c r="M1455" i="13"/>
  <c r="L1455" i="13"/>
  <c r="J1455" i="13"/>
  <c r="I1455" i="13"/>
  <c r="G1455" i="13"/>
  <c r="B1455" i="13" s="1"/>
  <c r="F1455" i="13"/>
  <c r="E1455" i="13"/>
  <c r="D1455" i="13"/>
  <c r="R1454" i="13"/>
  <c r="M1454" i="13"/>
  <c r="L1454" i="13"/>
  <c r="J1454" i="13"/>
  <c r="I1454" i="13"/>
  <c r="G1454" i="13"/>
  <c r="B1454" i="13" s="1"/>
  <c r="F1454" i="13"/>
  <c r="E1454" i="13"/>
  <c r="D1454" i="13"/>
  <c r="R1453" i="13"/>
  <c r="M1453" i="13"/>
  <c r="L1453" i="13"/>
  <c r="J1453" i="13"/>
  <c r="I1453" i="13"/>
  <c r="G1453" i="13"/>
  <c r="B1453" i="13" s="1"/>
  <c r="F1453" i="13"/>
  <c r="E1453" i="13"/>
  <c r="D1453" i="13"/>
  <c r="R1452" i="13"/>
  <c r="M1452" i="13"/>
  <c r="L1452" i="13"/>
  <c r="J1452" i="13"/>
  <c r="I1452" i="13"/>
  <c r="G1452" i="13"/>
  <c r="B1452" i="13" s="1"/>
  <c r="F1452" i="13"/>
  <c r="E1452" i="13"/>
  <c r="D1452" i="13"/>
  <c r="R1451" i="13"/>
  <c r="M1451" i="13"/>
  <c r="L1451" i="13"/>
  <c r="J1451" i="13"/>
  <c r="I1451" i="13"/>
  <c r="G1451" i="13"/>
  <c r="B1451" i="13" s="1"/>
  <c r="F1451" i="13"/>
  <c r="E1451" i="13"/>
  <c r="D1451" i="13"/>
  <c r="R1450" i="13"/>
  <c r="M1450" i="13"/>
  <c r="L1450" i="13"/>
  <c r="J1450" i="13"/>
  <c r="I1450" i="13"/>
  <c r="G1450" i="13"/>
  <c r="B1450" i="13" s="1"/>
  <c r="F1450" i="13"/>
  <c r="E1450" i="13"/>
  <c r="D1450" i="13"/>
  <c r="R1449" i="13"/>
  <c r="M1449" i="13"/>
  <c r="L1449" i="13"/>
  <c r="J1449" i="13"/>
  <c r="I1449" i="13"/>
  <c r="G1449" i="13"/>
  <c r="B1449" i="13" s="1"/>
  <c r="F1449" i="13"/>
  <c r="E1449" i="13"/>
  <c r="D1449" i="13"/>
  <c r="R1448" i="13"/>
  <c r="M1448" i="13"/>
  <c r="L1448" i="13"/>
  <c r="J1448" i="13"/>
  <c r="I1448" i="13"/>
  <c r="G1448" i="13"/>
  <c r="B1448" i="13" s="1"/>
  <c r="F1448" i="13"/>
  <c r="E1448" i="13"/>
  <c r="D1448" i="13"/>
  <c r="R1447" i="13"/>
  <c r="M1447" i="13"/>
  <c r="L1447" i="13"/>
  <c r="J1447" i="13"/>
  <c r="I1447" i="13"/>
  <c r="G1447" i="13"/>
  <c r="B1447" i="13" s="1"/>
  <c r="F1447" i="13"/>
  <c r="E1447" i="13"/>
  <c r="D1447" i="13"/>
  <c r="R1446" i="13"/>
  <c r="M1446" i="13"/>
  <c r="L1446" i="13"/>
  <c r="J1446" i="13"/>
  <c r="I1446" i="13"/>
  <c r="G1446" i="13"/>
  <c r="B1446" i="13" s="1"/>
  <c r="F1446" i="13"/>
  <c r="E1446" i="13"/>
  <c r="D1446" i="13"/>
  <c r="R1445" i="13"/>
  <c r="M1445" i="13"/>
  <c r="L1445" i="13"/>
  <c r="J1445" i="13"/>
  <c r="I1445" i="13"/>
  <c r="G1445" i="13"/>
  <c r="B1445" i="13" s="1"/>
  <c r="F1445" i="13"/>
  <c r="E1445" i="13"/>
  <c r="D1445" i="13"/>
  <c r="R1444" i="13"/>
  <c r="M1444" i="13"/>
  <c r="L1444" i="13"/>
  <c r="J1444" i="13"/>
  <c r="I1444" i="13"/>
  <c r="G1444" i="13"/>
  <c r="B1444" i="13" s="1"/>
  <c r="F1444" i="13"/>
  <c r="E1444" i="13"/>
  <c r="D1444" i="13"/>
  <c r="R1443" i="13"/>
  <c r="M1443" i="13"/>
  <c r="L1443" i="13"/>
  <c r="J1443" i="13"/>
  <c r="I1443" i="13"/>
  <c r="G1443" i="13"/>
  <c r="B1443" i="13" s="1"/>
  <c r="F1443" i="13"/>
  <c r="E1443" i="13"/>
  <c r="D1443" i="13"/>
  <c r="R1442" i="13"/>
  <c r="M1442" i="13"/>
  <c r="L1442" i="13"/>
  <c r="J1442" i="13"/>
  <c r="I1442" i="13"/>
  <c r="G1442" i="13"/>
  <c r="B1442" i="13" s="1"/>
  <c r="F1442" i="13"/>
  <c r="E1442" i="13"/>
  <c r="D1442" i="13"/>
  <c r="R1441" i="13"/>
  <c r="M1441" i="13"/>
  <c r="L1441" i="13"/>
  <c r="J1441" i="13"/>
  <c r="I1441" i="13"/>
  <c r="G1441" i="13"/>
  <c r="B1441" i="13" s="1"/>
  <c r="F1441" i="13"/>
  <c r="E1441" i="13"/>
  <c r="D1441" i="13"/>
  <c r="R1440" i="13"/>
  <c r="M1440" i="13"/>
  <c r="L1440" i="13"/>
  <c r="J1440" i="13"/>
  <c r="I1440" i="13"/>
  <c r="G1440" i="13"/>
  <c r="B1440" i="13" s="1"/>
  <c r="F1440" i="13"/>
  <c r="E1440" i="13"/>
  <c r="D1440" i="13"/>
  <c r="R1439" i="13"/>
  <c r="M1439" i="13"/>
  <c r="L1439" i="13"/>
  <c r="J1439" i="13"/>
  <c r="I1439" i="13"/>
  <c r="G1439" i="13"/>
  <c r="B1439" i="13" s="1"/>
  <c r="F1439" i="13"/>
  <c r="E1439" i="13"/>
  <c r="D1439" i="13"/>
  <c r="R1438" i="13"/>
  <c r="M1438" i="13"/>
  <c r="L1438" i="13"/>
  <c r="J1438" i="13"/>
  <c r="I1438" i="13"/>
  <c r="G1438" i="13"/>
  <c r="B1438" i="13" s="1"/>
  <c r="F1438" i="13"/>
  <c r="E1438" i="13"/>
  <c r="D1438" i="13"/>
  <c r="R1437" i="13"/>
  <c r="M1437" i="13"/>
  <c r="L1437" i="13"/>
  <c r="J1437" i="13"/>
  <c r="I1437" i="13"/>
  <c r="G1437" i="13"/>
  <c r="B1437" i="13" s="1"/>
  <c r="F1437" i="13"/>
  <c r="E1437" i="13"/>
  <c r="D1437" i="13"/>
  <c r="R1436" i="13"/>
  <c r="M1436" i="13"/>
  <c r="L1436" i="13"/>
  <c r="J1436" i="13"/>
  <c r="I1436" i="13"/>
  <c r="G1436" i="13"/>
  <c r="B1436" i="13" s="1"/>
  <c r="F1436" i="13"/>
  <c r="E1436" i="13"/>
  <c r="D1436" i="13"/>
  <c r="R1435" i="13"/>
  <c r="M1435" i="13"/>
  <c r="L1435" i="13"/>
  <c r="J1435" i="13"/>
  <c r="I1435" i="13"/>
  <c r="G1435" i="13"/>
  <c r="B1435" i="13" s="1"/>
  <c r="F1435" i="13"/>
  <c r="E1435" i="13"/>
  <c r="D1435" i="13"/>
  <c r="R1434" i="13"/>
  <c r="M1434" i="13"/>
  <c r="L1434" i="13"/>
  <c r="J1434" i="13"/>
  <c r="I1434" i="13"/>
  <c r="G1434" i="13"/>
  <c r="B1434" i="13" s="1"/>
  <c r="F1434" i="13"/>
  <c r="E1434" i="13"/>
  <c r="D1434" i="13"/>
  <c r="R1433" i="13"/>
  <c r="M1433" i="13"/>
  <c r="L1433" i="13"/>
  <c r="J1433" i="13"/>
  <c r="I1433" i="13"/>
  <c r="G1433" i="13"/>
  <c r="B1433" i="13" s="1"/>
  <c r="F1433" i="13"/>
  <c r="E1433" i="13"/>
  <c r="D1433" i="13"/>
  <c r="R1432" i="13"/>
  <c r="M1432" i="13"/>
  <c r="L1432" i="13"/>
  <c r="J1432" i="13"/>
  <c r="I1432" i="13"/>
  <c r="G1432" i="13"/>
  <c r="B1432" i="13" s="1"/>
  <c r="F1432" i="13"/>
  <c r="E1432" i="13"/>
  <c r="D1432" i="13"/>
  <c r="R1431" i="13"/>
  <c r="M1431" i="13"/>
  <c r="L1431" i="13"/>
  <c r="J1431" i="13"/>
  <c r="I1431" i="13"/>
  <c r="G1431" i="13"/>
  <c r="B1431" i="13" s="1"/>
  <c r="F1431" i="13"/>
  <c r="E1431" i="13"/>
  <c r="D1431" i="13"/>
  <c r="R1430" i="13"/>
  <c r="M1430" i="13"/>
  <c r="L1430" i="13"/>
  <c r="J1430" i="13"/>
  <c r="I1430" i="13"/>
  <c r="G1430" i="13"/>
  <c r="B1430" i="13" s="1"/>
  <c r="F1430" i="13"/>
  <c r="E1430" i="13"/>
  <c r="D1430" i="13"/>
  <c r="R1429" i="13"/>
  <c r="M1429" i="13"/>
  <c r="L1429" i="13"/>
  <c r="J1429" i="13"/>
  <c r="I1429" i="13"/>
  <c r="G1429" i="13"/>
  <c r="B1429" i="13" s="1"/>
  <c r="F1429" i="13"/>
  <c r="E1429" i="13"/>
  <c r="D1429" i="13"/>
  <c r="R1428" i="13"/>
  <c r="M1428" i="13"/>
  <c r="L1428" i="13"/>
  <c r="J1428" i="13"/>
  <c r="I1428" i="13"/>
  <c r="G1428" i="13"/>
  <c r="B1428" i="13" s="1"/>
  <c r="F1428" i="13"/>
  <c r="E1428" i="13"/>
  <c r="D1428" i="13"/>
  <c r="R1427" i="13"/>
  <c r="M1427" i="13"/>
  <c r="L1427" i="13"/>
  <c r="J1427" i="13"/>
  <c r="I1427" i="13"/>
  <c r="G1427" i="13"/>
  <c r="B1427" i="13" s="1"/>
  <c r="F1427" i="13"/>
  <c r="E1427" i="13"/>
  <c r="D1427" i="13"/>
  <c r="R1426" i="13"/>
  <c r="M1426" i="13"/>
  <c r="L1426" i="13"/>
  <c r="J1426" i="13"/>
  <c r="I1426" i="13"/>
  <c r="G1426" i="13"/>
  <c r="B1426" i="13" s="1"/>
  <c r="F1426" i="13"/>
  <c r="E1426" i="13"/>
  <c r="D1426" i="13"/>
  <c r="R1425" i="13"/>
  <c r="M1425" i="13"/>
  <c r="L1425" i="13"/>
  <c r="J1425" i="13"/>
  <c r="I1425" i="13"/>
  <c r="G1425" i="13"/>
  <c r="B1425" i="13" s="1"/>
  <c r="F1425" i="13"/>
  <c r="E1425" i="13"/>
  <c r="D1425" i="13"/>
  <c r="R1424" i="13"/>
  <c r="M1424" i="13"/>
  <c r="L1424" i="13"/>
  <c r="J1424" i="13"/>
  <c r="I1424" i="13"/>
  <c r="G1424" i="13"/>
  <c r="B1424" i="13" s="1"/>
  <c r="F1424" i="13"/>
  <c r="E1424" i="13"/>
  <c r="D1424" i="13"/>
  <c r="R1423" i="13"/>
  <c r="M1423" i="13"/>
  <c r="L1423" i="13"/>
  <c r="J1423" i="13"/>
  <c r="I1423" i="13"/>
  <c r="G1423" i="13"/>
  <c r="B1423" i="13" s="1"/>
  <c r="F1423" i="13"/>
  <c r="E1423" i="13"/>
  <c r="D1423" i="13"/>
  <c r="R1422" i="13"/>
  <c r="M1422" i="13"/>
  <c r="L1422" i="13"/>
  <c r="J1422" i="13"/>
  <c r="I1422" i="13"/>
  <c r="G1422" i="13"/>
  <c r="B1422" i="13" s="1"/>
  <c r="F1422" i="13"/>
  <c r="E1422" i="13"/>
  <c r="D1422" i="13"/>
  <c r="R1421" i="13"/>
  <c r="M1421" i="13"/>
  <c r="L1421" i="13"/>
  <c r="J1421" i="13"/>
  <c r="I1421" i="13"/>
  <c r="G1421" i="13"/>
  <c r="B1421" i="13" s="1"/>
  <c r="F1421" i="13"/>
  <c r="E1421" i="13"/>
  <c r="D1421" i="13"/>
  <c r="R1420" i="13"/>
  <c r="M1420" i="13"/>
  <c r="L1420" i="13"/>
  <c r="J1420" i="13"/>
  <c r="I1420" i="13"/>
  <c r="G1420" i="13"/>
  <c r="B1420" i="13" s="1"/>
  <c r="F1420" i="13"/>
  <c r="E1420" i="13"/>
  <c r="D1420" i="13"/>
  <c r="R1419" i="13"/>
  <c r="M1419" i="13"/>
  <c r="L1419" i="13"/>
  <c r="J1419" i="13"/>
  <c r="I1419" i="13"/>
  <c r="G1419" i="13"/>
  <c r="B1419" i="13" s="1"/>
  <c r="F1419" i="13"/>
  <c r="E1419" i="13"/>
  <c r="D1419" i="13"/>
  <c r="R1418" i="13"/>
  <c r="M1418" i="13"/>
  <c r="L1418" i="13"/>
  <c r="J1418" i="13"/>
  <c r="I1418" i="13"/>
  <c r="G1418" i="13"/>
  <c r="B1418" i="13" s="1"/>
  <c r="F1418" i="13"/>
  <c r="E1418" i="13"/>
  <c r="D1418" i="13"/>
  <c r="R1417" i="13"/>
  <c r="M1417" i="13"/>
  <c r="L1417" i="13"/>
  <c r="J1417" i="13"/>
  <c r="I1417" i="13"/>
  <c r="G1417" i="13"/>
  <c r="B1417" i="13" s="1"/>
  <c r="F1417" i="13"/>
  <c r="E1417" i="13"/>
  <c r="D1417" i="13"/>
  <c r="R1416" i="13"/>
  <c r="M1416" i="13"/>
  <c r="L1416" i="13"/>
  <c r="J1416" i="13"/>
  <c r="I1416" i="13"/>
  <c r="G1416" i="13"/>
  <c r="B1416" i="13" s="1"/>
  <c r="F1416" i="13"/>
  <c r="E1416" i="13"/>
  <c r="D1416" i="13"/>
  <c r="R1415" i="13"/>
  <c r="M1415" i="13"/>
  <c r="L1415" i="13"/>
  <c r="J1415" i="13"/>
  <c r="I1415" i="13"/>
  <c r="G1415" i="13"/>
  <c r="B1415" i="13" s="1"/>
  <c r="F1415" i="13"/>
  <c r="E1415" i="13"/>
  <c r="D1415" i="13"/>
  <c r="R1414" i="13"/>
  <c r="M1414" i="13"/>
  <c r="L1414" i="13"/>
  <c r="J1414" i="13"/>
  <c r="I1414" i="13"/>
  <c r="G1414" i="13"/>
  <c r="B1414" i="13" s="1"/>
  <c r="F1414" i="13"/>
  <c r="E1414" i="13"/>
  <c r="D1414" i="13"/>
  <c r="R1413" i="13"/>
  <c r="M1413" i="13"/>
  <c r="L1413" i="13"/>
  <c r="J1413" i="13"/>
  <c r="I1413" i="13"/>
  <c r="G1413" i="13"/>
  <c r="B1413" i="13" s="1"/>
  <c r="F1413" i="13"/>
  <c r="E1413" i="13"/>
  <c r="D1413" i="13"/>
  <c r="R1412" i="13"/>
  <c r="M1412" i="13"/>
  <c r="L1412" i="13"/>
  <c r="J1412" i="13"/>
  <c r="I1412" i="13"/>
  <c r="G1412" i="13"/>
  <c r="B1412" i="13" s="1"/>
  <c r="F1412" i="13"/>
  <c r="E1412" i="13"/>
  <c r="D1412" i="13"/>
  <c r="R1411" i="13"/>
  <c r="M1411" i="13"/>
  <c r="L1411" i="13"/>
  <c r="J1411" i="13"/>
  <c r="I1411" i="13"/>
  <c r="G1411" i="13"/>
  <c r="B1411" i="13" s="1"/>
  <c r="F1411" i="13"/>
  <c r="E1411" i="13"/>
  <c r="D1411" i="13"/>
  <c r="R1410" i="13"/>
  <c r="M1410" i="13"/>
  <c r="L1410" i="13"/>
  <c r="J1410" i="13"/>
  <c r="I1410" i="13"/>
  <c r="G1410" i="13"/>
  <c r="B1410" i="13" s="1"/>
  <c r="F1410" i="13"/>
  <c r="E1410" i="13"/>
  <c r="D1410" i="13"/>
  <c r="R1409" i="13"/>
  <c r="M1409" i="13"/>
  <c r="L1409" i="13"/>
  <c r="J1409" i="13"/>
  <c r="I1409" i="13"/>
  <c r="G1409" i="13"/>
  <c r="B1409" i="13" s="1"/>
  <c r="F1409" i="13"/>
  <c r="E1409" i="13"/>
  <c r="D1409" i="13"/>
  <c r="R1408" i="13"/>
  <c r="M1408" i="13"/>
  <c r="L1408" i="13"/>
  <c r="J1408" i="13"/>
  <c r="I1408" i="13"/>
  <c r="G1408" i="13"/>
  <c r="B1408" i="13" s="1"/>
  <c r="F1408" i="13"/>
  <c r="E1408" i="13"/>
  <c r="D1408" i="13"/>
  <c r="R1407" i="13"/>
  <c r="M1407" i="13"/>
  <c r="L1407" i="13"/>
  <c r="J1407" i="13"/>
  <c r="I1407" i="13"/>
  <c r="G1407" i="13"/>
  <c r="B1407" i="13" s="1"/>
  <c r="F1407" i="13"/>
  <c r="E1407" i="13"/>
  <c r="D1407" i="13"/>
  <c r="R1406" i="13"/>
  <c r="M1406" i="13"/>
  <c r="L1406" i="13"/>
  <c r="J1406" i="13"/>
  <c r="I1406" i="13"/>
  <c r="G1406" i="13"/>
  <c r="B1406" i="13" s="1"/>
  <c r="F1406" i="13"/>
  <c r="E1406" i="13"/>
  <c r="D1406" i="13"/>
  <c r="R1405" i="13"/>
  <c r="M1405" i="13"/>
  <c r="L1405" i="13"/>
  <c r="J1405" i="13"/>
  <c r="I1405" i="13"/>
  <c r="G1405" i="13"/>
  <c r="B1405" i="13" s="1"/>
  <c r="F1405" i="13"/>
  <c r="E1405" i="13"/>
  <c r="D1405" i="13"/>
  <c r="R1404" i="13"/>
  <c r="M1404" i="13"/>
  <c r="L1404" i="13"/>
  <c r="J1404" i="13"/>
  <c r="I1404" i="13"/>
  <c r="G1404" i="13"/>
  <c r="B1404" i="13" s="1"/>
  <c r="F1404" i="13"/>
  <c r="E1404" i="13"/>
  <c r="D1404" i="13"/>
  <c r="R1403" i="13"/>
  <c r="M1403" i="13"/>
  <c r="L1403" i="13"/>
  <c r="J1403" i="13"/>
  <c r="I1403" i="13"/>
  <c r="G1403" i="13"/>
  <c r="B1403" i="13" s="1"/>
  <c r="F1403" i="13"/>
  <c r="E1403" i="13"/>
  <c r="D1403" i="13"/>
  <c r="R1402" i="13"/>
  <c r="M1402" i="13"/>
  <c r="L1402" i="13"/>
  <c r="J1402" i="13"/>
  <c r="I1402" i="13"/>
  <c r="G1402" i="13"/>
  <c r="B1402" i="13" s="1"/>
  <c r="F1402" i="13"/>
  <c r="E1402" i="13"/>
  <c r="D1402" i="13"/>
  <c r="R1401" i="13"/>
  <c r="M1401" i="13"/>
  <c r="L1401" i="13"/>
  <c r="J1401" i="13"/>
  <c r="I1401" i="13"/>
  <c r="G1401" i="13"/>
  <c r="B1401" i="13" s="1"/>
  <c r="F1401" i="13"/>
  <c r="E1401" i="13"/>
  <c r="D1401" i="13"/>
  <c r="R1400" i="13"/>
  <c r="M1400" i="13"/>
  <c r="L1400" i="13"/>
  <c r="J1400" i="13"/>
  <c r="I1400" i="13"/>
  <c r="G1400" i="13"/>
  <c r="B1400" i="13" s="1"/>
  <c r="F1400" i="13"/>
  <c r="E1400" i="13"/>
  <c r="D1400" i="13"/>
  <c r="R1399" i="13"/>
  <c r="M1399" i="13"/>
  <c r="L1399" i="13"/>
  <c r="J1399" i="13"/>
  <c r="I1399" i="13"/>
  <c r="G1399" i="13"/>
  <c r="B1399" i="13" s="1"/>
  <c r="F1399" i="13"/>
  <c r="E1399" i="13"/>
  <c r="D1399" i="13"/>
  <c r="R1398" i="13"/>
  <c r="M1398" i="13"/>
  <c r="L1398" i="13"/>
  <c r="J1398" i="13"/>
  <c r="I1398" i="13"/>
  <c r="G1398" i="13"/>
  <c r="B1398" i="13" s="1"/>
  <c r="F1398" i="13"/>
  <c r="E1398" i="13"/>
  <c r="D1398" i="13"/>
  <c r="R1397" i="13"/>
  <c r="M1397" i="13"/>
  <c r="L1397" i="13"/>
  <c r="J1397" i="13"/>
  <c r="I1397" i="13"/>
  <c r="G1397" i="13"/>
  <c r="B1397" i="13" s="1"/>
  <c r="F1397" i="13"/>
  <c r="E1397" i="13"/>
  <c r="D1397" i="13"/>
  <c r="R1396" i="13"/>
  <c r="M1396" i="13"/>
  <c r="L1396" i="13"/>
  <c r="J1396" i="13"/>
  <c r="I1396" i="13"/>
  <c r="G1396" i="13"/>
  <c r="B1396" i="13" s="1"/>
  <c r="F1396" i="13"/>
  <c r="E1396" i="13"/>
  <c r="D1396" i="13"/>
  <c r="R1395" i="13"/>
  <c r="M1395" i="13"/>
  <c r="L1395" i="13"/>
  <c r="J1395" i="13"/>
  <c r="I1395" i="13"/>
  <c r="G1395" i="13"/>
  <c r="B1395" i="13" s="1"/>
  <c r="F1395" i="13"/>
  <c r="E1395" i="13"/>
  <c r="D1395" i="13"/>
  <c r="R1394" i="13"/>
  <c r="M1394" i="13"/>
  <c r="L1394" i="13"/>
  <c r="J1394" i="13"/>
  <c r="I1394" i="13"/>
  <c r="G1394" i="13"/>
  <c r="B1394" i="13" s="1"/>
  <c r="F1394" i="13"/>
  <c r="E1394" i="13"/>
  <c r="D1394" i="13"/>
  <c r="R1393" i="13"/>
  <c r="M1393" i="13"/>
  <c r="L1393" i="13"/>
  <c r="J1393" i="13"/>
  <c r="I1393" i="13"/>
  <c r="G1393" i="13"/>
  <c r="B1393" i="13" s="1"/>
  <c r="F1393" i="13"/>
  <c r="E1393" i="13"/>
  <c r="D1393" i="13"/>
  <c r="R1392" i="13"/>
  <c r="M1392" i="13"/>
  <c r="L1392" i="13"/>
  <c r="J1392" i="13"/>
  <c r="I1392" i="13"/>
  <c r="G1392" i="13"/>
  <c r="B1392" i="13" s="1"/>
  <c r="F1392" i="13"/>
  <c r="E1392" i="13"/>
  <c r="D1392" i="13"/>
  <c r="R1391" i="13"/>
  <c r="M1391" i="13"/>
  <c r="L1391" i="13"/>
  <c r="J1391" i="13"/>
  <c r="I1391" i="13"/>
  <c r="G1391" i="13"/>
  <c r="B1391" i="13" s="1"/>
  <c r="F1391" i="13"/>
  <c r="E1391" i="13"/>
  <c r="D1391" i="13"/>
  <c r="R1390" i="13"/>
  <c r="M1390" i="13"/>
  <c r="L1390" i="13"/>
  <c r="J1390" i="13"/>
  <c r="I1390" i="13"/>
  <c r="G1390" i="13"/>
  <c r="B1390" i="13" s="1"/>
  <c r="F1390" i="13"/>
  <c r="E1390" i="13"/>
  <c r="D1390" i="13"/>
  <c r="R1389" i="13"/>
  <c r="M1389" i="13"/>
  <c r="L1389" i="13"/>
  <c r="J1389" i="13"/>
  <c r="I1389" i="13"/>
  <c r="G1389" i="13"/>
  <c r="B1389" i="13" s="1"/>
  <c r="F1389" i="13"/>
  <c r="E1389" i="13"/>
  <c r="D1389" i="13"/>
  <c r="R1388" i="13"/>
  <c r="M1388" i="13"/>
  <c r="L1388" i="13"/>
  <c r="J1388" i="13"/>
  <c r="I1388" i="13"/>
  <c r="G1388" i="13"/>
  <c r="B1388" i="13" s="1"/>
  <c r="F1388" i="13"/>
  <c r="E1388" i="13"/>
  <c r="D1388" i="13"/>
  <c r="R1387" i="13"/>
  <c r="M1387" i="13"/>
  <c r="L1387" i="13"/>
  <c r="J1387" i="13"/>
  <c r="I1387" i="13"/>
  <c r="G1387" i="13"/>
  <c r="B1387" i="13" s="1"/>
  <c r="F1387" i="13"/>
  <c r="E1387" i="13"/>
  <c r="D1387" i="13"/>
  <c r="R1386" i="13"/>
  <c r="M1386" i="13"/>
  <c r="L1386" i="13"/>
  <c r="J1386" i="13"/>
  <c r="I1386" i="13"/>
  <c r="G1386" i="13"/>
  <c r="B1386" i="13" s="1"/>
  <c r="F1386" i="13"/>
  <c r="E1386" i="13"/>
  <c r="D1386" i="13"/>
  <c r="R1385" i="13"/>
  <c r="M1385" i="13"/>
  <c r="L1385" i="13"/>
  <c r="J1385" i="13"/>
  <c r="I1385" i="13"/>
  <c r="G1385" i="13"/>
  <c r="B1385" i="13" s="1"/>
  <c r="F1385" i="13"/>
  <c r="E1385" i="13"/>
  <c r="D1385" i="13"/>
  <c r="R1384" i="13"/>
  <c r="M1384" i="13"/>
  <c r="L1384" i="13"/>
  <c r="J1384" i="13"/>
  <c r="I1384" i="13"/>
  <c r="G1384" i="13"/>
  <c r="B1384" i="13" s="1"/>
  <c r="F1384" i="13"/>
  <c r="E1384" i="13"/>
  <c r="D1384" i="13"/>
  <c r="R1383" i="13"/>
  <c r="M1383" i="13"/>
  <c r="L1383" i="13"/>
  <c r="J1383" i="13"/>
  <c r="I1383" i="13"/>
  <c r="G1383" i="13"/>
  <c r="B1383" i="13" s="1"/>
  <c r="F1383" i="13"/>
  <c r="E1383" i="13"/>
  <c r="D1383" i="13"/>
  <c r="R1382" i="13"/>
  <c r="M1382" i="13"/>
  <c r="L1382" i="13"/>
  <c r="J1382" i="13"/>
  <c r="I1382" i="13"/>
  <c r="G1382" i="13"/>
  <c r="B1382" i="13" s="1"/>
  <c r="F1382" i="13"/>
  <c r="E1382" i="13"/>
  <c r="D1382" i="13"/>
  <c r="R1381" i="13"/>
  <c r="M1381" i="13"/>
  <c r="L1381" i="13"/>
  <c r="J1381" i="13"/>
  <c r="I1381" i="13"/>
  <c r="G1381" i="13"/>
  <c r="B1381" i="13" s="1"/>
  <c r="F1381" i="13"/>
  <c r="E1381" i="13"/>
  <c r="D1381" i="13"/>
  <c r="R1380" i="13"/>
  <c r="M1380" i="13"/>
  <c r="L1380" i="13"/>
  <c r="J1380" i="13"/>
  <c r="I1380" i="13"/>
  <c r="G1380" i="13"/>
  <c r="B1380" i="13" s="1"/>
  <c r="F1380" i="13"/>
  <c r="E1380" i="13"/>
  <c r="D1380" i="13"/>
  <c r="R1379" i="13"/>
  <c r="M1379" i="13"/>
  <c r="L1379" i="13"/>
  <c r="J1379" i="13"/>
  <c r="I1379" i="13"/>
  <c r="G1379" i="13"/>
  <c r="B1379" i="13" s="1"/>
  <c r="F1379" i="13"/>
  <c r="E1379" i="13"/>
  <c r="D1379" i="13"/>
  <c r="R1378" i="13"/>
  <c r="M1378" i="13"/>
  <c r="L1378" i="13"/>
  <c r="J1378" i="13"/>
  <c r="I1378" i="13"/>
  <c r="G1378" i="13"/>
  <c r="B1378" i="13" s="1"/>
  <c r="F1378" i="13"/>
  <c r="E1378" i="13"/>
  <c r="D1378" i="13"/>
  <c r="R1377" i="13"/>
  <c r="M1377" i="13"/>
  <c r="L1377" i="13"/>
  <c r="J1377" i="13"/>
  <c r="I1377" i="13"/>
  <c r="G1377" i="13"/>
  <c r="B1377" i="13" s="1"/>
  <c r="F1377" i="13"/>
  <c r="E1377" i="13"/>
  <c r="D1377" i="13"/>
  <c r="R1376" i="13"/>
  <c r="M1376" i="13"/>
  <c r="L1376" i="13"/>
  <c r="J1376" i="13"/>
  <c r="I1376" i="13"/>
  <c r="G1376" i="13"/>
  <c r="B1376" i="13" s="1"/>
  <c r="F1376" i="13"/>
  <c r="E1376" i="13"/>
  <c r="D1376" i="13"/>
  <c r="R1375" i="13"/>
  <c r="M1375" i="13"/>
  <c r="L1375" i="13"/>
  <c r="J1375" i="13"/>
  <c r="I1375" i="13"/>
  <c r="G1375" i="13"/>
  <c r="B1375" i="13" s="1"/>
  <c r="F1375" i="13"/>
  <c r="E1375" i="13"/>
  <c r="D1375" i="13"/>
  <c r="R1374" i="13"/>
  <c r="M1374" i="13"/>
  <c r="L1374" i="13"/>
  <c r="J1374" i="13"/>
  <c r="I1374" i="13"/>
  <c r="G1374" i="13"/>
  <c r="B1374" i="13" s="1"/>
  <c r="F1374" i="13"/>
  <c r="E1374" i="13"/>
  <c r="D1374" i="13"/>
  <c r="R1373" i="13"/>
  <c r="M1373" i="13"/>
  <c r="L1373" i="13"/>
  <c r="J1373" i="13"/>
  <c r="I1373" i="13"/>
  <c r="G1373" i="13"/>
  <c r="B1373" i="13" s="1"/>
  <c r="F1373" i="13"/>
  <c r="E1373" i="13"/>
  <c r="D1373" i="13"/>
  <c r="R1372" i="13"/>
  <c r="M1372" i="13"/>
  <c r="L1372" i="13"/>
  <c r="J1372" i="13"/>
  <c r="I1372" i="13"/>
  <c r="G1372" i="13"/>
  <c r="B1372" i="13" s="1"/>
  <c r="F1372" i="13"/>
  <c r="E1372" i="13"/>
  <c r="D1372" i="13"/>
  <c r="R1371" i="13"/>
  <c r="M1371" i="13"/>
  <c r="L1371" i="13"/>
  <c r="J1371" i="13"/>
  <c r="I1371" i="13"/>
  <c r="G1371" i="13"/>
  <c r="B1371" i="13" s="1"/>
  <c r="F1371" i="13"/>
  <c r="E1371" i="13"/>
  <c r="D1371" i="13"/>
  <c r="R1370" i="13"/>
  <c r="M1370" i="13"/>
  <c r="L1370" i="13"/>
  <c r="J1370" i="13"/>
  <c r="I1370" i="13"/>
  <c r="G1370" i="13"/>
  <c r="B1370" i="13" s="1"/>
  <c r="F1370" i="13"/>
  <c r="E1370" i="13"/>
  <c r="D1370" i="13"/>
  <c r="R1369" i="13"/>
  <c r="M1369" i="13"/>
  <c r="L1369" i="13"/>
  <c r="J1369" i="13"/>
  <c r="I1369" i="13"/>
  <c r="G1369" i="13"/>
  <c r="B1369" i="13" s="1"/>
  <c r="F1369" i="13"/>
  <c r="E1369" i="13"/>
  <c r="D1369" i="13"/>
  <c r="R1368" i="13"/>
  <c r="M1368" i="13"/>
  <c r="L1368" i="13"/>
  <c r="J1368" i="13"/>
  <c r="I1368" i="13"/>
  <c r="G1368" i="13"/>
  <c r="B1368" i="13" s="1"/>
  <c r="F1368" i="13"/>
  <c r="E1368" i="13"/>
  <c r="D1368" i="13"/>
  <c r="R1367" i="13"/>
  <c r="M1367" i="13"/>
  <c r="L1367" i="13"/>
  <c r="J1367" i="13"/>
  <c r="I1367" i="13"/>
  <c r="G1367" i="13"/>
  <c r="B1367" i="13" s="1"/>
  <c r="F1367" i="13"/>
  <c r="E1367" i="13"/>
  <c r="D1367" i="13"/>
  <c r="R1366" i="13"/>
  <c r="M1366" i="13"/>
  <c r="L1366" i="13"/>
  <c r="J1366" i="13"/>
  <c r="I1366" i="13"/>
  <c r="G1366" i="13"/>
  <c r="B1366" i="13" s="1"/>
  <c r="F1366" i="13"/>
  <c r="E1366" i="13"/>
  <c r="D1366" i="13"/>
  <c r="R1365" i="13"/>
  <c r="M1365" i="13"/>
  <c r="L1365" i="13"/>
  <c r="J1365" i="13"/>
  <c r="I1365" i="13"/>
  <c r="G1365" i="13"/>
  <c r="B1365" i="13" s="1"/>
  <c r="F1365" i="13"/>
  <c r="E1365" i="13"/>
  <c r="D1365" i="13"/>
  <c r="R1364" i="13"/>
  <c r="M1364" i="13"/>
  <c r="L1364" i="13"/>
  <c r="J1364" i="13"/>
  <c r="I1364" i="13"/>
  <c r="G1364" i="13"/>
  <c r="B1364" i="13" s="1"/>
  <c r="F1364" i="13"/>
  <c r="E1364" i="13"/>
  <c r="D1364" i="13"/>
  <c r="R1363" i="13"/>
  <c r="M1363" i="13"/>
  <c r="L1363" i="13"/>
  <c r="J1363" i="13"/>
  <c r="I1363" i="13"/>
  <c r="G1363" i="13"/>
  <c r="B1363" i="13" s="1"/>
  <c r="F1363" i="13"/>
  <c r="E1363" i="13"/>
  <c r="D1363" i="13"/>
  <c r="R1362" i="13"/>
  <c r="M1362" i="13"/>
  <c r="L1362" i="13"/>
  <c r="J1362" i="13"/>
  <c r="I1362" i="13"/>
  <c r="G1362" i="13"/>
  <c r="B1362" i="13" s="1"/>
  <c r="F1362" i="13"/>
  <c r="E1362" i="13"/>
  <c r="D1362" i="13"/>
  <c r="R1361" i="13"/>
  <c r="M1361" i="13"/>
  <c r="L1361" i="13"/>
  <c r="J1361" i="13"/>
  <c r="I1361" i="13"/>
  <c r="G1361" i="13"/>
  <c r="B1361" i="13" s="1"/>
  <c r="F1361" i="13"/>
  <c r="E1361" i="13"/>
  <c r="D1361" i="13"/>
  <c r="R1360" i="13"/>
  <c r="M1360" i="13"/>
  <c r="L1360" i="13"/>
  <c r="J1360" i="13"/>
  <c r="I1360" i="13"/>
  <c r="G1360" i="13"/>
  <c r="B1360" i="13" s="1"/>
  <c r="F1360" i="13"/>
  <c r="E1360" i="13"/>
  <c r="D1360" i="13"/>
  <c r="R1359" i="13"/>
  <c r="M1359" i="13"/>
  <c r="L1359" i="13"/>
  <c r="J1359" i="13"/>
  <c r="I1359" i="13"/>
  <c r="G1359" i="13"/>
  <c r="B1359" i="13" s="1"/>
  <c r="F1359" i="13"/>
  <c r="E1359" i="13"/>
  <c r="D1359" i="13"/>
  <c r="R1358" i="13"/>
  <c r="M1358" i="13"/>
  <c r="L1358" i="13"/>
  <c r="J1358" i="13"/>
  <c r="I1358" i="13"/>
  <c r="G1358" i="13"/>
  <c r="B1358" i="13" s="1"/>
  <c r="F1358" i="13"/>
  <c r="E1358" i="13"/>
  <c r="D1358" i="13"/>
  <c r="R1357" i="13"/>
  <c r="M1357" i="13"/>
  <c r="L1357" i="13"/>
  <c r="J1357" i="13"/>
  <c r="I1357" i="13"/>
  <c r="G1357" i="13"/>
  <c r="B1357" i="13" s="1"/>
  <c r="F1357" i="13"/>
  <c r="E1357" i="13"/>
  <c r="D1357" i="13"/>
  <c r="R1356" i="13"/>
  <c r="M1356" i="13"/>
  <c r="L1356" i="13"/>
  <c r="J1356" i="13"/>
  <c r="I1356" i="13"/>
  <c r="G1356" i="13"/>
  <c r="B1356" i="13" s="1"/>
  <c r="F1356" i="13"/>
  <c r="E1356" i="13"/>
  <c r="D1356" i="13"/>
  <c r="R1355" i="13"/>
  <c r="M1355" i="13"/>
  <c r="L1355" i="13"/>
  <c r="J1355" i="13"/>
  <c r="I1355" i="13"/>
  <c r="G1355" i="13"/>
  <c r="B1355" i="13" s="1"/>
  <c r="F1355" i="13"/>
  <c r="E1355" i="13"/>
  <c r="D1355" i="13"/>
  <c r="R1354" i="13"/>
  <c r="M1354" i="13"/>
  <c r="L1354" i="13"/>
  <c r="J1354" i="13"/>
  <c r="I1354" i="13"/>
  <c r="G1354" i="13"/>
  <c r="B1354" i="13" s="1"/>
  <c r="F1354" i="13"/>
  <c r="E1354" i="13"/>
  <c r="D1354" i="13"/>
  <c r="R1353" i="13"/>
  <c r="M1353" i="13"/>
  <c r="L1353" i="13"/>
  <c r="J1353" i="13"/>
  <c r="I1353" i="13"/>
  <c r="G1353" i="13"/>
  <c r="B1353" i="13" s="1"/>
  <c r="F1353" i="13"/>
  <c r="E1353" i="13"/>
  <c r="D1353" i="13"/>
  <c r="R1352" i="13"/>
  <c r="M1352" i="13"/>
  <c r="L1352" i="13"/>
  <c r="J1352" i="13"/>
  <c r="I1352" i="13"/>
  <c r="G1352" i="13"/>
  <c r="B1352" i="13" s="1"/>
  <c r="F1352" i="13"/>
  <c r="E1352" i="13"/>
  <c r="D1352" i="13"/>
  <c r="R1351" i="13"/>
  <c r="M1351" i="13"/>
  <c r="L1351" i="13"/>
  <c r="J1351" i="13"/>
  <c r="I1351" i="13"/>
  <c r="G1351" i="13"/>
  <c r="B1351" i="13" s="1"/>
  <c r="F1351" i="13"/>
  <c r="E1351" i="13"/>
  <c r="D1351" i="13"/>
  <c r="R1350" i="13"/>
  <c r="M1350" i="13"/>
  <c r="L1350" i="13"/>
  <c r="J1350" i="13"/>
  <c r="I1350" i="13"/>
  <c r="G1350" i="13"/>
  <c r="B1350" i="13" s="1"/>
  <c r="F1350" i="13"/>
  <c r="E1350" i="13"/>
  <c r="D1350" i="13"/>
  <c r="R1349" i="13"/>
  <c r="M1349" i="13"/>
  <c r="L1349" i="13"/>
  <c r="J1349" i="13"/>
  <c r="I1349" i="13"/>
  <c r="G1349" i="13"/>
  <c r="B1349" i="13" s="1"/>
  <c r="F1349" i="13"/>
  <c r="E1349" i="13"/>
  <c r="D1349" i="13"/>
  <c r="R1348" i="13"/>
  <c r="M1348" i="13"/>
  <c r="L1348" i="13"/>
  <c r="J1348" i="13"/>
  <c r="I1348" i="13"/>
  <c r="G1348" i="13"/>
  <c r="B1348" i="13" s="1"/>
  <c r="F1348" i="13"/>
  <c r="E1348" i="13"/>
  <c r="D1348" i="13"/>
  <c r="R1347" i="13"/>
  <c r="M1347" i="13"/>
  <c r="L1347" i="13"/>
  <c r="J1347" i="13"/>
  <c r="I1347" i="13"/>
  <c r="G1347" i="13"/>
  <c r="B1347" i="13" s="1"/>
  <c r="F1347" i="13"/>
  <c r="E1347" i="13"/>
  <c r="D1347" i="13"/>
  <c r="R1346" i="13"/>
  <c r="M1346" i="13"/>
  <c r="L1346" i="13"/>
  <c r="J1346" i="13"/>
  <c r="I1346" i="13"/>
  <c r="G1346" i="13"/>
  <c r="B1346" i="13" s="1"/>
  <c r="F1346" i="13"/>
  <c r="E1346" i="13"/>
  <c r="D1346" i="13"/>
  <c r="R1345" i="13"/>
  <c r="M1345" i="13"/>
  <c r="L1345" i="13"/>
  <c r="J1345" i="13"/>
  <c r="I1345" i="13"/>
  <c r="G1345" i="13"/>
  <c r="B1345" i="13" s="1"/>
  <c r="F1345" i="13"/>
  <c r="E1345" i="13"/>
  <c r="D1345" i="13"/>
  <c r="R1344" i="13"/>
  <c r="M1344" i="13"/>
  <c r="L1344" i="13"/>
  <c r="J1344" i="13"/>
  <c r="I1344" i="13"/>
  <c r="G1344" i="13"/>
  <c r="B1344" i="13" s="1"/>
  <c r="F1344" i="13"/>
  <c r="E1344" i="13"/>
  <c r="D1344" i="13"/>
  <c r="R1343" i="13"/>
  <c r="M1343" i="13"/>
  <c r="L1343" i="13"/>
  <c r="J1343" i="13"/>
  <c r="I1343" i="13"/>
  <c r="G1343" i="13"/>
  <c r="B1343" i="13" s="1"/>
  <c r="F1343" i="13"/>
  <c r="E1343" i="13"/>
  <c r="D1343" i="13"/>
  <c r="R1342" i="13"/>
  <c r="M1342" i="13"/>
  <c r="L1342" i="13"/>
  <c r="J1342" i="13"/>
  <c r="I1342" i="13"/>
  <c r="G1342" i="13"/>
  <c r="B1342" i="13" s="1"/>
  <c r="F1342" i="13"/>
  <c r="E1342" i="13"/>
  <c r="D1342" i="13"/>
  <c r="R1341" i="13"/>
  <c r="M1341" i="13"/>
  <c r="L1341" i="13"/>
  <c r="J1341" i="13"/>
  <c r="I1341" i="13"/>
  <c r="G1341" i="13"/>
  <c r="B1341" i="13" s="1"/>
  <c r="F1341" i="13"/>
  <c r="E1341" i="13"/>
  <c r="D1341" i="13"/>
  <c r="R1340" i="13"/>
  <c r="M1340" i="13"/>
  <c r="L1340" i="13"/>
  <c r="J1340" i="13"/>
  <c r="I1340" i="13"/>
  <c r="G1340" i="13"/>
  <c r="B1340" i="13" s="1"/>
  <c r="F1340" i="13"/>
  <c r="E1340" i="13"/>
  <c r="D1340" i="13"/>
  <c r="R1339" i="13"/>
  <c r="M1339" i="13"/>
  <c r="L1339" i="13"/>
  <c r="J1339" i="13"/>
  <c r="I1339" i="13"/>
  <c r="G1339" i="13"/>
  <c r="B1339" i="13" s="1"/>
  <c r="F1339" i="13"/>
  <c r="E1339" i="13"/>
  <c r="D1339" i="13"/>
  <c r="R1338" i="13"/>
  <c r="M1338" i="13"/>
  <c r="L1338" i="13"/>
  <c r="J1338" i="13"/>
  <c r="I1338" i="13"/>
  <c r="G1338" i="13"/>
  <c r="B1338" i="13" s="1"/>
  <c r="F1338" i="13"/>
  <c r="E1338" i="13"/>
  <c r="D1338" i="13"/>
  <c r="R1337" i="13"/>
  <c r="M1337" i="13"/>
  <c r="L1337" i="13"/>
  <c r="J1337" i="13"/>
  <c r="I1337" i="13"/>
  <c r="G1337" i="13"/>
  <c r="B1337" i="13" s="1"/>
  <c r="F1337" i="13"/>
  <c r="E1337" i="13"/>
  <c r="D1337" i="13"/>
  <c r="R1336" i="13"/>
  <c r="M1336" i="13"/>
  <c r="L1336" i="13"/>
  <c r="J1336" i="13"/>
  <c r="I1336" i="13"/>
  <c r="G1336" i="13"/>
  <c r="B1336" i="13" s="1"/>
  <c r="F1336" i="13"/>
  <c r="E1336" i="13"/>
  <c r="D1336" i="13"/>
  <c r="R1335" i="13"/>
  <c r="M1335" i="13"/>
  <c r="L1335" i="13"/>
  <c r="J1335" i="13"/>
  <c r="I1335" i="13"/>
  <c r="G1335" i="13"/>
  <c r="B1335" i="13" s="1"/>
  <c r="F1335" i="13"/>
  <c r="E1335" i="13"/>
  <c r="D1335" i="13"/>
  <c r="R1334" i="13"/>
  <c r="M1334" i="13"/>
  <c r="L1334" i="13"/>
  <c r="J1334" i="13"/>
  <c r="I1334" i="13"/>
  <c r="G1334" i="13"/>
  <c r="B1334" i="13" s="1"/>
  <c r="F1334" i="13"/>
  <c r="E1334" i="13"/>
  <c r="D1334" i="13"/>
  <c r="R1333" i="13"/>
  <c r="M1333" i="13"/>
  <c r="L1333" i="13"/>
  <c r="J1333" i="13"/>
  <c r="I1333" i="13"/>
  <c r="G1333" i="13"/>
  <c r="B1333" i="13" s="1"/>
  <c r="F1333" i="13"/>
  <c r="E1333" i="13"/>
  <c r="D1333" i="13"/>
  <c r="R1332" i="13"/>
  <c r="M1332" i="13"/>
  <c r="L1332" i="13"/>
  <c r="J1332" i="13"/>
  <c r="I1332" i="13"/>
  <c r="G1332" i="13"/>
  <c r="B1332" i="13" s="1"/>
  <c r="F1332" i="13"/>
  <c r="E1332" i="13"/>
  <c r="D1332" i="13"/>
  <c r="R1331" i="13"/>
  <c r="M1331" i="13"/>
  <c r="L1331" i="13"/>
  <c r="J1331" i="13"/>
  <c r="I1331" i="13"/>
  <c r="G1331" i="13"/>
  <c r="B1331" i="13" s="1"/>
  <c r="F1331" i="13"/>
  <c r="E1331" i="13"/>
  <c r="D1331" i="13"/>
  <c r="R1330" i="13"/>
  <c r="M1330" i="13"/>
  <c r="L1330" i="13"/>
  <c r="J1330" i="13"/>
  <c r="I1330" i="13"/>
  <c r="G1330" i="13"/>
  <c r="B1330" i="13" s="1"/>
  <c r="F1330" i="13"/>
  <c r="E1330" i="13"/>
  <c r="D1330" i="13"/>
  <c r="R1329" i="13"/>
  <c r="M1329" i="13"/>
  <c r="L1329" i="13"/>
  <c r="J1329" i="13"/>
  <c r="I1329" i="13"/>
  <c r="G1329" i="13"/>
  <c r="B1329" i="13" s="1"/>
  <c r="F1329" i="13"/>
  <c r="E1329" i="13"/>
  <c r="D1329" i="13"/>
  <c r="R1328" i="13"/>
  <c r="M1328" i="13"/>
  <c r="L1328" i="13"/>
  <c r="J1328" i="13"/>
  <c r="I1328" i="13"/>
  <c r="G1328" i="13"/>
  <c r="B1328" i="13" s="1"/>
  <c r="F1328" i="13"/>
  <c r="E1328" i="13"/>
  <c r="D1328" i="13"/>
  <c r="R1327" i="13"/>
  <c r="M1327" i="13"/>
  <c r="L1327" i="13"/>
  <c r="J1327" i="13"/>
  <c r="I1327" i="13"/>
  <c r="G1327" i="13"/>
  <c r="B1327" i="13" s="1"/>
  <c r="F1327" i="13"/>
  <c r="E1327" i="13"/>
  <c r="D1327" i="13"/>
  <c r="R1326" i="13"/>
  <c r="M1326" i="13"/>
  <c r="L1326" i="13"/>
  <c r="J1326" i="13"/>
  <c r="I1326" i="13"/>
  <c r="G1326" i="13"/>
  <c r="B1326" i="13" s="1"/>
  <c r="F1326" i="13"/>
  <c r="E1326" i="13"/>
  <c r="D1326" i="13"/>
  <c r="R1325" i="13"/>
  <c r="M1325" i="13"/>
  <c r="L1325" i="13"/>
  <c r="J1325" i="13"/>
  <c r="I1325" i="13"/>
  <c r="G1325" i="13"/>
  <c r="B1325" i="13" s="1"/>
  <c r="F1325" i="13"/>
  <c r="E1325" i="13"/>
  <c r="D1325" i="13"/>
  <c r="R1324" i="13"/>
  <c r="M1324" i="13"/>
  <c r="L1324" i="13"/>
  <c r="J1324" i="13"/>
  <c r="I1324" i="13"/>
  <c r="G1324" i="13"/>
  <c r="B1324" i="13" s="1"/>
  <c r="F1324" i="13"/>
  <c r="E1324" i="13"/>
  <c r="D1324" i="13"/>
  <c r="R1323" i="13"/>
  <c r="M1323" i="13"/>
  <c r="L1323" i="13"/>
  <c r="J1323" i="13"/>
  <c r="I1323" i="13"/>
  <c r="G1323" i="13"/>
  <c r="B1323" i="13" s="1"/>
  <c r="F1323" i="13"/>
  <c r="E1323" i="13"/>
  <c r="D1323" i="13"/>
  <c r="R1322" i="13"/>
  <c r="M1322" i="13"/>
  <c r="L1322" i="13"/>
  <c r="J1322" i="13"/>
  <c r="I1322" i="13"/>
  <c r="G1322" i="13"/>
  <c r="B1322" i="13" s="1"/>
  <c r="F1322" i="13"/>
  <c r="E1322" i="13"/>
  <c r="D1322" i="13"/>
  <c r="R1321" i="13"/>
  <c r="M1321" i="13"/>
  <c r="L1321" i="13"/>
  <c r="J1321" i="13"/>
  <c r="I1321" i="13"/>
  <c r="G1321" i="13"/>
  <c r="B1321" i="13" s="1"/>
  <c r="F1321" i="13"/>
  <c r="E1321" i="13"/>
  <c r="D1321" i="13"/>
  <c r="R1320" i="13"/>
  <c r="M1320" i="13"/>
  <c r="L1320" i="13"/>
  <c r="J1320" i="13"/>
  <c r="I1320" i="13"/>
  <c r="G1320" i="13"/>
  <c r="B1320" i="13" s="1"/>
  <c r="F1320" i="13"/>
  <c r="E1320" i="13"/>
  <c r="D1320" i="13"/>
  <c r="R1319" i="13"/>
  <c r="M1319" i="13"/>
  <c r="L1319" i="13"/>
  <c r="J1319" i="13"/>
  <c r="I1319" i="13"/>
  <c r="G1319" i="13"/>
  <c r="B1319" i="13" s="1"/>
  <c r="F1319" i="13"/>
  <c r="E1319" i="13"/>
  <c r="D1319" i="13"/>
  <c r="R1318" i="13"/>
  <c r="M1318" i="13"/>
  <c r="L1318" i="13"/>
  <c r="J1318" i="13"/>
  <c r="I1318" i="13"/>
  <c r="G1318" i="13"/>
  <c r="B1318" i="13" s="1"/>
  <c r="F1318" i="13"/>
  <c r="E1318" i="13"/>
  <c r="D1318" i="13"/>
  <c r="R1317" i="13"/>
  <c r="M1317" i="13"/>
  <c r="L1317" i="13"/>
  <c r="J1317" i="13"/>
  <c r="I1317" i="13"/>
  <c r="G1317" i="13"/>
  <c r="B1317" i="13" s="1"/>
  <c r="F1317" i="13"/>
  <c r="E1317" i="13"/>
  <c r="D1317" i="13"/>
  <c r="R1316" i="13"/>
  <c r="M1316" i="13"/>
  <c r="L1316" i="13"/>
  <c r="J1316" i="13"/>
  <c r="I1316" i="13"/>
  <c r="G1316" i="13"/>
  <c r="B1316" i="13" s="1"/>
  <c r="F1316" i="13"/>
  <c r="E1316" i="13"/>
  <c r="D1316" i="13"/>
  <c r="R1315" i="13"/>
  <c r="M1315" i="13"/>
  <c r="L1315" i="13"/>
  <c r="J1315" i="13"/>
  <c r="I1315" i="13"/>
  <c r="G1315" i="13"/>
  <c r="B1315" i="13" s="1"/>
  <c r="F1315" i="13"/>
  <c r="E1315" i="13"/>
  <c r="D1315" i="13"/>
  <c r="R1314" i="13"/>
  <c r="M1314" i="13"/>
  <c r="L1314" i="13"/>
  <c r="J1314" i="13"/>
  <c r="I1314" i="13"/>
  <c r="G1314" i="13"/>
  <c r="B1314" i="13" s="1"/>
  <c r="F1314" i="13"/>
  <c r="E1314" i="13"/>
  <c r="D1314" i="13"/>
  <c r="R1313" i="13"/>
  <c r="M1313" i="13"/>
  <c r="L1313" i="13"/>
  <c r="J1313" i="13"/>
  <c r="I1313" i="13"/>
  <c r="G1313" i="13"/>
  <c r="B1313" i="13" s="1"/>
  <c r="F1313" i="13"/>
  <c r="E1313" i="13"/>
  <c r="D1313" i="13"/>
  <c r="R1312" i="13"/>
  <c r="M1312" i="13"/>
  <c r="L1312" i="13"/>
  <c r="J1312" i="13"/>
  <c r="I1312" i="13"/>
  <c r="G1312" i="13"/>
  <c r="B1312" i="13" s="1"/>
  <c r="F1312" i="13"/>
  <c r="E1312" i="13"/>
  <c r="D1312" i="13"/>
  <c r="R1311" i="13"/>
  <c r="M1311" i="13"/>
  <c r="L1311" i="13"/>
  <c r="J1311" i="13"/>
  <c r="I1311" i="13"/>
  <c r="G1311" i="13"/>
  <c r="B1311" i="13" s="1"/>
  <c r="F1311" i="13"/>
  <c r="E1311" i="13"/>
  <c r="D1311" i="13"/>
  <c r="R1310" i="13"/>
  <c r="M1310" i="13"/>
  <c r="L1310" i="13"/>
  <c r="J1310" i="13"/>
  <c r="I1310" i="13"/>
  <c r="G1310" i="13"/>
  <c r="B1310" i="13" s="1"/>
  <c r="F1310" i="13"/>
  <c r="E1310" i="13"/>
  <c r="D1310" i="13"/>
  <c r="R1309" i="13"/>
  <c r="M1309" i="13"/>
  <c r="L1309" i="13"/>
  <c r="J1309" i="13"/>
  <c r="I1309" i="13"/>
  <c r="G1309" i="13"/>
  <c r="B1309" i="13" s="1"/>
  <c r="F1309" i="13"/>
  <c r="E1309" i="13"/>
  <c r="D1309" i="13"/>
  <c r="R1308" i="13"/>
  <c r="M1308" i="13"/>
  <c r="L1308" i="13"/>
  <c r="J1308" i="13"/>
  <c r="I1308" i="13"/>
  <c r="G1308" i="13"/>
  <c r="B1308" i="13" s="1"/>
  <c r="F1308" i="13"/>
  <c r="E1308" i="13"/>
  <c r="D1308" i="13"/>
  <c r="R1307" i="13"/>
  <c r="M1307" i="13"/>
  <c r="L1307" i="13"/>
  <c r="J1307" i="13"/>
  <c r="I1307" i="13"/>
  <c r="G1307" i="13"/>
  <c r="B1307" i="13" s="1"/>
  <c r="F1307" i="13"/>
  <c r="E1307" i="13"/>
  <c r="D1307" i="13"/>
  <c r="R1306" i="13"/>
  <c r="M1306" i="13"/>
  <c r="L1306" i="13"/>
  <c r="J1306" i="13"/>
  <c r="I1306" i="13"/>
  <c r="G1306" i="13"/>
  <c r="B1306" i="13" s="1"/>
  <c r="F1306" i="13"/>
  <c r="E1306" i="13"/>
  <c r="D1306" i="13"/>
  <c r="R1305" i="13"/>
  <c r="M1305" i="13"/>
  <c r="L1305" i="13"/>
  <c r="J1305" i="13"/>
  <c r="I1305" i="13"/>
  <c r="G1305" i="13"/>
  <c r="B1305" i="13" s="1"/>
  <c r="F1305" i="13"/>
  <c r="E1305" i="13"/>
  <c r="D1305" i="13"/>
  <c r="R1304" i="13"/>
  <c r="M1304" i="13"/>
  <c r="L1304" i="13"/>
  <c r="J1304" i="13"/>
  <c r="I1304" i="13"/>
  <c r="G1304" i="13"/>
  <c r="B1304" i="13" s="1"/>
  <c r="F1304" i="13"/>
  <c r="E1304" i="13"/>
  <c r="D1304" i="13"/>
  <c r="R1303" i="13"/>
  <c r="M1303" i="13"/>
  <c r="L1303" i="13"/>
  <c r="J1303" i="13"/>
  <c r="I1303" i="13"/>
  <c r="G1303" i="13"/>
  <c r="B1303" i="13" s="1"/>
  <c r="F1303" i="13"/>
  <c r="E1303" i="13"/>
  <c r="D1303" i="13"/>
  <c r="R1302" i="13"/>
  <c r="M1302" i="13"/>
  <c r="L1302" i="13"/>
  <c r="J1302" i="13"/>
  <c r="I1302" i="13"/>
  <c r="G1302" i="13"/>
  <c r="B1302" i="13" s="1"/>
  <c r="F1302" i="13"/>
  <c r="E1302" i="13"/>
  <c r="D1302" i="13"/>
  <c r="R1301" i="13"/>
  <c r="M1301" i="13"/>
  <c r="L1301" i="13"/>
  <c r="J1301" i="13"/>
  <c r="I1301" i="13"/>
  <c r="G1301" i="13"/>
  <c r="B1301" i="13" s="1"/>
  <c r="F1301" i="13"/>
  <c r="E1301" i="13"/>
  <c r="D1301" i="13"/>
  <c r="R1300" i="13"/>
  <c r="M1300" i="13"/>
  <c r="L1300" i="13"/>
  <c r="J1300" i="13"/>
  <c r="I1300" i="13"/>
  <c r="G1300" i="13"/>
  <c r="B1300" i="13" s="1"/>
  <c r="F1300" i="13"/>
  <c r="E1300" i="13"/>
  <c r="D1300" i="13"/>
  <c r="R1299" i="13"/>
  <c r="M1299" i="13"/>
  <c r="L1299" i="13"/>
  <c r="J1299" i="13"/>
  <c r="I1299" i="13"/>
  <c r="G1299" i="13"/>
  <c r="B1299" i="13" s="1"/>
  <c r="F1299" i="13"/>
  <c r="E1299" i="13"/>
  <c r="D1299" i="13"/>
  <c r="R1298" i="13"/>
  <c r="M1298" i="13"/>
  <c r="L1298" i="13"/>
  <c r="J1298" i="13"/>
  <c r="I1298" i="13"/>
  <c r="G1298" i="13"/>
  <c r="B1298" i="13" s="1"/>
  <c r="F1298" i="13"/>
  <c r="E1298" i="13"/>
  <c r="D1298" i="13"/>
  <c r="R1297" i="13"/>
  <c r="M1297" i="13"/>
  <c r="L1297" i="13"/>
  <c r="J1297" i="13"/>
  <c r="I1297" i="13"/>
  <c r="G1297" i="13"/>
  <c r="B1297" i="13" s="1"/>
  <c r="F1297" i="13"/>
  <c r="E1297" i="13"/>
  <c r="D1297" i="13"/>
  <c r="R1296" i="13"/>
  <c r="M1296" i="13"/>
  <c r="L1296" i="13"/>
  <c r="J1296" i="13"/>
  <c r="I1296" i="13"/>
  <c r="G1296" i="13"/>
  <c r="B1296" i="13" s="1"/>
  <c r="F1296" i="13"/>
  <c r="E1296" i="13"/>
  <c r="D1296" i="13"/>
  <c r="R1295" i="13"/>
  <c r="M1295" i="13"/>
  <c r="L1295" i="13"/>
  <c r="J1295" i="13"/>
  <c r="I1295" i="13"/>
  <c r="G1295" i="13"/>
  <c r="B1295" i="13" s="1"/>
  <c r="F1295" i="13"/>
  <c r="E1295" i="13"/>
  <c r="D1295" i="13"/>
  <c r="R1294" i="13"/>
  <c r="M1294" i="13"/>
  <c r="L1294" i="13"/>
  <c r="J1294" i="13"/>
  <c r="I1294" i="13"/>
  <c r="G1294" i="13"/>
  <c r="B1294" i="13" s="1"/>
  <c r="F1294" i="13"/>
  <c r="E1294" i="13"/>
  <c r="D1294" i="13"/>
  <c r="R1293" i="13"/>
  <c r="M1293" i="13"/>
  <c r="L1293" i="13"/>
  <c r="J1293" i="13"/>
  <c r="I1293" i="13"/>
  <c r="G1293" i="13"/>
  <c r="B1293" i="13" s="1"/>
  <c r="F1293" i="13"/>
  <c r="E1293" i="13"/>
  <c r="D1293" i="13"/>
  <c r="R1292" i="13"/>
  <c r="M1292" i="13"/>
  <c r="L1292" i="13"/>
  <c r="J1292" i="13"/>
  <c r="I1292" i="13"/>
  <c r="G1292" i="13"/>
  <c r="B1292" i="13" s="1"/>
  <c r="F1292" i="13"/>
  <c r="E1292" i="13"/>
  <c r="D1292" i="13"/>
  <c r="R1291" i="13"/>
  <c r="M1291" i="13"/>
  <c r="L1291" i="13"/>
  <c r="J1291" i="13"/>
  <c r="I1291" i="13"/>
  <c r="G1291" i="13"/>
  <c r="B1291" i="13" s="1"/>
  <c r="F1291" i="13"/>
  <c r="E1291" i="13"/>
  <c r="D1291" i="13"/>
  <c r="R1290" i="13"/>
  <c r="M1290" i="13"/>
  <c r="L1290" i="13"/>
  <c r="J1290" i="13"/>
  <c r="I1290" i="13"/>
  <c r="G1290" i="13"/>
  <c r="B1290" i="13" s="1"/>
  <c r="F1290" i="13"/>
  <c r="E1290" i="13"/>
  <c r="D1290" i="13"/>
  <c r="R1289" i="13"/>
  <c r="M1289" i="13"/>
  <c r="L1289" i="13"/>
  <c r="J1289" i="13"/>
  <c r="I1289" i="13"/>
  <c r="G1289" i="13"/>
  <c r="B1289" i="13" s="1"/>
  <c r="F1289" i="13"/>
  <c r="E1289" i="13"/>
  <c r="D1289" i="13"/>
  <c r="R1288" i="13"/>
  <c r="M1288" i="13"/>
  <c r="L1288" i="13"/>
  <c r="J1288" i="13"/>
  <c r="I1288" i="13"/>
  <c r="G1288" i="13"/>
  <c r="B1288" i="13" s="1"/>
  <c r="F1288" i="13"/>
  <c r="E1288" i="13"/>
  <c r="D1288" i="13"/>
  <c r="R1287" i="13"/>
  <c r="M1287" i="13"/>
  <c r="L1287" i="13"/>
  <c r="J1287" i="13"/>
  <c r="I1287" i="13"/>
  <c r="G1287" i="13"/>
  <c r="B1287" i="13" s="1"/>
  <c r="F1287" i="13"/>
  <c r="E1287" i="13"/>
  <c r="D1287" i="13"/>
  <c r="R1286" i="13"/>
  <c r="M1286" i="13"/>
  <c r="L1286" i="13"/>
  <c r="J1286" i="13"/>
  <c r="I1286" i="13"/>
  <c r="G1286" i="13"/>
  <c r="B1286" i="13" s="1"/>
  <c r="F1286" i="13"/>
  <c r="E1286" i="13"/>
  <c r="D1286" i="13"/>
  <c r="R1285" i="13"/>
  <c r="M1285" i="13"/>
  <c r="L1285" i="13"/>
  <c r="J1285" i="13"/>
  <c r="I1285" i="13"/>
  <c r="G1285" i="13"/>
  <c r="B1285" i="13" s="1"/>
  <c r="F1285" i="13"/>
  <c r="E1285" i="13"/>
  <c r="D1285" i="13"/>
  <c r="R1284" i="13"/>
  <c r="M1284" i="13"/>
  <c r="L1284" i="13"/>
  <c r="J1284" i="13"/>
  <c r="I1284" i="13"/>
  <c r="G1284" i="13"/>
  <c r="B1284" i="13" s="1"/>
  <c r="F1284" i="13"/>
  <c r="E1284" i="13"/>
  <c r="D1284" i="13"/>
  <c r="R1283" i="13"/>
  <c r="M1283" i="13"/>
  <c r="L1283" i="13"/>
  <c r="J1283" i="13"/>
  <c r="I1283" i="13"/>
  <c r="G1283" i="13"/>
  <c r="B1283" i="13" s="1"/>
  <c r="F1283" i="13"/>
  <c r="E1283" i="13"/>
  <c r="D1283" i="13"/>
  <c r="R1282" i="13"/>
  <c r="M1282" i="13"/>
  <c r="L1282" i="13"/>
  <c r="J1282" i="13"/>
  <c r="I1282" i="13"/>
  <c r="G1282" i="13"/>
  <c r="B1282" i="13" s="1"/>
  <c r="F1282" i="13"/>
  <c r="E1282" i="13"/>
  <c r="D1282" i="13"/>
  <c r="R1281" i="13"/>
  <c r="M1281" i="13"/>
  <c r="L1281" i="13"/>
  <c r="J1281" i="13"/>
  <c r="I1281" i="13"/>
  <c r="G1281" i="13"/>
  <c r="B1281" i="13" s="1"/>
  <c r="F1281" i="13"/>
  <c r="E1281" i="13"/>
  <c r="D1281" i="13"/>
  <c r="R1280" i="13"/>
  <c r="M1280" i="13"/>
  <c r="L1280" i="13"/>
  <c r="J1280" i="13"/>
  <c r="I1280" i="13"/>
  <c r="G1280" i="13"/>
  <c r="B1280" i="13" s="1"/>
  <c r="F1280" i="13"/>
  <c r="E1280" i="13"/>
  <c r="D1280" i="13"/>
  <c r="R1279" i="13"/>
  <c r="M1279" i="13"/>
  <c r="L1279" i="13"/>
  <c r="J1279" i="13"/>
  <c r="I1279" i="13"/>
  <c r="G1279" i="13"/>
  <c r="B1279" i="13" s="1"/>
  <c r="F1279" i="13"/>
  <c r="E1279" i="13"/>
  <c r="D1279" i="13"/>
  <c r="R1278" i="13"/>
  <c r="M1278" i="13"/>
  <c r="L1278" i="13"/>
  <c r="J1278" i="13"/>
  <c r="I1278" i="13"/>
  <c r="G1278" i="13"/>
  <c r="B1278" i="13" s="1"/>
  <c r="F1278" i="13"/>
  <c r="E1278" i="13"/>
  <c r="D1278" i="13"/>
  <c r="R1277" i="13"/>
  <c r="M1277" i="13"/>
  <c r="L1277" i="13"/>
  <c r="J1277" i="13"/>
  <c r="I1277" i="13"/>
  <c r="G1277" i="13"/>
  <c r="B1277" i="13" s="1"/>
  <c r="F1277" i="13"/>
  <c r="E1277" i="13"/>
  <c r="D1277" i="13"/>
  <c r="R1276" i="13"/>
  <c r="M1276" i="13"/>
  <c r="L1276" i="13"/>
  <c r="J1276" i="13"/>
  <c r="I1276" i="13"/>
  <c r="G1276" i="13"/>
  <c r="B1276" i="13" s="1"/>
  <c r="F1276" i="13"/>
  <c r="E1276" i="13"/>
  <c r="D1276" i="13"/>
  <c r="R1275" i="13"/>
  <c r="M1275" i="13"/>
  <c r="L1275" i="13"/>
  <c r="J1275" i="13"/>
  <c r="I1275" i="13"/>
  <c r="G1275" i="13"/>
  <c r="B1275" i="13" s="1"/>
  <c r="F1275" i="13"/>
  <c r="E1275" i="13"/>
  <c r="D1275" i="13"/>
  <c r="R1274" i="13"/>
  <c r="M1274" i="13"/>
  <c r="L1274" i="13"/>
  <c r="J1274" i="13"/>
  <c r="I1274" i="13"/>
  <c r="G1274" i="13"/>
  <c r="B1274" i="13" s="1"/>
  <c r="F1274" i="13"/>
  <c r="E1274" i="13"/>
  <c r="D1274" i="13"/>
  <c r="R1273" i="13"/>
  <c r="M1273" i="13"/>
  <c r="L1273" i="13"/>
  <c r="J1273" i="13"/>
  <c r="I1273" i="13"/>
  <c r="G1273" i="13"/>
  <c r="B1273" i="13" s="1"/>
  <c r="F1273" i="13"/>
  <c r="E1273" i="13"/>
  <c r="D1273" i="13"/>
  <c r="R1272" i="13"/>
  <c r="M1272" i="13"/>
  <c r="L1272" i="13"/>
  <c r="J1272" i="13"/>
  <c r="I1272" i="13"/>
  <c r="G1272" i="13"/>
  <c r="B1272" i="13" s="1"/>
  <c r="F1272" i="13"/>
  <c r="E1272" i="13"/>
  <c r="D1272" i="13"/>
  <c r="R1271" i="13"/>
  <c r="M1271" i="13"/>
  <c r="L1271" i="13"/>
  <c r="J1271" i="13"/>
  <c r="I1271" i="13"/>
  <c r="G1271" i="13"/>
  <c r="B1271" i="13" s="1"/>
  <c r="F1271" i="13"/>
  <c r="E1271" i="13"/>
  <c r="D1271" i="13"/>
  <c r="R1270" i="13"/>
  <c r="M1270" i="13"/>
  <c r="L1270" i="13"/>
  <c r="J1270" i="13"/>
  <c r="I1270" i="13"/>
  <c r="G1270" i="13"/>
  <c r="B1270" i="13" s="1"/>
  <c r="F1270" i="13"/>
  <c r="E1270" i="13"/>
  <c r="D1270" i="13"/>
  <c r="R1269" i="13"/>
  <c r="M1269" i="13"/>
  <c r="L1269" i="13"/>
  <c r="J1269" i="13"/>
  <c r="I1269" i="13"/>
  <c r="G1269" i="13"/>
  <c r="B1269" i="13" s="1"/>
  <c r="F1269" i="13"/>
  <c r="E1269" i="13"/>
  <c r="D1269" i="13"/>
  <c r="R1268" i="13"/>
  <c r="M1268" i="13"/>
  <c r="L1268" i="13"/>
  <c r="J1268" i="13"/>
  <c r="I1268" i="13"/>
  <c r="G1268" i="13"/>
  <c r="B1268" i="13" s="1"/>
  <c r="F1268" i="13"/>
  <c r="E1268" i="13"/>
  <c r="D1268" i="13"/>
  <c r="R1267" i="13"/>
  <c r="M1267" i="13"/>
  <c r="L1267" i="13"/>
  <c r="J1267" i="13"/>
  <c r="I1267" i="13"/>
  <c r="G1267" i="13"/>
  <c r="B1267" i="13" s="1"/>
  <c r="F1267" i="13"/>
  <c r="E1267" i="13"/>
  <c r="D1267" i="13"/>
  <c r="R1266" i="13"/>
  <c r="M1266" i="13"/>
  <c r="L1266" i="13"/>
  <c r="J1266" i="13"/>
  <c r="I1266" i="13"/>
  <c r="G1266" i="13"/>
  <c r="B1266" i="13" s="1"/>
  <c r="F1266" i="13"/>
  <c r="E1266" i="13"/>
  <c r="D1266" i="13"/>
  <c r="R1265" i="13"/>
  <c r="M1265" i="13"/>
  <c r="L1265" i="13"/>
  <c r="J1265" i="13"/>
  <c r="I1265" i="13"/>
  <c r="G1265" i="13"/>
  <c r="B1265" i="13" s="1"/>
  <c r="F1265" i="13"/>
  <c r="E1265" i="13"/>
  <c r="D1265" i="13"/>
  <c r="R1264" i="13"/>
  <c r="M1264" i="13"/>
  <c r="L1264" i="13"/>
  <c r="J1264" i="13"/>
  <c r="I1264" i="13"/>
  <c r="G1264" i="13"/>
  <c r="B1264" i="13" s="1"/>
  <c r="F1264" i="13"/>
  <c r="E1264" i="13"/>
  <c r="D1264" i="13"/>
  <c r="R1263" i="13"/>
  <c r="M1263" i="13"/>
  <c r="L1263" i="13"/>
  <c r="J1263" i="13"/>
  <c r="I1263" i="13"/>
  <c r="G1263" i="13"/>
  <c r="B1263" i="13" s="1"/>
  <c r="F1263" i="13"/>
  <c r="E1263" i="13"/>
  <c r="D1263" i="13"/>
  <c r="R1262" i="13"/>
  <c r="M1262" i="13"/>
  <c r="L1262" i="13"/>
  <c r="J1262" i="13"/>
  <c r="I1262" i="13"/>
  <c r="G1262" i="13"/>
  <c r="B1262" i="13" s="1"/>
  <c r="F1262" i="13"/>
  <c r="E1262" i="13"/>
  <c r="D1262" i="13"/>
  <c r="R1261" i="13"/>
  <c r="M1261" i="13"/>
  <c r="L1261" i="13"/>
  <c r="J1261" i="13"/>
  <c r="I1261" i="13"/>
  <c r="G1261" i="13"/>
  <c r="B1261" i="13" s="1"/>
  <c r="F1261" i="13"/>
  <c r="E1261" i="13"/>
  <c r="D1261" i="13"/>
  <c r="R1260" i="13"/>
  <c r="M1260" i="13"/>
  <c r="L1260" i="13"/>
  <c r="J1260" i="13"/>
  <c r="I1260" i="13"/>
  <c r="G1260" i="13"/>
  <c r="B1260" i="13" s="1"/>
  <c r="F1260" i="13"/>
  <c r="E1260" i="13"/>
  <c r="D1260" i="13"/>
  <c r="R1259" i="13"/>
  <c r="M1259" i="13"/>
  <c r="L1259" i="13"/>
  <c r="J1259" i="13"/>
  <c r="I1259" i="13"/>
  <c r="G1259" i="13"/>
  <c r="B1259" i="13" s="1"/>
  <c r="F1259" i="13"/>
  <c r="E1259" i="13"/>
  <c r="D1259" i="13"/>
  <c r="R1258" i="13"/>
  <c r="M1258" i="13"/>
  <c r="L1258" i="13"/>
  <c r="J1258" i="13"/>
  <c r="I1258" i="13"/>
  <c r="G1258" i="13"/>
  <c r="B1258" i="13" s="1"/>
  <c r="F1258" i="13"/>
  <c r="E1258" i="13"/>
  <c r="D1258" i="13"/>
  <c r="R1257" i="13"/>
  <c r="M1257" i="13"/>
  <c r="L1257" i="13"/>
  <c r="J1257" i="13"/>
  <c r="I1257" i="13"/>
  <c r="G1257" i="13"/>
  <c r="B1257" i="13" s="1"/>
  <c r="F1257" i="13"/>
  <c r="E1257" i="13"/>
  <c r="D1257" i="13"/>
  <c r="R1256" i="13"/>
  <c r="M1256" i="13"/>
  <c r="L1256" i="13"/>
  <c r="J1256" i="13"/>
  <c r="I1256" i="13"/>
  <c r="G1256" i="13"/>
  <c r="B1256" i="13" s="1"/>
  <c r="F1256" i="13"/>
  <c r="E1256" i="13"/>
  <c r="D1256" i="13"/>
  <c r="R1255" i="13"/>
  <c r="M1255" i="13"/>
  <c r="L1255" i="13"/>
  <c r="J1255" i="13"/>
  <c r="I1255" i="13"/>
  <c r="G1255" i="13"/>
  <c r="B1255" i="13" s="1"/>
  <c r="F1255" i="13"/>
  <c r="E1255" i="13"/>
  <c r="D1255" i="13"/>
  <c r="R1254" i="13"/>
  <c r="M1254" i="13"/>
  <c r="L1254" i="13"/>
  <c r="J1254" i="13"/>
  <c r="I1254" i="13"/>
  <c r="G1254" i="13"/>
  <c r="B1254" i="13" s="1"/>
  <c r="F1254" i="13"/>
  <c r="E1254" i="13"/>
  <c r="D1254" i="13"/>
  <c r="R1253" i="13"/>
  <c r="M1253" i="13"/>
  <c r="L1253" i="13"/>
  <c r="J1253" i="13"/>
  <c r="I1253" i="13"/>
  <c r="G1253" i="13"/>
  <c r="B1253" i="13" s="1"/>
  <c r="F1253" i="13"/>
  <c r="E1253" i="13"/>
  <c r="D1253" i="13"/>
  <c r="R1252" i="13"/>
  <c r="M1252" i="13"/>
  <c r="L1252" i="13"/>
  <c r="J1252" i="13"/>
  <c r="I1252" i="13"/>
  <c r="G1252" i="13"/>
  <c r="B1252" i="13" s="1"/>
  <c r="F1252" i="13"/>
  <c r="E1252" i="13"/>
  <c r="D1252" i="13"/>
  <c r="R1251" i="13"/>
  <c r="M1251" i="13"/>
  <c r="L1251" i="13"/>
  <c r="J1251" i="13"/>
  <c r="I1251" i="13"/>
  <c r="G1251" i="13"/>
  <c r="B1251" i="13" s="1"/>
  <c r="F1251" i="13"/>
  <c r="E1251" i="13"/>
  <c r="D1251" i="13"/>
  <c r="R1250" i="13"/>
  <c r="M1250" i="13"/>
  <c r="L1250" i="13"/>
  <c r="J1250" i="13"/>
  <c r="I1250" i="13"/>
  <c r="G1250" i="13"/>
  <c r="B1250" i="13" s="1"/>
  <c r="F1250" i="13"/>
  <c r="E1250" i="13"/>
  <c r="D1250" i="13"/>
  <c r="R1249" i="13"/>
  <c r="M1249" i="13"/>
  <c r="L1249" i="13"/>
  <c r="J1249" i="13"/>
  <c r="I1249" i="13"/>
  <c r="G1249" i="13"/>
  <c r="B1249" i="13" s="1"/>
  <c r="F1249" i="13"/>
  <c r="E1249" i="13"/>
  <c r="D1249" i="13"/>
  <c r="R1248" i="13"/>
  <c r="M1248" i="13"/>
  <c r="L1248" i="13"/>
  <c r="J1248" i="13"/>
  <c r="I1248" i="13"/>
  <c r="G1248" i="13"/>
  <c r="B1248" i="13" s="1"/>
  <c r="F1248" i="13"/>
  <c r="E1248" i="13"/>
  <c r="D1248" i="13"/>
  <c r="R1247" i="13"/>
  <c r="M1247" i="13"/>
  <c r="L1247" i="13"/>
  <c r="J1247" i="13"/>
  <c r="I1247" i="13"/>
  <c r="G1247" i="13"/>
  <c r="B1247" i="13" s="1"/>
  <c r="F1247" i="13"/>
  <c r="E1247" i="13"/>
  <c r="D1247" i="13"/>
  <c r="R1246" i="13"/>
  <c r="M1246" i="13"/>
  <c r="L1246" i="13"/>
  <c r="J1246" i="13"/>
  <c r="I1246" i="13"/>
  <c r="G1246" i="13"/>
  <c r="B1246" i="13" s="1"/>
  <c r="F1246" i="13"/>
  <c r="E1246" i="13"/>
  <c r="D1246" i="13"/>
  <c r="R1245" i="13"/>
  <c r="M1245" i="13"/>
  <c r="L1245" i="13"/>
  <c r="J1245" i="13"/>
  <c r="I1245" i="13"/>
  <c r="G1245" i="13"/>
  <c r="B1245" i="13" s="1"/>
  <c r="F1245" i="13"/>
  <c r="E1245" i="13"/>
  <c r="D1245" i="13"/>
  <c r="R1244" i="13"/>
  <c r="M1244" i="13"/>
  <c r="L1244" i="13"/>
  <c r="J1244" i="13"/>
  <c r="I1244" i="13"/>
  <c r="G1244" i="13"/>
  <c r="B1244" i="13" s="1"/>
  <c r="F1244" i="13"/>
  <c r="E1244" i="13"/>
  <c r="D1244" i="13"/>
  <c r="R1243" i="13"/>
  <c r="M1243" i="13"/>
  <c r="L1243" i="13"/>
  <c r="J1243" i="13"/>
  <c r="I1243" i="13"/>
  <c r="G1243" i="13"/>
  <c r="B1243" i="13" s="1"/>
  <c r="F1243" i="13"/>
  <c r="E1243" i="13"/>
  <c r="D1243" i="13"/>
  <c r="R1242" i="13"/>
  <c r="M1242" i="13"/>
  <c r="L1242" i="13"/>
  <c r="J1242" i="13"/>
  <c r="I1242" i="13"/>
  <c r="G1242" i="13"/>
  <c r="B1242" i="13" s="1"/>
  <c r="F1242" i="13"/>
  <c r="E1242" i="13"/>
  <c r="D1242" i="13"/>
  <c r="R1241" i="13"/>
  <c r="M1241" i="13"/>
  <c r="L1241" i="13"/>
  <c r="J1241" i="13"/>
  <c r="I1241" i="13"/>
  <c r="G1241" i="13"/>
  <c r="B1241" i="13" s="1"/>
  <c r="F1241" i="13"/>
  <c r="E1241" i="13"/>
  <c r="D1241" i="13"/>
  <c r="R1240" i="13"/>
  <c r="M1240" i="13"/>
  <c r="L1240" i="13"/>
  <c r="J1240" i="13"/>
  <c r="I1240" i="13"/>
  <c r="G1240" i="13"/>
  <c r="B1240" i="13" s="1"/>
  <c r="F1240" i="13"/>
  <c r="E1240" i="13"/>
  <c r="D1240" i="13"/>
  <c r="R1239" i="13"/>
  <c r="M1239" i="13"/>
  <c r="L1239" i="13"/>
  <c r="J1239" i="13"/>
  <c r="I1239" i="13"/>
  <c r="G1239" i="13"/>
  <c r="B1239" i="13" s="1"/>
  <c r="F1239" i="13"/>
  <c r="E1239" i="13"/>
  <c r="D1239" i="13"/>
  <c r="R1238" i="13"/>
  <c r="M1238" i="13"/>
  <c r="L1238" i="13"/>
  <c r="J1238" i="13"/>
  <c r="I1238" i="13"/>
  <c r="G1238" i="13"/>
  <c r="B1238" i="13" s="1"/>
  <c r="F1238" i="13"/>
  <c r="E1238" i="13"/>
  <c r="D1238" i="13"/>
  <c r="R1237" i="13"/>
  <c r="M1237" i="13"/>
  <c r="L1237" i="13"/>
  <c r="J1237" i="13"/>
  <c r="I1237" i="13"/>
  <c r="G1237" i="13"/>
  <c r="B1237" i="13" s="1"/>
  <c r="F1237" i="13"/>
  <c r="E1237" i="13"/>
  <c r="D1237" i="13"/>
  <c r="R1236" i="13"/>
  <c r="M1236" i="13"/>
  <c r="L1236" i="13"/>
  <c r="J1236" i="13"/>
  <c r="I1236" i="13"/>
  <c r="G1236" i="13"/>
  <c r="B1236" i="13" s="1"/>
  <c r="F1236" i="13"/>
  <c r="E1236" i="13"/>
  <c r="D1236" i="13"/>
  <c r="R1235" i="13"/>
  <c r="M1235" i="13"/>
  <c r="L1235" i="13"/>
  <c r="J1235" i="13"/>
  <c r="I1235" i="13"/>
  <c r="G1235" i="13"/>
  <c r="B1235" i="13" s="1"/>
  <c r="F1235" i="13"/>
  <c r="E1235" i="13"/>
  <c r="D1235" i="13"/>
  <c r="R1234" i="13"/>
  <c r="M1234" i="13"/>
  <c r="L1234" i="13"/>
  <c r="J1234" i="13"/>
  <c r="I1234" i="13"/>
  <c r="G1234" i="13"/>
  <c r="B1234" i="13" s="1"/>
  <c r="F1234" i="13"/>
  <c r="E1234" i="13"/>
  <c r="D1234" i="13"/>
  <c r="R1233" i="13"/>
  <c r="M1233" i="13"/>
  <c r="L1233" i="13"/>
  <c r="J1233" i="13"/>
  <c r="I1233" i="13"/>
  <c r="G1233" i="13"/>
  <c r="B1233" i="13" s="1"/>
  <c r="F1233" i="13"/>
  <c r="E1233" i="13"/>
  <c r="D1233" i="13"/>
  <c r="R1232" i="13"/>
  <c r="M1232" i="13"/>
  <c r="L1232" i="13"/>
  <c r="J1232" i="13"/>
  <c r="I1232" i="13"/>
  <c r="G1232" i="13"/>
  <c r="B1232" i="13" s="1"/>
  <c r="F1232" i="13"/>
  <c r="E1232" i="13"/>
  <c r="D1232" i="13"/>
  <c r="R1231" i="13"/>
  <c r="M1231" i="13"/>
  <c r="L1231" i="13"/>
  <c r="J1231" i="13"/>
  <c r="I1231" i="13"/>
  <c r="G1231" i="13"/>
  <c r="B1231" i="13" s="1"/>
  <c r="F1231" i="13"/>
  <c r="E1231" i="13"/>
  <c r="D1231" i="13"/>
  <c r="R1230" i="13"/>
  <c r="M1230" i="13"/>
  <c r="L1230" i="13"/>
  <c r="J1230" i="13"/>
  <c r="I1230" i="13"/>
  <c r="G1230" i="13"/>
  <c r="B1230" i="13" s="1"/>
  <c r="F1230" i="13"/>
  <c r="E1230" i="13"/>
  <c r="D1230" i="13"/>
  <c r="R1229" i="13"/>
  <c r="M1229" i="13"/>
  <c r="L1229" i="13"/>
  <c r="J1229" i="13"/>
  <c r="I1229" i="13"/>
  <c r="G1229" i="13"/>
  <c r="B1229" i="13" s="1"/>
  <c r="F1229" i="13"/>
  <c r="E1229" i="13"/>
  <c r="D1229" i="13"/>
  <c r="R1228" i="13"/>
  <c r="M1228" i="13"/>
  <c r="L1228" i="13"/>
  <c r="J1228" i="13"/>
  <c r="I1228" i="13"/>
  <c r="G1228" i="13"/>
  <c r="B1228" i="13" s="1"/>
  <c r="F1228" i="13"/>
  <c r="E1228" i="13"/>
  <c r="D1228" i="13"/>
  <c r="R1227" i="13"/>
  <c r="M1227" i="13"/>
  <c r="L1227" i="13"/>
  <c r="J1227" i="13"/>
  <c r="I1227" i="13"/>
  <c r="G1227" i="13"/>
  <c r="B1227" i="13" s="1"/>
  <c r="F1227" i="13"/>
  <c r="E1227" i="13"/>
  <c r="D1227" i="13"/>
  <c r="R1226" i="13"/>
  <c r="M1226" i="13"/>
  <c r="L1226" i="13"/>
  <c r="J1226" i="13"/>
  <c r="I1226" i="13"/>
  <c r="G1226" i="13"/>
  <c r="B1226" i="13" s="1"/>
  <c r="F1226" i="13"/>
  <c r="E1226" i="13"/>
  <c r="D1226" i="13"/>
  <c r="R1225" i="13"/>
  <c r="M1225" i="13"/>
  <c r="L1225" i="13"/>
  <c r="J1225" i="13"/>
  <c r="I1225" i="13"/>
  <c r="G1225" i="13"/>
  <c r="B1225" i="13" s="1"/>
  <c r="F1225" i="13"/>
  <c r="E1225" i="13"/>
  <c r="D1225" i="13"/>
  <c r="R1224" i="13"/>
  <c r="M1224" i="13"/>
  <c r="L1224" i="13"/>
  <c r="J1224" i="13"/>
  <c r="I1224" i="13"/>
  <c r="G1224" i="13"/>
  <c r="B1224" i="13" s="1"/>
  <c r="F1224" i="13"/>
  <c r="E1224" i="13"/>
  <c r="D1224" i="13"/>
  <c r="R1223" i="13"/>
  <c r="M1223" i="13"/>
  <c r="L1223" i="13"/>
  <c r="J1223" i="13"/>
  <c r="I1223" i="13"/>
  <c r="G1223" i="13"/>
  <c r="B1223" i="13" s="1"/>
  <c r="F1223" i="13"/>
  <c r="E1223" i="13"/>
  <c r="D1223" i="13"/>
  <c r="R1222" i="13"/>
  <c r="M1222" i="13"/>
  <c r="L1222" i="13"/>
  <c r="J1222" i="13"/>
  <c r="I1222" i="13"/>
  <c r="G1222" i="13"/>
  <c r="B1222" i="13" s="1"/>
  <c r="F1222" i="13"/>
  <c r="E1222" i="13"/>
  <c r="D1222" i="13"/>
  <c r="R1221" i="13"/>
  <c r="M1221" i="13"/>
  <c r="L1221" i="13"/>
  <c r="J1221" i="13"/>
  <c r="I1221" i="13"/>
  <c r="G1221" i="13"/>
  <c r="B1221" i="13" s="1"/>
  <c r="F1221" i="13"/>
  <c r="E1221" i="13"/>
  <c r="D1221" i="13"/>
  <c r="R1220" i="13"/>
  <c r="M1220" i="13"/>
  <c r="L1220" i="13"/>
  <c r="J1220" i="13"/>
  <c r="I1220" i="13"/>
  <c r="G1220" i="13"/>
  <c r="B1220" i="13" s="1"/>
  <c r="F1220" i="13"/>
  <c r="E1220" i="13"/>
  <c r="D1220" i="13"/>
  <c r="R1219" i="13"/>
  <c r="M1219" i="13"/>
  <c r="L1219" i="13"/>
  <c r="J1219" i="13"/>
  <c r="I1219" i="13"/>
  <c r="G1219" i="13"/>
  <c r="B1219" i="13" s="1"/>
  <c r="F1219" i="13"/>
  <c r="E1219" i="13"/>
  <c r="D1219" i="13"/>
  <c r="R1218" i="13"/>
  <c r="M1218" i="13"/>
  <c r="L1218" i="13"/>
  <c r="J1218" i="13"/>
  <c r="I1218" i="13"/>
  <c r="G1218" i="13"/>
  <c r="B1218" i="13" s="1"/>
  <c r="F1218" i="13"/>
  <c r="E1218" i="13"/>
  <c r="D1218" i="13"/>
  <c r="R1217" i="13"/>
  <c r="M1217" i="13"/>
  <c r="L1217" i="13"/>
  <c r="J1217" i="13"/>
  <c r="I1217" i="13"/>
  <c r="G1217" i="13"/>
  <c r="B1217" i="13" s="1"/>
  <c r="F1217" i="13"/>
  <c r="E1217" i="13"/>
  <c r="D1217" i="13"/>
  <c r="R1216" i="13"/>
  <c r="M1216" i="13"/>
  <c r="L1216" i="13"/>
  <c r="J1216" i="13"/>
  <c r="I1216" i="13"/>
  <c r="G1216" i="13"/>
  <c r="B1216" i="13" s="1"/>
  <c r="F1216" i="13"/>
  <c r="E1216" i="13"/>
  <c r="D1216" i="13"/>
  <c r="R1215" i="13"/>
  <c r="M1215" i="13"/>
  <c r="L1215" i="13"/>
  <c r="J1215" i="13"/>
  <c r="I1215" i="13"/>
  <c r="G1215" i="13"/>
  <c r="B1215" i="13" s="1"/>
  <c r="F1215" i="13"/>
  <c r="E1215" i="13"/>
  <c r="D1215" i="13"/>
  <c r="R1214" i="13"/>
  <c r="M1214" i="13"/>
  <c r="L1214" i="13"/>
  <c r="J1214" i="13"/>
  <c r="I1214" i="13"/>
  <c r="G1214" i="13"/>
  <c r="B1214" i="13" s="1"/>
  <c r="F1214" i="13"/>
  <c r="E1214" i="13"/>
  <c r="D1214" i="13"/>
  <c r="R1213" i="13"/>
  <c r="M1213" i="13"/>
  <c r="L1213" i="13"/>
  <c r="J1213" i="13"/>
  <c r="I1213" i="13"/>
  <c r="G1213" i="13"/>
  <c r="B1213" i="13" s="1"/>
  <c r="F1213" i="13"/>
  <c r="E1213" i="13"/>
  <c r="D1213" i="13"/>
  <c r="R1212" i="13"/>
  <c r="M1212" i="13"/>
  <c r="L1212" i="13"/>
  <c r="J1212" i="13"/>
  <c r="I1212" i="13"/>
  <c r="G1212" i="13"/>
  <c r="B1212" i="13" s="1"/>
  <c r="F1212" i="13"/>
  <c r="E1212" i="13"/>
  <c r="D1212" i="13"/>
  <c r="R1211" i="13"/>
  <c r="M1211" i="13"/>
  <c r="L1211" i="13"/>
  <c r="J1211" i="13"/>
  <c r="I1211" i="13"/>
  <c r="G1211" i="13"/>
  <c r="B1211" i="13" s="1"/>
  <c r="F1211" i="13"/>
  <c r="E1211" i="13"/>
  <c r="D1211" i="13"/>
  <c r="R1210" i="13"/>
  <c r="M1210" i="13"/>
  <c r="L1210" i="13"/>
  <c r="J1210" i="13"/>
  <c r="I1210" i="13"/>
  <c r="G1210" i="13"/>
  <c r="B1210" i="13" s="1"/>
  <c r="F1210" i="13"/>
  <c r="E1210" i="13"/>
  <c r="D1210" i="13"/>
  <c r="R1209" i="13"/>
  <c r="M1209" i="13"/>
  <c r="L1209" i="13"/>
  <c r="J1209" i="13"/>
  <c r="I1209" i="13"/>
  <c r="G1209" i="13"/>
  <c r="B1209" i="13" s="1"/>
  <c r="F1209" i="13"/>
  <c r="E1209" i="13"/>
  <c r="D1209" i="13"/>
  <c r="R1208" i="13"/>
  <c r="M1208" i="13"/>
  <c r="L1208" i="13"/>
  <c r="J1208" i="13"/>
  <c r="I1208" i="13"/>
  <c r="G1208" i="13"/>
  <c r="B1208" i="13" s="1"/>
  <c r="F1208" i="13"/>
  <c r="E1208" i="13"/>
  <c r="D1208" i="13"/>
  <c r="R1207" i="13"/>
  <c r="M1207" i="13"/>
  <c r="L1207" i="13"/>
  <c r="J1207" i="13"/>
  <c r="I1207" i="13"/>
  <c r="G1207" i="13"/>
  <c r="B1207" i="13" s="1"/>
  <c r="F1207" i="13"/>
  <c r="E1207" i="13"/>
  <c r="D1207" i="13"/>
  <c r="R1206" i="13"/>
  <c r="M1206" i="13"/>
  <c r="L1206" i="13"/>
  <c r="J1206" i="13"/>
  <c r="I1206" i="13"/>
  <c r="G1206" i="13"/>
  <c r="B1206" i="13" s="1"/>
  <c r="F1206" i="13"/>
  <c r="E1206" i="13"/>
  <c r="D1206" i="13"/>
  <c r="R1205" i="13"/>
  <c r="M1205" i="13"/>
  <c r="L1205" i="13"/>
  <c r="J1205" i="13"/>
  <c r="I1205" i="13"/>
  <c r="G1205" i="13"/>
  <c r="B1205" i="13" s="1"/>
  <c r="F1205" i="13"/>
  <c r="E1205" i="13"/>
  <c r="D1205" i="13"/>
  <c r="R1204" i="13"/>
  <c r="M1204" i="13"/>
  <c r="L1204" i="13"/>
  <c r="J1204" i="13"/>
  <c r="I1204" i="13"/>
  <c r="G1204" i="13"/>
  <c r="B1204" i="13" s="1"/>
  <c r="F1204" i="13"/>
  <c r="E1204" i="13"/>
  <c r="D1204" i="13"/>
  <c r="R1203" i="13"/>
  <c r="M1203" i="13"/>
  <c r="L1203" i="13"/>
  <c r="J1203" i="13"/>
  <c r="I1203" i="13"/>
  <c r="G1203" i="13"/>
  <c r="B1203" i="13" s="1"/>
  <c r="F1203" i="13"/>
  <c r="E1203" i="13"/>
  <c r="D1203" i="13"/>
  <c r="R1202" i="13"/>
  <c r="M1202" i="13"/>
  <c r="L1202" i="13"/>
  <c r="J1202" i="13"/>
  <c r="I1202" i="13"/>
  <c r="G1202" i="13"/>
  <c r="B1202" i="13" s="1"/>
  <c r="F1202" i="13"/>
  <c r="E1202" i="13"/>
  <c r="D1202" i="13"/>
  <c r="R1201" i="13"/>
  <c r="M1201" i="13"/>
  <c r="L1201" i="13"/>
  <c r="J1201" i="13"/>
  <c r="I1201" i="13"/>
  <c r="G1201" i="13"/>
  <c r="B1201" i="13" s="1"/>
  <c r="F1201" i="13"/>
  <c r="E1201" i="13"/>
  <c r="D1201" i="13"/>
  <c r="R1200" i="13"/>
  <c r="M1200" i="13"/>
  <c r="L1200" i="13"/>
  <c r="J1200" i="13"/>
  <c r="I1200" i="13"/>
  <c r="G1200" i="13"/>
  <c r="B1200" i="13" s="1"/>
  <c r="F1200" i="13"/>
  <c r="E1200" i="13"/>
  <c r="D1200" i="13"/>
  <c r="R1199" i="13"/>
  <c r="M1199" i="13"/>
  <c r="L1199" i="13"/>
  <c r="J1199" i="13"/>
  <c r="I1199" i="13"/>
  <c r="G1199" i="13"/>
  <c r="B1199" i="13" s="1"/>
  <c r="F1199" i="13"/>
  <c r="E1199" i="13"/>
  <c r="D1199" i="13"/>
  <c r="R1198" i="13"/>
  <c r="M1198" i="13"/>
  <c r="L1198" i="13"/>
  <c r="J1198" i="13"/>
  <c r="I1198" i="13"/>
  <c r="G1198" i="13"/>
  <c r="B1198" i="13" s="1"/>
  <c r="F1198" i="13"/>
  <c r="E1198" i="13"/>
  <c r="D1198" i="13"/>
  <c r="R1197" i="13"/>
  <c r="M1197" i="13"/>
  <c r="L1197" i="13"/>
  <c r="J1197" i="13"/>
  <c r="I1197" i="13"/>
  <c r="G1197" i="13"/>
  <c r="B1197" i="13" s="1"/>
  <c r="F1197" i="13"/>
  <c r="E1197" i="13"/>
  <c r="D1197" i="13"/>
  <c r="R1196" i="13"/>
  <c r="M1196" i="13"/>
  <c r="L1196" i="13"/>
  <c r="J1196" i="13"/>
  <c r="I1196" i="13"/>
  <c r="G1196" i="13"/>
  <c r="B1196" i="13" s="1"/>
  <c r="F1196" i="13"/>
  <c r="E1196" i="13"/>
  <c r="D1196" i="13"/>
  <c r="R1195" i="13"/>
  <c r="M1195" i="13"/>
  <c r="L1195" i="13"/>
  <c r="J1195" i="13"/>
  <c r="I1195" i="13"/>
  <c r="G1195" i="13"/>
  <c r="B1195" i="13" s="1"/>
  <c r="F1195" i="13"/>
  <c r="E1195" i="13"/>
  <c r="D1195" i="13"/>
  <c r="R1194" i="13"/>
  <c r="M1194" i="13"/>
  <c r="L1194" i="13"/>
  <c r="J1194" i="13"/>
  <c r="I1194" i="13"/>
  <c r="G1194" i="13"/>
  <c r="B1194" i="13" s="1"/>
  <c r="F1194" i="13"/>
  <c r="E1194" i="13"/>
  <c r="D1194" i="13"/>
  <c r="R1193" i="13"/>
  <c r="M1193" i="13"/>
  <c r="L1193" i="13"/>
  <c r="J1193" i="13"/>
  <c r="I1193" i="13"/>
  <c r="G1193" i="13"/>
  <c r="B1193" i="13" s="1"/>
  <c r="F1193" i="13"/>
  <c r="E1193" i="13"/>
  <c r="D1193" i="13"/>
  <c r="R1192" i="13"/>
  <c r="M1192" i="13"/>
  <c r="L1192" i="13"/>
  <c r="J1192" i="13"/>
  <c r="I1192" i="13"/>
  <c r="G1192" i="13"/>
  <c r="B1192" i="13" s="1"/>
  <c r="F1192" i="13"/>
  <c r="E1192" i="13"/>
  <c r="D1192" i="13"/>
  <c r="R1191" i="13"/>
  <c r="M1191" i="13"/>
  <c r="L1191" i="13"/>
  <c r="J1191" i="13"/>
  <c r="I1191" i="13"/>
  <c r="G1191" i="13"/>
  <c r="B1191" i="13" s="1"/>
  <c r="F1191" i="13"/>
  <c r="E1191" i="13"/>
  <c r="D1191" i="13"/>
  <c r="R1190" i="13"/>
  <c r="M1190" i="13"/>
  <c r="L1190" i="13"/>
  <c r="J1190" i="13"/>
  <c r="I1190" i="13"/>
  <c r="G1190" i="13"/>
  <c r="B1190" i="13" s="1"/>
  <c r="F1190" i="13"/>
  <c r="E1190" i="13"/>
  <c r="D1190" i="13"/>
  <c r="R1189" i="13"/>
  <c r="M1189" i="13"/>
  <c r="L1189" i="13"/>
  <c r="J1189" i="13"/>
  <c r="I1189" i="13"/>
  <c r="G1189" i="13"/>
  <c r="B1189" i="13" s="1"/>
  <c r="F1189" i="13"/>
  <c r="E1189" i="13"/>
  <c r="D1189" i="13"/>
  <c r="R1188" i="13"/>
  <c r="M1188" i="13"/>
  <c r="L1188" i="13"/>
  <c r="J1188" i="13"/>
  <c r="I1188" i="13"/>
  <c r="G1188" i="13"/>
  <c r="B1188" i="13" s="1"/>
  <c r="F1188" i="13"/>
  <c r="E1188" i="13"/>
  <c r="D1188" i="13"/>
  <c r="R1187" i="13"/>
  <c r="M1187" i="13"/>
  <c r="L1187" i="13"/>
  <c r="J1187" i="13"/>
  <c r="I1187" i="13"/>
  <c r="G1187" i="13"/>
  <c r="B1187" i="13" s="1"/>
  <c r="F1187" i="13"/>
  <c r="E1187" i="13"/>
  <c r="D1187" i="13"/>
  <c r="R1186" i="13"/>
  <c r="M1186" i="13"/>
  <c r="L1186" i="13"/>
  <c r="J1186" i="13"/>
  <c r="I1186" i="13"/>
  <c r="G1186" i="13"/>
  <c r="B1186" i="13" s="1"/>
  <c r="F1186" i="13"/>
  <c r="E1186" i="13"/>
  <c r="D1186" i="13"/>
  <c r="R1185" i="13"/>
  <c r="M1185" i="13"/>
  <c r="L1185" i="13"/>
  <c r="J1185" i="13"/>
  <c r="I1185" i="13"/>
  <c r="G1185" i="13"/>
  <c r="B1185" i="13" s="1"/>
  <c r="F1185" i="13"/>
  <c r="E1185" i="13"/>
  <c r="D1185" i="13"/>
  <c r="R1184" i="13"/>
  <c r="M1184" i="13"/>
  <c r="L1184" i="13"/>
  <c r="J1184" i="13"/>
  <c r="I1184" i="13"/>
  <c r="G1184" i="13"/>
  <c r="B1184" i="13" s="1"/>
  <c r="F1184" i="13"/>
  <c r="E1184" i="13"/>
  <c r="D1184" i="13"/>
  <c r="R1183" i="13"/>
  <c r="M1183" i="13"/>
  <c r="L1183" i="13"/>
  <c r="J1183" i="13"/>
  <c r="I1183" i="13"/>
  <c r="G1183" i="13"/>
  <c r="B1183" i="13" s="1"/>
  <c r="F1183" i="13"/>
  <c r="E1183" i="13"/>
  <c r="D1183" i="13"/>
  <c r="R1182" i="13"/>
  <c r="M1182" i="13"/>
  <c r="L1182" i="13"/>
  <c r="J1182" i="13"/>
  <c r="I1182" i="13"/>
  <c r="G1182" i="13"/>
  <c r="B1182" i="13" s="1"/>
  <c r="F1182" i="13"/>
  <c r="E1182" i="13"/>
  <c r="D1182" i="13"/>
  <c r="R1181" i="13"/>
  <c r="M1181" i="13"/>
  <c r="L1181" i="13"/>
  <c r="J1181" i="13"/>
  <c r="I1181" i="13"/>
  <c r="G1181" i="13"/>
  <c r="B1181" i="13" s="1"/>
  <c r="F1181" i="13"/>
  <c r="E1181" i="13"/>
  <c r="D1181" i="13"/>
  <c r="R1180" i="13"/>
  <c r="M1180" i="13"/>
  <c r="L1180" i="13"/>
  <c r="J1180" i="13"/>
  <c r="I1180" i="13"/>
  <c r="G1180" i="13"/>
  <c r="B1180" i="13" s="1"/>
  <c r="F1180" i="13"/>
  <c r="E1180" i="13"/>
  <c r="D1180" i="13"/>
  <c r="R1179" i="13"/>
  <c r="M1179" i="13"/>
  <c r="L1179" i="13"/>
  <c r="J1179" i="13"/>
  <c r="I1179" i="13"/>
  <c r="G1179" i="13"/>
  <c r="B1179" i="13" s="1"/>
  <c r="F1179" i="13"/>
  <c r="E1179" i="13"/>
  <c r="D1179" i="13"/>
  <c r="R1178" i="13"/>
  <c r="M1178" i="13"/>
  <c r="L1178" i="13"/>
  <c r="J1178" i="13"/>
  <c r="I1178" i="13"/>
  <c r="G1178" i="13"/>
  <c r="B1178" i="13" s="1"/>
  <c r="F1178" i="13"/>
  <c r="E1178" i="13"/>
  <c r="D1178" i="13"/>
  <c r="R1177" i="13"/>
  <c r="M1177" i="13"/>
  <c r="L1177" i="13"/>
  <c r="J1177" i="13"/>
  <c r="I1177" i="13"/>
  <c r="G1177" i="13"/>
  <c r="B1177" i="13" s="1"/>
  <c r="F1177" i="13"/>
  <c r="E1177" i="13"/>
  <c r="D1177" i="13"/>
  <c r="R1176" i="13"/>
  <c r="M1176" i="13"/>
  <c r="L1176" i="13"/>
  <c r="J1176" i="13"/>
  <c r="I1176" i="13"/>
  <c r="G1176" i="13"/>
  <c r="B1176" i="13" s="1"/>
  <c r="F1176" i="13"/>
  <c r="E1176" i="13"/>
  <c r="D1176" i="13"/>
  <c r="R1175" i="13"/>
  <c r="M1175" i="13"/>
  <c r="L1175" i="13"/>
  <c r="J1175" i="13"/>
  <c r="I1175" i="13"/>
  <c r="G1175" i="13"/>
  <c r="B1175" i="13" s="1"/>
  <c r="F1175" i="13"/>
  <c r="E1175" i="13"/>
  <c r="D1175" i="13"/>
  <c r="R1174" i="13"/>
  <c r="M1174" i="13"/>
  <c r="L1174" i="13"/>
  <c r="J1174" i="13"/>
  <c r="I1174" i="13"/>
  <c r="G1174" i="13"/>
  <c r="B1174" i="13" s="1"/>
  <c r="F1174" i="13"/>
  <c r="E1174" i="13"/>
  <c r="D1174" i="13"/>
  <c r="R1173" i="13"/>
  <c r="M1173" i="13"/>
  <c r="L1173" i="13"/>
  <c r="J1173" i="13"/>
  <c r="I1173" i="13"/>
  <c r="G1173" i="13"/>
  <c r="B1173" i="13" s="1"/>
  <c r="F1173" i="13"/>
  <c r="E1173" i="13"/>
  <c r="D1173" i="13"/>
  <c r="R1172" i="13"/>
  <c r="M1172" i="13"/>
  <c r="L1172" i="13"/>
  <c r="J1172" i="13"/>
  <c r="I1172" i="13"/>
  <c r="G1172" i="13"/>
  <c r="B1172" i="13" s="1"/>
  <c r="F1172" i="13"/>
  <c r="E1172" i="13"/>
  <c r="D1172" i="13"/>
  <c r="R1171" i="13"/>
  <c r="M1171" i="13"/>
  <c r="L1171" i="13"/>
  <c r="J1171" i="13"/>
  <c r="I1171" i="13"/>
  <c r="G1171" i="13"/>
  <c r="B1171" i="13" s="1"/>
  <c r="F1171" i="13"/>
  <c r="E1171" i="13"/>
  <c r="D1171" i="13"/>
  <c r="R1170" i="13"/>
  <c r="M1170" i="13"/>
  <c r="L1170" i="13"/>
  <c r="J1170" i="13"/>
  <c r="I1170" i="13"/>
  <c r="G1170" i="13"/>
  <c r="B1170" i="13" s="1"/>
  <c r="F1170" i="13"/>
  <c r="E1170" i="13"/>
  <c r="D1170" i="13"/>
  <c r="R1169" i="13"/>
  <c r="M1169" i="13"/>
  <c r="L1169" i="13"/>
  <c r="J1169" i="13"/>
  <c r="I1169" i="13"/>
  <c r="G1169" i="13"/>
  <c r="B1169" i="13" s="1"/>
  <c r="F1169" i="13"/>
  <c r="E1169" i="13"/>
  <c r="D1169" i="13"/>
  <c r="R1168" i="13"/>
  <c r="M1168" i="13"/>
  <c r="L1168" i="13"/>
  <c r="J1168" i="13"/>
  <c r="I1168" i="13"/>
  <c r="G1168" i="13"/>
  <c r="B1168" i="13" s="1"/>
  <c r="F1168" i="13"/>
  <c r="E1168" i="13"/>
  <c r="D1168" i="13"/>
  <c r="R1167" i="13"/>
  <c r="M1167" i="13"/>
  <c r="L1167" i="13"/>
  <c r="J1167" i="13"/>
  <c r="I1167" i="13"/>
  <c r="G1167" i="13"/>
  <c r="B1167" i="13" s="1"/>
  <c r="F1167" i="13"/>
  <c r="E1167" i="13"/>
  <c r="D1167" i="13"/>
  <c r="R1166" i="13"/>
  <c r="M1166" i="13"/>
  <c r="L1166" i="13"/>
  <c r="J1166" i="13"/>
  <c r="I1166" i="13"/>
  <c r="G1166" i="13"/>
  <c r="B1166" i="13" s="1"/>
  <c r="F1166" i="13"/>
  <c r="E1166" i="13"/>
  <c r="D1166" i="13"/>
  <c r="R1165" i="13"/>
  <c r="M1165" i="13"/>
  <c r="L1165" i="13"/>
  <c r="J1165" i="13"/>
  <c r="I1165" i="13"/>
  <c r="G1165" i="13"/>
  <c r="B1165" i="13" s="1"/>
  <c r="F1165" i="13"/>
  <c r="E1165" i="13"/>
  <c r="D1165" i="13"/>
  <c r="R1164" i="13"/>
  <c r="M1164" i="13"/>
  <c r="L1164" i="13"/>
  <c r="J1164" i="13"/>
  <c r="I1164" i="13"/>
  <c r="G1164" i="13"/>
  <c r="B1164" i="13" s="1"/>
  <c r="F1164" i="13"/>
  <c r="E1164" i="13"/>
  <c r="D1164" i="13"/>
  <c r="R1163" i="13"/>
  <c r="M1163" i="13"/>
  <c r="L1163" i="13"/>
  <c r="J1163" i="13"/>
  <c r="I1163" i="13"/>
  <c r="G1163" i="13"/>
  <c r="B1163" i="13" s="1"/>
  <c r="F1163" i="13"/>
  <c r="E1163" i="13"/>
  <c r="D1163" i="13"/>
  <c r="R1162" i="13"/>
  <c r="M1162" i="13"/>
  <c r="L1162" i="13"/>
  <c r="J1162" i="13"/>
  <c r="I1162" i="13"/>
  <c r="G1162" i="13"/>
  <c r="B1162" i="13" s="1"/>
  <c r="F1162" i="13"/>
  <c r="E1162" i="13"/>
  <c r="D1162" i="13"/>
  <c r="R1161" i="13"/>
  <c r="M1161" i="13"/>
  <c r="L1161" i="13"/>
  <c r="J1161" i="13"/>
  <c r="I1161" i="13"/>
  <c r="G1161" i="13"/>
  <c r="B1161" i="13" s="1"/>
  <c r="F1161" i="13"/>
  <c r="E1161" i="13"/>
  <c r="D1161" i="13"/>
  <c r="R1160" i="13"/>
  <c r="M1160" i="13"/>
  <c r="L1160" i="13"/>
  <c r="J1160" i="13"/>
  <c r="I1160" i="13"/>
  <c r="G1160" i="13"/>
  <c r="B1160" i="13" s="1"/>
  <c r="F1160" i="13"/>
  <c r="E1160" i="13"/>
  <c r="D1160" i="13"/>
  <c r="R1159" i="13"/>
  <c r="M1159" i="13"/>
  <c r="L1159" i="13"/>
  <c r="J1159" i="13"/>
  <c r="I1159" i="13"/>
  <c r="G1159" i="13"/>
  <c r="B1159" i="13" s="1"/>
  <c r="F1159" i="13"/>
  <c r="E1159" i="13"/>
  <c r="D1159" i="13"/>
  <c r="R1158" i="13"/>
  <c r="M1158" i="13"/>
  <c r="L1158" i="13"/>
  <c r="J1158" i="13"/>
  <c r="I1158" i="13"/>
  <c r="G1158" i="13"/>
  <c r="B1158" i="13" s="1"/>
  <c r="F1158" i="13"/>
  <c r="E1158" i="13"/>
  <c r="D1158" i="13"/>
  <c r="R1157" i="13"/>
  <c r="M1157" i="13"/>
  <c r="L1157" i="13"/>
  <c r="J1157" i="13"/>
  <c r="I1157" i="13"/>
  <c r="G1157" i="13"/>
  <c r="B1157" i="13" s="1"/>
  <c r="F1157" i="13"/>
  <c r="E1157" i="13"/>
  <c r="D1157" i="13"/>
  <c r="R1156" i="13"/>
  <c r="M1156" i="13"/>
  <c r="L1156" i="13"/>
  <c r="J1156" i="13"/>
  <c r="I1156" i="13"/>
  <c r="G1156" i="13"/>
  <c r="B1156" i="13" s="1"/>
  <c r="F1156" i="13"/>
  <c r="E1156" i="13"/>
  <c r="D1156" i="13"/>
  <c r="R1155" i="13"/>
  <c r="M1155" i="13"/>
  <c r="L1155" i="13"/>
  <c r="J1155" i="13"/>
  <c r="I1155" i="13"/>
  <c r="G1155" i="13"/>
  <c r="B1155" i="13" s="1"/>
  <c r="F1155" i="13"/>
  <c r="E1155" i="13"/>
  <c r="D1155" i="13"/>
  <c r="R1154" i="13"/>
  <c r="M1154" i="13"/>
  <c r="L1154" i="13"/>
  <c r="J1154" i="13"/>
  <c r="I1154" i="13"/>
  <c r="G1154" i="13"/>
  <c r="B1154" i="13" s="1"/>
  <c r="F1154" i="13"/>
  <c r="E1154" i="13"/>
  <c r="D1154" i="13"/>
  <c r="R1153" i="13"/>
  <c r="M1153" i="13"/>
  <c r="L1153" i="13"/>
  <c r="J1153" i="13"/>
  <c r="I1153" i="13"/>
  <c r="G1153" i="13"/>
  <c r="B1153" i="13" s="1"/>
  <c r="F1153" i="13"/>
  <c r="E1153" i="13"/>
  <c r="D1153" i="13"/>
  <c r="R1152" i="13"/>
  <c r="M1152" i="13"/>
  <c r="L1152" i="13"/>
  <c r="J1152" i="13"/>
  <c r="I1152" i="13"/>
  <c r="G1152" i="13"/>
  <c r="B1152" i="13" s="1"/>
  <c r="F1152" i="13"/>
  <c r="E1152" i="13"/>
  <c r="D1152" i="13"/>
  <c r="R1151" i="13"/>
  <c r="M1151" i="13"/>
  <c r="L1151" i="13"/>
  <c r="J1151" i="13"/>
  <c r="I1151" i="13"/>
  <c r="G1151" i="13"/>
  <c r="B1151" i="13" s="1"/>
  <c r="F1151" i="13"/>
  <c r="E1151" i="13"/>
  <c r="D1151" i="13"/>
  <c r="R1150" i="13"/>
  <c r="M1150" i="13"/>
  <c r="L1150" i="13"/>
  <c r="J1150" i="13"/>
  <c r="I1150" i="13"/>
  <c r="G1150" i="13"/>
  <c r="B1150" i="13" s="1"/>
  <c r="F1150" i="13"/>
  <c r="E1150" i="13"/>
  <c r="D1150" i="13"/>
  <c r="R1149" i="13"/>
  <c r="M1149" i="13"/>
  <c r="L1149" i="13"/>
  <c r="J1149" i="13"/>
  <c r="I1149" i="13"/>
  <c r="G1149" i="13"/>
  <c r="B1149" i="13" s="1"/>
  <c r="F1149" i="13"/>
  <c r="E1149" i="13"/>
  <c r="D1149" i="13"/>
  <c r="R1148" i="13"/>
  <c r="M1148" i="13"/>
  <c r="L1148" i="13"/>
  <c r="J1148" i="13"/>
  <c r="I1148" i="13"/>
  <c r="G1148" i="13"/>
  <c r="B1148" i="13" s="1"/>
  <c r="F1148" i="13"/>
  <c r="E1148" i="13"/>
  <c r="D1148" i="13"/>
  <c r="R1147" i="13"/>
  <c r="M1147" i="13"/>
  <c r="L1147" i="13"/>
  <c r="J1147" i="13"/>
  <c r="I1147" i="13"/>
  <c r="G1147" i="13"/>
  <c r="B1147" i="13" s="1"/>
  <c r="F1147" i="13"/>
  <c r="E1147" i="13"/>
  <c r="D1147" i="13"/>
  <c r="R1146" i="13"/>
  <c r="M1146" i="13"/>
  <c r="L1146" i="13"/>
  <c r="J1146" i="13"/>
  <c r="I1146" i="13"/>
  <c r="G1146" i="13"/>
  <c r="B1146" i="13" s="1"/>
  <c r="F1146" i="13"/>
  <c r="E1146" i="13"/>
  <c r="D1146" i="13"/>
  <c r="R1145" i="13"/>
  <c r="M1145" i="13"/>
  <c r="L1145" i="13"/>
  <c r="J1145" i="13"/>
  <c r="I1145" i="13"/>
  <c r="G1145" i="13"/>
  <c r="B1145" i="13" s="1"/>
  <c r="F1145" i="13"/>
  <c r="E1145" i="13"/>
  <c r="D1145" i="13"/>
  <c r="R1144" i="13"/>
  <c r="M1144" i="13"/>
  <c r="L1144" i="13"/>
  <c r="J1144" i="13"/>
  <c r="I1144" i="13"/>
  <c r="G1144" i="13"/>
  <c r="B1144" i="13" s="1"/>
  <c r="F1144" i="13"/>
  <c r="E1144" i="13"/>
  <c r="D1144" i="13"/>
  <c r="R1143" i="13"/>
  <c r="M1143" i="13"/>
  <c r="L1143" i="13"/>
  <c r="J1143" i="13"/>
  <c r="I1143" i="13"/>
  <c r="G1143" i="13"/>
  <c r="B1143" i="13" s="1"/>
  <c r="F1143" i="13"/>
  <c r="E1143" i="13"/>
  <c r="D1143" i="13"/>
  <c r="R1142" i="13"/>
  <c r="M1142" i="13"/>
  <c r="L1142" i="13"/>
  <c r="J1142" i="13"/>
  <c r="I1142" i="13"/>
  <c r="G1142" i="13"/>
  <c r="B1142" i="13" s="1"/>
  <c r="F1142" i="13"/>
  <c r="E1142" i="13"/>
  <c r="D1142" i="13"/>
  <c r="R1141" i="13"/>
  <c r="M1141" i="13"/>
  <c r="L1141" i="13"/>
  <c r="J1141" i="13"/>
  <c r="I1141" i="13"/>
  <c r="G1141" i="13"/>
  <c r="B1141" i="13" s="1"/>
  <c r="F1141" i="13"/>
  <c r="E1141" i="13"/>
  <c r="D1141" i="13"/>
  <c r="R1140" i="13"/>
  <c r="M1140" i="13"/>
  <c r="L1140" i="13"/>
  <c r="J1140" i="13"/>
  <c r="I1140" i="13"/>
  <c r="G1140" i="13"/>
  <c r="B1140" i="13" s="1"/>
  <c r="F1140" i="13"/>
  <c r="E1140" i="13"/>
  <c r="D1140" i="13"/>
  <c r="R1139" i="13"/>
  <c r="M1139" i="13"/>
  <c r="L1139" i="13"/>
  <c r="J1139" i="13"/>
  <c r="I1139" i="13"/>
  <c r="G1139" i="13"/>
  <c r="B1139" i="13" s="1"/>
  <c r="F1139" i="13"/>
  <c r="E1139" i="13"/>
  <c r="D1139" i="13"/>
  <c r="R1138" i="13"/>
  <c r="M1138" i="13"/>
  <c r="L1138" i="13"/>
  <c r="J1138" i="13"/>
  <c r="I1138" i="13"/>
  <c r="G1138" i="13"/>
  <c r="B1138" i="13" s="1"/>
  <c r="F1138" i="13"/>
  <c r="E1138" i="13"/>
  <c r="D1138" i="13"/>
  <c r="R1137" i="13"/>
  <c r="M1137" i="13"/>
  <c r="L1137" i="13"/>
  <c r="J1137" i="13"/>
  <c r="I1137" i="13"/>
  <c r="G1137" i="13"/>
  <c r="B1137" i="13" s="1"/>
  <c r="F1137" i="13"/>
  <c r="E1137" i="13"/>
  <c r="D1137" i="13"/>
  <c r="R1136" i="13"/>
  <c r="M1136" i="13"/>
  <c r="L1136" i="13"/>
  <c r="J1136" i="13"/>
  <c r="I1136" i="13"/>
  <c r="G1136" i="13"/>
  <c r="B1136" i="13" s="1"/>
  <c r="F1136" i="13"/>
  <c r="E1136" i="13"/>
  <c r="D1136" i="13"/>
  <c r="R1135" i="13"/>
  <c r="M1135" i="13"/>
  <c r="L1135" i="13"/>
  <c r="J1135" i="13"/>
  <c r="I1135" i="13"/>
  <c r="G1135" i="13"/>
  <c r="B1135" i="13" s="1"/>
  <c r="F1135" i="13"/>
  <c r="E1135" i="13"/>
  <c r="D1135" i="13"/>
  <c r="R1134" i="13"/>
  <c r="M1134" i="13"/>
  <c r="L1134" i="13"/>
  <c r="J1134" i="13"/>
  <c r="I1134" i="13"/>
  <c r="G1134" i="13"/>
  <c r="B1134" i="13" s="1"/>
  <c r="F1134" i="13"/>
  <c r="E1134" i="13"/>
  <c r="D1134" i="13"/>
  <c r="R1133" i="13"/>
  <c r="M1133" i="13"/>
  <c r="L1133" i="13"/>
  <c r="J1133" i="13"/>
  <c r="I1133" i="13"/>
  <c r="G1133" i="13"/>
  <c r="B1133" i="13" s="1"/>
  <c r="F1133" i="13"/>
  <c r="E1133" i="13"/>
  <c r="D1133" i="13"/>
  <c r="R1132" i="13"/>
  <c r="M1132" i="13"/>
  <c r="L1132" i="13"/>
  <c r="J1132" i="13"/>
  <c r="I1132" i="13"/>
  <c r="G1132" i="13"/>
  <c r="B1132" i="13" s="1"/>
  <c r="F1132" i="13"/>
  <c r="E1132" i="13"/>
  <c r="D1132" i="13"/>
  <c r="R1131" i="13"/>
  <c r="M1131" i="13"/>
  <c r="L1131" i="13"/>
  <c r="J1131" i="13"/>
  <c r="I1131" i="13"/>
  <c r="G1131" i="13"/>
  <c r="B1131" i="13" s="1"/>
  <c r="F1131" i="13"/>
  <c r="E1131" i="13"/>
  <c r="D1131" i="13"/>
  <c r="R1130" i="13"/>
  <c r="M1130" i="13"/>
  <c r="L1130" i="13"/>
  <c r="J1130" i="13"/>
  <c r="I1130" i="13"/>
  <c r="G1130" i="13"/>
  <c r="B1130" i="13" s="1"/>
  <c r="F1130" i="13"/>
  <c r="E1130" i="13"/>
  <c r="D1130" i="13"/>
  <c r="R1129" i="13"/>
  <c r="M1129" i="13"/>
  <c r="L1129" i="13"/>
  <c r="J1129" i="13"/>
  <c r="I1129" i="13"/>
  <c r="G1129" i="13"/>
  <c r="B1129" i="13" s="1"/>
  <c r="F1129" i="13"/>
  <c r="E1129" i="13"/>
  <c r="D1129" i="13"/>
  <c r="R1128" i="13"/>
  <c r="M1128" i="13"/>
  <c r="L1128" i="13"/>
  <c r="J1128" i="13"/>
  <c r="I1128" i="13"/>
  <c r="G1128" i="13"/>
  <c r="B1128" i="13" s="1"/>
  <c r="F1128" i="13"/>
  <c r="E1128" i="13"/>
  <c r="D1128" i="13"/>
  <c r="R1127" i="13"/>
  <c r="M1127" i="13"/>
  <c r="L1127" i="13"/>
  <c r="J1127" i="13"/>
  <c r="I1127" i="13"/>
  <c r="G1127" i="13"/>
  <c r="B1127" i="13" s="1"/>
  <c r="F1127" i="13"/>
  <c r="E1127" i="13"/>
  <c r="D1127" i="13"/>
  <c r="R1126" i="13"/>
  <c r="M1126" i="13"/>
  <c r="L1126" i="13"/>
  <c r="J1126" i="13"/>
  <c r="I1126" i="13"/>
  <c r="G1126" i="13"/>
  <c r="B1126" i="13" s="1"/>
  <c r="F1126" i="13"/>
  <c r="E1126" i="13"/>
  <c r="D1126" i="13"/>
  <c r="R1125" i="13"/>
  <c r="M1125" i="13"/>
  <c r="L1125" i="13"/>
  <c r="J1125" i="13"/>
  <c r="I1125" i="13"/>
  <c r="G1125" i="13"/>
  <c r="B1125" i="13" s="1"/>
  <c r="F1125" i="13"/>
  <c r="E1125" i="13"/>
  <c r="D1125" i="13"/>
  <c r="R1124" i="13"/>
  <c r="M1124" i="13"/>
  <c r="L1124" i="13"/>
  <c r="J1124" i="13"/>
  <c r="I1124" i="13"/>
  <c r="G1124" i="13"/>
  <c r="B1124" i="13" s="1"/>
  <c r="F1124" i="13"/>
  <c r="E1124" i="13"/>
  <c r="D1124" i="13"/>
  <c r="R1123" i="13"/>
  <c r="M1123" i="13"/>
  <c r="L1123" i="13"/>
  <c r="J1123" i="13"/>
  <c r="I1123" i="13"/>
  <c r="G1123" i="13"/>
  <c r="B1123" i="13" s="1"/>
  <c r="F1123" i="13"/>
  <c r="E1123" i="13"/>
  <c r="D1123" i="13"/>
  <c r="R1122" i="13"/>
  <c r="M1122" i="13"/>
  <c r="L1122" i="13"/>
  <c r="J1122" i="13"/>
  <c r="I1122" i="13"/>
  <c r="G1122" i="13"/>
  <c r="B1122" i="13" s="1"/>
  <c r="F1122" i="13"/>
  <c r="E1122" i="13"/>
  <c r="D1122" i="13"/>
  <c r="R1121" i="13"/>
  <c r="M1121" i="13"/>
  <c r="L1121" i="13"/>
  <c r="J1121" i="13"/>
  <c r="I1121" i="13"/>
  <c r="G1121" i="13"/>
  <c r="B1121" i="13" s="1"/>
  <c r="F1121" i="13"/>
  <c r="E1121" i="13"/>
  <c r="D1121" i="13"/>
  <c r="R1120" i="13"/>
  <c r="M1120" i="13"/>
  <c r="L1120" i="13"/>
  <c r="J1120" i="13"/>
  <c r="I1120" i="13"/>
  <c r="G1120" i="13"/>
  <c r="B1120" i="13" s="1"/>
  <c r="F1120" i="13"/>
  <c r="E1120" i="13"/>
  <c r="D1120" i="13"/>
  <c r="R1119" i="13"/>
  <c r="M1119" i="13"/>
  <c r="L1119" i="13"/>
  <c r="J1119" i="13"/>
  <c r="I1119" i="13"/>
  <c r="G1119" i="13"/>
  <c r="B1119" i="13" s="1"/>
  <c r="F1119" i="13"/>
  <c r="E1119" i="13"/>
  <c r="D1119" i="13"/>
  <c r="R1118" i="13"/>
  <c r="M1118" i="13"/>
  <c r="L1118" i="13"/>
  <c r="J1118" i="13"/>
  <c r="I1118" i="13"/>
  <c r="G1118" i="13"/>
  <c r="B1118" i="13" s="1"/>
  <c r="F1118" i="13"/>
  <c r="E1118" i="13"/>
  <c r="D1118" i="13"/>
  <c r="R1117" i="13"/>
  <c r="M1117" i="13"/>
  <c r="L1117" i="13"/>
  <c r="J1117" i="13"/>
  <c r="I1117" i="13"/>
  <c r="G1117" i="13"/>
  <c r="B1117" i="13" s="1"/>
  <c r="F1117" i="13"/>
  <c r="E1117" i="13"/>
  <c r="D1117" i="13"/>
  <c r="R1116" i="13"/>
  <c r="M1116" i="13"/>
  <c r="L1116" i="13"/>
  <c r="J1116" i="13"/>
  <c r="I1116" i="13"/>
  <c r="G1116" i="13"/>
  <c r="B1116" i="13" s="1"/>
  <c r="F1116" i="13"/>
  <c r="E1116" i="13"/>
  <c r="D1116" i="13"/>
  <c r="R1115" i="13"/>
  <c r="M1115" i="13"/>
  <c r="L1115" i="13"/>
  <c r="J1115" i="13"/>
  <c r="I1115" i="13"/>
  <c r="G1115" i="13"/>
  <c r="B1115" i="13" s="1"/>
  <c r="F1115" i="13"/>
  <c r="E1115" i="13"/>
  <c r="D1115" i="13"/>
  <c r="R1114" i="13"/>
  <c r="M1114" i="13"/>
  <c r="L1114" i="13"/>
  <c r="J1114" i="13"/>
  <c r="I1114" i="13"/>
  <c r="G1114" i="13"/>
  <c r="B1114" i="13" s="1"/>
  <c r="F1114" i="13"/>
  <c r="E1114" i="13"/>
  <c r="D1114" i="13"/>
  <c r="R1113" i="13"/>
  <c r="M1113" i="13"/>
  <c r="L1113" i="13"/>
  <c r="J1113" i="13"/>
  <c r="I1113" i="13"/>
  <c r="G1113" i="13"/>
  <c r="B1113" i="13" s="1"/>
  <c r="F1113" i="13"/>
  <c r="E1113" i="13"/>
  <c r="D1113" i="13"/>
  <c r="R1112" i="13"/>
  <c r="M1112" i="13"/>
  <c r="L1112" i="13"/>
  <c r="J1112" i="13"/>
  <c r="I1112" i="13"/>
  <c r="G1112" i="13"/>
  <c r="B1112" i="13" s="1"/>
  <c r="F1112" i="13"/>
  <c r="E1112" i="13"/>
  <c r="D1112" i="13"/>
  <c r="R1111" i="13"/>
  <c r="M1111" i="13"/>
  <c r="L1111" i="13"/>
  <c r="J1111" i="13"/>
  <c r="I1111" i="13"/>
  <c r="G1111" i="13"/>
  <c r="B1111" i="13" s="1"/>
  <c r="F1111" i="13"/>
  <c r="E1111" i="13"/>
  <c r="D1111" i="13"/>
  <c r="R1110" i="13"/>
  <c r="M1110" i="13"/>
  <c r="L1110" i="13"/>
  <c r="J1110" i="13"/>
  <c r="I1110" i="13"/>
  <c r="G1110" i="13"/>
  <c r="B1110" i="13" s="1"/>
  <c r="F1110" i="13"/>
  <c r="E1110" i="13"/>
  <c r="D1110" i="13"/>
  <c r="R1109" i="13"/>
  <c r="M1109" i="13"/>
  <c r="L1109" i="13"/>
  <c r="J1109" i="13"/>
  <c r="I1109" i="13"/>
  <c r="G1109" i="13"/>
  <c r="B1109" i="13" s="1"/>
  <c r="F1109" i="13"/>
  <c r="E1109" i="13"/>
  <c r="D1109" i="13"/>
  <c r="R1108" i="13"/>
  <c r="M1108" i="13"/>
  <c r="L1108" i="13"/>
  <c r="J1108" i="13"/>
  <c r="I1108" i="13"/>
  <c r="G1108" i="13"/>
  <c r="B1108" i="13" s="1"/>
  <c r="F1108" i="13"/>
  <c r="E1108" i="13"/>
  <c r="D1108" i="13"/>
  <c r="R1107" i="13"/>
  <c r="M1107" i="13"/>
  <c r="L1107" i="13"/>
  <c r="J1107" i="13"/>
  <c r="I1107" i="13"/>
  <c r="G1107" i="13"/>
  <c r="B1107" i="13" s="1"/>
  <c r="F1107" i="13"/>
  <c r="E1107" i="13"/>
  <c r="D1107" i="13"/>
  <c r="R1106" i="13"/>
  <c r="M1106" i="13"/>
  <c r="L1106" i="13"/>
  <c r="J1106" i="13"/>
  <c r="I1106" i="13"/>
  <c r="G1106" i="13"/>
  <c r="B1106" i="13" s="1"/>
  <c r="F1106" i="13"/>
  <c r="E1106" i="13"/>
  <c r="D1106" i="13"/>
  <c r="R1105" i="13"/>
  <c r="M1105" i="13"/>
  <c r="L1105" i="13"/>
  <c r="J1105" i="13"/>
  <c r="I1105" i="13"/>
  <c r="G1105" i="13"/>
  <c r="B1105" i="13" s="1"/>
  <c r="F1105" i="13"/>
  <c r="E1105" i="13"/>
  <c r="D1105" i="13"/>
  <c r="R1104" i="13"/>
  <c r="M1104" i="13"/>
  <c r="L1104" i="13"/>
  <c r="J1104" i="13"/>
  <c r="I1104" i="13"/>
  <c r="G1104" i="13"/>
  <c r="B1104" i="13" s="1"/>
  <c r="F1104" i="13"/>
  <c r="E1104" i="13"/>
  <c r="D1104" i="13"/>
  <c r="R1103" i="13"/>
  <c r="M1103" i="13"/>
  <c r="L1103" i="13"/>
  <c r="J1103" i="13"/>
  <c r="I1103" i="13"/>
  <c r="G1103" i="13"/>
  <c r="B1103" i="13" s="1"/>
  <c r="F1103" i="13"/>
  <c r="E1103" i="13"/>
  <c r="D1103" i="13"/>
  <c r="R1102" i="13"/>
  <c r="M1102" i="13"/>
  <c r="L1102" i="13"/>
  <c r="J1102" i="13"/>
  <c r="I1102" i="13"/>
  <c r="G1102" i="13"/>
  <c r="B1102" i="13" s="1"/>
  <c r="F1102" i="13"/>
  <c r="E1102" i="13"/>
  <c r="D1102" i="13"/>
  <c r="R1101" i="13"/>
  <c r="M1101" i="13"/>
  <c r="L1101" i="13"/>
  <c r="J1101" i="13"/>
  <c r="I1101" i="13"/>
  <c r="G1101" i="13"/>
  <c r="B1101" i="13" s="1"/>
  <c r="F1101" i="13"/>
  <c r="E1101" i="13"/>
  <c r="D1101" i="13"/>
  <c r="R1100" i="13"/>
  <c r="M1100" i="13"/>
  <c r="L1100" i="13"/>
  <c r="J1100" i="13"/>
  <c r="I1100" i="13"/>
  <c r="G1100" i="13"/>
  <c r="B1100" i="13" s="1"/>
  <c r="F1100" i="13"/>
  <c r="E1100" i="13"/>
  <c r="D1100" i="13"/>
  <c r="R1099" i="13"/>
  <c r="M1099" i="13"/>
  <c r="L1099" i="13"/>
  <c r="J1099" i="13"/>
  <c r="I1099" i="13"/>
  <c r="G1099" i="13"/>
  <c r="B1099" i="13" s="1"/>
  <c r="F1099" i="13"/>
  <c r="E1099" i="13"/>
  <c r="D1099" i="13"/>
  <c r="R1098" i="13"/>
  <c r="M1098" i="13"/>
  <c r="L1098" i="13"/>
  <c r="J1098" i="13"/>
  <c r="I1098" i="13"/>
  <c r="G1098" i="13"/>
  <c r="B1098" i="13" s="1"/>
  <c r="F1098" i="13"/>
  <c r="E1098" i="13"/>
  <c r="D1098" i="13"/>
  <c r="R1097" i="13"/>
  <c r="M1097" i="13"/>
  <c r="L1097" i="13"/>
  <c r="J1097" i="13"/>
  <c r="I1097" i="13"/>
  <c r="G1097" i="13"/>
  <c r="B1097" i="13" s="1"/>
  <c r="F1097" i="13"/>
  <c r="E1097" i="13"/>
  <c r="D1097" i="13"/>
  <c r="R1096" i="13"/>
  <c r="M1096" i="13"/>
  <c r="L1096" i="13"/>
  <c r="J1096" i="13"/>
  <c r="I1096" i="13"/>
  <c r="G1096" i="13"/>
  <c r="B1096" i="13" s="1"/>
  <c r="F1096" i="13"/>
  <c r="E1096" i="13"/>
  <c r="D1096" i="13"/>
  <c r="R1095" i="13"/>
  <c r="M1095" i="13"/>
  <c r="L1095" i="13"/>
  <c r="J1095" i="13"/>
  <c r="I1095" i="13"/>
  <c r="G1095" i="13"/>
  <c r="B1095" i="13" s="1"/>
  <c r="F1095" i="13"/>
  <c r="E1095" i="13"/>
  <c r="D1095" i="13"/>
  <c r="R1094" i="13"/>
  <c r="M1094" i="13"/>
  <c r="L1094" i="13"/>
  <c r="J1094" i="13"/>
  <c r="I1094" i="13"/>
  <c r="G1094" i="13"/>
  <c r="B1094" i="13" s="1"/>
  <c r="F1094" i="13"/>
  <c r="E1094" i="13"/>
  <c r="D1094" i="13"/>
  <c r="R1093" i="13"/>
  <c r="M1093" i="13"/>
  <c r="L1093" i="13"/>
  <c r="J1093" i="13"/>
  <c r="I1093" i="13"/>
  <c r="G1093" i="13"/>
  <c r="B1093" i="13" s="1"/>
  <c r="F1093" i="13"/>
  <c r="E1093" i="13"/>
  <c r="D1093" i="13"/>
  <c r="R1092" i="13"/>
  <c r="M1092" i="13"/>
  <c r="L1092" i="13"/>
  <c r="J1092" i="13"/>
  <c r="I1092" i="13"/>
  <c r="G1092" i="13"/>
  <c r="B1092" i="13" s="1"/>
  <c r="F1092" i="13"/>
  <c r="E1092" i="13"/>
  <c r="D1092" i="13"/>
  <c r="R1091" i="13"/>
  <c r="M1091" i="13"/>
  <c r="L1091" i="13"/>
  <c r="J1091" i="13"/>
  <c r="I1091" i="13"/>
  <c r="G1091" i="13"/>
  <c r="B1091" i="13" s="1"/>
  <c r="F1091" i="13"/>
  <c r="E1091" i="13"/>
  <c r="D1091" i="13"/>
  <c r="R1090" i="13"/>
  <c r="M1090" i="13"/>
  <c r="L1090" i="13"/>
  <c r="J1090" i="13"/>
  <c r="I1090" i="13"/>
  <c r="G1090" i="13"/>
  <c r="B1090" i="13" s="1"/>
  <c r="F1090" i="13"/>
  <c r="E1090" i="13"/>
  <c r="D1090" i="13"/>
  <c r="R1089" i="13"/>
  <c r="M1089" i="13"/>
  <c r="L1089" i="13"/>
  <c r="J1089" i="13"/>
  <c r="I1089" i="13"/>
  <c r="G1089" i="13"/>
  <c r="B1089" i="13" s="1"/>
  <c r="F1089" i="13"/>
  <c r="E1089" i="13"/>
  <c r="D1089" i="13"/>
  <c r="R1088" i="13"/>
  <c r="M1088" i="13"/>
  <c r="L1088" i="13"/>
  <c r="J1088" i="13"/>
  <c r="I1088" i="13"/>
  <c r="G1088" i="13"/>
  <c r="B1088" i="13" s="1"/>
  <c r="F1088" i="13"/>
  <c r="E1088" i="13"/>
  <c r="D1088" i="13"/>
  <c r="R1087" i="13"/>
  <c r="M1087" i="13"/>
  <c r="L1087" i="13"/>
  <c r="J1087" i="13"/>
  <c r="I1087" i="13"/>
  <c r="G1087" i="13"/>
  <c r="B1087" i="13" s="1"/>
  <c r="F1087" i="13"/>
  <c r="E1087" i="13"/>
  <c r="D1087" i="13"/>
  <c r="R1086" i="13"/>
  <c r="M1086" i="13"/>
  <c r="L1086" i="13"/>
  <c r="J1086" i="13"/>
  <c r="I1086" i="13"/>
  <c r="G1086" i="13"/>
  <c r="B1086" i="13" s="1"/>
  <c r="F1086" i="13"/>
  <c r="E1086" i="13"/>
  <c r="D1086" i="13"/>
  <c r="R1085" i="13"/>
  <c r="M1085" i="13"/>
  <c r="L1085" i="13"/>
  <c r="J1085" i="13"/>
  <c r="I1085" i="13"/>
  <c r="G1085" i="13"/>
  <c r="B1085" i="13" s="1"/>
  <c r="F1085" i="13"/>
  <c r="E1085" i="13"/>
  <c r="D1085" i="13"/>
  <c r="R1084" i="13"/>
  <c r="M1084" i="13"/>
  <c r="L1084" i="13"/>
  <c r="J1084" i="13"/>
  <c r="I1084" i="13"/>
  <c r="G1084" i="13"/>
  <c r="B1084" i="13" s="1"/>
  <c r="F1084" i="13"/>
  <c r="E1084" i="13"/>
  <c r="D1084" i="13"/>
  <c r="R1083" i="13"/>
  <c r="M1083" i="13"/>
  <c r="L1083" i="13"/>
  <c r="J1083" i="13"/>
  <c r="I1083" i="13"/>
  <c r="G1083" i="13"/>
  <c r="B1083" i="13" s="1"/>
  <c r="F1083" i="13"/>
  <c r="E1083" i="13"/>
  <c r="D1083" i="13"/>
  <c r="R1082" i="13"/>
  <c r="M1082" i="13"/>
  <c r="L1082" i="13"/>
  <c r="J1082" i="13"/>
  <c r="I1082" i="13"/>
  <c r="G1082" i="13"/>
  <c r="B1082" i="13" s="1"/>
  <c r="F1082" i="13"/>
  <c r="E1082" i="13"/>
  <c r="D1082" i="13"/>
  <c r="R1081" i="13"/>
  <c r="M1081" i="13"/>
  <c r="L1081" i="13"/>
  <c r="J1081" i="13"/>
  <c r="I1081" i="13"/>
  <c r="G1081" i="13"/>
  <c r="B1081" i="13" s="1"/>
  <c r="F1081" i="13"/>
  <c r="E1081" i="13"/>
  <c r="D1081" i="13"/>
  <c r="R1080" i="13"/>
  <c r="M1080" i="13"/>
  <c r="L1080" i="13"/>
  <c r="J1080" i="13"/>
  <c r="I1080" i="13"/>
  <c r="G1080" i="13"/>
  <c r="B1080" i="13" s="1"/>
  <c r="F1080" i="13"/>
  <c r="E1080" i="13"/>
  <c r="D1080" i="13"/>
  <c r="R1079" i="13"/>
  <c r="M1079" i="13"/>
  <c r="L1079" i="13"/>
  <c r="J1079" i="13"/>
  <c r="I1079" i="13"/>
  <c r="G1079" i="13"/>
  <c r="B1079" i="13" s="1"/>
  <c r="F1079" i="13"/>
  <c r="E1079" i="13"/>
  <c r="D1079" i="13"/>
  <c r="R1078" i="13"/>
  <c r="M1078" i="13"/>
  <c r="L1078" i="13"/>
  <c r="J1078" i="13"/>
  <c r="I1078" i="13"/>
  <c r="G1078" i="13"/>
  <c r="B1078" i="13" s="1"/>
  <c r="F1078" i="13"/>
  <c r="E1078" i="13"/>
  <c r="D1078" i="13"/>
  <c r="R1077" i="13"/>
  <c r="M1077" i="13"/>
  <c r="L1077" i="13"/>
  <c r="J1077" i="13"/>
  <c r="I1077" i="13"/>
  <c r="G1077" i="13"/>
  <c r="B1077" i="13" s="1"/>
  <c r="F1077" i="13"/>
  <c r="E1077" i="13"/>
  <c r="D1077" i="13"/>
  <c r="R1076" i="13"/>
  <c r="M1076" i="13"/>
  <c r="L1076" i="13"/>
  <c r="J1076" i="13"/>
  <c r="I1076" i="13"/>
  <c r="G1076" i="13"/>
  <c r="B1076" i="13" s="1"/>
  <c r="F1076" i="13"/>
  <c r="E1076" i="13"/>
  <c r="D1076" i="13"/>
  <c r="R1075" i="13"/>
  <c r="M1075" i="13"/>
  <c r="L1075" i="13"/>
  <c r="J1075" i="13"/>
  <c r="I1075" i="13"/>
  <c r="G1075" i="13"/>
  <c r="B1075" i="13" s="1"/>
  <c r="F1075" i="13"/>
  <c r="E1075" i="13"/>
  <c r="D1075" i="13"/>
  <c r="R1074" i="13"/>
  <c r="M1074" i="13"/>
  <c r="L1074" i="13"/>
  <c r="J1074" i="13"/>
  <c r="I1074" i="13"/>
  <c r="G1074" i="13"/>
  <c r="B1074" i="13" s="1"/>
  <c r="F1074" i="13"/>
  <c r="E1074" i="13"/>
  <c r="D1074" i="13"/>
  <c r="R1073" i="13"/>
  <c r="M1073" i="13"/>
  <c r="L1073" i="13"/>
  <c r="J1073" i="13"/>
  <c r="I1073" i="13"/>
  <c r="G1073" i="13"/>
  <c r="B1073" i="13" s="1"/>
  <c r="F1073" i="13"/>
  <c r="E1073" i="13"/>
  <c r="D1073" i="13"/>
  <c r="R1072" i="13"/>
  <c r="M1072" i="13"/>
  <c r="L1072" i="13"/>
  <c r="J1072" i="13"/>
  <c r="I1072" i="13"/>
  <c r="G1072" i="13"/>
  <c r="B1072" i="13" s="1"/>
  <c r="F1072" i="13"/>
  <c r="E1072" i="13"/>
  <c r="D1072" i="13"/>
  <c r="R1071" i="13"/>
  <c r="M1071" i="13"/>
  <c r="L1071" i="13"/>
  <c r="J1071" i="13"/>
  <c r="I1071" i="13"/>
  <c r="G1071" i="13"/>
  <c r="B1071" i="13" s="1"/>
  <c r="F1071" i="13"/>
  <c r="E1071" i="13"/>
  <c r="D1071" i="13"/>
  <c r="R1070" i="13"/>
  <c r="M1070" i="13"/>
  <c r="L1070" i="13"/>
  <c r="J1070" i="13"/>
  <c r="I1070" i="13"/>
  <c r="G1070" i="13"/>
  <c r="B1070" i="13" s="1"/>
  <c r="F1070" i="13"/>
  <c r="E1070" i="13"/>
  <c r="D1070" i="13"/>
  <c r="R1069" i="13"/>
  <c r="M1069" i="13"/>
  <c r="L1069" i="13"/>
  <c r="J1069" i="13"/>
  <c r="I1069" i="13"/>
  <c r="G1069" i="13"/>
  <c r="B1069" i="13" s="1"/>
  <c r="F1069" i="13"/>
  <c r="E1069" i="13"/>
  <c r="D1069" i="13"/>
  <c r="R1068" i="13"/>
  <c r="M1068" i="13"/>
  <c r="L1068" i="13"/>
  <c r="J1068" i="13"/>
  <c r="I1068" i="13"/>
  <c r="G1068" i="13"/>
  <c r="B1068" i="13" s="1"/>
  <c r="F1068" i="13"/>
  <c r="E1068" i="13"/>
  <c r="D1068" i="13"/>
  <c r="R1067" i="13"/>
  <c r="M1067" i="13"/>
  <c r="L1067" i="13"/>
  <c r="J1067" i="13"/>
  <c r="I1067" i="13"/>
  <c r="G1067" i="13"/>
  <c r="B1067" i="13" s="1"/>
  <c r="F1067" i="13"/>
  <c r="E1067" i="13"/>
  <c r="D1067" i="13"/>
  <c r="R1066" i="13"/>
  <c r="M1066" i="13"/>
  <c r="L1066" i="13"/>
  <c r="J1066" i="13"/>
  <c r="I1066" i="13"/>
  <c r="G1066" i="13"/>
  <c r="B1066" i="13" s="1"/>
  <c r="F1066" i="13"/>
  <c r="E1066" i="13"/>
  <c r="D1066" i="13"/>
  <c r="R1065" i="13"/>
  <c r="M1065" i="13"/>
  <c r="L1065" i="13"/>
  <c r="J1065" i="13"/>
  <c r="I1065" i="13"/>
  <c r="G1065" i="13"/>
  <c r="B1065" i="13" s="1"/>
  <c r="F1065" i="13"/>
  <c r="E1065" i="13"/>
  <c r="D1065" i="13"/>
  <c r="R1064" i="13"/>
  <c r="M1064" i="13"/>
  <c r="L1064" i="13"/>
  <c r="J1064" i="13"/>
  <c r="I1064" i="13"/>
  <c r="G1064" i="13"/>
  <c r="B1064" i="13" s="1"/>
  <c r="F1064" i="13"/>
  <c r="E1064" i="13"/>
  <c r="D1064" i="13"/>
  <c r="R1063" i="13"/>
  <c r="M1063" i="13"/>
  <c r="L1063" i="13"/>
  <c r="J1063" i="13"/>
  <c r="I1063" i="13"/>
  <c r="G1063" i="13"/>
  <c r="B1063" i="13" s="1"/>
  <c r="F1063" i="13"/>
  <c r="E1063" i="13"/>
  <c r="D1063" i="13"/>
  <c r="R1062" i="13"/>
  <c r="M1062" i="13"/>
  <c r="L1062" i="13"/>
  <c r="J1062" i="13"/>
  <c r="I1062" i="13"/>
  <c r="G1062" i="13"/>
  <c r="B1062" i="13" s="1"/>
  <c r="F1062" i="13"/>
  <c r="E1062" i="13"/>
  <c r="D1062" i="13"/>
  <c r="R1061" i="13"/>
  <c r="M1061" i="13"/>
  <c r="L1061" i="13"/>
  <c r="J1061" i="13"/>
  <c r="I1061" i="13"/>
  <c r="G1061" i="13"/>
  <c r="B1061" i="13" s="1"/>
  <c r="F1061" i="13"/>
  <c r="E1061" i="13"/>
  <c r="D1061" i="13"/>
  <c r="R1060" i="13"/>
  <c r="M1060" i="13"/>
  <c r="L1060" i="13"/>
  <c r="J1060" i="13"/>
  <c r="I1060" i="13"/>
  <c r="G1060" i="13"/>
  <c r="B1060" i="13" s="1"/>
  <c r="F1060" i="13"/>
  <c r="E1060" i="13"/>
  <c r="D1060" i="13"/>
  <c r="R1059" i="13"/>
  <c r="M1059" i="13"/>
  <c r="L1059" i="13"/>
  <c r="J1059" i="13"/>
  <c r="I1059" i="13"/>
  <c r="G1059" i="13"/>
  <c r="B1059" i="13" s="1"/>
  <c r="F1059" i="13"/>
  <c r="E1059" i="13"/>
  <c r="D1059" i="13"/>
  <c r="R1058" i="13"/>
  <c r="M1058" i="13"/>
  <c r="L1058" i="13"/>
  <c r="J1058" i="13"/>
  <c r="I1058" i="13"/>
  <c r="G1058" i="13"/>
  <c r="B1058" i="13" s="1"/>
  <c r="F1058" i="13"/>
  <c r="E1058" i="13"/>
  <c r="D1058" i="13"/>
  <c r="R1057" i="13"/>
  <c r="M1057" i="13"/>
  <c r="L1057" i="13"/>
  <c r="J1057" i="13"/>
  <c r="I1057" i="13"/>
  <c r="G1057" i="13"/>
  <c r="B1057" i="13" s="1"/>
  <c r="F1057" i="13"/>
  <c r="E1057" i="13"/>
  <c r="D1057" i="13"/>
  <c r="R1056" i="13"/>
  <c r="M1056" i="13"/>
  <c r="L1056" i="13"/>
  <c r="J1056" i="13"/>
  <c r="I1056" i="13"/>
  <c r="G1056" i="13"/>
  <c r="B1056" i="13" s="1"/>
  <c r="F1056" i="13"/>
  <c r="E1056" i="13"/>
  <c r="D1056" i="13"/>
  <c r="R1055" i="13"/>
  <c r="M1055" i="13"/>
  <c r="L1055" i="13"/>
  <c r="J1055" i="13"/>
  <c r="I1055" i="13"/>
  <c r="G1055" i="13"/>
  <c r="B1055" i="13" s="1"/>
  <c r="F1055" i="13"/>
  <c r="E1055" i="13"/>
  <c r="D1055" i="13"/>
  <c r="R1054" i="13"/>
  <c r="M1054" i="13"/>
  <c r="L1054" i="13"/>
  <c r="J1054" i="13"/>
  <c r="I1054" i="13"/>
  <c r="G1054" i="13"/>
  <c r="B1054" i="13" s="1"/>
  <c r="F1054" i="13"/>
  <c r="E1054" i="13"/>
  <c r="D1054" i="13"/>
  <c r="R1053" i="13"/>
  <c r="M1053" i="13"/>
  <c r="L1053" i="13"/>
  <c r="J1053" i="13"/>
  <c r="I1053" i="13"/>
  <c r="G1053" i="13"/>
  <c r="B1053" i="13" s="1"/>
  <c r="F1053" i="13"/>
  <c r="E1053" i="13"/>
  <c r="D1053" i="13"/>
  <c r="R1052" i="13"/>
  <c r="M1052" i="13"/>
  <c r="L1052" i="13"/>
  <c r="J1052" i="13"/>
  <c r="I1052" i="13"/>
  <c r="G1052" i="13"/>
  <c r="B1052" i="13" s="1"/>
  <c r="F1052" i="13"/>
  <c r="E1052" i="13"/>
  <c r="D1052" i="13"/>
  <c r="R1051" i="13"/>
  <c r="M1051" i="13"/>
  <c r="L1051" i="13"/>
  <c r="J1051" i="13"/>
  <c r="I1051" i="13"/>
  <c r="G1051" i="13"/>
  <c r="B1051" i="13" s="1"/>
  <c r="F1051" i="13"/>
  <c r="E1051" i="13"/>
  <c r="D1051" i="13"/>
  <c r="R1050" i="13"/>
  <c r="M1050" i="13"/>
  <c r="L1050" i="13"/>
  <c r="J1050" i="13"/>
  <c r="I1050" i="13"/>
  <c r="G1050" i="13"/>
  <c r="B1050" i="13" s="1"/>
  <c r="F1050" i="13"/>
  <c r="E1050" i="13"/>
  <c r="D1050" i="13"/>
  <c r="R1049" i="13"/>
  <c r="M1049" i="13"/>
  <c r="L1049" i="13"/>
  <c r="J1049" i="13"/>
  <c r="I1049" i="13"/>
  <c r="G1049" i="13"/>
  <c r="B1049" i="13" s="1"/>
  <c r="F1049" i="13"/>
  <c r="E1049" i="13"/>
  <c r="D1049" i="13"/>
  <c r="R1048" i="13"/>
  <c r="M1048" i="13"/>
  <c r="L1048" i="13"/>
  <c r="J1048" i="13"/>
  <c r="I1048" i="13"/>
  <c r="G1048" i="13"/>
  <c r="B1048" i="13" s="1"/>
  <c r="F1048" i="13"/>
  <c r="E1048" i="13"/>
  <c r="D1048" i="13"/>
  <c r="R1047" i="13"/>
  <c r="M1047" i="13"/>
  <c r="L1047" i="13"/>
  <c r="J1047" i="13"/>
  <c r="I1047" i="13"/>
  <c r="G1047" i="13"/>
  <c r="B1047" i="13" s="1"/>
  <c r="F1047" i="13"/>
  <c r="E1047" i="13"/>
  <c r="D1047" i="13"/>
  <c r="R1046" i="13"/>
  <c r="M1046" i="13"/>
  <c r="L1046" i="13"/>
  <c r="J1046" i="13"/>
  <c r="I1046" i="13"/>
  <c r="G1046" i="13"/>
  <c r="B1046" i="13" s="1"/>
  <c r="F1046" i="13"/>
  <c r="E1046" i="13"/>
  <c r="D1046" i="13"/>
  <c r="R1045" i="13"/>
  <c r="M1045" i="13"/>
  <c r="L1045" i="13"/>
  <c r="J1045" i="13"/>
  <c r="I1045" i="13"/>
  <c r="G1045" i="13"/>
  <c r="B1045" i="13" s="1"/>
  <c r="F1045" i="13"/>
  <c r="E1045" i="13"/>
  <c r="D1045" i="13"/>
  <c r="R1044" i="13"/>
  <c r="M1044" i="13"/>
  <c r="L1044" i="13"/>
  <c r="J1044" i="13"/>
  <c r="I1044" i="13"/>
  <c r="G1044" i="13"/>
  <c r="B1044" i="13" s="1"/>
  <c r="F1044" i="13"/>
  <c r="E1044" i="13"/>
  <c r="D1044" i="13"/>
  <c r="R1043" i="13"/>
  <c r="M1043" i="13"/>
  <c r="L1043" i="13"/>
  <c r="J1043" i="13"/>
  <c r="I1043" i="13"/>
  <c r="G1043" i="13"/>
  <c r="B1043" i="13" s="1"/>
  <c r="F1043" i="13"/>
  <c r="E1043" i="13"/>
  <c r="D1043" i="13"/>
  <c r="R1042" i="13"/>
  <c r="M1042" i="13"/>
  <c r="L1042" i="13"/>
  <c r="J1042" i="13"/>
  <c r="I1042" i="13"/>
  <c r="G1042" i="13"/>
  <c r="B1042" i="13" s="1"/>
  <c r="F1042" i="13"/>
  <c r="E1042" i="13"/>
  <c r="D1042" i="13"/>
  <c r="R1041" i="13"/>
  <c r="M1041" i="13"/>
  <c r="L1041" i="13"/>
  <c r="J1041" i="13"/>
  <c r="I1041" i="13"/>
  <c r="G1041" i="13"/>
  <c r="B1041" i="13" s="1"/>
  <c r="F1041" i="13"/>
  <c r="E1041" i="13"/>
  <c r="D1041" i="13"/>
  <c r="R1040" i="13"/>
  <c r="M1040" i="13"/>
  <c r="L1040" i="13"/>
  <c r="J1040" i="13"/>
  <c r="I1040" i="13"/>
  <c r="G1040" i="13"/>
  <c r="B1040" i="13" s="1"/>
  <c r="F1040" i="13"/>
  <c r="E1040" i="13"/>
  <c r="D1040" i="13"/>
  <c r="R1039" i="13"/>
  <c r="M1039" i="13"/>
  <c r="L1039" i="13"/>
  <c r="J1039" i="13"/>
  <c r="I1039" i="13"/>
  <c r="G1039" i="13"/>
  <c r="B1039" i="13" s="1"/>
  <c r="F1039" i="13"/>
  <c r="E1039" i="13"/>
  <c r="D1039" i="13"/>
  <c r="R1038" i="13"/>
  <c r="M1038" i="13"/>
  <c r="L1038" i="13"/>
  <c r="J1038" i="13"/>
  <c r="I1038" i="13"/>
  <c r="G1038" i="13"/>
  <c r="B1038" i="13" s="1"/>
  <c r="F1038" i="13"/>
  <c r="E1038" i="13"/>
  <c r="D1038" i="13"/>
  <c r="R1037" i="13"/>
  <c r="M1037" i="13"/>
  <c r="L1037" i="13"/>
  <c r="J1037" i="13"/>
  <c r="I1037" i="13"/>
  <c r="G1037" i="13"/>
  <c r="B1037" i="13" s="1"/>
  <c r="F1037" i="13"/>
  <c r="E1037" i="13"/>
  <c r="D1037" i="13"/>
  <c r="R1036" i="13"/>
  <c r="M1036" i="13"/>
  <c r="L1036" i="13"/>
  <c r="J1036" i="13"/>
  <c r="I1036" i="13"/>
  <c r="G1036" i="13"/>
  <c r="B1036" i="13" s="1"/>
  <c r="F1036" i="13"/>
  <c r="E1036" i="13"/>
  <c r="D1036" i="13"/>
  <c r="R1035" i="13"/>
  <c r="M1035" i="13"/>
  <c r="L1035" i="13"/>
  <c r="J1035" i="13"/>
  <c r="I1035" i="13"/>
  <c r="G1035" i="13"/>
  <c r="B1035" i="13" s="1"/>
  <c r="F1035" i="13"/>
  <c r="E1035" i="13"/>
  <c r="D1035" i="13"/>
  <c r="R1034" i="13"/>
  <c r="M1034" i="13"/>
  <c r="L1034" i="13"/>
  <c r="J1034" i="13"/>
  <c r="I1034" i="13"/>
  <c r="G1034" i="13"/>
  <c r="B1034" i="13" s="1"/>
  <c r="F1034" i="13"/>
  <c r="E1034" i="13"/>
  <c r="D1034" i="13"/>
  <c r="R1033" i="13"/>
  <c r="M1033" i="13"/>
  <c r="L1033" i="13"/>
  <c r="J1033" i="13"/>
  <c r="I1033" i="13"/>
  <c r="G1033" i="13"/>
  <c r="B1033" i="13" s="1"/>
  <c r="F1033" i="13"/>
  <c r="E1033" i="13"/>
  <c r="D1033" i="13"/>
  <c r="R1032" i="13"/>
  <c r="M1032" i="13"/>
  <c r="L1032" i="13"/>
  <c r="J1032" i="13"/>
  <c r="I1032" i="13"/>
  <c r="G1032" i="13"/>
  <c r="B1032" i="13" s="1"/>
  <c r="F1032" i="13"/>
  <c r="E1032" i="13"/>
  <c r="D1032" i="13"/>
  <c r="R1031" i="13"/>
  <c r="M1031" i="13"/>
  <c r="L1031" i="13"/>
  <c r="J1031" i="13"/>
  <c r="I1031" i="13"/>
  <c r="G1031" i="13"/>
  <c r="B1031" i="13" s="1"/>
  <c r="F1031" i="13"/>
  <c r="E1031" i="13"/>
  <c r="D1031" i="13"/>
  <c r="R1030" i="13"/>
  <c r="M1030" i="13"/>
  <c r="L1030" i="13"/>
  <c r="J1030" i="13"/>
  <c r="I1030" i="13"/>
  <c r="G1030" i="13"/>
  <c r="B1030" i="13" s="1"/>
  <c r="F1030" i="13"/>
  <c r="E1030" i="13"/>
  <c r="D1030" i="13"/>
  <c r="R1029" i="13"/>
  <c r="M1029" i="13"/>
  <c r="L1029" i="13"/>
  <c r="J1029" i="13"/>
  <c r="I1029" i="13"/>
  <c r="G1029" i="13"/>
  <c r="B1029" i="13" s="1"/>
  <c r="F1029" i="13"/>
  <c r="E1029" i="13"/>
  <c r="D1029" i="13"/>
  <c r="R1028" i="13"/>
  <c r="M1028" i="13"/>
  <c r="L1028" i="13"/>
  <c r="J1028" i="13"/>
  <c r="I1028" i="13"/>
  <c r="G1028" i="13"/>
  <c r="B1028" i="13" s="1"/>
  <c r="F1028" i="13"/>
  <c r="E1028" i="13"/>
  <c r="D1028" i="13"/>
  <c r="R1027" i="13"/>
  <c r="M1027" i="13"/>
  <c r="L1027" i="13"/>
  <c r="J1027" i="13"/>
  <c r="I1027" i="13"/>
  <c r="G1027" i="13"/>
  <c r="B1027" i="13" s="1"/>
  <c r="F1027" i="13"/>
  <c r="E1027" i="13"/>
  <c r="D1027" i="13"/>
  <c r="R1026" i="13"/>
  <c r="M1026" i="13"/>
  <c r="L1026" i="13"/>
  <c r="J1026" i="13"/>
  <c r="I1026" i="13"/>
  <c r="G1026" i="13"/>
  <c r="B1026" i="13" s="1"/>
  <c r="F1026" i="13"/>
  <c r="E1026" i="13"/>
  <c r="D1026" i="13"/>
  <c r="R1025" i="13"/>
  <c r="M1025" i="13"/>
  <c r="L1025" i="13"/>
  <c r="J1025" i="13"/>
  <c r="I1025" i="13"/>
  <c r="G1025" i="13"/>
  <c r="B1025" i="13" s="1"/>
  <c r="F1025" i="13"/>
  <c r="E1025" i="13"/>
  <c r="D1025" i="13"/>
  <c r="R1024" i="13"/>
  <c r="M1024" i="13"/>
  <c r="L1024" i="13"/>
  <c r="J1024" i="13"/>
  <c r="I1024" i="13"/>
  <c r="G1024" i="13"/>
  <c r="B1024" i="13" s="1"/>
  <c r="F1024" i="13"/>
  <c r="E1024" i="13"/>
  <c r="D1024" i="13"/>
  <c r="R1023" i="13"/>
  <c r="M1023" i="13"/>
  <c r="L1023" i="13"/>
  <c r="J1023" i="13"/>
  <c r="I1023" i="13"/>
  <c r="G1023" i="13"/>
  <c r="B1023" i="13" s="1"/>
  <c r="F1023" i="13"/>
  <c r="E1023" i="13"/>
  <c r="D1023" i="13"/>
  <c r="R1022" i="13"/>
  <c r="M1022" i="13"/>
  <c r="L1022" i="13"/>
  <c r="J1022" i="13"/>
  <c r="I1022" i="13"/>
  <c r="G1022" i="13"/>
  <c r="B1022" i="13" s="1"/>
  <c r="F1022" i="13"/>
  <c r="E1022" i="13"/>
  <c r="D1022" i="13"/>
  <c r="R1021" i="13"/>
  <c r="M1021" i="13"/>
  <c r="L1021" i="13"/>
  <c r="J1021" i="13"/>
  <c r="I1021" i="13"/>
  <c r="G1021" i="13"/>
  <c r="B1021" i="13" s="1"/>
  <c r="F1021" i="13"/>
  <c r="E1021" i="13"/>
  <c r="D1021" i="13"/>
  <c r="R1020" i="13"/>
  <c r="M1020" i="13"/>
  <c r="L1020" i="13"/>
  <c r="J1020" i="13"/>
  <c r="I1020" i="13"/>
  <c r="G1020" i="13"/>
  <c r="B1020" i="13" s="1"/>
  <c r="F1020" i="13"/>
  <c r="E1020" i="13"/>
  <c r="D1020" i="13"/>
  <c r="R1019" i="13"/>
  <c r="M1019" i="13"/>
  <c r="L1019" i="13"/>
  <c r="J1019" i="13"/>
  <c r="I1019" i="13"/>
  <c r="G1019" i="13"/>
  <c r="B1019" i="13" s="1"/>
  <c r="F1019" i="13"/>
  <c r="E1019" i="13"/>
  <c r="D1019" i="13"/>
  <c r="R1018" i="13"/>
  <c r="M1018" i="13"/>
  <c r="L1018" i="13"/>
  <c r="J1018" i="13"/>
  <c r="I1018" i="13"/>
  <c r="G1018" i="13"/>
  <c r="B1018" i="13" s="1"/>
  <c r="F1018" i="13"/>
  <c r="E1018" i="13"/>
  <c r="D1018" i="13"/>
  <c r="R1017" i="13"/>
  <c r="M1017" i="13"/>
  <c r="L1017" i="13"/>
  <c r="J1017" i="13"/>
  <c r="I1017" i="13"/>
  <c r="G1017" i="13"/>
  <c r="B1017" i="13" s="1"/>
  <c r="F1017" i="13"/>
  <c r="E1017" i="13"/>
  <c r="D1017" i="13"/>
  <c r="R1016" i="13"/>
  <c r="M1016" i="13"/>
  <c r="L1016" i="13"/>
  <c r="J1016" i="13"/>
  <c r="I1016" i="13"/>
  <c r="G1016" i="13"/>
  <c r="B1016" i="13" s="1"/>
  <c r="F1016" i="13"/>
  <c r="E1016" i="13"/>
  <c r="D1016" i="13"/>
  <c r="R1015" i="13"/>
  <c r="M1015" i="13"/>
  <c r="L1015" i="13"/>
  <c r="J1015" i="13"/>
  <c r="I1015" i="13"/>
  <c r="G1015" i="13"/>
  <c r="B1015" i="13" s="1"/>
  <c r="F1015" i="13"/>
  <c r="E1015" i="13"/>
  <c r="D1015" i="13"/>
  <c r="R1014" i="13"/>
  <c r="M1014" i="13"/>
  <c r="L1014" i="13"/>
  <c r="J1014" i="13"/>
  <c r="I1014" i="13"/>
  <c r="G1014" i="13"/>
  <c r="B1014" i="13" s="1"/>
  <c r="F1014" i="13"/>
  <c r="E1014" i="13"/>
  <c r="D1014" i="13"/>
  <c r="R1013" i="13"/>
  <c r="M1013" i="13"/>
  <c r="L1013" i="13"/>
  <c r="J1013" i="13"/>
  <c r="I1013" i="13"/>
  <c r="G1013" i="13"/>
  <c r="B1013" i="13" s="1"/>
  <c r="F1013" i="13"/>
  <c r="E1013" i="13"/>
  <c r="D1013" i="13"/>
  <c r="R1012" i="13"/>
  <c r="M1012" i="13"/>
  <c r="L1012" i="13"/>
  <c r="J1012" i="13"/>
  <c r="I1012" i="13"/>
  <c r="G1012" i="13"/>
  <c r="B1012" i="13" s="1"/>
  <c r="F1012" i="13"/>
  <c r="E1012" i="13"/>
  <c r="D1012" i="13"/>
  <c r="R1011" i="13"/>
  <c r="M1011" i="13"/>
  <c r="L1011" i="13"/>
  <c r="J1011" i="13"/>
  <c r="I1011" i="13"/>
  <c r="G1011" i="13"/>
  <c r="B1011" i="13" s="1"/>
  <c r="F1011" i="13"/>
  <c r="E1011" i="13"/>
  <c r="D1011" i="13"/>
  <c r="R1010" i="13"/>
  <c r="M1010" i="13"/>
  <c r="L1010" i="13"/>
  <c r="J1010" i="13"/>
  <c r="I1010" i="13"/>
  <c r="G1010" i="13"/>
  <c r="B1010" i="13" s="1"/>
  <c r="F1010" i="13"/>
  <c r="E1010" i="13"/>
  <c r="D1010" i="13"/>
  <c r="R1009" i="13"/>
  <c r="M1009" i="13"/>
  <c r="L1009" i="13"/>
  <c r="J1009" i="13"/>
  <c r="I1009" i="13"/>
  <c r="G1009" i="13"/>
  <c r="B1009" i="13" s="1"/>
  <c r="F1009" i="13"/>
  <c r="E1009" i="13"/>
  <c r="D1009" i="13"/>
  <c r="R1008" i="13"/>
  <c r="M1008" i="13"/>
  <c r="L1008" i="13"/>
  <c r="J1008" i="13"/>
  <c r="I1008" i="13"/>
  <c r="G1008" i="13"/>
  <c r="B1008" i="13" s="1"/>
  <c r="F1008" i="13"/>
  <c r="E1008" i="13"/>
  <c r="D1008" i="13"/>
  <c r="R1007" i="13"/>
  <c r="M1007" i="13"/>
  <c r="L1007" i="13"/>
  <c r="J1007" i="13"/>
  <c r="I1007" i="13"/>
  <c r="G1007" i="13"/>
  <c r="B1007" i="13" s="1"/>
  <c r="F1007" i="13"/>
  <c r="E1007" i="13"/>
  <c r="D1007" i="13"/>
  <c r="R1006" i="13"/>
  <c r="M1006" i="13"/>
  <c r="L1006" i="13"/>
  <c r="J1006" i="13"/>
  <c r="I1006" i="13"/>
  <c r="G1006" i="13"/>
  <c r="B1006" i="13" s="1"/>
  <c r="F1006" i="13"/>
  <c r="E1006" i="13"/>
  <c r="D1006" i="13"/>
  <c r="R1005" i="13"/>
  <c r="M1005" i="13"/>
  <c r="L1005" i="13"/>
  <c r="J1005" i="13"/>
  <c r="I1005" i="13"/>
  <c r="G1005" i="13"/>
  <c r="B1005" i="13" s="1"/>
  <c r="F1005" i="13"/>
  <c r="E1005" i="13"/>
  <c r="D1005" i="13"/>
  <c r="R1004" i="13"/>
  <c r="M1004" i="13"/>
  <c r="L1004" i="13"/>
  <c r="J1004" i="13"/>
  <c r="I1004" i="13"/>
  <c r="G1004" i="13"/>
  <c r="B1004" i="13" s="1"/>
  <c r="F1004" i="13"/>
  <c r="E1004" i="13"/>
  <c r="D1004" i="13"/>
  <c r="R1003" i="13"/>
  <c r="M1003" i="13"/>
  <c r="L1003" i="13"/>
  <c r="J1003" i="13"/>
  <c r="I1003" i="13"/>
  <c r="G1003" i="13"/>
  <c r="B1003" i="13" s="1"/>
  <c r="F1003" i="13"/>
  <c r="E1003" i="13"/>
  <c r="D1003" i="13"/>
  <c r="R1002" i="13"/>
  <c r="M1002" i="13"/>
  <c r="L1002" i="13"/>
  <c r="J1002" i="13"/>
  <c r="I1002" i="13"/>
  <c r="G1002" i="13"/>
  <c r="B1002" i="13" s="1"/>
  <c r="F1002" i="13"/>
  <c r="E1002" i="13"/>
  <c r="D1002" i="13"/>
  <c r="R1001" i="13"/>
  <c r="M1001" i="13"/>
  <c r="L1001" i="13"/>
  <c r="J1001" i="13"/>
  <c r="I1001" i="13"/>
  <c r="G1001" i="13"/>
  <c r="B1001" i="13" s="1"/>
  <c r="F1001" i="13"/>
  <c r="E1001" i="13"/>
  <c r="D1001" i="13"/>
  <c r="R1000" i="13"/>
  <c r="M1000" i="13"/>
  <c r="L1000" i="13"/>
  <c r="J1000" i="13"/>
  <c r="I1000" i="13"/>
  <c r="G1000" i="13"/>
  <c r="B1000" i="13" s="1"/>
  <c r="F1000" i="13"/>
  <c r="E1000" i="13"/>
  <c r="D1000" i="13"/>
  <c r="R999" i="13"/>
  <c r="M999" i="13"/>
  <c r="L999" i="13"/>
  <c r="J999" i="13"/>
  <c r="I999" i="13"/>
  <c r="G999" i="13"/>
  <c r="B999" i="13" s="1"/>
  <c r="F999" i="13"/>
  <c r="E999" i="13"/>
  <c r="D999" i="13"/>
  <c r="R998" i="13"/>
  <c r="M998" i="13"/>
  <c r="L998" i="13"/>
  <c r="J998" i="13"/>
  <c r="I998" i="13"/>
  <c r="G998" i="13"/>
  <c r="B998" i="13" s="1"/>
  <c r="F998" i="13"/>
  <c r="E998" i="13"/>
  <c r="D998" i="13"/>
  <c r="R997" i="13"/>
  <c r="M997" i="13"/>
  <c r="L997" i="13"/>
  <c r="J997" i="13"/>
  <c r="I997" i="13"/>
  <c r="G997" i="13"/>
  <c r="B997" i="13" s="1"/>
  <c r="F997" i="13"/>
  <c r="E997" i="13"/>
  <c r="D997" i="13"/>
  <c r="R996" i="13"/>
  <c r="M996" i="13"/>
  <c r="L996" i="13"/>
  <c r="J996" i="13"/>
  <c r="I996" i="13"/>
  <c r="G996" i="13"/>
  <c r="B996" i="13" s="1"/>
  <c r="F996" i="13"/>
  <c r="E996" i="13"/>
  <c r="D996" i="13"/>
  <c r="R995" i="13"/>
  <c r="M995" i="13"/>
  <c r="L995" i="13"/>
  <c r="J995" i="13"/>
  <c r="I995" i="13"/>
  <c r="G995" i="13"/>
  <c r="B995" i="13" s="1"/>
  <c r="F995" i="13"/>
  <c r="E995" i="13"/>
  <c r="D995" i="13"/>
  <c r="R994" i="13"/>
  <c r="M994" i="13"/>
  <c r="L994" i="13"/>
  <c r="J994" i="13"/>
  <c r="I994" i="13"/>
  <c r="G994" i="13"/>
  <c r="B994" i="13" s="1"/>
  <c r="F994" i="13"/>
  <c r="E994" i="13"/>
  <c r="D994" i="13"/>
  <c r="R993" i="13"/>
  <c r="M993" i="13"/>
  <c r="L993" i="13"/>
  <c r="J993" i="13"/>
  <c r="I993" i="13"/>
  <c r="G993" i="13"/>
  <c r="B993" i="13" s="1"/>
  <c r="F993" i="13"/>
  <c r="E993" i="13"/>
  <c r="D993" i="13"/>
  <c r="R992" i="13"/>
  <c r="M992" i="13"/>
  <c r="L992" i="13"/>
  <c r="J992" i="13"/>
  <c r="I992" i="13"/>
  <c r="G992" i="13"/>
  <c r="B992" i="13" s="1"/>
  <c r="F992" i="13"/>
  <c r="E992" i="13"/>
  <c r="D992" i="13"/>
  <c r="R991" i="13"/>
  <c r="M991" i="13"/>
  <c r="L991" i="13"/>
  <c r="J991" i="13"/>
  <c r="I991" i="13"/>
  <c r="G991" i="13"/>
  <c r="B991" i="13" s="1"/>
  <c r="F991" i="13"/>
  <c r="E991" i="13"/>
  <c r="D991" i="13"/>
  <c r="R990" i="13"/>
  <c r="M990" i="13"/>
  <c r="L990" i="13"/>
  <c r="J990" i="13"/>
  <c r="I990" i="13"/>
  <c r="G990" i="13"/>
  <c r="B990" i="13" s="1"/>
  <c r="F990" i="13"/>
  <c r="E990" i="13"/>
  <c r="D990" i="13"/>
  <c r="R989" i="13"/>
  <c r="M989" i="13"/>
  <c r="L989" i="13"/>
  <c r="J989" i="13"/>
  <c r="I989" i="13"/>
  <c r="G989" i="13"/>
  <c r="B989" i="13" s="1"/>
  <c r="F989" i="13"/>
  <c r="E989" i="13"/>
  <c r="D989" i="13"/>
  <c r="R988" i="13"/>
  <c r="M988" i="13"/>
  <c r="L988" i="13"/>
  <c r="J988" i="13"/>
  <c r="I988" i="13"/>
  <c r="G988" i="13"/>
  <c r="B988" i="13" s="1"/>
  <c r="F988" i="13"/>
  <c r="E988" i="13"/>
  <c r="D988" i="13"/>
  <c r="R987" i="13"/>
  <c r="M987" i="13"/>
  <c r="L987" i="13"/>
  <c r="J987" i="13"/>
  <c r="I987" i="13"/>
  <c r="G987" i="13"/>
  <c r="B987" i="13" s="1"/>
  <c r="F987" i="13"/>
  <c r="E987" i="13"/>
  <c r="D987" i="13"/>
  <c r="R986" i="13"/>
  <c r="M986" i="13"/>
  <c r="L986" i="13"/>
  <c r="J986" i="13"/>
  <c r="I986" i="13"/>
  <c r="G986" i="13"/>
  <c r="B986" i="13" s="1"/>
  <c r="F986" i="13"/>
  <c r="E986" i="13"/>
  <c r="D986" i="13"/>
  <c r="R985" i="13"/>
  <c r="M985" i="13"/>
  <c r="L985" i="13"/>
  <c r="J985" i="13"/>
  <c r="I985" i="13"/>
  <c r="G985" i="13"/>
  <c r="B985" i="13" s="1"/>
  <c r="F985" i="13"/>
  <c r="E985" i="13"/>
  <c r="D985" i="13"/>
  <c r="R984" i="13"/>
  <c r="M984" i="13"/>
  <c r="L984" i="13"/>
  <c r="J984" i="13"/>
  <c r="I984" i="13"/>
  <c r="G984" i="13"/>
  <c r="B984" i="13" s="1"/>
  <c r="F984" i="13"/>
  <c r="E984" i="13"/>
  <c r="D984" i="13"/>
  <c r="R983" i="13"/>
  <c r="M983" i="13"/>
  <c r="L983" i="13"/>
  <c r="J983" i="13"/>
  <c r="I983" i="13"/>
  <c r="G983" i="13"/>
  <c r="B983" i="13" s="1"/>
  <c r="F983" i="13"/>
  <c r="E983" i="13"/>
  <c r="D983" i="13"/>
  <c r="R982" i="13"/>
  <c r="M982" i="13"/>
  <c r="L982" i="13"/>
  <c r="J982" i="13"/>
  <c r="I982" i="13"/>
  <c r="G982" i="13"/>
  <c r="B982" i="13" s="1"/>
  <c r="F982" i="13"/>
  <c r="E982" i="13"/>
  <c r="D982" i="13"/>
  <c r="R981" i="13"/>
  <c r="M981" i="13"/>
  <c r="L981" i="13"/>
  <c r="J981" i="13"/>
  <c r="I981" i="13"/>
  <c r="G981" i="13"/>
  <c r="B981" i="13" s="1"/>
  <c r="F981" i="13"/>
  <c r="E981" i="13"/>
  <c r="D981" i="13"/>
  <c r="R980" i="13"/>
  <c r="M980" i="13"/>
  <c r="L980" i="13"/>
  <c r="J980" i="13"/>
  <c r="I980" i="13"/>
  <c r="G980" i="13"/>
  <c r="B980" i="13" s="1"/>
  <c r="F980" i="13"/>
  <c r="E980" i="13"/>
  <c r="D980" i="13"/>
  <c r="R979" i="13"/>
  <c r="M979" i="13"/>
  <c r="L979" i="13"/>
  <c r="J979" i="13"/>
  <c r="I979" i="13"/>
  <c r="G979" i="13"/>
  <c r="B979" i="13" s="1"/>
  <c r="F979" i="13"/>
  <c r="E979" i="13"/>
  <c r="D979" i="13"/>
  <c r="R978" i="13"/>
  <c r="M978" i="13"/>
  <c r="L978" i="13"/>
  <c r="J978" i="13"/>
  <c r="I978" i="13"/>
  <c r="G978" i="13"/>
  <c r="B978" i="13" s="1"/>
  <c r="F978" i="13"/>
  <c r="E978" i="13"/>
  <c r="D978" i="13"/>
  <c r="R977" i="13"/>
  <c r="M977" i="13"/>
  <c r="L977" i="13"/>
  <c r="J977" i="13"/>
  <c r="I977" i="13"/>
  <c r="G977" i="13"/>
  <c r="B977" i="13" s="1"/>
  <c r="F977" i="13"/>
  <c r="E977" i="13"/>
  <c r="D977" i="13"/>
  <c r="R976" i="13"/>
  <c r="M976" i="13"/>
  <c r="L976" i="13"/>
  <c r="J976" i="13"/>
  <c r="I976" i="13"/>
  <c r="G976" i="13"/>
  <c r="B976" i="13" s="1"/>
  <c r="F976" i="13"/>
  <c r="E976" i="13"/>
  <c r="D976" i="13"/>
  <c r="R975" i="13"/>
  <c r="M975" i="13"/>
  <c r="L975" i="13"/>
  <c r="J975" i="13"/>
  <c r="I975" i="13"/>
  <c r="G975" i="13"/>
  <c r="B975" i="13" s="1"/>
  <c r="F975" i="13"/>
  <c r="E975" i="13"/>
  <c r="D975" i="13"/>
  <c r="R974" i="13"/>
  <c r="M974" i="13"/>
  <c r="L974" i="13"/>
  <c r="J974" i="13"/>
  <c r="I974" i="13"/>
  <c r="G974" i="13"/>
  <c r="B974" i="13" s="1"/>
  <c r="F974" i="13"/>
  <c r="E974" i="13"/>
  <c r="D974" i="13"/>
  <c r="R973" i="13"/>
  <c r="M973" i="13"/>
  <c r="L973" i="13"/>
  <c r="J973" i="13"/>
  <c r="I973" i="13"/>
  <c r="G973" i="13"/>
  <c r="B973" i="13" s="1"/>
  <c r="F973" i="13"/>
  <c r="E973" i="13"/>
  <c r="D973" i="13"/>
  <c r="R972" i="13"/>
  <c r="M972" i="13"/>
  <c r="L972" i="13"/>
  <c r="J972" i="13"/>
  <c r="I972" i="13"/>
  <c r="G972" i="13"/>
  <c r="B972" i="13" s="1"/>
  <c r="F972" i="13"/>
  <c r="E972" i="13"/>
  <c r="D972" i="13"/>
  <c r="R971" i="13"/>
  <c r="M971" i="13"/>
  <c r="L971" i="13"/>
  <c r="J971" i="13"/>
  <c r="I971" i="13"/>
  <c r="G971" i="13"/>
  <c r="B971" i="13" s="1"/>
  <c r="F971" i="13"/>
  <c r="E971" i="13"/>
  <c r="D971" i="13"/>
  <c r="R970" i="13"/>
  <c r="M970" i="13"/>
  <c r="L970" i="13"/>
  <c r="J970" i="13"/>
  <c r="I970" i="13"/>
  <c r="G970" i="13"/>
  <c r="B970" i="13" s="1"/>
  <c r="F970" i="13"/>
  <c r="E970" i="13"/>
  <c r="D970" i="13"/>
  <c r="R969" i="13"/>
  <c r="M969" i="13"/>
  <c r="L969" i="13"/>
  <c r="J969" i="13"/>
  <c r="I969" i="13"/>
  <c r="G969" i="13"/>
  <c r="B969" i="13" s="1"/>
  <c r="F969" i="13"/>
  <c r="E969" i="13"/>
  <c r="D969" i="13"/>
  <c r="R968" i="13"/>
  <c r="M968" i="13"/>
  <c r="L968" i="13"/>
  <c r="J968" i="13"/>
  <c r="I968" i="13"/>
  <c r="G968" i="13"/>
  <c r="B968" i="13" s="1"/>
  <c r="F968" i="13"/>
  <c r="E968" i="13"/>
  <c r="D968" i="13"/>
  <c r="R967" i="13"/>
  <c r="M967" i="13"/>
  <c r="L967" i="13"/>
  <c r="J967" i="13"/>
  <c r="I967" i="13"/>
  <c r="G967" i="13"/>
  <c r="B967" i="13" s="1"/>
  <c r="F967" i="13"/>
  <c r="E967" i="13"/>
  <c r="D967" i="13"/>
  <c r="R966" i="13"/>
  <c r="M966" i="13"/>
  <c r="L966" i="13"/>
  <c r="J966" i="13"/>
  <c r="I966" i="13"/>
  <c r="G966" i="13"/>
  <c r="B966" i="13" s="1"/>
  <c r="F966" i="13"/>
  <c r="E966" i="13"/>
  <c r="D966" i="13"/>
  <c r="R965" i="13"/>
  <c r="M965" i="13"/>
  <c r="L965" i="13"/>
  <c r="J965" i="13"/>
  <c r="I965" i="13"/>
  <c r="G965" i="13"/>
  <c r="B965" i="13" s="1"/>
  <c r="F965" i="13"/>
  <c r="E965" i="13"/>
  <c r="D965" i="13"/>
  <c r="R964" i="13"/>
  <c r="M964" i="13"/>
  <c r="L964" i="13"/>
  <c r="J964" i="13"/>
  <c r="I964" i="13"/>
  <c r="G964" i="13"/>
  <c r="B964" i="13" s="1"/>
  <c r="F964" i="13"/>
  <c r="E964" i="13"/>
  <c r="D964" i="13"/>
  <c r="R963" i="13"/>
  <c r="M963" i="13"/>
  <c r="L963" i="13"/>
  <c r="J963" i="13"/>
  <c r="I963" i="13"/>
  <c r="G963" i="13"/>
  <c r="B963" i="13" s="1"/>
  <c r="F963" i="13"/>
  <c r="E963" i="13"/>
  <c r="D963" i="13"/>
  <c r="R962" i="13"/>
  <c r="M962" i="13"/>
  <c r="L962" i="13"/>
  <c r="J962" i="13"/>
  <c r="I962" i="13"/>
  <c r="G962" i="13"/>
  <c r="B962" i="13" s="1"/>
  <c r="F962" i="13"/>
  <c r="E962" i="13"/>
  <c r="D962" i="13"/>
  <c r="R961" i="13"/>
  <c r="M961" i="13"/>
  <c r="L961" i="13"/>
  <c r="J961" i="13"/>
  <c r="I961" i="13"/>
  <c r="G961" i="13"/>
  <c r="B961" i="13" s="1"/>
  <c r="F961" i="13"/>
  <c r="E961" i="13"/>
  <c r="D961" i="13"/>
  <c r="R960" i="13"/>
  <c r="M960" i="13"/>
  <c r="L960" i="13"/>
  <c r="J960" i="13"/>
  <c r="I960" i="13"/>
  <c r="G960" i="13"/>
  <c r="B960" i="13" s="1"/>
  <c r="F960" i="13"/>
  <c r="E960" i="13"/>
  <c r="D960" i="13"/>
  <c r="R959" i="13"/>
  <c r="M959" i="13"/>
  <c r="L959" i="13"/>
  <c r="J959" i="13"/>
  <c r="I959" i="13"/>
  <c r="G959" i="13"/>
  <c r="B959" i="13" s="1"/>
  <c r="F959" i="13"/>
  <c r="E959" i="13"/>
  <c r="D959" i="13"/>
  <c r="R958" i="13"/>
  <c r="M958" i="13"/>
  <c r="L958" i="13"/>
  <c r="J958" i="13"/>
  <c r="I958" i="13"/>
  <c r="G958" i="13"/>
  <c r="B958" i="13" s="1"/>
  <c r="F958" i="13"/>
  <c r="E958" i="13"/>
  <c r="D958" i="13"/>
  <c r="R957" i="13"/>
  <c r="M957" i="13"/>
  <c r="L957" i="13"/>
  <c r="J957" i="13"/>
  <c r="I957" i="13"/>
  <c r="G957" i="13"/>
  <c r="B957" i="13" s="1"/>
  <c r="F957" i="13"/>
  <c r="E957" i="13"/>
  <c r="D957" i="13"/>
  <c r="R956" i="13"/>
  <c r="M956" i="13"/>
  <c r="L956" i="13"/>
  <c r="J956" i="13"/>
  <c r="I956" i="13"/>
  <c r="G956" i="13"/>
  <c r="B956" i="13" s="1"/>
  <c r="F956" i="13"/>
  <c r="E956" i="13"/>
  <c r="D956" i="13"/>
  <c r="R955" i="13"/>
  <c r="M955" i="13"/>
  <c r="L955" i="13"/>
  <c r="J955" i="13"/>
  <c r="I955" i="13"/>
  <c r="G955" i="13"/>
  <c r="B955" i="13" s="1"/>
  <c r="F955" i="13"/>
  <c r="E955" i="13"/>
  <c r="D955" i="13"/>
  <c r="R954" i="13"/>
  <c r="M954" i="13"/>
  <c r="L954" i="13"/>
  <c r="J954" i="13"/>
  <c r="I954" i="13"/>
  <c r="G954" i="13"/>
  <c r="B954" i="13" s="1"/>
  <c r="F954" i="13"/>
  <c r="E954" i="13"/>
  <c r="D954" i="13"/>
  <c r="R953" i="13"/>
  <c r="M953" i="13"/>
  <c r="L953" i="13"/>
  <c r="J953" i="13"/>
  <c r="I953" i="13"/>
  <c r="G953" i="13"/>
  <c r="B953" i="13" s="1"/>
  <c r="F953" i="13"/>
  <c r="E953" i="13"/>
  <c r="D953" i="13"/>
  <c r="R952" i="13"/>
  <c r="M952" i="13"/>
  <c r="L952" i="13"/>
  <c r="J952" i="13"/>
  <c r="I952" i="13"/>
  <c r="G952" i="13"/>
  <c r="B952" i="13" s="1"/>
  <c r="F952" i="13"/>
  <c r="E952" i="13"/>
  <c r="D952" i="13"/>
  <c r="R951" i="13"/>
  <c r="M951" i="13"/>
  <c r="L951" i="13"/>
  <c r="J951" i="13"/>
  <c r="I951" i="13"/>
  <c r="G951" i="13"/>
  <c r="B951" i="13" s="1"/>
  <c r="F951" i="13"/>
  <c r="E951" i="13"/>
  <c r="D951" i="13"/>
  <c r="R950" i="13"/>
  <c r="M950" i="13"/>
  <c r="L950" i="13"/>
  <c r="J950" i="13"/>
  <c r="I950" i="13"/>
  <c r="G950" i="13"/>
  <c r="B950" i="13" s="1"/>
  <c r="F950" i="13"/>
  <c r="E950" i="13"/>
  <c r="D950" i="13"/>
  <c r="R949" i="13"/>
  <c r="M949" i="13"/>
  <c r="L949" i="13"/>
  <c r="J949" i="13"/>
  <c r="I949" i="13"/>
  <c r="G949" i="13"/>
  <c r="B949" i="13" s="1"/>
  <c r="F949" i="13"/>
  <c r="E949" i="13"/>
  <c r="D949" i="13"/>
  <c r="R948" i="13"/>
  <c r="M948" i="13"/>
  <c r="L948" i="13"/>
  <c r="J948" i="13"/>
  <c r="I948" i="13"/>
  <c r="G948" i="13"/>
  <c r="B948" i="13" s="1"/>
  <c r="F948" i="13"/>
  <c r="E948" i="13"/>
  <c r="D948" i="13"/>
  <c r="R947" i="13"/>
  <c r="M947" i="13"/>
  <c r="L947" i="13"/>
  <c r="J947" i="13"/>
  <c r="I947" i="13"/>
  <c r="G947" i="13"/>
  <c r="B947" i="13" s="1"/>
  <c r="F947" i="13"/>
  <c r="E947" i="13"/>
  <c r="D947" i="13"/>
  <c r="R946" i="13"/>
  <c r="M946" i="13"/>
  <c r="L946" i="13"/>
  <c r="J946" i="13"/>
  <c r="I946" i="13"/>
  <c r="G946" i="13"/>
  <c r="B946" i="13" s="1"/>
  <c r="F946" i="13"/>
  <c r="E946" i="13"/>
  <c r="D946" i="13"/>
  <c r="R945" i="13"/>
  <c r="M945" i="13"/>
  <c r="L945" i="13"/>
  <c r="J945" i="13"/>
  <c r="I945" i="13"/>
  <c r="G945" i="13"/>
  <c r="B945" i="13" s="1"/>
  <c r="F945" i="13"/>
  <c r="E945" i="13"/>
  <c r="D945" i="13"/>
  <c r="R944" i="13"/>
  <c r="M944" i="13"/>
  <c r="L944" i="13"/>
  <c r="J944" i="13"/>
  <c r="I944" i="13"/>
  <c r="G944" i="13"/>
  <c r="B944" i="13" s="1"/>
  <c r="F944" i="13"/>
  <c r="E944" i="13"/>
  <c r="D944" i="13"/>
  <c r="R943" i="13"/>
  <c r="M943" i="13"/>
  <c r="L943" i="13"/>
  <c r="J943" i="13"/>
  <c r="I943" i="13"/>
  <c r="G943" i="13"/>
  <c r="B943" i="13" s="1"/>
  <c r="F943" i="13"/>
  <c r="E943" i="13"/>
  <c r="D943" i="13"/>
  <c r="R942" i="13"/>
  <c r="M942" i="13"/>
  <c r="L942" i="13"/>
  <c r="J942" i="13"/>
  <c r="I942" i="13"/>
  <c r="G942" i="13"/>
  <c r="B942" i="13" s="1"/>
  <c r="F942" i="13"/>
  <c r="E942" i="13"/>
  <c r="D942" i="13"/>
  <c r="R941" i="13"/>
  <c r="M941" i="13"/>
  <c r="L941" i="13"/>
  <c r="J941" i="13"/>
  <c r="I941" i="13"/>
  <c r="G941" i="13"/>
  <c r="B941" i="13" s="1"/>
  <c r="F941" i="13"/>
  <c r="E941" i="13"/>
  <c r="D941" i="13"/>
  <c r="R940" i="13"/>
  <c r="M940" i="13"/>
  <c r="L940" i="13"/>
  <c r="J940" i="13"/>
  <c r="I940" i="13"/>
  <c r="G940" i="13"/>
  <c r="B940" i="13" s="1"/>
  <c r="F940" i="13"/>
  <c r="E940" i="13"/>
  <c r="D940" i="13"/>
  <c r="R939" i="13"/>
  <c r="M939" i="13"/>
  <c r="L939" i="13"/>
  <c r="J939" i="13"/>
  <c r="I939" i="13"/>
  <c r="G939" i="13"/>
  <c r="B939" i="13" s="1"/>
  <c r="F939" i="13"/>
  <c r="E939" i="13"/>
  <c r="D939" i="13"/>
  <c r="R938" i="13"/>
  <c r="M938" i="13"/>
  <c r="L938" i="13"/>
  <c r="J938" i="13"/>
  <c r="I938" i="13"/>
  <c r="G938" i="13"/>
  <c r="B938" i="13" s="1"/>
  <c r="F938" i="13"/>
  <c r="E938" i="13"/>
  <c r="D938" i="13"/>
  <c r="R937" i="13"/>
  <c r="M937" i="13"/>
  <c r="L937" i="13"/>
  <c r="J937" i="13"/>
  <c r="I937" i="13"/>
  <c r="G937" i="13"/>
  <c r="B937" i="13" s="1"/>
  <c r="F937" i="13"/>
  <c r="E937" i="13"/>
  <c r="D937" i="13"/>
  <c r="R936" i="13"/>
  <c r="M936" i="13"/>
  <c r="L936" i="13"/>
  <c r="J936" i="13"/>
  <c r="I936" i="13"/>
  <c r="G936" i="13"/>
  <c r="B936" i="13" s="1"/>
  <c r="F936" i="13"/>
  <c r="E936" i="13"/>
  <c r="D936" i="13"/>
  <c r="R935" i="13"/>
  <c r="M935" i="13"/>
  <c r="L935" i="13"/>
  <c r="J935" i="13"/>
  <c r="I935" i="13"/>
  <c r="G935" i="13"/>
  <c r="B935" i="13" s="1"/>
  <c r="F935" i="13"/>
  <c r="E935" i="13"/>
  <c r="D935" i="13"/>
  <c r="R934" i="13"/>
  <c r="M934" i="13"/>
  <c r="L934" i="13"/>
  <c r="J934" i="13"/>
  <c r="I934" i="13"/>
  <c r="G934" i="13"/>
  <c r="B934" i="13" s="1"/>
  <c r="F934" i="13"/>
  <c r="E934" i="13"/>
  <c r="D934" i="13"/>
  <c r="R933" i="13"/>
  <c r="M933" i="13"/>
  <c r="L933" i="13"/>
  <c r="J933" i="13"/>
  <c r="I933" i="13"/>
  <c r="G933" i="13"/>
  <c r="B933" i="13" s="1"/>
  <c r="F933" i="13"/>
  <c r="E933" i="13"/>
  <c r="D933" i="13"/>
  <c r="R932" i="13"/>
  <c r="M932" i="13"/>
  <c r="L932" i="13"/>
  <c r="J932" i="13"/>
  <c r="I932" i="13"/>
  <c r="G932" i="13"/>
  <c r="B932" i="13" s="1"/>
  <c r="F932" i="13"/>
  <c r="E932" i="13"/>
  <c r="D932" i="13"/>
  <c r="R931" i="13"/>
  <c r="M931" i="13"/>
  <c r="L931" i="13"/>
  <c r="J931" i="13"/>
  <c r="I931" i="13"/>
  <c r="G931" i="13"/>
  <c r="B931" i="13" s="1"/>
  <c r="F931" i="13"/>
  <c r="E931" i="13"/>
  <c r="D931" i="13"/>
  <c r="R930" i="13"/>
  <c r="M930" i="13"/>
  <c r="L930" i="13"/>
  <c r="J930" i="13"/>
  <c r="I930" i="13"/>
  <c r="G930" i="13"/>
  <c r="B930" i="13" s="1"/>
  <c r="F930" i="13"/>
  <c r="E930" i="13"/>
  <c r="D930" i="13"/>
  <c r="R929" i="13"/>
  <c r="M929" i="13"/>
  <c r="L929" i="13"/>
  <c r="J929" i="13"/>
  <c r="I929" i="13"/>
  <c r="G929" i="13"/>
  <c r="B929" i="13" s="1"/>
  <c r="F929" i="13"/>
  <c r="E929" i="13"/>
  <c r="D929" i="13"/>
  <c r="R928" i="13"/>
  <c r="M928" i="13"/>
  <c r="L928" i="13"/>
  <c r="J928" i="13"/>
  <c r="I928" i="13"/>
  <c r="G928" i="13"/>
  <c r="B928" i="13" s="1"/>
  <c r="F928" i="13"/>
  <c r="E928" i="13"/>
  <c r="D928" i="13"/>
  <c r="R927" i="13"/>
  <c r="M927" i="13"/>
  <c r="L927" i="13"/>
  <c r="J927" i="13"/>
  <c r="I927" i="13"/>
  <c r="G927" i="13"/>
  <c r="B927" i="13" s="1"/>
  <c r="F927" i="13"/>
  <c r="E927" i="13"/>
  <c r="D927" i="13"/>
  <c r="R926" i="13"/>
  <c r="M926" i="13"/>
  <c r="L926" i="13"/>
  <c r="J926" i="13"/>
  <c r="I926" i="13"/>
  <c r="G926" i="13"/>
  <c r="B926" i="13" s="1"/>
  <c r="F926" i="13"/>
  <c r="E926" i="13"/>
  <c r="D926" i="13"/>
  <c r="R925" i="13"/>
  <c r="M925" i="13"/>
  <c r="L925" i="13"/>
  <c r="J925" i="13"/>
  <c r="I925" i="13"/>
  <c r="G925" i="13"/>
  <c r="B925" i="13" s="1"/>
  <c r="F925" i="13"/>
  <c r="E925" i="13"/>
  <c r="D925" i="13"/>
  <c r="R924" i="13"/>
  <c r="M924" i="13"/>
  <c r="L924" i="13"/>
  <c r="J924" i="13"/>
  <c r="I924" i="13"/>
  <c r="G924" i="13"/>
  <c r="B924" i="13" s="1"/>
  <c r="F924" i="13"/>
  <c r="E924" i="13"/>
  <c r="D924" i="13"/>
  <c r="R923" i="13"/>
  <c r="M923" i="13"/>
  <c r="L923" i="13"/>
  <c r="J923" i="13"/>
  <c r="I923" i="13"/>
  <c r="G923" i="13"/>
  <c r="B923" i="13" s="1"/>
  <c r="F923" i="13"/>
  <c r="E923" i="13"/>
  <c r="D923" i="13"/>
  <c r="R922" i="13"/>
  <c r="M922" i="13"/>
  <c r="L922" i="13"/>
  <c r="J922" i="13"/>
  <c r="I922" i="13"/>
  <c r="G922" i="13"/>
  <c r="B922" i="13" s="1"/>
  <c r="F922" i="13"/>
  <c r="E922" i="13"/>
  <c r="D922" i="13"/>
  <c r="R921" i="13"/>
  <c r="M921" i="13"/>
  <c r="L921" i="13"/>
  <c r="J921" i="13"/>
  <c r="I921" i="13"/>
  <c r="G921" i="13"/>
  <c r="B921" i="13" s="1"/>
  <c r="F921" i="13"/>
  <c r="E921" i="13"/>
  <c r="D921" i="13"/>
  <c r="R920" i="13"/>
  <c r="M920" i="13"/>
  <c r="L920" i="13"/>
  <c r="J920" i="13"/>
  <c r="I920" i="13"/>
  <c r="G920" i="13"/>
  <c r="B920" i="13" s="1"/>
  <c r="F920" i="13"/>
  <c r="E920" i="13"/>
  <c r="D920" i="13"/>
  <c r="R919" i="13"/>
  <c r="M919" i="13"/>
  <c r="L919" i="13"/>
  <c r="J919" i="13"/>
  <c r="I919" i="13"/>
  <c r="G919" i="13"/>
  <c r="B919" i="13" s="1"/>
  <c r="F919" i="13"/>
  <c r="E919" i="13"/>
  <c r="D919" i="13"/>
  <c r="R918" i="13"/>
  <c r="M918" i="13"/>
  <c r="L918" i="13"/>
  <c r="J918" i="13"/>
  <c r="I918" i="13"/>
  <c r="G918" i="13"/>
  <c r="B918" i="13" s="1"/>
  <c r="F918" i="13"/>
  <c r="E918" i="13"/>
  <c r="D918" i="13"/>
  <c r="R917" i="13"/>
  <c r="M917" i="13"/>
  <c r="L917" i="13"/>
  <c r="J917" i="13"/>
  <c r="I917" i="13"/>
  <c r="G917" i="13"/>
  <c r="B917" i="13" s="1"/>
  <c r="F917" i="13"/>
  <c r="E917" i="13"/>
  <c r="D917" i="13"/>
  <c r="R916" i="13"/>
  <c r="M916" i="13"/>
  <c r="L916" i="13"/>
  <c r="J916" i="13"/>
  <c r="I916" i="13"/>
  <c r="G916" i="13"/>
  <c r="B916" i="13" s="1"/>
  <c r="F916" i="13"/>
  <c r="E916" i="13"/>
  <c r="D916" i="13"/>
  <c r="R915" i="13"/>
  <c r="M915" i="13"/>
  <c r="L915" i="13"/>
  <c r="J915" i="13"/>
  <c r="I915" i="13"/>
  <c r="G915" i="13"/>
  <c r="B915" i="13" s="1"/>
  <c r="F915" i="13"/>
  <c r="E915" i="13"/>
  <c r="D915" i="13"/>
  <c r="R914" i="13"/>
  <c r="M914" i="13"/>
  <c r="L914" i="13"/>
  <c r="J914" i="13"/>
  <c r="I914" i="13"/>
  <c r="G914" i="13"/>
  <c r="B914" i="13" s="1"/>
  <c r="F914" i="13"/>
  <c r="E914" i="13"/>
  <c r="D914" i="13"/>
  <c r="R913" i="13"/>
  <c r="M913" i="13"/>
  <c r="L913" i="13"/>
  <c r="J913" i="13"/>
  <c r="I913" i="13"/>
  <c r="G913" i="13"/>
  <c r="B913" i="13" s="1"/>
  <c r="F913" i="13"/>
  <c r="E913" i="13"/>
  <c r="D913" i="13"/>
  <c r="R912" i="13"/>
  <c r="M912" i="13"/>
  <c r="L912" i="13"/>
  <c r="J912" i="13"/>
  <c r="I912" i="13"/>
  <c r="G912" i="13"/>
  <c r="B912" i="13" s="1"/>
  <c r="F912" i="13"/>
  <c r="E912" i="13"/>
  <c r="D912" i="13"/>
  <c r="R911" i="13"/>
  <c r="M911" i="13"/>
  <c r="L911" i="13"/>
  <c r="J911" i="13"/>
  <c r="I911" i="13"/>
  <c r="G911" i="13"/>
  <c r="B911" i="13" s="1"/>
  <c r="F911" i="13"/>
  <c r="E911" i="13"/>
  <c r="D911" i="13"/>
  <c r="R910" i="13"/>
  <c r="M910" i="13"/>
  <c r="L910" i="13"/>
  <c r="J910" i="13"/>
  <c r="I910" i="13"/>
  <c r="G910" i="13"/>
  <c r="B910" i="13" s="1"/>
  <c r="F910" i="13"/>
  <c r="E910" i="13"/>
  <c r="D910" i="13"/>
  <c r="R909" i="13"/>
  <c r="M909" i="13"/>
  <c r="L909" i="13"/>
  <c r="J909" i="13"/>
  <c r="I909" i="13"/>
  <c r="G909" i="13"/>
  <c r="B909" i="13" s="1"/>
  <c r="F909" i="13"/>
  <c r="E909" i="13"/>
  <c r="D909" i="13"/>
  <c r="R908" i="13"/>
  <c r="M908" i="13"/>
  <c r="L908" i="13"/>
  <c r="J908" i="13"/>
  <c r="I908" i="13"/>
  <c r="G908" i="13"/>
  <c r="B908" i="13" s="1"/>
  <c r="F908" i="13"/>
  <c r="E908" i="13"/>
  <c r="D908" i="13"/>
  <c r="R907" i="13"/>
  <c r="M907" i="13"/>
  <c r="L907" i="13"/>
  <c r="J907" i="13"/>
  <c r="I907" i="13"/>
  <c r="G907" i="13"/>
  <c r="B907" i="13" s="1"/>
  <c r="F907" i="13"/>
  <c r="E907" i="13"/>
  <c r="D907" i="13"/>
  <c r="R906" i="13"/>
  <c r="M906" i="13"/>
  <c r="L906" i="13"/>
  <c r="J906" i="13"/>
  <c r="I906" i="13"/>
  <c r="G906" i="13"/>
  <c r="B906" i="13" s="1"/>
  <c r="F906" i="13"/>
  <c r="E906" i="13"/>
  <c r="D906" i="13"/>
  <c r="R905" i="13"/>
  <c r="M905" i="13"/>
  <c r="L905" i="13"/>
  <c r="J905" i="13"/>
  <c r="I905" i="13"/>
  <c r="G905" i="13"/>
  <c r="B905" i="13" s="1"/>
  <c r="F905" i="13"/>
  <c r="E905" i="13"/>
  <c r="D905" i="13"/>
  <c r="R904" i="13"/>
  <c r="M904" i="13"/>
  <c r="L904" i="13"/>
  <c r="J904" i="13"/>
  <c r="I904" i="13"/>
  <c r="G904" i="13"/>
  <c r="B904" i="13" s="1"/>
  <c r="F904" i="13"/>
  <c r="E904" i="13"/>
  <c r="D904" i="13"/>
  <c r="R903" i="13"/>
  <c r="M903" i="13"/>
  <c r="L903" i="13"/>
  <c r="J903" i="13"/>
  <c r="I903" i="13"/>
  <c r="G903" i="13"/>
  <c r="B903" i="13" s="1"/>
  <c r="F903" i="13"/>
  <c r="E903" i="13"/>
  <c r="D903" i="13"/>
  <c r="R902" i="13"/>
  <c r="M902" i="13"/>
  <c r="L902" i="13"/>
  <c r="J902" i="13"/>
  <c r="I902" i="13"/>
  <c r="G902" i="13"/>
  <c r="B902" i="13" s="1"/>
  <c r="F902" i="13"/>
  <c r="E902" i="13"/>
  <c r="D902" i="13"/>
  <c r="R901" i="13"/>
  <c r="M901" i="13"/>
  <c r="L901" i="13"/>
  <c r="J901" i="13"/>
  <c r="I901" i="13"/>
  <c r="G901" i="13"/>
  <c r="B901" i="13" s="1"/>
  <c r="F901" i="13"/>
  <c r="E901" i="13"/>
  <c r="D901" i="13"/>
  <c r="R900" i="13"/>
  <c r="M900" i="13"/>
  <c r="L900" i="13"/>
  <c r="J900" i="13"/>
  <c r="I900" i="13"/>
  <c r="G900" i="13"/>
  <c r="B900" i="13" s="1"/>
  <c r="F900" i="13"/>
  <c r="E900" i="13"/>
  <c r="D900" i="13"/>
  <c r="R899" i="13"/>
  <c r="M899" i="13"/>
  <c r="L899" i="13"/>
  <c r="J899" i="13"/>
  <c r="I899" i="13"/>
  <c r="G899" i="13"/>
  <c r="B899" i="13" s="1"/>
  <c r="F899" i="13"/>
  <c r="E899" i="13"/>
  <c r="D899" i="13"/>
  <c r="R898" i="13"/>
  <c r="M898" i="13"/>
  <c r="L898" i="13"/>
  <c r="J898" i="13"/>
  <c r="I898" i="13"/>
  <c r="G898" i="13"/>
  <c r="B898" i="13" s="1"/>
  <c r="F898" i="13"/>
  <c r="E898" i="13"/>
  <c r="D898" i="13"/>
  <c r="R897" i="13"/>
  <c r="M897" i="13"/>
  <c r="L897" i="13"/>
  <c r="J897" i="13"/>
  <c r="I897" i="13"/>
  <c r="G897" i="13"/>
  <c r="B897" i="13" s="1"/>
  <c r="F897" i="13"/>
  <c r="E897" i="13"/>
  <c r="D897" i="13"/>
  <c r="R896" i="13"/>
  <c r="M896" i="13"/>
  <c r="L896" i="13"/>
  <c r="J896" i="13"/>
  <c r="I896" i="13"/>
  <c r="G896" i="13"/>
  <c r="B896" i="13" s="1"/>
  <c r="F896" i="13"/>
  <c r="E896" i="13"/>
  <c r="D896" i="13"/>
  <c r="R895" i="13"/>
  <c r="M895" i="13"/>
  <c r="L895" i="13"/>
  <c r="J895" i="13"/>
  <c r="I895" i="13"/>
  <c r="G895" i="13"/>
  <c r="B895" i="13" s="1"/>
  <c r="F895" i="13"/>
  <c r="E895" i="13"/>
  <c r="D895" i="13"/>
  <c r="R894" i="13"/>
  <c r="M894" i="13"/>
  <c r="L894" i="13"/>
  <c r="J894" i="13"/>
  <c r="I894" i="13"/>
  <c r="G894" i="13"/>
  <c r="B894" i="13" s="1"/>
  <c r="F894" i="13"/>
  <c r="E894" i="13"/>
  <c r="D894" i="13"/>
  <c r="R893" i="13"/>
  <c r="M893" i="13"/>
  <c r="L893" i="13"/>
  <c r="J893" i="13"/>
  <c r="I893" i="13"/>
  <c r="G893" i="13"/>
  <c r="B893" i="13" s="1"/>
  <c r="F893" i="13"/>
  <c r="E893" i="13"/>
  <c r="D893" i="13"/>
  <c r="R892" i="13"/>
  <c r="M892" i="13"/>
  <c r="L892" i="13"/>
  <c r="J892" i="13"/>
  <c r="I892" i="13"/>
  <c r="G892" i="13"/>
  <c r="B892" i="13" s="1"/>
  <c r="F892" i="13"/>
  <c r="E892" i="13"/>
  <c r="D892" i="13"/>
  <c r="R891" i="13"/>
  <c r="M891" i="13"/>
  <c r="L891" i="13"/>
  <c r="J891" i="13"/>
  <c r="I891" i="13"/>
  <c r="G891" i="13"/>
  <c r="B891" i="13" s="1"/>
  <c r="F891" i="13"/>
  <c r="E891" i="13"/>
  <c r="D891" i="13"/>
  <c r="R890" i="13"/>
  <c r="M890" i="13"/>
  <c r="L890" i="13"/>
  <c r="J890" i="13"/>
  <c r="I890" i="13"/>
  <c r="G890" i="13"/>
  <c r="B890" i="13" s="1"/>
  <c r="F890" i="13"/>
  <c r="E890" i="13"/>
  <c r="D890" i="13"/>
  <c r="R889" i="13"/>
  <c r="M889" i="13"/>
  <c r="L889" i="13"/>
  <c r="J889" i="13"/>
  <c r="I889" i="13"/>
  <c r="G889" i="13"/>
  <c r="B889" i="13" s="1"/>
  <c r="F889" i="13"/>
  <c r="E889" i="13"/>
  <c r="D889" i="13"/>
  <c r="R888" i="13"/>
  <c r="M888" i="13"/>
  <c r="L888" i="13"/>
  <c r="J888" i="13"/>
  <c r="I888" i="13"/>
  <c r="G888" i="13"/>
  <c r="B888" i="13" s="1"/>
  <c r="F888" i="13"/>
  <c r="E888" i="13"/>
  <c r="D888" i="13"/>
  <c r="R887" i="13"/>
  <c r="M887" i="13"/>
  <c r="L887" i="13"/>
  <c r="J887" i="13"/>
  <c r="I887" i="13"/>
  <c r="G887" i="13"/>
  <c r="B887" i="13" s="1"/>
  <c r="F887" i="13"/>
  <c r="E887" i="13"/>
  <c r="D887" i="13"/>
  <c r="R886" i="13"/>
  <c r="M886" i="13"/>
  <c r="L886" i="13"/>
  <c r="J886" i="13"/>
  <c r="I886" i="13"/>
  <c r="G886" i="13"/>
  <c r="B886" i="13" s="1"/>
  <c r="F886" i="13"/>
  <c r="E886" i="13"/>
  <c r="D886" i="13"/>
  <c r="R885" i="13"/>
  <c r="M885" i="13"/>
  <c r="L885" i="13"/>
  <c r="J885" i="13"/>
  <c r="I885" i="13"/>
  <c r="G885" i="13"/>
  <c r="B885" i="13" s="1"/>
  <c r="F885" i="13"/>
  <c r="E885" i="13"/>
  <c r="D885" i="13"/>
  <c r="R884" i="13"/>
  <c r="M884" i="13"/>
  <c r="L884" i="13"/>
  <c r="J884" i="13"/>
  <c r="I884" i="13"/>
  <c r="G884" i="13"/>
  <c r="B884" i="13" s="1"/>
  <c r="F884" i="13"/>
  <c r="E884" i="13"/>
  <c r="D884" i="13"/>
  <c r="R883" i="13"/>
  <c r="M883" i="13"/>
  <c r="L883" i="13"/>
  <c r="J883" i="13"/>
  <c r="I883" i="13"/>
  <c r="G883" i="13"/>
  <c r="B883" i="13" s="1"/>
  <c r="F883" i="13"/>
  <c r="E883" i="13"/>
  <c r="D883" i="13"/>
  <c r="R882" i="13"/>
  <c r="M882" i="13"/>
  <c r="L882" i="13"/>
  <c r="J882" i="13"/>
  <c r="I882" i="13"/>
  <c r="G882" i="13"/>
  <c r="B882" i="13" s="1"/>
  <c r="F882" i="13"/>
  <c r="E882" i="13"/>
  <c r="D882" i="13"/>
  <c r="R881" i="13"/>
  <c r="M881" i="13"/>
  <c r="L881" i="13"/>
  <c r="J881" i="13"/>
  <c r="I881" i="13"/>
  <c r="G881" i="13"/>
  <c r="B881" i="13" s="1"/>
  <c r="F881" i="13"/>
  <c r="E881" i="13"/>
  <c r="D881" i="13"/>
  <c r="R880" i="13"/>
  <c r="M880" i="13"/>
  <c r="L880" i="13"/>
  <c r="J880" i="13"/>
  <c r="I880" i="13"/>
  <c r="G880" i="13"/>
  <c r="B880" i="13" s="1"/>
  <c r="F880" i="13"/>
  <c r="E880" i="13"/>
  <c r="D880" i="13"/>
  <c r="R879" i="13"/>
  <c r="M879" i="13"/>
  <c r="L879" i="13"/>
  <c r="J879" i="13"/>
  <c r="I879" i="13"/>
  <c r="G879" i="13"/>
  <c r="B879" i="13" s="1"/>
  <c r="F879" i="13"/>
  <c r="E879" i="13"/>
  <c r="D879" i="13"/>
  <c r="R878" i="13"/>
  <c r="M878" i="13"/>
  <c r="L878" i="13"/>
  <c r="J878" i="13"/>
  <c r="I878" i="13"/>
  <c r="G878" i="13"/>
  <c r="B878" i="13" s="1"/>
  <c r="F878" i="13"/>
  <c r="E878" i="13"/>
  <c r="D878" i="13"/>
  <c r="R877" i="13"/>
  <c r="M877" i="13"/>
  <c r="L877" i="13"/>
  <c r="J877" i="13"/>
  <c r="I877" i="13"/>
  <c r="G877" i="13"/>
  <c r="B877" i="13" s="1"/>
  <c r="F877" i="13"/>
  <c r="E877" i="13"/>
  <c r="D877" i="13"/>
  <c r="R876" i="13"/>
  <c r="M876" i="13"/>
  <c r="L876" i="13"/>
  <c r="J876" i="13"/>
  <c r="I876" i="13"/>
  <c r="G876" i="13"/>
  <c r="B876" i="13" s="1"/>
  <c r="F876" i="13"/>
  <c r="E876" i="13"/>
  <c r="D876" i="13"/>
  <c r="R875" i="13"/>
  <c r="M875" i="13"/>
  <c r="L875" i="13"/>
  <c r="J875" i="13"/>
  <c r="I875" i="13"/>
  <c r="G875" i="13"/>
  <c r="B875" i="13" s="1"/>
  <c r="F875" i="13"/>
  <c r="E875" i="13"/>
  <c r="D875" i="13"/>
  <c r="R874" i="13"/>
  <c r="M874" i="13"/>
  <c r="L874" i="13"/>
  <c r="J874" i="13"/>
  <c r="I874" i="13"/>
  <c r="G874" i="13"/>
  <c r="B874" i="13" s="1"/>
  <c r="F874" i="13"/>
  <c r="E874" i="13"/>
  <c r="D874" i="13"/>
  <c r="R873" i="13"/>
  <c r="M873" i="13"/>
  <c r="L873" i="13"/>
  <c r="J873" i="13"/>
  <c r="I873" i="13"/>
  <c r="G873" i="13"/>
  <c r="B873" i="13" s="1"/>
  <c r="F873" i="13"/>
  <c r="E873" i="13"/>
  <c r="D873" i="13"/>
  <c r="R872" i="13"/>
  <c r="M872" i="13"/>
  <c r="L872" i="13"/>
  <c r="J872" i="13"/>
  <c r="I872" i="13"/>
  <c r="G872" i="13"/>
  <c r="B872" i="13" s="1"/>
  <c r="F872" i="13"/>
  <c r="E872" i="13"/>
  <c r="D872" i="13"/>
  <c r="R871" i="13"/>
  <c r="M871" i="13"/>
  <c r="L871" i="13"/>
  <c r="J871" i="13"/>
  <c r="I871" i="13"/>
  <c r="G871" i="13"/>
  <c r="B871" i="13" s="1"/>
  <c r="F871" i="13"/>
  <c r="E871" i="13"/>
  <c r="D871" i="13"/>
  <c r="R870" i="13"/>
  <c r="M870" i="13"/>
  <c r="L870" i="13"/>
  <c r="J870" i="13"/>
  <c r="I870" i="13"/>
  <c r="G870" i="13"/>
  <c r="B870" i="13" s="1"/>
  <c r="F870" i="13"/>
  <c r="E870" i="13"/>
  <c r="D870" i="13"/>
  <c r="R869" i="13"/>
  <c r="M869" i="13"/>
  <c r="L869" i="13"/>
  <c r="J869" i="13"/>
  <c r="I869" i="13"/>
  <c r="G869" i="13"/>
  <c r="B869" i="13" s="1"/>
  <c r="F869" i="13"/>
  <c r="E869" i="13"/>
  <c r="D869" i="13"/>
  <c r="R868" i="13"/>
  <c r="M868" i="13"/>
  <c r="L868" i="13"/>
  <c r="J868" i="13"/>
  <c r="I868" i="13"/>
  <c r="G868" i="13"/>
  <c r="B868" i="13" s="1"/>
  <c r="F868" i="13"/>
  <c r="E868" i="13"/>
  <c r="D868" i="13"/>
  <c r="R867" i="13"/>
  <c r="M867" i="13"/>
  <c r="L867" i="13"/>
  <c r="J867" i="13"/>
  <c r="I867" i="13"/>
  <c r="G867" i="13"/>
  <c r="B867" i="13" s="1"/>
  <c r="F867" i="13"/>
  <c r="E867" i="13"/>
  <c r="D867" i="13"/>
  <c r="R866" i="13"/>
  <c r="M866" i="13"/>
  <c r="L866" i="13"/>
  <c r="J866" i="13"/>
  <c r="I866" i="13"/>
  <c r="G866" i="13"/>
  <c r="B866" i="13" s="1"/>
  <c r="F866" i="13"/>
  <c r="E866" i="13"/>
  <c r="D866" i="13"/>
  <c r="R865" i="13"/>
  <c r="M865" i="13"/>
  <c r="L865" i="13"/>
  <c r="J865" i="13"/>
  <c r="I865" i="13"/>
  <c r="G865" i="13"/>
  <c r="B865" i="13" s="1"/>
  <c r="F865" i="13"/>
  <c r="E865" i="13"/>
  <c r="D865" i="13"/>
  <c r="R864" i="13"/>
  <c r="M864" i="13"/>
  <c r="L864" i="13"/>
  <c r="J864" i="13"/>
  <c r="I864" i="13"/>
  <c r="G864" i="13"/>
  <c r="B864" i="13" s="1"/>
  <c r="F864" i="13"/>
  <c r="E864" i="13"/>
  <c r="D864" i="13"/>
  <c r="R863" i="13"/>
  <c r="M863" i="13"/>
  <c r="L863" i="13"/>
  <c r="J863" i="13"/>
  <c r="I863" i="13"/>
  <c r="G863" i="13"/>
  <c r="B863" i="13" s="1"/>
  <c r="F863" i="13"/>
  <c r="E863" i="13"/>
  <c r="D863" i="13"/>
  <c r="R862" i="13"/>
  <c r="M862" i="13"/>
  <c r="L862" i="13"/>
  <c r="J862" i="13"/>
  <c r="I862" i="13"/>
  <c r="G862" i="13"/>
  <c r="B862" i="13" s="1"/>
  <c r="F862" i="13"/>
  <c r="E862" i="13"/>
  <c r="D862" i="13"/>
  <c r="R861" i="13"/>
  <c r="M861" i="13"/>
  <c r="L861" i="13"/>
  <c r="J861" i="13"/>
  <c r="I861" i="13"/>
  <c r="G861" i="13"/>
  <c r="B861" i="13" s="1"/>
  <c r="F861" i="13"/>
  <c r="E861" i="13"/>
  <c r="D861" i="13"/>
  <c r="R860" i="13"/>
  <c r="M860" i="13"/>
  <c r="L860" i="13"/>
  <c r="J860" i="13"/>
  <c r="I860" i="13"/>
  <c r="G860" i="13"/>
  <c r="B860" i="13" s="1"/>
  <c r="F860" i="13"/>
  <c r="E860" i="13"/>
  <c r="D860" i="13"/>
  <c r="R859" i="13"/>
  <c r="M859" i="13"/>
  <c r="L859" i="13"/>
  <c r="J859" i="13"/>
  <c r="I859" i="13"/>
  <c r="G859" i="13"/>
  <c r="B859" i="13" s="1"/>
  <c r="F859" i="13"/>
  <c r="E859" i="13"/>
  <c r="D859" i="13"/>
  <c r="R858" i="13"/>
  <c r="M858" i="13"/>
  <c r="L858" i="13"/>
  <c r="J858" i="13"/>
  <c r="I858" i="13"/>
  <c r="G858" i="13"/>
  <c r="B858" i="13" s="1"/>
  <c r="F858" i="13"/>
  <c r="E858" i="13"/>
  <c r="D858" i="13"/>
  <c r="R857" i="13"/>
  <c r="M857" i="13"/>
  <c r="L857" i="13"/>
  <c r="J857" i="13"/>
  <c r="I857" i="13"/>
  <c r="G857" i="13"/>
  <c r="B857" i="13" s="1"/>
  <c r="F857" i="13"/>
  <c r="E857" i="13"/>
  <c r="D857" i="13"/>
  <c r="R856" i="13"/>
  <c r="M856" i="13"/>
  <c r="L856" i="13"/>
  <c r="J856" i="13"/>
  <c r="I856" i="13"/>
  <c r="G856" i="13"/>
  <c r="B856" i="13" s="1"/>
  <c r="F856" i="13"/>
  <c r="E856" i="13"/>
  <c r="D856" i="13"/>
  <c r="R855" i="13"/>
  <c r="M855" i="13"/>
  <c r="L855" i="13"/>
  <c r="J855" i="13"/>
  <c r="I855" i="13"/>
  <c r="G855" i="13"/>
  <c r="B855" i="13" s="1"/>
  <c r="F855" i="13"/>
  <c r="E855" i="13"/>
  <c r="D855" i="13"/>
  <c r="R854" i="13"/>
  <c r="M854" i="13"/>
  <c r="L854" i="13"/>
  <c r="J854" i="13"/>
  <c r="I854" i="13"/>
  <c r="G854" i="13"/>
  <c r="B854" i="13" s="1"/>
  <c r="F854" i="13"/>
  <c r="E854" i="13"/>
  <c r="D854" i="13"/>
  <c r="R853" i="13"/>
  <c r="M853" i="13"/>
  <c r="L853" i="13"/>
  <c r="J853" i="13"/>
  <c r="I853" i="13"/>
  <c r="G853" i="13"/>
  <c r="B853" i="13" s="1"/>
  <c r="F853" i="13"/>
  <c r="E853" i="13"/>
  <c r="D853" i="13"/>
  <c r="R852" i="13"/>
  <c r="M852" i="13"/>
  <c r="L852" i="13"/>
  <c r="J852" i="13"/>
  <c r="I852" i="13"/>
  <c r="G852" i="13"/>
  <c r="B852" i="13" s="1"/>
  <c r="F852" i="13"/>
  <c r="E852" i="13"/>
  <c r="D852" i="13"/>
  <c r="R851" i="13"/>
  <c r="M851" i="13"/>
  <c r="L851" i="13"/>
  <c r="J851" i="13"/>
  <c r="I851" i="13"/>
  <c r="G851" i="13"/>
  <c r="B851" i="13" s="1"/>
  <c r="F851" i="13"/>
  <c r="E851" i="13"/>
  <c r="D851" i="13"/>
  <c r="R850" i="13"/>
  <c r="M850" i="13"/>
  <c r="L850" i="13"/>
  <c r="J850" i="13"/>
  <c r="I850" i="13"/>
  <c r="G850" i="13"/>
  <c r="B850" i="13" s="1"/>
  <c r="F850" i="13"/>
  <c r="E850" i="13"/>
  <c r="D850" i="13"/>
  <c r="R849" i="13"/>
  <c r="M849" i="13"/>
  <c r="L849" i="13"/>
  <c r="J849" i="13"/>
  <c r="I849" i="13"/>
  <c r="G849" i="13"/>
  <c r="B849" i="13" s="1"/>
  <c r="F849" i="13"/>
  <c r="E849" i="13"/>
  <c r="D849" i="13"/>
  <c r="R848" i="13"/>
  <c r="M848" i="13"/>
  <c r="L848" i="13"/>
  <c r="J848" i="13"/>
  <c r="I848" i="13"/>
  <c r="G848" i="13"/>
  <c r="B848" i="13" s="1"/>
  <c r="F848" i="13"/>
  <c r="E848" i="13"/>
  <c r="D848" i="13"/>
  <c r="R847" i="13"/>
  <c r="M847" i="13"/>
  <c r="L847" i="13"/>
  <c r="J847" i="13"/>
  <c r="I847" i="13"/>
  <c r="G847" i="13"/>
  <c r="B847" i="13" s="1"/>
  <c r="F847" i="13"/>
  <c r="E847" i="13"/>
  <c r="D847" i="13"/>
  <c r="R846" i="13"/>
  <c r="M846" i="13"/>
  <c r="L846" i="13"/>
  <c r="J846" i="13"/>
  <c r="I846" i="13"/>
  <c r="G846" i="13"/>
  <c r="B846" i="13" s="1"/>
  <c r="F846" i="13"/>
  <c r="E846" i="13"/>
  <c r="D846" i="13"/>
  <c r="R845" i="13"/>
  <c r="M845" i="13"/>
  <c r="L845" i="13"/>
  <c r="J845" i="13"/>
  <c r="I845" i="13"/>
  <c r="G845" i="13"/>
  <c r="B845" i="13" s="1"/>
  <c r="F845" i="13"/>
  <c r="E845" i="13"/>
  <c r="D845" i="13"/>
  <c r="R844" i="13"/>
  <c r="M844" i="13"/>
  <c r="L844" i="13"/>
  <c r="J844" i="13"/>
  <c r="I844" i="13"/>
  <c r="G844" i="13"/>
  <c r="B844" i="13" s="1"/>
  <c r="F844" i="13"/>
  <c r="E844" i="13"/>
  <c r="D844" i="13"/>
  <c r="R843" i="13"/>
  <c r="M843" i="13"/>
  <c r="L843" i="13"/>
  <c r="J843" i="13"/>
  <c r="I843" i="13"/>
  <c r="G843" i="13"/>
  <c r="B843" i="13" s="1"/>
  <c r="F843" i="13"/>
  <c r="E843" i="13"/>
  <c r="D843" i="13"/>
  <c r="R842" i="13"/>
  <c r="M842" i="13"/>
  <c r="L842" i="13"/>
  <c r="J842" i="13"/>
  <c r="I842" i="13"/>
  <c r="G842" i="13"/>
  <c r="B842" i="13" s="1"/>
  <c r="F842" i="13"/>
  <c r="E842" i="13"/>
  <c r="D842" i="13"/>
  <c r="R841" i="13"/>
  <c r="M841" i="13"/>
  <c r="L841" i="13"/>
  <c r="J841" i="13"/>
  <c r="I841" i="13"/>
  <c r="G841" i="13"/>
  <c r="B841" i="13" s="1"/>
  <c r="F841" i="13"/>
  <c r="E841" i="13"/>
  <c r="D841" i="13"/>
  <c r="R840" i="13"/>
  <c r="M840" i="13"/>
  <c r="L840" i="13"/>
  <c r="J840" i="13"/>
  <c r="I840" i="13"/>
  <c r="G840" i="13"/>
  <c r="B840" i="13" s="1"/>
  <c r="F840" i="13"/>
  <c r="E840" i="13"/>
  <c r="D840" i="13"/>
  <c r="R839" i="13"/>
  <c r="M839" i="13"/>
  <c r="L839" i="13"/>
  <c r="J839" i="13"/>
  <c r="I839" i="13"/>
  <c r="G839" i="13"/>
  <c r="B839" i="13" s="1"/>
  <c r="F839" i="13"/>
  <c r="E839" i="13"/>
  <c r="D839" i="13"/>
  <c r="R838" i="13"/>
  <c r="M838" i="13"/>
  <c r="L838" i="13"/>
  <c r="J838" i="13"/>
  <c r="I838" i="13"/>
  <c r="G838" i="13"/>
  <c r="B838" i="13" s="1"/>
  <c r="F838" i="13"/>
  <c r="E838" i="13"/>
  <c r="D838" i="13"/>
  <c r="R837" i="13"/>
  <c r="M837" i="13"/>
  <c r="L837" i="13"/>
  <c r="J837" i="13"/>
  <c r="I837" i="13"/>
  <c r="G837" i="13"/>
  <c r="B837" i="13" s="1"/>
  <c r="F837" i="13"/>
  <c r="E837" i="13"/>
  <c r="D837" i="13"/>
  <c r="R836" i="13"/>
  <c r="M836" i="13"/>
  <c r="L836" i="13"/>
  <c r="J836" i="13"/>
  <c r="I836" i="13"/>
  <c r="G836" i="13"/>
  <c r="B836" i="13" s="1"/>
  <c r="F836" i="13"/>
  <c r="E836" i="13"/>
  <c r="D836" i="13"/>
  <c r="R835" i="13"/>
  <c r="M835" i="13"/>
  <c r="L835" i="13"/>
  <c r="J835" i="13"/>
  <c r="I835" i="13"/>
  <c r="G835" i="13"/>
  <c r="B835" i="13" s="1"/>
  <c r="F835" i="13"/>
  <c r="E835" i="13"/>
  <c r="D835" i="13"/>
  <c r="R834" i="13"/>
  <c r="M834" i="13"/>
  <c r="L834" i="13"/>
  <c r="J834" i="13"/>
  <c r="I834" i="13"/>
  <c r="G834" i="13"/>
  <c r="B834" i="13" s="1"/>
  <c r="F834" i="13"/>
  <c r="E834" i="13"/>
  <c r="D834" i="13"/>
  <c r="R833" i="13"/>
  <c r="M833" i="13"/>
  <c r="L833" i="13"/>
  <c r="J833" i="13"/>
  <c r="I833" i="13"/>
  <c r="G833" i="13"/>
  <c r="B833" i="13" s="1"/>
  <c r="F833" i="13"/>
  <c r="E833" i="13"/>
  <c r="D833" i="13"/>
  <c r="R832" i="13"/>
  <c r="M832" i="13"/>
  <c r="L832" i="13"/>
  <c r="J832" i="13"/>
  <c r="I832" i="13"/>
  <c r="G832" i="13"/>
  <c r="B832" i="13" s="1"/>
  <c r="F832" i="13"/>
  <c r="E832" i="13"/>
  <c r="D832" i="13"/>
  <c r="R831" i="13"/>
  <c r="M831" i="13"/>
  <c r="L831" i="13"/>
  <c r="J831" i="13"/>
  <c r="I831" i="13"/>
  <c r="G831" i="13"/>
  <c r="B831" i="13" s="1"/>
  <c r="F831" i="13"/>
  <c r="E831" i="13"/>
  <c r="D831" i="13"/>
  <c r="R830" i="13"/>
  <c r="M830" i="13"/>
  <c r="L830" i="13"/>
  <c r="J830" i="13"/>
  <c r="I830" i="13"/>
  <c r="G830" i="13"/>
  <c r="B830" i="13" s="1"/>
  <c r="F830" i="13"/>
  <c r="E830" i="13"/>
  <c r="D830" i="13"/>
  <c r="R829" i="13"/>
  <c r="M829" i="13"/>
  <c r="L829" i="13"/>
  <c r="J829" i="13"/>
  <c r="I829" i="13"/>
  <c r="G829" i="13"/>
  <c r="B829" i="13" s="1"/>
  <c r="F829" i="13"/>
  <c r="E829" i="13"/>
  <c r="D829" i="13"/>
  <c r="R828" i="13"/>
  <c r="M828" i="13"/>
  <c r="L828" i="13"/>
  <c r="J828" i="13"/>
  <c r="I828" i="13"/>
  <c r="G828" i="13"/>
  <c r="B828" i="13" s="1"/>
  <c r="F828" i="13"/>
  <c r="E828" i="13"/>
  <c r="D828" i="13"/>
  <c r="R827" i="13"/>
  <c r="M827" i="13"/>
  <c r="L827" i="13"/>
  <c r="J827" i="13"/>
  <c r="I827" i="13"/>
  <c r="G827" i="13"/>
  <c r="B827" i="13" s="1"/>
  <c r="F827" i="13"/>
  <c r="E827" i="13"/>
  <c r="D827" i="13"/>
  <c r="R826" i="13"/>
  <c r="M826" i="13"/>
  <c r="L826" i="13"/>
  <c r="J826" i="13"/>
  <c r="I826" i="13"/>
  <c r="G826" i="13"/>
  <c r="B826" i="13" s="1"/>
  <c r="F826" i="13"/>
  <c r="E826" i="13"/>
  <c r="D826" i="13"/>
  <c r="R825" i="13"/>
  <c r="M825" i="13"/>
  <c r="L825" i="13"/>
  <c r="J825" i="13"/>
  <c r="I825" i="13"/>
  <c r="G825" i="13"/>
  <c r="B825" i="13" s="1"/>
  <c r="F825" i="13"/>
  <c r="E825" i="13"/>
  <c r="D825" i="13"/>
  <c r="R824" i="13"/>
  <c r="M824" i="13"/>
  <c r="L824" i="13"/>
  <c r="J824" i="13"/>
  <c r="I824" i="13"/>
  <c r="G824" i="13"/>
  <c r="B824" i="13" s="1"/>
  <c r="F824" i="13"/>
  <c r="E824" i="13"/>
  <c r="D824" i="13"/>
  <c r="R823" i="13"/>
  <c r="M823" i="13"/>
  <c r="L823" i="13"/>
  <c r="J823" i="13"/>
  <c r="I823" i="13"/>
  <c r="G823" i="13"/>
  <c r="B823" i="13" s="1"/>
  <c r="F823" i="13"/>
  <c r="E823" i="13"/>
  <c r="D823" i="13"/>
  <c r="R822" i="13"/>
  <c r="M822" i="13"/>
  <c r="L822" i="13"/>
  <c r="J822" i="13"/>
  <c r="I822" i="13"/>
  <c r="G822" i="13"/>
  <c r="B822" i="13" s="1"/>
  <c r="F822" i="13"/>
  <c r="E822" i="13"/>
  <c r="D822" i="13"/>
  <c r="R821" i="13"/>
  <c r="M821" i="13"/>
  <c r="L821" i="13"/>
  <c r="J821" i="13"/>
  <c r="I821" i="13"/>
  <c r="G821" i="13"/>
  <c r="B821" i="13" s="1"/>
  <c r="F821" i="13"/>
  <c r="E821" i="13"/>
  <c r="D821" i="13"/>
  <c r="R820" i="13"/>
  <c r="M820" i="13"/>
  <c r="L820" i="13"/>
  <c r="J820" i="13"/>
  <c r="I820" i="13"/>
  <c r="G820" i="13"/>
  <c r="B820" i="13" s="1"/>
  <c r="F820" i="13"/>
  <c r="E820" i="13"/>
  <c r="D820" i="13"/>
  <c r="R819" i="13"/>
  <c r="M819" i="13"/>
  <c r="L819" i="13"/>
  <c r="J819" i="13"/>
  <c r="I819" i="13"/>
  <c r="G819" i="13"/>
  <c r="B819" i="13" s="1"/>
  <c r="F819" i="13"/>
  <c r="E819" i="13"/>
  <c r="D819" i="13"/>
  <c r="R818" i="13"/>
  <c r="M818" i="13"/>
  <c r="L818" i="13"/>
  <c r="J818" i="13"/>
  <c r="I818" i="13"/>
  <c r="G818" i="13"/>
  <c r="B818" i="13" s="1"/>
  <c r="F818" i="13"/>
  <c r="E818" i="13"/>
  <c r="D818" i="13"/>
  <c r="R817" i="13"/>
  <c r="M817" i="13"/>
  <c r="L817" i="13"/>
  <c r="J817" i="13"/>
  <c r="I817" i="13"/>
  <c r="G817" i="13"/>
  <c r="B817" i="13" s="1"/>
  <c r="F817" i="13"/>
  <c r="E817" i="13"/>
  <c r="D817" i="13"/>
  <c r="R816" i="13"/>
  <c r="M816" i="13"/>
  <c r="L816" i="13"/>
  <c r="J816" i="13"/>
  <c r="I816" i="13"/>
  <c r="G816" i="13"/>
  <c r="B816" i="13" s="1"/>
  <c r="F816" i="13"/>
  <c r="E816" i="13"/>
  <c r="D816" i="13"/>
  <c r="R815" i="13"/>
  <c r="M815" i="13"/>
  <c r="L815" i="13"/>
  <c r="J815" i="13"/>
  <c r="I815" i="13"/>
  <c r="G815" i="13"/>
  <c r="B815" i="13" s="1"/>
  <c r="F815" i="13"/>
  <c r="E815" i="13"/>
  <c r="D815" i="13"/>
  <c r="R814" i="13"/>
  <c r="M814" i="13"/>
  <c r="L814" i="13"/>
  <c r="J814" i="13"/>
  <c r="I814" i="13"/>
  <c r="G814" i="13"/>
  <c r="B814" i="13" s="1"/>
  <c r="F814" i="13"/>
  <c r="E814" i="13"/>
  <c r="D814" i="13"/>
  <c r="R813" i="13"/>
  <c r="M813" i="13"/>
  <c r="L813" i="13"/>
  <c r="J813" i="13"/>
  <c r="I813" i="13"/>
  <c r="G813" i="13"/>
  <c r="B813" i="13" s="1"/>
  <c r="F813" i="13"/>
  <c r="E813" i="13"/>
  <c r="D813" i="13"/>
  <c r="R812" i="13"/>
  <c r="M812" i="13"/>
  <c r="L812" i="13"/>
  <c r="J812" i="13"/>
  <c r="I812" i="13"/>
  <c r="G812" i="13"/>
  <c r="B812" i="13" s="1"/>
  <c r="F812" i="13"/>
  <c r="E812" i="13"/>
  <c r="D812" i="13"/>
  <c r="R811" i="13"/>
  <c r="M811" i="13"/>
  <c r="L811" i="13"/>
  <c r="J811" i="13"/>
  <c r="I811" i="13"/>
  <c r="G811" i="13"/>
  <c r="B811" i="13" s="1"/>
  <c r="F811" i="13"/>
  <c r="E811" i="13"/>
  <c r="D811" i="13"/>
  <c r="R810" i="13"/>
  <c r="M810" i="13"/>
  <c r="L810" i="13"/>
  <c r="J810" i="13"/>
  <c r="I810" i="13"/>
  <c r="G810" i="13"/>
  <c r="B810" i="13" s="1"/>
  <c r="F810" i="13"/>
  <c r="E810" i="13"/>
  <c r="D810" i="13"/>
  <c r="R809" i="13"/>
  <c r="M809" i="13"/>
  <c r="L809" i="13"/>
  <c r="J809" i="13"/>
  <c r="I809" i="13"/>
  <c r="G809" i="13"/>
  <c r="B809" i="13" s="1"/>
  <c r="F809" i="13"/>
  <c r="E809" i="13"/>
  <c r="D809" i="13"/>
  <c r="R808" i="13"/>
  <c r="M808" i="13"/>
  <c r="L808" i="13"/>
  <c r="J808" i="13"/>
  <c r="I808" i="13"/>
  <c r="G808" i="13"/>
  <c r="B808" i="13" s="1"/>
  <c r="F808" i="13"/>
  <c r="E808" i="13"/>
  <c r="D808" i="13"/>
  <c r="R807" i="13"/>
  <c r="M807" i="13"/>
  <c r="L807" i="13"/>
  <c r="J807" i="13"/>
  <c r="I807" i="13"/>
  <c r="G807" i="13"/>
  <c r="B807" i="13" s="1"/>
  <c r="F807" i="13"/>
  <c r="E807" i="13"/>
  <c r="D807" i="13"/>
  <c r="R806" i="13"/>
  <c r="M806" i="13"/>
  <c r="L806" i="13"/>
  <c r="J806" i="13"/>
  <c r="I806" i="13"/>
  <c r="G806" i="13"/>
  <c r="B806" i="13" s="1"/>
  <c r="F806" i="13"/>
  <c r="E806" i="13"/>
  <c r="D806" i="13"/>
  <c r="R805" i="13"/>
  <c r="M805" i="13"/>
  <c r="L805" i="13"/>
  <c r="J805" i="13"/>
  <c r="I805" i="13"/>
  <c r="G805" i="13"/>
  <c r="B805" i="13" s="1"/>
  <c r="F805" i="13"/>
  <c r="E805" i="13"/>
  <c r="D805" i="13"/>
  <c r="R804" i="13"/>
  <c r="M804" i="13"/>
  <c r="L804" i="13"/>
  <c r="J804" i="13"/>
  <c r="I804" i="13"/>
  <c r="G804" i="13"/>
  <c r="B804" i="13" s="1"/>
  <c r="F804" i="13"/>
  <c r="E804" i="13"/>
  <c r="D804" i="13"/>
  <c r="R803" i="13"/>
  <c r="M803" i="13"/>
  <c r="L803" i="13"/>
  <c r="J803" i="13"/>
  <c r="I803" i="13"/>
  <c r="G803" i="13"/>
  <c r="B803" i="13" s="1"/>
  <c r="F803" i="13"/>
  <c r="E803" i="13"/>
  <c r="D803" i="13"/>
  <c r="R802" i="13"/>
  <c r="M802" i="13"/>
  <c r="L802" i="13"/>
  <c r="J802" i="13"/>
  <c r="I802" i="13"/>
  <c r="G802" i="13"/>
  <c r="B802" i="13" s="1"/>
  <c r="F802" i="13"/>
  <c r="E802" i="13"/>
  <c r="D802" i="13"/>
  <c r="R801" i="13"/>
  <c r="M801" i="13"/>
  <c r="L801" i="13"/>
  <c r="J801" i="13"/>
  <c r="I801" i="13"/>
  <c r="G801" i="13"/>
  <c r="B801" i="13" s="1"/>
  <c r="F801" i="13"/>
  <c r="E801" i="13"/>
  <c r="D801" i="13"/>
  <c r="R800" i="13"/>
  <c r="M800" i="13"/>
  <c r="L800" i="13"/>
  <c r="J800" i="13"/>
  <c r="I800" i="13"/>
  <c r="G800" i="13"/>
  <c r="B800" i="13" s="1"/>
  <c r="F800" i="13"/>
  <c r="E800" i="13"/>
  <c r="D800" i="13"/>
  <c r="R799" i="13"/>
  <c r="M799" i="13"/>
  <c r="L799" i="13"/>
  <c r="J799" i="13"/>
  <c r="I799" i="13"/>
  <c r="G799" i="13"/>
  <c r="B799" i="13" s="1"/>
  <c r="F799" i="13"/>
  <c r="E799" i="13"/>
  <c r="D799" i="13"/>
  <c r="R798" i="13"/>
  <c r="M798" i="13"/>
  <c r="L798" i="13"/>
  <c r="J798" i="13"/>
  <c r="I798" i="13"/>
  <c r="G798" i="13"/>
  <c r="B798" i="13" s="1"/>
  <c r="F798" i="13"/>
  <c r="E798" i="13"/>
  <c r="D798" i="13"/>
  <c r="R797" i="13"/>
  <c r="M797" i="13"/>
  <c r="L797" i="13"/>
  <c r="J797" i="13"/>
  <c r="I797" i="13"/>
  <c r="G797" i="13"/>
  <c r="B797" i="13" s="1"/>
  <c r="F797" i="13"/>
  <c r="E797" i="13"/>
  <c r="D797" i="13"/>
  <c r="R796" i="13"/>
  <c r="M796" i="13"/>
  <c r="L796" i="13"/>
  <c r="J796" i="13"/>
  <c r="I796" i="13"/>
  <c r="G796" i="13"/>
  <c r="B796" i="13" s="1"/>
  <c r="F796" i="13"/>
  <c r="E796" i="13"/>
  <c r="D796" i="13"/>
  <c r="R795" i="13"/>
  <c r="M795" i="13"/>
  <c r="L795" i="13"/>
  <c r="J795" i="13"/>
  <c r="I795" i="13"/>
  <c r="G795" i="13"/>
  <c r="B795" i="13" s="1"/>
  <c r="F795" i="13"/>
  <c r="E795" i="13"/>
  <c r="D795" i="13"/>
  <c r="R794" i="13"/>
  <c r="M794" i="13"/>
  <c r="L794" i="13"/>
  <c r="J794" i="13"/>
  <c r="I794" i="13"/>
  <c r="G794" i="13"/>
  <c r="B794" i="13" s="1"/>
  <c r="F794" i="13"/>
  <c r="E794" i="13"/>
  <c r="D794" i="13"/>
  <c r="R793" i="13"/>
  <c r="M793" i="13"/>
  <c r="L793" i="13"/>
  <c r="J793" i="13"/>
  <c r="I793" i="13"/>
  <c r="G793" i="13"/>
  <c r="B793" i="13" s="1"/>
  <c r="F793" i="13"/>
  <c r="E793" i="13"/>
  <c r="D793" i="13"/>
  <c r="R792" i="13"/>
  <c r="M792" i="13"/>
  <c r="L792" i="13"/>
  <c r="J792" i="13"/>
  <c r="I792" i="13"/>
  <c r="G792" i="13"/>
  <c r="B792" i="13" s="1"/>
  <c r="F792" i="13"/>
  <c r="E792" i="13"/>
  <c r="D792" i="13"/>
  <c r="R791" i="13"/>
  <c r="M791" i="13"/>
  <c r="L791" i="13"/>
  <c r="J791" i="13"/>
  <c r="I791" i="13"/>
  <c r="G791" i="13"/>
  <c r="B791" i="13" s="1"/>
  <c r="F791" i="13"/>
  <c r="E791" i="13"/>
  <c r="D791" i="13"/>
  <c r="R790" i="13"/>
  <c r="M790" i="13"/>
  <c r="L790" i="13"/>
  <c r="J790" i="13"/>
  <c r="I790" i="13"/>
  <c r="G790" i="13"/>
  <c r="B790" i="13" s="1"/>
  <c r="F790" i="13"/>
  <c r="E790" i="13"/>
  <c r="D790" i="13"/>
  <c r="R789" i="13"/>
  <c r="M789" i="13"/>
  <c r="L789" i="13"/>
  <c r="J789" i="13"/>
  <c r="I789" i="13"/>
  <c r="G789" i="13"/>
  <c r="B789" i="13" s="1"/>
  <c r="F789" i="13"/>
  <c r="E789" i="13"/>
  <c r="D789" i="13"/>
  <c r="R788" i="13"/>
  <c r="M788" i="13"/>
  <c r="L788" i="13"/>
  <c r="J788" i="13"/>
  <c r="I788" i="13"/>
  <c r="G788" i="13"/>
  <c r="B788" i="13" s="1"/>
  <c r="F788" i="13"/>
  <c r="E788" i="13"/>
  <c r="D788" i="13"/>
  <c r="R787" i="13"/>
  <c r="M787" i="13"/>
  <c r="L787" i="13"/>
  <c r="J787" i="13"/>
  <c r="I787" i="13"/>
  <c r="G787" i="13"/>
  <c r="B787" i="13" s="1"/>
  <c r="F787" i="13"/>
  <c r="E787" i="13"/>
  <c r="D787" i="13"/>
  <c r="R786" i="13"/>
  <c r="M786" i="13"/>
  <c r="L786" i="13"/>
  <c r="J786" i="13"/>
  <c r="I786" i="13"/>
  <c r="G786" i="13"/>
  <c r="B786" i="13" s="1"/>
  <c r="F786" i="13"/>
  <c r="E786" i="13"/>
  <c r="D786" i="13"/>
  <c r="R785" i="13"/>
  <c r="M785" i="13"/>
  <c r="L785" i="13"/>
  <c r="J785" i="13"/>
  <c r="I785" i="13"/>
  <c r="G785" i="13"/>
  <c r="B785" i="13" s="1"/>
  <c r="F785" i="13"/>
  <c r="E785" i="13"/>
  <c r="D785" i="13"/>
  <c r="R784" i="13"/>
  <c r="M784" i="13"/>
  <c r="L784" i="13"/>
  <c r="J784" i="13"/>
  <c r="I784" i="13"/>
  <c r="G784" i="13"/>
  <c r="B784" i="13" s="1"/>
  <c r="F784" i="13"/>
  <c r="E784" i="13"/>
  <c r="D784" i="13"/>
  <c r="R783" i="13"/>
  <c r="M783" i="13"/>
  <c r="L783" i="13"/>
  <c r="J783" i="13"/>
  <c r="I783" i="13"/>
  <c r="G783" i="13"/>
  <c r="B783" i="13" s="1"/>
  <c r="F783" i="13"/>
  <c r="E783" i="13"/>
  <c r="D783" i="13"/>
  <c r="R782" i="13"/>
  <c r="M782" i="13"/>
  <c r="L782" i="13"/>
  <c r="J782" i="13"/>
  <c r="I782" i="13"/>
  <c r="G782" i="13"/>
  <c r="B782" i="13" s="1"/>
  <c r="F782" i="13"/>
  <c r="E782" i="13"/>
  <c r="D782" i="13"/>
  <c r="R781" i="13"/>
  <c r="M781" i="13"/>
  <c r="L781" i="13"/>
  <c r="J781" i="13"/>
  <c r="I781" i="13"/>
  <c r="G781" i="13"/>
  <c r="B781" i="13" s="1"/>
  <c r="F781" i="13"/>
  <c r="E781" i="13"/>
  <c r="D781" i="13"/>
  <c r="R780" i="13"/>
  <c r="M780" i="13"/>
  <c r="L780" i="13"/>
  <c r="J780" i="13"/>
  <c r="I780" i="13"/>
  <c r="G780" i="13"/>
  <c r="B780" i="13" s="1"/>
  <c r="F780" i="13"/>
  <c r="E780" i="13"/>
  <c r="D780" i="13"/>
  <c r="R779" i="13"/>
  <c r="M779" i="13"/>
  <c r="L779" i="13"/>
  <c r="J779" i="13"/>
  <c r="I779" i="13"/>
  <c r="G779" i="13"/>
  <c r="B779" i="13" s="1"/>
  <c r="F779" i="13"/>
  <c r="E779" i="13"/>
  <c r="D779" i="13"/>
  <c r="R778" i="13"/>
  <c r="M778" i="13"/>
  <c r="L778" i="13"/>
  <c r="J778" i="13"/>
  <c r="I778" i="13"/>
  <c r="G778" i="13"/>
  <c r="B778" i="13" s="1"/>
  <c r="F778" i="13"/>
  <c r="E778" i="13"/>
  <c r="D778" i="13"/>
  <c r="R777" i="13"/>
  <c r="M777" i="13"/>
  <c r="L777" i="13"/>
  <c r="J777" i="13"/>
  <c r="I777" i="13"/>
  <c r="G777" i="13"/>
  <c r="B777" i="13" s="1"/>
  <c r="F777" i="13"/>
  <c r="E777" i="13"/>
  <c r="D777" i="13"/>
  <c r="R776" i="13"/>
  <c r="M776" i="13"/>
  <c r="L776" i="13"/>
  <c r="J776" i="13"/>
  <c r="I776" i="13"/>
  <c r="G776" i="13"/>
  <c r="B776" i="13" s="1"/>
  <c r="F776" i="13"/>
  <c r="E776" i="13"/>
  <c r="D776" i="13"/>
  <c r="R775" i="13"/>
  <c r="M775" i="13"/>
  <c r="L775" i="13"/>
  <c r="J775" i="13"/>
  <c r="I775" i="13"/>
  <c r="G775" i="13"/>
  <c r="B775" i="13" s="1"/>
  <c r="F775" i="13"/>
  <c r="E775" i="13"/>
  <c r="D775" i="13"/>
  <c r="R774" i="13"/>
  <c r="M774" i="13"/>
  <c r="L774" i="13"/>
  <c r="J774" i="13"/>
  <c r="I774" i="13"/>
  <c r="G774" i="13"/>
  <c r="B774" i="13" s="1"/>
  <c r="F774" i="13"/>
  <c r="E774" i="13"/>
  <c r="D774" i="13"/>
  <c r="R773" i="13"/>
  <c r="M773" i="13"/>
  <c r="L773" i="13"/>
  <c r="J773" i="13"/>
  <c r="I773" i="13"/>
  <c r="G773" i="13"/>
  <c r="B773" i="13" s="1"/>
  <c r="F773" i="13"/>
  <c r="E773" i="13"/>
  <c r="D773" i="13"/>
  <c r="R772" i="13"/>
  <c r="M772" i="13"/>
  <c r="L772" i="13"/>
  <c r="J772" i="13"/>
  <c r="I772" i="13"/>
  <c r="G772" i="13"/>
  <c r="B772" i="13" s="1"/>
  <c r="F772" i="13"/>
  <c r="E772" i="13"/>
  <c r="D772" i="13"/>
  <c r="R771" i="13"/>
  <c r="M771" i="13"/>
  <c r="L771" i="13"/>
  <c r="J771" i="13"/>
  <c r="I771" i="13"/>
  <c r="G771" i="13"/>
  <c r="B771" i="13" s="1"/>
  <c r="F771" i="13"/>
  <c r="E771" i="13"/>
  <c r="D771" i="13"/>
  <c r="R770" i="13"/>
  <c r="M770" i="13"/>
  <c r="L770" i="13"/>
  <c r="J770" i="13"/>
  <c r="I770" i="13"/>
  <c r="G770" i="13"/>
  <c r="B770" i="13" s="1"/>
  <c r="F770" i="13"/>
  <c r="E770" i="13"/>
  <c r="D770" i="13"/>
  <c r="R769" i="13"/>
  <c r="M769" i="13"/>
  <c r="L769" i="13"/>
  <c r="J769" i="13"/>
  <c r="I769" i="13"/>
  <c r="G769" i="13"/>
  <c r="B769" i="13" s="1"/>
  <c r="F769" i="13"/>
  <c r="E769" i="13"/>
  <c r="D769" i="13"/>
  <c r="R768" i="13"/>
  <c r="M768" i="13"/>
  <c r="L768" i="13"/>
  <c r="J768" i="13"/>
  <c r="I768" i="13"/>
  <c r="G768" i="13"/>
  <c r="B768" i="13" s="1"/>
  <c r="F768" i="13"/>
  <c r="E768" i="13"/>
  <c r="D768" i="13"/>
  <c r="R767" i="13"/>
  <c r="M767" i="13"/>
  <c r="L767" i="13"/>
  <c r="J767" i="13"/>
  <c r="I767" i="13"/>
  <c r="G767" i="13"/>
  <c r="B767" i="13" s="1"/>
  <c r="F767" i="13"/>
  <c r="E767" i="13"/>
  <c r="D767" i="13"/>
  <c r="R766" i="13"/>
  <c r="M766" i="13"/>
  <c r="L766" i="13"/>
  <c r="J766" i="13"/>
  <c r="I766" i="13"/>
  <c r="G766" i="13"/>
  <c r="B766" i="13" s="1"/>
  <c r="F766" i="13"/>
  <c r="E766" i="13"/>
  <c r="D766" i="13"/>
  <c r="R765" i="13"/>
  <c r="M765" i="13"/>
  <c r="L765" i="13"/>
  <c r="J765" i="13"/>
  <c r="I765" i="13"/>
  <c r="G765" i="13"/>
  <c r="B765" i="13" s="1"/>
  <c r="F765" i="13"/>
  <c r="E765" i="13"/>
  <c r="D765" i="13"/>
  <c r="R764" i="13"/>
  <c r="M764" i="13"/>
  <c r="L764" i="13"/>
  <c r="J764" i="13"/>
  <c r="I764" i="13"/>
  <c r="G764" i="13"/>
  <c r="B764" i="13" s="1"/>
  <c r="F764" i="13"/>
  <c r="E764" i="13"/>
  <c r="D764" i="13"/>
  <c r="R763" i="13"/>
  <c r="M763" i="13"/>
  <c r="L763" i="13"/>
  <c r="J763" i="13"/>
  <c r="I763" i="13"/>
  <c r="G763" i="13"/>
  <c r="B763" i="13" s="1"/>
  <c r="F763" i="13"/>
  <c r="E763" i="13"/>
  <c r="D763" i="13"/>
  <c r="R762" i="13"/>
  <c r="M762" i="13"/>
  <c r="L762" i="13"/>
  <c r="J762" i="13"/>
  <c r="I762" i="13"/>
  <c r="G762" i="13"/>
  <c r="B762" i="13" s="1"/>
  <c r="F762" i="13"/>
  <c r="E762" i="13"/>
  <c r="D762" i="13"/>
  <c r="R761" i="13"/>
  <c r="M761" i="13"/>
  <c r="L761" i="13"/>
  <c r="J761" i="13"/>
  <c r="I761" i="13"/>
  <c r="G761" i="13"/>
  <c r="B761" i="13" s="1"/>
  <c r="F761" i="13"/>
  <c r="E761" i="13"/>
  <c r="D761" i="13"/>
  <c r="R760" i="13"/>
  <c r="M760" i="13"/>
  <c r="L760" i="13"/>
  <c r="J760" i="13"/>
  <c r="I760" i="13"/>
  <c r="G760" i="13"/>
  <c r="B760" i="13" s="1"/>
  <c r="F760" i="13"/>
  <c r="E760" i="13"/>
  <c r="D760" i="13"/>
  <c r="R759" i="13"/>
  <c r="M759" i="13"/>
  <c r="L759" i="13"/>
  <c r="J759" i="13"/>
  <c r="I759" i="13"/>
  <c r="G759" i="13"/>
  <c r="B759" i="13" s="1"/>
  <c r="F759" i="13"/>
  <c r="E759" i="13"/>
  <c r="D759" i="13"/>
  <c r="R758" i="13"/>
  <c r="M758" i="13"/>
  <c r="L758" i="13"/>
  <c r="J758" i="13"/>
  <c r="I758" i="13"/>
  <c r="G758" i="13"/>
  <c r="B758" i="13" s="1"/>
  <c r="F758" i="13"/>
  <c r="E758" i="13"/>
  <c r="D758" i="13"/>
  <c r="R757" i="13"/>
  <c r="M757" i="13"/>
  <c r="L757" i="13"/>
  <c r="J757" i="13"/>
  <c r="I757" i="13"/>
  <c r="G757" i="13"/>
  <c r="B757" i="13" s="1"/>
  <c r="F757" i="13"/>
  <c r="E757" i="13"/>
  <c r="D757" i="13"/>
  <c r="R756" i="13"/>
  <c r="M756" i="13"/>
  <c r="L756" i="13"/>
  <c r="J756" i="13"/>
  <c r="I756" i="13"/>
  <c r="G756" i="13"/>
  <c r="B756" i="13" s="1"/>
  <c r="F756" i="13"/>
  <c r="E756" i="13"/>
  <c r="D756" i="13"/>
  <c r="R755" i="13"/>
  <c r="M755" i="13"/>
  <c r="L755" i="13"/>
  <c r="J755" i="13"/>
  <c r="I755" i="13"/>
  <c r="G755" i="13"/>
  <c r="B755" i="13" s="1"/>
  <c r="F755" i="13"/>
  <c r="E755" i="13"/>
  <c r="D755" i="13"/>
  <c r="R754" i="13"/>
  <c r="M754" i="13"/>
  <c r="L754" i="13"/>
  <c r="J754" i="13"/>
  <c r="I754" i="13"/>
  <c r="G754" i="13"/>
  <c r="B754" i="13" s="1"/>
  <c r="F754" i="13"/>
  <c r="E754" i="13"/>
  <c r="D754" i="13"/>
  <c r="R753" i="13"/>
  <c r="M753" i="13"/>
  <c r="L753" i="13"/>
  <c r="J753" i="13"/>
  <c r="I753" i="13"/>
  <c r="G753" i="13"/>
  <c r="B753" i="13" s="1"/>
  <c r="F753" i="13"/>
  <c r="E753" i="13"/>
  <c r="D753" i="13"/>
  <c r="R752" i="13"/>
  <c r="M752" i="13"/>
  <c r="L752" i="13"/>
  <c r="J752" i="13"/>
  <c r="I752" i="13"/>
  <c r="G752" i="13"/>
  <c r="B752" i="13" s="1"/>
  <c r="F752" i="13"/>
  <c r="E752" i="13"/>
  <c r="D752" i="13"/>
  <c r="R751" i="13"/>
  <c r="M751" i="13"/>
  <c r="L751" i="13"/>
  <c r="J751" i="13"/>
  <c r="I751" i="13"/>
  <c r="G751" i="13"/>
  <c r="B751" i="13" s="1"/>
  <c r="F751" i="13"/>
  <c r="E751" i="13"/>
  <c r="D751" i="13"/>
  <c r="R750" i="13"/>
  <c r="M750" i="13"/>
  <c r="L750" i="13"/>
  <c r="J750" i="13"/>
  <c r="I750" i="13"/>
  <c r="G750" i="13"/>
  <c r="B750" i="13" s="1"/>
  <c r="F750" i="13"/>
  <c r="E750" i="13"/>
  <c r="D750" i="13"/>
  <c r="R749" i="13"/>
  <c r="M749" i="13"/>
  <c r="L749" i="13"/>
  <c r="J749" i="13"/>
  <c r="I749" i="13"/>
  <c r="G749" i="13"/>
  <c r="B749" i="13" s="1"/>
  <c r="F749" i="13"/>
  <c r="E749" i="13"/>
  <c r="D749" i="13"/>
  <c r="R748" i="13"/>
  <c r="M748" i="13"/>
  <c r="L748" i="13"/>
  <c r="J748" i="13"/>
  <c r="I748" i="13"/>
  <c r="G748" i="13"/>
  <c r="B748" i="13" s="1"/>
  <c r="F748" i="13"/>
  <c r="E748" i="13"/>
  <c r="D748" i="13"/>
  <c r="R747" i="13"/>
  <c r="M747" i="13"/>
  <c r="L747" i="13"/>
  <c r="J747" i="13"/>
  <c r="I747" i="13"/>
  <c r="G747" i="13"/>
  <c r="B747" i="13" s="1"/>
  <c r="F747" i="13"/>
  <c r="E747" i="13"/>
  <c r="D747" i="13"/>
  <c r="R746" i="13"/>
  <c r="M746" i="13"/>
  <c r="L746" i="13"/>
  <c r="J746" i="13"/>
  <c r="I746" i="13"/>
  <c r="G746" i="13"/>
  <c r="B746" i="13" s="1"/>
  <c r="F746" i="13"/>
  <c r="E746" i="13"/>
  <c r="D746" i="13"/>
  <c r="R745" i="13"/>
  <c r="M745" i="13"/>
  <c r="L745" i="13"/>
  <c r="J745" i="13"/>
  <c r="I745" i="13"/>
  <c r="G745" i="13"/>
  <c r="B745" i="13" s="1"/>
  <c r="F745" i="13"/>
  <c r="E745" i="13"/>
  <c r="D745" i="13"/>
  <c r="R744" i="13"/>
  <c r="M744" i="13"/>
  <c r="L744" i="13"/>
  <c r="J744" i="13"/>
  <c r="I744" i="13"/>
  <c r="G744" i="13"/>
  <c r="B744" i="13" s="1"/>
  <c r="F744" i="13"/>
  <c r="E744" i="13"/>
  <c r="D744" i="13"/>
  <c r="R743" i="13"/>
  <c r="M743" i="13"/>
  <c r="L743" i="13"/>
  <c r="J743" i="13"/>
  <c r="I743" i="13"/>
  <c r="G743" i="13"/>
  <c r="B743" i="13" s="1"/>
  <c r="F743" i="13"/>
  <c r="E743" i="13"/>
  <c r="D743" i="13"/>
  <c r="R742" i="13"/>
  <c r="M742" i="13"/>
  <c r="L742" i="13"/>
  <c r="J742" i="13"/>
  <c r="I742" i="13"/>
  <c r="G742" i="13"/>
  <c r="B742" i="13" s="1"/>
  <c r="F742" i="13"/>
  <c r="E742" i="13"/>
  <c r="D742" i="13"/>
  <c r="R741" i="13"/>
  <c r="M741" i="13"/>
  <c r="L741" i="13"/>
  <c r="J741" i="13"/>
  <c r="I741" i="13"/>
  <c r="G741" i="13"/>
  <c r="B741" i="13" s="1"/>
  <c r="F741" i="13"/>
  <c r="E741" i="13"/>
  <c r="D741" i="13"/>
  <c r="R740" i="13"/>
  <c r="M740" i="13"/>
  <c r="L740" i="13"/>
  <c r="J740" i="13"/>
  <c r="I740" i="13"/>
  <c r="G740" i="13"/>
  <c r="B740" i="13" s="1"/>
  <c r="F740" i="13"/>
  <c r="E740" i="13"/>
  <c r="D740" i="13"/>
  <c r="R739" i="13"/>
  <c r="M739" i="13"/>
  <c r="L739" i="13"/>
  <c r="J739" i="13"/>
  <c r="I739" i="13"/>
  <c r="G739" i="13"/>
  <c r="B739" i="13" s="1"/>
  <c r="F739" i="13"/>
  <c r="E739" i="13"/>
  <c r="D739" i="13"/>
  <c r="R738" i="13"/>
  <c r="M738" i="13"/>
  <c r="L738" i="13"/>
  <c r="J738" i="13"/>
  <c r="I738" i="13"/>
  <c r="G738" i="13"/>
  <c r="B738" i="13" s="1"/>
  <c r="F738" i="13"/>
  <c r="E738" i="13"/>
  <c r="D738" i="13"/>
  <c r="R737" i="13"/>
  <c r="M737" i="13"/>
  <c r="L737" i="13"/>
  <c r="J737" i="13"/>
  <c r="I737" i="13"/>
  <c r="G737" i="13"/>
  <c r="B737" i="13" s="1"/>
  <c r="F737" i="13"/>
  <c r="E737" i="13"/>
  <c r="D737" i="13"/>
  <c r="R736" i="13"/>
  <c r="M736" i="13"/>
  <c r="L736" i="13"/>
  <c r="J736" i="13"/>
  <c r="I736" i="13"/>
  <c r="G736" i="13"/>
  <c r="B736" i="13" s="1"/>
  <c r="F736" i="13"/>
  <c r="E736" i="13"/>
  <c r="D736" i="13"/>
  <c r="R735" i="13"/>
  <c r="M735" i="13"/>
  <c r="L735" i="13"/>
  <c r="J735" i="13"/>
  <c r="I735" i="13"/>
  <c r="G735" i="13"/>
  <c r="B735" i="13" s="1"/>
  <c r="F735" i="13"/>
  <c r="E735" i="13"/>
  <c r="D735" i="13"/>
  <c r="R734" i="13"/>
  <c r="M734" i="13"/>
  <c r="L734" i="13"/>
  <c r="J734" i="13"/>
  <c r="I734" i="13"/>
  <c r="G734" i="13"/>
  <c r="B734" i="13" s="1"/>
  <c r="F734" i="13"/>
  <c r="E734" i="13"/>
  <c r="D734" i="13"/>
  <c r="R733" i="13"/>
  <c r="M733" i="13"/>
  <c r="L733" i="13"/>
  <c r="J733" i="13"/>
  <c r="I733" i="13"/>
  <c r="G733" i="13"/>
  <c r="B733" i="13" s="1"/>
  <c r="F733" i="13"/>
  <c r="E733" i="13"/>
  <c r="D733" i="13"/>
  <c r="R732" i="13"/>
  <c r="M732" i="13"/>
  <c r="L732" i="13"/>
  <c r="J732" i="13"/>
  <c r="I732" i="13"/>
  <c r="G732" i="13"/>
  <c r="B732" i="13" s="1"/>
  <c r="F732" i="13"/>
  <c r="E732" i="13"/>
  <c r="D732" i="13"/>
  <c r="R731" i="13"/>
  <c r="M731" i="13"/>
  <c r="L731" i="13"/>
  <c r="J731" i="13"/>
  <c r="I731" i="13"/>
  <c r="G731" i="13"/>
  <c r="B731" i="13" s="1"/>
  <c r="F731" i="13"/>
  <c r="E731" i="13"/>
  <c r="D731" i="13"/>
  <c r="R730" i="13"/>
  <c r="M730" i="13"/>
  <c r="L730" i="13"/>
  <c r="J730" i="13"/>
  <c r="I730" i="13"/>
  <c r="G730" i="13"/>
  <c r="B730" i="13" s="1"/>
  <c r="F730" i="13"/>
  <c r="E730" i="13"/>
  <c r="D730" i="13"/>
  <c r="R729" i="13"/>
  <c r="M729" i="13"/>
  <c r="L729" i="13"/>
  <c r="J729" i="13"/>
  <c r="I729" i="13"/>
  <c r="G729" i="13"/>
  <c r="B729" i="13" s="1"/>
  <c r="F729" i="13"/>
  <c r="E729" i="13"/>
  <c r="D729" i="13"/>
  <c r="R728" i="13"/>
  <c r="M728" i="13"/>
  <c r="L728" i="13"/>
  <c r="J728" i="13"/>
  <c r="I728" i="13"/>
  <c r="G728" i="13"/>
  <c r="B728" i="13" s="1"/>
  <c r="F728" i="13"/>
  <c r="E728" i="13"/>
  <c r="D728" i="13"/>
  <c r="R727" i="13"/>
  <c r="M727" i="13"/>
  <c r="L727" i="13"/>
  <c r="J727" i="13"/>
  <c r="I727" i="13"/>
  <c r="G727" i="13"/>
  <c r="B727" i="13" s="1"/>
  <c r="F727" i="13"/>
  <c r="E727" i="13"/>
  <c r="D727" i="13"/>
  <c r="R726" i="13"/>
  <c r="M726" i="13"/>
  <c r="L726" i="13"/>
  <c r="J726" i="13"/>
  <c r="I726" i="13"/>
  <c r="G726" i="13"/>
  <c r="B726" i="13" s="1"/>
  <c r="F726" i="13"/>
  <c r="E726" i="13"/>
  <c r="D726" i="13"/>
  <c r="R725" i="13"/>
  <c r="M725" i="13"/>
  <c r="L725" i="13"/>
  <c r="J725" i="13"/>
  <c r="I725" i="13"/>
  <c r="G725" i="13"/>
  <c r="B725" i="13" s="1"/>
  <c r="F725" i="13"/>
  <c r="E725" i="13"/>
  <c r="D725" i="13"/>
  <c r="R724" i="13"/>
  <c r="M724" i="13"/>
  <c r="L724" i="13"/>
  <c r="J724" i="13"/>
  <c r="I724" i="13"/>
  <c r="G724" i="13"/>
  <c r="B724" i="13" s="1"/>
  <c r="F724" i="13"/>
  <c r="E724" i="13"/>
  <c r="D724" i="13"/>
  <c r="R723" i="13"/>
  <c r="M723" i="13"/>
  <c r="L723" i="13"/>
  <c r="J723" i="13"/>
  <c r="I723" i="13"/>
  <c r="G723" i="13"/>
  <c r="B723" i="13" s="1"/>
  <c r="F723" i="13"/>
  <c r="E723" i="13"/>
  <c r="D723" i="13"/>
  <c r="R722" i="13"/>
  <c r="M722" i="13"/>
  <c r="L722" i="13"/>
  <c r="J722" i="13"/>
  <c r="I722" i="13"/>
  <c r="G722" i="13"/>
  <c r="B722" i="13" s="1"/>
  <c r="F722" i="13"/>
  <c r="E722" i="13"/>
  <c r="D722" i="13"/>
  <c r="R721" i="13"/>
  <c r="M721" i="13"/>
  <c r="L721" i="13"/>
  <c r="J721" i="13"/>
  <c r="I721" i="13"/>
  <c r="G721" i="13"/>
  <c r="B721" i="13" s="1"/>
  <c r="F721" i="13"/>
  <c r="E721" i="13"/>
  <c r="D721" i="13"/>
  <c r="R720" i="13"/>
  <c r="M720" i="13"/>
  <c r="L720" i="13"/>
  <c r="J720" i="13"/>
  <c r="I720" i="13"/>
  <c r="G720" i="13"/>
  <c r="B720" i="13" s="1"/>
  <c r="F720" i="13"/>
  <c r="E720" i="13"/>
  <c r="D720" i="13"/>
  <c r="R719" i="13"/>
  <c r="M719" i="13"/>
  <c r="L719" i="13"/>
  <c r="J719" i="13"/>
  <c r="I719" i="13"/>
  <c r="G719" i="13"/>
  <c r="B719" i="13" s="1"/>
  <c r="F719" i="13"/>
  <c r="E719" i="13"/>
  <c r="D719" i="13"/>
  <c r="R718" i="13"/>
  <c r="M718" i="13"/>
  <c r="L718" i="13"/>
  <c r="J718" i="13"/>
  <c r="I718" i="13"/>
  <c r="G718" i="13"/>
  <c r="B718" i="13" s="1"/>
  <c r="F718" i="13"/>
  <c r="E718" i="13"/>
  <c r="D718" i="13"/>
  <c r="R717" i="13"/>
  <c r="M717" i="13"/>
  <c r="L717" i="13"/>
  <c r="J717" i="13"/>
  <c r="I717" i="13"/>
  <c r="G717" i="13"/>
  <c r="B717" i="13" s="1"/>
  <c r="F717" i="13"/>
  <c r="E717" i="13"/>
  <c r="D717" i="13"/>
  <c r="R716" i="13"/>
  <c r="M716" i="13"/>
  <c r="L716" i="13"/>
  <c r="J716" i="13"/>
  <c r="I716" i="13"/>
  <c r="G716" i="13"/>
  <c r="B716" i="13" s="1"/>
  <c r="F716" i="13"/>
  <c r="E716" i="13"/>
  <c r="D716" i="13"/>
  <c r="R715" i="13"/>
  <c r="M715" i="13"/>
  <c r="L715" i="13"/>
  <c r="J715" i="13"/>
  <c r="I715" i="13"/>
  <c r="G715" i="13"/>
  <c r="B715" i="13" s="1"/>
  <c r="F715" i="13"/>
  <c r="E715" i="13"/>
  <c r="D715" i="13"/>
  <c r="R714" i="13"/>
  <c r="M714" i="13"/>
  <c r="L714" i="13"/>
  <c r="J714" i="13"/>
  <c r="I714" i="13"/>
  <c r="G714" i="13"/>
  <c r="B714" i="13" s="1"/>
  <c r="F714" i="13"/>
  <c r="E714" i="13"/>
  <c r="D714" i="13"/>
  <c r="R713" i="13"/>
  <c r="M713" i="13"/>
  <c r="L713" i="13"/>
  <c r="J713" i="13"/>
  <c r="I713" i="13"/>
  <c r="G713" i="13"/>
  <c r="B713" i="13" s="1"/>
  <c r="F713" i="13"/>
  <c r="E713" i="13"/>
  <c r="D713" i="13"/>
  <c r="R712" i="13"/>
  <c r="M712" i="13"/>
  <c r="L712" i="13"/>
  <c r="J712" i="13"/>
  <c r="I712" i="13"/>
  <c r="G712" i="13"/>
  <c r="B712" i="13" s="1"/>
  <c r="F712" i="13"/>
  <c r="E712" i="13"/>
  <c r="D712" i="13"/>
  <c r="R711" i="13"/>
  <c r="M711" i="13"/>
  <c r="L711" i="13"/>
  <c r="J711" i="13"/>
  <c r="I711" i="13"/>
  <c r="G711" i="13"/>
  <c r="B711" i="13" s="1"/>
  <c r="F711" i="13"/>
  <c r="E711" i="13"/>
  <c r="D711" i="13"/>
  <c r="R710" i="13"/>
  <c r="M710" i="13"/>
  <c r="L710" i="13"/>
  <c r="J710" i="13"/>
  <c r="I710" i="13"/>
  <c r="G710" i="13"/>
  <c r="B710" i="13" s="1"/>
  <c r="F710" i="13"/>
  <c r="E710" i="13"/>
  <c r="D710" i="13"/>
  <c r="R709" i="13"/>
  <c r="M709" i="13"/>
  <c r="L709" i="13"/>
  <c r="J709" i="13"/>
  <c r="I709" i="13"/>
  <c r="G709" i="13"/>
  <c r="B709" i="13" s="1"/>
  <c r="F709" i="13"/>
  <c r="E709" i="13"/>
  <c r="D709" i="13"/>
  <c r="R708" i="13"/>
  <c r="M708" i="13"/>
  <c r="L708" i="13"/>
  <c r="J708" i="13"/>
  <c r="I708" i="13"/>
  <c r="G708" i="13"/>
  <c r="B708" i="13" s="1"/>
  <c r="F708" i="13"/>
  <c r="E708" i="13"/>
  <c r="D708" i="13"/>
  <c r="R707" i="13"/>
  <c r="M707" i="13"/>
  <c r="L707" i="13"/>
  <c r="J707" i="13"/>
  <c r="I707" i="13"/>
  <c r="G707" i="13"/>
  <c r="B707" i="13" s="1"/>
  <c r="F707" i="13"/>
  <c r="E707" i="13"/>
  <c r="D707" i="13"/>
  <c r="R706" i="13"/>
  <c r="M706" i="13"/>
  <c r="L706" i="13"/>
  <c r="J706" i="13"/>
  <c r="I706" i="13"/>
  <c r="G706" i="13"/>
  <c r="B706" i="13" s="1"/>
  <c r="F706" i="13"/>
  <c r="E706" i="13"/>
  <c r="D706" i="13"/>
  <c r="R705" i="13"/>
  <c r="M705" i="13"/>
  <c r="L705" i="13"/>
  <c r="J705" i="13"/>
  <c r="I705" i="13"/>
  <c r="G705" i="13"/>
  <c r="B705" i="13" s="1"/>
  <c r="F705" i="13"/>
  <c r="E705" i="13"/>
  <c r="D705" i="13"/>
  <c r="R704" i="13"/>
  <c r="M704" i="13"/>
  <c r="L704" i="13"/>
  <c r="J704" i="13"/>
  <c r="I704" i="13"/>
  <c r="G704" i="13"/>
  <c r="B704" i="13" s="1"/>
  <c r="F704" i="13"/>
  <c r="E704" i="13"/>
  <c r="D704" i="13"/>
  <c r="R703" i="13"/>
  <c r="M703" i="13"/>
  <c r="L703" i="13"/>
  <c r="J703" i="13"/>
  <c r="I703" i="13"/>
  <c r="G703" i="13"/>
  <c r="B703" i="13" s="1"/>
  <c r="F703" i="13"/>
  <c r="E703" i="13"/>
  <c r="D703" i="13"/>
  <c r="R702" i="13"/>
  <c r="M702" i="13"/>
  <c r="L702" i="13"/>
  <c r="J702" i="13"/>
  <c r="I702" i="13"/>
  <c r="G702" i="13"/>
  <c r="B702" i="13" s="1"/>
  <c r="F702" i="13"/>
  <c r="E702" i="13"/>
  <c r="D702" i="13"/>
  <c r="R701" i="13"/>
  <c r="M701" i="13"/>
  <c r="L701" i="13"/>
  <c r="J701" i="13"/>
  <c r="I701" i="13"/>
  <c r="G701" i="13"/>
  <c r="B701" i="13" s="1"/>
  <c r="F701" i="13"/>
  <c r="E701" i="13"/>
  <c r="D701" i="13"/>
  <c r="R700" i="13"/>
  <c r="M700" i="13"/>
  <c r="L700" i="13"/>
  <c r="J700" i="13"/>
  <c r="I700" i="13"/>
  <c r="G700" i="13"/>
  <c r="B700" i="13" s="1"/>
  <c r="F700" i="13"/>
  <c r="E700" i="13"/>
  <c r="D700" i="13"/>
  <c r="R699" i="13"/>
  <c r="M699" i="13"/>
  <c r="L699" i="13"/>
  <c r="J699" i="13"/>
  <c r="I699" i="13"/>
  <c r="G699" i="13"/>
  <c r="B699" i="13" s="1"/>
  <c r="F699" i="13"/>
  <c r="E699" i="13"/>
  <c r="D699" i="13"/>
  <c r="R698" i="13"/>
  <c r="M698" i="13"/>
  <c r="L698" i="13"/>
  <c r="J698" i="13"/>
  <c r="I698" i="13"/>
  <c r="G698" i="13"/>
  <c r="B698" i="13" s="1"/>
  <c r="F698" i="13"/>
  <c r="E698" i="13"/>
  <c r="D698" i="13"/>
  <c r="R697" i="13"/>
  <c r="M697" i="13"/>
  <c r="L697" i="13"/>
  <c r="J697" i="13"/>
  <c r="I697" i="13"/>
  <c r="G697" i="13"/>
  <c r="B697" i="13" s="1"/>
  <c r="F697" i="13"/>
  <c r="E697" i="13"/>
  <c r="D697" i="13"/>
  <c r="R696" i="13"/>
  <c r="M696" i="13"/>
  <c r="L696" i="13"/>
  <c r="J696" i="13"/>
  <c r="I696" i="13"/>
  <c r="G696" i="13"/>
  <c r="B696" i="13" s="1"/>
  <c r="F696" i="13"/>
  <c r="E696" i="13"/>
  <c r="D696" i="13"/>
  <c r="R695" i="13"/>
  <c r="M695" i="13"/>
  <c r="L695" i="13"/>
  <c r="J695" i="13"/>
  <c r="I695" i="13"/>
  <c r="G695" i="13"/>
  <c r="B695" i="13" s="1"/>
  <c r="F695" i="13"/>
  <c r="E695" i="13"/>
  <c r="D695" i="13"/>
  <c r="R694" i="13"/>
  <c r="M694" i="13"/>
  <c r="L694" i="13"/>
  <c r="J694" i="13"/>
  <c r="I694" i="13"/>
  <c r="G694" i="13"/>
  <c r="B694" i="13" s="1"/>
  <c r="F694" i="13"/>
  <c r="E694" i="13"/>
  <c r="D694" i="13"/>
  <c r="R693" i="13"/>
  <c r="M693" i="13"/>
  <c r="L693" i="13"/>
  <c r="J693" i="13"/>
  <c r="I693" i="13"/>
  <c r="G693" i="13"/>
  <c r="B693" i="13" s="1"/>
  <c r="F693" i="13"/>
  <c r="E693" i="13"/>
  <c r="D693" i="13"/>
  <c r="R692" i="13"/>
  <c r="M692" i="13"/>
  <c r="L692" i="13"/>
  <c r="J692" i="13"/>
  <c r="I692" i="13"/>
  <c r="G692" i="13"/>
  <c r="B692" i="13" s="1"/>
  <c r="F692" i="13"/>
  <c r="E692" i="13"/>
  <c r="D692" i="13"/>
  <c r="R691" i="13"/>
  <c r="M691" i="13"/>
  <c r="L691" i="13"/>
  <c r="J691" i="13"/>
  <c r="I691" i="13"/>
  <c r="G691" i="13"/>
  <c r="B691" i="13" s="1"/>
  <c r="F691" i="13"/>
  <c r="E691" i="13"/>
  <c r="D691" i="13"/>
  <c r="R690" i="13"/>
  <c r="M690" i="13"/>
  <c r="L690" i="13"/>
  <c r="J690" i="13"/>
  <c r="I690" i="13"/>
  <c r="G690" i="13"/>
  <c r="B690" i="13" s="1"/>
  <c r="F690" i="13"/>
  <c r="E690" i="13"/>
  <c r="D690" i="13"/>
  <c r="R689" i="13"/>
  <c r="M689" i="13"/>
  <c r="L689" i="13"/>
  <c r="J689" i="13"/>
  <c r="I689" i="13"/>
  <c r="G689" i="13"/>
  <c r="B689" i="13" s="1"/>
  <c r="F689" i="13"/>
  <c r="E689" i="13"/>
  <c r="D689" i="13"/>
  <c r="R688" i="13"/>
  <c r="M688" i="13"/>
  <c r="L688" i="13"/>
  <c r="J688" i="13"/>
  <c r="I688" i="13"/>
  <c r="G688" i="13"/>
  <c r="B688" i="13" s="1"/>
  <c r="F688" i="13"/>
  <c r="E688" i="13"/>
  <c r="D688" i="13"/>
  <c r="R687" i="13"/>
  <c r="M687" i="13"/>
  <c r="L687" i="13"/>
  <c r="J687" i="13"/>
  <c r="I687" i="13"/>
  <c r="G687" i="13"/>
  <c r="B687" i="13" s="1"/>
  <c r="F687" i="13"/>
  <c r="E687" i="13"/>
  <c r="D687" i="13"/>
  <c r="R686" i="13"/>
  <c r="M686" i="13"/>
  <c r="L686" i="13"/>
  <c r="J686" i="13"/>
  <c r="I686" i="13"/>
  <c r="G686" i="13"/>
  <c r="B686" i="13" s="1"/>
  <c r="F686" i="13"/>
  <c r="E686" i="13"/>
  <c r="D686" i="13"/>
  <c r="R685" i="13"/>
  <c r="M685" i="13"/>
  <c r="L685" i="13"/>
  <c r="J685" i="13"/>
  <c r="I685" i="13"/>
  <c r="G685" i="13"/>
  <c r="B685" i="13" s="1"/>
  <c r="F685" i="13"/>
  <c r="E685" i="13"/>
  <c r="D685" i="13"/>
  <c r="R684" i="13"/>
  <c r="M684" i="13"/>
  <c r="L684" i="13"/>
  <c r="J684" i="13"/>
  <c r="I684" i="13"/>
  <c r="G684" i="13"/>
  <c r="B684" i="13" s="1"/>
  <c r="F684" i="13"/>
  <c r="E684" i="13"/>
  <c r="D684" i="13"/>
  <c r="R683" i="13"/>
  <c r="M683" i="13"/>
  <c r="L683" i="13"/>
  <c r="J683" i="13"/>
  <c r="I683" i="13"/>
  <c r="G683" i="13"/>
  <c r="B683" i="13" s="1"/>
  <c r="F683" i="13"/>
  <c r="E683" i="13"/>
  <c r="D683" i="13"/>
  <c r="R682" i="13"/>
  <c r="M682" i="13"/>
  <c r="L682" i="13"/>
  <c r="J682" i="13"/>
  <c r="I682" i="13"/>
  <c r="G682" i="13"/>
  <c r="B682" i="13" s="1"/>
  <c r="F682" i="13"/>
  <c r="E682" i="13"/>
  <c r="D682" i="13"/>
  <c r="R681" i="13"/>
  <c r="M681" i="13"/>
  <c r="L681" i="13"/>
  <c r="J681" i="13"/>
  <c r="I681" i="13"/>
  <c r="G681" i="13"/>
  <c r="B681" i="13" s="1"/>
  <c r="F681" i="13"/>
  <c r="E681" i="13"/>
  <c r="D681" i="13"/>
  <c r="R680" i="13"/>
  <c r="M680" i="13"/>
  <c r="L680" i="13"/>
  <c r="J680" i="13"/>
  <c r="I680" i="13"/>
  <c r="G680" i="13"/>
  <c r="B680" i="13" s="1"/>
  <c r="F680" i="13"/>
  <c r="E680" i="13"/>
  <c r="D680" i="13"/>
  <c r="R679" i="13"/>
  <c r="M679" i="13"/>
  <c r="L679" i="13"/>
  <c r="J679" i="13"/>
  <c r="I679" i="13"/>
  <c r="G679" i="13"/>
  <c r="B679" i="13" s="1"/>
  <c r="F679" i="13"/>
  <c r="E679" i="13"/>
  <c r="D679" i="13"/>
  <c r="R678" i="13"/>
  <c r="M678" i="13"/>
  <c r="L678" i="13"/>
  <c r="J678" i="13"/>
  <c r="I678" i="13"/>
  <c r="G678" i="13"/>
  <c r="B678" i="13" s="1"/>
  <c r="F678" i="13"/>
  <c r="E678" i="13"/>
  <c r="D678" i="13"/>
  <c r="R677" i="13"/>
  <c r="M677" i="13"/>
  <c r="L677" i="13"/>
  <c r="J677" i="13"/>
  <c r="I677" i="13"/>
  <c r="G677" i="13"/>
  <c r="B677" i="13" s="1"/>
  <c r="F677" i="13"/>
  <c r="E677" i="13"/>
  <c r="D677" i="13"/>
  <c r="R676" i="13"/>
  <c r="M676" i="13"/>
  <c r="L676" i="13"/>
  <c r="J676" i="13"/>
  <c r="I676" i="13"/>
  <c r="G676" i="13"/>
  <c r="B676" i="13" s="1"/>
  <c r="F676" i="13"/>
  <c r="E676" i="13"/>
  <c r="D676" i="13"/>
  <c r="R675" i="13"/>
  <c r="M675" i="13"/>
  <c r="L675" i="13"/>
  <c r="J675" i="13"/>
  <c r="I675" i="13"/>
  <c r="G675" i="13"/>
  <c r="B675" i="13" s="1"/>
  <c r="F675" i="13"/>
  <c r="E675" i="13"/>
  <c r="D675" i="13"/>
  <c r="R674" i="13"/>
  <c r="M674" i="13"/>
  <c r="L674" i="13"/>
  <c r="J674" i="13"/>
  <c r="I674" i="13"/>
  <c r="G674" i="13"/>
  <c r="B674" i="13" s="1"/>
  <c r="F674" i="13"/>
  <c r="E674" i="13"/>
  <c r="D674" i="13"/>
  <c r="R673" i="13"/>
  <c r="M673" i="13"/>
  <c r="L673" i="13"/>
  <c r="J673" i="13"/>
  <c r="I673" i="13"/>
  <c r="G673" i="13"/>
  <c r="B673" i="13" s="1"/>
  <c r="F673" i="13"/>
  <c r="E673" i="13"/>
  <c r="D673" i="13"/>
  <c r="R672" i="13"/>
  <c r="M672" i="13"/>
  <c r="L672" i="13"/>
  <c r="J672" i="13"/>
  <c r="I672" i="13"/>
  <c r="G672" i="13"/>
  <c r="B672" i="13" s="1"/>
  <c r="F672" i="13"/>
  <c r="E672" i="13"/>
  <c r="D672" i="13"/>
  <c r="R671" i="13"/>
  <c r="M671" i="13"/>
  <c r="L671" i="13"/>
  <c r="J671" i="13"/>
  <c r="I671" i="13"/>
  <c r="G671" i="13"/>
  <c r="B671" i="13" s="1"/>
  <c r="F671" i="13"/>
  <c r="E671" i="13"/>
  <c r="D671" i="13"/>
  <c r="R670" i="13"/>
  <c r="M670" i="13"/>
  <c r="L670" i="13"/>
  <c r="J670" i="13"/>
  <c r="I670" i="13"/>
  <c r="G670" i="13"/>
  <c r="B670" i="13" s="1"/>
  <c r="F670" i="13"/>
  <c r="E670" i="13"/>
  <c r="D670" i="13"/>
  <c r="R669" i="13"/>
  <c r="M669" i="13"/>
  <c r="L669" i="13"/>
  <c r="J669" i="13"/>
  <c r="I669" i="13"/>
  <c r="G669" i="13"/>
  <c r="B669" i="13" s="1"/>
  <c r="F669" i="13"/>
  <c r="E669" i="13"/>
  <c r="D669" i="13"/>
  <c r="R668" i="13"/>
  <c r="M668" i="13"/>
  <c r="L668" i="13"/>
  <c r="J668" i="13"/>
  <c r="I668" i="13"/>
  <c r="G668" i="13"/>
  <c r="B668" i="13" s="1"/>
  <c r="F668" i="13"/>
  <c r="E668" i="13"/>
  <c r="D668" i="13"/>
  <c r="R667" i="13"/>
  <c r="M667" i="13"/>
  <c r="L667" i="13"/>
  <c r="J667" i="13"/>
  <c r="I667" i="13"/>
  <c r="G667" i="13"/>
  <c r="B667" i="13" s="1"/>
  <c r="F667" i="13"/>
  <c r="E667" i="13"/>
  <c r="D667" i="13"/>
  <c r="R666" i="13"/>
  <c r="M666" i="13"/>
  <c r="L666" i="13"/>
  <c r="J666" i="13"/>
  <c r="I666" i="13"/>
  <c r="G666" i="13"/>
  <c r="B666" i="13" s="1"/>
  <c r="F666" i="13"/>
  <c r="E666" i="13"/>
  <c r="D666" i="13"/>
  <c r="R665" i="13"/>
  <c r="M665" i="13"/>
  <c r="L665" i="13"/>
  <c r="J665" i="13"/>
  <c r="I665" i="13"/>
  <c r="G665" i="13"/>
  <c r="B665" i="13" s="1"/>
  <c r="F665" i="13"/>
  <c r="E665" i="13"/>
  <c r="D665" i="13"/>
  <c r="R664" i="13"/>
  <c r="M664" i="13"/>
  <c r="L664" i="13"/>
  <c r="J664" i="13"/>
  <c r="I664" i="13"/>
  <c r="G664" i="13"/>
  <c r="B664" i="13" s="1"/>
  <c r="F664" i="13"/>
  <c r="E664" i="13"/>
  <c r="D664" i="13"/>
  <c r="R663" i="13"/>
  <c r="M663" i="13"/>
  <c r="L663" i="13"/>
  <c r="J663" i="13"/>
  <c r="I663" i="13"/>
  <c r="G663" i="13"/>
  <c r="B663" i="13" s="1"/>
  <c r="F663" i="13"/>
  <c r="E663" i="13"/>
  <c r="D663" i="13"/>
  <c r="R662" i="13"/>
  <c r="M662" i="13"/>
  <c r="L662" i="13"/>
  <c r="J662" i="13"/>
  <c r="I662" i="13"/>
  <c r="G662" i="13"/>
  <c r="B662" i="13" s="1"/>
  <c r="F662" i="13"/>
  <c r="E662" i="13"/>
  <c r="D662" i="13"/>
  <c r="R661" i="13"/>
  <c r="M661" i="13"/>
  <c r="L661" i="13"/>
  <c r="J661" i="13"/>
  <c r="I661" i="13"/>
  <c r="G661" i="13"/>
  <c r="B661" i="13" s="1"/>
  <c r="F661" i="13"/>
  <c r="E661" i="13"/>
  <c r="D661" i="13"/>
  <c r="R660" i="13"/>
  <c r="M660" i="13"/>
  <c r="L660" i="13"/>
  <c r="J660" i="13"/>
  <c r="I660" i="13"/>
  <c r="G660" i="13"/>
  <c r="B660" i="13" s="1"/>
  <c r="F660" i="13"/>
  <c r="E660" i="13"/>
  <c r="D660" i="13"/>
  <c r="R659" i="13"/>
  <c r="M659" i="13"/>
  <c r="L659" i="13"/>
  <c r="J659" i="13"/>
  <c r="I659" i="13"/>
  <c r="G659" i="13"/>
  <c r="B659" i="13" s="1"/>
  <c r="F659" i="13"/>
  <c r="E659" i="13"/>
  <c r="D659" i="13"/>
  <c r="R658" i="13"/>
  <c r="M658" i="13"/>
  <c r="L658" i="13"/>
  <c r="J658" i="13"/>
  <c r="I658" i="13"/>
  <c r="G658" i="13"/>
  <c r="B658" i="13" s="1"/>
  <c r="F658" i="13"/>
  <c r="E658" i="13"/>
  <c r="D658" i="13"/>
  <c r="R657" i="13"/>
  <c r="M657" i="13"/>
  <c r="L657" i="13"/>
  <c r="J657" i="13"/>
  <c r="I657" i="13"/>
  <c r="G657" i="13"/>
  <c r="B657" i="13" s="1"/>
  <c r="F657" i="13"/>
  <c r="E657" i="13"/>
  <c r="D657" i="13"/>
  <c r="R656" i="13"/>
  <c r="M656" i="13"/>
  <c r="L656" i="13"/>
  <c r="J656" i="13"/>
  <c r="I656" i="13"/>
  <c r="G656" i="13"/>
  <c r="B656" i="13" s="1"/>
  <c r="F656" i="13"/>
  <c r="E656" i="13"/>
  <c r="D656" i="13"/>
  <c r="R655" i="13"/>
  <c r="M655" i="13"/>
  <c r="L655" i="13"/>
  <c r="J655" i="13"/>
  <c r="I655" i="13"/>
  <c r="G655" i="13"/>
  <c r="B655" i="13" s="1"/>
  <c r="F655" i="13"/>
  <c r="E655" i="13"/>
  <c r="D655" i="13"/>
  <c r="R654" i="13"/>
  <c r="M654" i="13"/>
  <c r="L654" i="13"/>
  <c r="J654" i="13"/>
  <c r="I654" i="13"/>
  <c r="G654" i="13"/>
  <c r="B654" i="13" s="1"/>
  <c r="F654" i="13"/>
  <c r="E654" i="13"/>
  <c r="D654" i="13"/>
  <c r="R653" i="13"/>
  <c r="M653" i="13"/>
  <c r="L653" i="13"/>
  <c r="J653" i="13"/>
  <c r="I653" i="13"/>
  <c r="G653" i="13"/>
  <c r="B653" i="13" s="1"/>
  <c r="F653" i="13"/>
  <c r="E653" i="13"/>
  <c r="D653" i="13"/>
  <c r="R652" i="13"/>
  <c r="M652" i="13"/>
  <c r="L652" i="13"/>
  <c r="J652" i="13"/>
  <c r="I652" i="13"/>
  <c r="G652" i="13"/>
  <c r="B652" i="13" s="1"/>
  <c r="F652" i="13"/>
  <c r="E652" i="13"/>
  <c r="D652" i="13"/>
  <c r="R651" i="13"/>
  <c r="M651" i="13"/>
  <c r="L651" i="13"/>
  <c r="J651" i="13"/>
  <c r="I651" i="13"/>
  <c r="G651" i="13"/>
  <c r="B651" i="13" s="1"/>
  <c r="F651" i="13"/>
  <c r="E651" i="13"/>
  <c r="D651" i="13"/>
  <c r="R650" i="13"/>
  <c r="M650" i="13"/>
  <c r="L650" i="13"/>
  <c r="J650" i="13"/>
  <c r="I650" i="13"/>
  <c r="G650" i="13"/>
  <c r="B650" i="13" s="1"/>
  <c r="F650" i="13"/>
  <c r="E650" i="13"/>
  <c r="D650" i="13"/>
  <c r="R649" i="13"/>
  <c r="M649" i="13"/>
  <c r="L649" i="13"/>
  <c r="J649" i="13"/>
  <c r="I649" i="13"/>
  <c r="G649" i="13"/>
  <c r="B649" i="13" s="1"/>
  <c r="F649" i="13"/>
  <c r="E649" i="13"/>
  <c r="D649" i="13"/>
  <c r="R648" i="13"/>
  <c r="M648" i="13"/>
  <c r="L648" i="13"/>
  <c r="J648" i="13"/>
  <c r="I648" i="13"/>
  <c r="G648" i="13"/>
  <c r="B648" i="13" s="1"/>
  <c r="F648" i="13"/>
  <c r="E648" i="13"/>
  <c r="D648" i="13"/>
  <c r="R647" i="13"/>
  <c r="M647" i="13"/>
  <c r="L647" i="13"/>
  <c r="J647" i="13"/>
  <c r="I647" i="13"/>
  <c r="G647" i="13"/>
  <c r="B647" i="13" s="1"/>
  <c r="F647" i="13"/>
  <c r="E647" i="13"/>
  <c r="D647" i="13"/>
  <c r="R646" i="13"/>
  <c r="M646" i="13"/>
  <c r="L646" i="13"/>
  <c r="J646" i="13"/>
  <c r="I646" i="13"/>
  <c r="G646" i="13"/>
  <c r="B646" i="13" s="1"/>
  <c r="F646" i="13"/>
  <c r="E646" i="13"/>
  <c r="D646" i="13"/>
  <c r="R645" i="13"/>
  <c r="M645" i="13"/>
  <c r="L645" i="13"/>
  <c r="J645" i="13"/>
  <c r="I645" i="13"/>
  <c r="G645" i="13"/>
  <c r="B645" i="13" s="1"/>
  <c r="F645" i="13"/>
  <c r="E645" i="13"/>
  <c r="D645" i="13"/>
  <c r="R644" i="13"/>
  <c r="M644" i="13"/>
  <c r="L644" i="13"/>
  <c r="J644" i="13"/>
  <c r="I644" i="13"/>
  <c r="G644" i="13"/>
  <c r="B644" i="13" s="1"/>
  <c r="F644" i="13"/>
  <c r="E644" i="13"/>
  <c r="D644" i="13"/>
  <c r="R643" i="13"/>
  <c r="M643" i="13"/>
  <c r="L643" i="13"/>
  <c r="J643" i="13"/>
  <c r="I643" i="13"/>
  <c r="G643" i="13"/>
  <c r="B643" i="13" s="1"/>
  <c r="F643" i="13"/>
  <c r="E643" i="13"/>
  <c r="D643" i="13"/>
  <c r="R642" i="13"/>
  <c r="M642" i="13"/>
  <c r="L642" i="13"/>
  <c r="J642" i="13"/>
  <c r="I642" i="13"/>
  <c r="G642" i="13"/>
  <c r="B642" i="13" s="1"/>
  <c r="F642" i="13"/>
  <c r="E642" i="13"/>
  <c r="D642" i="13"/>
  <c r="R641" i="13"/>
  <c r="M641" i="13"/>
  <c r="L641" i="13"/>
  <c r="J641" i="13"/>
  <c r="I641" i="13"/>
  <c r="G641" i="13"/>
  <c r="B641" i="13" s="1"/>
  <c r="F641" i="13"/>
  <c r="E641" i="13"/>
  <c r="D641" i="13"/>
  <c r="R640" i="13"/>
  <c r="M640" i="13"/>
  <c r="L640" i="13"/>
  <c r="J640" i="13"/>
  <c r="I640" i="13"/>
  <c r="G640" i="13"/>
  <c r="B640" i="13" s="1"/>
  <c r="F640" i="13"/>
  <c r="E640" i="13"/>
  <c r="D640" i="13"/>
  <c r="R639" i="13"/>
  <c r="M639" i="13"/>
  <c r="L639" i="13"/>
  <c r="J639" i="13"/>
  <c r="I639" i="13"/>
  <c r="G639" i="13"/>
  <c r="B639" i="13" s="1"/>
  <c r="F639" i="13"/>
  <c r="E639" i="13"/>
  <c r="D639" i="13"/>
  <c r="R638" i="13"/>
  <c r="M638" i="13"/>
  <c r="L638" i="13"/>
  <c r="J638" i="13"/>
  <c r="I638" i="13"/>
  <c r="G638" i="13"/>
  <c r="B638" i="13" s="1"/>
  <c r="F638" i="13"/>
  <c r="E638" i="13"/>
  <c r="D638" i="13"/>
  <c r="R637" i="13"/>
  <c r="M637" i="13"/>
  <c r="L637" i="13"/>
  <c r="J637" i="13"/>
  <c r="I637" i="13"/>
  <c r="G637" i="13"/>
  <c r="B637" i="13" s="1"/>
  <c r="F637" i="13"/>
  <c r="E637" i="13"/>
  <c r="D637" i="13"/>
  <c r="R636" i="13"/>
  <c r="M636" i="13"/>
  <c r="L636" i="13"/>
  <c r="J636" i="13"/>
  <c r="I636" i="13"/>
  <c r="G636" i="13"/>
  <c r="B636" i="13" s="1"/>
  <c r="F636" i="13"/>
  <c r="E636" i="13"/>
  <c r="D636" i="13"/>
  <c r="R635" i="13"/>
  <c r="M635" i="13"/>
  <c r="L635" i="13"/>
  <c r="J635" i="13"/>
  <c r="I635" i="13"/>
  <c r="G635" i="13"/>
  <c r="B635" i="13" s="1"/>
  <c r="F635" i="13"/>
  <c r="E635" i="13"/>
  <c r="D635" i="13"/>
  <c r="R634" i="13"/>
  <c r="M634" i="13"/>
  <c r="L634" i="13"/>
  <c r="J634" i="13"/>
  <c r="I634" i="13"/>
  <c r="G634" i="13"/>
  <c r="B634" i="13" s="1"/>
  <c r="F634" i="13"/>
  <c r="E634" i="13"/>
  <c r="D634" i="13"/>
  <c r="R633" i="13"/>
  <c r="M633" i="13"/>
  <c r="L633" i="13"/>
  <c r="J633" i="13"/>
  <c r="I633" i="13"/>
  <c r="G633" i="13"/>
  <c r="B633" i="13" s="1"/>
  <c r="F633" i="13"/>
  <c r="E633" i="13"/>
  <c r="D633" i="13"/>
  <c r="R632" i="13"/>
  <c r="M632" i="13"/>
  <c r="L632" i="13"/>
  <c r="J632" i="13"/>
  <c r="I632" i="13"/>
  <c r="G632" i="13"/>
  <c r="B632" i="13" s="1"/>
  <c r="F632" i="13"/>
  <c r="E632" i="13"/>
  <c r="D632" i="13"/>
  <c r="R631" i="13"/>
  <c r="M631" i="13"/>
  <c r="L631" i="13"/>
  <c r="J631" i="13"/>
  <c r="I631" i="13"/>
  <c r="G631" i="13"/>
  <c r="B631" i="13" s="1"/>
  <c r="F631" i="13"/>
  <c r="E631" i="13"/>
  <c r="D631" i="13"/>
  <c r="R630" i="13"/>
  <c r="M630" i="13"/>
  <c r="L630" i="13"/>
  <c r="J630" i="13"/>
  <c r="I630" i="13"/>
  <c r="G630" i="13"/>
  <c r="B630" i="13" s="1"/>
  <c r="F630" i="13"/>
  <c r="E630" i="13"/>
  <c r="D630" i="13"/>
  <c r="R629" i="13"/>
  <c r="M629" i="13"/>
  <c r="L629" i="13"/>
  <c r="J629" i="13"/>
  <c r="I629" i="13"/>
  <c r="G629" i="13"/>
  <c r="B629" i="13" s="1"/>
  <c r="F629" i="13"/>
  <c r="E629" i="13"/>
  <c r="D629" i="13"/>
  <c r="R628" i="13"/>
  <c r="M628" i="13"/>
  <c r="L628" i="13"/>
  <c r="J628" i="13"/>
  <c r="I628" i="13"/>
  <c r="G628" i="13"/>
  <c r="B628" i="13" s="1"/>
  <c r="F628" i="13"/>
  <c r="E628" i="13"/>
  <c r="D628" i="13"/>
  <c r="R627" i="13"/>
  <c r="M627" i="13"/>
  <c r="L627" i="13"/>
  <c r="J627" i="13"/>
  <c r="I627" i="13"/>
  <c r="G627" i="13"/>
  <c r="B627" i="13" s="1"/>
  <c r="F627" i="13"/>
  <c r="E627" i="13"/>
  <c r="D627" i="13"/>
  <c r="R626" i="13"/>
  <c r="M626" i="13"/>
  <c r="L626" i="13"/>
  <c r="J626" i="13"/>
  <c r="I626" i="13"/>
  <c r="G626" i="13"/>
  <c r="B626" i="13" s="1"/>
  <c r="F626" i="13"/>
  <c r="E626" i="13"/>
  <c r="D626" i="13"/>
  <c r="R625" i="13"/>
  <c r="M625" i="13"/>
  <c r="L625" i="13"/>
  <c r="J625" i="13"/>
  <c r="I625" i="13"/>
  <c r="G625" i="13"/>
  <c r="B625" i="13" s="1"/>
  <c r="F625" i="13"/>
  <c r="E625" i="13"/>
  <c r="D625" i="13"/>
  <c r="R624" i="13"/>
  <c r="M624" i="13"/>
  <c r="L624" i="13"/>
  <c r="J624" i="13"/>
  <c r="I624" i="13"/>
  <c r="G624" i="13"/>
  <c r="B624" i="13" s="1"/>
  <c r="F624" i="13"/>
  <c r="E624" i="13"/>
  <c r="D624" i="13"/>
  <c r="R623" i="13"/>
  <c r="M623" i="13"/>
  <c r="L623" i="13"/>
  <c r="J623" i="13"/>
  <c r="I623" i="13"/>
  <c r="G623" i="13"/>
  <c r="B623" i="13" s="1"/>
  <c r="F623" i="13"/>
  <c r="E623" i="13"/>
  <c r="D623" i="13"/>
  <c r="R622" i="13"/>
  <c r="M622" i="13"/>
  <c r="L622" i="13"/>
  <c r="J622" i="13"/>
  <c r="I622" i="13"/>
  <c r="G622" i="13"/>
  <c r="B622" i="13" s="1"/>
  <c r="F622" i="13"/>
  <c r="E622" i="13"/>
  <c r="D622" i="13"/>
  <c r="R621" i="13"/>
  <c r="M621" i="13"/>
  <c r="L621" i="13"/>
  <c r="J621" i="13"/>
  <c r="I621" i="13"/>
  <c r="G621" i="13"/>
  <c r="B621" i="13" s="1"/>
  <c r="F621" i="13"/>
  <c r="E621" i="13"/>
  <c r="D621" i="13"/>
  <c r="R620" i="13"/>
  <c r="M620" i="13"/>
  <c r="L620" i="13"/>
  <c r="J620" i="13"/>
  <c r="I620" i="13"/>
  <c r="G620" i="13"/>
  <c r="B620" i="13" s="1"/>
  <c r="F620" i="13"/>
  <c r="E620" i="13"/>
  <c r="D620" i="13"/>
  <c r="R619" i="13"/>
  <c r="M619" i="13"/>
  <c r="L619" i="13"/>
  <c r="J619" i="13"/>
  <c r="I619" i="13"/>
  <c r="G619" i="13"/>
  <c r="B619" i="13" s="1"/>
  <c r="F619" i="13"/>
  <c r="E619" i="13"/>
  <c r="D619" i="13"/>
  <c r="R618" i="13"/>
  <c r="M618" i="13"/>
  <c r="L618" i="13"/>
  <c r="J618" i="13"/>
  <c r="I618" i="13"/>
  <c r="G618" i="13"/>
  <c r="B618" i="13" s="1"/>
  <c r="F618" i="13"/>
  <c r="E618" i="13"/>
  <c r="D618" i="13"/>
  <c r="R617" i="13"/>
  <c r="M617" i="13"/>
  <c r="L617" i="13"/>
  <c r="J617" i="13"/>
  <c r="I617" i="13"/>
  <c r="G617" i="13"/>
  <c r="B617" i="13" s="1"/>
  <c r="F617" i="13"/>
  <c r="E617" i="13"/>
  <c r="D617" i="13"/>
  <c r="R616" i="13"/>
  <c r="M616" i="13"/>
  <c r="L616" i="13"/>
  <c r="J616" i="13"/>
  <c r="I616" i="13"/>
  <c r="G616" i="13"/>
  <c r="B616" i="13" s="1"/>
  <c r="F616" i="13"/>
  <c r="E616" i="13"/>
  <c r="D616" i="13"/>
  <c r="R615" i="13"/>
  <c r="M615" i="13"/>
  <c r="L615" i="13"/>
  <c r="J615" i="13"/>
  <c r="I615" i="13"/>
  <c r="G615" i="13"/>
  <c r="B615" i="13" s="1"/>
  <c r="F615" i="13"/>
  <c r="E615" i="13"/>
  <c r="D615" i="13"/>
  <c r="R614" i="13"/>
  <c r="M614" i="13"/>
  <c r="L614" i="13"/>
  <c r="J614" i="13"/>
  <c r="I614" i="13"/>
  <c r="G614" i="13"/>
  <c r="B614" i="13" s="1"/>
  <c r="F614" i="13"/>
  <c r="E614" i="13"/>
  <c r="D614" i="13"/>
  <c r="R613" i="13"/>
  <c r="M613" i="13"/>
  <c r="L613" i="13"/>
  <c r="J613" i="13"/>
  <c r="I613" i="13"/>
  <c r="G613" i="13"/>
  <c r="B613" i="13" s="1"/>
  <c r="F613" i="13"/>
  <c r="E613" i="13"/>
  <c r="D613" i="13"/>
  <c r="R612" i="13"/>
  <c r="M612" i="13"/>
  <c r="L612" i="13"/>
  <c r="J612" i="13"/>
  <c r="I612" i="13"/>
  <c r="G612" i="13"/>
  <c r="B612" i="13" s="1"/>
  <c r="F612" i="13"/>
  <c r="E612" i="13"/>
  <c r="D612" i="13"/>
  <c r="R611" i="13"/>
  <c r="M611" i="13"/>
  <c r="L611" i="13"/>
  <c r="J611" i="13"/>
  <c r="I611" i="13"/>
  <c r="G611" i="13"/>
  <c r="B611" i="13" s="1"/>
  <c r="F611" i="13"/>
  <c r="E611" i="13"/>
  <c r="D611" i="13"/>
  <c r="R610" i="13"/>
  <c r="M610" i="13"/>
  <c r="L610" i="13"/>
  <c r="J610" i="13"/>
  <c r="I610" i="13"/>
  <c r="G610" i="13"/>
  <c r="B610" i="13" s="1"/>
  <c r="F610" i="13"/>
  <c r="E610" i="13"/>
  <c r="D610" i="13"/>
  <c r="R609" i="13"/>
  <c r="M609" i="13"/>
  <c r="L609" i="13"/>
  <c r="J609" i="13"/>
  <c r="I609" i="13"/>
  <c r="G609" i="13"/>
  <c r="B609" i="13" s="1"/>
  <c r="F609" i="13"/>
  <c r="E609" i="13"/>
  <c r="D609" i="13"/>
  <c r="R608" i="13"/>
  <c r="M608" i="13"/>
  <c r="L608" i="13"/>
  <c r="J608" i="13"/>
  <c r="I608" i="13"/>
  <c r="G608" i="13"/>
  <c r="B608" i="13" s="1"/>
  <c r="F608" i="13"/>
  <c r="E608" i="13"/>
  <c r="D608" i="13"/>
  <c r="R607" i="13"/>
  <c r="M607" i="13"/>
  <c r="L607" i="13"/>
  <c r="J607" i="13"/>
  <c r="I607" i="13"/>
  <c r="G607" i="13"/>
  <c r="B607" i="13" s="1"/>
  <c r="F607" i="13"/>
  <c r="E607" i="13"/>
  <c r="D607" i="13"/>
  <c r="R606" i="13"/>
  <c r="M606" i="13"/>
  <c r="L606" i="13"/>
  <c r="J606" i="13"/>
  <c r="I606" i="13"/>
  <c r="G606" i="13"/>
  <c r="B606" i="13" s="1"/>
  <c r="F606" i="13"/>
  <c r="E606" i="13"/>
  <c r="D606" i="13"/>
  <c r="R605" i="13"/>
  <c r="M605" i="13"/>
  <c r="L605" i="13"/>
  <c r="J605" i="13"/>
  <c r="I605" i="13"/>
  <c r="G605" i="13"/>
  <c r="B605" i="13" s="1"/>
  <c r="F605" i="13"/>
  <c r="E605" i="13"/>
  <c r="D605" i="13"/>
  <c r="R604" i="13"/>
  <c r="M604" i="13"/>
  <c r="L604" i="13"/>
  <c r="J604" i="13"/>
  <c r="I604" i="13"/>
  <c r="G604" i="13"/>
  <c r="B604" i="13" s="1"/>
  <c r="F604" i="13"/>
  <c r="E604" i="13"/>
  <c r="D604" i="13"/>
  <c r="R603" i="13"/>
  <c r="M603" i="13"/>
  <c r="L603" i="13"/>
  <c r="J603" i="13"/>
  <c r="I603" i="13"/>
  <c r="G603" i="13"/>
  <c r="B603" i="13" s="1"/>
  <c r="F603" i="13"/>
  <c r="E603" i="13"/>
  <c r="D603" i="13"/>
  <c r="R602" i="13"/>
  <c r="M602" i="13"/>
  <c r="L602" i="13"/>
  <c r="J602" i="13"/>
  <c r="I602" i="13"/>
  <c r="G602" i="13"/>
  <c r="B602" i="13" s="1"/>
  <c r="F602" i="13"/>
  <c r="E602" i="13"/>
  <c r="D602" i="13"/>
  <c r="R601" i="13"/>
  <c r="M601" i="13"/>
  <c r="L601" i="13"/>
  <c r="J601" i="13"/>
  <c r="I601" i="13"/>
  <c r="G601" i="13"/>
  <c r="B601" i="13" s="1"/>
  <c r="F601" i="13"/>
  <c r="E601" i="13"/>
  <c r="D601" i="13"/>
  <c r="R600" i="13"/>
  <c r="M600" i="13"/>
  <c r="L600" i="13"/>
  <c r="J600" i="13"/>
  <c r="I600" i="13"/>
  <c r="G600" i="13"/>
  <c r="B600" i="13" s="1"/>
  <c r="F600" i="13"/>
  <c r="E600" i="13"/>
  <c r="D600" i="13"/>
  <c r="R599" i="13"/>
  <c r="M599" i="13"/>
  <c r="L599" i="13"/>
  <c r="J599" i="13"/>
  <c r="I599" i="13"/>
  <c r="G599" i="13"/>
  <c r="B599" i="13" s="1"/>
  <c r="F599" i="13"/>
  <c r="E599" i="13"/>
  <c r="D599" i="13"/>
  <c r="R598" i="13"/>
  <c r="M598" i="13"/>
  <c r="L598" i="13"/>
  <c r="J598" i="13"/>
  <c r="I598" i="13"/>
  <c r="G598" i="13"/>
  <c r="B598" i="13" s="1"/>
  <c r="F598" i="13"/>
  <c r="E598" i="13"/>
  <c r="D598" i="13"/>
  <c r="R597" i="13"/>
  <c r="M597" i="13"/>
  <c r="L597" i="13"/>
  <c r="J597" i="13"/>
  <c r="I597" i="13"/>
  <c r="G597" i="13"/>
  <c r="B597" i="13" s="1"/>
  <c r="F597" i="13"/>
  <c r="E597" i="13"/>
  <c r="D597" i="13"/>
  <c r="R596" i="13"/>
  <c r="M596" i="13"/>
  <c r="L596" i="13"/>
  <c r="J596" i="13"/>
  <c r="I596" i="13"/>
  <c r="G596" i="13"/>
  <c r="B596" i="13" s="1"/>
  <c r="F596" i="13"/>
  <c r="E596" i="13"/>
  <c r="D596" i="13"/>
  <c r="R595" i="13"/>
  <c r="M595" i="13"/>
  <c r="L595" i="13"/>
  <c r="J595" i="13"/>
  <c r="I595" i="13"/>
  <c r="G595" i="13"/>
  <c r="B595" i="13" s="1"/>
  <c r="F595" i="13"/>
  <c r="E595" i="13"/>
  <c r="D595" i="13"/>
  <c r="R594" i="13"/>
  <c r="M594" i="13"/>
  <c r="L594" i="13"/>
  <c r="J594" i="13"/>
  <c r="I594" i="13"/>
  <c r="G594" i="13"/>
  <c r="B594" i="13" s="1"/>
  <c r="F594" i="13"/>
  <c r="E594" i="13"/>
  <c r="D594" i="13"/>
  <c r="R593" i="13"/>
  <c r="M593" i="13"/>
  <c r="L593" i="13"/>
  <c r="J593" i="13"/>
  <c r="I593" i="13"/>
  <c r="G593" i="13"/>
  <c r="B593" i="13" s="1"/>
  <c r="F593" i="13"/>
  <c r="E593" i="13"/>
  <c r="D593" i="13"/>
  <c r="R592" i="13"/>
  <c r="M592" i="13"/>
  <c r="L592" i="13"/>
  <c r="J592" i="13"/>
  <c r="I592" i="13"/>
  <c r="G592" i="13"/>
  <c r="B592" i="13" s="1"/>
  <c r="F592" i="13"/>
  <c r="E592" i="13"/>
  <c r="D592" i="13"/>
  <c r="R591" i="13"/>
  <c r="M591" i="13"/>
  <c r="L591" i="13"/>
  <c r="J591" i="13"/>
  <c r="I591" i="13"/>
  <c r="G591" i="13"/>
  <c r="B591" i="13" s="1"/>
  <c r="F591" i="13"/>
  <c r="E591" i="13"/>
  <c r="D591" i="13"/>
  <c r="R590" i="13"/>
  <c r="M590" i="13"/>
  <c r="L590" i="13"/>
  <c r="J590" i="13"/>
  <c r="I590" i="13"/>
  <c r="G590" i="13"/>
  <c r="B590" i="13" s="1"/>
  <c r="F590" i="13"/>
  <c r="E590" i="13"/>
  <c r="D590" i="13"/>
  <c r="R589" i="13"/>
  <c r="M589" i="13"/>
  <c r="L589" i="13"/>
  <c r="J589" i="13"/>
  <c r="I589" i="13"/>
  <c r="G589" i="13"/>
  <c r="B589" i="13" s="1"/>
  <c r="F589" i="13"/>
  <c r="E589" i="13"/>
  <c r="D589" i="13"/>
  <c r="R588" i="13"/>
  <c r="M588" i="13"/>
  <c r="L588" i="13"/>
  <c r="J588" i="13"/>
  <c r="I588" i="13"/>
  <c r="G588" i="13"/>
  <c r="B588" i="13" s="1"/>
  <c r="F588" i="13"/>
  <c r="E588" i="13"/>
  <c r="D588" i="13"/>
  <c r="R587" i="13"/>
  <c r="M587" i="13"/>
  <c r="L587" i="13"/>
  <c r="J587" i="13"/>
  <c r="I587" i="13"/>
  <c r="G587" i="13"/>
  <c r="B587" i="13" s="1"/>
  <c r="F587" i="13"/>
  <c r="E587" i="13"/>
  <c r="D587" i="13"/>
  <c r="R586" i="13"/>
  <c r="M586" i="13"/>
  <c r="L586" i="13"/>
  <c r="J586" i="13"/>
  <c r="I586" i="13"/>
  <c r="G586" i="13"/>
  <c r="B586" i="13" s="1"/>
  <c r="F586" i="13"/>
  <c r="E586" i="13"/>
  <c r="D586" i="13"/>
  <c r="R585" i="13"/>
  <c r="M585" i="13"/>
  <c r="L585" i="13"/>
  <c r="J585" i="13"/>
  <c r="I585" i="13"/>
  <c r="G585" i="13"/>
  <c r="B585" i="13" s="1"/>
  <c r="F585" i="13"/>
  <c r="E585" i="13"/>
  <c r="D585" i="13"/>
  <c r="R584" i="13"/>
  <c r="M584" i="13"/>
  <c r="L584" i="13"/>
  <c r="J584" i="13"/>
  <c r="I584" i="13"/>
  <c r="G584" i="13"/>
  <c r="B584" i="13" s="1"/>
  <c r="F584" i="13"/>
  <c r="E584" i="13"/>
  <c r="D584" i="13"/>
  <c r="R583" i="13"/>
  <c r="M583" i="13"/>
  <c r="L583" i="13"/>
  <c r="J583" i="13"/>
  <c r="I583" i="13"/>
  <c r="G583" i="13"/>
  <c r="B583" i="13" s="1"/>
  <c r="F583" i="13"/>
  <c r="E583" i="13"/>
  <c r="D583" i="13"/>
  <c r="R582" i="13"/>
  <c r="M582" i="13"/>
  <c r="L582" i="13"/>
  <c r="J582" i="13"/>
  <c r="I582" i="13"/>
  <c r="G582" i="13"/>
  <c r="B582" i="13" s="1"/>
  <c r="F582" i="13"/>
  <c r="E582" i="13"/>
  <c r="D582" i="13"/>
  <c r="R581" i="13"/>
  <c r="M581" i="13"/>
  <c r="L581" i="13"/>
  <c r="J581" i="13"/>
  <c r="I581" i="13"/>
  <c r="G581" i="13"/>
  <c r="B581" i="13" s="1"/>
  <c r="F581" i="13"/>
  <c r="E581" i="13"/>
  <c r="D581" i="13"/>
  <c r="R580" i="13"/>
  <c r="M580" i="13"/>
  <c r="L580" i="13"/>
  <c r="J580" i="13"/>
  <c r="I580" i="13"/>
  <c r="G580" i="13"/>
  <c r="B580" i="13" s="1"/>
  <c r="F580" i="13"/>
  <c r="E580" i="13"/>
  <c r="D580" i="13"/>
  <c r="R579" i="13"/>
  <c r="M579" i="13"/>
  <c r="L579" i="13"/>
  <c r="J579" i="13"/>
  <c r="I579" i="13"/>
  <c r="G579" i="13"/>
  <c r="B579" i="13" s="1"/>
  <c r="F579" i="13"/>
  <c r="E579" i="13"/>
  <c r="D579" i="13"/>
  <c r="R578" i="13"/>
  <c r="M578" i="13"/>
  <c r="L578" i="13"/>
  <c r="J578" i="13"/>
  <c r="I578" i="13"/>
  <c r="G578" i="13"/>
  <c r="B578" i="13" s="1"/>
  <c r="F578" i="13"/>
  <c r="E578" i="13"/>
  <c r="D578" i="13"/>
  <c r="R577" i="13"/>
  <c r="M577" i="13"/>
  <c r="L577" i="13"/>
  <c r="J577" i="13"/>
  <c r="I577" i="13"/>
  <c r="G577" i="13"/>
  <c r="B577" i="13" s="1"/>
  <c r="F577" i="13"/>
  <c r="E577" i="13"/>
  <c r="D577" i="13"/>
  <c r="R576" i="13"/>
  <c r="M576" i="13"/>
  <c r="L576" i="13"/>
  <c r="J576" i="13"/>
  <c r="I576" i="13"/>
  <c r="G576" i="13"/>
  <c r="B576" i="13" s="1"/>
  <c r="F576" i="13"/>
  <c r="E576" i="13"/>
  <c r="D576" i="13"/>
  <c r="R575" i="13"/>
  <c r="M575" i="13"/>
  <c r="L575" i="13"/>
  <c r="J575" i="13"/>
  <c r="I575" i="13"/>
  <c r="G575" i="13"/>
  <c r="B575" i="13" s="1"/>
  <c r="F575" i="13"/>
  <c r="E575" i="13"/>
  <c r="D575" i="13"/>
  <c r="R574" i="13"/>
  <c r="M574" i="13"/>
  <c r="L574" i="13"/>
  <c r="J574" i="13"/>
  <c r="I574" i="13"/>
  <c r="G574" i="13"/>
  <c r="B574" i="13" s="1"/>
  <c r="F574" i="13"/>
  <c r="E574" i="13"/>
  <c r="D574" i="13"/>
  <c r="R573" i="13"/>
  <c r="M573" i="13"/>
  <c r="L573" i="13"/>
  <c r="J573" i="13"/>
  <c r="I573" i="13"/>
  <c r="G573" i="13"/>
  <c r="B573" i="13" s="1"/>
  <c r="F573" i="13"/>
  <c r="E573" i="13"/>
  <c r="D573" i="13"/>
  <c r="R572" i="13"/>
  <c r="M572" i="13"/>
  <c r="L572" i="13"/>
  <c r="J572" i="13"/>
  <c r="I572" i="13"/>
  <c r="G572" i="13"/>
  <c r="B572" i="13" s="1"/>
  <c r="F572" i="13"/>
  <c r="E572" i="13"/>
  <c r="D572" i="13"/>
  <c r="R571" i="13"/>
  <c r="M571" i="13"/>
  <c r="L571" i="13"/>
  <c r="J571" i="13"/>
  <c r="I571" i="13"/>
  <c r="G571" i="13"/>
  <c r="B571" i="13" s="1"/>
  <c r="F571" i="13"/>
  <c r="E571" i="13"/>
  <c r="D571" i="13"/>
  <c r="R570" i="13"/>
  <c r="M570" i="13"/>
  <c r="L570" i="13"/>
  <c r="J570" i="13"/>
  <c r="I570" i="13"/>
  <c r="G570" i="13"/>
  <c r="B570" i="13" s="1"/>
  <c r="F570" i="13"/>
  <c r="E570" i="13"/>
  <c r="D570" i="13"/>
  <c r="R569" i="13"/>
  <c r="M569" i="13"/>
  <c r="L569" i="13"/>
  <c r="J569" i="13"/>
  <c r="I569" i="13"/>
  <c r="G569" i="13"/>
  <c r="B569" i="13" s="1"/>
  <c r="F569" i="13"/>
  <c r="E569" i="13"/>
  <c r="D569" i="13"/>
  <c r="R568" i="13"/>
  <c r="M568" i="13"/>
  <c r="L568" i="13"/>
  <c r="J568" i="13"/>
  <c r="I568" i="13"/>
  <c r="G568" i="13"/>
  <c r="B568" i="13" s="1"/>
  <c r="F568" i="13"/>
  <c r="E568" i="13"/>
  <c r="D568" i="13"/>
  <c r="R567" i="13"/>
  <c r="M567" i="13"/>
  <c r="L567" i="13"/>
  <c r="J567" i="13"/>
  <c r="I567" i="13"/>
  <c r="G567" i="13"/>
  <c r="B567" i="13" s="1"/>
  <c r="F567" i="13"/>
  <c r="E567" i="13"/>
  <c r="D567" i="13"/>
  <c r="R566" i="13"/>
  <c r="M566" i="13"/>
  <c r="L566" i="13"/>
  <c r="J566" i="13"/>
  <c r="I566" i="13"/>
  <c r="G566" i="13"/>
  <c r="B566" i="13" s="1"/>
  <c r="F566" i="13"/>
  <c r="E566" i="13"/>
  <c r="D566" i="13"/>
  <c r="R565" i="13"/>
  <c r="M565" i="13"/>
  <c r="L565" i="13"/>
  <c r="J565" i="13"/>
  <c r="I565" i="13"/>
  <c r="G565" i="13"/>
  <c r="B565" i="13" s="1"/>
  <c r="F565" i="13"/>
  <c r="E565" i="13"/>
  <c r="D565" i="13"/>
  <c r="R564" i="13"/>
  <c r="M564" i="13"/>
  <c r="L564" i="13"/>
  <c r="J564" i="13"/>
  <c r="I564" i="13"/>
  <c r="G564" i="13"/>
  <c r="B564" i="13" s="1"/>
  <c r="F564" i="13"/>
  <c r="E564" i="13"/>
  <c r="D564" i="13"/>
  <c r="R563" i="13"/>
  <c r="M563" i="13"/>
  <c r="L563" i="13"/>
  <c r="J563" i="13"/>
  <c r="I563" i="13"/>
  <c r="G563" i="13"/>
  <c r="B563" i="13" s="1"/>
  <c r="F563" i="13"/>
  <c r="E563" i="13"/>
  <c r="D563" i="13"/>
  <c r="R562" i="13"/>
  <c r="M562" i="13"/>
  <c r="L562" i="13"/>
  <c r="J562" i="13"/>
  <c r="I562" i="13"/>
  <c r="G562" i="13"/>
  <c r="B562" i="13" s="1"/>
  <c r="F562" i="13"/>
  <c r="E562" i="13"/>
  <c r="D562" i="13"/>
  <c r="R561" i="13"/>
  <c r="M561" i="13"/>
  <c r="L561" i="13"/>
  <c r="J561" i="13"/>
  <c r="I561" i="13"/>
  <c r="G561" i="13"/>
  <c r="B561" i="13" s="1"/>
  <c r="F561" i="13"/>
  <c r="E561" i="13"/>
  <c r="D561" i="13"/>
  <c r="R560" i="13"/>
  <c r="M560" i="13"/>
  <c r="L560" i="13"/>
  <c r="J560" i="13"/>
  <c r="I560" i="13"/>
  <c r="G560" i="13"/>
  <c r="B560" i="13" s="1"/>
  <c r="F560" i="13"/>
  <c r="E560" i="13"/>
  <c r="D560" i="13"/>
  <c r="R559" i="13"/>
  <c r="M559" i="13"/>
  <c r="L559" i="13"/>
  <c r="J559" i="13"/>
  <c r="I559" i="13"/>
  <c r="G559" i="13"/>
  <c r="B559" i="13" s="1"/>
  <c r="F559" i="13"/>
  <c r="E559" i="13"/>
  <c r="D559" i="13"/>
  <c r="R558" i="13"/>
  <c r="M558" i="13"/>
  <c r="L558" i="13"/>
  <c r="J558" i="13"/>
  <c r="I558" i="13"/>
  <c r="G558" i="13"/>
  <c r="B558" i="13" s="1"/>
  <c r="F558" i="13"/>
  <c r="E558" i="13"/>
  <c r="D558" i="13"/>
  <c r="R557" i="13"/>
  <c r="M557" i="13"/>
  <c r="L557" i="13"/>
  <c r="J557" i="13"/>
  <c r="I557" i="13"/>
  <c r="G557" i="13"/>
  <c r="B557" i="13" s="1"/>
  <c r="F557" i="13"/>
  <c r="E557" i="13"/>
  <c r="D557" i="13"/>
  <c r="R556" i="13"/>
  <c r="M556" i="13"/>
  <c r="L556" i="13"/>
  <c r="J556" i="13"/>
  <c r="I556" i="13"/>
  <c r="G556" i="13"/>
  <c r="B556" i="13" s="1"/>
  <c r="F556" i="13"/>
  <c r="E556" i="13"/>
  <c r="D556" i="13"/>
  <c r="R555" i="13"/>
  <c r="M555" i="13"/>
  <c r="L555" i="13"/>
  <c r="J555" i="13"/>
  <c r="I555" i="13"/>
  <c r="G555" i="13"/>
  <c r="B555" i="13" s="1"/>
  <c r="F555" i="13"/>
  <c r="E555" i="13"/>
  <c r="D555" i="13"/>
  <c r="R554" i="13"/>
  <c r="M554" i="13"/>
  <c r="L554" i="13"/>
  <c r="J554" i="13"/>
  <c r="I554" i="13"/>
  <c r="G554" i="13"/>
  <c r="B554" i="13" s="1"/>
  <c r="F554" i="13"/>
  <c r="E554" i="13"/>
  <c r="D554" i="13"/>
  <c r="R553" i="13"/>
  <c r="M553" i="13"/>
  <c r="L553" i="13"/>
  <c r="J553" i="13"/>
  <c r="I553" i="13"/>
  <c r="G553" i="13"/>
  <c r="B553" i="13" s="1"/>
  <c r="F553" i="13"/>
  <c r="E553" i="13"/>
  <c r="D553" i="13"/>
  <c r="R552" i="13"/>
  <c r="M552" i="13"/>
  <c r="L552" i="13"/>
  <c r="J552" i="13"/>
  <c r="I552" i="13"/>
  <c r="G552" i="13"/>
  <c r="B552" i="13" s="1"/>
  <c r="F552" i="13"/>
  <c r="E552" i="13"/>
  <c r="D552" i="13"/>
  <c r="R551" i="13"/>
  <c r="M551" i="13"/>
  <c r="L551" i="13"/>
  <c r="J551" i="13"/>
  <c r="I551" i="13"/>
  <c r="G551" i="13"/>
  <c r="B551" i="13" s="1"/>
  <c r="F551" i="13"/>
  <c r="E551" i="13"/>
  <c r="D551" i="13"/>
  <c r="R550" i="13"/>
  <c r="M550" i="13"/>
  <c r="L550" i="13"/>
  <c r="J550" i="13"/>
  <c r="I550" i="13"/>
  <c r="G550" i="13"/>
  <c r="B550" i="13" s="1"/>
  <c r="F550" i="13"/>
  <c r="E550" i="13"/>
  <c r="D550" i="13"/>
  <c r="R549" i="13"/>
  <c r="M549" i="13"/>
  <c r="L549" i="13"/>
  <c r="J549" i="13"/>
  <c r="I549" i="13"/>
  <c r="G549" i="13"/>
  <c r="B549" i="13" s="1"/>
  <c r="F549" i="13"/>
  <c r="E549" i="13"/>
  <c r="D549" i="13"/>
  <c r="R548" i="13"/>
  <c r="M548" i="13"/>
  <c r="L548" i="13"/>
  <c r="J548" i="13"/>
  <c r="I548" i="13"/>
  <c r="G548" i="13"/>
  <c r="B548" i="13" s="1"/>
  <c r="F548" i="13"/>
  <c r="E548" i="13"/>
  <c r="D548" i="13"/>
  <c r="R547" i="13"/>
  <c r="M547" i="13"/>
  <c r="L547" i="13"/>
  <c r="J547" i="13"/>
  <c r="I547" i="13"/>
  <c r="G547" i="13"/>
  <c r="B547" i="13" s="1"/>
  <c r="F547" i="13"/>
  <c r="E547" i="13"/>
  <c r="D547" i="13"/>
  <c r="R546" i="13"/>
  <c r="M546" i="13"/>
  <c r="L546" i="13"/>
  <c r="J546" i="13"/>
  <c r="I546" i="13"/>
  <c r="G546" i="13"/>
  <c r="B546" i="13" s="1"/>
  <c r="F546" i="13"/>
  <c r="E546" i="13"/>
  <c r="D546" i="13"/>
  <c r="R545" i="13"/>
  <c r="M545" i="13"/>
  <c r="L545" i="13"/>
  <c r="J545" i="13"/>
  <c r="I545" i="13"/>
  <c r="G545" i="13"/>
  <c r="B545" i="13" s="1"/>
  <c r="F545" i="13"/>
  <c r="E545" i="13"/>
  <c r="D545" i="13"/>
  <c r="R544" i="13"/>
  <c r="M544" i="13"/>
  <c r="L544" i="13"/>
  <c r="J544" i="13"/>
  <c r="I544" i="13"/>
  <c r="G544" i="13"/>
  <c r="B544" i="13" s="1"/>
  <c r="F544" i="13"/>
  <c r="E544" i="13"/>
  <c r="D544" i="13"/>
  <c r="R543" i="13"/>
  <c r="M543" i="13"/>
  <c r="L543" i="13"/>
  <c r="J543" i="13"/>
  <c r="I543" i="13"/>
  <c r="G543" i="13"/>
  <c r="B543" i="13" s="1"/>
  <c r="F543" i="13"/>
  <c r="E543" i="13"/>
  <c r="D543" i="13"/>
  <c r="R542" i="13"/>
  <c r="M542" i="13"/>
  <c r="L542" i="13"/>
  <c r="J542" i="13"/>
  <c r="I542" i="13"/>
  <c r="G542" i="13"/>
  <c r="B542" i="13" s="1"/>
  <c r="F542" i="13"/>
  <c r="E542" i="13"/>
  <c r="D542" i="13"/>
  <c r="R541" i="13"/>
  <c r="M541" i="13"/>
  <c r="L541" i="13"/>
  <c r="J541" i="13"/>
  <c r="I541" i="13"/>
  <c r="G541" i="13"/>
  <c r="B541" i="13" s="1"/>
  <c r="F541" i="13"/>
  <c r="E541" i="13"/>
  <c r="D541" i="13"/>
  <c r="R540" i="13"/>
  <c r="M540" i="13"/>
  <c r="L540" i="13"/>
  <c r="J540" i="13"/>
  <c r="I540" i="13"/>
  <c r="G540" i="13"/>
  <c r="B540" i="13" s="1"/>
  <c r="F540" i="13"/>
  <c r="E540" i="13"/>
  <c r="D540" i="13"/>
  <c r="R539" i="13"/>
  <c r="M539" i="13"/>
  <c r="L539" i="13"/>
  <c r="J539" i="13"/>
  <c r="I539" i="13"/>
  <c r="G539" i="13"/>
  <c r="B539" i="13" s="1"/>
  <c r="F539" i="13"/>
  <c r="E539" i="13"/>
  <c r="D539" i="13"/>
  <c r="R538" i="13"/>
  <c r="M538" i="13"/>
  <c r="L538" i="13"/>
  <c r="J538" i="13"/>
  <c r="I538" i="13"/>
  <c r="G538" i="13"/>
  <c r="B538" i="13" s="1"/>
  <c r="F538" i="13"/>
  <c r="E538" i="13"/>
  <c r="D538" i="13"/>
  <c r="R537" i="13"/>
  <c r="M537" i="13"/>
  <c r="L537" i="13"/>
  <c r="J537" i="13"/>
  <c r="I537" i="13"/>
  <c r="G537" i="13"/>
  <c r="B537" i="13" s="1"/>
  <c r="F537" i="13"/>
  <c r="E537" i="13"/>
  <c r="D537" i="13"/>
  <c r="R536" i="13"/>
  <c r="M536" i="13"/>
  <c r="L536" i="13"/>
  <c r="J536" i="13"/>
  <c r="I536" i="13"/>
  <c r="G536" i="13"/>
  <c r="B536" i="13" s="1"/>
  <c r="F536" i="13"/>
  <c r="E536" i="13"/>
  <c r="D536" i="13"/>
  <c r="R535" i="13"/>
  <c r="M535" i="13"/>
  <c r="L535" i="13"/>
  <c r="J535" i="13"/>
  <c r="I535" i="13"/>
  <c r="G535" i="13"/>
  <c r="B535" i="13" s="1"/>
  <c r="F535" i="13"/>
  <c r="E535" i="13"/>
  <c r="D535" i="13"/>
  <c r="R534" i="13"/>
  <c r="M534" i="13"/>
  <c r="L534" i="13"/>
  <c r="J534" i="13"/>
  <c r="I534" i="13"/>
  <c r="G534" i="13"/>
  <c r="B534" i="13" s="1"/>
  <c r="F534" i="13"/>
  <c r="E534" i="13"/>
  <c r="D534" i="13"/>
  <c r="R533" i="13"/>
  <c r="M533" i="13"/>
  <c r="L533" i="13"/>
  <c r="J533" i="13"/>
  <c r="I533" i="13"/>
  <c r="G533" i="13"/>
  <c r="B533" i="13" s="1"/>
  <c r="F533" i="13"/>
  <c r="E533" i="13"/>
  <c r="D533" i="13"/>
  <c r="R532" i="13"/>
  <c r="M532" i="13"/>
  <c r="L532" i="13"/>
  <c r="J532" i="13"/>
  <c r="I532" i="13"/>
  <c r="G532" i="13"/>
  <c r="B532" i="13" s="1"/>
  <c r="F532" i="13"/>
  <c r="E532" i="13"/>
  <c r="D532" i="13"/>
  <c r="R531" i="13"/>
  <c r="M531" i="13"/>
  <c r="L531" i="13"/>
  <c r="J531" i="13"/>
  <c r="I531" i="13"/>
  <c r="G531" i="13"/>
  <c r="B531" i="13" s="1"/>
  <c r="F531" i="13"/>
  <c r="E531" i="13"/>
  <c r="D531" i="13"/>
  <c r="R530" i="13"/>
  <c r="M530" i="13"/>
  <c r="L530" i="13"/>
  <c r="J530" i="13"/>
  <c r="I530" i="13"/>
  <c r="G530" i="13"/>
  <c r="B530" i="13" s="1"/>
  <c r="F530" i="13"/>
  <c r="E530" i="13"/>
  <c r="D530" i="13"/>
  <c r="R529" i="13"/>
  <c r="M529" i="13"/>
  <c r="L529" i="13"/>
  <c r="J529" i="13"/>
  <c r="I529" i="13"/>
  <c r="G529" i="13"/>
  <c r="B529" i="13" s="1"/>
  <c r="F529" i="13"/>
  <c r="E529" i="13"/>
  <c r="D529" i="13"/>
  <c r="R528" i="13"/>
  <c r="M528" i="13"/>
  <c r="L528" i="13"/>
  <c r="J528" i="13"/>
  <c r="I528" i="13"/>
  <c r="G528" i="13"/>
  <c r="B528" i="13" s="1"/>
  <c r="F528" i="13"/>
  <c r="E528" i="13"/>
  <c r="D528" i="13"/>
  <c r="R527" i="13"/>
  <c r="M527" i="13"/>
  <c r="L527" i="13"/>
  <c r="J527" i="13"/>
  <c r="I527" i="13"/>
  <c r="G527" i="13"/>
  <c r="B527" i="13" s="1"/>
  <c r="F527" i="13"/>
  <c r="E527" i="13"/>
  <c r="D527" i="13"/>
  <c r="R526" i="13"/>
  <c r="M526" i="13"/>
  <c r="L526" i="13"/>
  <c r="J526" i="13"/>
  <c r="I526" i="13"/>
  <c r="G526" i="13"/>
  <c r="B526" i="13" s="1"/>
  <c r="F526" i="13"/>
  <c r="E526" i="13"/>
  <c r="D526" i="13"/>
  <c r="R525" i="13"/>
  <c r="M525" i="13"/>
  <c r="L525" i="13"/>
  <c r="J525" i="13"/>
  <c r="I525" i="13"/>
  <c r="G525" i="13"/>
  <c r="B525" i="13" s="1"/>
  <c r="F525" i="13"/>
  <c r="E525" i="13"/>
  <c r="D525" i="13"/>
  <c r="R524" i="13"/>
  <c r="M524" i="13"/>
  <c r="L524" i="13"/>
  <c r="J524" i="13"/>
  <c r="I524" i="13"/>
  <c r="G524" i="13"/>
  <c r="B524" i="13" s="1"/>
  <c r="F524" i="13"/>
  <c r="E524" i="13"/>
  <c r="D524" i="13"/>
  <c r="R523" i="13"/>
  <c r="M523" i="13"/>
  <c r="L523" i="13"/>
  <c r="J523" i="13"/>
  <c r="I523" i="13"/>
  <c r="G523" i="13"/>
  <c r="B523" i="13" s="1"/>
  <c r="F523" i="13"/>
  <c r="E523" i="13"/>
  <c r="D523" i="13"/>
  <c r="R522" i="13"/>
  <c r="M522" i="13"/>
  <c r="L522" i="13"/>
  <c r="J522" i="13"/>
  <c r="I522" i="13"/>
  <c r="G522" i="13"/>
  <c r="B522" i="13" s="1"/>
  <c r="F522" i="13"/>
  <c r="E522" i="13"/>
  <c r="D522" i="13"/>
  <c r="R521" i="13"/>
  <c r="M521" i="13"/>
  <c r="L521" i="13"/>
  <c r="J521" i="13"/>
  <c r="I521" i="13"/>
  <c r="G521" i="13"/>
  <c r="B521" i="13" s="1"/>
  <c r="F521" i="13"/>
  <c r="E521" i="13"/>
  <c r="D521" i="13"/>
  <c r="R520" i="13"/>
  <c r="M520" i="13"/>
  <c r="L520" i="13"/>
  <c r="J520" i="13"/>
  <c r="I520" i="13"/>
  <c r="G520" i="13"/>
  <c r="B520" i="13" s="1"/>
  <c r="F520" i="13"/>
  <c r="E520" i="13"/>
  <c r="D520" i="13"/>
  <c r="R519" i="13"/>
  <c r="M519" i="13"/>
  <c r="L519" i="13"/>
  <c r="J519" i="13"/>
  <c r="I519" i="13"/>
  <c r="G519" i="13"/>
  <c r="B519" i="13" s="1"/>
  <c r="F519" i="13"/>
  <c r="E519" i="13"/>
  <c r="D519" i="13"/>
  <c r="R518" i="13"/>
  <c r="M518" i="13"/>
  <c r="L518" i="13"/>
  <c r="J518" i="13"/>
  <c r="I518" i="13"/>
  <c r="G518" i="13"/>
  <c r="B518" i="13" s="1"/>
  <c r="F518" i="13"/>
  <c r="E518" i="13"/>
  <c r="D518" i="13"/>
  <c r="R517" i="13"/>
  <c r="M517" i="13"/>
  <c r="L517" i="13"/>
  <c r="J517" i="13"/>
  <c r="I517" i="13"/>
  <c r="G517" i="13"/>
  <c r="B517" i="13" s="1"/>
  <c r="F517" i="13"/>
  <c r="E517" i="13"/>
  <c r="D517" i="13"/>
  <c r="R516" i="13"/>
  <c r="M516" i="13"/>
  <c r="L516" i="13"/>
  <c r="J516" i="13"/>
  <c r="I516" i="13"/>
  <c r="G516" i="13"/>
  <c r="B516" i="13" s="1"/>
  <c r="F516" i="13"/>
  <c r="E516" i="13"/>
  <c r="D516" i="13"/>
  <c r="R515" i="13"/>
  <c r="M515" i="13"/>
  <c r="L515" i="13"/>
  <c r="J515" i="13"/>
  <c r="I515" i="13"/>
  <c r="G515" i="13"/>
  <c r="B515" i="13" s="1"/>
  <c r="F515" i="13"/>
  <c r="E515" i="13"/>
  <c r="D515" i="13"/>
  <c r="R514" i="13"/>
  <c r="M514" i="13"/>
  <c r="L514" i="13"/>
  <c r="J514" i="13"/>
  <c r="I514" i="13"/>
  <c r="G514" i="13"/>
  <c r="B514" i="13" s="1"/>
  <c r="F514" i="13"/>
  <c r="E514" i="13"/>
  <c r="D514" i="13"/>
  <c r="R513" i="13"/>
  <c r="M513" i="13"/>
  <c r="L513" i="13"/>
  <c r="J513" i="13"/>
  <c r="I513" i="13"/>
  <c r="G513" i="13"/>
  <c r="B513" i="13" s="1"/>
  <c r="F513" i="13"/>
  <c r="E513" i="13"/>
  <c r="D513" i="13"/>
  <c r="R512" i="13"/>
  <c r="M512" i="13"/>
  <c r="L512" i="13"/>
  <c r="J512" i="13"/>
  <c r="I512" i="13"/>
  <c r="G512" i="13"/>
  <c r="B512" i="13" s="1"/>
  <c r="F512" i="13"/>
  <c r="E512" i="13"/>
  <c r="D512" i="13"/>
  <c r="R511" i="13"/>
  <c r="M511" i="13"/>
  <c r="L511" i="13"/>
  <c r="J511" i="13"/>
  <c r="I511" i="13"/>
  <c r="G511" i="13"/>
  <c r="B511" i="13" s="1"/>
  <c r="F511" i="13"/>
  <c r="E511" i="13"/>
  <c r="D511" i="13"/>
  <c r="R510" i="13"/>
  <c r="M510" i="13"/>
  <c r="L510" i="13"/>
  <c r="J510" i="13"/>
  <c r="I510" i="13"/>
  <c r="G510" i="13"/>
  <c r="B510" i="13" s="1"/>
  <c r="F510" i="13"/>
  <c r="E510" i="13"/>
  <c r="D510" i="13"/>
  <c r="R509" i="13"/>
  <c r="M509" i="13"/>
  <c r="L509" i="13"/>
  <c r="J509" i="13"/>
  <c r="I509" i="13"/>
  <c r="G509" i="13"/>
  <c r="B509" i="13" s="1"/>
  <c r="F509" i="13"/>
  <c r="E509" i="13"/>
  <c r="D509" i="13"/>
  <c r="R508" i="13"/>
  <c r="M508" i="13"/>
  <c r="L508" i="13"/>
  <c r="J508" i="13"/>
  <c r="I508" i="13"/>
  <c r="G508" i="13"/>
  <c r="B508" i="13" s="1"/>
  <c r="F508" i="13"/>
  <c r="E508" i="13"/>
  <c r="D508" i="13"/>
  <c r="R507" i="13"/>
  <c r="M507" i="13"/>
  <c r="L507" i="13"/>
  <c r="J507" i="13"/>
  <c r="I507" i="13"/>
  <c r="G507" i="13"/>
  <c r="B507" i="13" s="1"/>
  <c r="F507" i="13"/>
  <c r="E507" i="13"/>
  <c r="D507" i="13"/>
  <c r="R506" i="13"/>
  <c r="M506" i="13"/>
  <c r="L506" i="13"/>
  <c r="J506" i="13"/>
  <c r="I506" i="13"/>
  <c r="G506" i="13"/>
  <c r="B506" i="13" s="1"/>
  <c r="F506" i="13"/>
  <c r="E506" i="13"/>
  <c r="D506" i="13"/>
  <c r="R505" i="13"/>
  <c r="M505" i="13"/>
  <c r="L505" i="13"/>
  <c r="J505" i="13"/>
  <c r="I505" i="13"/>
  <c r="G505" i="13"/>
  <c r="B505" i="13" s="1"/>
  <c r="F505" i="13"/>
  <c r="E505" i="13"/>
  <c r="D505" i="13"/>
  <c r="R504" i="13"/>
  <c r="M504" i="13"/>
  <c r="L504" i="13"/>
  <c r="J504" i="13"/>
  <c r="I504" i="13"/>
  <c r="G504" i="13"/>
  <c r="B504" i="13" s="1"/>
  <c r="F504" i="13"/>
  <c r="E504" i="13"/>
  <c r="D504" i="13"/>
  <c r="R503" i="13"/>
  <c r="M503" i="13"/>
  <c r="L503" i="13"/>
  <c r="J503" i="13"/>
  <c r="I503" i="13"/>
  <c r="G503" i="13"/>
  <c r="B503" i="13" s="1"/>
  <c r="F503" i="13"/>
  <c r="E503" i="13"/>
  <c r="D503" i="13"/>
  <c r="R502" i="13"/>
  <c r="M502" i="13"/>
  <c r="L502" i="13"/>
  <c r="J502" i="13"/>
  <c r="I502" i="13"/>
  <c r="G502" i="13"/>
  <c r="B502" i="13" s="1"/>
  <c r="F502" i="13"/>
  <c r="E502" i="13"/>
  <c r="D502" i="13"/>
  <c r="R501" i="13"/>
  <c r="M501" i="13"/>
  <c r="L501" i="13"/>
  <c r="J501" i="13"/>
  <c r="I501" i="13"/>
  <c r="G501" i="13"/>
  <c r="B501" i="13" s="1"/>
  <c r="F501" i="13"/>
  <c r="E501" i="13"/>
  <c r="D501" i="13"/>
  <c r="R500" i="13"/>
  <c r="M500" i="13"/>
  <c r="L500" i="13"/>
  <c r="J500" i="13"/>
  <c r="I500" i="13"/>
  <c r="G500" i="13"/>
  <c r="B500" i="13" s="1"/>
  <c r="F500" i="13"/>
  <c r="E500" i="13"/>
  <c r="D500" i="13"/>
  <c r="R499" i="13"/>
  <c r="M499" i="13"/>
  <c r="L499" i="13"/>
  <c r="J499" i="13"/>
  <c r="I499" i="13"/>
  <c r="G499" i="13"/>
  <c r="B499" i="13" s="1"/>
  <c r="F499" i="13"/>
  <c r="E499" i="13"/>
  <c r="D499" i="13"/>
  <c r="R498" i="13"/>
  <c r="M498" i="13"/>
  <c r="L498" i="13"/>
  <c r="J498" i="13"/>
  <c r="I498" i="13"/>
  <c r="G498" i="13"/>
  <c r="B498" i="13" s="1"/>
  <c r="F498" i="13"/>
  <c r="E498" i="13"/>
  <c r="D498" i="13"/>
  <c r="R497" i="13"/>
  <c r="M497" i="13"/>
  <c r="L497" i="13"/>
  <c r="J497" i="13"/>
  <c r="I497" i="13"/>
  <c r="G497" i="13"/>
  <c r="B497" i="13" s="1"/>
  <c r="F497" i="13"/>
  <c r="E497" i="13"/>
  <c r="D497" i="13"/>
  <c r="R496" i="13"/>
  <c r="M496" i="13"/>
  <c r="L496" i="13"/>
  <c r="J496" i="13"/>
  <c r="I496" i="13"/>
  <c r="G496" i="13"/>
  <c r="B496" i="13" s="1"/>
  <c r="F496" i="13"/>
  <c r="E496" i="13"/>
  <c r="D496" i="13"/>
  <c r="R495" i="13"/>
  <c r="M495" i="13"/>
  <c r="L495" i="13"/>
  <c r="J495" i="13"/>
  <c r="I495" i="13"/>
  <c r="G495" i="13"/>
  <c r="B495" i="13" s="1"/>
  <c r="F495" i="13"/>
  <c r="E495" i="13"/>
  <c r="D495" i="13"/>
  <c r="R494" i="13"/>
  <c r="M494" i="13"/>
  <c r="L494" i="13"/>
  <c r="J494" i="13"/>
  <c r="I494" i="13"/>
  <c r="G494" i="13"/>
  <c r="B494" i="13" s="1"/>
  <c r="F494" i="13"/>
  <c r="E494" i="13"/>
  <c r="D494" i="13"/>
  <c r="R493" i="13"/>
  <c r="M493" i="13"/>
  <c r="L493" i="13"/>
  <c r="J493" i="13"/>
  <c r="I493" i="13"/>
  <c r="G493" i="13"/>
  <c r="B493" i="13" s="1"/>
  <c r="F493" i="13"/>
  <c r="E493" i="13"/>
  <c r="D493" i="13"/>
  <c r="R492" i="13"/>
  <c r="M492" i="13"/>
  <c r="L492" i="13"/>
  <c r="J492" i="13"/>
  <c r="I492" i="13"/>
  <c r="G492" i="13"/>
  <c r="B492" i="13" s="1"/>
  <c r="F492" i="13"/>
  <c r="E492" i="13"/>
  <c r="D492" i="13"/>
  <c r="R491" i="13"/>
  <c r="M491" i="13"/>
  <c r="L491" i="13"/>
  <c r="J491" i="13"/>
  <c r="I491" i="13"/>
  <c r="G491" i="13"/>
  <c r="B491" i="13" s="1"/>
  <c r="F491" i="13"/>
  <c r="E491" i="13"/>
  <c r="D491" i="13"/>
  <c r="R490" i="13"/>
  <c r="M490" i="13"/>
  <c r="L490" i="13"/>
  <c r="J490" i="13"/>
  <c r="I490" i="13"/>
  <c r="G490" i="13"/>
  <c r="B490" i="13" s="1"/>
  <c r="F490" i="13"/>
  <c r="E490" i="13"/>
  <c r="D490" i="13"/>
  <c r="R489" i="13"/>
  <c r="M489" i="13"/>
  <c r="L489" i="13"/>
  <c r="J489" i="13"/>
  <c r="I489" i="13"/>
  <c r="G489" i="13"/>
  <c r="B489" i="13" s="1"/>
  <c r="F489" i="13"/>
  <c r="E489" i="13"/>
  <c r="D489" i="13"/>
  <c r="R488" i="13"/>
  <c r="M488" i="13"/>
  <c r="L488" i="13"/>
  <c r="J488" i="13"/>
  <c r="I488" i="13"/>
  <c r="G488" i="13"/>
  <c r="B488" i="13" s="1"/>
  <c r="F488" i="13"/>
  <c r="E488" i="13"/>
  <c r="D488" i="13"/>
  <c r="R487" i="13"/>
  <c r="M487" i="13"/>
  <c r="L487" i="13"/>
  <c r="J487" i="13"/>
  <c r="I487" i="13"/>
  <c r="G487" i="13"/>
  <c r="B487" i="13" s="1"/>
  <c r="F487" i="13"/>
  <c r="E487" i="13"/>
  <c r="D487" i="13"/>
  <c r="R486" i="13"/>
  <c r="M486" i="13"/>
  <c r="L486" i="13"/>
  <c r="J486" i="13"/>
  <c r="I486" i="13"/>
  <c r="G486" i="13"/>
  <c r="B486" i="13" s="1"/>
  <c r="F486" i="13"/>
  <c r="E486" i="13"/>
  <c r="D486" i="13"/>
  <c r="R485" i="13"/>
  <c r="M485" i="13"/>
  <c r="L485" i="13"/>
  <c r="J485" i="13"/>
  <c r="I485" i="13"/>
  <c r="G485" i="13"/>
  <c r="B485" i="13" s="1"/>
  <c r="F485" i="13"/>
  <c r="E485" i="13"/>
  <c r="D485" i="13"/>
  <c r="R484" i="13"/>
  <c r="M484" i="13"/>
  <c r="L484" i="13"/>
  <c r="J484" i="13"/>
  <c r="I484" i="13"/>
  <c r="G484" i="13"/>
  <c r="B484" i="13" s="1"/>
  <c r="F484" i="13"/>
  <c r="E484" i="13"/>
  <c r="D484" i="13"/>
  <c r="R483" i="13"/>
  <c r="M483" i="13"/>
  <c r="L483" i="13"/>
  <c r="J483" i="13"/>
  <c r="I483" i="13"/>
  <c r="G483" i="13"/>
  <c r="B483" i="13" s="1"/>
  <c r="F483" i="13"/>
  <c r="E483" i="13"/>
  <c r="D483" i="13"/>
  <c r="R482" i="13"/>
  <c r="M482" i="13"/>
  <c r="L482" i="13"/>
  <c r="J482" i="13"/>
  <c r="I482" i="13"/>
  <c r="G482" i="13"/>
  <c r="B482" i="13" s="1"/>
  <c r="F482" i="13"/>
  <c r="E482" i="13"/>
  <c r="D482" i="13"/>
  <c r="R481" i="13"/>
  <c r="M481" i="13"/>
  <c r="L481" i="13"/>
  <c r="J481" i="13"/>
  <c r="I481" i="13"/>
  <c r="G481" i="13"/>
  <c r="B481" i="13" s="1"/>
  <c r="F481" i="13"/>
  <c r="E481" i="13"/>
  <c r="D481" i="13"/>
  <c r="R480" i="13"/>
  <c r="M480" i="13"/>
  <c r="L480" i="13"/>
  <c r="J480" i="13"/>
  <c r="I480" i="13"/>
  <c r="G480" i="13"/>
  <c r="B480" i="13" s="1"/>
  <c r="F480" i="13"/>
  <c r="E480" i="13"/>
  <c r="D480" i="13"/>
  <c r="R479" i="13"/>
  <c r="M479" i="13"/>
  <c r="L479" i="13"/>
  <c r="J479" i="13"/>
  <c r="I479" i="13"/>
  <c r="G479" i="13"/>
  <c r="B479" i="13" s="1"/>
  <c r="F479" i="13"/>
  <c r="E479" i="13"/>
  <c r="D479" i="13"/>
  <c r="R478" i="13"/>
  <c r="M478" i="13"/>
  <c r="L478" i="13"/>
  <c r="J478" i="13"/>
  <c r="I478" i="13"/>
  <c r="G478" i="13"/>
  <c r="B478" i="13" s="1"/>
  <c r="F478" i="13"/>
  <c r="E478" i="13"/>
  <c r="D478" i="13"/>
  <c r="R477" i="13"/>
  <c r="M477" i="13"/>
  <c r="L477" i="13"/>
  <c r="J477" i="13"/>
  <c r="I477" i="13"/>
  <c r="G477" i="13"/>
  <c r="B477" i="13" s="1"/>
  <c r="F477" i="13"/>
  <c r="E477" i="13"/>
  <c r="D477" i="13"/>
  <c r="R476" i="13"/>
  <c r="M476" i="13"/>
  <c r="L476" i="13"/>
  <c r="J476" i="13"/>
  <c r="I476" i="13"/>
  <c r="G476" i="13"/>
  <c r="B476" i="13" s="1"/>
  <c r="F476" i="13"/>
  <c r="E476" i="13"/>
  <c r="D476" i="13"/>
  <c r="R475" i="13"/>
  <c r="M475" i="13"/>
  <c r="L475" i="13"/>
  <c r="J475" i="13"/>
  <c r="I475" i="13"/>
  <c r="G475" i="13"/>
  <c r="B475" i="13" s="1"/>
  <c r="F475" i="13"/>
  <c r="E475" i="13"/>
  <c r="D475" i="13"/>
  <c r="R474" i="13"/>
  <c r="M474" i="13"/>
  <c r="L474" i="13"/>
  <c r="J474" i="13"/>
  <c r="I474" i="13"/>
  <c r="G474" i="13"/>
  <c r="B474" i="13" s="1"/>
  <c r="F474" i="13"/>
  <c r="E474" i="13"/>
  <c r="D474" i="13"/>
  <c r="R473" i="13"/>
  <c r="M473" i="13"/>
  <c r="L473" i="13"/>
  <c r="J473" i="13"/>
  <c r="I473" i="13"/>
  <c r="G473" i="13"/>
  <c r="B473" i="13" s="1"/>
  <c r="F473" i="13"/>
  <c r="E473" i="13"/>
  <c r="D473" i="13"/>
  <c r="R472" i="13"/>
  <c r="M472" i="13"/>
  <c r="L472" i="13"/>
  <c r="J472" i="13"/>
  <c r="I472" i="13"/>
  <c r="G472" i="13"/>
  <c r="B472" i="13" s="1"/>
  <c r="F472" i="13"/>
  <c r="E472" i="13"/>
  <c r="D472" i="13"/>
  <c r="R471" i="13"/>
  <c r="M471" i="13"/>
  <c r="L471" i="13"/>
  <c r="J471" i="13"/>
  <c r="I471" i="13"/>
  <c r="G471" i="13"/>
  <c r="B471" i="13" s="1"/>
  <c r="F471" i="13"/>
  <c r="E471" i="13"/>
  <c r="D471" i="13"/>
  <c r="R470" i="13"/>
  <c r="M470" i="13"/>
  <c r="L470" i="13"/>
  <c r="J470" i="13"/>
  <c r="I470" i="13"/>
  <c r="G470" i="13"/>
  <c r="B470" i="13" s="1"/>
  <c r="F470" i="13"/>
  <c r="E470" i="13"/>
  <c r="D470" i="13"/>
  <c r="R469" i="13"/>
  <c r="M469" i="13"/>
  <c r="L469" i="13"/>
  <c r="J469" i="13"/>
  <c r="I469" i="13"/>
  <c r="G469" i="13"/>
  <c r="B469" i="13" s="1"/>
  <c r="F469" i="13"/>
  <c r="E469" i="13"/>
  <c r="D469" i="13"/>
  <c r="R468" i="13"/>
  <c r="M468" i="13"/>
  <c r="L468" i="13"/>
  <c r="J468" i="13"/>
  <c r="I468" i="13"/>
  <c r="G468" i="13"/>
  <c r="B468" i="13" s="1"/>
  <c r="F468" i="13"/>
  <c r="E468" i="13"/>
  <c r="D468" i="13"/>
  <c r="R467" i="13"/>
  <c r="M467" i="13"/>
  <c r="L467" i="13"/>
  <c r="J467" i="13"/>
  <c r="I467" i="13"/>
  <c r="G467" i="13"/>
  <c r="B467" i="13" s="1"/>
  <c r="F467" i="13"/>
  <c r="E467" i="13"/>
  <c r="D467" i="13"/>
  <c r="R466" i="13"/>
  <c r="M466" i="13"/>
  <c r="L466" i="13"/>
  <c r="J466" i="13"/>
  <c r="I466" i="13"/>
  <c r="G466" i="13"/>
  <c r="B466" i="13" s="1"/>
  <c r="F466" i="13"/>
  <c r="E466" i="13"/>
  <c r="D466" i="13"/>
  <c r="R465" i="13"/>
  <c r="M465" i="13"/>
  <c r="L465" i="13"/>
  <c r="J465" i="13"/>
  <c r="I465" i="13"/>
  <c r="G465" i="13"/>
  <c r="B465" i="13" s="1"/>
  <c r="F465" i="13"/>
  <c r="E465" i="13"/>
  <c r="D465" i="13"/>
  <c r="R464" i="13"/>
  <c r="M464" i="13"/>
  <c r="L464" i="13"/>
  <c r="J464" i="13"/>
  <c r="I464" i="13"/>
  <c r="G464" i="13"/>
  <c r="B464" i="13" s="1"/>
  <c r="F464" i="13"/>
  <c r="E464" i="13"/>
  <c r="D464" i="13"/>
  <c r="R463" i="13"/>
  <c r="M463" i="13"/>
  <c r="L463" i="13"/>
  <c r="J463" i="13"/>
  <c r="I463" i="13"/>
  <c r="G463" i="13"/>
  <c r="B463" i="13" s="1"/>
  <c r="F463" i="13"/>
  <c r="E463" i="13"/>
  <c r="D463" i="13"/>
  <c r="R462" i="13"/>
  <c r="M462" i="13"/>
  <c r="L462" i="13"/>
  <c r="J462" i="13"/>
  <c r="I462" i="13"/>
  <c r="G462" i="13"/>
  <c r="B462" i="13" s="1"/>
  <c r="F462" i="13"/>
  <c r="E462" i="13"/>
  <c r="D462" i="13"/>
  <c r="R461" i="13"/>
  <c r="M461" i="13"/>
  <c r="L461" i="13"/>
  <c r="J461" i="13"/>
  <c r="I461" i="13"/>
  <c r="G461" i="13"/>
  <c r="B461" i="13" s="1"/>
  <c r="F461" i="13"/>
  <c r="E461" i="13"/>
  <c r="D461" i="13"/>
  <c r="R460" i="13"/>
  <c r="M460" i="13"/>
  <c r="L460" i="13"/>
  <c r="J460" i="13"/>
  <c r="I460" i="13"/>
  <c r="G460" i="13"/>
  <c r="B460" i="13" s="1"/>
  <c r="F460" i="13"/>
  <c r="E460" i="13"/>
  <c r="D460" i="13"/>
  <c r="R459" i="13"/>
  <c r="M459" i="13"/>
  <c r="L459" i="13"/>
  <c r="J459" i="13"/>
  <c r="I459" i="13"/>
  <c r="G459" i="13"/>
  <c r="B459" i="13" s="1"/>
  <c r="F459" i="13"/>
  <c r="E459" i="13"/>
  <c r="D459" i="13"/>
  <c r="R458" i="13"/>
  <c r="M458" i="13"/>
  <c r="L458" i="13"/>
  <c r="J458" i="13"/>
  <c r="I458" i="13"/>
  <c r="G458" i="13"/>
  <c r="B458" i="13" s="1"/>
  <c r="F458" i="13"/>
  <c r="E458" i="13"/>
  <c r="D458" i="13"/>
  <c r="R457" i="13"/>
  <c r="M457" i="13"/>
  <c r="L457" i="13"/>
  <c r="J457" i="13"/>
  <c r="I457" i="13"/>
  <c r="G457" i="13"/>
  <c r="B457" i="13" s="1"/>
  <c r="F457" i="13"/>
  <c r="E457" i="13"/>
  <c r="D457" i="13"/>
  <c r="R456" i="13"/>
  <c r="M456" i="13"/>
  <c r="L456" i="13"/>
  <c r="J456" i="13"/>
  <c r="I456" i="13"/>
  <c r="G456" i="13"/>
  <c r="B456" i="13" s="1"/>
  <c r="F456" i="13"/>
  <c r="E456" i="13"/>
  <c r="D456" i="13"/>
  <c r="R455" i="13"/>
  <c r="M455" i="13"/>
  <c r="L455" i="13"/>
  <c r="J455" i="13"/>
  <c r="I455" i="13"/>
  <c r="G455" i="13"/>
  <c r="B455" i="13" s="1"/>
  <c r="F455" i="13"/>
  <c r="E455" i="13"/>
  <c r="D455" i="13"/>
  <c r="R454" i="13"/>
  <c r="M454" i="13"/>
  <c r="L454" i="13"/>
  <c r="J454" i="13"/>
  <c r="I454" i="13"/>
  <c r="G454" i="13"/>
  <c r="B454" i="13" s="1"/>
  <c r="F454" i="13"/>
  <c r="E454" i="13"/>
  <c r="D454" i="13"/>
  <c r="R453" i="13"/>
  <c r="M453" i="13"/>
  <c r="L453" i="13"/>
  <c r="J453" i="13"/>
  <c r="I453" i="13"/>
  <c r="G453" i="13"/>
  <c r="B453" i="13" s="1"/>
  <c r="F453" i="13"/>
  <c r="E453" i="13"/>
  <c r="D453" i="13"/>
  <c r="R452" i="13"/>
  <c r="M452" i="13"/>
  <c r="L452" i="13"/>
  <c r="J452" i="13"/>
  <c r="I452" i="13"/>
  <c r="G452" i="13"/>
  <c r="B452" i="13" s="1"/>
  <c r="F452" i="13"/>
  <c r="E452" i="13"/>
  <c r="D452" i="13"/>
  <c r="R451" i="13"/>
  <c r="M451" i="13"/>
  <c r="L451" i="13"/>
  <c r="J451" i="13"/>
  <c r="I451" i="13"/>
  <c r="G451" i="13"/>
  <c r="B451" i="13" s="1"/>
  <c r="F451" i="13"/>
  <c r="E451" i="13"/>
  <c r="D451" i="13"/>
  <c r="R450" i="13"/>
  <c r="M450" i="13"/>
  <c r="L450" i="13"/>
  <c r="J450" i="13"/>
  <c r="I450" i="13"/>
  <c r="G450" i="13"/>
  <c r="B450" i="13" s="1"/>
  <c r="F450" i="13"/>
  <c r="E450" i="13"/>
  <c r="D450" i="13"/>
  <c r="R449" i="13"/>
  <c r="M449" i="13"/>
  <c r="L449" i="13"/>
  <c r="J449" i="13"/>
  <c r="I449" i="13"/>
  <c r="G449" i="13"/>
  <c r="B449" i="13" s="1"/>
  <c r="F449" i="13"/>
  <c r="E449" i="13"/>
  <c r="D449" i="13"/>
  <c r="R448" i="13"/>
  <c r="M448" i="13"/>
  <c r="L448" i="13"/>
  <c r="J448" i="13"/>
  <c r="I448" i="13"/>
  <c r="G448" i="13"/>
  <c r="B448" i="13" s="1"/>
  <c r="F448" i="13"/>
  <c r="E448" i="13"/>
  <c r="D448" i="13"/>
  <c r="R447" i="13"/>
  <c r="M447" i="13"/>
  <c r="L447" i="13"/>
  <c r="J447" i="13"/>
  <c r="I447" i="13"/>
  <c r="G447" i="13"/>
  <c r="B447" i="13" s="1"/>
  <c r="F447" i="13"/>
  <c r="E447" i="13"/>
  <c r="D447" i="13"/>
  <c r="R446" i="13"/>
  <c r="M446" i="13"/>
  <c r="L446" i="13"/>
  <c r="J446" i="13"/>
  <c r="I446" i="13"/>
  <c r="G446" i="13"/>
  <c r="B446" i="13" s="1"/>
  <c r="F446" i="13"/>
  <c r="E446" i="13"/>
  <c r="D446" i="13"/>
  <c r="R445" i="13"/>
  <c r="M445" i="13"/>
  <c r="L445" i="13"/>
  <c r="J445" i="13"/>
  <c r="I445" i="13"/>
  <c r="G445" i="13"/>
  <c r="B445" i="13" s="1"/>
  <c r="F445" i="13"/>
  <c r="E445" i="13"/>
  <c r="D445" i="13"/>
  <c r="R444" i="13"/>
  <c r="M444" i="13"/>
  <c r="L444" i="13"/>
  <c r="J444" i="13"/>
  <c r="I444" i="13"/>
  <c r="G444" i="13"/>
  <c r="B444" i="13" s="1"/>
  <c r="F444" i="13"/>
  <c r="E444" i="13"/>
  <c r="D444" i="13"/>
  <c r="R443" i="13"/>
  <c r="M443" i="13"/>
  <c r="L443" i="13"/>
  <c r="J443" i="13"/>
  <c r="I443" i="13"/>
  <c r="G443" i="13"/>
  <c r="B443" i="13" s="1"/>
  <c r="F443" i="13"/>
  <c r="E443" i="13"/>
  <c r="D443" i="13"/>
  <c r="R442" i="13"/>
  <c r="M442" i="13"/>
  <c r="L442" i="13"/>
  <c r="J442" i="13"/>
  <c r="I442" i="13"/>
  <c r="G442" i="13"/>
  <c r="B442" i="13" s="1"/>
  <c r="F442" i="13"/>
  <c r="E442" i="13"/>
  <c r="D442" i="13"/>
  <c r="R441" i="13"/>
  <c r="M441" i="13"/>
  <c r="L441" i="13"/>
  <c r="J441" i="13"/>
  <c r="I441" i="13"/>
  <c r="G441" i="13"/>
  <c r="B441" i="13" s="1"/>
  <c r="F441" i="13"/>
  <c r="E441" i="13"/>
  <c r="D441" i="13"/>
  <c r="R440" i="13"/>
  <c r="M440" i="13"/>
  <c r="L440" i="13"/>
  <c r="J440" i="13"/>
  <c r="I440" i="13"/>
  <c r="G440" i="13"/>
  <c r="B440" i="13" s="1"/>
  <c r="F440" i="13"/>
  <c r="E440" i="13"/>
  <c r="D440" i="13"/>
  <c r="R439" i="13"/>
  <c r="M439" i="13"/>
  <c r="L439" i="13"/>
  <c r="J439" i="13"/>
  <c r="I439" i="13"/>
  <c r="G439" i="13"/>
  <c r="B439" i="13" s="1"/>
  <c r="F439" i="13"/>
  <c r="E439" i="13"/>
  <c r="D439" i="13"/>
  <c r="R438" i="13"/>
  <c r="M438" i="13"/>
  <c r="L438" i="13"/>
  <c r="J438" i="13"/>
  <c r="I438" i="13"/>
  <c r="G438" i="13"/>
  <c r="B438" i="13" s="1"/>
  <c r="F438" i="13"/>
  <c r="E438" i="13"/>
  <c r="D438" i="13"/>
  <c r="R437" i="13"/>
  <c r="M437" i="13"/>
  <c r="L437" i="13"/>
  <c r="J437" i="13"/>
  <c r="I437" i="13"/>
  <c r="G437" i="13"/>
  <c r="B437" i="13" s="1"/>
  <c r="F437" i="13"/>
  <c r="E437" i="13"/>
  <c r="D437" i="13"/>
  <c r="R436" i="13"/>
  <c r="M436" i="13"/>
  <c r="L436" i="13"/>
  <c r="J436" i="13"/>
  <c r="I436" i="13"/>
  <c r="G436" i="13"/>
  <c r="B436" i="13" s="1"/>
  <c r="F436" i="13"/>
  <c r="E436" i="13"/>
  <c r="D436" i="13"/>
  <c r="R435" i="13"/>
  <c r="M435" i="13"/>
  <c r="L435" i="13"/>
  <c r="J435" i="13"/>
  <c r="I435" i="13"/>
  <c r="G435" i="13"/>
  <c r="B435" i="13" s="1"/>
  <c r="F435" i="13"/>
  <c r="E435" i="13"/>
  <c r="D435" i="13"/>
  <c r="R434" i="13"/>
  <c r="M434" i="13"/>
  <c r="L434" i="13"/>
  <c r="J434" i="13"/>
  <c r="I434" i="13"/>
  <c r="G434" i="13"/>
  <c r="B434" i="13" s="1"/>
  <c r="F434" i="13"/>
  <c r="E434" i="13"/>
  <c r="D434" i="13"/>
  <c r="R433" i="13"/>
  <c r="M433" i="13"/>
  <c r="L433" i="13"/>
  <c r="J433" i="13"/>
  <c r="I433" i="13"/>
  <c r="G433" i="13"/>
  <c r="B433" i="13" s="1"/>
  <c r="F433" i="13"/>
  <c r="E433" i="13"/>
  <c r="D433" i="13"/>
  <c r="R432" i="13"/>
  <c r="M432" i="13"/>
  <c r="L432" i="13"/>
  <c r="J432" i="13"/>
  <c r="I432" i="13"/>
  <c r="G432" i="13"/>
  <c r="B432" i="13" s="1"/>
  <c r="F432" i="13"/>
  <c r="E432" i="13"/>
  <c r="D432" i="13"/>
  <c r="R431" i="13"/>
  <c r="M431" i="13"/>
  <c r="L431" i="13"/>
  <c r="J431" i="13"/>
  <c r="I431" i="13"/>
  <c r="G431" i="13"/>
  <c r="B431" i="13" s="1"/>
  <c r="F431" i="13"/>
  <c r="E431" i="13"/>
  <c r="D431" i="13"/>
  <c r="R430" i="13"/>
  <c r="M430" i="13"/>
  <c r="L430" i="13"/>
  <c r="J430" i="13"/>
  <c r="I430" i="13"/>
  <c r="G430" i="13"/>
  <c r="B430" i="13" s="1"/>
  <c r="F430" i="13"/>
  <c r="E430" i="13"/>
  <c r="D430" i="13"/>
  <c r="R429" i="13"/>
  <c r="M429" i="13"/>
  <c r="L429" i="13"/>
  <c r="J429" i="13"/>
  <c r="I429" i="13"/>
  <c r="G429" i="13"/>
  <c r="B429" i="13" s="1"/>
  <c r="F429" i="13"/>
  <c r="E429" i="13"/>
  <c r="D429" i="13"/>
  <c r="R428" i="13"/>
  <c r="M428" i="13"/>
  <c r="L428" i="13"/>
  <c r="J428" i="13"/>
  <c r="I428" i="13"/>
  <c r="G428" i="13"/>
  <c r="B428" i="13" s="1"/>
  <c r="F428" i="13"/>
  <c r="E428" i="13"/>
  <c r="D428" i="13"/>
  <c r="R427" i="13"/>
  <c r="M427" i="13"/>
  <c r="L427" i="13"/>
  <c r="J427" i="13"/>
  <c r="I427" i="13"/>
  <c r="G427" i="13"/>
  <c r="B427" i="13" s="1"/>
  <c r="F427" i="13"/>
  <c r="E427" i="13"/>
  <c r="D427" i="13"/>
  <c r="R426" i="13"/>
  <c r="M426" i="13"/>
  <c r="L426" i="13"/>
  <c r="J426" i="13"/>
  <c r="I426" i="13"/>
  <c r="G426" i="13"/>
  <c r="B426" i="13" s="1"/>
  <c r="F426" i="13"/>
  <c r="E426" i="13"/>
  <c r="D426" i="13"/>
  <c r="R425" i="13"/>
  <c r="M425" i="13"/>
  <c r="L425" i="13"/>
  <c r="J425" i="13"/>
  <c r="I425" i="13"/>
  <c r="G425" i="13"/>
  <c r="B425" i="13" s="1"/>
  <c r="F425" i="13"/>
  <c r="E425" i="13"/>
  <c r="D425" i="13"/>
  <c r="R424" i="13"/>
  <c r="M424" i="13"/>
  <c r="L424" i="13"/>
  <c r="J424" i="13"/>
  <c r="I424" i="13"/>
  <c r="G424" i="13"/>
  <c r="B424" i="13" s="1"/>
  <c r="F424" i="13"/>
  <c r="E424" i="13"/>
  <c r="D424" i="13"/>
  <c r="R423" i="13"/>
  <c r="M423" i="13"/>
  <c r="L423" i="13"/>
  <c r="J423" i="13"/>
  <c r="I423" i="13"/>
  <c r="G423" i="13"/>
  <c r="B423" i="13" s="1"/>
  <c r="F423" i="13"/>
  <c r="E423" i="13"/>
  <c r="D423" i="13"/>
  <c r="R422" i="13"/>
  <c r="M422" i="13"/>
  <c r="L422" i="13"/>
  <c r="J422" i="13"/>
  <c r="I422" i="13"/>
  <c r="G422" i="13"/>
  <c r="B422" i="13" s="1"/>
  <c r="F422" i="13"/>
  <c r="E422" i="13"/>
  <c r="D422" i="13"/>
  <c r="R421" i="13"/>
  <c r="M421" i="13"/>
  <c r="L421" i="13"/>
  <c r="J421" i="13"/>
  <c r="I421" i="13"/>
  <c r="G421" i="13"/>
  <c r="B421" i="13" s="1"/>
  <c r="F421" i="13"/>
  <c r="E421" i="13"/>
  <c r="D421" i="13"/>
  <c r="R420" i="13"/>
  <c r="M420" i="13"/>
  <c r="L420" i="13"/>
  <c r="J420" i="13"/>
  <c r="I420" i="13"/>
  <c r="G420" i="13"/>
  <c r="B420" i="13" s="1"/>
  <c r="F420" i="13"/>
  <c r="E420" i="13"/>
  <c r="D420" i="13"/>
  <c r="R419" i="13"/>
  <c r="M419" i="13"/>
  <c r="L419" i="13"/>
  <c r="J419" i="13"/>
  <c r="I419" i="13"/>
  <c r="G419" i="13"/>
  <c r="B419" i="13" s="1"/>
  <c r="F419" i="13"/>
  <c r="E419" i="13"/>
  <c r="D419" i="13"/>
  <c r="R418" i="13"/>
  <c r="M418" i="13"/>
  <c r="L418" i="13"/>
  <c r="J418" i="13"/>
  <c r="I418" i="13"/>
  <c r="G418" i="13"/>
  <c r="B418" i="13" s="1"/>
  <c r="F418" i="13"/>
  <c r="E418" i="13"/>
  <c r="D418" i="13"/>
  <c r="R417" i="13"/>
  <c r="M417" i="13"/>
  <c r="L417" i="13"/>
  <c r="J417" i="13"/>
  <c r="I417" i="13"/>
  <c r="G417" i="13"/>
  <c r="B417" i="13" s="1"/>
  <c r="F417" i="13"/>
  <c r="E417" i="13"/>
  <c r="D417" i="13"/>
  <c r="R416" i="13"/>
  <c r="M416" i="13"/>
  <c r="L416" i="13"/>
  <c r="J416" i="13"/>
  <c r="I416" i="13"/>
  <c r="G416" i="13"/>
  <c r="B416" i="13" s="1"/>
  <c r="F416" i="13"/>
  <c r="E416" i="13"/>
  <c r="D416" i="13"/>
  <c r="R415" i="13"/>
  <c r="M415" i="13"/>
  <c r="L415" i="13"/>
  <c r="J415" i="13"/>
  <c r="I415" i="13"/>
  <c r="G415" i="13"/>
  <c r="B415" i="13" s="1"/>
  <c r="F415" i="13"/>
  <c r="E415" i="13"/>
  <c r="D415" i="13"/>
  <c r="R414" i="13"/>
  <c r="M414" i="13"/>
  <c r="L414" i="13"/>
  <c r="J414" i="13"/>
  <c r="I414" i="13"/>
  <c r="G414" i="13"/>
  <c r="B414" i="13" s="1"/>
  <c r="F414" i="13"/>
  <c r="E414" i="13"/>
  <c r="D414" i="13"/>
  <c r="R413" i="13"/>
  <c r="M413" i="13"/>
  <c r="L413" i="13"/>
  <c r="J413" i="13"/>
  <c r="I413" i="13"/>
  <c r="G413" i="13"/>
  <c r="B413" i="13" s="1"/>
  <c r="F413" i="13"/>
  <c r="E413" i="13"/>
  <c r="D413" i="13"/>
  <c r="R412" i="13"/>
  <c r="M412" i="13"/>
  <c r="L412" i="13"/>
  <c r="J412" i="13"/>
  <c r="I412" i="13"/>
  <c r="G412" i="13"/>
  <c r="B412" i="13" s="1"/>
  <c r="F412" i="13"/>
  <c r="E412" i="13"/>
  <c r="D412" i="13"/>
  <c r="R411" i="13"/>
  <c r="M411" i="13"/>
  <c r="L411" i="13"/>
  <c r="J411" i="13"/>
  <c r="I411" i="13"/>
  <c r="G411" i="13"/>
  <c r="B411" i="13" s="1"/>
  <c r="F411" i="13"/>
  <c r="E411" i="13"/>
  <c r="D411" i="13"/>
  <c r="R410" i="13"/>
  <c r="M410" i="13"/>
  <c r="L410" i="13"/>
  <c r="J410" i="13"/>
  <c r="I410" i="13"/>
  <c r="G410" i="13"/>
  <c r="B410" i="13" s="1"/>
  <c r="F410" i="13"/>
  <c r="E410" i="13"/>
  <c r="D410" i="13"/>
  <c r="R409" i="13"/>
  <c r="M409" i="13"/>
  <c r="L409" i="13"/>
  <c r="J409" i="13"/>
  <c r="I409" i="13"/>
  <c r="G409" i="13"/>
  <c r="B409" i="13" s="1"/>
  <c r="F409" i="13"/>
  <c r="E409" i="13"/>
  <c r="D409" i="13"/>
  <c r="R408" i="13"/>
  <c r="M408" i="13"/>
  <c r="L408" i="13"/>
  <c r="J408" i="13"/>
  <c r="I408" i="13"/>
  <c r="G408" i="13"/>
  <c r="B408" i="13" s="1"/>
  <c r="F408" i="13"/>
  <c r="E408" i="13"/>
  <c r="D408" i="13"/>
  <c r="R407" i="13"/>
  <c r="M407" i="13"/>
  <c r="L407" i="13"/>
  <c r="J407" i="13"/>
  <c r="I407" i="13"/>
  <c r="G407" i="13"/>
  <c r="B407" i="13" s="1"/>
  <c r="F407" i="13"/>
  <c r="E407" i="13"/>
  <c r="D407" i="13"/>
  <c r="R406" i="13"/>
  <c r="M406" i="13"/>
  <c r="L406" i="13"/>
  <c r="J406" i="13"/>
  <c r="I406" i="13"/>
  <c r="G406" i="13"/>
  <c r="B406" i="13" s="1"/>
  <c r="F406" i="13"/>
  <c r="E406" i="13"/>
  <c r="D406" i="13"/>
  <c r="R405" i="13"/>
  <c r="M405" i="13"/>
  <c r="L405" i="13"/>
  <c r="J405" i="13"/>
  <c r="I405" i="13"/>
  <c r="G405" i="13"/>
  <c r="B405" i="13" s="1"/>
  <c r="F405" i="13"/>
  <c r="E405" i="13"/>
  <c r="D405" i="13"/>
  <c r="R404" i="13"/>
  <c r="M404" i="13"/>
  <c r="L404" i="13"/>
  <c r="J404" i="13"/>
  <c r="I404" i="13"/>
  <c r="G404" i="13"/>
  <c r="B404" i="13" s="1"/>
  <c r="F404" i="13"/>
  <c r="E404" i="13"/>
  <c r="D404" i="13"/>
  <c r="R403" i="13"/>
  <c r="M403" i="13"/>
  <c r="L403" i="13"/>
  <c r="J403" i="13"/>
  <c r="I403" i="13"/>
  <c r="G403" i="13"/>
  <c r="B403" i="13" s="1"/>
  <c r="F403" i="13"/>
  <c r="E403" i="13"/>
  <c r="D403" i="13"/>
  <c r="R402" i="13"/>
  <c r="M402" i="13"/>
  <c r="L402" i="13"/>
  <c r="J402" i="13"/>
  <c r="I402" i="13"/>
  <c r="G402" i="13"/>
  <c r="B402" i="13" s="1"/>
  <c r="F402" i="13"/>
  <c r="E402" i="13"/>
  <c r="D402" i="13"/>
  <c r="R401" i="13"/>
  <c r="M401" i="13"/>
  <c r="L401" i="13"/>
  <c r="J401" i="13"/>
  <c r="I401" i="13"/>
  <c r="G401" i="13"/>
  <c r="B401" i="13" s="1"/>
  <c r="F401" i="13"/>
  <c r="E401" i="13"/>
  <c r="D401" i="13"/>
  <c r="R400" i="13"/>
  <c r="M400" i="13"/>
  <c r="L400" i="13"/>
  <c r="J400" i="13"/>
  <c r="I400" i="13"/>
  <c r="G400" i="13"/>
  <c r="B400" i="13" s="1"/>
  <c r="F400" i="13"/>
  <c r="E400" i="13"/>
  <c r="D400" i="13"/>
  <c r="R399" i="13"/>
  <c r="M399" i="13"/>
  <c r="L399" i="13"/>
  <c r="J399" i="13"/>
  <c r="I399" i="13"/>
  <c r="G399" i="13"/>
  <c r="B399" i="13" s="1"/>
  <c r="F399" i="13"/>
  <c r="E399" i="13"/>
  <c r="D399" i="13"/>
  <c r="R398" i="13"/>
  <c r="M398" i="13"/>
  <c r="L398" i="13"/>
  <c r="J398" i="13"/>
  <c r="I398" i="13"/>
  <c r="G398" i="13"/>
  <c r="B398" i="13" s="1"/>
  <c r="F398" i="13"/>
  <c r="E398" i="13"/>
  <c r="D398" i="13"/>
  <c r="R397" i="13"/>
  <c r="M397" i="13"/>
  <c r="L397" i="13"/>
  <c r="J397" i="13"/>
  <c r="I397" i="13"/>
  <c r="G397" i="13"/>
  <c r="B397" i="13" s="1"/>
  <c r="F397" i="13"/>
  <c r="E397" i="13"/>
  <c r="D397" i="13"/>
  <c r="R396" i="13"/>
  <c r="M396" i="13"/>
  <c r="L396" i="13"/>
  <c r="J396" i="13"/>
  <c r="I396" i="13"/>
  <c r="G396" i="13"/>
  <c r="B396" i="13" s="1"/>
  <c r="F396" i="13"/>
  <c r="E396" i="13"/>
  <c r="D396" i="13"/>
  <c r="R395" i="13"/>
  <c r="M395" i="13"/>
  <c r="L395" i="13"/>
  <c r="J395" i="13"/>
  <c r="I395" i="13"/>
  <c r="G395" i="13"/>
  <c r="B395" i="13" s="1"/>
  <c r="F395" i="13"/>
  <c r="E395" i="13"/>
  <c r="D395" i="13"/>
  <c r="R394" i="13"/>
  <c r="M394" i="13"/>
  <c r="L394" i="13"/>
  <c r="J394" i="13"/>
  <c r="I394" i="13"/>
  <c r="G394" i="13"/>
  <c r="B394" i="13" s="1"/>
  <c r="F394" i="13"/>
  <c r="E394" i="13"/>
  <c r="D394" i="13"/>
  <c r="R393" i="13"/>
  <c r="M393" i="13"/>
  <c r="L393" i="13"/>
  <c r="J393" i="13"/>
  <c r="I393" i="13"/>
  <c r="G393" i="13"/>
  <c r="B393" i="13" s="1"/>
  <c r="F393" i="13"/>
  <c r="E393" i="13"/>
  <c r="D393" i="13"/>
  <c r="R392" i="13"/>
  <c r="M392" i="13"/>
  <c r="L392" i="13"/>
  <c r="J392" i="13"/>
  <c r="I392" i="13"/>
  <c r="G392" i="13"/>
  <c r="B392" i="13" s="1"/>
  <c r="F392" i="13"/>
  <c r="E392" i="13"/>
  <c r="D392" i="13"/>
  <c r="R391" i="13"/>
  <c r="M391" i="13"/>
  <c r="L391" i="13"/>
  <c r="J391" i="13"/>
  <c r="I391" i="13"/>
  <c r="G391" i="13"/>
  <c r="B391" i="13" s="1"/>
  <c r="F391" i="13"/>
  <c r="E391" i="13"/>
  <c r="D391" i="13"/>
  <c r="R390" i="13"/>
  <c r="M390" i="13"/>
  <c r="L390" i="13"/>
  <c r="J390" i="13"/>
  <c r="I390" i="13"/>
  <c r="G390" i="13"/>
  <c r="B390" i="13" s="1"/>
  <c r="F390" i="13"/>
  <c r="E390" i="13"/>
  <c r="D390" i="13"/>
  <c r="R389" i="13"/>
  <c r="M389" i="13"/>
  <c r="L389" i="13"/>
  <c r="J389" i="13"/>
  <c r="I389" i="13"/>
  <c r="G389" i="13"/>
  <c r="B389" i="13" s="1"/>
  <c r="F389" i="13"/>
  <c r="E389" i="13"/>
  <c r="D389" i="13"/>
  <c r="R388" i="13"/>
  <c r="M388" i="13"/>
  <c r="L388" i="13"/>
  <c r="J388" i="13"/>
  <c r="I388" i="13"/>
  <c r="G388" i="13"/>
  <c r="B388" i="13" s="1"/>
  <c r="F388" i="13"/>
  <c r="E388" i="13"/>
  <c r="D388" i="13"/>
  <c r="R387" i="13"/>
  <c r="M387" i="13"/>
  <c r="L387" i="13"/>
  <c r="J387" i="13"/>
  <c r="I387" i="13"/>
  <c r="G387" i="13"/>
  <c r="B387" i="13" s="1"/>
  <c r="F387" i="13"/>
  <c r="E387" i="13"/>
  <c r="D387" i="13"/>
  <c r="R386" i="13"/>
  <c r="M386" i="13"/>
  <c r="L386" i="13"/>
  <c r="J386" i="13"/>
  <c r="I386" i="13"/>
  <c r="G386" i="13"/>
  <c r="B386" i="13" s="1"/>
  <c r="F386" i="13"/>
  <c r="E386" i="13"/>
  <c r="D386" i="13"/>
  <c r="R385" i="13"/>
  <c r="M385" i="13"/>
  <c r="L385" i="13"/>
  <c r="J385" i="13"/>
  <c r="I385" i="13"/>
  <c r="G385" i="13"/>
  <c r="B385" i="13" s="1"/>
  <c r="F385" i="13"/>
  <c r="E385" i="13"/>
  <c r="D385" i="13"/>
  <c r="R384" i="13"/>
  <c r="M384" i="13"/>
  <c r="L384" i="13"/>
  <c r="J384" i="13"/>
  <c r="I384" i="13"/>
  <c r="G384" i="13"/>
  <c r="B384" i="13" s="1"/>
  <c r="F384" i="13"/>
  <c r="E384" i="13"/>
  <c r="D384" i="13"/>
  <c r="R383" i="13"/>
  <c r="M383" i="13"/>
  <c r="L383" i="13"/>
  <c r="J383" i="13"/>
  <c r="I383" i="13"/>
  <c r="G383" i="13"/>
  <c r="B383" i="13" s="1"/>
  <c r="F383" i="13"/>
  <c r="E383" i="13"/>
  <c r="D383" i="13"/>
  <c r="R382" i="13"/>
  <c r="M382" i="13"/>
  <c r="L382" i="13"/>
  <c r="J382" i="13"/>
  <c r="I382" i="13"/>
  <c r="G382" i="13"/>
  <c r="B382" i="13" s="1"/>
  <c r="F382" i="13"/>
  <c r="E382" i="13"/>
  <c r="D382" i="13"/>
  <c r="R381" i="13"/>
  <c r="M381" i="13"/>
  <c r="L381" i="13"/>
  <c r="J381" i="13"/>
  <c r="I381" i="13"/>
  <c r="G381" i="13"/>
  <c r="B381" i="13" s="1"/>
  <c r="F381" i="13"/>
  <c r="E381" i="13"/>
  <c r="D381" i="13"/>
  <c r="R380" i="13"/>
  <c r="M380" i="13"/>
  <c r="L380" i="13"/>
  <c r="J380" i="13"/>
  <c r="I380" i="13"/>
  <c r="G380" i="13"/>
  <c r="B380" i="13" s="1"/>
  <c r="F380" i="13"/>
  <c r="E380" i="13"/>
  <c r="D380" i="13"/>
  <c r="R379" i="13"/>
  <c r="M379" i="13"/>
  <c r="L379" i="13"/>
  <c r="J379" i="13"/>
  <c r="I379" i="13"/>
  <c r="G379" i="13"/>
  <c r="B379" i="13" s="1"/>
  <c r="F379" i="13"/>
  <c r="E379" i="13"/>
  <c r="D379" i="13"/>
  <c r="R378" i="13"/>
  <c r="M378" i="13"/>
  <c r="L378" i="13"/>
  <c r="J378" i="13"/>
  <c r="I378" i="13"/>
  <c r="G378" i="13"/>
  <c r="B378" i="13" s="1"/>
  <c r="F378" i="13"/>
  <c r="E378" i="13"/>
  <c r="D378" i="13"/>
  <c r="R377" i="13"/>
  <c r="M377" i="13"/>
  <c r="L377" i="13"/>
  <c r="J377" i="13"/>
  <c r="I377" i="13"/>
  <c r="G377" i="13"/>
  <c r="B377" i="13" s="1"/>
  <c r="F377" i="13"/>
  <c r="E377" i="13"/>
  <c r="D377" i="13"/>
  <c r="R376" i="13"/>
  <c r="M376" i="13"/>
  <c r="L376" i="13"/>
  <c r="J376" i="13"/>
  <c r="I376" i="13"/>
  <c r="G376" i="13"/>
  <c r="B376" i="13" s="1"/>
  <c r="F376" i="13"/>
  <c r="E376" i="13"/>
  <c r="D376" i="13"/>
  <c r="R375" i="13"/>
  <c r="M375" i="13"/>
  <c r="L375" i="13"/>
  <c r="J375" i="13"/>
  <c r="I375" i="13"/>
  <c r="G375" i="13"/>
  <c r="B375" i="13" s="1"/>
  <c r="F375" i="13"/>
  <c r="E375" i="13"/>
  <c r="D375" i="13"/>
  <c r="R374" i="13"/>
  <c r="M374" i="13"/>
  <c r="L374" i="13"/>
  <c r="J374" i="13"/>
  <c r="I374" i="13"/>
  <c r="G374" i="13"/>
  <c r="B374" i="13" s="1"/>
  <c r="F374" i="13"/>
  <c r="E374" i="13"/>
  <c r="D374" i="13"/>
  <c r="R373" i="13"/>
  <c r="M373" i="13"/>
  <c r="L373" i="13"/>
  <c r="J373" i="13"/>
  <c r="I373" i="13"/>
  <c r="G373" i="13"/>
  <c r="B373" i="13" s="1"/>
  <c r="F373" i="13"/>
  <c r="E373" i="13"/>
  <c r="D373" i="13"/>
  <c r="R372" i="13"/>
  <c r="M372" i="13"/>
  <c r="L372" i="13"/>
  <c r="J372" i="13"/>
  <c r="I372" i="13"/>
  <c r="G372" i="13"/>
  <c r="B372" i="13" s="1"/>
  <c r="F372" i="13"/>
  <c r="E372" i="13"/>
  <c r="D372" i="13"/>
  <c r="R371" i="13"/>
  <c r="M371" i="13"/>
  <c r="L371" i="13"/>
  <c r="J371" i="13"/>
  <c r="I371" i="13"/>
  <c r="G371" i="13"/>
  <c r="B371" i="13" s="1"/>
  <c r="F371" i="13"/>
  <c r="E371" i="13"/>
  <c r="D371" i="13"/>
  <c r="R370" i="13"/>
  <c r="M370" i="13"/>
  <c r="L370" i="13"/>
  <c r="J370" i="13"/>
  <c r="I370" i="13"/>
  <c r="G370" i="13"/>
  <c r="B370" i="13" s="1"/>
  <c r="F370" i="13"/>
  <c r="E370" i="13"/>
  <c r="D370" i="13"/>
  <c r="R369" i="13"/>
  <c r="M369" i="13"/>
  <c r="L369" i="13"/>
  <c r="J369" i="13"/>
  <c r="I369" i="13"/>
  <c r="G369" i="13"/>
  <c r="B369" i="13" s="1"/>
  <c r="F369" i="13"/>
  <c r="E369" i="13"/>
  <c r="D369" i="13"/>
  <c r="R368" i="13"/>
  <c r="M368" i="13"/>
  <c r="L368" i="13"/>
  <c r="J368" i="13"/>
  <c r="I368" i="13"/>
  <c r="G368" i="13"/>
  <c r="B368" i="13" s="1"/>
  <c r="F368" i="13"/>
  <c r="E368" i="13"/>
  <c r="D368" i="13"/>
  <c r="R367" i="13"/>
  <c r="M367" i="13"/>
  <c r="L367" i="13"/>
  <c r="J367" i="13"/>
  <c r="I367" i="13"/>
  <c r="G367" i="13"/>
  <c r="B367" i="13" s="1"/>
  <c r="F367" i="13"/>
  <c r="E367" i="13"/>
  <c r="D367" i="13"/>
  <c r="R366" i="13"/>
  <c r="M366" i="13"/>
  <c r="L366" i="13"/>
  <c r="J366" i="13"/>
  <c r="I366" i="13"/>
  <c r="G366" i="13"/>
  <c r="B366" i="13" s="1"/>
  <c r="F366" i="13"/>
  <c r="E366" i="13"/>
  <c r="D366" i="13"/>
  <c r="R365" i="13"/>
  <c r="M365" i="13"/>
  <c r="L365" i="13"/>
  <c r="J365" i="13"/>
  <c r="I365" i="13"/>
  <c r="G365" i="13"/>
  <c r="B365" i="13" s="1"/>
  <c r="F365" i="13"/>
  <c r="E365" i="13"/>
  <c r="D365" i="13"/>
  <c r="R364" i="13"/>
  <c r="M364" i="13"/>
  <c r="L364" i="13"/>
  <c r="J364" i="13"/>
  <c r="I364" i="13"/>
  <c r="G364" i="13"/>
  <c r="B364" i="13" s="1"/>
  <c r="F364" i="13"/>
  <c r="E364" i="13"/>
  <c r="D364" i="13"/>
  <c r="R363" i="13"/>
  <c r="M363" i="13"/>
  <c r="L363" i="13"/>
  <c r="J363" i="13"/>
  <c r="I363" i="13"/>
  <c r="G363" i="13"/>
  <c r="B363" i="13" s="1"/>
  <c r="F363" i="13"/>
  <c r="E363" i="13"/>
  <c r="D363" i="13"/>
  <c r="R362" i="13"/>
  <c r="M362" i="13"/>
  <c r="L362" i="13"/>
  <c r="J362" i="13"/>
  <c r="I362" i="13"/>
  <c r="G362" i="13"/>
  <c r="B362" i="13" s="1"/>
  <c r="F362" i="13"/>
  <c r="E362" i="13"/>
  <c r="D362" i="13"/>
  <c r="R361" i="13"/>
  <c r="M361" i="13"/>
  <c r="L361" i="13"/>
  <c r="J361" i="13"/>
  <c r="I361" i="13"/>
  <c r="G361" i="13"/>
  <c r="B361" i="13" s="1"/>
  <c r="F361" i="13"/>
  <c r="E361" i="13"/>
  <c r="D361" i="13"/>
  <c r="R360" i="13"/>
  <c r="M360" i="13"/>
  <c r="L360" i="13"/>
  <c r="J360" i="13"/>
  <c r="I360" i="13"/>
  <c r="G360" i="13"/>
  <c r="B360" i="13" s="1"/>
  <c r="F360" i="13"/>
  <c r="E360" i="13"/>
  <c r="D360" i="13"/>
  <c r="R359" i="13"/>
  <c r="M359" i="13"/>
  <c r="L359" i="13"/>
  <c r="J359" i="13"/>
  <c r="I359" i="13"/>
  <c r="G359" i="13"/>
  <c r="B359" i="13" s="1"/>
  <c r="F359" i="13"/>
  <c r="E359" i="13"/>
  <c r="D359" i="13"/>
  <c r="R358" i="13"/>
  <c r="M358" i="13"/>
  <c r="L358" i="13"/>
  <c r="J358" i="13"/>
  <c r="I358" i="13"/>
  <c r="G358" i="13"/>
  <c r="B358" i="13" s="1"/>
  <c r="F358" i="13"/>
  <c r="E358" i="13"/>
  <c r="D358" i="13"/>
  <c r="R357" i="13"/>
  <c r="M357" i="13"/>
  <c r="L357" i="13"/>
  <c r="J357" i="13"/>
  <c r="I357" i="13"/>
  <c r="G357" i="13"/>
  <c r="B357" i="13" s="1"/>
  <c r="F357" i="13"/>
  <c r="E357" i="13"/>
  <c r="D357" i="13"/>
  <c r="R356" i="13"/>
  <c r="M356" i="13"/>
  <c r="L356" i="13"/>
  <c r="J356" i="13"/>
  <c r="I356" i="13"/>
  <c r="G356" i="13"/>
  <c r="B356" i="13" s="1"/>
  <c r="F356" i="13"/>
  <c r="E356" i="13"/>
  <c r="D356" i="13"/>
  <c r="R355" i="13"/>
  <c r="M355" i="13"/>
  <c r="L355" i="13"/>
  <c r="J355" i="13"/>
  <c r="I355" i="13"/>
  <c r="G355" i="13"/>
  <c r="B355" i="13" s="1"/>
  <c r="F355" i="13"/>
  <c r="E355" i="13"/>
  <c r="D355" i="13"/>
  <c r="R354" i="13"/>
  <c r="M354" i="13"/>
  <c r="L354" i="13"/>
  <c r="J354" i="13"/>
  <c r="I354" i="13"/>
  <c r="G354" i="13"/>
  <c r="B354" i="13" s="1"/>
  <c r="F354" i="13"/>
  <c r="E354" i="13"/>
  <c r="D354" i="13"/>
  <c r="R353" i="13"/>
  <c r="M353" i="13"/>
  <c r="L353" i="13"/>
  <c r="J353" i="13"/>
  <c r="I353" i="13"/>
  <c r="G353" i="13"/>
  <c r="B353" i="13" s="1"/>
  <c r="F353" i="13"/>
  <c r="E353" i="13"/>
  <c r="D353" i="13"/>
  <c r="R352" i="13"/>
  <c r="M352" i="13"/>
  <c r="L352" i="13"/>
  <c r="J352" i="13"/>
  <c r="I352" i="13"/>
  <c r="G352" i="13"/>
  <c r="B352" i="13" s="1"/>
  <c r="F352" i="13"/>
  <c r="E352" i="13"/>
  <c r="D352" i="13"/>
  <c r="R351" i="13"/>
  <c r="M351" i="13"/>
  <c r="L351" i="13"/>
  <c r="J351" i="13"/>
  <c r="I351" i="13"/>
  <c r="G351" i="13"/>
  <c r="B351" i="13" s="1"/>
  <c r="F351" i="13"/>
  <c r="E351" i="13"/>
  <c r="D351" i="13"/>
  <c r="R350" i="13"/>
  <c r="M350" i="13"/>
  <c r="L350" i="13"/>
  <c r="J350" i="13"/>
  <c r="I350" i="13"/>
  <c r="G350" i="13"/>
  <c r="B350" i="13" s="1"/>
  <c r="F350" i="13"/>
  <c r="E350" i="13"/>
  <c r="D350" i="13"/>
  <c r="R349" i="13"/>
  <c r="M349" i="13"/>
  <c r="L349" i="13"/>
  <c r="J349" i="13"/>
  <c r="I349" i="13"/>
  <c r="G349" i="13"/>
  <c r="B349" i="13" s="1"/>
  <c r="F349" i="13"/>
  <c r="E349" i="13"/>
  <c r="D349" i="13"/>
  <c r="R348" i="13"/>
  <c r="M348" i="13"/>
  <c r="L348" i="13"/>
  <c r="J348" i="13"/>
  <c r="I348" i="13"/>
  <c r="G348" i="13"/>
  <c r="B348" i="13" s="1"/>
  <c r="F348" i="13"/>
  <c r="E348" i="13"/>
  <c r="D348" i="13"/>
  <c r="R347" i="13"/>
  <c r="M347" i="13"/>
  <c r="L347" i="13"/>
  <c r="J347" i="13"/>
  <c r="I347" i="13"/>
  <c r="G347" i="13"/>
  <c r="B347" i="13" s="1"/>
  <c r="F347" i="13"/>
  <c r="E347" i="13"/>
  <c r="D347" i="13"/>
  <c r="R346" i="13"/>
  <c r="M346" i="13"/>
  <c r="L346" i="13"/>
  <c r="J346" i="13"/>
  <c r="I346" i="13"/>
  <c r="G346" i="13"/>
  <c r="B346" i="13" s="1"/>
  <c r="F346" i="13"/>
  <c r="E346" i="13"/>
  <c r="D346" i="13"/>
  <c r="R345" i="13"/>
  <c r="M345" i="13"/>
  <c r="L345" i="13"/>
  <c r="J345" i="13"/>
  <c r="I345" i="13"/>
  <c r="G345" i="13"/>
  <c r="B345" i="13" s="1"/>
  <c r="F345" i="13"/>
  <c r="E345" i="13"/>
  <c r="D345" i="13"/>
  <c r="R344" i="13"/>
  <c r="M344" i="13"/>
  <c r="L344" i="13"/>
  <c r="J344" i="13"/>
  <c r="I344" i="13"/>
  <c r="G344" i="13"/>
  <c r="B344" i="13" s="1"/>
  <c r="F344" i="13"/>
  <c r="E344" i="13"/>
  <c r="D344" i="13"/>
  <c r="R343" i="13"/>
  <c r="M343" i="13"/>
  <c r="L343" i="13"/>
  <c r="J343" i="13"/>
  <c r="I343" i="13"/>
  <c r="G343" i="13"/>
  <c r="B343" i="13" s="1"/>
  <c r="F343" i="13"/>
  <c r="E343" i="13"/>
  <c r="D343" i="13"/>
  <c r="R342" i="13"/>
  <c r="M342" i="13"/>
  <c r="L342" i="13"/>
  <c r="J342" i="13"/>
  <c r="I342" i="13"/>
  <c r="G342" i="13"/>
  <c r="B342" i="13" s="1"/>
  <c r="F342" i="13"/>
  <c r="E342" i="13"/>
  <c r="D342" i="13"/>
  <c r="R341" i="13"/>
  <c r="M341" i="13"/>
  <c r="L341" i="13"/>
  <c r="J341" i="13"/>
  <c r="I341" i="13"/>
  <c r="G341" i="13"/>
  <c r="B341" i="13" s="1"/>
  <c r="F341" i="13"/>
  <c r="E341" i="13"/>
  <c r="D341" i="13"/>
  <c r="R340" i="13"/>
  <c r="M340" i="13"/>
  <c r="L340" i="13"/>
  <c r="J340" i="13"/>
  <c r="I340" i="13"/>
  <c r="G340" i="13"/>
  <c r="B340" i="13" s="1"/>
  <c r="F340" i="13"/>
  <c r="E340" i="13"/>
  <c r="D340" i="13"/>
  <c r="R339" i="13"/>
  <c r="M339" i="13"/>
  <c r="L339" i="13"/>
  <c r="J339" i="13"/>
  <c r="I339" i="13"/>
  <c r="G339" i="13"/>
  <c r="B339" i="13" s="1"/>
  <c r="F339" i="13"/>
  <c r="E339" i="13"/>
  <c r="D339" i="13"/>
  <c r="R338" i="13"/>
  <c r="M338" i="13"/>
  <c r="L338" i="13"/>
  <c r="J338" i="13"/>
  <c r="I338" i="13"/>
  <c r="G338" i="13"/>
  <c r="B338" i="13" s="1"/>
  <c r="F338" i="13"/>
  <c r="E338" i="13"/>
  <c r="D338" i="13"/>
  <c r="R337" i="13"/>
  <c r="M337" i="13"/>
  <c r="L337" i="13"/>
  <c r="J337" i="13"/>
  <c r="I337" i="13"/>
  <c r="G337" i="13"/>
  <c r="B337" i="13" s="1"/>
  <c r="F337" i="13"/>
  <c r="E337" i="13"/>
  <c r="D337" i="13"/>
  <c r="R336" i="13"/>
  <c r="M336" i="13"/>
  <c r="L336" i="13"/>
  <c r="J336" i="13"/>
  <c r="I336" i="13"/>
  <c r="G336" i="13"/>
  <c r="B336" i="13" s="1"/>
  <c r="F336" i="13"/>
  <c r="E336" i="13"/>
  <c r="D336" i="13"/>
  <c r="R335" i="13"/>
  <c r="M335" i="13"/>
  <c r="L335" i="13"/>
  <c r="J335" i="13"/>
  <c r="I335" i="13"/>
  <c r="G335" i="13"/>
  <c r="B335" i="13" s="1"/>
  <c r="F335" i="13"/>
  <c r="E335" i="13"/>
  <c r="D335" i="13"/>
  <c r="R334" i="13"/>
  <c r="M334" i="13"/>
  <c r="L334" i="13"/>
  <c r="J334" i="13"/>
  <c r="I334" i="13"/>
  <c r="G334" i="13"/>
  <c r="B334" i="13" s="1"/>
  <c r="F334" i="13"/>
  <c r="E334" i="13"/>
  <c r="D334" i="13"/>
  <c r="R333" i="13"/>
  <c r="M333" i="13"/>
  <c r="L333" i="13"/>
  <c r="J333" i="13"/>
  <c r="I333" i="13"/>
  <c r="G333" i="13"/>
  <c r="B333" i="13" s="1"/>
  <c r="F333" i="13"/>
  <c r="E333" i="13"/>
  <c r="D333" i="13"/>
  <c r="R332" i="13"/>
  <c r="M332" i="13"/>
  <c r="L332" i="13"/>
  <c r="J332" i="13"/>
  <c r="I332" i="13"/>
  <c r="G332" i="13"/>
  <c r="B332" i="13" s="1"/>
  <c r="F332" i="13"/>
  <c r="E332" i="13"/>
  <c r="D332" i="13"/>
  <c r="R331" i="13"/>
  <c r="M331" i="13"/>
  <c r="L331" i="13"/>
  <c r="J331" i="13"/>
  <c r="I331" i="13"/>
  <c r="G331" i="13"/>
  <c r="B331" i="13" s="1"/>
  <c r="F331" i="13"/>
  <c r="E331" i="13"/>
  <c r="D331" i="13"/>
  <c r="R330" i="13"/>
  <c r="M330" i="13"/>
  <c r="L330" i="13"/>
  <c r="J330" i="13"/>
  <c r="I330" i="13"/>
  <c r="G330" i="13"/>
  <c r="B330" i="13" s="1"/>
  <c r="F330" i="13"/>
  <c r="E330" i="13"/>
  <c r="D330" i="13"/>
  <c r="R329" i="13"/>
  <c r="M329" i="13"/>
  <c r="L329" i="13"/>
  <c r="J329" i="13"/>
  <c r="I329" i="13"/>
  <c r="G329" i="13"/>
  <c r="B329" i="13" s="1"/>
  <c r="F329" i="13"/>
  <c r="E329" i="13"/>
  <c r="D329" i="13"/>
  <c r="R328" i="13"/>
  <c r="M328" i="13"/>
  <c r="L328" i="13"/>
  <c r="J328" i="13"/>
  <c r="I328" i="13"/>
  <c r="G328" i="13"/>
  <c r="B328" i="13" s="1"/>
  <c r="F328" i="13"/>
  <c r="E328" i="13"/>
  <c r="D328" i="13"/>
  <c r="R327" i="13"/>
  <c r="M327" i="13"/>
  <c r="L327" i="13"/>
  <c r="J327" i="13"/>
  <c r="I327" i="13"/>
  <c r="G327" i="13"/>
  <c r="B327" i="13" s="1"/>
  <c r="F327" i="13"/>
  <c r="E327" i="13"/>
  <c r="D327" i="13"/>
  <c r="R326" i="13"/>
  <c r="M326" i="13"/>
  <c r="L326" i="13"/>
  <c r="J326" i="13"/>
  <c r="I326" i="13"/>
  <c r="G326" i="13"/>
  <c r="B326" i="13" s="1"/>
  <c r="F326" i="13"/>
  <c r="E326" i="13"/>
  <c r="D326" i="13"/>
  <c r="R325" i="13"/>
  <c r="M325" i="13"/>
  <c r="L325" i="13"/>
  <c r="J325" i="13"/>
  <c r="I325" i="13"/>
  <c r="G325" i="13"/>
  <c r="B325" i="13" s="1"/>
  <c r="F325" i="13"/>
  <c r="E325" i="13"/>
  <c r="D325" i="13"/>
  <c r="R324" i="13"/>
  <c r="M324" i="13"/>
  <c r="L324" i="13"/>
  <c r="J324" i="13"/>
  <c r="I324" i="13"/>
  <c r="G324" i="13"/>
  <c r="B324" i="13" s="1"/>
  <c r="F324" i="13"/>
  <c r="E324" i="13"/>
  <c r="D324" i="13"/>
  <c r="R323" i="13"/>
  <c r="M323" i="13"/>
  <c r="L323" i="13"/>
  <c r="J323" i="13"/>
  <c r="I323" i="13"/>
  <c r="G323" i="13"/>
  <c r="B323" i="13" s="1"/>
  <c r="F323" i="13"/>
  <c r="E323" i="13"/>
  <c r="D323" i="13"/>
  <c r="R322" i="13"/>
  <c r="M322" i="13"/>
  <c r="L322" i="13"/>
  <c r="J322" i="13"/>
  <c r="I322" i="13"/>
  <c r="G322" i="13"/>
  <c r="B322" i="13" s="1"/>
  <c r="F322" i="13"/>
  <c r="E322" i="13"/>
  <c r="D322" i="13"/>
  <c r="R321" i="13"/>
  <c r="M321" i="13"/>
  <c r="L321" i="13"/>
  <c r="J321" i="13"/>
  <c r="I321" i="13"/>
  <c r="G321" i="13"/>
  <c r="B321" i="13" s="1"/>
  <c r="F321" i="13"/>
  <c r="E321" i="13"/>
  <c r="D321" i="13"/>
  <c r="R320" i="13"/>
  <c r="M320" i="13"/>
  <c r="L320" i="13"/>
  <c r="J320" i="13"/>
  <c r="I320" i="13"/>
  <c r="G320" i="13"/>
  <c r="B320" i="13" s="1"/>
  <c r="F320" i="13"/>
  <c r="E320" i="13"/>
  <c r="D320" i="13"/>
  <c r="R319" i="13"/>
  <c r="M319" i="13"/>
  <c r="L319" i="13"/>
  <c r="J319" i="13"/>
  <c r="I319" i="13"/>
  <c r="G319" i="13"/>
  <c r="B319" i="13" s="1"/>
  <c r="F319" i="13"/>
  <c r="E319" i="13"/>
  <c r="D319" i="13"/>
  <c r="R318" i="13"/>
  <c r="M318" i="13"/>
  <c r="L318" i="13"/>
  <c r="J318" i="13"/>
  <c r="I318" i="13"/>
  <c r="G318" i="13"/>
  <c r="B318" i="13" s="1"/>
  <c r="F318" i="13"/>
  <c r="E318" i="13"/>
  <c r="D318" i="13"/>
  <c r="R317" i="13"/>
  <c r="M317" i="13"/>
  <c r="L317" i="13"/>
  <c r="J317" i="13"/>
  <c r="I317" i="13"/>
  <c r="G317" i="13"/>
  <c r="B317" i="13" s="1"/>
  <c r="F317" i="13"/>
  <c r="E317" i="13"/>
  <c r="D317" i="13"/>
  <c r="R316" i="13"/>
  <c r="M316" i="13"/>
  <c r="L316" i="13"/>
  <c r="J316" i="13"/>
  <c r="I316" i="13"/>
  <c r="G316" i="13"/>
  <c r="B316" i="13" s="1"/>
  <c r="F316" i="13"/>
  <c r="E316" i="13"/>
  <c r="D316" i="13"/>
  <c r="R315" i="13"/>
  <c r="M315" i="13"/>
  <c r="L315" i="13"/>
  <c r="J315" i="13"/>
  <c r="I315" i="13"/>
  <c r="G315" i="13"/>
  <c r="B315" i="13" s="1"/>
  <c r="F315" i="13"/>
  <c r="E315" i="13"/>
  <c r="D315" i="13"/>
  <c r="R314" i="13"/>
  <c r="M314" i="13"/>
  <c r="L314" i="13"/>
  <c r="J314" i="13"/>
  <c r="I314" i="13"/>
  <c r="G314" i="13"/>
  <c r="B314" i="13" s="1"/>
  <c r="F314" i="13"/>
  <c r="E314" i="13"/>
  <c r="D314" i="13"/>
  <c r="R313" i="13"/>
  <c r="M313" i="13"/>
  <c r="L313" i="13"/>
  <c r="J313" i="13"/>
  <c r="I313" i="13"/>
  <c r="G313" i="13"/>
  <c r="B313" i="13" s="1"/>
  <c r="F313" i="13"/>
  <c r="E313" i="13"/>
  <c r="D313" i="13"/>
  <c r="R312" i="13"/>
  <c r="M312" i="13"/>
  <c r="L312" i="13"/>
  <c r="J312" i="13"/>
  <c r="I312" i="13"/>
  <c r="G312" i="13"/>
  <c r="B312" i="13" s="1"/>
  <c r="F312" i="13"/>
  <c r="E312" i="13"/>
  <c r="D312" i="13"/>
  <c r="R311" i="13"/>
  <c r="M311" i="13"/>
  <c r="L311" i="13"/>
  <c r="J311" i="13"/>
  <c r="I311" i="13"/>
  <c r="G311" i="13"/>
  <c r="B311" i="13" s="1"/>
  <c r="F311" i="13"/>
  <c r="E311" i="13"/>
  <c r="D311" i="13"/>
  <c r="R310" i="13"/>
  <c r="M310" i="13"/>
  <c r="L310" i="13"/>
  <c r="J310" i="13"/>
  <c r="I310" i="13"/>
  <c r="G310" i="13"/>
  <c r="B310" i="13" s="1"/>
  <c r="F310" i="13"/>
  <c r="E310" i="13"/>
  <c r="D310" i="13"/>
  <c r="R309" i="13"/>
  <c r="M309" i="13"/>
  <c r="L309" i="13"/>
  <c r="J309" i="13"/>
  <c r="I309" i="13"/>
  <c r="G309" i="13"/>
  <c r="B309" i="13" s="1"/>
  <c r="F309" i="13"/>
  <c r="E309" i="13"/>
  <c r="D309" i="13"/>
  <c r="R308" i="13"/>
  <c r="M308" i="13"/>
  <c r="L308" i="13"/>
  <c r="J308" i="13"/>
  <c r="I308" i="13"/>
  <c r="G308" i="13"/>
  <c r="B308" i="13" s="1"/>
  <c r="F308" i="13"/>
  <c r="E308" i="13"/>
  <c r="D308" i="13"/>
  <c r="R307" i="13"/>
  <c r="M307" i="13"/>
  <c r="L307" i="13"/>
  <c r="J307" i="13"/>
  <c r="I307" i="13"/>
  <c r="G307" i="13"/>
  <c r="B307" i="13" s="1"/>
  <c r="F307" i="13"/>
  <c r="E307" i="13"/>
  <c r="D307" i="13"/>
  <c r="R306" i="13"/>
  <c r="M306" i="13"/>
  <c r="L306" i="13"/>
  <c r="J306" i="13"/>
  <c r="I306" i="13"/>
  <c r="G306" i="13"/>
  <c r="B306" i="13" s="1"/>
  <c r="F306" i="13"/>
  <c r="E306" i="13"/>
  <c r="D306" i="13"/>
  <c r="R305" i="13"/>
  <c r="M305" i="13"/>
  <c r="L305" i="13"/>
  <c r="J305" i="13"/>
  <c r="I305" i="13"/>
  <c r="G305" i="13"/>
  <c r="B305" i="13" s="1"/>
  <c r="F305" i="13"/>
  <c r="E305" i="13"/>
  <c r="D305" i="13"/>
  <c r="R304" i="13"/>
  <c r="M304" i="13"/>
  <c r="L304" i="13"/>
  <c r="J304" i="13"/>
  <c r="I304" i="13"/>
  <c r="G304" i="13"/>
  <c r="B304" i="13" s="1"/>
  <c r="F304" i="13"/>
  <c r="E304" i="13"/>
  <c r="D304" i="13"/>
  <c r="R303" i="13"/>
  <c r="M303" i="13"/>
  <c r="L303" i="13"/>
  <c r="J303" i="13"/>
  <c r="I303" i="13"/>
  <c r="G303" i="13"/>
  <c r="B303" i="13" s="1"/>
  <c r="F303" i="13"/>
  <c r="E303" i="13"/>
  <c r="D303" i="13"/>
  <c r="R302" i="13"/>
  <c r="M302" i="13"/>
  <c r="L302" i="13"/>
  <c r="J302" i="13"/>
  <c r="I302" i="13"/>
  <c r="G302" i="13"/>
  <c r="B302" i="13" s="1"/>
  <c r="F302" i="13"/>
  <c r="E302" i="13"/>
  <c r="D302" i="13"/>
  <c r="R301" i="13"/>
  <c r="M301" i="13"/>
  <c r="L301" i="13"/>
  <c r="J301" i="13"/>
  <c r="I301" i="13"/>
  <c r="G301" i="13"/>
  <c r="B301" i="13" s="1"/>
  <c r="F301" i="13"/>
  <c r="E301" i="13"/>
  <c r="D301" i="13"/>
  <c r="R300" i="13"/>
  <c r="M300" i="13"/>
  <c r="L300" i="13"/>
  <c r="J300" i="13"/>
  <c r="I300" i="13"/>
  <c r="G300" i="13"/>
  <c r="B300" i="13" s="1"/>
  <c r="F300" i="13"/>
  <c r="E300" i="13"/>
  <c r="D300" i="13"/>
  <c r="R299" i="13"/>
  <c r="M299" i="13"/>
  <c r="L299" i="13"/>
  <c r="J299" i="13"/>
  <c r="I299" i="13"/>
  <c r="G299" i="13"/>
  <c r="B299" i="13" s="1"/>
  <c r="F299" i="13"/>
  <c r="E299" i="13"/>
  <c r="D299" i="13"/>
  <c r="R298" i="13"/>
  <c r="M298" i="13"/>
  <c r="L298" i="13"/>
  <c r="J298" i="13"/>
  <c r="I298" i="13"/>
  <c r="G298" i="13"/>
  <c r="B298" i="13" s="1"/>
  <c r="F298" i="13"/>
  <c r="E298" i="13"/>
  <c r="D298" i="13"/>
  <c r="R297" i="13"/>
  <c r="M297" i="13"/>
  <c r="L297" i="13"/>
  <c r="J297" i="13"/>
  <c r="I297" i="13"/>
  <c r="G297" i="13"/>
  <c r="B297" i="13" s="1"/>
  <c r="F297" i="13"/>
  <c r="E297" i="13"/>
  <c r="D297" i="13"/>
  <c r="R296" i="13"/>
  <c r="M296" i="13"/>
  <c r="L296" i="13"/>
  <c r="J296" i="13"/>
  <c r="I296" i="13"/>
  <c r="G296" i="13"/>
  <c r="B296" i="13" s="1"/>
  <c r="F296" i="13"/>
  <c r="E296" i="13"/>
  <c r="D296" i="13"/>
  <c r="R295" i="13"/>
  <c r="M295" i="13"/>
  <c r="L295" i="13"/>
  <c r="J295" i="13"/>
  <c r="I295" i="13"/>
  <c r="G295" i="13"/>
  <c r="B295" i="13" s="1"/>
  <c r="F295" i="13"/>
  <c r="E295" i="13"/>
  <c r="D295" i="13"/>
  <c r="R294" i="13"/>
  <c r="M294" i="13"/>
  <c r="L294" i="13"/>
  <c r="J294" i="13"/>
  <c r="I294" i="13"/>
  <c r="G294" i="13"/>
  <c r="B294" i="13" s="1"/>
  <c r="F294" i="13"/>
  <c r="E294" i="13"/>
  <c r="D294" i="13"/>
  <c r="R293" i="13"/>
  <c r="M293" i="13"/>
  <c r="L293" i="13"/>
  <c r="J293" i="13"/>
  <c r="I293" i="13"/>
  <c r="G293" i="13"/>
  <c r="B293" i="13" s="1"/>
  <c r="F293" i="13"/>
  <c r="E293" i="13"/>
  <c r="D293" i="13"/>
  <c r="R292" i="13"/>
  <c r="M292" i="13"/>
  <c r="L292" i="13"/>
  <c r="J292" i="13"/>
  <c r="I292" i="13"/>
  <c r="G292" i="13"/>
  <c r="B292" i="13" s="1"/>
  <c r="F292" i="13"/>
  <c r="E292" i="13"/>
  <c r="D292" i="13"/>
  <c r="R291" i="13"/>
  <c r="M291" i="13"/>
  <c r="L291" i="13"/>
  <c r="J291" i="13"/>
  <c r="I291" i="13"/>
  <c r="G291" i="13"/>
  <c r="B291" i="13" s="1"/>
  <c r="F291" i="13"/>
  <c r="E291" i="13"/>
  <c r="D291" i="13"/>
  <c r="R290" i="13"/>
  <c r="M290" i="13"/>
  <c r="L290" i="13"/>
  <c r="J290" i="13"/>
  <c r="I290" i="13"/>
  <c r="G290" i="13"/>
  <c r="B290" i="13" s="1"/>
  <c r="F290" i="13"/>
  <c r="E290" i="13"/>
  <c r="D290" i="13"/>
  <c r="R289" i="13"/>
  <c r="M289" i="13"/>
  <c r="L289" i="13"/>
  <c r="J289" i="13"/>
  <c r="I289" i="13"/>
  <c r="G289" i="13"/>
  <c r="B289" i="13" s="1"/>
  <c r="F289" i="13"/>
  <c r="E289" i="13"/>
  <c r="D289" i="13"/>
  <c r="R288" i="13"/>
  <c r="M288" i="13"/>
  <c r="L288" i="13"/>
  <c r="J288" i="13"/>
  <c r="I288" i="13"/>
  <c r="G288" i="13"/>
  <c r="B288" i="13" s="1"/>
  <c r="F288" i="13"/>
  <c r="E288" i="13"/>
  <c r="D288" i="13"/>
  <c r="R287" i="13"/>
  <c r="M287" i="13"/>
  <c r="L287" i="13"/>
  <c r="J287" i="13"/>
  <c r="I287" i="13"/>
  <c r="G287" i="13"/>
  <c r="B287" i="13" s="1"/>
  <c r="F287" i="13"/>
  <c r="E287" i="13"/>
  <c r="D287" i="13"/>
  <c r="R286" i="13"/>
  <c r="M286" i="13"/>
  <c r="L286" i="13"/>
  <c r="J286" i="13"/>
  <c r="I286" i="13"/>
  <c r="G286" i="13"/>
  <c r="B286" i="13" s="1"/>
  <c r="F286" i="13"/>
  <c r="E286" i="13"/>
  <c r="D286" i="13"/>
  <c r="R285" i="13"/>
  <c r="M285" i="13"/>
  <c r="L285" i="13"/>
  <c r="J285" i="13"/>
  <c r="I285" i="13"/>
  <c r="G285" i="13"/>
  <c r="B285" i="13" s="1"/>
  <c r="F285" i="13"/>
  <c r="E285" i="13"/>
  <c r="D285" i="13"/>
  <c r="R284" i="13"/>
  <c r="M284" i="13"/>
  <c r="L284" i="13"/>
  <c r="J284" i="13"/>
  <c r="I284" i="13"/>
  <c r="G284" i="13"/>
  <c r="B284" i="13" s="1"/>
  <c r="F284" i="13"/>
  <c r="E284" i="13"/>
  <c r="D284" i="13"/>
  <c r="R283" i="13"/>
  <c r="M283" i="13"/>
  <c r="L283" i="13"/>
  <c r="J283" i="13"/>
  <c r="I283" i="13"/>
  <c r="G283" i="13"/>
  <c r="B283" i="13" s="1"/>
  <c r="F283" i="13"/>
  <c r="E283" i="13"/>
  <c r="D283" i="13"/>
  <c r="R282" i="13"/>
  <c r="M282" i="13"/>
  <c r="L282" i="13"/>
  <c r="J282" i="13"/>
  <c r="I282" i="13"/>
  <c r="G282" i="13"/>
  <c r="B282" i="13" s="1"/>
  <c r="F282" i="13"/>
  <c r="E282" i="13"/>
  <c r="D282" i="13"/>
  <c r="R281" i="13"/>
  <c r="M281" i="13"/>
  <c r="L281" i="13"/>
  <c r="J281" i="13"/>
  <c r="I281" i="13"/>
  <c r="G281" i="13"/>
  <c r="B281" i="13" s="1"/>
  <c r="F281" i="13"/>
  <c r="E281" i="13"/>
  <c r="D281" i="13"/>
  <c r="R280" i="13"/>
  <c r="M280" i="13"/>
  <c r="L280" i="13"/>
  <c r="J280" i="13"/>
  <c r="I280" i="13"/>
  <c r="G280" i="13"/>
  <c r="B280" i="13" s="1"/>
  <c r="F280" i="13"/>
  <c r="E280" i="13"/>
  <c r="D280" i="13"/>
  <c r="R279" i="13"/>
  <c r="M279" i="13"/>
  <c r="L279" i="13"/>
  <c r="J279" i="13"/>
  <c r="I279" i="13"/>
  <c r="G279" i="13"/>
  <c r="B279" i="13" s="1"/>
  <c r="F279" i="13"/>
  <c r="E279" i="13"/>
  <c r="D279" i="13"/>
  <c r="R278" i="13"/>
  <c r="M278" i="13"/>
  <c r="L278" i="13"/>
  <c r="J278" i="13"/>
  <c r="I278" i="13"/>
  <c r="G278" i="13"/>
  <c r="B278" i="13" s="1"/>
  <c r="F278" i="13"/>
  <c r="E278" i="13"/>
  <c r="D278" i="13"/>
  <c r="R277" i="13"/>
  <c r="M277" i="13"/>
  <c r="L277" i="13"/>
  <c r="J277" i="13"/>
  <c r="I277" i="13"/>
  <c r="G277" i="13"/>
  <c r="B277" i="13" s="1"/>
  <c r="F277" i="13"/>
  <c r="E277" i="13"/>
  <c r="D277" i="13"/>
  <c r="R276" i="13"/>
  <c r="M276" i="13"/>
  <c r="L276" i="13"/>
  <c r="J276" i="13"/>
  <c r="I276" i="13"/>
  <c r="G276" i="13"/>
  <c r="B276" i="13" s="1"/>
  <c r="F276" i="13"/>
  <c r="E276" i="13"/>
  <c r="D276" i="13"/>
  <c r="R275" i="13"/>
  <c r="M275" i="13"/>
  <c r="L275" i="13"/>
  <c r="J275" i="13"/>
  <c r="I275" i="13"/>
  <c r="G275" i="13"/>
  <c r="B275" i="13" s="1"/>
  <c r="F275" i="13"/>
  <c r="E275" i="13"/>
  <c r="D275" i="13"/>
  <c r="R274" i="13"/>
  <c r="M274" i="13"/>
  <c r="L274" i="13"/>
  <c r="J274" i="13"/>
  <c r="I274" i="13"/>
  <c r="G274" i="13"/>
  <c r="B274" i="13" s="1"/>
  <c r="F274" i="13"/>
  <c r="E274" i="13"/>
  <c r="D274" i="13"/>
  <c r="R273" i="13"/>
  <c r="M273" i="13"/>
  <c r="L273" i="13"/>
  <c r="J273" i="13"/>
  <c r="I273" i="13"/>
  <c r="G273" i="13"/>
  <c r="B273" i="13" s="1"/>
  <c r="F273" i="13"/>
  <c r="E273" i="13"/>
  <c r="D273" i="13"/>
  <c r="R272" i="13"/>
  <c r="M272" i="13"/>
  <c r="L272" i="13"/>
  <c r="J272" i="13"/>
  <c r="I272" i="13"/>
  <c r="G272" i="13"/>
  <c r="B272" i="13" s="1"/>
  <c r="F272" i="13"/>
  <c r="E272" i="13"/>
  <c r="D272" i="13"/>
  <c r="R271" i="13"/>
  <c r="M271" i="13"/>
  <c r="L271" i="13"/>
  <c r="J271" i="13"/>
  <c r="I271" i="13"/>
  <c r="G271" i="13"/>
  <c r="B271" i="13" s="1"/>
  <c r="F271" i="13"/>
  <c r="E271" i="13"/>
  <c r="D271" i="13"/>
  <c r="R270" i="13"/>
  <c r="M270" i="13"/>
  <c r="L270" i="13"/>
  <c r="J270" i="13"/>
  <c r="I270" i="13"/>
  <c r="G270" i="13"/>
  <c r="B270" i="13" s="1"/>
  <c r="F270" i="13"/>
  <c r="E270" i="13"/>
  <c r="D270" i="13"/>
  <c r="R269" i="13"/>
  <c r="M269" i="13"/>
  <c r="L269" i="13"/>
  <c r="J269" i="13"/>
  <c r="I269" i="13"/>
  <c r="G269" i="13"/>
  <c r="B269" i="13" s="1"/>
  <c r="F269" i="13"/>
  <c r="E269" i="13"/>
  <c r="D269" i="13"/>
  <c r="R268" i="13"/>
  <c r="M268" i="13"/>
  <c r="L268" i="13"/>
  <c r="J268" i="13"/>
  <c r="I268" i="13"/>
  <c r="G268" i="13"/>
  <c r="B268" i="13" s="1"/>
  <c r="F268" i="13"/>
  <c r="E268" i="13"/>
  <c r="D268" i="13"/>
  <c r="R267" i="13"/>
  <c r="M267" i="13"/>
  <c r="L267" i="13"/>
  <c r="J267" i="13"/>
  <c r="I267" i="13"/>
  <c r="G267" i="13"/>
  <c r="B267" i="13" s="1"/>
  <c r="F267" i="13"/>
  <c r="E267" i="13"/>
  <c r="D267" i="13"/>
  <c r="R266" i="13"/>
  <c r="M266" i="13"/>
  <c r="L266" i="13"/>
  <c r="J266" i="13"/>
  <c r="I266" i="13"/>
  <c r="G266" i="13"/>
  <c r="B266" i="13" s="1"/>
  <c r="F266" i="13"/>
  <c r="E266" i="13"/>
  <c r="D266" i="13"/>
  <c r="R265" i="13"/>
  <c r="M265" i="13"/>
  <c r="L265" i="13"/>
  <c r="J265" i="13"/>
  <c r="I265" i="13"/>
  <c r="G265" i="13"/>
  <c r="B265" i="13" s="1"/>
  <c r="F265" i="13"/>
  <c r="E265" i="13"/>
  <c r="D265" i="13"/>
  <c r="R264" i="13"/>
  <c r="M264" i="13"/>
  <c r="L264" i="13"/>
  <c r="J264" i="13"/>
  <c r="I264" i="13"/>
  <c r="G264" i="13"/>
  <c r="B264" i="13" s="1"/>
  <c r="F264" i="13"/>
  <c r="E264" i="13"/>
  <c r="D264" i="13"/>
  <c r="R263" i="13"/>
  <c r="M263" i="13"/>
  <c r="L263" i="13"/>
  <c r="J263" i="13"/>
  <c r="I263" i="13"/>
  <c r="G263" i="13"/>
  <c r="B263" i="13" s="1"/>
  <c r="F263" i="13"/>
  <c r="E263" i="13"/>
  <c r="D263" i="13"/>
  <c r="R262" i="13"/>
  <c r="M262" i="13"/>
  <c r="L262" i="13"/>
  <c r="J262" i="13"/>
  <c r="I262" i="13"/>
  <c r="G262" i="13"/>
  <c r="B262" i="13" s="1"/>
  <c r="F262" i="13"/>
  <c r="E262" i="13"/>
  <c r="D262" i="13"/>
  <c r="R261" i="13"/>
  <c r="M261" i="13"/>
  <c r="L261" i="13"/>
  <c r="J261" i="13"/>
  <c r="I261" i="13"/>
  <c r="G261" i="13"/>
  <c r="B261" i="13" s="1"/>
  <c r="F261" i="13"/>
  <c r="E261" i="13"/>
  <c r="D261" i="13"/>
  <c r="R260" i="13"/>
  <c r="M260" i="13"/>
  <c r="L260" i="13"/>
  <c r="J260" i="13"/>
  <c r="I260" i="13"/>
  <c r="G260" i="13"/>
  <c r="B260" i="13" s="1"/>
  <c r="F260" i="13"/>
  <c r="E260" i="13"/>
  <c r="D260" i="13"/>
  <c r="R259" i="13"/>
  <c r="M259" i="13"/>
  <c r="L259" i="13"/>
  <c r="J259" i="13"/>
  <c r="I259" i="13"/>
  <c r="G259" i="13"/>
  <c r="B259" i="13" s="1"/>
  <c r="F259" i="13"/>
  <c r="E259" i="13"/>
  <c r="D259" i="13"/>
  <c r="R258" i="13"/>
  <c r="M258" i="13"/>
  <c r="L258" i="13"/>
  <c r="J258" i="13"/>
  <c r="I258" i="13"/>
  <c r="G258" i="13"/>
  <c r="B258" i="13" s="1"/>
  <c r="F258" i="13"/>
  <c r="E258" i="13"/>
  <c r="D258" i="13"/>
  <c r="R257" i="13"/>
  <c r="M257" i="13"/>
  <c r="L257" i="13"/>
  <c r="J257" i="13"/>
  <c r="I257" i="13"/>
  <c r="G257" i="13"/>
  <c r="B257" i="13" s="1"/>
  <c r="F257" i="13"/>
  <c r="E257" i="13"/>
  <c r="D257" i="13"/>
  <c r="R256" i="13"/>
  <c r="M256" i="13"/>
  <c r="L256" i="13"/>
  <c r="J256" i="13"/>
  <c r="I256" i="13"/>
  <c r="G256" i="13"/>
  <c r="B256" i="13" s="1"/>
  <c r="F256" i="13"/>
  <c r="E256" i="13"/>
  <c r="D256" i="13"/>
  <c r="R255" i="13"/>
  <c r="M255" i="13"/>
  <c r="L255" i="13"/>
  <c r="J255" i="13"/>
  <c r="I255" i="13"/>
  <c r="G255" i="13"/>
  <c r="B255" i="13" s="1"/>
  <c r="F255" i="13"/>
  <c r="E255" i="13"/>
  <c r="D255" i="13"/>
  <c r="R254" i="13"/>
  <c r="M254" i="13"/>
  <c r="L254" i="13"/>
  <c r="J254" i="13"/>
  <c r="I254" i="13"/>
  <c r="G254" i="13"/>
  <c r="B254" i="13" s="1"/>
  <c r="F254" i="13"/>
  <c r="E254" i="13"/>
  <c r="D254" i="13"/>
  <c r="R253" i="13"/>
  <c r="M253" i="13"/>
  <c r="L253" i="13"/>
  <c r="J253" i="13"/>
  <c r="I253" i="13"/>
  <c r="G253" i="13"/>
  <c r="B253" i="13" s="1"/>
  <c r="F253" i="13"/>
  <c r="E253" i="13"/>
  <c r="D253" i="13"/>
  <c r="R252" i="13"/>
  <c r="M252" i="13"/>
  <c r="L252" i="13"/>
  <c r="J252" i="13"/>
  <c r="I252" i="13"/>
  <c r="G252" i="13"/>
  <c r="B252" i="13" s="1"/>
  <c r="F252" i="13"/>
  <c r="E252" i="13"/>
  <c r="D252" i="13"/>
  <c r="R251" i="13"/>
  <c r="M251" i="13"/>
  <c r="L251" i="13"/>
  <c r="J251" i="13"/>
  <c r="I251" i="13"/>
  <c r="G251" i="13"/>
  <c r="B251" i="13" s="1"/>
  <c r="F251" i="13"/>
  <c r="E251" i="13"/>
  <c r="D251" i="13"/>
  <c r="R250" i="13"/>
  <c r="M250" i="13"/>
  <c r="L250" i="13"/>
  <c r="J250" i="13"/>
  <c r="I250" i="13"/>
  <c r="G250" i="13"/>
  <c r="B250" i="13" s="1"/>
  <c r="F250" i="13"/>
  <c r="E250" i="13"/>
  <c r="D250" i="13"/>
  <c r="R249" i="13"/>
  <c r="M249" i="13"/>
  <c r="L249" i="13"/>
  <c r="J249" i="13"/>
  <c r="I249" i="13"/>
  <c r="G249" i="13"/>
  <c r="B249" i="13" s="1"/>
  <c r="F249" i="13"/>
  <c r="E249" i="13"/>
  <c r="D249" i="13"/>
  <c r="R248" i="13"/>
  <c r="M248" i="13"/>
  <c r="L248" i="13"/>
  <c r="J248" i="13"/>
  <c r="I248" i="13"/>
  <c r="G248" i="13"/>
  <c r="B248" i="13" s="1"/>
  <c r="F248" i="13"/>
  <c r="E248" i="13"/>
  <c r="D248" i="13"/>
  <c r="R247" i="13"/>
  <c r="M247" i="13"/>
  <c r="L247" i="13"/>
  <c r="J247" i="13"/>
  <c r="I247" i="13"/>
  <c r="G247" i="13"/>
  <c r="B247" i="13" s="1"/>
  <c r="F247" i="13"/>
  <c r="E247" i="13"/>
  <c r="D247" i="13"/>
  <c r="R246" i="13"/>
  <c r="M246" i="13"/>
  <c r="L246" i="13"/>
  <c r="J246" i="13"/>
  <c r="I246" i="13"/>
  <c r="G246" i="13"/>
  <c r="B246" i="13" s="1"/>
  <c r="F246" i="13"/>
  <c r="E246" i="13"/>
  <c r="D246" i="13"/>
  <c r="R245" i="13"/>
  <c r="M245" i="13"/>
  <c r="L245" i="13"/>
  <c r="J245" i="13"/>
  <c r="I245" i="13"/>
  <c r="G245" i="13"/>
  <c r="B245" i="13" s="1"/>
  <c r="F245" i="13"/>
  <c r="E245" i="13"/>
  <c r="D245" i="13"/>
  <c r="R244" i="13"/>
  <c r="M244" i="13"/>
  <c r="L244" i="13"/>
  <c r="J244" i="13"/>
  <c r="I244" i="13"/>
  <c r="G244" i="13"/>
  <c r="B244" i="13" s="1"/>
  <c r="F244" i="13"/>
  <c r="E244" i="13"/>
  <c r="D244" i="13"/>
  <c r="R243" i="13"/>
  <c r="M243" i="13"/>
  <c r="L243" i="13"/>
  <c r="J243" i="13"/>
  <c r="I243" i="13"/>
  <c r="G243" i="13"/>
  <c r="B243" i="13" s="1"/>
  <c r="F243" i="13"/>
  <c r="E243" i="13"/>
  <c r="D243" i="13"/>
  <c r="R242" i="13"/>
  <c r="M242" i="13"/>
  <c r="L242" i="13"/>
  <c r="J242" i="13"/>
  <c r="I242" i="13"/>
  <c r="G242" i="13"/>
  <c r="B242" i="13" s="1"/>
  <c r="F242" i="13"/>
  <c r="E242" i="13"/>
  <c r="D242" i="13"/>
  <c r="R241" i="13"/>
  <c r="M241" i="13"/>
  <c r="L241" i="13"/>
  <c r="J241" i="13"/>
  <c r="I241" i="13"/>
  <c r="G241" i="13"/>
  <c r="B241" i="13" s="1"/>
  <c r="F241" i="13"/>
  <c r="E241" i="13"/>
  <c r="D241" i="13"/>
  <c r="R240" i="13"/>
  <c r="M240" i="13"/>
  <c r="L240" i="13"/>
  <c r="J240" i="13"/>
  <c r="I240" i="13"/>
  <c r="G240" i="13"/>
  <c r="B240" i="13" s="1"/>
  <c r="F240" i="13"/>
  <c r="E240" i="13"/>
  <c r="D240" i="13"/>
  <c r="R239" i="13"/>
  <c r="M239" i="13"/>
  <c r="L239" i="13"/>
  <c r="J239" i="13"/>
  <c r="I239" i="13"/>
  <c r="G239" i="13"/>
  <c r="B239" i="13" s="1"/>
  <c r="F239" i="13"/>
  <c r="E239" i="13"/>
  <c r="D239" i="13"/>
  <c r="R238" i="13"/>
  <c r="M238" i="13"/>
  <c r="L238" i="13"/>
  <c r="J238" i="13"/>
  <c r="I238" i="13"/>
  <c r="G238" i="13"/>
  <c r="B238" i="13" s="1"/>
  <c r="F238" i="13"/>
  <c r="E238" i="13"/>
  <c r="D238" i="13"/>
  <c r="R237" i="13"/>
  <c r="M237" i="13"/>
  <c r="L237" i="13"/>
  <c r="J237" i="13"/>
  <c r="I237" i="13"/>
  <c r="G237" i="13"/>
  <c r="B237" i="13" s="1"/>
  <c r="F237" i="13"/>
  <c r="E237" i="13"/>
  <c r="D237" i="13"/>
  <c r="R236" i="13"/>
  <c r="M236" i="13"/>
  <c r="L236" i="13"/>
  <c r="J236" i="13"/>
  <c r="I236" i="13"/>
  <c r="G236" i="13"/>
  <c r="B236" i="13" s="1"/>
  <c r="F236" i="13"/>
  <c r="E236" i="13"/>
  <c r="D236" i="13"/>
  <c r="R235" i="13"/>
  <c r="M235" i="13"/>
  <c r="L235" i="13"/>
  <c r="J235" i="13"/>
  <c r="I235" i="13"/>
  <c r="G235" i="13"/>
  <c r="B235" i="13" s="1"/>
  <c r="F235" i="13"/>
  <c r="E235" i="13"/>
  <c r="D235" i="13"/>
  <c r="R234" i="13"/>
  <c r="M234" i="13"/>
  <c r="L234" i="13"/>
  <c r="J234" i="13"/>
  <c r="I234" i="13"/>
  <c r="G234" i="13"/>
  <c r="B234" i="13" s="1"/>
  <c r="F234" i="13"/>
  <c r="E234" i="13"/>
  <c r="D234" i="13"/>
  <c r="R233" i="13"/>
  <c r="M233" i="13"/>
  <c r="L233" i="13"/>
  <c r="J233" i="13"/>
  <c r="I233" i="13"/>
  <c r="G233" i="13"/>
  <c r="B233" i="13" s="1"/>
  <c r="F233" i="13"/>
  <c r="E233" i="13"/>
  <c r="D233" i="13"/>
  <c r="R232" i="13"/>
  <c r="M232" i="13"/>
  <c r="L232" i="13"/>
  <c r="J232" i="13"/>
  <c r="I232" i="13"/>
  <c r="G232" i="13"/>
  <c r="B232" i="13" s="1"/>
  <c r="F232" i="13"/>
  <c r="E232" i="13"/>
  <c r="D232" i="13"/>
  <c r="R231" i="13"/>
  <c r="M231" i="13"/>
  <c r="L231" i="13"/>
  <c r="J231" i="13"/>
  <c r="I231" i="13"/>
  <c r="G231" i="13"/>
  <c r="B231" i="13" s="1"/>
  <c r="F231" i="13"/>
  <c r="E231" i="13"/>
  <c r="D231" i="13"/>
  <c r="R230" i="13"/>
  <c r="M230" i="13"/>
  <c r="L230" i="13"/>
  <c r="J230" i="13"/>
  <c r="I230" i="13"/>
  <c r="G230" i="13"/>
  <c r="B230" i="13" s="1"/>
  <c r="F230" i="13"/>
  <c r="E230" i="13"/>
  <c r="D230" i="13"/>
  <c r="R229" i="13"/>
  <c r="M229" i="13"/>
  <c r="L229" i="13"/>
  <c r="J229" i="13"/>
  <c r="I229" i="13"/>
  <c r="G229" i="13"/>
  <c r="B229" i="13" s="1"/>
  <c r="F229" i="13"/>
  <c r="E229" i="13"/>
  <c r="D229" i="13"/>
  <c r="R228" i="13"/>
  <c r="M228" i="13"/>
  <c r="L228" i="13"/>
  <c r="J228" i="13"/>
  <c r="I228" i="13"/>
  <c r="G228" i="13"/>
  <c r="B228" i="13" s="1"/>
  <c r="F228" i="13"/>
  <c r="E228" i="13"/>
  <c r="D228" i="13"/>
  <c r="R227" i="13"/>
  <c r="M227" i="13"/>
  <c r="L227" i="13"/>
  <c r="J227" i="13"/>
  <c r="I227" i="13"/>
  <c r="G227" i="13"/>
  <c r="B227" i="13" s="1"/>
  <c r="F227" i="13"/>
  <c r="E227" i="13"/>
  <c r="D227" i="13"/>
  <c r="R226" i="13"/>
  <c r="M226" i="13"/>
  <c r="L226" i="13"/>
  <c r="J226" i="13"/>
  <c r="I226" i="13"/>
  <c r="G226" i="13"/>
  <c r="B226" i="13" s="1"/>
  <c r="F226" i="13"/>
  <c r="E226" i="13"/>
  <c r="D226" i="13"/>
  <c r="R225" i="13"/>
  <c r="M225" i="13"/>
  <c r="L225" i="13"/>
  <c r="J225" i="13"/>
  <c r="I225" i="13"/>
  <c r="G225" i="13"/>
  <c r="B225" i="13" s="1"/>
  <c r="F225" i="13"/>
  <c r="E225" i="13"/>
  <c r="D225" i="13"/>
  <c r="R224" i="13"/>
  <c r="M224" i="13"/>
  <c r="L224" i="13"/>
  <c r="J224" i="13"/>
  <c r="I224" i="13"/>
  <c r="G224" i="13"/>
  <c r="B224" i="13" s="1"/>
  <c r="F224" i="13"/>
  <c r="E224" i="13"/>
  <c r="D224" i="13"/>
  <c r="R223" i="13"/>
  <c r="M223" i="13"/>
  <c r="L223" i="13"/>
  <c r="J223" i="13"/>
  <c r="I223" i="13"/>
  <c r="G223" i="13"/>
  <c r="B223" i="13" s="1"/>
  <c r="F223" i="13"/>
  <c r="E223" i="13"/>
  <c r="D223" i="13"/>
  <c r="R222" i="13"/>
  <c r="M222" i="13"/>
  <c r="L222" i="13"/>
  <c r="J222" i="13"/>
  <c r="I222" i="13"/>
  <c r="G222" i="13"/>
  <c r="B222" i="13" s="1"/>
  <c r="F222" i="13"/>
  <c r="E222" i="13"/>
  <c r="D222" i="13"/>
  <c r="R221" i="13"/>
  <c r="M221" i="13"/>
  <c r="L221" i="13"/>
  <c r="J221" i="13"/>
  <c r="I221" i="13"/>
  <c r="G221" i="13"/>
  <c r="B221" i="13" s="1"/>
  <c r="F221" i="13"/>
  <c r="E221" i="13"/>
  <c r="D221" i="13"/>
  <c r="R220" i="13"/>
  <c r="M220" i="13"/>
  <c r="L220" i="13"/>
  <c r="J220" i="13"/>
  <c r="I220" i="13"/>
  <c r="G220" i="13"/>
  <c r="B220" i="13" s="1"/>
  <c r="F220" i="13"/>
  <c r="E220" i="13"/>
  <c r="D220" i="13"/>
  <c r="R219" i="13"/>
  <c r="M219" i="13"/>
  <c r="L219" i="13"/>
  <c r="J219" i="13"/>
  <c r="I219" i="13"/>
  <c r="G219" i="13"/>
  <c r="B219" i="13" s="1"/>
  <c r="F219" i="13"/>
  <c r="E219" i="13"/>
  <c r="D219" i="13"/>
  <c r="R218" i="13"/>
  <c r="M218" i="13"/>
  <c r="L218" i="13"/>
  <c r="J218" i="13"/>
  <c r="I218" i="13"/>
  <c r="G218" i="13"/>
  <c r="B218" i="13" s="1"/>
  <c r="F218" i="13"/>
  <c r="E218" i="13"/>
  <c r="D218" i="13"/>
  <c r="R217" i="13"/>
  <c r="M217" i="13"/>
  <c r="L217" i="13"/>
  <c r="J217" i="13"/>
  <c r="I217" i="13"/>
  <c r="G217" i="13"/>
  <c r="B217" i="13" s="1"/>
  <c r="F217" i="13"/>
  <c r="E217" i="13"/>
  <c r="D217" i="13"/>
  <c r="R216" i="13"/>
  <c r="M216" i="13"/>
  <c r="L216" i="13"/>
  <c r="J216" i="13"/>
  <c r="I216" i="13"/>
  <c r="G216" i="13"/>
  <c r="B216" i="13" s="1"/>
  <c r="F216" i="13"/>
  <c r="E216" i="13"/>
  <c r="D216" i="13"/>
  <c r="R215" i="13"/>
  <c r="M215" i="13"/>
  <c r="L215" i="13"/>
  <c r="J215" i="13"/>
  <c r="I215" i="13"/>
  <c r="G215" i="13"/>
  <c r="B215" i="13" s="1"/>
  <c r="F215" i="13"/>
  <c r="E215" i="13"/>
  <c r="D215" i="13"/>
  <c r="R214" i="13"/>
  <c r="M214" i="13"/>
  <c r="L214" i="13"/>
  <c r="J214" i="13"/>
  <c r="I214" i="13"/>
  <c r="G214" i="13"/>
  <c r="B214" i="13" s="1"/>
  <c r="F214" i="13"/>
  <c r="E214" i="13"/>
  <c r="D214" i="13"/>
  <c r="R213" i="13"/>
  <c r="M213" i="13"/>
  <c r="L213" i="13"/>
  <c r="J213" i="13"/>
  <c r="I213" i="13"/>
  <c r="G213" i="13"/>
  <c r="B213" i="13" s="1"/>
  <c r="F213" i="13"/>
  <c r="E213" i="13"/>
  <c r="D213" i="13"/>
  <c r="R212" i="13"/>
  <c r="M212" i="13"/>
  <c r="L212" i="13"/>
  <c r="J212" i="13"/>
  <c r="I212" i="13"/>
  <c r="G212" i="13"/>
  <c r="B212" i="13" s="1"/>
  <c r="F212" i="13"/>
  <c r="E212" i="13"/>
  <c r="D212" i="13"/>
  <c r="R211" i="13"/>
  <c r="M211" i="13"/>
  <c r="L211" i="13"/>
  <c r="J211" i="13"/>
  <c r="I211" i="13"/>
  <c r="G211" i="13"/>
  <c r="B211" i="13" s="1"/>
  <c r="F211" i="13"/>
  <c r="E211" i="13"/>
  <c r="D211" i="13"/>
  <c r="R210" i="13"/>
  <c r="M210" i="13"/>
  <c r="L210" i="13"/>
  <c r="J210" i="13"/>
  <c r="I210" i="13"/>
  <c r="G210" i="13"/>
  <c r="B210" i="13" s="1"/>
  <c r="F210" i="13"/>
  <c r="E210" i="13"/>
  <c r="D210" i="13"/>
  <c r="R209" i="13"/>
  <c r="M209" i="13"/>
  <c r="L209" i="13"/>
  <c r="J209" i="13"/>
  <c r="I209" i="13"/>
  <c r="G209" i="13"/>
  <c r="B209" i="13" s="1"/>
  <c r="F209" i="13"/>
  <c r="E209" i="13"/>
  <c r="D209" i="13"/>
  <c r="R208" i="13"/>
  <c r="M208" i="13"/>
  <c r="L208" i="13"/>
  <c r="J208" i="13"/>
  <c r="I208" i="13"/>
  <c r="G208" i="13"/>
  <c r="B208" i="13" s="1"/>
  <c r="F208" i="13"/>
  <c r="E208" i="13"/>
  <c r="D208" i="13"/>
  <c r="R207" i="13"/>
  <c r="M207" i="13"/>
  <c r="L207" i="13"/>
  <c r="J207" i="13"/>
  <c r="I207" i="13"/>
  <c r="G207" i="13"/>
  <c r="B207" i="13" s="1"/>
  <c r="F207" i="13"/>
  <c r="E207" i="13"/>
  <c r="D207" i="13"/>
  <c r="R206" i="13"/>
  <c r="M206" i="13"/>
  <c r="L206" i="13"/>
  <c r="J206" i="13"/>
  <c r="I206" i="13"/>
  <c r="G206" i="13"/>
  <c r="B206" i="13" s="1"/>
  <c r="F206" i="13"/>
  <c r="E206" i="13"/>
  <c r="D206" i="13"/>
  <c r="R205" i="13"/>
  <c r="M205" i="13"/>
  <c r="L205" i="13"/>
  <c r="J205" i="13"/>
  <c r="I205" i="13"/>
  <c r="G205" i="13"/>
  <c r="B205" i="13" s="1"/>
  <c r="F205" i="13"/>
  <c r="E205" i="13"/>
  <c r="D205" i="13"/>
  <c r="R204" i="13"/>
  <c r="M204" i="13"/>
  <c r="L204" i="13"/>
  <c r="J204" i="13"/>
  <c r="I204" i="13"/>
  <c r="G204" i="13"/>
  <c r="B204" i="13" s="1"/>
  <c r="F204" i="13"/>
  <c r="E204" i="13"/>
  <c r="D204" i="13"/>
  <c r="R203" i="13"/>
  <c r="M203" i="13"/>
  <c r="L203" i="13"/>
  <c r="J203" i="13"/>
  <c r="I203" i="13"/>
  <c r="G203" i="13"/>
  <c r="B203" i="13" s="1"/>
  <c r="F203" i="13"/>
  <c r="E203" i="13"/>
  <c r="D203" i="13"/>
  <c r="R202" i="13"/>
  <c r="M202" i="13"/>
  <c r="L202" i="13"/>
  <c r="J202" i="13"/>
  <c r="I202" i="13"/>
  <c r="G202" i="13"/>
  <c r="B202" i="13" s="1"/>
  <c r="F202" i="13"/>
  <c r="E202" i="13"/>
  <c r="D202" i="13"/>
  <c r="R201" i="13"/>
  <c r="M201" i="13"/>
  <c r="L201" i="13"/>
  <c r="J201" i="13"/>
  <c r="I201" i="13"/>
  <c r="G201" i="13"/>
  <c r="B201" i="13" s="1"/>
  <c r="F201" i="13"/>
  <c r="E201" i="13"/>
  <c r="D201" i="13"/>
  <c r="R200" i="13"/>
  <c r="M200" i="13"/>
  <c r="L200" i="13"/>
  <c r="J200" i="13"/>
  <c r="I200" i="13"/>
  <c r="G200" i="13"/>
  <c r="B200" i="13" s="1"/>
  <c r="F200" i="13"/>
  <c r="E200" i="13"/>
  <c r="D200" i="13"/>
  <c r="R199" i="13"/>
  <c r="M199" i="13"/>
  <c r="L199" i="13"/>
  <c r="J199" i="13"/>
  <c r="I199" i="13"/>
  <c r="G199" i="13"/>
  <c r="B199" i="13" s="1"/>
  <c r="F199" i="13"/>
  <c r="E199" i="13"/>
  <c r="D199" i="13"/>
  <c r="R198" i="13"/>
  <c r="M198" i="13"/>
  <c r="L198" i="13"/>
  <c r="J198" i="13"/>
  <c r="I198" i="13"/>
  <c r="G198" i="13"/>
  <c r="B198" i="13" s="1"/>
  <c r="F198" i="13"/>
  <c r="E198" i="13"/>
  <c r="D198" i="13"/>
  <c r="R197" i="13"/>
  <c r="M197" i="13"/>
  <c r="L197" i="13"/>
  <c r="J197" i="13"/>
  <c r="I197" i="13"/>
  <c r="G197" i="13"/>
  <c r="B197" i="13" s="1"/>
  <c r="F197" i="13"/>
  <c r="E197" i="13"/>
  <c r="D197" i="13"/>
  <c r="R196" i="13"/>
  <c r="M196" i="13"/>
  <c r="L196" i="13"/>
  <c r="J196" i="13"/>
  <c r="I196" i="13"/>
  <c r="G196" i="13"/>
  <c r="B196" i="13" s="1"/>
  <c r="F196" i="13"/>
  <c r="E196" i="13"/>
  <c r="D196" i="13"/>
  <c r="R195" i="13"/>
  <c r="M195" i="13"/>
  <c r="L195" i="13"/>
  <c r="J195" i="13"/>
  <c r="I195" i="13"/>
  <c r="G195" i="13"/>
  <c r="B195" i="13" s="1"/>
  <c r="F195" i="13"/>
  <c r="E195" i="13"/>
  <c r="D195" i="13"/>
  <c r="R194" i="13"/>
  <c r="M194" i="13"/>
  <c r="L194" i="13"/>
  <c r="J194" i="13"/>
  <c r="I194" i="13"/>
  <c r="G194" i="13"/>
  <c r="B194" i="13" s="1"/>
  <c r="F194" i="13"/>
  <c r="E194" i="13"/>
  <c r="D194" i="13"/>
  <c r="R193" i="13"/>
  <c r="M193" i="13"/>
  <c r="L193" i="13"/>
  <c r="J193" i="13"/>
  <c r="I193" i="13"/>
  <c r="G193" i="13"/>
  <c r="B193" i="13" s="1"/>
  <c r="F193" i="13"/>
  <c r="E193" i="13"/>
  <c r="D193" i="13"/>
  <c r="R192" i="13"/>
  <c r="M192" i="13"/>
  <c r="L192" i="13"/>
  <c r="J192" i="13"/>
  <c r="I192" i="13"/>
  <c r="G192" i="13"/>
  <c r="B192" i="13" s="1"/>
  <c r="F192" i="13"/>
  <c r="E192" i="13"/>
  <c r="D192" i="13"/>
  <c r="R191" i="13"/>
  <c r="M191" i="13"/>
  <c r="L191" i="13"/>
  <c r="J191" i="13"/>
  <c r="I191" i="13"/>
  <c r="G191" i="13"/>
  <c r="B191" i="13" s="1"/>
  <c r="F191" i="13"/>
  <c r="E191" i="13"/>
  <c r="D191" i="13"/>
  <c r="R190" i="13"/>
  <c r="M190" i="13"/>
  <c r="L190" i="13"/>
  <c r="J190" i="13"/>
  <c r="I190" i="13"/>
  <c r="G190" i="13"/>
  <c r="B190" i="13" s="1"/>
  <c r="F190" i="13"/>
  <c r="E190" i="13"/>
  <c r="D190" i="13"/>
  <c r="R189" i="13"/>
  <c r="M189" i="13"/>
  <c r="L189" i="13"/>
  <c r="J189" i="13"/>
  <c r="I189" i="13"/>
  <c r="G189" i="13"/>
  <c r="B189" i="13" s="1"/>
  <c r="F189" i="13"/>
  <c r="E189" i="13"/>
  <c r="D189" i="13"/>
  <c r="R188" i="13"/>
  <c r="M188" i="13"/>
  <c r="L188" i="13"/>
  <c r="J188" i="13"/>
  <c r="I188" i="13"/>
  <c r="G188" i="13"/>
  <c r="B188" i="13" s="1"/>
  <c r="F188" i="13"/>
  <c r="E188" i="13"/>
  <c r="D188" i="13"/>
  <c r="R187" i="13"/>
  <c r="M187" i="13"/>
  <c r="L187" i="13"/>
  <c r="J187" i="13"/>
  <c r="I187" i="13"/>
  <c r="G187" i="13"/>
  <c r="B187" i="13" s="1"/>
  <c r="F187" i="13"/>
  <c r="E187" i="13"/>
  <c r="D187" i="13"/>
  <c r="R186" i="13"/>
  <c r="M186" i="13"/>
  <c r="L186" i="13"/>
  <c r="J186" i="13"/>
  <c r="I186" i="13"/>
  <c r="G186" i="13"/>
  <c r="B186" i="13" s="1"/>
  <c r="F186" i="13"/>
  <c r="E186" i="13"/>
  <c r="D186" i="13"/>
  <c r="R185" i="13"/>
  <c r="M185" i="13"/>
  <c r="L185" i="13"/>
  <c r="J185" i="13"/>
  <c r="I185" i="13"/>
  <c r="G185" i="13"/>
  <c r="B185" i="13" s="1"/>
  <c r="F185" i="13"/>
  <c r="E185" i="13"/>
  <c r="D185" i="13"/>
  <c r="R184" i="13"/>
  <c r="M184" i="13"/>
  <c r="L184" i="13"/>
  <c r="J184" i="13"/>
  <c r="I184" i="13"/>
  <c r="G184" i="13"/>
  <c r="B184" i="13" s="1"/>
  <c r="F184" i="13"/>
  <c r="E184" i="13"/>
  <c r="D184" i="13"/>
  <c r="R183" i="13"/>
  <c r="M183" i="13"/>
  <c r="L183" i="13"/>
  <c r="J183" i="13"/>
  <c r="I183" i="13"/>
  <c r="G183" i="13"/>
  <c r="B183" i="13" s="1"/>
  <c r="F183" i="13"/>
  <c r="E183" i="13"/>
  <c r="D183" i="13"/>
  <c r="R182" i="13"/>
  <c r="M182" i="13"/>
  <c r="L182" i="13"/>
  <c r="J182" i="13"/>
  <c r="I182" i="13"/>
  <c r="G182" i="13"/>
  <c r="B182" i="13" s="1"/>
  <c r="F182" i="13"/>
  <c r="E182" i="13"/>
  <c r="D182" i="13"/>
  <c r="R181" i="13"/>
  <c r="M181" i="13"/>
  <c r="L181" i="13"/>
  <c r="J181" i="13"/>
  <c r="I181" i="13"/>
  <c r="G181" i="13"/>
  <c r="B181" i="13" s="1"/>
  <c r="F181" i="13"/>
  <c r="E181" i="13"/>
  <c r="D181" i="13"/>
  <c r="R180" i="13"/>
  <c r="M180" i="13"/>
  <c r="L180" i="13"/>
  <c r="J180" i="13"/>
  <c r="I180" i="13"/>
  <c r="G180" i="13"/>
  <c r="B180" i="13" s="1"/>
  <c r="F180" i="13"/>
  <c r="E180" i="13"/>
  <c r="D180" i="13"/>
  <c r="R179" i="13"/>
  <c r="M179" i="13"/>
  <c r="L179" i="13"/>
  <c r="J179" i="13"/>
  <c r="I179" i="13"/>
  <c r="G179" i="13"/>
  <c r="B179" i="13" s="1"/>
  <c r="F179" i="13"/>
  <c r="E179" i="13"/>
  <c r="D179" i="13"/>
  <c r="R178" i="13"/>
  <c r="M178" i="13"/>
  <c r="L178" i="13"/>
  <c r="J178" i="13"/>
  <c r="I178" i="13"/>
  <c r="G178" i="13"/>
  <c r="B178" i="13" s="1"/>
  <c r="F178" i="13"/>
  <c r="E178" i="13"/>
  <c r="D178" i="13"/>
  <c r="R177" i="13"/>
  <c r="M177" i="13"/>
  <c r="L177" i="13"/>
  <c r="J177" i="13"/>
  <c r="I177" i="13"/>
  <c r="G177" i="13"/>
  <c r="B177" i="13" s="1"/>
  <c r="F177" i="13"/>
  <c r="E177" i="13"/>
  <c r="D177" i="13"/>
  <c r="R176" i="13"/>
  <c r="M176" i="13"/>
  <c r="L176" i="13"/>
  <c r="J176" i="13"/>
  <c r="I176" i="13"/>
  <c r="G176" i="13"/>
  <c r="B176" i="13" s="1"/>
  <c r="F176" i="13"/>
  <c r="E176" i="13"/>
  <c r="D176" i="13"/>
  <c r="R175" i="13"/>
  <c r="M175" i="13"/>
  <c r="L175" i="13"/>
  <c r="J175" i="13"/>
  <c r="I175" i="13"/>
  <c r="G175" i="13"/>
  <c r="B175" i="13" s="1"/>
  <c r="F175" i="13"/>
  <c r="E175" i="13"/>
  <c r="D175" i="13"/>
  <c r="R174" i="13"/>
  <c r="M174" i="13"/>
  <c r="L174" i="13"/>
  <c r="J174" i="13"/>
  <c r="I174" i="13"/>
  <c r="G174" i="13"/>
  <c r="B174" i="13" s="1"/>
  <c r="F174" i="13"/>
  <c r="E174" i="13"/>
  <c r="D174" i="13"/>
  <c r="R173" i="13"/>
  <c r="M173" i="13"/>
  <c r="L173" i="13"/>
  <c r="J173" i="13"/>
  <c r="I173" i="13"/>
  <c r="G173" i="13"/>
  <c r="B173" i="13" s="1"/>
  <c r="F173" i="13"/>
  <c r="E173" i="13"/>
  <c r="D173" i="13"/>
  <c r="R172" i="13"/>
  <c r="M172" i="13"/>
  <c r="L172" i="13"/>
  <c r="J172" i="13"/>
  <c r="I172" i="13"/>
  <c r="G172" i="13"/>
  <c r="B172" i="13" s="1"/>
  <c r="F172" i="13"/>
  <c r="E172" i="13"/>
  <c r="D172" i="13"/>
  <c r="R171" i="13"/>
  <c r="M171" i="13"/>
  <c r="L171" i="13"/>
  <c r="J171" i="13"/>
  <c r="I171" i="13"/>
  <c r="G171" i="13"/>
  <c r="B171" i="13" s="1"/>
  <c r="F171" i="13"/>
  <c r="E171" i="13"/>
  <c r="D171" i="13"/>
  <c r="R170" i="13"/>
  <c r="M170" i="13"/>
  <c r="L170" i="13"/>
  <c r="J170" i="13"/>
  <c r="I170" i="13"/>
  <c r="G170" i="13"/>
  <c r="B170" i="13" s="1"/>
  <c r="F170" i="13"/>
  <c r="E170" i="13"/>
  <c r="D170" i="13"/>
  <c r="R169" i="13"/>
  <c r="M169" i="13"/>
  <c r="L169" i="13"/>
  <c r="J169" i="13"/>
  <c r="I169" i="13"/>
  <c r="G169" i="13"/>
  <c r="B169" i="13" s="1"/>
  <c r="F169" i="13"/>
  <c r="E169" i="13"/>
  <c r="D169" i="13"/>
  <c r="R168" i="13"/>
  <c r="M168" i="13"/>
  <c r="L168" i="13"/>
  <c r="J168" i="13"/>
  <c r="I168" i="13"/>
  <c r="G168" i="13"/>
  <c r="B168" i="13" s="1"/>
  <c r="F168" i="13"/>
  <c r="E168" i="13"/>
  <c r="D168" i="13"/>
  <c r="R167" i="13"/>
  <c r="M167" i="13"/>
  <c r="L167" i="13"/>
  <c r="J167" i="13"/>
  <c r="I167" i="13"/>
  <c r="G167" i="13"/>
  <c r="B167" i="13" s="1"/>
  <c r="F167" i="13"/>
  <c r="E167" i="13"/>
  <c r="D167" i="13"/>
  <c r="R166" i="13"/>
  <c r="M166" i="13"/>
  <c r="L166" i="13"/>
  <c r="J166" i="13"/>
  <c r="I166" i="13"/>
  <c r="G166" i="13"/>
  <c r="B166" i="13" s="1"/>
  <c r="F166" i="13"/>
  <c r="E166" i="13"/>
  <c r="D166" i="13"/>
  <c r="R165" i="13"/>
  <c r="M165" i="13"/>
  <c r="L165" i="13"/>
  <c r="J165" i="13"/>
  <c r="I165" i="13"/>
  <c r="G165" i="13"/>
  <c r="B165" i="13" s="1"/>
  <c r="F165" i="13"/>
  <c r="E165" i="13"/>
  <c r="D165" i="13"/>
  <c r="R164" i="13"/>
  <c r="M164" i="13"/>
  <c r="L164" i="13"/>
  <c r="J164" i="13"/>
  <c r="I164" i="13"/>
  <c r="G164" i="13"/>
  <c r="B164" i="13" s="1"/>
  <c r="F164" i="13"/>
  <c r="E164" i="13"/>
  <c r="D164" i="13"/>
  <c r="R163" i="13"/>
  <c r="M163" i="13"/>
  <c r="L163" i="13"/>
  <c r="J163" i="13"/>
  <c r="I163" i="13"/>
  <c r="G163" i="13"/>
  <c r="B163" i="13" s="1"/>
  <c r="F163" i="13"/>
  <c r="E163" i="13"/>
  <c r="D163" i="13"/>
  <c r="R162" i="13"/>
  <c r="M162" i="13"/>
  <c r="L162" i="13"/>
  <c r="J162" i="13"/>
  <c r="I162" i="13"/>
  <c r="G162" i="13"/>
  <c r="B162" i="13" s="1"/>
  <c r="F162" i="13"/>
  <c r="E162" i="13"/>
  <c r="D162" i="13"/>
  <c r="R161" i="13"/>
  <c r="M161" i="13"/>
  <c r="L161" i="13"/>
  <c r="J161" i="13"/>
  <c r="I161" i="13"/>
  <c r="G161" i="13"/>
  <c r="B161" i="13" s="1"/>
  <c r="F161" i="13"/>
  <c r="E161" i="13"/>
  <c r="D161" i="13"/>
  <c r="R160" i="13"/>
  <c r="M160" i="13"/>
  <c r="L160" i="13"/>
  <c r="J160" i="13"/>
  <c r="I160" i="13"/>
  <c r="G160" i="13"/>
  <c r="B160" i="13" s="1"/>
  <c r="F160" i="13"/>
  <c r="E160" i="13"/>
  <c r="D160" i="13"/>
  <c r="R159" i="13"/>
  <c r="M159" i="13"/>
  <c r="L159" i="13"/>
  <c r="J159" i="13"/>
  <c r="I159" i="13"/>
  <c r="G159" i="13"/>
  <c r="B159" i="13" s="1"/>
  <c r="F159" i="13"/>
  <c r="E159" i="13"/>
  <c r="D159" i="13"/>
  <c r="R158" i="13"/>
  <c r="M158" i="13"/>
  <c r="L158" i="13"/>
  <c r="J158" i="13"/>
  <c r="I158" i="13"/>
  <c r="G158" i="13"/>
  <c r="B158" i="13" s="1"/>
  <c r="F158" i="13"/>
  <c r="E158" i="13"/>
  <c r="D158" i="13"/>
  <c r="R157" i="13"/>
  <c r="M157" i="13"/>
  <c r="L157" i="13"/>
  <c r="J157" i="13"/>
  <c r="I157" i="13"/>
  <c r="G157" i="13"/>
  <c r="B157" i="13" s="1"/>
  <c r="F157" i="13"/>
  <c r="E157" i="13"/>
  <c r="D157" i="13"/>
  <c r="R156" i="13"/>
  <c r="M156" i="13"/>
  <c r="L156" i="13"/>
  <c r="J156" i="13"/>
  <c r="I156" i="13"/>
  <c r="G156" i="13"/>
  <c r="B156" i="13" s="1"/>
  <c r="F156" i="13"/>
  <c r="E156" i="13"/>
  <c r="D156" i="13"/>
  <c r="R155" i="13"/>
  <c r="M155" i="13"/>
  <c r="L155" i="13"/>
  <c r="J155" i="13"/>
  <c r="I155" i="13"/>
  <c r="G155" i="13"/>
  <c r="B155" i="13" s="1"/>
  <c r="F155" i="13"/>
  <c r="E155" i="13"/>
  <c r="D155" i="13"/>
  <c r="R154" i="13"/>
  <c r="M154" i="13"/>
  <c r="L154" i="13"/>
  <c r="J154" i="13"/>
  <c r="I154" i="13"/>
  <c r="G154" i="13"/>
  <c r="B154" i="13" s="1"/>
  <c r="F154" i="13"/>
  <c r="E154" i="13"/>
  <c r="D154" i="13"/>
  <c r="R153" i="13"/>
  <c r="M153" i="13"/>
  <c r="L153" i="13"/>
  <c r="J153" i="13"/>
  <c r="I153" i="13"/>
  <c r="G153" i="13"/>
  <c r="B153" i="13" s="1"/>
  <c r="F153" i="13"/>
  <c r="E153" i="13"/>
  <c r="D153" i="13"/>
  <c r="R152" i="13"/>
  <c r="M152" i="13"/>
  <c r="L152" i="13"/>
  <c r="J152" i="13"/>
  <c r="I152" i="13"/>
  <c r="G152" i="13"/>
  <c r="B152" i="13" s="1"/>
  <c r="F152" i="13"/>
  <c r="E152" i="13"/>
  <c r="D152" i="13"/>
  <c r="R151" i="13"/>
  <c r="M151" i="13"/>
  <c r="L151" i="13"/>
  <c r="J151" i="13"/>
  <c r="I151" i="13"/>
  <c r="G151" i="13"/>
  <c r="B151" i="13" s="1"/>
  <c r="F151" i="13"/>
  <c r="E151" i="13"/>
  <c r="D151" i="13"/>
  <c r="R150" i="13"/>
  <c r="M150" i="13"/>
  <c r="L150" i="13"/>
  <c r="J150" i="13"/>
  <c r="I150" i="13"/>
  <c r="G150" i="13"/>
  <c r="B150" i="13" s="1"/>
  <c r="F150" i="13"/>
  <c r="E150" i="13"/>
  <c r="D150" i="13"/>
  <c r="R149" i="13"/>
  <c r="M149" i="13"/>
  <c r="L149" i="13"/>
  <c r="J149" i="13"/>
  <c r="I149" i="13"/>
  <c r="G149" i="13"/>
  <c r="B149" i="13" s="1"/>
  <c r="F149" i="13"/>
  <c r="E149" i="13"/>
  <c r="D149" i="13"/>
  <c r="R148" i="13"/>
  <c r="M148" i="13"/>
  <c r="L148" i="13"/>
  <c r="J148" i="13"/>
  <c r="I148" i="13"/>
  <c r="G148" i="13"/>
  <c r="B148" i="13" s="1"/>
  <c r="F148" i="13"/>
  <c r="E148" i="13"/>
  <c r="D148" i="13"/>
  <c r="R147" i="13"/>
  <c r="M147" i="13"/>
  <c r="L147" i="13"/>
  <c r="J147" i="13"/>
  <c r="I147" i="13"/>
  <c r="G147" i="13"/>
  <c r="B147" i="13" s="1"/>
  <c r="F147" i="13"/>
  <c r="E147" i="13"/>
  <c r="D147" i="13"/>
  <c r="R146" i="13"/>
  <c r="M146" i="13"/>
  <c r="L146" i="13"/>
  <c r="J146" i="13"/>
  <c r="I146" i="13"/>
  <c r="G146" i="13"/>
  <c r="B146" i="13" s="1"/>
  <c r="F146" i="13"/>
  <c r="E146" i="13"/>
  <c r="D146" i="13"/>
  <c r="R145" i="13"/>
  <c r="M145" i="13"/>
  <c r="L145" i="13"/>
  <c r="J145" i="13"/>
  <c r="I145" i="13"/>
  <c r="G145" i="13"/>
  <c r="B145" i="13" s="1"/>
  <c r="F145" i="13"/>
  <c r="E145" i="13"/>
  <c r="D145" i="13"/>
  <c r="R144" i="13"/>
  <c r="M144" i="13"/>
  <c r="L144" i="13"/>
  <c r="J144" i="13"/>
  <c r="I144" i="13"/>
  <c r="G144" i="13"/>
  <c r="B144" i="13" s="1"/>
  <c r="F144" i="13"/>
  <c r="E144" i="13"/>
  <c r="D144" i="13"/>
  <c r="R143" i="13"/>
  <c r="M143" i="13"/>
  <c r="L143" i="13"/>
  <c r="J143" i="13"/>
  <c r="I143" i="13"/>
  <c r="G143" i="13"/>
  <c r="B143" i="13" s="1"/>
  <c r="F143" i="13"/>
  <c r="E143" i="13"/>
  <c r="D143" i="13"/>
  <c r="R142" i="13"/>
  <c r="M142" i="13"/>
  <c r="L142" i="13"/>
  <c r="J142" i="13"/>
  <c r="I142" i="13"/>
  <c r="G142" i="13"/>
  <c r="B142" i="13" s="1"/>
  <c r="F142" i="13"/>
  <c r="E142" i="13"/>
  <c r="D142" i="13"/>
  <c r="R141" i="13"/>
  <c r="M141" i="13"/>
  <c r="L141" i="13"/>
  <c r="J141" i="13"/>
  <c r="I141" i="13"/>
  <c r="G141" i="13"/>
  <c r="B141" i="13" s="1"/>
  <c r="F141" i="13"/>
  <c r="E141" i="13"/>
  <c r="D141" i="13"/>
  <c r="R140" i="13"/>
  <c r="M140" i="13"/>
  <c r="L140" i="13"/>
  <c r="J140" i="13"/>
  <c r="I140" i="13"/>
  <c r="G140" i="13"/>
  <c r="B140" i="13" s="1"/>
  <c r="F140" i="13"/>
  <c r="E140" i="13"/>
  <c r="D140" i="13"/>
  <c r="R139" i="13"/>
  <c r="M139" i="13"/>
  <c r="L139" i="13"/>
  <c r="J139" i="13"/>
  <c r="I139" i="13"/>
  <c r="G139" i="13"/>
  <c r="B139" i="13" s="1"/>
  <c r="F139" i="13"/>
  <c r="E139" i="13"/>
  <c r="D139" i="13"/>
  <c r="R138" i="13"/>
  <c r="M138" i="13"/>
  <c r="L138" i="13"/>
  <c r="J138" i="13"/>
  <c r="I138" i="13"/>
  <c r="G138" i="13"/>
  <c r="B138" i="13" s="1"/>
  <c r="F138" i="13"/>
  <c r="E138" i="13"/>
  <c r="D138" i="13"/>
  <c r="R137" i="13"/>
  <c r="M137" i="13"/>
  <c r="L137" i="13"/>
  <c r="J137" i="13"/>
  <c r="I137" i="13"/>
  <c r="G137" i="13"/>
  <c r="B137" i="13" s="1"/>
  <c r="F137" i="13"/>
  <c r="E137" i="13"/>
  <c r="D137" i="13"/>
  <c r="R136" i="13"/>
  <c r="M136" i="13"/>
  <c r="L136" i="13"/>
  <c r="J136" i="13"/>
  <c r="I136" i="13"/>
  <c r="G136" i="13"/>
  <c r="B136" i="13" s="1"/>
  <c r="F136" i="13"/>
  <c r="E136" i="13"/>
  <c r="D136" i="13"/>
  <c r="R135" i="13"/>
  <c r="M135" i="13"/>
  <c r="L135" i="13"/>
  <c r="J135" i="13"/>
  <c r="I135" i="13"/>
  <c r="G135" i="13"/>
  <c r="B135" i="13" s="1"/>
  <c r="F135" i="13"/>
  <c r="E135" i="13"/>
  <c r="D135" i="13"/>
  <c r="R134" i="13"/>
  <c r="M134" i="13"/>
  <c r="L134" i="13"/>
  <c r="J134" i="13"/>
  <c r="I134" i="13"/>
  <c r="G134" i="13"/>
  <c r="B134" i="13" s="1"/>
  <c r="F134" i="13"/>
  <c r="E134" i="13"/>
  <c r="D134" i="13"/>
  <c r="R133" i="13"/>
  <c r="M133" i="13"/>
  <c r="L133" i="13"/>
  <c r="J133" i="13"/>
  <c r="I133" i="13"/>
  <c r="G133" i="13"/>
  <c r="B133" i="13" s="1"/>
  <c r="F133" i="13"/>
  <c r="E133" i="13"/>
  <c r="D133" i="13"/>
  <c r="R132" i="13"/>
  <c r="M132" i="13"/>
  <c r="L132" i="13"/>
  <c r="J132" i="13"/>
  <c r="I132" i="13"/>
  <c r="G132" i="13"/>
  <c r="B132" i="13" s="1"/>
  <c r="F132" i="13"/>
  <c r="E132" i="13"/>
  <c r="D132" i="13"/>
  <c r="R131" i="13"/>
  <c r="M131" i="13"/>
  <c r="L131" i="13"/>
  <c r="J131" i="13"/>
  <c r="I131" i="13"/>
  <c r="G131" i="13"/>
  <c r="B131" i="13" s="1"/>
  <c r="F131" i="13"/>
  <c r="E131" i="13"/>
  <c r="D131" i="13"/>
  <c r="R130" i="13"/>
  <c r="M130" i="13"/>
  <c r="L130" i="13"/>
  <c r="J130" i="13"/>
  <c r="I130" i="13"/>
  <c r="G130" i="13"/>
  <c r="B130" i="13" s="1"/>
  <c r="F130" i="13"/>
  <c r="E130" i="13"/>
  <c r="D130" i="13"/>
  <c r="R129" i="13"/>
  <c r="M129" i="13"/>
  <c r="L129" i="13"/>
  <c r="J129" i="13"/>
  <c r="I129" i="13"/>
  <c r="G129" i="13"/>
  <c r="B129" i="13" s="1"/>
  <c r="F129" i="13"/>
  <c r="E129" i="13"/>
  <c r="D129" i="13"/>
  <c r="R128" i="13"/>
  <c r="M128" i="13"/>
  <c r="L128" i="13"/>
  <c r="J128" i="13"/>
  <c r="I128" i="13"/>
  <c r="G128" i="13"/>
  <c r="B128" i="13" s="1"/>
  <c r="F128" i="13"/>
  <c r="E128" i="13"/>
  <c r="D128" i="13"/>
  <c r="R127" i="13"/>
  <c r="M127" i="13"/>
  <c r="L127" i="13"/>
  <c r="J127" i="13"/>
  <c r="I127" i="13"/>
  <c r="G127" i="13"/>
  <c r="B127" i="13" s="1"/>
  <c r="F127" i="13"/>
  <c r="E127" i="13"/>
  <c r="D127" i="13"/>
  <c r="R126" i="13"/>
  <c r="M126" i="13"/>
  <c r="L126" i="13"/>
  <c r="J126" i="13"/>
  <c r="I126" i="13"/>
  <c r="G126" i="13"/>
  <c r="B126" i="13" s="1"/>
  <c r="F126" i="13"/>
  <c r="E126" i="13"/>
  <c r="D126" i="13"/>
  <c r="R125" i="13"/>
  <c r="M125" i="13"/>
  <c r="L125" i="13"/>
  <c r="J125" i="13"/>
  <c r="I125" i="13"/>
  <c r="G125" i="13"/>
  <c r="B125" i="13" s="1"/>
  <c r="F125" i="13"/>
  <c r="E125" i="13"/>
  <c r="D125" i="13"/>
  <c r="R124" i="13"/>
  <c r="M124" i="13"/>
  <c r="L124" i="13"/>
  <c r="J124" i="13"/>
  <c r="I124" i="13"/>
  <c r="G124" i="13"/>
  <c r="B124" i="13" s="1"/>
  <c r="F124" i="13"/>
  <c r="E124" i="13"/>
  <c r="D124" i="13"/>
  <c r="R123" i="13"/>
  <c r="M123" i="13"/>
  <c r="L123" i="13"/>
  <c r="J123" i="13"/>
  <c r="I123" i="13"/>
  <c r="G123" i="13"/>
  <c r="B123" i="13" s="1"/>
  <c r="F123" i="13"/>
  <c r="E123" i="13"/>
  <c r="D123" i="13"/>
  <c r="R122" i="13"/>
  <c r="M122" i="13"/>
  <c r="L122" i="13"/>
  <c r="J122" i="13"/>
  <c r="I122" i="13"/>
  <c r="G122" i="13"/>
  <c r="B122" i="13" s="1"/>
  <c r="F122" i="13"/>
  <c r="E122" i="13"/>
  <c r="D122" i="13"/>
  <c r="R121" i="13"/>
  <c r="M121" i="13"/>
  <c r="L121" i="13"/>
  <c r="J121" i="13"/>
  <c r="I121" i="13"/>
  <c r="G121" i="13"/>
  <c r="B121" i="13" s="1"/>
  <c r="F121" i="13"/>
  <c r="E121" i="13"/>
  <c r="D121" i="13"/>
  <c r="R120" i="13"/>
  <c r="M120" i="13"/>
  <c r="L120" i="13"/>
  <c r="J120" i="13"/>
  <c r="I120" i="13"/>
  <c r="G120" i="13"/>
  <c r="B120" i="13" s="1"/>
  <c r="F120" i="13"/>
  <c r="E120" i="13"/>
  <c r="D120" i="13"/>
  <c r="R119" i="13"/>
  <c r="M119" i="13"/>
  <c r="L119" i="13"/>
  <c r="J119" i="13"/>
  <c r="I119" i="13"/>
  <c r="G119" i="13"/>
  <c r="B119" i="13" s="1"/>
  <c r="F119" i="13"/>
  <c r="E119" i="13"/>
  <c r="D119" i="13"/>
  <c r="R118" i="13"/>
  <c r="M118" i="13"/>
  <c r="L118" i="13"/>
  <c r="J118" i="13"/>
  <c r="I118" i="13"/>
  <c r="G118" i="13"/>
  <c r="B118" i="13" s="1"/>
  <c r="F118" i="13"/>
  <c r="E118" i="13"/>
  <c r="D118" i="13"/>
  <c r="R117" i="13"/>
  <c r="M117" i="13"/>
  <c r="L117" i="13"/>
  <c r="J117" i="13"/>
  <c r="I117" i="13"/>
  <c r="G117" i="13"/>
  <c r="B117" i="13" s="1"/>
  <c r="F117" i="13"/>
  <c r="E117" i="13"/>
  <c r="D117" i="13"/>
  <c r="R116" i="13"/>
  <c r="M116" i="13"/>
  <c r="L116" i="13"/>
  <c r="J116" i="13"/>
  <c r="I116" i="13"/>
  <c r="G116" i="13"/>
  <c r="B116" i="13" s="1"/>
  <c r="F116" i="13"/>
  <c r="E116" i="13"/>
  <c r="D116" i="13"/>
  <c r="R115" i="13"/>
  <c r="M115" i="13"/>
  <c r="L115" i="13"/>
  <c r="J115" i="13"/>
  <c r="I115" i="13"/>
  <c r="G115" i="13"/>
  <c r="B115" i="13" s="1"/>
  <c r="F115" i="13"/>
  <c r="E115" i="13"/>
  <c r="D115" i="13"/>
  <c r="R114" i="13"/>
  <c r="M114" i="13"/>
  <c r="L114" i="13"/>
  <c r="J114" i="13"/>
  <c r="I114" i="13"/>
  <c r="G114" i="13"/>
  <c r="B114" i="13" s="1"/>
  <c r="F114" i="13"/>
  <c r="E114" i="13"/>
  <c r="D114" i="13"/>
  <c r="R113" i="13"/>
  <c r="M113" i="13"/>
  <c r="L113" i="13"/>
  <c r="J113" i="13"/>
  <c r="I113" i="13"/>
  <c r="G113" i="13"/>
  <c r="B113" i="13" s="1"/>
  <c r="F113" i="13"/>
  <c r="E113" i="13"/>
  <c r="D113" i="13"/>
  <c r="R112" i="13"/>
  <c r="M112" i="13"/>
  <c r="L112" i="13"/>
  <c r="J112" i="13"/>
  <c r="I112" i="13"/>
  <c r="G112" i="13"/>
  <c r="B112" i="13" s="1"/>
  <c r="F112" i="13"/>
  <c r="E112" i="13"/>
  <c r="D112" i="13"/>
  <c r="R111" i="13"/>
  <c r="M111" i="13"/>
  <c r="L111" i="13"/>
  <c r="J111" i="13"/>
  <c r="I111" i="13"/>
  <c r="G111" i="13"/>
  <c r="B111" i="13" s="1"/>
  <c r="F111" i="13"/>
  <c r="E111" i="13"/>
  <c r="D111" i="13"/>
  <c r="R110" i="13"/>
  <c r="M110" i="13"/>
  <c r="L110" i="13"/>
  <c r="J110" i="13"/>
  <c r="I110" i="13"/>
  <c r="G110" i="13"/>
  <c r="B110" i="13" s="1"/>
  <c r="F110" i="13"/>
  <c r="E110" i="13"/>
  <c r="D110" i="13"/>
  <c r="R109" i="13"/>
  <c r="M109" i="13"/>
  <c r="L109" i="13"/>
  <c r="J109" i="13"/>
  <c r="I109" i="13"/>
  <c r="G109" i="13"/>
  <c r="B109" i="13" s="1"/>
  <c r="F109" i="13"/>
  <c r="E109" i="13"/>
  <c r="D109" i="13"/>
  <c r="R108" i="13"/>
  <c r="M108" i="13"/>
  <c r="L108" i="13"/>
  <c r="J108" i="13"/>
  <c r="I108" i="13"/>
  <c r="G108" i="13"/>
  <c r="B108" i="13" s="1"/>
  <c r="F108" i="13"/>
  <c r="E108" i="13"/>
  <c r="D108" i="13"/>
  <c r="R107" i="13"/>
  <c r="M107" i="13"/>
  <c r="L107" i="13"/>
  <c r="J107" i="13"/>
  <c r="I107" i="13"/>
  <c r="G107" i="13"/>
  <c r="B107" i="13" s="1"/>
  <c r="F107" i="13"/>
  <c r="E107" i="13"/>
  <c r="D107" i="13"/>
  <c r="R106" i="13"/>
  <c r="M106" i="13"/>
  <c r="L106" i="13"/>
  <c r="J106" i="13"/>
  <c r="I106" i="13"/>
  <c r="G106" i="13"/>
  <c r="B106" i="13" s="1"/>
  <c r="F106" i="13"/>
  <c r="E106" i="13"/>
  <c r="D106" i="13"/>
  <c r="R105" i="13"/>
  <c r="M105" i="13"/>
  <c r="L105" i="13"/>
  <c r="J105" i="13"/>
  <c r="I105" i="13"/>
  <c r="G105" i="13"/>
  <c r="B105" i="13" s="1"/>
  <c r="F105" i="13"/>
  <c r="E105" i="13"/>
  <c r="D105" i="13"/>
  <c r="R104" i="13"/>
  <c r="M104" i="13"/>
  <c r="L104" i="13"/>
  <c r="J104" i="13"/>
  <c r="I104" i="13"/>
  <c r="G104" i="13"/>
  <c r="B104" i="13" s="1"/>
  <c r="F104" i="13"/>
  <c r="E104" i="13"/>
  <c r="D104" i="13"/>
  <c r="R103" i="13"/>
  <c r="M103" i="13"/>
  <c r="L103" i="13"/>
  <c r="J103" i="13"/>
  <c r="I103" i="13"/>
  <c r="G103" i="13"/>
  <c r="B103" i="13" s="1"/>
  <c r="F103" i="13"/>
  <c r="E103" i="13"/>
  <c r="D103" i="13"/>
  <c r="R102" i="13"/>
  <c r="M102" i="13"/>
  <c r="L102" i="13"/>
  <c r="J102" i="13"/>
  <c r="I102" i="13"/>
  <c r="G102" i="13"/>
  <c r="B102" i="13" s="1"/>
  <c r="F102" i="13"/>
  <c r="E102" i="13"/>
  <c r="D102" i="13"/>
  <c r="R101" i="13"/>
  <c r="M101" i="13"/>
  <c r="L101" i="13"/>
  <c r="J101" i="13"/>
  <c r="I101" i="13"/>
  <c r="G101" i="13"/>
  <c r="B101" i="13" s="1"/>
  <c r="F101" i="13"/>
  <c r="E101" i="13"/>
  <c r="D101" i="13"/>
  <c r="R100" i="13"/>
  <c r="M100" i="13"/>
  <c r="L100" i="13"/>
  <c r="J100" i="13"/>
  <c r="I100" i="13"/>
  <c r="G100" i="13"/>
  <c r="B100" i="13" s="1"/>
  <c r="F100" i="13"/>
  <c r="E100" i="13"/>
  <c r="D100" i="13"/>
  <c r="R99" i="13"/>
  <c r="M99" i="13"/>
  <c r="L99" i="13"/>
  <c r="J99" i="13"/>
  <c r="I99" i="13"/>
  <c r="G99" i="13"/>
  <c r="B99" i="13" s="1"/>
  <c r="F99" i="13"/>
  <c r="E99" i="13"/>
  <c r="D99" i="13"/>
  <c r="R98" i="13"/>
  <c r="M98" i="13"/>
  <c r="L98" i="13"/>
  <c r="J98" i="13"/>
  <c r="I98" i="13"/>
  <c r="G98" i="13"/>
  <c r="B98" i="13" s="1"/>
  <c r="F98" i="13"/>
  <c r="E98" i="13"/>
  <c r="D98" i="13"/>
  <c r="R97" i="13"/>
  <c r="M97" i="13"/>
  <c r="L97" i="13"/>
  <c r="J97" i="13"/>
  <c r="I97" i="13"/>
  <c r="G97" i="13"/>
  <c r="B97" i="13" s="1"/>
  <c r="F97" i="13"/>
  <c r="E97" i="13"/>
  <c r="D97" i="13"/>
  <c r="R96" i="13"/>
  <c r="M96" i="13"/>
  <c r="L96" i="13"/>
  <c r="J96" i="13"/>
  <c r="I96" i="13"/>
  <c r="G96" i="13"/>
  <c r="B96" i="13" s="1"/>
  <c r="F96" i="13"/>
  <c r="E96" i="13"/>
  <c r="D96" i="13"/>
  <c r="R95" i="13"/>
  <c r="M95" i="13"/>
  <c r="L95" i="13"/>
  <c r="J95" i="13"/>
  <c r="I95" i="13"/>
  <c r="G95" i="13"/>
  <c r="B95" i="13" s="1"/>
  <c r="F95" i="13"/>
  <c r="E95" i="13"/>
  <c r="D95" i="13"/>
  <c r="R94" i="13"/>
  <c r="M94" i="13"/>
  <c r="L94" i="13"/>
  <c r="J94" i="13"/>
  <c r="I94" i="13"/>
  <c r="G94" i="13"/>
  <c r="B94" i="13" s="1"/>
  <c r="F94" i="13"/>
  <c r="E94" i="13"/>
  <c r="D94" i="13"/>
  <c r="R93" i="13"/>
  <c r="M93" i="13"/>
  <c r="L93" i="13"/>
  <c r="J93" i="13"/>
  <c r="I93" i="13"/>
  <c r="G93" i="13"/>
  <c r="B93" i="13" s="1"/>
  <c r="F93" i="13"/>
  <c r="E93" i="13"/>
  <c r="D93" i="13"/>
  <c r="R92" i="13"/>
  <c r="M92" i="13"/>
  <c r="L92" i="13"/>
  <c r="J92" i="13"/>
  <c r="I92" i="13"/>
  <c r="G92" i="13"/>
  <c r="B92" i="13" s="1"/>
  <c r="F92" i="13"/>
  <c r="E92" i="13"/>
  <c r="D92" i="13"/>
  <c r="R91" i="13"/>
  <c r="M91" i="13"/>
  <c r="L91" i="13"/>
  <c r="J91" i="13"/>
  <c r="I91" i="13"/>
  <c r="G91" i="13"/>
  <c r="B91" i="13" s="1"/>
  <c r="F91" i="13"/>
  <c r="E91" i="13"/>
  <c r="D91" i="13"/>
  <c r="R90" i="13"/>
  <c r="M90" i="13"/>
  <c r="L90" i="13"/>
  <c r="J90" i="13"/>
  <c r="I90" i="13"/>
  <c r="G90" i="13"/>
  <c r="B90" i="13" s="1"/>
  <c r="F90" i="13"/>
  <c r="E90" i="13"/>
  <c r="D90" i="13"/>
  <c r="R89" i="13"/>
  <c r="M89" i="13"/>
  <c r="L89" i="13"/>
  <c r="J89" i="13"/>
  <c r="I89" i="13"/>
  <c r="G89" i="13"/>
  <c r="B89" i="13" s="1"/>
  <c r="F89" i="13"/>
  <c r="E89" i="13"/>
  <c r="D89" i="13"/>
  <c r="R88" i="13"/>
  <c r="M88" i="13"/>
  <c r="L88" i="13"/>
  <c r="J88" i="13"/>
  <c r="I88" i="13"/>
  <c r="G88" i="13"/>
  <c r="B88" i="13" s="1"/>
  <c r="F88" i="13"/>
  <c r="E88" i="13"/>
  <c r="D88" i="13"/>
  <c r="R87" i="13"/>
  <c r="M87" i="13"/>
  <c r="L87" i="13"/>
  <c r="J87" i="13"/>
  <c r="I87" i="13"/>
  <c r="G87" i="13"/>
  <c r="B87" i="13" s="1"/>
  <c r="F87" i="13"/>
  <c r="E87" i="13"/>
  <c r="D87" i="13"/>
  <c r="R86" i="13"/>
  <c r="M86" i="13"/>
  <c r="L86" i="13"/>
  <c r="J86" i="13"/>
  <c r="I86" i="13"/>
  <c r="G86" i="13"/>
  <c r="B86" i="13" s="1"/>
  <c r="F86" i="13"/>
  <c r="E86" i="13"/>
  <c r="D86" i="13"/>
  <c r="R85" i="13"/>
  <c r="M85" i="13"/>
  <c r="L85" i="13"/>
  <c r="J85" i="13"/>
  <c r="I85" i="13"/>
  <c r="G85" i="13"/>
  <c r="B85" i="13" s="1"/>
  <c r="F85" i="13"/>
  <c r="E85" i="13"/>
  <c r="D85" i="13"/>
  <c r="R84" i="13"/>
  <c r="M84" i="13"/>
  <c r="L84" i="13"/>
  <c r="J84" i="13"/>
  <c r="I84" i="13"/>
  <c r="G84" i="13"/>
  <c r="B84" i="13" s="1"/>
  <c r="F84" i="13"/>
  <c r="E84" i="13"/>
  <c r="D84" i="13"/>
  <c r="R83" i="13"/>
  <c r="M83" i="13"/>
  <c r="L83" i="13"/>
  <c r="J83" i="13"/>
  <c r="I83" i="13"/>
  <c r="G83" i="13"/>
  <c r="B83" i="13" s="1"/>
  <c r="F83" i="13"/>
  <c r="E83" i="13"/>
  <c r="D83" i="13"/>
  <c r="R82" i="13"/>
  <c r="M82" i="13"/>
  <c r="L82" i="13"/>
  <c r="J82" i="13"/>
  <c r="I82" i="13"/>
  <c r="G82" i="13"/>
  <c r="B82" i="13" s="1"/>
  <c r="F82" i="13"/>
  <c r="E82" i="13"/>
  <c r="D82" i="13"/>
  <c r="R81" i="13"/>
  <c r="M81" i="13"/>
  <c r="L81" i="13"/>
  <c r="J81" i="13"/>
  <c r="I81" i="13"/>
  <c r="G81" i="13"/>
  <c r="B81" i="13" s="1"/>
  <c r="F81" i="13"/>
  <c r="E81" i="13"/>
  <c r="D81" i="13"/>
  <c r="R80" i="13"/>
  <c r="M80" i="13"/>
  <c r="L80" i="13"/>
  <c r="J80" i="13"/>
  <c r="I80" i="13"/>
  <c r="G80" i="13"/>
  <c r="B80" i="13" s="1"/>
  <c r="F80" i="13"/>
  <c r="E80" i="13"/>
  <c r="D80" i="13"/>
  <c r="R79" i="13"/>
  <c r="M79" i="13"/>
  <c r="L79" i="13"/>
  <c r="J79" i="13"/>
  <c r="I79" i="13"/>
  <c r="G79" i="13"/>
  <c r="B79" i="13" s="1"/>
  <c r="F79" i="13"/>
  <c r="E79" i="13"/>
  <c r="D79" i="13"/>
  <c r="R78" i="13"/>
  <c r="M78" i="13"/>
  <c r="L78" i="13"/>
  <c r="J78" i="13"/>
  <c r="I78" i="13"/>
  <c r="G78" i="13"/>
  <c r="B78" i="13" s="1"/>
  <c r="F78" i="13"/>
  <c r="E78" i="13"/>
  <c r="D78" i="13"/>
  <c r="R77" i="13"/>
  <c r="M77" i="13"/>
  <c r="L77" i="13"/>
  <c r="J77" i="13"/>
  <c r="I77" i="13"/>
  <c r="G77" i="13"/>
  <c r="B77" i="13" s="1"/>
  <c r="F77" i="13"/>
  <c r="E77" i="13"/>
  <c r="D77" i="13"/>
  <c r="R76" i="13"/>
  <c r="M76" i="13"/>
  <c r="L76" i="13"/>
  <c r="J76" i="13"/>
  <c r="I76" i="13"/>
  <c r="G76" i="13"/>
  <c r="B76" i="13" s="1"/>
  <c r="F76" i="13"/>
  <c r="E76" i="13"/>
  <c r="D76" i="13"/>
  <c r="R75" i="13"/>
  <c r="M75" i="13"/>
  <c r="L75" i="13"/>
  <c r="J75" i="13"/>
  <c r="I75" i="13"/>
  <c r="G75" i="13"/>
  <c r="B75" i="13" s="1"/>
  <c r="F75" i="13"/>
  <c r="E75" i="13"/>
  <c r="D75" i="13"/>
  <c r="R70" i="13"/>
  <c r="M70" i="13"/>
  <c r="S47" i="9" s="1"/>
  <c r="U47" i="9" s="1"/>
  <c r="L70" i="13"/>
  <c r="J70" i="13"/>
  <c r="I70" i="13"/>
  <c r="B70" i="13"/>
  <c r="F70" i="13"/>
  <c r="E70" i="13"/>
  <c r="D70" i="13"/>
  <c r="R69" i="13"/>
  <c r="M69" i="13"/>
  <c r="S46" i="9" s="1"/>
  <c r="U46" i="9" s="1"/>
  <c r="L69" i="13"/>
  <c r="J69" i="13"/>
  <c r="I69" i="13"/>
  <c r="B69" i="13"/>
  <c r="F69" i="13"/>
  <c r="E69" i="13"/>
  <c r="D69" i="13"/>
  <c r="R68" i="13"/>
  <c r="M68" i="13"/>
  <c r="S45" i="9" s="1"/>
  <c r="U45" i="9" s="1"/>
  <c r="L68" i="13"/>
  <c r="J68" i="13"/>
  <c r="I68" i="13"/>
  <c r="B68" i="13"/>
  <c r="F68" i="13"/>
  <c r="E68" i="13"/>
  <c r="D68" i="13"/>
  <c r="R67" i="13"/>
  <c r="M67" i="13"/>
  <c r="L67" i="13"/>
  <c r="J67" i="13"/>
  <c r="I67" i="13"/>
  <c r="B67" i="13"/>
  <c r="F67" i="13"/>
  <c r="E67" i="13"/>
  <c r="D67" i="13"/>
  <c r="R66" i="13"/>
  <c r="M66" i="13"/>
  <c r="L66" i="13"/>
  <c r="J66" i="13"/>
  <c r="I66" i="13"/>
  <c r="B66" i="13"/>
  <c r="F66" i="13"/>
  <c r="E66" i="13"/>
  <c r="D66" i="13"/>
  <c r="R65" i="13"/>
  <c r="M65" i="13"/>
  <c r="L65" i="13"/>
  <c r="J65" i="13"/>
  <c r="I65" i="13"/>
  <c r="B65" i="13"/>
  <c r="F65" i="13"/>
  <c r="E65" i="13"/>
  <c r="D65" i="13"/>
  <c r="R64" i="13"/>
  <c r="M64" i="13"/>
  <c r="L64" i="13"/>
  <c r="J64" i="13"/>
  <c r="I64" i="13"/>
  <c r="B64" i="13"/>
  <c r="F64" i="13"/>
  <c r="E64" i="13"/>
  <c r="D64" i="13"/>
  <c r="R63" i="13"/>
  <c r="M63" i="13"/>
  <c r="L63" i="13"/>
  <c r="J63" i="13"/>
  <c r="I63" i="13"/>
  <c r="B63" i="13"/>
  <c r="F63" i="13"/>
  <c r="E63" i="13"/>
  <c r="D63" i="13"/>
  <c r="R62" i="13"/>
  <c r="M62" i="13"/>
  <c r="S39" i="9" s="1"/>
  <c r="U39" i="9" s="1"/>
  <c r="L62" i="13"/>
  <c r="J62" i="13"/>
  <c r="I62" i="13"/>
  <c r="B62" i="13"/>
  <c r="F62" i="13"/>
  <c r="E62" i="13"/>
  <c r="D62" i="13"/>
  <c r="R61" i="13"/>
  <c r="M61" i="13"/>
  <c r="S38" i="9" s="1"/>
  <c r="U38" i="9" s="1"/>
  <c r="L61" i="13"/>
  <c r="J61" i="13"/>
  <c r="I61" i="13"/>
  <c r="B61" i="13"/>
  <c r="F61" i="13"/>
  <c r="E61" i="13"/>
  <c r="D61" i="13"/>
  <c r="R60" i="13"/>
  <c r="M60" i="13"/>
  <c r="S37" i="9" s="1"/>
  <c r="U37" i="9" s="1"/>
  <c r="L60" i="13"/>
  <c r="J60" i="13"/>
  <c r="I60" i="13"/>
  <c r="B60" i="13"/>
  <c r="F60" i="13"/>
  <c r="E60" i="13"/>
  <c r="D60" i="13"/>
  <c r="L57" i="13"/>
  <c r="M57" i="13" s="1"/>
  <c r="R57" i="13" s="1"/>
  <c r="J57" i="13"/>
  <c r="I57" i="13"/>
  <c r="B57" i="13"/>
  <c r="F57" i="13"/>
  <c r="E57" i="13"/>
  <c r="D57" i="13"/>
  <c r="R54" i="13"/>
  <c r="M54" i="13"/>
  <c r="L54" i="13"/>
  <c r="J54" i="13"/>
  <c r="I54" i="13"/>
  <c r="B54" i="13"/>
  <c r="F54" i="13"/>
  <c r="E54" i="13"/>
  <c r="D54" i="13"/>
  <c r="R53" i="13"/>
  <c r="M53" i="13"/>
  <c r="L53" i="13"/>
  <c r="J53" i="13"/>
  <c r="I53" i="13"/>
  <c r="B53" i="13"/>
  <c r="F53" i="13"/>
  <c r="E53" i="13"/>
  <c r="D53" i="13"/>
  <c r="L52" i="13"/>
  <c r="M52" i="13" s="1"/>
  <c r="R52" i="13" s="1"/>
  <c r="J52" i="13"/>
  <c r="I52" i="13"/>
  <c r="G52" i="13"/>
  <c r="B52" i="13" s="1"/>
  <c r="F52" i="13"/>
  <c r="L51" i="13"/>
  <c r="M51" i="13" s="1"/>
  <c r="R51" i="13" s="1"/>
  <c r="J51" i="13"/>
  <c r="I51" i="13"/>
  <c r="G51" i="13"/>
  <c r="B51" i="13" s="1"/>
  <c r="F51" i="13"/>
  <c r="L50" i="13"/>
  <c r="M50" i="13" s="1"/>
  <c r="R50" i="13" s="1"/>
  <c r="J50" i="13"/>
  <c r="I50" i="13"/>
  <c r="G50" i="13"/>
  <c r="B50" i="13" s="1"/>
  <c r="F50" i="13"/>
  <c r="L49" i="13"/>
  <c r="M49" i="13" s="1"/>
  <c r="J49" i="13"/>
  <c r="I49" i="13"/>
  <c r="G49" i="13"/>
  <c r="B49" i="13" s="1"/>
  <c r="F49" i="13"/>
  <c r="M47" i="13"/>
  <c r="R47" i="13" s="1"/>
  <c r="L47" i="13"/>
  <c r="J47" i="13"/>
  <c r="I47" i="13"/>
  <c r="G47" i="13"/>
  <c r="B47" i="13" s="1"/>
  <c r="F47" i="13"/>
  <c r="L46" i="13"/>
  <c r="M46" i="13" s="1"/>
  <c r="R46" i="13" s="1"/>
  <c r="J46" i="13"/>
  <c r="I46" i="13"/>
  <c r="G46" i="13"/>
  <c r="B46" i="13" s="1"/>
  <c r="F46" i="13"/>
  <c r="L45" i="13"/>
  <c r="M45" i="13" s="1"/>
  <c r="R45" i="13" s="1"/>
  <c r="J45" i="13"/>
  <c r="I45" i="13"/>
  <c r="G45" i="13"/>
  <c r="B45" i="13" s="1"/>
  <c r="F45" i="13"/>
  <c r="L44" i="13"/>
  <c r="M44" i="13" s="1"/>
  <c r="J44" i="13"/>
  <c r="I44" i="13"/>
  <c r="G44" i="13"/>
  <c r="B44" i="13" s="1"/>
  <c r="F44" i="13"/>
  <c r="M43" i="13"/>
  <c r="R43" i="13" s="1"/>
  <c r="L43" i="13"/>
  <c r="J43" i="13"/>
  <c r="I43" i="13"/>
  <c r="G43" i="13"/>
  <c r="B43" i="13" s="1"/>
  <c r="F43" i="13"/>
  <c r="L42" i="13"/>
  <c r="M42" i="13" s="1"/>
  <c r="R42" i="13" s="1"/>
  <c r="J42" i="13"/>
  <c r="I42" i="13"/>
  <c r="G42" i="13"/>
  <c r="B42" i="13" s="1"/>
  <c r="F42" i="13"/>
  <c r="L41" i="13"/>
  <c r="M41" i="13" s="1"/>
  <c r="R41" i="13" s="1"/>
  <c r="J41" i="13"/>
  <c r="I41" i="13"/>
  <c r="G41" i="13"/>
  <c r="B41" i="13" s="1"/>
  <c r="F41" i="13"/>
  <c r="L40" i="13"/>
  <c r="M40" i="13" s="1"/>
  <c r="J40" i="13"/>
  <c r="I40" i="13"/>
  <c r="G40" i="13"/>
  <c r="B40" i="13" s="1"/>
  <c r="F40" i="13"/>
  <c r="M39" i="13"/>
  <c r="R39" i="13" s="1"/>
  <c r="L39" i="13"/>
  <c r="J39" i="13"/>
  <c r="I39" i="13"/>
  <c r="G39" i="13"/>
  <c r="B39" i="13" s="1"/>
  <c r="F39" i="13"/>
  <c r="L38" i="13"/>
  <c r="M38" i="13" s="1"/>
  <c r="J38" i="13"/>
  <c r="I38" i="13"/>
  <c r="G38" i="13"/>
  <c r="B38" i="13" s="1"/>
  <c r="F38" i="13"/>
  <c r="L37" i="13"/>
  <c r="M37" i="13" s="1"/>
  <c r="R37" i="13" s="1"/>
  <c r="J37" i="13"/>
  <c r="I37" i="13"/>
  <c r="G37" i="13"/>
  <c r="B37" i="13" s="1"/>
  <c r="F37" i="13"/>
  <c r="L36" i="13"/>
  <c r="M36" i="13" s="1"/>
  <c r="J36" i="13"/>
  <c r="I36" i="13"/>
  <c r="G36" i="13"/>
  <c r="B36" i="13" s="1"/>
  <c r="F36" i="13"/>
  <c r="M35" i="13"/>
  <c r="R35" i="13" s="1"/>
  <c r="L35" i="13"/>
  <c r="J35" i="13"/>
  <c r="I35" i="13"/>
  <c r="G35" i="13"/>
  <c r="B35" i="13" s="1"/>
  <c r="F35" i="13"/>
  <c r="L34" i="13"/>
  <c r="M34" i="13" s="1"/>
  <c r="J34" i="13"/>
  <c r="I34" i="13"/>
  <c r="G34" i="13"/>
  <c r="B34" i="13" s="1"/>
  <c r="F34" i="13"/>
  <c r="R33" i="13"/>
  <c r="M33" i="13"/>
  <c r="S26" i="9" s="1"/>
  <c r="U26" i="9" s="1"/>
  <c r="L33" i="13"/>
  <c r="J33" i="13"/>
  <c r="I33" i="13"/>
  <c r="G33" i="13"/>
  <c r="B33" i="13" s="1"/>
  <c r="F33" i="13"/>
  <c r="R32" i="13"/>
  <c r="M32" i="13"/>
  <c r="L32" i="13"/>
  <c r="J32" i="13"/>
  <c r="I32" i="13"/>
  <c r="G32" i="13"/>
  <c r="B32" i="13" s="1"/>
  <c r="F32" i="13"/>
  <c r="R31" i="13"/>
  <c r="M31" i="13"/>
  <c r="L31" i="13"/>
  <c r="J31" i="13"/>
  <c r="I31" i="13"/>
  <c r="G31" i="13"/>
  <c r="B31" i="13" s="1"/>
  <c r="F31" i="13"/>
  <c r="M30" i="13"/>
  <c r="R30" i="13" s="1"/>
  <c r="L30" i="13"/>
  <c r="J30" i="13"/>
  <c r="I30" i="13"/>
  <c r="G30" i="13"/>
  <c r="B30" i="13" s="1"/>
  <c r="F30" i="13"/>
  <c r="L29" i="13"/>
  <c r="M29" i="13" s="1"/>
  <c r="R29" i="13" s="1"/>
  <c r="J29" i="13"/>
  <c r="I29" i="13"/>
  <c r="G29" i="13"/>
  <c r="B29" i="13" s="1"/>
  <c r="F29" i="13"/>
  <c r="M28" i="13"/>
  <c r="R28" i="13" s="1"/>
  <c r="L28" i="13"/>
  <c r="J28" i="13"/>
  <c r="I28" i="13"/>
  <c r="G28" i="13"/>
  <c r="B28" i="13" s="1"/>
  <c r="F28" i="13"/>
  <c r="M27" i="13"/>
  <c r="R27" i="13" s="1"/>
  <c r="L27" i="13"/>
  <c r="J27" i="13"/>
  <c r="I27" i="13"/>
  <c r="G27" i="13"/>
  <c r="B27" i="13" s="1"/>
  <c r="F27" i="13"/>
  <c r="M26" i="13"/>
  <c r="R26" i="13" s="1"/>
  <c r="L26" i="13"/>
  <c r="J26" i="13"/>
  <c r="I26" i="13"/>
  <c r="G26" i="13"/>
  <c r="B26" i="13" s="1"/>
  <c r="F26" i="13"/>
  <c r="L25" i="13"/>
  <c r="M25" i="13" s="1"/>
  <c r="J25" i="13"/>
  <c r="I25" i="13"/>
  <c r="G25" i="13"/>
  <c r="B25" i="13" s="1"/>
  <c r="F25" i="13"/>
  <c r="M24" i="13"/>
  <c r="R24" i="13" s="1"/>
  <c r="L24" i="13"/>
  <c r="J24" i="13"/>
  <c r="I24" i="13"/>
  <c r="G24" i="13"/>
  <c r="B24" i="13" s="1"/>
  <c r="F24" i="13"/>
  <c r="M23" i="13"/>
  <c r="R23" i="13" s="1"/>
  <c r="L23" i="13"/>
  <c r="J23" i="13"/>
  <c r="I23" i="13"/>
  <c r="G23" i="13"/>
  <c r="B23" i="13" s="1"/>
  <c r="F23" i="13"/>
  <c r="M22" i="13"/>
  <c r="R22" i="13" s="1"/>
  <c r="L22" i="13"/>
  <c r="J22" i="13"/>
  <c r="I22" i="13"/>
  <c r="G22" i="13"/>
  <c r="B22" i="13" s="1"/>
  <c r="F22" i="13"/>
  <c r="L21" i="13"/>
  <c r="M21" i="13" s="1"/>
  <c r="J21" i="13"/>
  <c r="I21" i="13"/>
  <c r="G21" i="13"/>
  <c r="B21" i="13" s="1"/>
  <c r="F21" i="13"/>
  <c r="M20" i="13"/>
  <c r="R20" i="13" s="1"/>
  <c r="L20" i="13"/>
  <c r="J20" i="13"/>
  <c r="I20" i="13"/>
  <c r="G20" i="13"/>
  <c r="B20" i="13" s="1"/>
  <c r="F20" i="13"/>
  <c r="M19" i="13"/>
  <c r="R19" i="13" s="1"/>
  <c r="L19" i="13"/>
  <c r="J19" i="13"/>
  <c r="I19" i="13"/>
  <c r="G19" i="13"/>
  <c r="B19" i="13" s="1"/>
  <c r="F19" i="13"/>
  <c r="M18" i="13"/>
  <c r="R18" i="13" s="1"/>
  <c r="L18" i="13"/>
  <c r="J18" i="13"/>
  <c r="I18" i="13"/>
  <c r="G18" i="13"/>
  <c r="B18" i="13" s="1"/>
  <c r="F18" i="13"/>
  <c r="L17" i="13"/>
  <c r="M17" i="13" s="1"/>
  <c r="J17" i="13"/>
  <c r="I17" i="13"/>
  <c r="G17" i="13"/>
  <c r="B17" i="13" s="1"/>
  <c r="F17" i="13"/>
  <c r="M16" i="13"/>
  <c r="R16" i="13" s="1"/>
  <c r="L16" i="13"/>
  <c r="J16" i="13"/>
  <c r="I16" i="13"/>
  <c r="G16" i="13"/>
  <c r="B16" i="13" s="1"/>
  <c r="F16" i="13"/>
  <c r="M15" i="13"/>
  <c r="R15" i="13" s="1"/>
  <c r="L15" i="13"/>
  <c r="J15" i="13"/>
  <c r="I15" i="13"/>
  <c r="G15" i="13"/>
  <c r="B15" i="13" s="1"/>
  <c r="F15" i="13"/>
  <c r="M14" i="13"/>
  <c r="R14" i="13" s="1"/>
  <c r="L14" i="13"/>
  <c r="J14" i="13"/>
  <c r="I14" i="13"/>
  <c r="G14" i="13"/>
  <c r="B14" i="13" s="1"/>
  <c r="F14" i="13"/>
  <c r="L13" i="13"/>
  <c r="M13" i="13" s="1"/>
  <c r="R13" i="13" s="1"/>
  <c r="J13" i="13"/>
  <c r="I13" i="13"/>
  <c r="G13" i="13"/>
  <c r="B13" i="13" s="1"/>
  <c r="F13" i="13"/>
  <c r="M12" i="13"/>
  <c r="R12" i="13" s="1"/>
  <c r="L12" i="13"/>
  <c r="J12" i="13"/>
  <c r="I12" i="13"/>
  <c r="G12" i="13"/>
  <c r="B12" i="13" s="1"/>
  <c r="F12" i="13"/>
  <c r="M11" i="13"/>
  <c r="R11" i="13" s="1"/>
  <c r="L11" i="13"/>
  <c r="J11" i="13"/>
  <c r="I11" i="13"/>
  <c r="G11" i="13"/>
  <c r="B11" i="13" s="1"/>
  <c r="F11" i="13"/>
  <c r="M10" i="13"/>
  <c r="R10" i="13" s="1"/>
  <c r="L10" i="13"/>
  <c r="J10" i="13"/>
  <c r="I10" i="13"/>
  <c r="G10" i="13"/>
  <c r="B10" i="13" s="1"/>
  <c r="F10" i="13"/>
  <c r="L9" i="13"/>
  <c r="M9" i="13" s="1"/>
  <c r="J9" i="13"/>
  <c r="I9" i="13"/>
  <c r="G9" i="13"/>
  <c r="B9" i="13" s="1"/>
  <c r="F9" i="13"/>
  <c r="M8" i="13"/>
  <c r="R8" i="13" s="1"/>
  <c r="L8" i="13"/>
  <c r="J8" i="13"/>
  <c r="I8" i="13"/>
  <c r="G8" i="13"/>
  <c r="B8" i="13" s="1"/>
  <c r="F8" i="13"/>
  <c r="M7" i="13"/>
  <c r="R7" i="13" s="1"/>
  <c r="L7" i="13"/>
  <c r="J7" i="13"/>
  <c r="I7" i="13"/>
  <c r="G7" i="13"/>
  <c r="B7" i="13" s="1"/>
  <c r="F7" i="13"/>
  <c r="M6" i="13"/>
  <c r="R6" i="13" s="1"/>
  <c r="L6" i="13"/>
  <c r="J6" i="13"/>
  <c r="I6" i="13"/>
  <c r="G6" i="13"/>
  <c r="B6" i="13" s="1"/>
  <c r="F6" i="13"/>
  <c r="M5" i="13"/>
  <c r="L5" i="13"/>
  <c r="J5" i="13"/>
  <c r="I5" i="13"/>
  <c r="G5" i="13"/>
  <c r="B5" i="13" s="1"/>
  <c r="F5" i="13"/>
  <c r="G62" i="12"/>
  <c r="C62" i="12"/>
  <c r="T60" i="12"/>
  <c r="L60" i="12"/>
  <c r="K60" i="12"/>
  <c r="J60" i="12"/>
  <c r="I60" i="12"/>
  <c r="H60" i="12"/>
  <c r="T59" i="12"/>
  <c r="L59" i="12"/>
  <c r="K59" i="12"/>
  <c r="J59" i="12"/>
  <c r="I59" i="12"/>
  <c r="H59" i="12"/>
  <c r="T58" i="12"/>
  <c r="L58" i="12"/>
  <c r="K58" i="12"/>
  <c r="J58" i="12"/>
  <c r="I58" i="12"/>
  <c r="H58" i="12"/>
  <c r="T57" i="12"/>
  <c r="L57" i="12"/>
  <c r="K57" i="12"/>
  <c r="J57" i="12"/>
  <c r="I57" i="12"/>
  <c r="H57" i="12"/>
  <c r="T56" i="12"/>
  <c r="L56" i="12"/>
  <c r="K56" i="12"/>
  <c r="J56" i="12"/>
  <c r="I56" i="12"/>
  <c r="H56" i="12"/>
  <c r="T55" i="12"/>
  <c r="L55" i="12"/>
  <c r="K55" i="12"/>
  <c r="J55" i="12"/>
  <c r="I55" i="12"/>
  <c r="H55" i="12"/>
  <c r="T54" i="12"/>
  <c r="L54" i="12"/>
  <c r="K54" i="12"/>
  <c r="J54" i="12"/>
  <c r="I54" i="12"/>
  <c r="H54" i="12"/>
  <c r="T53" i="12"/>
  <c r="L53" i="12"/>
  <c r="K53" i="12"/>
  <c r="J53" i="12"/>
  <c r="I53" i="12"/>
  <c r="H53" i="12"/>
  <c r="T52" i="12"/>
  <c r="L52" i="12"/>
  <c r="K52" i="12"/>
  <c r="J52" i="12"/>
  <c r="I52" i="12"/>
  <c r="H52" i="12"/>
  <c r="T51" i="12"/>
  <c r="L51" i="12"/>
  <c r="K51" i="12"/>
  <c r="J51" i="12"/>
  <c r="I51" i="12"/>
  <c r="H51" i="12"/>
  <c r="T50" i="12"/>
  <c r="L50" i="12"/>
  <c r="K50" i="12"/>
  <c r="J50" i="12"/>
  <c r="I50" i="12"/>
  <c r="H50" i="12"/>
  <c r="T49" i="12"/>
  <c r="L49" i="12"/>
  <c r="K49" i="12"/>
  <c r="J49" i="12"/>
  <c r="I49" i="12"/>
  <c r="H49" i="12"/>
  <c r="T48" i="12"/>
  <c r="L48" i="12"/>
  <c r="K48" i="12"/>
  <c r="J48" i="12"/>
  <c r="I48" i="12"/>
  <c r="H48" i="12"/>
  <c r="T47" i="12"/>
  <c r="L47" i="12"/>
  <c r="K47" i="12"/>
  <c r="J47" i="12"/>
  <c r="I47" i="12"/>
  <c r="H47" i="12"/>
  <c r="T46" i="12"/>
  <c r="L46" i="12"/>
  <c r="K46" i="12"/>
  <c r="J46" i="12"/>
  <c r="I46" i="12"/>
  <c r="H46" i="12"/>
  <c r="T45" i="12"/>
  <c r="L45" i="12"/>
  <c r="K45" i="12"/>
  <c r="J45" i="12"/>
  <c r="I45" i="12"/>
  <c r="H45" i="12"/>
  <c r="T44" i="12"/>
  <c r="L44" i="12"/>
  <c r="K44" i="12"/>
  <c r="J44" i="12"/>
  <c r="I44" i="12"/>
  <c r="H44" i="12"/>
  <c r="T43" i="12"/>
  <c r="L43" i="12"/>
  <c r="K43" i="12"/>
  <c r="J43" i="12"/>
  <c r="I43" i="12"/>
  <c r="H43" i="12"/>
  <c r="T42" i="12"/>
  <c r="L42" i="12"/>
  <c r="K42" i="12"/>
  <c r="J42" i="12"/>
  <c r="I42" i="12"/>
  <c r="H42" i="12"/>
  <c r="T41" i="12"/>
  <c r="L41" i="12"/>
  <c r="K41" i="12"/>
  <c r="J41" i="12"/>
  <c r="I41" i="12"/>
  <c r="H41" i="12"/>
  <c r="T40" i="12"/>
  <c r="L40" i="12"/>
  <c r="K40" i="12"/>
  <c r="J40" i="12"/>
  <c r="I40" i="12"/>
  <c r="H40" i="12"/>
  <c r="T39" i="12"/>
  <c r="L39" i="12"/>
  <c r="K39" i="12"/>
  <c r="J39" i="12"/>
  <c r="I39" i="12"/>
  <c r="H39" i="12"/>
  <c r="T38" i="12"/>
  <c r="L38" i="12"/>
  <c r="K38" i="12"/>
  <c r="J38" i="12"/>
  <c r="I38" i="12"/>
  <c r="H38" i="12"/>
  <c r="T37" i="12"/>
  <c r="L37" i="12"/>
  <c r="K37" i="12"/>
  <c r="J37" i="12"/>
  <c r="I37" i="12"/>
  <c r="H37" i="12"/>
  <c r="T36" i="12"/>
  <c r="L36" i="12"/>
  <c r="K36" i="12"/>
  <c r="J36" i="12"/>
  <c r="I36" i="12"/>
  <c r="H36" i="12"/>
  <c r="T35" i="12"/>
  <c r="I35" i="12"/>
  <c r="H35" i="12"/>
  <c r="T34" i="12"/>
  <c r="I34" i="12"/>
  <c r="H34" i="12"/>
  <c r="T33" i="12"/>
  <c r="I33" i="12"/>
  <c r="H33" i="12"/>
  <c r="T32" i="12"/>
  <c r="I32" i="12"/>
  <c r="H32" i="12"/>
  <c r="T31" i="12"/>
  <c r="I31" i="12"/>
  <c r="J31" i="12" s="1"/>
  <c r="K31" i="12" s="1"/>
  <c r="L31" i="12" s="1"/>
  <c r="H31" i="12"/>
  <c r="T30" i="12"/>
  <c r="I30" i="12"/>
  <c r="H30" i="12"/>
  <c r="T29" i="12"/>
  <c r="I29" i="12"/>
  <c r="H29" i="12"/>
  <c r="T28" i="12"/>
  <c r="I28" i="12"/>
  <c r="H28" i="12"/>
  <c r="T27" i="12"/>
  <c r="I27" i="12"/>
  <c r="H27" i="12"/>
  <c r="J27" i="12" s="1"/>
  <c r="K27" i="12" s="1"/>
  <c r="L27" i="12" s="1"/>
  <c r="T26" i="12"/>
  <c r="I26" i="12"/>
  <c r="H26" i="12"/>
  <c r="T25" i="12"/>
  <c r="I25" i="12"/>
  <c r="H25" i="12"/>
  <c r="T24" i="12"/>
  <c r="I24" i="12"/>
  <c r="H24" i="12"/>
  <c r="T23" i="12"/>
  <c r="I23" i="12"/>
  <c r="H23" i="12"/>
  <c r="T22" i="12"/>
  <c r="I22" i="12"/>
  <c r="H22" i="12"/>
  <c r="T21" i="12"/>
  <c r="I21" i="12"/>
  <c r="H21" i="12"/>
  <c r="T20" i="12"/>
  <c r="I20" i="12"/>
  <c r="H20" i="12"/>
  <c r="T19" i="12"/>
  <c r="I19" i="12"/>
  <c r="H19" i="12"/>
  <c r="T18" i="12"/>
  <c r="I18" i="12"/>
  <c r="H18" i="12"/>
  <c r="T17" i="12"/>
  <c r="I17" i="12"/>
  <c r="H17" i="12"/>
  <c r="J17" i="12" s="1"/>
  <c r="K17" i="12" s="1"/>
  <c r="L17" i="12" s="1"/>
  <c r="T9" i="12"/>
  <c r="I9" i="12"/>
  <c r="H9" i="12"/>
  <c r="T16" i="12"/>
  <c r="I16" i="12"/>
  <c r="H16" i="12"/>
  <c r="T7" i="12"/>
  <c r="I7" i="12"/>
  <c r="J7" i="12" s="1"/>
  <c r="K7" i="12" s="1"/>
  <c r="L7" i="12" s="1"/>
  <c r="H7" i="12"/>
  <c r="T14" i="12"/>
  <c r="I14" i="12"/>
  <c r="H14" i="12"/>
  <c r="T13" i="12"/>
  <c r="I13" i="12"/>
  <c r="H13" i="12"/>
  <c r="T12" i="12"/>
  <c r="I12" i="12"/>
  <c r="H12" i="12"/>
  <c r="J12" i="12" s="1"/>
  <c r="K12" i="12" s="1"/>
  <c r="L12" i="12" s="1"/>
  <c r="T6" i="12"/>
  <c r="I6" i="12"/>
  <c r="H6" i="12"/>
  <c r="T11" i="12"/>
  <c r="I11" i="12"/>
  <c r="H11" i="12"/>
  <c r="T10" i="12"/>
  <c r="I10" i="12"/>
  <c r="H10" i="12"/>
  <c r="T8" i="12"/>
  <c r="I8" i="12"/>
  <c r="H8" i="12"/>
  <c r="T15" i="12"/>
  <c r="I15" i="12"/>
  <c r="H15" i="12"/>
  <c r="T5" i="12"/>
  <c r="H5" i="12"/>
  <c r="K704" i="11"/>
  <c r="I704" i="11"/>
  <c r="H704" i="11"/>
  <c r="K703" i="11"/>
  <c r="I703" i="11"/>
  <c r="H703" i="11"/>
  <c r="K702" i="11"/>
  <c r="I702" i="11"/>
  <c r="H702" i="11"/>
  <c r="K701" i="11"/>
  <c r="I701" i="11"/>
  <c r="H701" i="11"/>
  <c r="K700" i="11"/>
  <c r="I700" i="11"/>
  <c r="H700" i="11"/>
  <c r="K699" i="11"/>
  <c r="I699" i="11"/>
  <c r="H699" i="11"/>
  <c r="K698" i="11"/>
  <c r="I698" i="11"/>
  <c r="H698" i="11"/>
  <c r="K697" i="11"/>
  <c r="I697" i="11"/>
  <c r="H697" i="11"/>
  <c r="K696" i="11"/>
  <c r="I696" i="11"/>
  <c r="H696" i="11"/>
  <c r="K695" i="11"/>
  <c r="I695" i="11"/>
  <c r="H695" i="11"/>
  <c r="K694" i="11"/>
  <c r="I694" i="11"/>
  <c r="H694" i="11"/>
  <c r="K693" i="11"/>
  <c r="I693" i="11"/>
  <c r="H693" i="11"/>
  <c r="K692" i="11"/>
  <c r="I692" i="11"/>
  <c r="H692" i="11"/>
  <c r="K691" i="11"/>
  <c r="I691" i="11"/>
  <c r="H691" i="11"/>
  <c r="K690" i="11"/>
  <c r="I690" i="11"/>
  <c r="H690" i="11"/>
  <c r="K689" i="11"/>
  <c r="I689" i="11"/>
  <c r="H689" i="11"/>
  <c r="K688" i="11"/>
  <c r="I688" i="11"/>
  <c r="H688" i="11"/>
  <c r="K687" i="11"/>
  <c r="I687" i="11"/>
  <c r="H687" i="11"/>
  <c r="K686" i="11"/>
  <c r="I686" i="11"/>
  <c r="H686" i="11"/>
  <c r="K685" i="11"/>
  <c r="I685" i="11"/>
  <c r="H685" i="11"/>
  <c r="K684" i="11"/>
  <c r="I684" i="11"/>
  <c r="H684" i="11"/>
  <c r="K683" i="11"/>
  <c r="I683" i="11"/>
  <c r="H683" i="11"/>
  <c r="K682" i="11"/>
  <c r="I682" i="11"/>
  <c r="H682" i="11"/>
  <c r="K681" i="11"/>
  <c r="I681" i="11"/>
  <c r="H681" i="11"/>
  <c r="K680" i="11"/>
  <c r="I680" i="11"/>
  <c r="H680" i="11"/>
  <c r="K679" i="11"/>
  <c r="I679" i="11"/>
  <c r="H679" i="11"/>
  <c r="K678" i="11"/>
  <c r="I678" i="11"/>
  <c r="H678" i="11"/>
  <c r="K677" i="11"/>
  <c r="I677" i="11"/>
  <c r="H677" i="11"/>
  <c r="K676" i="11"/>
  <c r="I676" i="11"/>
  <c r="H676" i="11"/>
  <c r="K675" i="11"/>
  <c r="I675" i="11"/>
  <c r="H675" i="11"/>
  <c r="K674" i="11"/>
  <c r="I674" i="11"/>
  <c r="H674" i="11"/>
  <c r="K673" i="11"/>
  <c r="I673" i="11"/>
  <c r="H673" i="11"/>
  <c r="K672" i="11"/>
  <c r="I672" i="11"/>
  <c r="H672" i="11"/>
  <c r="K671" i="11"/>
  <c r="I671" i="11"/>
  <c r="H671" i="11"/>
  <c r="K670" i="11"/>
  <c r="I670" i="11"/>
  <c r="H670" i="11"/>
  <c r="K669" i="11"/>
  <c r="I669" i="11"/>
  <c r="H669" i="11"/>
  <c r="K668" i="11"/>
  <c r="I668" i="11"/>
  <c r="H668" i="11"/>
  <c r="K667" i="11"/>
  <c r="I667" i="11"/>
  <c r="H667" i="11"/>
  <c r="K666" i="11"/>
  <c r="I666" i="11"/>
  <c r="H666" i="11"/>
  <c r="K665" i="11"/>
  <c r="I665" i="11"/>
  <c r="H665" i="11"/>
  <c r="K664" i="11"/>
  <c r="I664" i="11"/>
  <c r="H664" i="11"/>
  <c r="K663" i="11"/>
  <c r="I663" i="11"/>
  <c r="H663" i="11"/>
  <c r="K662" i="11"/>
  <c r="I662" i="11"/>
  <c r="H662" i="11"/>
  <c r="K661" i="11"/>
  <c r="I661" i="11"/>
  <c r="H661" i="11"/>
  <c r="K660" i="11"/>
  <c r="I660" i="11"/>
  <c r="H660" i="11"/>
  <c r="K659" i="11"/>
  <c r="I659" i="11"/>
  <c r="H659" i="11"/>
  <c r="K658" i="11"/>
  <c r="I658" i="11"/>
  <c r="H658" i="11"/>
  <c r="K657" i="11"/>
  <c r="I657" i="11"/>
  <c r="H657" i="11"/>
  <c r="K656" i="11"/>
  <c r="I656" i="11"/>
  <c r="H656" i="11"/>
  <c r="K655" i="11"/>
  <c r="I655" i="11"/>
  <c r="H655" i="11"/>
  <c r="K654" i="11"/>
  <c r="I654" i="11"/>
  <c r="H654" i="11"/>
  <c r="K653" i="11"/>
  <c r="I653" i="11"/>
  <c r="H653" i="11"/>
  <c r="K652" i="11"/>
  <c r="I652" i="11"/>
  <c r="H652" i="11"/>
  <c r="K651" i="11"/>
  <c r="I651" i="11"/>
  <c r="H651" i="11"/>
  <c r="K650" i="11"/>
  <c r="I650" i="11"/>
  <c r="H650" i="11"/>
  <c r="K649" i="11"/>
  <c r="I649" i="11"/>
  <c r="H649" i="11"/>
  <c r="K648" i="11"/>
  <c r="I648" i="11"/>
  <c r="H648" i="11"/>
  <c r="K647" i="11"/>
  <c r="I647" i="11"/>
  <c r="H647" i="11"/>
  <c r="K646" i="11"/>
  <c r="I646" i="11"/>
  <c r="H646" i="11"/>
  <c r="K645" i="11"/>
  <c r="I645" i="11"/>
  <c r="H645" i="11"/>
  <c r="K644" i="11"/>
  <c r="I644" i="11"/>
  <c r="H644" i="11"/>
  <c r="K643" i="11"/>
  <c r="I643" i="11"/>
  <c r="H643" i="11"/>
  <c r="K642" i="11"/>
  <c r="I642" i="11"/>
  <c r="H642" i="11"/>
  <c r="K641" i="11"/>
  <c r="I641" i="11"/>
  <c r="H641" i="11"/>
  <c r="K640" i="11"/>
  <c r="I640" i="11"/>
  <c r="H640" i="11"/>
  <c r="K639" i="11"/>
  <c r="I639" i="11"/>
  <c r="H639" i="11"/>
  <c r="K638" i="11"/>
  <c r="I638" i="11"/>
  <c r="H638" i="11"/>
  <c r="K637" i="11"/>
  <c r="I637" i="11"/>
  <c r="H637" i="11"/>
  <c r="K636" i="11"/>
  <c r="I636" i="11"/>
  <c r="H636" i="11"/>
  <c r="K635" i="11"/>
  <c r="I635" i="11"/>
  <c r="H635" i="11"/>
  <c r="K634" i="11"/>
  <c r="I634" i="11"/>
  <c r="H634" i="11"/>
  <c r="K633" i="11"/>
  <c r="I633" i="11"/>
  <c r="H633" i="11"/>
  <c r="K632" i="11"/>
  <c r="I632" i="11"/>
  <c r="H632" i="11"/>
  <c r="K631" i="11"/>
  <c r="I631" i="11"/>
  <c r="H631" i="11"/>
  <c r="K630" i="11"/>
  <c r="I630" i="11"/>
  <c r="H630" i="11"/>
  <c r="K629" i="11"/>
  <c r="I629" i="11"/>
  <c r="H629" i="11"/>
  <c r="K628" i="11"/>
  <c r="I628" i="11"/>
  <c r="H628" i="11"/>
  <c r="K627" i="11"/>
  <c r="I627" i="11"/>
  <c r="H627" i="11"/>
  <c r="K626" i="11"/>
  <c r="I626" i="11"/>
  <c r="H626" i="11"/>
  <c r="K625" i="11"/>
  <c r="I625" i="11"/>
  <c r="H625" i="11"/>
  <c r="K624" i="11"/>
  <c r="I624" i="11"/>
  <c r="H624" i="11"/>
  <c r="K623" i="11"/>
  <c r="I623" i="11"/>
  <c r="H623" i="11"/>
  <c r="K622" i="11"/>
  <c r="I622" i="11"/>
  <c r="H622" i="11"/>
  <c r="K621" i="11"/>
  <c r="I621" i="11"/>
  <c r="H621" i="11"/>
  <c r="K620" i="11"/>
  <c r="I620" i="11"/>
  <c r="H620" i="11"/>
  <c r="K619" i="11"/>
  <c r="I619" i="11"/>
  <c r="H619" i="11"/>
  <c r="K618" i="11"/>
  <c r="I618" i="11"/>
  <c r="H618" i="11"/>
  <c r="K617" i="11"/>
  <c r="I617" i="11"/>
  <c r="H617" i="11"/>
  <c r="K616" i="11"/>
  <c r="I616" i="11"/>
  <c r="H616" i="11"/>
  <c r="K615" i="11"/>
  <c r="I615" i="11"/>
  <c r="H615" i="11"/>
  <c r="K614" i="11"/>
  <c r="I614" i="11"/>
  <c r="H614" i="11"/>
  <c r="K613" i="11"/>
  <c r="I613" i="11"/>
  <c r="H613" i="11"/>
  <c r="K612" i="11"/>
  <c r="I612" i="11"/>
  <c r="H612" i="11"/>
  <c r="K611" i="11"/>
  <c r="I611" i="11"/>
  <c r="H611" i="11"/>
  <c r="K610" i="11"/>
  <c r="I610" i="11"/>
  <c r="H610" i="11"/>
  <c r="K609" i="11"/>
  <c r="I609" i="11"/>
  <c r="H609" i="11"/>
  <c r="K608" i="11"/>
  <c r="I608" i="11"/>
  <c r="H608" i="11"/>
  <c r="K607" i="11"/>
  <c r="I607" i="11"/>
  <c r="H607" i="11"/>
  <c r="K606" i="11"/>
  <c r="I606" i="11"/>
  <c r="H606" i="11"/>
  <c r="K605" i="11"/>
  <c r="I605" i="11"/>
  <c r="H605" i="11"/>
  <c r="K604" i="11"/>
  <c r="I604" i="11"/>
  <c r="H604" i="11"/>
  <c r="K603" i="11"/>
  <c r="I603" i="11"/>
  <c r="H603" i="11"/>
  <c r="K602" i="11"/>
  <c r="I602" i="11"/>
  <c r="H602" i="11"/>
  <c r="K601" i="11"/>
  <c r="I601" i="11"/>
  <c r="H601" i="11"/>
  <c r="K600" i="11"/>
  <c r="I600" i="11"/>
  <c r="H600" i="11"/>
  <c r="K599" i="11"/>
  <c r="I599" i="11"/>
  <c r="H599" i="11"/>
  <c r="K598" i="11"/>
  <c r="I598" i="11"/>
  <c r="H598" i="11"/>
  <c r="K597" i="11"/>
  <c r="I597" i="11"/>
  <c r="H597" i="11"/>
  <c r="K596" i="11"/>
  <c r="I596" i="11"/>
  <c r="H596" i="11"/>
  <c r="K595" i="11"/>
  <c r="I595" i="11"/>
  <c r="H595" i="11"/>
  <c r="K594" i="11"/>
  <c r="I594" i="11"/>
  <c r="H594" i="11"/>
  <c r="K593" i="11"/>
  <c r="I593" i="11"/>
  <c r="H593" i="11"/>
  <c r="K592" i="11"/>
  <c r="I592" i="11"/>
  <c r="H592" i="11"/>
  <c r="K591" i="11"/>
  <c r="I591" i="11"/>
  <c r="H591" i="11"/>
  <c r="K590" i="11"/>
  <c r="I590" i="11"/>
  <c r="H590" i="11"/>
  <c r="K589" i="11"/>
  <c r="I589" i="11"/>
  <c r="H589" i="11"/>
  <c r="K588" i="11"/>
  <c r="I588" i="11"/>
  <c r="H588" i="11"/>
  <c r="K587" i="11"/>
  <c r="I587" i="11"/>
  <c r="H587" i="11"/>
  <c r="K586" i="11"/>
  <c r="I586" i="11"/>
  <c r="H586" i="11"/>
  <c r="K585" i="11"/>
  <c r="I585" i="11"/>
  <c r="H585" i="11"/>
  <c r="K584" i="11"/>
  <c r="I584" i="11"/>
  <c r="H584" i="11"/>
  <c r="K583" i="11"/>
  <c r="I583" i="11"/>
  <c r="H583" i="11"/>
  <c r="K582" i="11"/>
  <c r="I582" i="11"/>
  <c r="H582" i="11"/>
  <c r="K581" i="11"/>
  <c r="I581" i="11"/>
  <c r="H581" i="11"/>
  <c r="K580" i="11"/>
  <c r="I580" i="11"/>
  <c r="H580" i="11"/>
  <c r="K579" i="11"/>
  <c r="I579" i="11"/>
  <c r="H579" i="11"/>
  <c r="K578" i="11"/>
  <c r="I578" i="11"/>
  <c r="H578" i="11"/>
  <c r="K577" i="11"/>
  <c r="I577" i="11"/>
  <c r="H577" i="11"/>
  <c r="K576" i="11"/>
  <c r="I576" i="11"/>
  <c r="H576" i="11"/>
  <c r="K575" i="11"/>
  <c r="I575" i="11"/>
  <c r="H575" i="11"/>
  <c r="K574" i="11"/>
  <c r="I574" i="11"/>
  <c r="H574" i="11"/>
  <c r="K573" i="11"/>
  <c r="I573" i="11"/>
  <c r="H573" i="11"/>
  <c r="K572" i="11"/>
  <c r="I572" i="11"/>
  <c r="H572" i="11"/>
  <c r="K571" i="11"/>
  <c r="I571" i="11"/>
  <c r="H571" i="11"/>
  <c r="K570" i="11"/>
  <c r="I570" i="11"/>
  <c r="H570" i="11"/>
  <c r="K569" i="11"/>
  <c r="I569" i="11"/>
  <c r="H569" i="11"/>
  <c r="K568" i="11"/>
  <c r="I568" i="11"/>
  <c r="H568" i="11"/>
  <c r="K567" i="11"/>
  <c r="I567" i="11"/>
  <c r="H567" i="11"/>
  <c r="K566" i="11"/>
  <c r="I566" i="11"/>
  <c r="H566" i="11"/>
  <c r="K565" i="11"/>
  <c r="I565" i="11"/>
  <c r="H565" i="11"/>
  <c r="K564" i="11"/>
  <c r="I564" i="11"/>
  <c r="H564" i="11"/>
  <c r="K563" i="11"/>
  <c r="I563" i="11"/>
  <c r="H563" i="11"/>
  <c r="K562" i="11"/>
  <c r="I562" i="11"/>
  <c r="H562" i="11"/>
  <c r="K561" i="11"/>
  <c r="I561" i="11"/>
  <c r="H561" i="11"/>
  <c r="K560" i="11"/>
  <c r="I560" i="11"/>
  <c r="H560" i="11"/>
  <c r="K559" i="11"/>
  <c r="I559" i="11"/>
  <c r="H559" i="11"/>
  <c r="K558" i="11"/>
  <c r="I558" i="11"/>
  <c r="H558" i="11"/>
  <c r="K557" i="11"/>
  <c r="I557" i="11"/>
  <c r="H557" i="11"/>
  <c r="K556" i="11"/>
  <c r="I556" i="11"/>
  <c r="H556" i="11"/>
  <c r="K555" i="11"/>
  <c r="I555" i="11"/>
  <c r="H555" i="11"/>
  <c r="K554" i="11"/>
  <c r="I554" i="11"/>
  <c r="H554" i="11"/>
  <c r="K553" i="11"/>
  <c r="I553" i="11"/>
  <c r="H553" i="11"/>
  <c r="K552" i="11"/>
  <c r="I552" i="11"/>
  <c r="H552" i="11"/>
  <c r="K551" i="11"/>
  <c r="I551" i="11"/>
  <c r="H551" i="11"/>
  <c r="K550" i="11"/>
  <c r="I550" i="11"/>
  <c r="H550" i="11"/>
  <c r="K549" i="11"/>
  <c r="I549" i="11"/>
  <c r="H549" i="11"/>
  <c r="K548" i="11"/>
  <c r="I548" i="11"/>
  <c r="H548" i="11"/>
  <c r="K547" i="11"/>
  <c r="I547" i="11"/>
  <c r="H547" i="11"/>
  <c r="K546" i="11"/>
  <c r="I546" i="11"/>
  <c r="H546" i="11"/>
  <c r="K545" i="11"/>
  <c r="I545" i="11"/>
  <c r="H545" i="11"/>
  <c r="K544" i="11"/>
  <c r="I544" i="11"/>
  <c r="H544" i="11"/>
  <c r="K543" i="11"/>
  <c r="I543" i="11"/>
  <c r="H543" i="11"/>
  <c r="K542" i="11"/>
  <c r="I542" i="11"/>
  <c r="H542" i="11"/>
  <c r="K541" i="11"/>
  <c r="I541" i="11"/>
  <c r="H541" i="11"/>
  <c r="K540" i="11"/>
  <c r="I540" i="11"/>
  <c r="H540" i="11"/>
  <c r="K539" i="11"/>
  <c r="I539" i="11"/>
  <c r="H539" i="11"/>
  <c r="K538" i="11"/>
  <c r="I538" i="11"/>
  <c r="H538" i="11"/>
  <c r="K537" i="11"/>
  <c r="I537" i="11"/>
  <c r="H537" i="11"/>
  <c r="K536" i="11"/>
  <c r="I536" i="11"/>
  <c r="H536" i="11"/>
  <c r="K535" i="11"/>
  <c r="I535" i="11"/>
  <c r="H535" i="11"/>
  <c r="K534" i="11"/>
  <c r="I534" i="11"/>
  <c r="H534" i="11"/>
  <c r="K533" i="11"/>
  <c r="I533" i="11"/>
  <c r="H533" i="11"/>
  <c r="K532" i="11"/>
  <c r="I532" i="11"/>
  <c r="H532" i="11"/>
  <c r="K531" i="11"/>
  <c r="I531" i="11"/>
  <c r="H531" i="11"/>
  <c r="K530" i="11"/>
  <c r="I530" i="11"/>
  <c r="H530" i="11"/>
  <c r="K529" i="11"/>
  <c r="I529" i="11"/>
  <c r="H529" i="11"/>
  <c r="K528" i="11"/>
  <c r="I528" i="11"/>
  <c r="H528" i="11"/>
  <c r="K527" i="11"/>
  <c r="I527" i="11"/>
  <c r="H527" i="11"/>
  <c r="K526" i="11"/>
  <c r="I526" i="11"/>
  <c r="H526" i="11"/>
  <c r="K525" i="11"/>
  <c r="I525" i="11"/>
  <c r="H525" i="11"/>
  <c r="K524" i="11"/>
  <c r="I524" i="11"/>
  <c r="H524" i="11"/>
  <c r="K523" i="11"/>
  <c r="I523" i="11"/>
  <c r="H523" i="11"/>
  <c r="K522" i="11"/>
  <c r="I522" i="11"/>
  <c r="H522" i="11"/>
  <c r="K521" i="11"/>
  <c r="I521" i="11"/>
  <c r="H521" i="11"/>
  <c r="K520" i="11"/>
  <c r="I520" i="11"/>
  <c r="H520" i="11"/>
  <c r="K519" i="11"/>
  <c r="I519" i="11"/>
  <c r="H519" i="11"/>
  <c r="K518" i="11"/>
  <c r="I518" i="11"/>
  <c r="H518" i="11"/>
  <c r="K517" i="11"/>
  <c r="I517" i="11"/>
  <c r="H517" i="11"/>
  <c r="K516" i="11"/>
  <c r="I516" i="11"/>
  <c r="H516" i="11"/>
  <c r="K515" i="11"/>
  <c r="I515" i="11"/>
  <c r="H515" i="11"/>
  <c r="K514" i="11"/>
  <c r="I514" i="11"/>
  <c r="H514" i="11"/>
  <c r="K513" i="11"/>
  <c r="I513" i="11"/>
  <c r="H513" i="11"/>
  <c r="K512" i="11"/>
  <c r="I512" i="11"/>
  <c r="H512" i="11"/>
  <c r="K511" i="11"/>
  <c r="I511" i="11"/>
  <c r="H511" i="11"/>
  <c r="K510" i="11"/>
  <c r="I510" i="11"/>
  <c r="H510" i="11"/>
  <c r="K509" i="11"/>
  <c r="I509" i="11"/>
  <c r="H509" i="11"/>
  <c r="K508" i="11"/>
  <c r="I508" i="11"/>
  <c r="H508" i="11"/>
  <c r="K507" i="11"/>
  <c r="I507" i="11"/>
  <c r="H507" i="11"/>
  <c r="K506" i="11"/>
  <c r="I506" i="11"/>
  <c r="H506" i="11"/>
  <c r="K505" i="11"/>
  <c r="I505" i="11"/>
  <c r="H505" i="11"/>
  <c r="K504" i="11"/>
  <c r="I504" i="11"/>
  <c r="H504" i="11"/>
  <c r="K503" i="11"/>
  <c r="I503" i="11"/>
  <c r="H503" i="11"/>
  <c r="K502" i="11"/>
  <c r="I502" i="11"/>
  <c r="H502" i="11"/>
  <c r="K501" i="11"/>
  <c r="I501" i="11"/>
  <c r="H501" i="11"/>
  <c r="K500" i="11"/>
  <c r="I500" i="11"/>
  <c r="H500" i="11"/>
  <c r="K499" i="11"/>
  <c r="I499" i="11"/>
  <c r="H499" i="11"/>
  <c r="K498" i="11"/>
  <c r="I498" i="11"/>
  <c r="H498" i="11"/>
  <c r="K497" i="11"/>
  <c r="I497" i="11"/>
  <c r="H497" i="11"/>
  <c r="K496" i="11"/>
  <c r="I496" i="11"/>
  <c r="H496" i="11"/>
  <c r="K495" i="11"/>
  <c r="I495" i="11"/>
  <c r="H495" i="11"/>
  <c r="K494" i="11"/>
  <c r="I494" i="11"/>
  <c r="H494" i="11"/>
  <c r="K493" i="11"/>
  <c r="I493" i="11"/>
  <c r="H493" i="11"/>
  <c r="K492" i="11"/>
  <c r="I492" i="11"/>
  <c r="H492" i="11"/>
  <c r="K491" i="11"/>
  <c r="I491" i="11"/>
  <c r="H491" i="11"/>
  <c r="K490" i="11"/>
  <c r="I490" i="11"/>
  <c r="H490" i="11"/>
  <c r="K489" i="11"/>
  <c r="I489" i="11"/>
  <c r="H489" i="11"/>
  <c r="K488" i="11"/>
  <c r="I488" i="11"/>
  <c r="H488" i="11"/>
  <c r="K487" i="11"/>
  <c r="I487" i="11"/>
  <c r="H487" i="11"/>
  <c r="K486" i="11"/>
  <c r="I486" i="11"/>
  <c r="H486" i="11"/>
  <c r="K485" i="11"/>
  <c r="I485" i="11"/>
  <c r="H485" i="11"/>
  <c r="K484" i="11"/>
  <c r="I484" i="11"/>
  <c r="H484" i="11"/>
  <c r="K483" i="11"/>
  <c r="I483" i="11"/>
  <c r="H483" i="11"/>
  <c r="K482" i="11"/>
  <c r="I482" i="11"/>
  <c r="H482" i="11"/>
  <c r="K481" i="11"/>
  <c r="I481" i="11"/>
  <c r="H481" i="11"/>
  <c r="K480" i="11"/>
  <c r="I480" i="11"/>
  <c r="H480" i="11"/>
  <c r="K479" i="11"/>
  <c r="I479" i="11"/>
  <c r="H479" i="11"/>
  <c r="K478" i="11"/>
  <c r="I478" i="11"/>
  <c r="H478" i="11"/>
  <c r="K477" i="11"/>
  <c r="I477" i="11"/>
  <c r="H477" i="11"/>
  <c r="K476" i="11"/>
  <c r="I476" i="11"/>
  <c r="H476" i="11"/>
  <c r="K475" i="11"/>
  <c r="I475" i="11"/>
  <c r="H475" i="11"/>
  <c r="K474" i="11"/>
  <c r="I474" i="11"/>
  <c r="H474" i="11"/>
  <c r="K473" i="11"/>
  <c r="I473" i="11"/>
  <c r="H473" i="11"/>
  <c r="K472" i="11"/>
  <c r="I472" i="11"/>
  <c r="H472" i="11"/>
  <c r="K471" i="11"/>
  <c r="I471" i="11"/>
  <c r="H471" i="11"/>
  <c r="K470" i="11"/>
  <c r="I470" i="11"/>
  <c r="H470" i="11"/>
  <c r="K469" i="11"/>
  <c r="I469" i="11"/>
  <c r="H469" i="11"/>
  <c r="K468" i="11"/>
  <c r="I468" i="11"/>
  <c r="H468" i="11"/>
  <c r="K467" i="11"/>
  <c r="I467" i="11"/>
  <c r="H467" i="11"/>
  <c r="K466" i="11"/>
  <c r="I466" i="11"/>
  <c r="H466" i="11"/>
  <c r="K465" i="11"/>
  <c r="I465" i="11"/>
  <c r="H465" i="11"/>
  <c r="K464" i="11"/>
  <c r="I464" i="11"/>
  <c r="H464" i="11"/>
  <c r="K463" i="11"/>
  <c r="I463" i="11"/>
  <c r="H463" i="11"/>
  <c r="K462" i="11"/>
  <c r="I462" i="11"/>
  <c r="H462" i="11"/>
  <c r="K461" i="11"/>
  <c r="I461" i="11"/>
  <c r="H461" i="11"/>
  <c r="K460" i="11"/>
  <c r="I460" i="11"/>
  <c r="H460" i="11"/>
  <c r="K459" i="11"/>
  <c r="I459" i="11"/>
  <c r="H459" i="11"/>
  <c r="K458" i="11"/>
  <c r="I458" i="11"/>
  <c r="H458" i="11"/>
  <c r="K457" i="11"/>
  <c r="I457" i="11"/>
  <c r="H457" i="11"/>
  <c r="K456" i="11"/>
  <c r="I456" i="11"/>
  <c r="H456" i="11"/>
  <c r="K455" i="11"/>
  <c r="I455" i="11"/>
  <c r="H455" i="11"/>
  <c r="K454" i="11"/>
  <c r="I454" i="11"/>
  <c r="H454" i="11"/>
  <c r="K453" i="11"/>
  <c r="I453" i="11"/>
  <c r="H453" i="11"/>
  <c r="K452" i="11"/>
  <c r="I452" i="11"/>
  <c r="H452" i="11"/>
  <c r="K451" i="11"/>
  <c r="I451" i="11"/>
  <c r="H451" i="11"/>
  <c r="K450" i="11"/>
  <c r="I450" i="11"/>
  <c r="H450" i="11"/>
  <c r="K449" i="11"/>
  <c r="I449" i="11"/>
  <c r="H449" i="11"/>
  <c r="K448" i="11"/>
  <c r="I448" i="11"/>
  <c r="H448" i="11"/>
  <c r="K447" i="11"/>
  <c r="I447" i="11"/>
  <c r="H447" i="11"/>
  <c r="K446" i="11"/>
  <c r="I446" i="11"/>
  <c r="H446" i="11"/>
  <c r="K445" i="11"/>
  <c r="I445" i="11"/>
  <c r="H445" i="11"/>
  <c r="K444" i="11"/>
  <c r="I444" i="11"/>
  <c r="H444" i="11"/>
  <c r="K443" i="11"/>
  <c r="I443" i="11"/>
  <c r="H443" i="11"/>
  <c r="K442" i="11"/>
  <c r="I442" i="11"/>
  <c r="H442" i="11"/>
  <c r="K441" i="11"/>
  <c r="I441" i="11"/>
  <c r="H441" i="11"/>
  <c r="K440" i="11"/>
  <c r="I440" i="11"/>
  <c r="H440" i="11"/>
  <c r="K439" i="11"/>
  <c r="I439" i="11"/>
  <c r="H439" i="11"/>
  <c r="K438" i="11"/>
  <c r="I438" i="11"/>
  <c r="H438" i="11"/>
  <c r="K437" i="11"/>
  <c r="I437" i="11"/>
  <c r="H437" i="11"/>
  <c r="K436" i="11"/>
  <c r="I436" i="11"/>
  <c r="H436" i="11"/>
  <c r="K435" i="11"/>
  <c r="I435" i="11"/>
  <c r="H435" i="11"/>
  <c r="K434" i="11"/>
  <c r="I434" i="11"/>
  <c r="H434" i="11"/>
  <c r="K433" i="11"/>
  <c r="I433" i="11"/>
  <c r="H433" i="11"/>
  <c r="K432" i="11"/>
  <c r="I432" i="11"/>
  <c r="H432" i="11"/>
  <c r="K431" i="11"/>
  <c r="I431" i="11"/>
  <c r="H431" i="11"/>
  <c r="K430" i="11"/>
  <c r="I430" i="11"/>
  <c r="H430" i="11"/>
  <c r="K429" i="11"/>
  <c r="I429" i="11"/>
  <c r="H429" i="11"/>
  <c r="K428" i="11"/>
  <c r="I428" i="11"/>
  <c r="H428" i="11"/>
  <c r="K427" i="11"/>
  <c r="I427" i="11"/>
  <c r="H427" i="11"/>
  <c r="K426" i="11"/>
  <c r="I426" i="11"/>
  <c r="H426" i="11"/>
  <c r="K425" i="11"/>
  <c r="I425" i="11"/>
  <c r="H425" i="11"/>
  <c r="K424" i="11"/>
  <c r="I424" i="11"/>
  <c r="H424" i="11"/>
  <c r="K423" i="11"/>
  <c r="I423" i="11"/>
  <c r="H423" i="11"/>
  <c r="K422" i="11"/>
  <c r="I422" i="11"/>
  <c r="H422" i="11"/>
  <c r="K421" i="11"/>
  <c r="I421" i="11"/>
  <c r="H421" i="11"/>
  <c r="K420" i="11"/>
  <c r="I420" i="11"/>
  <c r="H420" i="11"/>
  <c r="K419" i="11"/>
  <c r="I419" i="11"/>
  <c r="H419" i="11"/>
  <c r="K418" i="11"/>
  <c r="I418" i="11"/>
  <c r="H418" i="11"/>
  <c r="K417" i="11"/>
  <c r="I417" i="11"/>
  <c r="H417" i="11"/>
  <c r="K416" i="11"/>
  <c r="I416" i="11"/>
  <c r="H416" i="11"/>
  <c r="K415" i="11"/>
  <c r="I415" i="11"/>
  <c r="H415" i="11"/>
  <c r="K414" i="11"/>
  <c r="I414" i="11"/>
  <c r="H414" i="11"/>
  <c r="K413" i="11"/>
  <c r="I413" i="11"/>
  <c r="H413" i="11"/>
  <c r="K412" i="11"/>
  <c r="I412" i="11"/>
  <c r="H412" i="11"/>
  <c r="K411" i="11"/>
  <c r="I411" i="11"/>
  <c r="H411" i="11"/>
  <c r="K410" i="11"/>
  <c r="I410" i="11"/>
  <c r="H410" i="11"/>
  <c r="K409" i="11"/>
  <c r="I409" i="11"/>
  <c r="H409" i="11"/>
  <c r="K408" i="11"/>
  <c r="I408" i="11"/>
  <c r="H408" i="11"/>
  <c r="K407" i="11"/>
  <c r="I407" i="11"/>
  <c r="H407" i="11"/>
  <c r="K406" i="11"/>
  <c r="I406" i="11"/>
  <c r="H406" i="11"/>
  <c r="K405" i="11"/>
  <c r="I405" i="11"/>
  <c r="H405" i="11"/>
  <c r="K404" i="11"/>
  <c r="I404" i="11"/>
  <c r="H404" i="11"/>
  <c r="K403" i="11"/>
  <c r="I403" i="11"/>
  <c r="H403" i="11"/>
  <c r="K402" i="11"/>
  <c r="I402" i="11"/>
  <c r="H402" i="11"/>
  <c r="K401" i="11"/>
  <c r="I401" i="11"/>
  <c r="H401" i="11"/>
  <c r="K400" i="11"/>
  <c r="I400" i="11"/>
  <c r="H400" i="11"/>
  <c r="K399" i="11"/>
  <c r="I399" i="11"/>
  <c r="H399" i="11"/>
  <c r="K398" i="11"/>
  <c r="I398" i="11"/>
  <c r="H398" i="11"/>
  <c r="K397" i="11"/>
  <c r="I397" i="11"/>
  <c r="H397" i="11"/>
  <c r="K396" i="11"/>
  <c r="I396" i="11"/>
  <c r="H396" i="11"/>
  <c r="K395" i="11"/>
  <c r="I395" i="11"/>
  <c r="H395" i="11"/>
  <c r="K394" i="11"/>
  <c r="I394" i="11"/>
  <c r="H394" i="11"/>
  <c r="K393" i="11"/>
  <c r="I393" i="11"/>
  <c r="H393" i="11"/>
  <c r="K392" i="11"/>
  <c r="I392" i="11"/>
  <c r="H392" i="11"/>
  <c r="K391" i="11"/>
  <c r="I391" i="11"/>
  <c r="H391" i="11"/>
  <c r="K390" i="11"/>
  <c r="I390" i="11"/>
  <c r="H390" i="11"/>
  <c r="K389" i="11"/>
  <c r="I389" i="11"/>
  <c r="H389" i="11"/>
  <c r="K388" i="11"/>
  <c r="I388" i="11"/>
  <c r="H388" i="11"/>
  <c r="K387" i="11"/>
  <c r="I387" i="11"/>
  <c r="H387" i="11"/>
  <c r="K386" i="11"/>
  <c r="I386" i="11"/>
  <c r="H386" i="11"/>
  <c r="K385" i="11"/>
  <c r="I385" i="11"/>
  <c r="H385" i="11"/>
  <c r="K384" i="11"/>
  <c r="I384" i="11"/>
  <c r="H384" i="11"/>
  <c r="K383" i="11"/>
  <c r="I383" i="11"/>
  <c r="H383" i="11"/>
  <c r="K382" i="11"/>
  <c r="I382" i="11"/>
  <c r="H382" i="11"/>
  <c r="K381" i="11"/>
  <c r="I381" i="11"/>
  <c r="H381" i="11"/>
  <c r="K380" i="11"/>
  <c r="I380" i="11"/>
  <c r="H380" i="11"/>
  <c r="K379" i="11"/>
  <c r="I379" i="11"/>
  <c r="H379" i="11"/>
  <c r="K378" i="11"/>
  <c r="I378" i="11"/>
  <c r="H378" i="11"/>
  <c r="K377" i="11"/>
  <c r="I377" i="11"/>
  <c r="H377" i="11"/>
  <c r="K376" i="11"/>
  <c r="I376" i="11"/>
  <c r="H376" i="11"/>
  <c r="K375" i="11"/>
  <c r="I375" i="11"/>
  <c r="H375" i="11"/>
  <c r="K374" i="11"/>
  <c r="I374" i="11"/>
  <c r="H374" i="11"/>
  <c r="K373" i="11"/>
  <c r="I373" i="11"/>
  <c r="H373" i="11"/>
  <c r="K372" i="11"/>
  <c r="I372" i="11"/>
  <c r="H372" i="11"/>
  <c r="K371" i="11"/>
  <c r="I371" i="11"/>
  <c r="H371" i="11"/>
  <c r="K370" i="11"/>
  <c r="I370" i="11"/>
  <c r="H370" i="11"/>
  <c r="K369" i="11"/>
  <c r="I369" i="11"/>
  <c r="H369" i="11"/>
  <c r="K368" i="11"/>
  <c r="I368" i="11"/>
  <c r="H368" i="11"/>
  <c r="K367" i="11"/>
  <c r="I367" i="11"/>
  <c r="H367" i="11"/>
  <c r="K366" i="11"/>
  <c r="I366" i="11"/>
  <c r="H366" i="11"/>
  <c r="K365" i="11"/>
  <c r="I365" i="11"/>
  <c r="H365" i="11"/>
  <c r="K364" i="11"/>
  <c r="I364" i="11"/>
  <c r="H364" i="11"/>
  <c r="K363" i="11"/>
  <c r="I363" i="11"/>
  <c r="H363" i="11"/>
  <c r="K362" i="11"/>
  <c r="I362" i="11"/>
  <c r="H362" i="11"/>
  <c r="K361" i="11"/>
  <c r="I361" i="11"/>
  <c r="H361" i="11"/>
  <c r="K360" i="11"/>
  <c r="I360" i="11"/>
  <c r="H360" i="11"/>
  <c r="K359" i="11"/>
  <c r="I359" i="11"/>
  <c r="H359" i="11"/>
  <c r="K358" i="11"/>
  <c r="I358" i="11"/>
  <c r="H358" i="11"/>
  <c r="K357" i="11"/>
  <c r="I357" i="11"/>
  <c r="H357" i="11"/>
  <c r="K356" i="11"/>
  <c r="I356" i="11"/>
  <c r="H356" i="11"/>
  <c r="K355" i="11"/>
  <c r="I355" i="11"/>
  <c r="H355" i="11"/>
  <c r="K354" i="11"/>
  <c r="I354" i="11"/>
  <c r="H354" i="11"/>
  <c r="K353" i="11"/>
  <c r="I353" i="11"/>
  <c r="H353" i="11"/>
  <c r="K352" i="11"/>
  <c r="I352" i="11"/>
  <c r="H352" i="11"/>
  <c r="K351" i="11"/>
  <c r="I351" i="11"/>
  <c r="H351" i="11"/>
  <c r="K350" i="11"/>
  <c r="I350" i="11"/>
  <c r="H350" i="11"/>
  <c r="K349" i="11"/>
  <c r="I349" i="11"/>
  <c r="H349" i="11"/>
  <c r="K348" i="11"/>
  <c r="I348" i="11"/>
  <c r="H348" i="11"/>
  <c r="K347" i="11"/>
  <c r="I347" i="11"/>
  <c r="H347" i="11"/>
  <c r="K346" i="11"/>
  <c r="I346" i="11"/>
  <c r="H346" i="11"/>
  <c r="K345" i="11"/>
  <c r="I345" i="11"/>
  <c r="H345" i="11"/>
  <c r="K344" i="11"/>
  <c r="I344" i="11"/>
  <c r="H344" i="11"/>
  <c r="K343" i="11"/>
  <c r="I343" i="11"/>
  <c r="H343" i="11"/>
  <c r="K342" i="11"/>
  <c r="I342" i="11"/>
  <c r="H342" i="11"/>
  <c r="K341" i="11"/>
  <c r="I341" i="11"/>
  <c r="H341" i="11"/>
  <c r="K340" i="11"/>
  <c r="I340" i="11"/>
  <c r="H340" i="11"/>
  <c r="K339" i="11"/>
  <c r="I339" i="11"/>
  <c r="H339" i="11"/>
  <c r="K338" i="11"/>
  <c r="I338" i="11"/>
  <c r="H338" i="11"/>
  <c r="K337" i="11"/>
  <c r="I337" i="11"/>
  <c r="H337" i="11"/>
  <c r="K336" i="11"/>
  <c r="I336" i="11"/>
  <c r="H336" i="11"/>
  <c r="K335" i="11"/>
  <c r="I335" i="11"/>
  <c r="H335" i="11"/>
  <c r="K334" i="11"/>
  <c r="I334" i="11"/>
  <c r="H334" i="11"/>
  <c r="K333" i="11"/>
  <c r="I333" i="11"/>
  <c r="H333" i="11"/>
  <c r="K332" i="11"/>
  <c r="I332" i="11"/>
  <c r="H332" i="11"/>
  <c r="K331" i="11"/>
  <c r="I331" i="11"/>
  <c r="H331" i="11"/>
  <c r="K330" i="11"/>
  <c r="I330" i="11"/>
  <c r="H330" i="11"/>
  <c r="K329" i="11"/>
  <c r="I329" i="11"/>
  <c r="H329" i="11"/>
  <c r="K328" i="11"/>
  <c r="I328" i="11"/>
  <c r="H328" i="11"/>
  <c r="K327" i="11"/>
  <c r="I327" i="11"/>
  <c r="H327" i="11"/>
  <c r="K326" i="11"/>
  <c r="I326" i="11"/>
  <c r="H326" i="11"/>
  <c r="K325" i="11"/>
  <c r="I325" i="11"/>
  <c r="H325" i="11"/>
  <c r="K324" i="11"/>
  <c r="I324" i="11"/>
  <c r="H324" i="11"/>
  <c r="K323" i="11"/>
  <c r="I323" i="11"/>
  <c r="H323" i="11"/>
  <c r="K322" i="11"/>
  <c r="I322" i="11"/>
  <c r="H322" i="11"/>
  <c r="K321" i="11"/>
  <c r="I321" i="11"/>
  <c r="H321" i="11"/>
  <c r="K320" i="11"/>
  <c r="I320" i="11"/>
  <c r="H320" i="11"/>
  <c r="K319" i="11"/>
  <c r="I319" i="11"/>
  <c r="H319" i="11"/>
  <c r="K318" i="11"/>
  <c r="I318" i="11"/>
  <c r="H318" i="11"/>
  <c r="K317" i="11"/>
  <c r="I317" i="11"/>
  <c r="H317" i="11"/>
  <c r="K316" i="11"/>
  <c r="I316" i="11"/>
  <c r="H316" i="11"/>
  <c r="K315" i="11"/>
  <c r="I315" i="11"/>
  <c r="H315" i="11"/>
  <c r="K314" i="11"/>
  <c r="I314" i="11"/>
  <c r="H314" i="11"/>
  <c r="K313" i="11"/>
  <c r="I313" i="11"/>
  <c r="H313" i="11"/>
  <c r="K312" i="11"/>
  <c r="I312" i="11"/>
  <c r="H312" i="11"/>
  <c r="K311" i="11"/>
  <c r="I311" i="11"/>
  <c r="H311" i="11"/>
  <c r="K310" i="11"/>
  <c r="I310" i="11"/>
  <c r="H310" i="11"/>
  <c r="K309" i="11"/>
  <c r="I309" i="11"/>
  <c r="H309" i="11"/>
  <c r="K308" i="11"/>
  <c r="I308" i="11"/>
  <c r="H308" i="11"/>
  <c r="K307" i="11"/>
  <c r="I307" i="11"/>
  <c r="H307" i="11"/>
  <c r="K306" i="11"/>
  <c r="I306" i="11"/>
  <c r="H306" i="11"/>
  <c r="K305" i="11"/>
  <c r="I305" i="11"/>
  <c r="H305" i="11"/>
  <c r="K304" i="11"/>
  <c r="I304" i="11"/>
  <c r="H304" i="11"/>
  <c r="K303" i="11"/>
  <c r="I303" i="11"/>
  <c r="H303" i="11"/>
  <c r="K302" i="11"/>
  <c r="I302" i="11"/>
  <c r="H302" i="11"/>
  <c r="K301" i="11"/>
  <c r="I301" i="11"/>
  <c r="H301" i="11"/>
  <c r="K300" i="11"/>
  <c r="I300" i="11"/>
  <c r="H300" i="11"/>
  <c r="K299" i="11"/>
  <c r="I299" i="11"/>
  <c r="H299" i="11"/>
  <c r="K298" i="11"/>
  <c r="I298" i="11"/>
  <c r="H298" i="11"/>
  <c r="K297" i="11"/>
  <c r="I297" i="11"/>
  <c r="H297" i="11"/>
  <c r="K296" i="11"/>
  <c r="I296" i="11"/>
  <c r="H296" i="11"/>
  <c r="K295" i="11"/>
  <c r="I295" i="11"/>
  <c r="H295" i="11"/>
  <c r="K294" i="11"/>
  <c r="I294" i="11"/>
  <c r="H294" i="11"/>
  <c r="K293" i="11"/>
  <c r="I293" i="11"/>
  <c r="H293" i="11"/>
  <c r="K292" i="11"/>
  <c r="I292" i="11"/>
  <c r="H292" i="11"/>
  <c r="K291" i="11"/>
  <c r="I291" i="11"/>
  <c r="H291" i="11"/>
  <c r="K290" i="11"/>
  <c r="I290" i="11"/>
  <c r="H290" i="11"/>
  <c r="K289" i="11"/>
  <c r="I289" i="11"/>
  <c r="H289" i="11"/>
  <c r="K288" i="11"/>
  <c r="I288" i="11"/>
  <c r="H288" i="11"/>
  <c r="K287" i="11"/>
  <c r="I287" i="11"/>
  <c r="H287" i="11"/>
  <c r="K286" i="11"/>
  <c r="I286" i="11"/>
  <c r="H286" i="11"/>
  <c r="K285" i="11"/>
  <c r="I285" i="11"/>
  <c r="H285" i="11"/>
  <c r="K284" i="11"/>
  <c r="I284" i="11"/>
  <c r="H284" i="11"/>
  <c r="K283" i="11"/>
  <c r="I283" i="11"/>
  <c r="H283" i="11"/>
  <c r="K282" i="11"/>
  <c r="I282" i="11"/>
  <c r="H282" i="11"/>
  <c r="K281" i="11"/>
  <c r="I281" i="11"/>
  <c r="H281" i="11"/>
  <c r="K280" i="11"/>
  <c r="I280" i="11"/>
  <c r="H280" i="11"/>
  <c r="K279" i="11"/>
  <c r="I279" i="11"/>
  <c r="H279" i="11"/>
  <c r="K278" i="11"/>
  <c r="I278" i="11"/>
  <c r="H278" i="11"/>
  <c r="K277" i="11"/>
  <c r="I277" i="11"/>
  <c r="H277" i="11"/>
  <c r="K276" i="11"/>
  <c r="I276" i="11"/>
  <c r="H276" i="11"/>
  <c r="K275" i="11"/>
  <c r="I275" i="11"/>
  <c r="H275" i="11"/>
  <c r="K274" i="11"/>
  <c r="I274" i="11"/>
  <c r="H274" i="11"/>
  <c r="K273" i="11"/>
  <c r="I273" i="11"/>
  <c r="H273" i="11"/>
  <c r="K272" i="11"/>
  <c r="I272" i="11"/>
  <c r="H272" i="11"/>
  <c r="K271" i="11"/>
  <c r="I271" i="11"/>
  <c r="H271" i="11"/>
  <c r="K270" i="11"/>
  <c r="I270" i="11"/>
  <c r="H270" i="11"/>
  <c r="K269" i="11"/>
  <c r="I269" i="11"/>
  <c r="H269" i="11"/>
  <c r="K268" i="11"/>
  <c r="I268" i="11"/>
  <c r="H268" i="11"/>
  <c r="K267" i="11"/>
  <c r="I267" i="11"/>
  <c r="H267" i="11"/>
  <c r="K266" i="11"/>
  <c r="I266" i="11"/>
  <c r="H266" i="11"/>
  <c r="K265" i="11"/>
  <c r="I265" i="11"/>
  <c r="H265" i="11"/>
  <c r="K264" i="11"/>
  <c r="I264" i="11"/>
  <c r="H264" i="11"/>
  <c r="K263" i="11"/>
  <c r="I263" i="11"/>
  <c r="H263" i="11"/>
  <c r="K262" i="11"/>
  <c r="I262" i="11"/>
  <c r="H262" i="11"/>
  <c r="K261" i="11"/>
  <c r="I261" i="11"/>
  <c r="H261" i="11"/>
  <c r="K260" i="11"/>
  <c r="I260" i="11"/>
  <c r="H260" i="11"/>
  <c r="K259" i="11"/>
  <c r="I259" i="11"/>
  <c r="H259" i="11"/>
  <c r="K258" i="11"/>
  <c r="I258" i="11"/>
  <c r="H258" i="11"/>
  <c r="K257" i="11"/>
  <c r="I257" i="11"/>
  <c r="H257" i="11"/>
  <c r="K256" i="11"/>
  <c r="I256" i="11"/>
  <c r="H256" i="11"/>
  <c r="K255" i="11"/>
  <c r="I255" i="11"/>
  <c r="H255" i="11"/>
  <c r="K254" i="11"/>
  <c r="I254" i="11"/>
  <c r="H254" i="11"/>
  <c r="K253" i="11"/>
  <c r="I253" i="11"/>
  <c r="H253" i="11"/>
  <c r="K252" i="11"/>
  <c r="I252" i="11"/>
  <c r="H252" i="11"/>
  <c r="K251" i="11"/>
  <c r="I251" i="11"/>
  <c r="H251" i="11"/>
  <c r="K250" i="11"/>
  <c r="I250" i="11"/>
  <c r="H250" i="11"/>
  <c r="K249" i="11"/>
  <c r="I249" i="11"/>
  <c r="H249" i="11"/>
  <c r="K248" i="11"/>
  <c r="I248" i="11"/>
  <c r="H248" i="11"/>
  <c r="K247" i="11"/>
  <c r="I247" i="11"/>
  <c r="H247" i="11"/>
  <c r="K246" i="11"/>
  <c r="I246" i="11"/>
  <c r="H246" i="11"/>
  <c r="K245" i="11"/>
  <c r="I245" i="11"/>
  <c r="H245" i="11"/>
  <c r="K244" i="11"/>
  <c r="I244" i="11"/>
  <c r="H244" i="11"/>
  <c r="K243" i="11"/>
  <c r="I243" i="11"/>
  <c r="H243" i="11"/>
  <c r="K242" i="11"/>
  <c r="I242" i="11"/>
  <c r="H242" i="11"/>
  <c r="K241" i="11"/>
  <c r="I241" i="11"/>
  <c r="H241" i="11"/>
  <c r="K240" i="11"/>
  <c r="I240" i="11"/>
  <c r="H240" i="11"/>
  <c r="K239" i="11"/>
  <c r="I239" i="11"/>
  <c r="H239" i="11"/>
  <c r="K238" i="11"/>
  <c r="I238" i="11"/>
  <c r="H238" i="11"/>
  <c r="K237" i="11"/>
  <c r="I237" i="11"/>
  <c r="H237" i="11"/>
  <c r="K236" i="11"/>
  <c r="I236" i="11"/>
  <c r="H236" i="11"/>
  <c r="K235" i="11"/>
  <c r="I235" i="11"/>
  <c r="H235" i="11"/>
  <c r="K234" i="11"/>
  <c r="I234" i="11"/>
  <c r="H234" i="11"/>
  <c r="K233" i="11"/>
  <c r="I233" i="11"/>
  <c r="H233" i="11"/>
  <c r="K232" i="11"/>
  <c r="I232" i="11"/>
  <c r="H232" i="11"/>
  <c r="K231" i="11"/>
  <c r="I231" i="11"/>
  <c r="H231" i="11"/>
  <c r="K230" i="11"/>
  <c r="I230" i="11"/>
  <c r="H230" i="11"/>
  <c r="K229" i="11"/>
  <c r="I229" i="11"/>
  <c r="H229" i="11"/>
  <c r="K228" i="11"/>
  <c r="I228" i="11"/>
  <c r="H228" i="11"/>
  <c r="K227" i="11"/>
  <c r="I227" i="11"/>
  <c r="H227" i="11"/>
  <c r="K226" i="11"/>
  <c r="I226" i="11"/>
  <c r="H226" i="11"/>
  <c r="K225" i="11"/>
  <c r="I225" i="11"/>
  <c r="H225" i="11"/>
  <c r="K224" i="11"/>
  <c r="I224" i="11"/>
  <c r="H224" i="11"/>
  <c r="K223" i="11"/>
  <c r="I223" i="11"/>
  <c r="H223" i="11"/>
  <c r="K222" i="11"/>
  <c r="I222" i="11"/>
  <c r="H222" i="11"/>
  <c r="K221" i="11"/>
  <c r="I221" i="11"/>
  <c r="H221" i="11"/>
  <c r="K220" i="11"/>
  <c r="I220" i="11"/>
  <c r="H220" i="11"/>
  <c r="K219" i="11"/>
  <c r="I219" i="11"/>
  <c r="H219" i="11"/>
  <c r="K218" i="11"/>
  <c r="I218" i="11"/>
  <c r="H218" i="11"/>
  <c r="K217" i="11"/>
  <c r="I217" i="11"/>
  <c r="H217" i="11"/>
  <c r="K216" i="11"/>
  <c r="I216" i="11"/>
  <c r="H216" i="11"/>
  <c r="K215" i="11"/>
  <c r="I215" i="11"/>
  <c r="H215" i="11"/>
  <c r="K214" i="11"/>
  <c r="I214" i="11"/>
  <c r="H214" i="11"/>
  <c r="K213" i="11"/>
  <c r="I213" i="11"/>
  <c r="H213" i="11"/>
  <c r="K212" i="11"/>
  <c r="I212" i="11"/>
  <c r="H212" i="11"/>
  <c r="K211" i="11"/>
  <c r="I211" i="11"/>
  <c r="H211" i="11"/>
  <c r="K210" i="11"/>
  <c r="I210" i="11"/>
  <c r="H210" i="11"/>
  <c r="K209" i="11"/>
  <c r="I209" i="11"/>
  <c r="H209" i="11"/>
  <c r="K208" i="11"/>
  <c r="I208" i="11"/>
  <c r="H208" i="11"/>
  <c r="K207" i="11"/>
  <c r="I207" i="11"/>
  <c r="H207" i="11"/>
  <c r="K206" i="11"/>
  <c r="I206" i="11"/>
  <c r="H206" i="11"/>
  <c r="K205" i="11"/>
  <c r="I205" i="11"/>
  <c r="H205" i="11"/>
  <c r="K204" i="11"/>
  <c r="I204" i="11"/>
  <c r="H204" i="11"/>
  <c r="K203" i="11"/>
  <c r="I203" i="11"/>
  <c r="H203" i="11"/>
  <c r="K202" i="11"/>
  <c r="I202" i="11"/>
  <c r="H202" i="11"/>
  <c r="K201" i="11"/>
  <c r="I201" i="11"/>
  <c r="H201" i="11"/>
  <c r="K200" i="11"/>
  <c r="I200" i="11"/>
  <c r="H200" i="11"/>
  <c r="K199" i="11"/>
  <c r="I199" i="11"/>
  <c r="H199" i="11"/>
  <c r="K198" i="11"/>
  <c r="I198" i="11"/>
  <c r="H198" i="11"/>
  <c r="K197" i="11"/>
  <c r="I197" i="11"/>
  <c r="H197" i="11"/>
  <c r="K196" i="11"/>
  <c r="I196" i="11"/>
  <c r="H196" i="11"/>
  <c r="K195" i="11"/>
  <c r="I195" i="11"/>
  <c r="H195" i="11"/>
  <c r="K194" i="11"/>
  <c r="I194" i="11"/>
  <c r="H194" i="11"/>
  <c r="K193" i="11"/>
  <c r="I193" i="11"/>
  <c r="H193" i="11"/>
  <c r="K192" i="11"/>
  <c r="I192" i="11"/>
  <c r="H192" i="11"/>
  <c r="K191" i="11"/>
  <c r="I191" i="11"/>
  <c r="H191" i="11"/>
  <c r="K190" i="11"/>
  <c r="I190" i="11"/>
  <c r="H190" i="11"/>
  <c r="K189" i="11"/>
  <c r="I189" i="11"/>
  <c r="H189" i="11"/>
  <c r="K188" i="11"/>
  <c r="I188" i="11"/>
  <c r="H188" i="11"/>
  <c r="K187" i="11"/>
  <c r="I187" i="11"/>
  <c r="H187" i="11"/>
  <c r="K186" i="11"/>
  <c r="I186" i="11"/>
  <c r="H186" i="11"/>
  <c r="K185" i="11"/>
  <c r="I185" i="11"/>
  <c r="H185" i="11"/>
  <c r="K184" i="11"/>
  <c r="I184" i="11"/>
  <c r="H184" i="11"/>
  <c r="K183" i="11"/>
  <c r="I183" i="11"/>
  <c r="H183" i="11"/>
  <c r="K182" i="11"/>
  <c r="I182" i="11"/>
  <c r="H182" i="11"/>
  <c r="K181" i="11"/>
  <c r="I181" i="11"/>
  <c r="H181" i="11"/>
  <c r="K180" i="11"/>
  <c r="I180" i="11"/>
  <c r="H180" i="11"/>
  <c r="K179" i="11"/>
  <c r="I179" i="11"/>
  <c r="H179" i="11"/>
  <c r="K178" i="11"/>
  <c r="I178" i="11"/>
  <c r="H178" i="11"/>
  <c r="K177" i="11"/>
  <c r="I177" i="11"/>
  <c r="H177" i="11"/>
  <c r="K176" i="11"/>
  <c r="I176" i="11"/>
  <c r="H176" i="11"/>
  <c r="K175" i="11"/>
  <c r="I175" i="11"/>
  <c r="H175" i="11"/>
  <c r="K174" i="11"/>
  <c r="I174" i="11"/>
  <c r="H174" i="11"/>
  <c r="K173" i="11"/>
  <c r="I173" i="11"/>
  <c r="H173" i="11"/>
  <c r="K172" i="11"/>
  <c r="I172" i="11"/>
  <c r="H172" i="11"/>
  <c r="K171" i="11"/>
  <c r="I171" i="11"/>
  <c r="H171" i="11"/>
  <c r="K170" i="11"/>
  <c r="I170" i="11"/>
  <c r="H170" i="11"/>
  <c r="K169" i="11"/>
  <c r="I169" i="11"/>
  <c r="H169" i="11"/>
  <c r="K168" i="11"/>
  <c r="I168" i="11"/>
  <c r="H168" i="11"/>
  <c r="K167" i="11"/>
  <c r="I167" i="11"/>
  <c r="H167" i="11"/>
  <c r="K166" i="11"/>
  <c r="I166" i="11"/>
  <c r="H166" i="11"/>
  <c r="K165" i="11"/>
  <c r="I165" i="11"/>
  <c r="H165" i="11"/>
  <c r="K164" i="11"/>
  <c r="I164" i="11"/>
  <c r="H164" i="11"/>
  <c r="K163" i="11"/>
  <c r="I163" i="11"/>
  <c r="H163" i="11"/>
  <c r="K162" i="11"/>
  <c r="I162" i="11"/>
  <c r="H162" i="11"/>
  <c r="K161" i="11"/>
  <c r="I161" i="11"/>
  <c r="H161" i="11"/>
  <c r="K160" i="11"/>
  <c r="I160" i="11"/>
  <c r="H160" i="11"/>
  <c r="K159" i="11"/>
  <c r="I159" i="11"/>
  <c r="H159" i="11"/>
  <c r="K158" i="11"/>
  <c r="I158" i="11"/>
  <c r="H158" i="11"/>
  <c r="K157" i="11"/>
  <c r="I157" i="11"/>
  <c r="H157" i="11"/>
  <c r="K156" i="11"/>
  <c r="I156" i="11"/>
  <c r="H156" i="11"/>
  <c r="K155" i="11"/>
  <c r="I155" i="11"/>
  <c r="H155" i="11"/>
  <c r="K154" i="11"/>
  <c r="I154" i="11"/>
  <c r="H154" i="11"/>
  <c r="K153" i="11"/>
  <c r="I153" i="11"/>
  <c r="H153" i="11"/>
  <c r="K152" i="11"/>
  <c r="I152" i="11"/>
  <c r="H152" i="11"/>
  <c r="K151" i="11"/>
  <c r="I151" i="11"/>
  <c r="H151" i="11"/>
  <c r="K150" i="11"/>
  <c r="I150" i="11"/>
  <c r="H150" i="11"/>
  <c r="K149" i="11"/>
  <c r="I149" i="11"/>
  <c r="H149" i="11"/>
  <c r="K148" i="11"/>
  <c r="I148" i="11"/>
  <c r="H148" i="11"/>
  <c r="K147" i="11"/>
  <c r="I147" i="11"/>
  <c r="H147" i="11"/>
  <c r="K146" i="11"/>
  <c r="I146" i="11"/>
  <c r="H146" i="11"/>
  <c r="K145" i="11"/>
  <c r="I145" i="11"/>
  <c r="H145" i="11"/>
  <c r="K144" i="11"/>
  <c r="I144" i="11"/>
  <c r="H144" i="11"/>
  <c r="K143" i="11"/>
  <c r="I143" i="11"/>
  <c r="H143" i="11"/>
  <c r="K142" i="11"/>
  <c r="I142" i="11"/>
  <c r="H142" i="11"/>
  <c r="K141" i="11"/>
  <c r="I141" i="11"/>
  <c r="H141" i="11"/>
  <c r="K140" i="11"/>
  <c r="I140" i="11"/>
  <c r="H140" i="11"/>
  <c r="K139" i="11"/>
  <c r="I139" i="11"/>
  <c r="H139" i="11"/>
  <c r="K138" i="11"/>
  <c r="I138" i="11"/>
  <c r="H138" i="11"/>
  <c r="K137" i="11"/>
  <c r="I137" i="11"/>
  <c r="H137" i="11"/>
  <c r="K136" i="11"/>
  <c r="I136" i="11"/>
  <c r="H136" i="11"/>
  <c r="K135" i="11"/>
  <c r="I135" i="11"/>
  <c r="H135" i="11"/>
  <c r="K134" i="11"/>
  <c r="I134" i="11"/>
  <c r="H134" i="11"/>
  <c r="K133" i="11"/>
  <c r="I133" i="11"/>
  <c r="H133" i="11"/>
  <c r="K132" i="11"/>
  <c r="I132" i="11"/>
  <c r="H132" i="11"/>
  <c r="K131" i="11"/>
  <c r="I131" i="11"/>
  <c r="H131" i="11"/>
  <c r="K130" i="11"/>
  <c r="I130" i="11"/>
  <c r="H130" i="11"/>
  <c r="K129" i="11"/>
  <c r="I129" i="11"/>
  <c r="H129" i="11"/>
  <c r="K128" i="11"/>
  <c r="I128" i="11"/>
  <c r="H128" i="11"/>
  <c r="K127" i="11"/>
  <c r="I127" i="11"/>
  <c r="H127" i="11"/>
  <c r="K126" i="11"/>
  <c r="I126" i="11"/>
  <c r="H126" i="11"/>
  <c r="K125" i="11"/>
  <c r="I125" i="11"/>
  <c r="H125" i="11"/>
  <c r="K124" i="11"/>
  <c r="I124" i="11"/>
  <c r="H124" i="11"/>
  <c r="K123" i="11"/>
  <c r="I123" i="11"/>
  <c r="H123" i="11"/>
  <c r="K122" i="11"/>
  <c r="I122" i="11"/>
  <c r="H122" i="11"/>
  <c r="K121" i="11"/>
  <c r="I121" i="11"/>
  <c r="H121" i="11"/>
  <c r="K120" i="11"/>
  <c r="I120" i="11"/>
  <c r="H120" i="11"/>
  <c r="K119" i="11"/>
  <c r="I119" i="11"/>
  <c r="H119" i="11"/>
  <c r="K118" i="11"/>
  <c r="I118" i="11"/>
  <c r="H118" i="11"/>
  <c r="K117" i="11"/>
  <c r="I117" i="11"/>
  <c r="H117" i="11"/>
  <c r="K116" i="11"/>
  <c r="I116" i="11"/>
  <c r="H116" i="11"/>
  <c r="K115" i="11"/>
  <c r="I115" i="11"/>
  <c r="H115" i="11"/>
  <c r="K114" i="11"/>
  <c r="I114" i="11"/>
  <c r="H114" i="11"/>
  <c r="K113" i="11"/>
  <c r="I113" i="11"/>
  <c r="H113" i="11"/>
  <c r="K112" i="11"/>
  <c r="I112" i="11"/>
  <c r="H112" i="11"/>
  <c r="K111" i="11"/>
  <c r="I111" i="11"/>
  <c r="H111" i="11"/>
  <c r="K110" i="11"/>
  <c r="I110" i="11"/>
  <c r="H110" i="11"/>
  <c r="K109" i="11"/>
  <c r="I109" i="11"/>
  <c r="H109" i="11"/>
  <c r="K108" i="11"/>
  <c r="I108" i="11"/>
  <c r="H108" i="11"/>
  <c r="K107" i="11"/>
  <c r="I107" i="11"/>
  <c r="H107" i="11"/>
  <c r="K106" i="11"/>
  <c r="I106" i="11"/>
  <c r="H106" i="11"/>
  <c r="K105" i="11"/>
  <c r="I105" i="11"/>
  <c r="H105" i="11"/>
  <c r="K104" i="11"/>
  <c r="I104" i="11"/>
  <c r="H104" i="11"/>
  <c r="K103" i="11"/>
  <c r="I103" i="11"/>
  <c r="H103" i="11"/>
  <c r="K102" i="11"/>
  <c r="I102" i="11"/>
  <c r="H102" i="11"/>
  <c r="K101" i="11"/>
  <c r="I101" i="11"/>
  <c r="H101" i="11"/>
  <c r="K100" i="11"/>
  <c r="I100" i="11"/>
  <c r="H100" i="11"/>
  <c r="K99" i="11"/>
  <c r="I99" i="11"/>
  <c r="H99" i="11"/>
  <c r="K98" i="11"/>
  <c r="I98" i="11"/>
  <c r="H98" i="11"/>
  <c r="K97" i="11"/>
  <c r="I97" i="11"/>
  <c r="H97" i="11"/>
  <c r="K96" i="11"/>
  <c r="I96" i="11"/>
  <c r="H96" i="11"/>
  <c r="K95" i="11"/>
  <c r="I95" i="11"/>
  <c r="H95" i="11"/>
  <c r="K94" i="11"/>
  <c r="I94" i="11"/>
  <c r="H94" i="11"/>
  <c r="K93" i="11"/>
  <c r="I93" i="11"/>
  <c r="H93" i="11"/>
  <c r="K92" i="11"/>
  <c r="I92" i="11"/>
  <c r="H92" i="11"/>
  <c r="K91" i="11"/>
  <c r="I91" i="11"/>
  <c r="H91" i="11"/>
  <c r="K90" i="11"/>
  <c r="I90" i="11"/>
  <c r="H90" i="11"/>
  <c r="K89" i="11"/>
  <c r="I89" i="11"/>
  <c r="H89" i="11"/>
  <c r="K88" i="11"/>
  <c r="I88" i="11"/>
  <c r="H88" i="11"/>
  <c r="K87" i="11"/>
  <c r="I87" i="11"/>
  <c r="H87" i="11"/>
  <c r="K86" i="11"/>
  <c r="I86" i="11"/>
  <c r="H86" i="11"/>
  <c r="K85" i="11"/>
  <c r="I85" i="11"/>
  <c r="H85" i="11"/>
  <c r="K84" i="11"/>
  <c r="I84" i="11"/>
  <c r="H84" i="11"/>
  <c r="K83" i="11"/>
  <c r="I83" i="11"/>
  <c r="H83" i="11"/>
  <c r="K82" i="11"/>
  <c r="I82" i="11"/>
  <c r="H82" i="11"/>
  <c r="K81" i="11"/>
  <c r="I81" i="11"/>
  <c r="H81" i="11"/>
  <c r="K80" i="11"/>
  <c r="I80" i="11"/>
  <c r="H80" i="11"/>
  <c r="K79" i="11"/>
  <c r="I79" i="11"/>
  <c r="H79" i="11"/>
  <c r="K78" i="11"/>
  <c r="I78" i="11"/>
  <c r="H78" i="11"/>
  <c r="K77" i="11"/>
  <c r="I77" i="11"/>
  <c r="H77" i="11"/>
  <c r="K76" i="11"/>
  <c r="I76" i="11"/>
  <c r="H76" i="11"/>
  <c r="K75" i="11"/>
  <c r="I75" i="11"/>
  <c r="H75" i="11"/>
  <c r="K74" i="11"/>
  <c r="I74" i="11"/>
  <c r="H74" i="11"/>
  <c r="K73" i="11"/>
  <c r="I73" i="11"/>
  <c r="H73" i="11"/>
  <c r="K72" i="11"/>
  <c r="I72" i="11"/>
  <c r="H72" i="11"/>
  <c r="K71" i="11"/>
  <c r="I71" i="11"/>
  <c r="H71" i="11"/>
  <c r="K70" i="11"/>
  <c r="I70" i="11"/>
  <c r="H70" i="11"/>
  <c r="K69" i="11"/>
  <c r="I69" i="11"/>
  <c r="H69" i="11"/>
  <c r="K68" i="11"/>
  <c r="I68" i="11"/>
  <c r="H68" i="11"/>
  <c r="K67" i="11"/>
  <c r="I67" i="11"/>
  <c r="H67" i="11"/>
  <c r="K66" i="11"/>
  <c r="I66" i="11"/>
  <c r="H66" i="11"/>
  <c r="K65" i="11"/>
  <c r="I65" i="11"/>
  <c r="H65" i="11"/>
  <c r="K64" i="11"/>
  <c r="I64" i="11"/>
  <c r="H64" i="11"/>
  <c r="K63" i="11"/>
  <c r="I63" i="11"/>
  <c r="H63" i="11"/>
  <c r="K62" i="11"/>
  <c r="I62" i="11"/>
  <c r="H62" i="11"/>
  <c r="K61" i="11"/>
  <c r="I61" i="11"/>
  <c r="H61" i="11"/>
  <c r="K60" i="11"/>
  <c r="I60" i="11"/>
  <c r="H60" i="11"/>
  <c r="K59" i="11"/>
  <c r="I59" i="11"/>
  <c r="H59" i="11"/>
  <c r="K58" i="11"/>
  <c r="I58" i="11"/>
  <c r="H58" i="11"/>
  <c r="K57" i="11"/>
  <c r="I57" i="11"/>
  <c r="H57" i="11"/>
  <c r="K56" i="11"/>
  <c r="I56" i="11"/>
  <c r="H56" i="11"/>
  <c r="K55" i="11"/>
  <c r="I55" i="11"/>
  <c r="H55" i="11"/>
  <c r="K54" i="11"/>
  <c r="I54" i="11"/>
  <c r="H54" i="11"/>
  <c r="K53" i="11"/>
  <c r="I53" i="11"/>
  <c r="H53" i="11"/>
  <c r="K52" i="11"/>
  <c r="I52" i="11"/>
  <c r="H52" i="11"/>
  <c r="K51" i="11"/>
  <c r="I51" i="11"/>
  <c r="H51" i="11"/>
  <c r="K50" i="11"/>
  <c r="I50" i="11"/>
  <c r="H50" i="11"/>
  <c r="K49" i="11"/>
  <c r="I49" i="11"/>
  <c r="H49" i="11"/>
  <c r="K48" i="11"/>
  <c r="I48" i="11"/>
  <c r="H48" i="11"/>
  <c r="K47" i="11"/>
  <c r="I47" i="11"/>
  <c r="H47" i="11"/>
  <c r="K46" i="11"/>
  <c r="I46" i="11"/>
  <c r="H46" i="11"/>
  <c r="K45" i="11"/>
  <c r="I45" i="11"/>
  <c r="H45" i="11"/>
  <c r="K44" i="11"/>
  <c r="I44" i="11"/>
  <c r="H44" i="11"/>
  <c r="K43" i="11"/>
  <c r="I43" i="11"/>
  <c r="H43" i="11"/>
  <c r="K42" i="11"/>
  <c r="I42" i="11"/>
  <c r="H42" i="11"/>
  <c r="K41" i="11"/>
  <c r="I41" i="11"/>
  <c r="H41" i="11"/>
  <c r="K40" i="11"/>
  <c r="I40" i="11"/>
  <c r="H40" i="11"/>
  <c r="K39" i="11"/>
  <c r="I39" i="11"/>
  <c r="H39" i="11"/>
  <c r="K38" i="11"/>
  <c r="I38" i="11"/>
  <c r="H38" i="11"/>
  <c r="K37" i="11"/>
  <c r="I37" i="11"/>
  <c r="H37" i="11"/>
  <c r="K36" i="11"/>
  <c r="I36" i="11"/>
  <c r="H36" i="11"/>
  <c r="K35" i="11"/>
  <c r="I35" i="11"/>
  <c r="H35" i="11"/>
  <c r="V34" i="11"/>
  <c r="U34" i="11"/>
  <c r="T34" i="11"/>
  <c r="S34" i="11"/>
  <c r="K34" i="11"/>
  <c r="I34" i="11"/>
  <c r="H34" i="11"/>
  <c r="V33" i="11"/>
  <c r="T33" i="11"/>
  <c r="U33" i="11" s="1"/>
  <c r="S33" i="11"/>
  <c r="K33" i="11"/>
  <c r="I33" i="11"/>
  <c r="H33" i="11"/>
  <c r="V32" i="11"/>
  <c r="T32" i="11"/>
  <c r="S32" i="11"/>
  <c r="U32" i="11" s="1"/>
  <c r="K32" i="11"/>
  <c r="I32" i="11"/>
  <c r="H32" i="11"/>
  <c r="V31" i="11"/>
  <c r="T31" i="11"/>
  <c r="S31" i="11"/>
  <c r="K31" i="11"/>
  <c r="I31" i="11"/>
  <c r="H31" i="11"/>
  <c r="V30" i="11"/>
  <c r="T30" i="11"/>
  <c r="S30" i="11"/>
  <c r="U30" i="11" s="1"/>
  <c r="K30" i="11"/>
  <c r="I30" i="11"/>
  <c r="H30" i="11"/>
  <c r="V29" i="11"/>
  <c r="T29" i="11"/>
  <c r="U29" i="11" s="1"/>
  <c r="S29" i="11"/>
  <c r="K29" i="11"/>
  <c r="I29" i="11"/>
  <c r="H29" i="11"/>
  <c r="V28" i="11"/>
  <c r="T28" i="11"/>
  <c r="S28" i="11"/>
  <c r="U28" i="11" s="1"/>
  <c r="K28" i="11"/>
  <c r="I28" i="11"/>
  <c r="H28" i="11"/>
  <c r="V27" i="11"/>
  <c r="T27" i="11"/>
  <c r="U27" i="11" s="1"/>
  <c r="S27" i="11"/>
  <c r="K27" i="11"/>
  <c r="I27" i="11"/>
  <c r="H27" i="11"/>
  <c r="V26" i="11"/>
  <c r="U26" i="11"/>
  <c r="T26" i="11"/>
  <c r="S26" i="11"/>
  <c r="K26" i="11"/>
  <c r="I26" i="11"/>
  <c r="H26" i="11"/>
  <c r="V25" i="11"/>
  <c r="T25" i="11"/>
  <c r="U25" i="11" s="1"/>
  <c r="S25" i="11"/>
  <c r="K25" i="11"/>
  <c r="I25" i="11"/>
  <c r="H25" i="11"/>
  <c r="V24" i="11"/>
  <c r="U24" i="11"/>
  <c r="T24" i="11"/>
  <c r="S24" i="11"/>
  <c r="K24" i="11"/>
  <c r="I24" i="11"/>
  <c r="H24" i="11"/>
  <c r="V23" i="11"/>
  <c r="T23" i="11"/>
  <c r="S23" i="11"/>
  <c r="U23" i="11" s="1"/>
  <c r="K23" i="11"/>
  <c r="I23" i="11"/>
  <c r="H23" i="11"/>
  <c r="V22" i="11"/>
  <c r="U22" i="11"/>
  <c r="T22" i="11"/>
  <c r="S22" i="11"/>
  <c r="K22" i="11"/>
  <c r="I22" i="11"/>
  <c r="H22" i="11"/>
  <c r="V21" i="11"/>
  <c r="T21" i="11"/>
  <c r="U21" i="11" s="1"/>
  <c r="S21" i="11"/>
  <c r="K21" i="11"/>
  <c r="I21" i="11"/>
  <c r="H21" i="11"/>
  <c r="V20" i="11"/>
  <c r="T20" i="11"/>
  <c r="S20" i="11"/>
  <c r="U20" i="11" s="1"/>
  <c r="K20" i="11"/>
  <c r="I20" i="11"/>
  <c r="H20" i="11"/>
  <c r="V19" i="11"/>
  <c r="T19" i="11"/>
  <c r="U19" i="11" s="1"/>
  <c r="S19" i="11"/>
  <c r="K19" i="11"/>
  <c r="I19" i="11"/>
  <c r="H19" i="11"/>
  <c r="V18" i="11"/>
  <c r="U18" i="11"/>
  <c r="T18" i="11"/>
  <c r="S18" i="11"/>
  <c r="K18" i="11"/>
  <c r="I18" i="11"/>
  <c r="H18" i="11"/>
  <c r="V17" i="11"/>
  <c r="U17" i="11"/>
  <c r="T17" i="11"/>
  <c r="S17" i="11"/>
  <c r="K17" i="11"/>
  <c r="I17" i="11"/>
  <c r="H17" i="11"/>
  <c r="V16" i="11"/>
  <c r="T16" i="11"/>
  <c r="S16" i="11"/>
  <c r="K16" i="11"/>
  <c r="I16" i="11"/>
  <c r="H16" i="11"/>
  <c r="V15" i="11"/>
  <c r="T15" i="11"/>
  <c r="S15" i="11"/>
  <c r="K15" i="11"/>
  <c r="I15" i="11"/>
  <c r="H15" i="11"/>
  <c r="V14" i="11"/>
  <c r="T14" i="11"/>
  <c r="S14" i="11"/>
  <c r="U14" i="11" s="1"/>
  <c r="K14" i="11"/>
  <c r="I14" i="11"/>
  <c r="H14" i="11"/>
  <c r="V13" i="11"/>
  <c r="T13" i="11"/>
  <c r="U13" i="11" s="1"/>
  <c r="S13" i="11"/>
  <c r="K13" i="11"/>
  <c r="I13" i="11"/>
  <c r="H13" i="11"/>
  <c r="V12" i="11"/>
  <c r="T12" i="11"/>
  <c r="S12" i="11"/>
  <c r="U12" i="11" s="1"/>
  <c r="K12" i="11"/>
  <c r="I12" i="11"/>
  <c r="H12" i="11"/>
  <c r="V11" i="11"/>
  <c r="T11" i="11"/>
  <c r="U11" i="11" s="1"/>
  <c r="S11" i="11"/>
  <c r="K11" i="11"/>
  <c r="I11" i="11"/>
  <c r="H11" i="11"/>
  <c r="V10" i="11"/>
  <c r="U10" i="11"/>
  <c r="T10" i="11"/>
  <c r="S10" i="11"/>
  <c r="K10" i="11"/>
  <c r="I10" i="11"/>
  <c r="H10" i="11"/>
  <c r="V9" i="11"/>
  <c r="T9" i="11"/>
  <c r="U9" i="11" s="1"/>
  <c r="S9" i="11"/>
  <c r="K9" i="11"/>
  <c r="I9" i="11"/>
  <c r="H9" i="11"/>
  <c r="V8" i="11"/>
  <c r="U8" i="11"/>
  <c r="T8" i="11"/>
  <c r="S8" i="11"/>
  <c r="K8" i="11"/>
  <c r="I8" i="11"/>
  <c r="H8" i="11"/>
  <c r="V7" i="11"/>
  <c r="T7" i="11"/>
  <c r="S7" i="11"/>
  <c r="U7" i="11" s="1"/>
  <c r="K7" i="11"/>
  <c r="I7" i="11"/>
  <c r="H7" i="11"/>
  <c r="V6" i="11"/>
  <c r="U6" i="11"/>
  <c r="T6" i="11"/>
  <c r="S6" i="11"/>
  <c r="K6" i="11"/>
  <c r="I6" i="11"/>
  <c r="H6" i="11"/>
  <c r="K5" i="11"/>
  <c r="I5" i="11"/>
  <c r="H5" i="11"/>
  <c r="X504" i="10"/>
  <c r="W504" i="10"/>
  <c r="U504" i="10"/>
  <c r="V504" i="10" s="1"/>
  <c r="T504" i="10"/>
  <c r="R504" i="10"/>
  <c r="Q504" i="10"/>
  <c r="S504" i="10" s="1"/>
  <c r="I504" i="10"/>
  <c r="Y504" i="10" s="1"/>
  <c r="C504" i="10"/>
  <c r="B504" i="10"/>
  <c r="X503" i="10"/>
  <c r="W503" i="10"/>
  <c r="U503" i="10"/>
  <c r="V503" i="10" s="1"/>
  <c r="T503" i="10"/>
  <c r="R503" i="10"/>
  <c r="Q503" i="10"/>
  <c r="S503" i="10" s="1"/>
  <c r="I503" i="10"/>
  <c r="Y503" i="10" s="1"/>
  <c r="C503" i="10"/>
  <c r="B503" i="10"/>
  <c r="X502" i="10"/>
  <c r="W502" i="10"/>
  <c r="U502" i="10"/>
  <c r="V502" i="10" s="1"/>
  <c r="T502" i="10"/>
  <c r="S502" i="10"/>
  <c r="R502" i="10"/>
  <c r="Q502" i="10"/>
  <c r="I502" i="10"/>
  <c r="Y502" i="10" s="1"/>
  <c r="C502" i="10"/>
  <c r="B502" i="10"/>
  <c r="X501" i="10"/>
  <c r="W501" i="10"/>
  <c r="U501" i="10"/>
  <c r="V501" i="10" s="1"/>
  <c r="T501" i="10"/>
  <c r="S501" i="10"/>
  <c r="R501" i="10"/>
  <c r="Q501" i="10"/>
  <c r="I501" i="10"/>
  <c r="Y501" i="10" s="1"/>
  <c r="C501" i="10"/>
  <c r="B501" i="10"/>
  <c r="X500" i="10"/>
  <c r="W500" i="10"/>
  <c r="U500" i="10"/>
  <c r="V500" i="10" s="1"/>
  <c r="T500" i="10"/>
  <c r="R500" i="10"/>
  <c r="Q500" i="10"/>
  <c r="S500" i="10" s="1"/>
  <c r="I500" i="10"/>
  <c r="Y500" i="10" s="1"/>
  <c r="C500" i="10"/>
  <c r="B500" i="10"/>
  <c r="X499" i="10"/>
  <c r="W499" i="10"/>
  <c r="U499" i="10"/>
  <c r="V499" i="10" s="1"/>
  <c r="T499" i="10"/>
  <c r="R499" i="10"/>
  <c r="Q499" i="10"/>
  <c r="S499" i="10" s="1"/>
  <c r="I499" i="10"/>
  <c r="Y499" i="10" s="1"/>
  <c r="C499" i="10"/>
  <c r="B499" i="10"/>
  <c r="X498" i="10"/>
  <c r="W498" i="10"/>
  <c r="U498" i="10"/>
  <c r="V498" i="10" s="1"/>
  <c r="T498" i="10"/>
  <c r="S498" i="10"/>
  <c r="R498" i="10"/>
  <c r="Q498" i="10"/>
  <c r="I498" i="10"/>
  <c r="Y498" i="10" s="1"/>
  <c r="C498" i="10"/>
  <c r="B498" i="10"/>
  <c r="X497" i="10"/>
  <c r="W497" i="10"/>
  <c r="U497" i="10"/>
  <c r="V497" i="10" s="1"/>
  <c r="T497" i="10"/>
  <c r="S497" i="10"/>
  <c r="R497" i="10"/>
  <c r="Q497" i="10"/>
  <c r="I497" i="10"/>
  <c r="Y497" i="10" s="1"/>
  <c r="C497" i="10"/>
  <c r="B497" i="10"/>
  <c r="X496" i="10"/>
  <c r="W496" i="10"/>
  <c r="U496" i="10"/>
  <c r="V496" i="10" s="1"/>
  <c r="T496" i="10"/>
  <c r="R496" i="10"/>
  <c r="Q496" i="10"/>
  <c r="S496" i="10" s="1"/>
  <c r="I496" i="10"/>
  <c r="Y496" i="10" s="1"/>
  <c r="C496" i="10"/>
  <c r="B496" i="10"/>
  <c r="X495" i="10"/>
  <c r="W495" i="10"/>
  <c r="U495" i="10"/>
  <c r="V495" i="10" s="1"/>
  <c r="T495" i="10"/>
  <c r="R495" i="10"/>
  <c r="Q495" i="10"/>
  <c r="S495" i="10" s="1"/>
  <c r="I495" i="10"/>
  <c r="Y495" i="10" s="1"/>
  <c r="C495" i="10"/>
  <c r="B495" i="10"/>
  <c r="X494" i="10"/>
  <c r="W494" i="10"/>
  <c r="U494" i="10"/>
  <c r="V494" i="10" s="1"/>
  <c r="T494" i="10"/>
  <c r="S494" i="10"/>
  <c r="R494" i="10"/>
  <c r="Q494" i="10"/>
  <c r="I494" i="10"/>
  <c r="Y494" i="10" s="1"/>
  <c r="C494" i="10"/>
  <c r="B494" i="10"/>
  <c r="X493" i="10"/>
  <c r="W493" i="10"/>
  <c r="U493" i="10"/>
  <c r="V493" i="10" s="1"/>
  <c r="T493" i="10"/>
  <c r="S493" i="10"/>
  <c r="R493" i="10"/>
  <c r="Q493" i="10"/>
  <c r="I493" i="10"/>
  <c r="Y493" i="10" s="1"/>
  <c r="C493" i="10"/>
  <c r="B493" i="10"/>
  <c r="X492" i="10"/>
  <c r="W492" i="10"/>
  <c r="U492" i="10"/>
  <c r="V492" i="10" s="1"/>
  <c r="T492" i="10"/>
  <c r="R492" i="10"/>
  <c r="Q492" i="10"/>
  <c r="S492" i="10" s="1"/>
  <c r="I492" i="10"/>
  <c r="Y492" i="10" s="1"/>
  <c r="C492" i="10"/>
  <c r="B492" i="10"/>
  <c r="X491" i="10"/>
  <c r="W491" i="10"/>
  <c r="U491" i="10"/>
  <c r="V491" i="10" s="1"/>
  <c r="T491" i="10"/>
  <c r="R491" i="10"/>
  <c r="Q491" i="10"/>
  <c r="S491" i="10" s="1"/>
  <c r="I491" i="10"/>
  <c r="Y491" i="10" s="1"/>
  <c r="C491" i="10"/>
  <c r="B491" i="10"/>
  <c r="X490" i="10"/>
  <c r="W490" i="10"/>
  <c r="U490" i="10"/>
  <c r="V490" i="10" s="1"/>
  <c r="T490" i="10"/>
  <c r="S490" i="10"/>
  <c r="R490" i="10"/>
  <c r="Q490" i="10"/>
  <c r="I490" i="10"/>
  <c r="Y490" i="10" s="1"/>
  <c r="C490" i="10"/>
  <c r="B490" i="10"/>
  <c r="X489" i="10"/>
  <c r="W489" i="10"/>
  <c r="U489" i="10"/>
  <c r="V489" i="10" s="1"/>
  <c r="T489" i="10"/>
  <c r="S489" i="10"/>
  <c r="R489" i="10"/>
  <c r="Q489" i="10"/>
  <c r="I489" i="10"/>
  <c r="Y489" i="10" s="1"/>
  <c r="C489" i="10"/>
  <c r="B489" i="10"/>
  <c r="X488" i="10"/>
  <c r="W488" i="10"/>
  <c r="U488" i="10"/>
  <c r="V488" i="10" s="1"/>
  <c r="T488" i="10"/>
  <c r="R488" i="10"/>
  <c r="Q488" i="10"/>
  <c r="S488" i="10" s="1"/>
  <c r="I488" i="10"/>
  <c r="Y488" i="10" s="1"/>
  <c r="C488" i="10"/>
  <c r="B488" i="10"/>
  <c r="X487" i="10"/>
  <c r="W487" i="10"/>
  <c r="U487" i="10"/>
  <c r="V487" i="10" s="1"/>
  <c r="T487" i="10"/>
  <c r="R487" i="10"/>
  <c r="Q487" i="10"/>
  <c r="S487" i="10" s="1"/>
  <c r="I487" i="10"/>
  <c r="Y487" i="10" s="1"/>
  <c r="C487" i="10"/>
  <c r="B487" i="10"/>
  <c r="X486" i="10"/>
  <c r="W486" i="10"/>
  <c r="U486" i="10"/>
  <c r="V486" i="10" s="1"/>
  <c r="T486" i="10"/>
  <c r="S486" i="10"/>
  <c r="R486" i="10"/>
  <c r="Q486" i="10"/>
  <c r="I486" i="10"/>
  <c r="Y486" i="10" s="1"/>
  <c r="C486" i="10"/>
  <c r="B486" i="10"/>
  <c r="X485" i="10"/>
  <c r="W485" i="10"/>
  <c r="U485" i="10"/>
  <c r="V485" i="10" s="1"/>
  <c r="T485" i="10"/>
  <c r="S485" i="10"/>
  <c r="R485" i="10"/>
  <c r="Q485" i="10"/>
  <c r="I485" i="10"/>
  <c r="Y485" i="10" s="1"/>
  <c r="C485" i="10"/>
  <c r="B485" i="10"/>
  <c r="X484" i="10"/>
  <c r="W484" i="10"/>
  <c r="U484" i="10"/>
  <c r="V484" i="10" s="1"/>
  <c r="T484" i="10"/>
  <c r="R484" i="10"/>
  <c r="Q484" i="10"/>
  <c r="S484" i="10" s="1"/>
  <c r="I484" i="10"/>
  <c r="Y484" i="10" s="1"/>
  <c r="C484" i="10"/>
  <c r="B484" i="10"/>
  <c r="X483" i="10"/>
  <c r="W483" i="10"/>
  <c r="U483" i="10"/>
  <c r="V483" i="10" s="1"/>
  <c r="T483" i="10"/>
  <c r="R483" i="10"/>
  <c r="Q483" i="10"/>
  <c r="S483" i="10" s="1"/>
  <c r="I483" i="10"/>
  <c r="Y483" i="10" s="1"/>
  <c r="C483" i="10"/>
  <c r="B483" i="10"/>
  <c r="X482" i="10"/>
  <c r="W482" i="10"/>
  <c r="U482" i="10"/>
  <c r="V482" i="10" s="1"/>
  <c r="T482" i="10"/>
  <c r="S482" i="10"/>
  <c r="R482" i="10"/>
  <c r="Q482" i="10"/>
  <c r="I482" i="10"/>
  <c r="Y482" i="10" s="1"/>
  <c r="C482" i="10"/>
  <c r="B482" i="10"/>
  <c r="X481" i="10"/>
  <c r="W481" i="10"/>
  <c r="U481" i="10"/>
  <c r="V481" i="10" s="1"/>
  <c r="T481" i="10"/>
  <c r="S481" i="10"/>
  <c r="R481" i="10"/>
  <c r="Q481" i="10"/>
  <c r="I481" i="10"/>
  <c r="Y481" i="10" s="1"/>
  <c r="C481" i="10"/>
  <c r="B481" i="10"/>
  <c r="X480" i="10"/>
  <c r="W480" i="10"/>
  <c r="U480" i="10"/>
  <c r="V480" i="10" s="1"/>
  <c r="T480" i="10"/>
  <c r="R480" i="10"/>
  <c r="Q480" i="10"/>
  <c r="S480" i="10" s="1"/>
  <c r="I480" i="10"/>
  <c r="Y480" i="10" s="1"/>
  <c r="C480" i="10"/>
  <c r="B480" i="10"/>
  <c r="X479" i="10"/>
  <c r="W479" i="10"/>
  <c r="U479" i="10"/>
  <c r="V479" i="10" s="1"/>
  <c r="T479" i="10"/>
  <c r="R479" i="10"/>
  <c r="Q479" i="10"/>
  <c r="S479" i="10" s="1"/>
  <c r="I479" i="10"/>
  <c r="Y479" i="10" s="1"/>
  <c r="C479" i="10"/>
  <c r="B479" i="10"/>
  <c r="X478" i="10"/>
  <c r="W478" i="10"/>
  <c r="U478" i="10"/>
  <c r="V478" i="10" s="1"/>
  <c r="T478" i="10"/>
  <c r="S478" i="10"/>
  <c r="R478" i="10"/>
  <c r="Q478" i="10"/>
  <c r="I478" i="10"/>
  <c r="Y478" i="10" s="1"/>
  <c r="C478" i="10"/>
  <c r="B478" i="10"/>
  <c r="X477" i="10"/>
  <c r="W477" i="10"/>
  <c r="U477" i="10"/>
  <c r="V477" i="10" s="1"/>
  <c r="T477" i="10"/>
  <c r="S477" i="10"/>
  <c r="R477" i="10"/>
  <c r="Q477" i="10"/>
  <c r="I477" i="10"/>
  <c r="Y477" i="10" s="1"/>
  <c r="C477" i="10"/>
  <c r="B477" i="10"/>
  <c r="X476" i="10"/>
  <c r="W476" i="10"/>
  <c r="U476" i="10"/>
  <c r="V476" i="10" s="1"/>
  <c r="T476" i="10"/>
  <c r="R476" i="10"/>
  <c r="Q476" i="10"/>
  <c r="S476" i="10" s="1"/>
  <c r="I476" i="10"/>
  <c r="Y476" i="10" s="1"/>
  <c r="C476" i="10"/>
  <c r="B476" i="10"/>
  <c r="X475" i="10"/>
  <c r="W475" i="10"/>
  <c r="U475" i="10"/>
  <c r="V475" i="10" s="1"/>
  <c r="T475" i="10"/>
  <c r="R475" i="10"/>
  <c r="Q475" i="10"/>
  <c r="S475" i="10" s="1"/>
  <c r="I475" i="10"/>
  <c r="Y475" i="10" s="1"/>
  <c r="C475" i="10"/>
  <c r="B475" i="10"/>
  <c r="X474" i="10"/>
  <c r="W474" i="10"/>
  <c r="U474" i="10"/>
  <c r="V474" i="10" s="1"/>
  <c r="T474" i="10"/>
  <c r="S474" i="10"/>
  <c r="R474" i="10"/>
  <c r="Q474" i="10"/>
  <c r="I474" i="10"/>
  <c r="Y474" i="10" s="1"/>
  <c r="C474" i="10"/>
  <c r="B474" i="10"/>
  <c r="X473" i="10"/>
  <c r="W473" i="10"/>
  <c r="U473" i="10"/>
  <c r="V473" i="10" s="1"/>
  <c r="T473" i="10"/>
  <c r="S473" i="10"/>
  <c r="R473" i="10"/>
  <c r="Q473" i="10"/>
  <c r="I473" i="10"/>
  <c r="Y473" i="10" s="1"/>
  <c r="C473" i="10"/>
  <c r="B473" i="10"/>
  <c r="X472" i="10"/>
  <c r="W472" i="10"/>
  <c r="U472" i="10"/>
  <c r="V472" i="10" s="1"/>
  <c r="T472" i="10"/>
  <c r="R472" i="10"/>
  <c r="Q472" i="10"/>
  <c r="S472" i="10" s="1"/>
  <c r="I472" i="10"/>
  <c r="Y472" i="10" s="1"/>
  <c r="C472" i="10"/>
  <c r="B472" i="10"/>
  <c r="X471" i="10"/>
  <c r="W471" i="10"/>
  <c r="U471" i="10"/>
  <c r="V471" i="10" s="1"/>
  <c r="T471" i="10"/>
  <c r="R471" i="10"/>
  <c r="Q471" i="10"/>
  <c r="S471" i="10" s="1"/>
  <c r="I471" i="10"/>
  <c r="Y471" i="10" s="1"/>
  <c r="C471" i="10"/>
  <c r="B471" i="10"/>
  <c r="X470" i="10"/>
  <c r="W470" i="10"/>
  <c r="U470" i="10"/>
  <c r="V470" i="10" s="1"/>
  <c r="T470" i="10"/>
  <c r="S470" i="10"/>
  <c r="R470" i="10"/>
  <c r="Q470" i="10"/>
  <c r="I470" i="10"/>
  <c r="Y470" i="10" s="1"/>
  <c r="C470" i="10"/>
  <c r="B470" i="10"/>
  <c r="X469" i="10"/>
  <c r="W469" i="10"/>
  <c r="U469" i="10"/>
  <c r="V469" i="10" s="1"/>
  <c r="T469" i="10"/>
  <c r="S469" i="10"/>
  <c r="R469" i="10"/>
  <c r="Q469" i="10"/>
  <c r="I469" i="10"/>
  <c r="Y469" i="10" s="1"/>
  <c r="C469" i="10"/>
  <c r="B469" i="10"/>
  <c r="X468" i="10"/>
  <c r="W468" i="10"/>
  <c r="U468" i="10"/>
  <c r="V468" i="10" s="1"/>
  <c r="T468" i="10"/>
  <c r="R468" i="10"/>
  <c r="Q468" i="10"/>
  <c r="S468" i="10" s="1"/>
  <c r="I468" i="10"/>
  <c r="Y468" i="10" s="1"/>
  <c r="C468" i="10"/>
  <c r="B468" i="10"/>
  <c r="X467" i="10"/>
  <c r="W467" i="10"/>
  <c r="U467" i="10"/>
  <c r="V467" i="10" s="1"/>
  <c r="T467" i="10"/>
  <c r="R467" i="10"/>
  <c r="Q467" i="10"/>
  <c r="S467" i="10" s="1"/>
  <c r="I467" i="10"/>
  <c r="Y467" i="10" s="1"/>
  <c r="C467" i="10"/>
  <c r="B467" i="10"/>
  <c r="X466" i="10"/>
  <c r="W466" i="10"/>
  <c r="U466" i="10"/>
  <c r="V466" i="10" s="1"/>
  <c r="T466" i="10"/>
  <c r="S466" i="10"/>
  <c r="R466" i="10"/>
  <c r="Q466" i="10"/>
  <c r="I466" i="10"/>
  <c r="Y466" i="10" s="1"/>
  <c r="C466" i="10"/>
  <c r="B466" i="10"/>
  <c r="X465" i="10"/>
  <c r="W465" i="10"/>
  <c r="U465" i="10"/>
  <c r="V465" i="10" s="1"/>
  <c r="T465" i="10"/>
  <c r="S465" i="10"/>
  <c r="R465" i="10"/>
  <c r="Q465" i="10"/>
  <c r="I465" i="10"/>
  <c r="Y465" i="10" s="1"/>
  <c r="C465" i="10"/>
  <c r="B465" i="10"/>
  <c r="X464" i="10"/>
  <c r="W464" i="10"/>
  <c r="U464" i="10"/>
  <c r="V464" i="10" s="1"/>
  <c r="T464" i="10"/>
  <c r="R464" i="10"/>
  <c r="Q464" i="10"/>
  <c r="S464" i="10" s="1"/>
  <c r="I464" i="10"/>
  <c r="Y464" i="10" s="1"/>
  <c r="C464" i="10"/>
  <c r="B464" i="10"/>
  <c r="X463" i="10"/>
  <c r="W463" i="10"/>
  <c r="U463" i="10"/>
  <c r="V463" i="10" s="1"/>
  <c r="T463" i="10"/>
  <c r="R463" i="10"/>
  <c r="Q463" i="10"/>
  <c r="S463" i="10" s="1"/>
  <c r="I463" i="10"/>
  <c r="Y463" i="10" s="1"/>
  <c r="C463" i="10"/>
  <c r="B463" i="10"/>
  <c r="X462" i="10"/>
  <c r="W462" i="10"/>
  <c r="U462" i="10"/>
  <c r="V462" i="10" s="1"/>
  <c r="T462" i="10"/>
  <c r="S462" i="10"/>
  <c r="R462" i="10"/>
  <c r="Q462" i="10"/>
  <c r="I462" i="10"/>
  <c r="Y462" i="10" s="1"/>
  <c r="C462" i="10"/>
  <c r="B462" i="10"/>
  <c r="X461" i="10"/>
  <c r="W461" i="10"/>
  <c r="U461" i="10"/>
  <c r="V461" i="10" s="1"/>
  <c r="T461" i="10"/>
  <c r="S461" i="10"/>
  <c r="R461" i="10"/>
  <c r="Q461" i="10"/>
  <c r="I461" i="10"/>
  <c r="Y461" i="10" s="1"/>
  <c r="C461" i="10"/>
  <c r="B461" i="10"/>
  <c r="X460" i="10"/>
  <c r="W460" i="10"/>
  <c r="U460" i="10"/>
  <c r="V460" i="10" s="1"/>
  <c r="T460" i="10"/>
  <c r="R460" i="10"/>
  <c r="Q460" i="10"/>
  <c r="S460" i="10" s="1"/>
  <c r="I460" i="10"/>
  <c r="Y460" i="10" s="1"/>
  <c r="C460" i="10"/>
  <c r="B460" i="10"/>
  <c r="X459" i="10"/>
  <c r="W459" i="10"/>
  <c r="U459" i="10"/>
  <c r="V459" i="10" s="1"/>
  <c r="T459" i="10"/>
  <c r="R459" i="10"/>
  <c r="Q459" i="10"/>
  <c r="S459" i="10" s="1"/>
  <c r="I459" i="10"/>
  <c r="Y459" i="10" s="1"/>
  <c r="C459" i="10"/>
  <c r="B459" i="10"/>
  <c r="X458" i="10"/>
  <c r="W458" i="10"/>
  <c r="U458" i="10"/>
  <c r="V458" i="10" s="1"/>
  <c r="T458" i="10"/>
  <c r="S458" i="10"/>
  <c r="R458" i="10"/>
  <c r="Q458" i="10"/>
  <c r="I458" i="10"/>
  <c r="Y458" i="10" s="1"/>
  <c r="C458" i="10"/>
  <c r="B458" i="10"/>
  <c r="X457" i="10"/>
  <c r="W457" i="10"/>
  <c r="U457" i="10"/>
  <c r="V457" i="10" s="1"/>
  <c r="T457" i="10"/>
  <c r="S457" i="10"/>
  <c r="R457" i="10"/>
  <c r="Q457" i="10"/>
  <c r="I457" i="10"/>
  <c r="Y457" i="10" s="1"/>
  <c r="C457" i="10"/>
  <c r="B457" i="10"/>
  <c r="X456" i="10"/>
  <c r="W456" i="10"/>
  <c r="U456" i="10"/>
  <c r="V456" i="10" s="1"/>
  <c r="T456" i="10"/>
  <c r="R456" i="10"/>
  <c r="Q456" i="10"/>
  <c r="S456" i="10" s="1"/>
  <c r="I456" i="10"/>
  <c r="Y456" i="10" s="1"/>
  <c r="C456" i="10"/>
  <c r="B456" i="10"/>
  <c r="X455" i="10"/>
  <c r="W455" i="10"/>
  <c r="U455" i="10"/>
  <c r="V455" i="10" s="1"/>
  <c r="T455" i="10"/>
  <c r="R455" i="10"/>
  <c r="Q455" i="10"/>
  <c r="S455" i="10" s="1"/>
  <c r="I455" i="10"/>
  <c r="Y455" i="10" s="1"/>
  <c r="C455" i="10"/>
  <c r="B455" i="10"/>
  <c r="X454" i="10"/>
  <c r="W454" i="10"/>
  <c r="U454" i="10"/>
  <c r="V454" i="10" s="1"/>
  <c r="T454" i="10"/>
  <c r="S454" i="10"/>
  <c r="R454" i="10"/>
  <c r="Q454" i="10"/>
  <c r="I454" i="10"/>
  <c r="Y454" i="10" s="1"/>
  <c r="C454" i="10"/>
  <c r="B454" i="10"/>
  <c r="X453" i="10"/>
  <c r="W453" i="10"/>
  <c r="U453" i="10"/>
  <c r="V453" i="10" s="1"/>
  <c r="T453" i="10"/>
  <c r="S453" i="10"/>
  <c r="R453" i="10"/>
  <c r="Q453" i="10"/>
  <c r="I453" i="10"/>
  <c r="Y453" i="10" s="1"/>
  <c r="C453" i="10"/>
  <c r="B453" i="10"/>
  <c r="X452" i="10"/>
  <c r="W452" i="10"/>
  <c r="U452" i="10"/>
  <c r="V452" i="10" s="1"/>
  <c r="T452" i="10"/>
  <c r="R452" i="10"/>
  <c r="Q452" i="10"/>
  <c r="S452" i="10" s="1"/>
  <c r="I452" i="10"/>
  <c r="Y452" i="10" s="1"/>
  <c r="C452" i="10"/>
  <c r="B452" i="10"/>
  <c r="X451" i="10"/>
  <c r="W451" i="10"/>
  <c r="U451" i="10"/>
  <c r="V451" i="10" s="1"/>
  <c r="T451" i="10"/>
  <c r="R451" i="10"/>
  <c r="Q451" i="10"/>
  <c r="S451" i="10" s="1"/>
  <c r="I451" i="10"/>
  <c r="Y451" i="10" s="1"/>
  <c r="C451" i="10"/>
  <c r="B451" i="10"/>
  <c r="X450" i="10"/>
  <c r="W450" i="10"/>
  <c r="U450" i="10"/>
  <c r="V450" i="10" s="1"/>
  <c r="T450" i="10"/>
  <c r="S450" i="10"/>
  <c r="R450" i="10"/>
  <c r="Q450" i="10"/>
  <c r="I450" i="10"/>
  <c r="Y450" i="10" s="1"/>
  <c r="C450" i="10"/>
  <c r="B450" i="10"/>
  <c r="X449" i="10"/>
  <c r="W449" i="10"/>
  <c r="U449" i="10"/>
  <c r="V449" i="10" s="1"/>
  <c r="T449" i="10"/>
  <c r="S449" i="10"/>
  <c r="R449" i="10"/>
  <c r="Q449" i="10"/>
  <c r="I449" i="10"/>
  <c r="Y449" i="10" s="1"/>
  <c r="C449" i="10"/>
  <c r="B449" i="10"/>
  <c r="X448" i="10"/>
  <c r="W448" i="10"/>
  <c r="U448" i="10"/>
  <c r="V448" i="10" s="1"/>
  <c r="T448" i="10"/>
  <c r="R448" i="10"/>
  <c r="Q448" i="10"/>
  <c r="S448" i="10" s="1"/>
  <c r="I448" i="10"/>
  <c r="Y448" i="10" s="1"/>
  <c r="C448" i="10"/>
  <c r="B448" i="10"/>
  <c r="X447" i="10"/>
  <c r="W447" i="10"/>
  <c r="U447" i="10"/>
  <c r="V447" i="10" s="1"/>
  <c r="T447" i="10"/>
  <c r="R447" i="10"/>
  <c r="Q447" i="10"/>
  <c r="S447" i="10" s="1"/>
  <c r="I447" i="10"/>
  <c r="Y447" i="10" s="1"/>
  <c r="C447" i="10"/>
  <c r="B447" i="10"/>
  <c r="X446" i="10"/>
  <c r="W446" i="10"/>
  <c r="U446" i="10"/>
  <c r="V446" i="10" s="1"/>
  <c r="T446" i="10"/>
  <c r="S446" i="10"/>
  <c r="R446" i="10"/>
  <c r="Q446" i="10"/>
  <c r="I446" i="10"/>
  <c r="Y446" i="10" s="1"/>
  <c r="C446" i="10"/>
  <c r="B446" i="10"/>
  <c r="X445" i="10"/>
  <c r="W445" i="10"/>
  <c r="U445" i="10"/>
  <c r="V445" i="10" s="1"/>
  <c r="T445" i="10"/>
  <c r="S445" i="10"/>
  <c r="R445" i="10"/>
  <c r="Q445" i="10"/>
  <c r="I445" i="10"/>
  <c r="Y445" i="10" s="1"/>
  <c r="C445" i="10"/>
  <c r="B445" i="10"/>
  <c r="X444" i="10"/>
  <c r="W444" i="10"/>
  <c r="U444" i="10"/>
  <c r="V444" i="10" s="1"/>
  <c r="T444" i="10"/>
  <c r="R444" i="10"/>
  <c r="Q444" i="10"/>
  <c r="S444" i="10" s="1"/>
  <c r="I444" i="10"/>
  <c r="Y444" i="10" s="1"/>
  <c r="C444" i="10"/>
  <c r="B444" i="10"/>
  <c r="X443" i="10"/>
  <c r="W443" i="10"/>
  <c r="U443" i="10"/>
  <c r="V443" i="10" s="1"/>
  <c r="T443" i="10"/>
  <c r="R443" i="10"/>
  <c r="Q443" i="10"/>
  <c r="S443" i="10" s="1"/>
  <c r="I443" i="10"/>
  <c r="Y443" i="10" s="1"/>
  <c r="C443" i="10"/>
  <c r="B443" i="10"/>
  <c r="X442" i="10"/>
  <c r="W442" i="10"/>
  <c r="U442" i="10"/>
  <c r="V442" i="10" s="1"/>
  <c r="T442" i="10"/>
  <c r="S442" i="10"/>
  <c r="R442" i="10"/>
  <c r="Q442" i="10"/>
  <c r="I442" i="10"/>
  <c r="Y442" i="10" s="1"/>
  <c r="C442" i="10"/>
  <c r="B442" i="10"/>
  <c r="X441" i="10"/>
  <c r="W441" i="10"/>
  <c r="U441" i="10"/>
  <c r="V441" i="10" s="1"/>
  <c r="T441" i="10"/>
  <c r="S441" i="10"/>
  <c r="R441" i="10"/>
  <c r="Q441" i="10"/>
  <c r="I441" i="10"/>
  <c r="Y441" i="10" s="1"/>
  <c r="C441" i="10"/>
  <c r="B441" i="10"/>
  <c r="X440" i="10"/>
  <c r="W440" i="10"/>
  <c r="U440" i="10"/>
  <c r="V440" i="10" s="1"/>
  <c r="T440" i="10"/>
  <c r="R440" i="10"/>
  <c r="Q440" i="10"/>
  <c r="S440" i="10" s="1"/>
  <c r="I440" i="10"/>
  <c r="Y440" i="10" s="1"/>
  <c r="C440" i="10"/>
  <c r="B440" i="10"/>
  <c r="X439" i="10"/>
  <c r="W439" i="10"/>
  <c r="U439" i="10"/>
  <c r="V439" i="10" s="1"/>
  <c r="T439" i="10"/>
  <c r="R439" i="10"/>
  <c r="Q439" i="10"/>
  <c r="S439" i="10" s="1"/>
  <c r="I439" i="10"/>
  <c r="Y439" i="10" s="1"/>
  <c r="C439" i="10"/>
  <c r="B439" i="10"/>
  <c r="X438" i="10"/>
  <c r="W438" i="10"/>
  <c r="U438" i="10"/>
  <c r="V438" i="10" s="1"/>
  <c r="T438" i="10"/>
  <c r="S438" i="10"/>
  <c r="R438" i="10"/>
  <c r="Q438" i="10"/>
  <c r="I438" i="10"/>
  <c r="Y438" i="10" s="1"/>
  <c r="C438" i="10"/>
  <c r="B438" i="10"/>
  <c r="X437" i="10"/>
  <c r="W437" i="10"/>
  <c r="U437" i="10"/>
  <c r="V437" i="10" s="1"/>
  <c r="T437" i="10"/>
  <c r="S437" i="10"/>
  <c r="R437" i="10"/>
  <c r="Q437" i="10"/>
  <c r="I437" i="10"/>
  <c r="Y437" i="10" s="1"/>
  <c r="C437" i="10"/>
  <c r="B437" i="10"/>
  <c r="X436" i="10"/>
  <c r="W436" i="10"/>
  <c r="U436" i="10"/>
  <c r="V436" i="10" s="1"/>
  <c r="T436" i="10"/>
  <c r="R436" i="10"/>
  <c r="Q436" i="10"/>
  <c r="S436" i="10" s="1"/>
  <c r="I436" i="10"/>
  <c r="Y436" i="10" s="1"/>
  <c r="C436" i="10"/>
  <c r="B436" i="10"/>
  <c r="X435" i="10"/>
  <c r="W435" i="10"/>
  <c r="U435" i="10"/>
  <c r="V435" i="10" s="1"/>
  <c r="T435" i="10"/>
  <c r="R435" i="10"/>
  <c r="Q435" i="10"/>
  <c r="S435" i="10" s="1"/>
  <c r="I435" i="10"/>
  <c r="Y435" i="10" s="1"/>
  <c r="C435" i="10"/>
  <c r="B435" i="10"/>
  <c r="X434" i="10"/>
  <c r="W434" i="10"/>
  <c r="U434" i="10"/>
  <c r="V434" i="10" s="1"/>
  <c r="T434" i="10"/>
  <c r="S434" i="10"/>
  <c r="R434" i="10"/>
  <c r="Q434" i="10"/>
  <c r="I434" i="10"/>
  <c r="Y434" i="10" s="1"/>
  <c r="C434" i="10"/>
  <c r="B434" i="10"/>
  <c r="X433" i="10"/>
  <c r="W433" i="10"/>
  <c r="U433" i="10"/>
  <c r="V433" i="10" s="1"/>
  <c r="T433" i="10"/>
  <c r="S433" i="10"/>
  <c r="R433" i="10"/>
  <c r="Q433" i="10"/>
  <c r="I433" i="10"/>
  <c r="Y433" i="10" s="1"/>
  <c r="C433" i="10"/>
  <c r="B433" i="10"/>
  <c r="X432" i="10"/>
  <c r="W432" i="10"/>
  <c r="U432" i="10"/>
  <c r="V432" i="10" s="1"/>
  <c r="T432" i="10"/>
  <c r="R432" i="10"/>
  <c r="Q432" i="10"/>
  <c r="S432" i="10" s="1"/>
  <c r="I432" i="10"/>
  <c r="Y432" i="10" s="1"/>
  <c r="C432" i="10"/>
  <c r="B432" i="10"/>
  <c r="X431" i="10"/>
  <c r="W431" i="10"/>
  <c r="U431" i="10"/>
  <c r="V431" i="10" s="1"/>
  <c r="T431" i="10"/>
  <c r="R431" i="10"/>
  <c r="Q431" i="10"/>
  <c r="S431" i="10" s="1"/>
  <c r="I431" i="10"/>
  <c r="Y431" i="10" s="1"/>
  <c r="C431" i="10"/>
  <c r="B431" i="10"/>
  <c r="X430" i="10"/>
  <c r="W430" i="10"/>
  <c r="U430" i="10"/>
  <c r="V430" i="10" s="1"/>
  <c r="T430" i="10"/>
  <c r="S430" i="10"/>
  <c r="R430" i="10"/>
  <c r="Q430" i="10"/>
  <c r="I430" i="10"/>
  <c r="Y430" i="10" s="1"/>
  <c r="C430" i="10"/>
  <c r="B430" i="10"/>
  <c r="X429" i="10"/>
  <c r="W429" i="10"/>
  <c r="U429" i="10"/>
  <c r="V429" i="10" s="1"/>
  <c r="T429" i="10"/>
  <c r="S429" i="10"/>
  <c r="R429" i="10"/>
  <c r="Q429" i="10"/>
  <c r="I429" i="10"/>
  <c r="Y429" i="10" s="1"/>
  <c r="C429" i="10"/>
  <c r="B429" i="10"/>
  <c r="X428" i="10"/>
  <c r="W428" i="10"/>
  <c r="U428" i="10"/>
  <c r="V428" i="10" s="1"/>
  <c r="T428" i="10"/>
  <c r="R428" i="10"/>
  <c r="Q428" i="10"/>
  <c r="S428" i="10" s="1"/>
  <c r="I428" i="10"/>
  <c r="Y428" i="10" s="1"/>
  <c r="C428" i="10"/>
  <c r="B428" i="10"/>
  <c r="X427" i="10"/>
  <c r="W427" i="10"/>
  <c r="U427" i="10"/>
  <c r="V427" i="10" s="1"/>
  <c r="T427" i="10"/>
  <c r="R427" i="10"/>
  <c r="Q427" i="10"/>
  <c r="S427" i="10" s="1"/>
  <c r="I427" i="10"/>
  <c r="Y427" i="10" s="1"/>
  <c r="C427" i="10"/>
  <c r="B427" i="10"/>
  <c r="X426" i="10"/>
  <c r="W426" i="10"/>
  <c r="U426" i="10"/>
  <c r="V426" i="10" s="1"/>
  <c r="T426" i="10"/>
  <c r="S426" i="10"/>
  <c r="R426" i="10"/>
  <c r="Q426" i="10"/>
  <c r="I426" i="10"/>
  <c r="Y426" i="10" s="1"/>
  <c r="C426" i="10"/>
  <c r="B426" i="10"/>
  <c r="X425" i="10"/>
  <c r="W425" i="10"/>
  <c r="U425" i="10"/>
  <c r="V425" i="10" s="1"/>
  <c r="T425" i="10"/>
  <c r="S425" i="10"/>
  <c r="R425" i="10"/>
  <c r="Q425" i="10"/>
  <c r="I425" i="10"/>
  <c r="Y425" i="10" s="1"/>
  <c r="C425" i="10"/>
  <c r="B425" i="10"/>
  <c r="X424" i="10"/>
  <c r="W424" i="10"/>
  <c r="U424" i="10"/>
  <c r="V424" i="10" s="1"/>
  <c r="T424" i="10"/>
  <c r="R424" i="10"/>
  <c r="Q424" i="10"/>
  <c r="S424" i="10" s="1"/>
  <c r="I424" i="10"/>
  <c r="Y424" i="10" s="1"/>
  <c r="C424" i="10"/>
  <c r="B424" i="10"/>
  <c r="X423" i="10"/>
  <c r="W423" i="10"/>
  <c r="U423" i="10"/>
  <c r="V423" i="10" s="1"/>
  <c r="T423" i="10"/>
  <c r="R423" i="10"/>
  <c r="Q423" i="10"/>
  <c r="S423" i="10" s="1"/>
  <c r="I423" i="10"/>
  <c r="Y423" i="10" s="1"/>
  <c r="C423" i="10"/>
  <c r="B423" i="10"/>
  <c r="X422" i="10"/>
  <c r="W422" i="10"/>
  <c r="U422" i="10"/>
  <c r="V422" i="10" s="1"/>
  <c r="T422" i="10"/>
  <c r="S422" i="10"/>
  <c r="R422" i="10"/>
  <c r="Q422" i="10"/>
  <c r="I422" i="10"/>
  <c r="Y422" i="10" s="1"/>
  <c r="C422" i="10"/>
  <c r="B422" i="10"/>
  <c r="X421" i="10"/>
  <c r="W421" i="10"/>
  <c r="U421" i="10"/>
  <c r="V421" i="10" s="1"/>
  <c r="T421" i="10"/>
  <c r="S421" i="10"/>
  <c r="R421" i="10"/>
  <c r="Q421" i="10"/>
  <c r="I421" i="10"/>
  <c r="Y421" i="10" s="1"/>
  <c r="C421" i="10"/>
  <c r="B421" i="10"/>
  <c r="X420" i="10"/>
  <c r="W420" i="10"/>
  <c r="U420" i="10"/>
  <c r="V420" i="10" s="1"/>
  <c r="T420" i="10"/>
  <c r="R420" i="10"/>
  <c r="Q420" i="10"/>
  <c r="S420" i="10" s="1"/>
  <c r="I420" i="10"/>
  <c r="Y420" i="10" s="1"/>
  <c r="C420" i="10"/>
  <c r="B420" i="10"/>
  <c r="X419" i="10"/>
  <c r="W419" i="10"/>
  <c r="U419" i="10"/>
  <c r="V419" i="10" s="1"/>
  <c r="T419" i="10"/>
  <c r="R419" i="10"/>
  <c r="Q419" i="10"/>
  <c r="S419" i="10" s="1"/>
  <c r="I419" i="10"/>
  <c r="Y419" i="10" s="1"/>
  <c r="C419" i="10"/>
  <c r="B419" i="10"/>
  <c r="X418" i="10"/>
  <c r="W418" i="10"/>
  <c r="U418" i="10"/>
  <c r="V418" i="10" s="1"/>
  <c r="T418" i="10"/>
  <c r="S418" i="10"/>
  <c r="R418" i="10"/>
  <c r="Q418" i="10"/>
  <c r="I418" i="10"/>
  <c r="Y418" i="10" s="1"/>
  <c r="C418" i="10"/>
  <c r="B418" i="10"/>
  <c r="X417" i="10"/>
  <c r="W417" i="10"/>
  <c r="U417" i="10"/>
  <c r="V417" i="10" s="1"/>
  <c r="T417" i="10"/>
  <c r="S417" i="10"/>
  <c r="R417" i="10"/>
  <c r="Q417" i="10"/>
  <c r="I417" i="10"/>
  <c r="Y417" i="10" s="1"/>
  <c r="C417" i="10"/>
  <c r="B417" i="10"/>
  <c r="X416" i="10"/>
  <c r="W416" i="10"/>
  <c r="U416" i="10"/>
  <c r="V416" i="10" s="1"/>
  <c r="T416" i="10"/>
  <c r="R416" i="10"/>
  <c r="Q416" i="10"/>
  <c r="S416" i="10" s="1"/>
  <c r="I416" i="10"/>
  <c r="Y416" i="10" s="1"/>
  <c r="C416" i="10"/>
  <c r="B416" i="10"/>
  <c r="X415" i="10"/>
  <c r="W415" i="10"/>
  <c r="U415" i="10"/>
  <c r="V415" i="10" s="1"/>
  <c r="T415" i="10"/>
  <c r="R415" i="10"/>
  <c r="Q415" i="10"/>
  <c r="S415" i="10" s="1"/>
  <c r="I415" i="10"/>
  <c r="Y415" i="10" s="1"/>
  <c r="C415" i="10"/>
  <c r="B415" i="10"/>
  <c r="X414" i="10"/>
  <c r="W414" i="10"/>
  <c r="U414" i="10"/>
  <c r="V414" i="10" s="1"/>
  <c r="T414" i="10"/>
  <c r="S414" i="10"/>
  <c r="R414" i="10"/>
  <c r="Q414" i="10"/>
  <c r="I414" i="10"/>
  <c r="Y414" i="10" s="1"/>
  <c r="C414" i="10"/>
  <c r="B414" i="10"/>
  <c r="X413" i="10"/>
  <c r="W413" i="10"/>
  <c r="U413" i="10"/>
  <c r="V413" i="10" s="1"/>
  <c r="T413" i="10"/>
  <c r="S413" i="10"/>
  <c r="R413" i="10"/>
  <c r="Q413" i="10"/>
  <c r="I413" i="10"/>
  <c r="Y413" i="10" s="1"/>
  <c r="C413" i="10"/>
  <c r="B413" i="10"/>
  <c r="X412" i="10"/>
  <c r="W412" i="10"/>
  <c r="U412" i="10"/>
  <c r="V412" i="10" s="1"/>
  <c r="T412" i="10"/>
  <c r="R412" i="10"/>
  <c r="Q412" i="10"/>
  <c r="S412" i="10" s="1"/>
  <c r="I412" i="10"/>
  <c r="Y412" i="10" s="1"/>
  <c r="C412" i="10"/>
  <c r="B412" i="10"/>
  <c r="X411" i="10"/>
  <c r="W411" i="10"/>
  <c r="U411" i="10"/>
  <c r="V411" i="10" s="1"/>
  <c r="T411" i="10"/>
  <c r="R411" i="10"/>
  <c r="Q411" i="10"/>
  <c r="S411" i="10" s="1"/>
  <c r="I411" i="10"/>
  <c r="Y411" i="10" s="1"/>
  <c r="C411" i="10"/>
  <c r="B411" i="10"/>
  <c r="X410" i="10"/>
  <c r="W410" i="10"/>
  <c r="U410" i="10"/>
  <c r="V410" i="10" s="1"/>
  <c r="T410" i="10"/>
  <c r="S410" i="10"/>
  <c r="R410" i="10"/>
  <c r="Q410" i="10"/>
  <c r="I410" i="10"/>
  <c r="Y410" i="10" s="1"/>
  <c r="C410" i="10"/>
  <c r="B410" i="10"/>
  <c r="X409" i="10"/>
  <c r="W409" i="10"/>
  <c r="U409" i="10"/>
  <c r="V409" i="10" s="1"/>
  <c r="T409" i="10"/>
  <c r="S409" i="10"/>
  <c r="R409" i="10"/>
  <c r="Q409" i="10"/>
  <c r="I409" i="10"/>
  <c r="Y409" i="10" s="1"/>
  <c r="C409" i="10"/>
  <c r="B409" i="10"/>
  <c r="X408" i="10"/>
  <c r="W408" i="10"/>
  <c r="U408" i="10"/>
  <c r="V408" i="10" s="1"/>
  <c r="T408" i="10"/>
  <c r="R408" i="10"/>
  <c r="Q408" i="10"/>
  <c r="S408" i="10" s="1"/>
  <c r="I408" i="10"/>
  <c r="Y408" i="10" s="1"/>
  <c r="C408" i="10"/>
  <c r="B408" i="10"/>
  <c r="X407" i="10"/>
  <c r="W407" i="10"/>
  <c r="U407" i="10"/>
  <c r="V407" i="10" s="1"/>
  <c r="T407" i="10"/>
  <c r="R407" i="10"/>
  <c r="Q407" i="10"/>
  <c r="S407" i="10" s="1"/>
  <c r="I407" i="10"/>
  <c r="Y407" i="10" s="1"/>
  <c r="C407" i="10"/>
  <c r="B407" i="10"/>
  <c r="X406" i="10"/>
  <c r="W406" i="10"/>
  <c r="U406" i="10"/>
  <c r="V406" i="10" s="1"/>
  <c r="T406" i="10"/>
  <c r="S406" i="10"/>
  <c r="R406" i="10"/>
  <c r="Q406" i="10"/>
  <c r="I406" i="10"/>
  <c r="Y406" i="10" s="1"/>
  <c r="C406" i="10"/>
  <c r="B406" i="10"/>
  <c r="X405" i="10"/>
  <c r="W405" i="10"/>
  <c r="U405" i="10"/>
  <c r="V405" i="10" s="1"/>
  <c r="T405" i="10"/>
  <c r="S405" i="10"/>
  <c r="R405" i="10"/>
  <c r="Q405" i="10"/>
  <c r="I405" i="10"/>
  <c r="Y405" i="10" s="1"/>
  <c r="C405" i="10"/>
  <c r="B405" i="10"/>
  <c r="X404" i="10"/>
  <c r="W404" i="10"/>
  <c r="U404" i="10"/>
  <c r="V404" i="10" s="1"/>
  <c r="T404" i="10"/>
  <c r="R404" i="10"/>
  <c r="Q404" i="10"/>
  <c r="S404" i="10" s="1"/>
  <c r="I404" i="10"/>
  <c r="Y404" i="10" s="1"/>
  <c r="C404" i="10"/>
  <c r="B404" i="10"/>
  <c r="X403" i="10"/>
  <c r="W403" i="10"/>
  <c r="U403" i="10"/>
  <c r="V403" i="10" s="1"/>
  <c r="T403" i="10"/>
  <c r="R403" i="10"/>
  <c r="Q403" i="10"/>
  <c r="S403" i="10" s="1"/>
  <c r="I403" i="10"/>
  <c r="Y403" i="10" s="1"/>
  <c r="C403" i="10"/>
  <c r="B403" i="10"/>
  <c r="X402" i="10"/>
  <c r="W402" i="10"/>
  <c r="U402" i="10"/>
  <c r="V402" i="10" s="1"/>
  <c r="T402" i="10"/>
  <c r="S402" i="10"/>
  <c r="R402" i="10"/>
  <c r="Q402" i="10"/>
  <c r="I402" i="10"/>
  <c r="Y402" i="10" s="1"/>
  <c r="C402" i="10"/>
  <c r="B402" i="10"/>
  <c r="X401" i="10"/>
  <c r="W401" i="10"/>
  <c r="U401" i="10"/>
  <c r="V401" i="10" s="1"/>
  <c r="T401" i="10"/>
  <c r="S401" i="10"/>
  <c r="R401" i="10"/>
  <c r="Q401" i="10"/>
  <c r="I401" i="10"/>
  <c r="Y401" i="10" s="1"/>
  <c r="C401" i="10"/>
  <c r="B401" i="10"/>
  <c r="X400" i="10"/>
  <c r="W400" i="10"/>
  <c r="U400" i="10"/>
  <c r="V400" i="10" s="1"/>
  <c r="T400" i="10"/>
  <c r="R400" i="10"/>
  <c r="Q400" i="10"/>
  <c r="S400" i="10" s="1"/>
  <c r="I400" i="10"/>
  <c r="Y400" i="10" s="1"/>
  <c r="C400" i="10"/>
  <c r="B400" i="10"/>
  <c r="X399" i="10"/>
  <c r="W399" i="10"/>
  <c r="U399" i="10"/>
  <c r="V399" i="10" s="1"/>
  <c r="T399" i="10"/>
  <c r="R399" i="10"/>
  <c r="Q399" i="10"/>
  <c r="S399" i="10" s="1"/>
  <c r="I399" i="10"/>
  <c r="Y399" i="10" s="1"/>
  <c r="C399" i="10"/>
  <c r="B399" i="10"/>
  <c r="X398" i="10"/>
  <c r="W398" i="10"/>
  <c r="U398" i="10"/>
  <c r="V398" i="10" s="1"/>
  <c r="T398" i="10"/>
  <c r="R398" i="10"/>
  <c r="Q398" i="10"/>
  <c r="S398" i="10" s="1"/>
  <c r="I398" i="10"/>
  <c r="Y398" i="10" s="1"/>
  <c r="C398" i="10"/>
  <c r="B398" i="10"/>
  <c r="Y397" i="10"/>
  <c r="X397" i="10"/>
  <c r="W397" i="10"/>
  <c r="U397" i="10"/>
  <c r="V397" i="10" s="1"/>
  <c r="T397" i="10"/>
  <c r="R397" i="10"/>
  <c r="Q397" i="10"/>
  <c r="S397" i="10" s="1"/>
  <c r="I397" i="10"/>
  <c r="C397" i="10"/>
  <c r="B397" i="10"/>
  <c r="X396" i="10"/>
  <c r="W396" i="10"/>
  <c r="U396" i="10"/>
  <c r="V396" i="10" s="1"/>
  <c r="T396" i="10"/>
  <c r="S396" i="10"/>
  <c r="R396" i="10"/>
  <c r="Q396" i="10"/>
  <c r="I396" i="10"/>
  <c r="Y396" i="10" s="1"/>
  <c r="C396" i="10"/>
  <c r="B396" i="10"/>
  <c r="X395" i="10"/>
  <c r="W395" i="10"/>
  <c r="U395" i="10"/>
  <c r="V395" i="10" s="1"/>
  <c r="T395" i="10"/>
  <c r="R395" i="10"/>
  <c r="Q395" i="10"/>
  <c r="S395" i="10" s="1"/>
  <c r="I395" i="10"/>
  <c r="Y395" i="10" s="1"/>
  <c r="C395" i="10"/>
  <c r="B395" i="10"/>
  <c r="X394" i="10"/>
  <c r="W394" i="10"/>
  <c r="U394" i="10"/>
  <c r="V394" i="10" s="1"/>
  <c r="T394" i="10"/>
  <c r="R394" i="10"/>
  <c r="Q394" i="10"/>
  <c r="S394" i="10" s="1"/>
  <c r="I394" i="10"/>
  <c r="Y394" i="10" s="1"/>
  <c r="C394" i="10"/>
  <c r="B394" i="10"/>
  <c r="Y393" i="10"/>
  <c r="X393" i="10"/>
  <c r="W393" i="10"/>
  <c r="U393" i="10"/>
  <c r="V393" i="10" s="1"/>
  <c r="T393" i="10"/>
  <c r="R393" i="10"/>
  <c r="Q393" i="10"/>
  <c r="S393" i="10" s="1"/>
  <c r="I393" i="10"/>
  <c r="C393" i="10"/>
  <c r="B393" i="10"/>
  <c r="X392" i="10"/>
  <c r="W392" i="10"/>
  <c r="U392" i="10"/>
  <c r="V392" i="10" s="1"/>
  <c r="T392" i="10"/>
  <c r="S392" i="10"/>
  <c r="R392" i="10"/>
  <c r="Q392" i="10"/>
  <c r="I392" i="10"/>
  <c r="Y392" i="10" s="1"/>
  <c r="C392" i="10"/>
  <c r="B392" i="10"/>
  <c r="Y391" i="10"/>
  <c r="X391" i="10"/>
  <c r="W391" i="10"/>
  <c r="U391" i="10"/>
  <c r="V391" i="10" s="1"/>
  <c r="T391" i="10"/>
  <c r="R391" i="10"/>
  <c r="Q391" i="10"/>
  <c r="S391" i="10" s="1"/>
  <c r="I391" i="10"/>
  <c r="C391" i="10"/>
  <c r="B391" i="10"/>
  <c r="X390" i="10"/>
  <c r="W390" i="10"/>
  <c r="U390" i="10"/>
  <c r="V390" i="10" s="1"/>
  <c r="T390" i="10"/>
  <c r="R390" i="10"/>
  <c r="Q390" i="10"/>
  <c r="S390" i="10" s="1"/>
  <c r="I390" i="10"/>
  <c r="Y390" i="10" s="1"/>
  <c r="C390" i="10"/>
  <c r="B390" i="10"/>
  <c r="X389" i="10"/>
  <c r="W389" i="10"/>
  <c r="U389" i="10"/>
  <c r="V389" i="10" s="1"/>
  <c r="T389" i="10"/>
  <c r="S389" i="10"/>
  <c r="R389" i="10"/>
  <c r="Q389" i="10"/>
  <c r="I389" i="10"/>
  <c r="Y389" i="10" s="1"/>
  <c r="C389" i="10"/>
  <c r="B389" i="10"/>
  <c r="X388" i="10"/>
  <c r="W388" i="10"/>
  <c r="U388" i="10"/>
  <c r="V388" i="10" s="1"/>
  <c r="T388" i="10"/>
  <c r="S388" i="10"/>
  <c r="R388" i="10"/>
  <c r="Q388" i="10"/>
  <c r="I388" i="10"/>
  <c r="Y388" i="10" s="1"/>
  <c r="C388" i="10"/>
  <c r="B388" i="10"/>
  <c r="Y387" i="10"/>
  <c r="X387" i="10"/>
  <c r="W387" i="10"/>
  <c r="U387" i="10"/>
  <c r="V387" i="10" s="1"/>
  <c r="T387" i="10"/>
  <c r="R387" i="10"/>
  <c r="Q387" i="10"/>
  <c r="S387" i="10" s="1"/>
  <c r="I387" i="10"/>
  <c r="C387" i="10"/>
  <c r="B387" i="10"/>
  <c r="X386" i="10"/>
  <c r="W386" i="10"/>
  <c r="U386" i="10"/>
  <c r="V386" i="10" s="1"/>
  <c r="T386" i="10"/>
  <c r="R386" i="10"/>
  <c r="Q386" i="10"/>
  <c r="S386" i="10" s="1"/>
  <c r="I386" i="10"/>
  <c r="Y386" i="10" s="1"/>
  <c r="C386" i="10"/>
  <c r="B386" i="10"/>
  <c r="X385" i="10"/>
  <c r="W385" i="10"/>
  <c r="U385" i="10"/>
  <c r="V385" i="10" s="1"/>
  <c r="T385" i="10"/>
  <c r="S385" i="10"/>
  <c r="R385" i="10"/>
  <c r="Q385" i="10"/>
  <c r="I385" i="10"/>
  <c r="Y385" i="10" s="1"/>
  <c r="C385" i="10"/>
  <c r="B385" i="10"/>
  <c r="X384" i="10"/>
  <c r="W384" i="10"/>
  <c r="U384" i="10"/>
  <c r="V384" i="10" s="1"/>
  <c r="T384" i="10"/>
  <c r="S384" i="10"/>
  <c r="R384" i="10"/>
  <c r="Q384" i="10"/>
  <c r="I384" i="10"/>
  <c r="Y384" i="10" s="1"/>
  <c r="C384" i="10"/>
  <c r="B384" i="10"/>
  <c r="X383" i="10"/>
  <c r="W383" i="10"/>
  <c r="U383" i="10"/>
  <c r="V383" i="10" s="1"/>
  <c r="T383" i="10"/>
  <c r="R383" i="10"/>
  <c r="Q383" i="10"/>
  <c r="S383" i="10" s="1"/>
  <c r="I383" i="10"/>
  <c r="Y383" i="10" s="1"/>
  <c r="C383" i="10"/>
  <c r="B383" i="10"/>
  <c r="X382" i="10"/>
  <c r="W382" i="10"/>
  <c r="U382" i="10"/>
  <c r="V382" i="10" s="1"/>
  <c r="T382" i="10"/>
  <c r="R382" i="10"/>
  <c r="Q382" i="10"/>
  <c r="S382" i="10" s="1"/>
  <c r="I382" i="10"/>
  <c r="Y382" i="10" s="1"/>
  <c r="C382" i="10"/>
  <c r="B382" i="10"/>
  <c r="Y381" i="10"/>
  <c r="X381" i="10"/>
  <c r="W381" i="10"/>
  <c r="U381" i="10"/>
  <c r="V381" i="10" s="1"/>
  <c r="T381" i="10"/>
  <c r="R381" i="10"/>
  <c r="Q381" i="10"/>
  <c r="S381" i="10" s="1"/>
  <c r="I381" i="10"/>
  <c r="C381" i="10"/>
  <c r="B381" i="10"/>
  <c r="X380" i="10"/>
  <c r="W380" i="10"/>
  <c r="U380" i="10"/>
  <c r="V380" i="10" s="1"/>
  <c r="T380" i="10"/>
  <c r="S380" i="10"/>
  <c r="R380" i="10"/>
  <c r="Q380" i="10"/>
  <c r="I380" i="10"/>
  <c r="Y380" i="10" s="1"/>
  <c r="C380" i="10"/>
  <c r="B380" i="10"/>
  <c r="X379" i="10"/>
  <c r="W379" i="10"/>
  <c r="U379" i="10"/>
  <c r="V379" i="10" s="1"/>
  <c r="T379" i="10"/>
  <c r="R379" i="10"/>
  <c r="Q379" i="10"/>
  <c r="S379" i="10" s="1"/>
  <c r="I379" i="10"/>
  <c r="Y379" i="10" s="1"/>
  <c r="C379" i="10"/>
  <c r="B379" i="10"/>
  <c r="X378" i="10"/>
  <c r="W378" i="10"/>
  <c r="U378" i="10"/>
  <c r="V378" i="10" s="1"/>
  <c r="T378" i="10"/>
  <c r="R378" i="10"/>
  <c r="Q378" i="10"/>
  <c r="S378" i="10" s="1"/>
  <c r="I378" i="10"/>
  <c r="Y378" i="10" s="1"/>
  <c r="C378" i="10"/>
  <c r="B378" i="10"/>
  <c r="Y377" i="10"/>
  <c r="X377" i="10"/>
  <c r="W377" i="10"/>
  <c r="U377" i="10"/>
  <c r="V377" i="10" s="1"/>
  <c r="T377" i="10"/>
  <c r="R377" i="10"/>
  <c r="Q377" i="10"/>
  <c r="S377" i="10" s="1"/>
  <c r="I377" i="10"/>
  <c r="C377" i="10"/>
  <c r="B377" i="10"/>
  <c r="X376" i="10"/>
  <c r="W376" i="10"/>
  <c r="U376" i="10"/>
  <c r="V376" i="10" s="1"/>
  <c r="T376" i="10"/>
  <c r="S376" i="10"/>
  <c r="R376" i="10"/>
  <c r="Q376" i="10"/>
  <c r="I376" i="10"/>
  <c r="Y376" i="10" s="1"/>
  <c r="C376" i="10"/>
  <c r="B376" i="10"/>
  <c r="Y375" i="10"/>
  <c r="X375" i="10"/>
  <c r="W375" i="10"/>
  <c r="U375" i="10"/>
  <c r="V375" i="10" s="1"/>
  <c r="T375" i="10"/>
  <c r="R375" i="10"/>
  <c r="Q375" i="10"/>
  <c r="S375" i="10" s="1"/>
  <c r="I375" i="10"/>
  <c r="C375" i="10"/>
  <c r="B375" i="10"/>
  <c r="X374" i="10"/>
  <c r="W374" i="10"/>
  <c r="U374" i="10"/>
  <c r="V374" i="10" s="1"/>
  <c r="T374" i="10"/>
  <c r="R374" i="10"/>
  <c r="Q374" i="10"/>
  <c r="S374" i="10" s="1"/>
  <c r="I374" i="10"/>
  <c r="Y374" i="10" s="1"/>
  <c r="C374" i="10"/>
  <c r="B374" i="10"/>
  <c r="X373" i="10"/>
  <c r="W373" i="10"/>
  <c r="U373" i="10"/>
  <c r="V373" i="10" s="1"/>
  <c r="T373" i="10"/>
  <c r="S373" i="10"/>
  <c r="R373" i="10"/>
  <c r="Q373" i="10"/>
  <c r="I373" i="10"/>
  <c r="Y373" i="10" s="1"/>
  <c r="C373" i="10"/>
  <c r="B373" i="10"/>
  <c r="X372" i="10"/>
  <c r="W372" i="10"/>
  <c r="U372" i="10"/>
  <c r="V372" i="10" s="1"/>
  <c r="T372" i="10"/>
  <c r="S372" i="10"/>
  <c r="R372" i="10"/>
  <c r="Q372" i="10"/>
  <c r="I372" i="10"/>
  <c r="Y372" i="10" s="1"/>
  <c r="C372" i="10"/>
  <c r="B372" i="10"/>
  <c r="Y371" i="10"/>
  <c r="X371" i="10"/>
  <c r="W371" i="10"/>
  <c r="U371" i="10"/>
  <c r="V371" i="10" s="1"/>
  <c r="T371" i="10"/>
  <c r="R371" i="10"/>
  <c r="Q371" i="10"/>
  <c r="S371" i="10" s="1"/>
  <c r="I371" i="10"/>
  <c r="C371" i="10"/>
  <c r="B371" i="10"/>
  <c r="X370" i="10"/>
  <c r="W370" i="10"/>
  <c r="U370" i="10"/>
  <c r="V370" i="10" s="1"/>
  <c r="T370" i="10"/>
  <c r="R370" i="10"/>
  <c r="Q370" i="10"/>
  <c r="S370" i="10" s="1"/>
  <c r="I370" i="10"/>
  <c r="Y370" i="10" s="1"/>
  <c r="C370" i="10"/>
  <c r="B370" i="10"/>
  <c r="X369" i="10"/>
  <c r="W369" i="10"/>
  <c r="U369" i="10"/>
  <c r="V369" i="10" s="1"/>
  <c r="T369" i="10"/>
  <c r="S369" i="10"/>
  <c r="R369" i="10"/>
  <c r="Q369" i="10"/>
  <c r="I369" i="10"/>
  <c r="Y369" i="10" s="1"/>
  <c r="C369" i="10"/>
  <c r="B369" i="10"/>
  <c r="X368" i="10"/>
  <c r="W368" i="10"/>
  <c r="U368" i="10"/>
  <c r="V368" i="10" s="1"/>
  <c r="T368" i="10"/>
  <c r="S368" i="10"/>
  <c r="R368" i="10"/>
  <c r="Q368" i="10"/>
  <c r="I368" i="10"/>
  <c r="Y368" i="10" s="1"/>
  <c r="C368" i="10"/>
  <c r="B368" i="10"/>
  <c r="X367" i="10"/>
  <c r="W367" i="10"/>
  <c r="U367" i="10"/>
  <c r="V367" i="10" s="1"/>
  <c r="T367" i="10"/>
  <c r="R367" i="10"/>
  <c r="Q367" i="10"/>
  <c r="S367" i="10" s="1"/>
  <c r="I367" i="10"/>
  <c r="Y367" i="10" s="1"/>
  <c r="C367" i="10"/>
  <c r="B367" i="10"/>
  <c r="X366" i="10"/>
  <c r="W366" i="10"/>
  <c r="U366" i="10"/>
  <c r="V366" i="10" s="1"/>
  <c r="T366" i="10"/>
  <c r="R366" i="10"/>
  <c r="Q366" i="10"/>
  <c r="S366" i="10" s="1"/>
  <c r="I366" i="10"/>
  <c r="Y366" i="10" s="1"/>
  <c r="C366" i="10"/>
  <c r="B366" i="10"/>
  <c r="Y365" i="10"/>
  <c r="X365" i="10"/>
  <c r="W365" i="10"/>
  <c r="U365" i="10"/>
  <c r="V365" i="10" s="1"/>
  <c r="T365" i="10"/>
  <c r="R365" i="10"/>
  <c r="Q365" i="10"/>
  <c r="S365" i="10" s="1"/>
  <c r="I365" i="10"/>
  <c r="C365" i="10"/>
  <c r="B365" i="10"/>
  <c r="X364" i="10"/>
  <c r="W364" i="10"/>
  <c r="U364" i="10"/>
  <c r="V364" i="10" s="1"/>
  <c r="T364" i="10"/>
  <c r="S364" i="10"/>
  <c r="R364" i="10"/>
  <c r="Q364" i="10"/>
  <c r="I364" i="10"/>
  <c r="Y364" i="10" s="1"/>
  <c r="C364" i="10"/>
  <c r="B364" i="10"/>
  <c r="X363" i="10"/>
  <c r="W363" i="10"/>
  <c r="U363" i="10"/>
  <c r="V363" i="10" s="1"/>
  <c r="T363" i="10"/>
  <c r="R363" i="10"/>
  <c r="Q363" i="10"/>
  <c r="S363" i="10" s="1"/>
  <c r="I363" i="10"/>
  <c r="Y363" i="10" s="1"/>
  <c r="C363" i="10"/>
  <c r="B363" i="10"/>
  <c r="X362" i="10"/>
  <c r="W362" i="10"/>
  <c r="U362" i="10"/>
  <c r="V362" i="10" s="1"/>
  <c r="T362" i="10"/>
  <c r="R362" i="10"/>
  <c r="Q362" i="10"/>
  <c r="S362" i="10" s="1"/>
  <c r="I362" i="10"/>
  <c r="Y362" i="10" s="1"/>
  <c r="C362" i="10"/>
  <c r="B362" i="10"/>
  <c r="Y361" i="10"/>
  <c r="X361" i="10"/>
  <c r="W361" i="10"/>
  <c r="U361" i="10"/>
  <c r="V361" i="10" s="1"/>
  <c r="T361" i="10"/>
  <c r="R361" i="10"/>
  <c r="Q361" i="10"/>
  <c r="S361" i="10" s="1"/>
  <c r="I361" i="10"/>
  <c r="C361" i="10"/>
  <c r="B361" i="10"/>
  <c r="X360" i="10"/>
  <c r="W360" i="10"/>
  <c r="U360" i="10"/>
  <c r="V360" i="10" s="1"/>
  <c r="T360" i="10"/>
  <c r="S360" i="10"/>
  <c r="R360" i="10"/>
  <c r="Q360" i="10"/>
  <c r="I360" i="10"/>
  <c r="Y360" i="10" s="1"/>
  <c r="C360" i="10"/>
  <c r="B360" i="10"/>
  <c r="Y359" i="10"/>
  <c r="X359" i="10"/>
  <c r="W359" i="10"/>
  <c r="U359" i="10"/>
  <c r="V359" i="10" s="1"/>
  <c r="T359" i="10"/>
  <c r="R359" i="10"/>
  <c r="Q359" i="10"/>
  <c r="S359" i="10" s="1"/>
  <c r="I359" i="10"/>
  <c r="C359" i="10"/>
  <c r="B359" i="10"/>
  <c r="X358" i="10"/>
  <c r="W358" i="10"/>
  <c r="U358" i="10"/>
  <c r="V358" i="10" s="1"/>
  <c r="T358" i="10"/>
  <c r="R358" i="10"/>
  <c r="Q358" i="10"/>
  <c r="S358" i="10" s="1"/>
  <c r="I358" i="10"/>
  <c r="Y358" i="10" s="1"/>
  <c r="C358" i="10"/>
  <c r="B358" i="10"/>
  <c r="X357" i="10"/>
  <c r="W357" i="10"/>
  <c r="U357" i="10"/>
  <c r="V357" i="10" s="1"/>
  <c r="T357" i="10"/>
  <c r="R357" i="10"/>
  <c r="Q357" i="10"/>
  <c r="S357" i="10" s="1"/>
  <c r="I357" i="10"/>
  <c r="Y357" i="10" s="1"/>
  <c r="C357" i="10"/>
  <c r="B357" i="10"/>
  <c r="X356" i="10"/>
  <c r="W356" i="10"/>
  <c r="U356" i="10"/>
  <c r="V356" i="10" s="1"/>
  <c r="T356" i="10"/>
  <c r="S356" i="10"/>
  <c r="R356" i="10"/>
  <c r="Q356" i="10"/>
  <c r="I356" i="10"/>
  <c r="Y356" i="10" s="1"/>
  <c r="C356" i="10"/>
  <c r="B356" i="10"/>
  <c r="Y355" i="10"/>
  <c r="X355" i="10"/>
  <c r="W355" i="10"/>
  <c r="U355" i="10"/>
  <c r="V355" i="10" s="1"/>
  <c r="T355" i="10"/>
  <c r="R355" i="10"/>
  <c r="Q355" i="10"/>
  <c r="S355" i="10" s="1"/>
  <c r="I355" i="10"/>
  <c r="C355" i="10"/>
  <c r="B355" i="10"/>
  <c r="X354" i="10"/>
  <c r="W354" i="10"/>
  <c r="U354" i="10"/>
  <c r="V354" i="10" s="1"/>
  <c r="T354" i="10"/>
  <c r="R354" i="10"/>
  <c r="Q354" i="10"/>
  <c r="S354" i="10" s="1"/>
  <c r="I354" i="10"/>
  <c r="Y354" i="10" s="1"/>
  <c r="C354" i="10"/>
  <c r="B354" i="10"/>
  <c r="X353" i="10"/>
  <c r="W353" i="10"/>
  <c r="U353" i="10"/>
  <c r="V353" i="10" s="1"/>
  <c r="T353" i="10"/>
  <c r="R353" i="10"/>
  <c r="Q353" i="10"/>
  <c r="S353" i="10" s="1"/>
  <c r="I353" i="10"/>
  <c r="Y353" i="10" s="1"/>
  <c r="C353" i="10"/>
  <c r="B353" i="10"/>
  <c r="X352" i="10"/>
  <c r="W352" i="10"/>
  <c r="U352" i="10"/>
  <c r="V352" i="10" s="1"/>
  <c r="T352" i="10"/>
  <c r="S352" i="10"/>
  <c r="R352" i="10"/>
  <c r="Q352" i="10"/>
  <c r="I352" i="10"/>
  <c r="Y352" i="10" s="1"/>
  <c r="C352" i="10"/>
  <c r="B352" i="10"/>
  <c r="X351" i="10"/>
  <c r="W351" i="10"/>
  <c r="U351" i="10"/>
  <c r="V351" i="10" s="1"/>
  <c r="T351" i="10"/>
  <c r="R351" i="10"/>
  <c r="Q351" i="10"/>
  <c r="S351" i="10" s="1"/>
  <c r="I351" i="10"/>
  <c r="Y351" i="10" s="1"/>
  <c r="C351" i="10"/>
  <c r="B351" i="10"/>
  <c r="X350" i="10"/>
  <c r="W350" i="10"/>
  <c r="U350" i="10"/>
  <c r="V350" i="10" s="1"/>
  <c r="T350" i="10"/>
  <c r="S350" i="10"/>
  <c r="R350" i="10"/>
  <c r="Q350" i="10"/>
  <c r="I350" i="10"/>
  <c r="Y350" i="10" s="1"/>
  <c r="C350" i="10"/>
  <c r="B350" i="10"/>
  <c r="X349" i="10"/>
  <c r="W349" i="10"/>
  <c r="U349" i="10"/>
  <c r="V349" i="10" s="1"/>
  <c r="T349" i="10"/>
  <c r="R349" i="10"/>
  <c r="Q349" i="10"/>
  <c r="S349" i="10" s="1"/>
  <c r="I349" i="10"/>
  <c r="Y349" i="10" s="1"/>
  <c r="C349" i="10"/>
  <c r="B349" i="10"/>
  <c r="X348" i="10"/>
  <c r="W348" i="10"/>
  <c r="U348" i="10"/>
  <c r="V348" i="10" s="1"/>
  <c r="T348" i="10"/>
  <c r="R348" i="10"/>
  <c r="Q348" i="10"/>
  <c r="S348" i="10" s="1"/>
  <c r="I348" i="10"/>
  <c r="Y348" i="10" s="1"/>
  <c r="C348" i="10"/>
  <c r="B348" i="10"/>
  <c r="X347" i="10"/>
  <c r="W347" i="10"/>
  <c r="U347" i="10"/>
  <c r="V347" i="10" s="1"/>
  <c r="T347" i="10"/>
  <c r="R347" i="10"/>
  <c r="Q347" i="10"/>
  <c r="S347" i="10" s="1"/>
  <c r="I347" i="10"/>
  <c r="Y347" i="10" s="1"/>
  <c r="C347" i="10"/>
  <c r="B347" i="10"/>
  <c r="X346" i="10"/>
  <c r="W346" i="10"/>
  <c r="U346" i="10"/>
  <c r="V346" i="10" s="1"/>
  <c r="T346" i="10"/>
  <c r="S346" i="10"/>
  <c r="R346" i="10"/>
  <c r="Q346" i="10"/>
  <c r="I346" i="10"/>
  <c r="Y346" i="10" s="1"/>
  <c r="C346" i="10"/>
  <c r="B346" i="10"/>
  <c r="X345" i="10"/>
  <c r="W345" i="10"/>
  <c r="U345" i="10"/>
  <c r="V345" i="10" s="1"/>
  <c r="T345" i="10"/>
  <c r="R345" i="10"/>
  <c r="Q345" i="10"/>
  <c r="S345" i="10" s="1"/>
  <c r="I345" i="10"/>
  <c r="Y345" i="10" s="1"/>
  <c r="C345" i="10"/>
  <c r="B345" i="10"/>
  <c r="X344" i="10"/>
  <c r="W344" i="10"/>
  <c r="U344" i="10"/>
  <c r="V344" i="10" s="1"/>
  <c r="T344" i="10"/>
  <c r="R344" i="10"/>
  <c r="Q344" i="10"/>
  <c r="S344" i="10" s="1"/>
  <c r="I344" i="10"/>
  <c r="Y344" i="10" s="1"/>
  <c r="C344" i="10"/>
  <c r="B344" i="10"/>
  <c r="X343" i="10"/>
  <c r="W343" i="10"/>
  <c r="U343" i="10"/>
  <c r="V343" i="10" s="1"/>
  <c r="T343" i="10"/>
  <c r="R343" i="10"/>
  <c r="Q343" i="10"/>
  <c r="S343" i="10" s="1"/>
  <c r="I343" i="10"/>
  <c r="Y343" i="10" s="1"/>
  <c r="C343" i="10"/>
  <c r="B343" i="10"/>
  <c r="X342" i="10"/>
  <c r="W342" i="10"/>
  <c r="U342" i="10"/>
  <c r="V342" i="10" s="1"/>
  <c r="T342" i="10"/>
  <c r="R342" i="10"/>
  <c r="Q342" i="10"/>
  <c r="S342" i="10" s="1"/>
  <c r="I342" i="10"/>
  <c r="Y342" i="10" s="1"/>
  <c r="C342" i="10"/>
  <c r="B342" i="10"/>
  <c r="X341" i="10"/>
  <c r="W341" i="10"/>
  <c r="U341" i="10"/>
  <c r="V341" i="10" s="1"/>
  <c r="T341" i="10"/>
  <c r="R341" i="10"/>
  <c r="Q341" i="10"/>
  <c r="S341" i="10" s="1"/>
  <c r="I341" i="10"/>
  <c r="Y341" i="10" s="1"/>
  <c r="C341" i="10"/>
  <c r="B341" i="10"/>
  <c r="X340" i="10"/>
  <c r="W340" i="10"/>
  <c r="U340" i="10"/>
  <c r="V340" i="10" s="1"/>
  <c r="T340" i="10"/>
  <c r="S340" i="10"/>
  <c r="R340" i="10"/>
  <c r="Q340" i="10"/>
  <c r="I340" i="10"/>
  <c r="Y340" i="10" s="1"/>
  <c r="C340" i="10"/>
  <c r="B340" i="10"/>
  <c r="X339" i="10"/>
  <c r="W339" i="10"/>
  <c r="U339" i="10"/>
  <c r="V339" i="10" s="1"/>
  <c r="T339" i="10"/>
  <c r="R339" i="10"/>
  <c r="Q339" i="10"/>
  <c r="S339" i="10" s="1"/>
  <c r="I339" i="10"/>
  <c r="Y339" i="10" s="1"/>
  <c r="C339" i="10"/>
  <c r="B339" i="10"/>
  <c r="X338" i="10"/>
  <c r="W338" i="10"/>
  <c r="U338" i="10"/>
  <c r="V338" i="10" s="1"/>
  <c r="T338" i="10"/>
  <c r="S338" i="10"/>
  <c r="R338" i="10"/>
  <c r="Q338" i="10"/>
  <c r="I338" i="10"/>
  <c r="Y338" i="10" s="1"/>
  <c r="C338" i="10"/>
  <c r="B338" i="10"/>
  <c r="X337" i="10"/>
  <c r="W337" i="10"/>
  <c r="U337" i="10"/>
  <c r="V337" i="10" s="1"/>
  <c r="T337" i="10"/>
  <c r="R337" i="10"/>
  <c r="Q337" i="10"/>
  <c r="S337" i="10" s="1"/>
  <c r="I337" i="10"/>
  <c r="Y337" i="10" s="1"/>
  <c r="C337" i="10"/>
  <c r="B337" i="10"/>
  <c r="X336" i="10"/>
  <c r="W336" i="10"/>
  <c r="U336" i="10"/>
  <c r="V336" i="10" s="1"/>
  <c r="T336" i="10"/>
  <c r="S336" i="10"/>
  <c r="R336" i="10"/>
  <c r="Q336" i="10"/>
  <c r="I336" i="10"/>
  <c r="Y336" i="10" s="1"/>
  <c r="C336" i="10"/>
  <c r="B336" i="10"/>
  <c r="X335" i="10"/>
  <c r="W335" i="10"/>
  <c r="U335" i="10"/>
  <c r="V335" i="10" s="1"/>
  <c r="T335" i="10"/>
  <c r="R335" i="10"/>
  <c r="Q335" i="10"/>
  <c r="S335" i="10" s="1"/>
  <c r="I335" i="10"/>
  <c r="Y335" i="10" s="1"/>
  <c r="C335" i="10"/>
  <c r="B335" i="10"/>
  <c r="X334" i="10"/>
  <c r="W334" i="10"/>
  <c r="U334" i="10"/>
  <c r="V334" i="10" s="1"/>
  <c r="T334" i="10"/>
  <c r="S334" i="10"/>
  <c r="R334" i="10"/>
  <c r="Q334" i="10"/>
  <c r="I334" i="10"/>
  <c r="Y334" i="10" s="1"/>
  <c r="C334" i="10"/>
  <c r="B334" i="10"/>
  <c r="X333" i="10"/>
  <c r="W333" i="10"/>
  <c r="U333" i="10"/>
  <c r="V333" i="10" s="1"/>
  <c r="T333" i="10"/>
  <c r="R333" i="10"/>
  <c r="Q333" i="10"/>
  <c r="S333" i="10" s="1"/>
  <c r="I333" i="10"/>
  <c r="Y333" i="10" s="1"/>
  <c r="C333" i="10"/>
  <c r="B333" i="10"/>
  <c r="X332" i="10"/>
  <c r="W332" i="10"/>
  <c r="U332" i="10"/>
  <c r="V332" i="10" s="1"/>
  <c r="T332" i="10"/>
  <c r="R332" i="10"/>
  <c r="Q332" i="10"/>
  <c r="S332" i="10" s="1"/>
  <c r="I332" i="10"/>
  <c r="Y332" i="10" s="1"/>
  <c r="C332" i="10"/>
  <c r="B332" i="10"/>
  <c r="X331" i="10"/>
  <c r="W331" i="10"/>
  <c r="U331" i="10"/>
  <c r="V331" i="10" s="1"/>
  <c r="T331" i="10"/>
  <c r="R331" i="10"/>
  <c r="Q331" i="10"/>
  <c r="S331" i="10" s="1"/>
  <c r="I331" i="10"/>
  <c r="Y331" i="10" s="1"/>
  <c r="C331" i="10"/>
  <c r="B331" i="10"/>
  <c r="X330" i="10"/>
  <c r="W330" i="10"/>
  <c r="U330" i="10"/>
  <c r="V330" i="10" s="1"/>
  <c r="T330" i="10"/>
  <c r="S330" i="10"/>
  <c r="R330" i="10"/>
  <c r="Q330" i="10"/>
  <c r="I330" i="10"/>
  <c r="Y330" i="10" s="1"/>
  <c r="C330" i="10"/>
  <c r="B330" i="10"/>
  <c r="X329" i="10"/>
  <c r="W329" i="10"/>
  <c r="U329" i="10"/>
  <c r="V329" i="10" s="1"/>
  <c r="T329" i="10"/>
  <c r="R329" i="10"/>
  <c r="Q329" i="10"/>
  <c r="S329" i="10" s="1"/>
  <c r="I329" i="10"/>
  <c r="Y329" i="10" s="1"/>
  <c r="C329" i="10"/>
  <c r="B329" i="10"/>
  <c r="X328" i="10"/>
  <c r="W328" i="10"/>
  <c r="U328" i="10"/>
  <c r="V328" i="10" s="1"/>
  <c r="T328" i="10"/>
  <c r="R328" i="10"/>
  <c r="Q328" i="10"/>
  <c r="S328" i="10" s="1"/>
  <c r="I328" i="10"/>
  <c r="Y328" i="10" s="1"/>
  <c r="C328" i="10"/>
  <c r="B328" i="10"/>
  <c r="X327" i="10"/>
  <c r="W327" i="10"/>
  <c r="U327" i="10"/>
  <c r="V327" i="10" s="1"/>
  <c r="T327" i="10"/>
  <c r="R327" i="10"/>
  <c r="Q327" i="10"/>
  <c r="S327" i="10" s="1"/>
  <c r="I327" i="10"/>
  <c r="Y327" i="10" s="1"/>
  <c r="C327" i="10"/>
  <c r="B327" i="10"/>
  <c r="X326" i="10"/>
  <c r="W326" i="10"/>
  <c r="U326" i="10"/>
  <c r="V326" i="10" s="1"/>
  <c r="T326" i="10"/>
  <c r="R326" i="10"/>
  <c r="Q326" i="10"/>
  <c r="S326" i="10" s="1"/>
  <c r="I326" i="10"/>
  <c r="Y326" i="10" s="1"/>
  <c r="C326" i="10"/>
  <c r="B326" i="10"/>
  <c r="X325" i="10"/>
  <c r="W325" i="10"/>
  <c r="U325" i="10"/>
  <c r="V325" i="10" s="1"/>
  <c r="T325" i="10"/>
  <c r="R325" i="10"/>
  <c r="Q325" i="10"/>
  <c r="S325" i="10" s="1"/>
  <c r="I325" i="10"/>
  <c r="Y325" i="10" s="1"/>
  <c r="C325" i="10"/>
  <c r="B325" i="10"/>
  <c r="X324" i="10"/>
  <c r="W324" i="10"/>
  <c r="U324" i="10"/>
  <c r="V324" i="10" s="1"/>
  <c r="T324" i="10"/>
  <c r="S324" i="10"/>
  <c r="R324" i="10"/>
  <c r="Q324" i="10"/>
  <c r="I324" i="10"/>
  <c r="Y324" i="10" s="1"/>
  <c r="C324" i="10"/>
  <c r="B324" i="10"/>
  <c r="X323" i="10"/>
  <c r="W323" i="10"/>
  <c r="U323" i="10"/>
  <c r="V323" i="10" s="1"/>
  <c r="T323" i="10"/>
  <c r="R323" i="10"/>
  <c r="Q323" i="10"/>
  <c r="S323" i="10" s="1"/>
  <c r="I323" i="10"/>
  <c r="Y323" i="10" s="1"/>
  <c r="C323" i="10"/>
  <c r="B323" i="10"/>
  <c r="X322" i="10"/>
  <c r="W322" i="10"/>
  <c r="U322" i="10"/>
  <c r="V322" i="10" s="1"/>
  <c r="T322" i="10"/>
  <c r="S322" i="10"/>
  <c r="R322" i="10"/>
  <c r="Q322" i="10"/>
  <c r="I322" i="10"/>
  <c r="Y322" i="10" s="1"/>
  <c r="C322" i="10"/>
  <c r="B322" i="10"/>
  <c r="X321" i="10"/>
  <c r="W321" i="10"/>
  <c r="U321" i="10"/>
  <c r="V321" i="10" s="1"/>
  <c r="T321" i="10"/>
  <c r="R321" i="10"/>
  <c r="Q321" i="10"/>
  <c r="S321" i="10" s="1"/>
  <c r="I321" i="10"/>
  <c r="Y321" i="10" s="1"/>
  <c r="C321" i="10"/>
  <c r="B321" i="10"/>
  <c r="X320" i="10"/>
  <c r="W320" i="10"/>
  <c r="U320" i="10"/>
  <c r="V320" i="10" s="1"/>
  <c r="T320" i="10"/>
  <c r="S320" i="10"/>
  <c r="R320" i="10"/>
  <c r="Q320" i="10"/>
  <c r="I320" i="10"/>
  <c r="Y320" i="10" s="1"/>
  <c r="C320" i="10"/>
  <c r="B320" i="10"/>
  <c r="X319" i="10"/>
  <c r="W319" i="10"/>
  <c r="U319" i="10"/>
  <c r="V319" i="10" s="1"/>
  <c r="T319" i="10"/>
  <c r="R319" i="10"/>
  <c r="Q319" i="10"/>
  <c r="S319" i="10" s="1"/>
  <c r="I319" i="10"/>
  <c r="Y319" i="10" s="1"/>
  <c r="C319" i="10"/>
  <c r="B319" i="10"/>
  <c r="X318" i="10"/>
  <c r="W318" i="10"/>
  <c r="U318" i="10"/>
  <c r="V318" i="10" s="1"/>
  <c r="T318" i="10"/>
  <c r="S318" i="10"/>
  <c r="R318" i="10"/>
  <c r="Q318" i="10"/>
  <c r="I318" i="10"/>
  <c r="Y318" i="10" s="1"/>
  <c r="C318" i="10"/>
  <c r="B318" i="10"/>
  <c r="X317" i="10"/>
  <c r="W317" i="10"/>
  <c r="U317" i="10"/>
  <c r="V317" i="10" s="1"/>
  <c r="T317" i="10"/>
  <c r="R317" i="10"/>
  <c r="Q317" i="10"/>
  <c r="S317" i="10" s="1"/>
  <c r="I317" i="10"/>
  <c r="Y317" i="10" s="1"/>
  <c r="C317" i="10"/>
  <c r="B317" i="10"/>
  <c r="X316" i="10"/>
  <c r="W316" i="10"/>
  <c r="U316" i="10"/>
  <c r="V316" i="10" s="1"/>
  <c r="T316" i="10"/>
  <c r="R316" i="10"/>
  <c r="Q316" i="10"/>
  <c r="S316" i="10" s="1"/>
  <c r="I316" i="10"/>
  <c r="Y316" i="10" s="1"/>
  <c r="C316" i="10"/>
  <c r="B316" i="10"/>
  <c r="X315" i="10"/>
  <c r="W315" i="10"/>
  <c r="U315" i="10"/>
  <c r="V315" i="10" s="1"/>
  <c r="T315" i="10"/>
  <c r="R315" i="10"/>
  <c r="Q315" i="10"/>
  <c r="S315" i="10" s="1"/>
  <c r="I315" i="10"/>
  <c r="Y315" i="10" s="1"/>
  <c r="C315" i="10"/>
  <c r="B315" i="10"/>
  <c r="X314" i="10"/>
  <c r="W314" i="10"/>
  <c r="U314" i="10"/>
  <c r="V314" i="10" s="1"/>
  <c r="T314" i="10"/>
  <c r="S314" i="10"/>
  <c r="R314" i="10"/>
  <c r="Q314" i="10"/>
  <c r="I314" i="10"/>
  <c r="Y314" i="10" s="1"/>
  <c r="C314" i="10"/>
  <c r="B314" i="10"/>
  <c r="X313" i="10"/>
  <c r="W313" i="10"/>
  <c r="U313" i="10"/>
  <c r="V313" i="10" s="1"/>
  <c r="T313" i="10"/>
  <c r="R313" i="10"/>
  <c r="Q313" i="10"/>
  <c r="S313" i="10" s="1"/>
  <c r="I313" i="10"/>
  <c r="Y313" i="10" s="1"/>
  <c r="C313" i="10"/>
  <c r="B313" i="10"/>
  <c r="X312" i="10"/>
  <c r="W312" i="10"/>
  <c r="U312" i="10"/>
  <c r="V312" i="10" s="1"/>
  <c r="T312" i="10"/>
  <c r="R312" i="10"/>
  <c r="Q312" i="10"/>
  <c r="S312" i="10" s="1"/>
  <c r="I312" i="10"/>
  <c r="Y312" i="10" s="1"/>
  <c r="C312" i="10"/>
  <c r="B312" i="10"/>
  <c r="X311" i="10"/>
  <c r="W311" i="10"/>
  <c r="U311" i="10"/>
  <c r="V311" i="10" s="1"/>
  <c r="T311" i="10"/>
  <c r="R311" i="10"/>
  <c r="Q311" i="10"/>
  <c r="S311" i="10" s="1"/>
  <c r="I311" i="10"/>
  <c r="Y311" i="10" s="1"/>
  <c r="C311" i="10"/>
  <c r="B311" i="10"/>
  <c r="X310" i="10"/>
  <c r="W310" i="10"/>
  <c r="U310" i="10"/>
  <c r="V310" i="10" s="1"/>
  <c r="T310" i="10"/>
  <c r="R310" i="10"/>
  <c r="Q310" i="10"/>
  <c r="S310" i="10" s="1"/>
  <c r="I310" i="10"/>
  <c r="Y310" i="10" s="1"/>
  <c r="C310" i="10"/>
  <c r="B310" i="10"/>
  <c r="X309" i="10"/>
  <c r="W309" i="10"/>
  <c r="U309" i="10"/>
  <c r="V309" i="10" s="1"/>
  <c r="T309" i="10"/>
  <c r="R309" i="10"/>
  <c r="Q309" i="10"/>
  <c r="S309" i="10" s="1"/>
  <c r="I309" i="10"/>
  <c r="Y309" i="10" s="1"/>
  <c r="C309" i="10"/>
  <c r="B309" i="10"/>
  <c r="X308" i="10"/>
  <c r="W308" i="10"/>
  <c r="U308" i="10"/>
  <c r="V308" i="10" s="1"/>
  <c r="T308" i="10"/>
  <c r="S308" i="10"/>
  <c r="R308" i="10"/>
  <c r="Q308" i="10"/>
  <c r="I308" i="10"/>
  <c r="Y308" i="10" s="1"/>
  <c r="C308" i="10"/>
  <c r="B308" i="10"/>
  <c r="X307" i="10"/>
  <c r="W307" i="10"/>
  <c r="U307" i="10"/>
  <c r="V307" i="10" s="1"/>
  <c r="T307" i="10"/>
  <c r="R307" i="10"/>
  <c r="Q307" i="10"/>
  <c r="S307" i="10" s="1"/>
  <c r="I307" i="10"/>
  <c r="Y307" i="10" s="1"/>
  <c r="C307" i="10"/>
  <c r="B307" i="10"/>
  <c r="X306" i="10"/>
  <c r="W306" i="10"/>
  <c r="U306" i="10"/>
  <c r="V306" i="10" s="1"/>
  <c r="T306" i="10"/>
  <c r="S306" i="10"/>
  <c r="R306" i="10"/>
  <c r="Q306" i="10"/>
  <c r="I306" i="10"/>
  <c r="Y306" i="10" s="1"/>
  <c r="C306" i="10"/>
  <c r="B306" i="10"/>
  <c r="X305" i="10"/>
  <c r="W305" i="10"/>
  <c r="U305" i="10"/>
  <c r="V305" i="10" s="1"/>
  <c r="T305" i="10"/>
  <c r="R305" i="10"/>
  <c r="Q305" i="10"/>
  <c r="S305" i="10" s="1"/>
  <c r="I305" i="10"/>
  <c r="Y305" i="10" s="1"/>
  <c r="C305" i="10"/>
  <c r="B305" i="10"/>
  <c r="X304" i="10"/>
  <c r="W304" i="10"/>
  <c r="U304" i="10"/>
  <c r="V304" i="10" s="1"/>
  <c r="T304" i="10"/>
  <c r="S304" i="10"/>
  <c r="R304" i="10"/>
  <c r="Q304" i="10"/>
  <c r="I304" i="10"/>
  <c r="Y304" i="10" s="1"/>
  <c r="C304" i="10"/>
  <c r="B304" i="10"/>
  <c r="X303" i="10"/>
  <c r="W303" i="10"/>
  <c r="U303" i="10"/>
  <c r="V303" i="10" s="1"/>
  <c r="T303" i="10"/>
  <c r="R303" i="10"/>
  <c r="Q303" i="10"/>
  <c r="S303" i="10" s="1"/>
  <c r="I303" i="10"/>
  <c r="Y303" i="10" s="1"/>
  <c r="C303" i="10"/>
  <c r="B303" i="10"/>
  <c r="X302" i="10"/>
  <c r="W302" i="10"/>
  <c r="U302" i="10"/>
  <c r="V302" i="10" s="1"/>
  <c r="T302" i="10"/>
  <c r="S302" i="10"/>
  <c r="R302" i="10"/>
  <c r="Q302" i="10"/>
  <c r="I302" i="10"/>
  <c r="Y302" i="10" s="1"/>
  <c r="C302" i="10"/>
  <c r="B302" i="10"/>
  <c r="X301" i="10"/>
  <c r="W301" i="10"/>
  <c r="U301" i="10"/>
  <c r="V301" i="10" s="1"/>
  <c r="T301" i="10"/>
  <c r="R301" i="10"/>
  <c r="Q301" i="10"/>
  <c r="S301" i="10" s="1"/>
  <c r="I301" i="10"/>
  <c r="Y301" i="10" s="1"/>
  <c r="C301" i="10"/>
  <c r="B301" i="10"/>
  <c r="X300" i="10"/>
  <c r="W300" i="10"/>
  <c r="U300" i="10"/>
  <c r="V300" i="10" s="1"/>
  <c r="T300" i="10"/>
  <c r="R300" i="10"/>
  <c r="Q300" i="10"/>
  <c r="S300" i="10" s="1"/>
  <c r="I300" i="10"/>
  <c r="Y300" i="10" s="1"/>
  <c r="C300" i="10"/>
  <c r="B300" i="10"/>
  <c r="X299" i="10"/>
  <c r="W299" i="10"/>
  <c r="U299" i="10"/>
  <c r="V299" i="10" s="1"/>
  <c r="T299" i="10"/>
  <c r="R299" i="10"/>
  <c r="Q299" i="10"/>
  <c r="S299" i="10" s="1"/>
  <c r="I299" i="10"/>
  <c r="Y299" i="10" s="1"/>
  <c r="C299" i="10"/>
  <c r="B299" i="10"/>
  <c r="X298" i="10"/>
  <c r="W298" i="10"/>
  <c r="U298" i="10"/>
  <c r="V298" i="10" s="1"/>
  <c r="T298" i="10"/>
  <c r="S298" i="10"/>
  <c r="R298" i="10"/>
  <c r="Q298" i="10"/>
  <c r="I298" i="10"/>
  <c r="Y298" i="10" s="1"/>
  <c r="C298" i="10"/>
  <c r="B298" i="10"/>
  <c r="X297" i="10"/>
  <c r="W297" i="10"/>
  <c r="U297" i="10"/>
  <c r="V297" i="10" s="1"/>
  <c r="T297" i="10"/>
  <c r="R297" i="10"/>
  <c r="Q297" i="10"/>
  <c r="S297" i="10" s="1"/>
  <c r="I297" i="10"/>
  <c r="Y297" i="10" s="1"/>
  <c r="C297" i="10"/>
  <c r="B297" i="10"/>
  <c r="X296" i="10"/>
  <c r="W296" i="10"/>
  <c r="U296" i="10"/>
  <c r="V296" i="10" s="1"/>
  <c r="T296" i="10"/>
  <c r="R296" i="10"/>
  <c r="Q296" i="10"/>
  <c r="S296" i="10" s="1"/>
  <c r="I296" i="10"/>
  <c r="Y296" i="10" s="1"/>
  <c r="C296" i="10"/>
  <c r="B296" i="10"/>
  <c r="X295" i="10"/>
  <c r="W295" i="10"/>
  <c r="U295" i="10"/>
  <c r="V295" i="10" s="1"/>
  <c r="T295" i="10"/>
  <c r="R295" i="10"/>
  <c r="Q295" i="10"/>
  <c r="S295" i="10" s="1"/>
  <c r="I295" i="10"/>
  <c r="Y295" i="10" s="1"/>
  <c r="C295" i="10"/>
  <c r="B295" i="10"/>
  <c r="X294" i="10"/>
  <c r="W294" i="10"/>
  <c r="U294" i="10"/>
  <c r="V294" i="10" s="1"/>
  <c r="T294" i="10"/>
  <c r="R294" i="10"/>
  <c r="Q294" i="10"/>
  <c r="S294" i="10" s="1"/>
  <c r="I294" i="10"/>
  <c r="Y294" i="10" s="1"/>
  <c r="C294" i="10"/>
  <c r="B294" i="10"/>
  <c r="X293" i="10"/>
  <c r="W293" i="10"/>
  <c r="U293" i="10"/>
  <c r="V293" i="10" s="1"/>
  <c r="T293" i="10"/>
  <c r="R293" i="10"/>
  <c r="Q293" i="10"/>
  <c r="S293" i="10" s="1"/>
  <c r="I293" i="10"/>
  <c r="Y293" i="10" s="1"/>
  <c r="C293" i="10"/>
  <c r="B293" i="10"/>
  <c r="X292" i="10"/>
  <c r="W292" i="10"/>
  <c r="U292" i="10"/>
  <c r="V292" i="10" s="1"/>
  <c r="T292" i="10"/>
  <c r="S292" i="10"/>
  <c r="R292" i="10"/>
  <c r="Q292" i="10"/>
  <c r="I292" i="10"/>
  <c r="Y292" i="10" s="1"/>
  <c r="C292" i="10"/>
  <c r="B292" i="10"/>
  <c r="X291" i="10"/>
  <c r="W291" i="10"/>
  <c r="U291" i="10"/>
  <c r="V291" i="10" s="1"/>
  <c r="T291" i="10"/>
  <c r="R291" i="10"/>
  <c r="Q291" i="10"/>
  <c r="S291" i="10" s="1"/>
  <c r="I291" i="10"/>
  <c r="Y291" i="10" s="1"/>
  <c r="C291" i="10"/>
  <c r="B291" i="10"/>
  <c r="X290" i="10"/>
  <c r="W290" i="10"/>
  <c r="U290" i="10"/>
  <c r="V290" i="10" s="1"/>
  <c r="T290" i="10"/>
  <c r="S290" i="10"/>
  <c r="R290" i="10"/>
  <c r="Q290" i="10"/>
  <c r="I290" i="10"/>
  <c r="Y290" i="10" s="1"/>
  <c r="C290" i="10"/>
  <c r="B290" i="10"/>
  <c r="X289" i="10"/>
  <c r="W289" i="10"/>
  <c r="U289" i="10"/>
  <c r="V289" i="10" s="1"/>
  <c r="T289" i="10"/>
  <c r="R289" i="10"/>
  <c r="Q289" i="10"/>
  <c r="S289" i="10" s="1"/>
  <c r="I289" i="10"/>
  <c r="Y289" i="10" s="1"/>
  <c r="C289" i="10"/>
  <c r="B289" i="10"/>
  <c r="X288" i="10"/>
  <c r="W288" i="10"/>
  <c r="U288" i="10"/>
  <c r="V288" i="10" s="1"/>
  <c r="T288" i="10"/>
  <c r="S288" i="10"/>
  <c r="R288" i="10"/>
  <c r="Q288" i="10"/>
  <c r="I288" i="10"/>
  <c r="Y288" i="10" s="1"/>
  <c r="C288" i="10"/>
  <c r="B288" i="10"/>
  <c r="X287" i="10"/>
  <c r="W287" i="10"/>
  <c r="U287" i="10"/>
  <c r="V287" i="10" s="1"/>
  <c r="T287" i="10"/>
  <c r="R287" i="10"/>
  <c r="Q287" i="10"/>
  <c r="S287" i="10" s="1"/>
  <c r="I287" i="10"/>
  <c r="Y287" i="10" s="1"/>
  <c r="C287" i="10"/>
  <c r="B287" i="10"/>
  <c r="X286" i="10"/>
  <c r="W286" i="10"/>
  <c r="U286" i="10"/>
  <c r="V286" i="10" s="1"/>
  <c r="T286" i="10"/>
  <c r="S286" i="10"/>
  <c r="R286" i="10"/>
  <c r="Q286" i="10"/>
  <c r="I286" i="10"/>
  <c r="Y286" i="10" s="1"/>
  <c r="C286" i="10"/>
  <c r="B286" i="10"/>
  <c r="X285" i="10"/>
  <c r="W285" i="10"/>
  <c r="U285" i="10"/>
  <c r="V285" i="10" s="1"/>
  <c r="T285" i="10"/>
  <c r="R285" i="10"/>
  <c r="Q285" i="10"/>
  <c r="S285" i="10" s="1"/>
  <c r="I285" i="10"/>
  <c r="Y285" i="10" s="1"/>
  <c r="C285" i="10"/>
  <c r="B285" i="10"/>
  <c r="X284" i="10"/>
  <c r="W284" i="10"/>
  <c r="U284" i="10"/>
  <c r="V284" i="10" s="1"/>
  <c r="T284" i="10"/>
  <c r="R284" i="10"/>
  <c r="Q284" i="10"/>
  <c r="S284" i="10" s="1"/>
  <c r="I284" i="10"/>
  <c r="Y284" i="10" s="1"/>
  <c r="C284" i="10"/>
  <c r="B284" i="10"/>
  <c r="X283" i="10"/>
  <c r="W283" i="10"/>
  <c r="U283" i="10"/>
  <c r="V283" i="10" s="1"/>
  <c r="T283" i="10"/>
  <c r="R283" i="10"/>
  <c r="Q283" i="10"/>
  <c r="S283" i="10" s="1"/>
  <c r="I283" i="10"/>
  <c r="Y283" i="10" s="1"/>
  <c r="C283" i="10"/>
  <c r="B283" i="10"/>
  <c r="X282" i="10"/>
  <c r="W282" i="10"/>
  <c r="U282" i="10"/>
  <c r="V282" i="10" s="1"/>
  <c r="T282" i="10"/>
  <c r="S282" i="10"/>
  <c r="R282" i="10"/>
  <c r="Q282" i="10"/>
  <c r="I282" i="10"/>
  <c r="Y282" i="10" s="1"/>
  <c r="C282" i="10"/>
  <c r="B282" i="10"/>
  <c r="X281" i="10"/>
  <c r="W281" i="10"/>
  <c r="U281" i="10"/>
  <c r="V281" i="10" s="1"/>
  <c r="T281" i="10"/>
  <c r="R281" i="10"/>
  <c r="Q281" i="10"/>
  <c r="S281" i="10" s="1"/>
  <c r="I281" i="10"/>
  <c r="Y281" i="10" s="1"/>
  <c r="C281" i="10"/>
  <c r="B281" i="10"/>
  <c r="X280" i="10"/>
  <c r="W280" i="10"/>
  <c r="U280" i="10"/>
  <c r="V280" i="10" s="1"/>
  <c r="T280" i="10"/>
  <c r="R280" i="10"/>
  <c r="Q280" i="10"/>
  <c r="S280" i="10" s="1"/>
  <c r="I280" i="10"/>
  <c r="Y280" i="10" s="1"/>
  <c r="C280" i="10"/>
  <c r="B280" i="10"/>
  <c r="X279" i="10"/>
  <c r="W279" i="10"/>
  <c r="U279" i="10"/>
  <c r="V279" i="10" s="1"/>
  <c r="T279" i="10"/>
  <c r="R279" i="10"/>
  <c r="Q279" i="10"/>
  <c r="S279" i="10" s="1"/>
  <c r="I279" i="10"/>
  <c r="Y279" i="10" s="1"/>
  <c r="C279" i="10"/>
  <c r="B279" i="10"/>
  <c r="X278" i="10"/>
  <c r="W278" i="10"/>
  <c r="U278" i="10"/>
  <c r="V278" i="10" s="1"/>
  <c r="T278" i="10"/>
  <c r="R278" i="10"/>
  <c r="Q278" i="10"/>
  <c r="S278" i="10" s="1"/>
  <c r="I278" i="10"/>
  <c r="Y278" i="10" s="1"/>
  <c r="C278" i="10"/>
  <c r="B278" i="10"/>
  <c r="X277" i="10"/>
  <c r="W277" i="10"/>
  <c r="U277" i="10"/>
  <c r="V277" i="10" s="1"/>
  <c r="T277" i="10"/>
  <c r="R277" i="10"/>
  <c r="Q277" i="10"/>
  <c r="S277" i="10" s="1"/>
  <c r="I277" i="10"/>
  <c r="Y277" i="10" s="1"/>
  <c r="C277" i="10"/>
  <c r="B277" i="10"/>
  <c r="X276" i="10"/>
  <c r="W276" i="10"/>
  <c r="U276" i="10"/>
  <c r="V276" i="10" s="1"/>
  <c r="T276" i="10"/>
  <c r="S276" i="10"/>
  <c r="R276" i="10"/>
  <c r="Q276" i="10"/>
  <c r="I276" i="10"/>
  <c r="Y276" i="10" s="1"/>
  <c r="C276" i="10"/>
  <c r="B276" i="10"/>
  <c r="X275" i="10"/>
  <c r="W275" i="10"/>
  <c r="U275" i="10"/>
  <c r="V275" i="10" s="1"/>
  <c r="T275" i="10"/>
  <c r="R275" i="10"/>
  <c r="Q275" i="10"/>
  <c r="S275" i="10" s="1"/>
  <c r="I275" i="10"/>
  <c r="Y275" i="10" s="1"/>
  <c r="C275" i="10"/>
  <c r="B275" i="10"/>
  <c r="X274" i="10"/>
  <c r="W274" i="10"/>
  <c r="U274" i="10"/>
  <c r="V274" i="10" s="1"/>
  <c r="T274" i="10"/>
  <c r="S274" i="10"/>
  <c r="R274" i="10"/>
  <c r="Q274" i="10"/>
  <c r="I274" i="10"/>
  <c r="Y274" i="10" s="1"/>
  <c r="C274" i="10"/>
  <c r="B274" i="10"/>
  <c r="X273" i="10"/>
  <c r="W273" i="10"/>
  <c r="U273" i="10"/>
  <c r="V273" i="10" s="1"/>
  <c r="T273" i="10"/>
  <c r="R273" i="10"/>
  <c r="Q273" i="10"/>
  <c r="S273" i="10" s="1"/>
  <c r="I273" i="10"/>
  <c r="Y273" i="10" s="1"/>
  <c r="C273" i="10"/>
  <c r="B273" i="10"/>
  <c r="X272" i="10"/>
  <c r="W272" i="10"/>
  <c r="U272" i="10"/>
  <c r="V272" i="10" s="1"/>
  <c r="T272" i="10"/>
  <c r="S272" i="10"/>
  <c r="R272" i="10"/>
  <c r="Q272" i="10"/>
  <c r="I272" i="10"/>
  <c r="Y272" i="10" s="1"/>
  <c r="C272" i="10"/>
  <c r="B272" i="10"/>
  <c r="X271" i="10"/>
  <c r="W271" i="10"/>
  <c r="U271" i="10"/>
  <c r="V271" i="10" s="1"/>
  <c r="T271" i="10"/>
  <c r="R271" i="10"/>
  <c r="Q271" i="10"/>
  <c r="S271" i="10" s="1"/>
  <c r="I271" i="10"/>
  <c r="Y271" i="10" s="1"/>
  <c r="C271" i="10"/>
  <c r="B271" i="10"/>
  <c r="X270" i="10"/>
  <c r="W270" i="10"/>
  <c r="U270" i="10"/>
  <c r="V270" i="10" s="1"/>
  <c r="T270" i="10"/>
  <c r="R270" i="10"/>
  <c r="Q270" i="10"/>
  <c r="S270" i="10" s="1"/>
  <c r="I270" i="10"/>
  <c r="Y270" i="10" s="1"/>
  <c r="C270" i="10"/>
  <c r="B270" i="10"/>
  <c r="X269" i="10"/>
  <c r="W269" i="10"/>
  <c r="U269" i="10"/>
  <c r="V269" i="10" s="1"/>
  <c r="T269" i="10"/>
  <c r="R269" i="10"/>
  <c r="Q269" i="10"/>
  <c r="S269" i="10" s="1"/>
  <c r="I269" i="10"/>
  <c r="Y269" i="10" s="1"/>
  <c r="C269" i="10"/>
  <c r="B269" i="10"/>
  <c r="X268" i="10"/>
  <c r="W268" i="10"/>
  <c r="U268" i="10"/>
  <c r="V268" i="10" s="1"/>
  <c r="T268" i="10"/>
  <c r="R268" i="10"/>
  <c r="Q268" i="10"/>
  <c r="S268" i="10" s="1"/>
  <c r="I268" i="10"/>
  <c r="Y268" i="10" s="1"/>
  <c r="C268" i="10"/>
  <c r="B268" i="10"/>
  <c r="X267" i="10"/>
  <c r="W267" i="10"/>
  <c r="U267" i="10"/>
  <c r="V267" i="10" s="1"/>
  <c r="T267" i="10"/>
  <c r="R267" i="10"/>
  <c r="Q267" i="10"/>
  <c r="S267" i="10" s="1"/>
  <c r="I267" i="10"/>
  <c r="Y267" i="10" s="1"/>
  <c r="C267" i="10"/>
  <c r="B267" i="10"/>
  <c r="X266" i="10"/>
  <c r="W266" i="10"/>
  <c r="U266" i="10"/>
  <c r="V266" i="10" s="1"/>
  <c r="T266" i="10"/>
  <c r="S266" i="10"/>
  <c r="R266" i="10"/>
  <c r="Q266" i="10"/>
  <c r="I266" i="10"/>
  <c r="Y266" i="10" s="1"/>
  <c r="C266" i="10"/>
  <c r="B266" i="10"/>
  <c r="X265" i="10"/>
  <c r="W265" i="10"/>
  <c r="U265" i="10"/>
  <c r="V265" i="10" s="1"/>
  <c r="T265" i="10"/>
  <c r="R265" i="10"/>
  <c r="Q265" i="10"/>
  <c r="S265" i="10" s="1"/>
  <c r="I265" i="10"/>
  <c r="Y265" i="10" s="1"/>
  <c r="C265" i="10"/>
  <c r="B265" i="10"/>
  <c r="X264" i="10"/>
  <c r="W264" i="10"/>
  <c r="U264" i="10"/>
  <c r="V264" i="10" s="1"/>
  <c r="T264" i="10"/>
  <c r="R264" i="10"/>
  <c r="Q264" i="10"/>
  <c r="S264" i="10" s="1"/>
  <c r="I264" i="10"/>
  <c r="Y264" i="10" s="1"/>
  <c r="C264" i="10"/>
  <c r="B264" i="10"/>
  <c r="X263" i="10"/>
  <c r="W263" i="10"/>
  <c r="U263" i="10"/>
  <c r="V263" i="10" s="1"/>
  <c r="T263" i="10"/>
  <c r="R263" i="10"/>
  <c r="Q263" i="10"/>
  <c r="S263" i="10" s="1"/>
  <c r="I263" i="10"/>
  <c r="Y263" i="10" s="1"/>
  <c r="C263" i="10"/>
  <c r="B263" i="10"/>
  <c r="X262" i="10"/>
  <c r="W262" i="10"/>
  <c r="U262" i="10"/>
  <c r="V262" i="10" s="1"/>
  <c r="T262" i="10"/>
  <c r="R262" i="10"/>
  <c r="Q262" i="10"/>
  <c r="S262" i="10" s="1"/>
  <c r="I262" i="10"/>
  <c r="Y262" i="10" s="1"/>
  <c r="C262" i="10"/>
  <c r="B262" i="10"/>
  <c r="X261" i="10"/>
  <c r="W261" i="10"/>
  <c r="U261" i="10"/>
  <c r="V261" i="10" s="1"/>
  <c r="T261" i="10"/>
  <c r="R261" i="10"/>
  <c r="Q261" i="10"/>
  <c r="S261" i="10" s="1"/>
  <c r="I261" i="10"/>
  <c r="Y261" i="10" s="1"/>
  <c r="C261" i="10"/>
  <c r="B261" i="10"/>
  <c r="X260" i="10"/>
  <c r="W260" i="10"/>
  <c r="U260" i="10"/>
  <c r="V260" i="10" s="1"/>
  <c r="T260" i="10"/>
  <c r="S260" i="10"/>
  <c r="R260" i="10"/>
  <c r="Q260" i="10"/>
  <c r="I260" i="10"/>
  <c r="Y260" i="10" s="1"/>
  <c r="C260" i="10"/>
  <c r="B260" i="10"/>
  <c r="X259" i="10"/>
  <c r="W259" i="10"/>
  <c r="U259" i="10"/>
  <c r="V259" i="10" s="1"/>
  <c r="T259" i="10"/>
  <c r="R259" i="10"/>
  <c r="Q259" i="10"/>
  <c r="S259" i="10" s="1"/>
  <c r="I259" i="10"/>
  <c r="Y259" i="10" s="1"/>
  <c r="C259" i="10"/>
  <c r="B259" i="10"/>
  <c r="X258" i="10"/>
  <c r="W258" i="10"/>
  <c r="U258" i="10"/>
  <c r="V258" i="10" s="1"/>
  <c r="T258" i="10"/>
  <c r="S258" i="10"/>
  <c r="R258" i="10"/>
  <c r="Q258" i="10"/>
  <c r="I258" i="10"/>
  <c r="Y258" i="10" s="1"/>
  <c r="C258" i="10"/>
  <c r="B258" i="10"/>
  <c r="X257" i="10"/>
  <c r="W257" i="10"/>
  <c r="U257" i="10"/>
  <c r="V257" i="10" s="1"/>
  <c r="T257" i="10"/>
  <c r="R257" i="10"/>
  <c r="Q257" i="10"/>
  <c r="S257" i="10" s="1"/>
  <c r="I257" i="10"/>
  <c r="Y257" i="10" s="1"/>
  <c r="C257" i="10"/>
  <c r="B257" i="10"/>
  <c r="X256" i="10"/>
  <c r="W256" i="10"/>
  <c r="U256" i="10"/>
  <c r="V256" i="10" s="1"/>
  <c r="T256" i="10"/>
  <c r="S256" i="10"/>
  <c r="R256" i="10"/>
  <c r="Q256" i="10"/>
  <c r="I256" i="10"/>
  <c r="Y256" i="10" s="1"/>
  <c r="C256" i="10"/>
  <c r="B256" i="10"/>
  <c r="X255" i="10"/>
  <c r="W255" i="10"/>
  <c r="U255" i="10"/>
  <c r="V255" i="10" s="1"/>
  <c r="T255" i="10"/>
  <c r="R255" i="10"/>
  <c r="Q255" i="10"/>
  <c r="S255" i="10" s="1"/>
  <c r="I255" i="10"/>
  <c r="Y255" i="10" s="1"/>
  <c r="C255" i="10"/>
  <c r="B255" i="10"/>
  <c r="X254" i="10"/>
  <c r="W254" i="10"/>
  <c r="U254" i="10"/>
  <c r="V254" i="10" s="1"/>
  <c r="T254" i="10"/>
  <c r="R254" i="10"/>
  <c r="Q254" i="10"/>
  <c r="S254" i="10" s="1"/>
  <c r="I254" i="10"/>
  <c r="Y254" i="10" s="1"/>
  <c r="C254" i="10"/>
  <c r="B254" i="10"/>
  <c r="X253" i="10"/>
  <c r="W253" i="10"/>
  <c r="U253" i="10"/>
  <c r="V253" i="10" s="1"/>
  <c r="T253" i="10"/>
  <c r="R253" i="10"/>
  <c r="Q253" i="10"/>
  <c r="S253" i="10" s="1"/>
  <c r="I253" i="10"/>
  <c r="Y253" i="10" s="1"/>
  <c r="C253" i="10"/>
  <c r="B253" i="10"/>
  <c r="X252" i="10"/>
  <c r="W252" i="10"/>
  <c r="U252" i="10"/>
  <c r="V252" i="10" s="1"/>
  <c r="T252" i="10"/>
  <c r="R252" i="10"/>
  <c r="Q252" i="10"/>
  <c r="S252" i="10" s="1"/>
  <c r="I252" i="10"/>
  <c r="Y252" i="10" s="1"/>
  <c r="C252" i="10"/>
  <c r="B252" i="10"/>
  <c r="X251" i="10"/>
  <c r="W251" i="10"/>
  <c r="U251" i="10"/>
  <c r="V251" i="10" s="1"/>
  <c r="T251" i="10"/>
  <c r="R251" i="10"/>
  <c r="Q251" i="10"/>
  <c r="S251" i="10" s="1"/>
  <c r="I251" i="10"/>
  <c r="Y251" i="10" s="1"/>
  <c r="C251" i="10"/>
  <c r="B251" i="10"/>
  <c r="X250" i="10"/>
  <c r="W250" i="10"/>
  <c r="U250" i="10"/>
  <c r="V250" i="10" s="1"/>
  <c r="T250" i="10"/>
  <c r="S250" i="10"/>
  <c r="R250" i="10"/>
  <c r="Q250" i="10"/>
  <c r="I250" i="10"/>
  <c r="Y250" i="10" s="1"/>
  <c r="C250" i="10"/>
  <c r="B250" i="10"/>
  <c r="X249" i="10"/>
  <c r="W249" i="10"/>
  <c r="U249" i="10"/>
  <c r="V249" i="10" s="1"/>
  <c r="T249" i="10"/>
  <c r="R249" i="10"/>
  <c r="Q249" i="10"/>
  <c r="S249" i="10" s="1"/>
  <c r="I249" i="10"/>
  <c r="Y249" i="10" s="1"/>
  <c r="C249" i="10"/>
  <c r="B249" i="10"/>
  <c r="X248" i="10"/>
  <c r="W248" i="10"/>
  <c r="U248" i="10"/>
  <c r="V248" i="10" s="1"/>
  <c r="T248" i="10"/>
  <c r="R248" i="10"/>
  <c r="Q248" i="10"/>
  <c r="S248" i="10" s="1"/>
  <c r="I248" i="10"/>
  <c r="Y248" i="10" s="1"/>
  <c r="C248" i="10"/>
  <c r="B248" i="10"/>
  <c r="X247" i="10"/>
  <c r="W247" i="10"/>
  <c r="U247" i="10"/>
  <c r="V247" i="10" s="1"/>
  <c r="T247" i="10"/>
  <c r="R247" i="10"/>
  <c r="Q247" i="10"/>
  <c r="S247" i="10" s="1"/>
  <c r="I247" i="10"/>
  <c r="Y247" i="10" s="1"/>
  <c r="C247" i="10"/>
  <c r="B247" i="10"/>
  <c r="X246" i="10"/>
  <c r="W246" i="10"/>
  <c r="U246" i="10"/>
  <c r="V246" i="10" s="1"/>
  <c r="T246" i="10"/>
  <c r="R246" i="10"/>
  <c r="Q246" i="10"/>
  <c r="S246" i="10" s="1"/>
  <c r="I246" i="10"/>
  <c r="Y246" i="10" s="1"/>
  <c r="C246" i="10"/>
  <c r="B246" i="10"/>
  <c r="X245" i="10"/>
  <c r="W245" i="10"/>
  <c r="U245" i="10"/>
  <c r="V245" i="10" s="1"/>
  <c r="T245" i="10"/>
  <c r="R245" i="10"/>
  <c r="Q245" i="10"/>
  <c r="S245" i="10" s="1"/>
  <c r="I245" i="10"/>
  <c r="Y245" i="10" s="1"/>
  <c r="C245" i="10"/>
  <c r="B245" i="10"/>
  <c r="X244" i="10"/>
  <c r="W244" i="10"/>
  <c r="U244" i="10"/>
  <c r="V244" i="10" s="1"/>
  <c r="T244" i="10"/>
  <c r="S244" i="10"/>
  <c r="R244" i="10"/>
  <c r="Q244" i="10"/>
  <c r="I244" i="10"/>
  <c r="Y244" i="10" s="1"/>
  <c r="C244" i="10"/>
  <c r="B244" i="10"/>
  <c r="X243" i="10"/>
  <c r="W243" i="10"/>
  <c r="U243" i="10"/>
  <c r="V243" i="10" s="1"/>
  <c r="T243" i="10"/>
  <c r="R243" i="10"/>
  <c r="Q243" i="10"/>
  <c r="S243" i="10" s="1"/>
  <c r="I243" i="10"/>
  <c r="Y243" i="10" s="1"/>
  <c r="C243" i="10"/>
  <c r="B243" i="10"/>
  <c r="X242" i="10"/>
  <c r="W242" i="10"/>
  <c r="U242" i="10"/>
  <c r="V242" i="10" s="1"/>
  <c r="T242" i="10"/>
  <c r="S242" i="10"/>
  <c r="R242" i="10"/>
  <c r="Q242" i="10"/>
  <c r="I242" i="10"/>
  <c r="Y242" i="10" s="1"/>
  <c r="C242" i="10"/>
  <c r="B242" i="10"/>
  <c r="X241" i="10"/>
  <c r="W241" i="10"/>
  <c r="U241" i="10"/>
  <c r="V241" i="10" s="1"/>
  <c r="T241" i="10"/>
  <c r="R241" i="10"/>
  <c r="Q241" i="10"/>
  <c r="S241" i="10" s="1"/>
  <c r="I241" i="10"/>
  <c r="Y241" i="10" s="1"/>
  <c r="C241" i="10"/>
  <c r="B241" i="10"/>
  <c r="X240" i="10"/>
  <c r="W240" i="10"/>
  <c r="U240" i="10"/>
  <c r="V240" i="10" s="1"/>
  <c r="T240" i="10"/>
  <c r="S240" i="10"/>
  <c r="R240" i="10"/>
  <c r="Q240" i="10"/>
  <c r="I240" i="10"/>
  <c r="Y240" i="10" s="1"/>
  <c r="C240" i="10"/>
  <c r="B240" i="10"/>
  <c r="X239" i="10"/>
  <c r="W239" i="10"/>
  <c r="U239" i="10"/>
  <c r="V239" i="10" s="1"/>
  <c r="T239" i="10"/>
  <c r="R239" i="10"/>
  <c r="Q239" i="10"/>
  <c r="S239" i="10" s="1"/>
  <c r="I239" i="10"/>
  <c r="Y239" i="10" s="1"/>
  <c r="C239" i="10"/>
  <c r="B239" i="10"/>
  <c r="X238" i="10"/>
  <c r="W238" i="10"/>
  <c r="U238" i="10"/>
  <c r="V238" i="10" s="1"/>
  <c r="T238" i="10"/>
  <c r="S238" i="10"/>
  <c r="R238" i="10"/>
  <c r="Q238" i="10"/>
  <c r="I238" i="10"/>
  <c r="Y238" i="10" s="1"/>
  <c r="C238" i="10"/>
  <c r="B238" i="10"/>
  <c r="X237" i="10"/>
  <c r="W237" i="10"/>
  <c r="U237" i="10"/>
  <c r="V237" i="10" s="1"/>
  <c r="T237" i="10"/>
  <c r="R237" i="10"/>
  <c r="Q237" i="10"/>
  <c r="S237" i="10" s="1"/>
  <c r="I237" i="10"/>
  <c r="Y237" i="10" s="1"/>
  <c r="C237" i="10"/>
  <c r="B237" i="10"/>
  <c r="X236" i="10"/>
  <c r="W236" i="10"/>
  <c r="U236" i="10"/>
  <c r="V236" i="10" s="1"/>
  <c r="T236" i="10"/>
  <c r="R236" i="10"/>
  <c r="Q236" i="10"/>
  <c r="S236" i="10" s="1"/>
  <c r="I236" i="10"/>
  <c r="Y236" i="10" s="1"/>
  <c r="C236" i="10"/>
  <c r="B236" i="10"/>
  <c r="X235" i="10"/>
  <c r="W235" i="10"/>
  <c r="U235" i="10"/>
  <c r="V235" i="10" s="1"/>
  <c r="T235" i="10"/>
  <c r="R235" i="10"/>
  <c r="Q235" i="10"/>
  <c r="S235" i="10" s="1"/>
  <c r="I235" i="10"/>
  <c r="Y235" i="10" s="1"/>
  <c r="C235" i="10"/>
  <c r="B235" i="10"/>
  <c r="X234" i="10"/>
  <c r="W234" i="10"/>
  <c r="U234" i="10"/>
  <c r="V234" i="10" s="1"/>
  <c r="T234" i="10"/>
  <c r="S234" i="10"/>
  <c r="R234" i="10"/>
  <c r="Q234" i="10"/>
  <c r="I234" i="10"/>
  <c r="Y234" i="10" s="1"/>
  <c r="C234" i="10"/>
  <c r="B234" i="10"/>
  <c r="X233" i="10"/>
  <c r="W233" i="10"/>
  <c r="U233" i="10"/>
  <c r="V233" i="10" s="1"/>
  <c r="T233" i="10"/>
  <c r="R233" i="10"/>
  <c r="Q233" i="10"/>
  <c r="S233" i="10" s="1"/>
  <c r="I233" i="10"/>
  <c r="Y233" i="10" s="1"/>
  <c r="C233" i="10"/>
  <c r="B233" i="10"/>
  <c r="X232" i="10"/>
  <c r="W232" i="10"/>
  <c r="U232" i="10"/>
  <c r="V232" i="10" s="1"/>
  <c r="T232" i="10"/>
  <c r="R232" i="10"/>
  <c r="Q232" i="10"/>
  <c r="S232" i="10" s="1"/>
  <c r="I232" i="10"/>
  <c r="Y232" i="10" s="1"/>
  <c r="C232" i="10"/>
  <c r="B232" i="10"/>
  <c r="X231" i="10"/>
  <c r="W231" i="10"/>
  <c r="U231" i="10"/>
  <c r="V231" i="10" s="1"/>
  <c r="T231" i="10"/>
  <c r="R231" i="10"/>
  <c r="Q231" i="10"/>
  <c r="S231" i="10" s="1"/>
  <c r="I231" i="10"/>
  <c r="Y231" i="10" s="1"/>
  <c r="C231" i="10"/>
  <c r="B231" i="10"/>
  <c r="X230" i="10"/>
  <c r="W230" i="10"/>
  <c r="U230" i="10"/>
  <c r="V230" i="10" s="1"/>
  <c r="T230" i="10"/>
  <c r="R230" i="10"/>
  <c r="Q230" i="10"/>
  <c r="S230" i="10" s="1"/>
  <c r="I230" i="10"/>
  <c r="Y230" i="10" s="1"/>
  <c r="C230" i="10"/>
  <c r="B230" i="10"/>
  <c r="X229" i="10"/>
  <c r="W229" i="10"/>
  <c r="U229" i="10"/>
  <c r="V229" i="10" s="1"/>
  <c r="T229" i="10"/>
  <c r="R229" i="10"/>
  <c r="Q229" i="10"/>
  <c r="S229" i="10" s="1"/>
  <c r="I229" i="10"/>
  <c r="Y229" i="10" s="1"/>
  <c r="C229" i="10"/>
  <c r="B229" i="10"/>
  <c r="X228" i="10"/>
  <c r="W228" i="10"/>
  <c r="U228" i="10"/>
  <c r="V228" i="10" s="1"/>
  <c r="T228" i="10"/>
  <c r="S228" i="10"/>
  <c r="R228" i="10"/>
  <c r="Q228" i="10"/>
  <c r="I228" i="10"/>
  <c r="Y228" i="10" s="1"/>
  <c r="C228" i="10"/>
  <c r="B228" i="10"/>
  <c r="X227" i="10"/>
  <c r="W227" i="10"/>
  <c r="U227" i="10"/>
  <c r="V227" i="10" s="1"/>
  <c r="T227" i="10"/>
  <c r="R227" i="10"/>
  <c r="Q227" i="10"/>
  <c r="S227" i="10" s="1"/>
  <c r="I227" i="10"/>
  <c r="Y227" i="10" s="1"/>
  <c r="C227" i="10"/>
  <c r="B227" i="10"/>
  <c r="X226" i="10"/>
  <c r="W226" i="10"/>
  <c r="U226" i="10"/>
  <c r="V226" i="10" s="1"/>
  <c r="T226" i="10"/>
  <c r="S226" i="10"/>
  <c r="R226" i="10"/>
  <c r="Q226" i="10"/>
  <c r="I226" i="10"/>
  <c r="Y226" i="10" s="1"/>
  <c r="C226" i="10"/>
  <c r="B226" i="10"/>
  <c r="Y225" i="10"/>
  <c r="X225" i="10"/>
  <c r="W225" i="10"/>
  <c r="U225" i="10"/>
  <c r="V225" i="10" s="1"/>
  <c r="T225" i="10"/>
  <c r="R225" i="10"/>
  <c r="Q225" i="10"/>
  <c r="S225" i="10" s="1"/>
  <c r="I225" i="10"/>
  <c r="C225" i="10"/>
  <c r="B225" i="10"/>
  <c r="X224" i="10"/>
  <c r="W224" i="10"/>
  <c r="U224" i="10"/>
  <c r="V224" i="10" s="1"/>
  <c r="T224" i="10"/>
  <c r="S224" i="10"/>
  <c r="R224" i="10"/>
  <c r="Q224" i="10"/>
  <c r="I224" i="10"/>
  <c r="Y224" i="10" s="1"/>
  <c r="C224" i="10"/>
  <c r="B224" i="10"/>
  <c r="X223" i="10"/>
  <c r="W223" i="10"/>
  <c r="U223" i="10"/>
  <c r="V223" i="10" s="1"/>
  <c r="T223" i="10"/>
  <c r="R223" i="10"/>
  <c r="Q223" i="10"/>
  <c r="S223" i="10" s="1"/>
  <c r="I223" i="10"/>
  <c r="Y223" i="10" s="1"/>
  <c r="C223" i="10"/>
  <c r="B223" i="10"/>
  <c r="X222" i="10"/>
  <c r="W222" i="10"/>
  <c r="U222" i="10"/>
  <c r="V222" i="10" s="1"/>
  <c r="T222" i="10"/>
  <c r="R222" i="10"/>
  <c r="Q222" i="10"/>
  <c r="S222" i="10" s="1"/>
  <c r="I222" i="10"/>
  <c r="Y222" i="10" s="1"/>
  <c r="C222" i="10"/>
  <c r="B222" i="10"/>
  <c r="Y221" i="10"/>
  <c r="X221" i="10"/>
  <c r="W221" i="10"/>
  <c r="U221" i="10"/>
  <c r="V221" i="10" s="1"/>
  <c r="T221" i="10"/>
  <c r="R221" i="10"/>
  <c r="Q221" i="10"/>
  <c r="S221" i="10" s="1"/>
  <c r="I221" i="10"/>
  <c r="C221" i="10"/>
  <c r="B221" i="10"/>
  <c r="X220" i="10"/>
  <c r="W220" i="10"/>
  <c r="U220" i="10"/>
  <c r="V220" i="10" s="1"/>
  <c r="T220" i="10"/>
  <c r="R220" i="10"/>
  <c r="Q220" i="10"/>
  <c r="S220" i="10" s="1"/>
  <c r="I220" i="10"/>
  <c r="Y220" i="10" s="1"/>
  <c r="C220" i="10"/>
  <c r="B220" i="10"/>
  <c r="X219" i="10"/>
  <c r="W219" i="10"/>
  <c r="U219" i="10"/>
  <c r="V219" i="10" s="1"/>
  <c r="T219" i="10"/>
  <c r="S219" i="10"/>
  <c r="R219" i="10"/>
  <c r="Q219" i="10"/>
  <c r="I219" i="10"/>
  <c r="Y219" i="10" s="1"/>
  <c r="C219" i="10"/>
  <c r="B219" i="10"/>
  <c r="Y218" i="10"/>
  <c r="X218" i="10"/>
  <c r="W218" i="10"/>
  <c r="U218" i="10"/>
  <c r="V218" i="10" s="1"/>
  <c r="T218" i="10"/>
  <c r="R218" i="10"/>
  <c r="Q218" i="10"/>
  <c r="S218" i="10" s="1"/>
  <c r="I218" i="10"/>
  <c r="C218" i="10"/>
  <c r="B218" i="10"/>
  <c r="X217" i="10"/>
  <c r="W217" i="10"/>
  <c r="U217" i="10"/>
  <c r="V217" i="10" s="1"/>
  <c r="T217" i="10"/>
  <c r="S217" i="10"/>
  <c r="R217" i="10"/>
  <c r="Q217" i="10"/>
  <c r="I217" i="10"/>
  <c r="Y217" i="10" s="1"/>
  <c r="C217" i="10"/>
  <c r="B217" i="10"/>
  <c r="Y216" i="10"/>
  <c r="X216" i="10"/>
  <c r="W216" i="10"/>
  <c r="U216" i="10"/>
  <c r="V216" i="10" s="1"/>
  <c r="T216" i="10"/>
  <c r="R216" i="10"/>
  <c r="Q216" i="10"/>
  <c r="S216" i="10" s="1"/>
  <c r="I216" i="10"/>
  <c r="C216" i="10"/>
  <c r="B216" i="10"/>
  <c r="X215" i="10"/>
  <c r="W215" i="10"/>
  <c r="U215" i="10"/>
  <c r="V215" i="10" s="1"/>
  <c r="T215" i="10"/>
  <c r="S215" i="10"/>
  <c r="R215" i="10"/>
  <c r="Q215" i="10"/>
  <c r="I215" i="10"/>
  <c r="Y215" i="10" s="1"/>
  <c r="C215" i="10"/>
  <c r="B215" i="10"/>
  <c r="Y214" i="10"/>
  <c r="X214" i="10"/>
  <c r="W214" i="10"/>
  <c r="U214" i="10"/>
  <c r="V214" i="10" s="1"/>
  <c r="T214" i="10"/>
  <c r="R214" i="10"/>
  <c r="Q214" i="10"/>
  <c r="S214" i="10" s="1"/>
  <c r="I214" i="10"/>
  <c r="C214" i="10"/>
  <c r="B214" i="10"/>
  <c r="X213" i="10"/>
  <c r="W213" i="10"/>
  <c r="U213" i="10"/>
  <c r="V213" i="10" s="1"/>
  <c r="T213" i="10"/>
  <c r="R213" i="10"/>
  <c r="Q213" i="10"/>
  <c r="S213" i="10" s="1"/>
  <c r="I213" i="10"/>
  <c r="Y213" i="10" s="1"/>
  <c r="C213" i="10"/>
  <c r="B213" i="10"/>
  <c r="Y212" i="10"/>
  <c r="X212" i="10"/>
  <c r="W212" i="10"/>
  <c r="U212" i="10"/>
  <c r="V212" i="10" s="1"/>
  <c r="T212" i="10"/>
  <c r="R212" i="10"/>
  <c r="Q212" i="10"/>
  <c r="S212" i="10" s="1"/>
  <c r="I212" i="10"/>
  <c r="C212" i="10"/>
  <c r="B212" i="10"/>
  <c r="X211" i="10"/>
  <c r="W211" i="10"/>
  <c r="U211" i="10"/>
  <c r="V211" i="10" s="1"/>
  <c r="T211" i="10"/>
  <c r="S211" i="10"/>
  <c r="R211" i="10"/>
  <c r="Q211" i="10"/>
  <c r="I211" i="10"/>
  <c r="Y211" i="10" s="1"/>
  <c r="C211" i="10"/>
  <c r="B211" i="10"/>
  <c r="Y210" i="10"/>
  <c r="X210" i="10"/>
  <c r="W210" i="10"/>
  <c r="U210" i="10"/>
  <c r="V210" i="10" s="1"/>
  <c r="T210" i="10"/>
  <c r="R210" i="10"/>
  <c r="Q210" i="10"/>
  <c r="S210" i="10" s="1"/>
  <c r="I210" i="10"/>
  <c r="C210" i="10"/>
  <c r="B210" i="10"/>
  <c r="X209" i="10"/>
  <c r="W209" i="10"/>
  <c r="U209" i="10"/>
  <c r="V209" i="10" s="1"/>
  <c r="T209" i="10"/>
  <c r="R209" i="10"/>
  <c r="Q209" i="10"/>
  <c r="S209" i="10" s="1"/>
  <c r="I209" i="10"/>
  <c r="Y209" i="10" s="1"/>
  <c r="C209" i="10"/>
  <c r="B209" i="10"/>
  <c r="Y208" i="10"/>
  <c r="X208" i="10"/>
  <c r="W208" i="10"/>
  <c r="U208" i="10"/>
  <c r="V208" i="10" s="1"/>
  <c r="T208" i="10"/>
  <c r="R208" i="10"/>
  <c r="Q208" i="10"/>
  <c r="S208" i="10" s="1"/>
  <c r="I208" i="10"/>
  <c r="C208" i="10"/>
  <c r="B208" i="10"/>
  <c r="X207" i="10"/>
  <c r="W207" i="10"/>
  <c r="U207" i="10"/>
  <c r="V207" i="10" s="1"/>
  <c r="T207" i="10"/>
  <c r="S207" i="10"/>
  <c r="R207" i="10"/>
  <c r="Q207" i="10"/>
  <c r="I207" i="10"/>
  <c r="Y207" i="10" s="1"/>
  <c r="C207" i="10"/>
  <c r="B207" i="10"/>
  <c r="Y206" i="10"/>
  <c r="X206" i="10"/>
  <c r="W206" i="10"/>
  <c r="U206" i="10"/>
  <c r="V206" i="10" s="1"/>
  <c r="T206" i="10"/>
  <c r="R206" i="10"/>
  <c r="Q206" i="10"/>
  <c r="S206" i="10" s="1"/>
  <c r="I206" i="10"/>
  <c r="C206" i="10"/>
  <c r="B206" i="10"/>
  <c r="X205" i="10"/>
  <c r="W205" i="10"/>
  <c r="U205" i="10"/>
  <c r="V205" i="10" s="1"/>
  <c r="T205" i="10"/>
  <c r="S205" i="10"/>
  <c r="R205" i="10"/>
  <c r="Q205" i="10"/>
  <c r="I205" i="10"/>
  <c r="Y205" i="10" s="1"/>
  <c r="C205" i="10"/>
  <c r="B205" i="10"/>
  <c r="X204" i="10"/>
  <c r="W204" i="10"/>
  <c r="U204" i="10"/>
  <c r="V204" i="10" s="1"/>
  <c r="T204" i="10"/>
  <c r="R204" i="10"/>
  <c r="Q204" i="10"/>
  <c r="S204" i="10" s="1"/>
  <c r="I204" i="10"/>
  <c r="Y204" i="10" s="1"/>
  <c r="C204" i="10"/>
  <c r="B204" i="10"/>
  <c r="X203" i="10"/>
  <c r="W203" i="10"/>
  <c r="U203" i="10"/>
  <c r="V203" i="10" s="1"/>
  <c r="T203" i="10"/>
  <c r="S203" i="10"/>
  <c r="R203" i="10"/>
  <c r="Q203" i="10"/>
  <c r="I203" i="10"/>
  <c r="Y203" i="10" s="1"/>
  <c r="C203" i="10"/>
  <c r="B203" i="10"/>
  <c r="X202" i="10"/>
  <c r="W202" i="10"/>
  <c r="U202" i="10"/>
  <c r="V202" i="10" s="1"/>
  <c r="T202" i="10"/>
  <c r="R202" i="10"/>
  <c r="Q202" i="10"/>
  <c r="S202" i="10" s="1"/>
  <c r="I202" i="10"/>
  <c r="Y202" i="10" s="1"/>
  <c r="C202" i="10"/>
  <c r="B202" i="10"/>
  <c r="X201" i="10"/>
  <c r="W201" i="10"/>
  <c r="U201" i="10"/>
  <c r="V201" i="10" s="1"/>
  <c r="T201" i="10"/>
  <c r="S201" i="10"/>
  <c r="R201" i="10"/>
  <c r="Q201" i="10"/>
  <c r="I201" i="10"/>
  <c r="Y201" i="10" s="1"/>
  <c r="C201" i="10"/>
  <c r="B201" i="10"/>
  <c r="X200" i="10"/>
  <c r="W200" i="10"/>
  <c r="U200" i="10"/>
  <c r="V200" i="10" s="1"/>
  <c r="T200" i="10"/>
  <c r="R200" i="10"/>
  <c r="Q200" i="10"/>
  <c r="S200" i="10" s="1"/>
  <c r="I200" i="10"/>
  <c r="Y200" i="10" s="1"/>
  <c r="C200" i="10"/>
  <c r="B200" i="10"/>
  <c r="X199" i="10"/>
  <c r="W199" i="10"/>
  <c r="U199" i="10"/>
  <c r="V199" i="10" s="1"/>
  <c r="T199" i="10"/>
  <c r="R199" i="10"/>
  <c r="Q199" i="10"/>
  <c r="S199" i="10" s="1"/>
  <c r="I199" i="10"/>
  <c r="Y199" i="10" s="1"/>
  <c r="C199" i="10"/>
  <c r="B199" i="10"/>
  <c r="X198" i="10"/>
  <c r="W198" i="10"/>
  <c r="U198" i="10"/>
  <c r="V198" i="10" s="1"/>
  <c r="T198" i="10"/>
  <c r="R198" i="10"/>
  <c r="Q198" i="10"/>
  <c r="S198" i="10" s="1"/>
  <c r="I198" i="10"/>
  <c r="Y198" i="10" s="1"/>
  <c r="C198" i="10"/>
  <c r="B198" i="10"/>
  <c r="X197" i="10"/>
  <c r="W197" i="10"/>
  <c r="U197" i="10"/>
  <c r="V197" i="10" s="1"/>
  <c r="T197" i="10"/>
  <c r="S197" i="10"/>
  <c r="R197" i="10"/>
  <c r="Q197" i="10"/>
  <c r="I197" i="10"/>
  <c r="Y197" i="10" s="1"/>
  <c r="C197" i="10"/>
  <c r="B197" i="10"/>
  <c r="X196" i="10"/>
  <c r="W196" i="10"/>
  <c r="U196" i="10"/>
  <c r="V196" i="10" s="1"/>
  <c r="T196" i="10"/>
  <c r="R196" i="10"/>
  <c r="Q196" i="10"/>
  <c r="S196" i="10" s="1"/>
  <c r="I196" i="10"/>
  <c r="Y196" i="10" s="1"/>
  <c r="C196" i="10"/>
  <c r="B196" i="10"/>
  <c r="X195" i="10"/>
  <c r="W195" i="10"/>
  <c r="U195" i="10"/>
  <c r="V195" i="10" s="1"/>
  <c r="T195" i="10"/>
  <c r="R195" i="10"/>
  <c r="Q195" i="10"/>
  <c r="S195" i="10" s="1"/>
  <c r="I195" i="10"/>
  <c r="Y195" i="10" s="1"/>
  <c r="C195" i="10"/>
  <c r="B195" i="10"/>
  <c r="X194" i="10"/>
  <c r="W194" i="10"/>
  <c r="U194" i="10"/>
  <c r="V194" i="10" s="1"/>
  <c r="T194" i="10"/>
  <c r="R194" i="10"/>
  <c r="Q194" i="10"/>
  <c r="S194" i="10" s="1"/>
  <c r="I194" i="10"/>
  <c r="Y194" i="10" s="1"/>
  <c r="C194" i="10"/>
  <c r="B194" i="10"/>
  <c r="X193" i="10"/>
  <c r="W193" i="10"/>
  <c r="U193" i="10"/>
  <c r="V193" i="10" s="1"/>
  <c r="T193" i="10"/>
  <c r="R193" i="10"/>
  <c r="Q193" i="10"/>
  <c r="S193" i="10" s="1"/>
  <c r="I193" i="10"/>
  <c r="Y193" i="10" s="1"/>
  <c r="C193" i="10"/>
  <c r="B193" i="10"/>
  <c r="X192" i="10"/>
  <c r="W192" i="10"/>
  <c r="U192" i="10"/>
  <c r="V192" i="10" s="1"/>
  <c r="T192" i="10"/>
  <c r="R192" i="10"/>
  <c r="Q192" i="10"/>
  <c r="S192" i="10" s="1"/>
  <c r="I192" i="10"/>
  <c r="Y192" i="10" s="1"/>
  <c r="C192" i="10"/>
  <c r="B192" i="10"/>
  <c r="X191" i="10"/>
  <c r="W191" i="10"/>
  <c r="U191" i="10"/>
  <c r="V191" i="10" s="1"/>
  <c r="T191" i="10"/>
  <c r="S191" i="10"/>
  <c r="R191" i="10"/>
  <c r="Q191" i="10"/>
  <c r="I191" i="10"/>
  <c r="Y191" i="10" s="1"/>
  <c r="C191" i="10"/>
  <c r="B191" i="10"/>
  <c r="X190" i="10"/>
  <c r="W190" i="10"/>
  <c r="U190" i="10"/>
  <c r="V190" i="10" s="1"/>
  <c r="T190" i="10"/>
  <c r="R190" i="10"/>
  <c r="Q190" i="10"/>
  <c r="S190" i="10" s="1"/>
  <c r="I190" i="10"/>
  <c r="Y190" i="10" s="1"/>
  <c r="C190" i="10"/>
  <c r="B190" i="10"/>
  <c r="X189" i="10"/>
  <c r="W189" i="10"/>
  <c r="U189" i="10"/>
  <c r="V189" i="10" s="1"/>
  <c r="T189" i="10"/>
  <c r="S189" i="10"/>
  <c r="R189" i="10"/>
  <c r="Q189" i="10"/>
  <c r="I189" i="10"/>
  <c r="Y189" i="10" s="1"/>
  <c r="C189" i="10"/>
  <c r="B189" i="10"/>
  <c r="X188" i="10"/>
  <c r="W188" i="10"/>
  <c r="U188" i="10"/>
  <c r="V188" i="10" s="1"/>
  <c r="T188" i="10"/>
  <c r="R188" i="10"/>
  <c r="Q188" i="10"/>
  <c r="S188" i="10" s="1"/>
  <c r="I188" i="10"/>
  <c r="Y188" i="10" s="1"/>
  <c r="C188" i="10"/>
  <c r="B188" i="10"/>
  <c r="X187" i="10"/>
  <c r="W187" i="10"/>
  <c r="U187" i="10"/>
  <c r="V187" i="10" s="1"/>
  <c r="T187" i="10"/>
  <c r="S187" i="10"/>
  <c r="R187" i="10"/>
  <c r="Q187" i="10"/>
  <c r="I187" i="10"/>
  <c r="Y187" i="10" s="1"/>
  <c r="C187" i="10"/>
  <c r="B187" i="10"/>
  <c r="X186" i="10"/>
  <c r="W186" i="10"/>
  <c r="U186" i="10"/>
  <c r="V186" i="10" s="1"/>
  <c r="T186" i="10"/>
  <c r="R186" i="10"/>
  <c r="Q186" i="10"/>
  <c r="S186" i="10" s="1"/>
  <c r="I186" i="10"/>
  <c r="Y186" i="10" s="1"/>
  <c r="C186" i="10"/>
  <c r="B186" i="10"/>
  <c r="X185" i="10"/>
  <c r="W185" i="10"/>
  <c r="U185" i="10"/>
  <c r="V185" i="10" s="1"/>
  <c r="T185" i="10"/>
  <c r="S185" i="10"/>
  <c r="R185" i="10"/>
  <c r="Q185" i="10"/>
  <c r="I185" i="10"/>
  <c r="Y185" i="10" s="1"/>
  <c r="C185" i="10"/>
  <c r="B185" i="10"/>
  <c r="X184" i="10"/>
  <c r="W184" i="10"/>
  <c r="U184" i="10"/>
  <c r="V184" i="10" s="1"/>
  <c r="T184" i="10"/>
  <c r="R184" i="10"/>
  <c r="Q184" i="10"/>
  <c r="S184" i="10" s="1"/>
  <c r="I184" i="10"/>
  <c r="Y184" i="10" s="1"/>
  <c r="C184" i="10"/>
  <c r="B184" i="10"/>
  <c r="X183" i="10"/>
  <c r="W183" i="10"/>
  <c r="U183" i="10"/>
  <c r="V183" i="10" s="1"/>
  <c r="T183" i="10"/>
  <c r="R183" i="10"/>
  <c r="Q183" i="10"/>
  <c r="S183" i="10" s="1"/>
  <c r="I183" i="10"/>
  <c r="Y183" i="10" s="1"/>
  <c r="C183" i="10"/>
  <c r="B183" i="10"/>
  <c r="X182" i="10"/>
  <c r="W182" i="10"/>
  <c r="U182" i="10"/>
  <c r="V182" i="10" s="1"/>
  <c r="T182" i="10"/>
  <c r="R182" i="10"/>
  <c r="Q182" i="10"/>
  <c r="S182" i="10" s="1"/>
  <c r="I182" i="10"/>
  <c r="Y182" i="10" s="1"/>
  <c r="C182" i="10"/>
  <c r="B182" i="10"/>
  <c r="X181" i="10"/>
  <c r="W181" i="10"/>
  <c r="U181" i="10"/>
  <c r="V181" i="10" s="1"/>
  <c r="T181" i="10"/>
  <c r="S181" i="10"/>
  <c r="R181" i="10"/>
  <c r="Q181" i="10"/>
  <c r="I181" i="10"/>
  <c r="Y181" i="10" s="1"/>
  <c r="C181" i="10"/>
  <c r="B181" i="10"/>
  <c r="X180" i="10"/>
  <c r="W180" i="10"/>
  <c r="U180" i="10"/>
  <c r="V180" i="10" s="1"/>
  <c r="T180" i="10"/>
  <c r="R180" i="10"/>
  <c r="Q180" i="10"/>
  <c r="S180" i="10" s="1"/>
  <c r="I180" i="10"/>
  <c r="Y180" i="10" s="1"/>
  <c r="C180" i="10"/>
  <c r="B180" i="10"/>
  <c r="X179" i="10"/>
  <c r="W179" i="10"/>
  <c r="U179" i="10"/>
  <c r="V179" i="10" s="1"/>
  <c r="T179" i="10"/>
  <c r="R179" i="10"/>
  <c r="Q179" i="10"/>
  <c r="S179" i="10" s="1"/>
  <c r="I179" i="10"/>
  <c r="Y179" i="10" s="1"/>
  <c r="C179" i="10"/>
  <c r="B179" i="10"/>
  <c r="X178" i="10"/>
  <c r="W178" i="10"/>
  <c r="U178" i="10"/>
  <c r="V178" i="10" s="1"/>
  <c r="T178" i="10"/>
  <c r="R178" i="10"/>
  <c r="Q178" i="10"/>
  <c r="S178" i="10" s="1"/>
  <c r="I178" i="10"/>
  <c r="Y178" i="10" s="1"/>
  <c r="C178" i="10"/>
  <c r="B178" i="10"/>
  <c r="X177" i="10"/>
  <c r="W177" i="10"/>
  <c r="U177" i="10"/>
  <c r="V177" i="10" s="1"/>
  <c r="T177" i="10"/>
  <c r="R177" i="10"/>
  <c r="Q177" i="10"/>
  <c r="S177" i="10" s="1"/>
  <c r="I177" i="10"/>
  <c r="Y177" i="10" s="1"/>
  <c r="C177" i="10"/>
  <c r="B177" i="10"/>
  <c r="X176" i="10"/>
  <c r="W176" i="10"/>
  <c r="U176" i="10"/>
  <c r="V176" i="10" s="1"/>
  <c r="T176" i="10"/>
  <c r="R176" i="10"/>
  <c r="Q176" i="10"/>
  <c r="S176" i="10" s="1"/>
  <c r="I176" i="10"/>
  <c r="Y176" i="10" s="1"/>
  <c r="C176" i="10"/>
  <c r="B176" i="10"/>
  <c r="X175" i="10"/>
  <c r="W175" i="10"/>
  <c r="U175" i="10"/>
  <c r="V175" i="10" s="1"/>
  <c r="T175" i="10"/>
  <c r="S175" i="10"/>
  <c r="R175" i="10"/>
  <c r="Q175" i="10"/>
  <c r="I175" i="10"/>
  <c r="Y175" i="10" s="1"/>
  <c r="C175" i="10"/>
  <c r="B175" i="10"/>
  <c r="X174" i="10"/>
  <c r="W174" i="10"/>
  <c r="U174" i="10"/>
  <c r="V174" i="10" s="1"/>
  <c r="T174" i="10"/>
  <c r="R174" i="10"/>
  <c r="Q174" i="10"/>
  <c r="S174" i="10" s="1"/>
  <c r="I174" i="10"/>
  <c r="Y174" i="10" s="1"/>
  <c r="C174" i="10"/>
  <c r="B174" i="10"/>
  <c r="X173" i="10"/>
  <c r="W173" i="10"/>
  <c r="U173" i="10"/>
  <c r="V173" i="10" s="1"/>
  <c r="T173" i="10"/>
  <c r="S173" i="10"/>
  <c r="R173" i="10"/>
  <c r="Q173" i="10"/>
  <c r="I173" i="10"/>
  <c r="Y173" i="10" s="1"/>
  <c r="C173" i="10"/>
  <c r="B173" i="10"/>
  <c r="X172" i="10"/>
  <c r="W172" i="10"/>
  <c r="U172" i="10"/>
  <c r="V172" i="10" s="1"/>
  <c r="T172" i="10"/>
  <c r="R172" i="10"/>
  <c r="Q172" i="10"/>
  <c r="S172" i="10" s="1"/>
  <c r="I172" i="10"/>
  <c r="Y172" i="10" s="1"/>
  <c r="C172" i="10"/>
  <c r="B172" i="10"/>
  <c r="X171" i="10"/>
  <c r="W171" i="10"/>
  <c r="U171" i="10"/>
  <c r="V171" i="10" s="1"/>
  <c r="T171" i="10"/>
  <c r="S171" i="10"/>
  <c r="R171" i="10"/>
  <c r="Q171" i="10"/>
  <c r="I171" i="10"/>
  <c r="Y171" i="10" s="1"/>
  <c r="C171" i="10"/>
  <c r="B171" i="10"/>
  <c r="X170" i="10"/>
  <c r="W170" i="10"/>
  <c r="U170" i="10"/>
  <c r="V170" i="10" s="1"/>
  <c r="T170" i="10"/>
  <c r="R170" i="10"/>
  <c r="Q170" i="10"/>
  <c r="S170" i="10" s="1"/>
  <c r="I170" i="10"/>
  <c r="Y170" i="10" s="1"/>
  <c r="C170" i="10"/>
  <c r="B170" i="10"/>
  <c r="X169" i="10"/>
  <c r="W169" i="10"/>
  <c r="U169" i="10"/>
  <c r="V169" i="10" s="1"/>
  <c r="T169" i="10"/>
  <c r="R169" i="10"/>
  <c r="Q169" i="10"/>
  <c r="S169" i="10" s="1"/>
  <c r="I169" i="10"/>
  <c r="Y169" i="10" s="1"/>
  <c r="C169" i="10"/>
  <c r="B169" i="10"/>
  <c r="X168" i="10"/>
  <c r="W168" i="10"/>
  <c r="U168" i="10"/>
  <c r="V168" i="10" s="1"/>
  <c r="T168" i="10"/>
  <c r="R168" i="10"/>
  <c r="Q168" i="10"/>
  <c r="S168" i="10" s="1"/>
  <c r="I168" i="10"/>
  <c r="Y168" i="10" s="1"/>
  <c r="C168" i="10"/>
  <c r="B168" i="10"/>
  <c r="X167" i="10"/>
  <c r="W167" i="10"/>
  <c r="U167" i="10"/>
  <c r="V167" i="10" s="1"/>
  <c r="T167" i="10"/>
  <c r="R167" i="10"/>
  <c r="Q167" i="10"/>
  <c r="S167" i="10" s="1"/>
  <c r="I167" i="10"/>
  <c r="Y167" i="10" s="1"/>
  <c r="C167" i="10"/>
  <c r="B167" i="10"/>
  <c r="X166" i="10"/>
  <c r="W166" i="10"/>
  <c r="U166" i="10"/>
  <c r="V166" i="10" s="1"/>
  <c r="T166" i="10"/>
  <c r="R166" i="10"/>
  <c r="Q166" i="10"/>
  <c r="S166" i="10" s="1"/>
  <c r="I166" i="10"/>
  <c r="Y166" i="10" s="1"/>
  <c r="C166" i="10"/>
  <c r="B166" i="10"/>
  <c r="X165" i="10"/>
  <c r="W165" i="10"/>
  <c r="U165" i="10"/>
  <c r="V165" i="10" s="1"/>
  <c r="T165" i="10"/>
  <c r="S165" i="10"/>
  <c r="R165" i="10"/>
  <c r="Q165" i="10"/>
  <c r="I165" i="10"/>
  <c r="Y165" i="10" s="1"/>
  <c r="C165" i="10"/>
  <c r="B165" i="10"/>
  <c r="X164" i="10"/>
  <c r="W164" i="10"/>
  <c r="U164" i="10"/>
  <c r="V164" i="10" s="1"/>
  <c r="T164" i="10"/>
  <c r="R164" i="10"/>
  <c r="Q164" i="10"/>
  <c r="S164" i="10" s="1"/>
  <c r="I164" i="10"/>
  <c r="Y164" i="10" s="1"/>
  <c r="C164" i="10"/>
  <c r="B164" i="10"/>
  <c r="X163" i="10"/>
  <c r="W163" i="10"/>
  <c r="U163" i="10"/>
  <c r="V163" i="10" s="1"/>
  <c r="T163" i="10"/>
  <c r="R163" i="10"/>
  <c r="Q163" i="10"/>
  <c r="S163" i="10" s="1"/>
  <c r="I163" i="10"/>
  <c r="Y163" i="10" s="1"/>
  <c r="C163" i="10"/>
  <c r="B163" i="10"/>
  <c r="X162" i="10"/>
  <c r="W162" i="10"/>
  <c r="U162" i="10"/>
  <c r="V162" i="10" s="1"/>
  <c r="T162" i="10"/>
  <c r="R162" i="10"/>
  <c r="Q162" i="10"/>
  <c r="S162" i="10" s="1"/>
  <c r="I162" i="10"/>
  <c r="Y162" i="10" s="1"/>
  <c r="C162" i="10"/>
  <c r="B162" i="10"/>
  <c r="X161" i="10"/>
  <c r="W161" i="10"/>
  <c r="U161" i="10"/>
  <c r="V161" i="10" s="1"/>
  <c r="T161" i="10"/>
  <c r="R161" i="10"/>
  <c r="Q161" i="10"/>
  <c r="S161" i="10" s="1"/>
  <c r="I161" i="10"/>
  <c r="Y161" i="10" s="1"/>
  <c r="C161" i="10"/>
  <c r="B161" i="10"/>
  <c r="X160" i="10"/>
  <c r="W160" i="10"/>
  <c r="U160" i="10"/>
  <c r="V160" i="10" s="1"/>
  <c r="T160" i="10"/>
  <c r="R160" i="10"/>
  <c r="Q160" i="10"/>
  <c r="S160" i="10" s="1"/>
  <c r="I160" i="10"/>
  <c r="Y160" i="10" s="1"/>
  <c r="C160" i="10"/>
  <c r="B160" i="10"/>
  <c r="X159" i="10"/>
  <c r="W159" i="10"/>
  <c r="U159" i="10"/>
  <c r="V159" i="10" s="1"/>
  <c r="T159" i="10"/>
  <c r="S159" i="10"/>
  <c r="R159" i="10"/>
  <c r="Q159" i="10"/>
  <c r="I159" i="10"/>
  <c r="Y159" i="10" s="1"/>
  <c r="C159" i="10"/>
  <c r="B159" i="10"/>
  <c r="X158" i="10"/>
  <c r="W158" i="10"/>
  <c r="U158" i="10"/>
  <c r="V158" i="10" s="1"/>
  <c r="T158" i="10"/>
  <c r="R158" i="10"/>
  <c r="Q158" i="10"/>
  <c r="S158" i="10" s="1"/>
  <c r="I158" i="10"/>
  <c r="Y158" i="10" s="1"/>
  <c r="C158" i="10"/>
  <c r="B158" i="10"/>
  <c r="X157" i="10"/>
  <c r="W157" i="10"/>
  <c r="U157" i="10"/>
  <c r="V157" i="10" s="1"/>
  <c r="T157" i="10"/>
  <c r="S157" i="10"/>
  <c r="R157" i="10"/>
  <c r="Q157" i="10"/>
  <c r="I157" i="10"/>
  <c r="Y157" i="10" s="1"/>
  <c r="C157" i="10"/>
  <c r="B157" i="10"/>
  <c r="X156" i="10"/>
  <c r="W156" i="10"/>
  <c r="U156" i="10"/>
  <c r="V156" i="10" s="1"/>
  <c r="T156" i="10"/>
  <c r="R156" i="10"/>
  <c r="Q156" i="10"/>
  <c r="S156" i="10" s="1"/>
  <c r="I156" i="10"/>
  <c r="Y156" i="10" s="1"/>
  <c r="C156" i="10"/>
  <c r="B156" i="10"/>
  <c r="X155" i="10"/>
  <c r="W155" i="10"/>
  <c r="U155" i="10"/>
  <c r="V155" i="10" s="1"/>
  <c r="T155" i="10"/>
  <c r="S155" i="10"/>
  <c r="R155" i="10"/>
  <c r="Q155" i="10"/>
  <c r="I155" i="10"/>
  <c r="Y155" i="10" s="1"/>
  <c r="C155" i="10"/>
  <c r="B155" i="10"/>
  <c r="X154" i="10"/>
  <c r="W154" i="10"/>
  <c r="U154" i="10"/>
  <c r="V154" i="10" s="1"/>
  <c r="T154" i="10"/>
  <c r="R154" i="10"/>
  <c r="Q154" i="10"/>
  <c r="S154" i="10" s="1"/>
  <c r="I154" i="10"/>
  <c r="Y154" i="10" s="1"/>
  <c r="C154" i="10"/>
  <c r="B154" i="10"/>
  <c r="X153" i="10"/>
  <c r="W153" i="10"/>
  <c r="U153" i="10"/>
  <c r="V153" i="10" s="1"/>
  <c r="T153" i="10"/>
  <c r="S153" i="10"/>
  <c r="R153" i="10"/>
  <c r="Q153" i="10"/>
  <c r="I153" i="10"/>
  <c r="Y153" i="10" s="1"/>
  <c r="C153" i="10"/>
  <c r="B153" i="10"/>
  <c r="X152" i="10"/>
  <c r="W152" i="10"/>
  <c r="U152" i="10"/>
  <c r="V152" i="10" s="1"/>
  <c r="T152" i="10"/>
  <c r="R152" i="10"/>
  <c r="Q152" i="10"/>
  <c r="S152" i="10" s="1"/>
  <c r="I152" i="10"/>
  <c r="Y152" i="10" s="1"/>
  <c r="C152" i="10"/>
  <c r="B152" i="10"/>
  <c r="X151" i="10"/>
  <c r="W151" i="10"/>
  <c r="U151" i="10"/>
  <c r="V151" i="10" s="1"/>
  <c r="T151" i="10"/>
  <c r="R151" i="10"/>
  <c r="Q151" i="10"/>
  <c r="S151" i="10" s="1"/>
  <c r="I151" i="10"/>
  <c r="Y151" i="10" s="1"/>
  <c r="C151" i="10"/>
  <c r="B151" i="10"/>
  <c r="X150" i="10"/>
  <c r="W150" i="10"/>
  <c r="U150" i="10"/>
  <c r="V150" i="10" s="1"/>
  <c r="T150" i="10"/>
  <c r="R150" i="10"/>
  <c r="Q150" i="10"/>
  <c r="S150" i="10" s="1"/>
  <c r="I150" i="10"/>
  <c r="Y150" i="10" s="1"/>
  <c r="C150" i="10"/>
  <c r="B150" i="10"/>
  <c r="X149" i="10"/>
  <c r="W149" i="10"/>
  <c r="U149" i="10"/>
  <c r="V149" i="10" s="1"/>
  <c r="T149" i="10"/>
  <c r="S149" i="10"/>
  <c r="R149" i="10"/>
  <c r="Q149" i="10"/>
  <c r="I149" i="10"/>
  <c r="Y149" i="10" s="1"/>
  <c r="C149" i="10"/>
  <c r="B149" i="10"/>
  <c r="X148" i="10"/>
  <c r="W148" i="10"/>
  <c r="U148" i="10"/>
  <c r="V148" i="10" s="1"/>
  <c r="T148" i="10"/>
  <c r="R148" i="10"/>
  <c r="Q148" i="10"/>
  <c r="S148" i="10" s="1"/>
  <c r="I148" i="10"/>
  <c r="Y148" i="10" s="1"/>
  <c r="C148" i="10"/>
  <c r="B148" i="10"/>
  <c r="X147" i="10"/>
  <c r="W147" i="10"/>
  <c r="U147" i="10"/>
  <c r="V147" i="10" s="1"/>
  <c r="T147" i="10"/>
  <c r="R147" i="10"/>
  <c r="Q147" i="10"/>
  <c r="S147" i="10" s="1"/>
  <c r="I147" i="10"/>
  <c r="Y147" i="10" s="1"/>
  <c r="C147" i="10"/>
  <c r="B147" i="10"/>
  <c r="X146" i="10"/>
  <c r="W146" i="10"/>
  <c r="U146" i="10"/>
  <c r="V146" i="10" s="1"/>
  <c r="T146" i="10"/>
  <c r="R146" i="10"/>
  <c r="Q146" i="10"/>
  <c r="S146" i="10" s="1"/>
  <c r="I146" i="10"/>
  <c r="Y146" i="10" s="1"/>
  <c r="C146" i="10"/>
  <c r="B146" i="10"/>
  <c r="X145" i="10"/>
  <c r="W145" i="10"/>
  <c r="U145" i="10"/>
  <c r="V145" i="10" s="1"/>
  <c r="T145" i="10"/>
  <c r="R145" i="10"/>
  <c r="Q145" i="10"/>
  <c r="S145" i="10" s="1"/>
  <c r="I145" i="10"/>
  <c r="Y145" i="10" s="1"/>
  <c r="C145" i="10"/>
  <c r="B145" i="10"/>
  <c r="X144" i="10"/>
  <c r="W144" i="10"/>
  <c r="U144" i="10"/>
  <c r="V144" i="10" s="1"/>
  <c r="T144" i="10"/>
  <c r="R144" i="10"/>
  <c r="Q144" i="10"/>
  <c r="S144" i="10" s="1"/>
  <c r="I144" i="10"/>
  <c r="Y144" i="10" s="1"/>
  <c r="C144" i="10"/>
  <c r="B144" i="10"/>
  <c r="X143" i="10"/>
  <c r="W143" i="10"/>
  <c r="U143" i="10"/>
  <c r="V143" i="10" s="1"/>
  <c r="T143" i="10"/>
  <c r="S143" i="10"/>
  <c r="R143" i="10"/>
  <c r="Q143" i="10"/>
  <c r="I143" i="10"/>
  <c r="Y143" i="10" s="1"/>
  <c r="C143" i="10"/>
  <c r="B143" i="10"/>
  <c r="X142" i="10"/>
  <c r="W142" i="10"/>
  <c r="U142" i="10"/>
  <c r="V142" i="10" s="1"/>
  <c r="T142" i="10"/>
  <c r="R142" i="10"/>
  <c r="Q142" i="10"/>
  <c r="S142" i="10" s="1"/>
  <c r="I142" i="10"/>
  <c r="Y142" i="10" s="1"/>
  <c r="C142" i="10"/>
  <c r="B142" i="10"/>
  <c r="X141" i="10"/>
  <c r="W141" i="10"/>
  <c r="U141" i="10"/>
  <c r="V141" i="10" s="1"/>
  <c r="T141" i="10"/>
  <c r="S141" i="10"/>
  <c r="R141" i="10"/>
  <c r="Q141" i="10"/>
  <c r="I141" i="10"/>
  <c r="Y141" i="10" s="1"/>
  <c r="C141" i="10"/>
  <c r="B141" i="10"/>
  <c r="X140" i="10"/>
  <c r="W140" i="10"/>
  <c r="U140" i="10"/>
  <c r="V140" i="10" s="1"/>
  <c r="T140" i="10"/>
  <c r="R140" i="10"/>
  <c r="Q140" i="10"/>
  <c r="S140" i="10" s="1"/>
  <c r="I140" i="10"/>
  <c r="Y140" i="10" s="1"/>
  <c r="C140" i="10"/>
  <c r="B140" i="10"/>
  <c r="X139" i="10"/>
  <c r="W139" i="10"/>
  <c r="U139" i="10"/>
  <c r="V139" i="10" s="1"/>
  <c r="T139" i="10"/>
  <c r="S139" i="10"/>
  <c r="R139" i="10"/>
  <c r="Q139" i="10"/>
  <c r="I139" i="10"/>
  <c r="Y139" i="10" s="1"/>
  <c r="C139" i="10"/>
  <c r="B139" i="10"/>
  <c r="X138" i="10"/>
  <c r="W138" i="10"/>
  <c r="U138" i="10"/>
  <c r="V138" i="10" s="1"/>
  <c r="T138" i="10"/>
  <c r="R138" i="10"/>
  <c r="Q138" i="10"/>
  <c r="S138" i="10" s="1"/>
  <c r="I138" i="10"/>
  <c r="Y138" i="10" s="1"/>
  <c r="C138" i="10"/>
  <c r="B138" i="10"/>
  <c r="X137" i="10"/>
  <c r="W137" i="10"/>
  <c r="U137" i="10"/>
  <c r="V137" i="10" s="1"/>
  <c r="T137" i="10"/>
  <c r="R137" i="10"/>
  <c r="Q137" i="10"/>
  <c r="S137" i="10" s="1"/>
  <c r="I137" i="10"/>
  <c r="Y137" i="10" s="1"/>
  <c r="C137" i="10"/>
  <c r="B137" i="10"/>
  <c r="X136" i="10"/>
  <c r="W136" i="10"/>
  <c r="U136" i="10"/>
  <c r="V136" i="10" s="1"/>
  <c r="T136" i="10"/>
  <c r="R136" i="10"/>
  <c r="Q136" i="10"/>
  <c r="S136" i="10" s="1"/>
  <c r="I136" i="10"/>
  <c r="Y136" i="10" s="1"/>
  <c r="C136" i="10"/>
  <c r="B136" i="10"/>
  <c r="X135" i="10"/>
  <c r="W135" i="10"/>
  <c r="U135" i="10"/>
  <c r="V135" i="10" s="1"/>
  <c r="T135" i="10"/>
  <c r="R135" i="10"/>
  <c r="Q135" i="10"/>
  <c r="S135" i="10" s="1"/>
  <c r="I135" i="10"/>
  <c r="Y135" i="10" s="1"/>
  <c r="C135" i="10"/>
  <c r="B135" i="10"/>
  <c r="X134" i="10"/>
  <c r="W134" i="10"/>
  <c r="U134" i="10"/>
  <c r="V134" i="10" s="1"/>
  <c r="T134" i="10"/>
  <c r="R134" i="10"/>
  <c r="Q134" i="10"/>
  <c r="S134" i="10" s="1"/>
  <c r="I134" i="10"/>
  <c r="Y134" i="10" s="1"/>
  <c r="C134" i="10"/>
  <c r="B134" i="10"/>
  <c r="X133" i="10"/>
  <c r="W133" i="10"/>
  <c r="U133" i="10"/>
  <c r="V133" i="10" s="1"/>
  <c r="T133" i="10"/>
  <c r="S133" i="10"/>
  <c r="R133" i="10"/>
  <c r="Q133" i="10"/>
  <c r="I133" i="10"/>
  <c r="Y133" i="10" s="1"/>
  <c r="C133" i="10"/>
  <c r="B133" i="10"/>
  <c r="X132" i="10"/>
  <c r="W132" i="10"/>
  <c r="U132" i="10"/>
  <c r="V132" i="10" s="1"/>
  <c r="T132" i="10"/>
  <c r="R132" i="10"/>
  <c r="Q132" i="10"/>
  <c r="S132" i="10" s="1"/>
  <c r="I132" i="10"/>
  <c r="Y132" i="10" s="1"/>
  <c r="C132" i="10"/>
  <c r="B132" i="10"/>
  <c r="X131" i="10"/>
  <c r="W131" i="10"/>
  <c r="U131" i="10"/>
  <c r="V131" i="10" s="1"/>
  <c r="T131" i="10"/>
  <c r="R131" i="10"/>
  <c r="Q131" i="10"/>
  <c r="S131" i="10" s="1"/>
  <c r="I131" i="10"/>
  <c r="Y131" i="10" s="1"/>
  <c r="C131" i="10"/>
  <c r="B131" i="10"/>
  <c r="X130" i="10"/>
  <c r="W130" i="10"/>
  <c r="U130" i="10"/>
  <c r="V130" i="10" s="1"/>
  <c r="T130" i="10"/>
  <c r="R130" i="10"/>
  <c r="Q130" i="10"/>
  <c r="S130" i="10" s="1"/>
  <c r="I130" i="10"/>
  <c r="Y130" i="10" s="1"/>
  <c r="C130" i="10"/>
  <c r="B130" i="10"/>
  <c r="X129" i="10"/>
  <c r="W129" i="10"/>
  <c r="U129" i="10"/>
  <c r="V129" i="10" s="1"/>
  <c r="T129" i="10"/>
  <c r="R129" i="10"/>
  <c r="Q129" i="10"/>
  <c r="S129" i="10" s="1"/>
  <c r="I129" i="10"/>
  <c r="Y129" i="10" s="1"/>
  <c r="C129" i="10"/>
  <c r="B129" i="10"/>
  <c r="X128" i="10"/>
  <c r="W128" i="10"/>
  <c r="U128" i="10"/>
  <c r="V128" i="10" s="1"/>
  <c r="T128" i="10"/>
  <c r="R128" i="10"/>
  <c r="Q128" i="10"/>
  <c r="S128" i="10" s="1"/>
  <c r="I128" i="10"/>
  <c r="Y128" i="10" s="1"/>
  <c r="C128" i="10"/>
  <c r="B128" i="10"/>
  <c r="X127" i="10"/>
  <c r="W127" i="10"/>
  <c r="U127" i="10"/>
  <c r="V127" i="10" s="1"/>
  <c r="T127" i="10"/>
  <c r="S127" i="10"/>
  <c r="R127" i="10"/>
  <c r="Q127" i="10"/>
  <c r="I127" i="10"/>
  <c r="Y127" i="10" s="1"/>
  <c r="C127" i="10"/>
  <c r="B127" i="10"/>
  <c r="X126" i="10"/>
  <c r="W126" i="10"/>
  <c r="U126" i="10"/>
  <c r="V126" i="10" s="1"/>
  <c r="T126" i="10"/>
  <c r="R126" i="10"/>
  <c r="Q126" i="10"/>
  <c r="S126" i="10" s="1"/>
  <c r="I126" i="10"/>
  <c r="Y126" i="10" s="1"/>
  <c r="C126" i="10"/>
  <c r="B126" i="10"/>
  <c r="X125" i="10"/>
  <c r="W125" i="10"/>
  <c r="U125" i="10"/>
  <c r="V125" i="10" s="1"/>
  <c r="T125" i="10"/>
  <c r="S125" i="10"/>
  <c r="R125" i="10"/>
  <c r="Q125" i="10"/>
  <c r="I125" i="10"/>
  <c r="Y125" i="10" s="1"/>
  <c r="C125" i="10"/>
  <c r="B125" i="10"/>
  <c r="X124" i="10"/>
  <c r="W124" i="10"/>
  <c r="U124" i="10"/>
  <c r="V124" i="10" s="1"/>
  <c r="T124" i="10"/>
  <c r="R124" i="10"/>
  <c r="Q124" i="10"/>
  <c r="S124" i="10" s="1"/>
  <c r="I124" i="10"/>
  <c r="Y124" i="10" s="1"/>
  <c r="C124" i="10"/>
  <c r="B124" i="10"/>
  <c r="X123" i="10"/>
  <c r="W123" i="10"/>
  <c r="U123" i="10"/>
  <c r="V123" i="10" s="1"/>
  <c r="T123" i="10"/>
  <c r="S123" i="10"/>
  <c r="R123" i="10"/>
  <c r="Q123" i="10"/>
  <c r="I123" i="10"/>
  <c r="Y123" i="10" s="1"/>
  <c r="C123" i="10"/>
  <c r="B123" i="10"/>
  <c r="X122" i="10"/>
  <c r="W122" i="10"/>
  <c r="U122" i="10"/>
  <c r="V122" i="10" s="1"/>
  <c r="T122" i="10"/>
  <c r="R122" i="10"/>
  <c r="Q122" i="10"/>
  <c r="S122" i="10" s="1"/>
  <c r="I122" i="10"/>
  <c r="Y122" i="10" s="1"/>
  <c r="C122" i="10"/>
  <c r="B122" i="10"/>
  <c r="X121" i="10"/>
  <c r="W121" i="10"/>
  <c r="U121" i="10"/>
  <c r="V121" i="10" s="1"/>
  <c r="T121" i="10"/>
  <c r="R121" i="10"/>
  <c r="Q121" i="10"/>
  <c r="S121" i="10" s="1"/>
  <c r="I121" i="10"/>
  <c r="Y121" i="10" s="1"/>
  <c r="C121" i="10"/>
  <c r="B121" i="10"/>
  <c r="X120" i="10"/>
  <c r="W120" i="10"/>
  <c r="U120" i="10"/>
  <c r="V120" i="10" s="1"/>
  <c r="T120" i="10"/>
  <c r="R120" i="10"/>
  <c r="Q120" i="10"/>
  <c r="S120" i="10" s="1"/>
  <c r="I120" i="10"/>
  <c r="Y120" i="10" s="1"/>
  <c r="C120" i="10"/>
  <c r="B120" i="10"/>
  <c r="X119" i="10"/>
  <c r="W119" i="10"/>
  <c r="U119" i="10"/>
  <c r="V119" i="10" s="1"/>
  <c r="T119" i="10"/>
  <c r="R119" i="10"/>
  <c r="Q119" i="10"/>
  <c r="S119" i="10" s="1"/>
  <c r="I119" i="10"/>
  <c r="Y119" i="10" s="1"/>
  <c r="C119" i="10"/>
  <c r="B119" i="10"/>
  <c r="X118" i="10"/>
  <c r="W118" i="10"/>
  <c r="U118" i="10"/>
  <c r="V118" i="10" s="1"/>
  <c r="T118" i="10"/>
  <c r="R118" i="10"/>
  <c r="Q118" i="10"/>
  <c r="S118" i="10" s="1"/>
  <c r="I118" i="10"/>
  <c r="Y118" i="10" s="1"/>
  <c r="C118" i="10"/>
  <c r="B118" i="10"/>
  <c r="X117" i="10"/>
  <c r="W117" i="10"/>
  <c r="U117" i="10"/>
  <c r="V117" i="10" s="1"/>
  <c r="T117" i="10"/>
  <c r="S117" i="10"/>
  <c r="R117" i="10"/>
  <c r="Q117" i="10"/>
  <c r="I117" i="10"/>
  <c r="Y117" i="10" s="1"/>
  <c r="C117" i="10"/>
  <c r="B117" i="10"/>
  <c r="X116" i="10"/>
  <c r="W116" i="10"/>
  <c r="U116" i="10"/>
  <c r="V116" i="10" s="1"/>
  <c r="T116" i="10"/>
  <c r="R116" i="10"/>
  <c r="Q116" i="10"/>
  <c r="S116" i="10" s="1"/>
  <c r="I116" i="10"/>
  <c r="Y116" i="10" s="1"/>
  <c r="C116" i="10"/>
  <c r="B116" i="10"/>
  <c r="X115" i="10"/>
  <c r="W115" i="10"/>
  <c r="U115" i="10"/>
  <c r="V115" i="10" s="1"/>
  <c r="T115" i="10"/>
  <c r="R115" i="10"/>
  <c r="Q115" i="10"/>
  <c r="S115" i="10" s="1"/>
  <c r="I115" i="10"/>
  <c r="Y115" i="10" s="1"/>
  <c r="C115" i="10"/>
  <c r="B115" i="10"/>
  <c r="X114" i="10"/>
  <c r="W114" i="10"/>
  <c r="U114" i="10"/>
  <c r="V114" i="10" s="1"/>
  <c r="T114" i="10"/>
  <c r="R114" i="10"/>
  <c r="Q114" i="10"/>
  <c r="S114" i="10" s="1"/>
  <c r="I114" i="10"/>
  <c r="Y114" i="10" s="1"/>
  <c r="C114" i="10"/>
  <c r="B114" i="10"/>
  <c r="X113" i="10"/>
  <c r="W113" i="10"/>
  <c r="U113" i="10"/>
  <c r="V113" i="10" s="1"/>
  <c r="T113" i="10"/>
  <c r="R113" i="10"/>
  <c r="Q113" i="10"/>
  <c r="S113" i="10" s="1"/>
  <c r="I113" i="10"/>
  <c r="Y113" i="10" s="1"/>
  <c r="C113" i="10"/>
  <c r="B113" i="10"/>
  <c r="X112" i="10"/>
  <c r="W112" i="10"/>
  <c r="U112" i="10"/>
  <c r="V112" i="10" s="1"/>
  <c r="T112" i="10"/>
  <c r="R112" i="10"/>
  <c r="Q112" i="10"/>
  <c r="S112" i="10" s="1"/>
  <c r="I112" i="10"/>
  <c r="Y112" i="10" s="1"/>
  <c r="C112" i="10"/>
  <c r="B112" i="10"/>
  <c r="X111" i="10"/>
  <c r="W111" i="10"/>
  <c r="U111" i="10"/>
  <c r="V111" i="10" s="1"/>
  <c r="T111" i="10"/>
  <c r="S111" i="10"/>
  <c r="R111" i="10"/>
  <c r="Q111" i="10"/>
  <c r="I111" i="10"/>
  <c r="Y111" i="10" s="1"/>
  <c r="C111" i="10"/>
  <c r="B111" i="10"/>
  <c r="X110" i="10"/>
  <c r="W110" i="10"/>
  <c r="U110" i="10"/>
  <c r="V110" i="10" s="1"/>
  <c r="T110" i="10"/>
  <c r="R110" i="10"/>
  <c r="Q110" i="10"/>
  <c r="S110" i="10" s="1"/>
  <c r="I110" i="10"/>
  <c r="Y110" i="10" s="1"/>
  <c r="C110" i="10"/>
  <c r="B110" i="10"/>
  <c r="X109" i="10"/>
  <c r="W109" i="10"/>
  <c r="U109" i="10"/>
  <c r="V109" i="10" s="1"/>
  <c r="T109" i="10"/>
  <c r="S109" i="10"/>
  <c r="R109" i="10"/>
  <c r="Q109" i="10"/>
  <c r="I109" i="10"/>
  <c r="Y109" i="10" s="1"/>
  <c r="C109" i="10"/>
  <c r="B109" i="10"/>
  <c r="X108" i="10"/>
  <c r="W108" i="10"/>
  <c r="U108" i="10"/>
  <c r="V108" i="10" s="1"/>
  <c r="T108" i="10"/>
  <c r="R108" i="10"/>
  <c r="Q108" i="10"/>
  <c r="S108" i="10" s="1"/>
  <c r="I108" i="10"/>
  <c r="Y108" i="10" s="1"/>
  <c r="C108" i="10"/>
  <c r="B108" i="10"/>
  <c r="X107" i="10"/>
  <c r="W107" i="10"/>
  <c r="U107" i="10"/>
  <c r="V107" i="10" s="1"/>
  <c r="T107" i="10"/>
  <c r="S107" i="10"/>
  <c r="R107" i="10"/>
  <c r="Q107" i="10"/>
  <c r="I107" i="10"/>
  <c r="Y107" i="10" s="1"/>
  <c r="C107" i="10"/>
  <c r="B107" i="10"/>
  <c r="X106" i="10"/>
  <c r="W106" i="10"/>
  <c r="U106" i="10"/>
  <c r="V106" i="10" s="1"/>
  <c r="T106" i="10"/>
  <c r="R106" i="10"/>
  <c r="Q106" i="10"/>
  <c r="S106" i="10" s="1"/>
  <c r="I106" i="10"/>
  <c r="Y106" i="10" s="1"/>
  <c r="C106" i="10"/>
  <c r="B106" i="10"/>
  <c r="X105" i="10"/>
  <c r="W105" i="10"/>
  <c r="U105" i="10"/>
  <c r="V105" i="10" s="1"/>
  <c r="T105" i="10"/>
  <c r="R105" i="10"/>
  <c r="Q105" i="10"/>
  <c r="S105" i="10" s="1"/>
  <c r="I105" i="10"/>
  <c r="Y105" i="10" s="1"/>
  <c r="C105" i="10"/>
  <c r="B105" i="10"/>
  <c r="X104" i="10"/>
  <c r="W104" i="10"/>
  <c r="U104" i="10"/>
  <c r="V104" i="10" s="1"/>
  <c r="T104" i="10"/>
  <c r="R104" i="10"/>
  <c r="Q104" i="10"/>
  <c r="S104" i="10" s="1"/>
  <c r="I104" i="10"/>
  <c r="Y104" i="10" s="1"/>
  <c r="C104" i="10"/>
  <c r="B104" i="10"/>
  <c r="X103" i="10"/>
  <c r="W103" i="10"/>
  <c r="U103" i="10"/>
  <c r="V103" i="10" s="1"/>
  <c r="T103" i="10"/>
  <c r="R103" i="10"/>
  <c r="Q103" i="10"/>
  <c r="S103" i="10" s="1"/>
  <c r="I103" i="10"/>
  <c r="Y103" i="10" s="1"/>
  <c r="C103" i="10"/>
  <c r="B103" i="10"/>
  <c r="X102" i="10"/>
  <c r="W102" i="10"/>
  <c r="U102" i="10"/>
  <c r="V102" i="10" s="1"/>
  <c r="T102" i="10"/>
  <c r="R102" i="10"/>
  <c r="Q102" i="10"/>
  <c r="S102" i="10" s="1"/>
  <c r="I102" i="10"/>
  <c r="Y102" i="10" s="1"/>
  <c r="C102" i="10"/>
  <c r="B102" i="10"/>
  <c r="X101" i="10"/>
  <c r="W101" i="10"/>
  <c r="U101" i="10"/>
  <c r="V101" i="10" s="1"/>
  <c r="T101" i="10"/>
  <c r="S101" i="10"/>
  <c r="R101" i="10"/>
  <c r="Q101" i="10"/>
  <c r="I101" i="10"/>
  <c r="Y101" i="10" s="1"/>
  <c r="C101" i="10"/>
  <c r="B101" i="10"/>
  <c r="X100" i="10"/>
  <c r="W100" i="10"/>
  <c r="U100" i="10"/>
  <c r="V100" i="10" s="1"/>
  <c r="T100" i="10"/>
  <c r="R100" i="10"/>
  <c r="Q100" i="10"/>
  <c r="S100" i="10" s="1"/>
  <c r="I100" i="10"/>
  <c r="Y100" i="10" s="1"/>
  <c r="C100" i="10"/>
  <c r="B100" i="10"/>
  <c r="X99" i="10"/>
  <c r="W99" i="10"/>
  <c r="U99" i="10"/>
  <c r="V99" i="10" s="1"/>
  <c r="T99" i="10"/>
  <c r="R99" i="10"/>
  <c r="Q99" i="10"/>
  <c r="S99" i="10" s="1"/>
  <c r="I99" i="10"/>
  <c r="Y99" i="10" s="1"/>
  <c r="C99" i="10"/>
  <c r="B99" i="10"/>
  <c r="X98" i="10"/>
  <c r="W98" i="10"/>
  <c r="U98" i="10"/>
  <c r="V98" i="10" s="1"/>
  <c r="T98" i="10"/>
  <c r="R98" i="10"/>
  <c r="Q98" i="10"/>
  <c r="S98" i="10" s="1"/>
  <c r="I98" i="10"/>
  <c r="Y98" i="10" s="1"/>
  <c r="C98" i="10"/>
  <c r="B98" i="10"/>
  <c r="X97" i="10"/>
  <c r="W97" i="10"/>
  <c r="U97" i="10"/>
  <c r="V97" i="10" s="1"/>
  <c r="T97" i="10"/>
  <c r="R97" i="10"/>
  <c r="Q97" i="10"/>
  <c r="S97" i="10" s="1"/>
  <c r="I97" i="10"/>
  <c r="Y97" i="10" s="1"/>
  <c r="C97" i="10"/>
  <c r="B97" i="10"/>
  <c r="X96" i="10"/>
  <c r="W96" i="10"/>
  <c r="U96" i="10"/>
  <c r="V96" i="10" s="1"/>
  <c r="T96" i="10"/>
  <c r="R96" i="10"/>
  <c r="Q96" i="10"/>
  <c r="S96" i="10" s="1"/>
  <c r="I96" i="10"/>
  <c r="Y96" i="10" s="1"/>
  <c r="C96" i="10"/>
  <c r="B96" i="10"/>
  <c r="X95" i="10"/>
  <c r="W95" i="10"/>
  <c r="U95" i="10"/>
  <c r="V95" i="10" s="1"/>
  <c r="T95" i="10"/>
  <c r="S95" i="10"/>
  <c r="R95" i="10"/>
  <c r="Q95" i="10"/>
  <c r="I95" i="10"/>
  <c r="Y95" i="10" s="1"/>
  <c r="C95" i="10"/>
  <c r="B95" i="10"/>
  <c r="X94" i="10"/>
  <c r="W94" i="10"/>
  <c r="U94" i="10"/>
  <c r="V94" i="10" s="1"/>
  <c r="T94" i="10"/>
  <c r="R94" i="10"/>
  <c r="Q94" i="10"/>
  <c r="S94" i="10" s="1"/>
  <c r="I94" i="10"/>
  <c r="Y94" i="10" s="1"/>
  <c r="C94" i="10"/>
  <c r="B94" i="10"/>
  <c r="X93" i="10"/>
  <c r="W93" i="10"/>
  <c r="U93" i="10"/>
  <c r="V93" i="10" s="1"/>
  <c r="T93" i="10"/>
  <c r="S93" i="10"/>
  <c r="R93" i="10"/>
  <c r="Q93" i="10"/>
  <c r="I93" i="10"/>
  <c r="Y93" i="10" s="1"/>
  <c r="C93" i="10"/>
  <c r="B93" i="10"/>
  <c r="X92" i="10"/>
  <c r="W92" i="10"/>
  <c r="U92" i="10"/>
  <c r="V92" i="10" s="1"/>
  <c r="T92" i="10"/>
  <c r="R92" i="10"/>
  <c r="Q92" i="10"/>
  <c r="S92" i="10" s="1"/>
  <c r="I92" i="10"/>
  <c r="Y92" i="10" s="1"/>
  <c r="C92" i="10"/>
  <c r="B92" i="10"/>
  <c r="X91" i="10"/>
  <c r="W91" i="10"/>
  <c r="U91" i="10"/>
  <c r="V91" i="10" s="1"/>
  <c r="T91" i="10"/>
  <c r="S91" i="10"/>
  <c r="R91" i="10"/>
  <c r="Q91" i="10"/>
  <c r="I91" i="10"/>
  <c r="Y91" i="10" s="1"/>
  <c r="C91" i="10"/>
  <c r="B91" i="10"/>
  <c r="X90" i="10"/>
  <c r="W90" i="10"/>
  <c r="U90" i="10"/>
  <c r="V90" i="10" s="1"/>
  <c r="T90" i="10"/>
  <c r="R90" i="10"/>
  <c r="Q90" i="10"/>
  <c r="S90" i="10" s="1"/>
  <c r="I90" i="10"/>
  <c r="Y90" i="10" s="1"/>
  <c r="C90" i="10"/>
  <c r="B90" i="10"/>
  <c r="X89" i="10"/>
  <c r="W89" i="10"/>
  <c r="U89" i="10"/>
  <c r="V89" i="10" s="1"/>
  <c r="T89" i="10"/>
  <c r="R89" i="10"/>
  <c r="Q89" i="10"/>
  <c r="S89" i="10" s="1"/>
  <c r="I89" i="10"/>
  <c r="Y89" i="10" s="1"/>
  <c r="C89" i="10"/>
  <c r="B89" i="10"/>
  <c r="X88" i="10"/>
  <c r="W88" i="10"/>
  <c r="U88" i="10"/>
  <c r="V88" i="10" s="1"/>
  <c r="T88" i="10"/>
  <c r="R88" i="10"/>
  <c r="Q88" i="10"/>
  <c r="S88" i="10" s="1"/>
  <c r="I88" i="10"/>
  <c r="Y88" i="10" s="1"/>
  <c r="C88" i="10"/>
  <c r="B88" i="10"/>
  <c r="X87" i="10"/>
  <c r="W87" i="10"/>
  <c r="U87" i="10"/>
  <c r="V87" i="10" s="1"/>
  <c r="T87" i="10"/>
  <c r="R87" i="10"/>
  <c r="Q87" i="10"/>
  <c r="S87" i="10" s="1"/>
  <c r="I87" i="10"/>
  <c r="Y87" i="10" s="1"/>
  <c r="C87" i="10"/>
  <c r="B87" i="10"/>
  <c r="X86" i="10"/>
  <c r="W86" i="10"/>
  <c r="U86" i="10"/>
  <c r="V86" i="10" s="1"/>
  <c r="T86" i="10"/>
  <c r="R86" i="10"/>
  <c r="Q86" i="10"/>
  <c r="S86" i="10" s="1"/>
  <c r="I86" i="10"/>
  <c r="Y86" i="10" s="1"/>
  <c r="C86" i="10"/>
  <c r="B86" i="10"/>
  <c r="X85" i="10"/>
  <c r="W85" i="10"/>
  <c r="U85" i="10"/>
  <c r="V85" i="10" s="1"/>
  <c r="T85" i="10"/>
  <c r="S85" i="10"/>
  <c r="R85" i="10"/>
  <c r="Q85" i="10"/>
  <c r="I85" i="10"/>
  <c r="Y85" i="10" s="1"/>
  <c r="C85" i="10"/>
  <c r="B85" i="10"/>
  <c r="X84" i="10"/>
  <c r="W84" i="10"/>
  <c r="U84" i="10"/>
  <c r="V84" i="10" s="1"/>
  <c r="T84" i="10"/>
  <c r="R84" i="10"/>
  <c r="Q84" i="10"/>
  <c r="S84" i="10" s="1"/>
  <c r="I84" i="10"/>
  <c r="Y84" i="10" s="1"/>
  <c r="C84" i="10"/>
  <c r="B84" i="10"/>
  <c r="X83" i="10"/>
  <c r="W83" i="10"/>
  <c r="U83" i="10"/>
  <c r="V83" i="10" s="1"/>
  <c r="T83" i="10"/>
  <c r="R83" i="10"/>
  <c r="Q83" i="10"/>
  <c r="S83" i="10" s="1"/>
  <c r="I83" i="10"/>
  <c r="Y83" i="10" s="1"/>
  <c r="C83" i="10"/>
  <c r="B83" i="10"/>
  <c r="X82" i="10"/>
  <c r="W82" i="10"/>
  <c r="U82" i="10"/>
  <c r="V82" i="10" s="1"/>
  <c r="T82" i="10"/>
  <c r="R82" i="10"/>
  <c r="Q82" i="10"/>
  <c r="S82" i="10" s="1"/>
  <c r="I82" i="10"/>
  <c r="Y82" i="10" s="1"/>
  <c r="C82" i="10"/>
  <c r="B82" i="10"/>
  <c r="X81" i="10"/>
  <c r="W81" i="10"/>
  <c r="U81" i="10"/>
  <c r="V81" i="10" s="1"/>
  <c r="T81" i="10"/>
  <c r="R81" i="10"/>
  <c r="Q81" i="10"/>
  <c r="S81" i="10" s="1"/>
  <c r="I81" i="10"/>
  <c r="Y81" i="10" s="1"/>
  <c r="C81" i="10"/>
  <c r="B81" i="10"/>
  <c r="X80" i="10"/>
  <c r="W80" i="10"/>
  <c r="U80" i="10"/>
  <c r="V80" i="10" s="1"/>
  <c r="T80" i="10"/>
  <c r="R80" i="10"/>
  <c r="Q80" i="10"/>
  <c r="S80" i="10" s="1"/>
  <c r="I80" i="10"/>
  <c r="Y80" i="10" s="1"/>
  <c r="C80" i="10"/>
  <c r="B80" i="10"/>
  <c r="X79" i="10"/>
  <c r="W79" i="10"/>
  <c r="U79" i="10"/>
  <c r="V79" i="10" s="1"/>
  <c r="T79" i="10"/>
  <c r="S79" i="10"/>
  <c r="R79" i="10"/>
  <c r="Q79" i="10"/>
  <c r="I79" i="10"/>
  <c r="Y79" i="10" s="1"/>
  <c r="C79" i="10"/>
  <c r="B79" i="10"/>
  <c r="X78" i="10"/>
  <c r="W78" i="10"/>
  <c r="U78" i="10"/>
  <c r="V78" i="10" s="1"/>
  <c r="T78" i="10"/>
  <c r="R78" i="10"/>
  <c r="Q78" i="10"/>
  <c r="S78" i="10" s="1"/>
  <c r="I78" i="10"/>
  <c r="Y78" i="10" s="1"/>
  <c r="C78" i="10"/>
  <c r="B78" i="10"/>
  <c r="X77" i="10"/>
  <c r="W77" i="10"/>
  <c r="U77" i="10"/>
  <c r="V77" i="10" s="1"/>
  <c r="T77" i="10"/>
  <c r="S77" i="10"/>
  <c r="R77" i="10"/>
  <c r="Q77" i="10"/>
  <c r="I77" i="10"/>
  <c r="Y77" i="10" s="1"/>
  <c r="C77" i="10"/>
  <c r="B77" i="10"/>
  <c r="X76" i="10"/>
  <c r="W76" i="10"/>
  <c r="U76" i="10"/>
  <c r="V76" i="10" s="1"/>
  <c r="T76" i="10"/>
  <c r="R76" i="10"/>
  <c r="Q76" i="10"/>
  <c r="S76" i="10" s="1"/>
  <c r="I76" i="10"/>
  <c r="Y76" i="10" s="1"/>
  <c r="C76" i="10"/>
  <c r="B76" i="10"/>
  <c r="X75" i="10"/>
  <c r="W75" i="10"/>
  <c r="U75" i="10"/>
  <c r="V75" i="10" s="1"/>
  <c r="T75" i="10"/>
  <c r="S75" i="10"/>
  <c r="R75" i="10"/>
  <c r="Q75" i="10"/>
  <c r="I75" i="10"/>
  <c r="Y75" i="10" s="1"/>
  <c r="C75" i="10"/>
  <c r="B75" i="10"/>
  <c r="X74" i="10"/>
  <c r="W74" i="10"/>
  <c r="U74" i="10"/>
  <c r="V74" i="10" s="1"/>
  <c r="T74" i="10"/>
  <c r="R74" i="10"/>
  <c r="Q74" i="10"/>
  <c r="S74" i="10" s="1"/>
  <c r="I74" i="10"/>
  <c r="Y74" i="10" s="1"/>
  <c r="C74" i="10"/>
  <c r="B74" i="10"/>
  <c r="X73" i="10"/>
  <c r="W73" i="10"/>
  <c r="U73" i="10"/>
  <c r="V73" i="10" s="1"/>
  <c r="T73" i="10"/>
  <c r="R73" i="10"/>
  <c r="Q73" i="10"/>
  <c r="S73" i="10" s="1"/>
  <c r="I73" i="10"/>
  <c r="Y73" i="10" s="1"/>
  <c r="C73" i="10"/>
  <c r="B73" i="10"/>
  <c r="X72" i="10"/>
  <c r="W72" i="10"/>
  <c r="U72" i="10"/>
  <c r="V72" i="10" s="1"/>
  <c r="T72" i="10"/>
  <c r="R72" i="10"/>
  <c r="Q72" i="10"/>
  <c r="S72" i="10" s="1"/>
  <c r="I72" i="10"/>
  <c r="Y72" i="10" s="1"/>
  <c r="C72" i="10"/>
  <c r="B72" i="10"/>
  <c r="X71" i="10"/>
  <c r="W71" i="10"/>
  <c r="U71" i="10"/>
  <c r="V71" i="10" s="1"/>
  <c r="T71" i="10"/>
  <c r="R71" i="10"/>
  <c r="Q71" i="10"/>
  <c r="S71" i="10" s="1"/>
  <c r="I71" i="10"/>
  <c r="Y71" i="10" s="1"/>
  <c r="C71" i="10"/>
  <c r="B71" i="10"/>
  <c r="X70" i="10"/>
  <c r="W70" i="10"/>
  <c r="U70" i="10"/>
  <c r="V70" i="10" s="1"/>
  <c r="T70" i="10"/>
  <c r="S70" i="10"/>
  <c r="R70" i="10"/>
  <c r="Q70" i="10"/>
  <c r="I70" i="10"/>
  <c r="Y70" i="10" s="1"/>
  <c r="C70" i="10"/>
  <c r="B70" i="10"/>
  <c r="X69" i="10"/>
  <c r="W69" i="10"/>
  <c r="U69" i="10"/>
  <c r="V69" i="10" s="1"/>
  <c r="T69" i="10"/>
  <c r="S69" i="10"/>
  <c r="R69" i="10"/>
  <c r="Q69" i="10"/>
  <c r="I69" i="10"/>
  <c r="Y69" i="10" s="1"/>
  <c r="C69" i="10"/>
  <c r="B69" i="10"/>
  <c r="Y68" i="10"/>
  <c r="X68" i="10"/>
  <c r="W68" i="10"/>
  <c r="U68" i="10"/>
  <c r="V68" i="10" s="1"/>
  <c r="T68" i="10"/>
  <c r="S68" i="10"/>
  <c r="R68" i="10"/>
  <c r="Q68" i="10"/>
  <c r="I68" i="10"/>
  <c r="C68" i="10"/>
  <c r="B68" i="10"/>
  <c r="X67" i="10"/>
  <c r="W67" i="10"/>
  <c r="U67" i="10"/>
  <c r="V67" i="10" s="1"/>
  <c r="T67" i="10"/>
  <c r="R67" i="10"/>
  <c r="Q67" i="10"/>
  <c r="S67" i="10" s="1"/>
  <c r="I67" i="10"/>
  <c r="Y67" i="10" s="1"/>
  <c r="C67" i="10"/>
  <c r="B67" i="10"/>
  <c r="Y66" i="10"/>
  <c r="X66" i="10"/>
  <c r="W66" i="10"/>
  <c r="U66" i="10"/>
  <c r="V66" i="10" s="1"/>
  <c r="T66" i="10"/>
  <c r="R66" i="10"/>
  <c r="Q66" i="10"/>
  <c r="S66" i="10" s="1"/>
  <c r="I66" i="10"/>
  <c r="C66" i="10"/>
  <c r="B66" i="10"/>
  <c r="X65" i="10"/>
  <c r="W65" i="10"/>
  <c r="U65" i="10"/>
  <c r="V65" i="10" s="1"/>
  <c r="T65" i="10"/>
  <c r="R65" i="10"/>
  <c r="Q65" i="10"/>
  <c r="S65" i="10" s="1"/>
  <c r="I65" i="10"/>
  <c r="Y65" i="10" s="1"/>
  <c r="C65" i="10"/>
  <c r="B65" i="10"/>
  <c r="X64" i="10"/>
  <c r="W64" i="10"/>
  <c r="U64" i="10"/>
  <c r="V64" i="10" s="1"/>
  <c r="T64" i="10"/>
  <c r="R64" i="10"/>
  <c r="Q64" i="10"/>
  <c r="S64" i="10" s="1"/>
  <c r="I64" i="10"/>
  <c r="Y64" i="10" s="1"/>
  <c r="C64" i="10"/>
  <c r="B64" i="10"/>
  <c r="X63" i="10"/>
  <c r="W63" i="10"/>
  <c r="U63" i="10"/>
  <c r="V63" i="10" s="1"/>
  <c r="T63" i="10"/>
  <c r="R63" i="10"/>
  <c r="Q63" i="10"/>
  <c r="S63" i="10" s="1"/>
  <c r="I63" i="10"/>
  <c r="Y63" i="10" s="1"/>
  <c r="C63" i="10"/>
  <c r="B63" i="10"/>
  <c r="X62" i="10"/>
  <c r="W62" i="10"/>
  <c r="U62" i="10"/>
  <c r="V62" i="10" s="1"/>
  <c r="T62" i="10"/>
  <c r="S62" i="10"/>
  <c r="R62" i="10"/>
  <c r="Q62" i="10"/>
  <c r="I62" i="10"/>
  <c r="Y62" i="10" s="1"/>
  <c r="C62" i="10"/>
  <c r="B62" i="10"/>
  <c r="X61" i="10"/>
  <c r="W61" i="10"/>
  <c r="U61" i="10"/>
  <c r="V61" i="10" s="1"/>
  <c r="T61" i="10"/>
  <c r="S61" i="10"/>
  <c r="R61" i="10"/>
  <c r="Q61" i="10"/>
  <c r="I61" i="10"/>
  <c r="Y61" i="10" s="1"/>
  <c r="C61" i="10"/>
  <c r="B61" i="10"/>
  <c r="Y60" i="10"/>
  <c r="X60" i="10"/>
  <c r="W60" i="10"/>
  <c r="U60" i="10"/>
  <c r="V60" i="10" s="1"/>
  <c r="T60" i="10"/>
  <c r="S60" i="10"/>
  <c r="R60" i="10"/>
  <c r="Q60" i="10"/>
  <c r="I60" i="10"/>
  <c r="C60" i="10"/>
  <c r="B60" i="10"/>
  <c r="X59" i="10"/>
  <c r="W59" i="10"/>
  <c r="U59" i="10"/>
  <c r="V59" i="10" s="1"/>
  <c r="T59" i="10"/>
  <c r="R59" i="10"/>
  <c r="Q59" i="10"/>
  <c r="S59" i="10" s="1"/>
  <c r="I59" i="10"/>
  <c r="Y59" i="10" s="1"/>
  <c r="C59" i="10"/>
  <c r="B59" i="10"/>
  <c r="X58" i="10"/>
  <c r="W58" i="10"/>
  <c r="U58" i="10"/>
  <c r="V58" i="10" s="1"/>
  <c r="T58" i="10"/>
  <c r="R58" i="10"/>
  <c r="Q58" i="10"/>
  <c r="S58" i="10" s="1"/>
  <c r="I58" i="10"/>
  <c r="Y58" i="10" s="1"/>
  <c r="C58" i="10"/>
  <c r="B58" i="10"/>
  <c r="X57" i="10"/>
  <c r="W57" i="10"/>
  <c r="U57" i="10"/>
  <c r="V57" i="10" s="1"/>
  <c r="T57" i="10"/>
  <c r="S57" i="10"/>
  <c r="R57" i="10"/>
  <c r="Q57" i="10"/>
  <c r="I57" i="10"/>
  <c r="Y57" i="10" s="1"/>
  <c r="C57" i="10"/>
  <c r="B57" i="10"/>
  <c r="Y56" i="10"/>
  <c r="X56" i="10"/>
  <c r="W56" i="10"/>
  <c r="U56" i="10"/>
  <c r="V56" i="10" s="1"/>
  <c r="T56" i="10"/>
  <c r="R56" i="10"/>
  <c r="Q56" i="10"/>
  <c r="S56" i="10" s="1"/>
  <c r="I56" i="10"/>
  <c r="C56" i="10"/>
  <c r="B56" i="10"/>
  <c r="X55" i="10"/>
  <c r="W55" i="10"/>
  <c r="U55" i="10"/>
  <c r="V55" i="10" s="1"/>
  <c r="T55" i="10"/>
  <c r="R55" i="10"/>
  <c r="Q55" i="10"/>
  <c r="S55" i="10" s="1"/>
  <c r="I55" i="10"/>
  <c r="Y55" i="10" s="1"/>
  <c r="C55" i="10"/>
  <c r="B55" i="10"/>
  <c r="Y54" i="10"/>
  <c r="X54" i="10"/>
  <c r="W54" i="10"/>
  <c r="U54" i="10"/>
  <c r="V54" i="10" s="1"/>
  <c r="T54" i="10"/>
  <c r="R54" i="10"/>
  <c r="Q54" i="10"/>
  <c r="S54" i="10" s="1"/>
  <c r="I54" i="10"/>
  <c r="C54" i="10"/>
  <c r="B54" i="10"/>
  <c r="X53" i="10"/>
  <c r="W53" i="10"/>
  <c r="U53" i="10"/>
  <c r="V53" i="10" s="1"/>
  <c r="T53" i="10"/>
  <c r="R53" i="10"/>
  <c r="Q53" i="10"/>
  <c r="S53" i="10" s="1"/>
  <c r="I53" i="10"/>
  <c r="Y53" i="10" s="1"/>
  <c r="C53" i="10"/>
  <c r="B53" i="10"/>
  <c r="Y52" i="10"/>
  <c r="X52" i="10"/>
  <c r="W52" i="10"/>
  <c r="U52" i="10"/>
  <c r="V52" i="10" s="1"/>
  <c r="T52" i="10"/>
  <c r="R52" i="10"/>
  <c r="Q52" i="10"/>
  <c r="S52" i="10" s="1"/>
  <c r="I52" i="10"/>
  <c r="C52" i="10"/>
  <c r="B52" i="10"/>
  <c r="X51" i="10"/>
  <c r="W51" i="10"/>
  <c r="U51" i="10"/>
  <c r="V51" i="10" s="1"/>
  <c r="T51" i="10"/>
  <c r="R51" i="10"/>
  <c r="Q51" i="10"/>
  <c r="S51" i="10" s="1"/>
  <c r="I51" i="10"/>
  <c r="Y51" i="10" s="1"/>
  <c r="C51" i="10"/>
  <c r="B51" i="10"/>
  <c r="Y50" i="10"/>
  <c r="X50" i="10"/>
  <c r="W50" i="10"/>
  <c r="U50" i="10"/>
  <c r="V50" i="10" s="1"/>
  <c r="T50" i="10"/>
  <c r="R50" i="10"/>
  <c r="Q50" i="10"/>
  <c r="S50" i="10" s="1"/>
  <c r="I50" i="10"/>
  <c r="C50" i="10"/>
  <c r="B50" i="10"/>
  <c r="X49" i="10"/>
  <c r="W49" i="10"/>
  <c r="U49" i="10"/>
  <c r="V49" i="10" s="1"/>
  <c r="T49" i="10"/>
  <c r="R49" i="10"/>
  <c r="Q49" i="10"/>
  <c r="S49" i="10" s="1"/>
  <c r="I49" i="10"/>
  <c r="Y49" i="10" s="1"/>
  <c r="C49" i="10"/>
  <c r="B49" i="10"/>
  <c r="Y48" i="10"/>
  <c r="X48" i="10"/>
  <c r="W48" i="10"/>
  <c r="U48" i="10"/>
  <c r="V48" i="10" s="1"/>
  <c r="T48" i="10"/>
  <c r="R48" i="10"/>
  <c r="Q48" i="10"/>
  <c r="S48" i="10" s="1"/>
  <c r="I48" i="10"/>
  <c r="C48" i="10"/>
  <c r="B48" i="10"/>
  <c r="X47" i="10"/>
  <c r="W47" i="10"/>
  <c r="U47" i="10"/>
  <c r="V47" i="10" s="1"/>
  <c r="T47" i="10"/>
  <c r="R47" i="10"/>
  <c r="Q47" i="10"/>
  <c r="S47" i="10" s="1"/>
  <c r="I47" i="10"/>
  <c r="Y47" i="10" s="1"/>
  <c r="C47" i="10"/>
  <c r="B47" i="10"/>
  <c r="Y46" i="10"/>
  <c r="X46" i="10"/>
  <c r="W46" i="10"/>
  <c r="U46" i="10"/>
  <c r="V46" i="10" s="1"/>
  <c r="T46" i="10"/>
  <c r="R46" i="10"/>
  <c r="Q46" i="10"/>
  <c r="S46" i="10" s="1"/>
  <c r="I46" i="10"/>
  <c r="C46" i="10"/>
  <c r="B46" i="10"/>
  <c r="X45" i="10"/>
  <c r="W45" i="10"/>
  <c r="U45" i="10"/>
  <c r="V45" i="10" s="1"/>
  <c r="T45" i="10"/>
  <c r="R45" i="10"/>
  <c r="Q45" i="10"/>
  <c r="S45" i="10" s="1"/>
  <c r="I45" i="10"/>
  <c r="Y45" i="10" s="1"/>
  <c r="C45" i="10"/>
  <c r="B45" i="10"/>
  <c r="Y44" i="10"/>
  <c r="X44" i="10"/>
  <c r="W44" i="10"/>
  <c r="U44" i="10"/>
  <c r="V44" i="10" s="1"/>
  <c r="T44" i="10"/>
  <c r="R44" i="10"/>
  <c r="Q44" i="10"/>
  <c r="S44" i="10" s="1"/>
  <c r="I44" i="10"/>
  <c r="C44" i="10"/>
  <c r="B44" i="10"/>
  <c r="X43" i="10"/>
  <c r="W43" i="10"/>
  <c r="U43" i="10"/>
  <c r="V43" i="10" s="1"/>
  <c r="T43" i="10"/>
  <c r="R43" i="10"/>
  <c r="Q43" i="10"/>
  <c r="S43" i="10" s="1"/>
  <c r="I43" i="10"/>
  <c r="Y43" i="10" s="1"/>
  <c r="C43" i="10"/>
  <c r="B43" i="10"/>
  <c r="Y42" i="10"/>
  <c r="X42" i="10"/>
  <c r="W42" i="10"/>
  <c r="U42" i="10"/>
  <c r="V42" i="10" s="1"/>
  <c r="T42" i="10"/>
  <c r="R42" i="10"/>
  <c r="Q42" i="10"/>
  <c r="S42" i="10" s="1"/>
  <c r="I42" i="10"/>
  <c r="C42" i="10"/>
  <c r="B42" i="10"/>
  <c r="X41" i="10"/>
  <c r="W41" i="10"/>
  <c r="U41" i="10"/>
  <c r="V41" i="10" s="1"/>
  <c r="T41" i="10"/>
  <c r="R41" i="10"/>
  <c r="Q41" i="10"/>
  <c r="S41" i="10" s="1"/>
  <c r="I41" i="10"/>
  <c r="Y41" i="10" s="1"/>
  <c r="C41" i="10"/>
  <c r="B41" i="10"/>
  <c r="Y40" i="10"/>
  <c r="X40" i="10"/>
  <c r="W40" i="10"/>
  <c r="U40" i="10"/>
  <c r="V40" i="10" s="1"/>
  <c r="T40" i="10"/>
  <c r="R40" i="10"/>
  <c r="Q40" i="10"/>
  <c r="S40" i="10" s="1"/>
  <c r="I40" i="10"/>
  <c r="C40" i="10"/>
  <c r="B40" i="10"/>
  <c r="X39" i="10"/>
  <c r="W39" i="10"/>
  <c r="U39" i="10"/>
  <c r="V39" i="10" s="1"/>
  <c r="T39" i="10"/>
  <c r="R39" i="10"/>
  <c r="Q39" i="10"/>
  <c r="S39" i="10" s="1"/>
  <c r="I39" i="10"/>
  <c r="Y39" i="10" s="1"/>
  <c r="C39" i="10"/>
  <c r="B39" i="10"/>
  <c r="Y38" i="10"/>
  <c r="X38" i="10"/>
  <c r="W38" i="10"/>
  <c r="U38" i="10"/>
  <c r="V38" i="10" s="1"/>
  <c r="T38" i="10"/>
  <c r="R38" i="10"/>
  <c r="Q38" i="10"/>
  <c r="S38" i="10" s="1"/>
  <c r="I38" i="10"/>
  <c r="C38" i="10"/>
  <c r="B38" i="10"/>
  <c r="X37" i="10"/>
  <c r="W37" i="10"/>
  <c r="U37" i="10"/>
  <c r="V37" i="10" s="1"/>
  <c r="T37" i="10"/>
  <c r="R37" i="10"/>
  <c r="Q37" i="10"/>
  <c r="S37" i="10" s="1"/>
  <c r="I37" i="10"/>
  <c r="Y37" i="10" s="1"/>
  <c r="C37" i="10"/>
  <c r="B37" i="10"/>
  <c r="Y36" i="10"/>
  <c r="X36" i="10"/>
  <c r="W36" i="10"/>
  <c r="U36" i="10"/>
  <c r="V36" i="10" s="1"/>
  <c r="T36" i="10"/>
  <c r="R36" i="10"/>
  <c r="Q36" i="10"/>
  <c r="S36" i="10" s="1"/>
  <c r="I36" i="10"/>
  <c r="C36" i="10"/>
  <c r="B36" i="10"/>
  <c r="X35" i="10"/>
  <c r="W35" i="10"/>
  <c r="U35" i="10"/>
  <c r="V35" i="10" s="1"/>
  <c r="T35" i="10"/>
  <c r="R35" i="10"/>
  <c r="Q35" i="10"/>
  <c r="S35" i="10" s="1"/>
  <c r="I35" i="10"/>
  <c r="Y35" i="10" s="1"/>
  <c r="C35" i="10"/>
  <c r="B35" i="10"/>
  <c r="Y34" i="10"/>
  <c r="X34" i="10"/>
  <c r="W34" i="10"/>
  <c r="U34" i="10"/>
  <c r="V34" i="10" s="1"/>
  <c r="T34" i="10"/>
  <c r="R34" i="10"/>
  <c r="Q34" i="10"/>
  <c r="S34" i="10" s="1"/>
  <c r="I34" i="10"/>
  <c r="C34" i="10"/>
  <c r="B34" i="10"/>
  <c r="X33" i="10"/>
  <c r="W33" i="10"/>
  <c r="U33" i="10"/>
  <c r="V33" i="10" s="1"/>
  <c r="T33" i="10"/>
  <c r="R33" i="10"/>
  <c r="Q33" i="10"/>
  <c r="S33" i="10" s="1"/>
  <c r="I33" i="10"/>
  <c r="Y33" i="10" s="1"/>
  <c r="C33" i="10"/>
  <c r="B33" i="10"/>
  <c r="Y32" i="10"/>
  <c r="X32" i="10"/>
  <c r="W32" i="10"/>
  <c r="U32" i="10"/>
  <c r="V32" i="10" s="1"/>
  <c r="T32" i="10"/>
  <c r="R32" i="10"/>
  <c r="Q32" i="10"/>
  <c r="S32" i="10" s="1"/>
  <c r="I32" i="10"/>
  <c r="C32" i="10"/>
  <c r="B32" i="10"/>
  <c r="X31" i="10"/>
  <c r="W31" i="10"/>
  <c r="U31" i="10"/>
  <c r="V31" i="10" s="1"/>
  <c r="T31" i="10"/>
  <c r="R31" i="10"/>
  <c r="Q31" i="10"/>
  <c r="S31" i="10" s="1"/>
  <c r="I31" i="10"/>
  <c r="Y31" i="10" s="1"/>
  <c r="C31" i="10"/>
  <c r="B31" i="10"/>
  <c r="Y30" i="10"/>
  <c r="X30" i="10"/>
  <c r="W30" i="10"/>
  <c r="U30" i="10"/>
  <c r="V30" i="10" s="1"/>
  <c r="T30" i="10"/>
  <c r="R30" i="10"/>
  <c r="Q30" i="10"/>
  <c r="S30" i="10" s="1"/>
  <c r="I30" i="10"/>
  <c r="C30" i="10"/>
  <c r="B30" i="10"/>
  <c r="X29" i="10"/>
  <c r="W29" i="10"/>
  <c r="U29" i="10"/>
  <c r="V29" i="10" s="1"/>
  <c r="T29" i="10"/>
  <c r="R29" i="10"/>
  <c r="Q29" i="10"/>
  <c r="S29" i="10" s="1"/>
  <c r="I29" i="10"/>
  <c r="Y29" i="10" s="1"/>
  <c r="C29" i="10"/>
  <c r="B29" i="10"/>
  <c r="Y28" i="10"/>
  <c r="X28" i="10"/>
  <c r="W28" i="10"/>
  <c r="U28" i="10"/>
  <c r="V28" i="10" s="1"/>
  <c r="T28" i="10"/>
  <c r="R28" i="10"/>
  <c r="Q28" i="10"/>
  <c r="S28" i="10" s="1"/>
  <c r="I28" i="10"/>
  <c r="C28" i="10"/>
  <c r="B28" i="10"/>
  <c r="X27" i="10"/>
  <c r="W27" i="10"/>
  <c r="U27" i="10"/>
  <c r="V27" i="10" s="1"/>
  <c r="T27" i="10"/>
  <c r="R27" i="10"/>
  <c r="Q27" i="10"/>
  <c r="S27" i="10" s="1"/>
  <c r="I27" i="10"/>
  <c r="Y27" i="10" s="1"/>
  <c r="C27" i="10"/>
  <c r="B27" i="10"/>
  <c r="Y26" i="10"/>
  <c r="X26" i="10"/>
  <c r="W26" i="10"/>
  <c r="U26" i="10"/>
  <c r="V26" i="10" s="1"/>
  <c r="T26" i="10"/>
  <c r="R26" i="10"/>
  <c r="Q26" i="10"/>
  <c r="S26" i="10" s="1"/>
  <c r="I26" i="10"/>
  <c r="C26" i="10"/>
  <c r="B26" i="10"/>
  <c r="X25" i="10"/>
  <c r="W25" i="10"/>
  <c r="U25" i="10"/>
  <c r="V25" i="10" s="1"/>
  <c r="T25" i="10"/>
  <c r="R25" i="10"/>
  <c r="Q25" i="10"/>
  <c r="S25" i="10" s="1"/>
  <c r="I25" i="10"/>
  <c r="Y25" i="10" s="1"/>
  <c r="C25" i="10"/>
  <c r="B25" i="10"/>
  <c r="Y24" i="10"/>
  <c r="X24" i="10"/>
  <c r="W24" i="10"/>
  <c r="U24" i="10"/>
  <c r="V24" i="10" s="1"/>
  <c r="T24" i="10"/>
  <c r="R24" i="10"/>
  <c r="Q24" i="10"/>
  <c r="S24" i="10" s="1"/>
  <c r="I24" i="10"/>
  <c r="C24" i="10"/>
  <c r="B24" i="10"/>
  <c r="X23" i="10"/>
  <c r="W23" i="10"/>
  <c r="U23" i="10"/>
  <c r="V23" i="10" s="1"/>
  <c r="T23" i="10"/>
  <c r="R23" i="10"/>
  <c r="Q23" i="10"/>
  <c r="S23" i="10" s="1"/>
  <c r="I23" i="10"/>
  <c r="Y23" i="10" s="1"/>
  <c r="C23" i="10"/>
  <c r="B23" i="10"/>
  <c r="Y22" i="10"/>
  <c r="X22" i="10"/>
  <c r="W22" i="10"/>
  <c r="U22" i="10"/>
  <c r="V22" i="10" s="1"/>
  <c r="T22" i="10"/>
  <c r="R22" i="10"/>
  <c r="Q22" i="10"/>
  <c r="S22" i="10" s="1"/>
  <c r="I22" i="10"/>
  <c r="C22" i="10"/>
  <c r="B22" i="10"/>
  <c r="X21" i="10"/>
  <c r="W21" i="10"/>
  <c r="U21" i="10"/>
  <c r="V21" i="10" s="1"/>
  <c r="T21" i="10"/>
  <c r="R21" i="10"/>
  <c r="Q21" i="10"/>
  <c r="S21" i="10" s="1"/>
  <c r="I21" i="10"/>
  <c r="Y21" i="10" s="1"/>
  <c r="C21" i="10"/>
  <c r="B21" i="10"/>
  <c r="Y20" i="10"/>
  <c r="X20" i="10"/>
  <c r="W20" i="10"/>
  <c r="U20" i="10"/>
  <c r="V20" i="10" s="1"/>
  <c r="T20" i="10"/>
  <c r="R20" i="10"/>
  <c r="Q20" i="10"/>
  <c r="S20" i="10" s="1"/>
  <c r="I20" i="10"/>
  <c r="C20" i="10"/>
  <c r="B20" i="10"/>
  <c r="X19" i="10"/>
  <c r="W19" i="10"/>
  <c r="U19" i="10"/>
  <c r="V19" i="10" s="1"/>
  <c r="T19" i="10"/>
  <c r="R19" i="10"/>
  <c r="Q19" i="10"/>
  <c r="S19" i="10" s="1"/>
  <c r="I19" i="10"/>
  <c r="Y19" i="10" s="1"/>
  <c r="C19" i="10"/>
  <c r="B19" i="10"/>
  <c r="Y18" i="10"/>
  <c r="X18" i="10"/>
  <c r="W18" i="10"/>
  <c r="U18" i="10"/>
  <c r="V18" i="10" s="1"/>
  <c r="T18" i="10"/>
  <c r="R18" i="10"/>
  <c r="Q18" i="10"/>
  <c r="S18" i="10" s="1"/>
  <c r="I18" i="10"/>
  <c r="C18" i="10"/>
  <c r="B18" i="10"/>
  <c r="X17" i="10"/>
  <c r="W17" i="10"/>
  <c r="U17" i="10"/>
  <c r="V17" i="10" s="1"/>
  <c r="T17" i="10"/>
  <c r="R17" i="10"/>
  <c r="Q17" i="10"/>
  <c r="S17" i="10" s="1"/>
  <c r="I17" i="10"/>
  <c r="Y17" i="10" s="1"/>
  <c r="C17" i="10"/>
  <c r="B17" i="10"/>
  <c r="Y16" i="10"/>
  <c r="X16" i="10"/>
  <c r="W16" i="10"/>
  <c r="U16" i="10"/>
  <c r="V16" i="10" s="1"/>
  <c r="T16" i="10"/>
  <c r="R16" i="10"/>
  <c r="Q16" i="10"/>
  <c r="S16" i="10" s="1"/>
  <c r="I16" i="10"/>
  <c r="C16" i="10"/>
  <c r="B16" i="10"/>
  <c r="W15" i="10"/>
  <c r="U15" i="10"/>
  <c r="R15" i="10"/>
  <c r="Q15" i="10"/>
  <c r="S15" i="10" s="1"/>
  <c r="I15" i="10"/>
  <c r="C15" i="10"/>
  <c r="B15" i="10"/>
  <c r="R14" i="10"/>
  <c r="Q14" i="10"/>
  <c r="S14" i="10" s="1"/>
  <c r="I14" i="10"/>
  <c r="I14" i="14" s="1"/>
  <c r="C14" i="10"/>
  <c r="B14" i="10"/>
  <c r="R13" i="10"/>
  <c r="Q13" i="10"/>
  <c r="S13" i="10" s="1"/>
  <c r="I13" i="10"/>
  <c r="I13" i="14" s="1"/>
  <c r="C13" i="10"/>
  <c r="B13" i="10"/>
  <c r="R12" i="10"/>
  <c r="Q12" i="10"/>
  <c r="S12" i="10" s="1"/>
  <c r="I12" i="10"/>
  <c r="I12" i="14" s="1"/>
  <c r="C12" i="10"/>
  <c r="B12" i="10"/>
  <c r="R11" i="10"/>
  <c r="Q11" i="10"/>
  <c r="S11" i="10" s="1"/>
  <c r="I11" i="10"/>
  <c r="I11" i="14" s="1"/>
  <c r="C11" i="10"/>
  <c r="B11" i="10"/>
  <c r="R10" i="10"/>
  <c r="Q10" i="10"/>
  <c r="S10" i="10" s="1"/>
  <c r="I10" i="10"/>
  <c r="I10" i="14" s="1"/>
  <c r="C10" i="10"/>
  <c r="B10" i="10"/>
  <c r="R9" i="10"/>
  <c r="Q9" i="10"/>
  <c r="S9" i="10" s="1"/>
  <c r="I9" i="10"/>
  <c r="I9" i="14" s="1"/>
  <c r="C9" i="10"/>
  <c r="B9" i="10"/>
  <c r="R8" i="10"/>
  <c r="Q8" i="10"/>
  <c r="S8" i="10" s="1"/>
  <c r="I8" i="10"/>
  <c r="I8" i="14" s="1"/>
  <c r="C8" i="10"/>
  <c r="B8" i="10"/>
  <c r="R7" i="10"/>
  <c r="Q7" i="10"/>
  <c r="S7" i="10" s="1"/>
  <c r="I7" i="10"/>
  <c r="I7" i="14" s="1"/>
  <c r="C7" i="10"/>
  <c r="B7" i="10"/>
  <c r="R6" i="10"/>
  <c r="Q6" i="10"/>
  <c r="S6" i="10" s="1"/>
  <c r="I6" i="10"/>
  <c r="I6" i="14" s="1"/>
  <c r="C6" i="10"/>
  <c r="B6" i="10"/>
  <c r="R5" i="10"/>
  <c r="Q5" i="10"/>
  <c r="S5" i="10" s="1"/>
  <c r="I5" i="10"/>
  <c r="C5" i="10"/>
  <c r="B5" i="10"/>
  <c r="U608" i="9"/>
  <c r="T608" i="9"/>
  <c r="S608" i="9"/>
  <c r="R608" i="9"/>
  <c r="K608" i="9"/>
  <c r="F608" i="9"/>
  <c r="E608" i="9"/>
  <c r="D608" i="9"/>
  <c r="C608" i="9"/>
  <c r="B608" i="9"/>
  <c r="U607" i="9"/>
  <c r="T607" i="9"/>
  <c r="S607" i="9"/>
  <c r="R607" i="9"/>
  <c r="K607" i="9"/>
  <c r="F607" i="9"/>
  <c r="E607" i="9"/>
  <c r="D607" i="9"/>
  <c r="C607" i="9"/>
  <c r="B607" i="9"/>
  <c r="U606" i="9"/>
  <c r="T606" i="9"/>
  <c r="S606" i="9"/>
  <c r="R606" i="9"/>
  <c r="K606" i="9"/>
  <c r="F606" i="9"/>
  <c r="E606" i="9"/>
  <c r="D606" i="9"/>
  <c r="C606" i="9"/>
  <c r="B606" i="9"/>
  <c r="U605" i="9"/>
  <c r="T605" i="9"/>
  <c r="S605" i="9"/>
  <c r="R605" i="9"/>
  <c r="K605" i="9"/>
  <c r="F605" i="9"/>
  <c r="E605" i="9"/>
  <c r="D605" i="9"/>
  <c r="C605" i="9"/>
  <c r="B605" i="9"/>
  <c r="U604" i="9"/>
  <c r="T604" i="9"/>
  <c r="S604" i="9"/>
  <c r="R604" i="9"/>
  <c r="K604" i="9"/>
  <c r="F604" i="9"/>
  <c r="E604" i="9"/>
  <c r="D604" i="9"/>
  <c r="C604" i="9"/>
  <c r="B604" i="9"/>
  <c r="U603" i="9"/>
  <c r="T603" i="9"/>
  <c r="S603" i="9"/>
  <c r="R603" i="9"/>
  <c r="K603" i="9"/>
  <c r="F603" i="9"/>
  <c r="E603" i="9"/>
  <c r="D603" i="9"/>
  <c r="C603" i="9"/>
  <c r="B603" i="9"/>
  <c r="U602" i="9"/>
  <c r="T602" i="9"/>
  <c r="S602" i="9"/>
  <c r="R602" i="9"/>
  <c r="K602" i="9"/>
  <c r="F602" i="9"/>
  <c r="E602" i="9"/>
  <c r="D602" i="9"/>
  <c r="C602" i="9"/>
  <c r="B602" i="9"/>
  <c r="U601" i="9"/>
  <c r="T601" i="9"/>
  <c r="S601" i="9"/>
  <c r="R601" i="9"/>
  <c r="K601" i="9"/>
  <c r="F601" i="9"/>
  <c r="E601" i="9"/>
  <c r="D601" i="9"/>
  <c r="C601" i="9"/>
  <c r="B601" i="9"/>
  <c r="U600" i="9"/>
  <c r="T600" i="9"/>
  <c r="S600" i="9"/>
  <c r="R600" i="9"/>
  <c r="K600" i="9"/>
  <c r="F600" i="9"/>
  <c r="E600" i="9"/>
  <c r="D600" i="9"/>
  <c r="C600" i="9"/>
  <c r="B600" i="9"/>
  <c r="U599" i="9"/>
  <c r="T599" i="9"/>
  <c r="S599" i="9"/>
  <c r="R599" i="9"/>
  <c r="K599" i="9"/>
  <c r="F599" i="9"/>
  <c r="E599" i="9"/>
  <c r="D599" i="9"/>
  <c r="C599" i="9"/>
  <c r="B599" i="9"/>
  <c r="U598" i="9"/>
  <c r="T598" i="9"/>
  <c r="S598" i="9"/>
  <c r="R598" i="9"/>
  <c r="K598" i="9"/>
  <c r="F598" i="9"/>
  <c r="E598" i="9"/>
  <c r="D598" i="9"/>
  <c r="C598" i="9"/>
  <c r="B598" i="9"/>
  <c r="U597" i="9"/>
  <c r="T597" i="9"/>
  <c r="S597" i="9"/>
  <c r="R597" i="9"/>
  <c r="K597" i="9"/>
  <c r="F597" i="9"/>
  <c r="E597" i="9"/>
  <c r="D597" i="9"/>
  <c r="C597" i="9"/>
  <c r="B597" i="9"/>
  <c r="U596" i="9"/>
  <c r="T596" i="9"/>
  <c r="S596" i="9"/>
  <c r="R596" i="9"/>
  <c r="K596" i="9"/>
  <c r="F596" i="9"/>
  <c r="E596" i="9"/>
  <c r="D596" i="9"/>
  <c r="C596" i="9"/>
  <c r="B596" i="9"/>
  <c r="U595" i="9"/>
  <c r="T595" i="9"/>
  <c r="S595" i="9"/>
  <c r="R595" i="9"/>
  <c r="K595" i="9"/>
  <c r="F595" i="9"/>
  <c r="E595" i="9"/>
  <c r="D595" i="9"/>
  <c r="C595" i="9"/>
  <c r="B595" i="9"/>
  <c r="U594" i="9"/>
  <c r="T594" i="9"/>
  <c r="S594" i="9"/>
  <c r="R594" i="9"/>
  <c r="K594" i="9"/>
  <c r="F594" i="9"/>
  <c r="E594" i="9"/>
  <c r="D594" i="9"/>
  <c r="C594" i="9"/>
  <c r="B594" i="9"/>
  <c r="U593" i="9"/>
  <c r="T593" i="9"/>
  <c r="S593" i="9"/>
  <c r="R593" i="9"/>
  <c r="K593" i="9"/>
  <c r="F593" i="9"/>
  <c r="E593" i="9"/>
  <c r="D593" i="9"/>
  <c r="C593" i="9"/>
  <c r="B593" i="9"/>
  <c r="U592" i="9"/>
  <c r="T592" i="9"/>
  <c r="S592" i="9"/>
  <c r="R592" i="9"/>
  <c r="K592" i="9"/>
  <c r="F592" i="9"/>
  <c r="E592" i="9"/>
  <c r="D592" i="9"/>
  <c r="C592" i="9"/>
  <c r="B592" i="9"/>
  <c r="U591" i="9"/>
  <c r="T591" i="9"/>
  <c r="S591" i="9"/>
  <c r="R591" i="9"/>
  <c r="K591" i="9"/>
  <c r="F591" i="9"/>
  <c r="E591" i="9"/>
  <c r="D591" i="9"/>
  <c r="C591" i="9"/>
  <c r="B591" i="9"/>
  <c r="U590" i="9"/>
  <c r="T590" i="9"/>
  <c r="S590" i="9"/>
  <c r="R590" i="9"/>
  <c r="K590" i="9"/>
  <c r="F590" i="9"/>
  <c r="E590" i="9"/>
  <c r="D590" i="9"/>
  <c r="C590" i="9"/>
  <c r="B590" i="9"/>
  <c r="U589" i="9"/>
  <c r="T589" i="9"/>
  <c r="S589" i="9"/>
  <c r="R589" i="9"/>
  <c r="K589" i="9"/>
  <c r="F589" i="9"/>
  <c r="E589" i="9"/>
  <c r="D589" i="9"/>
  <c r="C589" i="9"/>
  <c r="B589" i="9"/>
  <c r="U588" i="9"/>
  <c r="T588" i="9"/>
  <c r="S588" i="9"/>
  <c r="R588" i="9"/>
  <c r="K588" i="9"/>
  <c r="F588" i="9"/>
  <c r="E588" i="9"/>
  <c r="D588" i="9"/>
  <c r="C588" i="9"/>
  <c r="B588" i="9"/>
  <c r="U587" i="9"/>
  <c r="T587" i="9"/>
  <c r="S587" i="9"/>
  <c r="R587" i="9"/>
  <c r="K587" i="9"/>
  <c r="F587" i="9"/>
  <c r="E587" i="9"/>
  <c r="D587" i="9"/>
  <c r="C587" i="9"/>
  <c r="B587" i="9"/>
  <c r="U586" i="9"/>
  <c r="T586" i="9"/>
  <c r="S586" i="9"/>
  <c r="R586" i="9"/>
  <c r="K586" i="9"/>
  <c r="F586" i="9"/>
  <c r="E586" i="9"/>
  <c r="D586" i="9"/>
  <c r="C586" i="9"/>
  <c r="B586" i="9"/>
  <c r="U585" i="9"/>
  <c r="T585" i="9"/>
  <c r="S585" i="9"/>
  <c r="R585" i="9"/>
  <c r="K585" i="9"/>
  <c r="F585" i="9"/>
  <c r="E585" i="9"/>
  <c r="D585" i="9"/>
  <c r="C585" i="9"/>
  <c r="B585" i="9"/>
  <c r="U584" i="9"/>
  <c r="T584" i="9"/>
  <c r="S584" i="9"/>
  <c r="R584" i="9"/>
  <c r="K584" i="9"/>
  <c r="F584" i="9"/>
  <c r="E584" i="9"/>
  <c r="D584" i="9"/>
  <c r="C584" i="9"/>
  <c r="B584" i="9"/>
  <c r="U583" i="9"/>
  <c r="T583" i="9"/>
  <c r="S583" i="9"/>
  <c r="R583" i="9"/>
  <c r="K583" i="9"/>
  <c r="F583" i="9"/>
  <c r="E583" i="9"/>
  <c r="D583" i="9"/>
  <c r="C583" i="9"/>
  <c r="B583" i="9"/>
  <c r="U582" i="9"/>
  <c r="T582" i="9"/>
  <c r="S582" i="9"/>
  <c r="R582" i="9"/>
  <c r="K582" i="9"/>
  <c r="F582" i="9"/>
  <c r="E582" i="9"/>
  <c r="D582" i="9"/>
  <c r="C582" i="9"/>
  <c r="B582" i="9"/>
  <c r="U581" i="9"/>
  <c r="T581" i="9"/>
  <c r="S581" i="9"/>
  <c r="R581" i="9"/>
  <c r="K581" i="9"/>
  <c r="F581" i="9"/>
  <c r="E581" i="9"/>
  <c r="D581" i="9"/>
  <c r="C581" i="9"/>
  <c r="B581" i="9"/>
  <c r="U580" i="9"/>
  <c r="T580" i="9"/>
  <c r="S580" i="9"/>
  <c r="R580" i="9"/>
  <c r="K580" i="9"/>
  <c r="F580" i="9"/>
  <c r="E580" i="9"/>
  <c r="D580" i="9"/>
  <c r="C580" i="9"/>
  <c r="B580" i="9"/>
  <c r="U579" i="9"/>
  <c r="T579" i="9"/>
  <c r="S579" i="9"/>
  <c r="R579" i="9"/>
  <c r="K579" i="9"/>
  <c r="F579" i="9"/>
  <c r="E579" i="9"/>
  <c r="D579" i="9"/>
  <c r="C579" i="9"/>
  <c r="B579" i="9"/>
  <c r="U578" i="9"/>
  <c r="T578" i="9"/>
  <c r="S578" i="9"/>
  <c r="R578" i="9"/>
  <c r="K578" i="9"/>
  <c r="F578" i="9"/>
  <c r="E578" i="9"/>
  <c r="D578" i="9"/>
  <c r="C578" i="9"/>
  <c r="B578" i="9"/>
  <c r="U577" i="9"/>
  <c r="T577" i="9"/>
  <c r="S577" i="9"/>
  <c r="R577" i="9"/>
  <c r="K577" i="9"/>
  <c r="F577" i="9"/>
  <c r="E577" i="9"/>
  <c r="D577" i="9"/>
  <c r="C577" i="9"/>
  <c r="B577" i="9"/>
  <c r="U576" i="9"/>
  <c r="T576" i="9"/>
  <c r="S576" i="9"/>
  <c r="R576" i="9"/>
  <c r="K576" i="9"/>
  <c r="F576" i="9"/>
  <c r="E576" i="9"/>
  <c r="D576" i="9"/>
  <c r="C576" i="9"/>
  <c r="B576" i="9"/>
  <c r="U575" i="9"/>
  <c r="T575" i="9"/>
  <c r="S575" i="9"/>
  <c r="R575" i="9"/>
  <c r="K575" i="9"/>
  <c r="F575" i="9"/>
  <c r="E575" i="9"/>
  <c r="D575" i="9"/>
  <c r="C575" i="9"/>
  <c r="B575" i="9"/>
  <c r="U574" i="9"/>
  <c r="T574" i="9"/>
  <c r="S574" i="9"/>
  <c r="R574" i="9"/>
  <c r="K574" i="9"/>
  <c r="F574" i="9"/>
  <c r="E574" i="9"/>
  <c r="D574" i="9"/>
  <c r="C574" i="9"/>
  <c r="B574" i="9"/>
  <c r="U573" i="9"/>
  <c r="T573" i="9"/>
  <c r="S573" i="9"/>
  <c r="R573" i="9"/>
  <c r="K573" i="9"/>
  <c r="F573" i="9"/>
  <c r="E573" i="9"/>
  <c r="D573" i="9"/>
  <c r="C573" i="9"/>
  <c r="B573" i="9"/>
  <c r="U572" i="9"/>
  <c r="T572" i="9"/>
  <c r="S572" i="9"/>
  <c r="R572" i="9"/>
  <c r="K572" i="9"/>
  <c r="F572" i="9"/>
  <c r="E572" i="9"/>
  <c r="D572" i="9"/>
  <c r="C572" i="9"/>
  <c r="B572" i="9"/>
  <c r="U571" i="9"/>
  <c r="T571" i="9"/>
  <c r="S571" i="9"/>
  <c r="R571" i="9"/>
  <c r="K571" i="9"/>
  <c r="F571" i="9"/>
  <c r="E571" i="9"/>
  <c r="D571" i="9"/>
  <c r="C571" i="9"/>
  <c r="B571" i="9"/>
  <c r="U570" i="9"/>
  <c r="T570" i="9"/>
  <c r="S570" i="9"/>
  <c r="R570" i="9"/>
  <c r="K570" i="9"/>
  <c r="F570" i="9"/>
  <c r="E570" i="9"/>
  <c r="D570" i="9"/>
  <c r="C570" i="9"/>
  <c r="B570" i="9"/>
  <c r="U569" i="9"/>
  <c r="T569" i="9"/>
  <c r="S569" i="9"/>
  <c r="R569" i="9"/>
  <c r="K569" i="9"/>
  <c r="F569" i="9"/>
  <c r="E569" i="9"/>
  <c r="D569" i="9"/>
  <c r="C569" i="9"/>
  <c r="B569" i="9"/>
  <c r="U568" i="9"/>
  <c r="T568" i="9"/>
  <c r="S568" i="9"/>
  <c r="R568" i="9"/>
  <c r="K568" i="9"/>
  <c r="F568" i="9"/>
  <c r="E568" i="9"/>
  <c r="D568" i="9"/>
  <c r="C568" i="9"/>
  <c r="B568" i="9"/>
  <c r="U567" i="9"/>
  <c r="T567" i="9"/>
  <c r="S567" i="9"/>
  <c r="R567" i="9"/>
  <c r="K567" i="9"/>
  <c r="F567" i="9"/>
  <c r="E567" i="9"/>
  <c r="D567" i="9"/>
  <c r="C567" i="9"/>
  <c r="B567" i="9"/>
  <c r="U566" i="9"/>
  <c r="T566" i="9"/>
  <c r="S566" i="9"/>
  <c r="R566" i="9"/>
  <c r="K566" i="9"/>
  <c r="F566" i="9"/>
  <c r="E566" i="9"/>
  <c r="D566" i="9"/>
  <c r="C566" i="9"/>
  <c r="B566" i="9"/>
  <c r="U565" i="9"/>
  <c r="T565" i="9"/>
  <c r="S565" i="9"/>
  <c r="R565" i="9"/>
  <c r="K565" i="9"/>
  <c r="F565" i="9"/>
  <c r="E565" i="9"/>
  <c r="D565" i="9"/>
  <c r="C565" i="9"/>
  <c r="B565" i="9"/>
  <c r="U564" i="9"/>
  <c r="T564" i="9"/>
  <c r="S564" i="9"/>
  <c r="R564" i="9"/>
  <c r="K564" i="9"/>
  <c r="F564" i="9"/>
  <c r="E564" i="9"/>
  <c r="D564" i="9"/>
  <c r="C564" i="9"/>
  <c r="B564" i="9"/>
  <c r="U563" i="9"/>
  <c r="T563" i="9"/>
  <c r="S563" i="9"/>
  <c r="R563" i="9"/>
  <c r="K563" i="9"/>
  <c r="F563" i="9"/>
  <c r="E563" i="9"/>
  <c r="D563" i="9"/>
  <c r="C563" i="9"/>
  <c r="B563" i="9"/>
  <c r="U562" i="9"/>
  <c r="T562" i="9"/>
  <c r="S562" i="9"/>
  <c r="R562" i="9"/>
  <c r="K562" i="9"/>
  <c r="F562" i="9"/>
  <c r="E562" i="9"/>
  <c r="D562" i="9"/>
  <c r="C562" i="9"/>
  <c r="B562" i="9"/>
  <c r="U561" i="9"/>
  <c r="T561" i="9"/>
  <c r="S561" i="9"/>
  <c r="R561" i="9"/>
  <c r="K561" i="9"/>
  <c r="F561" i="9"/>
  <c r="E561" i="9"/>
  <c r="D561" i="9"/>
  <c r="C561" i="9"/>
  <c r="B561" i="9"/>
  <c r="U560" i="9"/>
  <c r="T560" i="9"/>
  <c r="S560" i="9"/>
  <c r="R560" i="9"/>
  <c r="K560" i="9"/>
  <c r="F560" i="9"/>
  <c r="E560" i="9"/>
  <c r="D560" i="9"/>
  <c r="C560" i="9"/>
  <c r="B560" i="9"/>
  <c r="U559" i="9"/>
  <c r="T559" i="9"/>
  <c r="S559" i="9"/>
  <c r="R559" i="9"/>
  <c r="K559" i="9"/>
  <c r="F559" i="9"/>
  <c r="E559" i="9"/>
  <c r="D559" i="9"/>
  <c r="C559" i="9"/>
  <c r="B559" i="9"/>
  <c r="U558" i="9"/>
  <c r="T558" i="9"/>
  <c r="S558" i="9"/>
  <c r="R558" i="9"/>
  <c r="K558" i="9"/>
  <c r="F558" i="9"/>
  <c r="E558" i="9"/>
  <c r="D558" i="9"/>
  <c r="C558" i="9"/>
  <c r="B558" i="9"/>
  <c r="U557" i="9"/>
  <c r="T557" i="9"/>
  <c r="S557" i="9"/>
  <c r="R557" i="9"/>
  <c r="K557" i="9"/>
  <c r="F557" i="9"/>
  <c r="E557" i="9"/>
  <c r="D557" i="9"/>
  <c r="C557" i="9"/>
  <c r="B557" i="9"/>
  <c r="U556" i="9"/>
  <c r="T556" i="9"/>
  <c r="S556" i="9"/>
  <c r="R556" i="9"/>
  <c r="K556" i="9"/>
  <c r="F556" i="9"/>
  <c r="E556" i="9"/>
  <c r="D556" i="9"/>
  <c r="C556" i="9"/>
  <c r="B556" i="9"/>
  <c r="U555" i="9"/>
  <c r="T555" i="9"/>
  <c r="S555" i="9"/>
  <c r="R555" i="9"/>
  <c r="K555" i="9"/>
  <c r="F555" i="9"/>
  <c r="E555" i="9"/>
  <c r="D555" i="9"/>
  <c r="C555" i="9"/>
  <c r="B555" i="9"/>
  <c r="U554" i="9"/>
  <c r="T554" i="9"/>
  <c r="S554" i="9"/>
  <c r="R554" i="9"/>
  <c r="K554" i="9"/>
  <c r="F554" i="9"/>
  <c r="E554" i="9"/>
  <c r="D554" i="9"/>
  <c r="C554" i="9"/>
  <c r="B554" i="9"/>
  <c r="U553" i="9"/>
  <c r="T553" i="9"/>
  <c r="S553" i="9"/>
  <c r="R553" i="9"/>
  <c r="K553" i="9"/>
  <c r="F553" i="9"/>
  <c r="E553" i="9"/>
  <c r="D553" i="9"/>
  <c r="C553" i="9"/>
  <c r="B553" i="9"/>
  <c r="U552" i="9"/>
  <c r="T552" i="9"/>
  <c r="S552" i="9"/>
  <c r="R552" i="9"/>
  <c r="K552" i="9"/>
  <c r="F552" i="9"/>
  <c r="E552" i="9"/>
  <c r="D552" i="9"/>
  <c r="C552" i="9"/>
  <c r="B552" i="9"/>
  <c r="U551" i="9"/>
  <c r="T551" i="9"/>
  <c r="S551" i="9"/>
  <c r="R551" i="9"/>
  <c r="K551" i="9"/>
  <c r="F551" i="9"/>
  <c r="E551" i="9"/>
  <c r="D551" i="9"/>
  <c r="C551" i="9"/>
  <c r="B551" i="9"/>
  <c r="U550" i="9"/>
  <c r="T550" i="9"/>
  <c r="S550" i="9"/>
  <c r="R550" i="9"/>
  <c r="K550" i="9"/>
  <c r="F550" i="9"/>
  <c r="E550" i="9"/>
  <c r="D550" i="9"/>
  <c r="C550" i="9"/>
  <c r="B550" i="9"/>
  <c r="U549" i="9"/>
  <c r="T549" i="9"/>
  <c r="S549" i="9"/>
  <c r="R549" i="9"/>
  <c r="K549" i="9"/>
  <c r="F549" i="9"/>
  <c r="E549" i="9"/>
  <c r="D549" i="9"/>
  <c r="C549" i="9"/>
  <c r="B549" i="9"/>
  <c r="U548" i="9"/>
  <c r="T548" i="9"/>
  <c r="S548" i="9"/>
  <c r="R548" i="9"/>
  <c r="K548" i="9"/>
  <c r="F548" i="9"/>
  <c r="E548" i="9"/>
  <c r="D548" i="9"/>
  <c r="C548" i="9"/>
  <c r="B548" i="9"/>
  <c r="U547" i="9"/>
  <c r="T547" i="9"/>
  <c r="S547" i="9"/>
  <c r="R547" i="9"/>
  <c r="K547" i="9"/>
  <c r="F547" i="9"/>
  <c r="E547" i="9"/>
  <c r="D547" i="9"/>
  <c r="C547" i="9"/>
  <c r="B547" i="9"/>
  <c r="U546" i="9"/>
  <c r="T546" i="9"/>
  <c r="S546" i="9"/>
  <c r="R546" i="9"/>
  <c r="K546" i="9"/>
  <c r="F546" i="9"/>
  <c r="E546" i="9"/>
  <c r="D546" i="9"/>
  <c r="C546" i="9"/>
  <c r="B546" i="9"/>
  <c r="U545" i="9"/>
  <c r="T545" i="9"/>
  <c r="S545" i="9"/>
  <c r="R545" i="9"/>
  <c r="K545" i="9"/>
  <c r="F545" i="9"/>
  <c r="E545" i="9"/>
  <c r="D545" i="9"/>
  <c r="C545" i="9"/>
  <c r="B545" i="9"/>
  <c r="U544" i="9"/>
  <c r="T544" i="9"/>
  <c r="S544" i="9"/>
  <c r="R544" i="9"/>
  <c r="K544" i="9"/>
  <c r="F544" i="9"/>
  <c r="E544" i="9"/>
  <c r="D544" i="9"/>
  <c r="C544" i="9"/>
  <c r="B544" i="9"/>
  <c r="U543" i="9"/>
  <c r="T543" i="9"/>
  <c r="S543" i="9"/>
  <c r="R543" i="9"/>
  <c r="K543" i="9"/>
  <c r="F543" i="9"/>
  <c r="E543" i="9"/>
  <c r="D543" i="9"/>
  <c r="C543" i="9"/>
  <c r="B543" i="9"/>
  <c r="U542" i="9"/>
  <c r="T542" i="9"/>
  <c r="S542" i="9"/>
  <c r="R542" i="9"/>
  <c r="K542" i="9"/>
  <c r="F542" i="9"/>
  <c r="E542" i="9"/>
  <c r="D542" i="9"/>
  <c r="C542" i="9"/>
  <c r="B542" i="9"/>
  <c r="U541" i="9"/>
  <c r="T541" i="9"/>
  <c r="S541" i="9"/>
  <c r="R541" i="9"/>
  <c r="K541" i="9"/>
  <c r="F541" i="9"/>
  <c r="E541" i="9"/>
  <c r="D541" i="9"/>
  <c r="C541" i="9"/>
  <c r="B541" i="9"/>
  <c r="U540" i="9"/>
  <c r="T540" i="9"/>
  <c r="S540" i="9"/>
  <c r="R540" i="9"/>
  <c r="K540" i="9"/>
  <c r="F540" i="9"/>
  <c r="E540" i="9"/>
  <c r="D540" i="9"/>
  <c r="C540" i="9"/>
  <c r="B540" i="9"/>
  <c r="U539" i="9"/>
  <c r="T539" i="9"/>
  <c r="S539" i="9"/>
  <c r="R539" i="9"/>
  <c r="K539" i="9"/>
  <c r="F539" i="9"/>
  <c r="E539" i="9"/>
  <c r="D539" i="9"/>
  <c r="C539" i="9"/>
  <c r="B539" i="9"/>
  <c r="U538" i="9"/>
  <c r="T538" i="9"/>
  <c r="S538" i="9"/>
  <c r="R538" i="9"/>
  <c r="K538" i="9"/>
  <c r="F538" i="9"/>
  <c r="E538" i="9"/>
  <c r="D538" i="9"/>
  <c r="C538" i="9"/>
  <c r="B538" i="9"/>
  <c r="U537" i="9"/>
  <c r="T537" i="9"/>
  <c r="S537" i="9"/>
  <c r="R537" i="9"/>
  <c r="K537" i="9"/>
  <c r="F537" i="9"/>
  <c r="E537" i="9"/>
  <c r="D537" i="9"/>
  <c r="C537" i="9"/>
  <c r="B537" i="9"/>
  <c r="U536" i="9"/>
  <c r="T536" i="9"/>
  <c r="S536" i="9"/>
  <c r="R536" i="9"/>
  <c r="K536" i="9"/>
  <c r="F536" i="9"/>
  <c r="E536" i="9"/>
  <c r="D536" i="9"/>
  <c r="C536" i="9"/>
  <c r="B536" i="9"/>
  <c r="U535" i="9"/>
  <c r="T535" i="9"/>
  <c r="S535" i="9"/>
  <c r="R535" i="9"/>
  <c r="K535" i="9"/>
  <c r="F535" i="9"/>
  <c r="E535" i="9"/>
  <c r="D535" i="9"/>
  <c r="C535" i="9"/>
  <c r="B535" i="9"/>
  <c r="U534" i="9"/>
  <c r="T534" i="9"/>
  <c r="S534" i="9"/>
  <c r="R534" i="9"/>
  <c r="K534" i="9"/>
  <c r="F534" i="9"/>
  <c r="E534" i="9"/>
  <c r="D534" i="9"/>
  <c r="C534" i="9"/>
  <c r="B534" i="9"/>
  <c r="U533" i="9"/>
  <c r="T533" i="9"/>
  <c r="S533" i="9"/>
  <c r="R533" i="9"/>
  <c r="K533" i="9"/>
  <c r="F533" i="9"/>
  <c r="E533" i="9"/>
  <c r="D533" i="9"/>
  <c r="C533" i="9"/>
  <c r="B533" i="9"/>
  <c r="U532" i="9"/>
  <c r="T532" i="9"/>
  <c r="S532" i="9"/>
  <c r="R532" i="9"/>
  <c r="K532" i="9"/>
  <c r="F532" i="9"/>
  <c r="E532" i="9"/>
  <c r="D532" i="9"/>
  <c r="C532" i="9"/>
  <c r="B532" i="9"/>
  <c r="U531" i="9"/>
  <c r="T531" i="9"/>
  <c r="S531" i="9"/>
  <c r="R531" i="9"/>
  <c r="K531" i="9"/>
  <c r="F531" i="9"/>
  <c r="E531" i="9"/>
  <c r="D531" i="9"/>
  <c r="C531" i="9"/>
  <c r="B531" i="9"/>
  <c r="U530" i="9"/>
  <c r="T530" i="9"/>
  <c r="S530" i="9"/>
  <c r="R530" i="9"/>
  <c r="K530" i="9"/>
  <c r="F530" i="9"/>
  <c r="E530" i="9"/>
  <c r="D530" i="9"/>
  <c r="C530" i="9"/>
  <c r="B530" i="9"/>
  <c r="U529" i="9"/>
  <c r="T529" i="9"/>
  <c r="S529" i="9"/>
  <c r="R529" i="9"/>
  <c r="K529" i="9"/>
  <c r="F529" i="9"/>
  <c r="E529" i="9"/>
  <c r="D529" i="9"/>
  <c r="C529" i="9"/>
  <c r="B529" i="9"/>
  <c r="U528" i="9"/>
  <c r="T528" i="9"/>
  <c r="S528" i="9"/>
  <c r="R528" i="9"/>
  <c r="K528" i="9"/>
  <c r="F528" i="9"/>
  <c r="E528" i="9"/>
  <c r="D528" i="9"/>
  <c r="C528" i="9"/>
  <c r="B528" i="9"/>
  <c r="U527" i="9"/>
  <c r="T527" i="9"/>
  <c r="S527" i="9"/>
  <c r="R527" i="9"/>
  <c r="K527" i="9"/>
  <c r="F527" i="9"/>
  <c r="E527" i="9"/>
  <c r="D527" i="9"/>
  <c r="C527" i="9"/>
  <c r="B527" i="9"/>
  <c r="U526" i="9"/>
  <c r="T526" i="9"/>
  <c r="S526" i="9"/>
  <c r="R526" i="9"/>
  <c r="K526" i="9"/>
  <c r="F526" i="9"/>
  <c r="E526" i="9"/>
  <c r="D526" i="9"/>
  <c r="C526" i="9"/>
  <c r="B526" i="9"/>
  <c r="U525" i="9"/>
  <c r="T525" i="9"/>
  <c r="S525" i="9"/>
  <c r="R525" i="9"/>
  <c r="K525" i="9"/>
  <c r="F525" i="9"/>
  <c r="E525" i="9"/>
  <c r="D525" i="9"/>
  <c r="C525" i="9"/>
  <c r="B525" i="9"/>
  <c r="U524" i="9"/>
  <c r="T524" i="9"/>
  <c r="S524" i="9"/>
  <c r="R524" i="9"/>
  <c r="K524" i="9"/>
  <c r="F524" i="9"/>
  <c r="E524" i="9"/>
  <c r="D524" i="9"/>
  <c r="C524" i="9"/>
  <c r="B524" i="9"/>
  <c r="U523" i="9"/>
  <c r="T523" i="9"/>
  <c r="S523" i="9"/>
  <c r="R523" i="9"/>
  <c r="K523" i="9"/>
  <c r="F523" i="9"/>
  <c r="E523" i="9"/>
  <c r="D523" i="9"/>
  <c r="C523" i="9"/>
  <c r="B523" i="9"/>
  <c r="U522" i="9"/>
  <c r="T522" i="9"/>
  <c r="S522" i="9"/>
  <c r="R522" i="9"/>
  <c r="K522" i="9"/>
  <c r="F522" i="9"/>
  <c r="E522" i="9"/>
  <c r="D522" i="9"/>
  <c r="C522" i="9"/>
  <c r="B522" i="9"/>
  <c r="U521" i="9"/>
  <c r="T521" i="9"/>
  <c r="S521" i="9"/>
  <c r="R521" i="9"/>
  <c r="K521" i="9"/>
  <c r="F521" i="9"/>
  <c r="E521" i="9"/>
  <c r="D521" i="9"/>
  <c r="C521" i="9"/>
  <c r="B521" i="9"/>
  <c r="U520" i="9"/>
  <c r="T520" i="9"/>
  <c r="S520" i="9"/>
  <c r="R520" i="9"/>
  <c r="K520" i="9"/>
  <c r="F520" i="9"/>
  <c r="E520" i="9"/>
  <c r="D520" i="9"/>
  <c r="C520" i="9"/>
  <c r="B520" i="9"/>
  <c r="U519" i="9"/>
  <c r="T519" i="9"/>
  <c r="S519" i="9"/>
  <c r="R519" i="9"/>
  <c r="K519" i="9"/>
  <c r="F519" i="9"/>
  <c r="E519" i="9"/>
  <c r="D519" i="9"/>
  <c r="C519" i="9"/>
  <c r="B519" i="9"/>
  <c r="U518" i="9"/>
  <c r="T518" i="9"/>
  <c r="S518" i="9"/>
  <c r="R518" i="9"/>
  <c r="K518" i="9"/>
  <c r="F518" i="9"/>
  <c r="E518" i="9"/>
  <c r="D518" i="9"/>
  <c r="C518" i="9"/>
  <c r="B518" i="9"/>
  <c r="U517" i="9"/>
  <c r="T517" i="9"/>
  <c r="S517" i="9"/>
  <c r="R517" i="9"/>
  <c r="K517" i="9"/>
  <c r="F517" i="9"/>
  <c r="E517" i="9"/>
  <c r="D517" i="9"/>
  <c r="C517" i="9"/>
  <c r="B517" i="9"/>
  <c r="U516" i="9"/>
  <c r="T516" i="9"/>
  <c r="S516" i="9"/>
  <c r="R516" i="9"/>
  <c r="K516" i="9"/>
  <c r="F516" i="9"/>
  <c r="E516" i="9"/>
  <c r="D516" i="9"/>
  <c r="C516" i="9"/>
  <c r="B516" i="9"/>
  <c r="U515" i="9"/>
  <c r="T515" i="9"/>
  <c r="S515" i="9"/>
  <c r="R515" i="9"/>
  <c r="K515" i="9"/>
  <c r="F515" i="9"/>
  <c r="E515" i="9"/>
  <c r="D515" i="9"/>
  <c r="C515" i="9"/>
  <c r="B515" i="9"/>
  <c r="U514" i="9"/>
  <c r="T514" i="9"/>
  <c r="S514" i="9"/>
  <c r="R514" i="9"/>
  <c r="K514" i="9"/>
  <c r="F514" i="9"/>
  <c r="E514" i="9"/>
  <c r="D514" i="9"/>
  <c r="C514" i="9"/>
  <c r="B514" i="9"/>
  <c r="U513" i="9"/>
  <c r="T513" i="9"/>
  <c r="S513" i="9"/>
  <c r="R513" i="9"/>
  <c r="K513" i="9"/>
  <c r="F513" i="9"/>
  <c r="E513" i="9"/>
  <c r="D513" i="9"/>
  <c r="C513" i="9"/>
  <c r="B513" i="9"/>
  <c r="U512" i="9"/>
  <c r="T512" i="9"/>
  <c r="S512" i="9"/>
  <c r="R512" i="9"/>
  <c r="K512" i="9"/>
  <c r="F512" i="9"/>
  <c r="E512" i="9"/>
  <c r="D512" i="9"/>
  <c r="C512" i="9"/>
  <c r="B512" i="9"/>
  <c r="U511" i="9"/>
  <c r="T511" i="9"/>
  <c r="S511" i="9"/>
  <c r="R511" i="9"/>
  <c r="K511" i="9"/>
  <c r="F511" i="9"/>
  <c r="E511" i="9"/>
  <c r="D511" i="9"/>
  <c r="C511" i="9"/>
  <c r="B511" i="9"/>
  <c r="U510" i="9"/>
  <c r="T510" i="9"/>
  <c r="S510" i="9"/>
  <c r="R510" i="9"/>
  <c r="K510" i="9"/>
  <c r="F510" i="9"/>
  <c r="E510" i="9"/>
  <c r="D510" i="9"/>
  <c r="C510" i="9"/>
  <c r="B510" i="9"/>
  <c r="U509" i="9"/>
  <c r="T509" i="9"/>
  <c r="S509" i="9"/>
  <c r="R509" i="9"/>
  <c r="K509" i="9"/>
  <c r="F509" i="9"/>
  <c r="E509" i="9"/>
  <c r="D509" i="9"/>
  <c r="C509" i="9"/>
  <c r="B509" i="9"/>
  <c r="U508" i="9"/>
  <c r="T508" i="9"/>
  <c r="S508" i="9"/>
  <c r="R508" i="9"/>
  <c r="K508" i="9"/>
  <c r="F508" i="9"/>
  <c r="E508" i="9"/>
  <c r="D508" i="9"/>
  <c r="C508" i="9"/>
  <c r="B508" i="9"/>
  <c r="U507" i="9"/>
  <c r="T507" i="9"/>
  <c r="S507" i="9"/>
  <c r="R507" i="9"/>
  <c r="K507" i="9"/>
  <c r="F507" i="9"/>
  <c r="E507" i="9"/>
  <c r="D507" i="9"/>
  <c r="C507" i="9"/>
  <c r="B507" i="9"/>
  <c r="U506" i="9"/>
  <c r="T506" i="9"/>
  <c r="S506" i="9"/>
  <c r="R506" i="9"/>
  <c r="K506" i="9"/>
  <c r="F506" i="9"/>
  <c r="E506" i="9"/>
  <c r="D506" i="9"/>
  <c r="C506" i="9"/>
  <c r="B506" i="9"/>
  <c r="U505" i="9"/>
  <c r="T505" i="9"/>
  <c r="S505" i="9"/>
  <c r="R505" i="9"/>
  <c r="K505" i="9"/>
  <c r="F505" i="9"/>
  <c r="E505" i="9"/>
  <c r="D505" i="9"/>
  <c r="C505" i="9"/>
  <c r="B505" i="9"/>
  <c r="U504" i="9"/>
  <c r="T504" i="9"/>
  <c r="S504" i="9"/>
  <c r="R504" i="9"/>
  <c r="K504" i="9"/>
  <c r="F504" i="9"/>
  <c r="E504" i="9"/>
  <c r="D504" i="9"/>
  <c r="C504" i="9"/>
  <c r="B504" i="9"/>
  <c r="U503" i="9"/>
  <c r="T503" i="9"/>
  <c r="S503" i="9"/>
  <c r="R503" i="9"/>
  <c r="K503" i="9"/>
  <c r="F503" i="9"/>
  <c r="E503" i="9"/>
  <c r="D503" i="9"/>
  <c r="C503" i="9"/>
  <c r="B503" i="9"/>
  <c r="U502" i="9"/>
  <c r="T502" i="9"/>
  <c r="S502" i="9"/>
  <c r="R502" i="9"/>
  <c r="K502" i="9"/>
  <c r="F502" i="9"/>
  <c r="E502" i="9"/>
  <c r="D502" i="9"/>
  <c r="C502" i="9"/>
  <c r="B502" i="9"/>
  <c r="U501" i="9"/>
  <c r="T501" i="9"/>
  <c r="S501" i="9"/>
  <c r="R501" i="9"/>
  <c r="K501" i="9"/>
  <c r="F501" i="9"/>
  <c r="E501" i="9"/>
  <c r="D501" i="9"/>
  <c r="C501" i="9"/>
  <c r="B501" i="9"/>
  <c r="U500" i="9"/>
  <c r="T500" i="9"/>
  <c r="S500" i="9"/>
  <c r="R500" i="9"/>
  <c r="K500" i="9"/>
  <c r="F500" i="9"/>
  <c r="E500" i="9"/>
  <c r="D500" i="9"/>
  <c r="C500" i="9"/>
  <c r="B500" i="9"/>
  <c r="U499" i="9"/>
  <c r="T499" i="9"/>
  <c r="S499" i="9"/>
  <c r="R499" i="9"/>
  <c r="K499" i="9"/>
  <c r="F499" i="9"/>
  <c r="E499" i="9"/>
  <c r="D499" i="9"/>
  <c r="C499" i="9"/>
  <c r="B499" i="9"/>
  <c r="U498" i="9"/>
  <c r="T498" i="9"/>
  <c r="S498" i="9"/>
  <c r="R498" i="9"/>
  <c r="K498" i="9"/>
  <c r="F498" i="9"/>
  <c r="E498" i="9"/>
  <c r="D498" i="9"/>
  <c r="C498" i="9"/>
  <c r="B498" i="9"/>
  <c r="U497" i="9"/>
  <c r="T497" i="9"/>
  <c r="S497" i="9"/>
  <c r="R497" i="9"/>
  <c r="K497" i="9"/>
  <c r="F497" i="9"/>
  <c r="E497" i="9"/>
  <c r="D497" i="9"/>
  <c r="C497" i="9"/>
  <c r="B497" i="9"/>
  <c r="U496" i="9"/>
  <c r="T496" i="9"/>
  <c r="S496" i="9"/>
  <c r="R496" i="9"/>
  <c r="K496" i="9"/>
  <c r="F496" i="9"/>
  <c r="E496" i="9"/>
  <c r="D496" i="9"/>
  <c r="C496" i="9"/>
  <c r="B496" i="9"/>
  <c r="U495" i="9"/>
  <c r="T495" i="9"/>
  <c r="S495" i="9"/>
  <c r="R495" i="9"/>
  <c r="K495" i="9"/>
  <c r="F495" i="9"/>
  <c r="E495" i="9"/>
  <c r="D495" i="9"/>
  <c r="C495" i="9"/>
  <c r="B495" i="9"/>
  <c r="U494" i="9"/>
  <c r="T494" i="9"/>
  <c r="S494" i="9"/>
  <c r="R494" i="9"/>
  <c r="K494" i="9"/>
  <c r="F494" i="9"/>
  <c r="E494" i="9"/>
  <c r="D494" i="9"/>
  <c r="C494" i="9"/>
  <c r="B494" i="9"/>
  <c r="U493" i="9"/>
  <c r="T493" i="9"/>
  <c r="S493" i="9"/>
  <c r="R493" i="9"/>
  <c r="K493" i="9"/>
  <c r="F493" i="9"/>
  <c r="E493" i="9"/>
  <c r="D493" i="9"/>
  <c r="C493" i="9"/>
  <c r="B493" i="9"/>
  <c r="U492" i="9"/>
  <c r="T492" i="9"/>
  <c r="S492" i="9"/>
  <c r="R492" i="9"/>
  <c r="K492" i="9"/>
  <c r="F492" i="9"/>
  <c r="E492" i="9"/>
  <c r="D492" i="9"/>
  <c r="C492" i="9"/>
  <c r="B492" i="9"/>
  <c r="U491" i="9"/>
  <c r="T491" i="9"/>
  <c r="S491" i="9"/>
  <c r="R491" i="9"/>
  <c r="K491" i="9"/>
  <c r="F491" i="9"/>
  <c r="E491" i="9"/>
  <c r="D491" i="9"/>
  <c r="C491" i="9"/>
  <c r="B491" i="9"/>
  <c r="U490" i="9"/>
  <c r="T490" i="9"/>
  <c r="S490" i="9"/>
  <c r="R490" i="9"/>
  <c r="K490" i="9"/>
  <c r="F490" i="9"/>
  <c r="E490" i="9"/>
  <c r="D490" i="9"/>
  <c r="C490" i="9"/>
  <c r="B490" i="9"/>
  <c r="U489" i="9"/>
  <c r="T489" i="9"/>
  <c r="S489" i="9"/>
  <c r="R489" i="9"/>
  <c r="K489" i="9"/>
  <c r="F489" i="9"/>
  <c r="E489" i="9"/>
  <c r="D489" i="9"/>
  <c r="C489" i="9"/>
  <c r="B489" i="9"/>
  <c r="U488" i="9"/>
  <c r="T488" i="9"/>
  <c r="S488" i="9"/>
  <c r="R488" i="9"/>
  <c r="K488" i="9"/>
  <c r="F488" i="9"/>
  <c r="E488" i="9"/>
  <c r="D488" i="9"/>
  <c r="C488" i="9"/>
  <c r="B488" i="9"/>
  <c r="U487" i="9"/>
  <c r="T487" i="9"/>
  <c r="S487" i="9"/>
  <c r="R487" i="9"/>
  <c r="K487" i="9"/>
  <c r="F487" i="9"/>
  <c r="E487" i="9"/>
  <c r="D487" i="9"/>
  <c r="C487" i="9"/>
  <c r="B487" i="9"/>
  <c r="U486" i="9"/>
  <c r="T486" i="9"/>
  <c r="S486" i="9"/>
  <c r="R486" i="9"/>
  <c r="K486" i="9"/>
  <c r="F486" i="9"/>
  <c r="E486" i="9"/>
  <c r="D486" i="9"/>
  <c r="C486" i="9"/>
  <c r="B486" i="9"/>
  <c r="U485" i="9"/>
  <c r="T485" i="9"/>
  <c r="S485" i="9"/>
  <c r="R485" i="9"/>
  <c r="K485" i="9"/>
  <c r="F485" i="9"/>
  <c r="E485" i="9"/>
  <c r="D485" i="9"/>
  <c r="C485" i="9"/>
  <c r="B485" i="9"/>
  <c r="U484" i="9"/>
  <c r="T484" i="9"/>
  <c r="S484" i="9"/>
  <c r="R484" i="9"/>
  <c r="K484" i="9"/>
  <c r="F484" i="9"/>
  <c r="E484" i="9"/>
  <c r="D484" i="9"/>
  <c r="C484" i="9"/>
  <c r="B484" i="9"/>
  <c r="U483" i="9"/>
  <c r="T483" i="9"/>
  <c r="S483" i="9"/>
  <c r="R483" i="9"/>
  <c r="K483" i="9"/>
  <c r="F483" i="9"/>
  <c r="E483" i="9"/>
  <c r="D483" i="9"/>
  <c r="C483" i="9"/>
  <c r="B483" i="9"/>
  <c r="U482" i="9"/>
  <c r="T482" i="9"/>
  <c r="S482" i="9"/>
  <c r="R482" i="9"/>
  <c r="K482" i="9"/>
  <c r="F482" i="9"/>
  <c r="E482" i="9"/>
  <c r="D482" i="9"/>
  <c r="C482" i="9"/>
  <c r="B482" i="9"/>
  <c r="U481" i="9"/>
  <c r="T481" i="9"/>
  <c r="S481" i="9"/>
  <c r="R481" i="9"/>
  <c r="K481" i="9"/>
  <c r="F481" i="9"/>
  <c r="E481" i="9"/>
  <c r="D481" i="9"/>
  <c r="C481" i="9"/>
  <c r="B481" i="9"/>
  <c r="U480" i="9"/>
  <c r="T480" i="9"/>
  <c r="S480" i="9"/>
  <c r="R480" i="9"/>
  <c r="K480" i="9"/>
  <c r="F480" i="9"/>
  <c r="E480" i="9"/>
  <c r="D480" i="9"/>
  <c r="C480" i="9"/>
  <c r="B480" i="9"/>
  <c r="U479" i="9"/>
  <c r="T479" i="9"/>
  <c r="S479" i="9"/>
  <c r="R479" i="9"/>
  <c r="K479" i="9"/>
  <c r="F479" i="9"/>
  <c r="E479" i="9"/>
  <c r="D479" i="9"/>
  <c r="C479" i="9"/>
  <c r="B479" i="9"/>
  <c r="U478" i="9"/>
  <c r="T478" i="9"/>
  <c r="S478" i="9"/>
  <c r="R478" i="9"/>
  <c r="K478" i="9"/>
  <c r="F478" i="9"/>
  <c r="E478" i="9"/>
  <c r="D478" i="9"/>
  <c r="C478" i="9"/>
  <c r="B478" i="9"/>
  <c r="U477" i="9"/>
  <c r="T477" i="9"/>
  <c r="S477" i="9"/>
  <c r="R477" i="9"/>
  <c r="K477" i="9"/>
  <c r="F477" i="9"/>
  <c r="E477" i="9"/>
  <c r="D477" i="9"/>
  <c r="C477" i="9"/>
  <c r="B477" i="9"/>
  <c r="U476" i="9"/>
  <c r="T476" i="9"/>
  <c r="S476" i="9"/>
  <c r="R476" i="9"/>
  <c r="K476" i="9"/>
  <c r="F476" i="9"/>
  <c r="E476" i="9"/>
  <c r="D476" i="9"/>
  <c r="C476" i="9"/>
  <c r="B476" i="9"/>
  <c r="U475" i="9"/>
  <c r="T475" i="9"/>
  <c r="S475" i="9"/>
  <c r="R475" i="9"/>
  <c r="K475" i="9"/>
  <c r="F475" i="9"/>
  <c r="E475" i="9"/>
  <c r="D475" i="9"/>
  <c r="C475" i="9"/>
  <c r="B475" i="9"/>
  <c r="U474" i="9"/>
  <c r="T474" i="9"/>
  <c r="S474" i="9"/>
  <c r="R474" i="9"/>
  <c r="K474" i="9"/>
  <c r="F474" i="9"/>
  <c r="E474" i="9"/>
  <c r="D474" i="9"/>
  <c r="C474" i="9"/>
  <c r="B474" i="9"/>
  <c r="U473" i="9"/>
  <c r="T473" i="9"/>
  <c r="S473" i="9"/>
  <c r="R473" i="9"/>
  <c r="K473" i="9"/>
  <c r="F473" i="9"/>
  <c r="E473" i="9"/>
  <c r="D473" i="9"/>
  <c r="C473" i="9"/>
  <c r="B473" i="9"/>
  <c r="U472" i="9"/>
  <c r="T472" i="9"/>
  <c r="S472" i="9"/>
  <c r="R472" i="9"/>
  <c r="K472" i="9"/>
  <c r="F472" i="9"/>
  <c r="E472" i="9"/>
  <c r="D472" i="9"/>
  <c r="C472" i="9"/>
  <c r="B472" i="9"/>
  <c r="U471" i="9"/>
  <c r="T471" i="9"/>
  <c r="S471" i="9"/>
  <c r="R471" i="9"/>
  <c r="K471" i="9"/>
  <c r="F471" i="9"/>
  <c r="E471" i="9"/>
  <c r="D471" i="9"/>
  <c r="C471" i="9"/>
  <c r="B471" i="9"/>
  <c r="U470" i="9"/>
  <c r="T470" i="9"/>
  <c r="S470" i="9"/>
  <c r="R470" i="9"/>
  <c r="K470" i="9"/>
  <c r="F470" i="9"/>
  <c r="E470" i="9"/>
  <c r="D470" i="9"/>
  <c r="C470" i="9"/>
  <c r="B470" i="9"/>
  <c r="U469" i="9"/>
  <c r="T469" i="9"/>
  <c r="S469" i="9"/>
  <c r="R469" i="9"/>
  <c r="K469" i="9"/>
  <c r="F469" i="9"/>
  <c r="E469" i="9"/>
  <c r="D469" i="9"/>
  <c r="C469" i="9"/>
  <c r="B469" i="9"/>
  <c r="U468" i="9"/>
  <c r="T468" i="9"/>
  <c r="S468" i="9"/>
  <c r="R468" i="9"/>
  <c r="K468" i="9"/>
  <c r="F468" i="9"/>
  <c r="E468" i="9"/>
  <c r="D468" i="9"/>
  <c r="C468" i="9"/>
  <c r="B468" i="9"/>
  <c r="U467" i="9"/>
  <c r="T467" i="9"/>
  <c r="S467" i="9"/>
  <c r="R467" i="9"/>
  <c r="K467" i="9"/>
  <c r="F467" i="9"/>
  <c r="E467" i="9"/>
  <c r="D467" i="9"/>
  <c r="C467" i="9"/>
  <c r="B467" i="9"/>
  <c r="U466" i="9"/>
  <c r="T466" i="9"/>
  <c r="S466" i="9"/>
  <c r="R466" i="9"/>
  <c r="K466" i="9"/>
  <c r="F466" i="9"/>
  <c r="E466" i="9"/>
  <c r="D466" i="9"/>
  <c r="C466" i="9"/>
  <c r="B466" i="9"/>
  <c r="U465" i="9"/>
  <c r="T465" i="9"/>
  <c r="S465" i="9"/>
  <c r="R465" i="9"/>
  <c r="K465" i="9"/>
  <c r="F465" i="9"/>
  <c r="E465" i="9"/>
  <c r="D465" i="9"/>
  <c r="C465" i="9"/>
  <c r="B465" i="9"/>
  <c r="U464" i="9"/>
  <c r="T464" i="9"/>
  <c r="S464" i="9"/>
  <c r="R464" i="9"/>
  <c r="K464" i="9"/>
  <c r="F464" i="9"/>
  <c r="E464" i="9"/>
  <c r="D464" i="9"/>
  <c r="C464" i="9"/>
  <c r="B464" i="9"/>
  <c r="U463" i="9"/>
  <c r="T463" i="9"/>
  <c r="S463" i="9"/>
  <c r="R463" i="9"/>
  <c r="K463" i="9"/>
  <c r="F463" i="9"/>
  <c r="E463" i="9"/>
  <c r="D463" i="9"/>
  <c r="C463" i="9"/>
  <c r="B463" i="9"/>
  <c r="U462" i="9"/>
  <c r="T462" i="9"/>
  <c r="S462" i="9"/>
  <c r="R462" i="9"/>
  <c r="K462" i="9"/>
  <c r="F462" i="9"/>
  <c r="E462" i="9"/>
  <c r="D462" i="9"/>
  <c r="C462" i="9"/>
  <c r="B462" i="9"/>
  <c r="U461" i="9"/>
  <c r="T461" i="9"/>
  <c r="S461" i="9"/>
  <c r="R461" i="9"/>
  <c r="K461" i="9"/>
  <c r="F461" i="9"/>
  <c r="E461" i="9"/>
  <c r="D461" i="9"/>
  <c r="C461" i="9"/>
  <c r="B461" i="9"/>
  <c r="U460" i="9"/>
  <c r="T460" i="9"/>
  <c r="S460" i="9"/>
  <c r="R460" i="9"/>
  <c r="K460" i="9"/>
  <c r="F460" i="9"/>
  <c r="E460" i="9"/>
  <c r="D460" i="9"/>
  <c r="C460" i="9"/>
  <c r="B460" i="9"/>
  <c r="U459" i="9"/>
  <c r="T459" i="9"/>
  <c r="S459" i="9"/>
  <c r="R459" i="9"/>
  <c r="K459" i="9"/>
  <c r="F459" i="9"/>
  <c r="E459" i="9"/>
  <c r="D459" i="9"/>
  <c r="C459" i="9"/>
  <c r="B459" i="9"/>
  <c r="U458" i="9"/>
  <c r="T458" i="9"/>
  <c r="S458" i="9"/>
  <c r="R458" i="9"/>
  <c r="K458" i="9"/>
  <c r="F458" i="9"/>
  <c r="E458" i="9"/>
  <c r="D458" i="9"/>
  <c r="C458" i="9"/>
  <c r="B458" i="9"/>
  <c r="U457" i="9"/>
  <c r="T457" i="9"/>
  <c r="S457" i="9"/>
  <c r="R457" i="9"/>
  <c r="K457" i="9"/>
  <c r="F457" i="9"/>
  <c r="E457" i="9"/>
  <c r="D457" i="9"/>
  <c r="C457" i="9"/>
  <c r="B457" i="9"/>
  <c r="U456" i="9"/>
  <c r="T456" i="9"/>
  <c r="S456" i="9"/>
  <c r="R456" i="9"/>
  <c r="K456" i="9"/>
  <c r="F456" i="9"/>
  <c r="E456" i="9"/>
  <c r="D456" i="9"/>
  <c r="C456" i="9"/>
  <c r="B456" i="9"/>
  <c r="U455" i="9"/>
  <c r="T455" i="9"/>
  <c r="S455" i="9"/>
  <c r="R455" i="9"/>
  <c r="K455" i="9"/>
  <c r="F455" i="9"/>
  <c r="E455" i="9"/>
  <c r="D455" i="9"/>
  <c r="C455" i="9"/>
  <c r="B455" i="9"/>
  <c r="U454" i="9"/>
  <c r="T454" i="9"/>
  <c r="S454" i="9"/>
  <c r="R454" i="9"/>
  <c r="K454" i="9"/>
  <c r="F454" i="9"/>
  <c r="E454" i="9"/>
  <c r="D454" i="9"/>
  <c r="C454" i="9"/>
  <c r="B454" i="9"/>
  <c r="U453" i="9"/>
  <c r="T453" i="9"/>
  <c r="S453" i="9"/>
  <c r="R453" i="9"/>
  <c r="K453" i="9"/>
  <c r="F453" i="9"/>
  <c r="E453" i="9"/>
  <c r="D453" i="9"/>
  <c r="C453" i="9"/>
  <c r="B453" i="9"/>
  <c r="U452" i="9"/>
  <c r="T452" i="9"/>
  <c r="S452" i="9"/>
  <c r="R452" i="9"/>
  <c r="K452" i="9"/>
  <c r="F452" i="9"/>
  <c r="E452" i="9"/>
  <c r="D452" i="9"/>
  <c r="C452" i="9"/>
  <c r="B452" i="9"/>
  <c r="U451" i="9"/>
  <c r="T451" i="9"/>
  <c r="S451" i="9"/>
  <c r="R451" i="9"/>
  <c r="K451" i="9"/>
  <c r="F451" i="9"/>
  <c r="E451" i="9"/>
  <c r="D451" i="9"/>
  <c r="C451" i="9"/>
  <c r="B451" i="9"/>
  <c r="U450" i="9"/>
  <c r="T450" i="9"/>
  <c r="S450" i="9"/>
  <c r="R450" i="9"/>
  <c r="K450" i="9"/>
  <c r="F450" i="9"/>
  <c r="E450" i="9"/>
  <c r="D450" i="9"/>
  <c r="C450" i="9"/>
  <c r="B450" i="9"/>
  <c r="U449" i="9"/>
  <c r="T449" i="9"/>
  <c r="S449" i="9"/>
  <c r="R449" i="9"/>
  <c r="K449" i="9"/>
  <c r="F449" i="9"/>
  <c r="E449" i="9"/>
  <c r="D449" i="9"/>
  <c r="C449" i="9"/>
  <c r="B449" i="9"/>
  <c r="U448" i="9"/>
  <c r="T448" i="9"/>
  <c r="S448" i="9"/>
  <c r="R448" i="9"/>
  <c r="K448" i="9"/>
  <c r="F448" i="9"/>
  <c r="E448" i="9"/>
  <c r="D448" i="9"/>
  <c r="C448" i="9"/>
  <c r="B448" i="9"/>
  <c r="U447" i="9"/>
  <c r="T447" i="9"/>
  <c r="S447" i="9"/>
  <c r="R447" i="9"/>
  <c r="K447" i="9"/>
  <c r="F447" i="9"/>
  <c r="E447" i="9"/>
  <c r="D447" i="9"/>
  <c r="C447" i="9"/>
  <c r="B447" i="9"/>
  <c r="U446" i="9"/>
  <c r="T446" i="9"/>
  <c r="S446" i="9"/>
  <c r="R446" i="9"/>
  <c r="K446" i="9"/>
  <c r="F446" i="9"/>
  <c r="E446" i="9"/>
  <c r="D446" i="9"/>
  <c r="C446" i="9"/>
  <c r="B446" i="9"/>
  <c r="U445" i="9"/>
  <c r="T445" i="9"/>
  <c r="S445" i="9"/>
  <c r="R445" i="9"/>
  <c r="K445" i="9"/>
  <c r="F445" i="9"/>
  <c r="E445" i="9"/>
  <c r="D445" i="9"/>
  <c r="C445" i="9"/>
  <c r="B445" i="9"/>
  <c r="U444" i="9"/>
  <c r="T444" i="9"/>
  <c r="S444" i="9"/>
  <c r="R444" i="9"/>
  <c r="K444" i="9"/>
  <c r="F444" i="9"/>
  <c r="E444" i="9"/>
  <c r="D444" i="9"/>
  <c r="C444" i="9"/>
  <c r="B444" i="9"/>
  <c r="U443" i="9"/>
  <c r="T443" i="9"/>
  <c r="S443" i="9"/>
  <c r="R443" i="9"/>
  <c r="K443" i="9"/>
  <c r="F443" i="9"/>
  <c r="E443" i="9"/>
  <c r="D443" i="9"/>
  <c r="C443" i="9"/>
  <c r="B443" i="9"/>
  <c r="U442" i="9"/>
  <c r="T442" i="9"/>
  <c r="S442" i="9"/>
  <c r="R442" i="9"/>
  <c r="K442" i="9"/>
  <c r="F442" i="9"/>
  <c r="E442" i="9"/>
  <c r="D442" i="9"/>
  <c r="C442" i="9"/>
  <c r="B442" i="9"/>
  <c r="U441" i="9"/>
  <c r="T441" i="9"/>
  <c r="S441" i="9"/>
  <c r="R441" i="9"/>
  <c r="K441" i="9"/>
  <c r="F441" i="9"/>
  <c r="E441" i="9"/>
  <c r="D441" i="9"/>
  <c r="C441" i="9"/>
  <c r="B441" i="9"/>
  <c r="U440" i="9"/>
  <c r="T440" i="9"/>
  <c r="S440" i="9"/>
  <c r="R440" i="9"/>
  <c r="K440" i="9"/>
  <c r="F440" i="9"/>
  <c r="E440" i="9"/>
  <c r="D440" i="9"/>
  <c r="C440" i="9"/>
  <c r="B440" i="9"/>
  <c r="U439" i="9"/>
  <c r="T439" i="9"/>
  <c r="S439" i="9"/>
  <c r="R439" i="9"/>
  <c r="K439" i="9"/>
  <c r="F439" i="9"/>
  <c r="E439" i="9"/>
  <c r="D439" i="9"/>
  <c r="C439" i="9"/>
  <c r="B439" i="9"/>
  <c r="U438" i="9"/>
  <c r="T438" i="9"/>
  <c r="S438" i="9"/>
  <c r="R438" i="9"/>
  <c r="K438" i="9"/>
  <c r="F438" i="9"/>
  <c r="E438" i="9"/>
  <c r="D438" i="9"/>
  <c r="C438" i="9"/>
  <c r="B438" i="9"/>
  <c r="U437" i="9"/>
  <c r="T437" i="9"/>
  <c r="S437" i="9"/>
  <c r="R437" i="9"/>
  <c r="K437" i="9"/>
  <c r="F437" i="9"/>
  <c r="E437" i="9"/>
  <c r="D437" i="9"/>
  <c r="C437" i="9"/>
  <c r="B437" i="9"/>
  <c r="U436" i="9"/>
  <c r="T436" i="9"/>
  <c r="S436" i="9"/>
  <c r="R436" i="9"/>
  <c r="K436" i="9"/>
  <c r="F436" i="9"/>
  <c r="E436" i="9"/>
  <c r="D436" i="9"/>
  <c r="C436" i="9"/>
  <c r="B436" i="9"/>
  <c r="U435" i="9"/>
  <c r="T435" i="9"/>
  <c r="S435" i="9"/>
  <c r="R435" i="9"/>
  <c r="K435" i="9"/>
  <c r="F435" i="9"/>
  <c r="E435" i="9"/>
  <c r="D435" i="9"/>
  <c r="C435" i="9"/>
  <c r="B435" i="9"/>
  <c r="U434" i="9"/>
  <c r="T434" i="9"/>
  <c r="S434" i="9"/>
  <c r="R434" i="9"/>
  <c r="K434" i="9"/>
  <c r="F434" i="9"/>
  <c r="E434" i="9"/>
  <c r="D434" i="9"/>
  <c r="C434" i="9"/>
  <c r="B434" i="9"/>
  <c r="U433" i="9"/>
  <c r="T433" i="9"/>
  <c r="S433" i="9"/>
  <c r="R433" i="9"/>
  <c r="K433" i="9"/>
  <c r="F433" i="9"/>
  <c r="E433" i="9"/>
  <c r="D433" i="9"/>
  <c r="C433" i="9"/>
  <c r="B433" i="9"/>
  <c r="U432" i="9"/>
  <c r="T432" i="9"/>
  <c r="S432" i="9"/>
  <c r="R432" i="9"/>
  <c r="K432" i="9"/>
  <c r="F432" i="9"/>
  <c r="E432" i="9"/>
  <c r="D432" i="9"/>
  <c r="C432" i="9"/>
  <c r="B432" i="9"/>
  <c r="U431" i="9"/>
  <c r="T431" i="9"/>
  <c r="S431" i="9"/>
  <c r="R431" i="9"/>
  <c r="K431" i="9"/>
  <c r="F431" i="9"/>
  <c r="E431" i="9"/>
  <c r="D431" i="9"/>
  <c r="C431" i="9"/>
  <c r="B431" i="9"/>
  <c r="U430" i="9"/>
  <c r="T430" i="9"/>
  <c r="S430" i="9"/>
  <c r="R430" i="9"/>
  <c r="K430" i="9"/>
  <c r="F430" i="9"/>
  <c r="E430" i="9"/>
  <c r="D430" i="9"/>
  <c r="C430" i="9"/>
  <c r="B430" i="9"/>
  <c r="U429" i="9"/>
  <c r="T429" i="9"/>
  <c r="S429" i="9"/>
  <c r="R429" i="9"/>
  <c r="K429" i="9"/>
  <c r="F429" i="9"/>
  <c r="E429" i="9"/>
  <c r="D429" i="9"/>
  <c r="C429" i="9"/>
  <c r="B429" i="9"/>
  <c r="U428" i="9"/>
  <c r="T428" i="9"/>
  <c r="S428" i="9"/>
  <c r="R428" i="9"/>
  <c r="K428" i="9"/>
  <c r="F428" i="9"/>
  <c r="E428" i="9"/>
  <c r="D428" i="9"/>
  <c r="C428" i="9"/>
  <c r="B428" i="9"/>
  <c r="U427" i="9"/>
  <c r="T427" i="9"/>
  <c r="S427" i="9"/>
  <c r="R427" i="9"/>
  <c r="K427" i="9"/>
  <c r="F427" i="9"/>
  <c r="E427" i="9"/>
  <c r="D427" i="9"/>
  <c r="C427" i="9"/>
  <c r="B427" i="9"/>
  <c r="U426" i="9"/>
  <c r="T426" i="9"/>
  <c r="S426" i="9"/>
  <c r="R426" i="9"/>
  <c r="K426" i="9"/>
  <c r="F426" i="9"/>
  <c r="E426" i="9"/>
  <c r="D426" i="9"/>
  <c r="C426" i="9"/>
  <c r="B426" i="9"/>
  <c r="U425" i="9"/>
  <c r="T425" i="9"/>
  <c r="S425" i="9"/>
  <c r="R425" i="9"/>
  <c r="K425" i="9"/>
  <c r="F425" i="9"/>
  <c r="E425" i="9"/>
  <c r="D425" i="9"/>
  <c r="C425" i="9"/>
  <c r="B425" i="9"/>
  <c r="U424" i="9"/>
  <c r="T424" i="9"/>
  <c r="S424" i="9"/>
  <c r="R424" i="9"/>
  <c r="K424" i="9"/>
  <c r="F424" i="9"/>
  <c r="E424" i="9"/>
  <c r="D424" i="9"/>
  <c r="C424" i="9"/>
  <c r="B424" i="9"/>
  <c r="U423" i="9"/>
  <c r="T423" i="9"/>
  <c r="S423" i="9"/>
  <c r="R423" i="9"/>
  <c r="K423" i="9"/>
  <c r="F423" i="9"/>
  <c r="E423" i="9"/>
  <c r="D423" i="9"/>
  <c r="C423" i="9"/>
  <c r="B423" i="9"/>
  <c r="U422" i="9"/>
  <c r="T422" i="9"/>
  <c r="S422" i="9"/>
  <c r="R422" i="9"/>
  <c r="K422" i="9"/>
  <c r="F422" i="9"/>
  <c r="E422" i="9"/>
  <c r="D422" i="9"/>
  <c r="C422" i="9"/>
  <c r="B422" i="9"/>
  <c r="U421" i="9"/>
  <c r="T421" i="9"/>
  <c r="S421" i="9"/>
  <c r="R421" i="9"/>
  <c r="K421" i="9"/>
  <c r="F421" i="9"/>
  <c r="E421" i="9"/>
  <c r="D421" i="9"/>
  <c r="C421" i="9"/>
  <c r="B421" i="9"/>
  <c r="U420" i="9"/>
  <c r="T420" i="9"/>
  <c r="S420" i="9"/>
  <c r="R420" i="9"/>
  <c r="K420" i="9"/>
  <c r="F420" i="9"/>
  <c r="E420" i="9"/>
  <c r="D420" i="9"/>
  <c r="C420" i="9"/>
  <c r="B420" i="9"/>
  <c r="U419" i="9"/>
  <c r="T419" i="9"/>
  <c r="S419" i="9"/>
  <c r="R419" i="9"/>
  <c r="K419" i="9"/>
  <c r="F419" i="9"/>
  <c r="E419" i="9"/>
  <c r="D419" i="9"/>
  <c r="C419" i="9"/>
  <c r="B419" i="9"/>
  <c r="U418" i="9"/>
  <c r="T418" i="9"/>
  <c r="S418" i="9"/>
  <c r="R418" i="9"/>
  <c r="K418" i="9"/>
  <c r="F418" i="9"/>
  <c r="E418" i="9"/>
  <c r="D418" i="9"/>
  <c r="C418" i="9"/>
  <c r="B418" i="9"/>
  <c r="U417" i="9"/>
  <c r="T417" i="9"/>
  <c r="S417" i="9"/>
  <c r="R417" i="9"/>
  <c r="K417" i="9"/>
  <c r="F417" i="9"/>
  <c r="E417" i="9"/>
  <c r="D417" i="9"/>
  <c r="C417" i="9"/>
  <c r="B417" i="9"/>
  <c r="U416" i="9"/>
  <c r="T416" i="9"/>
  <c r="S416" i="9"/>
  <c r="R416" i="9"/>
  <c r="K416" i="9"/>
  <c r="F416" i="9"/>
  <c r="E416" i="9"/>
  <c r="D416" i="9"/>
  <c r="C416" i="9"/>
  <c r="B416" i="9"/>
  <c r="U415" i="9"/>
  <c r="T415" i="9"/>
  <c r="S415" i="9"/>
  <c r="R415" i="9"/>
  <c r="K415" i="9"/>
  <c r="F415" i="9"/>
  <c r="E415" i="9"/>
  <c r="D415" i="9"/>
  <c r="C415" i="9"/>
  <c r="B415" i="9"/>
  <c r="U414" i="9"/>
  <c r="T414" i="9"/>
  <c r="S414" i="9"/>
  <c r="R414" i="9"/>
  <c r="K414" i="9"/>
  <c r="F414" i="9"/>
  <c r="E414" i="9"/>
  <c r="D414" i="9"/>
  <c r="C414" i="9"/>
  <c r="B414" i="9"/>
  <c r="U413" i="9"/>
  <c r="T413" i="9"/>
  <c r="S413" i="9"/>
  <c r="R413" i="9"/>
  <c r="K413" i="9"/>
  <c r="F413" i="9"/>
  <c r="E413" i="9"/>
  <c r="D413" i="9"/>
  <c r="C413" i="9"/>
  <c r="B413" i="9"/>
  <c r="U412" i="9"/>
  <c r="T412" i="9"/>
  <c r="S412" i="9"/>
  <c r="R412" i="9"/>
  <c r="K412" i="9"/>
  <c r="F412" i="9"/>
  <c r="E412" i="9"/>
  <c r="D412" i="9"/>
  <c r="C412" i="9"/>
  <c r="B412" i="9"/>
  <c r="U411" i="9"/>
  <c r="T411" i="9"/>
  <c r="S411" i="9"/>
  <c r="R411" i="9"/>
  <c r="K411" i="9"/>
  <c r="F411" i="9"/>
  <c r="E411" i="9"/>
  <c r="D411" i="9"/>
  <c r="C411" i="9"/>
  <c r="B411" i="9"/>
  <c r="U410" i="9"/>
  <c r="T410" i="9"/>
  <c r="S410" i="9"/>
  <c r="R410" i="9"/>
  <c r="K410" i="9"/>
  <c r="F410" i="9"/>
  <c r="E410" i="9"/>
  <c r="D410" i="9"/>
  <c r="C410" i="9"/>
  <c r="B410" i="9"/>
  <c r="U409" i="9"/>
  <c r="T409" i="9"/>
  <c r="S409" i="9"/>
  <c r="R409" i="9"/>
  <c r="K409" i="9"/>
  <c r="F409" i="9"/>
  <c r="E409" i="9"/>
  <c r="D409" i="9"/>
  <c r="C409" i="9"/>
  <c r="B409" i="9"/>
  <c r="U408" i="9"/>
  <c r="T408" i="9"/>
  <c r="S408" i="9"/>
  <c r="R408" i="9"/>
  <c r="K408" i="9"/>
  <c r="F408" i="9"/>
  <c r="E408" i="9"/>
  <c r="D408" i="9"/>
  <c r="C408" i="9"/>
  <c r="B408" i="9"/>
  <c r="U407" i="9"/>
  <c r="T407" i="9"/>
  <c r="S407" i="9"/>
  <c r="R407" i="9"/>
  <c r="K407" i="9"/>
  <c r="F407" i="9"/>
  <c r="E407" i="9"/>
  <c r="D407" i="9"/>
  <c r="C407" i="9"/>
  <c r="B407" i="9"/>
  <c r="U406" i="9"/>
  <c r="T406" i="9"/>
  <c r="S406" i="9"/>
  <c r="R406" i="9"/>
  <c r="K406" i="9"/>
  <c r="F406" i="9"/>
  <c r="E406" i="9"/>
  <c r="D406" i="9"/>
  <c r="C406" i="9"/>
  <c r="B406" i="9"/>
  <c r="U405" i="9"/>
  <c r="T405" i="9"/>
  <c r="S405" i="9"/>
  <c r="R405" i="9"/>
  <c r="K405" i="9"/>
  <c r="F405" i="9"/>
  <c r="E405" i="9"/>
  <c r="D405" i="9"/>
  <c r="C405" i="9"/>
  <c r="B405" i="9"/>
  <c r="U404" i="9"/>
  <c r="T404" i="9"/>
  <c r="S404" i="9"/>
  <c r="R404" i="9"/>
  <c r="K404" i="9"/>
  <c r="F404" i="9"/>
  <c r="E404" i="9"/>
  <c r="D404" i="9"/>
  <c r="C404" i="9"/>
  <c r="B404" i="9"/>
  <c r="U403" i="9"/>
  <c r="T403" i="9"/>
  <c r="S403" i="9"/>
  <c r="R403" i="9"/>
  <c r="K403" i="9"/>
  <c r="F403" i="9"/>
  <c r="E403" i="9"/>
  <c r="D403" i="9"/>
  <c r="C403" i="9"/>
  <c r="B403" i="9"/>
  <c r="U402" i="9"/>
  <c r="T402" i="9"/>
  <c r="S402" i="9"/>
  <c r="R402" i="9"/>
  <c r="K402" i="9"/>
  <c r="F402" i="9"/>
  <c r="E402" i="9"/>
  <c r="D402" i="9"/>
  <c r="C402" i="9"/>
  <c r="B402" i="9"/>
  <c r="U401" i="9"/>
  <c r="T401" i="9"/>
  <c r="S401" i="9"/>
  <c r="R401" i="9"/>
  <c r="K401" i="9"/>
  <c r="F401" i="9"/>
  <c r="E401" i="9"/>
  <c r="D401" i="9"/>
  <c r="C401" i="9"/>
  <c r="B401" i="9"/>
  <c r="U400" i="9"/>
  <c r="T400" i="9"/>
  <c r="S400" i="9"/>
  <c r="R400" i="9"/>
  <c r="K400" i="9"/>
  <c r="F400" i="9"/>
  <c r="E400" i="9"/>
  <c r="D400" i="9"/>
  <c r="C400" i="9"/>
  <c r="B400" i="9"/>
  <c r="U399" i="9"/>
  <c r="T399" i="9"/>
  <c r="S399" i="9"/>
  <c r="R399" i="9"/>
  <c r="K399" i="9"/>
  <c r="F399" i="9"/>
  <c r="E399" i="9"/>
  <c r="D399" i="9"/>
  <c r="C399" i="9"/>
  <c r="B399" i="9"/>
  <c r="U398" i="9"/>
  <c r="T398" i="9"/>
  <c r="S398" i="9"/>
  <c r="R398" i="9"/>
  <c r="K398" i="9"/>
  <c r="F398" i="9"/>
  <c r="E398" i="9"/>
  <c r="D398" i="9"/>
  <c r="C398" i="9"/>
  <c r="B398" i="9"/>
  <c r="U397" i="9"/>
  <c r="T397" i="9"/>
  <c r="S397" i="9"/>
  <c r="R397" i="9"/>
  <c r="K397" i="9"/>
  <c r="F397" i="9"/>
  <c r="E397" i="9"/>
  <c r="D397" i="9"/>
  <c r="C397" i="9"/>
  <c r="B397" i="9"/>
  <c r="U396" i="9"/>
  <c r="T396" i="9"/>
  <c r="S396" i="9"/>
  <c r="R396" i="9"/>
  <c r="K396" i="9"/>
  <c r="F396" i="9"/>
  <c r="E396" i="9"/>
  <c r="D396" i="9"/>
  <c r="C396" i="9"/>
  <c r="B396" i="9"/>
  <c r="U395" i="9"/>
  <c r="T395" i="9"/>
  <c r="S395" i="9"/>
  <c r="R395" i="9"/>
  <c r="K395" i="9"/>
  <c r="F395" i="9"/>
  <c r="E395" i="9"/>
  <c r="D395" i="9"/>
  <c r="C395" i="9"/>
  <c r="B395" i="9"/>
  <c r="U394" i="9"/>
  <c r="T394" i="9"/>
  <c r="S394" i="9"/>
  <c r="R394" i="9"/>
  <c r="K394" i="9"/>
  <c r="F394" i="9"/>
  <c r="E394" i="9"/>
  <c r="D394" i="9"/>
  <c r="C394" i="9"/>
  <c r="B394" i="9"/>
  <c r="U393" i="9"/>
  <c r="T393" i="9"/>
  <c r="S393" i="9"/>
  <c r="R393" i="9"/>
  <c r="K393" i="9"/>
  <c r="F393" i="9"/>
  <c r="E393" i="9"/>
  <c r="D393" i="9"/>
  <c r="C393" i="9"/>
  <c r="B393" i="9"/>
  <c r="U392" i="9"/>
  <c r="T392" i="9"/>
  <c r="S392" i="9"/>
  <c r="R392" i="9"/>
  <c r="K392" i="9"/>
  <c r="F392" i="9"/>
  <c r="E392" i="9"/>
  <c r="D392" i="9"/>
  <c r="C392" i="9"/>
  <c r="B392" i="9"/>
  <c r="U391" i="9"/>
  <c r="T391" i="9"/>
  <c r="S391" i="9"/>
  <c r="R391" i="9"/>
  <c r="K391" i="9"/>
  <c r="F391" i="9"/>
  <c r="E391" i="9"/>
  <c r="D391" i="9"/>
  <c r="C391" i="9"/>
  <c r="B391" i="9"/>
  <c r="U390" i="9"/>
  <c r="T390" i="9"/>
  <c r="S390" i="9"/>
  <c r="R390" i="9"/>
  <c r="K390" i="9"/>
  <c r="F390" i="9"/>
  <c r="E390" i="9"/>
  <c r="D390" i="9"/>
  <c r="C390" i="9"/>
  <c r="B390" i="9"/>
  <c r="U389" i="9"/>
  <c r="T389" i="9"/>
  <c r="S389" i="9"/>
  <c r="R389" i="9"/>
  <c r="K389" i="9"/>
  <c r="F389" i="9"/>
  <c r="E389" i="9"/>
  <c r="D389" i="9"/>
  <c r="C389" i="9"/>
  <c r="B389" i="9"/>
  <c r="U388" i="9"/>
  <c r="T388" i="9"/>
  <c r="S388" i="9"/>
  <c r="R388" i="9"/>
  <c r="K388" i="9"/>
  <c r="F388" i="9"/>
  <c r="E388" i="9"/>
  <c r="D388" i="9"/>
  <c r="C388" i="9"/>
  <c r="B388" i="9"/>
  <c r="U387" i="9"/>
  <c r="T387" i="9"/>
  <c r="S387" i="9"/>
  <c r="R387" i="9"/>
  <c r="K387" i="9"/>
  <c r="F387" i="9"/>
  <c r="E387" i="9"/>
  <c r="D387" i="9"/>
  <c r="C387" i="9"/>
  <c r="B387" i="9"/>
  <c r="U386" i="9"/>
  <c r="T386" i="9"/>
  <c r="S386" i="9"/>
  <c r="R386" i="9"/>
  <c r="K386" i="9"/>
  <c r="F386" i="9"/>
  <c r="E386" i="9"/>
  <c r="D386" i="9"/>
  <c r="C386" i="9"/>
  <c r="B386" i="9"/>
  <c r="U385" i="9"/>
  <c r="T385" i="9"/>
  <c r="S385" i="9"/>
  <c r="R385" i="9"/>
  <c r="K385" i="9"/>
  <c r="F385" i="9"/>
  <c r="E385" i="9"/>
  <c r="D385" i="9"/>
  <c r="C385" i="9"/>
  <c r="B385" i="9"/>
  <c r="U384" i="9"/>
  <c r="T384" i="9"/>
  <c r="S384" i="9"/>
  <c r="R384" i="9"/>
  <c r="K384" i="9"/>
  <c r="F384" i="9"/>
  <c r="E384" i="9"/>
  <c r="D384" i="9"/>
  <c r="C384" i="9"/>
  <c r="B384" i="9"/>
  <c r="U383" i="9"/>
  <c r="T383" i="9"/>
  <c r="S383" i="9"/>
  <c r="R383" i="9"/>
  <c r="K383" i="9"/>
  <c r="F383" i="9"/>
  <c r="E383" i="9"/>
  <c r="D383" i="9"/>
  <c r="C383" i="9"/>
  <c r="B383" i="9"/>
  <c r="U382" i="9"/>
  <c r="T382" i="9"/>
  <c r="S382" i="9"/>
  <c r="R382" i="9"/>
  <c r="K382" i="9"/>
  <c r="F382" i="9"/>
  <c r="E382" i="9"/>
  <c r="D382" i="9"/>
  <c r="C382" i="9"/>
  <c r="B382" i="9"/>
  <c r="U381" i="9"/>
  <c r="T381" i="9"/>
  <c r="S381" i="9"/>
  <c r="R381" i="9"/>
  <c r="K381" i="9"/>
  <c r="F381" i="9"/>
  <c r="E381" i="9"/>
  <c r="D381" i="9"/>
  <c r="C381" i="9"/>
  <c r="B381" i="9"/>
  <c r="U380" i="9"/>
  <c r="T380" i="9"/>
  <c r="S380" i="9"/>
  <c r="R380" i="9"/>
  <c r="K380" i="9"/>
  <c r="F380" i="9"/>
  <c r="E380" i="9"/>
  <c r="D380" i="9"/>
  <c r="C380" i="9"/>
  <c r="B380" i="9"/>
  <c r="U379" i="9"/>
  <c r="T379" i="9"/>
  <c r="S379" i="9"/>
  <c r="R379" i="9"/>
  <c r="K379" i="9"/>
  <c r="F379" i="9"/>
  <c r="E379" i="9"/>
  <c r="D379" i="9"/>
  <c r="C379" i="9"/>
  <c r="B379" i="9"/>
  <c r="U378" i="9"/>
  <c r="T378" i="9"/>
  <c r="S378" i="9"/>
  <c r="R378" i="9"/>
  <c r="K378" i="9"/>
  <c r="F378" i="9"/>
  <c r="E378" i="9"/>
  <c r="D378" i="9"/>
  <c r="C378" i="9"/>
  <c r="B378" i="9"/>
  <c r="U377" i="9"/>
  <c r="T377" i="9"/>
  <c r="S377" i="9"/>
  <c r="R377" i="9"/>
  <c r="K377" i="9"/>
  <c r="F377" i="9"/>
  <c r="E377" i="9"/>
  <c r="D377" i="9"/>
  <c r="C377" i="9"/>
  <c r="B377" i="9"/>
  <c r="U376" i="9"/>
  <c r="T376" i="9"/>
  <c r="S376" i="9"/>
  <c r="R376" i="9"/>
  <c r="K376" i="9"/>
  <c r="F376" i="9"/>
  <c r="E376" i="9"/>
  <c r="D376" i="9"/>
  <c r="C376" i="9"/>
  <c r="B376" i="9"/>
  <c r="U375" i="9"/>
  <c r="T375" i="9"/>
  <c r="S375" i="9"/>
  <c r="R375" i="9"/>
  <c r="K375" i="9"/>
  <c r="F375" i="9"/>
  <c r="E375" i="9"/>
  <c r="D375" i="9"/>
  <c r="C375" i="9"/>
  <c r="B375" i="9"/>
  <c r="U374" i="9"/>
  <c r="T374" i="9"/>
  <c r="S374" i="9"/>
  <c r="R374" i="9"/>
  <c r="K374" i="9"/>
  <c r="F374" i="9"/>
  <c r="E374" i="9"/>
  <c r="D374" i="9"/>
  <c r="C374" i="9"/>
  <c r="B374" i="9"/>
  <c r="U373" i="9"/>
  <c r="T373" i="9"/>
  <c r="S373" i="9"/>
  <c r="R373" i="9"/>
  <c r="K373" i="9"/>
  <c r="F373" i="9"/>
  <c r="E373" i="9"/>
  <c r="D373" i="9"/>
  <c r="C373" i="9"/>
  <c r="B373" i="9"/>
  <c r="U372" i="9"/>
  <c r="T372" i="9"/>
  <c r="S372" i="9"/>
  <c r="R372" i="9"/>
  <c r="K372" i="9"/>
  <c r="F372" i="9"/>
  <c r="E372" i="9"/>
  <c r="D372" i="9"/>
  <c r="C372" i="9"/>
  <c r="B372" i="9"/>
  <c r="U371" i="9"/>
  <c r="T371" i="9"/>
  <c r="S371" i="9"/>
  <c r="R371" i="9"/>
  <c r="K371" i="9"/>
  <c r="F371" i="9"/>
  <c r="E371" i="9"/>
  <c r="D371" i="9"/>
  <c r="C371" i="9"/>
  <c r="B371" i="9"/>
  <c r="U370" i="9"/>
  <c r="T370" i="9"/>
  <c r="S370" i="9"/>
  <c r="R370" i="9"/>
  <c r="K370" i="9"/>
  <c r="F370" i="9"/>
  <c r="E370" i="9"/>
  <c r="D370" i="9"/>
  <c r="C370" i="9"/>
  <c r="B370" i="9"/>
  <c r="U369" i="9"/>
  <c r="T369" i="9"/>
  <c r="S369" i="9"/>
  <c r="R369" i="9"/>
  <c r="K369" i="9"/>
  <c r="F369" i="9"/>
  <c r="E369" i="9"/>
  <c r="D369" i="9"/>
  <c r="C369" i="9"/>
  <c r="B369" i="9"/>
  <c r="U368" i="9"/>
  <c r="T368" i="9"/>
  <c r="S368" i="9"/>
  <c r="R368" i="9"/>
  <c r="K368" i="9"/>
  <c r="F368" i="9"/>
  <c r="E368" i="9"/>
  <c r="D368" i="9"/>
  <c r="C368" i="9"/>
  <c r="B368" i="9"/>
  <c r="U367" i="9"/>
  <c r="T367" i="9"/>
  <c r="S367" i="9"/>
  <c r="R367" i="9"/>
  <c r="K367" i="9"/>
  <c r="F367" i="9"/>
  <c r="E367" i="9"/>
  <c r="D367" i="9"/>
  <c r="C367" i="9"/>
  <c r="B367" i="9"/>
  <c r="U366" i="9"/>
  <c r="T366" i="9"/>
  <c r="S366" i="9"/>
  <c r="R366" i="9"/>
  <c r="K366" i="9"/>
  <c r="F366" i="9"/>
  <c r="E366" i="9"/>
  <c r="D366" i="9"/>
  <c r="C366" i="9"/>
  <c r="B366" i="9"/>
  <c r="U365" i="9"/>
  <c r="T365" i="9"/>
  <c r="S365" i="9"/>
  <c r="R365" i="9"/>
  <c r="K365" i="9"/>
  <c r="F365" i="9"/>
  <c r="E365" i="9"/>
  <c r="D365" i="9"/>
  <c r="C365" i="9"/>
  <c r="B365" i="9"/>
  <c r="U364" i="9"/>
  <c r="T364" i="9"/>
  <c r="S364" i="9"/>
  <c r="R364" i="9"/>
  <c r="K364" i="9"/>
  <c r="F364" i="9"/>
  <c r="E364" i="9"/>
  <c r="D364" i="9"/>
  <c r="C364" i="9"/>
  <c r="B364" i="9"/>
  <c r="U363" i="9"/>
  <c r="T363" i="9"/>
  <c r="S363" i="9"/>
  <c r="R363" i="9"/>
  <c r="K363" i="9"/>
  <c r="F363" i="9"/>
  <c r="E363" i="9"/>
  <c r="D363" i="9"/>
  <c r="C363" i="9"/>
  <c r="B363" i="9"/>
  <c r="U362" i="9"/>
  <c r="T362" i="9"/>
  <c r="S362" i="9"/>
  <c r="R362" i="9"/>
  <c r="K362" i="9"/>
  <c r="F362" i="9"/>
  <c r="E362" i="9"/>
  <c r="D362" i="9"/>
  <c r="C362" i="9"/>
  <c r="B362" i="9"/>
  <c r="U361" i="9"/>
  <c r="T361" i="9"/>
  <c r="S361" i="9"/>
  <c r="R361" i="9"/>
  <c r="K361" i="9"/>
  <c r="F361" i="9"/>
  <c r="E361" i="9"/>
  <c r="D361" i="9"/>
  <c r="C361" i="9"/>
  <c r="B361" i="9"/>
  <c r="U360" i="9"/>
  <c r="T360" i="9"/>
  <c r="S360" i="9"/>
  <c r="R360" i="9"/>
  <c r="K360" i="9"/>
  <c r="F360" i="9"/>
  <c r="E360" i="9"/>
  <c r="D360" i="9"/>
  <c r="C360" i="9"/>
  <c r="B360" i="9"/>
  <c r="U359" i="9"/>
  <c r="T359" i="9"/>
  <c r="S359" i="9"/>
  <c r="R359" i="9"/>
  <c r="K359" i="9"/>
  <c r="F359" i="9"/>
  <c r="E359" i="9"/>
  <c r="D359" i="9"/>
  <c r="C359" i="9"/>
  <c r="B359" i="9"/>
  <c r="U358" i="9"/>
  <c r="T358" i="9"/>
  <c r="S358" i="9"/>
  <c r="R358" i="9"/>
  <c r="K358" i="9"/>
  <c r="F358" i="9"/>
  <c r="E358" i="9"/>
  <c r="D358" i="9"/>
  <c r="C358" i="9"/>
  <c r="B358" i="9"/>
  <c r="U357" i="9"/>
  <c r="T357" i="9"/>
  <c r="S357" i="9"/>
  <c r="R357" i="9"/>
  <c r="K357" i="9"/>
  <c r="F357" i="9"/>
  <c r="E357" i="9"/>
  <c r="D357" i="9"/>
  <c r="C357" i="9"/>
  <c r="B357" i="9"/>
  <c r="U356" i="9"/>
  <c r="T356" i="9"/>
  <c r="S356" i="9"/>
  <c r="R356" i="9"/>
  <c r="K356" i="9"/>
  <c r="F356" i="9"/>
  <c r="E356" i="9"/>
  <c r="D356" i="9"/>
  <c r="C356" i="9"/>
  <c r="B356" i="9"/>
  <c r="U355" i="9"/>
  <c r="T355" i="9"/>
  <c r="S355" i="9"/>
  <c r="R355" i="9"/>
  <c r="K355" i="9"/>
  <c r="F355" i="9"/>
  <c r="E355" i="9"/>
  <c r="D355" i="9"/>
  <c r="C355" i="9"/>
  <c r="B355" i="9"/>
  <c r="U354" i="9"/>
  <c r="T354" i="9"/>
  <c r="S354" i="9"/>
  <c r="R354" i="9"/>
  <c r="K354" i="9"/>
  <c r="F354" i="9"/>
  <c r="E354" i="9"/>
  <c r="D354" i="9"/>
  <c r="C354" i="9"/>
  <c r="B354" i="9"/>
  <c r="U353" i="9"/>
  <c r="T353" i="9"/>
  <c r="S353" i="9"/>
  <c r="R353" i="9"/>
  <c r="K353" i="9"/>
  <c r="F353" i="9"/>
  <c r="E353" i="9"/>
  <c r="D353" i="9"/>
  <c r="C353" i="9"/>
  <c r="B353" i="9"/>
  <c r="U352" i="9"/>
  <c r="T352" i="9"/>
  <c r="S352" i="9"/>
  <c r="R352" i="9"/>
  <c r="K352" i="9"/>
  <c r="F352" i="9"/>
  <c r="E352" i="9"/>
  <c r="D352" i="9"/>
  <c r="C352" i="9"/>
  <c r="B352" i="9"/>
  <c r="U351" i="9"/>
  <c r="T351" i="9"/>
  <c r="S351" i="9"/>
  <c r="R351" i="9"/>
  <c r="K351" i="9"/>
  <c r="F351" i="9"/>
  <c r="E351" i="9"/>
  <c r="D351" i="9"/>
  <c r="C351" i="9"/>
  <c r="B351" i="9"/>
  <c r="U350" i="9"/>
  <c r="T350" i="9"/>
  <c r="S350" i="9"/>
  <c r="R350" i="9"/>
  <c r="K350" i="9"/>
  <c r="F350" i="9"/>
  <c r="E350" i="9"/>
  <c r="D350" i="9"/>
  <c r="C350" i="9"/>
  <c r="B350" i="9"/>
  <c r="U349" i="9"/>
  <c r="T349" i="9"/>
  <c r="S349" i="9"/>
  <c r="R349" i="9"/>
  <c r="K349" i="9"/>
  <c r="F349" i="9"/>
  <c r="E349" i="9"/>
  <c r="D349" i="9"/>
  <c r="C349" i="9"/>
  <c r="B349" i="9"/>
  <c r="U348" i="9"/>
  <c r="T348" i="9"/>
  <c r="S348" i="9"/>
  <c r="R348" i="9"/>
  <c r="K348" i="9"/>
  <c r="F348" i="9"/>
  <c r="E348" i="9"/>
  <c r="D348" i="9"/>
  <c r="C348" i="9"/>
  <c r="B348" i="9"/>
  <c r="U347" i="9"/>
  <c r="T347" i="9"/>
  <c r="S347" i="9"/>
  <c r="R347" i="9"/>
  <c r="K347" i="9"/>
  <c r="F347" i="9"/>
  <c r="E347" i="9"/>
  <c r="D347" i="9"/>
  <c r="C347" i="9"/>
  <c r="B347" i="9"/>
  <c r="U346" i="9"/>
  <c r="T346" i="9"/>
  <c r="S346" i="9"/>
  <c r="R346" i="9"/>
  <c r="K346" i="9"/>
  <c r="F346" i="9"/>
  <c r="E346" i="9"/>
  <c r="D346" i="9"/>
  <c r="C346" i="9"/>
  <c r="B346" i="9"/>
  <c r="U345" i="9"/>
  <c r="T345" i="9"/>
  <c r="S345" i="9"/>
  <c r="R345" i="9"/>
  <c r="K345" i="9"/>
  <c r="F345" i="9"/>
  <c r="E345" i="9"/>
  <c r="D345" i="9"/>
  <c r="C345" i="9"/>
  <c r="B345" i="9"/>
  <c r="U344" i="9"/>
  <c r="T344" i="9"/>
  <c r="S344" i="9"/>
  <c r="R344" i="9"/>
  <c r="K344" i="9"/>
  <c r="F344" i="9"/>
  <c r="E344" i="9"/>
  <c r="D344" i="9"/>
  <c r="C344" i="9"/>
  <c r="B344" i="9"/>
  <c r="U343" i="9"/>
  <c r="T343" i="9"/>
  <c r="S343" i="9"/>
  <c r="R343" i="9"/>
  <c r="K343" i="9"/>
  <c r="F343" i="9"/>
  <c r="E343" i="9"/>
  <c r="D343" i="9"/>
  <c r="C343" i="9"/>
  <c r="B343" i="9"/>
  <c r="U342" i="9"/>
  <c r="T342" i="9"/>
  <c r="S342" i="9"/>
  <c r="R342" i="9"/>
  <c r="K342" i="9"/>
  <c r="F342" i="9"/>
  <c r="E342" i="9"/>
  <c r="D342" i="9"/>
  <c r="C342" i="9"/>
  <c r="B342" i="9"/>
  <c r="U341" i="9"/>
  <c r="T341" i="9"/>
  <c r="S341" i="9"/>
  <c r="R341" i="9"/>
  <c r="K341" i="9"/>
  <c r="F341" i="9"/>
  <c r="E341" i="9"/>
  <c r="D341" i="9"/>
  <c r="C341" i="9"/>
  <c r="B341" i="9"/>
  <c r="U340" i="9"/>
  <c r="T340" i="9"/>
  <c r="S340" i="9"/>
  <c r="R340" i="9"/>
  <c r="K340" i="9"/>
  <c r="F340" i="9"/>
  <c r="E340" i="9"/>
  <c r="D340" i="9"/>
  <c r="C340" i="9"/>
  <c r="B340" i="9"/>
  <c r="U339" i="9"/>
  <c r="T339" i="9"/>
  <c r="S339" i="9"/>
  <c r="R339" i="9"/>
  <c r="K339" i="9"/>
  <c r="F339" i="9"/>
  <c r="E339" i="9"/>
  <c r="D339" i="9"/>
  <c r="C339" i="9"/>
  <c r="B339" i="9"/>
  <c r="U338" i="9"/>
  <c r="T338" i="9"/>
  <c r="S338" i="9"/>
  <c r="R338" i="9"/>
  <c r="K338" i="9"/>
  <c r="F338" i="9"/>
  <c r="E338" i="9"/>
  <c r="D338" i="9"/>
  <c r="C338" i="9"/>
  <c r="B338" i="9"/>
  <c r="U337" i="9"/>
  <c r="T337" i="9"/>
  <c r="S337" i="9"/>
  <c r="R337" i="9"/>
  <c r="K337" i="9"/>
  <c r="F337" i="9"/>
  <c r="E337" i="9"/>
  <c r="D337" i="9"/>
  <c r="C337" i="9"/>
  <c r="B337" i="9"/>
  <c r="U336" i="9"/>
  <c r="T336" i="9"/>
  <c r="S336" i="9"/>
  <c r="R336" i="9"/>
  <c r="K336" i="9"/>
  <c r="F336" i="9"/>
  <c r="E336" i="9"/>
  <c r="D336" i="9"/>
  <c r="C336" i="9"/>
  <c r="B336" i="9"/>
  <c r="U335" i="9"/>
  <c r="T335" i="9"/>
  <c r="S335" i="9"/>
  <c r="R335" i="9"/>
  <c r="K335" i="9"/>
  <c r="F335" i="9"/>
  <c r="E335" i="9"/>
  <c r="D335" i="9"/>
  <c r="C335" i="9"/>
  <c r="B335" i="9"/>
  <c r="U334" i="9"/>
  <c r="T334" i="9"/>
  <c r="S334" i="9"/>
  <c r="R334" i="9"/>
  <c r="K334" i="9"/>
  <c r="F334" i="9"/>
  <c r="E334" i="9"/>
  <c r="D334" i="9"/>
  <c r="C334" i="9"/>
  <c r="B334" i="9"/>
  <c r="U333" i="9"/>
  <c r="T333" i="9"/>
  <c r="S333" i="9"/>
  <c r="R333" i="9"/>
  <c r="K333" i="9"/>
  <c r="F333" i="9"/>
  <c r="E333" i="9"/>
  <c r="D333" i="9"/>
  <c r="C333" i="9"/>
  <c r="B333" i="9"/>
  <c r="U332" i="9"/>
  <c r="T332" i="9"/>
  <c r="S332" i="9"/>
  <c r="R332" i="9"/>
  <c r="K332" i="9"/>
  <c r="F332" i="9"/>
  <c r="E332" i="9"/>
  <c r="D332" i="9"/>
  <c r="C332" i="9"/>
  <c r="B332" i="9"/>
  <c r="U331" i="9"/>
  <c r="T331" i="9"/>
  <c r="S331" i="9"/>
  <c r="R331" i="9"/>
  <c r="K331" i="9"/>
  <c r="F331" i="9"/>
  <c r="E331" i="9"/>
  <c r="D331" i="9"/>
  <c r="C331" i="9"/>
  <c r="B331" i="9"/>
  <c r="U330" i="9"/>
  <c r="T330" i="9"/>
  <c r="S330" i="9"/>
  <c r="R330" i="9"/>
  <c r="K330" i="9"/>
  <c r="F330" i="9"/>
  <c r="E330" i="9"/>
  <c r="D330" i="9"/>
  <c r="C330" i="9"/>
  <c r="B330" i="9"/>
  <c r="U329" i="9"/>
  <c r="T329" i="9"/>
  <c r="S329" i="9"/>
  <c r="R329" i="9"/>
  <c r="K329" i="9"/>
  <c r="F329" i="9"/>
  <c r="E329" i="9"/>
  <c r="D329" i="9"/>
  <c r="C329" i="9"/>
  <c r="B329" i="9"/>
  <c r="U328" i="9"/>
  <c r="T328" i="9"/>
  <c r="S328" i="9"/>
  <c r="R328" i="9"/>
  <c r="K328" i="9"/>
  <c r="F328" i="9"/>
  <c r="E328" i="9"/>
  <c r="D328" i="9"/>
  <c r="C328" i="9"/>
  <c r="B328" i="9"/>
  <c r="U327" i="9"/>
  <c r="T327" i="9"/>
  <c r="S327" i="9"/>
  <c r="R327" i="9"/>
  <c r="K327" i="9"/>
  <c r="F327" i="9"/>
  <c r="E327" i="9"/>
  <c r="D327" i="9"/>
  <c r="C327" i="9"/>
  <c r="B327" i="9"/>
  <c r="U326" i="9"/>
  <c r="T326" i="9"/>
  <c r="S326" i="9"/>
  <c r="R326" i="9"/>
  <c r="K326" i="9"/>
  <c r="F326" i="9"/>
  <c r="E326" i="9"/>
  <c r="D326" i="9"/>
  <c r="C326" i="9"/>
  <c r="B326" i="9"/>
  <c r="U325" i="9"/>
  <c r="T325" i="9"/>
  <c r="S325" i="9"/>
  <c r="R325" i="9"/>
  <c r="K325" i="9"/>
  <c r="F325" i="9"/>
  <c r="E325" i="9"/>
  <c r="D325" i="9"/>
  <c r="C325" i="9"/>
  <c r="B325" i="9"/>
  <c r="U324" i="9"/>
  <c r="T324" i="9"/>
  <c r="S324" i="9"/>
  <c r="R324" i="9"/>
  <c r="K324" i="9"/>
  <c r="F324" i="9"/>
  <c r="E324" i="9"/>
  <c r="D324" i="9"/>
  <c r="C324" i="9"/>
  <c r="B324" i="9"/>
  <c r="U323" i="9"/>
  <c r="T323" i="9"/>
  <c r="S323" i="9"/>
  <c r="R323" i="9"/>
  <c r="K323" i="9"/>
  <c r="F323" i="9"/>
  <c r="E323" i="9"/>
  <c r="D323" i="9"/>
  <c r="C323" i="9"/>
  <c r="B323" i="9"/>
  <c r="U322" i="9"/>
  <c r="T322" i="9"/>
  <c r="S322" i="9"/>
  <c r="R322" i="9"/>
  <c r="K322" i="9"/>
  <c r="F322" i="9"/>
  <c r="E322" i="9"/>
  <c r="D322" i="9"/>
  <c r="C322" i="9"/>
  <c r="B322" i="9"/>
  <c r="U321" i="9"/>
  <c r="T321" i="9"/>
  <c r="S321" i="9"/>
  <c r="R321" i="9"/>
  <c r="K321" i="9"/>
  <c r="F321" i="9"/>
  <c r="E321" i="9"/>
  <c r="D321" i="9"/>
  <c r="C321" i="9"/>
  <c r="B321" i="9"/>
  <c r="U320" i="9"/>
  <c r="T320" i="9"/>
  <c r="S320" i="9"/>
  <c r="R320" i="9"/>
  <c r="K320" i="9"/>
  <c r="F320" i="9"/>
  <c r="E320" i="9"/>
  <c r="D320" i="9"/>
  <c r="C320" i="9"/>
  <c r="B320" i="9"/>
  <c r="U319" i="9"/>
  <c r="T319" i="9"/>
  <c r="S319" i="9"/>
  <c r="R319" i="9"/>
  <c r="K319" i="9"/>
  <c r="F319" i="9"/>
  <c r="E319" i="9"/>
  <c r="D319" i="9"/>
  <c r="C319" i="9"/>
  <c r="B319" i="9"/>
  <c r="U318" i="9"/>
  <c r="T318" i="9"/>
  <c r="S318" i="9"/>
  <c r="R318" i="9"/>
  <c r="K318" i="9"/>
  <c r="F318" i="9"/>
  <c r="E318" i="9"/>
  <c r="D318" i="9"/>
  <c r="C318" i="9"/>
  <c r="B318" i="9"/>
  <c r="U317" i="9"/>
  <c r="T317" i="9"/>
  <c r="S317" i="9"/>
  <c r="R317" i="9"/>
  <c r="K317" i="9"/>
  <c r="F317" i="9"/>
  <c r="E317" i="9"/>
  <c r="D317" i="9"/>
  <c r="C317" i="9"/>
  <c r="B317" i="9"/>
  <c r="U316" i="9"/>
  <c r="T316" i="9"/>
  <c r="S316" i="9"/>
  <c r="R316" i="9"/>
  <c r="K316" i="9"/>
  <c r="F316" i="9"/>
  <c r="E316" i="9"/>
  <c r="D316" i="9"/>
  <c r="C316" i="9"/>
  <c r="B316" i="9"/>
  <c r="U315" i="9"/>
  <c r="T315" i="9"/>
  <c r="S315" i="9"/>
  <c r="R315" i="9"/>
  <c r="K315" i="9"/>
  <c r="F315" i="9"/>
  <c r="E315" i="9"/>
  <c r="D315" i="9"/>
  <c r="C315" i="9"/>
  <c r="B315" i="9"/>
  <c r="U314" i="9"/>
  <c r="T314" i="9"/>
  <c r="S314" i="9"/>
  <c r="R314" i="9"/>
  <c r="K314" i="9"/>
  <c r="F314" i="9"/>
  <c r="E314" i="9"/>
  <c r="D314" i="9"/>
  <c r="C314" i="9"/>
  <c r="B314" i="9"/>
  <c r="U313" i="9"/>
  <c r="T313" i="9"/>
  <c r="S313" i="9"/>
  <c r="R313" i="9"/>
  <c r="K313" i="9"/>
  <c r="F313" i="9"/>
  <c r="E313" i="9"/>
  <c r="D313" i="9"/>
  <c r="C313" i="9"/>
  <c r="B313" i="9"/>
  <c r="U312" i="9"/>
  <c r="T312" i="9"/>
  <c r="S312" i="9"/>
  <c r="R312" i="9"/>
  <c r="K312" i="9"/>
  <c r="F312" i="9"/>
  <c r="E312" i="9"/>
  <c r="D312" i="9"/>
  <c r="C312" i="9"/>
  <c r="B312" i="9"/>
  <c r="U311" i="9"/>
  <c r="T311" i="9"/>
  <c r="S311" i="9"/>
  <c r="R311" i="9"/>
  <c r="K311" i="9"/>
  <c r="F311" i="9"/>
  <c r="E311" i="9"/>
  <c r="D311" i="9"/>
  <c r="C311" i="9"/>
  <c r="B311" i="9"/>
  <c r="U310" i="9"/>
  <c r="T310" i="9"/>
  <c r="S310" i="9"/>
  <c r="R310" i="9"/>
  <c r="K310" i="9"/>
  <c r="F310" i="9"/>
  <c r="E310" i="9"/>
  <c r="D310" i="9"/>
  <c r="C310" i="9"/>
  <c r="B310" i="9"/>
  <c r="U309" i="9"/>
  <c r="T309" i="9"/>
  <c r="S309" i="9"/>
  <c r="R309" i="9"/>
  <c r="K309" i="9"/>
  <c r="F309" i="9"/>
  <c r="E309" i="9"/>
  <c r="D309" i="9"/>
  <c r="C309" i="9"/>
  <c r="B309" i="9"/>
  <c r="U308" i="9"/>
  <c r="T308" i="9"/>
  <c r="S308" i="9"/>
  <c r="R308" i="9"/>
  <c r="K308" i="9"/>
  <c r="F308" i="9"/>
  <c r="E308" i="9"/>
  <c r="D308" i="9"/>
  <c r="C308" i="9"/>
  <c r="B308" i="9"/>
  <c r="U307" i="9"/>
  <c r="T307" i="9"/>
  <c r="S307" i="9"/>
  <c r="R307" i="9"/>
  <c r="K307" i="9"/>
  <c r="F307" i="9"/>
  <c r="E307" i="9"/>
  <c r="D307" i="9"/>
  <c r="C307" i="9"/>
  <c r="B307" i="9"/>
  <c r="U306" i="9"/>
  <c r="T306" i="9"/>
  <c r="S306" i="9"/>
  <c r="R306" i="9"/>
  <c r="K306" i="9"/>
  <c r="F306" i="9"/>
  <c r="E306" i="9"/>
  <c r="D306" i="9"/>
  <c r="C306" i="9"/>
  <c r="B306" i="9"/>
  <c r="U305" i="9"/>
  <c r="T305" i="9"/>
  <c r="S305" i="9"/>
  <c r="R305" i="9"/>
  <c r="K305" i="9"/>
  <c r="F305" i="9"/>
  <c r="E305" i="9"/>
  <c r="D305" i="9"/>
  <c r="C305" i="9"/>
  <c r="B305" i="9"/>
  <c r="U304" i="9"/>
  <c r="T304" i="9"/>
  <c r="S304" i="9"/>
  <c r="R304" i="9"/>
  <c r="K304" i="9"/>
  <c r="F304" i="9"/>
  <c r="E304" i="9"/>
  <c r="D304" i="9"/>
  <c r="C304" i="9"/>
  <c r="B304" i="9"/>
  <c r="U303" i="9"/>
  <c r="T303" i="9"/>
  <c r="S303" i="9"/>
  <c r="R303" i="9"/>
  <c r="K303" i="9"/>
  <c r="F303" i="9"/>
  <c r="E303" i="9"/>
  <c r="D303" i="9"/>
  <c r="C303" i="9"/>
  <c r="B303" i="9"/>
  <c r="U302" i="9"/>
  <c r="T302" i="9"/>
  <c r="S302" i="9"/>
  <c r="R302" i="9"/>
  <c r="K302" i="9"/>
  <c r="F302" i="9"/>
  <c r="E302" i="9"/>
  <c r="D302" i="9"/>
  <c r="C302" i="9"/>
  <c r="B302" i="9"/>
  <c r="U301" i="9"/>
  <c r="T301" i="9"/>
  <c r="S301" i="9"/>
  <c r="R301" i="9"/>
  <c r="K301" i="9"/>
  <c r="F301" i="9"/>
  <c r="E301" i="9"/>
  <c r="D301" i="9"/>
  <c r="C301" i="9"/>
  <c r="B301" i="9"/>
  <c r="U300" i="9"/>
  <c r="T300" i="9"/>
  <c r="S300" i="9"/>
  <c r="R300" i="9"/>
  <c r="K300" i="9"/>
  <c r="F300" i="9"/>
  <c r="E300" i="9"/>
  <c r="D300" i="9"/>
  <c r="C300" i="9"/>
  <c r="B300" i="9"/>
  <c r="U299" i="9"/>
  <c r="T299" i="9"/>
  <c r="S299" i="9"/>
  <c r="R299" i="9"/>
  <c r="K299" i="9"/>
  <c r="F299" i="9"/>
  <c r="E299" i="9"/>
  <c r="D299" i="9"/>
  <c r="C299" i="9"/>
  <c r="B299" i="9"/>
  <c r="U298" i="9"/>
  <c r="T298" i="9"/>
  <c r="S298" i="9"/>
  <c r="R298" i="9"/>
  <c r="K298" i="9"/>
  <c r="F298" i="9"/>
  <c r="E298" i="9"/>
  <c r="D298" i="9"/>
  <c r="C298" i="9"/>
  <c r="B298" i="9"/>
  <c r="U297" i="9"/>
  <c r="T297" i="9"/>
  <c r="S297" i="9"/>
  <c r="R297" i="9"/>
  <c r="K297" i="9"/>
  <c r="F297" i="9"/>
  <c r="E297" i="9"/>
  <c r="D297" i="9"/>
  <c r="C297" i="9"/>
  <c r="B297" i="9"/>
  <c r="U296" i="9"/>
  <c r="T296" i="9"/>
  <c r="S296" i="9"/>
  <c r="R296" i="9"/>
  <c r="K296" i="9"/>
  <c r="F296" i="9"/>
  <c r="E296" i="9"/>
  <c r="D296" i="9"/>
  <c r="C296" i="9"/>
  <c r="B296" i="9"/>
  <c r="U295" i="9"/>
  <c r="T295" i="9"/>
  <c r="S295" i="9"/>
  <c r="R295" i="9"/>
  <c r="K295" i="9"/>
  <c r="F295" i="9"/>
  <c r="E295" i="9"/>
  <c r="D295" i="9"/>
  <c r="C295" i="9"/>
  <c r="B295" i="9"/>
  <c r="U294" i="9"/>
  <c r="T294" i="9"/>
  <c r="S294" i="9"/>
  <c r="R294" i="9"/>
  <c r="K294" i="9"/>
  <c r="F294" i="9"/>
  <c r="E294" i="9"/>
  <c r="D294" i="9"/>
  <c r="C294" i="9"/>
  <c r="B294" i="9"/>
  <c r="U293" i="9"/>
  <c r="T293" i="9"/>
  <c r="S293" i="9"/>
  <c r="R293" i="9"/>
  <c r="K293" i="9"/>
  <c r="F293" i="9"/>
  <c r="E293" i="9"/>
  <c r="D293" i="9"/>
  <c r="C293" i="9"/>
  <c r="B293" i="9"/>
  <c r="U292" i="9"/>
  <c r="T292" i="9"/>
  <c r="S292" i="9"/>
  <c r="R292" i="9"/>
  <c r="K292" i="9"/>
  <c r="F292" i="9"/>
  <c r="E292" i="9"/>
  <c r="D292" i="9"/>
  <c r="C292" i="9"/>
  <c r="B292" i="9"/>
  <c r="U291" i="9"/>
  <c r="T291" i="9"/>
  <c r="S291" i="9"/>
  <c r="R291" i="9"/>
  <c r="K291" i="9"/>
  <c r="F291" i="9"/>
  <c r="E291" i="9"/>
  <c r="D291" i="9"/>
  <c r="C291" i="9"/>
  <c r="B291" i="9"/>
  <c r="U290" i="9"/>
  <c r="T290" i="9"/>
  <c r="S290" i="9"/>
  <c r="R290" i="9"/>
  <c r="K290" i="9"/>
  <c r="F290" i="9"/>
  <c r="E290" i="9"/>
  <c r="D290" i="9"/>
  <c r="C290" i="9"/>
  <c r="B290" i="9"/>
  <c r="U289" i="9"/>
  <c r="T289" i="9"/>
  <c r="S289" i="9"/>
  <c r="R289" i="9"/>
  <c r="K289" i="9"/>
  <c r="F289" i="9"/>
  <c r="E289" i="9"/>
  <c r="D289" i="9"/>
  <c r="C289" i="9"/>
  <c r="B289" i="9"/>
  <c r="U288" i="9"/>
  <c r="T288" i="9"/>
  <c r="S288" i="9"/>
  <c r="R288" i="9"/>
  <c r="K288" i="9"/>
  <c r="F288" i="9"/>
  <c r="E288" i="9"/>
  <c r="D288" i="9"/>
  <c r="C288" i="9"/>
  <c r="B288" i="9"/>
  <c r="U287" i="9"/>
  <c r="T287" i="9"/>
  <c r="S287" i="9"/>
  <c r="R287" i="9"/>
  <c r="K287" i="9"/>
  <c r="F287" i="9"/>
  <c r="E287" i="9"/>
  <c r="D287" i="9"/>
  <c r="C287" i="9"/>
  <c r="B287" i="9"/>
  <c r="U286" i="9"/>
  <c r="T286" i="9"/>
  <c r="S286" i="9"/>
  <c r="R286" i="9"/>
  <c r="K286" i="9"/>
  <c r="F286" i="9"/>
  <c r="E286" i="9"/>
  <c r="D286" i="9"/>
  <c r="C286" i="9"/>
  <c r="B286" i="9"/>
  <c r="U285" i="9"/>
  <c r="T285" i="9"/>
  <c r="S285" i="9"/>
  <c r="R285" i="9"/>
  <c r="K285" i="9"/>
  <c r="F285" i="9"/>
  <c r="E285" i="9"/>
  <c r="D285" i="9"/>
  <c r="C285" i="9"/>
  <c r="B285" i="9"/>
  <c r="U284" i="9"/>
  <c r="T284" i="9"/>
  <c r="S284" i="9"/>
  <c r="R284" i="9"/>
  <c r="K284" i="9"/>
  <c r="F284" i="9"/>
  <c r="E284" i="9"/>
  <c r="D284" i="9"/>
  <c r="C284" i="9"/>
  <c r="B284" i="9"/>
  <c r="U283" i="9"/>
  <c r="T283" i="9"/>
  <c r="S283" i="9"/>
  <c r="R283" i="9"/>
  <c r="K283" i="9"/>
  <c r="F283" i="9"/>
  <c r="E283" i="9"/>
  <c r="D283" i="9"/>
  <c r="C283" i="9"/>
  <c r="B283" i="9"/>
  <c r="U282" i="9"/>
  <c r="T282" i="9"/>
  <c r="S282" i="9"/>
  <c r="R282" i="9"/>
  <c r="K282" i="9"/>
  <c r="F282" i="9"/>
  <c r="E282" i="9"/>
  <c r="D282" i="9"/>
  <c r="C282" i="9"/>
  <c r="B282" i="9"/>
  <c r="U281" i="9"/>
  <c r="T281" i="9"/>
  <c r="S281" i="9"/>
  <c r="R281" i="9"/>
  <c r="K281" i="9"/>
  <c r="F281" i="9"/>
  <c r="E281" i="9"/>
  <c r="D281" i="9"/>
  <c r="C281" i="9"/>
  <c r="B281" i="9"/>
  <c r="U280" i="9"/>
  <c r="T280" i="9"/>
  <c r="S280" i="9"/>
  <c r="R280" i="9"/>
  <c r="K280" i="9"/>
  <c r="F280" i="9"/>
  <c r="E280" i="9"/>
  <c r="D280" i="9"/>
  <c r="C280" i="9"/>
  <c r="B280" i="9"/>
  <c r="U279" i="9"/>
  <c r="T279" i="9"/>
  <c r="S279" i="9"/>
  <c r="R279" i="9"/>
  <c r="K279" i="9"/>
  <c r="F279" i="9"/>
  <c r="E279" i="9"/>
  <c r="D279" i="9"/>
  <c r="C279" i="9"/>
  <c r="B279" i="9"/>
  <c r="U278" i="9"/>
  <c r="T278" i="9"/>
  <c r="S278" i="9"/>
  <c r="R278" i="9"/>
  <c r="K278" i="9"/>
  <c r="F278" i="9"/>
  <c r="E278" i="9"/>
  <c r="D278" i="9"/>
  <c r="C278" i="9"/>
  <c r="B278" i="9"/>
  <c r="U277" i="9"/>
  <c r="T277" i="9"/>
  <c r="S277" i="9"/>
  <c r="R277" i="9"/>
  <c r="K277" i="9"/>
  <c r="F277" i="9"/>
  <c r="E277" i="9"/>
  <c r="D277" i="9"/>
  <c r="C277" i="9"/>
  <c r="B277" i="9"/>
  <c r="U276" i="9"/>
  <c r="T276" i="9"/>
  <c r="S276" i="9"/>
  <c r="R276" i="9"/>
  <c r="K276" i="9"/>
  <c r="F276" i="9"/>
  <c r="E276" i="9"/>
  <c r="D276" i="9"/>
  <c r="C276" i="9"/>
  <c r="B276" i="9"/>
  <c r="U275" i="9"/>
  <c r="T275" i="9"/>
  <c r="S275" i="9"/>
  <c r="R275" i="9"/>
  <c r="K275" i="9"/>
  <c r="F275" i="9"/>
  <c r="E275" i="9"/>
  <c r="D275" i="9"/>
  <c r="C275" i="9"/>
  <c r="B275" i="9"/>
  <c r="U274" i="9"/>
  <c r="T274" i="9"/>
  <c r="S274" i="9"/>
  <c r="R274" i="9"/>
  <c r="K274" i="9"/>
  <c r="F274" i="9"/>
  <c r="E274" i="9"/>
  <c r="D274" i="9"/>
  <c r="C274" i="9"/>
  <c r="B274" i="9"/>
  <c r="U273" i="9"/>
  <c r="T273" i="9"/>
  <c r="S273" i="9"/>
  <c r="R273" i="9"/>
  <c r="K273" i="9"/>
  <c r="F273" i="9"/>
  <c r="E273" i="9"/>
  <c r="D273" i="9"/>
  <c r="C273" i="9"/>
  <c r="B273" i="9"/>
  <c r="U272" i="9"/>
  <c r="T272" i="9"/>
  <c r="S272" i="9"/>
  <c r="R272" i="9"/>
  <c r="K272" i="9"/>
  <c r="F272" i="9"/>
  <c r="E272" i="9"/>
  <c r="D272" i="9"/>
  <c r="C272" i="9"/>
  <c r="B272" i="9"/>
  <c r="U271" i="9"/>
  <c r="T271" i="9"/>
  <c r="S271" i="9"/>
  <c r="R271" i="9"/>
  <c r="K271" i="9"/>
  <c r="F271" i="9"/>
  <c r="E271" i="9"/>
  <c r="D271" i="9"/>
  <c r="C271" i="9"/>
  <c r="B271" i="9"/>
  <c r="U270" i="9"/>
  <c r="T270" i="9"/>
  <c r="S270" i="9"/>
  <c r="R270" i="9"/>
  <c r="K270" i="9"/>
  <c r="F270" i="9"/>
  <c r="E270" i="9"/>
  <c r="D270" i="9"/>
  <c r="C270" i="9"/>
  <c r="B270" i="9"/>
  <c r="U269" i="9"/>
  <c r="T269" i="9"/>
  <c r="S269" i="9"/>
  <c r="R269" i="9"/>
  <c r="K269" i="9"/>
  <c r="F269" i="9"/>
  <c r="E269" i="9"/>
  <c r="D269" i="9"/>
  <c r="C269" i="9"/>
  <c r="B269" i="9"/>
  <c r="U268" i="9"/>
  <c r="T268" i="9"/>
  <c r="S268" i="9"/>
  <c r="R268" i="9"/>
  <c r="K268" i="9"/>
  <c r="F268" i="9"/>
  <c r="E268" i="9"/>
  <c r="D268" i="9"/>
  <c r="C268" i="9"/>
  <c r="B268" i="9"/>
  <c r="U267" i="9"/>
  <c r="T267" i="9"/>
  <c r="S267" i="9"/>
  <c r="R267" i="9"/>
  <c r="K267" i="9"/>
  <c r="F267" i="9"/>
  <c r="E267" i="9"/>
  <c r="D267" i="9"/>
  <c r="C267" i="9"/>
  <c r="B267" i="9"/>
  <c r="U266" i="9"/>
  <c r="T266" i="9"/>
  <c r="S266" i="9"/>
  <c r="R266" i="9"/>
  <c r="K266" i="9"/>
  <c r="F266" i="9"/>
  <c r="E266" i="9"/>
  <c r="D266" i="9"/>
  <c r="C266" i="9"/>
  <c r="B266" i="9"/>
  <c r="U265" i="9"/>
  <c r="T265" i="9"/>
  <c r="S265" i="9"/>
  <c r="R265" i="9"/>
  <c r="K265" i="9"/>
  <c r="F265" i="9"/>
  <c r="E265" i="9"/>
  <c r="D265" i="9"/>
  <c r="C265" i="9"/>
  <c r="B265" i="9"/>
  <c r="U264" i="9"/>
  <c r="T264" i="9"/>
  <c r="S264" i="9"/>
  <c r="R264" i="9"/>
  <c r="K264" i="9"/>
  <c r="F264" i="9"/>
  <c r="E264" i="9"/>
  <c r="D264" i="9"/>
  <c r="C264" i="9"/>
  <c r="B264" i="9"/>
  <c r="U263" i="9"/>
  <c r="T263" i="9"/>
  <c r="S263" i="9"/>
  <c r="R263" i="9"/>
  <c r="K263" i="9"/>
  <c r="F263" i="9"/>
  <c r="E263" i="9"/>
  <c r="D263" i="9"/>
  <c r="C263" i="9"/>
  <c r="B263" i="9"/>
  <c r="U262" i="9"/>
  <c r="T262" i="9"/>
  <c r="S262" i="9"/>
  <c r="R262" i="9"/>
  <c r="K262" i="9"/>
  <c r="F262" i="9"/>
  <c r="E262" i="9"/>
  <c r="D262" i="9"/>
  <c r="C262" i="9"/>
  <c r="B262" i="9"/>
  <c r="U261" i="9"/>
  <c r="T261" i="9"/>
  <c r="S261" i="9"/>
  <c r="R261" i="9"/>
  <c r="K261" i="9"/>
  <c r="F261" i="9"/>
  <c r="E261" i="9"/>
  <c r="D261" i="9"/>
  <c r="C261" i="9"/>
  <c r="B261" i="9"/>
  <c r="U260" i="9"/>
  <c r="T260" i="9"/>
  <c r="S260" i="9"/>
  <c r="R260" i="9"/>
  <c r="K260" i="9"/>
  <c r="F260" i="9"/>
  <c r="E260" i="9"/>
  <c r="D260" i="9"/>
  <c r="C260" i="9"/>
  <c r="B260" i="9"/>
  <c r="U259" i="9"/>
  <c r="T259" i="9"/>
  <c r="S259" i="9"/>
  <c r="R259" i="9"/>
  <c r="K259" i="9"/>
  <c r="F259" i="9"/>
  <c r="E259" i="9"/>
  <c r="D259" i="9"/>
  <c r="C259" i="9"/>
  <c r="B259" i="9"/>
  <c r="U258" i="9"/>
  <c r="T258" i="9"/>
  <c r="S258" i="9"/>
  <c r="R258" i="9"/>
  <c r="K258" i="9"/>
  <c r="F258" i="9"/>
  <c r="E258" i="9"/>
  <c r="D258" i="9"/>
  <c r="C258" i="9"/>
  <c r="B258" i="9"/>
  <c r="U257" i="9"/>
  <c r="T257" i="9"/>
  <c r="S257" i="9"/>
  <c r="R257" i="9"/>
  <c r="K257" i="9"/>
  <c r="F257" i="9"/>
  <c r="E257" i="9"/>
  <c r="D257" i="9"/>
  <c r="C257" i="9"/>
  <c r="B257" i="9"/>
  <c r="U256" i="9"/>
  <c r="T256" i="9"/>
  <c r="S256" i="9"/>
  <c r="R256" i="9"/>
  <c r="K256" i="9"/>
  <c r="F256" i="9"/>
  <c r="E256" i="9"/>
  <c r="D256" i="9"/>
  <c r="C256" i="9"/>
  <c r="B256" i="9"/>
  <c r="U255" i="9"/>
  <c r="T255" i="9"/>
  <c r="S255" i="9"/>
  <c r="R255" i="9"/>
  <c r="K255" i="9"/>
  <c r="F255" i="9"/>
  <c r="E255" i="9"/>
  <c r="D255" i="9"/>
  <c r="C255" i="9"/>
  <c r="B255" i="9"/>
  <c r="U254" i="9"/>
  <c r="T254" i="9"/>
  <c r="S254" i="9"/>
  <c r="R254" i="9"/>
  <c r="K254" i="9"/>
  <c r="F254" i="9"/>
  <c r="E254" i="9"/>
  <c r="D254" i="9"/>
  <c r="C254" i="9"/>
  <c r="B254" i="9"/>
  <c r="U253" i="9"/>
  <c r="T253" i="9"/>
  <c r="S253" i="9"/>
  <c r="R253" i="9"/>
  <c r="K253" i="9"/>
  <c r="F253" i="9"/>
  <c r="E253" i="9"/>
  <c r="D253" i="9"/>
  <c r="C253" i="9"/>
  <c r="B253" i="9"/>
  <c r="U252" i="9"/>
  <c r="T252" i="9"/>
  <c r="S252" i="9"/>
  <c r="R252" i="9"/>
  <c r="K252" i="9"/>
  <c r="F252" i="9"/>
  <c r="E252" i="9"/>
  <c r="D252" i="9"/>
  <c r="C252" i="9"/>
  <c r="B252" i="9"/>
  <c r="U251" i="9"/>
  <c r="T251" i="9"/>
  <c r="S251" i="9"/>
  <c r="R251" i="9"/>
  <c r="K251" i="9"/>
  <c r="F251" i="9"/>
  <c r="E251" i="9"/>
  <c r="D251" i="9"/>
  <c r="C251" i="9"/>
  <c r="B251" i="9"/>
  <c r="U250" i="9"/>
  <c r="T250" i="9"/>
  <c r="S250" i="9"/>
  <c r="R250" i="9"/>
  <c r="K250" i="9"/>
  <c r="F250" i="9"/>
  <c r="E250" i="9"/>
  <c r="D250" i="9"/>
  <c r="C250" i="9"/>
  <c r="B250" i="9"/>
  <c r="U249" i="9"/>
  <c r="T249" i="9"/>
  <c r="S249" i="9"/>
  <c r="R249" i="9"/>
  <c r="K249" i="9"/>
  <c r="F249" i="9"/>
  <c r="E249" i="9"/>
  <c r="D249" i="9"/>
  <c r="C249" i="9"/>
  <c r="B249" i="9"/>
  <c r="U248" i="9"/>
  <c r="T248" i="9"/>
  <c r="S248" i="9"/>
  <c r="R248" i="9"/>
  <c r="K248" i="9"/>
  <c r="F248" i="9"/>
  <c r="E248" i="9"/>
  <c r="D248" i="9"/>
  <c r="C248" i="9"/>
  <c r="B248" i="9"/>
  <c r="U247" i="9"/>
  <c r="T247" i="9"/>
  <c r="S247" i="9"/>
  <c r="R247" i="9"/>
  <c r="K247" i="9"/>
  <c r="F247" i="9"/>
  <c r="E247" i="9"/>
  <c r="D247" i="9"/>
  <c r="C247" i="9"/>
  <c r="B247" i="9"/>
  <c r="U246" i="9"/>
  <c r="T246" i="9"/>
  <c r="S246" i="9"/>
  <c r="R246" i="9"/>
  <c r="K246" i="9"/>
  <c r="F246" i="9"/>
  <c r="E246" i="9"/>
  <c r="D246" i="9"/>
  <c r="C246" i="9"/>
  <c r="B246" i="9"/>
  <c r="U245" i="9"/>
  <c r="T245" i="9"/>
  <c r="S245" i="9"/>
  <c r="R245" i="9"/>
  <c r="K245" i="9"/>
  <c r="F245" i="9"/>
  <c r="E245" i="9"/>
  <c r="D245" i="9"/>
  <c r="C245" i="9"/>
  <c r="B245" i="9"/>
  <c r="U244" i="9"/>
  <c r="T244" i="9"/>
  <c r="S244" i="9"/>
  <c r="R244" i="9"/>
  <c r="K244" i="9"/>
  <c r="F244" i="9"/>
  <c r="E244" i="9"/>
  <c r="D244" i="9"/>
  <c r="C244" i="9"/>
  <c r="B244" i="9"/>
  <c r="U243" i="9"/>
  <c r="T243" i="9"/>
  <c r="S243" i="9"/>
  <c r="R243" i="9"/>
  <c r="K243" i="9"/>
  <c r="F243" i="9"/>
  <c r="E243" i="9"/>
  <c r="D243" i="9"/>
  <c r="C243" i="9"/>
  <c r="B243" i="9"/>
  <c r="U242" i="9"/>
  <c r="T242" i="9"/>
  <c r="S242" i="9"/>
  <c r="R242" i="9"/>
  <c r="K242" i="9"/>
  <c r="F242" i="9"/>
  <c r="E242" i="9"/>
  <c r="D242" i="9"/>
  <c r="C242" i="9"/>
  <c r="B242" i="9"/>
  <c r="U241" i="9"/>
  <c r="T241" i="9"/>
  <c r="S241" i="9"/>
  <c r="R241" i="9"/>
  <c r="K241" i="9"/>
  <c r="F241" i="9"/>
  <c r="E241" i="9"/>
  <c r="D241" i="9"/>
  <c r="C241" i="9"/>
  <c r="B241" i="9"/>
  <c r="U240" i="9"/>
  <c r="T240" i="9"/>
  <c r="S240" i="9"/>
  <c r="R240" i="9"/>
  <c r="K240" i="9"/>
  <c r="F240" i="9"/>
  <c r="E240" i="9"/>
  <c r="D240" i="9"/>
  <c r="C240" i="9"/>
  <c r="B240" i="9"/>
  <c r="U239" i="9"/>
  <c r="T239" i="9"/>
  <c r="S239" i="9"/>
  <c r="R239" i="9"/>
  <c r="K239" i="9"/>
  <c r="F239" i="9"/>
  <c r="E239" i="9"/>
  <c r="D239" i="9"/>
  <c r="C239" i="9"/>
  <c r="B239" i="9"/>
  <c r="U238" i="9"/>
  <c r="T238" i="9"/>
  <c r="S238" i="9"/>
  <c r="R238" i="9"/>
  <c r="K238" i="9"/>
  <c r="F238" i="9"/>
  <c r="E238" i="9"/>
  <c r="D238" i="9"/>
  <c r="C238" i="9"/>
  <c r="B238" i="9"/>
  <c r="U237" i="9"/>
  <c r="T237" i="9"/>
  <c r="S237" i="9"/>
  <c r="R237" i="9"/>
  <c r="K237" i="9"/>
  <c r="F237" i="9"/>
  <c r="E237" i="9"/>
  <c r="D237" i="9"/>
  <c r="C237" i="9"/>
  <c r="B237" i="9"/>
  <c r="U236" i="9"/>
  <c r="T236" i="9"/>
  <c r="S236" i="9"/>
  <c r="R236" i="9"/>
  <c r="K236" i="9"/>
  <c r="F236" i="9"/>
  <c r="E236" i="9"/>
  <c r="D236" i="9"/>
  <c r="C236" i="9"/>
  <c r="B236" i="9"/>
  <c r="U235" i="9"/>
  <c r="T235" i="9"/>
  <c r="S235" i="9"/>
  <c r="R235" i="9"/>
  <c r="K235" i="9"/>
  <c r="F235" i="9"/>
  <c r="E235" i="9"/>
  <c r="D235" i="9"/>
  <c r="C235" i="9"/>
  <c r="B235" i="9"/>
  <c r="U234" i="9"/>
  <c r="T234" i="9"/>
  <c r="S234" i="9"/>
  <c r="R234" i="9"/>
  <c r="K234" i="9"/>
  <c r="F234" i="9"/>
  <c r="E234" i="9"/>
  <c r="D234" i="9"/>
  <c r="C234" i="9"/>
  <c r="B234" i="9"/>
  <c r="U233" i="9"/>
  <c r="T233" i="9"/>
  <c r="S233" i="9"/>
  <c r="R233" i="9"/>
  <c r="K233" i="9"/>
  <c r="F233" i="9"/>
  <c r="E233" i="9"/>
  <c r="D233" i="9"/>
  <c r="C233" i="9"/>
  <c r="B233" i="9"/>
  <c r="U232" i="9"/>
  <c r="T232" i="9"/>
  <c r="S232" i="9"/>
  <c r="R232" i="9"/>
  <c r="K232" i="9"/>
  <c r="F232" i="9"/>
  <c r="E232" i="9"/>
  <c r="D232" i="9"/>
  <c r="C232" i="9"/>
  <c r="B232" i="9"/>
  <c r="U231" i="9"/>
  <c r="T231" i="9"/>
  <c r="S231" i="9"/>
  <c r="R231" i="9"/>
  <c r="K231" i="9"/>
  <c r="F231" i="9"/>
  <c r="E231" i="9"/>
  <c r="D231" i="9"/>
  <c r="C231" i="9"/>
  <c r="B231" i="9"/>
  <c r="U230" i="9"/>
  <c r="T230" i="9"/>
  <c r="S230" i="9"/>
  <c r="R230" i="9"/>
  <c r="K230" i="9"/>
  <c r="F230" i="9"/>
  <c r="E230" i="9"/>
  <c r="D230" i="9"/>
  <c r="C230" i="9"/>
  <c r="B230" i="9"/>
  <c r="U229" i="9"/>
  <c r="T229" i="9"/>
  <c r="S229" i="9"/>
  <c r="R229" i="9"/>
  <c r="K229" i="9"/>
  <c r="F229" i="9"/>
  <c r="E229" i="9"/>
  <c r="D229" i="9"/>
  <c r="C229" i="9"/>
  <c r="B229" i="9"/>
  <c r="U228" i="9"/>
  <c r="T228" i="9"/>
  <c r="S228" i="9"/>
  <c r="R228" i="9"/>
  <c r="K228" i="9"/>
  <c r="F228" i="9"/>
  <c r="E228" i="9"/>
  <c r="D228" i="9"/>
  <c r="C228" i="9"/>
  <c r="B228" i="9"/>
  <c r="U227" i="9"/>
  <c r="T227" i="9"/>
  <c r="S227" i="9"/>
  <c r="R227" i="9"/>
  <c r="K227" i="9"/>
  <c r="F227" i="9"/>
  <c r="E227" i="9"/>
  <c r="D227" i="9"/>
  <c r="C227" i="9"/>
  <c r="B227" i="9"/>
  <c r="U226" i="9"/>
  <c r="T226" i="9"/>
  <c r="S226" i="9"/>
  <c r="R226" i="9"/>
  <c r="K226" i="9"/>
  <c r="F226" i="9"/>
  <c r="E226" i="9"/>
  <c r="D226" i="9"/>
  <c r="C226" i="9"/>
  <c r="B226" i="9"/>
  <c r="U225" i="9"/>
  <c r="T225" i="9"/>
  <c r="S225" i="9"/>
  <c r="R225" i="9"/>
  <c r="K225" i="9"/>
  <c r="F225" i="9"/>
  <c r="E225" i="9"/>
  <c r="D225" i="9"/>
  <c r="C225" i="9"/>
  <c r="B225" i="9"/>
  <c r="U224" i="9"/>
  <c r="T224" i="9"/>
  <c r="S224" i="9"/>
  <c r="R224" i="9"/>
  <c r="K224" i="9"/>
  <c r="F224" i="9"/>
  <c r="E224" i="9"/>
  <c r="D224" i="9"/>
  <c r="C224" i="9"/>
  <c r="B224" i="9"/>
  <c r="U223" i="9"/>
  <c r="T223" i="9"/>
  <c r="S223" i="9"/>
  <c r="R223" i="9"/>
  <c r="K223" i="9"/>
  <c r="F223" i="9"/>
  <c r="E223" i="9"/>
  <c r="D223" i="9"/>
  <c r="C223" i="9"/>
  <c r="B223" i="9"/>
  <c r="U222" i="9"/>
  <c r="T222" i="9"/>
  <c r="S222" i="9"/>
  <c r="R222" i="9"/>
  <c r="K222" i="9"/>
  <c r="F222" i="9"/>
  <c r="E222" i="9"/>
  <c r="D222" i="9"/>
  <c r="C222" i="9"/>
  <c r="B222" i="9"/>
  <c r="U221" i="9"/>
  <c r="T221" i="9"/>
  <c r="S221" i="9"/>
  <c r="R221" i="9"/>
  <c r="K221" i="9"/>
  <c r="F221" i="9"/>
  <c r="E221" i="9"/>
  <c r="D221" i="9"/>
  <c r="C221" i="9"/>
  <c r="B221" i="9"/>
  <c r="U220" i="9"/>
  <c r="T220" i="9"/>
  <c r="S220" i="9"/>
  <c r="R220" i="9"/>
  <c r="K220" i="9"/>
  <c r="F220" i="9"/>
  <c r="E220" i="9"/>
  <c r="D220" i="9"/>
  <c r="C220" i="9"/>
  <c r="B220" i="9"/>
  <c r="U219" i="9"/>
  <c r="T219" i="9"/>
  <c r="S219" i="9"/>
  <c r="R219" i="9"/>
  <c r="K219" i="9"/>
  <c r="F219" i="9"/>
  <c r="E219" i="9"/>
  <c r="D219" i="9"/>
  <c r="C219" i="9"/>
  <c r="B219" i="9"/>
  <c r="U218" i="9"/>
  <c r="T218" i="9"/>
  <c r="S218" i="9"/>
  <c r="R218" i="9"/>
  <c r="K218" i="9"/>
  <c r="F218" i="9"/>
  <c r="E218" i="9"/>
  <c r="D218" i="9"/>
  <c r="C218" i="9"/>
  <c r="B218" i="9"/>
  <c r="U217" i="9"/>
  <c r="T217" i="9"/>
  <c r="S217" i="9"/>
  <c r="R217" i="9"/>
  <c r="K217" i="9"/>
  <c r="F217" i="9"/>
  <c r="E217" i="9"/>
  <c r="D217" i="9"/>
  <c r="C217" i="9"/>
  <c r="B217" i="9"/>
  <c r="U216" i="9"/>
  <c r="T216" i="9"/>
  <c r="S216" i="9"/>
  <c r="R216" i="9"/>
  <c r="K216" i="9"/>
  <c r="F216" i="9"/>
  <c r="E216" i="9"/>
  <c r="D216" i="9"/>
  <c r="C216" i="9"/>
  <c r="B216" i="9"/>
  <c r="U215" i="9"/>
  <c r="T215" i="9"/>
  <c r="S215" i="9"/>
  <c r="R215" i="9"/>
  <c r="K215" i="9"/>
  <c r="F215" i="9"/>
  <c r="E215" i="9"/>
  <c r="D215" i="9"/>
  <c r="C215" i="9"/>
  <c r="B215" i="9"/>
  <c r="U214" i="9"/>
  <c r="T214" i="9"/>
  <c r="S214" i="9"/>
  <c r="R214" i="9"/>
  <c r="K214" i="9"/>
  <c r="F214" i="9"/>
  <c r="E214" i="9"/>
  <c r="D214" i="9"/>
  <c r="C214" i="9"/>
  <c r="B214" i="9"/>
  <c r="U213" i="9"/>
  <c r="T213" i="9"/>
  <c r="S213" i="9"/>
  <c r="R213" i="9"/>
  <c r="K213" i="9"/>
  <c r="F213" i="9"/>
  <c r="E213" i="9"/>
  <c r="D213" i="9"/>
  <c r="C213" i="9"/>
  <c r="B213" i="9"/>
  <c r="U212" i="9"/>
  <c r="T212" i="9"/>
  <c r="S212" i="9"/>
  <c r="R212" i="9"/>
  <c r="K212" i="9"/>
  <c r="F212" i="9"/>
  <c r="E212" i="9"/>
  <c r="D212" i="9"/>
  <c r="C212" i="9"/>
  <c r="B212" i="9"/>
  <c r="U211" i="9"/>
  <c r="T211" i="9"/>
  <c r="S211" i="9"/>
  <c r="R211" i="9"/>
  <c r="K211" i="9"/>
  <c r="F211" i="9"/>
  <c r="E211" i="9"/>
  <c r="D211" i="9"/>
  <c r="C211" i="9"/>
  <c r="B211" i="9"/>
  <c r="U210" i="9"/>
  <c r="T210" i="9"/>
  <c r="S210" i="9"/>
  <c r="R210" i="9"/>
  <c r="K210" i="9"/>
  <c r="F210" i="9"/>
  <c r="E210" i="9"/>
  <c r="D210" i="9"/>
  <c r="C210" i="9"/>
  <c r="B210" i="9"/>
  <c r="U209" i="9"/>
  <c r="T209" i="9"/>
  <c r="S209" i="9"/>
  <c r="R209" i="9"/>
  <c r="K209" i="9"/>
  <c r="F209" i="9"/>
  <c r="E209" i="9"/>
  <c r="D209" i="9"/>
  <c r="C209" i="9"/>
  <c r="B209" i="9"/>
  <c r="U208" i="9"/>
  <c r="T208" i="9"/>
  <c r="S208" i="9"/>
  <c r="R208" i="9"/>
  <c r="K208" i="9"/>
  <c r="F208" i="9"/>
  <c r="E208" i="9"/>
  <c r="D208" i="9"/>
  <c r="C208" i="9"/>
  <c r="B208" i="9"/>
  <c r="U207" i="9"/>
  <c r="T207" i="9"/>
  <c r="S207" i="9"/>
  <c r="R207" i="9"/>
  <c r="K207" i="9"/>
  <c r="F207" i="9"/>
  <c r="E207" i="9"/>
  <c r="D207" i="9"/>
  <c r="C207" i="9"/>
  <c r="B207" i="9"/>
  <c r="U206" i="9"/>
  <c r="T206" i="9"/>
  <c r="S206" i="9"/>
  <c r="R206" i="9"/>
  <c r="K206" i="9"/>
  <c r="F206" i="9"/>
  <c r="E206" i="9"/>
  <c r="D206" i="9"/>
  <c r="C206" i="9"/>
  <c r="B206" i="9"/>
  <c r="U205" i="9"/>
  <c r="T205" i="9"/>
  <c r="S205" i="9"/>
  <c r="R205" i="9"/>
  <c r="K205" i="9"/>
  <c r="F205" i="9"/>
  <c r="E205" i="9"/>
  <c r="D205" i="9"/>
  <c r="C205" i="9"/>
  <c r="B205" i="9"/>
  <c r="U204" i="9"/>
  <c r="T204" i="9"/>
  <c r="S204" i="9"/>
  <c r="R204" i="9"/>
  <c r="K204" i="9"/>
  <c r="F204" i="9"/>
  <c r="E204" i="9"/>
  <c r="D204" i="9"/>
  <c r="C204" i="9"/>
  <c r="B204" i="9"/>
  <c r="U203" i="9"/>
  <c r="T203" i="9"/>
  <c r="S203" i="9"/>
  <c r="R203" i="9"/>
  <c r="K203" i="9"/>
  <c r="F203" i="9"/>
  <c r="E203" i="9"/>
  <c r="D203" i="9"/>
  <c r="C203" i="9"/>
  <c r="B203" i="9"/>
  <c r="U202" i="9"/>
  <c r="T202" i="9"/>
  <c r="S202" i="9"/>
  <c r="R202" i="9"/>
  <c r="K202" i="9"/>
  <c r="F202" i="9"/>
  <c r="E202" i="9"/>
  <c r="D202" i="9"/>
  <c r="C202" i="9"/>
  <c r="B202" i="9"/>
  <c r="U201" i="9"/>
  <c r="T201" i="9"/>
  <c r="S201" i="9"/>
  <c r="R201" i="9"/>
  <c r="K201" i="9"/>
  <c r="F201" i="9"/>
  <c r="E201" i="9"/>
  <c r="D201" i="9"/>
  <c r="C201" i="9"/>
  <c r="B201" i="9"/>
  <c r="U200" i="9"/>
  <c r="T200" i="9"/>
  <c r="S200" i="9"/>
  <c r="R200" i="9"/>
  <c r="K200" i="9"/>
  <c r="F200" i="9"/>
  <c r="E200" i="9"/>
  <c r="D200" i="9"/>
  <c r="C200" i="9"/>
  <c r="B200" i="9"/>
  <c r="U199" i="9"/>
  <c r="T199" i="9"/>
  <c r="S199" i="9"/>
  <c r="R199" i="9"/>
  <c r="K199" i="9"/>
  <c r="F199" i="9"/>
  <c r="E199" i="9"/>
  <c r="D199" i="9"/>
  <c r="C199" i="9"/>
  <c r="B199" i="9"/>
  <c r="U198" i="9"/>
  <c r="T198" i="9"/>
  <c r="S198" i="9"/>
  <c r="R198" i="9"/>
  <c r="K198" i="9"/>
  <c r="F198" i="9"/>
  <c r="E198" i="9"/>
  <c r="D198" i="9"/>
  <c r="C198" i="9"/>
  <c r="B198" i="9"/>
  <c r="U197" i="9"/>
  <c r="T197" i="9"/>
  <c r="S197" i="9"/>
  <c r="R197" i="9"/>
  <c r="K197" i="9"/>
  <c r="F197" i="9"/>
  <c r="E197" i="9"/>
  <c r="D197" i="9"/>
  <c r="C197" i="9"/>
  <c r="B197" i="9"/>
  <c r="U196" i="9"/>
  <c r="T196" i="9"/>
  <c r="S196" i="9"/>
  <c r="R196" i="9"/>
  <c r="K196" i="9"/>
  <c r="F196" i="9"/>
  <c r="E196" i="9"/>
  <c r="D196" i="9"/>
  <c r="C196" i="9"/>
  <c r="B196" i="9"/>
  <c r="U195" i="9"/>
  <c r="T195" i="9"/>
  <c r="S195" i="9"/>
  <c r="R195" i="9"/>
  <c r="K195" i="9"/>
  <c r="F195" i="9"/>
  <c r="E195" i="9"/>
  <c r="D195" i="9"/>
  <c r="C195" i="9"/>
  <c r="B195" i="9"/>
  <c r="U194" i="9"/>
  <c r="T194" i="9"/>
  <c r="S194" i="9"/>
  <c r="R194" i="9"/>
  <c r="K194" i="9"/>
  <c r="F194" i="9"/>
  <c r="E194" i="9"/>
  <c r="D194" i="9"/>
  <c r="C194" i="9"/>
  <c r="B194" i="9"/>
  <c r="U193" i="9"/>
  <c r="T193" i="9"/>
  <c r="S193" i="9"/>
  <c r="R193" i="9"/>
  <c r="K193" i="9"/>
  <c r="F193" i="9"/>
  <c r="E193" i="9"/>
  <c r="D193" i="9"/>
  <c r="C193" i="9"/>
  <c r="B193" i="9"/>
  <c r="U192" i="9"/>
  <c r="T192" i="9"/>
  <c r="S192" i="9"/>
  <c r="R192" i="9"/>
  <c r="K192" i="9"/>
  <c r="F192" i="9"/>
  <c r="E192" i="9"/>
  <c r="D192" i="9"/>
  <c r="C192" i="9"/>
  <c r="B192" i="9"/>
  <c r="U191" i="9"/>
  <c r="T191" i="9"/>
  <c r="S191" i="9"/>
  <c r="R191" i="9"/>
  <c r="K191" i="9"/>
  <c r="F191" i="9"/>
  <c r="E191" i="9"/>
  <c r="D191" i="9"/>
  <c r="C191" i="9"/>
  <c r="B191" i="9"/>
  <c r="U190" i="9"/>
  <c r="T190" i="9"/>
  <c r="S190" i="9"/>
  <c r="R190" i="9"/>
  <c r="K190" i="9"/>
  <c r="F190" i="9"/>
  <c r="E190" i="9"/>
  <c r="D190" i="9"/>
  <c r="C190" i="9"/>
  <c r="B190" i="9"/>
  <c r="U189" i="9"/>
  <c r="T189" i="9"/>
  <c r="S189" i="9"/>
  <c r="R189" i="9"/>
  <c r="K189" i="9"/>
  <c r="F189" i="9"/>
  <c r="E189" i="9"/>
  <c r="D189" i="9"/>
  <c r="C189" i="9"/>
  <c r="B189" i="9"/>
  <c r="U188" i="9"/>
  <c r="T188" i="9"/>
  <c r="S188" i="9"/>
  <c r="R188" i="9"/>
  <c r="K188" i="9"/>
  <c r="F188" i="9"/>
  <c r="E188" i="9"/>
  <c r="D188" i="9"/>
  <c r="C188" i="9"/>
  <c r="B188" i="9"/>
  <c r="U187" i="9"/>
  <c r="T187" i="9"/>
  <c r="S187" i="9"/>
  <c r="R187" i="9"/>
  <c r="K187" i="9"/>
  <c r="F187" i="9"/>
  <c r="E187" i="9"/>
  <c r="D187" i="9"/>
  <c r="C187" i="9"/>
  <c r="B187" i="9"/>
  <c r="U186" i="9"/>
  <c r="T186" i="9"/>
  <c r="S186" i="9"/>
  <c r="R186" i="9"/>
  <c r="K186" i="9"/>
  <c r="F186" i="9"/>
  <c r="E186" i="9"/>
  <c r="D186" i="9"/>
  <c r="C186" i="9"/>
  <c r="B186" i="9"/>
  <c r="U185" i="9"/>
  <c r="T185" i="9"/>
  <c r="S185" i="9"/>
  <c r="R185" i="9"/>
  <c r="K185" i="9"/>
  <c r="F185" i="9"/>
  <c r="E185" i="9"/>
  <c r="D185" i="9"/>
  <c r="C185" i="9"/>
  <c r="B185" i="9"/>
  <c r="U184" i="9"/>
  <c r="T184" i="9"/>
  <c r="S184" i="9"/>
  <c r="R184" i="9"/>
  <c r="K184" i="9"/>
  <c r="F184" i="9"/>
  <c r="E184" i="9"/>
  <c r="D184" i="9"/>
  <c r="C184" i="9"/>
  <c r="B184" i="9"/>
  <c r="U183" i="9"/>
  <c r="T183" i="9"/>
  <c r="S183" i="9"/>
  <c r="R183" i="9"/>
  <c r="K183" i="9"/>
  <c r="F183" i="9"/>
  <c r="E183" i="9"/>
  <c r="D183" i="9"/>
  <c r="C183" i="9"/>
  <c r="B183" i="9"/>
  <c r="U182" i="9"/>
  <c r="T182" i="9"/>
  <c r="S182" i="9"/>
  <c r="R182" i="9"/>
  <c r="K182" i="9"/>
  <c r="F182" i="9"/>
  <c r="E182" i="9"/>
  <c r="D182" i="9"/>
  <c r="C182" i="9"/>
  <c r="B182" i="9"/>
  <c r="U181" i="9"/>
  <c r="T181" i="9"/>
  <c r="S181" i="9"/>
  <c r="R181" i="9"/>
  <c r="K181" i="9"/>
  <c r="F181" i="9"/>
  <c r="E181" i="9"/>
  <c r="D181" i="9"/>
  <c r="C181" i="9"/>
  <c r="B181" i="9"/>
  <c r="U180" i="9"/>
  <c r="T180" i="9"/>
  <c r="S180" i="9"/>
  <c r="R180" i="9"/>
  <c r="K180" i="9"/>
  <c r="F180" i="9"/>
  <c r="E180" i="9"/>
  <c r="D180" i="9"/>
  <c r="C180" i="9"/>
  <c r="B180" i="9"/>
  <c r="U179" i="9"/>
  <c r="T179" i="9"/>
  <c r="S179" i="9"/>
  <c r="R179" i="9"/>
  <c r="K179" i="9"/>
  <c r="F179" i="9"/>
  <c r="E179" i="9"/>
  <c r="D179" i="9"/>
  <c r="C179" i="9"/>
  <c r="B179" i="9"/>
  <c r="U178" i="9"/>
  <c r="T178" i="9"/>
  <c r="S178" i="9"/>
  <c r="R178" i="9"/>
  <c r="K178" i="9"/>
  <c r="F178" i="9"/>
  <c r="E178" i="9"/>
  <c r="D178" i="9"/>
  <c r="C178" i="9"/>
  <c r="B178" i="9"/>
  <c r="U177" i="9"/>
  <c r="T177" i="9"/>
  <c r="S177" i="9"/>
  <c r="R177" i="9"/>
  <c r="K177" i="9"/>
  <c r="F177" i="9"/>
  <c r="E177" i="9"/>
  <c r="D177" i="9"/>
  <c r="C177" i="9"/>
  <c r="B177" i="9"/>
  <c r="U176" i="9"/>
  <c r="T176" i="9"/>
  <c r="S176" i="9"/>
  <c r="R176" i="9"/>
  <c r="K176" i="9"/>
  <c r="F176" i="9"/>
  <c r="E176" i="9"/>
  <c r="D176" i="9"/>
  <c r="C176" i="9"/>
  <c r="B176" i="9"/>
  <c r="U175" i="9"/>
  <c r="T175" i="9"/>
  <c r="S175" i="9"/>
  <c r="R175" i="9"/>
  <c r="K175" i="9"/>
  <c r="F175" i="9"/>
  <c r="E175" i="9"/>
  <c r="D175" i="9"/>
  <c r="C175" i="9"/>
  <c r="B175" i="9"/>
  <c r="U174" i="9"/>
  <c r="T174" i="9"/>
  <c r="S174" i="9"/>
  <c r="R174" i="9"/>
  <c r="K174" i="9"/>
  <c r="F174" i="9"/>
  <c r="E174" i="9"/>
  <c r="D174" i="9"/>
  <c r="C174" i="9"/>
  <c r="B174" i="9"/>
  <c r="U173" i="9"/>
  <c r="T173" i="9"/>
  <c r="S173" i="9"/>
  <c r="R173" i="9"/>
  <c r="K173" i="9"/>
  <c r="F173" i="9"/>
  <c r="E173" i="9"/>
  <c r="D173" i="9"/>
  <c r="C173" i="9"/>
  <c r="B173" i="9"/>
  <c r="U172" i="9"/>
  <c r="T172" i="9"/>
  <c r="S172" i="9"/>
  <c r="R172" i="9"/>
  <c r="K172" i="9"/>
  <c r="F172" i="9"/>
  <c r="E172" i="9"/>
  <c r="D172" i="9"/>
  <c r="C172" i="9"/>
  <c r="B172" i="9"/>
  <c r="U171" i="9"/>
  <c r="T171" i="9"/>
  <c r="S171" i="9"/>
  <c r="R171" i="9"/>
  <c r="K171" i="9"/>
  <c r="F171" i="9"/>
  <c r="E171" i="9"/>
  <c r="D171" i="9"/>
  <c r="C171" i="9"/>
  <c r="B171" i="9"/>
  <c r="U170" i="9"/>
  <c r="T170" i="9"/>
  <c r="S170" i="9"/>
  <c r="R170" i="9"/>
  <c r="K170" i="9"/>
  <c r="F170" i="9"/>
  <c r="E170" i="9"/>
  <c r="D170" i="9"/>
  <c r="C170" i="9"/>
  <c r="B170" i="9"/>
  <c r="U169" i="9"/>
  <c r="T169" i="9"/>
  <c r="S169" i="9"/>
  <c r="R169" i="9"/>
  <c r="K169" i="9"/>
  <c r="F169" i="9"/>
  <c r="E169" i="9"/>
  <c r="D169" i="9"/>
  <c r="C169" i="9"/>
  <c r="B169" i="9"/>
  <c r="U168" i="9"/>
  <c r="T168" i="9"/>
  <c r="S168" i="9"/>
  <c r="R168" i="9"/>
  <c r="K168" i="9"/>
  <c r="F168" i="9"/>
  <c r="E168" i="9"/>
  <c r="D168" i="9"/>
  <c r="C168" i="9"/>
  <c r="B168" i="9"/>
  <c r="U167" i="9"/>
  <c r="T167" i="9"/>
  <c r="S167" i="9"/>
  <c r="R167" i="9"/>
  <c r="K167" i="9"/>
  <c r="F167" i="9"/>
  <c r="E167" i="9"/>
  <c r="D167" i="9"/>
  <c r="C167" i="9"/>
  <c r="B167" i="9"/>
  <c r="U166" i="9"/>
  <c r="T166" i="9"/>
  <c r="S166" i="9"/>
  <c r="R166" i="9"/>
  <c r="K166" i="9"/>
  <c r="F166" i="9"/>
  <c r="E166" i="9"/>
  <c r="D166" i="9"/>
  <c r="C166" i="9"/>
  <c r="B166" i="9"/>
  <c r="U165" i="9"/>
  <c r="T165" i="9"/>
  <c r="S165" i="9"/>
  <c r="R165" i="9"/>
  <c r="K165" i="9"/>
  <c r="F165" i="9"/>
  <c r="E165" i="9"/>
  <c r="D165" i="9"/>
  <c r="C165" i="9"/>
  <c r="B165" i="9"/>
  <c r="U164" i="9"/>
  <c r="T164" i="9"/>
  <c r="S164" i="9"/>
  <c r="R164" i="9"/>
  <c r="K164" i="9"/>
  <c r="F164" i="9"/>
  <c r="E164" i="9"/>
  <c r="D164" i="9"/>
  <c r="C164" i="9"/>
  <c r="B164" i="9"/>
  <c r="U163" i="9"/>
  <c r="T163" i="9"/>
  <c r="S163" i="9"/>
  <c r="R163" i="9"/>
  <c r="K163" i="9"/>
  <c r="F163" i="9"/>
  <c r="E163" i="9"/>
  <c r="D163" i="9"/>
  <c r="C163" i="9"/>
  <c r="B163" i="9"/>
  <c r="U162" i="9"/>
  <c r="T162" i="9"/>
  <c r="S162" i="9"/>
  <c r="R162" i="9"/>
  <c r="K162" i="9"/>
  <c r="F162" i="9"/>
  <c r="E162" i="9"/>
  <c r="D162" i="9"/>
  <c r="C162" i="9"/>
  <c r="B162" i="9"/>
  <c r="U161" i="9"/>
  <c r="T161" i="9"/>
  <c r="S161" i="9"/>
  <c r="R161" i="9"/>
  <c r="K161" i="9"/>
  <c r="F161" i="9"/>
  <c r="E161" i="9"/>
  <c r="D161" i="9"/>
  <c r="C161" i="9"/>
  <c r="B161" i="9"/>
  <c r="U160" i="9"/>
  <c r="T160" i="9"/>
  <c r="S160" i="9"/>
  <c r="R160" i="9"/>
  <c r="K160" i="9"/>
  <c r="F160" i="9"/>
  <c r="E160" i="9"/>
  <c r="D160" i="9"/>
  <c r="C160" i="9"/>
  <c r="B160" i="9"/>
  <c r="U159" i="9"/>
  <c r="T159" i="9"/>
  <c r="S159" i="9"/>
  <c r="R159" i="9"/>
  <c r="K159" i="9"/>
  <c r="F159" i="9"/>
  <c r="E159" i="9"/>
  <c r="D159" i="9"/>
  <c r="C159" i="9"/>
  <c r="B159" i="9"/>
  <c r="U158" i="9"/>
  <c r="T158" i="9"/>
  <c r="S158" i="9"/>
  <c r="R158" i="9"/>
  <c r="K158" i="9"/>
  <c r="F158" i="9"/>
  <c r="E158" i="9"/>
  <c r="D158" i="9"/>
  <c r="C158" i="9"/>
  <c r="B158" i="9"/>
  <c r="U157" i="9"/>
  <c r="T157" i="9"/>
  <c r="S157" i="9"/>
  <c r="R157" i="9"/>
  <c r="K157" i="9"/>
  <c r="F157" i="9"/>
  <c r="E157" i="9"/>
  <c r="D157" i="9"/>
  <c r="C157" i="9"/>
  <c r="B157" i="9"/>
  <c r="U156" i="9"/>
  <c r="T156" i="9"/>
  <c r="S156" i="9"/>
  <c r="R156" i="9"/>
  <c r="K156" i="9"/>
  <c r="F156" i="9"/>
  <c r="E156" i="9"/>
  <c r="D156" i="9"/>
  <c r="C156" i="9"/>
  <c r="B156" i="9"/>
  <c r="U155" i="9"/>
  <c r="T155" i="9"/>
  <c r="S155" i="9"/>
  <c r="R155" i="9"/>
  <c r="K155" i="9"/>
  <c r="F155" i="9"/>
  <c r="E155" i="9"/>
  <c r="D155" i="9"/>
  <c r="C155" i="9"/>
  <c r="B155" i="9"/>
  <c r="U154" i="9"/>
  <c r="T154" i="9"/>
  <c r="S154" i="9"/>
  <c r="R154" i="9"/>
  <c r="K154" i="9"/>
  <c r="F154" i="9"/>
  <c r="E154" i="9"/>
  <c r="D154" i="9"/>
  <c r="C154" i="9"/>
  <c r="B154" i="9"/>
  <c r="U153" i="9"/>
  <c r="T153" i="9"/>
  <c r="S153" i="9"/>
  <c r="R153" i="9"/>
  <c r="K153" i="9"/>
  <c r="F153" i="9"/>
  <c r="E153" i="9"/>
  <c r="D153" i="9"/>
  <c r="C153" i="9"/>
  <c r="B153" i="9"/>
  <c r="U152" i="9"/>
  <c r="T152" i="9"/>
  <c r="S152" i="9"/>
  <c r="R152" i="9"/>
  <c r="K152" i="9"/>
  <c r="F152" i="9"/>
  <c r="E152" i="9"/>
  <c r="D152" i="9"/>
  <c r="C152" i="9"/>
  <c r="B152" i="9"/>
  <c r="U151" i="9"/>
  <c r="T151" i="9"/>
  <c r="S151" i="9"/>
  <c r="R151" i="9"/>
  <c r="K151" i="9"/>
  <c r="F151" i="9"/>
  <c r="E151" i="9"/>
  <c r="D151" i="9"/>
  <c r="C151" i="9"/>
  <c r="B151" i="9"/>
  <c r="U150" i="9"/>
  <c r="T150" i="9"/>
  <c r="S150" i="9"/>
  <c r="R150" i="9"/>
  <c r="K150" i="9"/>
  <c r="F150" i="9"/>
  <c r="E150" i="9"/>
  <c r="D150" i="9"/>
  <c r="C150" i="9"/>
  <c r="B150" i="9"/>
  <c r="U149" i="9"/>
  <c r="T149" i="9"/>
  <c r="S149" i="9"/>
  <c r="R149" i="9"/>
  <c r="K149" i="9"/>
  <c r="F149" i="9"/>
  <c r="E149" i="9"/>
  <c r="D149" i="9"/>
  <c r="C149" i="9"/>
  <c r="B149" i="9"/>
  <c r="U148" i="9"/>
  <c r="T148" i="9"/>
  <c r="S148" i="9"/>
  <c r="R148" i="9"/>
  <c r="K148" i="9"/>
  <c r="F148" i="9"/>
  <c r="E148" i="9"/>
  <c r="D148" i="9"/>
  <c r="C148" i="9"/>
  <c r="B148" i="9"/>
  <c r="U147" i="9"/>
  <c r="T147" i="9"/>
  <c r="S147" i="9"/>
  <c r="R147" i="9"/>
  <c r="K147" i="9"/>
  <c r="F147" i="9"/>
  <c r="E147" i="9"/>
  <c r="D147" i="9"/>
  <c r="C147" i="9"/>
  <c r="B147" i="9"/>
  <c r="U146" i="9"/>
  <c r="T146" i="9"/>
  <c r="S146" i="9"/>
  <c r="R146" i="9"/>
  <c r="K146" i="9"/>
  <c r="F146" i="9"/>
  <c r="E146" i="9"/>
  <c r="D146" i="9"/>
  <c r="C146" i="9"/>
  <c r="B146" i="9"/>
  <c r="U145" i="9"/>
  <c r="T145" i="9"/>
  <c r="S145" i="9"/>
  <c r="R145" i="9"/>
  <c r="K145" i="9"/>
  <c r="F145" i="9"/>
  <c r="E145" i="9"/>
  <c r="D145" i="9"/>
  <c r="C145" i="9"/>
  <c r="B145" i="9"/>
  <c r="U144" i="9"/>
  <c r="T144" i="9"/>
  <c r="S144" i="9"/>
  <c r="R144" i="9"/>
  <c r="K144" i="9"/>
  <c r="F144" i="9"/>
  <c r="E144" i="9"/>
  <c r="D144" i="9"/>
  <c r="C144" i="9"/>
  <c r="B144" i="9"/>
  <c r="U143" i="9"/>
  <c r="T143" i="9"/>
  <c r="S143" i="9"/>
  <c r="R143" i="9"/>
  <c r="K143" i="9"/>
  <c r="F143" i="9"/>
  <c r="E143" i="9"/>
  <c r="D143" i="9"/>
  <c r="C143" i="9"/>
  <c r="B143" i="9"/>
  <c r="U142" i="9"/>
  <c r="T142" i="9"/>
  <c r="S142" i="9"/>
  <c r="R142" i="9"/>
  <c r="K142" i="9"/>
  <c r="F142" i="9"/>
  <c r="E142" i="9"/>
  <c r="D142" i="9"/>
  <c r="C142" i="9"/>
  <c r="B142" i="9"/>
  <c r="U141" i="9"/>
  <c r="T141" i="9"/>
  <c r="S141" i="9"/>
  <c r="R141" i="9"/>
  <c r="K141" i="9"/>
  <c r="F141" i="9"/>
  <c r="E141" i="9"/>
  <c r="D141" i="9"/>
  <c r="C141" i="9"/>
  <c r="B141" i="9"/>
  <c r="U140" i="9"/>
  <c r="T140" i="9"/>
  <c r="S140" i="9"/>
  <c r="R140" i="9"/>
  <c r="K140" i="9"/>
  <c r="F140" i="9"/>
  <c r="E140" i="9"/>
  <c r="D140" i="9"/>
  <c r="C140" i="9"/>
  <c r="B140" i="9"/>
  <c r="U139" i="9"/>
  <c r="T139" i="9"/>
  <c r="S139" i="9"/>
  <c r="R139" i="9"/>
  <c r="K139" i="9"/>
  <c r="F139" i="9"/>
  <c r="E139" i="9"/>
  <c r="D139" i="9"/>
  <c r="C139" i="9"/>
  <c r="B139" i="9"/>
  <c r="U138" i="9"/>
  <c r="T138" i="9"/>
  <c r="S138" i="9"/>
  <c r="R138" i="9"/>
  <c r="K138" i="9"/>
  <c r="F138" i="9"/>
  <c r="E138" i="9"/>
  <c r="D138" i="9"/>
  <c r="C138" i="9"/>
  <c r="B138" i="9"/>
  <c r="U137" i="9"/>
  <c r="T137" i="9"/>
  <c r="S137" i="9"/>
  <c r="R137" i="9"/>
  <c r="K137" i="9"/>
  <c r="F137" i="9"/>
  <c r="E137" i="9"/>
  <c r="D137" i="9"/>
  <c r="C137" i="9"/>
  <c r="B137" i="9"/>
  <c r="U136" i="9"/>
  <c r="T136" i="9"/>
  <c r="S136" i="9"/>
  <c r="R136" i="9"/>
  <c r="K136" i="9"/>
  <c r="F136" i="9"/>
  <c r="E136" i="9"/>
  <c r="D136" i="9"/>
  <c r="C136" i="9"/>
  <c r="B136" i="9"/>
  <c r="U135" i="9"/>
  <c r="T135" i="9"/>
  <c r="S135" i="9"/>
  <c r="R135" i="9"/>
  <c r="K135" i="9"/>
  <c r="F135" i="9"/>
  <c r="E135" i="9"/>
  <c r="D135" i="9"/>
  <c r="C135" i="9"/>
  <c r="B135" i="9"/>
  <c r="U134" i="9"/>
  <c r="T134" i="9"/>
  <c r="S134" i="9"/>
  <c r="R134" i="9"/>
  <c r="K134" i="9"/>
  <c r="F134" i="9"/>
  <c r="E134" i="9"/>
  <c r="D134" i="9"/>
  <c r="C134" i="9"/>
  <c r="B134" i="9"/>
  <c r="U133" i="9"/>
  <c r="T133" i="9"/>
  <c r="S133" i="9"/>
  <c r="R133" i="9"/>
  <c r="K133" i="9"/>
  <c r="F133" i="9"/>
  <c r="E133" i="9"/>
  <c r="D133" i="9"/>
  <c r="C133" i="9"/>
  <c r="B133" i="9"/>
  <c r="U132" i="9"/>
  <c r="T132" i="9"/>
  <c r="S132" i="9"/>
  <c r="R132" i="9"/>
  <c r="K132" i="9"/>
  <c r="F132" i="9"/>
  <c r="E132" i="9"/>
  <c r="D132" i="9"/>
  <c r="C132" i="9"/>
  <c r="B132" i="9"/>
  <c r="U131" i="9"/>
  <c r="T131" i="9"/>
  <c r="S131" i="9"/>
  <c r="R131" i="9"/>
  <c r="K131" i="9"/>
  <c r="F131" i="9"/>
  <c r="E131" i="9"/>
  <c r="D131" i="9"/>
  <c r="C131" i="9"/>
  <c r="B131" i="9"/>
  <c r="U130" i="9"/>
  <c r="T130" i="9"/>
  <c r="S130" i="9"/>
  <c r="R130" i="9"/>
  <c r="K130" i="9"/>
  <c r="F130" i="9"/>
  <c r="E130" i="9"/>
  <c r="D130" i="9"/>
  <c r="C130" i="9"/>
  <c r="B130" i="9"/>
  <c r="U129" i="9"/>
  <c r="T129" i="9"/>
  <c r="S129" i="9"/>
  <c r="R129" i="9"/>
  <c r="K129" i="9"/>
  <c r="F129" i="9"/>
  <c r="E129" i="9"/>
  <c r="D129" i="9"/>
  <c r="C129" i="9"/>
  <c r="B129" i="9"/>
  <c r="U128" i="9"/>
  <c r="T128" i="9"/>
  <c r="S128" i="9"/>
  <c r="R128" i="9"/>
  <c r="K128" i="9"/>
  <c r="F128" i="9"/>
  <c r="E128" i="9"/>
  <c r="D128" i="9"/>
  <c r="C128" i="9"/>
  <c r="B128" i="9"/>
  <c r="U127" i="9"/>
  <c r="T127" i="9"/>
  <c r="S127" i="9"/>
  <c r="R127" i="9"/>
  <c r="K127" i="9"/>
  <c r="F127" i="9"/>
  <c r="E127" i="9"/>
  <c r="D127" i="9"/>
  <c r="C127" i="9"/>
  <c r="B127" i="9"/>
  <c r="U126" i="9"/>
  <c r="T126" i="9"/>
  <c r="S126" i="9"/>
  <c r="R126" i="9"/>
  <c r="K126" i="9"/>
  <c r="F126" i="9"/>
  <c r="E126" i="9"/>
  <c r="D126" i="9"/>
  <c r="C126" i="9"/>
  <c r="B126" i="9"/>
  <c r="U125" i="9"/>
  <c r="T125" i="9"/>
  <c r="S125" i="9"/>
  <c r="R125" i="9"/>
  <c r="K125" i="9"/>
  <c r="F125" i="9"/>
  <c r="E125" i="9"/>
  <c r="D125" i="9"/>
  <c r="C125" i="9"/>
  <c r="B125" i="9"/>
  <c r="U124" i="9"/>
  <c r="T124" i="9"/>
  <c r="S124" i="9"/>
  <c r="R124" i="9"/>
  <c r="K124" i="9"/>
  <c r="F124" i="9"/>
  <c r="E124" i="9"/>
  <c r="D124" i="9"/>
  <c r="C124" i="9"/>
  <c r="B124" i="9"/>
  <c r="U123" i="9"/>
  <c r="T123" i="9"/>
  <c r="S123" i="9"/>
  <c r="R123" i="9"/>
  <c r="K123" i="9"/>
  <c r="F123" i="9"/>
  <c r="E123" i="9"/>
  <c r="D123" i="9"/>
  <c r="C123" i="9"/>
  <c r="B123" i="9"/>
  <c r="U122" i="9"/>
  <c r="T122" i="9"/>
  <c r="S122" i="9"/>
  <c r="R122" i="9"/>
  <c r="K122" i="9"/>
  <c r="F122" i="9"/>
  <c r="E122" i="9"/>
  <c r="D122" i="9"/>
  <c r="C122" i="9"/>
  <c r="B122" i="9"/>
  <c r="U121" i="9"/>
  <c r="T121" i="9"/>
  <c r="S121" i="9"/>
  <c r="R121" i="9"/>
  <c r="K121" i="9"/>
  <c r="F121" i="9"/>
  <c r="E121" i="9"/>
  <c r="D121" i="9"/>
  <c r="C121" i="9"/>
  <c r="B121" i="9"/>
  <c r="U120" i="9"/>
  <c r="T120" i="9"/>
  <c r="S120" i="9"/>
  <c r="R120" i="9"/>
  <c r="K120" i="9"/>
  <c r="F120" i="9"/>
  <c r="E120" i="9"/>
  <c r="D120" i="9"/>
  <c r="C120" i="9"/>
  <c r="B120" i="9"/>
  <c r="U119" i="9"/>
  <c r="T119" i="9"/>
  <c r="S119" i="9"/>
  <c r="R119" i="9"/>
  <c r="K119" i="9"/>
  <c r="F119" i="9"/>
  <c r="E119" i="9"/>
  <c r="D119" i="9"/>
  <c r="C119" i="9"/>
  <c r="B119" i="9"/>
  <c r="U118" i="9"/>
  <c r="T118" i="9"/>
  <c r="S118" i="9"/>
  <c r="R118" i="9"/>
  <c r="K118" i="9"/>
  <c r="F118" i="9"/>
  <c r="E118" i="9"/>
  <c r="D118" i="9"/>
  <c r="C118" i="9"/>
  <c r="B118" i="9"/>
  <c r="U117" i="9"/>
  <c r="T117" i="9"/>
  <c r="S117" i="9"/>
  <c r="R117" i="9"/>
  <c r="K117" i="9"/>
  <c r="F117" i="9"/>
  <c r="E117" i="9"/>
  <c r="D117" i="9"/>
  <c r="C117" i="9"/>
  <c r="B117" i="9"/>
  <c r="U116" i="9"/>
  <c r="T116" i="9"/>
  <c r="S116" i="9"/>
  <c r="R116" i="9"/>
  <c r="K116" i="9"/>
  <c r="F116" i="9"/>
  <c r="E116" i="9"/>
  <c r="D116" i="9"/>
  <c r="C116" i="9"/>
  <c r="B116" i="9"/>
  <c r="U115" i="9"/>
  <c r="T115" i="9"/>
  <c r="S115" i="9"/>
  <c r="R115" i="9"/>
  <c r="K115" i="9"/>
  <c r="F115" i="9"/>
  <c r="E115" i="9"/>
  <c r="D115" i="9"/>
  <c r="C115" i="9"/>
  <c r="B115" i="9"/>
  <c r="U114" i="9"/>
  <c r="T114" i="9"/>
  <c r="S114" i="9"/>
  <c r="R114" i="9"/>
  <c r="K114" i="9"/>
  <c r="F114" i="9"/>
  <c r="E114" i="9"/>
  <c r="D114" i="9"/>
  <c r="C114" i="9"/>
  <c r="B114" i="9"/>
  <c r="U113" i="9"/>
  <c r="T113" i="9"/>
  <c r="S113" i="9"/>
  <c r="R113" i="9"/>
  <c r="K113" i="9"/>
  <c r="F113" i="9"/>
  <c r="E113" i="9"/>
  <c r="D113" i="9"/>
  <c r="C113" i="9"/>
  <c r="B113" i="9"/>
  <c r="U112" i="9"/>
  <c r="T112" i="9"/>
  <c r="S112" i="9"/>
  <c r="R112" i="9"/>
  <c r="K112" i="9"/>
  <c r="F112" i="9"/>
  <c r="E112" i="9"/>
  <c r="D112" i="9"/>
  <c r="C112" i="9"/>
  <c r="B112" i="9"/>
  <c r="U111" i="9"/>
  <c r="T111" i="9"/>
  <c r="S111" i="9"/>
  <c r="R111" i="9"/>
  <c r="K111" i="9"/>
  <c r="F111" i="9"/>
  <c r="E111" i="9"/>
  <c r="D111" i="9"/>
  <c r="C111" i="9"/>
  <c r="B111" i="9"/>
  <c r="U110" i="9"/>
  <c r="T110" i="9"/>
  <c r="S110" i="9"/>
  <c r="R110" i="9"/>
  <c r="K110" i="9"/>
  <c r="F110" i="9"/>
  <c r="E110" i="9"/>
  <c r="D110" i="9"/>
  <c r="C110" i="9"/>
  <c r="B110" i="9"/>
  <c r="U109" i="9"/>
  <c r="T109" i="9"/>
  <c r="S109" i="9"/>
  <c r="R109" i="9"/>
  <c r="K109" i="9"/>
  <c r="F109" i="9"/>
  <c r="E109" i="9"/>
  <c r="D109" i="9"/>
  <c r="C109" i="9"/>
  <c r="B109" i="9"/>
  <c r="U108" i="9"/>
  <c r="T108" i="9"/>
  <c r="S108" i="9"/>
  <c r="R108" i="9"/>
  <c r="K108" i="9"/>
  <c r="F108" i="9"/>
  <c r="E108" i="9"/>
  <c r="D108" i="9"/>
  <c r="C108" i="9"/>
  <c r="B108" i="9"/>
  <c r="U107" i="9"/>
  <c r="T107" i="9"/>
  <c r="S107" i="9"/>
  <c r="R107" i="9"/>
  <c r="K107" i="9"/>
  <c r="F107" i="9"/>
  <c r="E107" i="9"/>
  <c r="D107" i="9"/>
  <c r="C107" i="9"/>
  <c r="B107" i="9"/>
  <c r="U106" i="9"/>
  <c r="T106" i="9"/>
  <c r="S106" i="9"/>
  <c r="R106" i="9"/>
  <c r="K106" i="9"/>
  <c r="F106" i="9"/>
  <c r="E106" i="9"/>
  <c r="D106" i="9"/>
  <c r="C106" i="9"/>
  <c r="B106" i="9"/>
  <c r="U105" i="9"/>
  <c r="T105" i="9"/>
  <c r="S105" i="9"/>
  <c r="R105" i="9"/>
  <c r="K105" i="9"/>
  <c r="F105" i="9"/>
  <c r="E105" i="9"/>
  <c r="D105" i="9"/>
  <c r="C105" i="9"/>
  <c r="B105" i="9"/>
  <c r="U104" i="9"/>
  <c r="T104" i="9"/>
  <c r="S104" i="9"/>
  <c r="R104" i="9"/>
  <c r="K104" i="9"/>
  <c r="F104" i="9"/>
  <c r="E104" i="9"/>
  <c r="D104" i="9"/>
  <c r="C104" i="9"/>
  <c r="B104" i="9"/>
  <c r="U103" i="9"/>
  <c r="T103" i="9"/>
  <c r="S103" i="9"/>
  <c r="R103" i="9"/>
  <c r="K103" i="9"/>
  <c r="F103" i="9"/>
  <c r="E103" i="9"/>
  <c r="D103" i="9"/>
  <c r="C103" i="9"/>
  <c r="B103" i="9"/>
  <c r="U102" i="9"/>
  <c r="T102" i="9"/>
  <c r="S102" i="9"/>
  <c r="R102" i="9"/>
  <c r="K102" i="9"/>
  <c r="F102" i="9"/>
  <c r="E102" i="9"/>
  <c r="D102" i="9"/>
  <c r="C102" i="9"/>
  <c r="B102" i="9"/>
  <c r="U101" i="9"/>
  <c r="T101" i="9"/>
  <c r="S101" i="9"/>
  <c r="R101" i="9"/>
  <c r="K101" i="9"/>
  <c r="F101" i="9"/>
  <c r="E101" i="9"/>
  <c r="D101" i="9"/>
  <c r="C101" i="9"/>
  <c r="B101" i="9"/>
  <c r="U100" i="9"/>
  <c r="T100" i="9"/>
  <c r="S100" i="9"/>
  <c r="R100" i="9"/>
  <c r="K100" i="9"/>
  <c r="F100" i="9"/>
  <c r="E100" i="9"/>
  <c r="D100" i="9"/>
  <c r="C100" i="9"/>
  <c r="B100" i="9"/>
  <c r="U99" i="9"/>
  <c r="T99" i="9"/>
  <c r="S99" i="9"/>
  <c r="R99" i="9"/>
  <c r="K99" i="9"/>
  <c r="F99" i="9"/>
  <c r="E99" i="9"/>
  <c r="D99" i="9"/>
  <c r="C99" i="9"/>
  <c r="B99" i="9"/>
  <c r="U98" i="9"/>
  <c r="T98" i="9"/>
  <c r="S98" i="9"/>
  <c r="R98" i="9"/>
  <c r="K98" i="9"/>
  <c r="F98" i="9"/>
  <c r="E98" i="9"/>
  <c r="D98" i="9"/>
  <c r="C98" i="9"/>
  <c r="B98" i="9"/>
  <c r="U97" i="9"/>
  <c r="T97" i="9"/>
  <c r="S97" i="9"/>
  <c r="R97" i="9"/>
  <c r="K97" i="9"/>
  <c r="F97" i="9"/>
  <c r="E97" i="9"/>
  <c r="D97" i="9"/>
  <c r="C97" i="9"/>
  <c r="B97" i="9"/>
  <c r="U96" i="9"/>
  <c r="T96" i="9"/>
  <c r="S96" i="9"/>
  <c r="R96" i="9"/>
  <c r="K96" i="9"/>
  <c r="F96" i="9"/>
  <c r="E96" i="9"/>
  <c r="D96" i="9"/>
  <c r="C96" i="9"/>
  <c r="B96" i="9"/>
  <c r="U95" i="9"/>
  <c r="T95" i="9"/>
  <c r="S95" i="9"/>
  <c r="R95" i="9"/>
  <c r="K95" i="9"/>
  <c r="F95" i="9"/>
  <c r="E95" i="9"/>
  <c r="D95" i="9"/>
  <c r="C95" i="9"/>
  <c r="B95" i="9"/>
  <c r="U94" i="9"/>
  <c r="T94" i="9"/>
  <c r="S94" i="9"/>
  <c r="R94" i="9"/>
  <c r="K94" i="9"/>
  <c r="F94" i="9"/>
  <c r="E94" i="9"/>
  <c r="D94" i="9"/>
  <c r="C94" i="9"/>
  <c r="B94" i="9"/>
  <c r="U93" i="9"/>
  <c r="T93" i="9"/>
  <c r="S93" i="9"/>
  <c r="R93" i="9"/>
  <c r="K93" i="9"/>
  <c r="F93" i="9"/>
  <c r="E93" i="9"/>
  <c r="D93" i="9"/>
  <c r="C93" i="9"/>
  <c r="B93" i="9"/>
  <c r="U92" i="9"/>
  <c r="T92" i="9"/>
  <c r="S92" i="9"/>
  <c r="R92" i="9"/>
  <c r="K92" i="9"/>
  <c r="F92" i="9"/>
  <c r="E92" i="9"/>
  <c r="D92" i="9"/>
  <c r="C92" i="9"/>
  <c r="B92" i="9"/>
  <c r="U91" i="9"/>
  <c r="T91" i="9"/>
  <c r="S91" i="9"/>
  <c r="R91" i="9"/>
  <c r="K91" i="9"/>
  <c r="F91" i="9"/>
  <c r="E91" i="9"/>
  <c r="D91" i="9"/>
  <c r="C91" i="9"/>
  <c r="B91" i="9"/>
  <c r="U90" i="9"/>
  <c r="T90" i="9"/>
  <c r="S90" i="9"/>
  <c r="R90" i="9"/>
  <c r="K90" i="9"/>
  <c r="F90" i="9"/>
  <c r="E90" i="9"/>
  <c r="D90" i="9"/>
  <c r="C90" i="9"/>
  <c r="B90" i="9"/>
  <c r="U89" i="9"/>
  <c r="T89" i="9"/>
  <c r="S89" i="9"/>
  <c r="R89" i="9"/>
  <c r="K89" i="9"/>
  <c r="F89" i="9"/>
  <c r="E89" i="9"/>
  <c r="D89" i="9"/>
  <c r="C89" i="9"/>
  <c r="B89" i="9"/>
  <c r="U88" i="9"/>
  <c r="T88" i="9"/>
  <c r="S88" i="9"/>
  <c r="R88" i="9"/>
  <c r="K88" i="9"/>
  <c r="F88" i="9"/>
  <c r="E88" i="9"/>
  <c r="D88" i="9"/>
  <c r="C88" i="9"/>
  <c r="B88" i="9"/>
  <c r="U87" i="9"/>
  <c r="T87" i="9"/>
  <c r="S87" i="9"/>
  <c r="R87" i="9"/>
  <c r="K87" i="9"/>
  <c r="F87" i="9"/>
  <c r="E87" i="9"/>
  <c r="D87" i="9"/>
  <c r="C87" i="9"/>
  <c r="B87" i="9"/>
  <c r="U86" i="9"/>
  <c r="T86" i="9"/>
  <c r="S86" i="9"/>
  <c r="R86" i="9"/>
  <c r="K86" i="9"/>
  <c r="F86" i="9"/>
  <c r="E86" i="9"/>
  <c r="D86" i="9"/>
  <c r="C86" i="9"/>
  <c r="B86" i="9"/>
  <c r="U85" i="9"/>
  <c r="T85" i="9"/>
  <c r="S85" i="9"/>
  <c r="R85" i="9"/>
  <c r="K85" i="9"/>
  <c r="F85" i="9"/>
  <c r="E85" i="9"/>
  <c r="D85" i="9"/>
  <c r="C85" i="9"/>
  <c r="B85" i="9"/>
  <c r="U84" i="9"/>
  <c r="T84" i="9"/>
  <c r="S84" i="9"/>
  <c r="R84" i="9"/>
  <c r="K84" i="9"/>
  <c r="F84" i="9"/>
  <c r="E84" i="9"/>
  <c r="D84" i="9"/>
  <c r="C84" i="9"/>
  <c r="B84" i="9"/>
  <c r="U83" i="9"/>
  <c r="T83" i="9"/>
  <c r="S83" i="9"/>
  <c r="R83" i="9"/>
  <c r="K83" i="9"/>
  <c r="F83" i="9"/>
  <c r="E83" i="9"/>
  <c r="D83" i="9"/>
  <c r="C83" i="9"/>
  <c r="B83" i="9"/>
  <c r="U82" i="9"/>
  <c r="T82" i="9"/>
  <c r="S82" i="9"/>
  <c r="R82" i="9"/>
  <c r="K82" i="9"/>
  <c r="F82" i="9"/>
  <c r="E82" i="9"/>
  <c r="D82" i="9"/>
  <c r="C82" i="9"/>
  <c r="B82" i="9"/>
  <c r="U81" i="9"/>
  <c r="T81" i="9"/>
  <c r="S81" i="9"/>
  <c r="R81" i="9"/>
  <c r="K81" i="9"/>
  <c r="F81" i="9"/>
  <c r="E81" i="9"/>
  <c r="D81" i="9"/>
  <c r="C81" i="9"/>
  <c r="B81" i="9"/>
  <c r="U80" i="9"/>
  <c r="T80" i="9"/>
  <c r="S80" i="9"/>
  <c r="R80" i="9"/>
  <c r="K80" i="9"/>
  <c r="F80" i="9"/>
  <c r="E80" i="9"/>
  <c r="D80" i="9"/>
  <c r="C80" i="9"/>
  <c r="B80" i="9"/>
  <c r="U79" i="9"/>
  <c r="T79" i="9"/>
  <c r="S79" i="9"/>
  <c r="R79" i="9"/>
  <c r="K79" i="9"/>
  <c r="F79" i="9"/>
  <c r="E79" i="9"/>
  <c r="D79" i="9"/>
  <c r="C79" i="9"/>
  <c r="B79" i="9"/>
  <c r="U78" i="9"/>
  <c r="T78" i="9"/>
  <c r="S78" i="9"/>
  <c r="R78" i="9"/>
  <c r="K78" i="9"/>
  <c r="F78" i="9"/>
  <c r="E78" i="9"/>
  <c r="D78" i="9"/>
  <c r="C78" i="9"/>
  <c r="B78" i="9"/>
  <c r="U77" i="9"/>
  <c r="T77" i="9"/>
  <c r="S77" i="9"/>
  <c r="R77" i="9"/>
  <c r="K77" i="9"/>
  <c r="F77" i="9"/>
  <c r="E77" i="9"/>
  <c r="D77" i="9"/>
  <c r="C77" i="9"/>
  <c r="B77" i="9"/>
  <c r="U76" i="9"/>
  <c r="T76" i="9"/>
  <c r="S76" i="9"/>
  <c r="R76" i="9"/>
  <c r="K76" i="9"/>
  <c r="F76" i="9"/>
  <c r="E76" i="9"/>
  <c r="D76" i="9"/>
  <c r="C76" i="9"/>
  <c r="B76" i="9"/>
  <c r="U75" i="9"/>
  <c r="T75" i="9"/>
  <c r="S75" i="9"/>
  <c r="R75" i="9"/>
  <c r="K75" i="9"/>
  <c r="F75" i="9"/>
  <c r="E75" i="9"/>
  <c r="D75" i="9"/>
  <c r="C75" i="9"/>
  <c r="B75" i="9"/>
  <c r="U74" i="9"/>
  <c r="T74" i="9"/>
  <c r="S74" i="9"/>
  <c r="R74" i="9"/>
  <c r="K74" i="9"/>
  <c r="F74" i="9"/>
  <c r="E74" i="9"/>
  <c r="D74" i="9"/>
  <c r="C74" i="9"/>
  <c r="B74" i="9"/>
  <c r="U73" i="9"/>
  <c r="T73" i="9"/>
  <c r="S73" i="9"/>
  <c r="R73" i="9"/>
  <c r="K73" i="9"/>
  <c r="F73" i="9"/>
  <c r="E73" i="9"/>
  <c r="D73" i="9"/>
  <c r="C73" i="9"/>
  <c r="B73" i="9"/>
  <c r="U72" i="9"/>
  <c r="T72" i="9"/>
  <c r="S72" i="9"/>
  <c r="R72" i="9"/>
  <c r="K72" i="9"/>
  <c r="F72" i="9"/>
  <c r="E72" i="9"/>
  <c r="D72" i="9"/>
  <c r="C72" i="9"/>
  <c r="B72" i="9"/>
  <c r="U71" i="9"/>
  <c r="T71" i="9"/>
  <c r="S71" i="9"/>
  <c r="R71" i="9"/>
  <c r="K71" i="9"/>
  <c r="F71" i="9"/>
  <c r="E71" i="9"/>
  <c r="D71" i="9"/>
  <c r="C71" i="9"/>
  <c r="B71" i="9"/>
  <c r="U70" i="9"/>
  <c r="T70" i="9"/>
  <c r="S70" i="9"/>
  <c r="R70" i="9"/>
  <c r="K70" i="9"/>
  <c r="F70" i="9"/>
  <c r="E70" i="9"/>
  <c r="D70" i="9"/>
  <c r="C70" i="9"/>
  <c r="B70" i="9"/>
  <c r="U69" i="9"/>
  <c r="T69" i="9"/>
  <c r="S69" i="9"/>
  <c r="R69" i="9"/>
  <c r="K69" i="9"/>
  <c r="F69" i="9"/>
  <c r="E69" i="9"/>
  <c r="D69" i="9"/>
  <c r="C69" i="9"/>
  <c r="B69" i="9"/>
  <c r="U68" i="9"/>
  <c r="T68" i="9"/>
  <c r="S68" i="9"/>
  <c r="R68" i="9"/>
  <c r="K68" i="9"/>
  <c r="F68" i="9"/>
  <c r="E68" i="9"/>
  <c r="D68" i="9"/>
  <c r="C68" i="9"/>
  <c r="B68" i="9"/>
  <c r="U67" i="9"/>
  <c r="T67" i="9"/>
  <c r="S67" i="9"/>
  <c r="R67" i="9"/>
  <c r="K67" i="9"/>
  <c r="F67" i="9"/>
  <c r="E67" i="9"/>
  <c r="D67" i="9"/>
  <c r="C67" i="9"/>
  <c r="B67" i="9"/>
  <c r="U66" i="9"/>
  <c r="T66" i="9"/>
  <c r="S66" i="9"/>
  <c r="R66" i="9"/>
  <c r="K66" i="9"/>
  <c r="F66" i="9"/>
  <c r="E66" i="9"/>
  <c r="D66" i="9"/>
  <c r="C66" i="9"/>
  <c r="B66" i="9"/>
  <c r="U65" i="9"/>
  <c r="T65" i="9"/>
  <c r="S65" i="9"/>
  <c r="R65" i="9"/>
  <c r="K65" i="9"/>
  <c r="F65" i="9"/>
  <c r="E65" i="9"/>
  <c r="D65" i="9"/>
  <c r="C65" i="9"/>
  <c r="B65" i="9"/>
  <c r="U64" i="9"/>
  <c r="T64" i="9"/>
  <c r="S64" i="9"/>
  <c r="R64" i="9"/>
  <c r="K64" i="9"/>
  <c r="F64" i="9"/>
  <c r="E64" i="9"/>
  <c r="D64" i="9"/>
  <c r="C64" i="9"/>
  <c r="B64" i="9"/>
  <c r="U63" i="9"/>
  <c r="T63" i="9"/>
  <c r="S63" i="9"/>
  <c r="R63" i="9"/>
  <c r="K63" i="9"/>
  <c r="F63" i="9"/>
  <c r="E63" i="9"/>
  <c r="D63" i="9"/>
  <c r="C63" i="9"/>
  <c r="B63" i="9"/>
  <c r="U62" i="9"/>
  <c r="T62" i="9"/>
  <c r="S62" i="9"/>
  <c r="R62" i="9"/>
  <c r="K62" i="9"/>
  <c r="F62" i="9"/>
  <c r="E62" i="9"/>
  <c r="D62" i="9"/>
  <c r="C62" i="9"/>
  <c r="B62" i="9"/>
  <c r="U61" i="9"/>
  <c r="T61" i="9"/>
  <c r="S61" i="9"/>
  <c r="R61" i="9"/>
  <c r="K61" i="9"/>
  <c r="F61" i="9"/>
  <c r="E61" i="9"/>
  <c r="D61" i="9"/>
  <c r="C61" i="9"/>
  <c r="B61" i="9"/>
  <c r="U60" i="9"/>
  <c r="T60" i="9"/>
  <c r="S60" i="9"/>
  <c r="R60" i="9"/>
  <c r="K60" i="9"/>
  <c r="F60" i="9"/>
  <c r="E60" i="9"/>
  <c r="D60" i="9"/>
  <c r="C60" i="9"/>
  <c r="B60" i="9"/>
  <c r="U59" i="9"/>
  <c r="T59" i="9"/>
  <c r="S59" i="9"/>
  <c r="R59" i="9"/>
  <c r="K59" i="9"/>
  <c r="F59" i="9"/>
  <c r="E59" i="9"/>
  <c r="D59" i="9"/>
  <c r="C59" i="9"/>
  <c r="B59" i="9"/>
  <c r="U58" i="9"/>
  <c r="T58" i="9"/>
  <c r="S58" i="9"/>
  <c r="R58" i="9"/>
  <c r="K58" i="9"/>
  <c r="F58" i="9"/>
  <c r="E58" i="9"/>
  <c r="D58" i="9"/>
  <c r="C58" i="9"/>
  <c r="B58" i="9"/>
  <c r="U57" i="9"/>
  <c r="T57" i="9"/>
  <c r="S57" i="9"/>
  <c r="R57" i="9"/>
  <c r="K57" i="9"/>
  <c r="F57" i="9"/>
  <c r="E57" i="9"/>
  <c r="D57" i="9"/>
  <c r="C57" i="9"/>
  <c r="B57" i="9"/>
  <c r="U56" i="9"/>
  <c r="T56" i="9"/>
  <c r="S56" i="9"/>
  <c r="R56" i="9"/>
  <c r="K56" i="9"/>
  <c r="F56" i="9"/>
  <c r="E56" i="9"/>
  <c r="D56" i="9"/>
  <c r="C56" i="9"/>
  <c r="B56" i="9"/>
  <c r="U55" i="9"/>
  <c r="T55" i="9"/>
  <c r="S55" i="9"/>
  <c r="R55" i="9"/>
  <c r="K55" i="9"/>
  <c r="F55" i="9"/>
  <c r="E55" i="9"/>
  <c r="D55" i="9"/>
  <c r="C55" i="9"/>
  <c r="B55" i="9"/>
  <c r="U54" i="9"/>
  <c r="T54" i="9"/>
  <c r="S54" i="9"/>
  <c r="R54" i="9"/>
  <c r="K54" i="9"/>
  <c r="F54" i="9"/>
  <c r="E54" i="9"/>
  <c r="D54" i="9"/>
  <c r="C54" i="9"/>
  <c r="B54" i="9"/>
  <c r="U53" i="9"/>
  <c r="T53" i="9"/>
  <c r="S53" i="9"/>
  <c r="R53" i="9"/>
  <c r="K53" i="9"/>
  <c r="F53" i="9"/>
  <c r="E53" i="9"/>
  <c r="D53" i="9"/>
  <c r="C53" i="9"/>
  <c r="B53" i="9"/>
  <c r="U52" i="9"/>
  <c r="T52" i="9"/>
  <c r="S52" i="9"/>
  <c r="R52" i="9"/>
  <c r="K52" i="9"/>
  <c r="F52" i="9"/>
  <c r="E52" i="9"/>
  <c r="D52" i="9"/>
  <c r="C52" i="9"/>
  <c r="B52" i="9"/>
  <c r="U51" i="9"/>
  <c r="T51" i="9"/>
  <c r="S51" i="9"/>
  <c r="R51" i="9"/>
  <c r="K51" i="9"/>
  <c r="F51" i="9"/>
  <c r="E51" i="9"/>
  <c r="D51" i="9"/>
  <c r="C51" i="9"/>
  <c r="B51" i="9"/>
  <c r="U50" i="9"/>
  <c r="T50" i="9"/>
  <c r="S50" i="9"/>
  <c r="R50" i="9"/>
  <c r="K50" i="9"/>
  <c r="F50" i="9"/>
  <c r="E50" i="9"/>
  <c r="D50" i="9"/>
  <c r="C50" i="9"/>
  <c r="B50" i="9"/>
  <c r="U49" i="9"/>
  <c r="T49" i="9"/>
  <c r="S49" i="9"/>
  <c r="R49" i="9"/>
  <c r="K49" i="9"/>
  <c r="F49" i="9"/>
  <c r="E49" i="9"/>
  <c r="D49" i="9"/>
  <c r="C49" i="9"/>
  <c r="B49" i="9"/>
  <c r="T48" i="9"/>
  <c r="R48" i="9"/>
  <c r="K48" i="9"/>
  <c r="F48" i="9"/>
  <c r="E48" i="9"/>
  <c r="D48" i="9"/>
  <c r="C48" i="9"/>
  <c r="B48" i="9"/>
  <c r="T47" i="9"/>
  <c r="R47" i="9"/>
  <c r="K47" i="9"/>
  <c r="T46" i="9"/>
  <c r="R46" i="9"/>
  <c r="K46" i="9"/>
  <c r="T45" i="9"/>
  <c r="R45" i="9"/>
  <c r="K45" i="9"/>
  <c r="T44" i="9"/>
  <c r="S44" i="9"/>
  <c r="U44" i="9" s="1"/>
  <c r="R44" i="9"/>
  <c r="K44" i="9"/>
  <c r="T43" i="9"/>
  <c r="S43" i="9"/>
  <c r="U43" i="9" s="1"/>
  <c r="R43" i="9"/>
  <c r="K43" i="9"/>
  <c r="T42" i="9"/>
  <c r="S42" i="9"/>
  <c r="U42" i="9" s="1"/>
  <c r="R42" i="9"/>
  <c r="K42" i="9"/>
  <c r="T41" i="9"/>
  <c r="S41" i="9"/>
  <c r="U41" i="9" s="1"/>
  <c r="R41" i="9"/>
  <c r="K41" i="9"/>
  <c r="T40" i="9"/>
  <c r="S40" i="9"/>
  <c r="U40" i="9" s="1"/>
  <c r="R40" i="9"/>
  <c r="K40" i="9"/>
  <c r="T39" i="9"/>
  <c r="R39" i="9"/>
  <c r="K39" i="9"/>
  <c r="T38" i="9"/>
  <c r="R38" i="9"/>
  <c r="K38" i="9"/>
  <c r="T37" i="9"/>
  <c r="R37" i="9"/>
  <c r="K37" i="9"/>
  <c r="T36" i="9"/>
  <c r="R36" i="9"/>
  <c r="K36" i="9"/>
  <c r="T35" i="9"/>
  <c r="R35" i="9"/>
  <c r="K35" i="9"/>
  <c r="T34" i="9"/>
  <c r="S34" i="9"/>
  <c r="U34" i="9" s="1"/>
  <c r="R34" i="9"/>
  <c r="K34" i="9"/>
  <c r="T33" i="9"/>
  <c r="R33" i="9"/>
  <c r="K33" i="9"/>
  <c r="T32" i="9"/>
  <c r="S32" i="9"/>
  <c r="U32" i="9" s="1"/>
  <c r="R32" i="9"/>
  <c r="K32" i="9"/>
  <c r="T31" i="9"/>
  <c r="R31" i="9"/>
  <c r="K31" i="9"/>
  <c r="T30" i="9"/>
  <c r="R30" i="9"/>
  <c r="K30" i="9"/>
  <c r="T29" i="9"/>
  <c r="R29" i="9"/>
  <c r="K29" i="9"/>
  <c r="T28" i="9"/>
  <c r="R28" i="9"/>
  <c r="K28" i="9"/>
  <c r="T27" i="9"/>
  <c r="R27" i="9"/>
  <c r="K27" i="9"/>
  <c r="T26" i="9"/>
  <c r="R26" i="9"/>
  <c r="K26" i="9"/>
  <c r="T25" i="9"/>
  <c r="S25" i="9"/>
  <c r="U25" i="9" s="1"/>
  <c r="R25" i="9"/>
  <c r="K25" i="9"/>
  <c r="T24" i="9"/>
  <c r="S24" i="9"/>
  <c r="U24" i="9" s="1"/>
  <c r="R24" i="9"/>
  <c r="K24" i="9"/>
  <c r="T23" i="9"/>
  <c r="R23" i="9"/>
  <c r="K23" i="9"/>
  <c r="T22" i="9"/>
  <c r="S22" i="9"/>
  <c r="U22" i="9" s="1"/>
  <c r="R22" i="9"/>
  <c r="K22" i="9"/>
  <c r="T21" i="9"/>
  <c r="S21" i="9"/>
  <c r="U21" i="9" s="1"/>
  <c r="R21" i="9"/>
  <c r="K21" i="9"/>
  <c r="T20" i="9"/>
  <c r="R20" i="9"/>
  <c r="K20" i="9"/>
  <c r="T19" i="9"/>
  <c r="R19" i="9"/>
  <c r="K19" i="9"/>
  <c r="T18" i="9"/>
  <c r="S18" i="9"/>
  <c r="U18" i="9" s="1"/>
  <c r="R18" i="9"/>
  <c r="K18" i="9"/>
  <c r="T17" i="9"/>
  <c r="S17" i="9"/>
  <c r="U17" i="9" s="1"/>
  <c r="R17" i="9"/>
  <c r="K17" i="9"/>
  <c r="T16" i="9"/>
  <c r="R16" i="9"/>
  <c r="K16" i="9"/>
  <c r="T15" i="9"/>
  <c r="R15" i="9"/>
  <c r="K15" i="9"/>
  <c r="T14" i="9"/>
  <c r="S14" i="9"/>
  <c r="U14" i="9" s="1"/>
  <c r="R14" i="9"/>
  <c r="K14" i="9"/>
  <c r="T13" i="9"/>
  <c r="R13" i="9"/>
  <c r="K13" i="9"/>
  <c r="T12" i="9"/>
  <c r="R12" i="9"/>
  <c r="K12" i="9"/>
  <c r="T11" i="9"/>
  <c r="S11" i="9"/>
  <c r="U11" i="9" s="1"/>
  <c r="R11" i="9"/>
  <c r="K11" i="9"/>
  <c r="T10" i="9"/>
  <c r="R10" i="9"/>
  <c r="K10" i="9"/>
  <c r="T9" i="9"/>
  <c r="S9" i="9"/>
  <c r="U9" i="9" s="1"/>
  <c r="R9" i="9"/>
  <c r="K9" i="9"/>
  <c r="T8" i="9"/>
  <c r="R8" i="9"/>
  <c r="K8" i="9"/>
  <c r="T7" i="9"/>
  <c r="R7" i="9"/>
  <c r="K7" i="9"/>
  <c r="T6" i="9"/>
  <c r="S6" i="9"/>
  <c r="U6" i="9" s="1"/>
  <c r="R6" i="9"/>
  <c r="K6" i="9"/>
  <c r="T5" i="9"/>
  <c r="S5" i="9"/>
  <c r="U5" i="9" s="1"/>
  <c r="R5" i="9"/>
  <c r="K5" i="9"/>
  <c r="Q904" i="8"/>
  <c r="P904" i="8"/>
  <c r="J904" i="8"/>
  <c r="I904" i="8"/>
  <c r="H904" i="8"/>
  <c r="G904" i="8"/>
  <c r="F904" i="8"/>
  <c r="B904" i="8"/>
  <c r="Q903" i="8"/>
  <c r="P903" i="8"/>
  <c r="J903" i="8"/>
  <c r="I903" i="8"/>
  <c r="H903" i="8"/>
  <c r="G903" i="8"/>
  <c r="F903" i="8"/>
  <c r="B903" i="8"/>
  <c r="Q902" i="8"/>
  <c r="P902" i="8"/>
  <c r="J902" i="8"/>
  <c r="I902" i="8"/>
  <c r="H902" i="8"/>
  <c r="G902" i="8"/>
  <c r="F902" i="8"/>
  <c r="B902" i="8"/>
  <c r="Q901" i="8"/>
  <c r="P901" i="8"/>
  <c r="J901" i="8"/>
  <c r="I901" i="8"/>
  <c r="H901" i="8"/>
  <c r="G901" i="8"/>
  <c r="F901" i="8"/>
  <c r="B901" i="8"/>
  <c r="Q900" i="8"/>
  <c r="P900" i="8"/>
  <c r="J900" i="8"/>
  <c r="I900" i="8"/>
  <c r="H900" i="8"/>
  <c r="G900" i="8"/>
  <c r="F900" i="8"/>
  <c r="B900" i="8"/>
  <c r="Q899" i="8"/>
  <c r="P899" i="8"/>
  <c r="J899" i="8"/>
  <c r="I899" i="8"/>
  <c r="H899" i="8"/>
  <c r="G899" i="8"/>
  <c r="F899" i="8"/>
  <c r="B899" i="8"/>
  <c r="Q898" i="8"/>
  <c r="P898" i="8"/>
  <c r="J898" i="8"/>
  <c r="I898" i="8"/>
  <c r="H898" i="8"/>
  <c r="G898" i="8"/>
  <c r="F898" i="8"/>
  <c r="B898" i="8"/>
  <c r="Q897" i="8"/>
  <c r="P897" i="8"/>
  <c r="J897" i="8"/>
  <c r="I897" i="8"/>
  <c r="H897" i="8"/>
  <c r="G897" i="8"/>
  <c r="F897" i="8"/>
  <c r="B897" i="8"/>
  <c r="Q896" i="8"/>
  <c r="P896" i="8"/>
  <c r="J896" i="8"/>
  <c r="I896" i="8"/>
  <c r="H896" i="8"/>
  <c r="G896" i="8"/>
  <c r="F896" i="8"/>
  <c r="B896" i="8"/>
  <c r="Q895" i="8"/>
  <c r="P895" i="8"/>
  <c r="J895" i="8"/>
  <c r="I895" i="8"/>
  <c r="H895" i="8"/>
  <c r="G895" i="8"/>
  <c r="F895" i="8"/>
  <c r="B895" i="8"/>
  <c r="Q894" i="8"/>
  <c r="P894" i="8"/>
  <c r="J894" i="8"/>
  <c r="I894" i="8"/>
  <c r="H894" i="8"/>
  <c r="G894" i="8"/>
  <c r="F894" i="8"/>
  <c r="B894" i="8"/>
  <c r="Q893" i="8"/>
  <c r="P893" i="8"/>
  <c r="J893" i="8"/>
  <c r="I893" i="8"/>
  <c r="H893" i="8"/>
  <c r="G893" i="8"/>
  <c r="F893" i="8"/>
  <c r="B893" i="8"/>
  <c r="Q892" i="8"/>
  <c r="P892" i="8"/>
  <c r="J892" i="8"/>
  <c r="I892" i="8"/>
  <c r="H892" i="8"/>
  <c r="G892" i="8"/>
  <c r="F892" i="8"/>
  <c r="B892" i="8"/>
  <c r="Q891" i="8"/>
  <c r="P891" i="8"/>
  <c r="J891" i="8"/>
  <c r="I891" i="8"/>
  <c r="H891" i="8"/>
  <c r="G891" i="8"/>
  <c r="F891" i="8"/>
  <c r="B891" i="8"/>
  <c r="Q890" i="8"/>
  <c r="P890" i="8"/>
  <c r="J890" i="8"/>
  <c r="I890" i="8"/>
  <c r="H890" i="8"/>
  <c r="G890" i="8"/>
  <c r="F890" i="8"/>
  <c r="B890" i="8"/>
  <c r="Q889" i="8"/>
  <c r="P889" i="8"/>
  <c r="J889" i="8"/>
  <c r="I889" i="8"/>
  <c r="H889" i="8"/>
  <c r="G889" i="8"/>
  <c r="F889" i="8"/>
  <c r="B889" i="8"/>
  <c r="Q888" i="8"/>
  <c r="P888" i="8"/>
  <c r="J888" i="8"/>
  <c r="I888" i="8"/>
  <c r="H888" i="8"/>
  <c r="G888" i="8"/>
  <c r="F888" i="8"/>
  <c r="B888" i="8"/>
  <c r="Q887" i="8"/>
  <c r="P887" i="8"/>
  <c r="J887" i="8"/>
  <c r="I887" i="8"/>
  <c r="H887" i="8"/>
  <c r="G887" i="8"/>
  <c r="F887" i="8"/>
  <c r="B887" i="8"/>
  <c r="Q886" i="8"/>
  <c r="P886" i="8"/>
  <c r="J886" i="8"/>
  <c r="I886" i="8"/>
  <c r="H886" i="8"/>
  <c r="G886" i="8"/>
  <c r="F886" i="8"/>
  <c r="B886" i="8"/>
  <c r="Q885" i="8"/>
  <c r="P885" i="8"/>
  <c r="J885" i="8"/>
  <c r="I885" i="8"/>
  <c r="H885" i="8"/>
  <c r="G885" i="8"/>
  <c r="F885" i="8"/>
  <c r="B885" i="8"/>
  <c r="Q884" i="8"/>
  <c r="P884" i="8"/>
  <c r="J884" i="8"/>
  <c r="I884" i="8"/>
  <c r="H884" i="8"/>
  <c r="G884" i="8"/>
  <c r="F884" i="8"/>
  <c r="B884" i="8"/>
  <c r="Q883" i="8"/>
  <c r="P883" i="8"/>
  <c r="J883" i="8"/>
  <c r="I883" i="8"/>
  <c r="H883" i="8"/>
  <c r="G883" i="8"/>
  <c r="F883" i="8"/>
  <c r="B883" i="8"/>
  <c r="Q882" i="8"/>
  <c r="P882" i="8"/>
  <c r="J882" i="8"/>
  <c r="I882" i="8"/>
  <c r="H882" i="8"/>
  <c r="G882" i="8"/>
  <c r="F882" i="8"/>
  <c r="B882" i="8"/>
  <c r="Q881" i="8"/>
  <c r="P881" i="8"/>
  <c r="J881" i="8"/>
  <c r="I881" i="8"/>
  <c r="H881" i="8"/>
  <c r="G881" i="8"/>
  <c r="F881" i="8"/>
  <c r="B881" i="8"/>
  <c r="Q880" i="8"/>
  <c r="P880" i="8"/>
  <c r="J880" i="8"/>
  <c r="I880" i="8"/>
  <c r="H880" i="8"/>
  <c r="G880" i="8"/>
  <c r="F880" i="8"/>
  <c r="B880" i="8"/>
  <c r="Q879" i="8"/>
  <c r="P879" i="8"/>
  <c r="J879" i="8"/>
  <c r="I879" i="8"/>
  <c r="H879" i="8"/>
  <c r="G879" i="8"/>
  <c r="F879" i="8"/>
  <c r="B879" i="8"/>
  <c r="Q878" i="8"/>
  <c r="P878" i="8"/>
  <c r="J878" i="8"/>
  <c r="I878" i="8"/>
  <c r="H878" i="8"/>
  <c r="G878" i="8"/>
  <c r="F878" i="8"/>
  <c r="B878" i="8"/>
  <c r="Q877" i="8"/>
  <c r="P877" i="8"/>
  <c r="J877" i="8"/>
  <c r="I877" i="8"/>
  <c r="H877" i="8"/>
  <c r="G877" i="8"/>
  <c r="F877" i="8"/>
  <c r="B877" i="8"/>
  <c r="Q876" i="8"/>
  <c r="P876" i="8"/>
  <c r="J876" i="8"/>
  <c r="I876" i="8"/>
  <c r="H876" i="8"/>
  <c r="G876" i="8"/>
  <c r="F876" i="8"/>
  <c r="B876" i="8"/>
  <c r="Q875" i="8"/>
  <c r="P875" i="8"/>
  <c r="J875" i="8"/>
  <c r="I875" i="8"/>
  <c r="H875" i="8"/>
  <c r="G875" i="8"/>
  <c r="F875" i="8"/>
  <c r="B875" i="8"/>
  <c r="Q874" i="8"/>
  <c r="P874" i="8"/>
  <c r="J874" i="8"/>
  <c r="I874" i="8"/>
  <c r="H874" i="8"/>
  <c r="G874" i="8"/>
  <c r="F874" i="8"/>
  <c r="B874" i="8"/>
  <c r="Q873" i="8"/>
  <c r="P873" i="8"/>
  <c r="J873" i="8"/>
  <c r="I873" i="8"/>
  <c r="H873" i="8"/>
  <c r="G873" i="8"/>
  <c r="F873" i="8"/>
  <c r="B873" i="8"/>
  <c r="Q872" i="8"/>
  <c r="P872" i="8"/>
  <c r="J872" i="8"/>
  <c r="I872" i="8"/>
  <c r="H872" i="8"/>
  <c r="G872" i="8"/>
  <c r="F872" i="8"/>
  <c r="B872" i="8"/>
  <c r="Q871" i="8"/>
  <c r="P871" i="8"/>
  <c r="J871" i="8"/>
  <c r="I871" i="8"/>
  <c r="H871" i="8"/>
  <c r="G871" i="8"/>
  <c r="F871" i="8"/>
  <c r="B871" i="8"/>
  <c r="Q870" i="8"/>
  <c r="P870" i="8"/>
  <c r="J870" i="8"/>
  <c r="I870" i="8"/>
  <c r="H870" i="8"/>
  <c r="G870" i="8"/>
  <c r="F870" i="8"/>
  <c r="B870" i="8"/>
  <c r="Q869" i="8"/>
  <c r="P869" i="8"/>
  <c r="J869" i="8"/>
  <c r="I869" i="8"/>
  <c r="H869" i="8"/>
  <c r="G869" i="8"/>
  <c r="F869" i="8"/>
  <c r="B869" i="8"/>
  <c r="Q868" i="8"/>
  <c r="P868" i="8"/>
  <c r="J868" i="8"/>
  <c r="I868" i="8"/>
  <c r="H868" i="8"/>
  <c r="G868" i="8"/>
  <c r="F868" i="8"/>
  <c r="B868" i="8"/>
  <c r="Q867" i="8"/>
  <c r="P867" i="8"/>
  <c r="J867" i="8"/>
  <c r="I867" i="8"/>
  <c r="H867" i="8"/>
  <c r="G867" i="8"/>
  <c r="F867" i="8"/>
  <c r="B867" i="8"/>
  <c r="Q866" i="8"/>
  <c r="P866" i="8"/>
  <c r="J866" i="8"/>
  <c r="I866" i="8"/>
  <c r="H866" i="8"/>
  <c r="G866" i="8"/>
  <c r="F866" i="8"/>
  <c r="B866" i="8"/>
  <c r="Q865" i="8"/>
  <c r="P865" i="8"/>
  <c r="J865" i="8"/>
  <c r="I865" i="8"/>
  <c r="H865" i="8"/>
  <c r="G865" i="8"/>
  <c r="F865" i="8"/>
  <c r="B865" i="8"/>
  <c r="Q864" i="8"/>
  <c r="P864" i="8"/>
  <c r="J864" i="8"/>
  <c r="I864" i="8"/>
  <c r="H864" i="8"/>
  <c r="G864" i="8"/>
  <c r="F864" i="8"/>
  <c r="B864" i="8"/>
  <c r="Q863" i="8"/>
  <c r="P863" i="8"/>
  <c r="J863" i="8"/>
  <c r="I863" i="8"/>
  <c r="H863" i="8"/>
  <c r="G863" i="8"/>
  <c r="F863" i="8"/>
  <c r="B863" i="8"/>
  <c r="Q862" i="8"/>
  <c r="P862" i="8"/>
  <c r="J862" i="8"/>
  <c r="I862" i="8"/>
  <c r="H862" i="8"/>
  <c r="G862" i="8"/>
  <c r="F862" i="8"/>
  <c r="B862" i="8"/>
  <c r="Q861" i="8"/>
  <c r="P861" i="8"/>
  <c r="J861" i="8"/>
  <c r="I861" i="8"/>
  <c r="H861" i="8"/>
  <c r="G861" i="8"/>
  <c r="F861" i="8"/>
  <c r="B861" i="8"/>
  <c r="Q860" i="8"/>
  <c r="P860" i="8"/>
  <c r="J860" i="8"/>
  <c r="I860" i="8"/>
  <c r="H860" i="8"/>
  <c r="G860" i="8"/>
  <c r="F860" i="8"/>
  <c r="B860" i="8"/>
  <c r="Q859" i="8"/>
  <c r="P859" i="8"/>
  <c r="J859" i="8"/>
  <c r="I859" i="8"/>
  <c r="H859" i="8"/>
  <c r="G859" i="8"/>
  <c r="F859" i="8"/>
  <c r="B859" i="8"/>
  <c r="Q858" i="8"/>
  <c r="P858" i="8"/>
  <c r="J858" i="8"/>
  <c r="I858" i="8"/>
  <c r="H858" i="8"/>
  <c r="G858" i="8"/>
  <c r="F858" i="8"/>
  <c r="B858" i="8"/>
  <c r="Q857" i="8"/>
  <c r="P857" i="8"/>
  <c r="J857" i="8"/>
  <c r="I857" i="8"/>
  <c r="H857" i="8"/>
  <c r="G857" i="8"/>
  <c r="F857" i="8"/>
  <c r="B857" i="8"/>
  <c r="Q856" i="8"/>
  <c r="P856" i="8"/>
  <c r="J856" i="8"/>
  <c r="I856" i="8"/>
  <c r="H856" i="8"/>
  <c r="G856" i="8"/>
  <c r="F856" i="8"/>
  <c r="B856" i="8"/>
  <c r="Q855" i="8"/>
  <c r="P855" i="8"/>
  <c r="J855" i="8"/>
  <c r="I855" i="8"/>
  <c r="H855" i="8"/>
  <c r="G855" i="8"/>
  <c r="F855" i="8"/>
  <c r="B855" i="8"/>
  <c r="Q854" i="8"/>
  <c r="P854" i="8"/>
  <c r="J854" i="8"/>
  <c r="I854" i="8"/>
  <c r="H854" i="8"/>
  <c r="G854" i="8"/>
  <c r="F854" i="8"/>
  <c r="B854" i="8"/>
  <c r="Q853" i="8"/>
  <c r="P853" i="8"/>
  <c r="J853" i="8"/>
  <c r="I853" i="8"/>
  <c r="H853" i="8"/>
  <c r="G853" i="8"/>
  <c r="F853" i="8"/>
  <c r="B853" i="8"/>
  <c r="Q852" i="8"/>
  <c r="P852" i="8"/>
  <c r="J852" i="8"/>
  <c r="I852" i="8"/>
  <c r="H852" i="8"/>
  <c r="G852" i="8"/>
  <c r="F852" i="8"/>
  <c r="B852" i="8"/>
  <c r="Q851" i="8"/>
  <c r="P851" i="8"/>
  <c r="J851" i="8"/>
  <c r="I851" i="8"/>
  <c r="H851" i="8"/>
  <c r="G851" i="8"/>
  <c r="F851" i="8"/>
  <c r="B851" i="8"/>
  <c r="Q850" i="8"/>
  <c r="P850" i="8"/>
  <c r="J850" i="8"/>
  <c r="I850" i="8"/>
  <c r="H850" i="8"/>
  <c r="G850" i="8"/>
  <c r="F850" i="8"/>
  <c r="B850" i="8"/>
  <c r="Q849" i="8"/>
  <c r="P849" i="8"/>
  <c r="J849" i="8"/>
  <c r="I849" i="8"/>
  <c r="H849" i="8"/>
  <c r="G849" i="8"/>
  <c r="F849" i="8"/>
  <c r="B849" i="8"/>
  <c r="Q848" i="8"/>
  <c r="P848" i="8"/>
  <c r="J848" i="8"/>
  <c r="I848" i="8"/>
  <c r="H848" i="8"/>
  <c r="G848" i="8"/>
  <c r="F848" i="8"/>
  <c r="B848" i="8"/>
  <c r="Q847" i="8"/>
  <c r="P847" i="8"/>
  <c r="J847" i="8"/>
  <c r="I847" i="8"/>
  <c r="H847" i="8"/>
  <c r="G847" i="8"/>
  <c r="F847" i="8"/>
  <c r="B847" i="8"/>
  <c r="Q846" i="8"/>
  <c r="P846" i="8"/>
  <c r="J846" i="8"/>
  <c r="I846" i="8"/>
  <c r="H846" i="8"/>
  <c r="G846" i="8"/>
  <c r="F846" i="8"/>
  <c r="B846" i="8"/>
  <c r="Q845" i="8"/>
  <c r="P845" i="8"/>
  <c r="J845" i="8"/>
  <c r="I845" i="8"/>
  <c r="H845" i="8"/>
  <c r="G845" i="8"/>
  <c r="F845" i="8"/>
  <c r="B845" i="8"/>
  <c r="Q844" i="8"/>
  <c r="P844" i="8"/>
  <c r="J844" i="8"/>
  <c r="I844" i="8"/>
  <c r="H844" i="8"/>
  <c r="G844" i="8"/>
  <c r="F844" i="8"/>
  <c r="B844" i="8"/>
  <c r="Q843" i="8"/>
  <c r="P843" i="8"/>
  <c r="J843" i="8"/>
  <c r="I843" i="8"/>
  <c r="H843" i="8"/>
  <c r="G843" i="8"/>
  <c r="F843" i="8"/>
  <c r="B843" i="8"/>
  <c r="Q842" i="8"/>
  <c r="P842" i="8"/>
  <c r="J842" i="8"/>
  <c r="I842" i="8"/>
  <c r="H842" i="8"/>
  <c r="G842" i="8"/>
  <c r="F842" i="8"/>
  <c r="B842" i="8"/>
  <c r="Q841" i="8"/>
  <c r="P841" i="8"/>
  <c r="J841" i="8"/>
  <c r="I841" i="8"/>
  <c r="H841" i="8"/>
  <c r="G841" i="8"/>
  <c r="F841" i="8"/>
  <c r="B841" i="8"/>
  <c r="Q840" i="8"/>
  <c r="P840" i="8"/>
  <c r="J840" i="8"/>
  <c r="I840" i="8"/>
  <c r="H840" i="8"/>
  <c r="G840" i="8"/>
  <c r="F840" i="8"/>
  <c r="B840" i="8"/>
  <c r="Q839" i="8"/>
  <c r="P839" i="8"/>
  <c r="J839" i="8"/>
  <c r="I839" i="8"/>
  <c r="H839" i="8"/>
  <c r="G839" i="8"/>
  <c r="F839" i="8"/>
  <c r="B839" i="8"/>
  <c r="Q838" i="8"/>
  <c r="P838" i="8"/>
  <c r="J838" i="8"/>
  <c r="I838" i="8"/>
  <c r="H838" i="8"/>
  <c r="G838" i="8"/>
  <c r="F838" i="8"/>
  <c r="B838" i="8"/>
  <c r="Q837" i="8"/>
  <c r="P837" i="8"/>
  <c r="J837" i="8"/>
  <c r="I837" i="8"/>
  <c r="H837" i="8"/>
  <c r="G837" i="8"/>
  <c r="F837" i="8"/>
  <c r="B837" i="8"/>
  <c r="Q836" i="8"/>
  <c r="P836" i="8"/>
  <c r="J836" i="8"/>
  <c r="I836" i="8"/>
  <c r="H836" i="8"/>
  <c r="G836" i="8"/>
  <c r="F836" i="8"/>
  <c r="B836" i="8"/>
  <c r="Q835" i="8"/>
  <c r="P835" i="8"/>
  <c r="J835" i="8"/>
  <c r="I835" i="8"/>
  <c r="H835" i="8"/>
  <c r="G835" i="8"/>
  <c r="F835" i="8"/>
  <c r="B835" i="8"/>
  <c r="Q834" i="8"/>
  <c r="P834" i="8"/>
  <c r="J834" i="8"/>
  <c r="I834" i="8"/>
  <c r="H834" i="8"/>
  <c r="G834" i="8"/>
  <c r="F834" i="8"/>
  <c r="B834" i="8"/>
  <c r="Q833" i="8"/>
  <c r="P833" i="8"/>
  <c r="J833" i="8"/>
  <c r="I833" i="8"/>
  <c r="H833" i="8"/>
  <c r="G833" i="8"/>
  <c r="F833" i="8"/>
  <c r="B833" i="8"/>
  <c r="Q832" i="8"/>
  <c r="P832" i="8"/>
  <c r="J832" i="8"/>
  <c r="I832" i="8"/>
  <c r="H832" i="8"/>
  <c r="G832" i="8"/>
  <c r="F832" i="8"/>
  <c r="B832" i="8"/>
  <c r="Q831" i="8"/>
  <c r="P831" i="8"/>
  <c r="J831" i="8"/>
  <c r="I831" i="8"/>
  <c r="H831" i="8"/>
  <c r="G831" i="8"/>
  <c r="F831" i="8"/>
  <c r="B831" i="8"/>
  <c r="Q830" i="8"/>
  <c r="P830" i="8"/>
  <c r="J830" i="8"/>
  <c r="I830" i="8"/>
  <c r="H830" i="8"/>
  <c r="G830" i="8"/>
  <c r="F830" i="8"/>
  <c r="B830" i="8"/>
  <c r="Q829" i="8"/>
  <c r="P829" i="8"/>
  <c r="J829" i="8"/>
  <c r="I829" i="8"/>
  <c r="H829" i="8"/>
  <c r="G829" i="8"/>
  <c r="F829" i="8"/>
  <c r="B829" i="8"/>
  <c r="Q828" i="8"/>
  <c r="P828" i="8"/>
  <c r="J828" i="8"/>
  <c r="I828" i="8"/>
  <c r="H828" i="8"/>
  <c r="G828" i="8"/>
  <c r="F828" i="8"/>
  <c r="B828" i="8"/>
  <c r="Q827" i="8"/>
  <c r="P827" i="8"/>
  <c r="J827" i="8"/>
  <c r="I827" i="8"/>
  <c r="H827" i="8"/>
  <c r="G827" i="8"/>
  <c r="F827" i="8"/>
  <c r="B827" i="8"/>
  <c r="Q826" i="8"/>
  <c r="P826" i="8"/>
  <c r="J826" i="8"/>
  <c r="I826" i="8"/>
  <c r="H826" i="8"/>
  <c r="G826" i="8"/>
  <c r="F826" i="8"/>
  <c r="B826" i="8"/>
  <c r="Q825" i="8"/>
  <c r="P825" i="8"/>
  <c r="J825" i="8"/>
  <c r="I825" i="8"/>
  <c r="H825" i="8"/>
  <c r="G825" i="8"/>
  <c r="F825" i="8"/>
  <c r="B825" i="8"/>
  <c r="Q824" i="8"/>
  <c r="P824" i="8"/>
  <c r="J824" i="8"/>
  <c r="I824" i="8"/>
  <c r="H824" i="8"/>
  <c r="G824" i="8"/>
  <c r="F824" i="8"/>
  <c r="B824" i="8"/>
  <c r="Q823" i="8"/>
  <c r="P823" i="8"/>
  <c r="J823" i="8"/>
  <c r="I823" i="8"/>
  <c r="H823" i="8"/>
  <c r="G823" i="8"/>
  <c r="F823" i="8"/>
  <c r="B823" i="8"/>
  <c r="Q822" i="8"/>
  <c r="P822" i="8"/>
  <c r="J822" i="8"/>
  <c r="I822" i="8"/>
  <c r="H822" i="8"/>
  <c r="G822" i="8"/>
  <c r="F822" i="8"/>
  <c r="B822" i="8"/>
  <c r="Q821" i="8"/>
  <c r="P821" i="8"/>
  <c r="J821" i="8"/>
  <c r="I821" i="8"/>
  <c r="H821" i="8"/>
  <c r="G821" i="8"/>
  <c r="F821" i="8"/>
  <c r="B821" i="8"/>
  <c r="Q820" i="8"/>
  <c r="P820" i="8"/>
  <c r="J820" i="8"/>
  <c r="I820" i="8"/>
  <c r="H820" i="8"/>
  <c r="G820" i="8"/>
  <c r="F820" i="8"/>
  <c r="B820" i="8"/>
  <c r="Q819" i="8"/>
  <c r="P819" i="8"/>
  <c r="J819" i="8"/>
  <c r="I819" i="8"/>
  <c r="H819" i="8"/>
  <c r="G819" i="8"/>
  <c r="F819" i="8"/>
  <c r="B819" i="8"/>
  <c r="Q818" i="8"/>
  <c r="P818" i="8"/>
  <c r="J818" i="8"/>
  <c r="I818" i="8"/>
  <c r="H818" i="8"/>
  <c r="G818" i="8"/>
  <c r="F818" i="8"/>
  <c r="B818" i="8"/>
  <c r="Q817" i="8"/>
  <c r="P817" i="8"/>
  <c r="J817" i="8"/>
  <c r="I817" i="8"/>
  <c r="H817" i="8"/>
  <c r="G817" i="8"/>
  <c r="F817" i="8"/>
  <c r="B817" i="8"/>
  <c r="Q816" i="8"/>
  <c r="P816" i="8"/>
  <c r="J816" i="8"/>
  <c r="I816" i="8"/>
  <c r="H816" i="8"/>
  <c r="G816" i="8"/>
  <c r="F816" i="8"/>
  <c r="B816" i="8"/>
  <c r="Q815" i="8"/>
  <c r="P815" i="8"/>
  <c r="J815" i="8"/>
  <c r="I815" i="8"/>
  <c r="H815" i="8"/>
  <c r="G815" i="8"/>
  <c r="F815" i="8"/>
  <c r="B815" i="8"/>
  <c r="Q814" i="8"/>
  <c r="P814" i="8"/>
  <c r="J814" i="8"/>
  <c r="I814" i="8"/>
  <c r="H814" i="8"/>
  <c r="G814" i="8"/>
  <c r="F814" i="8"/>
  <c r="B814" i="8"/>
  <c r="Q813" i="8"/>
  <c r="P813" i="8"/>
  <c r="J813" i="8"/>
  <c r="I813" i="8"/>
  <c r="H813" i="8"/>
  <c r="G813" i="8"/>
  <c r="F813" i="8"/>
  <c r="B813" i="8"/>
  <c r="Q812" i="8"/>
  <c r="P812" i="8"/>
  <c r="J812" i="8"/>
  <c r="I812" i="8"/>
  <c r="H812" i="8"/>
  <c r="G812" i="8"/>
  <c r="F812" i="8"/>
  <c r="B812" i="8"/>
  <c r="Q811" i="8"/>
  <c r="P811" i="8"/>
  <c r="J811" i="8"/>
  <c r="I811" i="8"/>
  <c r="H811" i="8"/>
  <c r="G811" i="8"/>
  <c r="F811" i="8"/>
  <c r="B811" i="8"/>
  <c r="Q810" i="8"/>
  <c r="P810" i="8"/>
  <c r="J810" i="8"/>
  <c r="I810" i="8"/>
  <c r="H810" i="8"/>
  <c r="G810" i="8"/>
  <c r="F810" i="8"/>
  <c r="B810" i="8"/>
  <c r="Q809" i="8"/>
  <c r="P809" i="8"/>
  <c r="J809" i="8"/>
  <c r="I809" i="8"/>
  <c r="H809" i="8"/>
  <c r="G809" i="8"/>
  <c r="F809" i="8"/>
  <c r="B809" i="8"/>
  <c r="Q808" i="8"/>
  <c r="P808" i="8"/>
  <c r="J808" i="8"/>
  <c r="I808" i="8"/>
  <c r="H808" i="8"/>
  <c r="G808" i="8"/>
  <c r="F808" i="8"/>
  <c r="B808" i="8"/>
  <c r="Q807" i="8"/>
  <c r="P807" i="8"/>
  <c r="J807" i="8"/>
  <c r="I807" i="8"/>
  <c r="H807" i="8"/>
  <c r="G807" i="8"/>
  <c r="F807" i="8"/>
  <c r="B807" i="8"/>
  <c r="Q806" i="8"/>
  <c r="P806" i="8"/>
  <c r="J806" i="8"/>
  <c r="I806" i="8"/>
  <c r="H806" i="8"/>
  <c r="G806" i="8"/>
  <c r="F806" i="8"/>
  <c r="B806" i="8"/>
  <c r="Q805" i="8"/>
  <c r="P805" i="8"/>
  <c r="J805" i="8"/>
  <c r="I805" i="8"/>
  <c r="H805" i="8"/>
  <c r="G805" i="8"/>
  <c r="F805" i="8"/>
  <c r="B805" i="8"/>
  <c r="Q804" i="8"/>
  <c r="P804" i="8"/>
  <c r="J804" i="8"/>
  <c r="I804" i="8"/>
  <c r="H804" i="8"/>
  <c r="G804" i="8"/>
  <c r="F804" i="8"/>
  <c r="B804" i="8"/>
  <c r="Q803" i="8"/>
  <c r="P803" i="8"/>
  <c r="J803" i="8"/>
  <c r="I803" i="8"/>
  <c r="H803" i="8"/>
  <c r="G803" i="8"/>
  <c r="F803" i="8"/>
  <c r="B803" i="8"/>
  <c r="Q802" i="8"/>
  <c r="P802" i="8"/>
  <c r="J802" i="8"/>
  <c r="I802" i="8"/>
  <c r="H802" i="8"/>
  <c r="G802" i="8"/>
  <c r="F802" i="8"/>
  <c r="B802" i="8"/>
  <c r="Q801" i="8"/>
  <c r="P801" i="8"/>
  <c r="J801" i="8"/>
  <c r="I801" i="8"/>
  <c r="H801" i="8"/>
  <c r="G801" i="8"/>
  <c r="F801" i="8"/>
  <c r="B801" i="8"/>
  <c r="Q800" i="8"/>
  <c r="P800" i="8"/>
  <c r="J800" i="8"/>
  <c r="I800" i="8"/>
  <c r="H800" i="8"/>
  <c r="G800" i="8"/>
  <c r="F800" i="8"/>
  <c r="B800" i="8"/>
  <c r="Q799" i="8"/>
  <c r="P799" i="8"/>
  <c r="J799" i="8"/>
  <c r="I799" i="8"/>
  <c r="H799" i="8"/>
  <c r="G799" i="8"/>
  <c r="F799" i="8"/>
  <c r="B799" i="8"/>
  <c r="Q798" i="8"/>
  <c r="P798" i="8"/>
  <c r="J798" i="8"/>
  <c r="I798" i="8"/>
  <c r="H798" i="8"/>
  <c r="G798" i="8"/>
  <c r="F798" i="8"/>
  <c r="B798" i="8"/>
  <c r="Q797" i="8"/>
  <c r="P797" i="8"/>
  <c r="J797" i="8"/>
  <c r="I797" i="8"/>
  <c r="H797" i="8"/>
  <c r="G797" i="8"/>
  <c r="F797" i="8"/>
  <c r="B797" i="8"/>
  <c r="Q796" i="8"/>
  <c r="P796" i="8"/>
  <c r="J796" i="8"/>
  <c r="I796" i="8"/>
  <c r="H796" i="8"/>
  <c r="G796" i="8"/>
  <c r="F796" i="8"/>
  <c r="B796" i="8"/>
  <c r="Q795" i="8"/>
  <c r="P795" i="8"/>
  <c r="J795" i="8"/>
  <c r="I795" i="8"/>
  <c r="H795" i="8"/>
  <c r="G795" i="8"/>
  <c r="F795" i="8"/>
  <c r="B795" i="8"/>
  <c r="Q794" i="8"/>
  <c r="P794" i="8"/>
  <c r="J794" i="8"/>
  <c r="I794" i="8"/>
  <c r="H794" i="8"/>
  <c r="G794" i="8"/>
  <c r="F794" i="8"/>
  <c r="B794" i="8"/>
  <c r="Q793" i="8"/>
  <c r="P793" i="8"/>
  <c r="J793" i="8"/>
  <c r="I793" i="8"/>
  <c r="H793" i="8"/>
  <c r="G793" i="8"/>
  <c r="F793" i="8"/>
  <c r="B793" i="8"/>
  <c r="Q792" i="8"/>
  <c r="P792" i="8"/>
  <c r="J792" i="8"/>
  <c r="I792" i="8"/>
  <c r="H792" i="8"/>
  <c r="G792" i="8"/>
  <c r="F792" i="8"/>
  <c r="B792" i="8"/>
  <c r="Q791" i="8"/>
  <c r="P791" i="8"/>
  <c r="J791" i="8"/>
  <c r="I791" i="8"/>
  <c r="H791" i="8"/>
  <c r="G791" i="8"/>
  <c r="F791" i="8"/>
  <c r="B791" i="8"/>
  <c r="Q790" i="8"/>
  <c r="P790" i="8"/>
  <c r="J790" i="8"/>
  <c r="I790" i="8"/>
  <c r="H790" i="8"/>
  <c r="G790" i="8"/>
  <c r="F790" i="8"/>
  <c r="B790" i="8"/>
  <c r="Q789" i="8"/>
  <c r="P789" i="8"/>
  <c r="J789" i="8"/>
  <c r="I789" i="8"/>
  <c r="H789" i="8"/>
  <c r="G789" i="8"/>
  <c r="F789" i="8"/>
  <c r="B789" i="8"/>
  <c r="Q788" i="8"/>
  <c r="P788" i="8"/>
  <c r="J788" i="8"/>
  <c r="I788" i="8"/>
  <c r="H788" i="8"/>
  <c r="G788" i="8"/>
  <c r="F788" i="8"/>
  <c r="B788" i="8"/>
  <c r="Q787" i="8"/>
  <c r="P787" i="8"/>
  <c r="J787" i="8"/>
  <c r="I787" i="8"/>
  <c r="H787" i="8"/>
  <c r="G787" i="8"/>
  <c r="F787" i="8"/>
  <c r="B787" i="8"/>
  <c r="Q786" i="8"/>
  <c r="P786" i="8"/>
  <c r="J786" i="8"/>
  <c r="I786" i="8"/>
  <c r="H786" i="8"/>
  <c r="G786" i="8"/>
  <c r="F786" i="8"/>
  <c r="B786" i="8"/>
  <c r="Q785" i="8"/>
  <c r="P785" i="8"/>
  <c r="J785" i="8"/>
  <c r="I785" i="8"/>
  <c r="H785" i="8"/>
  <c r="G785" i="8"/>
  <c r="F785" i="8"/>
  <c r="B785" i="8"/>
  <c r="Q784" i="8"/>
  <c r="P784" i="8"/>
  <c r="J784" i="8"/>
  <c r="I784" i="8"/>
  <c r="H784" i="8"/>
  <c r="G784" i="8"/>
  <c r="F784" i="8"/>
  <c r="B784" i="8"/>
  <c r="Q783" i="8"/>
  <c r="P783" i="8"/>
  <c r="J783" i="8"/>
  <c r="I783" i="8"/>
  <c r="H783" i="8"/>
  <c r="G783" i="8"/>
  <c r="F783" i="8"/>
  <c r="B783" i="8"/>
  <c r="Q782" i="8"/>
  <c r="P782" i="8"/>
  <c r="J782" i="8"/>
  <c r="I782" i="8"/>
  <c r="H782" i="8"/>
  <c r="G782" i="8"/>
  <c r="F782" i="8"/>
  <c r="B782" i="8"/>
  <c r="Q781" i="8"/>
  <c r="P781" i="8"/>
  <c r="J781" i="8"/>
  <c r="I781" i="8"/>
  <c r="H781" i="8"/>
  <c r="G781" i="8"/>
  <c r="F781" i="8"/>
  <c r="B781" i="8"/>
  <c r="Q780" i="8"/>
  <c r="P780" i="8"/>
  <c r="J780" i="8"/>
  <c r="I780" i="8"/>
  <c r="H780" i="8"/>
  <c r="G780" i="8"/>
  <c r="F780" i="8"/>
  <c r="B780" i="8"/>
  <c r="Q779" i="8"/>
  <c r="P779" i="8"/>
  <c r="J779" i="8"/>
  <c r="I779" i="8"/>
  <c r="H779" i="8"/>
  <c r="G779" i="8"/>
  <c r="F779" i="8"/>
  <c r="B779" i="8"/>
  <c r="Q778" i="8"/>
  <c r="P778" i="8"/>
  <c r="J778" i="8"/>
  <c r="I778" i="8"/>
  <c r="H778" i="8"/>
  <c r="G778" i="8"/>
  <c r="F778" i="8"/>
  <c r="B778" i="8"/>
  <c r="Q777" i="8"/>
  <c r="P777" i="8"/>
  <c r="J777" i="8"/>
  <c r="I777" i="8"/>
  <c r="H777" i="8"/>
  <c r="G777" i="8"/>
  <c r="F777" i="8"/>
  <c r="B777" i="8"/>
  <c r="Q776" i="8"/>
  <c r="P776" i="8"/>
  <c r="J776" i="8"/>
  <c r="I776" i="8"/>
  <c r="H776" i="8"/>
  <c r="G776" i="8"/>
  <c r="F776" i="8"/>
  <c r="B776" i="8"/>
  <c r="Q775" i="8"/>
  <c r="P775" i="8"/>
  <c r="J775" i="8"/>
  <c r="I775" i="8"/>
  <c r="H775" i="8"/>
  <c r="G775" i="8"/>
  <c r="F775" i="8"/>
  <c r="B775" i="8"/>
  <c r="Q774" i="8"/>
  <c r="P774" i="8"/>
  <c r="J774" i="8"/>
  <c r="I774" i="8"/>
  <c r="H774" i="8"/>
  <c r="G774" i="8"/>
  <c r="F774" i="8"/>
  <c r="B774" i="8"/>
  <c r="Q773" i="8"/>
  <c r="P773" i="8"/>
  <c r="J773" i="8"/>
  <c r="I773" i="8"/>
  <c r="H773" i="8"/>
  <c r="G773" i="8"/>
  <c r="F773" i="8"/>
  <c r="B773" i="8"/>
  <c r="Q772" i="8"/>
  <c r="P772" i="8"/>
  <c r="J772" i="8"/>
  <c r="I772" i="8"/>
  <c r="H772" i="8"/>
  <c r="G772" i="8"/>
  <c r="F772" i="8"/>
  <c r="B772" i="8"/>
  <c r="Q771" i="8"/>
  <c r="P771" i="8"/>
  <c r="J771" i="8"/>
  <c r="I771" i="8"/>
  <c r="H771" i="8"/>
  <c r="G771" i="8"/>
  <c r="F771" i="8"/>
  <c r="B771" i="8"/>
  <c r="Q770" i="8"/>
  <c r="P770" i="8"/>
  <c r="J770" i="8"/>
  <c r="I770" i="8"/>
  <c r="H770" i="8"/>
  <c r="G770" i="8"/>
  <c r="F770" i="8"/>
  <c r="B770" i="8"/>
  <c r="Q769" i="8"/>
  <c r="P769" i="8"/>
  <c r="J769" i="8"/>
  <c r="I769" i="8"/>
  <c r="H769" i="8"/>
  <c r="G769" i="8"/>
  <c r="F769" i="8"/>
  <c r="B769" i="8"/>
  <c r="Q768" i="8"/>
  <c r="P768" i="8"/>
  <c r="J768" i="8"/>
  <c r="I768" i="8"/>
  <c r="H768" i="8"/>
  <c r="G768" i="8"/>
  <c r="F768" i="8"/>
  <c r="B768" i="8"/>
  <c r="Q767" i="8"/>
  <c r="P767" i="8"/>
  <c r="J767" i="8"/>
  <c r="I767" i="8"/>
  <c r="H767" i="8"/>
  <c r="G767" i="8"/>
  <c r="F767" i="8"/>
  <c r="B767" i="8"/>
  <c r="Q766" i="8"/>
  <c r="P766" i="8"/>
  <c r="J766" i="8"/>
  <c r="I766" i="8"/>
  <c r="H766" i="8"/>
  <c r="G766" i="8"/>
  <c r="F766" i="8"/>
  <c r="B766" i="8"/>
  <c r="Q765" i="8"/>
  <c r="P765" i="8"/>
  <c r="J765" i="8"/>
  <c r="I765" i="8"/>
  <c r="H765" i="8"/>
  <c r="G765" i="8"/>
  <c r="F765" i="8"/>
  <c r="B765" i="8"/>
  <c r="Q764" i="8"/>
  <c r="P764" i="8"/>
  <c r="J764" i="8"/>
  <c r="I764" i="8"/>
  <c r="H764" i="8"/>
  <c r="G764" i="8"/>
  <c r="F764" i="8"/>
  <c r="B764" i="8"/>
  <c r="Q763" i="8"/>
  <c r="P763" i="8"/>
  <c r="J763" i="8"/>
  <c r="I763" i="8"/>
  <c r="H763" i="8"/>
  <c r="G763" i="8"/>
  <c r="F763" i="8"/>
  <c r="B763" i="8"/>
  <c r="Q762" i="8"/>
  <c r="P762" i="8"/>
  <c r="J762" i="8"/>
  <c r="I762" i="8"/>
  <c r="H762" i="8"/>
  <c r="G762" i="8"/>
  <c r="F762" i="8"/>
  <c r="B762" i="8"/>
  <c r="Q761" i="8"/>
  <c r="P761" i="8"/>
  <c r="J761" i="8"/>
  <c r="I761" i="8"/>
  <c r="H761" i="8"/>
  <c r="G761" i="8"/>
  <c r="F761" i="8"/>
  <c r="B761" i="8"/>
  <c r="Q760" i="8"/>
  <c r="P760" i="8"/>
  <c r="J760" i="8"/>
  <c r="I760" i="8"/>
  <c r="H760" i="8"/>
  <c r="G760" i="8"/>
  <c r="F760" i="8"/>
  <c r="B760" i="8"/>
  <c r="Q759" i="8"/>
  <c r="P759" i="8"/>
  <c r="J759" i="8"/>
  <c r="I759" i="8"/>
  <c r="H759" i="8"/>
  <c r="G759" i="8"/>
  <c r="F759" i="8"/>
  <c r="B759" i="8"/>
  <c r="Q758" i="8"/>
  <c r="P758" i="8"/>
  <c r="J758" i="8"/>
  <c r="I758" i="8"/>
  <c r="H758" i="8"/>
  <c r="G758" i="8"/>
  <c r="F758" i="8"/>
  <c r="B758" i="8"/>
  <c r="Q757" i="8"/>
  <c r="P757" i="8"/>
  <c r="J757" i="8"/>
  <c r="I757" i="8"/>
  <c r="H757" i="8"/>
  <c r="G757" i="8"/>
  <c r="F757" i="8"/>
  <c r="B757" i="8"/>
  <c r="Q756" i="8"/>
  <c r="P756" i="8"/>
  <c r="J756" i="8"/>
  <c r="I756" i="8"/>
  <c r="H756" i="8"/>
  <c r="G756" i="8"/>
  <c r="F756" i="8"/>
  <c r="B756" i="8"/>
  <c r="Q755" i="8"/>
  <c r="P755" i="8"/>
  <c r="J755" i="8"/>
  <c r="I755" i="8"/>
  <c r="H755" i="8"/>
  <c r="G755" i="8"/>
  <c r="F755" i="8"/>
  <c r="B755" i="8"/>
  <c r="Q754" i="8"/>
  <c r="P754" i="8"/>
  <c r="J754" i="8"/>
  <c r="I754" i="8"/>
  <c r="H754" i="8"/>
  <c r="G754" i="8"/>
  <c r="F754" i="8"/>
  <c r="B754" i="8"/>
  <c r="Q753" i="8"/>
  <c r="P753" i="8"/>
  <c r="J753" i="8"/>
  <c r="I753" i="8"/>
  <c r="H753" i="8"/>
  <c r="G753" i="8"/>
  <c r="F753" i="8"/>
  <c r="B753" i="8"/>
  <c r="Q752" i="8"/>
  <c r="P752" i="8"/>
  <c r="J752" i="8"/>
  <c r="I752" i="8"/>
  <c r="H752" i="8"/>
  <c r="G752" i="8"/>
  <c r="F752" i="8"/>
  <c r="B752" i="8"/>
  <c r="Q751" i="8"/>
  <c r="P751" i="8"/>
  <c r="J751" i="8"/>
  <c r="I751" i="8"/>
  <c r="H751" i="8"/>
  <c r="G751" i="8"/>
  <c r="F751" i="8"/>
  <c r="B751" i="8"/>
  <c r="Q750" i="8"/>
  <c r="P750" i="8"/>
  <c r="J750" i="8"/>
  <c r="I750" i="8"/>
  <c r="H750" i="8"/>
  <c r="G750" i="8"/>
  <c r="F750" i="8"/>
  <c r="B750" i="8"/>
  <c r="Q749" i="8"/>
  <c r="P749" i="8"/>
  <c r="J749" i="8"/>
  <c r="I749" i="8"/>
  <c r="H749" i="8"/>
  <c r="G749" i="8"/>
  <c r="F749" i="8"/>
  <c r="B749" i="8"/>
  <c r="Q748" i="8"/>
  <c r="P748" i="8"/>
  <c r="J748" i="8"/>
  <c r="I748" i="8"/>
  <c r="H748" i="8"/>
  <c r="G748" i="8"/>
  <c r="F748" i="8"/>
  <c r="B748" i="8"/>
  <c r="Q747" i="8"/>
  <c r="P747" i="8"/>
  <c r="J747" i="8"/>
  <c r="I747" i="8"/>
  <c r="H747" i="8"/>
  <c r="G747" i="8"/>
  <c r="F747" i="8"/>
  <c r="B747" i="8"/>
  <c r="Q746" i="8"/>
  <c r="P746" i="8"/>
  <c r="J746" i="8"/>
  <c r="I746" i="8"/>
  <c r="H746" i="8"/>
  <c r="G746" i="8"/>
  <c r="F746" i="8"/>
  <c r="B746" i="8"/>
  <c r="Q745" i="8"/>
  <c r="P745" i="8"/>
  <c r="J745" i="8"/>
  <c r="I745" i="8"/>
  <c r="H745" i="8"/>
  <c r="G745" i="8"/>
  <c r="F745" i="8"/>
  <c r="B745" i="8"/>
  <c r="Q744" i="8"/>
  <c r="P744" i="8"/>
  <c r="J744" i="8"/>
  <c r="I744" i="8"/>
  <c r="H744" i="8"/>
  <c r="G744" i="8"/>
  <c r="F744" i="8"/>
  <c r="B744" i="8"/>
  <c r="Q743" i="8"/>
  <c r="P743" i="8"/>
  <c r="J743" i="8"/>
  <c r="I743" i="8"/>
  <c r="H743" i="8"/>
  <c r="G743" i="8"/>
  <c r="F743" i="8"/>
  <c r="B743" i="8"/>
  <c r="Q742" i="8"/>
  <c r="P742" i="8"/>
  <c r="J742" i="8"/>
  <c r="I742" i="8"/>
  <c r="H742" i="8"/>
  <c r="G742" i="8"/>
  <c r="F742" i="8"/>
  <c r="B742" i="8"/>
  <c r="Q741" i="8"/>
  <c r="P741" i="8"/>
  <c r="J741" i="8"/>
  <c r="I741" i="8"/>
  <c r="H741" i="8"/>
  <c r="G741" i="8"/>
  <c r="F741" i="8"/>
  <c r="B741" i="8"/>
  <c r="Q740" i="8"/>
  <c r="P740" i="8"/>
  <c r="J740" i="8"/>
  <c r="I740" i="8"/>
  <c r="H740" i="8"/>
  <c r="G740" i="8"/>
  <c r="F740" i="8"/>
  <c r="B740" i="8"/>
  <c r="Q739" i="8"/>
  <c r="P739" i="8"/>
  <c r="J739" i="8"/>
  <c r="I739" i="8"/>
  <c r="H739" i="8"/>
  <c r="G739" i="8"/>
  <c r="F739" i="8"/>
  <c r="B739" i="8"/>
  <c r="Q738" i="8"/>
  <c r="P738" i="8"/>
  <c r="J738" i="8"/>
  <c r="I738" i="8"/>
  <c r="H738" i="8"/>
  <c r="G738" i="8"/>
  <c r="F738" i="8"/>
  <c r="B738" i="8"/>
  <c r="Q737" i="8"/>
  <c r="P737" i="8"/>
  <c r="J737" i="8"/>
  <c r="I737" i="8"/>
  <c r="H737" i="8"/>
  <c r="G737" i="8"/>
  <c r="F737" i="8"/>
  <c r="B737" i="8"/>
  <c r="Q736" i="8"/>
  <c r="P736" i="8"/>
  <c r="J736" i="8"/>
  <c r="I736" i="8"/>
  <c r="H736" i="8"/>
  <c r="G736" i="8"/>
  <c r="F736" i="8"/>
  <c r="B736" i="8"/>
  <c r="Q735" i="8"/>
  <c r="P735" i="8"/>
  <c r="J735" i="8"/>
  <c r="I735" i="8"/>
  <c r="H735" i="8"/>
  <c r="G735" i="8"/>
  <c r="F735" i="8"/>
  <c r="B735" i="8"/>
  <c r="Q734" i="8"/>
  <c r="P734" i="8"/>
  <c r="J734" i="8"/>
  <c r="I734" i="8"/>
  <c r="H734" i="8"/>
  <c r="G734" i="8"/>
  <c r="F734" i="8"/>
  <c r="B734" i="8"/>
  <c r="Q733" i="8"/>
  <c r="P733" i="8"/>
  <c r="J733" i="8"/>
  <c r="I733" i="8"/>
  <c r="H733" i="8"/>
  <c r="G733" i="8"/>
  <c r="F733" i="8"/>
  <c r="B733" i="8"/>
  <c r="Q732" i="8"/>
  <c r="P732" i="8"/>
  <c r="J732" i="8"/>
  <c r="I732" i="8"/>
  <c r="H732" i="8"/>
  <c r="G732" i="8"/>
  <c r="F732" i="8"/>
  <c r="B732" i="8"/>
  <c r="Q731" i="8"/>
  <c r="P731" i="8"/>
  <c r="J731" i="8"/>
  <c r="I731" i="8"/>
  <c r="H731" i="8"/>
  <c r="G731" i="8"/>
  <c r="F731" i="8"/>
  <c r="B731" i="8"/>
  <c r="Q730" i="8"/>
  <c r="P730" i="8"/>
  <c r="J730" i="8"/>
  <c r="I730" i="8"/>
  <c r="H730" i="8"/>
  <c r="G730" i="8"/>
  <c r="F730" i="8"/>
  <c r="B730" i="8"/>
  <c r="Q729" i="8"/>
  <c r="P729" i="8"/>
  <c r="J729" i="8"/>
  <c r="I729" i="8"/>
  <c r="H729" i="8"/>
  <c r="G729" i="8"/>
  <c r="F729" i="8"/>
  <c r="B729" i="8"/>
  <c r="Q728" i="8"/>
  <c r="P728" i="8"/>
  <c r="J728" i="8"/>
  <c r="I728" i="8"/>
  <c r="H728" i="8"/>
  <c r="G728" i="8"/>
  <c r="F728" i="8"/>
  <c r="B728" i="8"/>
  <c r="Q727" i="8"/>
  <c r="P727" i="8"/>
  <c r="J727" i="8"/>
  <c r="I727" i="8"/>
  <c r="H727" i="8"/>
  <c r="G727" i="8"/>
  <c r="F727" i="8"/>
  <c r="B727" i="8"/>
  <c r="Q726" i="8"/>
  <c r="P726" i="8"/>
  <c r="J726" i="8"/>
  <c r="I726" i="8"/>
  <c r="H726" i="8"/>
  <c r="G726" i="8"/>
  <c r="F726" i="8"/>
  <c r="B726" i="8"/>
  <c r="Q725" i="8"/>
  <c r="P725" i="8"/>
  <c r="J725" i="8"/>
  <c r="I725" i="8"/>
  <c r="H725" i="8"/>
  <c r="G725" i="8"/>
  <c r="F725" i="8"/>
  <c r="B725" i="8"/>
  <c r="Q724" i="8"/>
  <c r="P724" i="8"/>
  <c r="J724" i="8"/>
  <c r="I724" i="8"/>
  <c r="H724" i="8"/>
  <c r="G724" i="8"/>
  <c r="F724" i="8"/>
  <c r="B724" i="8"/>
  <c r="Q723" i="8"/>
  <c r="P723" i="8"/>
  <c r="J723" i="8"/>
  <c r="I723" i="8"/>
  <c r="H723" i="8"/>
  <c r="G723" i="8"/>
  <c r="F723" i="8"/>
  <c r="B723" i="8"/>
  <c r="Q722" i="8"/>
  <c r="P722" i="8"/>
  <c r="J722" i="8"/>
  <c r="I722" i="8"/>
  <c r="H722" i="8"/>
  <c r="G722" i="8"/>
  <c r="F722" i="8"/>
  <c r="B722" i="8"/>
  <c r="Q721" i="8"/>
  <c r="P721" i="8"/>
  <c r="J721" i="8"/>
  <c r="I721" i="8"/>
  <c r="H721" i="8"/>
  <c r="G721" i="8"/>
  <c r="F721" i="8"/>
  <c r="B721" i="8"/>
  <c r="Q720" i="8"/>
  <c r="P720" i="8"/>
  <c r="J720" i="8"/>
  <c r="I720" i="8"/>
  <c r="H720" i="8"/>
  <c r="G720" i="8"/>
  <c r="F720" i="8"/>
  <c r="B720" i="8"/>
  <c r="Q719" i="8"/>
  <c r="P719" i="8"/>
  <c r="J719" i="8"/>
  <c r="I719" i="8"/>
  <c r="H719" i="8"/>
  <c r="G719" i="8"/>
  <c r="F719" i="8"/>
  <c r="B719" i="8"/>
  <c r="Q718" i="8"/>
  <c r="P718" i="8"/>
  <c r="J718" i="8"/>
  <c r="I718" i="8"/>
  <c r="H718" i="8"/>
  <c r="G718" i="8"/>
  <c r="F718" i="8"/>
  <c r="B718" i="8"/>
  <c r="Q717" i="8"/>
  <c r="P717" i="8"/>
  <c r="J717" i="8"/>
  <c r="I717" i="8"/>
  <c r="H717" i="8"/>
  <c r="G717" i="8"/>
  <c r="F717" i="8"/>
  <c r="B717" i="8"/>
  <c r="Q716" i="8"/>
  <c r="P716" i="8"/>
  <c r="J716" i="8"/>
  <c r="I716" i="8"/>
  <c r="H716" i="8"/>
  <c r="G716" i="8"/>
  <c r="F716" i="8"/>
  <c r="B716" i="8"/>
  <c r="Q715" i="8"/>
  <c r="P715" i="8"/>
  <c r="J715" i="8"/>
  <c r="I715" i="8"/>
  <c r="H715" i="8"/>
  <c r="G715" i="8"/>
  <c r="F715" i="8"/>
  <c r="B715" i="8"/>
  <c r="Q714" i="8"/>
  <c r="P714" i="8"/>
  <c r="J714" i="8"/>
  <c r="I714" i="8"/>
  <c r="H714" i="8"/>
  <c r="G714" i="8"/>
  <c r="F714" i="8"/>
  <c r="B714" i="8"/>
  <c r="Q713" i="8"/>
  <c r="P713" i="8"/>
  <c r="J713" i="8"/>
  <c r="I713" i="8"/>
  <c r="H713" i="8"/>
  <c r="G713" i="8"/>
  <c r="F713" i="8"/>
  <c r="B713" i="8"/>
  <c r="Q712" i="8"/>
  <c r="P712" i="8"/>
  <c r="J712" i="8"/>
  <c r="I712" i="8"/>
  <c r="H712" i="8"/>
  <c r="G712" i="8"/>
  <c r="F712" i="8"/>
  <c r="B712" i="8"/>
  <c r="Q711" i="8"/>
  <c r="P711" i="8"/>
  <c r="J711" i="8"/>
  <c r="I711" i="8"/>
  <c r="H711" i="8"/>
  <c r="G711" i="8"/>
  <c r="F711" i="8"/>
  <c r="B711" i="8"/>
  <c r="Q710" i="8"/>
  <c r="P710" i="8"/>
  <c r="J710" i="8"/>
  <c r="I710" i="8"/>
  <c r="H710" i="8"/>
  <c r="G710" i="8"/>
  <c r="F710" i="8"/>
  <c r="B710" i="8"/>
  <c r="Q709" i="8"/>
  <c r="P709" i="8"/>
  <c r="J709" i="8"/>
  <c r="I709" i="8"/>
  <c r="H709" i="8"/>
  <c r="G709" i="8"/>
  <c r="F709" i="8"/>
  <c r="B709" i="8"/>
  <c r="Q708" i="8"/>
  <c r="P708" i="8"/>
  <c r="J708" i="8"/>
  <c r="I708" i="8"/>
  <c r="H708" i="8"/>
  <c r="G708" i="8"/>
  <c r="F708" i="8"/>
  <c r="B708" i="8"/>
  <c r="Q707" i="8"/>
  <c r="P707" i="8"/>
  <c r="J707" i="8"/>
  <c r="I707" i="8"/>
  <c r="H707" i="8"/>
  <c r="G707" i="8"/>
  <c r="F707" i="8"/>
  <c r="B707" i="8"/>
  <c r="Q706" i="8"/>
  <c r="P706" i="8"/>
  <c r="J706" i="8"/>
  <c r="I706" i="8"/>
  <c r="H706" i="8"/>
  <c r="G706" i="8"/>
  <c r="F706" i="8"/>
  <c r="B706" i="8"/>
  <c r="Q705" i="8"/>
  <c r="P705" i="8"/>
  <c r="J705" i="8"/>
  <c r="I705" i="8"/>
  <c r="H705" i="8"/>
  <c r="G705" i="8"/>
  <c r="F705" i="8"/>
  <c r="B705" i="8"/>
  <c r="Q704" i="8"/>
  <c r="P704" i="8"/>
  <c r="J704" i="8"/>
  <c r="I704" i="8"/>
  <c r="H704" i="8"/>
  <c r="G704" i="8"/>
  <c r="F704" i="8"/>
  <c r="B704" i="8"/>
  <c r="Q703" i="8"/>
  <c r="P703" i="8"/>
  <c r="J703" i="8"/>
  <c r="I703" i="8"/>
  <c r="H703" i="8"/>
  <c r="G703" i="8"/>
  <c r="F703" i="8"/>
  <c r="B703" i="8"/>
  <c r="Q702" i="8"/>
  <c r="P702" i="8"/>
  <c r="J702" i="8"/>
  <c r="I702" i="8"/>
  <c r="H702" i="8"/>
  <c r="G702" i="8"/>
  <c r="F702" i="8"/>
  <c r="B702" i="8"/>
  <c r="Q701" i="8"/>
  <c r="P701" i="8"/>
  <c r="J701" i="8"/>
  <c r="I701" i="8"/>
  <c r="H701" i="8"/>
  <c r="G701" i="8"/>
  <c r="F701" i="8"/>
  <c r="B701" i="8"/>
  <c r="Q700" i="8"/>
  <c r="P700" i="8"/>
  <c r="J700" i="8"/>
  <c r="I700" i="8"/>
  <c r="H700" i="8"/>
  <c r="G700" i="8"/>
  <c r="F700" i="8"/>
  <c r="B700" i="8"/>
  <c r="Q699" i="8"/>
  <c r="P699" i="8"/>
  <c r="J699" i="8"/>
  <c r="I699" i="8"/>
  <c r="H699" i="8"/>
  <c r="G699" i="8"/>
  <c r="F699" i="8"/>
  <c r="B699" i="8"/>
  <c r="Q698" i="8"/>
  <c r="P698" i="8"/>
  <c r="J698" i="8"/>
  <c r="I698" i="8"/>
  <c r="H698" i="8"/>
  <c r="G698" i="8"/>
  <c r="F698" i="8"/>
  <c r="B698" i="8"/>
  <c r="Q697" i="8"/>
  <c r="P697" i="8"/>
  <c r="J697" i="8"/>
  <c r="I697" i="8"/>
  <c r="H697" i="8"/>
  <c r="G697" i="8"/>
  <c r="F697" i="8"/>
  <c r="B697" i="8"/>
  <c r="Q696" i="8"/>
  <c r="P696" i="8"/>
  <c r="J696" i="8"/>
  <c r="I696" i="8"/>
  <c r="H696" i="8"/>
  <c r="G696" i="8"/>
  <c r="F696" i="8"/>
  <c r="B696" i="8"/>
  <c r="Q695" i="8"/>
  <c r="P695" i="8"/>
  <c r="J695" i="8"/>
  <c r="I695" i="8"/>
  <c r="H695" i="8"/>
  <c r="G695" i="8"/>
  <c r="F695" i="8"/>
  <c r="B695" i="8"/>
  <c r="Q694" i="8"/>
  <c r="P694" i="8"/>
  <c r="J694" i="8"/>
  <c r="I694" i="8"/>
  <c r="H694" i="8"/>
  <c r="G694" i="8"/>
  <c r="F694" i="8"/>
  <c r="B694" i="8"/>
  <c r="Q693" i="8"/>
  <c r="P693" i="8"/>
  <c r="J693" i="8"/>
  <c r="I693" i="8"/>
  <c r="H693" i="8"/>
  <c r="G693" i="8"/>
  <c r="F693" i="8"/>
  <c r="B693" i="8"/>
  <c r="Q692" i="8"/>
  <c r="P692" i="8"/>
  <c r="J692" i="8"/>
  <c r="I692" i="8"/>
  <c r="H692" i="8"/>
  <c r="G692" i="8"/>
  <c r="F692" i="8"/>
  <c r="B692" i="8"/>
  <c r="Q691" i="8"/>
  <c r="P691" i="8"/>
  <c r="J691" i="8"/>
  <c r="I691" i="8"/>
  <c r="H691" i="8"/>
  <c r="G691" i="8"/>
  <c r="F691" i="8"/>
  <c r="B691" i="8"/>
  <c r="Q690" i="8"/>
  <c r="P690" i="8"/>
  <c r="J690" i="8"/>
  <c r="I690" i="8"/>
  <c r="H690" i="8"/>
  <c r="G690" i="8"/>
  <c r="F690" i="8"/>
  <c r="B690" i="8"/>
  <c r="Q689" i="8"/>
  <c r="P689" i="8"/>
  <c r="J689" i="8"/>
  <c r="I689" i="8"/>
  <c r="H689" i="8"/>
  <c r="G689" i="8"/>
  <c r="F689" i="8"/>
  <c r="B689" i="8"/>
  <c r="Q688" i="8"/>
  <c r="P688" i="8"/>
  <c r="J688" i="8"/>
  <c r="I688" i="8"/>
  <c r="H688" i="8"/>
  <c r="G688" i="8"/>
  <c r="F688" i="8"/>
  <c r="B688" i="8"/>
  <c r="Q687" i="8"/>
  <c r="P687" i="8"/>
  <c r="J687" i="8"/>
  <c r="I687" i="8"/>
  <c r="H687" i="8"/>
  <c r="G687" i="8"/>
  <c r="F687" i="8"/>
  <c r="B687" i="8"/>
  <c r="Q686" i="8"/>
  <c r="P686" i="8"/>
  <c r="J686" i="8"/>
  <c r="I686" i="8"/>
  <c r="H686" i="8"/>
  <c r="G686" i="8"/>
  <c r="F686" i="8"/>
  <c r="B686" i="8"/>
  <c r="Q685" i="8"/>
  <c r="P685" i="8"/>
  <c r="J685" i="8"/>
  <c r="I685" i="8"/>
  <c r="H685" i="8"/>
  <c r="G685" i="8"/>
  <c r="F685" i="8"/>
  <c r="B685" i="8"/>
  <c r="Q684" i="8"/>
  <c r="P684" i="8"/>
  <c r="J684" i="8"/>
  <c r="I684" i="8"/>
  <c r="H684" i="8"/>
  <c r="G684" i="8"/>
  <c r="F684" i="8"/>
  <c r="B684" i="8"/>
  <c r="Q683" i="8"/>
  <c r="P683" i="8"/>
  <c r="J683" i="8"/>
  <c r="I683" i="8"/>
  <c r="H683" i="8"/>
  <c r="G683" i="8"/>
  <c r="F683" i="8"/>
  <c r="B683" i="8"/>
  <c r="Q682" i="8"/>
  <c r="P682" i="8"/>
  <c r="J682" i="8"/>
  <c r="I682" i="8"/>
  <c r="H682" i="8"/>
  <c r="G682" i="8"/>
  <c r="F682" i="8"/>
  <c r="B682" i="8"/>
  <c r="Q681" i="8"/>
  <c r="P681" i="8"/>
  <c r="J681" i="8"/>
  <c r="I681" i="8"/>
  <c r="H681" i="8"/>
  <c r="G681" i="8"/>
  <c r="F681" i="8"/>
  <c r="B681" i="8"/>
  <c r="Q680" i="8"/>
  <c r="P680" i="8"/>
  <c r="J680" i="8"/>
  <c r="I680" i="8"/>
  <c r="H680" i="8"/>
  <c r="G680" i="8"/>
  <c r="F680" i="8"/>
  <c r="B680" i="8"/>
  <c r="Q679" i="8"/>
  <c r="P679" i="8"/>
  <c r="J679" i="8"/>
  <c r="I679" i="8"/>
  <c r="H679" i="8"/>
  <c r="G679" i="8"/>
  <c r="F679" i="8"/>
  <c r="B679" i="8"/>
  <c r="Q678" i="8"/>
  <c r="P678" i="8"/>
  <c r="J678" i="8"/>
  <c r="I678" i="8"/>
  <c r="H678" i="8"/>
  <c r="G678" i="8"/>
  <c r="F678" i="8"/>
  <c r="B678" i="8"/>
  <c r="Q677" i="8"/>
  <c r="P677" i="8"/>
  <c r="J677" i="8"/>
  <c r="I677" i="8"/>
  <c r="H677" i="8"/>
  <c r="G677" i="8"/>
  <c r="F677" i="8"/>
  <c r="B677" i="8"/>
  <c r="Q676" i="8"/>
  <c r="P676" i="8"/>
  <c r="J676" i="8"/>
  <c r="I676" i="8"/>
  <c r="H676" i="8"/>
  <c r="G676" i="8"/>
  <c r="F676" i="8"/>
  <c r="B676" i="8"/>
  <c r="Q675" i="8"/>
  <c r="P675" i="8"/>
  <c r="J675" i="8"/>
  <c r="I675" i="8"/>
  <c r="H675" i="8"/>
  <c r="G675" i="8"/>
  <c r="F675" i="8"/>
  <c r="B675" i="8"/>
  <c r="Q674" i="8"/>
  <c r="P674" i="8"/>
  <c r="J674" i="8"/>
  <c r="I674" i="8"/>
  <c r="H674" i="8"/>
  <c r="G674" i="8"/>
  <c r="F674" i="8"/>
  <c r="B674" i="8"/>
  <c r="Q673" i="8"/>
  <c r="P673" i="8"/>
  <c r="J673" i="8"/>
  <c r="I673" i="8"/>
  <c r="H673" i="8"/>
  <c r="G673" i="8"/>
  <c r="F673" i="8"/>
  <c r="B673" i="8"/>
  <c r="Q672" i="8"/>
  <c r="P672" i="8"/>
  <c r="J672" i="8"/>
  <c r="I672" i="8"/>
  <c r="H672" i="8"/>
  <c r="G672" i="8"/>
  <c r="F672" i="8"/>
  <c r="B672" i="8"/>
  <c r="Q671" i="8"/>
  <c r="P671" i="8"/>
  <c r="J671" i="8"/>
  <c r="I671" i="8"/>
  <c r="H671" i="8"/>
  <c r="G671" i="8"/>
  <c r="F671" i="8"/>
  <c r="B671" i="8"/>
  <c r="Q670" i="8"/>
  <c r="P670" i="8"/>
  <c r="J670" i="8"/>
  <c r="I670" i="8"/>
  <c r="H670" i="8"/>
  <c r="G670" i="8"/>
  <c r="F670" i="8"/>
  <c r="B670" i="8"/>
  <c r="Q669" i="8"/>
  <c r="P669" i="8"/>
  <c r="J669" i="8"/>
  <c r="I669" i="8"/>
  <c r="H669" i="8"/>
  <c r="G669" i="8"/>
  <c r="F669" i="8"/>
  <c r="B669" i="8"/>
  <c r="Q668" i="8"/>
  <c r="P668" i="8"/>
  <c r="J668" i="8"/>
  <c r="I668" i="8"/>
  <c r="H668" i="8"/>
  <c r="G668" i="8"/>
  <c r="F668" i="8"/>
  <c r="B668" i="8"/>
  <c r="Q667" i="8"/>
  <c r="P667" i="8"/>
  <c r="J667" i="8"/>
  <c r="I667" i="8"/>
  <c r="H667" i="8"/>
  <c r="G667" i="8"/>
  <c r="F667" i="8"/>
  <c r="B667" i="8"/>
  <c r="Q666" i="8"/>
  <c r="P666" i="8"/>
  <c r="J666" i="8"/>
  <c r="I666" i="8"/>
  <c r="H666" i="8"/>
  <c r="G666" i="8"/>
  <c r="F666" i="8"/>
  <c r="B666" i="8"/>
  <c r="Q665" i="8"/>
  <c r="P665" i="8"/>
  <c r="J665" i="8"/>
  <c r="I665" i="8"/>
  <c r="H665" i="8"/>
  <c r="G665" i="8"/>
  <c r="F665" i="8"/>
  <c r="B665" i="8"/>
  <c r="Q664" i="8"/>
  <c r="P664" i="8"/>
  <c r="J664" i="8"/>
  <c r="I664" i="8"/>
  <c r="H664" i="8"/>
  <c r="G664" i="8"/>
  <c r="F664" i="8"/>
  <c r="B664" i="8"/>
  <c r="Q663" i="8"/>
  <c r="P663" i="8"/>
  <c r="J663" i="8"/>
  <c r="I663" i="8"/>
  <c r="H663" i="8"/>
  <c r="G663" i="8"/>
  <c r="F663" i="8"/>
  <c r="B663" i="8"/>
  <c r="Q662" i="8"/>
  <c r="P662" i="8"/>
  <c r="J662" i="8"/>
  <c r="I662" i="8"/>
  <c r="H662" i="8"/>
  <c r="G662" i="8"/>
  <c r="F662" i="8"/>
  <c r="B662" i="8"/>
  <c r="Q661" i="8"/>
  <c r="P661" i="8"/>
  <c r="J661" i="8"/>
  <c r="I661" i="8"/>
  <c r="H661" i="8"/>
  <c r="G661" i="8"/>
  <c r="F661" i="8"/>
  <c r="B661" i="8"/>
  <c r="Q660" i="8"/>
  <c r="P660" i="8"/>
  <c r="J660" i="8"/>
  <c r="I660" i="8"/>
  <c r="H660" i="8"/>
  <c r="G660" i="8"/>
  <c r="F660" i="8"/>
  <c r="B660" i="8"/>
  <c r="Q659" i="8"/>
  <c r="P659" i="8"/>
  <c r="J659" i="8"/>
  <c r="I659" i="8"/>
  <c r="H659" i="8"/>
  <c r="G659" i="8"/>
  <c r="F659" i="8"/>
  <c r="B659" i="8"/>
  <c r="Q658" i="8"/>
  <c r="P658" i="8"/>
  <c r="J658" i="8"/>
  <c r="I658" i="8"/>
  <c r="H658" i="8"/>
  <c r="G658" i="8"/>
  <c r="F658" i="8"/>
  <c r="B658" i="8"/>
  <c r="Q657" i="8"/>
  <c r="P657" i="8"/>
  <c r="J657" i="8"/>
  <c r="I657" i="8"/>
  <c r="H657" i="8"/>
  <c r="G657" i="8"/>
  <c r="F657" i="8"/>
  <c r="B657" i="8"/>
  <c r="Q656" i="8"/>
  <c r="P656" i="8"/>
  <c r="J656" i="8"/>
  <c r="I656" i="8"/>
  <c r="H656" i="8"/>
  <c r="G656" i="8"/>
  <c r="F656" i="8"/>
  <c r="B656" i="8"/>
  <c r="Q655" i="8"/>
  <c r="P655" i="8"/>
  <c r="J655" i="8"/>
  <c r="I655" i="8"/>
  <c r="H655" i="8"/>
  <c r="G655" i="8"/>
  <c r="F655" i="8"/>
  <c r="B655" i="8"/>
  <c r="Q654" i="8"/>
  <c r="P654" i="8"/>
  <c r="J654" i="8"/>
  <c r="I654" i="8"/>
  <c r="H654" i="8"/>
  <c r="G654" i="8"/>
  <c r="F654" i="8"/>
  <c r="B654" i="8"/>
  <c r="Q653" i="8"/>
  <c r="P653" i="8"/>
  <c r="J653" i="8"/>
  <c r="I653" i="8"/>
  <c r="H653" i="8"/>
  <c r="G653" i="8"/>
  <c r="F653" i="8"/>
  <c r="B653" i="8"/>
  <c r="Q652" i="8"/>
  <c r="P652" i="8"/>
  <c r="J652" i="8"/>
  <c r="I652" i="8"/>
  <c r="H652" i="8"/>
  <c r="G652" i="8"/>
  <c r="F652" i="8"/>
  <c r="B652" i="8"/>
  <c r="Q651" i="8"/>
  <c r="P651" i="8"/>
  <c r="J651" i="8"/>
  <c r="I651" i="8"/>
  <c r="H651" i="8"/>
  <c r="G651" i="8"/>
  <c r="F651" i="8"/>
  <c r="B651" i="8"/>
  <c r="Q650" i="8"/>
  <c r="P650" i="8"/>
  <c r="J650" i="8"/>
  <c r="I650" i="8"/>
  <c r="H650" i="8"/>
  <c r="G650" i="8"/>
  <c r="F650" i="8"/>
  <c r="B650" i="8"/>
  <c r="Q649" i="8"/>
  <c r="P649" i="8"/>
  <c r="J649" i="8"/>
  <c r="I649" i="8"/>
  <c r="H649" i="8"/>
  <c r="G649" i="8"/>
  <c r="F649" i="8"/>
  <c r="B649" i="8"/>
  <c r="Q648" i="8"/>
  <c r="P648" i="8"/>
  <c r="J648" i="8"/>
  <c r="I648" i="8"/>
  <c r="H648" i="8"/>
  <c r="G648" i="8"/>
  <c r="F648" i="8"/>
  <c r="B648" i="8"/>
  <c r="Q647" i="8"/>
  <c r="P647" i="8"/>
  <c r="J647" i="8"/>
  <c r="I647" i="8"/>
  <c r="H647" i="8"/>
  <c r="G647" i="8"/>
  <c r="F647" i="8"/>
  <c r="B647" i="8"/>
  <c r="Q646" i="8"/>
  <c r="P646" i="8"/>
  <c r="J646" i="8"/>
  <c r="I646" i="8"/>
  <c r="H646" i="8"/>
  <c r="G646" i="8"/>
  <c r="F646" i="8"/>
  <c r="B646" i="8"/>
  <c r="Q645" i="8"/>
  <c r="P645" i="8"/>
  <c r="J645" i="8"/>
  <c r="I645" i="8"/>
  <c r="H645" i="8"/>
  <c r="G645" i="8"/>
  <c r="F645" i="8"/>
  <c r="B645" i="8"/>
  <c r="Q644" i="8"/>
  <c r="P644" i="8"/>
  <c r="J644" i="8"/>
  <c r="I644" i="8"/>
  <c r="H644" i="8"/>
  <c r="G644" i="8"/>
  <c r="F644" i="8"/>
  <c r="B644" i="8"/>
  <c r="Q643" i="8"/>
  <c r="P643" i="8"/>
  <c r="J643" i="8"/>
  <c r="I643" i="8"/>
  <c r="H643" i="8"/>
  <c r="G643" i="8"/>
  <c r="F643" i="8"/>
  <c r="B643" i="8"/>
  <c r="Q642" i="8"/>
  <c r="P642" i="8"/>
  <c r="J642" i="8"/>
  <c r="I642" i="8"/>
  <c r="H642" i="8"/>
  <c r="G642" i="8"/>
  <c r="F642" i="8"/>
  <c r="B642" i="8"/>
  <c r="Q641" i="8"/>
  <c r="P641" i="8"/>
  <c r="J641" i="8"/>
  <c r="I641" i="8"/>
  <c r="H641" i="8"/>
  <c r="G641" i="8"/>
  <c r="F641" i="8"/>
  <c r="B641" i="8"/>
  <c r="Q640" i="8"/>
  <c r="P640" i="8"/>
  <c r="J640" i="8"/>
  <c r="I640" i="8"/>
  <c r="H640" i="8"/>
  <c r="G640" i="8"/>
  <c r="F640" i="8"/>
  <c r="B640" i="8"/>
  <c r="Q639" i="8"/>
  <c r="P639" i="8"/>
  <c r="J639" i="8"/>
  <c r="I639" i="8"/>
  <c r="H639" i="8"/>
  <c r="G639" i="8"/>
  <c r="F639" i="8"/>
  <c r="B639" i="8"/>
  <c r="Q638" i="8"/>
  <c r="P638" i="8"/>
  <c r="J638" i="8"/>
  <c r="I638" i="8"/>
  <c r="H638" i="8"/>
  <c r="G638" i="8"/>
  <c r="F638" i="8"/>
  <c r="B638" i="8"/>
  <c r="Q637" i="8"/>
  <c r="P637" i="8"/>
  <c r="J637" i="8"/>
  <c r="I637" i="8"/>
  <c r="H637" i="8"/>
  <c r="G637" i="8"/>
  <c r="F637" i="8"/>
  <c r="B637" i="8"/>
  <c r="Q636" i="8"/>
  <c r="P636" i="8"/>
  <c r="J636" i="8"/>
  <c r="I636" i="8"/>
  <c r="H636" i="8"/>
  <c r="G636" i="8"/>
  <c r="F636" i="8"/>
  <c r="B636" i="8"/>
  <c r="Q635" i="8"/>
  <c r="P635" i="8"/>
  <c r="J635" i="8"/>
  <c r="I635" i="8"/>
  <c r="H635" i="8"/>
  <c r="G635" i="8"/>
  <c r="F635" i="8"/>
  <c r="B635" i="8"/>
  <c r="Q634" i="8"/>
  <c r="P634" i="8"/>
  <c r="J634" i="8"/>
  <c r="I634" i="8"/>
  <c r="H634" i="8"/>
  <c r="G634" i="8"/>
  <c r="F634" i="8"/>
  <c r="B634" i="8"/>
  <c r="Q633" i="8"/>
  <c r="P633" i="8"/>
  <c r="J633" i="8"/>
  <c r="I633" i="8"/>
  <c r="H633" i="8"/>
  <c r="G633" i="8"/>
  <c r="F633" i="8"/>
  <c r="B633" i="8"/>
  <c r="Q632" i="8"/>
  <c r="P632" i="8"/>
  <c r="J632" i="8"/>
  <c r="I632" i="8"/>
  <c r="H632" i="8"/>
  <c r="G632" i="8"/>
  <c r="F632" i="8"/>
  <c r="B632" i="8"/>
  <c r="Q631" i="8"/>
  <c r="P631" i="8"/>
  <c r="J631" i="8"/>
  <c r="I631" i="8"/>
  <c r="H631" i="8"/>
  <c r="G631" i="8"/>
  <c r="F631" i="8"/>
  <c r="B631" i="8"/>
  <c r="Q630" i="8"/>
  <c r="P630" i="8"/>
  <c r="J630" i="8"/>
  <c r="I630" i="8"/>
  <c r="H630" i="8"/>
  <c r="G630" i="8"/>
  <c r="F630" i="8"/>
  <c r="B630" i="8"/>
  <c r="Q629" i="8"/>
  <c r="P629" i="8"/>
  <c r="J629" i="8"/>
  <c r="I629" i="8"/>
  <c r="H629" i="8"/>
  <c r="G629" i="8"/>
  <c r="F629" i="8"/>
  <c r="B629" i="8"/>
  <c r="Q628" i="8"/>
  <c r="P628" i="8"/>
  <c r="J628" i="8"/>
  <c r="I628" i="8"/>
  <c r="H628" i="8"/>
  <c r="G628" i="8"/>
  <c r="F628" i="8"/>
  <c r="B628" i="8"/>
  <c r="Q627" i="8"/>
  <c r="P627" i="8"/>
  <c r="J627" i="8"/>
  <c r="I627" i="8"/>
  <c r="H627" i="8"/>
  <c r="G627" i="8"/>
  <c r="F627" i="8"/>
  <c r="B627" i="8"/>
  <c r="Q626" i="8"/>
  <c r="P626" i="8"/>
  <c r="J626" i="8"/>
  <c r="I626" i="8"/>
  <c r="H626" i="8"/>
  <c r="G626" i="8"/>
  <c r="F626" i="8"/>
  <c r="B626" i="8"/>
  <c r="Q625" i="8"/>
  <c r="P625" i="8"/>
  <c r="J625" i="8"/>
  <c r="I625" i="8"/>
  <c r="H625" i="8"/>
  <c r="G625" i="8"/>
  <c r="F625" i="8"/>
  <c r="B625" i="8"/>
  <c r="Q624" i="8"/>
  <c r="P624" i="8"/>
  <c r="J624" i="8"/>
  <c r="I624" i="8"/>
  <c r="H624" i="8"/>
  <c r="G624" i="8"/>
  <c r="F624" i="8"/>
  <c r="B624" i="8"/>
  <c r="Q623" i="8"/>
  <c r="P623" i="8"/>
  <c r="J623" i="8"/>
  <c r="I623" i="8"/>
  <c r="H623" i="8"/>
  <c r="G623" i="8"/>
  <c r="F623" i="8"/>
  <c r="B623" i="8"/>
  <c r="Q622" i="8"/>
  <c r="P622" i="8"/>
  <c r="J622" i="8"/>
  <c r="I622" i="8"/>
  <c r="H622" i="8"/>
  <c r="G622" i="8"/>
  <c r="F622" i="8"/>
  <c r="B622" i="8"/>
  <c r="Q621" i="8"/>
  <c r="P621" i="8"/>
  <c r="J621" i="8"/>
  <c r="I621" i="8"/>
  <c r="H621" i="8"/>
  <c r="G621" i="8"/>
  <c r="F621" i="8"/>
  <c r="B621" i="8"/>
  <c r="Q620" i="8"/>
  <c r="P620" i="8"/>
  <c r="J620" i="8"/>
  <c r="I620" i="8"/>
  <c r="H620" i="8"/>
  <c r="G620" i="8"/>
  <c r="F620" i="8"/>
  <c r="B620" i="8"/>
  <c r="Q619" i="8"/>
  <c r="P619" i="8"/>
  <c r="J619" i="8"/>
  <c r="I619" i="8"/>
  <c r="H619" i="8"/>
  <c r="G619" i="8"/>
  <c r="F619" i="8"/>
  <c r="B619" i="8"/>
  <c r="Q618" i="8"/>
  <c r="P618" i="8"/>
  <c r="J618" i="8"/>
  <c r="I618" i="8"/>
  <c r="H618" i="8"/>
  <c r="G618" i="8"/>
  <c r="F618" i="8"/>
  <c r="B618" i="8"/>
  <c r="Q617" i="8"/>
  <c r="P617" i="8"/>
  <c r="J617" i="8"/>
  <c r="I617" i="8"/>
  <c r="H617" i="8"/>
  <c r="G617" i="8"/>
  <c r="F617" i="8"/>
  <c r="B617" i="8"/>
  <c r="Q616" i="8"/>
  <c r="P616" i="8"/>
  <c r="J616" i="8"/>
  <c r="I616" i="8"/>
  <c r="H616" i="8"/>
  <c r="G616" i="8"/>
  <c r="F616" i="8"/>
  <c r="B616" i="8"/>
  <c r="Q615" i="8"/>
  <c r="P615" i="8"/>
  <c r="J615" i="8"/>
  <c r="I615" i="8"/>
  <c r="H615" i="8"/>
  <c r="G615" i="8"/>
  <c r="F615" i="8"/>
  <c r="B615" i="8"/>
  <c r="Q614" i="8"/>
  <c r="P614" i="8"/>
  <c r="J614" i="8"/>
  <c r="I614" i="8"/>
  <c r="H614" i="8"/>
  <c r="G614" i="8"/>
  <c r="F614" i="8"/>
  <c r="B614" i="8"/>
  <c r="Q613" i="8"/>
  <c r="P613" i="8"/>
  <c r="J613" i="8"/>
  <c r="I613" i="8"/>
  <c r="H613" i="8"/>
  <c r="G613" i="8"/>
  <c r="F613" i="8"/>
  <c r="B613" i="8"/>
  <c r="Q612" i="8"/>
  <c r="P612" i="8"/>
  <c r="J612" i="8"/>
  <c r="I612" i="8"/>
  <c r="H612" i="8"/>
  <c r="G612" i="8"/>
  <c r="F612" i="8"/>
  <c r="B612" i="8"/>
  <c r="Q611" i="8"/>
  <c r="P611" i="8"/>
  <c r="J611" i="8"/>
  <c r="I611" i="8"/>
  <c r="H611" i="8"/>
  <c r="G611" i="8"/>
  <c r="F611" i="8"/>
  <c r="B611" i="8"/>
  <c r="Q610" i="8"/>
  <c r="P610" i="8"/>
  <c r="J610" i="8"/>
  <c r="I610" i="8"/>
  <c r="H610" i="8"/>
  <c r="G610" i="8"/>
  <c r="F610" i="8"/>
  <c r="B610" i="8"/>
  <c r="Q609" i="8"/>
  <c r="P609" i="8"/>
  <c r="J609" i="8"/>
  <c r="I609" i="8"/>
  <c r="H609" i="8"/>
  <c r="G609" i="8"/>
  <c r="F609" i="8"/>
  <c r="B609" i="8"/>
  <c r="Q608" i="8"/>
  <c r="P608" i="8"/>
  <c r="J608" i="8"/>
  <c r="I608" i="8"/>
  <c r="H608" i="8"/>
  <c r="G608" i="8"/>
  <c r="F608" i="8"/>
  <c r="B608" i="8"/>
  <c r="Q607" i="8"/>
  <c r="P607" i="8"/>
  <c r="J607" i="8"/>
  <c r="I607" i="8"/>
  <c r="H607" i="8"/>
  <c r="G607" i="8"/>
  <c r="F607" i="8"/>
  <c r="B607" i="8"/>
  <c r="Q606" i="8"/>
  <c r="P606" i="8"/>
  <c r="J606" i="8"/>
  <c r="I606" i="8"/>
  <c r="H606" i="8"/>
  <c r="G606" i="8"/>
  <c r="F606" i="8"/>
  <c r="B606" i="8"/>
  <c r="Q605" i="8"/>
  <c r="P605" i="8"/>
  <c r="J605" i="8"/>
  <c r="I605" i="8"/>
  <c r="H605" i="8"/>
  <c r="G605" i="8"/>
  <c r="F605" i="8"/>
  <c r="B605" i="8"/>
  <c r="Q604" i="8"/>
  <c r="P604" i="8"/>
  <c r="J604" i="8"/>
  <c r="I604" i="8"/>
  <c r="H604" i="8"/>
  <c r="G604" i="8"/>
  <c r="F604" i="8"/>
  <c r="B604" i="8"/>
  <c r="Q603" i="8"/>
  <c r="P603" i="8"/>
  <c r="J603" i="8"/>
  <c r="I603" i="8"/>
  <c r="H603" i="8"/>
  <c r="G603" i="8"/>
  <c r="F603" i="8"/>
  <c r="B603" i="8"/>
  <c r="Q602" i="8"/>
  <c r="P602" i="8"/>
  <c r="J602" i="8"/>
  <c r="I602" i="8"/>
  <c r="H602" i="8"/>
  <c r="G602" i="8"/>
  <c r="F602" i="8"/>
  <c r="B602" i="8"/>
  <c r="Q601" i="8"/>
  <c r="P601" i="8"/>
  <c r="J601" i="8"/>
  <c r="I601" i="8"/>
  <c r="H601" i="8"/>
  <c r="G601" i="8"/>
  <c r="F601" i="8"/>
  <c r="B601" i="8"/>
  <c r="Q600" i="8"/>
  <c r="P600" i="8"/>
  <c r="J600" i="8"/>
  <c r="I600" i="8"/>
  <c r="H600" i="8"/>
  <c r="G600" i="8"/>
  <c r="F600" i="8"/>
  <c r="B600" i="8"/>
  <c r="Q599" i="8"/>
  <c r="P599" i="8"/>
  <c r="J599" i="8"/>
  <c r="I599" i="8"/>
  <c r="H599" i="8"/>
  <c r="G599" i="8"/>
  <c r="F599" i="8"/>
  <c r="B599" i="8"/>
  <c r="Q598" i="8"/>
  <c r="P598" i="8"/>
  <c r="J598" i="8"/>
  <c r="I598" i="8"/>
  <c r="H598" i="8"/>
  <c r="G598" i="8"/>
  <c r="F598" i="8"/>
  <c r="B598" i="8"/>
  <c r="Q597" i="8"/>
  <c r="P597" i="8"/>
  <c r="J597" i="8"/>
  <c r="I597" i="8"/>
  <c r="H597" i="8"/>
  <c r="G597" i="8"/>
  <c r="F597" i="8"/>
  <c r="B597" i="8"/>
  <c r="Q596" i="8"/>
  <c r="P596" i="8"/>
  <c r="J596" i="8"/>
  <c r="I596" i="8"/>
  <c r="H596" i="8"/>
  <c r="G596" i="8"/>
  <c r="F596" i="8"/>
  <c r="B596" i="8"/>
  <c r="Q595" i="8"/>
  <c r="P595" i="8"/>
  <c r="J595" i="8"/>
  <c r="I595" i="8"/>
  <c r="H595" i="8"/>
  <c r="G595" i="8"/>
  <c r="F595" i="8"/>
  <c r="B595" i="8"/>
  <c r="Q594" i="8"/>
  <c r="P594" i="8"/>
  <c r="J594" i="8"/>
  <c r="I594" i="8"/>
  <c r="H594" i="8"/>
  <c r="G594" i="8"/>
  <c r="F594" i="8"/>
  <c r="B594" i="8"/>
  <c r="Q593" i="8"/>
  <c r="P593" i="8"/>
  <c r="J593" i="8"/>
  <c r="I593" i="8"/>
  <c r="H593" i="8"/>
  <c r="G593" i="8"/>
  <c r="F593" i="8"/>
  <c r="B593" i="8"/>
  <c r="Q592" i="8"/>
  <c r="P592" i="8"/>
  <c r="J592" i="8"/>
  <c r="I592" i="8"/>
  <c r="H592" i="8"/>
  <c r="G592" i="8"/>
  <c r="F592" i="8"/>
  <c r="B592" i="8"/>
  <c r="Q591" i="8"/>
  <c r="P591" i="8"/>
  <c r="J591" i="8"/>
  <c r="I591" i="8"/>
  <c r="H591" i="8"/>
  <c r="G591" i="8"/>
  <c r="F591" i="8"/>
  <c r="B591" i="8"/>
  <c r="Q590" i="8"/>
  <c r="P590" i="8"/>
  <c r="J590" i="8"/>
  <c r="I590" i="8"/>
  <c r="H590" i="8"/>
  <c r="G590" i="8"/>
  <c r="F590" i="8"/>
  <c r="B590" i="8"/>
  <c r="Q589" i="8"/>
  <c r="P589" i="8"/>
  <c r="J589" i="8"/>
  <c r="I589" i="8"/>
  <c r="H589" i="8"/>
  <c r="G589" i="8"/>
  <c r="F589" i="8"/>
  <c r="B589" i="8"/>
  <c r="Q588" i="8"/>
  <c r="P588" i="8"/>
  <c r="J588" i="8"/>
  <c r="I588" i="8"/>
  <c r="H588" i="8"/>
  <c r="G588" i="8"/>
  <c r="F588" i="8"/>
  <c r="B588" i="8"/>
  <c r="Q587" i="8"/>
  <c r="P587" i="8"/>
  <c r="J587" i="8"/>
  <c r="I587" i="8"/>
  <c r="H587" i="8"/>
  <c r="G587" i="8"/>
  <c r="F587" i="8"/>
  <c r="B587" i="8"/>
  <c r="Q586" i="8"/>
  <c r="P586" i="8"/>
  <c r="J586" i="8"/>
  <c r="I586" i="8"/>
  <c r="H586" i="8"/>
  <c r="G586" i="8"/>
  <c r="F586" i="8"/>
  <c r="B586" i="8"/>
  <c r="Q585" i="8"/>
  <c r="P585" i="8"/>
  <c r="J585" i="8"/>
  <c r="I585" i="8"/>
  <c r="H585" i="8"/>
  <c r="G585" i="8"/>
  <c r="F585" i="8"/>
  <c r="B585" i="8"/>
  <c r="Q584" i="8"/>
  <c r="P584" i="8"/>
  <c r="J584" i="8"/>
  <c r="I584" i="8"/>
  <c r="H584" i="8"/>
  <c r="G584" i="8"/>
  <c r="F584" i="8"/>
  <c r="B584" i="8"/>
  <c r="Q583" i="8"/>
  <c r="P583" i="8"/>
  <c r="J583" i="8"/>
  <c r="I583" i="8"/>
  <c r="H583" i="8"/>
  <c r="G583" i="8"/>
  <c r="F583" i="8"/>
  <c r="B583" i="8"/>
  <c r="Q582" i="8"/>
  <c r="P582" i="8"/>
  <c r="J582" i="8"/>
  <c r="I582" i="8"/>
  <c r="H582" i="8"/>
  <c r="G582" i="8"/>
  <c r="F582" i="8"/>
  <c r="B582" i="8"/>
  <c r="Q581" i="8"/>
  <c r="P581" i="8"/>
  <c r="J581" i="8"/>
  <c r="I581" i="8"/>
  <c r="H581" i="8"/>
  <c r="G581" i="8"/>
  <c r="F581" i="8"/>
  <c r="B581" i="8"/>
  <c r="Q580" i="8"/>
  <c r="P580" i="8"/>
  <c r="J580" i="8"/>
  <c r="I580" i="8"/>
  <c r="H580" i="8"/>
  <c r="G580" i="8"/>
  <c r="F580" i="8"/>
  <c r="B580" i="8"/>
  <c r="Q579" i="8"/>
  <c r="P579" i="8"/>
  <c r="J579" i="8"/>
  <c r="I579" i="8"/>
  <c r="H579" i="8"/>
  <c r="G579" i="8"/>
  <c r="F579" i="8"/>
  <c r="B579" i="8"/>
  <c r="Q578" i="8"/>
  <c r="P578" i="8"/>
  <c r="J578" i="8"/>
  <c r="I578" i="8"/>
  <c r="H578" i="8"/>
  <c r="G578" i="8"/>
  <c r="F578" i="8"/>
  <c r="B578" i="8"/>
  <c r="Q577" i="8"/>
  <c r="P577" i="8"/>
  <c r="J577" i="8"/>
  <c r="I577" i="8"/>
  <c r="H577" i="8"/>
  <c r="G577" i="8"/>
  <c r="F577" i="8"/>
  <c r="B577" i="8"/>
  <c r="Q576" i="8"/>
  <c r="P576" i="8"/>
  <c r="J576" i="8"/>
  <c r="I576" i="8"/>
  <c r="H576" i="8"/>
  <c r="G576" i="8"/>
  <c r="F576" i="8"/>
  <c r="B576" i="8"/>
  <c r="Q575" i="8"/>
  <c r="P575" i="8"/>
  <c r="J575" i="8"/>
  <c r="I575" i="8"/>
  <c r="H575" i="8"/>
  <c r="G575" i="8"/>
  <c r="F575" i="8"/>
  <c r="B575" i="8"/>
  <c r="Q574" i="8"/>
  <c r="P574" i="8"/>
  <c r="J574" i="8"/>
  <c r="I574" i="8"/>
  <c r="H574" i="8"/>
  <c r="G574" i="8"/>
  <c r="F574" i="8"/>
  <c r="B574" i="8"/>
  <c r="Q573" i="8"/>
  <c r="P573" i="8"/>
  <c r="J573" i="8"/>
  <c r="I573" i="8"/>
  <c r="H573" i="8"/>
  <c r="G573" i="8"/>
  <c r="F573" i="8"/>
  <c r="B573" i="8"/>
  <c r="Q572" i="8"/>
  <c r="P572" i="8"/>
  <c r="J572" i="8"/>
  <c r="I572" i="8"/>
  <c r="H572" i="8"/>
  <c r="G572" i="8"/>
  <c r="F572" i="8"/>
  <c r="B572" i="8"/>
  <c r="Q571" i="8"/>
  <c r="P571" i="8"/>
  <c r="J571" i="8"/>
  <c r="I571" i="8"/>
  <c r="H571" i="8"/>
  <c r="G571" i="8"/>
  <c r="F571" i="8"/>
  <c r="B571" i="8"/>
  <c r="Q570" i="8"/>
  <c r="P570" i="8"/>
  <c r="J570" i="8"/>
  <c r="I570" i="8"/>
  <c r="H570" i="8"/>
  <c r="G570" i="8"/>
  <c r="F570" i="8"/>
  <c r="B570" i="8"/>
  <c r="Q569" i="8"/>
  <c r="P569" i="8"/>
  <c r="J569" i="8"/>
  <c r="I569" i="8"/>
  <c r="H569" i="8"/>
  <c r="G569" i="8"/>
  <c r="F569" i="8"/>
  <c r="B569" i="8"/>
  <c r="Q568" i="8"/>
  <c r="P568" i="8"/>
  <c r="J568" i="8"/>
  <c r="I568" i="8"/>
  <c r="H568" i="8"/>
  <c r="G568" i="8"/>
  <c r="F568" i="8"/>
  <c r="B568" i="8"/>
  <c r="Q567" i="8"/>
  <c r="P567" i="8"/>
  <c r="J567" i="8"/>
  <c r="I567" i="8"/>
  <c r="H567" i="8"/>
  <c r="G567" i="8"/>
  <c r="F567" i="8"/>
  <c r="B567" i="8"/>
  <c r="Q566" i="8"/>
  <c r="P566" i="8"/>
  <c r="J566" i="8"/>
  <c r="I566" i="8"/>
  <c r="H566" i="8"/>
  <c r="G566" i="8"/>
  <c r="F566" i="8"/>
  <c r="B566" i="8"/>
  <c r="Q565" i="8"/>
  <c r="P565" i="8"/>
  <c r="J565" i="8"/>
  <c r="I565" i="8"/>
  <c r="H565" i="8"/>
  <c r="G565" i="8"/>
  <c r="F565" i="8"/>
  <c r="B565" i="8"/>
  <c r="Q564" i="8"/>
  <c r="P564" i="8"/>
  <c r="J564" i="8"/>
  <c r="I564" i="8"/>
  <c r="H564" i="8"/>
  <c r="G564" i="8"/>
  <c r="F564" i="8"/>
  <c r="B564" i="8"/>
  <c r="Q563" i="8"/>
  <c r="P563" i="8"/>
  <c r="J563" i="8"/>
  <c r="I563" i="8"/>
  <c r="H563" i="8"/>
  <c r="G563" i="8"/>
  <c r="F563" i="8"/>
  <c r="B563" i="8"/>
  <c r="Q562" i="8"/>
  <c r="P562" i="8"/>
  <c r="J562" i="8"/>
  <c r="I562" i="8"/>
  <c r="H562" i="8"/>
  <c r="G562" i="8"/>
  <c r="F562" i="8"/>
  <c r="B562" i="8"/>
  <c r="Q561" i="8"/>
  <c r="P561" i="8"/>
  <c r="J561" i="8"/>
  <c r="I561" i="8"/>
  <c r="H561" i="8"/>
  <c r="G561" i="8"/>
  <c r="F561" i="8"/>
  <c r="B561" i="8"/>
  <c r="Q560" i="8"/>
  <c r="P560" i="8"/>
  <c r="J560" i="8"/>
  <c r="I560" i="8"/>
  <c r="H560" i="8"/>
  <c r="G560" i="8"/>
  <c r="F560" i="8"/>
  <c r="B560" i="8"/>
  <c r="Q559" i="8"/>
  <c r="P559" i="8"/>
  <c r="J559" i="8"/>
  <c r="I559" i="8"/>
  <c r="H559" i="8"/>
  <c r="G559" i="8"/>
  <c r="F559" i="8"/>
  <c r="B559" i="8"/>
  <c r="Q558" i="8"/>
  <c r="P558" i="8"/>
  <c r="J558" i="8"/>
  <c r="I558" i="8"/>
  <c r="H558" i="8"/>
  <c r="G558" i="8"/>
  <c r="F558" i="8"/>
  <c r="B558" i="8"/>
  <c r="Q557" i="8"/>
  <c r="P557" i="8"/>
  <c r="J557" i="8"/>
  <c r="I557" i="8"/>
  <c r="H557" i="8"/>
  <c r="G557" i="8"/>
  <c r="F557" i="8"/>
  <c r="B557" i="8"/>
  <c r="Q556" i="8"/>
  <c r="P556" i="8"/>
  <c r="J556" i="8"/>
  <c r="I556" i="8"/>
  <c r="H556" i="8"/>
  <c r="G556" i="8"/>
  <c r="F556" i="8"/>
  <c r="B556" i="8"/>
  <c r="Q555" i="8"/>
  <c r="P555" i="8"/>
  <c r="J555" i="8"/>
  <c r="I555" i="8"/>
  <c r="H555" i="8"/>
  <c r="G555" i="8"/>
  <c r="F555" i="8"/>
  <c r="B555" i="8"/>
  <c r="Q554" i="8"/>
  <c r="P554" i="8"/>
  <c r="J554" i="8"/>
  <c r="I554" i="8"/>
  <c r="H554" i="8"/>
  <c r="G554" i="8"/>
  <c r="F554" i="8"/>
  <c r="B554" i="8"/>
  <c r="Q553" i="8"/>
  <c r="P553" i="8"/>
  <c r="J553" i="8"/>
  <c r="I553" i="8"/>
  <c r="H553" i="8"/>
  <c r="G553" i="8"/>
  <c r="F553" i="8"/>
  <c r="B553" i="8"/>
  <c r="Q552" i="8"/>
  <c r="P552" i="8"/>
  <c r="J552" i="8"/>
  <c r="I552" i="8"/>
  <c r="H552" i="8"/>
  <c r="G552" i="8"/>
  <c r="F552" i="8"/>
  <c r="B552" i="8"/>
  <c r="Q551" i="8"/>
  <c r="P551" i="8"/>
  <c r="J551" i="8"/>
  <c r="I551" i="8"/>
  <c r="H551" i="8"/>
  <c r="G551" i="8"/>
  <c r="F551" i="8"/>
  <c r="B551" i="8"/>
  <c r="Q550" i="8"/>
  <c r="P550" i="8"/>
  <c r="J550" i="8"/>
  <c r="I550" i="8"/>
  <c r="H550" i="8"/>
  <c r="G550" i="8"/>
  <c r="F550" i="8"/>
  <c r="B550" i="8"/>
  <c r="Q549" i="8"/>
  <c r="P549" i="8"/>
  <c r="J549" i="8"/>
  <c r="I549" i="8"/>
  <c r="H549" i="8"/>
  <c r="G549" i="8"/>
  <c r="F549" i="8"/>
  <c r="B549" i="8"/>
  <c r="Q548" i="8"/>
  <c r="P548" i="8"/>
  <c r="J548" i="8"/>
  <c r="I548" i="8"/>
  <c r="H548" i="8"/>
  <c r="G548" i="8"/>
  <c r="F548" i="8"/>
  <c r="B548" i="8"/>
  <c r="Q547" i="8"/>
  <c r="P547" i="8"/>
  <c r="J547" i="8"/>
  <c r="I547" i="8"/>
  <c r="H547" i="8"/>
  <c r="G547" i="8"/>
  <c r="F547" i="8"/>
  <c r="B547" i="8"/>
  <c r="Q546" i="8"/>
  <c r="P546" i="8"/>
  <c r="J546" i="8"/>
  <c r="I546" i="8"/>
  <c r="H546" i="8"/>
  <c r="G546" i="8"/>
  <c r="F546" i="8"/>
  <c r="B546" i="8"/>
  <c r="Q545" i="8"/>
  <c r="P545" i="8"/>
  <c r="J545" i="8"/>
  <c r="I545" i="8"/>
  <c r="H545" i="8"/>
  <c r="G545" i="8"/>
  <c r="F545" i="8"/>
  <c r="B545" i="8"/>
  <c r="Q544" i="8"/>
  <c r="P544" i="8"/>
  <c r="J544" i="8"/>
  <c r="I544" i="8"/>
  <c r="H544" i="8"/>
  <c r="G544" i="8"/>
  <c r="F544" i="8"/>
  <c r="B544" i="8"/>
  <c r="Q543" i="8"/>
  <c r="P543" i="8"/>
  <c r="J543" i="8"/>
  <c r="I543" i="8"/>
  <c r="H543" i="8"/>
  <c r="G543" i="8"/>
  <c r="F543" i="8"/>
  <c r="B543" i="8"/>
  <c r="Q542" i="8"/>
  <c r="P542" i="8"/>
  <c r="J542" i="8"/>
  <c r="I542" i="8"/>
  <c r="H542" i="8"/>
  <c r="G542" i="8"/>
  <c r="F542" i="8"/>
  <c r="B542" i="8"/>
  <c r="Q541" i="8"/>
  <c r="P541" i="8"/>
  <c r="J541" i="8"/>
  <c r="I541" i="8"/>
  <c r="H541" i="8"/>
  <c r="G541" i="8"/>
  <c r="F541" i="8"/>
  <c r="B541" i="8"/>
  <c r="Q540" i="8"/>
  <c r="P540" i="8"/>
  <c r="J540" i="8"/>
  <c r="I540" i="8"/>
  <c r="H540" i="8"/>
  <c r="G540" i="8"/>
  <c r="F540" i="8"/>
  <c r="B540" i="8"/>
  <c r="Q539" i="8"/>
  <c r="P539" i="8"/>
  <c r="J539" i="8"/>
  <c r="I539" i="8"/>
  <c r="H539" i="8"/>
  <c r="G539" i="8"/>
  <c r="F539" i="8"/>
  <c r="B539" i="8"/>
  <c r="Q538" i="8"/>
  <c r="P538" i="8"/>
  <c r="J538" i="8"/>
  <c r="I538" i="8"/>
  <c r="H538" i="8"/>
  <c r="G538" i="8"/>
  <c r="F538" i="8"/>
  <c r="B538" i="8"/>
  <c r="Q537" i="8"/>
  <c r="P537" i="8"/>
  <c r="J537" i="8"/>
  <c r="I537" i="8"/>
  <c r="H537" i="8"/>
  <c r="G537" i="8"/>
  <c r="F537" i="8"/>
  <c r="B537" i="8"/>
  <c r="Q536" i="8"/>
  <c r="P536" i="8"/>
  <c r="J536" i="8"/>
  <c r="I536" i="8"/>
  <c r="H536" i="8"/>
  <c r="G536" i="8"/>
  <c r="F536" i="8"/>
  <c r="B536" i="8"/>
  <c r="Q535" i="8"/>
  <c r="P535" i="8"/>
  <c r="J535" i="8"/>
  <c r="I535" i="8"/>
  <c r="H535" i="8"/>
  <c r="G535" i="8"/>
  <c r="F535" i="8"/>
  <c r="B535" i="8"/>
  <c r="Q534" i="8"/>
  <c r="P534" i="8"/>
  <c r="J534" i="8"/>
  <c r="I534" i="8"/>
  <c r="H534" i="8"/>
  <c r="G534" i="8"/>
  <c r="F534" i="8"/>
  <c r="B534" i="8"/>
  <c r="Q533" i="8"/>
  <c r="P533" i="8"/>
  <c r="J533" i="8"/>
  <c r="I533" i="8"/>
  <c r="H533" i="8"/>
  <c r="G533" i="8"/>
  <c r="F533" i="8"/>
  <c r="B533" i="8"/>
  <c r="Q532" i="8"/>
  <c r="P532" i="8"/>
  <c r="J532" i="8"/>
  <c r="I532" i="8"/>
  <c r="H532" i="8"/>
  <c r="G532" i="8"/>
  <c r="F532" i="8"/>
  <c r="B532" i="8"/>
  <c r="Q531" i="8"/>
  <c r="P531" i="8"/>
  <c r="J531" i="8"/>
  <c r="I531" i="8"/>
  <c r="H531" i="8"/>
  <c r="G531" i="8"/>
  <c r="F531" i="8"/>
  <c r="B531" i="8"/>
  <c r="Q530" i="8"/>
  <c r="P530" i="8"/>
  <c r="J530" i="8"/>
  <c r="I530" i="8"/>
  <c r="H530" i="8"/>
  <c r="G530" i="8"/>
  <c r="F530" i="8"/>
  <c r="B530" i="8"/>
  <c r="Q529" i="8"/>
  <c r="P529" i="8"/>
  <c r="J529" i="8"/>
  <c r="I529" i="8"/>
  <c r="H529" i="8"/>
  <c r="G529" i="8"/>
  <c r="F529" i="8"/>
  <c r="B529" i="8"/>
  <c r="Q528" i="8"/>
  <c r="P528" i="8"/>
  <c r="J528" i="8"/>
  <c r="I528" i="8"/>
  <c r="H528" i="8"/>
  <c r="G528" i="8"/>
  <c r="F528" i="8"/>
  <c r="B528" i="8"/>
  <c r="Q527" i="8"/>
  <c r="P527" i="8"/>
  <c r="J527" i="8"/>
  <c r="I527" i="8"/>
  <c r="H527" i="8"/>
  <c r="G527" i="8"/>
  <c r="F527" i="8"/>
  <c r="B527" i="8"/>
  <c r="Q526" i="8"/>
  <c r="P526" i="8"/>
  <c r="J526" i="8"/>
  <c r="I526" i="8"/>
  <c r="H526" i="8"/>
  <c r="G526" i="8"/>
  <c r="F526" i="8"/>
  <c r="B526" i="8"/>
  <c r="Q525" i="8"/>
  <c r="P525" i="8"/>
  <c r="J525" i="8"/>
  <c r="I525" i="8"/>
  <c r="H525" i="8"/>
  <c r="G525" i="8"/>
  <c r="F525" i="8"/>
  <c r="B525" i="8"/>
  <c r="Q524" i="8"/>
  <c r="P524" i="8"/>
  <c r="J524" i="8"/>
  <c r="I524" i="8"/>
  <c r="H524" i="8"/>
  <c r="G524" i="8"/>
  <c r="F524" i="8"/>
  <c r="B524" i="8"/>
  <c r="Q523" i="8"/>
  <c r="P523" i="8"/>
  <c r="J523" i="8"/>
  <c r="I523" i="8"/>
  <c r="H523" i="8"/>
  <c r="G523" i="8"/>
  <c r="F523" i="8"/>
  <c r="B523" i="8"/>
  <c r="Q522" i="8"/>
  <c r="P522" i="8"/>
  <c r="J522" i="8"/>
  <c r="I522" i="8"/>
  <c r="H522" i="8"/>
  <c r="G522" i="8"/>
  <c r="F522" i="8"/>
  <c r="B522" i="8"/>
  <c r="Q521" i="8"/>
  <c r="P521" i="8"/>
  <c r="J521" i="8"/>
  <c r="I521" i="8"/>
  <c r="H521" i="8"/>
  <c r="G521" i="8"/>
  <c r="F521" i="8"/>
  <c r="B521" i="8"/>
  <c r="Q520" i="8"/>
  <c r="P520" i="8"/>
  <c r="J520" i="8"/>
  <c r="I520" i="8"/>
  <c r="H520" i="8"/>
  <c r="G520" i="8"/>
  <c r="F520" i="8"/>
  <c r="B520" i="8"/>
  <c r="Q519" i="8"/>
  <c r="P519" i="8"/>
  <c r="J519" i="8"/>
  <c r="I519" i="8"/>
  <c r="H519" i="8"/>
  <c r="G519" i="8"/>
  <c r="F519" i="8"/>
  <c r="B519" i="8"/>
  <c r="Q518" i="8"/>
  <c r="P518" i="8"/>
  <c r="J518" i="8"/>
  <c r="I518" i="8"/>
  <c r="H518" i="8"/>
  <c r="G518" i="8"/>
  <c r="F518" i="8"/>
  <c r="B518" i="8"/>
  <c r="Q517" i="8"/>
  <c r="P517" i="8"/>
  <c r="J517" i="8"/>
  <c r="I517" i="8"/>
  <c r="H517" i="8"/>
  <c r="G517" i="8"/>
  <c r="F517" i="8"/>
  <c r="B517" i="8"/>
  <c r="Q516" i="8"/>
  <c r="P516" i="8"/>
  <c r="J516" i="8"/>
  <c r="I516" i="8"/>
  <c r="H516" i="8"/>
  <c r="G516" i="8"/>
  <c r="F516" i="8"/>
  <c r="B516" i="8"/>
  <c r="Q515" i="8"/>
  <c r="P515" i="8"/>
  <c r="J515" i="8"/>
  <c r="I515" i="8"/>
  <c r="H515" i="8"/>
  <c r="G515" i="8"/>
  <c r="F515" i="8"/>
  <c r="B515" i="8"/>
  <c r="Q514" i="8"/>
  <c r="P514" i="8"/>
  <c r="J514" i="8"/>
  <c r="I514" i="8"/>
  <c r="H514" i="8"/>
  <c r="G514" i="8"/>
  <c r="F514" i="8"/>
  <c r="B514" i="8"/>
  <c r="Q513" i="8"/>
  <c r="P513" i="8"/>
  <c r="J513" i="8"/>
  <c r="I513" i="8"/>
  <c r="H513" i="8"/>
  <c r="G513" i="8"/>
  <c r="F513" i="8"/>
  <c r="B513" i="8"/>
  <c r="Q512" i="8"/>
  <c r="P512" i="8"/>
  <c r="J512" i="8"/>
  <c r="I512" i="8"/>
  <c r="H512" i="8"/>
  <c r="G512" i="8"/>
  <c r="F512" i="8"/>
  <c r="B512" i="8"/>
  <c r="Q511" i="8"/>
  <c r="P511" i="8"/>
  <c r="J511" i="8"/>
  <c r="I511" i="8"/>
  <c r="H511" i="8"/>
  <c r="G511" i="8"/>
  <c r="F511" i="8"/>
  <c r="B511" i="8"/>
  <c r="Q510" i="8"/>
  <c r="P510" i="8"/>
  <c r="J510" i="8"/>
  <c r="I510" i="8"/>
  <c r="H510" i="8"/>
  <c r="G510" i="8"/>
  <c r="F510" i="8"/>
  <c r="B510" i="8"/>
  <c r="Q509" i="8"/>
  <c r="P509" i="8"/>
  <c r="J509" i="8"/>
  <c r="I509" i="8"/>
  <c r="H509" i="8"/>
  <c r="G509" i="8"/>
  <c r="F509" i="8"/>
  <c r="B509" i="8"/>
  <c r="Q508" i="8"/>
  <c r="P508" i="8"/>
  <c r="J508" i="8"/>
  <c r="I508" i="8"/>
  <c r="H508" i="8"/>
  <c r="G508" i="8"/>
  <c r="F508" i="8"/>
  <c r="B508" i="8"/>
  <c r="Q507" i="8"/>
  <c r="P507" i="8"/>
  <c r="J507" i="8"/>
  <c r="I507" i="8"/>
  <c r="H507" i="8"/>
  <c r="G507" i="8"/>
  <c r="F507" i="8"/>
  <c r="B507" i="8"/>
  <c r="Q506" i="8"/>
  <c r="P506" i="8"/>
  <c r="J506" i="8"/>
  <c r="I506" i="8"/>
  <c r="H506" i="8"/>
  <c r="G506" i="8"/>
  <c r="F506" i="8"/>
  <c r="B506" i="8"/>
  <c r="Q505" i="8"/>
  <c r="P505" i="8"/>
  <c r="J505" i="8"/>
  <c r="I505" i="8"/>
  <c r="H505" i="8"/>
  <c r="G505" i="8"/>
  <c r="F505" i="8"/>
  <c r="B505" i="8"/>
  <c r="Q504" i="8"/>
  <c r="P504" i="8"/>
  <c r="J504" i="8"/>
  <c r="I504" i="8"/>
  <c r="H504" i="8"/>
  <c r="G504" i="8"/>
  <c r="F504" i="8"/>
  <c r="B504" i="8"/>
  <c r="Q503" i="8"/>
  <c r="P503" i="8"/>
  <c r="J503" i="8"/>
  <c r="I503" i="8"/>
  <c r="H503" i="8"/>
  <c r="G503" i="8"/>
  <c r="F503" i="8"/>
  <c r="B503" i="8"/>
  <c r="Q502" i="8"/>
  <c r="P502" i="8"/>
  <c r="J502" i="8"/>
  <c r="I502" i="8"/>
  <c r="H502" i="8"/>
  <c r="G502" i="8"/>
  <c r="F502" i="8"/>
  <c r="B502" i="8"/>
  <c r="Q501" i="8"/>
  <c r="P501" i="8"/>
  <c r="J501" i="8"/>
  <c r="I501" i="8"/>
  <c r="H501" i="8"/>
  <c r="G501" i="8"/>
  <c r="F501" i="8"/>
  <c r="B501" i="8"/>
  <c r="Q500" i="8"/>
  <c r="P500" i="8"/>
  <c r="J500" i="8"/>
  <c r="I500" i="8"/>
  <c r="H500" i="8"/>
  <c r="G500" i="8"/>
  <c r="F500" i="8"/>
  <c r="B500" i="8"/>
  <c r="Q499" i="8"/>
  <c r="P499" i="8"/>
  <c r="J499" i="8"/>
  <c r="I499" i="8"/>
  <c r="H499" i="8"/>
  <c r="G499" i="8"/>
  <c r="F499" i="8"/>
  <c r="B499" i="8"/>
  <c r="Q498" i="8"/>
  <c r="P498" i="8"/>
  <c r="J498" i="8"/>
  <c r="I498" i="8"/>
  <c r="H498" i="8"/>
  <c r="G498" i="8"/>
  <c r="F498" i="8"/>
  <c r="B498" i="8"/>
  <c r="Q497" i="8"/>
  <c r="P497" i="8"/>
  <c r="J497" i="8"/>
  <c r="I497" i="8"/>
  <c r="H497" i="8"/>
  <c r="G497" i="8"/>
  <c r="F497" i="8"/>
  <c r="B497" i="8"/>
  <c r="Q496" i="8"/>
  <c r="P496" i="8"/>
  <c r="J496" i="8"/>
  <c r="I496" i="8"/>
  <c r="H496" i="8"/>
  <c r="G496" i="8"/>
  <c r="F496" i="8"/>
  <c r="B496" i="8"/>
  <c r="Q495" i="8"/>
  <c r="P495" i="8"/>
  <c r="J495" i="8"/>
  <c r="I495" i="8"/>
  <c r="H495" i="8"/>
  <c r="G495" i="8"/>
  <c r="F495" i="8"/>
  <c r="B495" i="8"/>
  <c r="Q494" i="8"/>
  <c r="P494" i="8"/>
  <c r="J494" i="8"/>
  <c r="I494" i="8"/>
  <c r="H494" i="8"/>
  <c r="G494" i="8"/>
  <c r="F494" i="8"/>
  <c r="B494" i="8"/>
  <c r="Q493" i="8"/>
  <c r="P493" i="8"/>
  <c r="J493" i="8"/>
  <c r="I493" i="8"/>
  <c r="H493" i="8"/>
  <c r="G493" i="8"/>
  <c r="F493" i="8"/>
  <c r="B493" i="8"/>
  <c r="Q492" i="8"/>
  <c r="P492" i="8"/>
  <c r="J492" i="8"/>
  <c r="I492" i="8"/>
  <c r="H492" i="8"/>
  <c r="G492" i="8"/>
  <c r="F492" i="8"/>
  <c r="B492" i="8"/>
  <c r="Q491" i="8"/>
  <c r="P491" i="8"/>
  <c r="J491" i="8"/>
  <c r="I491" i="8"/>
  <c r="H491" i="8"/>
  <c r="G491" i="8"/>
  <c r="F491" i="8"/>
  <c r="B491" i="8"/>
  <c r="Q490" i="8"/>
  <c r="P490" i="8"/>
  <c r="J490" i="8"/>
  <c r="I490" i="8"/>
  <c r="H490" i="8"/>
  <c r="G490" i="8"/>
  <c r="F490" i="8"/>
  <c r="B490" i="8"/>
  <c r="Q489" i="8"/>
  <c r="P489" i="8"/>
  <c r="J489" i="8"/>
  <c r="I489" i="8"/>
  <c r="H489" i="8"/>
  <c r="G489" i="8"/>
  <c r="F489" i="8"/>
  <c r="B489" i="8"/>
  <c r="Q488" i="8"/>
  <c r="P488" i="8"/>
  <c r="J488" i="8"/>
  <c r="I488" i="8"/>
  <c r="H488" i="8"/>
  <c r="G488" i="8"/>
  <c r="F488" i="8"/>
  <c r="B488" i="8"/>
  <c r="Q487" i="8"/>
  <c r="P487" i="8"/>
  <c r="J487" i="8"/>
  <c r="I487" i="8"/>
  <c r="H487" i="8"/>
  <c r="G487" i="8"/>
  <c r="F487" i="8"/>
  <c r="B487" i="8"/>
  <c r="Q486" i="8"/>
  <c r="P486" i="8"/>
  <c r="J486" i="8"/>
  <c r="I486" i="8"/>
  <c r="H486" i="8"/>
  <c r="G486" i="8"/>
  <c r="F486" i="8"/>
  <c r="B486" i="8"/>
  <c r="Q485" i="8"/>
  <c r="P485" i="8"/>
  <c r="J485" i="8"/>
  <c r="I485" i="8"/>
  <c r="H485" i="8"/>
  <c r="G485" i="8"/>
  <c r="F485" i="8"/>
  <c r="B485" i="8"/>
  <c r="Q484" i="8"/>
  <c r="P484" i="8"/>
  <c r="J484" i="8"/>
  <c r="I484" i="8"/>
  <c r="H484" i="8"/>
  <c r="G484" i="8"/>
  <c r="F484" i="8"/>
  <c r="B484" i="8"/>
  <c r="Q483" i="8"/>
  <c r="P483" i="8"/>
  <c r="J483" i="8"/>
  <c r="I483" i="8"/>
  <c r="H483" i="8"/>
  <c r="G483" i="8"/>
  <c r="F483" i="8"/>
  <c r="B483" i="8"/>
  <c r="Q482" i="8"/>
  <c r="P482" i="8"/>
  <c r="J482" i="8"/>
  <c r="I482" i="8"/>
  <c r="H482" i="8"/>
  <c r="G482" i="8"/>
  <c r="F482" i="8"/>
  <c r="B482" i="8"/>
  <c r="Q481" i="8"/>
  <c r="P481" i="8"/>
  <c r="J481" i="8"/>
  <c r="I481" i="8"/>
  <c r="H481" i="8"/>
  <c r="G481" i="8"/>
  <c r="F481" i="8"/>
  <c r="B481" i="8"/>
  <c r="Q480" i="8"/>
  <c r="P480" i="8"/>
  <c r="J480" i="8"/>
  <c r="I480" i="8"/>
  <c r="H480" i="8"/>
  <c r="G480" i="8"/>
  <c r="F480" i="8"/>
  <c r="B480" i="8"/>
  <c r="Q479" i="8"/>
  <c r="P479" i="8"/>
  <c r="J479" i="8"/>
  <c r="I479" i="8"/>
  <c r="H479" i="8"/>
  <c r="G479" i="8"/>
  <c r="F479" i="8"/>
  <c r="B479" i="8"/>
  <c r="Q478" i="8"/>
  <c r="P478" i="8"/>
  <c r="J478" i="8"/>
  <c r="I478" i="8"/>
  <c r="H478" i="8"/>
  <c r="G478" i="8"/>
  <c r="F478" i="8"/>
  <c r="B478" i="8"/>
  <c r="Q477" i="8"/>
  <c r="P477" i="8"/>
  <c r="J477" i="8"/>
  <c r="I477" i="8"/>
  <c r="H477" i="8"/>
  <c r="G477" i="8"/>
  <c r="F477" i="8"/>
  <c r="B477" i="8"/>
  <c r="Q476" i="8"/>
  <c r="P476" i="8"/>
  <c r="J476" i="8"/>
  <c r="I476" i="8"/>
  <c r="H476" i="8"/>
  <c r="G476" i="8"/>
  <c r="F476" i="8"/>
  <c r="B476" i="8"/>
  <c r="Q475" i="8"/>
  <c r="P475" i="8"/>
  <c r="J475" i="8"/>
  <c r="I475" i="8"/>
  <c r="H475" i="8"/>
  <c r="G475" i="8"/>
  <c r="F475" i="8"/>
  <c r="B475" i="8"/>
  <c r="Q474" i="8"/>
  <c r="P474" i="8"/>
  <c r="J474" i="8"/>
  <c r="I474" i="8"/>
  <c r="H474" i="8"/>
  <c r="G474" i="8"/>
  <c r="F474" i="8"/>
  <c r="B474" i="8"/>
  <c r="Q473" i="8"/>
  <c r="P473" i="8"/>
  <c r="J473" i="8"/>
  <c r="I473" i="8"/>
  <c r="H473" i="8"/>
  <c r="G473" i="8"/>
  <c r="F473" i="8"/>
  <c r="B473" i="8"/>
  <c r="Q472" i="8"/>
  <c r="P472" i="8"/>
  <c r="J472" i="8"/>
  <c r="I472" i="8"/>
  <c r="H472" i="8"/>
  <c r="G472" i="8"/>
  <c r="F472" i="8"/>
  <c r="B472" i="8"/>
  <c r="Q471" i="8"/>
  <c r="P471" i="8"/>
  <c r="J471" i="8"/>
  <c r="I471" i="8"/>
  <c r="H471" i="8"/>
  <c r="G471" i="8"/>
  <c r="F471" i="8"/>
  <c r="B471" i="8"/>
  <c r="Q470" i="8"/>
  <c r="P470" i="8"/>
  <c r="J470" i="8"/>
  <c r="I470" i="8"/>
  <c r="H470" i="8"/>
  <c r="G470" i="8"/>
  <c r="F470" i="8"/>
  <c r="B470" i="8"/>
  <c r="Q469" i="8"/>
  <c r="P469" i="8"/>
  <c r="J469" i="8"/>
  <c r="I469" i="8"/>
  <c r="H469" i="8"/>
  <c r="G469" i="8"/>
  <c r="F469" i="8"/>
  <c r="B469" i="8"/>
  <c r="Q468" i="8"/>
  <c r="P468" i="8"/>
  <c r="J468" i="8"/>
  <c r="I468" i="8"/>
  <c r="H468" i="8"/>
  <c r="G468" i="8"/>
  <c r="F468" i="8"/>
  <c r="B468" i="8"/>
  <c r="Q467" i="8"/>
  <c r="P467" i="8"/>
  <c r="J467" i="8"/>
  <c r="I467" i="8"/>
  <c r="H467" i="8"/>
  <c r="G467" i="8"/>
  <c r="F467" i="8"/>
  <c r="B467" i="8"/>
  <c r="Q466" i="8"/>
  <c r="P466" i="8"/>
  <c r="J466" i="8"/>
  <c r="I466" i="8"/>
  <c r="H466" i="8"/>
  <c r="G466" i="8"/>
  <c r="F466" i="8"/>
  <c r="B466" i="8"/>
  <c r="Q465" i="8"/>
  <c r="P465" i="8"/>
  <c r="J465" i="8"/>
  <c r="I465" i="8"/>
  <c r="H465" i="8"/>
  <c r="G465" i="8"/>
  <c r="F465" i="8"/>
  <c r="B465" i="8"/>
  <c r="Q464" i="8"/>
  <c r="P464" i="8"/>
  <c r="J464" i="8"/>
  <c r="I464" i="8"/>
  <c r="H464" i="8"/>
  <c r="G464" i="8"/>
  <c r="F464" i="8"/>
  <c r="B464" i="8"/>
  <c r="Q463" i="8"/>
  <c r="P463" i="8"/>
  <c r="J463" i="8"/>
  <c r="I463" i="8"/>
  <c r="H463" i="8"/>
  <c r="G463" i="8"/>
  <c r="F463" i="8"/>
  <c r="B463" i="8"/>
  <c r="Q462" i="8"/>
  <c r="P462" i="8"/>
  <c r="J462" i="8"/>
  <c r="I462" i="8"/>
  <c r="H462" i="8"/>
  <c r="G462" i="8"/>
  <c r="F462" i="8"/>
  <c r="B462" i="8"/>
  <c r="Q461" i="8"/>
  <c r="P461" i="8"/>
  <c r="J461" i="8"/>
  <c r="I461" i="8"/>
  <c r="H461" i="8"/>
  <c r="G461" i="8"/>
  <c r="F461" i="8"/>
  <c r="B461" i="8"/>
  <c r="Q460" i="8"/>
  <c r="P460" i="8"/>
  <c r="J460" i="8"/>
  <c r="I460" i="8"/>
  <c r="H460" i="8"/>
  <c r="G460" i="8"/>
  <c r="F460" i="8"/>
  <c r="B460" i="8"/>
  <c r="Q459" i="8"/>
  <c r="P459" i="8"/>
  <c r="J459" i="8"/>
  <c r="I459" i="8"/>
  <c r="H459" i="8"/>
  <c r="G459" i="8"/>
  <c r="F459" i="8"/>
  <c r="B459" i="8"/>
  <c r="Q458" i="8"/>
  <c r="P458" i="8"/>
  <c r="J458" i="8"/>
  <c r="I458" i="8"/>
  <c r="H458" i="8"/>
  <c r="G458" i="8"/>
  <c r="F458" i="8"/>
  <c r="B458" i="8"/>
  <c r="Q457" i="8"/>
  <c r="P457" i="8"/>
  <c r="J457" i="8"/>
  <c r="I457" i="8"/>
  <c r="H457" i="8"/>
  <c r="G457" i="8"/>
  <c r="F457" i="8"/>
  <c r="B457" i="8"/>
  <c r="Q456" i="8"/>
  <c r="P456" i="8"/>
  <c r="J456" i="8"/>
  <c r="I456" i="8"/>
  <c r="H456" i="8"/>
  <c r="G456" i="8"/>
  <c r="F456" i="8"/>
  <c r="B456" i="8"/>
  <c r="Q455" i="8"/>
  <c r="P455" i="8"/>
  <c r="J455" i="8"/>
  <c r="I455" i="8"/>
  <c r="H455" i="8"/>
  <c r="G455" i="8"/>
  <c r="F455" i="8"/>
  <c r="B455" i="8"/>
  <c r="Q454" i="8"/>
  <c r="P454" i="8"/>
  <c r="J454" i="8"/>
  <c r="I454" i="8"/>
  <c r="H454" i="8"/>
  <c r="G454" i="8"/>
  <c r="F454" i="8"/>
  <c r="B454" i="8"/>
  <c r="Q453" i="8"/>
  <c r="P453" i="8"/>
  <c r="J453" i="8"/>
  <c r="I453" i="8"/>
  <c r="H453" i="8"/>
  <c r="G453" i="8"/>
  <c r="F453" i="8"/>
  <c r="B453" i="8"/>
  <c r="Q452" i="8"/>
  <c r="P452" i="8"/>
  <c r="J452" i="8"/>
  <c r="I452" i="8"/>
  <c r="H452" i="8"/>
  <c r="G452" i="8"/>
  <c r="F452" i="8"/>
  <c r="B452" i="8"/>
  <c r="Q451" i="8"/>
  <c r="P451" i="8"/>
  <c r="J451" i="8"/>
  <c r="I451" i="8"/>
  <c r="H451" i="8"/>
  <c r="G451" i="8"/>
  <c r="F451" i="8"/>
  <c r="B451" i="8"/>
  <c r="Q450" i="8"/>
  <c r="P450" i="8"/>
  <c r="J450" i="8"/>
  <c r="I450" i="8"/>
  <c r="H450" i="8"/>
  <c r="G450" i="8"/>
  <c r="F450" i="8"/>
  <c r="B450" i="8"/>
  <c r="Q449" i="8"/>
  <c r="P449" i="8"/>
  <c r="J449" i="8"/>
  <c r="I449" i="8"/>
  <c r="H449" i="8"/>
  <c r="G449" i="8"/>
  <c r="F449" i="8"/>
  <c r="B449" i="8"/>
  <c r="Q448" i="8"/>
  <c r="P448" i="8"/>
  <c r="J448" i="8"/>
  <c r="I448" i="8"/>
  <c r="H448" i="8"/>
  <c r="G448" i="8"/>
  <c r="F448" i="8"/>
  <c r="B448" i="8"/>
  <c r="Q447" i="8"/>
  <c r="P447" i="8"/>
  <c r="J447" i="8"/>
  <c r="I447" i="8"/>
  <c r="H447" i="8"/>
  <c r="G447" i="8"/>
  <c r="F447" i="8"/>
  <c r="B447" i="8"/>
  <c r="Q446" i="8"/>
  <c r="P446" i="8"/>
  <c r="J446" i="8"/>
  <c r="I446" i="8"/>
  <c r="H446" i="8"/>
  <c r="G446" i="8"/>
  <c r="F446" i="8"/>
  <c r="B446" i="8"/>
  <c r="Q445" i="8"/>
  <c r="P445" i="8"/>
  <c r="J445" i="8"/>
  <c r="I445" i="8"/>
  <c r="H445" i="8"/>
  <c r="G445" i="8"/>
  <c r="F445" i="8"/>
  <c r="B445" i="8"/>
  <c r="Q444" i="8"/>
  <c r="P444" i="8"/>
  <c r="J444" i="8"/>
  <c r="I444" i="8"/>
  <c r="H444" i="8"/>
  <c r="G444" i="8"/>
  <c r="F444" i="8"/>
  <c r="B444" i="8"/>
  <c r="Q443" i="8"/>
  <c r="P443" i="8"/>
  <c r="J443" i="8"/>
  <c r="I443" i="8"/>
  <c r="H443" i="8"/>
  <c r="G443" i="8"/>
  <c r="F443" i="8"/>
  <c r="B443" i="8"/>
  <c r="Q442" i="8"/>
  <c r="P442" i="8"/>
  <c r="J442" i="8"/>
  <c r="I442" i="8"/>
  <c r="H442" i="8"/>
  <c r="G442" i="8"/>
  <c r="F442" i="8"/>
  <c r="B442" i="8"/>
  <c r="Q441" i="8"/>
  <c r="P441" i="8"/>
  <c r="J441" i="8"/>
  <c r="I441" i="8"/>
  <c r="H441" i="8"/>
  <c r="G441" i="8"/>
  <c r="F441" i="8"/>
  <c r="B441" i="8"/>
  <c r="Q440" i="8"/>
  <c r="P440" i="8"/>
  <c r="J440" i="8"/>
  <c r="I440" i="8"/>
  <c r="H440" i="8"/>
  <c r="G440" i="8"/>
  <c r="F440" i="8"/>
  <c r="B440" i="8"/>
  <c r="Q439" i="8"/>
  <c r="P439" i="8"/>
  <c r="J439" i="8"/>
  <c r="I439" i="8"/>
  <c r="H439" i="8"/>
  <c r="G439" i="8"/>
  <c r="F439" i="8"/>
  <c r="B439" i="8"/>
  <c r="Q438" i="8"/>
  <c r="P438" i="8"/>
  <c r="J438" i="8"/>
  <c r="I438" i="8"/>
  <c r="H438" i="8"/>
  <c r="G438" i="8"/>
  <c r="F438" i="8"/>
  <c r="B438" i="8"/>
  <c r="Q437" i="8"/>
  <c r="P437" i="8"/>
  <c r="J437" i="8"/>
  <c r="I437" i="8"/>
  <c r="H437" i="8"/>
  <c r="G437" i="8"/>
  <c r="F437" i="8"/>
  <c r="B437" i="8"/>
  <c r="Q436" i="8"/>
  <c r="P436" i="8"/>
  <c r="J436" i="8"/>
  <c r="I436" i="8"/>
  <c r="H436" i="8"/>
  <c r="G436" i="8"/>
  <c r="F436" i="8"/>
  <c r="B436" i="8"/>
  <c r="Q435" i="8"/>
  <c r="P435" i="8"/>
  <c r="J435" i="8"/>
  <c r="I435" i="8"/>
  <c r="H435" i="8"/>
  <c r="G435" i="8"/>
  <c r="F435" i="8"/>
  <c r="B435" i="8"/>
  <c r="Q434" i="8"/>
  <c r="P434" i="8"/>
  <c r="J434" i="8"/>
  <c r="I434" i="8"/>
  <c r="H434" i="8"/>
  <c r="G434" i="8"/>
  <c r="F434" i="8"/>
  <c r="B434" i="8"/>
  <c r="Q433" i="8"/>
  <c r="P433" i="8"/>
  <c r="J433" i="8"/>
  <c r="I433" i="8"/>
  <c r="H433" i="8"/>
  <c r="G433" i="8"/>
  <c r="F433" i="8"/>
  <c r="B433" i="8"/>
  <c r="Q432" i="8"/>
  <c r="P432" i="8"/>
  <c r="J432" i="8"/>
  <c r="I432" i="8"/>
  <c r="H432" i="8"/>
  <c r="G432" i="8"/>
  <c r="F432" i="8"/>
  <c r="B432" i="8"/>
  <c r="Q431" i="8"/>
  <c r="P431" i="8"/>
  <c r="J431" i="8"/>
  <c r="I431" i="8"/>
  <c r="H431" i="8"/>
  <c r="G431" i="8"/>
  <c r="F431" i="8"/>
  <c r="B431" i="8"/>
  <c r="Q430" i="8"/>
  <c r="P430" i="8"/>
  <c r="J430" i="8"/>
  <c r="I430" i="8"/>
  <c r="H430" i="8"/>
  <c r="G430" i="8"/>
  <c r="F430" i="8"/>
  <c r="B430" i="8"/>
  <c r="Q429" i="8"/>
  <c r="P429" i="8"/>
  <c r="J429" i="8"/>
  <c r="I429" i="8"/>
  <c r="H429" i="8"/>
  <c r="G429" i="8"/>
  <c r="F429" i="8"/>
  <c r="B429" i="8"/>
  <c r="Q428" i="8"/>
  <c r="P428" i="8"/>
  <c r="J428" i="8"/>
  <c r="I428" i="8"/>
  <c r="H428" i="8"/>
  <c r="G428" i="8"/>
  <c r="F428" i="8"/>
  <c r="B428" i="8"/>
  <c r="Q427" i="8"/>
  <c r="P427" i="8"/>
  <c r="J427" i="8"/>
  <c r="I427" i="8"/>
  <c r="H427" i="8"/>
  <c r="G427" i="8"/>
  <c r="F427" i="8"/>
  <c r="B427" i="8"/>
  <c r="Q426" i="8"/>
  <c r="P426" i="8"/>
  <c r="J426" i="8"/>
  <c r="I426" i="8"/>
  <c r="H426" i="8"/>
  <c r="G426" i="8"/>
  <c r="F426" i="8"/>
  <c r="B426" i="8"/>
  <c r="Q425" i="8"/>
  <c r="P425" i="8"/>
  <c r="J425" i="8"/>
  <c r="I425" i="8"/>
  <c r="H425" i="8"/>
  <c r="G425" i="8"/>
  <c r="F425" i="8"/>
  <c r="B425" i="8"/>
  <c r="Q424" i="8"/>
  <c r="P424" i="8"/>
  <c r="J424" i="8"/>
  <c r="I424" i="8"/>
  <c r="H424" i="8"/>
  <c r="G424" i="8"/>
  <c r="F424" i="8"/>
  <c r="B424" i="8"/>
  <c r="Q423" i="8"/>
  <c r="P423" i="8"/>
  <c r="J423" i="8"/>
  <c r="I423" i="8"/>
  <c r="H423" i="8"/>
  <c r="G423" i="8"/>
  <c r="F423" i="8"/>
  <c r="B423" i="8"/>
  <c r="Q422" i="8"/>
  <c r="P422" i="8"/>
  <c r="J422" i="8"/>
  <c r="I422" i="8"/>
  <c r="H422" i="8"/>
  <c r="G422" i="8"/>
  <c r="F422" i="8"/>
  <c r="B422" i="8"/>
  <c r="Q421" i="8"/>
  <c r="P421" i="8"/>
  <c r="J421" i="8"/>
  <c r="I421" i="8"/>
  <c r="H421" i="8"/>
  <c r="G421" i="8"/>
  <c r="F421" i="8"/>
  <c r="B421" i="8"/>
  <c r="Q420" i="8"/>
  <c r="P420" i="8"/>
  <c r="J420" i="8"/>
  <c r="I420" i="8"/>
  <c r="H420" i="8"/>
  <c r="G420" i="8"/>
  <c r="F420" i="8"/>
  <c r="B420" i="8"/>
  <c r="Q419" i="8"/>
  <c r="P419" i="8"/>
  <c r="J419" i="8"/>
  <c r="I419" i="8"/>
  <c r="H419" i="8"/>
  <c r="G419" i="8"/>
  <c r="F419" i="8"/>
  <c r="B419" i="8"/>
  <c r="Q418" i="8"/>
  <c r="P418" i="8"/>
  <c r="J418" i="8"/>
  <c r="I418" i="8"/>
  <c r="H418" i="8"/>
  <c r="G418" i="8"/>
  <c r="F418" i="8"/>
  <c r="B418" i="8"/>
  <c r="Q417" i="8"/>
  <c r="P417" i="8"/>
  <c r="J417" i="8"/>
  <c r="I417" i="8"/>
  <c r="H417" i="8"/>
  <c r="G417" i="8"/>
  <c r="F417" i="8"/>
  <c r="B417" i="8"/>
  <c r="Q416" i="8"/>
  <c r="P416" i="8"/>
  <c r="J416" i="8"/>
  <c r="I416" i="8"/>
  <c r="H416" i="8"/>
  <c r="G416" i="8"/>
  <c r="F416" i="8"/>
  <c r="B416" i="8"/>
  <c r="Q415" i="8"/>
  <c r="P415" i="8"/>
  <c r="J415" i="8"/>
  <c r="I415" i="8"/>
  <c r="H415" i="8"/>
  <c r="G415" i="8"/>
  <c r="F415" i="8"/>
  <c r="B415" i="8"/>
  <c r="Q414" i="8"/>
  <c r="P414" i="8"/>
  <c r="J414" i="8"/>
  <c r="I414" i="8"/>
  <c r="H414" i="8"/>
  <c r="G414" i="8"/>
  <c r="F414" i="8"/>
  <c r="B414" i="8"/>
  <c r="Q413" i="8"/>
  <c r="P413" i="8"/>
  <c r="J413" i="8"/>
  <c r="I413" i="8"/>
  <c r="H413" i="8"/>
  <c r="G413" i="8"/>
  <c r="F413" i="8"/>
  <c r="B413" i="8"/>
  <c r="Q412" i="8"/>
  <c r="P412" i="8"/>
  <c r="J412" i="8"/>
  <c r="I412" i="8"/>
  <c r="H412" i="8"/>
  <c r="G412" i="8"/>
  <c r="F412" i="8"/>
  <c r="B412" i="8"/>
  <c r="Q411" i="8"/>
  <c r="P411" i="8"/>
  <c r="J411" i="8"/>
  <c r="I411" i="8"/>
  <c r="H411" i="8"/>
  <c r="G411" i="8"/>
  <c r="F411" i="8"/>
  <c r="B411" i="8"/>
  <c r="Q410" i="8"/>
  <c r="P410" i="8"/>
  <c r="J410" i="8"/>
  <c r="I410" i="8"/>
  <c r="H410" i="8"/>
  <c r="G410" i="8"/>
  <c r="F410" i="8"/>
  <c r="B410" i="8"/>
  <c r="Q409" i="8"/>
  <c r="P409" i="8"/>
  <c r="J409" i="8"/>
  <c r="I409" i="8"/>
  <c r="H409" i="8"/>
  <c r="G409" i="8"/>
  <c r="F409" i="8"/>
  <c r="B409" i="8"/>
  <c r="Q408" i="8"/>
  <c r="P408" i="8"/>
  <c r="J408" i="8"/>
  <c r="I408" i="8"/>
  <c r="H408" i="8"/>
  <c r="G408" i="8"/>
  <c r="F408" i="8"/>
  <c r="B408" i="8"/>
  <c r="Q407" i="8"/>
  <c r="P407" i="8"/>
  <c r="J407" i="8"/>
  <c r="I407" i="8"/>
  <c r="H407" i="8"/>
  <c r="G407" i="8"/>
  <c r="F407" i="8"/>
  <c r="B407" i="8"/>
  <c r="Q406" i="8"/>
  <c r="P406" i="8"/>
  <c r="J406" i="8"/>
  <c r="I406" i="8"/>
  <c r="H406" i="8"/>
  <c r="G406" i="8"/>
  <c r="F406" i="8"/>
  <c r="B406" i="8"/>
  <c r="Q405" i="8"/>
  <c r="P405" i="8"/>
  <c r="J405" i="8"/>
  <c r="I405" i="8"/>
  <c r="H405" i="8"/>
  <c r="G405" i="8"/>
  <c r="F405" i="8"/>
  <c r="B405" i="8"/>
  <c r="Q404" i="8"/>
  <c r="P404" i="8"/>
  <c r="J404" i="8"/>
  <c r="I404" i="8"/>
  <c r="H404" i="8"/>
  <c r="G404" i="8"/>
  <c r="F404" i="8"/>
  <c r="B404" i="8"/>
  <c r="Q403" i="8"/>
  <c r="P403" i="8"/>
  <c r="J403" i="8"/>
  <c r="I403" i="8"/>
  <c r="H403" i="8"/>
  <c r="G403" i="8"/>
  <c r="F403" i="8"/>
  <c r="B403" i="8"/>
  <c r="Q402" i="8"/>
  <c r="P402" i="8"/>
  <c r="J402" i="8"/>
  <c r="I402" i="8"/>
  <c r="H402" i="8"/>
  <c r="G402" i="8"/>
  <c r="F402" i="8"/>
  <c r="B402" i="8"/>
  <c r="Q401" i="8"/>
  <c r="P401" i="8"/>
  <c r="J401" i="8"/>
  <c r="I401" i="8"/>
  <c r="H401" i="8"/>
  <c r="G401" i="8"/>
  <c r="F401" i="8"/>
  <c r="B401" i="8"/>
  <c r="Q400" i="8"/>
  <c r="P400" i="8"/>
  <c r="J400" i="8"/>
  <c r="I400" i="8"/>
  <c r="H400" i="8"/>
  <c r="G400" i="8"/>
  <c r="F400" i="8"/>
  <c r="B400" i="8"/>
  <c r="Q399" i="8"/>
  <c r="P399" i="8"/>
  <c r="J399" i="8"/>
  <c r="I399" i="8"/>
  <c r="H399" i="8"/>
  <c r="G399" i="8"/>
  <c r="F399" i="8"/>
  <c r="B399" i="8"/>
  <c r="Q398" i="8"/>
  <c r="P398" i="8"/>
  <c r="J398" i="8"/>
  <c r="I398" i="8"/>
  <c r="H398" i="8"/>
  <c r="G398" i="8"/>
  <c r="F398" i="8"/>
  <c r="B398" i="8"/>
  <c r="Q397" i="8"/>
  <c r="P397" i="8"/>
  <c r="J397" i="8"/>
  <c r="I397" i="8"/>
  <c r="H397" i="8"/>
  <c r="G397" i="8"/>
  <c r="F397" i="8"/>
  <c r="B397" i="8"/>
  <c r="Q396" i="8"/>
  <c r="P396" i="8"/>
  <c r="J396" i="8"/>
  <c r="I396" i="8"/>
  <c r="H396" i="8"/>
  <c r="G396" i="8"/>
  <c r="F396" i="8"/>
  <c r="B396" i="8"/>
  <c r="Q395" i="8"/>
  <c r="P395" i="8"/>
  <c r="J395" i="8"/>
  <c r="I395" i="8"/>
  <c r="H395" i="8"/>
  <c r="G395" i="8"/>
  <c r="F395" i="8"/>
  <c r="B395" i="8"/>
  <c r="Q394" i="8"/>
  <c r="P394" i="8"/>
  <c r="J394" i="8"/>
  <c r="I394" i="8"/>
  <c r="H394" i="8"/>
  <c r="G394" i="8"/>
  <c r="F394" i="8"/>
  <c r="B394" i="8"/>
  <c r="Q393" i="8"/>
  <c r="P393" i="8"/>
  <c r="J393" i="8"/>
  <c r="I393" i="8"/>
  <c r="H393" i="8"/>
  <c r="G393" i="8"/>
  <c r="F393" i="8"/>
  <c r="B393" i="8"/>
  <c r="Q392" i="8"/>
  <c r="P392" i="8"/>
  <c r="J392" i="8"/>
  <c r="I392" i="8"/>
  <c r="H392" i="8"/>
  <c r="G392" i="8"/>
  <c r="F392" i="8"/>
  <c r="B392" i="8"/>
  <c r="Q391" i="8"/>
  <c r="P391" i="8"/>
  <c r="J391" i="8"/>
  <c r="I391" i="8"/>
  <c r="H391" i="8"/>
  <c r="G391" i="8"/>
  <c r="F391" i="8"/>
  <c r="B391" i="8"/>
  <c r="Q390" i="8"/>
  <c r="P390" i="8"/>
  <c r="J390" i="8"/>
  <c r="I390" i="8"/>
  <c r="H390" i="8"/>
  <c r="G390" i="8"/>
  <c r="F390" i="8"/>
  <c r="B390" i="8"/>
  <c r="Q389" i="8"/>
  <c r="P389" i="8"/>
  <c r="J389" i="8"/>
  <c r="I389" i="8"/>
  <c r="H389" i="8"/>
  <c r="G389" i="8"/>
  <c r="F389" i="8"/>
  <c r="B389" i="8"/>
  <c r="Q388" i="8"/>
  <c r="P388" i="8"/>
  <c r="J388" i="8"/>
  <c r="I388" i="8"/>
  <c r="H388" i="8"/>
  <c r="G388" i="8"/>
  <c r="F388" i="8"/>
  <c r="B388" i="8"/>
  <c r="Q387" i="8"/>
  <c r="P387" i="8"/>
  <c r="J387" i="8"/>
  <c r="I387" i="8"/>
  <c r="H387" i="8"/>
  <c r="G387" i="8"/>
  <c r="F387" i="8"/>
  <c r="B387" i="8"/>
  <c r="Q386" i="8"/>
  <c r="P386" i="8"/>
  <c r="J386" i="8"/>
  <c r="I386" i="8"/>
  <c r="H386" i="8"/>
  <c r="G386" i="8"/>
  <c r="F386" i="8"/>
  <c r="B386" i="8"/>
  <c r="Q385" i="8"/>
  <c r="P385" i="8"/>
  <c r="J385" i="8"/>
  <c r="I385" i="8"/>
  <c r="H385" i="8"/>
  <c r="G385" i="8"/>
  <c r="F385" i="8"/>
  <c r="B385" i="8"/>
  <c r="Q384" i="8"/>
  <c r="P384" i="8"/>
  <c r="J384" i="8"/>
  <c r="I384" i="8"/>
  <c r="H384" i="8"/>
  <c r="G384" i="8"/>
  <c r="F384" i="8"/>
  <c r="B384" i="8"/>
  <c r="Q383" i="8"/>
  <c r="P383" i="8"/>
  <c r="J383" i="8"/>
  <c r="I383" i="8"/>
  <c r="H383" i="8"/>
  <c r="G383" i="8"/>
  <c r="F383" i="8"/>
  <c r="B383" i="8"/>
  <c r="Q382" i="8"/>
  <c r="P382" i="8"/>
  <c r="J382" i="8"/>
  <c r="I382" i="8"/>
  <c r="H382" i="8"/>
  <c r="G382" i="8"/>
  <c r="F382" i="8"/>
  <c r="B382" i="8"/>
  <c r="Q381" i="8"/>
  <c r="P381" i="8"/>
  <c r="J381" i="8"/>
  <c r="I381" i="8"/>
  <c r="H381" i="8"/>
  <c r="G381" i="8"/>
  <c r="F381" i="8"/>
  <c r="B381" i="8"/>
  <c r="Q380" i="8"/>
  <c r="P380" i="8"/>
  <c r="J380" i="8"/>
  <c r="I380" i="8"/>
  <c r="H380" i="8"/>
  <c r="G380" i="8"/>
  <c r="F380" i="8"/>
  <c r="B380" i="8"/>
  <c r="Q379" i="8"/>
  <c r="P379" i="8"/>
  <c r="J379" i="8"/>
  <c r="I379" i="8"/>
  <c r="H379" i="8"/>
  <c r="G379" i="8"/>
  <c r="F379" i="8"/>
  <c r="B379" i="8"/>
  <c r="Q378" i="8"/>
  <c r="P378" i="8"/>
  <c r="J378" i="8"/>
  <c r="I378" i="8"/>
  <c r="H378" i="8"/>
  <c r="G378" i="8"/>
  <c r="F378" i="8"/>
  <c r="B378" i="8"/>
  <c r="Q377" i="8"/>
  <c r="P377" i="8"/>
  <c r="J377" i="8"/>
  <c r="I377" i="8"/>
  <c r="H377" i="8"/>
  <c r="G377" i="8"/>
  <c r="F377" i="8"/>
  <c r="B377" i="8"/>
  <c r="Q376" i="8"/>
  <c r="P376" i="8"/>
  <c r="J376" i="8"/>
  <c r="I376" i="8"/>
  <c r="H376" i="8"/>
  <c r="G376" i="8"/>
  <c r="F376" i="8"/>
  <c r="B376" i="8"/>
  <c r="Q375" i="8"/>
  <c r="P375" i="8"/>
  <c r="J375" i="8"/>
  <c r="I375" i="8"/>
  <c r="H375" i="8"/>
  <c r="G375" i="8"/>
  <c r="F375" i="8"/>
  <c r="B375" i="8"/>
  <c r="Q374" i="8"/>
  <c r="P374" i="8"/>
  <c r="J374" i="8"/>
  <c r="I374" i="8"/>
  <c r="H374" i="8"/>
  <c r="G374" i="8"/>
  <c r="F374" i="8"/>
  <c r="B374" i="8"/>
  <c r="Q373" i="8"/>
  <c r="P373" i="8"/>
  <c r="J373" i="8"/>
  <c r="I373" i="8"/>
  <c r="H373" i="8"/>
  <c r="G373" i="8"/>
  <c r="F373" i="8"/>
  <c r="B373" i="8"/>
  <c r="Q372" i="8"/>
  <c r="P372" i="8"/>
  <c r="J372" i="8"/>
  <c r="I372" i="8"/>
  <c r="H372" i="8"/>
  <c r="G372" i="8"/>
  <c r="F372" i="8"/>
  <c r="B372" i="8"/>
  <c r="Q371" i="8"/>
  <c r="P371" i="8"/>
  <c r="J371" i="8"/>
  <c r="I371" i="8"/>
  <c r="H371" i="8"/>
  <c r="G371" i="8"/>
  <c r="F371" i="8"/>
  <c r="B371" i="8"/>
  <c r="Q370" i="8"/>
  <c r="P370" i="8"/>
  <c r="J370" i="8"/>
  <c r="I370" i="8"/>
  <c r="H370" i="8"/>
  <c r="G370" i="8"/>
  <c r="F370" i="8"/>
  <c r="B370" i="8"/>
  <c r="Q369" i="8"/>
  <c r="P369" i="8"/>
  <c r="J369" i="8"/>
  <c r="I369" i="8"/>
  <c r="H369" i="8"/>
  <c r="G369" i="8"/>
  <c r="F369" i="8"/>
  <c r="B369" i="8"/>
  <c r="Q368" i="8"/>
  <c r="P368" i="8"/>
  <c r="J368" i="8"/>
  <c r="I368" i="8"/>
  <c r="H368" i="8"/>
  <c r="G368" i="8"/>
  <c r="F368" i="8"/>
  <c r="B368" i="8"/>
  <c r="Q367" i="8"/>
  <c r="P367" i="8"/>
  <c r="J367" i="8"/>
  <c r="I367" i="8"/>
  <c r="H367" i="8"/>
  <c r="G367" i="8"/>
  <c r="F367" i="8"/>
  <c r="B367" i="8"/>
  <c r="Q366" i="8"/>
  <c r="P366" i="8"/>
  <c r="J366" i="8"/>
  <c r="I366" i="8"/>
  <c r="H366" i="8"/>
  <c r="G366" i="8"/>
  <c r="F366" i="8"/>
  <c r="B366" i="8"/>
  <c r="Q365" i="8"/>
  <c r="P365" i="8"/>
  <c r="J365" i="8"/>
  <c r="I365" i="8"/>
  <c r="H365" i="8"/>
  <c r="G365" i="8"/>
  <c r="F365" i="8"/>
  <c r="B365" i="8"/>
  <c r="Q364" i="8"/>
  <c r="P364" i="8"/>
  <c r="J364" i="8"/>
  <c r="I364" i="8"/>
  <c r="H364" i="8"/>
  <c r="G364" i="8"/>
  <c r="F364" i="8"/>
  <c r="B364" i="8"/>
  <c r="Q363" i="8"/>
  <c r="P363" i="8"/>
  <c r="J363" i="8"/>
  <c r="I363" i="8"/>
  <c r="H363" i="8"/>
  <c r="G363" i="8"/>
  <c r="F363" i="8"/>
  <c r="B363" i="8"/>
  <c r="Q362" i="8"/>
  <c r="P362" i="8"/>
  <c r="J362" i="8"/>
  <c r="I362" i="8"/>
  <c r="H362" i="8"/>
  <c r="G362" i="8"/>
  <c r="F362" i="8"/>
  <c r="B362" i="8"/>
  <c r="Q361" i="8"/>
  <c r="P361" i="8"/>
  <c r="J361" i="8"/>
  <c r="I361" i="8"/>
  <c r="H361" i="8"/>
  <c r="G361" i="8"/>
  <c r="F361" i="8"/>
  <c r="B361" i="8"/>
  <c r="Q360" i="8"/>
  <c r="P360" i="8"/>
  <c r="J360" i="8"/>
  <c r="I360" i="8"/>
  <c r="H360" i="8"/>
  <c r="G360" i="8"/>
  <c r="F360" i="8"/>
  <c r="B360" i="8"/>
  <c r="Q359" i="8"/>
  <c r="P359" i="8"/>
  <c r="J359" i="8"/>
  <c r="I359" i="8"/>
  <c r="H359" i="8"/>
  <c r="G359" i="8"/>
  <c r="F359" i="8"/>
  <c r="B359" i="8"/>
  <c r="Q358" i="8"/>
  <c r="P358" i="8"/>
  <c r="J358" i="8"/>
  <c r="I358" i="8"/>
  <c r="H358" i="8"/>
  <c r="G358" i="8"/>
  <c r="F358" i="8"/>
  <c r="B358" i="8"/>
  <c r="Q357" i="8"/>
  <c r="P357" i="8"/>
  <c r="J357" i="8"/>
  <c r="I357" i="8"/>
  <c r="H357" i="8"/>
  <c r="G357" i="8"/>
  <c r="F357" i="8"/>
  <c r="B357" i="8"/>
  <c r="Q356" i="8"/>
  <c r="P356" i="8"/>
  <c r="J356" i="8"/>
  <c r="I356" i="8"/>
  <c r="H356" i="8"/>
  <c r="G356" i="8"/>
  <c r="F356" i="8"/>
  <c r="B356" i="8"/>
  <c r="Q355" i="8"/>
  <c r="P355" i="8"/>
  <c r="J355" i="8"/>
  <c r="I355" i="8"/>
  <c r="H355" i="8"/>
  <c r="G355" i="8"/>
  <c r="F355" i="8"/>
  <c r="B355" i="8"/>
  <c r="Q354" i="8"/>
  <c r="P354" i="8"/>
  <c r="J354" i="8"/>
  <c r="I354" i="8"/>
  <c r="H354" i="8"/>
  <c r="G354" i="8"/>
  <c r="F354" i="8"/>
  <c r="B354" i="8"/>
  <c r="Q353" i="8"/>
  <c r="P353" i="8"/>
  <c r="J353" i="8"/>
  <c r="I353" i="8"/>
  <c r="H353" i="8"/>
  <c r="G353" i="8"/>
  <c r="F353" i="8"/>
  <c r="B353" i="8"/>
  <c r="Q352" i="8"/>
  <c r="P352" i="8"/>
  <c r="J352" i="8"/>
  <c r="I352" i="8"/>
  <c r="H352" i="8"/>
  <c r="G352" i="8"/>
  <c r="F352" i="8"/>
  <c r="B352" i="8"/>
  <c r="Q351" i="8"/>
  <c r="P351" i="8"/>
  <c r="J351" i="8"/>
  <c r="I351" i="8"/>
  <c r="H351" i="8"/>
  <c r="G351" i="8"/>
  <c r="F351" i="8"/>
  <c r="B351" i="8"/>
  <c r="Q350" i="8"/>
  <c r="P350" i="8"/>
  <c r="J350" i="8"/>
  <c r="I350" i="8"/>
  <c r="H350" i="8"/>
  <c r="G350" i="8"/>
  <c r="F350" i="8"/>
  <c r="B350" i="8"/>
  <c r="Q349" i="8"/>
  <c r="P349" i="8"/>
  <c r="J349" i="8"/>
  <c r="I349" i="8"/>
  <c r="H349" i="8"/>
  <c r="G349" i="8"/>
  <c r="F349" i="8"/>
  <c r="B349" i="8"/>
  <c r="Q348" i="8"/>
  <c r="P348" i="8"/>
  <c r="J348" i="8"/>
  <c r="I348" i="8"/>
  <c r="H348" i="8"/>
  <c r="G348" i="8"/>
  <c r="F348" i="8"/>
  <c r="B348" i="8"/>
  <c r="Q347" i="8"/>
  <c r="P347" i="8"/>
  <c r="J347" i="8"/>
  <c r="I347" i="8"/>
  <c r="H347" i="8"/>
  <c r="G347" i="8"/>
  <c r="F347" i="8"/>
  <c r="B347" i="8"/>
  <c r="Q346" i="8"/>
  <c r="P346" i="8"/>
  <c r="J346" i="8"/>
  <c r="I346" i="8"/>
  <c r="H346" i="8"/>
  <c r="G346" i="8"/>
  <c r="F346" i="8"/>
  <c r="B346" i="8"/>
  <c r="Q345" i="8"/>
  <c r="P345" i="8"/>
  <c r="J345" i="8"/>
  <c r="I345" i="8"/>
  <c r="H345" i="8"/>
  <c r="G345" i="8"/>
  <c r="F345" i="8"/>
  <c r="B345" i="8"/>
  <c r="Q344" i="8"/>
  <c r="P344" i="8"/>
  <c r="J344" i="8"/>
  <c r="I344" i="8"/>
  <c r="H344" i="8"/>
  <c r="G344" i="8"/>
  <c r="F344" i="8"/>
  <c r="B344" i="8"/>
  <c r="Q343" i="8"/>
  <c r="P343" i="8"/>
  <c r="J343" i="8"/>
  <c r="I343" i="8"/>
  <c r="H343" i="8"/>
  <c r="G343" i="8"/>
  <c r="F343" i="8"/>
  <c r="B343" i="8"/>
  <c r="Q342" i="8"/>
  <c r="P342" i="8"/>
  <c r="J342" i="8"/>
  <c r="I342" i="8"/>
  <c r="H342" i="8"/>
  <c r="G342" i="8"/>
  <c r="F342" i="8"/>
  <c r="B342" i="8"/>
  <c r="Q341" i="8"/>
  <c r="P341" i="8"/>
  <c r="J341" i="8"/>
  <c r="I341" i="8"/>
  <c r="H341" i="8"/>
  <c r="G341" i="8"/>
  <c r="F341" i="8"/>
  <c r="B341" i="8"/>
  <c r="Q340" i="8"/>
  <c r="P340" i="8"/>
  <c r="J340" i="8"/>
  <c r="I340" i="8"/>
  <c r="H340" i="8"/>
  <c r="G340" i="8"/>
  <c r="F340" i="8"/>
  <c r="B340" i="8"/>
  <c r="Q339" i="8"/>
  <c r="P339" i="8"/>
  <c r="J339" i="8"/>
  <c r="I339" i="8"/>
  <c r="H339" i="8"/>
  <c r="G339" i="8"/>
  <c r="F339" i="8"/>
  <c r="B339" i="8"/>
  <c r="Q338" i="8"/>
  <c r="P338" i="8"/>
  <c r="J338" i="8"/>
  <c r="I338" i="8"/>
  <c r="H338" i="8"/>
  <c r="G338" i="8"/>
  <c r="F338" i="8"/>
  <c r="B338" i="8"/>
  <c r="Q337" i="8"/>
  <c r="P337" i="8"/>
  <c r="J337" i="8"/>
  <c r="I337" i="8"/>
  <c r="H337" i="8"/>
  <c r="G337" i="8"/>
  <c r="F337" i="8"/>
  <c r="B337" i="8"/>
  <c r="Q336" i="8"/>
  <c r="P336" i="8"/>
  <c r="J336" i="8"/>
  <c r="I336" i="8"/>
  <c r="H336" i="8"/>
  <c r="G336" i="8"/>
  <c r="F336" i="8"/>
  <c r="B336" i="8"/>
  <c r="Q335" i="8"/>
  <c r="P335" i="8"/>
  <c r="J335" i="8"/>
  <c r="I335" i="8"/>
  <c r="H335" i="8"/>
  <c r="G335" i="8"/>
  <c r="F335" i="8"/>
  <c r="B335" i="8"/>
  <c r="Q334" i="8"/>
  <c r="P334" i="8"/>
  <c r="J334" i="8"/>
  <c r="I334" i="8"/>
  <c r="H334" i="8"/>
  <c r="G334" i="8"/>
  <c r="F334" i="8"/>
  <c r="B334" i="8"/>
  <c r="Q333" i="8"/>
  <c r="P333" i="8"/>
  <c r="J333" i="8"/>
  <c r="I333" i="8"/>
  <c r="H333" i="8"/>
  <c r="G333" i="8"/>
  <c r="F333" i="8"/>
  <c r="B333" i="8"/>
  <c r="Q332" i="8"/>
  <c r="P332" i="8"/>
  <c r="J332" i="8"/>
  <c r="I332" i="8"/>
  <c r="H332" i="8"/>
  <c r="G332" i="8"/>
  <c r="F332" i="8"/>
  <c r="B332" i="8"/>
  <c r="Q331" i="8"/>
  <c r="P331" i="8"/>
  <c r="J331" i="8"/>
  <c r="I331" i="8"/>
  <c r="H331" i="8"/>
  <c r="G331" i="8"/>
  <c r="F331" i="8"/>
  <c r="B331" i="8"/>
  <c r="Q330" i="8"/>
  <c r="P330" i="8"/>
  <c r="J330" i="8"/>
  <c r="I330" i="8"/>
  <c r="H330" i="8"/>
  <c r="G330" i="8"/>
  <c r="F330" i="8"/>
  <c r="B330" i="8"/>
  <c r="Q329" i="8"/>
  <c r="P329" i="8"/>
  <c r="J329" i="8"/>
  <c r="I329" i="8"/>
  <c r="H329" i="8"/>
  <c r="G329" i="8"/>
  <c r="F329" i="8"/>
  <c r="B329" i="8"/>
  <c r="Q328" i="8"/>
  <c r="P328" i="8"/>
  <c r="J328" i="8"/>
  <c r="I328" i="8"/>
  <c r="H328" i="8"/>
  <c r="G328" i="8"/>
  <c r="F328" i="8"/>
  <c r="B328" i="8"/>
  <c r="Q327" i="8"/>
  <c r="P327" i="8"/>
  <c r="J327" i="8"/>
  <c r="I327" i="8"/>
  <c r="H327" i="8"/>
  <c r="G327" i="8"/>
  <c r="F327" i="8"/>
  <c r="B327" i="8"/>
  <c r="Q326" i="8"/>
  <c r="P326" i="8"/>
  <c r="J326" i="8"/>
  <c r="I326" i="8"/>
  <c r="H326" i="8"/>
  <c r="G326" i="8"/>
  <c r="F326" i="8"/>
  <c r="B326" i="8"/>
  <c r="Q325" i="8"/>
  <c r="P325" i="8"/>
  <c r="J325" i="8"/>
  <c r="I325" i="8"/>
  <c r="H325" i="8"/>
  <c r="G325" i="8"/>
  <c r="F325" i="8"/>
  <c r="B325" i="8"/>
  <c r="Q324" i="8"/>
  <c r="P324" i="8"/>
  <c r="J324" i="8"/>
  <c r="I324" i="8"/>
  <c r="H324" i="8"/>
  <c r="G324" i="8"/>
  <c r="F324" i="8"/>
  <c r="B324" i="8"/>
  <c r="Q323" i="8"/>
  <c r="P323" i="8"/>
  <c r="J323" i="8"/>
  <c r="I323" i="8"/>
  <c r="H323" i="8"/>
  <c r="G323" i="8"/>
  <c r="F323" i="8"/>
  <c r="B323" i="8"/>
  <c r="Q322" i="8"/>
  <c r="P322" i="8"/>
  <c r="J322" i="8"/>
  <c r="I322" i="8"/>
  <c r="H322" i="8"/>
  <c r="G322" i="8"/>
  <c r="F322" i="8"/>
  <c r="B322" i="8"/>
  <c r="Q321" i="8"/>
  <c r="P321" i="8"/>
  <c r="J321" i="8"/>
  <c r="I321" i="8"/>
  <c r="H321" i="8"/>
  <c r="G321" i="8"/>
  <c r="F321" i="8"/>
  <c r="B321" i="8"/>
  <c r="Q320" i="8"/>
  <c r="P320" i="8"/>
  <c r="J320" i="8"/>
  <c r="I320" i="8"/>
  <c r="H320" i="8"/>
  <c r="G320" i="8"/>
  <c r="F320" i="8"/>
  <c r="B320" i="8"/>
  <c r="Q319" i="8"/>
  <c r="P319" i="8"/>
  <c r="J319" i="8"/>
  <c r="I319" i="8"/>
  <c r="H319" i="8"/>
  <c r="G319" i="8"/>
  <c r="F319" i="8"/>
  <c r="B319" i="8"/>
  <c r="Q318" i="8"/>
  <c r="P318" i="8"/>
  <c r="J318" i="8"/>
  <c r="I318" i="8"/>
  <c r="H318" i="8"/>
  <c r="G318" i="8"/>
  <c r="F318" i="8"/>
  <c r="B318" i="8"/>
  <c r="Q317" i="8"/>
  <c r="P317" i="8"/>
  <c r="J317" i="8"/>
  <c r="I317" i="8"/>
  <c r="H317" i="8"/>
  <c r="G317" i="8"/>
  <c r="F317" i="8"/>
  <c r="B317" i="8"/>
  <c r="Q316" i="8"/>
  <c r="P316" i="8"/>
  <c r="J316" i="8"/>
  <c r="I316" i="8"/>
  <c r="H316" i="8"/>
  <c r="G316" i="8"/>
  <c r="F316" i="8"/>
  <c r="B316" i="8"/>
  <c r="Q315" i="8"/>
  <c r="P315" i="8"/>
  <c r="J315" i="8"/>
  <c r="I315" i="8"/>
  <c r="H315" i="8"/>
  <c r="G315" i="8"/>
  <c r="F315" i="8"/>
  <c r="B315" i="8"/>
  <c r="Q314" i="8"/>
  <c r="P314" i="8"/>
  <c r="J314" i="8"/>
  <c r="I314" i="8"/>
  <c r="H314" i="8"/>
  <c r="G314" i="8"/>
  <c r="F314" i="8"/>
  <c r="B314" i="8"/>
  <c r="Q313" i="8"/>
  <c r="P313" i="8"/>
  <c r="J313" i="8"/>
  <c r="I313" i="8"/>
  <c r="H313" i="8"/>
  <c r="G313" i="8"/>
  <c r="F313" i="8"/>
  <c r="B313" i="8"/>
  <c r="Q312" i="8"/>
  <c r="P312" i="8"/>
  <c r="J312" i="8"/>
  <c r="I312" i="8"/>
  <c r="H312" i="8"/>
  <c r="G312" i="8"/>
  <c r="F312" i="8"/>
  <c r="B312" i="8"/>
  <c r="Q311" i="8"/>
  <c r="P311" i="8"/>
  <c r="J311" i="8"/>
  <c r="I311" i="8"/>
  <c r="H311" i="8"/>
  <c r="G311" i="8"/>
  <c r="F311" i="8"/>
  <c r="B311" i="8"/>
  <c r="Q310" i="8"/>
  <c r="P310" i="8"/>
  <c r="J310" i="8"/>
  <c r="I310" i="8"/>
  <c r="H310" i="8"/>
  <c r="G310" i="8"/>
  <c r="F310" i="8"/>
  <c r="B310" i="8"/>
  <c r="Q309" i="8"/>
  <c r="P309" i="8"/>
  <c r="J309" i="8"/>
  <c r="I309" i="8"/>
  <c r="H309" i="8"/>
  <c r="G309" i="8"/>
  <c r="F309" i="8"/>
  <c r="B309" i="8"/>
  <c r="Q308" i="8"/>
  <c r="P308" i="8"/>
  <c r="J308" i="8"/>
  <c r="I308" i="8"/>
  <c r="H308" i="8"/>
  <c r="G308" i="8"/>
  <c r="F308" i="8"/>
  <c r="B308" i="8"/>
  <c r="Q307" i="8"/>
  <c r="P307" i="8"/>
  <c r="J307" i="8"/>
  <c r="I307" i="8"/>
  <c r="H307" i="8"/>
  <c r="G307" i="8"/>
  <c r="F307" i="8"/>
  <c r="B307" i="8"/>
  <c r="Q306" i="8"/>
  <c r="P306" i="8"/>
  <c r="J306" i="8"/>
  <c r="I306" i="8"/>
  <c r="H306" i="8"/>
  <c r="G306" i="8"/>
  <c r="F306" i="8"/>
  <c r="B306" i="8"/>
  <c r="Q305" i="8"/>
  <c r="P305" i="8"/>
  <c r="J305" i="8"/>
  <c r="I305" i="8"/>
  <c r="H305" i="8"/>
  <c r="G305" i="8"/>
  <c r="F305" i="8"/>
  <c r="B305" i="8"/>
  <c r="Q304" i="8"/>
  <c r="P304" i="8"/>
  <c r="J304" i="8"/>
  <c r="I304" i="8"/>
  <c r="H304" i="8"/>
  <c r="G304" i="8"/>
  <c r="F304" i="8"/>
  <c r="B304" i="8"/>
  <c r="Q303" i="8"/>
  <c r="P303" i="8"/>
  <c r="J303" i="8"/>
  <c r="I303" i="8"/>
  <c r="H303" i="8"/>
  <c r="G303" i="8"/>
  <c r="F303" i="8"/>
  <c r="B303" i="8"/>
  <c r="Q302" i="8"/>
  <c r="P302" i="8"/>
  <c r="J302" i="8"/>
  <c r="I302" i="8"/>
  <c r="H302" i="8"/>
  <c r="G302" i="8"/>
  <c r="F302" i="8"/>
  <c r="B302" i="8"/>
  <c r="Q301" i="8"/>
  <c r="P301" i="8"/>
  <c r="J301" i="8"/>
  <c r="I301" i="8"/>
  <c r="H301" i="8"/>
  <c r="G301" i="8"/>
  <c r="F301" i="8"/>
  <c r="B301" i="8"/>
  <c r="Q300" i="8"/>
  <c r="P300" i="8"/>
  <c r="J300" i="8"/>
  <c r="I300" i="8"/>
  <c r="H300" i="8"/>
  <c r="G300" i="8"/>
  <c r="F300" i="8"/>
  <c r="B300" i="8"/>
  <c r="Q299" i="8"/>
  <c r="P299" i="8"/>
  <c r="J299" i="8"/>
  <c r="I299" i="8"/>
  <c r="H299" i="8"/>
  <c r="G299" i="8"/>
  <c r="F299" i="8"/>
  <c r="B299" i="8"/>
  <c r="Q298" i="8"/>
  <c r="P298" i="8"/>
  <c r="J298" i="8"/>
  <c r="I298" i="8"/>
  <c r="H298" i="8"/>
  <c r="G298" i="8"/>
  <c r="F298" i="8"/>
  <c r="B298" i="8"/>
  <c r="Q297" i="8"/>
  <c r="P297" i="8"/>
  <c r="J297" i="8"/>
  <c r="I297" i="8"/>
  <c r="H297" i="8"/>
  <c r="G297" i="8"/>
  <c r="F297" i="8"/>
  <c r="B297" i="8"/>
  <c r="Q296" i="8"/>
  <c r="P296" i="8"/>
  <c r="J296" i="8"/>
  <c r="I296" i="8"/>
  <c r="H296" i="8"/>
  <c r="G296" i="8"/>
  <c r="F296" i="8"/>
  <c r="B296" i="8"/>
  <c r="Q295" i="8"/>
  <c r="P295" i="8"/>
  <c r="J295" i="8"/>
  <c r="I295" i="8"/>
  <c r="H295" i="8"/>
  <c r="G295" i="8"/>
  <c r="F295" i="8"/>
  <c r="B295" i="8"/>
  <c r="Q294" i="8"/>
  <c r="P294" i="8"/>
  <c r="J294" i="8"/>
  <c r="I294" i="8"/>
  <c r="H294" i="8"/>
  <c r="G294" i="8"/>
  <c r="F294" i="8"/>
  <c r="B294" i="8"/>
  <c r="Q293" i="8"/>
  <c r="P293" i="8"/>
  <c r="J293" i="8"/>
  <c r="I293" i="8"/>
  <c r="H293" i="8"/>
  <c r="G293" i="8"/>
  <c r="F293" i="8"/>
  <c r="B293" i="8"/>
  <c r="Q292" i="8"/>
  <c r="P292" i="8"/>
  <c r="J292" i="8"/>
  <c r="I292" i="8"/>
  <c r="H292" i="8"/>
  <c r="G292" i="8"/>
  <c r="F292" i="8"/>
  <c r="B292" i="8"/>
  <c r="Q291" i="8"/>
  <c r="P291" i="8"/>
  <c r="J291" i="8"/>
  <c r="I291" i="8"/>
  <c r="H291" i="8"/>
  <c r="G291" i="8"/>
  <c r="F291" i="8"/>
  <c r="B291" i="8"/>
  <c r="Q290" i="8"/>
  <c r="P290" i="8"/>
  <c r="J290" i="8"/>
  <c r="I290" i="8"/>
  <c r="H290" i="8"/>
  <c r="G290" i="8"/>
  <c r="F290" i="8"/>
  <c r="B290" i="8"/>
  <c r="Q289" i="8"/>
  <c r="P289" i="8"/>
  <c r="J289" i="8"/>
  <c r="I289" i="8"/>
  <c r="H289" i="8"/>
  <c r="G289" i="8"/>
  <c r="F289" i="8"/>
  <c r="B289" i="8"/>
  <c r="Q288" i="8"/>
  <c r="P288" i="8"/>
  <c r="J288" i="8"/>
  <c r="I288" i="8"/>
  <c r="H288" i="8"/>
  <c r="G288" i="8"/>
  <c r="F288" i="8"/>
  <c r="B288" i="8"/>
  <c r="Q287" i="8"/>
  <c r="P287" i="8"/>
  <c r="J287" i="8"/>
  <c r="I287" i="8"/>
  <c r="H287" i="8"/>
  <c r="G287" i="8"/>
  <c r="F287" i="8"/>
  <c r="B287" i="8"/>
  <c r="Q286" i="8"/>
  <c r="P286" i="8"/>
  <c r="J286" i="8"/>
  <c r="I286" i="8"/>
  <c r="H286" i="8"/>
  <c r="G286" i="8"/>
  <c r="F286" i="8"/>
  <c r="B286" i="8"/>
  <c r="Q285" i="8"/>
  <c r="P285" i="8"/>
  <c r="J285" i="8"/>
  <c r="I285" i="8"/>
  <c r="H285" i="8"/>
  <c r="G285" i="8"/>
  <c r="F285" i="8"/>
  <c r="B285" i="8"/>
  <c r="Q284" i="8"/>
  <c r="P284" i="8"/>
  <c r="J284" i="8"/>
  <c r="I284" i="8"/>
  <c r="H284" i="8"/>
  <c r="G284" i="8"/>
  <c r="F284" i="8"/>
  <c r="B284" i="8"/>
  <c r="Q283" i="8"/>
  <c r="P283" i="8"/>
  <c r="J283" i="8"/>
  <c r="I283" i="8"/>
  <c r="H283" i="8"/>
  <c r="G283" i="8"/>
  <c r="F283" i="8"/>
  <c r="B283" i="8"/>
  <c r="Q282" i="8"/>
  <c r="P282" i="8"/>
  <c r="J282" i="8"/>
  <c r="I282" i="8"/>
  <c r="H282" i="8"/>
  <c r="G282" i="8"/>
  <c r="F282" i="8"/>
  <c r="B282" i="8"/>
  <c r="Q281" i="8"/>
  <c r="P281" i="8"/>
  <c r="J281" i="8"/>
  <c r="I281" i="8"/>
  <c r="H281" i="8"/>
  <c r="G281" i="8"/>
  <c r="F281" i="8"/>
  <c r="B281" i="8"/>
  <c r="Q280" i="8"/>
  <c r="P280" i="8"/>
  <c r="J280" i="8"/>
  <c r="I280" i="8"/>
  <c r="H280" i="8"/>
  <c r="G280" i="8"/>
  <c r="F280" i="8"/>
  <c r="B280" i="8"/>
  <c r="Q279" i="8"/>
  <c r="P279" i="8"/>
  <c r="J279" i="8"/>
  <c r="I279" i="8"/>
  <c r="H279" i="8"/>
  <c r="G279" i="8"/>
  <c r="F279" i="8"/>
  <c r="B279" i="8"/>
  <c r="Q278" i="8"/>
  <c r="P278" i="8"/>
  <c r="J278" i="8"/>
  <c r="I278" i="8"/>
  <c r="H278" i="8"/>
  <c r="G278" i="8"/>
  <c r="F278" i="8"/>
  <c r="B278" i="8"/>
  <c r="Q277" i="8"/>
  <c r="P277" i="8"/>
  <c r="J277" i="8"/>
  <c r="I277" i="8"/>
  <c r="H277" i="8"/>
  <c r="G277" i="8"/>
  <c r="F277" i="8"/>
  <c r="B277" i="8"/>
  <c r="Q276" i="8"/>
  <c r="P276" i="8"/>
  <c r="J276" i="8"/>
  <c r="I276" i="8"/>
  <c r="H276" i="8"/>
  <c r="G276" i="8"/>
  <c r="F276" i="8"/>
  <c r="B276" i="8"/>
  <c r="Q275" i="8"/>
  <c r="P275" i="8"/>
  <c r="J275" i="8"/>
  <c r="I275" i="8"/>
  <c r="H275" i="8"/>
  <c r="G275" i="8"/>
  <c r="F275" i="8"/>
  <c r="B275" i="8"/>
  <c r="Q274" i="8"/>
  <c r="P274" i="8"/>
  <c r="J274" i="8"/>
  <c r="I274" i="8"/>
  <c r="H274" i="8"/>
  <c r="G274" i="8"/>
  <c r="F274" i="8"/>
  <c r="B274" i="8"/>
  <c r="Q273" i="8"/>
  <c r="P273" i="8"/>
  <c r="J273" i="8"/>
  <c r="I273" i="8"/>
  <c r="H273" i="8"/>
  <c r="G273" i="8"/>
  <c r="F273" i="8"/>
  <c r="B273" i="8"/>
  <c r="Q272" i="8"/>
  <c r="P272" i="8"/>
  <c r="J272" i="8"/>
  <c r="I272" i="8"/>
  <c r="H272" i="8"/>
  <c r="G272" i="8"/>
  <c r="F272" i="8"/>
  <c r="B272" i="8"/>
  <c r="Q271" i="8"/>
  <c r="P271" i="8"/>
  <c r="J271" i="8"/>
  <c r="I271" i="8"/>
  <c r="H271" i="8"/>
  <c r="G271" i="8"/>
  <c r="F271" i="8"/>
  <c r="B271" i="8"/>
  <c r="Q270" i="8"/>
  <c r="P270" i="8"/>
  <c r="J270" i="8"/>
  <c r="I270" i="8"/>
  <c r="H270" i="8"/>
  <c r="G270" i="8"/>
  <c r="F270" i="8"/>
  <c r="B270" i="8"/>
  <c r="Q269" i="8"/>
  <c r="P269" i="8"/>
  <c r="J269" i="8"/>
  <c r="I269" i="8"/>
  <c r="H269" i="8"/>
  <c r="G269" i="8"/>
  <c r="F269" i="8"/>
  <c r="B269" i="8"/>
  <c r="Q268" i="8"/>
  <c r="P268" i="8"/>
  <c r="J268" i="8"/>
  <c r="I268" i="8"/>
  <c r="H268" i="8"/>
  <c r="G268" i="8"/>
  <c r="F268" i="8"/>
  <c r="B268" i="8"/>
  <c r="Q267" i="8"/>
  <c r="P267" i="8"/>
  <c r="J267" i="8"/>
  <c r="I267" i="8"/>
  <c r="H267" i="8"/>
  <c r="G267" i="8"/>
  <c r="F267" i="8"/>
  <c r="B267" i="8"/>
  <c r="Q266" i="8"/>
  <c r="P266" i="8"/>
  <c r="J266" i="8"/>
  <c r="I266" i="8"/>
  <c r="H266" i="8"/>
  <c r="G266" i="8"/>
  <c r="F266" i="8"/>
  <c r="B266" i="8"/>
  <c r="Q265" i="8"/>
  <c r="P265" i="8"/>
  <c r="J265" i="8"/>
  <c r="I265" i="8"/>
  <c r="H265" i="8"/>
  <c r="G265" i="8"/>
  <c r="F265" i="8"/>
  <c r="B265" i="8"/>
  <c r="Q264" i="8"/>
  <c r="P264" i="8"/>
  <c r="J264" i="8"/>
  <c r="I264" i="8"/>
  <c r="H264" i="8"/>
  <c r="G264" i="8"/>
  <c r="F264" i="8"/>
  <c r="B264" i="8"/>
  <c r="Q263" i="8"/>
  <c r="P263" i="8"/>
  <c r="J263" i="8"/>
  <c r="I263" i="8"/>
  <c r="H263" i="8"/>
  <c r="G263" i="8"/>
  <c r="F263" i="8"/>
  <c r="B263" i="8"/>
  <c r="Q262" i="8"/>
  <c r="P262" i="8"/>
  <c r="J262" i="8"/>
  <c r="I262" i="8"/>
  <c r="H262" i="8"/>
  <c r="G262" i="8"/>
  <c r="F262" i="8"/>
  <c r="B262" i="8"/>
  <c r="Q261" i="8"/>
  <c r="P261" i="8"/>
  <c r="J261" i="8"/>
  <c r="I261" i="8"/>
  <c r="H261" i="8"/>
  <c r="G261" i="8"/>
  <c r="F261" i="8"/>
  <c r="B261" i="8"/>
  <c r="Q260" i="8"/>
  <c r="P260" i="8"/>
  <c r="J260" i="8"/>
  <c r="I260" i="8"/>
  <c r="H260" i="8"/>
  <c r="G260" i="8"/>
  <c r="F260" i="8"/>
  <c r="B260" i="8"/>
  <c r="Q259" i="8"/>
  <c r="P259" i="8"/>
  <c r="J259" i="8"/>
  <c r="I259" i="8"/>
  <c r="H259" i="8"/>
  <c r="G259" i="8"/>
  <c r="F259" i="8"/>
  <c r="B259" i="8"/>
  <c r="Q258" i="8"/>
  <c r="P258" i="8"/>
  <c r="J258" i="8"/>
  <c r="I258" i="8"/>
  <c r="H258" i="8"/>
  <c r="G258" i="8"/>
  <c r="F258" i="8"/>
  <c r="B258" i="8"/>
  <c r="Q257" i="8"/>
  <c r="P257" i="8"/>
  <c r="J257" i="8"/>
  <c r="I257" i="8"/>
  <c r="H257" i="8"/>
  <c r="G257" i="8"/>
  <c r="F257" i="8"/>
  <c r="B257" i="8"/>
  <c r="Q256" i="8"/>
  <c r="P256" i="8"/>
  <c r="J256" i="8"/>
  <c r="I256" i="8"/>
  <c r="H256" i="8"/>
  <c r="G256" i="8"/>
  <c r="F256" i="8"/>
  <c r="B256" i="8"/>
  <c r="Q255" i="8"/>
  <c r="P255" i="8"/>
  <c r="J255" i="8"/>
  <c r="I255" i="8"/>
  <c r="H255" i="8"/>
  <c r="G255" i="8"/>
  <c r="F255" i="8"/>
  <c r="B255" i="8"/>
  <c r="Q254" i="8"/>
  <c r="P254" i="8"/>
  <c r="J254" i="8"/>
  <c r="I254" i="8"/>
  <c r="H254" i="8"/>
  <c r="G254" i="8"/>
  <c r="F254" i="8"/>
  <c r="B254" i="8"/>
  <c r="Q253" i="8"/>
  <c r="P253" i="8"/>
  <c r="J253" i="8"/>
  <c r="I253" i="8"/>
  <c r="H253" i="8"/>
  <c r="G253" i="8"/>
  <c r="F253" i="8"/>
  <c r="B253" i="8"/>
  <c r="Q252" i="8"/>
  <c r="P252" i="8"/>
  <c r="J252" i="8"/>
  <c r="I252" i="8"/>
  <c r="H252" i="8"/>
  <c r="G252" i="8"/>
  <c r="F252" i="8"/>
  <c r="B252" i="8"/>
  <c r="Q251" i="8"/>
  <c r="P251" i="8"/>
  <c r="J251" i="8"/>
  <c r="I251" i="8"/>
  <c r="H251" i="8"/>
  <c r="G251" i="8"/>
  <c r="F251" i="8"/>
  <c r="B251" i="8"/>
  <c r="Q250" i="8"/>
  <c r="P250" i="8"/>
  <c r="J250" i="8"/>
  <c r="I250" i="8"/>
  <c r="H250" i="8"/>
  <c r="G250" i="8"/>
  <c r="F250" i="8"/>
  <c r="B250" i="8"/>
  <c r="Q249" i="8"/>
  <c r="P249" i="8"/>
  <c r="J249" i="8"/>
  <c r="I249" i="8"/>
  <c r="H249" i="8"/>
  <c r="G249" i="8"/>
  <c r="F249" i="8"/>
  <c r="B249" i="8"/>
  <c r="Q248" i="8"/>
  <c r="P248" i="8"/>
  <c r="J248" i="8"/>
  <c r="I248" i="8"/>
  <c r="H248" i="8"/>
  <c r="G248" i="8"/>
  <c r="F248" i="8"/>
  <c r="B248" i="8"/>
  <c r="Q247" i="8"/>
  <c r="P247" i="8"/>
  <c r="J247" i="8"/>
  <c r="I247" i="8"/>
  <c r="H247" i="8"/>
  <c r="G247" i="8"/>
  <c r="F247" i="8"/>
  <c r="B247" i="8"/>
  <c r="Q246" i="8"/>
  <c r="P246" i="8"/>
  <c r="J246" i="8"/>
  <c r="I246" i="8"/>
  <c r="H246" i="8"/>
  <c r="G246" i="8"/>
  <c r="F246" i="8"/>
  <c r="B246" i="8"/>
  <c r="Q245" i="8"/>
  <c r="P245" i="8"/>
  <c r="J245" i="8"/>
  <c r="I245" i="8"/>
  <c r="H245" i="8"/>
  <c r="G245" i="8"/>
  <c r="F245" i="8"/>
  <c r="B245" i="8"/>
  <c r="Q244" i="8"/>
  <c r="P244" i="8"/>
  <c r="J244" i="8"/>
  <c r="I244" i="8"/>
  <c r="H244" i="8"/>
  <c r="G244" i="8"/>
  <c r="F244" i="8"/>
  <c r="B244" i="8"/>
  <c r="Q243" i="8"/>
  <c r="P243" i="8"/>
  <c r="J243" i="8"/>
  <c r="I243" i="8"/>
  <c r="H243" i="8"/>
  <c r="G243" i="8"/>
  <c r="F243" i="8"/>
  <c r="B243" i="8"/>
  <c r="Q242" i="8"/>
  <c r="P242" i="8"/>
  <c r="J242" i="8"/>
  <c r="I242" i="8"/>
  <c r="H242" i="8"/>
  <c r="G242" i="8"/>
  <c r="F242" i="8"/>
  <c r="B242" i="8"/>
  <c r="Q241" i="8"/>
  <c r="P241" i="8"/>
  <c r="J241" i="8"/>
  <c r="I241" i="8"/>
  <c r="H241" i="8"/>
  <c r="G241" i="8"/>
  <c r="F241" i="8"/>
  <c r="B241" i="8"/>
  <c r="Q240" i="8"/>
  <c r="P240" i="8"/>
  <c r="J240" i="8"/>
  <c r="I240" i="8"/>
  <c r="H240" i="8"/>
  <c r="G240" i="8"/>
  <c r="F240" i="8"/>
  <c r="B240" i="8"/>
  <c r="Q239" i="8"/>
  <c r="P239" i="8"/>
  <c r="J239" i="8"/>
  <c r="I239" i="8"/>
  <c r="H239" i="8"/>
  <c r="G239" i="8"/>
  <c r="F239" i="8"/>
  <c r="B239" i="8"/>
  <c r="Q238" i="8"/>
  <c r="P238" i="8"/>
  <c r="J238" i="8"/>
  <c r="I238" i="8"/>
  <c r="H238" i="8"/>
  <c r="G238" i="8"/>
  <c r="F238" i="8"/>
  <c r="B238" i="8"/>
  <c r="Q237" i="8"/>
  <c r="P237" i="8"/>
  <c r="J237" i="8"/>
  <c r="I237" i="8"/>
  <c r="H237" i="8"/>
  <c r="G237" i="8"/>
  <c r="F237" i="8"/>
  <c r="B237" i="8"/>
  <c r="Q236" i="8"/>
  <c r="P236" i="8"/>
  <c r="J236" i="8"/>
  <c r="I236" i="8"/>
  <c r="H236" i="8"/>
  <c r="G236" i="8"/>
  <c r="F236" i="8"/>
  <c r="B236" i="8"/>
  <c r="Q235" i="8"/>
  <c r="P235" i="8"/>
  <c r="J235" i="8"/>
  <c r="I235" i="8"/>
  <c r="H235" i="8"/>
  <c r="G235" i="8"/>
  <c r="F235" i="8"/>
  <c r="B235" i="8"/>
  <c r="Q234" i="8"/>
  <c r="P234" i="8"/>
  <c r="J234" i="8"/>
  <c r="I234" i="8"/>
  <c r="H234" i="8"/>
  <c r="G234" i="8"/>
  <c r="F234" i="8"/>
  <c r="B234" i="8"/>
  <c r="Q233" i="8"/>
  <c r="P233" i="8"/>
  <c r="J233" i="8"/>
  <c r="I233" i="8"/>
  <c r="H233" i="8"/>
  <c r="G233" i="8"/>
  <c r="F233" i="8"/>
  <c r="B233" i="8"/>
  <c r="Q232" i="8"/>
  <c r="P232" i="8"/>
  <c r="J232" i="8"/>
  <c r="I232" i="8"/>
  <c r="H232" i="8"/>
  <c r="G232" i="8"/>
  <c r="F232" i="8"/>
  <c r="B232" i="8"/>
  <c r="Q231" i="8"/>
  <c r="P231" i="8"/>
  <c r="J231" i="8"/>
  <c r="I231" i="8"/>
  <c r="H231" i="8"/>
  <c r="G231" i="8"/>
  <c r="F231" i="8"/>
  <c r="B231" i="8"/>
  <c r="Q230" i="8"/>
  <c r="P230" i="8"/>
  <c r="J230" i="8"/>
  <c r="I230" i="8"/>
  <c r="H230" i="8"/>
  <c r="G230" i="8"/>
  <c r="F230" i="8"/>
  <c r="B230" i="8"/>
  <c r="Q229" i="8"/>
  <c r="P229" i="8"/>
  <c r="J229" i="8"/>
  <c r="I229" i="8"/>
  <c r="H229" i="8"/>
  <c r="G229" i="8"/>
  <c r="F229" i="8"/>
  <c r="B229" i="8"/>
  <c r="Q228" i="8"/>
  <c r="P228" i="8"/>
  <c r="J228" i="8"/>
  <c r="I228" i="8"/>
  <c r="H228" i="8"/>
  <c r="G228" i="8"/>
  <c r="F228" i="8"/>
  <c r="B228" i="8"/>
  <c r="Q227" i="8"/>
  <c r="P227" i="8"/>
  <c r="J227" i="8"/>
  <c r="I227" i="8"/>
  <c r="H227" i="8"/>
  <c r="G227" i="8"/>
  <c r="F227" i="8"/>
  <c r="B227" i="8"/>
  <c r="Q226" i="8"/>
  <c r="P226" i="8"/>
  <c r="J226" i="8"/>
  <c r="I226" i="8"/>
  <c r="H226" i="8"/>
  <c r="G226" i="8"/>
  <c r="F226" i="8"/>
  <c r="B226" i="8"/>
  <c r="Q225" i="8"/>
  <c r="P225" i="8"/>
  <c r="J225" i="8"/>
  <c r="I225" i="8"/>
  <c r="H225" i="8"/>
  <c r="G225" i="8"/>
  <c r="F225" i="8"/>
  <c r="B225" i="8"/>
  <c r="Q224" i="8"/>
  <c r="P224" i="8"/>
  <c r="J224" i="8"/>
  <c r="I224" i="8"/>
  <c r="H224" i="8"/>
  <c r="G224" i="8"/>
  <c r="F224" i="8"/>
  <c r="B224" i="8"/>
  <c r="Q223" i="8"/>
  <c r="P223" i="8"/>
  <c r="J223" i="8"/>
  <c r="I223" i="8"/>
  <c r="H223" i="8"/>
  <c r="G223" i="8"/>
  <c r="F223" i="8"/>
  <c r="B223" i="8"/>
  <c r="Q222" i="8"/>
  <c r="P222" i="8"/>
  <c r="J222" i="8"/>
  <c r="I222" i="8"/>
  <c r="H222" i="8"/>
  <c r="G222" i="8"/>
  <c r="F222" i="8"/>
  <c r="B222" i="8"/>
  <c r="Q221" i="8"/>
  <c r="P221" i="8"/>
  <c r="J221" i="8"/>
  <c r="I221" i="8"/>
  <c r="H221" i="8"/>
  <c r="G221" i="8"/>
  <c r="F221" i="8"/>
  <c r="B221" i="8"/>
  <c r="Q220" i="8"/>
  <c r="P220" i="8"/>
  <c r="J220" i="8"/>
  <c r="I220" i="8"/>
  <c r="H220" i="8"/>
  <c r="G220" i="8"/>
  <c r="F220" i="8"/>
  <c r="B220" i="8"/>
  <c r="Q219" i="8"/>
  <c r="P219" i="8"/>
  <c r="J219" i="8"/>
  <c r="I219" i="8"/>
  <c r="H219" i="8"/>
  <c r="G219" i="8"/>
  <c r="F219" i="8"/>
  <c r="B219" i="8"/>
  <c r="Q218" i="8"/>
  <c r="P218" i="8"/>
  <c r="J218" i="8"/>
  <c r="I218" i="8"/>
  <c r="H218" i="8"/>
  <c r="G218" i="8"/>
  <c r="F218" i="8"/>
  <c r="B218" i="8"/>
  <c r="Q217" i="8"/>
  <c r="P217" i="8"/>
  <c r="J217" i="8"/>
  <c r="I217" i="8"/>
  <c r="H217" i="8"/>
  <c r="G217" i="8"/>
  <c r="F217" i="8"/>
  <c r="B217" i="8"/>
  <c r="Q216" i="8"/>
  <c r="P216" i="8"/>
  <c r="J216" i="8"/>
  <c r="I216" i="8"/>
  <c r="H216" i="8"/>
  <c r="G216" i="8"/>
  <c r="F216" i="8"/>
  <c r="B216" i="8"/>
  <c r="Q215" i="8"/>
  <c r="P215" i="8"/>
  <c r="J215" i="8"/>
  <c r="I215" i="8"/>
  <c r="H215" i="8"/>
  <c r="G215" i="8"/>
  <c r="F215" i="8"/>
  <c r="B215" i="8"/>
  <c r="Q214" i="8"/>
  <c r="P214" i="8"/>
  <c r="J214" i="8"/>
  <c r="I214" i="8"/>
  <c r="H214" i="8"/>
  <c r="G214" i="8"/>
  <c r="F214" i="8"/>
  <c r="B214" i="8"/>
  <c r="Q213" i="8"/>
  <c r="P213" i="8"/>
  <c r="J213" i="8"/>
  <c r="I213" i="8"/>
  <c r="H213" i="8"/>
  <c r="G213" i="8"/>
  <c r="F213" i="8"/>
  <c r="B213" i="8"/>
  <c r="Q212" i="8"/>
  <c r="P212" i="8"/>
  <c r="J212" i="8"/>
  <c r="I212" i="8"/>
  <c r="H212" i="8"/>
  <c r="G212" i="8"/>
  <c r="F212" i="8"/>
  <c r="B212" i="8"/>
  <c r="Q211" i="8"/>
  <c r="P211" i="8"/>
  <c r="J211" i="8"/>
  <c r="I211" i="8"/>
  <c r="H211" i="8"/>
  <c r="G211" i="8"/>
  <c r="F211" i="8"/>
  <c r="B211" i="8"/>
  <c r="Q210" i="8"/>
  <c r="P210" i="8"/>
  <c r="J210" i="8"/>
  <c r="I210" i="8"/>
  <c r="H210" i="8"/>
  <c r="G210" i="8"/>
  <c r="F210" i="8"/>
  <c r="B210" i="8"/>
  <c r="Q209" i="8"/>
  <c r="P209" i="8"/>
  <c r="J209" i="8"/>
  <c r="I209" i="8"/>
  <c r="H209" i="8"/>
  <c r="G209" i="8"/>
  <c r="F209" i="8"/>
  <c r="B209" i="8"/>
  <c r="Q208" i="8"/>
  <c r="P208" i="8"/>
  <c r="J208" i="8"/>
  <c r="I208" i="8"/>
  <c r="H208" i="8"/>
  <c r="G208" i="8"/>
  <c r="F208" i="8"/>
  <c r="B208" i="8"/>
  <c r="Q207" i="8"/>
  <c r="P207" i="8"/>
  <c r="J207" i="8"/>
  <c r="I207" i="8"/>
  <c r="H207" i="8"/>
  <c r="G207" i="8"/>
  <c r="F207" i="8"/>
  <c r="B207" i="8"/>
  <c r="Q206" i="8"/>
  <c r="P206" i="8"/>
  <c r="J206" i="8"/>
  <c r="I206" i="8"/>
  <c r="H206" i="8"/>
  <c r="G206" i="8"/>
  <c r="F206" i="8"/>
  <c r="B206" i="8"/>
  <c r="Q205" i="8"/>
  <c r="P205" i="8"/>
  <c r="J205" i="8"/>
  <c r="I205" i="8"/>
  <c r="H205" i="8"/>
  <c r="G205" i="8"/>
  <c r="F205" i="8"/>
  <c r="B205" i="8"/>
  <c r="Q204" i="8"/>
  <c r="P204" i="8"/>
  <c r="J204" i="8"/>
  <c r="I204" i="8"/>
  <c r="H204" i="8"/>
  <c r="G204" i="8"/>
  <c r="F204" i="8"/>
  <c r="B204" i="8"/>
  <c r="Q203" i="8"/>
  <c r="P203" i="8"/>
  <c r="J203" i="8"/>
  <c r="I203" i="8"/>
  <c r="H203" i="8"/>
  <c r="G203" i="8"/>
  <c r="F203" i="8"/>
  <c r="B203" i="8"/>
  <c r="Q202" i="8"/>
  <c r="P202" i="8"/>
  <c r="J202" i="8"/>
  <c r="I202" i="8"/>
  <c r="H202" i="8"/>
  <c r="G202" i="8"/>
  <c r="F202" i="8"/>
  <c r="B202" i="8"/>
  <c r="Q201" i="8"/>
  <c r="P201" i="8"/>
  <c r="J201" i="8"/>
  <c r="I201" i="8"/>
  <c r="H201" i="8"/>
  <c r="G201" i="8"/>
  <c r="F201" i="8"/>
  <c r="B201" i="8"/>
  <c r="Q200" i="8"/>
  <c r="P200" i="8"/>
  <c r="J200" i="8"/>
  <c r="I200" i="8"/>
  <c r="H200" i="8"/>
  <c r="G200" i="8"/>
  <c r="F200" i="8"/>
  <c r="B200" i="8"/>
  <c r="Q199" i="8"/>
  <c r="P199" i="8"/>
  <c r="J199" i="8"/>
  <c r="I199" i="8"/>
  <c r="H199" i="8"/>
  <c r="G199" i="8"/>
  <c r="F199" i="8"/>
  <c r="B199" i="8"/>
  <c r="Q198" i="8"/>
  <c r="P198" i="8"/>
  <c r="J198" i="8"/>
  <c r="I198" i="8"/>
  <c r="H198" i="8"/>
  <c r="G198" i="8"/>
  <c r="F198" i="8"/>
  <c r="B198" i="8"/>
  <c r="Q197" i="8"/>
  <c r="P197" i="8"/>
  <c r="J197" i="8"/>
  <c r="I197" i="8"/>
  <c r="H197" i="8"/>
  <c r="G197" i="8"/>
  <c r="F197" i="8"/>
  <c r="B197" i="8"/>
  <c r="Q196" i="8"/>
  <c r="P196" i="8"/>
  <c r="J196" i="8"/>
  <c r="I196" i="8"/>
  <c r="H196" i="8"/>
  <c r="G196" i="8"/>
  <c r="F196" i="8"/>
  <c r="B196" i="8"/>
  <c r="Q195" i="8"/>
  <c r="P195" i="8"/>
  <c r="J195" i="8"/>
  <c r="I195" i="8"/>
  <c r="H195" i="8"/>
  <c r="G195" i="8"/>
  <c r="F195" i="8"/>
  <c r="B195" i="8"/>
  <c r="Q194" i="8"/>
  <c r="P194" i="8"/>
  <c r="J194" i="8"/>
  <c r="I194" i="8"/>
  <c r="H194" i="8"/>
  <c r="G194" i="8"/>
  <c r="F194" i="8"/>
  <c r="B194" i="8"/>
  <c r="Q193" i="8"/>
  <c r="P193" i="8"/>
  <c r="J193" i="8"/>
  <c r="I193" i="8"/>
  <c r="H193" i="8"/>
  <c r="G193" i="8"/>
  <c r="F193" i="8"/>
  <c r="B193" i="8"/>
  <c r="Q192" i="8"/>
  <c r="P192" i="8"/>
  <c r="J192" i="8"/>
  <c r="I192" i="8"/>
  <c r="H192" i="8"/>
  <c r="G192" i="8"/>
  <c r="F192" i="8"/>
  <c r="B192" i="8"/>
  <c r="Q191" i="8"/>
  <c r="P191" i="8"/>
  <c r="J191" i="8"/>
  <c r="I191" i="8"/>
  <c r="H191" i="8"/>
  <c r="G191" i="8"/>
  <c r="F191" i="8"/>
  <c r="B191" i="8"/>
  <c r="Q190" i="8"/>
  <c r="P190" i="8"/>
  <c r="J190" i="8"/>
  <c r="I190" i="8"/>
  <c r="H190" i="8"/>
  <c r="G190" i="8"/>
  <c r="F190" i="8"/>
  <c r="B190" i="8"/>
  <c r="Q189" i="8"/>
  <c r="P189" i="8"/>
  <c r="J189" i="8"/>
  <c r="I189" i="8"/>
  <c r="H189" i="8"/>
  <c r="G189" i="8"/>
  <c r="F189" i="8"/>
  <c r="B189" i="8"/>
  <c r="Q188" i="8"/>
  <c r="P188" i="8"/>
  <c r="J188" i="8"/>
  <c r="I188" i="8"/>
  <c r="H188" i="8"/>
  <c r="G188" i="8"/>
  <c r="F188" i="8"/>
  <c r="B188" i="8"/>
  <c r="Q187" i="8"/>
  <c r="P187" i="8"/>
  <c r="J187" i="8"/>
  <c r="I187" i="8"/>
  <c r="H187" i="8"/>
  <c r="G187" i="8"/>
  <c r="F187" i="8"/>
  <c r="B187" i="8"/>
  <c r="Q186" i="8"/>
  <c r="P186" i="8"/>
  <c r="J186" i="8"/>
  <c r="I186" i="8"/>
  <c r="H186" i="8"/>
  <c r="G186" i="8"/>
  <c r="F186" i="8"/>
  <c r="B186" i="8"/>
  <c r="Q185" i="8"/>
  <c r="P185" i="8"/>
  <c r="J185" i="8"/>
  <c r="I185" i="8"/>
  <c r="H185" i="8"/>
  <c r="G185" i="8"/>
  <c r="F185" i="8"/>
  <c r="B185" i="8"/>
  <c r="Q184" i="8"/>
  <c r="P184" i="8"/>
  <c r="J184" i="8"/>
  <c r="I184" i="8"/>
  <c r="H184" i="8"/>
  <c r="G184" i="8"/>
  <c r="F184" i="8"/>
  <c r="B184" i="8"/>
  <c r="Q183" i="8"/>
  <c r="P183" i="8"/>
  <c r="J183" i="8"/>
  <c r="I183" i="8"/>
  <c r="H183" i="8"/>
  <c r="G183" i="8"/>
  <c r="F183" i="8"/>
  <c r="B183" i="8"/>
  <c r="Q182" i="8"/>
  <c r="P182" i="8"/>
  <c r="J182" i="8"/>
  <c r="I182" i="8"/>
  <c r="H182" i="8"/>
  <c r="G182" i="8"/>
  <c r="F182" i="8"/>
  <c r="B182" i="8"/>
  <c r="Q181" i="8"/>
  <c r="P181" i="8"/>
  <c r="J181" i="8"/>
  <c r="I181" i="8"/>
  <c r="H181" i="8"/>
  <c r="G181" i="8"/>
  <c r="F181" i="8"/>
  <c r="B181" i="8"/>
  <c r="Q180" i="8"/>
  <c r="P180" i="8"/>
  <c r="J180" i="8"/>
  <c r="I180" i="8"/>
  <c r="H180" i="8"/>
  <c r="G180" i="8"/>
  <c r="F180" i="8"/>
  <c r="B180" i="8"/>
  <c r="Q179" i="8"/>
  <c r="P179" i="8"/>
  <c r="J179" i="8"/>
  <c r="I179" i="8"/>
  <c r="H179" i="8"/>
  <c r="G179" i="8"/>
  <c r="F179" i="8"/>
  <c r="B179" i="8"/>
  <c r="Q178" i="8"/>
  <c r="P178" i="8"/>
  <c r="J178" i="8"/>
  <c r="I178" i="8"/>
  <c r="H178" i="8"/>
  <c r="G178" i="8"/>
  <c r="F178" i="8"/>
  <c r="B178" i="8"/>
  <c r="Q177" i="8"/>
  <c r="P177" i="8"/>
  <c r="J177" i="8"/>
  <c r="I177" i="8"/>
  <c r="H177" i="8"/>
  <c r="G177" i="8"/>
  <c r="F177" i="8"/>
  <c r="B177" i="8"/>
  <c r="Q176" i="8"/>
  <c r="P176" i="8"/>
  <c r="J176" i="8"/>
  <c r="I176" i="8"/>
  <c r="H176" i="8"/>
  <c r="G176" i="8"/>
  <c r="F176" i="8"/>
  <c r="B176" i="8"/>
  <c r="Q175" i="8"/>
  <c r="P175" i="8"/>
  <c r="J175" i="8"/>
  <c r="I175" i="8"/>
  <c r="H175" i="8"/>
  <c r="G175" i="8"/>
  <c r="F175" i="8"/>
  <c r="B175" i="8"/>
  <c r="Q174" i="8"/>
  <c r="P174" i="8"/>
  <c r="J174" i="8"/>
  <c r="I174" i="8"/>
  <c r="H174" i="8"/>
  <c r="G174" i="8"/>
  <c r="F174" i="8"/>
  <c r="B174" i="8"/>
  <c r="Q173" i="8"/>
  <c r="P173" i="8"/>
  <c r="J173" i="8"/>
  <c r="I173" i="8"/>
  <c r="H173" i="8"/>
  <c r="G173" i="8"/>
  <c r="F173" i="8"/>
  <c r="B173" i="8"/>
  <c r="Q172" i="8"/>
  <c r="P172" i="8"/>
  <c r="J172" i="8"/>
  <c r="I172" i="8"/>
  <c r="H172" i="8"/>
  <c r="G172" i="8"/>
  <c r="F172" i="8"/>
  <c r="B172" i="8"/>
  <c r="Q171" i="8"/>
  <c r="P171" i="8"/>
  <c r="J171" i="8"/>
  <c r="I171" i="8"/>
  <c r="H171" i="8"/>
  <c r="G171" i="8"/>
  <c r="F171" i="8"/>
  <c r="B171" i="8"/>
  <c r="Q170" i="8"/>
  <c r="P170" i="8"/>
  <c r="J170" i="8"/>
  <c r="I170" i="8"/>
  <c r="H170" i="8"/>
  <c r="G170" i="8"/>
  <c r="F170" i="8"/>
  <c r="B170" i="8"/>
  <c r="Q169" i="8"/>
  <c r="P169" i="8"/>
  <c r="J169" i="8"/>
  <c r="I169" i="8"/>
  <c r="H169" i="8"/>
  <c r="G169" i="8"/>
  <c r="F169" i="8"/>
  <c r="B169" i="8"/>
  <c r="Q168" i="8"/>
  <c r="P168" i="8"/>
  <c r="J168" i="8"/>
  <c r="I168" i="8"/>
  <c r="H168" i="8"/>
  <c r="G168" i="8"/>
  <c r="F168" i="8"/>
  <c r="B168" i="8"/>
  <c r="Q167" i="8"/>
  <c r="P167" i="8"/>
  <c r="J167" i="8"/>
  <c r="I167" i="8"/>
  <c r="H167" i="8"/>
  <c r="G167" i="8"/>
  <c r="F167" i="8"/>
  <c r="B167" i="8"/>
  <c r="Q166" i="8"/>
  <c r="P166" i="8"/>
  <c r="J166" i="8"/>
  <c r="I166" i="8"/>
  <c r="H166" i="8"/>
  <c r="G166" i="8"/>
  <c r="F166" i="8"/>
  <c r="B166" i="8"/>
  <c r="Q165" i="8"/>
  <c r="P165" i="8"/>
  <c r="J165" i="8"/>
  <c r="I165" i="8"/>
  <c r="H165" i="8"/>
  <c r="G165" i="8"/>
  <c r="F165" i="8"/>
  <c r="B165" i="8"/>
  <c r="Q164" i="8"/>
  <c r="P164" i="8"/>
  <c r="J164" i="8"/>
  <c r="I164" i="8"/>
  <c r="H164" i="8"/>
  <c r="G164" i="8"/>
  <c r="F164" i="8"/>
  <c r="B164" i="8"/>
  <c r="Q163" i="8"/>
  <c r="P163" i="8"/>
  <c r="J163" i="8"/>
  <c r="I163" i="8"/>
  <c r="H163" i="8"/>
  <c r="G163" i="8"/>
  <c r="F163" i="8"/>
  <c r="B163" i="8"/>
  <c r="Q162" i="8"/>
  <c r="P162" i="8"/>
  <c r="J162" i="8"/>
  <c r="I162" i="8"/>
  <c r="H162" i="8"/>
  <c r="G162" i="8"/>
  <c r="F162" i="8"/>
  <c r="B162" i="8"/>
  <c r="Q161" i="8"/>
  <c r="P161" i="8"/>
  <c r="J161" i="8"/>
  <c r="I161" i="8"/>
  <c r="H161" i="8"/>
  <c r="G161" i="8"/>
  <c r="F161" i="8"/>
  <c r="B161" i="8"/>
  <c r="Q160" i="8"/>
  <c r="P160" i="8"/>
  <c r="J160" i="8"/>
  <c r="I160" i="8"/>
  <c r="H160" i="8"/>
  <c r="G160" i="8"/>
  <c r="F160" i="8"/>
  <c r="B160" i="8"/>
  <c r="Q159" i="8"/>
  <c r="P159" i="8"/>
  <c r="J159" i="8"/>
  <c r="I159" i="8"/>
  <c r="H159" i="8"/>
  <c r="G159" i="8"/>
  <c r="F159" i="8"/>
  <c r="B159" i="8"/>
  <c r="Q158" i="8"/>
  <c r="P158" i="8"/>
  <c r="J158" i="8"/>
  <c r="I158" i="8"/>
  <c r="H158" i="8"/>
  <c r="G158" i="8"/>
  <c r="F158" i="8"/>
  <c r="B158" i="8"/>
  <c r="Q157" i="8"/>
  <c r="P157" i="8"/>
  <c r="J157" i="8"/>
  <c r="I157" i="8"/>
  <c r="H157" i="8"/>
  <c r="G157" i="8"/>
  <c r="F157" i="8"/>
  <c r="B157" i="8"/>
  <c r="Q156" i="8"/>
  <c r="P156" i="8"/>
  <c r="J156" i="8"/>
  <c r="I156" i="8"/>
  <c r="H156" i="8"/>
  <c r="G156" i="8"/>
  <c r="F156" i="8"/>
  <c r="B156" i="8"/>
  <c r="Q155" i="8"/>
  <c r="P155" i="8"/>
  <c r="J155" i="8"/>
  <c r="I155" i="8"/>
  <c r="H155" i="8"/>
  <c r="G155" i="8"/>
  <c r="F155" i="8"/>
  <c r="B155" i="8"/>
  <c r="Q154" i="8"/>
  <c r="P154" i="8"/>
  <c r="J154" i="8"/>
  <c r="I154" i="8"/>
  <c r="H154" i="8"/>
  <c r="G154" i="8"/>
  <c r="F154" i="8"/>
  <c r="B154" i="8"/>
  <c r="Q153" i="8"/>
  <c r="P153" i="8"/>
  <c r="J153" i="8"/>
  <c r="I153" i="8"/>
  <c r="H153" i="8"/>
  <c r="G153" i="8"/>
  <c r="F153" i="8"/>
  <c r="B153" i="8"/>
  <c r="Q152" i="8"/>
  <c r="P152" i="8"/>
  <c r="J152" i="8"/>
  <c r="I152" i="8"/>
  <c r="H152" i="8"/>
  <c r="G152" i="8"/>
  <c r="F152" i="8"/>
  <c r="B152" i="8"/>
  <c r="Q151" i="8"/>
  <c r="P151" i="8"/>
  <c r="J151" i="8"/>
  <c r="I151" i="8"/>
  <c r="H151" i="8"/>
  <c r="G151" i="8"/>
  <c r="F151" i="8"/>
  <c r="B151" i="8"/>
  <c r="Q150" i="8"/>
  <c r="P150" i="8"/>
  <c r="J150" i="8"/>
  <c r="I150" i="8"/>
  <c r="H150" i="8"/>
  <c r="G150" i="8"/>
  <c r="F150" i="8"/>
  <c r="B150" i="8"/>
  <c r="Q149" i="8"/>
  <c r="P149" i="8"/>
  <c r="J149" i="8"/>
  <c r="I149" i="8"/>
  <c r="H149" i="8"/>
  <c r="G149" i="8"/>
  <c r="F149" i="8"/>
  <c r="B149" i="8"/>
  <c r="Q148" i="8"/>
  <c r="P148" i="8"/>
  <c r="J148" i="8"/>
  <c r="I148" i="8"/>
  <c r="H148" i="8"/>
  <c r="G148" i="8"/>
  <c r="F148" i="8"/>
  <c r="B148" i="8"/>
  <c r="Q147" i="8"/>
  <c r="P147" i="8"/>
  <c r="J147" i="8"/>
  <c r="I147" i="8"/>
  <c r="H147" i="8"/>
  <c r="G147" i="8"/>
  <c r="F147" i="8"/>
  <c r="B147" i="8"/>
  <c r="Q146" i="8"/>
  <c r="P146" i="8"/>
  <c r="J146" i="8"/>
  <c r="I146" i="8"/>
  <c r="H146" i="8"/>
  <c r="G146" i="8"/>
  <c r="F146" i="8"/>
  <c r="B146" i="8"/>
  <c r="Q145" i="8"/>
  <c r="P145" i="8"/>
  <c r="J145" i="8"/>
  <c r="I145" i="8"/>
  <c r="H145" i="8"/>
  <c r="G145" i="8"/>
  <c r="F145" i="8"/>
  <c r="B145" i="8"/>
  <c r="Q144" i="8"/>
  <c r="P144" i="8"/>
  <c r="J144" i="8"/>
  <c r="I144" i="8"/>
  <c r="H144" i="8"/>
  <c r="G144" i="8"/>
  <c r="F144" i="8"/>
  <c r="B144" i="8"/>
  <c r="Q143" i="8"/>
  <c r="P143" i="8"/>
  <c r="J143" i="8"/>
  <c r="I143" i="8"/>
  <c r="H143" i="8"/>
  <c r="G143" i="8"/>
  <c r="F143" i="8"/>
  <c r="B143" i="8"/>
  <c r="Q142" i="8"/>
  <c r="P142" i="8"/>
  <c r="J142" i="8"/>
  <c r="I142" i="8"/>
  <c r="H142" i="8"/>
  <c r="G142" i="8"/>
  <c r="F142" i="8"/>
  <c r="B142" i="8"/>
  <c r="Q141" i="8"/>
  <c r="P141" i="8"/>
  <c r="J141" i="8"/>
  <c r="I141" i="8"/>
  <c r="H141" i="8"/>
  <c r="G141" i="8"/>
  <c r="F141" i="8"/>
  <c r="B141" i="8"/>
  <c r="Q140" i="8"/>
  <c r="P140" i="8"/>
  <c r="J140" i="8"/>
  <c r="I140" i="8"/>
  <c r="H140" i="8"/>
  <c r="G140" i="8"/>
  <c r="F140" i="8"/>
  <c r="B140" i="8"/>
  <c r="Q139" i="8"/>
  <c r="P139" i="8"/>
  <c r="J139" i="8"/>
  <c r="I139" i="8"/>
  <c r="H139" i="8"/>
  <c r="G139" i="8"/>
  <c r="F139" i="8"/>
  <c r="B139" i="8"/>
  <c r="Q138" i="8"/>
  <c r="P138" i="8"/>
  <c r="J138" i="8"/>
  <c r="I138" i="8"/>
  <c r="H138" i="8"/>
  <c r="G138" i="8"/>
  <c r="F138" i="8"/>
  <c r="B138" i="8"/>
  <c r="Q137" i="8"/>
  <c r="P137" i="8"/>
  <c r="J137" i="8"/>
  <c r="I137" i="8"/>
  <c r="H137" i="8"/>
  <c r="G137" i="8"/>
  <c r="F137" i="8"/>
  <c r="B137" i="8"/>
  <c r="Q136" i="8"/>
  <c r="P136" i="8"/>
  <c r="J136" i="8"/>
  <c r="I136" i="8"/>
  <c r="H136" i="8"/>
  <c r="G136" i="8"/>
  <c r="F136" i="8"/>
  <c r="B136" i="8"/>
  <c r="Q135" i="8"/>
  <c r="P135" i="8"/>
  <c r="J135" i="8"/>
  <c r="I135" i="8"/>
  <c r="H135" i="8"/>
  <c r="G135" i="8"/>
  <c r="F135" i="8"/>
  <c r="B135" i="8"/>
  <c r="Q134" i="8"/>
  <c r="P134" i="8"/>
  <c r="J134" i="8"/>
  <c r="I134" i="8"/>
  <c r="H134" i="8"/>
  <c r="G134" i="8"/>
  <c r="F134" i="8"/>
  <c r="B134" i="8"/>
  <c r="Q133" i="8"/>
  <c r="P133" i="8"/>
  <c r="J133" i="8"/>
  <c r="I133" i="8"/>
  <c r="H133" i="8"/>
  <c r="G133" i="8"/>
  <c r="F133" i="8"/>
  <c r="B133" i="8"/>
  <c r="Q132" i="8"/>
  <c r="P132" i="8"/>
  <c r="J132" i="8"/>
  <c r="I132" i="8"/>
  <c r="H132" i="8"/>
  <c r="G132" i="8"/>
  <c r="F132" i="8"/>
  <c r="B132" i="8"/>
  <c r="Q131" i="8"/>
  <c r="P131" i="8"/>
  <c r="J131" i="8"/>
  <c r="I131" i="8"/>
  <c r="H131" i="8"/>
  <c r="G131" i="8"/>
  <c r="F131" i="8"/>
  <c r="B131" i="8"/>
  <c r="Q130" i="8"/>
  <c r="P130" i="8"/>
  <c r="J130" i="8"/>
  <c r="I130" i="8"/>
  <c r="H130" i="8"/>
  <c r="G130" i="8"/>
  <c r="F130" i="8"/>
  <c r="B130" i="8"/>
  <c r="Q129" i="8"/>
  <c r="P129" i="8"/>
  <c r="J129" i="8"/>
  <c r="I129" i="8"/>
  <c r="H129" i="8"/>
  <c r="G129" i="8"/>
  <c r="F129" i="8"/>
  <c r="B129" i="8"/>
  <c r="Q128" i="8"/>
  <c r="P128" i="8"/>
  <c r="J128" i="8"/>
  <c r="I128" i="8"/>
  <c r="H128" i="8"/>
  <c r="G128" i="8"/>
  <c r="F128" i="8"/>
  <c r="B128" i="8"/>
  <c r="Q127" i="8"/>
  <c r="P127" i="8"/>
  <c r="J127" i="8"/>
  <c r="I127" i="8"/>
  <c r="H127" i="8"/>
  <c r="G127" i="8"/>
  <c r="F127" i="8"/>
  <c r="B127" i="8"/>
  <c r="Q126" i="8"/>
  <c r="P126" i="8"/>
  <c r="J126" i="8"/>
  <c r="I126" i="8"/>
  <c r="H126" i="8"/>
  <c r="G126" i="8"/>
  <c r="F126" i="8"/>
  <c r="B126" i="8"/>
  <c r="Q125" i="8"/>
  <c r="P125" i="8"/>
  <c r="J125" i="8"/>
  <c r="I125" i="8"/>
  <c r="H125" i="8"/>
  <c r="G125" i="8"/>
  <c r="F125" i="8"/>
  <c r="B125" i="8"/>
  <c r="Q124" i="8"/>
  <c r="P124" i="8"/>
  <c r="J124" i="8"/>
  <c r="I124" i="8"/>
  <c r="H124" i="8"/>
  <c r="G124" i="8"/>
  <c r="F124" i="8"/>
  <c r="B124" i="8"/>
  <c r="Q123" i="8"/>
  <c r="P123" i="8"/>
  <c r="J123" i="8"/>
  <c r="I123" i="8"/>
  <c r="H123" i="8"/>
  <c r="G123" i="8"/>
  <c r="F123" i="8"/>
  <c r="B123" i="8"/>
  <c r="Q122" i="8"/>
  <c r="P122" i="8"/>
  <c r="J122" i="8"/>
  <c r="I122" i="8"/>
  <c r="H122" i="8"/>
  <c r="G122" i="8"/>
  <c r="F122" i="8"/>
  <c r="B122" i="8"/>
  <c r="Q121" i="8"/>
  <c r="P121" i="8"/>
  <c r="J121" i="8"/>
  <c r="I121" i="8"/>
  <c r="H121" i="8"/>
  <c r="G121" i="8"/>
  <c r="F121" i="8"/>
  <c r="B121" i="8"/>
  <c r="Q120" i="8"/>
  <c r="P120" i="8"/>
  <c r="J120" i="8"/>
  <c r="I120" i="8"/>
  <c r="H120" i="8"/>
  <c r="G120" i="8"/>
  <c r="F120" i="8"/>
  <c r="B120" i="8"/>
  <c r="Q119" i="8"/>
  <c r="P119" i="8"/>
  <c r="J119" i="8"/>
  <c r="I119" i="8"/>
  <c r="H119" i="8"/>
  <c r="G119" i="8"/>
  <c r="F119" i="8"/>
  <c r="B119" i="8"/>
  <c r="Q118" i="8"/>
  <c r="P118" i="8"/>
  <c r="J118" i="8"/>
  <c r="I118" i="8"/>
  <c r="H118" i="8"/>
  <c r="G118" i="8"/>
  <c r="F118" i="8"/>
  <c r="B118" i="8"/>
  <c r="Q117" i="8"/>
  <c r="P117" i="8"/>
  <c r="J117" i="8"/>
  <c r="I117" i="8"/>
  <c r="H117" i="8"/>
  <c r="G117" i="8"/>
  <c r="F117" i="8"/>
  <c r="B117" i="8"/>
  <c r="Q116" i="8"/>
  <c r="P116" i="8"/>
  <c r="J116" i="8"/>
  <c r="I116" i="8"/>
  <c r="H116" i="8"/>
  <c r="G116" i="8"/>
  <c r="F116" i="8"/>
  <c r="B116" i="8"/>
  <c r="Q115" i="8"/>
  <c r="P115" i="8"/>
  <c r="J115" i="8"/>
  <c r="I115" i="8"/>
  <c r="H115" i="8"/>
  <c r="G115" i="8"/>
  <c r="F115" i="8"/>
  <c r="B115" i="8"/>
  <c r="Q114" i="8"/>
  <c r="P114" i="8"/>
  <c r="J114" i="8"/>
  <c r="I114" i="8"/>
  <c r="H114" i="8"/>
  <c r="G114" i="8"/>
  <c r="F114" i="8"/>
  <c r="B114" i="8"/>
  <c r="Q113" i="8"/>
  <c r="P113" i="8"/>
  <c r="J113" i="8"/>
  <c r="I113" i="8"/>
  <c r="H113" i="8"/>
  <c r="G113" i="8"/>
  <c r="F113" i="8"/>
  <c r="B113" i="8"/>
  <c r="Q112" i="8"/>
  <c r="P112" i="8"/>
  <c r="J112" i="8"/>
  <c r="I112" i="8"/>
  <c r="H112" i="8"/>
  <c r="G112" i="8"/>
  <c r="F112" i="8"/>
  <c r="B112" i="8"/>
  <c r="Q111" i="8"/>
  <c r="P111" i="8"/>
  <c r="J111" i="8"/>
  <c r="I111" i="8"/>
  <c r="H111" i="8"/>
  <c r="G111" i="8"/>
  <c r="F111" i="8"/>
  <c r="B111" i="8"/>
  <c r="Q110" i="8"/>
  <c r="P110" i="8"/>
  <c r="J110" i="8"/>
  <c r="I110" i="8"/>
  <c r="H110" i="8"/>
  <c r="G110" i="8"/>
  <c r="F110" i="8"/>
  <c r="B110" i="8"/>
  <c r="Q109" i="8"/>
  <c r="P109" i="8"/>
  <c r="J109" i="8"/>
  <c r="I109" i="8"/>
  <c r="H109" i="8"/>
  <c r="G109" i="8"/>
  <c r="F109" i="8"/>
  <c r="B109" i="8"/>
  <c r="Q108" i="8"/>
  <c r="P108" i="8"/>
  <c r="J108" i="8"/>
  <c r="I108" i="8"/>
  <c r="H108" i="8"/>
  <c r="G108" i="8"/>
  <c r="F108" i="8"/>
  <c r="B108" i="8"/>
  <c r="Q107" i="8"/>
  <c r="P107" i="8"/>
  <c r="J107" i="8"/>
  <c r="I107" i="8"/>
  <c r="H107" i="8"/>
  <c r="G107" i="8"/>
  <c r="F107" i="8"/>
  <c r="B107" i="8"/>
  <c r="Q106" i="8"/>
  <c r="P106" i="8"/>
  <c r="J106" i="8"/>
  <c r="I106" i="8"/>
  <c r="H106" i="8"/>
  <c r="G106" i="8"/>
  <c r="F106" i="8"/>
  <c r="B106" i="8"/>
  <c r="Q105" i="8"/>
  <c r="P105" i="8"/>
  <c r="J105" i="8"/>
  <c r="I105" i="8"/>
  <c r="H105" i="8"/>
  <c r="G105" i="8"/>
  <c r="F105" i="8"/>
  <c r="B105" i="8"/>
  <c r="Q104" i="8"/>
  <c r="P104" i="8"/>
  <c r="J104" i="8"/>
  <c r="I104" i="8"/>
  <c r="H104" i="8"/>
  <c r="G104" i="8"/>
  <c r="F104" i="8"/>
  <c r="B104" i="8"/>
  <c r="Q103" i="8"/>
  <c r="P103" i="8"/>
  <c r="J103" i="8"/>
  <c r="I103" i="8"/>
  <c r="H103" i="8"/>
  <c r="G103" i="8"/>
  <c r="F103" i="8"/>
  <c r="B103" i="8"/>
  <c r="Q102" i="8"/>
  <c r="P102" i="8"/>
  <c r="J102" i="8"/>
  <c r="I102" i="8"/>
  <c r="H102" i="8"/>
  <c r="G102" i="8"/>
  <c r="F102" i="8"/>
  <c r="B102" i="8"/>
  <c r="Q101" i="8"/>
  <c r="P101" i="8"/>
  <c r="J101" i="8"/>
  <c r="I101" i="8"/>
  <c r="H101" i="8"/>
  <c r="G101" i="8"/>
  <c r="F101" i="8"/>
  <c r="B101" i="8"/>
  <c r="Q100" i="8"/>
  <c r="P100" i="8"/>
  <c r="J100" i="8"/>
  <c r="I100" i="8"/>
  <c r="H100" i="8"/>
  <c r="G100" i="8"/>
  <c r="F100" i="8"/>
  <c r="B100" i="8"/>
  <c r="Q99" i="8"/>
  <c r="P99" i="8"/>
  <c r="J99" i="8"/>
  <c r="I99" i="8"/>
  <c r="H99" i="8"/>
  <c r="G99" i="8"/>
  <c r="F99" i="8"/>
  <c r="B99" i="8"/>
  <c r="Q98" i="8"/>
  <c r="P98" i="8"/>
  <c r="J98" i="8"/>
  <c r="I98" i="8"/>
  <c r="H98" i="8"/>
  <c r="G98" i="8"/>
  <c r="F98" i="8"/>
  <c r="B98" i="8"/>
  <c r="Q97" i="8"/>
  <c r="P97" i="8"/>
  <c r="J97" i="8"/>
  <c r="I97" i="8"/>
  <c r="H97" i="8"/>
  <c r="G97" i="8"/>
  <c r="F97" i="8"/>
  <c r="B97" i="8"/>
  <c r="Q96" i="8"/>
  <c r="P96" i="8"/>
  <c r="J96" i="8"/>
  <c r="I96" i="8"/>
  <c r="H96" i="8"/>
  <c r="G96" i="8"/>
  <c r="F96" i="8"/>
  <c r="B96" i="8"/>
  <c r="Q95" i="8"/>
  <c r="P95" i="8"/>
  <c r="J95" i="8"/>
  <c r="I95" i="8"/>
  <c r="H95" i="8"/>
  <c r="G95" i="8"/>
  <c r="F95" i="8"/>
  <c r="B95" i="8"/>
  <c r="Q94" i="8"/>
  <c r="P94" i="8"/>
  <c r="J94" i="8"/>
  <c r="I94" i="8"/>
  <c r="H94" i="8"/>
  <c r="G94" i="8"/>
  <c r="F94" i="8"/>
  <c r="B94" i="8"/>
  <c r="Q93" i="8"/>
  <c r="P93" i="8"/>
  <c r="J93" i="8"/>
  <c r="I93" i="8"/>
  <c r="H93" i="8"/>
  <c r="G93" i="8"/>
  <c r="F93" i="8"/>
  <c r="B93" i="8"/>
  <c r="Q92" i="8"/>
  <c r="P92" i="8"/>
  <c r="J92" i="8"/>
  <c r="I92" i="8"/>
  <c r="H92" i="8"/>
  <c r="G92" i="8"/>
  <c r="F92" i="8"/>
  <c r="B92" i="8"/>
  <c r="Q91" i="8"/>
  <c r="P91" i="8"/>
  <c r="J91" i="8"/>
  <c r="I91" i="8"/>
  <c r="H91" i="8"/>
  <c r="G91" i="8"/>
  <c r="F91" i="8"/>
  <c r="B91" i="8"/>
  <c r="Q90" i="8"/>
  <c r="P90" i="8"/>
  <c r="J90" i="8"/>
  <c r="I90" i="8"/>
  <c r="H90" i="8"/>
  <c r="G90" i="8"/>
  <c r="F90" i="8"/>
  <c r="B90" i="8"/>
  <c r="Q89" i="8"/>
  <c r="P89" i="8"/>
  <c r="J89" i="8"/>
  <c r="I89" i="8"/>
  <c r="H89" i="8"/>
  <c r="G89" i="8"/>
  <c r="F89" i="8"/>
  <c r="B89" i="8"/>
  <c r="Q88" i="8"/>
  <c r="P88" i="8"/>
  <c r="J88" i="8"/>
  <c r="I88" i="8"/>
  <c r="H88" i="8"/>
  <c r="G88" i="8"/>
  <c r="F88" i="8"/>
  <c r="B88" i="8"/>
  <c r="Q87" i="8"/>
  <c r="P87" i="8"/>
  <c r="J87" i="8"/>
  <c r="I87" i="8"/>
  <c r="H87" i="8"/>
  <c r="G87" i="8"/>
  <c r="F87" i="8"/>
  <c r="B87" i="8"/>
  <c r="Q86" i="8"/>
  <c r="P86" i="8"/>
  <c r="J86" i="8"/>
  <c r="I86" i="8"/>
  <c r="H86" i="8"/>
  <c r="G86" i="8"/>
  <c r="F86" i="8"/>
  <c r="B86" i="8"/>
  <c r="Q85" i="8"/>
  <c r="P85" i="8"/>
  <c r="J85" i="8"/>
  <c r="I85" i="8"/>
  <c r="H85" i="8"/>
  <c r="G85" i="8"/>
  <c r="F85" i="8"/>
  <c r="B85" i="8"/>
  <c r="Q84" i="8"/>
  <c r="P84" i="8"/>
  <c r="J84" i="8"/>
  <c r="I84" i="8"/>
  <c r="H84" i="8"/>
  <c r="G84" i="8"/>
  <c r="F84" i="8"/>
  <c r="B84" i="8"/>
  <c r="Q83" i="8"/>
  <c r="P83" i="8"/>
  <c r="J83" i="8"/>
  <c r="I83" i="8"/>
  <c r="H83" i="8"/>
  <c r="G83" i="8"/>
  <c r="F83" i="8"/>
  <c r="B83" i="8"/>
  <c r="Q82" i="8"/>
  <c r="P82" i="8"/>
  <c r="J82" i="8"/>
  <c r="I82" i="8"/>
  <c r="H82" i="8"/>
  <c r="G82" i="8"/>
  <c r="F82" i="8"/>
  <c r="B82" i="8"/>
  <c r="Q81" i="8"/>
  <c r="P81" i="8"/>
  <c r="J81" i="8"/>
  <c r="I81" i="8"/>
  <c r="H81" i="8"/>
  <c r="G81" i="8"/>
  <c r="F81" i="8"/>
  <c r="B81" i="8"/>
  <c r="Q80" i="8"/>
  <c r="P80" i="8"/>
  <c r="J80" i="8"/>
  <c r="I80" i="8"/>
  <c r="H80" i="8"/>
  <c r="G80" i="8"/>
  <c r="F80" i="8"/>
  <c r="B80" i="8"/>
  <c r="Q79" i="8"/>
  <c r="P79" i="8"/>
  <c r="J79" i="8"/>
  <c r="I79" i="8"/>
  <c r="H79" i="8"/>
  <c r="G79" i="8"/>
  <c r="F79" i="8"/>
  <c r="B79" i="8"/>
  <c r="Q78" i="8"/>
  <c r="P78" i="8"/>
  <c r="J78" i="8"/>
  <c r="I78" i="8"/>
  <c r="H78" i="8"/>
  <c r="G78" i="8"/>
  <c r="F78" i="8"/>
  <c r="B78" i="8"/>
  <c r="Q77" i="8"/>
  <c r="P77" i="8"/>
  <c r="J77" i="8"/>
  <c r="I77" i="8"/>
  <c r="H77" i="8"/>
  <c r="G77" i="8"/>
  <c r="F77" i="8"/>
  <c r="B77" i="8"/>
  <c r="Q76" i="8"/>
  <c r="P76" i="8"/>
  <c r="J76" i="8"/>
  <c r="I76" i="8"/>
  <c r="H76" i="8"/>
  <c r="G76" i="8"/>
  <c r="F76" i="8"/>
  <c r="B76" i="8"/>
  <c r="Q75" i="8"/>
  <c r="P75" i="8"/>
  <c r="J75" i="8"/>
  <c r="I75" i="8"/>
  <c r="H75" i="8"/>
  <c r="G75" i="8"/>
  <c r="F75" i="8"/>
  <c r="B75" i="8"/>
  <c r="Q74" i="8"/>
  <c r="P74" i="8"/>
  <c r="J74" i="8"/>
  <c r="I74" i="8"/>
  <c r="H74" i="8"/>
  <c r="G74" i="8"/>
  <c r="F74" i="8"/>
  <c r="B74" i="8"/>
  <c r="Q73" i="8"/>
  <c r="P73" i="8"/>
  <c r="J73" i="8"/>
  <c r="I73" i="8"/>
  <c r="H73" i="8"/>
  <c r="G73" i="8"/>
  <c r="F73" i="8"/>
  <c r="B73" i="8"/>
  <c r="Q72" i="8"/>
  <c r="P72" i="8"/>
  <c r="J72" i="8"/>
  <c r="I72" i="8"/>
  <c r="H72" i="8"/>
  <c r="G72" i="8"/>
  <c r="F72" i="8"/>
  <c r="B72" i="8"/>
  <c r="Q71" i="8"/>
  <c r="P71" i="8"/>
  <c r="J71" i="8"/>
  <c r="I71" i="8"/>
  <c r="H71" i="8"/>
  <c r="G71" i="8"/>
  <c r="F71" i="8"/>
  <c r="B71" i="8"/>
  <c r="Q70" i="8"/>
  <c r="P70" i="8"/>
  <c r="J70" i="8"/>
  <c r="I70" i="8"/>
  <c r="H70" i="8"/>
  <c r="G70" i="8"/>
  <c r="F70" i="8"/>
  <c r="B70" i="8"/>
  <c r="Q69" i="8"/>
  <c r="P69" i="8"/>
  <c r="J69" i="8"/>
  <c r="I69" i="8"/>
  <c r="H69" i="8"/>
  <c r="G69" i="8"/>
  <c r="F69" i="8"/>
  <c r="B69" i="8"/>
  <c r="Q68" i="8"/>
  <c r="P68" i="8"/>
  <c r="J68" i="8"/>
  <c r="I68" i="8"/>
  <c r="H68" i="8"/>
  <c r="G68" i="8"/>
  <c r="F68" i="8"/>
  <c r="B68" i="8"/>
  <c r="Q67" i="8"/>
  <c r="P67" i="8"/>
  <c r="J67" i="8"/>
  <c r="I67" i="8"/>
  <c r="H67" i="8"/>
  <c r="G67" i="8"/>
  <c r="F67" i="8"/>
  <c r="B67" i="8"/>
  <c r="Q66" i="8"/>
  <c r="P66" i="8"/>
  <c r="J66" i="8"/>
  <c r="I66" i="8"/>
  <c r="H66" i="8"/>
  <c r="G66" i="8"/>
  <c r="F66" i="8"/>
  <c r="B66" i="8"/>
  <c r="Q65" i="8"/>
  <c r="P65" i="8"/>
  <c r="J65" i="8"/>
  <c r="I65" i="8"/>
  <c r="H65" i="8"/>
  <c r="G65" i="8"/>
  <c r="F65" i="8"/>
  <c r="B65" i="8"/>
  <c r="Q64" i="8"/>
  <c r="P64" i="8"/>
  <c r="J64" i="8"/>
  <c r="I64" i="8"/>
  <c r="H64" i="8"/>
  <c r="G64" i="8"/>
  <c r="F64" i="8"/>
  <c r="B64" i="8"/>
  <c r="Q63" i="8"/>
  <c r="P63" i="8"/>
  <c r="J63" i="8"/>
  <c r="I63" i="8"/>
  <c r="H63" i="8"/>
  <c r="G63" i="8"/>
  <c r="F63" i="8"/>
  <c r="B63" i="8"/>
  <c r="Q62" i="8"/>
  <c r="P62" i="8"/>
  <c r="J62" i="8"/>
  <c r="I62" i="8"/>
  <c r="H62" i="8"/>
  <c r="G62" i="8"/>
  <c r="F62" i="8"/>
  <c r="B62" i="8"/>
  <c r="Q61" i="8"/>
  <c r="P61" i="8"/>
  <c r="J61" i="8"/>
  <c r="I61" i="8"/>
  <c r="H61" i="8"/>
  <c r="G61" i="8"/>
  <c r="F61" i="8"/>
  <c r="B61" i="8"/>
  <c r="Q60" i="8"/>
  <c r="P60" i="8"/>
  <c r="J60" i="8"/>
  <c r="I60" i="8"/>
  <c r="H60" i="8"/>
  <c r="G60" i="8"/>
  <c r="F60" i="8"/>
  <c r="B60" i="8"/>
  <c r="Q59" i="8"/>
  <c r="P59" i="8"/>
  <c r="J59" i="8"/>
  <c r="I59" i="8"/>
  <c r="H59" i="8"/>
  <c r="G59" i="8"/>
  <c r="F59" i="8"/>
  <c r="B59" i="8"/>
  <c r="Q58" i="8"/>
  <c r="P58" i="8"/>
  <c r="J58" i="8"/>
  <c r="I58" i="8"/>
  <c r="H58" i="8"/>
  <c r="G58" i="8"/>
  <c r="F58" i="8"/>
  <c r="B58" i="8"/>
  <c r="Q57" i="8"/>
  <c r="P57" i="8"/>
  <c r="J57" i="8"/>
  <c r="I57" i="8"/>
  <c r="H57" i="8"/>
  <c r="G57" i="8"/>
  <c r="F57" i="8"/>
  <c r="B57" i="8"/>
  <c r="Q56" i="8"/>
  <c r="P56" i="8"/>
  <c r="J56" i="8"/>
  <c r="I56" i="8"/>
  <c r="H56" i="8"/>
  <c r="G56" i="8"/>
  <c r="F56" i="8"/>
  <c r="B56" i="8"/>
  <c r="Q55" i="8"/>
  <c r="P55" i="8"/>
  <c r="J55" i="8"/>
  <c r="I55" i="8"/>
  <c r="H55" i="8"/>
  <c r="G55" i="8"/>
  <c r="F55" i="8"/>
  <c r="B55" i="8"/>
  <c r="Q54" i="8"/>
  <c r="P54" i="8"/>
  <c r="J54" i="8"/>
  <c r="I54" i="8"/>
  <c r="H54" i="8"/>
  <c r="G54" i="8"/>
  <c r="F54" i="8"/>
  <c r="B54" i="8"/>
  <c r="Q53" i="8"/>
  <c r="P53" i="8"/>
  <c r="J53" i="8"/>
  <c r="I53" i="8"/>
  <c r="H53" i="8"/>
  <c r="G53" i="8"/>
  <c r="F53" i="8"/>
  <c r="B53" i="8"/>
  <c r="Q52" i="8"/>
  <c r="P52" i="8"/>
  <c r="J52" i="8"/>
  <c r="I52" i="8"/>
  <c r="H52" i="8"/>
  <c r="G52" i="8"/>
  <c r="F52" i="8"/>
  <c r="B52" i="8"/>
  <c r="Q51" i="8"/>
  <c r="P51" i="8"/>
  <c r="J51" i="8"/>
  <c r="I51" i="8"/>
  <c r="H51" i="8"/>
  <c r="G51" i="8"/>
  <c r="F51" i="8"/>
  <c r="B51" i="8"/>
  <c r="Q50" i="8"/>
  <c r="P50" i="8"/>
  <c r="J50" i="8"/>
  <c r="I50" i="8"/>
  <c r="H50" i="8"/>
  <c r="G50" i="8"/>
  <c r="F50" i="8"/>
  <c r="B50" i="8"/>
  <c r="Q49" i="8"/>
  <c r="P49" i="8"/>
  <c r="J49" i="8"/>
  <c r="I49" i="8"/>
  <c r="H49" i="8"/>
  <c r="G49" i="8"/>
  <c r="F49" i="8"/>
  <c r="B49" i="8"/>
  <c r="Q48" i="8"/>
  <c r="P48" i="8"/>
  <c r="J48" i="8"/>
  <c r="I48" i="8"/>
  <c r="H48" i="8"/>
  <c r="G48" i="8"/>
  <c r="F48" i="8"/>
  <c r="B48" i="8"/>
  <c r="Q47" i="8"/>
  <c r="P47" i="8"/>
  <c r="Q46" i="8"/>
  <c r="P46" i="8"/>
  <c r="Q45" i="8"/>
  <c r="P45" i="8"/>
  <c r="Q44" i="8"/>
  <c r="P44" i="8"/>
  <c r="Q43" i="8"/>
  <c r="P43" i="8"/>
  <c r="Q42" i="8"/>
  <c r="P42" i="8"/>
  <c r="Q41" i="8"/>
  <c r="P41" i="8"/>
  <c r="Q40" i="8"/>
  <c r="P40" i="8"/>
  <c r="Q39" i="8"/>
  <c r="P39" i="8"/>
  <c r="Q38" i="8"/>
  <c r="P38" i="8"/>
  <c r="Q37" i="8"/>
  <c r="P37" i="8"/>
  <c r="Q36" i="8"/>
  <c r="P36" i="8"/>
  <c r="Q35" i="8"/>
  <c r="P35" i="8"/>
  <c r="Q34" i="8"/>
  <c r="P34" i="8"/>
  <c r="Q33" i="8"/>
  <c r="P33" i="8"/>
  <c r="Q32" i="8"/>
  <c r="P32" i="8"/>
  <c r="Q31" i="8"/>
  <c r="P31" i="8"/>
  <c r="Q30" i="8"/>
  <c r="P30" i="8"/>
  <c r="Q29" i="8"/>
  <c r="P29" i="8"/>
  <c r="Q28" i="8"/>
  <c r="P28" i="8"/>
  <c r="Q27" i="8"/>
  <c r="P27" i="8"/>
  <c r="Q26" i="8"/>
  <c r="P26" i="8"/>
  <c r="Q25" i="8"/>
  <c r="P25" i="8"/>
  <c r="Q24" i="8"/>
  <c r="P24" i="8"/>
  <c r="Q23" i="8"/>
  <c r="P23" i="8"/>
  <c r="Q22" i="8"/>
  <c r="P22" i="8"/>
  <c r="Q21" i="8"/>
  <c r="P21" i="8"/>
  <c r="Q20" i="8"/>
  <c r="P20" i="8"/>
  <c r="Q19" i="8"/>
  <c r="P19" i="8"/>
  <c r="Q18" i="8"/>
  <c r="P18" i="8"/>
  <c r="Q17" i="8"/>
  <c r="P17" i="8"/>
  <c r="Q16" i="8"/>
  <c r="P16" i="8"/>
  <c r="Q15" i="8"/>
  <c r="P15" i="8"/>
  <c r="Q14" i="8"/>
  <c r="P14" i="8"/>
  <c r="Q13" i="8"/>
  <c r="P13" i="8"/>
  <c r="Q12" i="8"/>
  <c r="P12" i="8"/>
  <c r="Q11" i="8"/>
  <c r="P11" i="8"/>
  <c r="Q10" i="8"/>
  <c r="P10" i="8"/>
  <c r="Q9" i="8"/>
  <c r="P9" i="8"/>
  <c r="Q8" i="8"/>
  <c r="P8" i="8"/>
  <c r="Q7" i="8"/>
  <c r="P7" i="8"/>
  <c r="Q6" i="8"/>
  <c r="P6" i="8"/>
  <c r="Q5" i="8"/>
  <c r="P5" i="8"/>
  <c r="R604" i="7"/>
  <c r="F604" i="7"/>
  <c r="A604" i="7"/>
  <c r="T604" i="7" s="1"/>
  <c r="S603" i="7"/>
  <c r="R603" i="7"/>
  <c r="F603" i="7"/>
  <c r="A603" i="7"/>
  <c r="T602" i="7"/>
  <c r="F602" i="7"/>
  <c r="A602" i="7"/>
  <c r="V602" i="7" s="1"/>
  <c r="U601" i="7"/>
  <c r="T601" i="7"/>
  <c r="R601" i="7"/>
  <c r="Q601" i="7"/>
  <c r="P601" i="7"/>
  <c r="F601" i="7"/>
  <c r="A601" i="7"/>
  <c r="S601" i="7" s="1"/>
  <c r="V600" i="7"/>
  <c r="U600" i="7"/>
  <c r="R600" i="7"/>
  <c r="Q600" i="7"/>
  <c r="P600" i="7"/>
  <c r="F600" i="7"/>
  <c r="A600" i="7"/>
  <c r="R599" i="7"/>
  <c r="F599" i="7"/>
  <c r="A599" i="7"/>
  <c r="T598" i="7"/>
  <c r="S598" i="7"/>
  <c r="R598" i="7"/>
  <c r="Q598" i="7"/>
  <c r="P598" i="7"/>
  <c r="F598" i="7"/>
  <c r="U598" i="7" s="1"/>
  <c r="A598" i="7"/>
  <c r="V598" i="7" s="1"/>
  <c r="U597" i="7"/>
  <c r="T597" i="7"/>
  <c r="S597" i="7"/>
  <c r="Q597" i="7"/>
  <c r="P597" i="7"/>
  <c r="F597" i="7"/>
  <c r="A597" i="7"/>
  <c r="V597" i="7" s="1"/>
  <c r="F596" i="7"/>
  <c r="A596" i="7"/>
  <c r="U595" i="7"/>
  <c r="S595" i="7"/>
  <c r="F595" i="7"/>
  <c r="A595" i="7"/>
  <c r="V595" i="7" s="1"/>
  <c r="V594" i="7"/>
  <c r="T594" i="7"/>
  <c r="S594" i="7"/>
  <c r="P594" i="7"/>
  <c r="F594" i="7"/>
  <c r="A594" i="7"/>
  <c r="T593" i="7"/>
  <c r="R593" i="7"/>
  <c r="Q593" i="7"/>
  <c r="P593" i="7"/>
  <c r="F593" i="7"/>
  <c r="U593" i="7" s="1"/>
  <c r="A593" i="7"/>
  <c r="S593" i="7" s="1"/>
  <c r="F592" i="7"/>
  <c r="A592" i="7"/>
  <c r="V591" i="7"/>
  <c r="F591" i="7"/>
  <c r="A591" i="7"/>
  <c r="T590" i="7"/>
  <c r="S590" i="7"/>
  <c r="R590" i="7"/>
  <c r="Q590" i="7"/>
  <c r="P590" i="7"/>
  <c r="F590" i="7"/>
  <c r="U590" i="7" s="1"/>
  <c r="A590" i="7"/>
  <c r="V590" i="7" s="1"/>
  <c r="U589" i="7"/>
  <c r="T589" i="7"/>
  <c r="S589" i="7"/>
  <c r="Q589" i="7"/>
  <c r="P589" i="7"/>
  <c r="F589" i="7"/>
  <c r="A589" i="7"/>
  <c r="V589" i="7" s="1"/>
  <c r="V588" i="7"/>
  <c r="U588" i="7"/>
  <c r="T588" i="7"/>
  <c r="R588" i="7"/>
  <c r="Q588" i="7"/>
  <c r="F588" i="7"/>
  <c r="A588" i="7"/>
  <c r="F587" i="7"/>
  <c r="A587" i="7"/>
  <c r="S586" i="7"/>
  <c r="P586" i="7"/>
  <c r="F586" i="7"/>
  <c r="A586" i="7"/>
  <c r="U585" i="7"/>
  <c r="T585" i="7"/>
  <c r="R585" i="7"/>
  <c r="Q585" i="7"/>
  <c r="P585" i="7"/>
  <c r="F585" i="7"/>
  <c r="A585" i="7"/>
  <c r="S585" i="7" s="1"/>
  <c r="U584" i="7"/>
  <c r="R584" i="7"/>
  <c r="F584" i="7"/>
  <c r="A584" i="7"/>
  <c r="V583" i="7"/>
  <c r="S583" i="7"/>
  <c r="R583" i="7"/>
  <c r="Q583" i="7"/>
  <c r="F583" i="7"/>
  <c r="A583" i="7"/>
  <c r="T582" i="7"/>
  <c r="S582" i="7"/>
  <c r="R582" i="7"/>
  <c r="Q582" i="7"/>
  <c r="P582" i="7"/>
  <c r="F582" i="7"/>
  <c r="U582" i="7" s="1"/>
  <c r="A582" i="7"/>
  <c r="V582" i="7" s="1"/>
  <c r="U581" i="7"/>
  <c r="T581" i="7"/>
  <c r="S581" i="7"/>
  <c r="Q581" i="7"/>
  <c r="P581" i="7"/>
  <c r="F581" i="7"/>
  <c r="A581" i="7"/>
  <c r="V581" i="7" s="1"/>
  <c r="R580" i="7"/>
  <c r="Q580" i="7"/>
  <c r="F580" i="7"/>
  <c r="A580" i="7"/>
  <c r="V579" i="7"/>
  <c r="F579" i="7"/>
  <c r="A579" i="7"/>
  <c r="T578" i="7"/>
  <c r="S578" i="7"/>
  <c r="F578" i="7"/>
  <c r="A578" i="7"/>
  <c r="V578" i="7" s="1"/>
  <c r="U577" i="7"/>
  <c r="T577" i="7"/>
  <c r="R577" i="7"/>
  <c r="Q577" i="7"/>
  <c r="P577" i="7"/>
  <c r="F577" i="7"/>
  <c r="A577" i="7"/>
  <c r="S577" i="7" s="1"/>
  <c r="V576" i="7"/>
  <c r="U576" i="7"/>
  <c r="R576" i="7"/>
  <c r="Q576" i="7"/>
  <c r="P576" i="7"/>
  <c r="F576" i="7"/>
  <c r="A576" i="7"/>
  <c r="R575" i="7"/>
  <c r="F575" i="7"/>
  <c r="A575" i="7"/>
  <c r="T574" i="7"/>
  <c r="S574" i="7"/>
  <c r="R574" i="7"/>
  <c r="Q574" i="7"/>
  <c r="P574" i="7"/>
  <c r="F574" i="7"/>
  <c r="U574" i="7" s="1"/>
  <c r="A574" i="7"/>
  <c r="V574" i="7" s="1"/>
  <c r="U573" i="7"/>
  <c r="T573" i="7"/>
  <c r="S573" i="7"/>
  <c r="Q573" i="7"/>
  <c r="P573" i="7"/>
  <c r="F573" i="7"/>
  <c r="A573" i="7"/>
  <c r="V573" i="7" s="1"/>
  <c r="F572" i="7"/>
  <c r="A572" i="7"/>
  <c r="V571" i="7"/>
  <c r="U571" i="7"/>
  <c r="S571" i="7"/>
  <c r="R571" i="7"/>
  <c r="F571" i="7"/>
  <c r="A571" i="7"/>
  <c r="T570" i="7"/>
  <c r="S570" i="7"/>
  <c r="F570" i="7"/>
  <c r="A570" i="7"/>
  <c r="T569" i="7"/>
  <c r="R569" i="7"/>
  <c r="Q569" i="7"/>
  <c r="P569" i="7"/>
  <c r="F569" i="7"/>
  <c r="U569" i="7" s="1"/>
  <c r="A569" i="7"/>
  <c r="S569" i="7" s="1"/>
  <c r="V568" i="7"/>
  <c r="Q568" i="7"/>
  <c r="P568" i="7"/>
  <c r="F568" i="7"/>
  <c r="A568" i="7"/>
  <c r="V567" i="7"/>
  <c r="S567" i="7"/>
  <c r="F567" i="7"/>
  <c r="A567" i="7"/>
  <c r="T566" i="7"/>
  <c r="S566" i="7"/>
  <c r="R566" i="7"/>
  <c r="Q566" i="7"/>
  <c r="P566" i="7"/>
  <c r="F566" i="7"/>
  <c r="U566" i="7" s="1"/>
  <c r="A566" i="7"/>
  <c r="V566" i="7" s="1"/>
  <c r="U565" i="7"/>
  <c r="T565" i="7"/>
  <c r="S565" i="7"/>
  <c r="Q565" i="7"/>
  <c r="P565" i="7"/>
  <c r="F565" i="7"/>
  <c r="A565" i="7"/>
  <c r="V565" i="7" s="1"/>
  <c r="V564" i="7"/>
  <c r="U564" i="7"/>
  <c r="T564" i="7"/>
  <c r="R564" i="7"/>
  <c r="Q564" i="7"/>
  <c r="F564" i="7"/>
  <c r="A564" i="7"/>
  <c r="S563" i="7"/>
  <c r="R563" i="7"/>
  <c r="F563" i="7"/>
  <c r="A563" i="7"/>
  <c r="V562" i="7"/>
  <c r="F562" i="7"/>
  <c r="A562" i="7"/>
  <c r="T561" i="7"/>
  <c r="R561" i="7"/>
  <c r="Q561" i="7"/>
  <c r="P561" i="7"/>
  <c r="F561" i="7"/>
  <c r="U561" i="7" s="1"/>
  <c r="A561" i="7"/>
  <c r="S561" i="7" s="1"/>
  <c r="V560" i="7"/>
  <c r="R560" i="7"/>
  <c r="Q560" i="7"/>
  <c r="F560" i="7"/>
  <c r="A560" i="7"/>
  <c r="U560" i="7" s="1"/>
  <c r="V559" i="7"/>
  <c r="S559" i="7"/>
  <c r="R559" i="7"/>
  <c r="Q559" i="7"/>
  <c r="F559" i="7"/>
  <c r="A559" i="7"/>
  <c r="T558" i="7"/>
  <c r="S558" i="7"/>
  <c r="R558" i="7"/>
  <c r="Q558" i="7"/>
  <c r="P558" i="7"/>
  <c r="F558" i="7"/>
  <c r="U558" i="7" s="1"/>
  <c r="A558" i="7"/>
  <c r="V558" i="7" s="1"/>
  <c r="U557" i="7"/>
  <c r="T557" i="7"/>
  <c r="S557" i="7"/>
  <c r="Q557" i="7"/>
  <c r="P557" i="7"/>
  <c r="F557" i="7"/>
  <c r="A557" i="7"/>
  <c r="V557" i="7" s="1"/>
  <c r="V556" i="7"/>
  <c r="R556" i="7"/>
  <c r="Q556" i="7"/>
  <c r="F556" i="7"/>
  <c r="A556" i="7"/>
  <c r="V555" i="7"/>
  <c r="U555" i="7"/>
  <c r="F555" i="7"/>
  <c r="A555" i="7"/>
  <c r="V554" i="7"/>
  <c r="T554" i="7"/>
  <c r="S554" i="7"/>
  <c r="P554" i="7"/>
  <c r="F554" i="7"/>
  <c r="A554" i="7"/>
  <c r="T553" i="7"/>
  <c r="R553" i="7"/>
  <c r="Q553" i="7"/>
  <c r="P553" i="7"/>
  <c r="F553" i="7"/>
  <c r="U553" i="7" s="1"/>
  <c r="A553" i="7"/>
  <c r="S553" i="7" s="1"/>
  <c r="V552" i="7"/>
  <c r="U552" i="7"/>
  <c r="S552" i="7"/>
  <c r="R552" i="7"/>
  <c r="Q552" i="7"/>
  <c r="P552" i="7"/>
  <c r="F552" i="7"/>
  <c r="A552" i="7"/>
  <c r="T552" i="7" s="1"/>
  <c r="S551" i="7"/>
  <c r="R551" i="7"/>
  <c r="F551" i="7"/>
  <c r="A551" i="7"/>
  <c r="T550" i="7"/>
  <c r="S550" i="7"/>
  <c r="R550" i="7"/>
  <c r="Q550" i="7"/>
  <c r="P550" i="7"/>
  <c r="F550" i="7"/>
  <c r="U550" i="7" s="1"/>
  <c r="A550" i="7"/>
  <c r="V550" i="7" s="1"/>
  <c r="U549" i="7"/>
  <c r="T549" i="7"/>
  <c r="S549" i="7"/>
  <c r="R549" i="7"/>
  <c r="Q549" i="7"/>
  <c r="P549" i="7"/>
  <c r="F549" i="7"/>
  <c r="A549" i="7"/>
  <c r="V549" i="7" s="1"/>
  <c r="V548" i="7"/>
  <c r="T548" i="7"/>
  <c r="S548" i="7"/>
  <c r="R548" i="7"/>
  <c r="Q548" i="7"/>
  <c r="F548" i="7"/>
  <c r="U548" i="7" s="1"/>
  <c r="A548" i="7"/>
  <c r="P548" i="7" s="1"/>
  <c r="V547" i="7"/>
  <c r="T547" i="7"/>
  <c r="S547" i="7"/>
  <c r="R547" i="7"/>
  <c r="P547" i="7"/>
  <c r="F547" i="7"/>
  <c r="U547" i="7" s="1"/>
  <c r="A547" i="7"/>
  <c r="Q547" i="7" s="1"/>
  <c r="V546" i="7"/>
  <c r="T546" i="7"/>
  <c r="S546" i="7"/>
  <c r="Q546" i="7"/>
  <c r="P546" i="7"/>
  <c r="F546" i="7"/>
  <c r="U546" i="7" s="1"/>
  <c r="A546" i="7"/>
  <c r="R546" i="7" s="1"/>
  <c r="V545" i="7"/>
  <c r="T545" i="7"/>
  <c r="R545" i="7"/>
  <c r="Q545" i="7"/>
  <c r="P545" i="7"/>
  <c r="F545" i="7"/>
  <c r="U545" i="7" s="1"/>
  <c r="A545" i="7"/>
  <c r="S545" i="7" s="1"/>
  <c r="S544" i="7"/>
  <c r="R544" i="7"/>
  <c r="Q544" i="7"/>
  <c r="P544" i="7"/>
  <c r="F544" i="7"/>
  <c r="U544" i="7" s="1"/>
  <c r="A544" i="7"/>
  <c r="T544" i="7" s="1"/>
  <c r="T543" i="7"/>
  <c r="S543" i="7"/>
  <c r="R543" i="7"/>
  <c r="Q543" i="7"/>
  <c r="P543" i="7"/>
  <c r="F543" i="7"/>
  <c r="A543" i="7"/>
  <c r="V543" i="7" s="1"/>
  <c r="T542" i="7"/>
  <c r="S542" i="7"/>
  <c r="R542" i="7"/>
  <c r="Q542" i="7"/>
  <c r="P542" i="7"/>
  <c r="F542" i="7"/>
  <c r="A542" i="7"/>
  <c r="V542" i="7" s="1"/>
  <c r="U541" i="7"/>
  <c r="T541" i="7"/>
  <c r="S541" i="7"/>
  <c r="R541" i="7"/>
  <c r="Q541" i="7"/>
  <c r="P541" i="7"/>
  <c r="F541" i="7"/>
  <c r="A541" i="7"/>
  <c r="V541" i="7" s="1"/>
  <c r="V540" i="7"/>
  <c r="F540" i="7"/>
  <c r="A540" i="7"/>
  <c r="F539" i="7"/>
  <c r="A539" i="7"/>
  <c r="V538" i="7"/>
  <c r="T538" i="7"/>
  <c r="P538" i="7"/>
  <c r="F538" i="7"/>
  <c r="A538" i="7"/>
  <c r="U537" i="7"/>
  <c r="T537" i="7"/>
  <c r="Q537" i="7"/>
  <c r="P537" i="7"/>
  <c r="F537" i="7"/>
  <c r="A537" i="7"/>
  <c r="S537" i="7" s="1"/>
  <c r="V536" i="7"/>
  <c r="U536" i="7"/>
  <c r="R536" i="7"/>
  <c r="Q536" i="7"/>
  <c r="P536" i="7"/>
  <c r="F536" i="7"/>
  <c r="A536" i="7"/>
  <c r="S535" i="7"/>
  <c r="F535" i="7"/>
  <c r="A535" i="7"/>
  <c r="V535" i="7" s="1"/>
  <c r="T534" i="7"/>
  <c r="S534" i="7"/>
  <c r="R534" i="7"/>
  <c r="Q534" i="7"/>
  <c r="P534" i="7"/>
  <c r="F534" i="7"/>
  <c r="A534" i="7"/>
  <c r="V534" i="7" s="1"/>
  <c r="U533" i="7"/>
  <c r="T533" i="7"/>
  <c r="S533" i="7"/>
  <c r="R533" i="7"/>
  <c r="Q533" i="7"/>
  <c r="P533" i="7"/>
  <c r="F533" i="7"/>
  <c r="A533" i="7"/>
  <c r="V533" i="7" s="1"/>
  <c r="V532" i="7"/>
  <c r="U532" i="7"/>
  <c r="R532" i="7"/>
  <c r="Q532" i="7"/>
  <c r="F532" i="7"/>
  <c r="A532" i="7"/>
  <c r="F531" i="7"/>
  <c r="A531" i="7"/>
  <c r="V530" i="7"/>
  <c r="T530" i="7"/>
  <c r="S530" i="7"/>
  <c r="P530" i="7"/>
  <c r="F530" i="7"/>
  <c r="A530" i="7"/>
  <c r="U529" i="7"/>
  <c r="T529" i="7"/>
  <c r="Q529" i="7"/>
  <c r="P529" i="7"/>
  <c r="F529" i="7"/>
  <c r="A529" i="7"/>
  <c r="S529" i="7" s="1"/>
  <c r="R528" i="7"/>
  <c r="Q528" i="7"/>
  <c r="F528" i="7"/>
  <c r="A528" i="7"/>
  <c r="V528" i="7" s="1"/>
  <c r="V527" i="7"/>
  <c r="S527" i="7"/>
  <c r="Q527" i="7"/>
  <c r="F527" i="7"/>
  <c r="A527" i="7"/>
  <c r="T526" i="7"/>
  <c r="S526" i="7"/>
  <c r="R526" i="7"/>
  <c r="Q526" i="7"/>
  <c r="P526" i="7"/>
  <c r="F526" i="7"/>
  <c r="A526" i="7"/>
  <c r="V526" i="7" s="1"/>
  <c r="U525" i="7"/>
  <c r="T525" i="7"/>
  <c r="S525" i="7"/>
  <c r="R525" i="7"/>
  <c r="Q525" i="7"/>
  <c r="P525" i="7"/>
  <c r="F525" i="7"/>
  <c r="A525" i="7"/>
  <c r="V525" i="7" s="1"/>
  <c r="T524" i="7"/>
  <c r="R524" i="7"/>
  <c r="Q524" i="7"/>
  <c r="F524" i="7"/>
  <c r="A524" i="7"/>
  <c r="R523" i="7"/>
  <c r="F523" i="7"/>
  <c r="A523" i="7"/>
  <c r="V523" i="7" s="1"/>
  <c r="T522" i="7"/>
  <c r="S522" i="7"/>
  <c r="F522" i="7"/>
  <c r="A522" i="7"/>
  <c r="T521" i="7"/>
  <c r="Q521" i="7"/>
  <c r="P521" i="7"/>
  <c r="F521" i="7"/>
  <c r="U521" i="7" s="1"/>
  <c r="A521" i="7"/>
  <c r="S521" i="7" s="1"/>
  <c r="U520" i="7"/>
  <c r="R520" i="7"/>
  <c r="F520" i="7"/>
  <c r="A520" i="7"/>
  <c r="V519" i="7"/>
  <c r="S519" i="7"/>
  <c r="R519" i="7"/>
  <c r="Q519" i="7"/>
  <c r="F519" i="7"/>
  <c r="A519" i="7"/>
  <c r="T518" i="7"/>
  <c r="S518" i="7"/>
  <c r="R518" i="7"/>
  <c r="Q518" i="7"/>
  <c r="P518" i="7"/>
  <c r="F518" i="7"/>
  <c r="A518" i="7"/>
  <c r="V518" i="7" s="1"/>
  <c r="U517" i="7"/>
  <c r="T517" i="7"/>
  <c r="S517" i="7"/>
  <c r="R517" i="7"/>
  <c r="Q517" i="7"/>
  <c r="P517" i="7"/>
  <c r="F517" i="7"/>
  <c r="A517" i="7"/>
  <c r="V517" i="7" s="1"/>
  <c r="T516" i="7"/>
  <c r="F516" i="7"/>
  <c r="A516" i="7"/>
  <c r="U516" i="7" s="1"/>
  <c r="V515" i="7"/>
  <c r="S515" i="7"/>
  <c r="R515" i="7"/>
  <c r="F515" i="7"/>
  <c r="A515" i="7"/>
  <c r="F514" i="7"/>
  <c r="A514" i="7"/>
  <c r="T513" i="7"/>
  <c r="Q513" i="7"/>
  <c r="P513" i="7"/>
  <c r="F513" i="7"/>
  <c r="U513" i="7" s="1"/>
  <c r="A513" i="7"/>
  <c r="S513" i="7" s="1"/>
  <c r="V512" i="7"/>
  <c r="U512" i="7"/>
  <c r="P512" i="7"/>
  <c r="F512" i="7"/>
  <c r="A512" i="7"/>
  <c r="R511" i="7"/>
  <c r="F511" i="7"/>
  <c r="A511" i="7"/>
  <c r="S511" i="7" s="1"/>
  <c r="T510" i="7"/>
  <c r="S510" i="7"/>
  <c r="R510" i="7"/>
  <c r="Q510" i="7"/>
  <c r="P510" i="7"/>
  <c r="F510" i="7"/>
  <c r="A510" i="7"/>
  <c r="V510" i="7" s="1"/>
  <c r="U509" i="7"/>
  <c r="T509" i="7"/>
  <c r="S509" i="7"/>
  <c r="R509" i="7"/>
  <c r="Q509" i="7"/>
  <c r="P509" i="7"/>
  <c r="F509" i="7"/>
  <c r="A509" i="7"/>
  <c r="V509" i="7" s="1"/>
  <c r="V508" i="7"/>
  <c r="U508" i="7"/>
  <c r="T508" i="7"/>
  <c r="Q508" i="7"/>
  <c r="F508" i="7"/>
  <c r="A508" i="7"/>
  <c r="F507" i="7"/>
  <c r="A507" i="7"/>
  <c r="T506" i="7"/>
  <c r="S506" i="7"/>
  <c r="F506" i="7"/>
  <c r="A506" i="7"/>
  <c r="V505" i="7"/>
  <c r="T505" i="7"/>
  <c r="Q505" i="7"/>
  <c r="P505" i="7"/>
  <c r="F505" i="7"/>
  <c r="U505" i="7" s="1"/>
  <c r="A505" i="7"/>
  <c r="F504" i="7"/>
  <c r="A504" i="7"/>
  <c r="F503" i="7"/>
  <c r="A503" i="7"/>
  <c r="T502" i="7"/>
  <c r="S502" i="7"/>
  <c r="R502" i="7"/>
  <c r="Q502" i="7"/>
  <c r="P502" i="7"/>
  <c r="F502" i="7"/>
  <c r="A502" i="7"/>
  <c r="V502" i="7" s="1"/>
  <c r="U501" i="7"/>
  <c r="T501" i="7"/>
  <c r="S501" i="7"/>
  <c r="R501" i="7"/>
  <c r="Q501" i="7"/>
  <c r="P501" i="7"/>
  <c r="F501" i="7"/>
  <c r="A501" i="7"/>
  <c r="V501" i="7" s="1"/>
  <c r="V500" i="7"/>
  <c r="S500" i="7"/>
  <c r="R500" i="7"/>
  <c r="F500" i="7"/>
  <c r="A500" i="7"/>
  <c r="U500" i="7" s="1"/>
  <c r="V499" i="7"/>
  <c r="U499" i="7"/>
  <c r="S499" i="7"/>
  <c r="R499" i="7"/>
  <c r="F499" i="7"/>
  <c r="A499" i="7"/>
  <c r="V498" i="7"/>
  <c r="T498" i="7"/>
  <c r="P498" i="7"/>
  <c r="F498" i="7"/>
  <c r="U498" i="7" s="1"/>
  <c r="A498" i="7"/>
  <c r="U497" i="7"/>
  <c r="T497" i="7"/>
  <c r="Q497" i="7"/>
  <c r="F497" i="7"/>
  <c r="A497" i="7"/>
  <c r="F496" i="7"/>
  <c r="A496" i="7"/>
  <c r="V495" i="7"/>
  <c r="R495" i="7"/>
  <c r="Q495" i="7"/>
  <c r="F495" i="7"/>
  <c r="A495" i="7"/>
  <c r="V494" i="7"/>
  <c r="S494" i="7"/>
  <c r="R494" i="7"/>
  <c r="Q494" i="7"/>
  <c r="F494" i="7"/>
  <c r="A494" i="7"/>
  <c r="T493" i="7"/>
  <c r="S493" i="7"/>
  <c r="R493" i="7"/>
  <c r="P493" i="7"/>
  <c r="F493" i="7"/>
  <c r="A493" i="7"/>
  <c r="Q493" i="7" s="1"/>
  <c r="U492" i="7"/>
  <c r="T492" i="7"/>
  <c r="S492" i="7"/>
  <c r="Q492" i="7"/>
  <c r="P492" i="7"/>
  <c r="F492" i="7"/>
  <c r="A492" i="7"/>
  <c r="R492" i="7" s="1"/>
  <c r="F491" i="7"/>
  <c r="A491" i="7"/>
  <c r="V490" i="7"/>
  <c r="S490" i="7"/>
  <c r="F490" i="7"/>
  <c r="U490" i="7" s="1"/>
  <c r="A490" i="7"/>
  <c r="V489" i="7"/>
  <c r="T489" i="7"/>
  <c r="S489" i="7"/>
  <c r="P489" i="7"/>
  <c r="F489" i="7"/>
  <c r="A489" i="7"/>
  <c r="U488" i="7"/>
  <c r="T488" i="7"/>
  <c r="S488" i="7"/>
  <c r="Q488" i="7"/>
  <c r="P488" i="7"/>
  <c r="F488" i="7"/>
  <c r="A488" i="7"/>
  <c r="V488" i="7" s="1"/>
  <c r="U487" i="7"/>
  <c r="Q487" i="7"/>
  <c r="P487" i="7"/>
  <c r="F487" i="7"/>
  <c r="A487" i="7"/>
  <c r="V487" i="7" s="1"/>
  <c r="F486" i="7"/>
  <c r="A486" i="7"/>
  <c r="T485" i="7"/>
  <c r="S485" i="7"/>
  <c r="R485" i="7"/>
  <c r="P485" i="7"/>
  <c r="F485" i="7"/>
  <c r="A485" i="7"/>
  <c r="Q485" i="7" s="1"/>
  <c r="U484" i="7"/>
  <c r="T484" i="7"/>
  <c r="S484" i="7"/>
  <c r="Q484" i="7"/>
  <c r="P484" i="7"/>
  <c r="F484" i="7"/>
  <c r="A484" i="7"/>
  <c r="R484" i="7" s="1"/>
  <c r="U483" i="7"/>
  <c r="T483" i="7"/>
  <c r="R483" i="7"/>
  <c r="Q483" i="7"/>
  <c r="F483" i="7"/>
  <c r="A483" i="7"/>
  <c r="V483" i="7" s="1"/>
  <c r="V482" i="7"/>
  <c r="S482" i="7"/>
  <c r="R482" i="7"/>
  <c r="F482" i="7"/>
  <c r="A482" i="7"/>
  <c r="F481" i="7"/>
  <c r="A481" i="7"/>
  <c r="U480" i="7"/>
  <c r="T480" i="7"/>
  <c r="S480" i="7"/>
  <c r="Q480" i="7"/>
  <c r="P480" i="7"/>
  <c r="F480" i="7"/>
  <c r="A480" i="7"/>
  <c r="V480" i="7" s="1"/>
  <c r="V479" i="7"/>
  <c r="U479" i="7"/>
  <c r="R479" i="7"/>
  <c r="Q479" i="7"/>
  <c r="F479" i="7"/>
  <c r="A479" i="7"/>
  <c r="V478" i="7"/>
  <c r="S478" i="7"/>
  <c r="R478" i="7"/>
  <c r="Q478" i="7"/>
  <c r="F478" i="7"/>
  <c r="A478" i="7"/>
  <c r="T477" i="7"/>
  <c r="S477" i="7"/>
  <c r="R477" i="7"/>
  <c r="P477" i="7"/>
  <c r="F477" i="7"/>
  <c r="A477" i="7"/>
  <c r="Q477" i="7" s="1"/>
  <c r="U476" i="7"/>
  <c r="T476" i="7"/>
  <c r="S476" i="7"/>
  <c r="R476" i="7"/>
  <c r="Q476" i="7"/>
  <c r="P476" i="7"/>
  <c r="F476" i="7"/>
  <c r="A476" i="7"/>
  <c r="V476" i="7" s="1"/>
  <c r="F475" i="7"/>
  <c r="A475" i="7"/>
  <c r="R474" i="7"/>
  <c r="F474" i="7"/>
  <c r="A474" i="7"/>
  <c r="V474" i="7" s="1"/>
  <c r="V473" i="7"/>
  <c r="T473" i="7"/>
  <c r="F473" i="7"/>
  <c r="A473" i="7"/>
  <c r="T472" i="7"/>
  <c r="S472" i="7"/>
  <c r="Q472" i="7"/>
  <c r="P472" i="7"/>
  <c r="F472" i="7"/>
  <c r="U472" i="7" s="1"/>
  <c r="A472" i="7"/>
  <c r="V472" i="7" s="1"/>
  <c r="V471" i="7"/>
  <c r="R471" i="7"/>
  <c r="Q471" i="7"/>
  <c r="P471" i="7"/>
  <c r="F471" i="7"/>
  <c r="A471" i="7"/>
  <c r="U471" i="7" s="1"/>
  <c r="F470" i="7"/>
  <c r="A470" i="7"/>
  <c r="T469" i="7"/>
  <c r="S469" i="7"/>
  <c r="R469" i="7"/>
  <c r="P469" i="7"/>
  <c r="F469" i="7"/>
  <c r="A469" i="7"/>
  <c r="Q469" i="7" s="1"/>
  <c r="U468" i="7"/>
  <c r="T468" i="7"/>
  <c r="S468" i="7"/>
  <c r="R468" i="7"/>
  <c r="Q468" i="7"/>
  <c r="P468" i="7"/>
  <c r="F468" i="7"/>
  <c r="A468" i="7"/>
  <c r="V468" i="7" s="1"/>
  <c r="V467" i="7"/>
  <c r="U467" i="7"/>
  <c r="T467" i="7"/>
  <c r="R467" i="7"/>
  <c r="Q467" i="7"/>
  <c r="F467" i="7"/>
  <c r="A467" i="7"/>
  <c r="V466" i="7"/>
  <c r="U466" i="7"/>
  <c r="S466" i="7"/>
  <c r="R466" i="7"/>
  <c r="F466" i="7"/>
  <c r="A466" i="7"/>
  <c r="V465" i="7"/>
  <c r="S465" i="7"/>
  <c r="P465" i="7"/>
  <c r="F465" i="7"/>
  <c r="A465" i="7"/>
  <c r="T465" i="7" s="1"/>
  <c r="T464" i="7"/>
  <c r="S464" i="7"/>
  <c r="Q464" i="7"/>
  <c r="P464" i="7"/>
  <c r="F464" i="7"/>
  <c r="U464" i="7" s="1"/>
  <c r="A464" i="7"/>
  <c r="V464" i="7" s="1"/>
  <c r="F463" i="7"/>
  <c r="A463" i="7"/>
  <c r="V462" i="7"/>
  <c r="S462" i="7"/>
  <c r="R462" i="7"/>
  <c r="Q462" i="7"/>
  <c r="F462" i="7"/>
  <c r="A462" i="7"/>
  <c r="T461" i="7"/>
  <c r="S461" i="7"/>
  <c r="R461" i="7"/>
  <c r="P461" i="7"/>
  <c r="F461" i="7"/>
  <c r="A461" i="7"/>
  <c r="Q461" i="7" s="1"/>
  <c r="U460" i="7"/>
  <c r="T460" i="7"/>
  <c r="S460" i="7"/>
  <c r="Q460" i="7"/>
  <c r="P460" i="7"/>
  <c r="F460" i="7"/>
  <c r="A460" i="7"/>
  <c r="R460" i="7" s="1"/>
  <c r="U459" i="7"/>
  <c r="R459" i="7"/>
  <c r="Q459" i="7"/>
  <c r="F459" i="7"/>
  <c r="A459" i="7"/>
  <c r="V459" i="7" s="1"/>
  <c r="F458" i="7"/>
  <c r="A458" i="7"/>
  <c r="V457" i="7"/>
  <c r="T457" i="7"/>
  <c r="S457" i="7"/>
  <c r="P457" i="7"/>
  <c r="F457" i="7"/>
  <c r="A457" i="7"/>
  <c r="U456" i="7"/>
  <c r="T456" i="7"/>
  <c r="S456" i="7"/>
  <c r="Q456" i="7"/>
  <c r="P456" i="7"/>
  <c r="F456" i="7"/>
  <c r="A456" i="7"/>
  <c r="V456" i="7" s="1"/>
  <c r="U455" i="7"/>
  <c r="R455" i="7"/>
  <c r="Q455" i="7"/>
  <c r="P455" i="7"/>
  <c r="F455" i="7"/>
  <c r="A455" i="7"/>
  <c r="V455" i="7" s="1"/>
  <c r="V454" i="7"/>
  <c r="R454" i="7"/>
  <c r="Q454" i="7"/>
  <c r="F454" i="7"/>
  <c r="A454" i="7"/>
  <c r="S454" i="7" s="1"/>
  <c r="T453" i="7"/>
  <c r="S453" i="7"/>
  <c r="R453" i="7"/>
  <c r="P453" i="7"/>
  <c r="F453" i="7"/>
  <c r="A453" i="7"/>
  <c r="Q453" i="7" s="1"/>
  <c r="U452" i="7"/>
  <c r="T452" i="7"/>
  <c r="S452" i="7"/>
  <c r="Q452" i="7"/>
  <c r="P452" i="7"/>
  <c r="F452" i="7"/>
  <c r="A452" i="7"/>
  <c r="R452" i="7" s="1"/>
  <c r="V451" i="7"/>
  <c r="U451" i="7"/>
  <c r="T451" i="7"/>
  <c r="R451" i="7"/>
  <c r="Q451" i="7"/>
  <c r="F451" i="7"/>
  <c r="A451" i="7"/>
  <c r="V450" i="7"/>
  <c r="U450" i="7"/>
  <c r="S450" i="7"/>
  <c r="R450" i="7"/>
  <c r="F450" i="7"/>
  <c r="A450" i="7"/>
  <c r="V449" i="7"/>
  <c r="S449" i="7"/>
  <c r="P449" i="7"/>
  <c r="F449" i="7"/>
  <c r="A449" i="7"/>
  <c r="T449" i="7" s="1"/>
  <c r="T448" i="7"/>
  <c r="S448" i="7"/>
  <c r="Q448" i="7"/>
  <c r="P448" i="7"/>
  <c r="F448" i="7"/>
  <c r="U448" i="7" s="1"/>
  <c r="A448" i="7"/>
  <c r="V448" i="7" s="1"/>
  <c r="F447" i="7"/>
  <c r="A447" i="7"/>
  <c r="V446" i="7"/>
  <c r="S446" i="7"/>
  <c r="R446" i="7"/>
  <c r="Q446" i="7"/>
  <c r="F446" i="7"/>
  <c r="A446" i="7"/>
  <c r="T445" i="7"/>
  <c r="S445" i="7"/>
  <c r="R445" i="7"/>
  <c r="P445" i="7"/>
  <c r="F445" i="7"/>
  <c r="A445" i="7"/>
  <c r="Q445" i="7" s="1"/>
  <c r="U444" i="7"/>
  <c r="T444" i="7"/>
  <c r="S444" i="7"/>
  <c r="Q444" i="7"/>
  <c r="P444" i="7"/>
  <c r="F444" i="7"/>
  <c r="A444" i="7"/>
  <c r="R444" i="7" s="1"/>
  <c r="U443" i="7"/>
  <c r="R443" i="7"/>
  <c r="Q443" i="7"/>
  <c r="F443" i="7"/>
  <c r="A443" i="7"/>
  <c r="V443" i="7" s="1"/>
  <c r="F442" i="7"/>
  <c r="A442" i="7"/>
  <c r="V441" i="7"/>
  <c r="T441" i="7"/>
  <c r="S441" i="7"/>
  <c r="P441" i="7"/>
  <c r="F441" i="7"/>
  <c r="A441" i="7"/>
  <c r="U440" i="7"/>
  <c r="T440" i="7"/>
  <c r="S440" i="7"/>
  <c r="Q440" i="7"/>
  <c r="P440" i="7"/>
  <c r="F440" i="7"/>
  <c r="A440" i="7"/>
  <c r="V440" i="7" s="1"/>
  <c r="U439" i="7"/>
  <c r="R439" i="7"/>
  <c r="Q439" i="7"/>
  <c r="P439" i="7"/>
  <c r="F439" i="7"/>
  <c r="A439" i="7"/>
  <c r="V439" i="7" s="1"/>
  <c r="V438" i="7"/>
  <c r="R438" i="7"/>
  <c r="Q438" i="7"/>
  <c r="F438" i="7"/>
  <c r="A438" i="7"/>
  <c r="S438" i="7" s="1"/>
  <c r="T437" i="7"/>
  <c r="S437" i="7"/>
  <c r="R437" i="7"/>
  <c r="P437" i="7"/>
  <c r="F437" i="7"/>
  <c r="A437" i="7"/>
  <c r="Q437" i="7" s="1"/>
  <c r="U436" i="7"/>
  <c r="T436" i="7"/>
  <c r="S436" i="7"/>
  <c r="Q436" i="7"/>
  <c r="P436" i="7"/>
  <c r="F436" i="7"/>
  <c r="A436" i="7"/>
  <c r="R436" i="7" s="1"/>
  <c r="V435" i="7"/>
  <c r="U435" i="7"/>
  <c r="T435" i="7"/>
  <c r="R435" i="7"/>
  <c r="Q435" i="7"/>
  <c r="F435" i="7"/>
  <c r="A435" i="7"/>
  <c r="U434" i="7"/>
  <c r="S434" i="7"/>
  <c r="F434" i="7"/>
  <c r="A434" i="7"/>
  <c r="T433" i="7"/>
  <c r="S433" i="7"/>
  <c r="Q433" i="7"/>
  <c r="P433" i="7"/>
  <c r="F433" i="7"/>
  <c r="A433" i="7"/>
  <c r="V433" i="7" s="1"/>
  <c r="U432" i="7"/>
  <c r="T432" i="7"/>
  <c r="S432" i="7"/>
  <c r="R432" i="7"/>
  <c r="Q432" i="7"/>
  <c r="P432" i="7"/>
  <c r="F432" i="7"/>
  <c r="A432" i="7"/>
  <c r="V432" i="7" s="1"/>
  <c r="V431" i="7"/>
  <c r="S431" i="7"/>
  <c r="R431" i="7"/>
  <c r="Q431" i="7"/>
  <c r="P431" i="7"/>
  <c r="F431" i="7"/>
  <c r="A431" i="7"/>
  <c r="T431" i="7" s="1"/>
  <c r="V430" i="7"/>
  <c r="S430" i="7"/>
  <c r="R430" i="7"/>
  <c r="Q430" i="7"/>
  <c r="F430" i="7"/>
  <c r="A430" i="7"/>
  <c r="T430" i="7" s="1"/>
  <c r="T429" i="7"/>
  <c r="S429" i="7"/>
  <c r="R429" i="7"/>
  <c r="P429" i="7"/>
  <c r="F429" i="7"/>
  <c r="U429" i="7" s="1"/>
  <c r="A429" i="7"/>
  <c r="Q429" i="7" s="1"/>
  <c r="T428" i="7"/>
  <c r="Q428" i="7"/>
  <c r="P428" i="7"/>
  <c r="F428" i="7"/>
  <c r="A428" i="7"/>
  <c r="R428" i="7" s="1"/>
  <c r="T427" i="7"/>
  <c r="F427" i="7"/>
  <c r="A427" i="7"/>
  <c r="R426" i="7"/>
  <c r="F426" i="7"/>
  <c r="A426" i="7"/>
  <c r="V425" i="7"/>
  <c r="P425" i="7"/>
  <c r="F425" i="7"/>
  <c r="A425" i="7"/>
  <c r="T425" i="7" s="1"/>
  <c r="U424" i="7"/>
  <c r="T424" i="7"/>
  <c r="S424" i="7"/>
  <c r="R424" i="7"/>
  <c r="Q424" i="7"/>
  <c r="P424" i="7"/>
  <c r="F424" i="7"/>
  <c r="A424" i="7"/>
  <c r="V424" i="7" s="1"/>
  <c r="V423" i="7"/>
  <c r="U423" i="7"/>
  <c r="P423" i="7"/>
  <c r="F423" i="7"/>
  <c r="A423" i="7"/>
  <c r="T423" i="7" s="1"/>
  <c r="V422" i="7"/>
  <c r="T422" i="7"/>
  <c r="S422" i="7"/>
  <c r="R422" i="7"/>
  <c r="Q422" i="7"/>
  <c r="F422" i="7"/>
  <c r="A422" i="7"/>
  <c r="U421" i="7"/>
  <c r="T421" i="7"/>
  <c r="S421" i="7"/>
  <c r="R421" i="7"/>
  <c r="P421" i="7"/>
  <c r="F421" i="7"/>
  <c r="A421" i="7"/>
  <c r="Q421" i="7" s="1"/>
  <c r="F420" i="7"/>
  <c r="A420" i="7"/>
  <c r="T420" i="7" s="1"/>
  <c r="U419" i="7"/>
  <c r="T419" i="7"/>
  <c r="R419" i="7"/>
  <c r="Q419" i="7"/>
  <c r="F419" i="7"/>
  <c r="A419" i="7"/>
  <c r="V419" i="7" s="1"/>
  <c r="V418" i="7"/>
  <c r="S418" i="7"/>
  <c r="R418" i="7"/>
  <c r="Q418" i="7"/>
  <c r="P418" i="7"/>
  <c r="F418" i="7"/>
  <c r="A418" i="7"/>
  <c r="T418" i="7" s="1"/>
  <c r="V417" i="7"/>
  <c r="S417" i="7"/>
  <c r="R417" i="7"/>
  <c r="Q417" i="7"/>
  <c r="P417" i="7"/>
  <c r="F417" i="7"/>
  <c r="A417" i="7"/>
  <c r="T417" i="7" s="1"/>
  <c r="U416" i="7"/>
  <c r="T416" i="7"/>
  <c r="S416" i="7"/>
  <c r="R416" i="7"/>
  <c r="Q416" i="7"/>
  <c r="P416" i="7"/>
  <c r="F416" i="7"/>
  <c r="A416" i="7"/>
  <c r="V416" i="7" s="1"/>
  <c r="F415" i="7"/>
  <c r="A415" i="7"/>
  <c r="S414" i="7"/>
  <c r="F414" i="7"/>
  <c r="A414" i="7"/>
  <c r="F413" i="7"/>
  <c r="A413" i="7"/>
  <c r="S412" i="7"/>
  <c r="F412" i="7"/>
  <c r="A412" i="7"/>
  <c r="F411" i="7"/>
  <c r="A411" i="7"/>
  <c r="R410" i="7"/>
  <c r="F410" i="7"/>
  <c r="A410" i="7"/>
  <c r="F409" i="7"/>
  <c r="A409" i="7"/>
  <c r="T408" i="7"/>
  <c r="S408" i="7"/>
  <c r="R408" i="7"/>
  <c r="Q408" i="7"/>
  <c r="P408" i="7"/>
  <c r="F408" i="7"/>
  <c r="U408" i="7" s="1"/>
  <c r="A408" i="7"/>
  <c r="V408" i="7" s="1"/>
  <c r="U407" i="7"/>
  <c r="T407" i="7"/>
  <c r="S407" i="7"/>
  <c r="R407" i="7"/>
  <c r="Q407" i="7"/>
  <c r="P407" i="7"/>
  <c r="F407" i="7"/>
  <c r="A407" i="7"/>
  <c r="V407" i="7" s="1"/>
  <c r="V406" i="7"/>
  <c r="T406" i="7"/>
  <c r="S406" i="7"/>
  <c r="R406" i="7"/>
  <c r="Q406" i="7"/>
  <c r="F406" i="7"/>
  <c r="U406" i="7" s="1"/>
  <c r="A406" i="7"/>
  <c r="P406" i="7" s="1"/>
  <c r="V405" i="7"/>
  <c r="T405" i="7"/>
  <c r="S405" i="7"/>
  <c r="R405" i="7"/>
  <c r="P405" i="7"/>
  <c r="F405" i="7"/>
  <c r="U405" i="7" s="1"/>
  <c r="A405" i="7"/>
  <c r="Q405" i="7" s="1"/>
  <c r="V404" i="7"/>
  <c r="T404" i="7"/>
  <c r="S404" i="7"/>
  <c r="Q404" i="7"/>
  <c r="P404" i="7"/>
  <c r="F404" i="7"/>
  <c r="U404" i="7" s="1"/>
  <c r="A404" i="7"/>
  <c r="R404" i="7" s="1"/>
  <c r="V403" i="7"/>
  <c r="T403" i="7"/>
  <c r="R403" i="7"/>
  <c r="Q403" i="7"/>
  <c r="P403" i="7"/>
  <c r="F403" i="7"/>
  <c r="U403" i="7" s="1"/>
  <c r="A403" i="7"/>
  <c r="S403" i="7" s="1"/>
  <c r="V402" i="7"/>
  <c r="S402" i="7"/>
  <c r="R402" i="7"/>
  <c r="Q402" i="7"/>
  <c r="P402" i="7"/>
  <c r="F402" i="7"/>
  <c r="U402" i="7" s="1"/>
  <c r="A402" i="7"/>
  <c r="T402" i="7" s="1"/>
  <c r="V401" i="7"/>
  <c r="T401" i="7"/>
  <c r="S401" i="7"/>
  <c r="R401" i="7"/>
  <c r="Q401" i="7"/>
  <c r="P401" i="7"/>
  <c r="F401" i="7"/>
  <c r="A401" i="7"/>
  <c r="T400" i="7"/>
  <c r="S400" i="7"/>
  <c r="R400" i="7"/>
  <c r="Q400" i="7"/>
  <c r="P400" i="7"/>
  <c r="F400" i="7"/>
  <c r="U400" i="7" s="1"/>
  <c r="A400" i="7"/>
  <c r="V400" i="7" s="1"/>
  <c r="U399" i="7"/>
  <c r="T399" i="7"/>
  <c r="P399" i="7"/>
  <c r="F399" i="7"/>
  <c r="A399" i="7"/>
  <c r="V399" i="7" s="1"/>
  <c r="F398" i="7"/>
  <c r="A398" i="7"/>
  <c r="R397" i="7"/>
  <c r="F397" i="7"/>
  <c r="A397" i="7"/>
  <c r="S396" i="7"/>
  <c r="Q396" i="7"/>
  <c r="P396" i="7"/>
  <c r="F396" i="7"/>
  <c r="A396" i="7"/>
  <c r="V396" i="7" s="1"/>
  <c r="T395" i="7"/>
  <c r="R395" i="7"/>
  <c r="Q395" i="7"/>
  <c r="P395" i="7"/>
  <c r="F395" i="7"/>
  <c r="U395" i="7" s="1"/>
  <c r="A395" i="7"/>
  <c r="V395" i="7" s="1"/>
  <c r="U394" i="7"/>
  <c r="S394" i="7"/>
  <c r="R394" i="7"/>
  <c r="Q394" i="7"/>
  <c r="P394" i="7"/>
  <c r="F394" i="7"/>
  <c r="A394" i="7"/>
  <c r="V394" i="7" s="1"/>
  <c r="V393" i="7"/>
  <c r="S393" i="7"/>
  <c r="R393" i="7"/>
  <c r="F393" i="7"/>
  <c r="A393" i="7"/>
  <c r="T392" i="7"/>
  <c r="S392" i="7"/>
  <c r="R392" i="7"/>
  <c r="Q392" i="7"/>
  <c r="P392" i="7"/>
  <c r="F392" i="7"/>
  <c r="U392" i="7" s="1"/>
  <c r="A392" i="7"/>
  <c r="V392" i="7" s="1"/>
  <c r="U391" i="7"/>
  <c r="T391" i="7"/>
  <c r="P391" i="7"/>
  <c r="F391" i="7"/>
  <c r="A391" i="7"/>
  <c r="V391" i="7" s="1"/>
  <c r="V390" i="7"/>
  <c r="Q390" i="7"/>
  <c r="F390" i="7"/>
  <c r="A390" i="7"/>
  <c r="F389" i="7"/>
  <c r="A389" i="7"/>
  <c r="S388" i="7"/>
  <c r="Q388" i="7"/>
  <c r="P388" i="7"/>
  <c r="F388" i="7"/>
  <c r="A388" i="7"/>
  <c r="V388" i="7" s="1"/>
  <c r="T387" i="7"/>
  <c r="R387" i="7"/>
  <c r="Q387" i="7"/>
  <c r="P387" i="7"/>
  <c r="F387" i="7"/>
  <c r="U387" i="7" s="1"/>
  <c r="A387" i="7"/>
  <c r="V387" i="7" s="1"/>
  <c r="U386" i="7"/>
  <c r="S386" i="7"/>
  <c r="R386" i="7"/>
  <c r="Q386" i="7"/>
  <c r="F386" i="7"/>
  <c r="A386" i="7"/>
  <c r="P386" i="7" s="1"/>
  <c r="V385" i="7"/>
  <c r="R385" i="7"/>
  <c r="F385" i="7"/>
  <c r="A385" i="7"/>
  <c r="S385" i="7" s="1"/>
  <c r="T384" i="7"/>
  <c r="S384" i="7"/>
  <c r="R384" i="7"/>
  <c r="Q384" i="7"/>
  <c r="P384" i="7"/>
  <c r="F384" i="7"/>
  <c r="U384" i="7" s="1"/>
  <c r="A384" i="7"/>
  <c r="V384" i="7" s="1"/>
  <c r="U383" i="7"/>
  <c r="T383" i="7"/>
  <c r="P383" i="7"/>
  <c r="F383" i="7"/>
  <c r="A383" i="7"/>
  <c r="V383" i="7" s="1"/>
  <c r="F382" i="7"/>
  <c r="A382" i="7"/>
  <c r="V382" i="7" s="1"/>
  <c r="V381" i="7"/>
  <c r="R381" i="7"/>
  <c r="F381" i="7"/>
  <c r="A381" i="7"/>
  <c r="T380" i="7"/>
  <c r="S380" i="7"/>
  <c r="Q380" i="7"/>
  <c r="P380" i="7"/>
  <c r="F380" i="7"/>
  <c r="A380" i="7"/>
  <c r="V380" i="7" s="1"/>
  <c r="U379" i="7"/>
  <c r="T379" i="7"/>
  <c r="R379" i="7"/>
  <c r="Q379" i="7"/>
  <c r="P379" i="7"/>
  <c r="F379" i="7"/>
  <c r="A379" i="7"/>
  <c r="V379" i="7" s="1"/>
  <c r="U378" i="7"/>
  <c r="S378" i="7"/>
  <c r="R378" i="7"/>
  <c r="Q378" i="7"/>
  <c r="F378" i="7"/>
  <c r="A378" i="7"/>
  <c r="P378" i="7" s="1"/>
  <c r="V377" i="7"/>
  <c r="S377" i="7"/>
  <c r="R377" i="7"/>
  <c r="F377" i="7"/>
  <c r="A377" i="7"/>
  <c r="T376" i="7"/>
  <c r="S376" i="7"/>
  <c r="R376" i="7"/>
  <c r="Q376" i="7"/>
  <c r="P376" i="7"/>
  <c r="F376" i="7"/>
  <c r="U376" i="7" s="1"/>
  <c r="A376" i="7"/>
  <c r="V376" i="7" s="1"/>
  <c r="U375" i="7"/>
  <c r="T375" i="7"/>
  <c r="P375" i="7"/>
  <c r="F375" i="7"/>
  <c r="A375" i="7"/>
  <c r="V375" i="7" s="1"/>
  <c r="V374" i="7"/>
  <c r="Q374" i="7"/>
  <c r="F374" i="7"/>
  <c r="A374" i="7"/>
  <c r="F373" i="7"/>
  <c r="A373" i="7"/>
  <c r="T372" i="7"/>
  <c r="S372" i="7"/>
  <c r="Q372" i="7"/>
  <c r="P372" i="7"/>
  <c r="F372" i="7"/>
  <c r="A372" i="7"/>
  <c r="V372" i="7" s="1"/>
  <c r="U371" i="7"/>
  <c r="T371" i="7"/>
  <c r="R371" i="7"/>
  <c r="Q371" i="7"/>
  <c r="P371" i="7"/>
  <c r="F371" i="7"/>
  <c r="A371" i="7"/>
  <c r="V371" i="7" s="1"/>
  <c r="U370" i="7"/>
  <c r="S370" i="7"/>
  <c r="R370" i="7"/>
  <c r="Q370" i="7"/>
  <c r="F370" i="7"/>
  <c r="A370" i="7"/>
  <c r="P370" i="7" s="1"/>
  <c r="F369" i="7"/>
  <c r="A369" i="7"/>
  <c r="T368" i="7"/>
  <c r="S368" i="7"/>
  <c r="R368" i="7"/>
  <c r="Q368" i="7"/>
  <c r="P368" i="7"/>
  <c r="F368" i="7"/>
  <c r="U368" i="7" s="1"/>
  <c r="A368" i="7"/>
  <c r="V368" i="7" s="1"/>
  <c r="U367" i="7"/>
  <c r="T367" i="7"/>
  <c r="P367" i="7"/>
  <c r="F367" i="7"/>
  <c r="A367" i="7"/>
  <c r="V367" i="7" s="1"/>
  <c r="V366" i="7"/>
  <c r="U366" i="7"/>
  <c r="Q366" i="7"/>
  <c r="F366" i="7"/>
  <c r="A366" i="7"/>
  <c r="V365" i="7"/>
  <c r="F365" i="7"/>
  <c r="A365" i="7"/>
  <c r="T364" i="7"/>
  <c r="S364" i="7"/>
  <c r="Q364" i="7"/>
  <c r="P364" i="7"/>
  <c r="F364" i="7"/>
  <c r="A364" i="7"/>
  <c r="V364" i="7" s="1"/>
  <c r="U363" i="7"/>
  <c r="T363" i="7"/>
  <c r="R363" i="7"/>
  <c r="Q363" i="7"/>
  <c r="P363" i="7"/>
  <c r="F363" i="7"/>
  <c r="A363" i="7"/>
  <c r="V363" i="7" s="1"/>
  <c r="U362" i="7"/>
  <c r="S362" i="7"/>
  <c r="R362" i="7"/>
  <c r="Q362" i="7"/>
  <c r="F362" i="7"/>
  <c r="A362" i="7"/>
  <c r="P362" i="7" s="1"/>
  <c r="S361" i="7"/>
  <c r="F361" i="7"/>
  <c r="A361" i="7"/>
  <c r="T360" i="7"/>
  <c r="S360" i="7"/>
  <c r="R360" i="7"/>
  <c r="Q360" i="7"/>
  <c r="P360" i="7"/>
  <c r="F360" i="7"/>
  <c r="U360" i="7" s="1"/>
  <c r="A360" i="7"/>
  <c r="V360" i="7" s="1"/>
  <c r="U359" i="7"/>
  <c r="T359" i="7"/>
  <c r="P359" i="7"/>
  <c r="F359" i="7"/>
  <c r="A359" i="7"/>
  <c r="V359" i="7" s="1"/>
  <c r="V358" i="7"/>
  <c r="Q358" i="7"/>
  <c r="F358" i="7"/>
  <c r="A358" i="7"/>
  <c r="U358" i="7" s="1"/>
  <c r="F357" i="7"/>
  <c r="A357" i="7"/>
  <c r="T356" i="7"/>
  <c r="S356" i="7"/>
  <c r="Q356" i="7"/>
  <c r="P356" i="7"/>
  <c r="F356" i="7"/>
  <c r="A356" i="7"/>
  <c r="V356" i="7" s="1"/>
  <c r="U355" i="7"/>
  <c r="T355" i="7"/>
  <c r="R355" i="7"/>
  <c r="Q355" i="7"/>
  <c r="P355" i="7"/>
  <c r="F355" i="7"/>
  <c r="A355" i="7"/>
  <c r="V355" i="7" s="1"/>
  <c r="U354" i="7"/>
  <c r="S354" i="7"/>
  <c r="R354" i="7"/>
  <c r="Q354" i="7"/>
  <c r="F354" i="7"/>
  <c r="A354" i="7"/>
  <c r="P354" i="7" s="1"/>
  <c r="F353" i="7"/>
  <c r="A353" i="7"/>
  <c r="T352" i="7"/>
  <c r="S352" i="7"/>
  <c r="R352" i="7"/>
  <c r="Q352" i="7"/>
  <c r="P352" i="7"/>
  <c r="F352" i="7"/>
  <c r="U352" i="7" s="1"/>
  <c r="A352" i="7"/>
  <c r="V352" i="7" s="1"/>
  <c r="U351" i="7"/>
  <c r="T351" i="7"/>
  <c r="P351" i="7"/>
  <c r="F351" i="7"/>
  <c r="A351" i="7"/>
  <c r="V351" i="7" s="1"/>
  <c r="V350" i="7"/>
  <c r="U350" i="7"/>
  <c r="Q350" i="7"/>
  <c r="F350" i="7"/>
  <c r="A350" i="7"/>
  <c r="F349" i="7"/>
  <c r="A349" i="7"/>
  <c r="T348" i="7"/>
  <c r="S348" i="7"/>
  <c r="Q348" i="7"/>
  <c r="P348" i="7"/>
  <c r="F348" i="7"/>
  <c r="A348" i="7"/>
  <c r="V348" i="7" s="1"/>
  <c r="U347" i="7"/>
  <c r="T347" i="7"/>
  <c r="R347" i="7"/>
  <c r="Q347" i="7"/>
  <c r="P347" i="7"/>
  <c r="F347" i="7"/>
  <c r="A347" i="7"/>
  <c r="V347" i="7" s="1"/>
  <c r="U346" i="7"/>
  <c r="S346" i="7"/>
  <c r="R346" i="7"/>
  <c r="Q346" i="7"/>
  <c r="F346" i="7"/>
  <c r="A346" i="7"/>
  <c r="P346" i="7" s="1"/>
  <c r="F345" i="7"/>
  <c r="A345" i="7"/>
  <c r="T344" i="7"/>
  <c r="S344" i="7"/>
  <c r="R344" i="7"/>
  <c r="Q344" i="7"/>
  <c r="P344" i="7"/>
  <c r="F344" i="7"/>
  <c r="U344" i="7" s="1"/>
  <c r="A344" i="7"/>
  <c r="V344" i="7" s="1"/>
  <c r="U343" i="7"/>
  <c r="T343" i="7"/>
  <c r="P343" i="7"/>
  <c r="F343" i="7"/>
  <c r="A343" i="7"/>
  <c r="V343" i="7" s="1"/>
  <c r="F342" i="7"/>
  <c r="A342" i="7"/>
  <c r="R341" i="7"/>
  <c r="F341" i="7"/>
  <c r="A341" i="7"/>
  <c r="T340" i="7"/>
  <c r="S340" i="7"/>
  <c r="Q340" i="7"/>
  <c r="P340" i="7"/>
  <c r="F340" i="7"/>
  <c r="A340" i="7"/>
  <c r="V340" i="7" s="1"/>
  <c r="U339" i="7"/>
  <c r="T339" i="7"/>
  <c r="R339" i="7"/>
  <c r="Q339" i="7"/>
  <c r="P339" i="7"/>
  <c r="F339" i="7"/>
  <c r="A339" i="7"/>
  <c r="V339" i="7" s="1"/>
  <c r="U338" i="7"/>
  <c r="S338" i="7"/>
  <c r="R338" i="7"/>
  <c r="Q338" i="7"/>
  <c r="F338" i="7"/>
  <c r="A338" i="7"/>
  <c r="P338" i="7" s="1"/>
  <c r="V337" i="7"/>
  <c r="R337" i="7"/>
  <c r="F337" i="7"/>
  <c r="A337" i="7"/>
  <c r="U336" i="7"/>
  <c r="T336" i="7"/>
  <c r="S336" i="7"/>
  <c r="R336" i="7"/>
  <c r="Q336" i="7"/>
  <c r="P336" i="7"/>
  <c r="F336" i="7"/>
  <c r="A336" i="7"/>
  <c r="V336" i="7" s="1"/>
  <c r="F335" i="7"/>
  <c r="A335" i="7"/>
  <c r="T335" i="7" s="1"/>
  <c r="F334" i="7"/>
  <c r="A334" i="7"/>
  <c r="V333" i="7"/>
  <c r="P333" i="7"/>
  <c r="F333" i="7"/>
  <c r="A333" i="7"/>
  <c r="T332" i="7"/>
  <c r="S332" i="7"/>
  <c r="Q332" i="7"/>
  <c r="P332" i="7"/>
  <c r="F332" i="7"/>
  <c r="A332" i="7"/>
  <c r="V332" i="7" s="1"/>
  <c r="U331" i="7"/>
  <c r="T331" i="7"/>
  <c r="R331" i="7"/>
  <c r="Q331" i="7"/>
  <c r="P331" i="7"/>
  <c r="F331" i="7"/>
  <c r="A331" i="7"/>
  <c r="V331" i="7" s="1"/>
  <c r="V330" i="7"/>
  <c r="F330" i="7"/>
  <c r="A330" i="7"/>
  <c r="T329" i="7"/>
  <c r="R329" i="7"/>
  <c r="F329" i="7"/>
  <c r="A329" i="7"/>
  <c r="V329" i="7" s="1"/>
  <c r="U328" i="7"/>
  <c r="T328" i="7"/>
  <c r="S328" i="7"/>
  <c r="R328" i="7"/>
  <c r="Q328" i="7"/>
  <c r="P328" i="7"/>
  <c r="F328" i="7"/>
  <c r="A328" i="7"/>
  <c r="V328" i="7" s="1"/>
  <c r="V327" i="7"/>
  <c r="U327" i="7"/>
  <c r="Q327" i="7"/>
  <c r="F327" i="7"/>
  <c r="A327" i="7"/>
  <c r="V326" i="7"/>
  <c r="R326" i="7"/>
  <c r="Q326" i="7"/>
  <c r="F326" i="7"/>
  <c r="U326" i="7" s="1"/>
  <c r="A326" i="7"/>
  <c r="V325" i="7"/>
  <c r="S325" i="7"/>
  <c r="R325" i="7"/>
  <c r="P325" i="7"/>
  <c r="F325" i="7"/>
  <c r="A325" i="7"/>
  <c r="T324" i="7"/>
  <c r="S324" i="7"/>
  <c r="Q324" i="7"/>
  <c r="P324" i="7"/>
  <c r="F324" i="7"/>
  <c r="A324" i="7"/>
  <c r="V324" i="7" s="1"/>
  <c r="U323" i="7"/>
  <c r="T323" i="7"/>
  <c r="R323" i="7"/>
  <c r="Q323" i="7"/>
  <c r="P323" i="7"/>
  <c r="F323" i="7"/>
  <c r="A323" i="7"/>
  <c r="V323" i="7" s="1"/>
  <c r="V322" i="7"/>
  <c r="U322" i="7"/>
  <c r="R322" i="7"/>
  <c r="F322" i="7"/>
  <c r="A322" i="7"/>
  <c r="V321" i="7"/>
  <c r="T321" i="7"/>
  <c r="S321" i="7"/>
  <c r="R321" i="7"/>
  <c r="F321" i="7"/>
  <c r="A321" i="7"/>
  <c r="T320" i="7"/>
  <c r="S320" i="7"/>
  <c r="R320" i="7"/>
  <c r="Q320" i="7"/>
  <c r="P320" i="7"/>
  <c r="F320" i="7"/>
  <c r="U320" i="7" s="1"/>
  <c r="A320" i="7"/>
  <c r="V320" i="7" s="1"/>
  <c r="Q319" i="7"/>
  <c r="P319" i="7"/>
  <c r="F319" i="7"/>
  <c r="A319" i="7"/>
  <c r="F318" i="7"/>
  <c r="A318" i="7"/>
  <c r="S317" i="7"/>
  <c r="P317" i="7"/>
  <c r="F317" i="7"/>
  <c r="A317" i="7"/>
  <c r="V317" i="7" s="1"/>
  <c r="T316" i="7"/>
  <c r="S316" i="7"/>
  <c r="Q316" i="7"/>
  <c r="P316" i="7"/>
  <c r="F316" i="7"/>
  <c r="A316" i="7"/>
  <c r="V316" i="7" s="1"/>
  <c r="U315" i="7"/>
  <c r="T315" i="7"/>
  <c r="R315" i="7"/>
  <c r="Q315" i="7"/>
  <c r="P315" i="7"/>
  <c r="F315" i="7"/>
  <c r="A315" i="7"/>
  <c r="V315" i="7" s="1"/>
  <c r="F314" i="7"/>
  <c r="A314" i="7"/>
  <c r="F313" i="7"/>
  <c r="A313" i="7"/>
  <c r="T312" i="7"/>
  <c r="S312" i="7"/>
  <c r="R312" i="7"/>
  <c r="Q312" i="7"/>
  <c r="P312" i="7"/>
  <c r="F312" i="7"/>
  <c r="U312" i="7" s="1"/>
  <c r="A312" i="7"/>
  <c r="V312" i="7" s="1"/>
  <c r="F311" i="7"/>
  <c r="A311" i="7"/>
  <c r="V310" i="7"/>
  <c r="R310" i="7"/>
  <c r="F310" i="7"/>
  <c r="A310" i="7"/>
  <c r="V309" i="7"/>
  <c r="S309" i="7"/>
  <c r="R309" i="7"/>
  <c r="P309" i="7"/>
  <c r="F309" i="7"/>
  <c r="A309" i="7"/>
  <c r="T308" i="7"/>
  <c r="S308" i="7"/>
  <c r="Q308" i="7"/>
  <c r="P308" i="7"/>
  <c r="F308" i="7"/>
  <c r="A308" i="7"/>
  <c r="V308" i="7" s="1"/>
  <c r="U307" i="7"/>
  <c r="T307" i="7"/>
  <c r="R307" i="7"/>
  <c r="Q307" i="7"/>
  <c r="P307" i="7"/>
  <c r="F307" i="7"/>
  <c r="A307" i="7"/>
  <c r="V307" i="7" s="1"/>
  <c r="F306" i="7"/>
  <c r="A306" i="7"/>
  <c r="V305" i="7"/>
  <c r="S305" i="7"/>
  <c r="P305" i="7"/>
  <c r="F305" i="7"/>
  <c r="A305" i="7"/>
  <c r="T305" i="7" s="1"/>
  <c r="U304" i="7"/>
  <c r="T304" i="7"/>
  <c r="S304" i="7"/>
  <c r="R304" i="7"/>
  <c r="Q304" i="7"/>
  <c r="P304" i="7"/>
  <c r="F304" i="7"/>
  <c r="A304" i="7"/>
  <c r="V304" i="7" s="1"/>
  <c r="F303" i="7"/>
  <c r="A303" i="7"/>
  <c r="F302" i="7"/>
  <c r="A302" i="7"/>
  <c r="F301" i="7"/>
  <c r="A301" i="7"/>
  <c r="F300" i="7"/>
  <c r="A300" i="7"/>
  <c r="F299" i="7"/>
  <c r="A299" i="7"/>
  <c r="F298" i="7"/>
  <c r="A298" i="7"/>
  <c r="F297" i="7"/>
  <c r="A297" i="7"/>
  <c r="U296" i="7"/>
  <c r="T296" i="7"/>
  <c r="S296" i="7"/>
  <c r="R296" i="7"/>
  <c r="Q296" i="7"/>
  <c r="P296" i="7"/>
  <c r="F296" i="7"/>
  <c r="A296" i="7"/>
  <c r="V296" i="7" s="1"/>
  <c r="F295" i="7"/>
  <c r="A295" i="7"/>
  <c r="F294" i="7"/>
  <c r="A294" i="7"/>
  <c r="U293" i="7"/>
  <c r="F293" i="7"/>
  <c r="A293" i="7"/>
  <c r="U292" i="7"/>
  <c r="F292" i="7"/>
  <c r="A292" i="7"/>
  <c r="F291" i="7"/>
  <c r="A291" i="7"/>
  <c r="F290" i="7"/>
  <c r="A290" i="7"/>
  <c r="F289" i="7"/>
  <c r="A289" i="7"/>
  <c r="T288" i="7"/>
  <c r="S288" i="7"/>
  <c r="R288" i="7"/>
  <c r="Q288" i="7"/>
  <c r="P288" i="7"/>
  <c r="F288" i="7"/>
  <c r="U288" i="7" s="1"/>
  <c r="A288" i="7"/>
  <c r="V288" i="7" s="1"/>
  <c r="U287" i="7"/>
  <c r="S287" i="7"/>
  <c r="R287" i="7"/>
  <c r="Q287" i="7"/>
  <c r="P287" i="7"/>
  <c r="F287" i="7"/>
  <c r="A287" i="7"/>
  <c r="V287" i="7" s="1"/>
  <c r="V286" i="7"/>
  <c r="T286" i="7"/>
  <c r="S286" i="7"/>
  <c r="R286" i="7"/>
  <c r="Q286" i="7"/>
  <c r="F286" i="7"/>
  <c r="A286" i="7"/>
  <c r="P286" i="7" s="1"/>
  <c r="V285" i="7"/>
  <c r="T285" i="7"/>
  <c r="S285" i="7"/>
  <c r="R285" i="7"/>
  <c r="P285" i="7"/>
  <c r="F285" i="7"/>
  <c r="A285" i="7"/>
  <c r="Q285" i="7" s="1"/>
  <c r="V284" i="7"/>
  <c r="T284" i="7"/>
  <c r="S284" i="7"/>
  <c r="Q284" i="7"/>
  <c r="P284" i="7"/>
  <c r="F284" i="7"/>
  <c r="A284" i="7"/>
  <c r="R284" i="7" s="1"/>
  <c r="V283" i="7"/>
  <c r="T283" i="7"/>
  <c r="R283" i="7"/>
  <c r="Q283" i="7"/>
  <c r="P283" i="7"/>
  <c r="F283" i="7"/>
  <c r="A283" i="7"/>
  <c r="S283" i="7" s="1"/>
  <c r="V282" i="7"/>
  <c r="S282" i="7"/>
  <c r="Q282" i="7"/>
  <c r="P282" i="7"/>
  <c r="F282" i="7"/>
  <c r="A282" i="7"/>
  <c r="T282" i="7" s="1"/>
  <c r="V281" i="7"/>
  <c r="S281" i="7"/>
  <c r="Q281" i="7"/>
  <c r="P281" i="7"/>
  <c r="F281" i="7"/>
  <c r="A281" i="7"/>
  <c r="T281" i="7" s="1"/>
  <c r="U280" i="7"/>
  <c r="S280" i="7"/>
  <c r="Q280" i="7"/>
  <c r="P280" i="7"/>
  <c r="F280" i="7"/>
  <c r="A280" i="7"/>
  <c r="V280" i="7" s="1"/>
  <c r="F279" i="7"/>
  <c r="A279" i="7"/>
  <c r="T278" i="7"/>
  <c r="S278" i="7"/>
  <c r="R278" i="7"/>
  <c r="Q278" i="7"/>
  <c r="P278" i="7"/>
  <c r="F278" i="7"/>
  <c r="U278" i="7" s="1"/>
  <c r="A278" i="7"/>
  <c r="V278" i="7" s="1"/>
  <c r="S277" i="7"/>
  <c r="R277" i="7"/>
  <c r="P277" i="7"/>
  <c r="F277" i="7"/>
  <c r="A277" i="7"/>
  <c r="T277" i="7" s="1"/>
  <c r="T276" i="7"/>
  <c r="S276" i="7"/>
  <c r="R276" i="7"/>
  <c r="Q276" i="7"/>
  <c r="F276" i="7"/>
  <c r="U276" i="7" s="1"/>
  <c r="A276" i="7"/>
  <c r="P276" i="7" s="1"/>
  <c r="U275" i="7"/>
  <c r="T275" i="7"/>
  <c r="R275" i="7"/>
  <c r="P275" i="7"/>
  <c r="F275" i="7"/>
  <c r="A275" i="7"/>
  <c r="V275" i="7" s="1"/>
  <c r="V274" i="7"/>
  <c r="F274" i="7"/>
  <c r="A274" i="7"/>
  <c r="F273" i="7"/>
  <c r="A273" i="7"/>
  <c r="S272" i="7"/>
  <c r="Q272" i="7"/>
  <c r="P272" i="7"/>
  <c r="F272" i="7"/>
  <c r="U272" i="7" s="1"/>
  <c r="A272" i="7"/>
  <c r="V272" i="7" s="1"/>
  <c r="V271" i="7"/>
  <c r="F271" i="7"/>
  <c r="A271" i="7"/>
  <c r="Q271" i="7" s="1"/>
  <c r="T270" i="7"/>
  <c r="S270" i="7"/>
  <c r="R270" i="7"/>
  <c r="Q270" i="7"/>
  <c r="P270" i="7"/>
  <c r="F270" i="7"/>
  <c r="U270" i="7" s="1"/>
  <c r="A270" i="7"/>
  <c r="V270" i="7" s="1"/>
  <c r="S269" i="7"/>
  <c r="R269" i="7"/>
  <c r="P269" i="7"/>
  <c r="F269" i="7"/>
  <c r="A269" i="7"/>
  <c r="T269" i="7" s="1"/>
  <c r="T268" i="7"/>
  <c r="S268" i="7"/>
  <c r="R268" i="7"/>
  <c r="Q268" i="7"/>
  <c r="F268" i="7"/>
  <c r="U268" i="7" s="1"/>
  <c r="A268" i="7"/>
  <c r="P268" i="7" s="1"/>
  <c r="U267" i="7"/>
  <c r="T267" i="7"/>
  <c r="R267" i="7"/>
  <c r="P267" i="7"/>
  <c r="F267" i="7"/>
  <c r="A267" i="7"/>
  <c r="V267" i="7" s="1"/>
  <c r="F266" i="7"/>
  <c r="A266" i="7"/>
  <c r="F265" i="7"/>
  <c r="A265" i="7"/>
  <c r="U264" i="7"/>
  <c r="S264" i="7"/>
  <c r="Q264" i="7"/>
  <c r="P264" i="7"/>
  <c r="F264" i="7"/>
  <c r="A264" i="7"/>
  <c r="V264" i="7" s="1"/>
  <c r="F263" i="7"/>
  <c r="A263" i="7"/>
  <c r="T262" i="7"/>
  <c r="S262" i="7"/>
  <c r="R262" i="7"/>
  <c r="Q262" i="7"/>
  <c r="P262" i="7"/>
  <c r="F262" i="7"/>
  <c r="U262" i="7" s="1"/>
  <c r="A262" i="7"/>
  <c r="V262" i="7" s="1"/>
  <c r="S261" i="7"/>
  <c r="R261" i="7"/>
  <c r="P261" i="7"/>
  <c r="F261" i="7"/>
  <c r="A261" i="7"/>
  <c r="T261" i="7" s="1"/>
  <c r="T260" i="7"/>
  <c r="S260" i="7"/>
  <c r="R260" i="7"/>
  <c r="Q260" i="7"/>
  <c r="F260" i="7"/>
  <c r="U260" i="7" s="1"/>
  <c r="A260" i="7"/>
  <c r="P260" i="7" s="1"/>
  <c r="U259" i="7"/>
  <c r="T259" i="7"/>
  <c r="R259" i="7"/>
  <c r="P259" i="7"/>
  <c r="F259" i="7"/>
  <c r="A259" i="7"/>
  <c r="V259" i="7" s="1"/>
  <c r="V258" i="7"/>
  <c r="F258" i="7"/>
  <c r="A258" i="7"/>
  <c r="F257" i="7"/>
  <c r="A257" i="7"/>
  <c r="S256" i="7"/>
  <c r="Q256" i="7"/>
  <c r="P256" i="7"/>
  <c r="F256" i="7"/>
  <c r="U256" i="7" s="1"/>
  <c r="A256" i="7"/>
  <c r="V256" i="7" s="1"/>
  <c r="V255" i="7"/>
  <c r="F255" i="7"/>
  <c r="A255" i="7"/>
  <c r="Q255" i="7" s="1"/>
  <c r="T254" i="7"/>
  <c r="S254" i="7"/>
  <c r="R254" i="7"/>
  <c r="Q254" i="7"/>
  <c r="P254" i="7"/>
  <c r="F254" i="7"/>
  <c r="U254" i="7" s="1"/>
  <c r="A254" i="7"/>
  <c r="V254" i="7" s="1"/>
  <c r="S253" i="7"/>
  <c r="R253" i="7"/>
  <c r="P253" i="7"/>
  <c r="F253" i="7"/>
  <c r="A253" i="7"/>
  <c r="T253" i="7" s="1"/>
  <c r="T252" i="7"/>
  <c r="S252" i="7"/>
  <c r="R252" i="7"/>
  <c r="Q252" i="7"/>
  <c r="F252" i="7"/>
  <c r="U252" i="7" s="1"/>
  <c r="A252" i="7"/>
  <c r="P252" i="7" s="1"/>
  <c r="U251" i="7"/>
  <c r="T251" i="7"/>
  <c r="R251" i="7"/>
  <c r="P251" i="7"/>
  <c r="F251" i="7"/>
  <c r="A251" i="7"/>
  <c r="V251" i="7" s="1"/>
  <c r="F250" i="7"/>
  <c r="A250" i="7"/>
  <c r="F249" i="7"/>
  <c r="A249" i="7"/>
  <c r="U248" i="7"/>
  <c r="S248" i="7"/>
  <c r="Q248" i="7"/>
  <c r="P248" i="7"/>
  <c r="F248" i="7"/>
  <c r="A248" i="7"/>
  <c r="V248" i="7" s="1"/>
  <c r="F247" i="7"/>
  <c r="A247" i="7"/>
  <c r="T246" i="7"/>
  <c r="S246" i="7"/>
  <c r="R246" i="7"/>
  <c r="Q246" i="7"/>
  <c r="P246" i="7"/>
  <c r="F246" i="7"/>
  <c r="U246" i="7" s="1"/>
  <c r="A246" i="7"/>
  <c r="V246" i="7" s="1"/>
  <c r="S245" i="7"/>
  <c r="R245" i="7"/>
  <c r="P245" i="7"/>
  <c r="F245" i="7"/>
  <c r="A245" i="7"/>
  <c r="T245" i="7" s="1"/>
  <c r="T244" i="7"/>
  <c r="S244" i="7"/>
  <c r="R244" i="7"/>
  <c r="Q244" i="7"/>
  <c r="F244" i="7"/>
  <c r="U244" i="7" s="1"/>
  <c r="A244" i="7"/>
  <c r="P244" i="7" s="1"/>
  <c r="U243" i="7"/>
  <c r="T243" i="7"/>
  <c r="R243" i="7"/>
  <c r="P243" i="7"/>
  <c r="F243" i="7"/>
  <c r="A243" i="7"/>
  <c r="V243" i="7" s="1"/>
  <c r="V242" i="7"/>
  <c r="F242" i="7"/>
  <c r="A242" i="7"/>
  <c r="F241" i="7"/>
  <c r="A241" i="7"/>
  <c r="S240" i="7"/>
  <c r="Q240" i="7"/>
  <c r="P240" i="7"/>
  <c r="F240" i="7"/>
  <c r="U240" i="7" s="1"/>
  <c r="A240" i="7"/>
  <c r="V240" i="7" s="1"/>
  <c r="V239" i="7"/>
  <c r="F239" i="7"/>
  <c r="A239" i="7"/>
  <c r="Q239" i="7" s="1"/>
  <c r="T238" i="7"/>
  <c r="S238" i="7"/>
  <c r="R238" i="7"/>
  <c r="Q238" i="7"/>
  <c r="P238" i="7"/>
  <c r="F238" i="7"/>
  <c r="U238" i="7" s="1"/>
  <c r="A238" i="7"/>
  <c r="V238" i="7" s="1"/>
  <c r="S237" i="7"/>
  <c r="R237" i="7"/>
  <c r="P237" i="7"/>
  <c r="F237" i="7"/>
  <c r="A237" i="7"/>
  <c r="T237" i="7" s="1"/>
  <c r="T236" i="7"/>
  <c r="S236" i="7"/>
  <c r="R236" i="7"/>
  <c r="Q236" i="7"/>
  <c r="F236" i="7"/>
  <c r="U236" i="7" s="1"/>
  <c r="A236" i="7"/>
  <c r="P236" i="7" s="1"/>
  <c r="U235" i="7"/>
  <c r="T235" i="7"/>
  <c r="R235" i="7"/>
  <c r="P235" i="7"/>
  <c r="F235" i="7"/>
  <c r="A235" i="7"/>
  <c r="V235" i="7" s="1"/>
  <c r="F234" i="7"/>
  <c r="A234" i="7"/>
  <c r="F233" i="7"/>
  <c r="A233" i="7"/>
  <c r="U232" i="7"/>
  <c r="S232" i="7"/>
  <c r="Q232" i="7"/>
  <c r="P232" i="7"/>
  <c r="F232" i="7"/>
  <c r="A232" i="7"/>
  <c r="V232" i="7" s="1"/>
  <c r="V231" i="7"/>
  <c r="F231" i="7"/>
  <c r="A231" i="7"/>
  <c r="T230" i="7"/>
  <c r="S230" i="7"/>
  <c r="R230" i="7"/>
  <c r="Q230" i="7"/>
  <c r="P230" i="7"/>
  <c r="F230" i="7"/>
  <c r="U230" i="7" s="1"/>
  <c r="A230" i="7"/>
  <c r="V230" i="7" s="1"/>
  <c r="R229" i="7"/>
  <c r="F229" i="7"/>
  <c r="A229" i="7"/>
  <c r="T228" i="7"/>
  <c r="S228" i="7"/>
  <c r="R228" i="7"/>
  <c r="Q228" i="7"/>
  <c r="F228" i="7"/>
  <c r="U228" i="7" s="1"/>
  <c r="A228" i="7"/>
  <c r="P228" i="7" s="1"/>
  <c r="U227" i="7"/>
  <c r="T227" i="7"/>
  <c r="R227" i="7"/>
  <c r="P227" i="7"/>
  <c r="F227" i="7"/>
  <c r="A227" i="7"/>
  <c r="V227" i="7" s="1"/>
  <c r="V226" i="7"/>
  <c r="F226" i="7"/>
  <c r="A226" i="7"/>
  <c r="R225" i="7"/>
  <c r="F225" i="7"/>
  <c r="A225" i="7"/>
  <c r="U224" i="7"/>
  <c r="S224" i="7"/>
  <c r="Q224" i="7"/>
  <c r="P224" i="7"/>
  <c r="F224" i="7"/>
  <c r="A224" i="7"/>
  <c r="V224" i="7" s="1"/>
  <c r="V223" i="7"/>
  <c r="T223" i="7"/>
  <c r="Q223" i="7"/>
  <c r="P223" i="7"/>
  <c r="F223" i="7"/>
  <c r="A223" i="7"/>
  <c r="T222" i="7"/>
  <c r="S222" i="7"/>
  <c r="R222" i="7"/>
  <c r="Q222" i="7"/>
  <c r="P222" i="7"/>
  <c r="F222" i="7"/>
  <c r="U222" i="7" s="1"/>
  <c r="A222" i="7"/>
  <c r="V222" i="7" s="1"/>
  <c r="F221" i="7"/>
  <c r="A221" i="7"/>
  <c r="T220" i="7"/>
  <c r="S220" i="7"/>
  <c r="R220" i="7"/>
  <c r="Q220" i="7"/>
  <c r="F220" i="7"/>
  <c r="U220" i="7" s="1"/>
  <c r="A220" i="7"/>
  <c r="P220" i="7" s="1"/>
  <c r="U219" i="7"/>
  <c r="T219" i="7"/>
  <c r="R219" i="7"/>
  <c r="P219" i="7"/>
  <c r="F219" i="7"/>
  <c r="A219" i="7"/>
  <c r="V219" i="7" s="1"/>
  <c r="V218" i="7"/>
  <c r="U218" i="7"/>
  <c r="S218" i="7"/>
  <c r="Q218" i="7"/>
  <c r="F218" i="7"/>
  <c r="A218" i="7"/>
  <c r="T217" i="7"/>
  <c r="F217" i="7"/>
  <c r="A217" i="7"/>
  <c r="U216" i="7"/>
  <c r="S216" i="7"/>
  <c r="Q216" i="7"/>
  <c r="P216" i="7"/>
  <c r="F216" i="7"/>
  <c r="A216" i="7"/>
  <c r="V216" i="7" s="1"/>
  <c r="V215" i="7"/>
  <c r="T215" i="7"/>
  <c r="Q215" i="7"/>
  <c r="P215" i="7"/>
  <c r="F215" i="7"/>
  <c r="A215" i="7"/>
  <c r="U214" i="7"/>
  <c r="T214" i="7"/>
  <c r="S214" i="7"/>
  <c r="R214" i="7"/>
  <c r="Q214" i="7"/>
  <c r="P214" i="7"/>
  <c r="F214" i="7"/>
  <c r="A214" i="7"/>
  <c r="V214" i="7" s="1"/>
  <c r="V213" i="7"/>
  <c r="F213" i="7"/>
  <c r="A213" i="7"/>
  <c r="T212" i="7"/>
  <c r="S212" i="7"/>
  <c r="R212" i="7"/>
  <c r="Q212" i="7"/>
  <c r="F212" i="7"/>
  <c r="U212" i="7" s="1"/>
  <c r="A212" i="7"/>
  <c r="P212" i="7" s="1"/>
  <c r="U211" i="7"/>
  <c r="T211" i="7"/>
  <c r="R211" i="7"/>
  <c r="P211" i="7"/>
  <c r="F211" i="7"/>
  <c r="A211" i="7"/>
  <c r="V211" i="7" s="1"/>
  <c r="V210" i="7"/>
  <c r="U210" i="7"/>
  <c r="S210" i="7"/>
  <c r="Q210" i="7"/>
  <c r="F210" i="7"/>
  <c r="A210" i="7"/>
  <c r="F209" i="7"/>
  <c r="A209" i="7"/>
  <c r="U208" i="7"/>
  <c r="S208" i="7"/>
  <c r="Q208" i="7"/>
  <c r="P208" i="7"/>
  <c r="F208" i="7"/>
  <c r="A208" i="7"/>
  <c r="V208" i="7" s="1"/>
  <c r="T207" i="7"/>
  <c r="F207" i="7"/>
  <c r="A207" i="7"/>
  <c r="V207" i="7" s="1"/>
  <c r="U206" i="7"/>
  <c r="T206" i="7"/>
  <c r="S206" i="7"/>
  <c r="R206" i="7"/>
  <c r="Q206" i="7"/>
  <c r="P206" i="7"/>
  <c r="F206" i="7"/>
  <c r="A206" i="7"/>
  <c r="V206" i="7" s="1"/>
  <c r="V205" i="7"/>
  <c r="S205" i="7"/>
  <c r="R205" i="7"/>
  <c r="P205" i="7"/>
  <c r="F205" i="7"/>
  <c r="A205" i="7"/>
  <c r="T204" i="7"/>
  <c r="S204" i="7"/>
  <c r="R204" i="7"/>
  <c r="Q204" i="7"/>
  <c r="F204" i="7"/>
  <c r="U204" i="7" s="1"/>
  <c r="A204" i="7"/>
  <c r="P204" i="7" s="1"/>
  <c r="U203" i="7"/>
  <c r="T203" i="7"/>
  <c r="R203" i="7"/>
  <c r="P203" i="7"/>
  <c r="F203" i="7"/>
  <c r="A203" i="7"/>
  <c r="V203" i="7" s="1"/>
  <c r="U202" i="7"/>
  <c r="F202" i="7"/>
  <c r="A202" i="7"/>
  <c r="V202" i="7" s="1"/>
  <c r="F201" i="7"/>
  <c r="A201" i="7"/>
  <c r="S200" i="7"/>
  <c r="Q200" i="7"/>
  <c r="P200" i="7"/>
  <c r="F200" i="7"/>
  <c r="U200" i="7" s="1"/>
  <c r="A200" i="7"/>
  <c r="V200" i="7" s="1"/>
  <c r="V199" i="7"/>
  <c r="T199" i="7"/>
  <c r="F199" i="7"/>
  <c r="A199" i="7"/>
  <c r="T198" i="7"/>
  <c r="S198" i="7"/>
  <c r="R198" i="7"/>
  <c r="Q198" i="7"/>
  <c r="P198" i="7"/>
  <c r="F198" i="7"/>
  <c r="U198" i="7" s="1"/>
  <c r="A198" i="7"/>
  <c r="V198" i="7" s="1"/>
  <c r="V197" i="7"/>
  <c r="S197" i="7"/>
  <c r="R197" i="7"/>
  <c r="P197" i="7"/>
  <c r="F197" i="7"/>
  <c r="A197" i="7"/>
  <c r="T196" i="7"/>
  <c r="S196" i="7"/>
  <c r="R196" i="7"/>
  <c r="Q196" i="7"/>
  <c r="F196" i="7"/>
  <c r="U196" i="7" s="1"/>
  <c r="A196" i="7"/>
  <c r="P196" i="7" s="1"/>
  <c r="U195" i="7"/>
  <c r="T195" i="7"/>
  <c r="R195" i="7"/>
  <c r="P195" i="7"/>
  <c r="F195" i="7"/>
  <c r="A195" i="7"/>
  <c r="V195" i="7" s="1"/>
  <c r="V194" i="7"/>
  <c r="U194" i="7"/>
  <c r="F194" i="7"/>
  <c r="A194" i="7"/>
  <c r="V193" i="7"/>
  <c r="T193" i="7"/>
  <c r="R193" i="7"/>
  <c r="F193" i="7"/>
  <c r="A193" i="7"/>
  <c r="S192" i="7"/>
  <c r="Q192" i="7"/>
  <c r="P192" i="7"/>
  <c r="F192" i="7"/>
  <c r="U192" i="7" s="1"/>
  <c r="A192" i="7"/>
  <c r="V192" i="7" s="1"/>
  <c r="V191" i="7"/>
  <c r="P191" i="7"/>
  <c r="F191" i="7"/>
  <c r="A191" i="7"/>
  <c r="U190" i="7"/>
  <c r="T190" i="7"/>
  <c r="S190" i="7"/>
  <c r="R190" i="7"/>
  <c r="Q190" i="7"/>
  <c r="P190" i="7"/>
  <c r="F190" i="7"/>
  <c r="A190" i="7"/>
  <c r="V190" i="7" s="1"/>
  <c r="S189" i="7"/>
  <c r="F189" i="7"/>
  <c r="A189" i="7"/>
  <c r="V189" i="7" s="1"/>
  <c r="T188" i="7"/>
  <c r="S188" i="7"/>
  <c r="R188" i="7"/>
  <c r="Q188" i="7"/>
  <c r="F188" i="7"/>
  <c r="U188" i="7" s="1"/>
  <c r="A188" i="7"/>
  <c r="P188" i="7" s="1"/>
  <c r="U187" i="7"/>
  <c r="T187" i="7"/>
  <c r="R187" i="7"/>
  <c r="P187" i="7"/>
  <c r="F187" i="7"/>
  <c r="A187" i="7"/>
  <c r="V187" i="7" s="1"/>
  <c r="V186" i="7"/>
  <c r="Q186" i="7"/>
  <c r="F186" i="7"/>
  <c r="A186" i="7"/>
  <c r="V185" i="7"/>
  <c r="T185" i="7"/>
  <c r="R185" i="7"/>
  <c r="F185" i="7"/>
  <c r="A185" i="7"/>
  <c r="S184" i="7"/>
  <c r="Q184" i="7"/>
  <c r="P184" i="7"/>
  <c r="F184" i="7"/>
  <c r="U184" i="7" s="1"/>
  <c r="A184" i="7"/>
  <c r="V184" i="7" s="1"/>
  <c r="Q183" i="7"/>
  <c r="F183" i="7"/>
  <c r="A183" i="7"/>
  <c r="U182" i="7"/>
  <c r="T182" i="7"/>
  <c r="S182" i="7"/>
  <c r="R182" i="7"/>
  <c r="Q182" i="7"/>
  <c r="P182" i="7"/>
  <c r="F182" i="7"/>
  <c r="A182" i="7"/>
  <c r="V182" i="7" s="1"/>
  <c r="V181" i="7"/>
  <c r="S181" i="7"/>
  <c r="F181" i="7"/>
  <c r="A181" i="7"/>
  <c r="T180" i="7"/>
  <c r="S180" i="7"/>
  <c r="R180" i="7"/>
  <c r="Q180" i="7"/>
  <c r="F180" i="7"/>
  <c r="U180" i="7" s="1"/>
  <c r="A180" i="7"/>
  <c r="P180" i="7" s="1"/>
  <c r="V179" i="7"/>
  <c r="U179" i="7"/>
  <c r="T179" i="7"/>
  <c r="R179" i="7"/>
  <c r="P179" i="7"/>
  <c r="F179" i="7"/>
  <c r="A179" i="7"/>
  <c r="F178" i="7"/>
  <c r="A178" i="7"/>
  <c r="V177" i="7"/>
  <c r="P177" i="7"/>
  <c r="F177" i="7"/>
  <c r="A177" i="7"/>
  <c r="U176" i="7"/>
  <c r="S176" i="7"/>
  <c r="Q176" i="7"/>
  <c r="P176" i="7"/>
  <c r="F176" i="7"/>
  <c r="A176" i="7"/>
  <c r="V176" i="7" s="1"/>
  <c r="V175" i="7"/>
  <c r="T175" i="7"/>
  <c r="R175" i="7"/>
  <c r="Q175" i="7"/>
  <c r="P175" i="7"/>
  <c r="F175" i="7"/>
  <c r="A175" i="7"/>
  <c r="U174" i="7"/>
  <c r="T174" i="7"/>
  <c r="S174" i="7"/>
  <c r="R174" i="7"/>
  <c r="Q174" i="7"/>
  <c r="P174" i="7"/>
  <c r="F174" i="7"/>
  <c r="A174" i="7"/>
  <c r="V174" i="7" s="1"/>
  <c r="V173" i="7"/>
  <c r="T173" i="7"/>
  <c r="S173" i="7"/>
  <c r="R173" i="7"/>
  <c r="Q173" i="7"/>
  <c r="P173" i="7"/>
  <c r="F173" i="7"/>
  <c r="A173" i="7"/>
  <c r="U173" i="7" s="1"/>
  <c r="U172" i="7"/>
  <c r="T172" i="7"/>
  <c r="S172" i="7"/>
  <c r="R172" i="7"/>
  <c r="Q172" i="7"/>
  <c r="F172" i="7"/>
  <c r="A172" i="7"/>
  <c r="P172" i="7" s="1"/>
  <c r="U171" i="7"/>
  <c r="S171" i="7"/>
  <c r="R171" i="7"/>
  <c r="P171" i="7"/>
  <c r="F171" i="7"/>
  <c r="A171" i="7"/>
  <c r="Q171" i="7" s="1"/>
  <c r="F170" i="7"/>
  <c r="U170" i="7" s="1"/>
  <c r="A170" i="7"/>
  <c r="F169" i="7"/>
  <c r="A169" i="7"/>
  <c r="V168" i="7"/>
  <c r="Q168" i="7"/>
  <c r="F168" i="7"/>
  <c r="A168" i="7"/>
  <c r="V167" i="7"/>
  <c r="T167" i="7"/>
  <c r="P167" i="7"/>
  <c r="F167" i="7"/>
  <c r="A167" i="7"/>
  <c r="U166" i="7"/>
  <c r="T166" i="7"/>
  <c r="S166" i="7"/>
  <c r="R166" i="7"/>
  <c r="Q166" i="7"/>
  <c r="P166" i="7"/>
  <c r="F166" i="7"/>
  <c r="A166" i="7"/>
  <c r="V166" i="7" s="1"/>
  <c r="T165" i="7"/>
  <c r="S165" i="7"/>
  <c r="P165" i="7"/>
  <c r="F165" i="7"/>
  <c r="A165" i="7"/>
  <c r="U165" i="7" s="1"/>
  <c r="T164" i="7"/>
  <c r="S164" i="7"/>
  <c r="R164" i="7"/>
  <c r="Q164" i="7"/>
  <c r="F164" i="7"/>
  <c r="U164" i="7" s="1"/>
  <c r="A164" i="7"/>
  <c r="P164" i="7" s="1"/>
  <c r="V163" i="7"/>
  <c r="U163" i="7"/>
  <c r="T163" i="7"/>
  <c r="S163" i="7"/>
  <c r="F163" i="7"/>
  <c r="A163" i="7"/>
  <c r="Q163" i="7" s="1"/>
  <c r="T162" i="7"/>
  <c r="F162" i="7"/>
  <c r="A162" i="7"/>
  <c r="V162" i="7" s="1"/>
  <c r="V161" i="7"/>
  <c r="U161" i="7"/>
  <c r="T161" i="7"/>
  <c r="R161" i="7"/>
  <c r="P161" i="7"/>
  <c r="F161" i="7"/>
  <c r="A161" i="7"/>
  <c r="V160" i="7"/>
  <c r="S160" i="7"/>
  <c r="Q160" i="7"/>
  <c r="P160" i="7"/>
  <c r="F160" i="7"/>
  <c r="A160" i="7"/>
  <c r="U160" i="7" s="1"/>
  <c r="T159" i="7"/>
  <c r="F159" i="7"/>
  <c r="A159" i="7"/>
  <c r="T158" i="7"/>
  <c r="S158" i="7"/>
  <c r="R158" i="7"/>
  <c r="Q158" i="7"/>
  <c r="P158" i="7"/>
  <c r="F158" i="7"/>
  <c r="U158" i="7" s="1"/>
  <c r="A158" i="7"/>
  <c r="V158" i="7" s="1"/>
  <c r="S157" i="7"/>
  <c r="F157" i="7"/>
  <c r="A157" i="7"/>
  <c r="U157" i="7" s="1"/>
  <c r="T156" i="7"/>
  <c r="S156" i="7"/>
  <c r="R156" i="7"/>
  <c r="Q156" i="7"/>
  <c r="F156" i="7"/>
  <c r="U156" i="7" s="1"/>
  <c r="A156" i="7"/>
  <c r="P156" i="7" s="1"/>
  <c r="F155" i="7"/>
  <c r="A155" i="7"/>
  <c r="Q155" i="7" s="1"/>
  <c r="F154" i="7"/>
  <c r="A154" i="7"/>
  <c r="R154" i="7" s="1"/>
  <c r="F153" i="7"/>
  <c r="A153" i="7"/>
  <c r="S153" i="7" s="1"/>
  <c r="F152" i="7"/>
  <c r="A152" i="7"/>
  <c r="T152" i="7" s="1"/>
  <c r="F151" i="7"/>
  <c r="A151" i="7"/>
  <c r="U151" i="7" s="1"/>
  <c r="U150" i="7"/>
  <c r="T150" i="7"/>
  <c r="S150" i="7"/>
  <c r="R150" i="7"/>
  <c r="Q150" i="7"/>
  <c r="P150" i="7"/>
  <c r="F150" i="7"/>
  <c r="A150" i="7"/>
  <c r="V150" i="7" s="1"/>
  <c r="S149" i="7"/>
  <c r="F149" i="7"/>
  <c r="A149" i="7"/>
  <c r="U149" i="7" s="1"/>
  <c r="T148" i="7"/>
  <c r="F148" i="7"/>
  <c r="A148" i="7"/>
  <c r="P148" i="7" s="1"/>
  <c r="T147" i="7"/>
  <c r="F147" i="7"/>
  <c r="A147" i="7"/>
  <c r="Q147" i="7" s="1"/>
  <c r="T146" i="7"/>
  <c r="F146" i="7"/>
  <c r="A146" i="7"/>
  <c r="R146" i="7" s="1"/>
  <c r="T145" i="7"/>
  <c r="F145" i="7"/>
  <c r="A145" i="7"/>
  <c r="S145" i="7" s="1"/>
  <c r="S144" i="7"/>
  <c r="F144" i="7"/>
  <c r="A144" i="7"/>
  <c r="T144" i="7" s="1"/>
  <c r="S143" i="7"/>
  <c r="F143" i="7"/>
  <c r="A143" i="7"/>
  <c r="T142" i="7"/>
  <c r="S142" i="7"/>
  <c r="R142" i="7"/>
  <c r="Q142" i="7"/>
  <c r="P142" i="7"/>
  <c r="F142" i="7"/>
  <c r="U142" i="7" s="1"/>
  <c r="A142" i="7"/>
  <c r="V142" i="7" s="1"/>
  <c r="T141" i="7"/>
  <c r="R141" i="7"/>
  <c r="Q141" i="7"/>
  <c r="P141" i="7"/>
  <c r="F141" i="7"/>
  <c r="A141" i="7"/>
  <c r="V141" i="7" s="1"/>
  <c r="U140" i="7"/>
  <c r="S140" i="7"/>
  <c r="R140" i="7"/>
  <c r="Q140" i="7"/>
  <c r="F140" i="7"/>
  <c r="A140" i="7"/>
  <c r="P140" i="7" s="1"/>
  <c r="U139" i="7"/>
  <c r="S139" i="7"/>
  <c r="R139" i="7"/>
  <c r="P139" i="7"/>
  <c r="F139" i="7"/>
  <c r="A139" i="7"/>
  <c r="Q139" i="7" s="1"/>
  <c r="U138" i="7"/>
  <c r="S138" i="7"/>
  <c r="Q138" i="7"/>
  <c r="P138" i="7"/>
  <c r="F138" i="7"/>
  <c r="A138" i="7"/>
  <c r="R138" i="7" s="1"/>
  <c r="U137" i="7"/>
  <c r="R137" i="7"/>
  <c r="Q137" i="7"/>
  <c r="P137" i="7"/>
  <c r="F137" i="7"/>
  <c r="A137" i="7"/>
  <c r="S137" i="7" s="1"/>
  <c r="U136" i="7"/>
  <c r="R136" i="7"/>
  <c r="Q136" i="7"/>
  <c r="P136" i="7"/>
  <c r="F136" i="7"/>
  <c r="A136" i="7"/>
  <c r="T136" i="7" s="1"/>
  <c r="U135" i="7"/>
  <c r="T135" i="7"/>
  <c r="S135" i="7"/>
  <c r="R135" i="7"/>
  <c r="Q135" i="7"/>
  <c r="P135" i="7"/>
  <c r="F135" i="7"/>
  <c r="A135" i="7"/>
  <c r="V135" i="7" s="1"/>
  <c r="R134" i="7"/>
  <c r="F134" i="7"/>
  <c r="A134" i="7"/>
  <c r="P134" i="7" s="1"/>
  <c r="T133" i="7"/>
  <c r="S133" i="7"/>
  <c r="R133" i="7"/>
  <c r="Q133" i="7"/>
  <c r="F133" i="7"/>
  <c r="U133" i="7" s="1"/>
  <c r="A133" i="7"/>
  <c r="P133" i="7" s="1"/>
  <c r="T132" i="7"/>
  <c r="S132" i="7"/>
  <c r="P132" i="7"/>
  <c r="F132" i="7"/>
  <c r="A132" i="7"/>
  <c r="R132" i="7" s="1"/>
  <c r="U131" i="7"/>
  <c r="T131" i="7"/>
  <c r="Q131" i="7"/>
  <c r="F131" i="7"/>
  <c r="A131" i="7"/>
  <c r="S131" i="7" s="1"/>
  <c r="F130" i="7"/>
  <c r="A130" i="7"/>
  <c r="T130" i="7" s="1"/>
  <c r="S129" i="7"/>
  <c r="F129" i="7"/>
  <c r="A129" i="7"/>
  <c r="U129" i="7" s="1"/>
  <c r="T128" i="7"/>
  <c r="R128" i="7"/>
  <c r="Q128" i="7"/>
  <c r="P128" i="7"/>
  <c r="F128" i="7"/>
  <c r="A128" i="7"/>
  <c r="V128" i="7" s="1"/>
  <c r="U127" i="7"/>
  <c r="T127" i="7"/>
  <c r="S127" i="7"/>
  <c r="R127" i="7"/>
  <c r="Q127" i="7"/>
  <c r="P127" i="7"/>
  <c r="F127" i="7"/>
  <c r="A127" i="7"/>
  <c r="V127" i="7" s="1"/>
  <c r="R126" i="7"/>
  <c r="F126" i="7"/>
  <c r="A126" i="7"/>
  <c r="P126" i="7" s="1"/>
  <c r="T125" i="7"/>
  <c r="S125" i="7"/>
  <c r="R125" i="7"/>
  <c r="Q125" i="7"/>
  <c r="F125" i="7"/>
  <c r="U125" i="7" s="1"/>
  <c r="A125" i="7"/>
  <c r="P125" i="7" s="1"/>
  <c r="T124" i="7"/>
  <c r="S124" i="7"/>
  <c r="P124" i="7"/>
  <c r="F124" i="7"/>
  <c r="A124" i="7"/>
  <c r="R124" i="7" s="1"/>
  <c r="U123" i="7"/>
  <c r="T123" i="7"/>
  <c r="Q123" i="7"/>
  <c r="F123" i="7"/>
  <c r="A123" i="7"/>
  <c r="S123" i="7" s="1"/>
  <c r="F122" i="7"/>
  <c r="A122" i="7"/>
  <c r="T122" i="7" s="1"/>
  <c r="S121" i="7"/>
  <c r="F121" i="7"/>
  <c r="A121" i="7"/>
  <c r="U121" i="7" s="1"/>
  <c r="T120" i="7"/>
  <c r="R120" i="7"/>
  <c r="Q120" i="7"/>
  <c r="P120" i="7"/>
  <c r="F120" i="7"/>
  <c r="A120" i="7"/>
  <c r="V120" i="7" s="1"/>
  <c r="U119" i="7"/>
  <c r="T119" i="7"/>
  <c r="S119" i="7"/>
  <c r="R119" i="7"/>
  <c r="Q119" i="7"/>
  <c r="P119" i="7"/>
  <c r="F119" i="7"/>
  <c r="A119" i="7"/>
  <c r="V119" i="7" s="1"/>
  <c r="R118" i="7"/>
  <c r="F118" i="7"/>
  <c r="A118" i="7"/>
  <c r="P118" i="7" s="1"/>
  <c r="T117" i="7"/>
  <c r="S117" i="7"/>
  <c r="R117" i="7"/>
  <c r="Q117" i="7"/>
  <c r="F117" i="7"/>
  <c r="U117" i="7" s="1"/>
  <c r="A117" i="7"/>
  <c r="P117" i="7" s="1"/>
  <c r="T116" i="7"/>
  <c r="S116" i="7"/>
  <c r="P116" i="7"/>
  <c r="F116" i="7"/>
  <c r="A116" i="7"/>
  <c r="R116" i="7" s="1"/>
  <c r="U115" i="7"/>
  <c r="T115" i="7"/>
  <c r="Q115" i="7"/>
  <c r="F115" i="7"/>
  <c r="A115" i="7"/>
  <c r="S115" i="7" s="1"/>
  <c r="F114" i="7"/>
  <c r="A114" i="7"/>
  <c r="T114" i="7" s="1"/>
  <c r="S113" i="7"/>
  <c r="F113" i="7"/>
  <c r="A113" i="7"/>
  <c r="U113" i="7" s="1"/>
  <c r="T112" i="7"/>
  <c r="R112" i="7"/>
  <c r="Q112" i="7"/>
  <c r="P112" i="7"/>
  <c r="F112" i="7"/>
  <c r="A112" i="7"/>
  <c r="V112" i="7" s="1"/>
  <c r="U111" i="7"/>
  <c r="T111" i="7"/>
  <c r="S111" i="7"/>
  <c r="R111" i="7"/>
  <c r="Q111" i="7"/>
  <c r="P111" i="7"/>
  <c r="F111" i="7"/>
  <c r="A111" i="7"/>
  <c r="V111" i="7" s="1"/>
  <c r="R110" i="7"/>
  <c r="F110" i="7"/>
  <c r="A110" i="7"/>
  <c r="P110" i="7" s="1"/>
  <c r="T109" i="7"/>
  <c r="S109" i="7"/>
  <c r="R109" i="7"/>
  <c r="Q109" i="7"/>
  <c r="F109" i="7"/>
  <c r="U109" i="7" s="1"/>
  <c r="A109" i="7"/>
  <c r="P109" i="7" s="1"/>
  <c r="T108" i="7"/>
  <c r="S108" i="7"/>
  <c r="P108" i="7"/>
  <c r="F108" i="7"/>
  <c r="A108" i="7"/>
  <c r="R108" i="7" s="1"/>
  <c r="U107" i="7"/>
  <c r="T107" i="7"/>
  <c r="Q107" i="7"/>
  <c r="F107" i="7"/>
  <c r="A107" i="7"/>
  <c r="S107" i="7" s="1"/>
  <c r="F106" i="7"/>
  <c r="A106" i="7"/>
  <c r="T106" i="7" s="1"/>
  <c r="S105" i="7"/>
  <c r="F105" i="7"/>
  <c r="A105" i="7"/>
  <c r="U105" i="7" s="1"/>
  <c r="T104" i="7"/>
  <c r="R104" i="7"/>
  <c r="Q104" i="7"/>
  <c r="P104" i="7"/>
  <c r="F104" i="7"/>
  <c r="A104" i="7"/>
  <c r="V104" i="7" s="1"/>
  <c r="U103" i="7"/>
  <c r="T103" i="7"/>
  <c r="S103" i="7"/>
  <c r="R103" i="7"/>
  <c r="Q103" i="7"/>
  <c r="P103" i="7"/>
  <c r="F103" i="7"/>
  <c r="A103" i="7"/>
  <c r="V103" i="7" s="1"/>
  <c r="R102" i="7"/>
  <c r="F102" i="7"/>
  <c r="A102" i="7"/>
  <c r="P102" i="7" s="1"/>
  <c r="T101" i="7"/>
  <c r="S101" i="7"/>
  <c r="R101" i="7"/>
  <c r="Q101" i="7"/>
  <c r="F101" i="7"/>
  <c r="U101" i="7" s="1"/>
  <c r="A101" i="7"/>
  <c r="P101" i="7" s="1"/>
  <c r="T100" i="7"/>
  <c r="S100" i="7"/>
  <c r="P100" i="7"/>
  <c r="F100" i="7"/>
  <c r="A100" i="7"/>
  <c r="R100" i="7" s="1"/>
  <c r="U99" i="7"/>
  <c r="T99" i="7"/>
  <c r="Q99" i="7"/>
  <c r="F99" i="7"/>
  <c r="A99" i="7"/>
  <c r="S99" i="7" s="1"/>
  <c r="F98" i="7"/>
  <c r="A98" i="7"/>
  <c r="T98" i="7" s="1"/>
  <c r="S97" i="7"/>
  <c r="F97" i="7"/>
  <c r="A97" i="7"/>
  <c r="U97" i="7" s="1"/>
  <c r="T96" i="7"/>
  <c r="R96" i="7"/>
  <c r="Q96" i="7"/>
  <c r="P96" i="7"/>
  <c r="F96" i="7"/>
  <c r="A96" i="7"/>
  <c r="V96" i="7" s="1"/>
  <c r="U95" i="7"/>
  <c r="T95" i="7"/>
  <c r="S95" i="7"/>
  <c r="R95" i="7"/>
  <c r="Q95" i="7"/>
  <c r="P95" i="7"/>
  <c r="F95" i="7"/>
  <c r="A95" i="7"/>
  <c r="V95" i="7" s="1"/>
  <c r="R94" i="7"/>
  <c r="F94" i="7"/>
  <c r="A94" i="7"/>
  <c r="P94" i="7" s="1"/>
  <c r="T93" i="7"/>
  <c r="S93" i="7"/>
  <c r="R93" i="7"/>
  <c r="Q93" i="7"/>
  <c r="F93" i="7"/>
  <c r="U93" i="7" s="1"/>
  <c r="A93" i="7"/>
  <c r="P93" i="7" s="1"/>
  <c r="T92" i="7"/>
  <c r="S92" i="7"/>
  <c r="P92" i="7"/>
  <c r="F92" i="7"/>
  <c r="A92" i="7"/>
  <c r="R92" i="7" s="1"/>
  <c r="U91" i="7"/>
  <c r="T91" i="7"/>
  <c r="Q91" i="7"/>
  <c r="F91" i="7"/>
  <c r="A91" i="7"/>
  <c r="S91" i="7" s="1"/>
  <c r="F90" i="7"/>
  <c r="A90" i="7"/>
  <c r="T90" i="7" s="1"/>
  <c r="S89" i="7"/>
  <c r="F89" i="7"/>
  <c r="A89" i="7"/>
  <c r="U89" i="7" s="1"/>
  <c r="T88" i="7"/>
  <c r="R88" i="7"/>
  <c r="Q88" i="7"/>
  <c r="P88" i="7"/>
  <c r="F88" i="7"/>
  <c r="A88" i="7"/>
  <c r="V88" i="7" s="1"/>
  <c r="U87" i="7"/>
  <c r="S87" i="7"/>
  <c r="R87" i="7"/>
  <c r="Q87" i="7"/>
  <c r="P87" i="7"/>
  <c r="F87" i="7"/>
  <c r="A87" i="7"/>
  <c r="V87" i="7" s="1"/>
  <c r="R86" i="7"/>
  <c r="F86" i="7"/>
  <c r="A86" i="7"/>
  <c r="P86" i="7" s="1"/>
  <c r="T85" i="7"/>
  <c r="S85" i="7"/>
  <c r="R85" i="7"/>
  <c r="Q85" i="7"/>
  <c r="F85" i="7"/>
  <c r="U85" i="7" s="1"/>
  <c r="A85" i="7"/>
  <c r="P85" i="7" s="1"/>
  <c r="T84" i="7"/>
  <c r="S84" i="7"/>
  <c r="P84" i="7"/>
  <c r="F84" i="7"/>
  <c r="A84" i="7"/>
  <c r="R84" i="7" s="1"/>
  <c r="U83" i="7"/>
  <c r="T83" i="7"/>
  <c r="Q83" i="7"/>
  <c r="F83" i="7"/>
  <c r="A83" i="7"/>
  <c r="S83" i="7" s="1"/>
  <c r="F82" i="7"/>
  <c r="A82" i="7"/>
  <c r="T82" i="7" s="1"/>
  <c r="S81" i="7"/>
  <c r="F81" i="7"/>
  <c r="A81" i="7"/>
  <c r="U81" i="7" s="1"/>
  <c r="T80" i="7"/>
  <c r="R80" i="7"/>
  <c r="Q80" i="7"/>
  <c r="P80" i="7"/>
  <c r="F80" i="7"/>
  <c r="A80" i="7"/>
  <c r="V80" i="7" s="1"/>
  <c r="U79" i="7"/>
  <c r="S79" i="7"/>
  <c r="R79" i="7"/>
  <c r="Q79" i="7"/>
  <c r="P79" i="7"/>
  <c r="F79" i="7"/>
  <c r="A79" i="7"/>
  <c r="V79" i="7" s="1"/>
  <c r="R78" i="7"/>
  <c r="F78" i="7"/>
  <c r="A78" i="7"/>
  <c r="P78" i="7" s="1"/>
  <c r="T77" i="7"/>
  <c r="S77" i="7"/>
  <c r="R77" i="7"/>
  <c r="Q77" i="7"/>
  <c r="F77" i="7"/>
  <c r="U77" i="7" s="1"/>
  <c r="A77" i="7"/>
  <c r="P77" i="7" s="1"/>
  <c r="T76" i="7"/>
  <c r="S76" i="7"/>
  <c r="P76" i="7"/>
  <c r="F76" i="7"/>
  <c r="A76" i="7"/>
  <c r="R76" i="7" s="1"/>
  <c r="U75" i="7"/>
  <c r="T75" i="7"/>
  <c r="Q75" i="7"/>
  <c r="F75" i="7"/>
  <c r="A75" i="7"/>
  <c r="S75" i="7" s="1"/>
  <c r="F74" i="7"/>
  <c r="A74" i="7"/>
  <c r="T74" i="7" s="1"/>
  <c r="S73" i="7"/>
  <c r="F73" i="7"/>
  <c r="A73" i="7"/>
  <c r="U73" i="7" s="1"/>
  <c r="T72" i="7"/>
  <c r="R72" i="7"/>
  <c r="Q72" i="7"/>
  <c r="P72" i="7"/>
  <c r="F72" i="7"/>
  <c r="A72" i="7"/>
  <c r="V72" i="7" s="1"/>
  <c r="U71" i="7"/>
  <c r="S71" i="7"/>
  <c r="R71" i="7"/>
  <c r="Q71" i="7"/>
  <c r="P71" i="7"/>
  <c r="F71" i="7"/>
  <c r="A71" i="7"/>
  <c r="V71" i="7" s="1"/>
  <c r="R70" i="7"/>
  <c r="F70" i="7"/>
  <c r="A70" i="7"/>
  <c r="P70" i="7" s="1"/>
  <c r="T69" i="7"/>
  <c r="S69" i="7"/>
  <c r="R69" i="7"/>
  <c r="Q69" i="7"/>
  <c r="F69" i="7"/>
  <c r="U69" i="7" s="1"/>
  <c r="A69" i="7"/>
  <c r="P69" i="7" s="1"/>
  <c r="T68" i="7"/>
  <c r="S68" i="7"/>
  <c r="P68" i="7"/>
  <c r="F68" i="7"/>
  <c r="A68" i="7"/>
  <c r="R68" i="7" s="1"/>
  <c r="U67" i="7"/>
  <c r="T67" i="7"/>
  <c r="Q67" i="7"/>
  <c r="F67" i="7"/>
  <c r="A67" i="7"/>
  <c r="S67" i="7" s="1"/>
  <c r="F66" i="7"/>
  <c r="A66" i="7"/>
  <c r="T66" i="7" s="1"/>
  <c r="S65" i="7"/>
  <c r="F65" i="7"/>
  <c r="A65" i="7"/>
  <c r="U65" i="7" s="1"/>
  <c r="T64" i="7"/>
  <c r="R64" i="7"/>
  <c r="Q64" i="7"/>
  <c r="P64" i="7"/>
  <c r="F64" i="7"/>
  <c r="A64" i="7"/>
  <c r="V64" i="7" s="1"/>
  <c r="U63" i="7"/>
  <c r="S63" i="7"/>
  <c r="R63" i="7"/>
  <c r="Q63" i="7"/>
  <c r="P63" i="7"/>
  <c r="F63" i="7"/>
  <c r="A63" i="7"/>
  <c r="V63" i="7" s="1"/>
  <c r="R62" i="7"/>
  <c r="F62" i="7"/>
  <c r="A62" i="7"/>
  <c r="P62" i="7" s="1"/>
  <c r="T61" i="7"/>
  <c r="S61" i="7"/>
  <c r="R61" i="7"/>
  <c r="Q61" i="7"/>
  <c r="P61" i="7"/>
  <c r="F61" i="7"/>
  <c r="U61" i="7" s="1"/>
  <c r="A61" i="7"/>
  <c r="V61" i="7" s="1"/>
  <c r="T60" i="7"/>
  <c r="S60" i="7"/>
  <c r="P60" i="7"/>
  <c r="F60" i="7"/>
  <c r="A60" i="7"/>
  <c r="R60" i="7" s="1"/>
  <c r="U59" i="7"/>
  <c r="T59" i="7"/>
  <c r="Q59" i="7"/>
  <c r="F59" i="7"/>
  <c r="A59" i="7"/>
  <c r="S59" i="7" s="1"/>
  <c r="F58" i="7"/>
  <c r="A58" i="7"/>
  <c r="F57" i="7"/>
  <c r="A57" i="7"/>
  <c r="U57" i="7" s="1"/>
  <c r="R56" i="7"/>
  <c r="T56" i="7" s="1"/>
  <c r="P56" i="7"/>
  <c r="F56" i="7"/>
  <c r="A56" i="7"/>
  <c r="V56" i="7" s="1"/>
  <c r="U55" i="7"/>
  <c r="R55" i="7"/>
  <c r="Q55" i="7"/>
  <c r="P55" i="7"/>
  <c r="F55" i="7"/>
  <c r="A55" i="7"/>
  <c r="V55" i="7" s="1"/>
  <c r="R54" i="7"/>
  <c r="F54" i="7"/>
  <c r="A54" i="7"/>
  <c r="P54" i="7" s="1"/>
  <c r="R53" i="7"/>
  <c r="T53" i="7" s="1"/>
  <c r="Q53" i="7"/>
  <c r="P53" i="7"/>
  <c r="F53" i="7"/>
  <c r="U53" i="7" s="1"/>
  <c r="A53" i="7"/>
  <c r="V53" i="7" s="1"/>
  <c r="Q52" i="7"/>
  <c r="P52" i="7"/>
  <c r="F52" i="7"/>
  <c r="A52" i="7"/>
  <c r="R52" i="7" s="1"/>
  <c r="T52" i="7" s="1"/>
  <c r="U51" i="7"/>
  <c r="R51" i="7"/>
  <c r="T51" i="7" s="1"/>
  <c r="Q51" i="7"/>
  <c r="F51" i="7"/>
  <c r="A51" i="7"/>
  <c r="F50" i="7"/>
  <c r="A50" i="7"/>
  <c r="F49" i="7"/>
  <c r="A49" i="7"/>
  <c r="U49" i="7" s="1"/>
  <c r="R48" i="7"/>
  <c r="T48" i="7" s="1"/>
  <c r="P48" i="7"/>
  <c r="F48" i="7"/>
  <c r="A48" i="7"/>
  <c r="Q47" i="7"/>
  <c r="P47" i="7"/>
  <c r="F47" i="7"/>
  <c r="A47" i="7"/>
  <c r="R46" i="7"/>
  <c r="F46" i="7"/>
  <c r="A46" i="7"/>
  <c r="P46" i="7" s="1"/>
  <c r="R45" i="7"/>
  <c r="T45" i="7" s="1"/>
  <c r="Q45" i="7"/>
  <c r="P45" i="7"/>
  <c r="F45" i="7"/>
  <c r="A45" i="7"/>
  <c r="Q44" i="7"/>
  <c r="P44" i="7"/>
  <c r="F44" i="7"/>
  <c r="A44" i="7"/>
  <c r="R44" i="7" s="1"/>
  <c r="T44" i="7" s="1"/>
  <c r="R43" i="7"/>
  <c r="U43" i="7" s="1"/>
  <c r="Q43" i="7"/>
  <c r="F43" i="7"/>
  <c r="A43" i="7"/>
  <c r="P43" i="7" s="1"/>
  <c r="F42" i="7"/>
  <c r="A42" i="7"/>
  <c r="F41" i="7"/>
  <c r="A41" i="7"/>
  <c r="R40" i="7"/>
  <c r="T40" i="7" s="1"/>
  <c r="P40" i="7"/>
  <c r="F40" i="7"/>
  <c r="A40" i="7"/>
  <c r="V40" i="7" s="1"/>
  <c r="Q39" i="7"/>
  <c r="P39" i="7"/>
  <c r="F39" i="7"/>
  <c r="A39" i="7"/>
  <c r="R38" i="7"/>
  <c r="F38" i="7"/>
  <c r="A38" i="7"/>
  <c r="P38" i="7" s="1"/>
  <c r="R37" i="7"/>
  <c r="T37" i="7" s="1"/>
  <c r="Q37" i="7"/>
  <c r="P37" i="7"/>
  <c r="F37" i="7"/>
  <c r="A37" i="7"/>
  <c r="Q36" i="7"/>
  <c r="P36" i="7"/>
  <c r="F36" i="7"/>
  <c r="A36" i="7"/>
  <c r="T36" i="7" s="1"/>
  <c r="R35" i="7"/>
  <c r="T35" i="7" s="1"/>
  <c r="Q35" i="7"/>
  <c r="F35" i="7"/>
  <c r="A35" i="7"/>
  <c r="P35" i="7" s="1"/>
  <c r="F34" i="7"/>
  <c r="A34" i="7"/>
  <c r="F33" i="7"/>
  <c r="A33" i="7"/>
  <c r="R32" i="7"/>
  <c r="T32" i="7" s="1"/>
  <c r="P32" i="7"/>
  <c r="F32" i="7"/>
  <c r="A32" i="7"/>
  <c r="V32" i="7" s="1"/>
  <c r="Q31" i="7"/>
  <c r="F31" i="7"/>
  <c r="A31" i="7"/>
  <c r="Q30" i="7"/>
  <c r="F30" i="7"/>
  <c r="A30" i="7"/>
  <c r="U30" i="7" s="1"/>
  <c r="R29" i="7"/>
  <c r="F29" i="7"/>
  <c r="A29" i="7"/>
  <c r="P29" i="7" s="1"/>
  <c r="R28" i="7"/>
  <c r="T28" i="7" s="1"/>
  <c r="Q28" i="7"/>
  <c r="P28" i="7"/>
  <c r="F28" i="7"/>
  <c r="A28" i="7"/>
  <c r="Q27" i="7"/>
  <c r="P27" i="7"/>
  <c r="F27" i="7"/>
  <c r="A27" i="7"/>
  <c r="R27" i="7" s="1"/>
  <c r="T27" i="7" s="1"/>
  <c r="R26" i="7"/>
  <c r="T26" i="7" s="1"/>
  <c r="Q26" i="7"/>
  <c r="F26" i="7"/>
  <c r="A26" i="7"/>
  <c r="P26" i="7" s="1"/>
  <c r="F25" i="7"/>
  <c r="A25" i="7"/>
  <c r="F24" i="7"/>
  <c r="A24" i="7"/>
  <c r="P23" i="7"/>
  <c r="F23" i="7"/>
  <c r="A23" i="7"/>
  <c r="Q22" i="7"/>
  <c r="F22" i="7"/>
  <c r="A22" i="7"/>
  <c r="V22" i="7" s="1"/>
  <c r="R21" i="7"/>
  <c r="F21" i="7"/>
  <c r="A21" i="7"/>
  <c r="P21" i="7" s="1"/>
  <c r="R20" i="7"/>
  <c r="T20" i="7" s="1"/>
  <c r="Q20" i="7"/>
  <c r="P20" i="7"/>
  <c r="F20" i="7"/>
  <c r="A20" i="7"/>
  <c r="R19" i="7"/>
  <c r="T19" i="7" s="1"/>
  <c r="Q19" i="7"/>
  <c r="P19" i="7"/>
  <c r="F19" i="7"/>
  <c r="A19" i="7"/>
  <c r="R18" i="7"/>
  <c r="T18" i="7" s="1"/>
  <c r="Q18" i="7"/>
  <c r="F18" i="7"/>
  <c r="A18" i="7"/>
  <c r="P18" i="7" s="1"/>
  <c r="R17" i="7"/>
  <c r="F17" i="7"/>
  <c r="A17" i="7"/>
  <c r="F16" i="7"/>
  <c r="A16" i="7"/>
  <c r="P15" i="7"/>
  <c r="F15" i="7"/>
  <c r="A15" i="7"/>
  <c r="Q14" i="7"/>
  <c r="F14" i="7"/>
  <c r="A14" i="7"/>
  <c r="V14" i="7" s="1"/>
  <c r="F13" i="7"/>
  <c r="A13" i="7"/>
  <c r="P13" i="7" s="1"/>
  <c r="R12" i="7"/>
  <c r="T12" i="7" s="1"/>
  <c r="Q12" i="7"/>
  <c r="P12" i="7"/>
  <c r="F12" i="7"/>
  <c r="A12" i="7"/>
  <c r="R11" i="7"/>
  <c r="T11" i="7" s="1"/>
  <c r="Q11" i="7"/>
  <c r="P11" i="7"/>
  <c r="F11" i="7"/>
  <c r="A11" i="7"/>
  <c r="V11" i="7" s="1"/>
  <c r="S11" i="7" s="1"/>
  <c r="R10" i="7"/>
  <c r="T10" i="7" s="1"/>
  <c r="Q10" i="7"/>
  <c r="F10" i="7"/>
  <c r="A10" i="7"/>
  <c r="P10" i="7" s="1"/>
  <c r="R9" i="7"/>
  <c r="F9" i="7"/>
  <c r="A9" i="7"/>
  <c r="F8" i="7"/>
  <c r="A8" i="7"/>
  <c r="P7" i="7"/>
  <c r="F7" i="7"/>
  <c r="A7" i="7"/>
  <c r="Q6" i="7"/>
  <c r="F6" i="7"/>
  <c r="A6" i="7"/>
  <c r="V6" i="7" s="1"/>
  <c r="F5" i="7"/>
  <c r="A5" i="7"/>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I353" i="6"/>
  <c r="I352" i="6"/>
  <c r="I351" i="6"/>
  <c r="I350" i="6"/>
  <c r="I349" i="6"/>
  <c r="I348" i="6"/>
  <c r="I347" i="6"/>
  <c r="I346" i="6"/>
  <c r="I345" i="6"/>
  <c r="I344" i="6"/>
  <c r="I343" i="6"/>
  <c r="I342" i="6"/>
  <c r="I341" i="6"/>
  <c r="I340" i="6"/>
  <c r="I339" i="6"/>
  <c r="I338" i="6"/>
  <c r="I337" i="6"/>
  <c r="I336" i="6"/>
  <c r="I335" i="6"/>
  <c r="I334" i="6"/>
  <c r="I333" i="6"/>
  <c r="I332" i="6"/>
  <c r="I331" i="6"/>
  <c r="I330" i="6"/>
  <c r="I329" i="6"/>
  <c r="I328" i="6"/>
  <c r="I327" i="6"/>
  <c r="I326" i="6"/>
  <c r="I325" i="6"/>
  <c r="I324" i="6"/>
  <c r="I323" i="6"/>
  <c r="I322" i="6"/>
  <c r="I321" i="6"/>
  <c r="I320" i="6"/>
  <c r="I319" i="6"/>
  <c r="I318" i="6"/>
  <c r="I317" i="6"/>
  <c r="I316" i="6"/>
  <c r="I315" i="6"/>
  <c r="I314" i="6"/>
  <c r="I313" i="6"/>
  <c r="I312" i="6"/>
  <c r="I311" i="6"/>
  <c r="I310" i="6"/>
  <c r="I309" i="6"/>
  <c r="I308" i="6"/>
  <c r="I307" i="6"/>
  <c r="I306" i="6"/>
  <c r="I305" i="6"/>
  <c r="I304" i="6"/>
  <c r="I303" i="6"/>
  <c r="I302" i="6"/>
  <c r="I301" i="6"/>
  <c r="I300" i="6"/>
  <c r="I299" i="6"/>
  <c r="I298" i="6"/>
  <c r="I297" i="6"/>
  <c r="I296" i="6"/>
  <c r="I295" i="6"/>
  <c r="I294" i="6"/>
  <c r="I293" i="6"/>
  <c r="I292" i="6"/>
  <c r="I291" i="6"/>
  <c r="I290" i="6"/>
  <c r="I289" i="6"/>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G62" i="5"/>
  <c r="F62" i="5"/>
  <c r="D62" i="5"/>
  <c r="H62" i="5" s="1"/>
  <c r="C62" i="5"/>
  <c r="G61" i="5"/>
  <c r="F61" i="5"/>
  <c r="D61" i="5"/>
  <c r="H61" i="5" s="1"/>
  <c r="C61" i="5"/>
  <c r="G60" i="5"/>
  <c r="F60" i="5"/>
  <c r="D60" i="5"/>
  <c r="C60" i="5"/>
  <c r="G59" i="5"/>
  <c r="F59" i="5"/>
  <c r="D59" i="5"/>
  <c r="H59" i="5" s="1"/>
  <c r="C59" i="5"/>
  <c r="G58" i="5"/>
  <c r="F58" i="5"/>
  <c r="D58" i="5"/>
  <c r="H58" i="5" s="1"/>
  <c r="C58" i="5"/>
  <c r="G57" i="5"/>
  <c r="F57" i="5"/>
  <c r="D57" i="5"/>
  <c r="C57" i="5"/>
  <c r="G56" i="5"/>
  <c r="F56" i="5"/>
  <c r="D56" i="5"/>
  <c r="H56" i="5" s="1"/>
  <c r="C56" i="5"/>
  <c r="G55" i="5"/>
  <c r="F55" i="5"/>
  <c r="D55" i="5"/>
  <c r="H55" i="5" s="1"/>
  <c r="C55" i="5"/>
  <c r="G54" i="5"/>
  <c r="F54" i="5"/>
  <c r="D54" i="5"/>
  <c r="H54" i="5" s="1"/>
  <c r="C54" i="5"/>
  <c r="G53" i="5"/>
  <c r="F53" i="5"/>
  <c r="D53" i="5"/>
  <c r="H53" i="5" s="1"/>
  <c r="C53" i="5"/>
  <c r="G52" i="5"/>
  <c r="F52" i="5"/>
  <c r="D52" i="5"/>
  <c r="C52" i="5"/>
  <c r="G51" i="5"/>
  <c r="F51" i="5"/>
  <c r="D51" i="5"/>
  <c r="H51" i="5" s="1"/>
  <c r="C51" i="5"/>
  <c r="G50" i="5"/>
  <c r="F50" i="5"/>
  <c r="D50" i="5"/>
  <c r="H50" i="5" s="1"/>
  <c r="C50" i="5"/>
  <c r="G49" i="5"/>
  <c r="F49" i="5"/>
  <c r="D49" i="5"/>
  <c r="C49" i="5"/>
  <c r="G48" i="5"/>
  <c r="F48" i="5"/>
  <c r="D48" i="5"/>
  <c r="H48" i="5" s="1"/>
  <c r="C48" i="5"/>
  <c r="G47" i="5"/>
  <c r="F47" i="5"/>
  <c r="D47" i="5"/>
  <c r="H47" i="5" s="1"/>
  <c r="C47" i="5"/>
  <c r="G46" i="5"/>
  <c r="F46" i="5"/>
  <c r="D46" i="5"/>
  <c r="H46" i="5" s="1"/>
  <c r="C46" i="5"/>
  <c r="G45" i="5"/>
  <c r="F45" i="5"/>
  <c r="D45" i="5"/>
  <c r="H45" i="5" s="1"/>
  <c r="C45" i="5"/>
  <c r="G44" i="5"/>
  <c r="F44" i="5"/>
  <c r="D44" i="5"/>
  <c r="C44" i="5"/>
  <c r="G43" i="5"/>
  <c r="F43" i="5"/>
  <c r="D43" i="5"/>
  <c r="H43" i="5" s="1"/>
  <c r="C43" i="5"/>
  <c r="G42" i="5"/>
  <c r="F42" i="5"/>
  <c r="D42" i="5"/>
  <c r="H42" i="5" s="1"/>
  <c r="C42" i="5"/>
  <c r="G41" i="5"/>
  <c r="F41" i="5"/>
  <c r="D41" i="5"/>
  <c r="C41" i="5"/>
  <c r="G40" i="5"/>
  <c r="F40" i="5"/>
  <c r="D40" i="5"/>
  <c r="H40" i="5" s="1"/>
  <c r="C40" i="5"/>
  <c r="G39" i="5"/>
  <c r="F39" i="5"/>
  <c r="D39" i="5"/>
  <c r="H39" i="5" s="1"/>
  <c r="C39" i="5"/>
  <c r="G38" i="5"/>
  <c r="F38" i="5"/>
  <c r="D38" i="5"/>
  <c r="C38" i="5"/>
  <c r="G30" i="5"/>
  <c r="F30" i="5"/>
  <c r="C30" i="5"/>
  <c r="D30" i="5" s="1"/>
  <c r="G29" i="5"/>
  <c r="F29" i="5"/>
  <c r="C29" i="5"/>
  <c r="D29" i="5" s="1"/>
  <c r="H29" i="5" s="1"/>
  <c r="G28" i="5"/>
  <c r="F28" i="5"/>
  <c r="C28" i="5"/>
  <c r="D28" i="5" s="1"/>
  <c r="H28" i="5" s="1"/>
  <c r="G27" i="5"/>
  <c r="F27" i="5"/>
  <c r="C27" i="5"/>
  <c r="D27" i="5" s="1"/>
  <c r="H27" i="5" s="1"/>
  <c r="G26" i="5"/>
  <c r="F26" i="5"/>
  <c r="C26" i="5"/>
  <c r="D26" i="5" s="1"/>
  <c r="H26" i="5" s="1"/>
  <c r="G25" i="5"/>
  <c r="F25" i="5"/>
  <c r="C25" i="5"/>
  <c r="D25" i="5" s="1"/>
  <c r="H25" i="5" s="1"/>
  <c r="G24" i="5"/>
  <c r="F24" i="5"/>
  <c r="C24" i="5"/>
  <c r="D24" i="5" s="1"/>
  <c r="H24" i="5" s="1"/>
  <c r="G23" i="5"/>
  <c r="F23" i="5"/>
  <c r="D23" i="5"/>
  <c r="H23" i="5" s="1"/>
  <c r="C23" i="5"/>
  <c r="G22" i="5"/>
  <c r="F22" i="5"/>
  <c r="C22" i="5"/>
  <c r="D22" i="5" s="1"/>
  <c r="G21" i="5"/>
  <c r="F21" i="5"/>
  <c r="C21" i="5"/>
  <c r="D21" i="5" s="1"/>
  <c r="H21" i="5" s="1"/>
  <c r="G20" i="5"/>
  <c r="F20" i="5"/>
  <c r="C20" i="5"/>
  <c r="D20" i="5" s="1"/>
  <c r="H20" i="5" s="1"/>
  <c r="G19" i="5"/>
  <c r="F19" i="5"/>
  <c r="C19" i="5"/>
  <c r="D19" i="5" s="1"/>
  <c r="H19" i="5" s="1"/>
  <c r="G18" i="5"/>
  <c r="F18" i="5"/>
  <c r="C18" i="5"/>
  <c r="D18" i="5" s="1"/>
  <c r="H18" i="5" s="1"/>
  <c r="G17" i="5"/>
  <c r="F17" i="5"/>
  <c r="C17" i="5"/>
  <c r="D17" i="5" s="1"/>
  <c r="H17" i="5" s="1"/>
  <c r="G16" i="5"/>
  <c r="F16" i="5"/>
  <c r="C16" i="5"/>
  <c r="D16" i="5" s="1"/>
  <c r="H16" i="5" s="1"/>
  <c r="G15" i="5"/>
  <c r="F15" i="5"/>
  <c r="C15" i="5"/>
  <c r="D15" i="5" s="1"/>
  <c r="H15" i="5" s="1"/>
  <c r="G14" i="5"/>
  <c r="F14" i="5"/>
  <c r="C14" i="5"/>
  <c r="D14" i="5" s="1"/>
  <c r="G13" i="5"/>
  <c r="F13" i="5"/>
  <c r="C13" i="5"/>
  <c r="D13" i="5" s="1"/>
  <c r="H13" i="5" s="1"/>
  <c r="G12" i="5"/>
  <c r="F12" i="5"/>
  <c r="C12" i="5"/>
  <c r="D12" i="5" s="1"/>
  <c r="H12" i="5" s="1"/>
  <c r="G11" i="5"/>
  <c r="F11" i="5"/>
  <c r="C11" i="5"/>
  <c r="D11" i="5" s="1"/>
  <c r="H11" i="5" s="1"/>
  <c r="G10" i="5"/>
  <c r="F10" i="5"/>
  <c r="C10" i="5"/>
  <c r="D10" i="5" s="1"/>
  <c r="H10" i="5" s="1"/>
  <c r="G9" i="5"/>
  <c r="F9" i="5"/>
  <c r="C9" i="5"/>
  <c r="D9" i="5" s="1"/>
  <c r="H9" i="5" s="1"/>
  <c r="G8" i="5"/>
  <c r="F8" i="5"/>
  <c r="C8" i="5"/>
  <c r="D8" i="5" s="1"/>
  <c r="H8" i="5" s="1"/>
  <c r="G7" i="5"/>
  <c r="F7" i="5"/>
  <c r="D7" i="5"/>
  <c r="H7" i="5" s="1"/>
  <c r="C7" i="5"/>
  <c r="G6" i="5"/>
  <c r="F6" i="5"/>
  <c r="C6" i="5"/>
  <c r="C47" i="4"/>
  <c r="C16" i="3" s="1"/>
  <c r="C29" i="4"/>
  <c r="E28" i="4"/>
  <c r="E27" i="4"/>
  <c r="E26" i="4"/>
  <c r="E25" i="4"/>
  <c r="E24" i="4"/>
  <c r="E23" i="4"/>
  <c r="E22" i="4"/>
  <c r="E21" i="4"/>
  <c r="E20" i="4"/>
  <c r="C15" i="4"/>
  <c r="E14" i="4"/>
  <c r="E13" i="4"/>
  <c r="E12" i="4"/>
  <c r="E11" i="4"/>
  <c r="E10" i="4"/>
  <c r="E9" i="4"/>
  <c r="E8" i="4"/>
  <c r="E7" i="4"/>
  <c r="E6" i="4"/>
  <c r="C25" i="3"/>
  <c r="C24" i="3"/>
  <c r="R56" i="13" l="1"/>
  <c r="S35" i="9"/>
  <c r="U35" i="9" s="1"/>
  <c r="R71" i="13"/>
  <c r="S48" i="9"/>
  <c r="U48" i="9" s="1"/>
  <c r="V39" i="7"/>
  <c r="V48" i="7"/>
  <c r="V47" i="7"/>
  <c r="U48" i="7"/>
  <c r="U28" i="7"/>
  <c r="T17" i="7"/>
  <c r="U18" i="7"/>
  <c r="U12" i="7"/>
  <c r="U45" i="7"/>
  <c r="T9" i="7"/>
  <c r="T43" i="7"/>
  <c r="U32" i="7"/>
  <c r="U37" i="7"/>
  <c r="S53" i="7"/>
  <c r="S55" i="7"/>
  <c r="H44" i="5"/>
  <c r="H14" i="5"/>
  <c r="H30" i="5"/>
  <c r="H52" i="5"/>
  <c r="C31" i="5"/>
  <c r="H41" i="5"/>
  <c r="H60" i="5"/>
  <c r="H49" i="5"/>
  <c r="D63" i="5"/>
  <c r="H22" i="5"/>
  <c r="D6" i="5"/>
  <c r="H6" i="5" s="1"/>
  <c r="H31" i="5" s="1"/>
  <c r="H32" i="5" s="1"/>
  <c r="H34" i="5" s="1"/>
  <c r="C32" i="3" s="1"/>
  <c r="C63" i="5"/>
  <c r="H57" i="5"/>
  <c r="K15" i="14"/>
  <c r="R59" i="13"/>
  <c r="S36" i="9"/>
  <c r="U36" i="9" s="1"/>
  <c r="R9" i="13"/>
  <c r="S8" i="9"/>
  <c r="U8" i="9" s="1"/>
  <c r="R38" i="13"/>
  <c r="S29" i="9"/>
  <c r="U29" i="9" s="1"/>
  <c r="R44" i="13"/>
  <c r="S31" i="9"/>
  <c r="U31" i="9" s="1"/>
  <c r="R34" i="13"/>
  <c r="S27" i="9"/>
  <c r="U27" i="9" s="1"/>
  <c r="R40" i="13"/>
  <c r="V30" i="7"/>
  <c r="S30" i="7" s="1"/>
  <c r="S30" i="9"/>
  <c r="U30" i="9" s="1"/>
  <c r="R25" i="13"/>
  <c r="S20" i="9"/>
  <c r="U20" i="9" s="1"/>
  <c r="R21" i="13"/>
  <c r="S16" i="9"/>
  <c r="U16" i="9" s="1"/>
  <c r="R49" i="13"/>
  <c r="S33" i="9"/>
  <c r="U33" i="9" s="1"/>
  <c r="R17" i="13"/>
  <c r="S13" i="9"/>
  <c r="U13" i="9" s="1"/>
  <c r="R36" i="13"/>
  <c r="S28" i="9"/>
  <c r="U28" i="9" s="1"/>
  <c r="V20" i="7"/>
  <c r="S20" i="7" s="1"/>
  <c r="V37" i="7"/>
  <c r="S37" i="7" s="1"/>
  <c r="S10" i="9"/>
  <c r="U10" i="9" s="1"/>
  <c r="V7" i="7"/>
  <c r="S7" i="7" s="1"/>
  <c r="V28" i="7"/>
  <c r="S28" i="7" s="1"/>
  <c r="V19" i="7"/>
  <c r="S19" i="7" s="1"/>
  <c r="V23" i="7"/>
  <c r="S23" i="7" s="1"/>
  <c r="S7" i="9"/>
  <c r="U7" i="9" s="1"/>
  <c r="S15" i="9"/>
  <c r="U15" i="9" s="1"/>
  <c r="S19" i="9"/>
  <c r="U19" i="9" s="1"/>
  <c r="S23" i="9"/>
  <c r="U23" i="9" s="1"/>
  <c r="S12" i="9"/>
  <c r="U12" i="9" s="1"/>
  <c r="V12" i="7"/>
  <c r="S12" i="7" s="1"/>
  <c r="V15" i="7"/>
  <c r="S15" i="7" s="1"/>
  <c r="V31" i="7"/>
  <c r="S31" i="7" s="1"/>
  <c r="V45" i="7"/>
  <c r="S45" i="7" s="1"/>
  <c r="T15" i="10"/>
  <c r="X15" i="10" s="1"/>
  <c r="U10" i="7"/>
  <c r="U26" i="7"/>
  <c r="U35" i="7"/>
  <c r="U20" i="7"/>
  <c r="U40" i="7"/>
  <c r="T9" i="10"/>
  <c r="Y9" i="10" s="1"/>
  <c r="D22" i="16"/>
  <c r="T5" i="10"/>
  <c r="Y5" i="10" s="1"/>
  <c r="T13" i="10"/>
  <c r="Y13" i="10" s="1"/>
  <c r="T8" i="10"/>
  <c r="Y8" i="10" s="1"/>
  <c r="T12" i="10"/>
  <c r="Y12" i="10" s="1"/>
  <c r="T7" i="10"/>
  <c r="Y7" i="10" s="1"/>
  <c r="T11" i="10"/>
  <c r="Y11" i="10" s="1"/>
  <c r="T6" i="10"/>
  <c r="Y6" i="10" s="1"/>
  <c r="T10" i="10"/>
  <c r="Y10" i="10" s="1"/>
  <c r="T14" i="10"/>
  <c r="Y14" i="10" s="1"/>
  <c r="J26" i="12"/>
  <c r="K26" i="12" s="1"/>
  <c r="L26" i="12" s="1"/>
  <c r="J9" i="12"/>
  <c r="K9" i="12" s="1"/>
  <c r="L9" i="12" s="1"/>
  <c r="J19" i="12"/>
  <c r="K19" i="12" s="1"/>
  <c r="L19" i="12" s="1"/>
  <c r="J28" i="12"/>
  <c r="K28" i="12" s="1"/>
  <c r="L28" i="12" s="1"/>
  <c r="J24" i="12"/>
  <c r="K24" i="12" s="1"/>
  <c r="L24" i="12" s="1"/>
  <c r="J32" i="12"/>
  <c r="K32" i="12" s="1"/>
  <c r="L32" i="12" s="1"/>
  <c r="J30" i="12"/>
  <c r="K30" i="12" s="1"/>
  <c r="L30" i="12" s="1"/>
  <c r="J13" i="12"/>
  <c r="K13" i="12" s="1"/>
  <c r="L13" i="12" s="1"/>
  <c r="J20" i="12"/>
  <c r="K20" i="12" s="1"/>
  <c r="L20" i="12" s="1"/>
  <c r="J6" i="12"/>
  <c r="K6" i="12" s="1"/>
  <c r="L6" i="12" s="1"/>
  <c r="J16" i="12"/>
  <c r="K16" i="12" s="1"/>
  <c r="L16" i="12" s="1"/>
  <c r="J8" i="12"/>
  <c r="K8" i="12" s="1"/>
  <c r="L8" i="12" s="1"/>
  <c r="J14" i="12"/>
  <c r="K14" i="12" s="1"/>
  <c r="L14" i="12" s="1"/>
  <c r="J18" i="12"/>
  <c r="K18" i="12" s="1"/>
  <c r="L18" i="12" s="1"/>
  <c r="J23" i="12"/>
  <c r="K23" i="12" s="1"/>
  <c r="L23" i="12" s="1"/>
  <c r="J35" i="12"/>
  <c r="K35" i="12" s="1"/>
  <c r="L35" i="12" s="1"/>
  <c r="J10" i="12"/>
  <c r="K10" i="12" s="1"/>
  <c r="L10" i="12" s="1"/>
  <c r="J34" i="12"/>
  <c r="K34" i="12" s="1"/>
  <c r="L34" i="12" s="1"/>
  <c r="J11" i="12"/>
  <c r="K11" i="12" s="1"/>
  <c r="L11" i="12" s="1"/>
  <c r="J22" i="12"/>
  <c r="K22" i="12" s="1"/>
  <c r="L22" i="12" s="1"/>
  <c r="J15" i="12"/>
  <c r="K15" i="12" s="1"/>
  <c r="L15" i="12" s="1"/>
  <c r="J25" i="12"/>
  <c r="K25" i="12" s="1"/>
  <c r="L25" i="12" s="1"/>
  <c r="J33" i="12"/>
  <c r="K33" i="12" s="1"/>
  <c r="L33" i="12" s="1"/>
  <c r="J21" i="12"/>
  <c r="K21" i="12" s="1"/>
  <c r="L21" i="12" s="1"/>
  <c r="J29" i="12"/>
  <c r="K29" i="12" s="1"/>
  <c r="L29" i="12" s="1"/>
  <c r="I62" i="12"/>
  <c r="H38" i="5"/>
  <c r="H63" i="5" s="1"/>
  <c r="H64" i="5" s="1"/>
  <c r="H66" i="5" s="1"/>
  <c r="D32" i="3" s="1"/>
  <c r="Q5" i="7"/>
  <c r="P6" i="7"/>
  <c r="V8" i="7"/>
  <c r="S8" i="7" s="1"/>
  <c r="U9" i="7"/>
  <c r="Q13" i="7"/>
  <c r="P14" i="7"/>
  <c r="V16" i="7"/>
  <c r="S16" i="7" s="1"/>
  <c r="U17" i="7"/>
  <c r="Q21" i="7"/>
  <c r="P22" i="7"/>
  <c r="V24" i="7"/>
  <c r="Q29" i="7"/>
  <c r="P30" i="7"/>
  <c r="P31" i="7"/>
  <c r="V33" i="7"/>
  <c r="S33" i="7" s="1"/>
  <c r="Q38" i="7"/>
  <c r="V41" i="7"/>
  <c r="Q46" i="7"/>
  <c r="V49" i="7"/>
  <c r="U50" i="7"/>
  <c r="Q54" i="7"/>
  <c r="V57" i="7"/>
  <c r="U58" i="7"/>
  <c r="Q62" i="7"/>
  <c r="V65" i="7"/>
  <c r="U66" i="7"/>
  <c r="Q70" i="7"/>
  <c r="V73" i="7"/>
  <c r="U74" i="7"/>
  <c r="Q78" i="7"/>
  <c r="V81" i="7"/>
  <c r="U82" i="7"/>
  <c r="Q86" i="7"/>
  <c r="V89" i="7"/>
  <c r="U90" i="7"/>
  <c r="Q94" i="7"/>
  <c r="V97" i="7"/>
  <c r="U98" i="7"/>
  <c r="Q102" i="7"/>
  <c r="V105" i="7"/>
  <c r="U106" i="7"/>
  <c r="Q110" i="7"/>
  <c r="V113" i="7"/>
  <c r="U114" i="7"/>
  <c r="Q118" i="7"/>
  <c r="V121" i="7"/>
  <c r="U122" i="7"/>
  <c r="Q126" i="7"/>
  <c r="V129" i="7"/>
  <c r="U130" i="7"/>
  <c r="Q134" i="7"/>
  <c r="U143" i="7"/>
  <c r="V149" i="7"/>
  <c r="V151" i="7"/>
  <c r="V152" i="7"/>
  <c r="V153" i="7"/>
  <c r="V154" i="7"/>
  <c r="V155" i="7"/>
  <c r="U159" i="7"/>
  <c r="S159" i="7"/>
  <c r="S162" i="7"/>
  <c r="R170" i="7"/>
  <c r="P170" i="7"/>
  <c r="R189" i="7"/>
  <c r="P201" i="7"/>
  <c r="U201" i="7"/>
  <c r="S201" i="7"/>
  <c r="Q201" i="7"/>
  <c r="S202" i="7"/>
  <c r="Q207" i="7"/>
  <c r="T213" i="7"/>
  <c r="Q213" i="7"/>
  <c r="U213" i="7"/>
  <c r="T226" i="7"/>
  <c r="R226" i="7"/>
  <c r="P226" i="7"/>
  <c r="R231" i="7"/>
  <c r="U231" i="7"/>
  <c r="S231" i="7"/>
  <c r="T234" i="7"/>
  <c r="R234" i="7"/>
  <c r="Q234" i="7"/>
  <c r="P234" i="7"/>
  <c r="P241" i="7"/>
  <c r="U241" i="7"/>
  <c r="S241" i="7"/>
  <c r="R241" i="7"/>
  <c r="Q241" i="7"/>
  <c r="T250" i="7"/>
  <c r="R250" i="7"/>
  <c r="Q250" i="7"/>
  <c r="P250" i="7"/>
  <c r="P257" i="7"/>
  <c r="U257" i="7"/>
  <c r="S257" i="7"/>
  <c r="R257" i="7"/>
  <c r="Q257" i="7"/>
  <c r="T266" i="7"/>
  <c r="R266" i="7"/>
  <c r="Q266" i="7"/>
  <c r="P266" i="7"/>
  <c r="P273" i="7"/>
  <c r="U273" i="7"/>
  <c r="S273" i="7"/>
  <c r="R273" i="7"/>
  <c r="Q273" i="7"/>
  <c r="S291" i="7"/>
  <c r="P291" i="7"/>
  <c r="V291" i="7"/>
  <c r="T291" i="7"/>
  <c r="R291" i="7"/>
  <c r="Q291" i="7"/>
  <c r="U297" i="7"/>
  <c r="T297" i="7"/>
  <c r="R297" i="7"/>
  <c r="Q297" i="7"/>
  <c r="P297" i="7"/>
  <c r="S299" i="7"/>
  <c r="U299" i="7"/>
  <c r="R299" i="7"/>
  <c r="Q299" i="7"/>
  <c r="P299" i="7"/>
  <c r="Q301" i="7"/>
  <c r="U301" i="7"/>
  <c r="S301" i="7"/>
  <c r="R301" i="7"/>
  <c r="P301" i="7"/>
  <c r="T303" i="7"/>
  <c r="R303" i="7"/>
  <c r="Q303" i="7"/>
  <c r="P303" i="7"/>
  <c r="P314" i="7"/>
  <c r="T314" i="7"/>
  <c r="S314" i="7"/>
  <c r="V314" i="7"/>
  <c r="U314" i="7"/>
  <c r="P357" i="7"/>
  <c r="U357" i="7"/>
  <c r="T357" i="7"/>
  <c r="S357" i="7"/>
  <c r="Q357" i="7"/>
  <c r="T398" i="7"/>
  <c r="S398" i="7"/>
  <c r="R398" i="7"/>
  <c r="P398" i="7"/>
  <c r="Q398" i="7"/>
  <c r="V398" i="7"/>
  <c r="U398" i="7"/>
  <c r="U409" i="7"/>
  <c r="T409" i="7"/>
  <c r="Q409" i="7"/>
  <c r="P409" i="7"/>
  <c r="V409" i="7"/>
  <c r="R409" i="7"/>
  <c r="S409" i="7"/>
  <c r="V34" i="7"/>
  <c r="V42" i="7"/>
  <c r="V50" i="7"/>
  <c r="V58" i="7"/>
  <c r="V66" i="7"/>
  <c r="V74" i="7"/>
  <c r="V82" i="7"/>
  <c r="V90" i="7"/>
  <c r="V98" i="7"/>
  <c r="V106" i="7"/>
  <c r="V114" i="7"/>
  <c r="V122" i="7"/>
  <c r="V130" i="7"/>
  <c r="S169" i="7"/>
  <c r="Q169" i="7"/>
  <c r="T178" i="7"/>
  <c r="R178" i="7"/>
  <c r="P178" i="7"/>
  <c r="P209" i="7"/>
  <c r="U209" i="7"/>
  <c r="S209" i="7"/>
  <c r="Q209" i="7"/>
  <c r="T221" i="7"/>
  <c r="Q221" i="7"/>
  <c r="U221" i="7"/>
  <c r="R247" i="7"/>
  <c r="U247" i="7"/>
  <c r="T247" i="7"/>
  <c r="S247" i="7"/>
  <c r="R263" i="7"/>
  <c r="U263" i="7"/>
  <c r="T263" i="7"/>
  <c r="S263" i="7"/>
  <c r="R279" i="7"/>
  <c r="U279" i="7"/>
  <c r="T279" i="7"/>
  <c r="S279" i="7"/>
  <c r="P294" i="7"/>
  <c r="Q294" i="7"/>
  <c r="V294" i="7"/>
  <c r="T294" i="7"/>
  <c r="S294" i="7"/>
  <c r="R294" i="7"/>
  <c r="T345" i="7"/>
  <c r="Q345" i="7"/>
  <c r="P345" i="7"/>
  <c r="U345" i="7"/>
  <c r="V345" i="7"/>
  <c r="S345" i="7"/>
  <c r="R345" i="7"/>
  <c r="T353" i="7"/>
  <c r="Q353" i="7"/>
  <c r="P353" i="7"/>
  <c r="U353" i="7"/>
  <c r="V353" i="7"/>
  <c r="R5" i="7"/>
  <c r="T5" i="7" s="1"/>
  <c r="R13" i="7"/>
  <c r="T13" i="7" s="1"/>
  <c r="V17" i="7"/>
  <c r="S17" i="7" s="1"/>
  <c r="V25" i="7"/>
  <c r="R6" i="7"/>
  <c r="U6" i="7" s="1"/>
  <c r="Q7" i="7"/>
  <c r="P8" i="7"/>
  <c r="V10" i="7"/>
  <c r="S10" i="7" s="1"/>
  <c r="U11" i="7"/>
  <c r="R14" i="7"/>
  <c r="U14" i="7" s="1"/>
  <c r="Q15" i="7"/>
  <c r="P16" i="7"/>
  <c r="V18" i="7"/>
  <c r="S18" i="7" s="1"/>
  <c r="U19" i="7"/>
  <c r="R22" i="7"/>
  <c r="U22" i="7" s="1"/>
  <c r="Q23" i="7"/>
  <c r="P24" i="7"/>
  <c r="V26" i="7"/>
  <c r="S26" i="7" s="1"/>
  <c r="U27" i="7"/>
  <c r="R31" i="7"/>
  <c r="U31" i="7" s="1"/>
  <c r="Q32" i="7"/>
  <c r="P33" i="7"/>
  <c r="V35" i="7"/>
  <c r="S35" i="7" s="1"/>
  <c r="U36" i="7"/>
  <c r="R39" i="7"/>
  <c r="U39" i="7" s="1"/>
  <c r="Q40" i="7"/>
  <c r="P41" i="7"/>
  <c r="V43" i="7"/>
  <c r="S43" i="7" s="1"/>
  <c r="U44" i="7"/>
  <c r="R47" i="7"/>
  <c r="U47" i="7" s="1"/>
  <c r="Q48" i="7"/>
  <c r="S48" i="7" s="1"/>
  <c r="P49" i="7"/>
  <c r="V51" i="7"/>
  <c r="S51" i="7" s="1"/>
  <c r="U52" i="7"/>
  <c r="Q56" i="7"/>
  <c r="P57" i="7"/>
  <c r="V59" i="7"/>
  <c r="U60" i="7"/>
  <c r="S62" i="7"/>
  <c r="P65" i="7"/>
  <c r="V67" i="7"/>
  <c r="U68" i="7"/>
  <c r="S70" i="7"/>
  <c r="P73" i="7"/>
  <c r="V75" i="7"/>
  <c r="U76" i="7"/>
  <c r="S78" i="7"/>
  <c r="P81" i="7"/>
  <c r="V83" i="7"/>
  <c r="U84" i="7"/>
  <c r="S86" i="7"/>
  <c r="P89" i="7"/>
  <c r="V91" i="7"/>
  <c r="U92" i="7"/>
  <c r="S94" i="7"/>
  <c r="P97" i="7"/>
  <c r="V99" i="7"/>
  <c r="U100" i="7"/>
  <c r="S102" i="7"/>
  <c r="P105" i="7"/>
  <c r="V107" i="7"/>
  <c r="U108" i="7"/>
  <c r="S110" i="7"/>
  <c r="P113" i="7"/>
  <c r="V115" i="7"/>
  <c r="U116" i="7"/>
  <c r="S118" i="7"/>
  <c r="P121" i="7"/>
  <c r="V123" i="7"/>
  <c r="U124" i="7"/>
  <c r="S126" i="7"/>
  <c r="P129" i="7"/>
  <c r="V131" i="7"/>
  <c r="U132" i="7"/>
  <c r="S134" i="7"/>
  <c r="P143" i="7"/>
  <c r="P144" i="7"/>
  <c r="P145" i="7"/>
  <c r="P146" i="7"/>
  <c r="P147" i="7"/>
  <c r="Q148" i="7"/>
  <c r="P149" i="7"/>
  <c r="P157" i="7"/>
  <c r="P159" i="7"/>
  <c r="U162" i="7"/>
  <c r="V165" i="7"/>
  <c r="T168" i="7"/>
  <c r="R168" i="7"/>
  <c r="Q170" i="7"/>
  <c r="R183" i="7"/>
  <c r="U183" i="7"/>
  <c r="S183" i="7"/>
  <c r="R201" i="7"/>
  <c r="P213" i="7"/>
  <c r="P217" i="7"/>
  <c r="U217" i="7"/>
  <c r="S217" i="7"/>
  <c r="Q217" i="7"/>
  <c r="Q226" i="7"/>
  <c r="T229" i="7"/>
  <c r="Q229" i="7"/>
  <c r="U229" i="7"/>
  <c r="P231" i="7"/>
  <c r="S234" i="7"/>
  <c r="T241" i="7"/>
  <c r="S250" i="7"/>
  <c r="T257" i="7"/>
  <c r="S266" i="7"/>
  <c r="T273" i="7"/>
  <c r="U289" i="7"/>
  <c r="P289" i="7"/>
  <c r="V289" i="7"/>
  <c r="S289" i="7"/>
  <c r="R289" i="7"/>
  <c r="Q289" i="7"/>
  <c r="U291" i="7"/>
  <c r="S297" i="7"/>
  <c r="T299" i="7"/>
  <c r="T301" i="7"/>
  <c r="S303" i="7"/>
  <c r="P306" i="7"/>
  <c r="T306" i="7"/>
  <c r="V306" i="7"/>
  <c r="S306" i="7"/>
  <c r="R306" i="7"/>
  <c r="Q306" i="7"/>
  <c r="Q314" i="7"/>
  <c r="R357" i="7"/>
  <c r="Q413" i="7"/>
  <c r="U413" i="7"/>
  <c r="R413" i="7"/>
  <c r="P413" i="7"/>
  <c r="V413" i="7"/>
  <c r="S413" i="7"/>
  <c r="T413" i="7"/>
  <c r="T442" i="7"/>
  <c r="Q442" i="7"/>
  <c r="P442" i="7"/>
  <c r="V442" i="7"/>
  <c r="U442" i="7"/>
  <c r="S442" i="7"/>
  <c r="R442" i="7"/>
  <c r="S475" i="7"/>
  <c r="P475" i="7"/>
  <c r="Q475" i="7"/>
  <c r="V475" i="7"/>
  <c r="U475" i="7"/>
  <c r="T475" i="7"/>
  <c r="R475" i="7"/>
  <c r="V9" i="7"/>
  <c r="S6" i="7"/>
  <c r="R7" i="7"/>
  <c r="Q8" i="7"/>
  <c r="P9" i="7"/>
  <c r="S14" i="7"/>
  <c r="R15" i="7"/>
  <c r="Q16" i="7"/>
  <c r="P17" i="7"/>
  <c r="T21" i="7"/>
  <c r="S22" i="7"/>
  <c r="R23" i="7"/>
  <c r="C90" i="17" s="1"/>
  <c r="Q24" i="7"/>
  <c r="P25" i="7"/>
  <c r="V27" i="7"/>
  <c r="S27" i="7" s="1"/>
  <c r="T29" i="7"/>
  <c r="T30" i="7"/>
  <c r="Q33" i="7"/>
  <c r="P34" i="7"/>
  <c r="V36" i="7"/>
  <c r="S36" i="7" s="1"/>
  <c r="T38" i="7"/>
  <c r="Q41" i="7"/>
  <c r="P42" i="7"/>
  <c r="V44" i="7"/>
  <c r="S44" i="7" s="1"/>
  <c r="T46" i="7"/>
  <c r="Q49" i="7"/>
  <c r="P50" i="7"/>
  <c r="V52" i="7"/>
  <c r="S52" i="7" s="1"/>
  <c r="T54" i="7"/>
  <c r="Q57" i="7"/>
  <c r="P58" i="7"/>
  <c r="V60" i="7"/>
  <c r="T62" i="7"/>
  <c r="Q65" i="7"/>
  <c r="P66" i="7"/>
  <c r="V68" i="7"/>
  <c r="T70" i="7"/>
  <c r="Q73" i="7"/>
  <c r="P74" i="7"/>
  <c r="V76" i="7"/>
  <c r="T78" i="7"/>
  <c r="Q81" i="7"/>
  <c r="P82" i="7"/>
  <c r="V84" i="7"/>
  <c r="T86" i="7"/>
  <c r="Q89" i="7"/>
  <c r="P90" i="7"/>
  <c r="V92" i="7"/>
  <c r="T94" i="7"/>
  <c r="Q97" i="7"/>
  <c r="P98" i="7"/>
  <c r="V100" i="7"/>
  <c r="T102" i="7"/>
  <c r="Q105" i="7"/>
  <c r="P106" i="7"/>
  <c r="V108" i="7"/>
  <c r="T110" i="7"/>
  <c r="Q113" i="7"/>
  <c r="P114" i="7"/>
  <c r="V116" i="7"/>
  <c r="T118" i="7"/>
  <c r="Q121" i="7"/>
  <c r="P122" i="7"/>
  <c r="V124" i="7"/>
  <c r="T126" i="7"/>
  <c r="Q129" i="7"/>
  <c r="P130" i="7"/>
  <c r="V132" i="7"/>
  <c r="T134" i="7"/>
  <c r="Q143" i="7"/>
  <c r="Q144" i="7"/>
  <c r="Q145" i="7"/>
  <c r="Q146" i="7"/>
  <c r="R147" i="7"/>
  <c r="R148" i="7"/>
  <c r="Q149" i="7"/>
  <c r="P151" i="7"/>
  <c r="P152" i="7"/>
  <c r="P153" i="7"/>
  <c r="P154" i="7"/>
  <c r="P155" i="7"/>
  <c r="Q157" i="7"/>
  <c r="Q159" i="7"/>
  <c r="U167" i="7"/>
  <c r="S167" i="7"/>
  <c r="P169" i="7"/>
  <c r="S170" i="7"/>
  <c r="U177" i="7"/>
  <c r="S177" i="7"/>
  <c r="Q177" i="7"/>
  <c r="Q178" i="7"/>
  <c r="T186" i="7"/>
  <c r="R186" i="7"/>
  <c r="P186" i="7"/>
  <c r="R191" i="7"/>
  <c r="U191" i="7"/>
  <c r="S191" i="7"/>
  <c r="T201" i="7"/>
  <c r="R209" i="7"/>
  <c r="R213" i="7"/>
  <c r="P221" i="7"/>
  <c r="P225" i="7"/>
  <c r="U225" i="7"/>
  <c r="S225" i="7"/>
  <c r="Q225" i="7"/>
  <c r="S226" i="7"/>
  <c r="Q231" i="7"/>
  <c r="U234" i="7"/>
  <c r="V241" i="7"/>
  <c r="P247" i="7"/>
  <c r="U250" i="7"/>
  <c r="V257" i="7"/>
  <c r="P263" i="7"/>
  <c r="U266" i="7"/>
  <c r="V273" i="7"/>
  <c r="P279" i="7"/>
  <c r="R292" i="7"/>
  <c r="P292" i="7"/>
  <c r="V292" i="7"/>
  <c r="T292" i="7"/>
  <c r="S292" i="7"/>
  <c r="Q292" i="7"/>
  <c r="U294" i="7"/>
  <c r="V297" i="7"/>
  <c r="V299" i="7"/>
  <c r="V301" i="7"/>
  <c r="U303" i="7"/>
  <c r="R314" i="7"/>
  <c r="T334" i="7"/>
  <c r="S334" i="7"/>
  <c r="R334" i="7"/>
  <c r="P334" i="7"/>
  <c r="V334" i="7"/>
  <c r="U334" i="7"/>
  <c r="Q334" i="7"/>
  <c r="T342" i="7"/>
  <c r="S342" i="7"/>
  <c r="R342" i="7"/>
  <c r="P342" i="7"/>
  <c r="Q342" i="7"/>
  <c r="V342" i="7"/>
  <c r="U342" i="7"/>
  <c r="R353" i="7"/>
  <c r="V357" i="7"/>
  <c r="P373" i="7"/>
  <c r="U373" i="7"/>
  <c r="T373" i="7"/>
  <c r="S373" i="7"/>
  <c r="Q373" i="7"/>
  <c r="R373" i="7"/>
  <c r="V373" i="7"/>
  <c r="T6" i="7"/>
  <c r="R8" i="7"/>
  <c r="U8" i="7" s="1"/>
  <c r="Q9" i="7"/>
  <c r="U13" i="7"/>
  <c r="R16" i="7"/>
  <c r="T16" i="7" s="1"/>
  <c r="Q17" i="7"/>
  <c r="U21" i="7"/>
  <c r="R24" i="7"/>
  <c r="T24" i="7" s="1"/>
  <c r="Q25" i="7"/>
  <c r="U29" i="7"/>
  <c r="T31" i="7"/>
  <c r="S32" i="7"/>
  <c r="R33" i="7"/>
  <c r="U33" i="7" s="1"/>
  <c r="Q34" i="7"/>
  <c r="U38" i="7"/>
  <c r="S40" i="7"/>
  <c r="R41" i="7"/>
  <c r="U41" i="7" s="1"/>
  <c r="Q42" i="7"/>
  <c r="U46" i="7"/>
  <c r="R49" i="7"/>
  <c r="Q50" i="7"/>
  <c r="P51" i="7"/>
  <c r="U54" i="7"/>
  <c r="T55" i="7"/>
  <c r="S56" i="7"/>
  <c r="R57" i="7"/>
  <c r="T57" i="7" s="1"/>
  <c r="Q58" i="7"/>
  <c r="P59" i="7"/>
  <c r="U62" i="7"/>
  <c r="T63" i="7"/>
  <c r="S64" i="7"/>
  <c r="R65" i="7"/>
  <c r="Q66" i="7"/>
  <c r="P67" i="7"/>
  <c r="V69" i="7"/>
  <c r="U70" i="7"/>
  <c r="T71" i="7"/>
  <c r="S72" i="7"/>
  <c r="R73" i="7"/>
  <c r="Q74" i="7"/>
  <c r="P75" i="7"/>
  <c r="V77" i="7"/>
  <c r="U78" i="7"/>
  <c r="T79" i="7"/>
  <c r="S80" i="7"/>
  <c r="R81" i="7"/>
  <c r="Q82" i="7"/>
  <c r="P83" i="7"/>
  <c r="V85" i="7"/>
  <c r="U86" i="7"/>
  <c r="T87" i="7"/>
  <c r="S88" i="7"/>
  <c r="R89" i="7"/>
  <c r="Q90" i="7"/>
  <c r="P91" i="7"/>
  <c r="V93" i="7"/>
  <c r="U94" i="7"/>
  <c r="S96" i="7"/>
  <c r="R97" i="7"/>
  <c r="Q98" i="7"/>
  <c r="P99" i="7"/>
  <c r="V101" i="7"/>
  <c r="U102" i="7"/>
  <c r="S104" i="7"/>
  <c r="R105" i="7"/>
  <c r="Q106" i="7"/>
  <c r="P107" i="7"/>
  <c r="V109" i="7"/>
  <c r="U110" i="7"/>
  <c r="S112" i="7"/>
  <c r="R113" i="7"/>
  <c r="Q114" i="7"/>
  <c r="P115" i="7"/>
  <c r="V117" i="7"/>
  <c r="U118" i="7"/>
  <c r="S120" i="7"/>
  <c r="R121" i="7"/>
  <c r="Q122" i="7"/>
  <c r="P123" i="7"/>
  <c r="V125" i="7"/>
  <c r="U126" i="7"/>
  <c r="S128" i="7"/>
  <c r="R129" i="7"/>
  <c r="Q130" i="7"/>
  <c r="P131" i="7"/>
  <c r="V133" i="7"/>
  <c r="U134" i="7"/>
  <c r="S136" i="7"/>
  <c r="T137" i="7"/>
  <c r="T138" i="7"/>
  <c r="T139" i="7"/>
  <c r="T140" i="7"/>
  <c r="S141" i="7"/>
  <c r="R143" i="7"/>
  <c r="R144" i="7"/>
  <c r="R145" i="7"/>
  <c r="S146" i="7"/>
  <c r="S147" i="7"/>
  <c r="S148" i="7"/>
  <c r="R149" i="7"/>
  <c r="Q151" i="7"/>
  <c r="Q152" i="7"/>
  <c r="Q153" i="7"/>
  <c r="Q154" i="7"/>
  <c r="R155" i="7"/>
  <c r="R157" i="7"/>
  <c r="R159" i="7"/>
  <c r="P168" i="7"/>
  <c r="R169" i="7"/>
  <c r="T170" i="7"/>
  <c r="T171" i="7"/>
  <c r="S178" i="7"/>
  <c r="T181" i="7"/>
  <c r="Q181" i="7"/>
  <c r="U181" i="7"/>
  <c r="P183" i="7"/>
  <c r="T194" i="7"/>
  <c r="R194" i="7"/>
  <c r="P194" i="7"/>
  <c r="R199" i="7"/>
  <c r="U199" i="7"/>
  <c r="S199" i="7"/>
  <c r="V201" i="7"/>
  <c r="T209" i="7"/>
  <c r="S213" i="7"/>
  <c r="R217" i="7"/>
  <c r="R221" i="7"/>
  <c r="U226" i="7"/>
  <c r="P229" i="7"/>
  <c r="T231" i="7"/>
  <c r="P233" i="7"/>
  <c r="U233" i="7"/>
  <c r="S233" i="7"/>
  <c r="R233" i="7"/>
  <c r="Q233" i="7"/>
  <c r="V234" i="7"/>
  <c r="T242" i="7"/>
  <c r="R242" i="7"/>
  <c r="Q242" i="7"/>
  <c r="P242" i="7"/>
  <c r="Q247" i="7"/>
  <c r="P249" i="7"/>
  <c r="U249" i="7"/>
  <c r="S249" i="7"/>
  <c r="R249" i="7"/>
  <c r="Q249" i="7"/>
  <c r="V250" i="7"/>
  <c r="T258" i="7"/>
  <c r="R258" i="7"/>
  <c r="Q258" i="7"/>
  <c r="P258" i="7"/>
  <c r="Q263" i="7"/>
  <c r="P265" i="7"/>
  <c r="U265" i="7"/>
  <c r="S265" i="7"/>
  <c r="R265" i="7"/>
  <c r="Q265" i="7"/>
  <c r="V266" i="7"/>
  <c r="T274" i="7"/>
  <c r="R274" i="7"/>
  <c r="Q274" i="7"/>
  <c r="P274" i="7"/>
  <c r="Q279" i="7"/>
  <c r="T289" i="7"/>
  <c r="P295" i="7"/>
  <c r="U295" i="7"/>
  <c r="S295" i="7"/>
  <c r="R295" i="7"/>
  <c r="Q295" i="7"/>
  <c r="T298" i="7"/>
  <c r="U298" i="7"/>
  <c r="R298" i="7"/>
  <c r="Q298" i="7"/>
  <c r="P298" i="7"/>
  <c r="R300" i="7"/>
  <c r="U300" i="7"/>
  <c r="S300" i="7"/>
  <c r="Q300" i="7"/>
  <c r="P300" i="7"/>
  <c r="P302" i="7"/>
  <c r="U302" i="7"/>
  <c r="S302" i="7"/>
  <c r="R302" i="7"/>
  <c r="Q302" i="7"/>
  <c r="V303" i="7"/>
  <c r="U306" i="7"/>
  <c r="S311" i="7"/>
  <c r="R311" i="7"/>
  <c r="V311" i="7"/>
  <c r="T311" i="7"/>
  <c r="Q311" i="7"/>
  <c r="P311" i="7"/>
  <c r="S353" i="7"/>
  <c r="P389" i="7"/>
  <c r="U389" i="7"/>
  <c r="T389" i="7"/>
  <c r="S389" i="7"/>
  <c r="Q389" i="7"/>
  <c r="R389" i="7"/>
  <c r="V389" i="7"/>
  <c r="E52" i="13"/>
  <c r="E47" i="13"/>
  <c r="E43" i="13"/>
  <c r="E39" i="13"/>
  <c r="E35" i="13"/>
  <c r="E31" i="13"/>
  <c r="E27" i="13"/>
  <c r="E23" i="13"/>
  <c r="E19" i="13"/>
  <c r="E15" i="13"/>
  <c r="E11" i="13"/>
  <c r="E7" i="13"/>
  <c r="D52" i="13"/>
  <c r="D47" i="13"/>
  <c r="D43" i="13"/>
  <c r="D39" i="13"/>
  <c r="D35" i="13"/>
  <c r="D31" i="13"/>
  <c r="D27" i="13"/>
  <c r="D23" i="13"/>
  <c r="D19" i="13"/>
  <c r="D15" i="13"/>
  <c r="D11" i="13"/>
  <c r="D7" i="13"/>
  <c r="D51" i="13"/>
  <c r="D46" i="13"/>
  <c r="D42" i="13"/>
  <c r="D38" i="13"/>
  <c r="D34" i="13"/>
  <c r="D30" i="13"/>
  <c r="D26" i="13"/>
  <c r="D22" i="13"/>
  <c r="D18" i="13"/>
  <c r="D14" i="13"/>
  <c r="D10" i="13"/>
  <c r="D6" i="13"/>
  <c r="E5" i="13"/>
  <c r="D50" i="13"/>
  <c r="D45" i="13"/>
  <c r="D41" i="13"/>
  <c r="D37" i="13"/>
  <c r="D33" i="13"/>
  <c r="D29" i="13"/>
  <c r="D25" i="13"/>
  <c r="D21" i="13"/>
  <c r="D17" i="13"/>
  <c r="D13" i="13"/>
  <c r="D9" i="13"/>
  <c r="E49" i="13"/>
  <c r="E44" i="13"/>
  <c r="E40" i="13"/>
  <c r="E36" i="13"/>
  <c r="E32" i="13"/>
  <c r="E28" i="13"/>
  <c r="E24" i="13"/>
  <c r="E20" i="13"/>
  <c r="E16" i="13"/>
  <c r="E12" i="13"/>
  <c r="E8" i="13"/>
  <c r="D49" i="13"/>
  <c r="D44" i="13"/>
  <c r="D40" i="13"/>
  <c r="D36" i="13"/>
  <c r="D32" i="13"/>
  <c r="D28" i="13"/>
  <c r="D24" i="13"/>
  <c r="D20" i="13"/>
  <c r="D16" i="13"/>
  <c r="D12" i="13"/>
  <c r="D8" i="13"/>
  <c r="E30" i="13"/>
  <c r="E29" i="13"/>
  <c r="E22" i="13"/>
  <c r="E21" i="13"/>
  <c r="E14" i="13"/>
  <c r="E13" i="13"/>
  <c r="E6" i="13"/>
  <c r="D5" i="13"/>
  <c r="E51" i="13"/>
  <c r="E50" i="13"/>
  <c r="E42" i="13"/>
  <c r="E41" i="13"/>
  <c r="E34" i="13"/>
  <c r="E33" i="13"/>
  <c r="E26" i="13"/>
  <c r="E25" i="13"/>
  <c r="E18" i="13"/>
  <c r="E17" i="13"/>
  <c r="E10" i="13"/>
  <c r="E9" i="13"/>
  <c r="E46" i="13"/>
  <c r="E45" i="13"/>
  <c r="E38" i="13"/>
  <c r="E37" i="13"/>
  <c r="C45" i="9"/>
  <c r="E44" i="9"/>
  <c r="C41" i="9"/>
  <c r="E40" i="9"/>
  <c r="C37" i="9"/>
  <c r="E36" i="9"/>
  <c r="C33" i="9"/>
  <c r="E32" i="9"/>
  <c r="C29" i="9"/>
  <c r="E28" i="9"/>
  <c r="C25" i="9"/>
  <c r="E24" i="9"/>
  <c r="C21" i="9"/>
  <c r="E20" i="9"/>
  <c r="C17" i="9"/>
  <c r="E16" i="9"/>
  <c r="C13" i="9"/>
  <c r="E12" i="9"/>
  <c r="C9" i="9"/>
  <c r="E8" i="9"/>
  <c r="C5" i="9"/>
  <c r="F47" i="8"/>
  <c r="F46" i="8"/>
  <c r="F45" i="8"/>
  <c r="F44" i="8"/>
  <c r="F43" i="8"/>
  <c r="F42" i="8"/>
  <c r="F41" i="8"/>
  <c r="F40" i="8"/>
  <c r="F39" i="8"/>
  <c r="F38" i="8"/>
  <c r="F37" i="8"/>
  <c r="F36" i="8"/>
  <c r="F35" i="8"/>
  <c r="F34"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7" i="9"/>
  <c r="B45" i="9"/>
  <c r="D44" i="9"/>
  <c r="F43" i="9"/>
  <c r="B41" i="9"/>
  <c r="D40" i="9"/>
  <c r="F39" i="9"/>
  <c r="B37" i="9"/>
  <c r="D36" i="9"/>
  <c r="F35" i="9"/>
  <c r="B33" i="9"/>
  <c r="D32" i="9"/>
  <c r="F31" i="9"/>
  <c r="B29" i="9"/>
  <c r="D28" i="9"/>
  <c r="F27" i="9"/>
  <c r="B25" i="9"/>
  <c r="D24" i="9"/>
  <c r="F23" i="9"/>
  <c r="B21" i="9"/>
  <c r="D20" i="9"/>
  <c r="F19" i="9"/>
  <c r="B17" i="9"/>
  <c r="D16" i="9"/>
  <c r="F15" i="9"/>
  <c r="B13" i="9"/>
  <c r="D12" i="9"/>
  <c r="F11" i="9"/>
  <c r="B9" i="9"/>
  <c r="D8" i="9"/>
  <c r="F7" i="9"/>
  <c r="B5" i="9"/>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E47" i="9"/>
  <c r="C44" i="9"/>
  <c r="E43" i="9"/>
  <c r="C40" i="9"/>
  <c r="E39" i="9"/>
  <c r="C36" i="9"/>
  <c r="E35" i="9"/>
  <c r="C32" i="9"/>
  <c r="E31" i="9"/>
  <c r="C28" i="9"/>
  <c r="E27" i="9"/>
  <c r="C24" i="9"/>
  <c r="E23" i="9"/>
  <c r="C20" i="9"/>
  <c r="E19" i="9"/>
  <c r="C16" i="9"/>
  <c r="E15" i="9"/>
  <c r="C12" i="9"/>
  <c r="E11" i="9"/>
  <c r="C8" i="9"/>
  <c r="E7" i="9"/>
  <c r="D47" i="9"/>
  <c r="F46" i="9"/>
  <c r="B44" i="9"/>
  <c r="D43" i="9"/>
  <c r="F42" i="9"/>
  <c r="B40" i="9"/>
  <c r="D39" i="9"/>
  <c r="F38" i="9"/>
  <c r="B36" i="9"/>
  <c r="D35" i="9"/>
  <c r="F34" i="9"/>
  <c r="B32" i="9"/>
  <c r="D31" i="9"/>
  <c r="F30" i="9"/>
  <c r="B28" i="9"/>
  <c r="J13" i="14" s="1"/>
  <c r="D27" i="9"/>
  <c r="F26" i="9"/>
  <c r="B24" i="9"/>
  <c r="D23" i="9"/>
  <c r="F22" i="9"/>
  <c r="B20" i="9"/>
  <c r="D19" i="9"/>
  <c r="F18" i="9"/>
  <c r="B16" i="9"/>
  <c r="D15" i="9"/>
  <c r="F14" i="9"/>
  <c r="B12" i="9"/>
  <c r="D11" i="9"/>
  <c r="F10" i="9"/>
  <c r="B8" i="9"/>
  <c r="D7" i="9"/>
  <c r="F6" i="9"/>
  <c r="C47" i="9"/>
  <c r="E46" i="9"/>
  <c r="C43" i="9"/>
  <c r="E42" i="9"/>
  <c r="C39" i="9"/>
  <c r="E38" i="9"/>
  <c r="C35" i="9"/>
  <c r="E34" i="9"/>
  <c r="C31" i="9"/>
  <c r="E30" i="9"/>
  <c r="C27" i="9"/>
  <c r="E26" i="9"/>
  <c r="C23" i="9"/>
  <c r="E22" i="9"/>
  <c r="C19" i="9"/>
  <c r="E18" i="9"/>
  <c r="C15" i="9"/>
  <c r="E14" i="9"/>
  <c r="C11" i="9"/>
  <c r="E10" i="9"/>
  <c r="C7" i="9"/>
  <c r="E6" i="9"/>
  <c r="B47" i="9"/>
  <c r="D46" i="9"/>
  <c r="F45" i="9"/>
  <c r="B43" i="9"/>
  <c r="D42" i="9"/>
  <c r="F41" i="9"/>
  <c r="B39" i="9"/>
  <c r="D38" i="9"/>
  <c r="F37" i="9"/>
  <c r="B35" i="9"/>
  <c r="D34" i="9"/>
  <c r="F33" i="9"/>
  <c r="B31" i="9"/>
  <c r="D30" i="9"/>
  <c r="F29" i="9"/>
  <c r="B27" i="9"/>
  <c r="D26" i="9"/>
  <c r="F25" i="9"/>
  <c r="B23" i="9"/>
  <c r="D22" i="9"/>
  <c r="F21" i="9"/>
  <c r="B19" i="9"/>
  <c r="D18" i="9"/>
  <c r="F17" i="9"/>
  <c r="B15" i="9"/>
  <c r="D14" i="9"/>
  <c r="F13" i="9"/>
  <c r="B11" i="9"/>
  <c r="D10" i="9"/>
  <c r="F9" i="9"/>
  <c r="B7" i="9"/>
  <c r="D6" i="9"/>
  <c r="F5" i="9"/>
  <c r="I47" i="8"/>
  <c r="I46" i="8"/>
  <c r="I45" i="8"/>
  <c r="I44" i="8"/>
  <c r="I43" i="8"/>
  <c r="I42" i="8"/>
  <c r="I41" i="8"/>
  <c r="I40" i="8"/>
  <c r="I39" i="8"/>
  <c r="I38" i="8"/>
  <c r="I37" i="8"/>
  <c r="I36" i="8"/>
  <c r="I35" i="8"/>
  <c r="I34"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B46" i="9"/>
  <c r="D45" i="9"/>
  <c r="F44" i="9"/>
  <c r="B42" i="9"/>
  <c r="D41" i="9"/>
  <c r="F40" i="9"/>
  <c r="B38" i="9"/>
  <c r="D37" i="9"/>
  <c r="F36" i="9"/>
  <c r="B34" i="9"/>
  <c r="D33" i="9"/>
  <c r="F32" i="9"/>
  <c r="B30" i="9"/>
  <c r="D29" i="9"/>
  <c r="F28" i="9"/>
  <c r="B26" i="9"/>
  <c r="D25" i="9"/>
  <c r="F24" i="9"/>
  <c r="B22" i="9"/>
  <c r="D21" i="9"/>
  <c r="F20" i="9"/>
  <c r="B18" i="9"/>
  <c r="D17" i="9"/>
  <c r="F16" i="9"/>
  <c r="C22" i="9"/>
  <c r="E17" i="9"/>
  <c r="F8" i="9"/>
  <c r="E5" i="9"/>
  <c r="G45" i="8"/>
  <c r="J43" i="8"/>
  <c r="H40" i="8"/>
  <c r="G37" i="8"/>
  <c r="J35" i="8"/>
  <c r="H32" i="8"/>
  <c r="G29" i="8"/>
  <c r="J27" i="8"/>
  <c r="H24" i="8"/>
  <c r="G21" i="8"/>
  <c r="J19" i="8"/>
  <c r="H16" i="8"/>
  <c r="G13" i="8"/>
  <c r="J11" i="8"/>
  <c r="H8" i="8"/>
  <c r="G5" i="8"/>
  <c r="C42" i="9"/>
  <c r="E37" i="9"/>
  <c r="D5" i="9"/>
  <c r="J46" i="8"/>
  <c r="H43" i="8"/>
  <c r="G40" i="8"/>
  <c r="J38" i="8"/>
  <c r="H35" i="8"/>
  <c r="G32" i="8"/>
  <c r="J30" i="8"/>
  <c r="H27" i="8"/>
  <c r="G24" i="8"/>
  <c r="J22" i="8"/>
  <c r="H19" i="8"/>
  <c r="G16" i="8"/>
  <c r="J14" i="8"/>
  <c r="H11" i="8"/>
  <c r="G8" i="8"/>
  <c r="J6" i="8"/>
  <c r="C30" i="9"/>
  <c r="E25" i="9"/>
  <c r="F12" i="9"/>
  <c r="E9" i="9"/>
  <c r="C6" i="9"/>
  <c r="H46" i="8"/>
  <c r="G43" i="8"/>
  <c r="J41" i="8"/>
  <c r="H38" i="8"/>
  <c r="G35" i="8"/>
  <c r="J33" i="8"/>
  <c r="H30" i="8"/>
  <c r="G27" i="8"/>
  <c r="J25" i="8"/>
  <c r="H22" i="8"/>
  <c r="G19" i="8"/>
  <c r="J17" i="8"/>
  <c r="H14" i="8"/>
  <c r="G11" i="8"/>
  <c r="J9" i="8"/>
  <c r="H6" i="8"/>
  <c r="E45" i="9"/>
  <c r="C18" i="9"/>
  <c r="D9" i="9"/>
  <c r="B6" i="9"/>
  <c r="C38" i="9"/>
  <c r="E33" i="9"/>
  <c r="E13" i="9"/>
  <c r="C10" i="9"/>
  <c r="J47" i="8"/>
  <c r="H44" i="8"/>
  <c r="G41" i="8"/>
  <c r="J39" i="8"/>
  <c r="H36" i="8"/>
  <c r="G33" i="8"/>
  <c r="J31" i="8"/>
  <c r="H28" i="8"/>
  <c r="G25" i="8"/>
  <c r="J23" i="8"/>
  <c r="H20" i="8"/>
  <c r="G17" i="8"/>
  <c r="J15" i="8"/>
  <c r="H12" i="8"/>
  <c r="C26" i="9"/>
  <c r="E21" i="9"/>
  <c r="D13" i="9"/>
  <c r="B10" i="9"/>
  <c r="H47" i="8"/>
  <c r="G44" i="8"/>
  <c r="J42" i="8"/>
  <c r="H39" i="8"/>
  <c r="G36" i="8"/>
  <c r="J34" i="8"/>
  <c r="H31" i="8"/>
  <c r="G28" i="8"/>
  <c r="J26" i="8"/>
  <c r="H23" i="8"/>
  <c r="G20" i="8"/>
  <c r="J18" i="8"/>
  <c r="H15" i="8"/>
  <c r="G12" i="8"/>
  <c r="J10" i="8"/>
  <c r="H7" i="8"/>
  <c r="C46" i="9"/>
  <c r="E41" i="9"/>
  <c r="C14" i="9"/>
  <c r="E29" i="9"/>
  <c r="J45" i="8"/>
  <c r="J40" i="8"/>
  <c r="G22" i="8"/>
  <c r="B14" i="9"/>
  <c r="C34" i="9"/>
  <c r="G47" i="8"/>
  <c r="G42" i="8"/>
  <c r="H37" i="8"/>
  <c r="H34" i="8"/>
  <c r="J29" i="8"/>
  <c r="J24" i="8"/>
  <c r="G9" i="8"/>
  <c r="G39" i="8"/>
  <c r="G34" i="8"/>
  <c r="H29" i="8"/>
  <c r="H26" i="8"/>
  <c r="J21" i="8"/>
  <c r="J16" i="8"/>
  <c r="G38" i="8"/>
  <c r="H33" i="8"/>
  <c r="J28" i="8"/>
  <c r="G15" i="8"/>
  <c r="G10" i="8"/>
  <c r="G30" i="8"/>
  <c r="H25" i="8"/>
  <c r="J20" i="8"/>
  <c r="J5" i="8"/>
  <c r="J37" i="8"/>
  <c r="G14" i="8"/>
  <c r="J36" i="8"/>
  <c r="J13" i="8"/>
  <c r="H45" i="8"/>
  <c r="H42" i="8"/>
  <c r="J32" i="8"/>
  <c r="H13" i="8"/>
  <c r="H10" i="8"/>
  <c r="H5" i="8"/>
  <c r="H18" i="8"/>
  <c r="J7" i="8"/>
  <c r="H21" i="8"/>
  <c r="G18" i="8"/>
  <c r="G7" i="8"/>
  <c r="J44" i="8"/>
  <c r="H41" i="8"/>
  <c r="G31" i="8"/>
  <c r="J12" i="8"/>
  <c r="H9" i="8"/>
  <c r="G46" i="8"/>
  <c r="G23" i="8"/>
  <c r="J8" i="8"/>
  <c r="H17" i="8"/>
  <c r="G6" i="8"/>
  <c r="V5" i="7"/>
  <c r="V13" i="7"/>
  <c r="S13" i="7" s="1"/>
  <c r="V21" i="7"/>
  <c r="S21" i="7" s="1"/>
  <c r="R25" i="7"/>
  <c r="T25" i="7" s="1"/>
  <c r="V29" i="7"/>
  <c r="R34" i="7"/>
  <c r="U34" i="7" s="1"/>
  <c r="V38" i="7"/>
  <c r="S38" i="7" s="1"/>
  <c r="R42" i="7"/>
  <c r="U42" i="7" s="1"/>
  <c r="V46" i="7"/>
  <c r="S46" i="7" s="1"/>
  <c r="R50" i="7"/>
  <c r="T50" i="7" s="1"/>
  <c r="V54" i="7"/>
  <c r="S54" i="7" s="1"/>
  <c r="R58" i="7"/>
  <c r="S58" i="7" s="1"/>
  <c r="V62" i="7"/>
  <c r="R66" i="7"/>
  <c r="V70" i="7"/>
  <c r="R74" i="7"/>
  <c r="V78" i="7"/>
  <c r="R82" i="7"/>
  <c r="V86" i="7"/>
  <c r="R90" i="7"/>
  <c r="V94" i="7"/>
  <c r="R98" i="7"/>
  <c r="V102" i="7"/>
  <c r="R106" i="7"/>
  <c r="V110" i="7"/>
  <c r="R114" i="7"/>
  <c r="V118" i="7"/>
  <c r="R122" i="7"/>
  <c r="V126" i="7"/>
  <c r="R130" i="7"/>
  <c r="V134" i="7"/>
  <c r="R151" i="7"/>
  <c r="R152" i="7"/>
  <c r="R153" i="7"/>
  <c r="S154" i="7"/>
  <c r="S155" i="7"/>
  <c r="R162" i="7"/>
  <c r="P162" i="7"/>
  <c r="T169" i="7"/>
  <c r="U178" i="7"/>
  <c r="T189" i="7"/>
  <c r="Q189" i="7"/>
  <c r="U189" i="7"/>
  <c r="T202" i="7"/>
  <c r="R202" i="7"/>
  <c r="P202" i="7"/>
  <c r="R207" i="7"/>
  <c r="U207" i="7"/>
  <c r="S207" i="7"/>
  <c r="V209" i="7"/>
  <c r="S221" i="7"/>
  <c r="R239" i="7"/>
  <c r="U239" i="7"/>
  <c r="T239" i="7"/>
  <c r="S239" i="7"/>
  <c r="V247" i="7"/>
  <c r="R255" i="7"/>
  <c r="U255" i="7"/>
  <c r="T255" i="7"/>
  <c r="S255" i="7"/>
  <c r="V263" i="7"/>
  <c r="R271" i="7"/>
  <c r="U271" i="7"/>
  <c r="T271" i="7"/>
  <c r="S271" i="7"/>
  <c r="V279" i="7"/>
  <c r="T290" i="7"/>
  <c r="P290" i="7"/>
  <c r="V290" i="7"/>
  <c r="S290" i="7"/>
  <c r="R290" i="7"/>
  <c r="Q290" i="7"/>
  <c r="T318" i="7"/>
  <c r="S318" i="7"/>
  <c r="P318" i="7"/>
  <c r="Q318" i="7"/>
  <c r="V318" i="7"/>
  <c r="U318" i="7"/>
  <c r="R318" i="7"/>
  <c r="S335" i="7"/>
  <c r="R335" i="7"/>
  <c r="Q335" i="7"/>
  <c r="U335" i="7"/>
  <c r="V335" i="7"/>
  <c r="S411" i="7"/>
  <c r="U411" i="7"/>
  <c r="Q411" i="7"/>
  <c r="P411" i="7"/>
  <c r="V411" i="7"/>
  <c r="R411" i="7"/>
  <c r="T411" i="7"/>
  <c r="S9" i="7"/>
  <c r="T33" i="7"/>
  <c r="T49" i="7"/>
  <c r="U56" i="7"/>
  <c r="R59" i="7"/>
  <c r="Q60" i="7"/>
  <c r="U64" i="7"/>
  <c r="T65" i="7"/>
  <c r="S66" i="7"/>
  <c r="R67" i="7"/>
  <c r="Q68" i="7"/>
  <c r="U72" i="7"/>
  <c r="T73" i="7"/>
  <c r="S74" i="7"/>
  <c r="R75" i="7"/>
  <c r="Q76" i="7"/>
  <c r="U80" i="7"/>
  <c r="T81" i="7"/>
  <c r="S82" i="7"/>
  <c r="R83" i="7"/>
  <c r="Q84" i="7"/>
  <c r="U88" i="7"/>
  <c r="T89" i="7"/>
  <c r="S90" i="7"/>
  <c r="R91" i="7"/>
  <c r="Q92" i="7"/>
  <c r="U96" i="7"/>
  <c r="T97" i="7"/>
  <c r="S98" i="7"/>
  <c r="R99" i="7"/>
  <c r="Q100" i="7"/>
  <c r="U104" i="7"/>
  <c r="T105" i="7"/>
  <c r="S106" i="7"/>
  <c r="R107" i="7"/>
  <c r="Q108" i="7"/>
  <c r="U112" i="7"/>
  <c r="T113" i="7"/>
  <c r="S114" i="7"/>
  <c r="R115" i="7"/>
  <c r="Q116" i="7"/>
  <c r="U120" i="7"/>
  <c r="T121" i="7"/>
  <c r="S122" i="7"/>
  <c r="R123" i="7"/>
  <c r="Q124" i="7"/>
  <c r="U128" i="7"/>
  <c r="T129" i="7"/>
  <c r="S130" i="7"/>
  <c r="R131" i="7"/>
  <c r="Q132" i="7"/>
  <c r="V136" i="7"/>
  <c r="V137" i="7"/>
  <c r="V138" i="7"/>
  <c r="V139" i="7"/>
  <c r="V140" i="7"/>
  <c r="U141" i="7"/>
  <c r="T143" i="7"/>
  <c r="U144" i="7"/>
  <c r="U145" i="7"/>
  <c r="U146" i="7"/>
  <c r="U147" i="7"/>
  <c r="U148" i="7"/>
  <c r="T149" i="7"/>
  <c r="S151" i="7"/>
  <c r="S152" i="7"/>
  <c r="T153" i="7"/>
  <c r="T154" i="7"/>
  <c r="T155" i="7"/>
  <c r="T157" i="7"/>
  <c r="V159" i="7"/>
  <c r="S161" i="7"/>
  <c r="Q161" i="7"/>
  <c r="P163" i="7"/>
  <c r="Q165" i="7"/>
  <c r="Q167" i="7"/>
  <c r="S168" i="7"/>
  <c r="U169" i="7"/>
  <c r="V170" i="7"/>
  <c r="V171" i="7"/>
  <c r="U175" i="7"/>
  <c r="S175" i="7"/>
  <c r="R177" i="7"/>
  <c r="V178" i="7"/>
  <c r="P181" i="7"/>
  <c r="T183" i="7"/>
  <c r="P185" i="7"/>
  <c r="U185" i="7"/>
  <c r="S185" i="7"/>
  <c r="Q185" i="7"/>
  <c r="S186" i="7"/>
  <c r="Q191" i="7"/>
  <c r="Q194" i="7"/>
  <c r="T197" i="7"/>
  <c r="Q197" i="7"/>
  <c r="U197" i="7"/>
  <c r="P199" i="7"/>
  <c r="T210" i="7"/>
  <c r="R210" i="7"/>
  <c r="P210" i="7"/>
  <c r="R215" i="7"/>
  <c r="U215" i="7"/>
  <c r="S215" i="7"/>
  <c r="V217" i="7"/>
  <c r="V221" i="7"/>
  <c r="T225" i="7"/>
  <c r="S229" i="7"/>
  <c r="T233" i="7"/>
  <c r="S242" i="7"/>
  <c r="T249" i="7"/>
  <c r="S258" i="7"/>
  <c r="T265" i="7"/>
  <c r="S274" i="7"/>
  <c r="Q293" i="7"/>
  <c r="P293" i="7"/>
  <c r="V293" i="7"/>
  <c r="T293" i="7"/>
  <c r="S293" i="7"/>
  <c r="R293" i="7"/>
  <c r="T295" i="7"/>
  <c r="S298" i="7"/>
  <c r="T300" i="7"/>
  <c r="T302" i="7"/>
  <c r="U311" i="7"/>
  <c r="Q313" i="7"/>
  <c r="P313" i="7"/>
  <c r="U313" i="7"/>
  <c r="R313" i="7"/>
  <c r="V313" i="7"/>
  <c r="T313" i="7"/>
  <c r="S313" i="7"/>
  <c r="P349" i="7"/>
  <c r="U349" i="7"/>
  <c r="T349" i="7"/>
  <c r="S349" i="7"/>
  <c r="Q349" i="7"/>
  <c r="V349" i="7"/>
  <c r="R349" i="7"/>
  <c r="T369" i="7"/>
  <c r="Q369" i="7"/>
  <c r="P369" i="7"/>
  <c r="U369" i="7"/>
  <c r="R369" i="7"/>
  <c r="V369" i="7"/>
  <c r="S369" i="7"/>
  <c r="G26" i="8"/>
  <c r="P5" i="7"/>
  <c r="V143" i="7"/>
  <c r="V144" i="7"/>
  <c r="V145" i="7"/>
  <c r="V146" i="7"/>
  <c r="V147" i="7"/>
  <c r="V148" i="7"/>
  <c r="T151" i="7"/>
  <c r="U152" i="7"/>
  <c r="U153" i="7"/>
  <c r="U154" i="7"/>
  <c r="U155" i="7"/>
  <c r="V157" i="7"/>
  <c r="T160" i="7"/>
  <c r="R160" i="7"/>
  <c r="Q162" i="7"/>
  <c r="R163" i="7"/>
  <c r="R165" i="7"/>
  <c r="R167" i="7"/>
  <c r="U168" i="7"/>
  <c r="V169" i="7"/>
  <c r="T177" i="7"/>
  <c r="S179" i="7"/>
  <c r="Q179" i="7"/>
  <c r="R181" i="7"/>
  <c r="V183" i="7"/>
  <c r="U186" i="7"/>
  <c r="P189" i="7"/>
  <c r="T191" i="7"/>
  <c r="P193" i="7"/>
  <c r="U193" i="7"/>
  <c r="S193" i="7"/>
  <c r="Q193" i="7"/>
  <c r="S194" i="7"/>
  <c r="Q199" i="7"/>
  <c r="Q202" i="7"/>
  <c r="T205" i="7"/>
  <c r="Q205" i="7"/>
  <c r="U205" i="7"/>
  <c r="P207" i="7"/>
  <c r="T218" i="7"/>
  <c r="R218" i="7"/>
  <c r="P218" i="7"/>
  <c r="R223" i="7"/>
  <c r="U223" i="7"/>
  <c r="S223" i="7"/>
  <c r="V225" i="7"/>
  <c r="V229" i="7"/>
  <c r="V233" i="7"/>
  <c r="P239" i="7"/>
  <c r="U242" i="7"/>
  <c r="V249" i="7"/>
  <c r="P255" i="7"/>
  <c r="U258" i="7"/>
  <c r="V265" i="7"/>
  <c r="P271" i="7"/>
  <c r="U274" i="7"/>
  <c r="U290" i="7"/>
  <c r="V295" i="7"/>
  <c r="V298" i="7"/>
  <c r="V300" i="7"/>
  <c r="V302" i="7"/>
  <c r="S319" i="7"/>
  <c r="R319" i="7"/>
  <c r="T319" i="7"/>
  <c r="V319" i="7"/>
  <c r="U319" i="7"/>
  <c r="P330" i="7"/>
  <c r="T330" i="7"/>
  <c r="Q330" i="7"/>
  <c r="U330" i="7"/>
  <c r="S330" i="7"/>
  <c r="R330" i="7"/>
  <c r="P335" i="7"/>
  <c r="T415" i="7"/>
  <c r="Q415" i="7"/>
  <c r="P415" i="7"/>
  <c r="U415" i="7"/>
  <c r="R415" i="7"/>
  <c r="V415" i="7"/>
  <c r="S415" i="7"/>
  <c r="V156" i="7"/>
  <c r="V164" i="7"/>
  <c r="V172" i="7"/>
  <c r="R176" i="7"/>
  <c r="V180" i="7"/>
  <c r="R184" i="7"/>
  <c r="V188" i="7"/>
  <c r="R192" i="7"/>
  <c r="V196" i="7"/>
  <c r="R200" i="7"/>
  <c r="V204" i="7"/>
  <c r="R208" i="7"/>
  <c r="V212" i="7"/>
  <c r="R216" i="7"/>
  <c r="V220" i="7"/>
  <c r="R224" i="7"/>
  <c r="V228" i="7"/>
  <c r="R232" i="7"/>
  <c r="V236" i="7"/>
  <c r="U237" i="7"/>
  <c r="R240" i="7"/>
  <c r="V244" i="7"/>
  <c r="U245" i="7"/>
  <c r="R248" i="7"/>
  <c r="V252" i="7"/>
  <c r="U253" i="7"/>
  <c r="R256" i="7"/>
  <c r="V260" i="7"/>
  <c r="U261" i="7"/>
  <c r="R264" i="7"/>
  <c r="V268" i="7"/>
  <c r="U269" i="7"/>
  <c r="R272" i="7"/>
  <c r="V276" i="7"/>
  <c r="U277" i="7"/>
  <c r="R280" i="7"/>
  <c r="R281" i="7"/>
  <c r="R282" i="7"/>
  <c r="T310" i="7"/>
  <c r="S310" i="7"/>
  <c r="P310" i="7"/>
  <c r="P322" i="7"/>
  <c r="T322" i="7"/>
  <c r="S327" i="7"/>
  <c r="R327" i="7"/>
  <c r="T361" i="7"/>
  <c r="Q361" i="7"/>
  <c r="P361" i="7"/>
  <c r="U361" i="7"/>
  <c r="P365" i="7"/>
  <c r="U365" i="7"/>
  <c r="T365" i="7"/>
  <c r="S365" i="7"/>
  <c r="Q365" i="7"/>
  <c r="Q382" i="7"/>
  <c r="S420" i="7"/>
  <c r="T463" i="7"/>
  <c r="S463" i="7"/>
  <c r="V463" i="7"/>
  <c r="U463" i="7"/>
  <c r="R463" i="7"/>
  <c r="Q463" i="7"/>
  <c r="P463" i="7"/>
  <c r="P470" i="7"/>
  <c r="U470" i="7"/>
  <c r="T470" i="7"/>
  <c r="Q470" i="7"/>
  <c r="V470" i="7"/>
  <c r="S470" i="7"/>
  <c r="R470" i="7"/>
  <c r="U481" i="7"/>
  <c r="R481" i="7"/>
  <c r="Q481" i="7"/>
  <c r="V481" i="7"/>
  <c r="T481" i="7"/>
  <c r="S481" i="7"/>
  <c r="P481" i="7"/>
  <c r="Q507" i="7"/>
  <c r="P507" i="7"/>
  <c r="R507" i="7"/>
  <c r="V507" i="7"/>
  <c r="S507" i="7"/>
  <c r="U507" i="7"/>
  <c r="T507" i="7"/>
  <c r="Q539" i="7"/>
  <c r="P539" i="7"/>
  <c r="T539" i="7"/>
  <c r="V539" i="7"/>
  <c r="R539" i="7"/>
  <c r="S539" i="7"/>
  <c r="U539" i="7"/>
  <c r="Q587" i="7"/>
  <c r="P587" i="7"/>
  <c r="T587" i="7"/>
  <c r="V587" i="7"/>
  <c r="R587" i="7"/>
  <c r="S587" i="7"/>
  <c r="U587" i="7"/>
  <c r="V237" i="7"/>
  <c r="V245" i="7"/>
  <c r="V253" i="7"/>
  <c r="V261" i="7"/>
  <c r="V269" i="7"/>
  <c r="V277" i="7"/>
  <c r="U333" i="7"/>
  <c r="T333" i="7"/>
  <c r="S333" i="7"/>
  <c r="Q333" i="7"/>
  <c r="T337" i="7"/>
  <c r="Q337" i="7"/>
  <c r="P337" i="7"/>
  <c r="U337" i="7"/>
  <c r="P341" i="7"/>
  <c r="U341" i="7"/>
  <c r="T341" i="7"/>
  <c r="S341" i="7"/>
  <c r="Q341" i="7"/>
  <c r="T374" i="7"/>
  <c r="S374" i="7"/>
  <c r="R374" i="7"/>
  <c r="P374" i="7"/>
  <c r="U382" i="7"/>
  <c r="T390" i="7"/>
  <c r="S390" i="7"/>
  <c r="R390" i="7"/>
  <c r="P390" i="7"/>
  <c r="P397" i="7"/>
  <c r="U397" i="7"/>
  <c r="T397" i="7"/>
  <c r="S397" i="7"/>
  <c r="Q397" i="7"/>
  <c r="T410" i="7"/>
  <c r="U410" i="7"/>
  <c r="Q410" i="7"/>
  <c r="P410" i="7"/>
  <c r="V410" i="7"/>
  <c r="R412" i="7"/>
  <c r="U412" i="7"/>
  <c r="Q412" i="7"/>
  <c r="P412" i="7"/>
  <c r="V412" i="7"/>
  <c r="P414" i="7"/>
  <c r="U414" i="7"/>
  <c r="R414" i="7"/>
  <c r="Q414" i="7"/>
  <c r="V414" i="7"/>
  <c r="T426" i="7"/>
  <c r="Q426" i="7"/>
  <c r="V426" i="7"/>
  <c r="U426" i="7"/>
  <c r="S426" i="7"/>
  <c r="P426" i="7"/>
  <c r="P572" i="7"/>
  <c r="S572" i="7"/>
  <c r="R572" i="7"/>
  <c r="Q572" i="7"/>
  <c r="V572" i="7"/>
  <c r="U572" i="7"/>
  <c r="T572" i="7"/>
  <c r="T176" i="7"/>
  <c r="T184" i="7"/>
  <c r="Q187" i="7"/>
  <c r="T192" i="7"/>
  <c r="Q195" i="7"/>
  <c r="T200" i="7"/>
  <c r="Q203" i="7"/>
  <c r="T208" i="7"/>
  <c r="Q211" i="7"/>
  <c r="T216" i="7"/>
  <c r="Q219" i="7"/>
  <c r="T224" i="7"/>
  <c r="Q227" i="7"/>
  <c r="T232" i="7"/>
  <c r="Q235" i="7"/>
  <c r="T240" i="7"/>
  <c r="Q243" i="7"/>
  <c r="T248" i="7"/>
  <c r="Q251" i="7"/>
  <c r="T256" i="7"/>
  <c r="Q259" i="7"/>
  <c r="T264" i="7"/>
  <c r="Q267" i="7"/>
  <c r="T272" i="7"/>
  <c r="Q275" i="7"/>
  <c r="T280" i="7"/>
  <c r="U282" i="7"/>
  <c r="U283" i="7"/>
  <c r="U284" i="7"/>
  <c r="U285" i="7"/>
  <c r="U286" i="7"/>
  <c r="T287" i="7"/>
  <c r="R305" i="7"/>
  <c r="U309" i="7"/>
  <c r="T309" i="7"/>
  <c r="Q309" i="7"/>
  <c r="Q310" i="7"/>
  <c r="R317" i="7"/>
  <c r="Q321" i="7"/>
  <c r="P321" i="7"/>
  <c r="U321" i="7"/>
  <c r="Q322" i="7"/>
  <c r="T326" i="7"/>
  <c r="S326" i="7"/>
  <c r="P326" i="7"/>
  <c r="P327" i="7"/>
  <c r="S329" i="7"/>
  <c r="T350" i="7"/>
  <c r="S350" i="7"/>
  <c r="R350" i="7"/>
  <c r="P350" i="7"/>
  <c r="R361" i="7"/>
  <c r="R365" i="7"/>
  <c r="T377" i="7"/>
  <c r="Q377" i="7"/>
  <c r="P377" i="7"/>
  <c r="U377" i="7"/>
  <c r="P381" i="7"/>
  <c r="U381" i="7"/>
  <c r="T381" i="7"/>
  <c r="S381" i="7"/>
  <c r="Q381" i="7"/>
  <c r="T393" i="7"/>
  <c r="Q393" i="7"/>
  <c r="P393" i="7"/>
  <c r="U393" i="7"/>
  <c r="U482" i="7"/>
  <c r="P486" i="7"/>
  <c r="U486" i="7"/>
  <c r="T486" i="7"/>
  <c r="V486" i="7"/>
  <c r="S486" i="7"/>
  <c r="R486" i="7"/>
  <c r="Q486" i="7"/>
  <c r="S491" i="7"/>
  <c r="P491" i="7"/>
  <c r="V491" i="7"/>
  <c r="U491" i="7"/>
  <c r="T491" i="7"/>
  <c r="R491" i="7"/>
  <c r="Q491" i="7"/>
  <c r="S187" i="7"/>
  <c r="S195" i="7"/>
  <c r="S203" i="7"/>
  <c r="S211" i="7"/>
  <c r="S219" i="7"/>
  <c r="S227" i="7"/>
  <c r="S235" i="7"/>
  <c r="Q237" i="7"/>
  <c r="S243" i="7"/>
  <c r="Q245" i="7"/>
  <c r="S251" i="7"/>
  <c r="Q253" i="7"/>
  <c r="S259" i="7"/>
  <c r="Q261" i="7"/>
  <c r="S267" i="7"/>
  <c r="Q269" i="7"/>
  <c r="S275" i="7"/>
  <c r="Q277" i="7"/>
  <c r="U281" i="7"/>
  <c r="U310" i="7"/>
  <c r="S322" i="7"/>
  <c r="U325" i="7"/>
  <c r="T325" i="7"/>
  <c r="Q325" i="7"/>
  <c r="T327" i="7"/>
  <c r="R333" i="7"/>
  <c r="S337" i="7"/>
  <c r="V341" i="7"/>
  <c r="V361" i="7"/>
  <c r="T366" i="7"/>
  <c r="S366" i="7"/>
  <c r="R366" i="7"/>
  <c r="P366" i="7"/>
  <c r="U374" i="7"/>
  <c r="U390" i="7"/>
  <c r="V397" i="7"/>
  <c r="S410" i="7"/>
  <c r="T412" i="7"/>
  <c r="T414" i="7"/>
  <c r="S427" i="7"/>
  <c r="P427" i="7"/>
  <c r="Q427" i="7"/>
  <c r="V427" i="7"/>
  <c r="U427" i="7"/>
  <c r="R427" i="7"/>
  <c r="T496" i="7"/>
  <c r="S496" i="7"/>
  <c r="V496" i="7"/>
  <c r="U496" i="7"/>
  <c r="R496" i="7"/>
  <c r="Q496" i="7"/>
  <c r="P496" i="7"/>
  <c r="T504" i="7"/>
  <c r="S504" i="7"/>
  <c r="R504" i="7"/>
  <c r="Q504" i="7"/>
  <c r="P504" i="7"/>
  <c r="V504" i="7"/>
  <c r="U504" i="7"/>
  <c r="R514" i="7"/>
  <c r="Q514" i="7"/>
  <c r="U514" i="7"/>
  <c r="P514" i="7"/>
  <c r="S514" i="7"/>
  <c r="V514" i="7"/>
  <c r="T514" i="7"/>
  <c r="Q531" i="7"/>
  <c r="P531" i="7"/>
  <c r="T531" i="7"/>
  <c r="R531" i="7"/>
  <c r="S531" i="7"/>
  <c r="V531" i="7"/>
  <c r="U531" i="7"/>
  <c r="P596" i="7"/>
  <c r="S596" i="7"/>
  <c r="T596" i="7"/>
  <c r="R596" i="7"/>
  <c r="Q596" i="7"/>
  <c r="U596" i="7"/>
  <c r="V596" i="7"/>
  <c r="T382" i="7"/>
  <c r="S382" i="7"/>
  <c r="R382" i="7"/>
  <c r="P382" i="7"/>
  <c r="R420" i="7"/>
  <c r="U420" i="7"/>
  <c r="Q420" i="7"/>
  <c r="P420" i="7"/>
  <c r="V420" i="7"/>
  <c r="T458" i="7"/>
  <c r="Q458" i="7"/>
  <c r="P458" i="7"/>
  <c r="V458" i="7"/>
  <c r="U458" i="7"/>
  <c r="S458" i="7"/>
  <c r="R458" i="7"/>
  <c r="Q305" i="7"/>
  <c r="U305" i="7"/>
  <c r="U317" i="7"/>
  <c r="T317" i="7"/>
  <c r="Q317" i="7"/>
  <c r="Q329" i="7"/>
  <c r="P329" i="7"/>
  <c r="U329" i="7"/>
  <c r="T358" i="7"/>
  <c r="S358" i="7"/>
  <c r="R358" i="7"/>
  <c r="P358" i="7"/>
  <c r="T385" i="7"/>
  <c r="Q385" i="7"/>
  <c r="P385" i="7"/>
  <c r="U385" i="7"/>
  <c r="T447" i="7"/>
  <c r="S447" i="7"/>
  <c r="V447" i="7"/>
  <c r="U447" i="7"/>
  <c r="R447" i="7"/>
  <c r="Q447" i="7"/>
  <c r="P447" i="7"/>
  <c r="S307" i="7"/>
  <c r="R308" i="7"/>
  <c r="S315" i="7"/>
  <c r="R316" i="7"/>
  <c r="S323" i="7"/>
  <c r="R324" i="7"/>
  <c r="S331" i="7"/>
  <c r="R332" i="7"/>
  <c r="T338" i="7"/>
  <c r="S339" i="7"/>
  <c r="R340" i="7"/>
  <c r="T346" i="7"/>
  <c r="S347" i="7"/>
  <c r="R348" i="7"/>
  <c r="T354" i="7"/>
  <c r="S355" i="7"/>
  <c r="R356" i="7"/>
  <c r="T362" i="7"/>
  <c r="S363" i="7"/>
  <c r="R364" i="7"/>
  <c r="T370" i="7"/>
  <c r="S371" i="7"/>
  <c r="R372" i="7"/>
  <c r="T378" i="7"/>
  <c r="S379" i="7"/>
  <c r="R380" i="7"/>
  <c r="T386" i="7"/>
  <c r="S387" i="7"/>
  <c r="R388" i="7"/>
  <c r="T394" i="7"/>
  <c r="S395" i="7"/>
  <c r="R396" i="7"/>
  <c r="U401" i="7"/>
  <c r="U418" i="7"/>
  <c r="P422" i="7"/>
  <c r="U422" i="7"/>
  <c r="S428" i="7"/>
  <c r="U431" i="7"/>
  <c r="S435" i="7"/>
  <c r="P435" i="7"/>
  <c r="U441" i="7"/>
  <c r="R441" i="7"/>
  <c r="Q441" i="7"/>
  <c r="T443" i="7"/>
  <c r="P446" i="7"/>
  <c r="U446" i="7"/>
  <c r="T446" i="7"/>
  <c r="S451" i="7"/>
  <c r="P451" i="7"/>
  <c r="U457" i="7"/>
  <c r="R457" i="7"/>
  <c r="Q457" i="7"/>
  <c r="T459" i="7"/>
  <c r="P462" i="7"/>
  <c r="U462" i="7"/>
  <c r="T462" i="7"/>
  <c r="S467" i="7"/>
  <c r="P467" i="7"/>
  <c r="T479" i="7"/>
  <c r="S479" i="7"/>
  <c r="R487" i="7"/>
  <c r="T490" i="7"/>
  <c r="Q490" i="7"/>
  <c r="P490" i="7"/>
  <c r="T495" i="7"/>
  <c r="U495" i="7"/>
  <c r="S495" i="7"/>
  <c r="R506" i="7"/>
  <c r="Q506" i="7"/>
  <c r="V506" i="7"/>
  <c r="U506" i="7"/>
  <c r="T520" i="7"/>
  <c r="S520" i="7"/>
  <c r="P520" i="7"/>
  <c r="V520" i="7"/>
  <c r="T434" i="7"/>
  <c r="Q434" i="7"/>
  <c r="U473" i="7"/>
  <c r="R473" i="7"/>
  <c r="Q473" i="7"/>
  <c r="U503" i="7"/>
  <c r="T503" i="7"/>
  <c r="V503" i="7"/>
  <c r="Q503" i="7"/>
  <c r="P503" i="7"/>
  <c r="P540" i="7"/>
  <c r="S540" i="7"/>
  <c r="T540" i="7"/>
  <c r="R540" i="7"/>
  <c r="T592" i="7"/>
  <c r="S592" i="7"/>
  <c r="V592" i="7"/>
  <c r="U592" i="7"/>
  <c r="R592" i="7"/>
  <c r="V338" i="7"/>
  <c r="Q343" i="7"/>
  <c r="V346" i="7"/>
  <c r="Q351" i="7"/>
  <c r="V354" i="7"/>
  <c r="Q359" i="7"/>
  <c r="V362" i="7"/>
  <c r="Q367" i="7"/>
  <c r="V370" i="7"/>
  <c r="Q375" i="7"/>
  <c r="V378" i="7"/>
  <c r="Q383" i="7"/>
  <c r="V386" i="7"/>
  <c r="T388" i="7"/>
  <c r="Q391" i="7"/>
  <c r="T396" i="7"/>
  <c r="Q399" i="7"/>
  <c r="U417" i="7"/>
  <c r="S419" i="7"/>
  <c r="P419" i="7"/>
  <c r="Q423" i="7"/>
  <c r="Q425" i="7"/>
  <c r="U428" i="7"/>
  <c r="U433" i="7"/>
  <c r="R433" i="7"/>
  <c r="T439" i="7"/>
  <c r="S439" i="7"/>
  <c r="T450" i="7"/>
  <c r="Q450" i="7"/>
  <c r="P450" i="7"/>
  <c r="T455" i="7"/>
  <c r="S455" i="7"/>
  <c r="T466" i="7"/>
  <c r="Q466" i="7"/>
  <c r="P466" i="7"/>
  <c r="S474" i="7"/>
  <c r="P478" i="7"/>
  <c r="U478" i="7"/>
  <c r="T478" i="7"/>
  <c r="P479" i="7"/>
  <c r="S483" i="7"/>
  <c r="P483" i="7"/>
  <c r="U489" i="7"/>
  <c r="R489" i="7"/>
  <c r="Q489" i="7"/>
  <c r="R490" i="7"/>
  <c r="P494" i="7"/>
  <c r="U494" i="7"/>
  <c r="T494" i="7"/>
  <c r="P495" i="7"/>
  <c r="P506" i="7"/>
  <c r="Q520" i="7"/>
  <c r="U308" i="7"/>
  <c r="U316" i="7"/>
  <c r="U324" i="7"/>
  <c r="U332" i="7"/>
  <c r="U340" i="7"/>
  <c r="R343" i="7"/>
  <c r="U348" i="7"/>
  <c r="R351" i="7"/>
  <c r="U356" i="7"/>
  <c r="R359" i="7"/>
  <c r="U364" i="7"/>
  <c r="R367" i="7"/>
  <c r="U372" i="7"/>
  <c r="R375" i="7"/>
  <c r="U380" i="7"/>
  <c r="R383" i="7"/>
  <c r="U388" i="7"/>
  <c r="R391" i="7"/>
  <c r="U396" i="7"/>
  <c r="R399" i="7"/>
  <c r="R423" i="7"/>
  <c r="S425" i="7"/>
  <c r="V428" i="7"/>
  <c r="P430" i="7"/>
  <c r="U430" i="7"/>
  <c r="P434" i="7"/>
  <c r="T471" i="7"/>
  <c r="S471" i="7"/>
  <c r="P473" i="7"/>
  <c r="U474" i="7"/>
  <c r="S497" i="7"/>
  <c r="R497" i="7"/>
  <c r="P497" i="7"/>
  <c r="V497" i="7"/>
  <c r="R503" i="7"/>
  <c r="T512" i="7"/>
  <c r="S512" i="7"/>
  <c r="R512" i="7"/>
  <c r="Q512" i="7"/>
  <c r="R522" i="7"/>
  <c r="Q522" i="7"/>
  <c r="U522" i="7"/>
  <c r="V522" i="7"/>
  <c r="P522" i="7"/>
  <c r="P524" i="7"/>
  <c r="S524" i="7"/>
  <c r="V524" i="7"/>
  <c r="U524" i="7"/>
  <c r="Q540" i="7"/>
  <c r="P592" i="7"/>
  <c r="S343" i="7"/>
  <c r="S351" i="7"/>
  <c r="S359" i="7"/>
  <c r="S367" i="7"/>
  <c r="S375" i="7"/>
  <c r="S383" i="7"/>
  <c r="S391" i="7"/>
  <c r="S399" i="7"/>
  <c r="S423" i="7"/>
  <c r="R434" i="7"/>
  <c r="P438" i="7"/>
  <c r="U438" i="7"/>
  <c r="T438" i="7"/>
  <c r="S443" i="7"/>
  <c r="P443" i="7"/>
  <c r="U449" i="7"/>
  <c r="R449" i="7"/>
  <c r="Q449" i="7"/>
  <c r="P454" i="7"/>
  <c r="U454" i="7"/>
  <c r="T454" i="7"/>
  <c r="S459" i="7"/>
  <c r="P459" i="7"/>
  <c r="U465" i="7"/>
  <c r="R465" i="7"/>
  <c r="Q465" i="7"/>
  <c r="S473" i="7"/>
  <c r="T482" i="7"/>
  <c r="Q482" i="7"/>
  <c r="P482" i="7"/>
  <c r="T487" i="7"/>
  <c r="S487" i="7"/>
  <c r="P500" i="7"/>
  <c r="T500" i="7"/>
  <c r="Q500" i="7"/>
  <c r="S503" i="7"/>
  <c r="T528" i="7"/>
  <c r="S528" i="7"/>
  <c r="U528" i="7"/>
  <c r="P528" i="7"/>
  <c r="U540" i="7"/>
  <c r="Q563" i="7"/>
  <c r="P563" i="7"/>
  <c r="T563" i="7"/>
  <c r="V563" i="7"/>
  <c r="U563" i="7"/>
  <c r="R570" i="7"/>
  <c r="Q570" i="7"/>
  <c r="U570" i="7"/>
  <c r="V570" i="7"/>
  <c r="P570" i="7"/>
  <c r="Q579" i="7"/>
  <c r="P579" i="7"/>
  <c r="T579" i="7"/>
  <c r="U579" i="7"/>
  <c r="S579" i="7"/>
  <c r="R579" i="7"/>
  <c r="Q592" i="7"/>
  <c r="U425" i="7"/>
  <c r="R425" i="7"/>
  <c r="V434" i="7"/>
  <c r="T474" i="7"/>
  <c r="Q474" i="7"/>
  <c r="P474" i="7"/>
  <c r="U511" i="7"/>
  <c r="T511" i="7"/>
  <c r="P511" i="7"/>
  <c r="V511" i="7"/>
  <c r="Q511" i="7"/>
  <c r="P516" i="7"/>
  <c r="S516" i="7"/>
  <c r="V516" i="7"/>
  <c r="R516" i="7"/>
  <c r="Q516" i="7"/>
  <c r="Q523" i="7"/>
  <c r="P523" i="7"/>
  <c r="T523" i="7"/>
  <c r="U523" i="7"/>
  <c r="S523" i="7"/>
  <c r="U535" i="7"/>
  <c r="T535" i="7"/>
  <c r="P535" i="7"/>
  <c r="R535" i="7"/>
  <c r="Q535" i="7"/>
  <c r="U575" i="7"/>
  <c r="T575" i="7"/>
  <c r="P575" i="7"/>
  <c r="V575" i="7"/>
  <c r="S575" i="7"/>
  <c r="Q575" i="7"/>
  <c r="R602" i="7"/>
  <c r="Q602" i="7"/>
  <c r="U602" i="7"/>
  <c r="S602" i="7"/>
  <c r="P602" i="7"/>
  <c r="P604" i="7"/>
  <c r="S604" i="7"/>
  <c r="V604" i="7"/>
  <c r="U604" i="7"/>
  <c r="Q604" i="7"/>
  <c r="V436" i="7"/>
  <c r="U437" i="7"/>
  <c r="R440" i="7"/>
  <c r="V444" i="7"/>
  <c r="U445" i="7"/>
  <c r="R448" i="7"/>
  <c r="V452" i="7"/>
  <c r="U453" i="7"/>
  <c r="R456" i="7"/>
  <c r="V460" i="7"/>
  <c r="U461" i="7"/>
  <c r="R464" i="7"/>
  <c r="U469" i="7"/>
  <c r="R472" i="7"/>
  <c r="U477" i="7"/>
  <c r="R480" i="7"/>
  <c r="V484" i="7"/>
  <c r="U485" i="7"/>
  <c r="R488" i="7"/>
  <c r="V492" i="7"/>
  <c r="U493" i="7"/>
  <c r="Q499" i="7"/>
  <c r="P499" i="7"/>
  <c r="Q515" i="7"/>
  <c r="P515" i="7"/>
  <c r="T515" i="7"/>
  <c r="P532" i="7"/>
  <c r="S532" i="7"/>
  <c r="U551" i="7"/>
  <c r="P551" i="7"/>
  <c r="V551" i="7"/>
  <c r="T551" i="7"/>
  <c r="Q551" i="7"/>
  <c r="Q555" i="7"/>
  <c r="P555" i="7"/>
  <c r="T555" i="7"/>
  <c r="S555" i="7"/>
  <c r="R555" i="7"/>
  <c r="R562" i="7"/>
  <c r="Q562" i="7"/>
  <c r="U562" i="7"/>
  <c r="T562" i="7"/>
  <c r="S562" i="7"/>
  <c r="P562" i="7"/>
  <c r="P580" i="7"/>
  <c r="S580" i="7"/>
  <c r="V580" i="7"/>
  <c r="U580" i="7"/>
  <c r="T580" i="7"/>
  <c r="T584" i="7"/>
  <c r="S584" i="7"/>
  <c r="Q584" i="7"/>
  <c r="P584" i="7"/>
  <c r="V584" i="7"/>
  <c r="U591" i="7"/>
  <c r="T591" i="7"/>
  <c r="P591" i="7"/>
  <c r="S591" i="7"/>
  <c r="R591" i="7"/>
  <c r="Q591" i="7"/>
  <c r="V421" i="7"/>
  <c r="V429" i="7"/>
  <c r="V437" i="7"/>
  <c r="V445" i="7"/>
  <c r="V453" i="7"/>
  <c r="V461" i="7"/>
  <c r="V469" i="7"/>
  <c r="V477" i="7"/>
  <c r="V485" i="7"/>
  <c r="V493" i="7"/>
  <c r="R498" i="7"/>
  <c r="Q498" i="7"/>
  <c r="P508" i="7"/>
  <c r="S508" i="7"/>
  <c r="U527" i="7"/>
  <c r="T527" i="7"/>
  <c r="P527" i="7"/>
  <c r="R538" i="7"/>
  <c r="Q538" i="7"/>
  <c r="U538" i="7"/>
  <c r="U599" i="7"/>
  <c r="T599" i="7"/>
  <c r="P599" i="7"/>
  <c r="V599" i="7"/>
  <c r="Q599" i="7"/>
  <c r="S498" i="7"/>
  <c r="T499" i="7"/>
  <c r="S505" i="7"/>
  <c r="R505" i="7"/>
  <c r="R508" i="7"/>
  <c r="U515" i="7"/>
  <c r="U519" i="7"/>
  <c r="T519" i="7"/>
  <c r="P519" i="7"/>
  <c r="R527" i="7"/>
  <c r="R530" i="7"/>
  <c r="Q530" i="7"/>
  <c r="U530" i="7"/>
  <c r="T532" i="7"/>
  <c r="T536" i="7"/>
  <c r="S536" i="7"/>
  <c r="S538" i="7"/>
  <c r="U567" i="7"/>
  <c r="T567" i="7"/>
  <c r="P567" i="7"/>
  <c r="R567" i="7"/>
  <c r="Q567" i="7"/>
  <c r="S599" i="7"/>
  <c r="V513" i="7"/>
  <c r="V521" i="7"/>
  <c r="V529" i="7"/>
  <c r="V537" i="7"/>
  <c r="P556" i="7"/>
  <c r="S556" i="7"/>
  <c r="T568" i="7"/>
  <c r="S568" i="7"/>
  <c r="R586" i="7"/>
  <c r="Q586" i="7"/>
  <c r="U586" i="7"/>
  <c r="Q603" i="7"/>
  <c r="P603" i="7"/>
  <c r="T603" i="7"/>
  <c r="T560" i="7"/>
  <c r="S560" i="7"/>
  <c r="R578" i="7"/>
  <c r="Q578" i="7"/>
  <c r="U578" i="7"/>
  <c r="Q595" i="7"/>
  <c r="P595" i="7"/>
  <c r="T595" i="7"/>
  <c r="U502" i="7"/>
  <c r="U510" i="7"/>
  <c r="R513" i="7"/>
  <c r="U518" i="7"/>
  <c r="R521" i="7"/>
  <c r="U526" i="7"/>
  <c r="R529" i="7"/>
  <c r="U534" i="7"/>
  <c r="R537" i="7"/>
  <c r="U542" i="7"/>
  <c r="V544" i="7"/>
  <c r="R554" i="7"/>
  <c r="Q554" i="7"/>
  <c r="U554" i="7"/>
  <c r="T556" i="7"/>
  <c r="R568" i="7"/>
  <c r="Q571" i="7"/>
  <c r="P571" i="7"/>
  <c r="T571" i="7"/>
  <c r="U583" i="7"/>
  <c r="T583" i="7"/>
  <c r="P583" i="7"/>
  <c r="T586" i="7"/>
  <c r="P588" i="7"/>
  <c r="S588" i="7"/>
  <c r="T600" i="7"/>
  <c r="S600" i="7"/>
  <c r="U603" i="7"/>
  <c r="U543" i="7"/>
  <c r="U556" i="7"/>
  <c r="U559" i="7"/>
  <c r="T559" i="7"/>
  <c r="P559" i="7"/>
  <c r="P560" i="7"/>
  <c r="P564" i="7"/>
  <c r="S564" i="7"/>
  <c r="U568" i="7"/>
  <c r="T576" i="7"/>
  <c r="S576" i="7"/>
  <c r="P578" i="7"/>
  <c r="V586" i="7"/>
  <c r="R594" i="7"/>
  <c r="Q594" i="7"/>
  <c r="U594" i="7"/>
  <c r="R595" i="7"/>
  <c r="V603" i="7"/>
  <c r="C27" i="17"/>
  <c r="I5" i="14"/>
  <c r="V553" i="7"/>
  <c r="R557" i="7"/>
  <c r="V561" i="7"/>
  <c r="R565" i="7"/>
  <c r="V569" i="7"/>
  <c r="R573" i="7"/>
  <c r="V577" i="7"/>
  <c r="R581" i="7"/>
  <c r="V585" i="7"/>
  <c r="R589" i="7"/>
  <c r="V593" i="7"/>
  <c r="R597" i="7"/>
  <c r="V601" i="7"/>
  <c r="U16" i="11"/>
  <c r="I63" i="17"/>
  <c r="I62" i="17"/>
  <c r="I61" i="17"/>
  <c r="I60" i="17"/>
  <c r="I59" i="17"/>
  <c r="I58" i="17"/>
  <c r="I57" i="17"/>
  <c r="I56" i="17"/>
  <c r="U15" i="11"/>
  <c r="U31" i="11"/>
  <c r="H62" i="12"/>
  <c r="J5" i="12"/>
  <c r="D48" i="16"/>
  <c r="C45" i="16"/>
  <c r="D40" i="16"/>
  <c r="C37" i="16"/>
  <c r="D32" i="16"/>
  <c r="C52" i="16"/>
  <c r="C50" i="16"/>
  <c r="C43" i="16"/>
  <c r="C41" i="16"/>
  <c r="C39" i="16"/>
  <c r="C32" i="16"/>
  <c r="C30" i="16"/>
  <c r="D28" i="16"/>
  <c r="C25" i="16"/>
  <c r="D20" i="16"/>
  <c r="C17" i="16"/>
  <c r="D12" i="16"/>
  <c r="D45" i="16"/>
  <c r="D36" i="16"/>
  <c r="D34" i="16"/>
  <c r="C28" i="16"/>
  <c r="D23" i="16"/>
  <c r="C51" i="16"/>
  <c r="C49" i="16"/>
  <c r="C47" i="16"/>
  <c r="C40" i="16"/>
  <c r="C38" i="16"/>
  <c r="C48" i="16"/>
  <c r="C46" i="16"/>
  <c r="D37" i="16"/>
  <c r="C27" i="16"/>
  <c r="D47" i="16"/>
  <c r="D46" i="16"/>
  <c r="D39" i="16"/>
  <c r="C24" i="16"/>
  <c r="D21" i="16"/>
  <c r="D19" i="16"/>
  <c r="D10" i="16"/>
  <c r="D5" i="16"/>
  <c r="C23" i="16"/>
  <c r="C21" i="16"/>
  <c r="C19" i="16"/>
  <c r="C12" i="16"/>
  <c r="C10" i="16"/>
  <c r="C5" i="16"/>
  <c r="D49" i="16"/>
  <c r="D41" i="16"/>
  <c r="D16" i="16"/>
  <c r="D14" i="16"/>
  <c r="D42" i="16"/>
  <c r="D30" i="16"/>
  <c r="D29" i="16"/>
  <c r="D18" i="16"/>
  <c r="C16" i="16"/>
  <c r="C14" i="16"/>
  <c r="D6" i="16"/>
  <c r="D51" i="16"/>
  <c r="D50" i="16"/>
  <c r="D43" i="16"/>
  <c r="C42" i="16"/>
  <c r="C36" i="16"/>
  <c r="D35" i="16"/>
  <c r="C34" i="16"/>
  <c r="D33" i="16"/>
  <c r="D31" i="16"/>
  <c r="C29" i="16"/>
  <c r="D26" i="16"/>
  <c r="C20" i="16"/>
  <c r="C18" i="16"/>
  <c r="E18" i="16" s="1"/>
  <c r="D9" i="16"/>
  <c r="C6" i="16"/>
  <c r="D52" i="16"/>
  <c r="C44" i="16"/>
  <c r="D38" i="16"/>
  <c r="D25" i="16"/>
  <c r="C22" i="16"/>
  <c r="C15" i="16"/>
  <c r="C13" i="16"/>
  <c r="C11" i="16"/>
  <c r="D27" i="16"/>
  <c r="C31" i="16"/>
  <c r="D17" i="16"/>
  <c r="D15" i="16"/>
  <c r="D44" i="16"/>
  <c r="D24" i="16"/>
  <c r="D11" i="16"/>
  <c r="C9" i="16"/>
  <c r="C33" i="16"/>
  <c r="C26" i="16"/>
  <c r="D13" i="16"/>
  <c r="K5" i="14"/>
  <c r="K11" i="14"/>
  <c r="K6" i="14"/>
  <c r="C35" i="16"/>
  <c r="D75" i="17"/>
  <c r="D79" i="17"/>
  <c r="D74" i="17"/>
  <c r="D68" i="17"/>
  <c r="D70" i="17"/>
  <c r="U17" i="21"/>
  <c r="U9" i="21"/>
  <c r="U18" i="21"/>
  <c r="U10" i="21"/>
  <c r="U11" i="21"/>
  <c r="T19" i="21"/>
  <c r="U12" i="21"/>
  <c r="U6" i="21"/>
  <c r="D81" i="17"/>
  <c r="D77" i="17"/>
  <c r="D73" i="17"/>
  <c r="D69" i="17"/>
  <c r="D71" i="17"/>
  <c r="D80" i="17"/>
  <c r="D67" i="17"/>
  <c r="D76" i="17"/>
  <c r="D72" i="17"/>
  <c r="U16" i="21"/>
  <c r="D78" i="17"/>
  <c r="U7" i="21"/>
  <c r="U15" i="21"/>
  <c r="U14" i="21"/>
  <c r="J15" i="14" l="1"/>
  <c r="T39" i="7"/>
  <c r="D90" i="17"/>
  <c r="E90" i="17" s="1"/>
  <c r="T14" i="7"/>
  <c r="E35" i="16"/>
  <c r="S39" i="7"/>
  <c r="S42" i="7"/>
  <c r="D31" i="5"/>
  <c r="E33" i="16"/>
  <c r="O33" i="16" s="1"/>
  <c r="E36" i="16"/>
  <c r="E40" i="16"/>
  <c r="P40" i="16" s="1"/>
  <c r="K13" i="14"/>
  <c r="K10" i="14"/>
  <c r="K9" i="14"/>
  <c r="K14" i="14"/>
  <c r="D8" i="16"/>
  <c r="Y15" i="10"/>
  <c r="V15" i="10"/>
  <c r="E20" i="16"/>
  <c r="O20" i="16" s="1"/>
  <c r="E26" i="16"/>
  <c r="O26" i="16" s="1"/>
  <c r="E23" i="16"/>
  <c r="I23" i="16" s="1"/>
  <c r="T41" i="7"/>
  <c r="S5" i="7"/>
  <c r="K7" i="14"/>
  <c r="K12" i="14"/>
  <c r="K8" i="14"/>
  <c r="E22" i="16"/>
  <c r="S22" i="16" s="1"/>
  <c r="C89" i="17"/>
  <c r="D89" i="17"/>
  <c r="T22" i="7"/>
  <c r="E6" i="16"/>
  <c r="I6" i="16" s="1"/>
  <c r="T47" i="7"/>
  <c r="S50" i="7"/>
  <c r="C7" i="16"/>
  <c r="E9" i="16"/>
  <c r="S9" i="16" s="1"/>
  <c r="C8" i="16"/>
  <c r="E32" i="16"/>
  <c r="S32" i="16" s="1"/>
  <c r="D7" i="16"/>
  <c r="E19" i="16"/>
  <c r="Q19" i="16" s="1"/>
  <c r="E34" i="16"/>
  <c r="H34" i="16" s="1"/>
  <c r="E28" i="16"/>
  <c r="S28" i="16" s="1"/>
  <c r="E42" i="16"/>
  <c r="H42" i="16" s="1"/>
  <c r="E16" i="16"/>
  <c r="H16" i="16" s="1"/>
  <c r="E51" i="16"/>
  <c r="P51" i="16" s="1"/>
  <c r="E29" i="16"/>
  <c r="O29" i="16" s="1"/>
  <c r="E10" i="16"/>
  <c r="S10" i="16" s="1"/>
  <c r="E48" i="16"/>
  <c r="I48" i="16" s="1"/>
  <c r="E44" i="16"/>
  <c r="Q44" i="16" s="1"/>
  <c r="E12" i="16"/>
  <c r="Q12" i="16" s="1"/>
  <c r="E29" i="4"/>
  <c r="E13" i="16"/>
  <c r="E49" i="16"/>
  <c r="E17" i="16"/>
  <c r="E43" i="16"/>
  <c r="J62" i="12"/>
  <c r="K5" i="12"/>
  <c r="L5" i="12" s="1"/>
  <c r="E15" i="4"/>
  <c r="E36" i="4"/>
  <c r="D9" i="17"/>
  <c r="D11" i="17" s="1"/>
  <c r="C9" i="17"/>
  <c r="T34" i="7"/>
  <c r="E50" i="16"/>
  <c r="S34" i="7"/>
  <c r="J7" i="14"/>
  <c r="J8" i="14"/>
  <c r="D91" i="17"/>
  <c r="C91" i="17"/>
  <c r="U7" i="7"/>
  <c r="T7" i="7"/>
  <c r="D85" i="17"/>
  <c r="C85" i="17"/>
  <c r="S49" i="7"/>
  <c r="U24" i="7"/>
  <c r="T58" i="7"/>
  <c r="R36" i="16"/>
  <c r="Q36" i="16"/>
  <c r="O36" i="16"/>
  <c r="I36" i="16"/>
  <c r="P36" i="16"/>
  <c r="H36" i="16"/>
  <c r="S36" i="16"/>
  <c r="E5" i="16"/>
  <c r="E25" i="16"/>
  <c r="E52" i="16"/>
  <c r="F19" i="17"/>
  <c r="T42" i="7"/>
  <c r="E27" i="16"/>
  <c r="E31" i="16"/>
  <c r="E46" i="16"/>
  <c r="S25" i="7"/>
  <c r="C50" i="17"/>
  <c r="D49" i="17"/>
  <c r="C42" i="17"/>
  <c r="D41" i="17"/>
  <c r="D10" i="17"/>
  <c r="D40" i="17"/>
  <c r="D39" i="17"/>
  <c r="D38" i="17"/>
  <c r="D48" i="17"/>
  <c r="D47" i="17"/>
  <c r="D46" i="17"/>
  <c r="D45" i="17"/>
  <c r="D52" i="17"/>
  <c r="D51" i="17"/>
  <c r="D50" i="17"/>
  <c r="C49" i="17"/>
  <c r="C48" i="17"/>
  <c r="C47" i="17"/>
  <c r="C46" i="17"/>
  <c r="C45" i="17"/>
  <c r="C44" i="17"/>
  <c r="C43" i="17"/>
  <c r="C52" i="17"/>
  <c r="C51" i="17"/>
  <c r="D42" i="17"/>
  <c r="C10" i="17"/>
  <c r="C39" i="17"/>
  <c r="D44" i="17"/>
  <c r="C41" i="17"/>
  <c r="J9" i="14"/>
  <c r="C38" i="17"/>
  <c r="C40" i="17"/>
  <c r="D43" i="17"/>
  <c r="E48" i="17"/>
  <c r="F47" i="17"/>
  <c r="E40" i="17"/>
  <c r="F39" i="17"/>
  <c r="D16" i="17"/>
  <c r="F46" i="17"/>
  <c r="F45" i="17"/>
  <c r="F44" i="17"/>
  <c r="F43" i="17"/>
  <c r="F42" i="17"/>
  <c r="F41" i="17"/>
  <c r="F40" i="17"/>
  <c r="E39" i="17"/>
  <c r="E38" i="17"/>
  <c r="F52" i="17"/>
  <c r="F51" i="17"/>
  <c r="F50" i="17"/>
  <c r="F49" i="17"/>
  <c r="F48" i="17"/>
  <c r="E47" i="17"/>
  <c r="E46" i="17"/>
  <c r="E45" i="17"/>
  <c r="E44" i="17"/>
  <c r="E43" i="17"/>
  <c r="E42" i="17"/>
  <c r="E41" i="17"/>
  <c r="C16" i="17"/>
  <c r="C28" i="17" s="1"/>
  <c r="E52" i="17"/>
  <c r="E51" i="17"/>
  <c r="E50" i="17"/>
  <c r="E49" i="17"/>
  <c r="C20" i="17"/>
  <c r="F38" i="17"/>
  <c r="D20" i="17"/>
  <c r="S29" i="7"/>
  <c r="U25" i="7"/>
  <c r="S33" i="16"/>
  <c r="I33" i="16"/>
  <c r="R33" i="16"/>
  <c r="P48" i="16"/>
  <c r="E30" i="16"/>
  <c r="E37" i="16"/>
  <c r="U15" i="7"/>
  <c r="T15" i="7"/>
  <c r="S41" i="7"/>
  <c r="S24" i="7"/>
  <c r="E15" i="16"/>
  <c r="E24" i="16"/>
  <c r="E38" i="16"/>
  <c r="E27" i="17"/>
  <c r="J14" i="14"/>
  <c r="U5" i="7"/>
  <c r="R18" i="16"/>
  <c r="H18" i="16"/>
  <c r="I18" i="16"/>
  <c r="S18" i="16"/>
  <c r="Q18" i="16"/>
  <c r="P18" i="16"/>
  <c r="O18" i="16"/>
  <c r="E39" i="16"/>
  <c r="E45" i="16"/>
  <c r="J12" i="14"/>
  <c r="C86" i="17"/>
  <c r="D86" i="17"/>
  <c r="T8" i="7"/>
  <c r="S57" i="7"/>
  <c r="Q35" i="16"/>
  <c r="O35" i="16"/>
  <c r="I35" i="16"/>
  <c r="H35" i="16"/>
  <c r="R35" i="16"/>
  <c r="S35" i="16"/>
  <c r="P35" i="16"/>
  <c r="E11" i="16"/>
  <c r="E14" i="16"/>
  <c r="E21" i="16"/>
  <c r="E47" i="16"/>
  <c r="E41" i="16"/>
  <c r="J10" i="14"/>
  <c r="S47" i="7"/>
  <c r="U23" i="7"/>
  <c r="T23" i="7"/>
  <c r="U16" i="7"/>
  <c r="I10" i="16" l="1"/>
  <c r="O10" i="16"/>
  <c r="P10" i="16"/>
  <c r="H10" i="16"/>
  <c r="Q10" i="16"/>
  <c r="P33" i="16"/>
  <c r="Q33" i="16"/>
  <c r="H33" i="16"/>
  <c r="J33" i="16" s="1"/>
  <c r="E89" i="17"/>
  <c r="Q40" i="16"/>
  <c r="O40" i="16"/>
  <c r="H40" i="16"/>
  <c r="R40" i="16"/>
  <c r="S40" i="16"/>
  <c r="I40" i="16"/>
  <c r="O32" i="16"/>
  <c r="Q23" i="16"/>
  <c r="Q29" i="16"/>
  <c r="I44" i="16"/>
  <c r="P34" i="16"/>
  <c r="Q34" i="16"/>
  <c r="I19" i="16"/>
  <c r="S6" i="16"/>
  <c r="O48" i="16"/>
  <c r="R6" i="16"/>
  <c r="S19" i="16"/>
  <c r="R48" i="16"/>
  <c r="P12" i="16"/>
  <c r="S44" i="16"/>
  <c r="O34" i="16"/>
  <c r="H44" i="16"/>
  <c r="I34" i="16"/>
  <c r="J34" i="16" s="1"/>
  <c r="O44" i="16"/>
  <c r="R34" i="16"/>
  <c r="P44" i="16"/>
  <c r="S34" i="16"/>
  <c r="R44" i="16"/>
  <c r="O9" i="16"/>
  <c r="R12" i="16"/>
  <c r="P23" i="16"/>
  <c r="D54" i="16"/>
  <c r="E8" i="16"/>
  <c r="I8" i="16" s="1"/>
  <c r="S12" i="16"/>
  <c r="O12" i="16"/>
  <c r="O23" i="16"/>
  <c r="R23" i="16"/>
  <c r="S23" i="16"/>
  <c r="H20" i="16"/>
  <c r="H23" i="16"/>
  <c r="J23" i="16" s="1"/>
  <c r="O6" i="16"/>
  <c r="H19" i="16"/>
  <c r="P6" i="16"/>
  <c r="R19" i="16"/>
  <c r="H48" i="16"/>
  <c r="J48" i="16" s="1"/>
  <c r="Q6" i="16"/>
  <c r="O19" i="16"/>
  <c r="Q48" i="16"/>
  <c r="Q26" i="16"/>
  <c r="S48" i="16"/>
  <c r="H6" i="16"/>
  <c r="J6" i="16" s="1"/>
  <c r="P19" i="16"/>
  <c r="H26" i="16"/>
  <c r="R26" i="16"/>
  <c r="C54" i="16"/>
  <c r="P26" i="16"/>
  <c r="S26" i="16"/>
  <c r="I26" i="16"/>
  <c r="Q20" i="16"/>
  <c r="I22" i="16"/>
  <c r="R20" i="16"/>
  <c r="P9" i="16"/>
  <c r="G41" i="17"/>
  <c r="I41" i="17" s="1"/>
  <c r="J41" i="17" s="1"/>
  <c r="S20" i="16"/>
  <c r="I20" i="16"/>
  <c r="G43" i="17"/>
  <c r="I43" i="17" s="1"/>
  <c r="J43" i="17" s="1"/>
  <c r="P20" i="16"/>
  <c r="H22" i="16"/>
  <c r="P16" i="16"/>
  <c r="R22" i="16"/>
  <c r="S16" i="16"/>
  <c r="R10" i="16"/>
  <c r="G46" i="17"/>
  <c r="I46" i="17" s="1"/>
  <c r="J46" i="17" s="1"/>
  <c r="G45" i="17"/>
  <c r="I45" i="17" s="1"/>
  <c r="J45" i="17" s="1"/>
  <c r="Q28" i="16"/>
  <c r="H12" i="16"/>
  <c r="I12" i="16"/>
  <c r="P28" i="16"/>
  <c r="G52" i="17"/>
  <c r="I52" i="17" s="1"/>
  <c r="J52" i="17" s="1"/>
  <c r="G44" i="17"/>
  <c r="I44" i="17" s="1"/>
  <c r="J44" i="17" s="1"/>
  <c r="E7" i="16"/>
  <c r="I7" i="16" s="1"/>
  <c r="J35" i="16"/>
  <c r="G51" i="17"/>
  <c r="I51" i="17" s="1"/>
  <c r="J51" i="17" s="1"/>
  <c r="I28" i="16"/>
  <c r="Q9" i="16"/>
  <c r="P22" i="16"/>
  <c r="R9" i="16"/>
  <c r="O22" i="16"/>
  <c r="H9" i="16"/>
  <c r="Q22" i="16"/>
  <c r="I9" i="16"/>
  <c r="Q42" i="16"/>
  <c r="I42" i="16"/>
  <c r="J42" i="16" s="1"/>
  <c r="H28" i="16"/>
  <c r="O28" i="16"/>
  <c r="R51" i="16"/>
  <c r="O42" i="16"/>
  <c r="I16" i="16"/>
  <c r="J16" i="16" s="1"/>
  <c r="R28" i="16"/>
  <c r="Q32" i="16"/>
  <c r="H29" i="16"/>
  <c r="C13" i="17"/>
  <c r="E13" i="17" s="1"/>
  <c r="K5" i="18" s="1"/>
  <c r="R32" i="16"/>
  <c r="I32" i="16"/>
  <c r="S29" i="16"/>
  <c r="P29" i="16"/>
  <c r="H32" i="16"/>
  <c r="I29" i="16"/>
  <c r="R42" i="16"/>
  <c r="H51" i="16"/>
  <c r="P32" i="16"/>
  <c r="R29" i="16"/>
  <c r="P42" i="16"/>
  <c r="E91" i="17"/>
  <c r="S51" i="16"/>
  <c r="S42" i="16"/>
  <c r="I51" i="16"/>
  <c r="J36" i="16"/>
  <c r="Q51" i="16"/>
  <c r="E85" i="17"/>
  <c r="O51" i="16"/>
  <c r="O16" i="16"/>
  <c r="J18" i="16"/>
  <c r="G50" i="17"/>
  <c r="I50" i="17" s="1"/>
  <c r="J50" i="17" s="1"/>
  <c r="Q16" i="16"/>
  <c r="G39" i="17"/>
  <c r="R16" i="16"/>
  <c r="D29" i="4"/>
  <c r="E30" i="4"/>
  <c r="D29" i="3" s="1"/>
  <c r="G42" i="17"/>
  <c r="G48" i="17"/>
  <c r="C19" i="17"/>
  <c r="C12" i="17"/>
  <c r="E10" i="17"/>
  <c r="S41" i="16"/>
  <c r="I41" i="16"/>
  <c r="P41" i="16"/>
  <c r="O41" i="16"/>
  <c r="R41" i="16"/>
  <c r="H41" i="16"/>
  <c r="Q41" i="16"/>
  <c r="D15" i="4"/>
  <c r="E16" i="4"/>
  <c r="C29" i="3" s="1"/>
  <c r="R47" i="16"/>
  <c r="H47" i="16"/>
  <c r="Q47" i="16"/>
  <c r="O47" i="16"/>
  <c r="S47" i="16"/>
  <c r="P47" i="16"/>
  <c r="I47" i="16"/>
  <c r="E20" i="17"/>
  <c r="P52" i="16"/>
  <c r="O52" i="16"/>
  <c r="R52" i="16"/>
  <c r="S52" i="16"/>
  <c r="Q52" i="16"/>
  <c r="I52" i="16"/>
  <c r="H52" i="16"/>
  <c r="S21" i="16"/>
  <c r="I21" i="16"/>
  <c r="Q21" i="16"/>
  <c r="P21" i="16"/>
  <c r="O21" i="16"/>
  <c r="H21" i="16"/>
  <c r="R21" i="16"/>
  <c r="E86" i="17"/>
  <c r="R38" i="16"/>
  <c r="H38" i="16"/>
  <c r="I38" i="16"/>
  <c r="S38" i="16"/>
  <c r="P38" i="16"/>
  <c r="Q38" i="16"/>
  <c r="O38" i="16"/>
  <c r="O37" i="16"/>
  <c r="I37" i="16"/>
  <c r="Q37" i="16"/>
  <c r="R37" i="16"/>
  <c r="P37" i="16"/>
  <c r="S37" i="16"/>
  <c r="H37" i="16"/>
  <c r="G49" i="17"/>
  <c r="O25" i="16"/>
  <c r="Q25" i="16"/>
  <c r="P25" i="16"/>
  <c r="I25" i="16"/>
  <c r="S25" i="16"/>
  <c r="H25" i="16"/>
  <c r="R25" i="16"/>
  <c r="F108" i="17"/>
  <c r="F106" i="17"/>
  <c r="F104" i="17"/>
  <c r="F102" i="17"/>
  <c r="F100" i="17"/>
  <c r="F98" i="17"/>
  <c r="F96" i="17"/>
  <c r="F94" i="17"/>
  <c r="F92" i="17"/>
  <c r="F90" i="17"/>
  <c r="F88" i="17"/>
  <c r="F86" i="17"/>
  <c r="F109" i="17"/>
  <c r="F107" i="17"/>
  <c r="F105" i="17"/>
  <c r="F103" i="17"/>
  <c r="F101" i="17"/>
  <c r="F87" i="17"/>
  <c r="F89" i="17"/>
  <c r="F91" i="17"/>
  <c r="F93" i="17"/>
  <c r="F95" i="17"/>
  <c r="F99" i="17"/>
  <c r="F97" i="17"/>
  <c r="F85" i="17"/>
  <c r="O50" i="16"/>
  <c r="Q50" i="16"/>
  <c r="I50" i="16"/>
  <c r="H50" i="16"/>
  <c r="R50" i="16"/>
  <c r="S50" i="16"/>
  <c r="P50" i="16"/>
  <c r="Q43" i="16"/>
  <c r="P43" i="16"/>
  <c r="O43" i="16"/>
  <c r="S43" i="16"/>
  <c r="H43" i="16"/>
  <c r="I43" i="16"/>
  <c r="R43" i="16"/>
  <c r="S24" i="16"/>
  <c r="I24" i="16"/>
  <c r="Q24" i="16"/>
  <c r="P24" i="16"/>
  <c r="O24" i="16"/>
  <c r="R24" i="16"/>
  <c r="H24" i="16"/>
  <c r="R30" i="16"/>
  <c r="H30" i="16"/>
  <c r="P30" i="16"/>
  <c r="O30" i="16"/>
  <c r="S30" i="16"/>
  <c r="I30" i="16"/>
  <c r="Q30" i="16"/>
  <c r="G38" i="17"/>
  <c r="R46" i="16"/>
  <c r="H46" i="16"/>
  <c r="I46" i="16"/>
  <c r="P46" i="16"/>
  <c r="S46" i="16"/>
  <c r="Q46" i="16"/>
  <c r="O46" i="16"/>
  <c r="P5" i="16"/>
  <c r="O5" i="16"/>
  <c r="R5" i="16"/>
  <c r="H5" i="16"/>
  <c r="I5" i="16"/>
  <c r="S5" i="16"/>
  <c r="Q5" i="16"/>
  <c r="O17" i="16"/>
  <c r="P17" i="16"/>
  <c r="I17" i="16"/>
  <c r="R17" i="16"/>
  <c r="Q17" i="16"/>
  <c r="H17" i="16"/>
  <c r="S17" i="16"/>
  <c r="R14" i="16"/>
  <c r="H14" i="16"/>
  <c r="Q14" i="16"/>
  <c r="P14" i="16"/>
  <c r="O14" i="16"/>
  <c r="I14" i="16"/>
  <c r="S14" i="16"/>
  <c r="S11" i="16"/>
  <c r="I11" i="16"/>
  <c r="R11" i="16"/>
  <c r="H11" i="16"/>
  <c r="Q11" i="16"/>
  <c r="O11" i="16"/>
  <c r="P11" i="16"/>
  <c r="O45" i="16"/>
  <c r="R45" i="16"/>
  <c r="Q45" i="16"/>
  <c r="I45" i="16"/>
  <c r="S45" i="16"/>
  <c r="P45" i="16"/>
  <c r="H45" i="16"/>
  <c r="Q15" i="16"/>
  <c r="I15" i="16"/>
  <c r="S15" i="16"/>
  <c r="H15" i="16"/>
  <c r="P15" i="16"/>
  <c r="R15" i="16"/>
  <c r="O15" i="16"/>
  <c r="D21" i="17"/>
  <c r="D25" i="17"/>
  <c r="S31" i="16"/>
  <c r="I31" i="16"/>
  <c r="H31" i="16"/>
  <c r="R31" i="16"/>
  <c r="P31" i="16"/>
  <c r="Q31" i="16"/>
  <c r="O31" i="16"/>
  <c r="E9" i="17"/>
  <c r="C11" i="17"/>
  <c r="S49" i="16"/>
  <c r="I49" i="16"/>
  <c r="H49" i="16"/>
  <c r="R49" i="16"/>
  <c r="P49" i="16"/>
  <c r="O49" i="16"/>
  <c r="Q49" i="16"/>
  <c r="O39" i="16"/>
  <c r="Q39" i="16"/>
  <c r="S39" i="16"/>
  <c r="R39" i="16"/>
  <c r="P39" i="16"/>
  <c r="I39" i="16"/>
  <c r="H39" i="16"/>
  <c r="G47" i="17"/>
  <c r="D12" i="17"/>
  <c r="D19" i="17"/>
  <c r="O27" i="16"/>
  <c r="I27" i="16"/>
  <c r="H27" i="16"/>
  <c r="S27" i="16"/>
  <c r="Q27" i="16"/>
  <c r="P27" i="16"/>
  <c r="R27" i="16"/>
  <c r="S13" i="16"/>
  <c r="I13" i="16"/>
  <c r="H13" i="16"/>
  <c r="R13" i="16"/>
  <c r="P13" i="16"/>
  <c r="Q13" i="16"/>
  <c r="O13" i="16"/>
  <c r="C14" i="17"/>
  <c r="E14" i="17" s="1"/>
  <c r="E16" i="17"/>
  <c r="E28" i="17" s="1"/>
  <c r="C21" i="17"/>
  <c r="G40" i="17"/>
  <c r="J10" i="16" l="1"/>
  <c r="J40" i="16"/>
  <c r="J44" i="16"/>
  <c r="J19" i="16"/>
  <c r="O8" i="16"/>
  <c r="Q8" i="16"/>
  <c r="J20" i="16"/>
  <c r="J22" i="16"/>
  <c r="H8" i="16"/>
  <c r="J8" i="16" s="1"/>
  <c r="P8" i="16"/>
  <c r="S8" i="16"/>
  <c r="R8" i="16"/>
  <c r="E11" i="17"/>
  <c r="E5" i="18" s="1"/>
  <c r="J28" i="16"/>
  <c r="J26" i="16"/>
  <c r="J15" i="16"/>
  <c r="J12" i="16"/>
  <c r="J13" i="16"/>
  <c r="J9" i="16"/>
  <c r="J49" i="16"/>
  <c r="J25" i="16"/>
  <c r="J29" i="16"/>
  <c r="E54" i="16"/>
  <c r="J11" i="16"/>
  <c r="O7" i="16"/>
  <c r="P7" i="16" s="1"/>
  <c r="H7" i="16"/>
  <c r="J7" i="16" s="1"/>
  <c r="J32" i="16"/>
  <c r="J51" i="16"/>
  <c r="J31" i="16"/>
  <c r="J43" i="16"/>
  <c r="I39" i="17"/>
  <c r="J39" i="17" s="1"/>
  <c r="J24" i="16"/>
  <c r="J39" i="16"/>
  <c r="J45" i="16"/>
  <c r="J30" i="16"/>
  <c r="J52" i="16"/>
  <c r="J37" i="16"/>
  <c r="J21" i="16"/>
  <c r="J47" i="16"/>
  <c r="J17" i="16"/>
  <c r="J14" i="16"/>
  <c r="J27" i="16"/>
  <c r="J50" i="16"/>
  <c r="J38" i="16"/>
  <c r="J41" i="16"/>
  <c r="J46" i="16"/>
  <c r="D23" i="17"/>
  <c r="D24" i="17" s="1"/>
  <c r="D34" i="3"/>
  <c r="D30" i="3"/>
  <c r="D31" i="3" s="1"/>
  <c r="D39" i="3"/>
  <c r="I40" i="17"/>
  <c r="J40" i="17" s="1"/>
  <c r="Q7" i="16"/>
  <c r="I38" i="17"/>
  <c r="J38" i="17" s="1"/>
  <c r="K38" i="17" s="1"/>
  <c r="I49" i="17"/>
  <c r="J49" i="17" s="1"/>
  <c r="E12" i="17"/>
  <c r="H5" i="18" s="1"/>
  <c r="E19" i="17"/>
  <c r="B5" i="18"/>
  <c r="B9" i="18"/>
  <c r="E21" i="17"/>
  <c r="I47" i="17"/>
  <c r="J47" i="17" s="1"/>
  <c r="I48" i="17"/>
  <c r="J48" i="17" s="1"/>
  <c r="C23" i="17"/>
  <c r="C39" i="3"/>
  <c r="C30" i="3"/>
  <c r="C31" i="3" s="1"/>
  <c r="C34" i="3"/>
  <c r="J5" i="16"/>
  <c r="I42" i="17"/>
  <c r="J42" i="17" s="1"/>
  <c r="H54" i="16" l="1"/>
  <c r="K39" i="17"/>
  <c r="K40" i="17" s="1"/>
  <c r="K41" i="17" s="1"/>
  <c r="K42" i="17" s="1"/>
  <c r="K43" i="17" s="1"/>
  <c r="K44" i="17" s="1"/>
  <c r="K45" i="17" s="1"/>
  <c r="K46" i="17" s="1"/>
  <c r="K47" i="17" s="1"/>
  <c r="K48" i="17" s="1"/>
  <c r="K49" i="17" s="1"/>
  <c r="K50" i="17" s="1"/>
  <c r="K51" i="17" s="1"/>
  <c r="K52" i="17" s="1"/>
  <c r="R7" i="16"/>
  <c r="R54" i="16" s="1"/>
  <c r="S54" i="16" s="1"/>
  <c r="J54" i="16"/>
  <c r="D17" i="17"/>
  <c r="D18" i="17" s="1"/>
  <c r="D35" i="3"/>
  <c r="D36" i="3" s="1"/>
  <c r="D37" i="3" s="1"/>
  <c r="D38" i="3"/>
  <c r="H45" i="17"/>
  <c r="H44" i="17"/>
  <c r="H43" i="17"/>
  <c r="H42" i="17"/>
  <c r="H41" i="17"/>
  <c r="H40" i="17"/>
  <c r="H39" i="17"/>
  <c r="H38" i="17"/>
  <c r="C17" i="17"/>
  <c r="H52" i="17"/>
  <c r="H48" i="17"/>
  <c r="H51" i="17"/>
  <c r="H47" i="17"/>
  <c r="H46" i="17"/>
  <c r="H50" i="17"/>
  <c r="H49" i="17"/>
  <c r="C35" i="3"/>
  <c r="C38" i="3"/>
  <c r="W13" i="10"/>
  <c r="X13" i="10" s="1"/>
  <c r="W11" i="10"/>
  <c r="X11" i="10" s="1"/>
  <c r="W9" i="10"/>
  <c r="X9" i="10" s="1"/>
  <c r="W7" i="10"/>
  <c r="X7" i="10" s="1"/>
  <c r="W5" i="10"/>
  <c r="X5" i="10" s="1"/>
  <c r="W14" i="10"/>
  <c r="X14" i="10" s="1"/>
  <c r="W12" i="10"/>
  <c r="X12" i="10" s="1"/>
  <c r="W10" i="10"/>
  <c r="X10" i="10" s="1"/>
  <c r="W8" i="10"/>
  <c r="X8" i="10" s="1"/>
  <c r="W6" i="10"/>
  <c r="X6" i="10" s="1"/>
  <c r="E23" i="17"/>
  <c r="C24" i="17"/>
  <c r="Q54" i="16"/>
  <c r="S7" i="16" l="1"/>
  <c r="E24" i="17"/>
  <c r="C25" i="17"/>
  <c r="U13" i="10"/>
  <c r="V13" i="10" s="1"/>
  <c r="U11" i="10"/>
  <c r="V11" i="10" s="1"/>
  <c r="U9" i="10"/>
  <c r="V9" i="10" s="1"/>
  <c r="U7" i="10"/>
  <c r="V7" i="10" s="1"/>
  <c r="U5" i="10"/>
  <c r="V5" i="10" s="1"/>
  <c r="U14" i="10"/>
  <c r="V14" i="10" s="1"/>
  <c r="U12" i="10"/>
  <c r="V12" i="10" s="1"/>
  <c r="U10" i="10"/>
  <c r="V10" i="10" s="1"/>
  <c r="U8" i="10"/>
  <c r="V8" i="10" s="1"/>
  <c r="U6" i="10"/>
  <c r="V6" i="10" s="1"/>
  <c r="F10" i="17"/>
  <c r="C36" i="3"/>
  <c r="C37" i="3" s="1"/>
  <c r="C18" i="17"/>
  <c r="E17" i="17"/>
  <c r="E18" i="17" s="1"/>
  <c r="E9" i="18" s="1"/>
  <c r="H9" i="18" l="1"/>
  <c r="E25" i="17"/>
  <c r="K9" i="18" s="1"/>
</calcChain>
</file>

<file path=xl/comments1.xml><?xml version="1.0" encoding="utf-8"?>
<comments xmlns="http://schemas.openxmlformats.org/spreadsheetml/2006/main">
  <authors>
    <author>Guia WCR</author>
  </authors>
  <commentList>
    <comment ref="C5" authorId="0" shapeId="0">
      <text>
        <r>
          <rPr>
            <sz val="11"/>
            <color theme="1"/>
            <rFont val="Calibri"/>
            <family val="2"/>
            <scheme val="minor"/>
          </rPr>
          <t>DIGITE AQUI:
quantos você tem (2 caminhões, escreve 2)</t>
        </r>
      </text>
    </comment>
    <comment ref="D5" authorId="0" shapeId="0">
      <text>
        <r>
          <rPr>
            <sz val="11"/>
            <color theme="1"/>
            <rFont val="Calibri"/>
            <family val="2"/>
            <scheme val="minor"/>
          </rPr>
          <t>DIGITE AQUI:
quanto custa CADA UM por mês</t>
        </r>
      </text>
    </comment>
    <comment ref="F5" authorId="0" shapeId="0">
      <text>
        <r>
          <rPr>
            <sz val="11"/>
            <color theme="1"/>
            <rFont val="Calibri"/>
            <family val="2"/>
            <scheme val="minor"/>
          </rPr>
          <t>DIGITE AQUI:
de onde saiu o preço (contrato, cotação, aluguel)</t>
        </r>
      </text>
    </comment>
  </commentList>
</comments>
</file>

<file path=xl/comments2.xml><?xml version="1.0" encoding="utf-8"?>
<comments xmlns="http://schemas.openxmlformats.org/spreadsheetml/2006/main">
  <authors>
    <author>Guia WCR</author>
  </authors>
  <commentList>
    <comment ref="E5" authorId="0" shapeId="0">
      <text>
        <r>
          <rPr>
            <sz val="11"/>
            <color theme="1"/>
            <rFont val="Calibri"/>
            <family val="2"/>
            <scheme val="minor"/>
          </rPr>
          <t>DIGITE AQUI:
o CÓD. PREÇO daquele tipo de serviço</t>
        </r>
      </text>
    </comment>
  </commentList>
</comments>
</file>

<file path=xl/comments3.xml><?xml version="1.0" encoding="utf-8"?>
<comments xmlns="http://schemas.openxmlformats.org/spreadsheetml/2006/main">
  <authors>
    <author>Guia WCR</author>
  </authors>
  <commentList>
    <comment ref="B4" authorId="0" shapeId="0">
      <text>
        <r>
          <rPr>
            <sz val="11"/>
            <color theme="1"/>
            <rFont val="Calibri"/>
            <family val="2"/>
            <scheme val="minor"/>
          </rPr>
          <t>DIGITE AQUI:
BERTIOGA ou SANTOS (menu)</t>
        </r>
      </text>
    </comment>
    <comment ref="C4" authorId="0" shapeId="0">
      <text>
        <r>
          <rPr>
            <sz val="11"/>
            <color theme="1"/>
            <rFont val="Calibri"/>
            <family val="2"/>
            <scheme val="minor"/>
          </rPr>
          <t>DIGITE AQUI:
nº da OS que a SABESP passou</t>
        </r>
      </text>
    </comment>
    <comment ref="D4" authorId="0" shapeId="0">
      <text>
        <r>
          <rPr>
            <sz val="11"/>
            <color theme="1"/>
            <rFont val="Calibri"/>
            <family val="2"/>
            <scheme val="minor"/>
          </rPr>
          <t>DIGITE AQUI:
data em que a SABESP pediu</t>
        </r>
      </text>
    </comment>
    <comment ref="E4" authorId="0" shapeId="0">
      <text>
        <r>
          <rPr>
            <sz val="11"/>
            <color theme="1"/>
            <rFont val="Calibri"/>
            <family val="2"/>
            <scheme val="minor"/>
          </rPr>
          <t>DIGITE AQUI:
prazo em dias (5 se não falaram nada)</t>
        </r>
      </text>
    </comment>
    <comment ref="G4" authorId="0" shapeId="0">
      <text>
        <r>
          <rPr>
            <sz val="11"/>
            <color theme="1"/>
            <rFont val="Calibri"/>
            <family val="2"/>
            <scheme val="minor"/>
          </rPr>
          <t>DIGITE AQUI:
URGENTE ou NORMAL (menu)</t>
        </r>
      </text>
    </comment>
    <comment ref="H4" authorId="0" shapeId="0">
      <text>
        <r>
          <rPr>
            <sz val="11"/>
            <color theme="1"/>
            <rFont val="Calibri"/>
            <family val="2"/>
            <scheme val="minor"/>
          </rPr>
          <t>DIGITE AQUI:
tipo de serviço (menu)</t>
        </r>
      </text>
    </comment>
    <comment ref="I4" authorId="0" shapeId="0">
      <text>
        <r>
          <rPr>
            <sz val="11"/>
            <color theme="1"/>
            <rFont val="Calibri"/>
            <family val="2"/>
            <scheme val="minor"/>
          </rPr>
          <t>DIGITE AQUI:
rua</t>
        </r>
      </text>
    </comment>
    <comment ref="J4" authorId="0" shapeId="0">
      <text>
        <r>
          <rPr>
            <sz val="11"/>
            <color theme="1"/>
            <rFont val="Calibri"/>
            <family val="2"/>
            <scheme val="minor"/>
          </rPr>
          <t>DIGITE AQUI:
número</t>
        </r>
      </text>
    </comment>
    <comment ref="K4" authorId="0" shapeId="0">
      <text>
        <r>
          <rPr>
            <sz val="11"/>
            <color theme="1"/>
            <rFont val="Calibri"/>
            <family val="2"/>
            <scheme val="minor"/>
          </rPr>
          <t>DIGITE AQUI:
bairro (menu)</t>
        </r>
      </text>
    </comment>
    <comment ref="L4" authorId="0" shapeId="0">
      <text>
        <r>
          <rPr>
            <sz val="11"/>
            <color theme="1"/>
            <rFont val="Calibri"/>
            <family val="2"/>
            <scheme val="minor"/>
          </rPr>
          <t>DIGITE AQUI:
cidade</t>
        </r>
      </text>
    </comment>
    <comment ref="M4" authorId="0" shapeId="0">
      <text>
        <r>
          <rPr>
            <sz val="11"/>
            <color theme="1"/>
            <rFont val="Calibri"/>
            <family val="2"/>
            <scheme val="minor"/>
          </rPr>
          <t>DIGITE AQUI:
ponto de referência</t>
        </r>
      </text>
    </comment>
    <comment ref="N4" authorId="0" shapeId="0">
      <text>
        <r>
          <rPr>
            <sz val="11"/>
            <color theme="1"/>
            <rFont val="Calibri"/>
            <family val="2"/>
            <scheme val="minor"/>
          </rPr>
          <t>DIGITE AQUI:
piso: asfalto, calçada, terra (menu)</t>
        </r>
      </text>
    </comment>
    <comment ref="O4" authorId="0" shapeId="0">
      <text>
        <r>
          <rPr>
            <sz val="11"/>
            <color theme="1"/>
            <rFont val="Calibri"/>
            <family val="2"/>
            <scheme val="minor"/>
          </rPr>
          <t>DIGITE AQUI:
o que a SABESP pediu, com suas palavras</t>
        </r>
      </text>
    </comment>
    <comment ref="X4" authorId="0" shapeId="0">
      <text>
        <r>
          <rPr>
            <sz val="11"/>
            <color theme="1"/>
            <rFont val="Calibri"/>
            <family val="2"/>
            <scheme val="minor"/>
          </rPr>
          <t>DIGITE AQUI:
observação, se tiver</t>
        </r>
      </text>
    </comment>
  </commentList>
</comments>
</file>

<file path=xl/comments4.xml><?xml version="1.0" encoding="utf-8"?>
<comments xmlns="http://schemas.openxmlformats.org/spreadsheetml/2006/main">
  <authors>
    <author>Guia WCR</author>
  </authors>
  <commentList>
    <comment ref="A4" authorId="0" shapeId="0">
      <text>
        <r>
          <rPr>
            <sz val="11"/>
            <color theme="1"/>
            <rFont val="Calibri"/>
            <family val="2"/>
            <scheme val="minor"/>
          </rPr>
          <t>DIGITE AQUI:
data em que vai executar</t>
        </r>
      </text>
    </comment>
    <comment ref="C4" authorId="0" shapeId="0">
      <text>
        <r>
          <rPr>
            <sz val="11"/>
            <color theme="1"/>
            <rFont val="Calibri"/>
            <family val="2"/>
            <scheme val="minor"/>
          </rPr>
          <t>DIGITE AQUI:
equipe: BER-A, BER-B... (menu)</t>
        </r>
      </text>
    </comment>
    <comment ref="D4" authorId="0" shapeId="0">
      <text>
        <r>
          <rPr>
            <sz val="11"/>
            <color theme="1"/>
            <rFont val="Calibri"/>
            <family val="2"/>
            <scheme val="minor"/>
          </rPr>
          <t>DIGITE AQUI:
ordem do serviço no dia: 1, 2, 3...</t>
        </r>
      </text>
    </comment>
    <comment ref="E4" authorId="0" shapeId="0">
      <text>
        <r>
          <rPr>
            <sz val="11"/>
            <color theme="1"/>
            <rFont val="Calibri"/>
            <family val="2"/>
            <scheme val="minor"/>
          </rPr>
          <t>DIGITE AQUI:
ID do serviço (BER-0001), copiado da aba 03</t>
        </r>
      </text>
    </comment>
    <comment ref="K4" authorId="0" shapeId="0">
      <text>
        <r>
          <rPr>
            <sz val="11"/>
            <color theme="1"/>
            <rFont val="Calibri"/>
            <family val="2"/>
            <scheme val="minor"/>
          </rPr>
          <t>DIGITE AQUI:
quantas horas acha que vai levar</t>
        </r>
      </text>
    </comment>
    <comment ref="L4" authorId="0" shapeId="0">
      <text>
        <r>
          <rPr>
            <sz val="11"/>
            <color theme="1"/>
            <rFont val="Calibri"/>
            <family val="2"/>
            <scheme val="minor"/>
          </rPr>
          <t>DIGITE AQUI:
EXECUTOU? SIM ou NÃO (menu)</t>
        </r>
      </text>
    </comment>
    <comment ref="M4" authorId="0" shapeId="0">
      <text>
        <r>
          <rPr>
            <sz val="11"/>
            <color theme="1"/>
            <rFont val="Calibri"/>
            <family val="2"/>
            <scheme val="minor"/>
          </rPr>
          <t>DIGITE AQUI:
data em que executou</t>
        </r>
      </text>
    </comment>
    <comment ref="N4" authorId="0" shapeId="0">
      <text>
        <r>
          <rPr>
            <sz val="11"/>
            <color theme="1"/>
            <rFont val="Calibri"/>
            <family val="2"/>
            <scheme val="minor"/>
          </rPr>
          <t>DIGITE AQUI:
se foi NÃO, o motivo (menu)</t>
        </r>
      </text>
    </comment>
    <comment ref="O4" authorId="0" shapeId="0">
      <text>
        <r>
          <rPr>
            <sz val="11"/>
            <color theme="1"/>
            <rFont val="Calibri"/>
            <family val="2"/>
            <scheme val="minor"/>
          </rPr>
          <t>DIGITE AQUI:
pra que dia vai remarcar</t>
        </r>
      </text>
    </comment>
    <comment ref="R4" authorId="0" shapeId="0">
      <text>
        <r>
          <rPr>
            <sz val="11"/>
            <color theme="1"/>
            <rFont val="Calibri"/>
            <family val="2"/>
            <scheme val="minor"/>
          </rPr>
          <t>DIGITE AQUI:
observação</t>
        </r>
      </text>
    </comment>
  </commentList>
</comments>
</file>

<file path=xl/comments5.xml><?xml version="1.0" encoding="utf-8"?>
<comments xmlns="http://schemas.openxmlformats.org/spreadsheetml/2006/main">
  <authors>
    <author>Guia WCR</author>
  </authors>
  <commentList>
    <comment ref="A4" authorId="0" shapeId="0">
      <text>
        <r>
          <rPr>
            <sz val="11"/>
            <color theme="1"/>
            <rFont val="Calibri"/>
            <family val="2"/>
            <scheme val="minor"/>
          </rPr>
          <t>DIGITE AQUI:
ID do serviço (BER-0001) da aba 03</t>
        </r>
      </text>
    </comment>
    <comment ref="G4" authorId="0" shapeId="0">
      <text>
        <r>
          <rPr>
            <sz val="11"/>
            <color theme="1"/>
            <rFont val="Calibri"/>
            <family val="2"/>
            <scheme val="minor"/>
          </rPr>
          <t>DIGITE AQUI:
equipe (menu)</t>
        </r>
      </text>
    </comment>
    <comment ref="H4" authorId="0" shapeId="0">
      <text>
        <r>
          <rPr>
            <sz val="11"/>
            <color theme="1"/>
            <rFont val="Calibri"/>
            <family val="2"/>
            <scheme val="minor"/>
          </rPr>
          <t>DIGITE AQUI:
encarregado (menu, vem da aba 08)</t>
        </r>
      </text>
    </comment>
    <comment ref="I4" authorId="0" shapeId="0">
      <text>
        <r>
          <rPr>
            <sz val="11"/>
            <color theme="1"/>
            <rFont val="Calibri"/>
            <family val="2"/>
            <scheme val="minor"/>
          </rPr>
          <t>DIGITE AQUI:
data que começou</t>
        </r>
      </text>
    </comment>
    <comment ref="J4" authorId="0" shapeId="0">
      <text>
        <r>
          <rPr>
            <sz val="11"/>
            <color theme="1"/>
            <rFont val="Calibri"/>
            <family val="2"/>
            <scheme val="minor"/>
          </rPr>
          <t>DIGITE AQUI:
data que terminou</t>
        </r>
      </text>
    </comment>
    <comment ref="L4" authorId="0" shapeId="0">
      <text>
        <r>
          <rPr>
            <sz val="11"/>
            <color theme="1"/>
            <rFont val="Calibri"/>
            <family val="2"/>
            <scheme val="minor"/>
          </rPr>
          <t>DIGITE AQUI:
profundidade em metros</t>
        </r>
      </text>
    </comment>
    <comment ref="M4" authorId="0" shapeId="0">
      <text>
        <r>
          <rPr>
            <sz val="11"/>
            <color theme="1"/>
            <rFont val="Calibri"/>
            <family val="2"/>
            <scheme val="minor"/>
          </rPr>
          <t>DIGITE AQUI:
extensão em metros</t>
        </r>
      </text>
    </comment>
    <comment ref="N4" authorId="0" shapeId="0">
      <text>
        <r>
          <rPr>
            <sz val="11"/>
            <color theme="1"/>
            <rFont val="Calibri"/>
            <family val="2"/>
            <scheme val="minor"/>
          </rPr>
          <t>DIGITE AQUI:
repôs o pavimento? (menu)</t>
        </r>
      </text>
    </comment>
    <comment ref="O4" authorId="0" shapeId="0">
      <text>
        <r>
          <rPr>
            <sz val="11"/>
            <color theme="1"/>
            <rFont val="Calibri"/>
            <family val="2"/>
            <scheme val="minor"/>
          </rPr>
          <t>DIGITE AQUI:
tem foto ANTES? (menu)</t>
        </r>
      </text>
    </comment>
    <comment ref="P4" authorId="0" shapeId="0">
      <text>
        <r>
          <rPr>
            <sz val="11"/>
            <color theme="1"/>
            <rFont val="Calibri"/>
            <family val="2"/>
            <scheme val="minor"/>
          </rPr>
          <t>DIGITE AQUI:
tem foto DEPOIS? (menu)</t>
        </r>
      </text>
    </comment>
    <comment ref="Q4" authorId="0" shapeId="0">
      <text>
        <r>
          <rPr>
            <sz val="11"/>
            <color theme="1"/>
            <rFont val="Calibri"/>
            <family val="2"/>
            <scheme val="minor"/>
          </rPr>
          <t>DIGITE AQUI:
nº do RDO daquele dia (aba 10)</t>
        </r>
      </text>
    </comment>
    <comment ref="V4" authorId="0" shapeId="0">
      <text>
        <r>
          <rPr>
            <sz val="11"/>
            <color theme="1"/>
            <rFont val="Calibri"/>
            <family val="2"/>
            <scheme val="minor"/>
          </rPr>
          <t>DIGITE AQUI:
pendência, se tiver</t>
        </r>
      </text>
    </comment>
  </commentList>
</comments>
</file>

<file path=xl/comments6.xml><?xml version="1.0" encoding="utf-8"?>
<comments xmlns="http://schemas.openxmlformats.org/spreadsheetml/2006/main">
  <authors>
    <author>Guia WCR</author>
  </authors>
  <commentList>
    <comment ref="A4" authorId="0" shapeId="0">
      <text>
        <r>
          <rPr>
            <sz val="11"/>
            <color theme="1"/>
            <rFont val="Calibri"/>
            <family val="2"/>
            <scheme val="minor"/>
          </rPr>
          <t>DIGITE AQUI:
data</t>
        </r>
      </text>
    </comment>
    <comment ref="D4" authorId="0" shapeId="0">
      <text>
        <r>
          <rPr>
            <sz val="11"/>
            <color theme="1"/>
            <rFont val="Calibri"/>
            <family val="2"/>
            <scheme val="minor"/>
          </rPr>
          <t>DIGITE AQUI:
Bertioga ou Santos (menu)</t>
        </r>
      </text>
    </comment>
    <comment ref="E4" authorId="0" shapeId="0">
      <text>
        <r>
          <rPr>
            <sz val="11"/>
            <color theme="1"/>
            <rFont val="Calibri"/>
            <family val="2"/>
            <scheme val="minor"/>
          </rPr>
          <t>DIGITE AQUI:
EQUIPE: BER-A, BER-B... (menu)</t>
        </r>
      </text>
    </comment>
    <comment ref="F4" authorId="0" shapeId="0">
      <text>
        <r>
          <rPr>
            <sz val="11"/>
            <color theme="1"/>
            <rFont val="Calibri"/>
            <family val="2"/>
            <scheme val="minor"/>
          </rPr>
          <t>DIGITE AQUI:
quantas pessoas foram trabalhar</t>
        </r>
      </text>
    </comment>
    <comment ref="G4" authorId="0" shapeId="0">
      <text>
        <r>
          <rPr>
            <sz val="11"/>
            <color theme="1"/>
            <rFont val="Calibri"/>
            <family val="2"/>
            <scheme val="minor"/>
          </rPr>
          <t>DIGITE AQUI:
horas normais do dia (8)</t>
        </r>
      </text>
    </comment>
    <comment ref="H4" authorId="0" shapeId="0">
      <text>
        <r>
          <rPr>
            <sz val="11"/>
            <color theme="1"/>
            <rFont val="Calibri"/>
            <family val="2"/>
            <scheme val="minor"/>
          </rPr>
          <t>DIGITE AQUI:
horas extras (vazio se não teve)</t>
        </r>
      </text>
    </comment>
    <comment ref="J4" authorId="0" shapeId="0">
      <text>
        <r>
          <rPr>
            <sz val="11"/>
            <color theme="1"/>
            <rFont val="Calibri"/>
            <family val="2"/>
            <scheme val="minor"/>
          </rPr>
          <t>DIGITE AQUI:
horas de retroescavadeira</t>
        </r>
      </text>
    </comment>
    <comment ref="K4" authorId="0" shapeId="0">
      <text>
        <r>
          <rPr>
            <sz val="11"/>
            <color theme="1"/>
            <rFont val="Calibri"/>
            <family val="2"/>
            <scheme val="minor"/>
          </rPr>
          <t>DIGITE AQUI:
horas de caminhão 3/4 com munck</t>
        </r>
      </text>
    </comment>
    <comment ref="L4" authorId="0" shapeId="0">
      <text>
        <r>
          <rPr>
            <sz val="11"/>
            <color theme="1"/>
            <rFont val="Calibri"/>
            <family val="2"/>
            <scheme val="minor"/>
          </rPr>
          <t>DIGITE AQUI:
horas de caminhão HR</t>
        </r>
      </text>
    </comment>
    <comment ref="M4" authorId="0" shapeId="0">
      <text>
        <r>
          <rPr>
            <sz val="11"/>
            <color theme="1"/>
            <rFont val="Calibri"/>
            <family val="2"/>
            <scheme val="minor"/>
          </rPr>
          <t>DIGITE AQUI:
horas de compressor</t>
        </r>
      </text>
    </comment>
    <comment ref="N4" authorId="0" shapeId="0">
      <text>
        <r>
          <rPr>
            <sz val="11"/>
            <color theme="1"/>
            <rFont val="Calibri"/>
            <family val="2"/>
            <scheme val="minor"/>
          </rPr>
          <t>DIGITE AQUI:
horas de rompedor</t>
        </r>
      </text>
    </comment>
    <comment ref="O4" authorId="0" shapeId="0">
      <text>
        <r>
          <rPr>
            <sz val="11"/>
            <color theme="1"/>
            <rFont val="Calibri"/>
            <family val="2"/>
            <scheme val="minor"/>
          </rPr>
          <t>DIGITE AQUI:
horas de bomba</t>
        </r>
      </text>
    </comment>
    <comment ref="P4" authorId="0" shapeId="0">
      <text>
        <r>
          <rPr>
            <sz val="11"/>
            <color theme="1"/>
            <rFont val="Calibri"/>
            <family val="2"/>
            <scheme val="minor"/>
          </rPr>
          <t>DIGITE AQUI:
km rodado no dia</t>
        </r>
      </text>
    </comment>
    <comment ref="Z4" authorId="0" shapeId="0">
      <text>
        <r>
          <rPr>
            <sz val="11"/>
            <color theme="1"/>
            <rFont val="Calibri"/>
            <family val="2"/>
            <scheme val="minor"/>
          </rPr>
          <t>DIGITE AQUI:
como foi o dia (menu)</t>
        </r>
      </text>
    </comment>
    <comment ref="AA4" authorId="0" shapeId="0">
      <text>
        <r>
          <rPr>
            <sz val="11"/>
            <color theme="1"/>
            <rFont val="Calibri"/>
            <family val="2"/>
            <scheme val="minor"/>
          </rPr>
          <t>DIGITE AQUI:
se a equipe parou, o motivo (menu)</t>
        </r>
      </text>
    </comment>
    <comment ref="AB4" authorId="0" shapeId="0">
      <text>
        <r>
          <rPr>
            <sz val="11"/>
            <color theme="1"/>
            <rFont val="Calibri"/>
            <family val="2"/>
            <scheme val="minor"/>
          </rPr>
          <t>DIGITE AQUI:
observação</t>
        </r>
      </text>
    </comment>
    <comment ref="E5" authorId="0" shapeId="0">
      <text>
        <r>
          <rPr>
            <sz val="11"/>
            <color theme="1"/>
            <rFont val="Calibri"/>
            <family val="2"/>
            <scheme val="minor"/>
          </rPr>
          <t>FALTA PREENCHER.
Escolha a equipe (BER-A, BER-B...).
Sem isso as colunas Q a Y dão zero.</t>
        </r>
      </text>
    </comment>
    <comment ref="E6" authorId="0" shapeId="0">
      <text>
        <r>
          <rPr>
            <sz val="11"/>
            <color theme="1"/>
            <rFont val="Calibri"/>
            <family val="2"/>
            <scheme val="minor"/>
          </rPr>
          <t>FALTA PREENCHER.
Escolha a equipe (BER-A, BER-B...).
Sem isso as colunas Q a Y dão zero.</t>
        </r>
      </text>
    </comment>
    <comment ref="E7" authorId="0" shapeId="0">
      <text>
        <r>
          <rPr>
            <sz val="11"/>
            <color theme="1"/>
            <rFont val="Calibri"/>
            <family val="2"/>
            <scheme val="minor"/>
          </rPr>
          <t>FALTA PREENCHER.
Escolha a equipe (BER-A, BER-B...).
Sem isso as colunas Q a Y dão zero.</t>
        </r>
      </text>
    </comment>
    <comment ref="E8" authorId="0" shapeId="0">
      <text>
        <r>
          <rPr>
            <sz val="11"/>
            <color theme="1"/>
            <rFont val="Calibri"/>
            <family val="2"/>
            <scheme val="minor"/>
          </rPr>
          <t>FALTA PREENCHER.
Escolha a equipe (BER-A, BER-B...).
Sem isso as colunas Q a Y dão zero.</t>
        </r>
      </text>
    </comment>
    <comment ref="E9" authorId="0" shapeId="0">
      <text>
        <r>
          <rPr>
            <sz val="11"/>
            <color theme="1"/>
            <rFont val="Calibri"/>
            <family val="2"/>
            <scheme val="minor"/>
          </rPr>
          <t>FALTA PREENCHER.
Escolha a equipe (BER-A, BER-B...).
Sem isso as colunas Q a Y dão zero.</t>
        </r>
      </text>
    </comment>
    <comment ref="E10" authorId="0" shapeId="0">
      <text>
        <r>
          <rPr>
            <sz val="11"/>
            <color theme="1"/>
            <rFont val="Calibri"/>
            <family val="2"/>
            <scheme val="minor"/>
          </rPr>
          <t>FALTA PREENCHER.
Escolha a equipe (BER-A, BER-B...).
Sem isso as colunas Q a Y dão zero.</t>
        </r>
      </text>
    </comment>
    <comment ref="E11" authorId="0" shapeId="0">
      <text>
        <r>
          <rPr>
            <sz val="11"/>
            <color theme="1"/>
            <rFont val="Calibri"/>
            <family val="2"/>
            <scheme val="minor"/>
          </rPr>
          <t>FALTA PREENCHER.
Escolha a equipe (BER-A, BER-B...).
Sem isso as colunas Q a Y dão zero.</t>
        </r>
      </text>
    </comment>
    <comment ref="E12" authorId="0" shapeId="0">
      <text>
        <r>
          <rPr>
            <sz val="11"/>
            <color theme="1"/>
            <rFont val="Calibri"/>
            <family val="2"/>
            <scheme val="minor"/>
          </rPr>
          <t>FALTA PREENCHER.
Escolha a equipe (BER-A, BER-B...).
Sem isso as colunas Q a Y dão zero.</t>
        </r>
      </text>
    </comment>
  </commentList>
</comments>
</file>

<file path=xl/comments7.xml><?xml version="1.0" encoding="utf-8"?>
<comments xmlns="http://schemas.openxmlformats.org/spreadsheetml/2006/main">
  <authors>
    <author>Guia WCR</author>
  </authors>
  <commentList>
    <comment ref="A4" authorId="0" shapeId="0">
      <text>
        <r>
          <rPr>
            <sz val="11"/>
            <color theme="1"/>
            <rFont val="Calibri"/>
            <family val="2"/>
            <scheme val="minor"/>
          </rPr>
          <t>DIGITE AQUI:
data</t>
        </r>
      </text>
    </comment>
    <comment ref="B4" authorId="0" shapeId="0">
      <text>
        <r>
          <rPr>
            <sz val="11"/>
            <color theme="1"/>
            <rFont val="Calibri"/>
            <family val="2"/>
            <scheme val="minor"/>
          </rPr>
          <t>DIGITE AQUI:
contrato (menu)</t>
        </r>
      </text>
    </comment>
    <comment ref="C4" authorId="0" shapeId="0">
      <text>
        <r>
          <rPr>
            <sz val="11"/>
            <color theme="1"/>
            <rFont val="Calibri"/>
            <family val="2"/>
            <scheme val="minor"/>
          </rPr>
          <t>DIGITE AQUI:
ENTRADA ou SAÍDA (menu)</t>
        </r>
      </text>
    </comment>
    <comment ref="D4" authorId="0" shapeId="0">
      <text>
        <r>
          <rPr>
            <sz val="11"/>
            <color theme="1"/>
            <rFont val="Calibri"/>
            <family val="2"/>
            <scheme val="minor"/>
          </rPr>
          <t>DIGITE AQUI:
ID do serviço que consumiu (BER-0001)</t>
        </r>
      </text>
    </comment>
    <comment ref="E4" authorId="0" shapeId="0">
      <text>
        <r>
          <rPr>
            <sz val="11"/>
            <color theme="1"/>
            <rFont val="Calibri"/>
            <family val="2"/>
            <scheme val="minor"/>
          </rPr>
          <t>DIGITE AQUI:
material (menu)</t>
        </r>
      </text>
    </comment>
    <comment ref="F4" authorId="0" shapeId="0">
      <text>
        <r>
          <rPr>
            <sz val="11"/>
            <color theme="1"/>
            <rFont val="Calibri"/>
            <family val="2"/>
            <scheme val="minor"/>
          </rPr>
          <t>DIGITE AQUI:
unidade: un, m, kg, sc</t>
        </r>
      </text>
    </comment>
    <comment ref="G4" authorId="0" shapeId="0">
      <text>
        <r>
          <rPr>
            <sz val="11"/>
            <color theme="1"/>
            <rFont val="Calibri"/>
            <family val="2"/>
            <scheme val="minor"/>
          </rPr>
          <t>DIGITE AQUI:
quantidade</t>
        </r>
      </text>
    </comment>
    <comment ref="J4" authorId="0" shapeId="0">
      <text>
        <r>
          <rPr>
            <sz val="11"/>
            <color theme="1"/>
            <rFont val="Calibri"/>
            <family val="2"/>
            <scheme val="minor"/>
          </rPr>
          <t>DIGITE AQUI:
quanto custa 1 unidade</t>
        </r>
      </text>
    </comment>
    <comment ref="L4" authorId="0" shapeId="0">
      <text>
        <r>
          <rPr>
            <sz val="11"/>
            <color theme="1"/>
            <rFont val="Calibri"/>
            <family val="2"/>
            <scheme val="minor"/>
          </rPr>
          <t>DIGITE AQUI:
quem retirou (menu)</t>
        </r>
      </text>
    </comment>
    <comment ref="M4" authorId="0" shapeId="0">
      <text>
        <r>
          <rPr>
            <sz val="11"/>
            <color theme="1"/>
            <rFont val="Calibri"/>
            <family val="2"/>
            <scheme val="minor"/>
          </rPr>
          <t>DIGITE AQUI:
fornecedor</t>
        </r>
      </text>
    </comment>
    <comment ref="N4" authorId="0" shapeId="0">
      <text>
        <r>
          <rPr>
            <sz val="11"/>
            <color theme="1"/>
            <rFont val="Calibri"/>
            <family val="2"/>
            <scheme val="minor"/>
          </rPr>
          <t>DIGITE AQUI:
nº da nota</t>
        </r>
      </text>
    </comment>
    <comment ref="O4" authorId="0" shapeId="0">
      <text>
        <r>
          <rPr>
            <sz val="11"/>
            <color theme="1"/>
            <rFont val="Calibri"/>
            <family val="2"/>
            <scheme val="minor"/>
          </rPr>
          <t>DIGITE AQUI:
é material da SABESP? (menu)</t>
        </r>
      </text>
    </comment>
    <comment ref="P4" authorId="0" shapeId="0">
      <text>
        <r>
          <rPr>
            <sz val="11"/>
            <color theme="1"/>
            <rFont val="Calibri"/>
            <family val="2"/>
            <scheme val="minor"/>
          </rPr>
          <t>DIGITE AQUI:
observação</t>
        </r>
      </text>
    </comment>
  </commentList>
</comments>
</file>

<file path=xl/comments8.xml><?xml version="1.0" encoding="utf-8"?>
<comments xmlns="http://schemas.openxmlformats.org/spreadsheetml/2006/main">
  <authors>
    <author>Guia WCR</author>
  </authors>
  <commentList>
    <comment ref="A4" authorId="0" shapeId="0">
      <text>
        <r>
          <rPr>
            <sz val="11"/>
            <color theme="1"/>
            <rFont val="Calibri"/>
            <family val="2"/>
            <scheme val="minor"/>
          </rPr>
          <t>DIGITE AQUI:
matrícula (BER-001)</t>
        </r>
      </text>
    </comment>
    <comment ref="B4" authorId="0" shapeId="0">
      <text>
        <r>
          <rPr>
            <sz val="11"/>
            <color theme="1"/>
            <rFont val="Calibri"/>
            <family val="2"/>
            <scheme val="minor"/>
          </rPr>
          <t>DIGITE AQUI:
contrato (menu)</t>
        </r>
      </text>
    </comment>
    <comment ref="C4" authorId="0" shapeId="0">
      <text>
        <r>
          <rPr>
            <sz val="11"/>
            <color theme="1"/>
            <rFont val="Calibri"/>
            <family val="2"/>
            <scheme val="minor"/>
          </rPr>
          <t>DIGITE AQUI:
equipe: BER-A, BER-B, APOIO...</t>
        </r>
      </text>
    </comment>
    <comment ref="D4" authorId="0" shapeId="0">
      <text>
        <r>
          <rPr>
            <sz val="11"/>
            <color theme="1"/>
            <rFont val="Calibri"/>
            <family val="2"/>
            <scheme val="minor"/>
          </rPr>
          <t>DIGITE AQUI:
nome completo</t>
        </r>
      </text>
    </comment>
    <comment ref="E4" authorId="0" shapeId="0">
      <text>
        <r>
          <rPr>
            <sz val="11"/>
            <color theme="1"/>
            <rFont val="Calibri"/>
            <family val="2"/>
            <scheme val="minor"/>
          </rPr>
          <t>DIGITE AQUI:
função (menu)</t>
        </r>
      </text>
    </comment>
    <comment ref="F4" authorId="0" shapeId="0">
      <text>
        <r>
          <rPr>
            <sz val="11"/>
            <color theme="1"/>
            <rFont val="Calibri"/>
            <family val="2"/>
            <scheme val="minor"/>
          </rPr>
          <t>DIGITE AQUI:
data de admissão</t>
        </r>
      </text>
    </comment>
    <comment ref="G4" authorId="0" shapeId="0">
      <text>
        <r>
          <rPr>
            <sz val="11"/>
            <color theme="1"/>
            <rFont val="Calibri"/>
            <family val="2"/>
            <scheme val="minor"/>
          </rPr>
          <t>DIGITE AQUI:
salário</t>
        </r>
      </text>
    </comment>
    <comment ref="U4" authorId="0" shapeId="0">
      <text>
        <r>
          <rPr>
            <sz val="11"/>
            <color theme="1"/>
            <rFont val="Calibri"/>
            <family val="2"/>
            <scheme val="minor"/>
          </rPr>
          <t>DIGITE AQUI:
ATIVO? SIM ou NÃO (menu)</t>
        </r>
      </text>
    </comment>
  </commentList>
</comments>
</file>

<file path=xl/comments9.xml><?xml version="1.0" encoding="utf-8"?>
<comments xmlns="http://schemas.openxmlformats.org/spreadsheetml/2006/main">
  <authors>
    <author>Guia WCR</author>
  </authors>
  <commentList>
    <comment ref="A4" authorId="0" shapeId="0">
      <text>
        <r>
          <rPr>
            <sz val="11"/>
            <color theme="1"/>
            <rFont val="Calibri"/>
            <family val="2"/>
            <scheme val="minor"/>
          </rPr>
          <t>Nº DO BOLETIM — o documento do MÊS.
Ex: BM-09/2026
REPETE igual em todas as linhas do mês.
NÃO é o ID do serviço (BER-0001).</t>
        </r>
      </text>
    </comment>
    <comment ref="C4" authorId="0" shapeId="0">
      <text>
        <r>
          <rPr>
            <sz val="11"/>
            <color theme="1"/>
            <rFont val="Calibri"/>
            <family val="2"/>
            <scheme val="minor"/>
          </rPr>
          <t>ID DO SERVIÇO — um por linha.
Ex: BER-0001 (vem da aba 03).
É a chave: sem ela, contrato, OS,
equipe e data ficam vazios.</t>
        </r>
      </text>
    </comment>
    <comment ref="H4" authorId="0" shapeId="0">
      <text>
        <r>
          <rPr>
            <sz val="11"/>
            <color theme="1"/>
            <rFont val="Calibri"/>
            <family val="2"/>
            <scheme val="minor"/>
          </rPr>
          <t>DIGITE AQUI:
CÓD. PREÇO da aba 02 (ex: BER-72000053)</t>
        </r>
      </text>
    </comment>
    <comment ref="K4" authorId="0" shapeId="0">
      <text>
        <r>
          <rPr>
            <sz val="11"/>
            <color theme="1"/>
            <rFont val="Calibri"/>
            <family val="2"/>
            <scheme val="minor"/>
          </rPr>
          <t>DIGITE AQUI:
quantidade medida</t>
        </r>
      </text>
    </comment>
    <comment ref="N4" authorId="0" shapeId="0">
      <text>
        <r>
          <rPr>
            <sz val="11"/>
            <color theme="1"/>
            <rFont val="Calibri"/>
            <family val="2"/>
            <scheme val="minor"/>
          </rPr>
          <t>DIGITE AQUI:
APRESENTADA / APROVADA / GLOSADA (menu)</t>
        </r>
      </text>
    </comment>
    <comment ref="O4" authorId="0" shapeId="0">
      <text>
        <r>
          <rPr>
            <sz val="11"/>
            <color theme="1"/>
            <rFont val="Calibri"/>
            <family val="2"/>
            <scheme val="minor"/>
          </rPr>
          <t>DIGITE AQUI:
data que entregou pra SABESP</t>
        </r>
      </text>
    </comment>
    <comment ref="P4" authorId="0" shapeId="0">
      <text>
        <r>
          <rPr>
            <sz val="11"/>
            <color theme="1"/>
            <rFont val="Calibri"/>
            <family val="2"/>
            <scheme val="minor"/>
          </rPr>
          <t>DIGITE AQUI:
valor que a SABESP cortou</t>
        </r>
      </text>
    </comment>
    <comment ref="Q4" authorId="0" shapeId="0">
      <text>
        <r>
          <rPr>
            <sz val="11"/>
            <color theme="1"/>
            <rFont val="Calibri"/>
            <family val="2"/>
            <scheme val="minor"/>
          </rPr>
          <t>DIGITE AQUI:
por que cortou</t>
        </r>
      </text>
    </comment>
    <comment ref="S4" authorId="0" shapeId="0">
      <text>
        <r>
          <rPr>
            <sz val="11"/>
            <color theme="1"/>
            <rFont val="Calibri"/>
            <family val="2"/>
            <scheme val="minor"/>
          </rPr>
          <t>DIGITE AQUI:
vai reapresentar? (menu)</t>
        </r>
      </text>
    </comment>
  </commentList>
</comments>
</file>

<file path=xl/comments10.xml><?xml version="1.0" encoding="utf-8"?>
<comments xmlns="http://schemas.openxmlformats.org/spreadsheetml/2006/main">
  <authors>
    <author>Guia WCR</author>
  </authors>
  <commentList>
    <comment ref="B4" authorId="0" shapeId="0">
      <text>
        <r>
          <rPr>
            <sz val="11"/>
            <color theme="1"/>
            <rFont val="Calibri"/>
            <family val="2"/>
            <scheme val="minor"/>
          </rPr>
          <t>DIGITE AQUI:
data</t>
        </r>
      </text>
    </comment>
    <comment ref="C4" authorId="0" shapeId="0">
      <text>
        <r>
          <rPr>
            <sz val="11"/>
            <color theme="1"/>
            <rFont val="Calibri"/>
            <family val="2"/>
            <scheme val="minor"/>
          </rPr>
          <t>DIGITE AQUI:
contrato (menu)</t>
        </r>
      </text>
    </comment>
    <comment ref="D4" authorId="0" shapeId="0">
      <text>
        <r>
          <rPr>
            <sz val="11"/>
            <color theme="1"/>
            <rFont val="Calibri"/>
            <family val="2"/>
            <scheme val="minor"/>
          </rPr>
          <t>DIGITE AQUI:
clima de manhã (menu)</t>
        </r>
      </text>
    </comment>
    <comment ref="E4" authorId="0" shapeId="0">
      <text>
        <r>
          <rPr>
            <sz val="11"/>
            <color theme="1"/>
            <rFont val="Calibri"/>
            <family val="2"/>
            <scheme val="minor"/>
          </rPr>
          <t>DIGITE AQUI:
clima de tarde (menu)</t>
        </r>
      </text>
    </comment>
    <comment ref="F4" authorId="0" shapeId="0">
      <text>
        <r>
          <rPr>
            <sz val="11"/>
            <color theme="1"/>
            <rFont val="Calibri"/>
            <family val="2"/>
            <scheme val="minor"/>
          </rPr>
          <t>DIGITE AQUI:
condição do solo (menu)</t>
        </r>
      </text>
    </comment>
    <comment ref="L4" authorId="0" shapeId="0">
      <text>
        <r>
          <rPr>
            <sz val="11"/>
            <color theme="1"/>
            <rFont val="Calibri"/>
            <family val="2"/>
            <scheme val="minor"/>
          </rPr>
          <t>DIGITE AQUI:
o que as equipes fizeram no dia</t>
        </r>
      </text>
    </comment>
    <comment ref="M4" authorId="0" shapeId="0">
      <text>
        <r>
          <rPr>
            <sz val="11"/>
            <color theme="1"/>
            <rFont val="Calibri"/>
            <family val="2"/>
            <scheme val="minor"/>
          </rPr>
          <t>DIGITE AQUI:
equipamentos que estavam na rua</t>
        </r>
      </text>
    </comment>
    <comment ref="O4" authorId="0" shapeId="0">
      <text>
        <r>
          <rPr>
            <sz val="11"/>
            <color theme="1"/>
            <rFont val="Calibri"/>
            <family val="2"/>
            <scheme val="minor"/>
          </rPr>
          <t>DIGITE AQUI:
a fiscalização apareceu? (menu)</t>
        </r>
      </text>
    </comment>
    <comment ref="P4" authorId="0" shapeId="0">
      <text>
        <r>
          <rPr>
            <sz val="11"/>
            <color theme="1"/>
            <rFont val="Calibri"/>
            <family val="2"/>
            <scheme val="minor"/>
          </rPr>
          <t>DIGITE AQUI:
responsável WCR que assina (menu)</t>
        </r>
      </text>
    </comment>
    <comment ref="Q4" authorId="0" shapeId="0">
      <text>
        <r>
          <rPr>
            <sz val="11"/>
            <color theme="1"/>
            <rFont val="Calibri"/>
            <family val="2"/>
            <scheme val="minor"/>
          </rPr>
          <t>DIGITE AQUI:
observação</t>
        </r>
      </text>
    </comment>
  </commentList>
</comments>
</file>

<file path=xl/comments11.xml><?xml version="1.0" encoding="utf-8"?>
<comments xmlns="http://schemas.openxmlformats.org/spreadsheetml/2006/main">
  <authors>
    <author>Guia WCR</author>
  </authors>
  <commentList>
    <comment ref="B4" authorId="0" shapeId="0">
      <text>
        <r>
          <rPr>
            <sz val="11"/>
            <color theme="1"/>
            <rFont val="Calibri"/>
            <family val="2"/>
            <scheme val="minor"/>
          </rPr>
          <t>DIGITE AQUI:
data</t>
        </r>
      </text>
    </comment>
    <comment ref="C4" authorId="0" shapeId="0">
      <text>
        <r>
          <rPr>
            <sz val="11"/>
            <color theme="1"/>
            <rFont val="Calibri"/>
            <family val="2"/>
            <scheme val="minor"/>
          </rPr>
          <t>DIGITE AQUI:
contrato (menu)</t>
        </r>
      </text>
    </comment>
    <comment ref="D4" authorId="0" shapeId="0">
      <text>
        <r>
          <rPr>
            <sz val="11"/>
            <color theme="1"/>
            <rFont val="Calibri"/>
            <family val="2"/>
            <scheme val="minor"/>
          </rPr>
          <t>DIGITE AQUI:
ID do serviço atrapalhado</t>
        </r>
      </text>
    </comment>
    <comment ref="E4" authorId="0" shapeId="0">
      <text>
        <r>
          <rPr>
            <sz val="11"/>
            <color theme="1"/>
            <rFont val="Calibri"/>
            <family val="2"/>
            <scheme val="minor"/>
          </rPr>
          <t>DIGITE AQUI:
equipe (menu)</t>
        </r>
      </text>
    </comment>
    <comment ref="F4" authorId="0" shapeId="0">
      <text>
        <r>
          <rPr>
            <sz val="11"/>
            <color theme="1"/>
            <rFont val="Calibri"/>
            <family val="2"/>
            <scheme val="minor"/>
          </rPr>
          <t>DIGITE AQUI:
tipo: chuva, falta de material... (menu)</t>
        </r>
      </text>
    </comment>
    <comment ref="G4" authorId="0" shapeId="0">
      <text>
        <r>
          <rPr>
            <sz val="11"/>
            <color theme="1"/>
            <rFont val="Calibri"/>
            <family val="2"/>
            <scheme val="minor"/>
          </rPr>
          <t>DIGITE AQUI:
gravidade: leve, grave (menu)</t>
        </r>
      </text>
    </comment>
    <comment ref="H4" authorId="0" shapeId="0">
      <text>
        <r>
          <rPr>
            <sz val="11"/>
            <color theme="1"/>
            <rFont val="Calibri"/>
            <family val="2"/>
            <scheme val="minor"/>
          </rPr>
          <t>DIGITE AQUI:
conta o que aconteceu</t>
        </r>
      </text>
    </comment>
    <comment ref="I4" authorId="0" shapeId="0">
      <text>
        <r>
          <rPr>
            <sz val="11"/>
            <color theme="1"/>
            <rFont val="Calibri"/>
            <family val="2"/>
            <scheme val="minor"/>
          </rPr>
          <t>DIGITE AQUI:
quantas horas se perdeu</t>
        </r>
      </text>
    </comment>
    <comment ref="J4" authorId="0" shapeId="0">
      <text>
        <r>
          <rPr>
            <sz val="11"/>
            <color theme="1"/>
            <rFont val="Calibri"/>
            <family val="2"/>
            <scheme val="minor"/>
          </rPr>
          <t>DIGITE AQUI:
quanto custou, se souber</t>
        </r>
      </text>
    </comment>
    <comment ref="K4" authorId="0" shapeId="0">
      <text>
        <r>
          <rPr>
            <sz val="11"/>
            <color theme="1"/>
            <rFont val="Calibri"/>
            <family val="2"/>
            <scheme val="minor"/>
          </rPr>
          <t>DIGITE AQUI:
o que você fez na hora</t>
        </r>
      </text>
    </comment>
    <comment ref="L4" authorId="0" shapeId="0">
      <text>
        <r>
          <rPr>
            <sz val="11"/>
            <color theme="1"/>
            <rFont val="Calibri"/>
            <family val="2"/>
            <scheme val="minor"/>
          </rPr>
          <t>DIGITE AQUI:
de quem é: SABESP, consórcio ou WCR</t>
        </r>
      </text>
    </comment>
    <comment ref="M4" authorId="0" shapeId="0">
      <text>
        <r>
          <rPr>
            <sz val="11"/>
            <color theme="1"/>
            <rFont val="Calibri"/>
            <family val="2"/>
            <scheme val="minor"/>
          </rPr>
          <t>DIGITE AQUI:
prazo pra resolver</t>
        </r>
      </text>
    </comment>
    <comment ref="N4" authorId="0" shapeId="0">
      <text>
        <r>
          <rPr>
            <sz val="11"/>
            <color theme="1"/>
            <rFont val="Calibri"/>
            <family val="2"/>
            <scheme val="minor"/>
          </rPr>
          <t>DIGITE AQUI:
status (menu)</t>
        </r>
      </text>
    </comment>
    <comment ref="O4" authorId="0" shapeId="0">
      <text>
        <r>
          <rPr>
            <sz val="11"/>
            <color theme="1"/>
            <rFont val="Calibri"/>
            <family val="2"/>
            <scheme val="minor"/>
          </rPr>
          <t>DIGITE AQUI:
data que encerrou</t>
        </r>
      </text>
    </comment>
    <comment ref="Q4" authorId="0" shapeId="0">
      <text>
        <r>
          <rPr>
            <sz val="11"/>
            <color theme="1"/>
            <rFont val="Calibri"/>
            <family val="2"/>
            <scheme val="minor"/>
          </rPr>
          <t>DIGITE AQUI:
isso vira pleito/aditivo? (menu)</t>
        </r>
      </text>
    </comment>
  </commentList>
</comments>
</file>

<file path=xl/comments12.xml><?xml version="1.0" encoding="utf-8"?>
<comments xmlns="http://schemas.openxmlformats.org/spreadsheetml/2006/main">
  <authors>
    <author>Guia WCR</author>
  </authors>
  <commentList>
    <comment ref="A4" authorId="0" shapeId="0">
      <text>
        <r>
          <rPr>
            <sz val="11"/>
            <color theme="1"/>
            <rFont val="Calibri"/>
            <family val="2"/>
            <scheme val="minor"/>
          </rPr>
          <t>DIGITE AQUI:
mês</t>
        </r>
      </text>
    </comment>
    <comment ref="B4" authorId="0" shapeId="0">
      <text>
        <r>
          <rPr>
            <sz val="11"/>
            <color theme="1"/>
            <rFont val="Calibri"/>
            <family val="2"/>
            <scheme val="minor"/>
          </rPr>
          <t>DIGITE AQUI:
contrato</t>
        </r>
      </text>
    </comment>
    <comment ref="F4" authorId="0" shapeId="0">
      <text>
        <r>
          <rPr>
            <sz val="11"/>
            <color theme="1"/>
            <rFont val="Calibri"/>
            <family val="2"/>
            <scheme val="minor"/>
          </rPr>
          <t>DIGITE AQUI:
nº da nota fiscal</t>
        </r>
      </text>
    </comment>
    <comment ref="G4" authorId="0" shapeId="0">
      <text>
        <r>
          <rPr>
            <sz val="11"/>
            <color theme="1"/>
            <rFont val="Calibri"/>
            <family val="2"/>
            <scheme val="minor"/>
          </rPr>
          <t>DIGITE AQUI:
data da nota fiscal</t>
        </r>
      </text>
    </comment>
    <comment ref="L4" authorId="0" shapeId="0">
      <text>
        <r>
          <rPr>
            <sz val="11"/>
            <color theme="1"/>
            <rFont val="Calibri"/>
            <family val="2"/>
            <scheme val="minor"/>
          </rPr>
          <t>DIGITE AQUI:
data em que o dinheiro caiu na conta</t>
        </r>
      </text>
    </comment>
    <comment ref="M4" authorId="0" shapeId="0">
      <text>
        <r>
          <rPr>
            <sz val="11"/>
            <color theme="1"/>
            <rFont val="Calibri"/>
            <family val="2"/>
            <scheme val="minor"/>
          </rPr>
          <t>DIGITE AQUI:
quanto caiu de verdade</t>
        </r>
      </text>
    </comment>
  </commentList>
</comments>
</file>

<file path=xl/sharedStrings.xml><?xml version="1.0" encoding="utf-8"?>
<sst xmlns="http://schemas.openxmlformats.org/spreadsheetml/2006/main" count="6677" uniqueCount="3099">
  <si>
    <t>GUIA RÁPIDO — COMO PREENCHER CADA ABA</t>
  </si>
  <si>
    <t>A esteira: 03 CADASTRO &gt; 04 PROGRAMAÇÃO &gt; 05 ORDENS DE SERVIÇO &gt; 09 MEDIÇÃO &gt; 12 FATURAMENTO.   O resto é apoio e registro.</t>
  </si>
  <si>
    <t>00. LEIA-ME</t>
  </si>
  <si>
    <t>Aqui não se digita NADA. É só leitura.</t>
  </si>
  <si>
    <t>É o manual do arquivo.</t>
  </si>
  <si>
    <t>Esqueceu como preenche alguma aba?</t>
  </si>
  <si>
    <t>Lê a caixa amarela no canto de cada aba.</t>
  </si>
  <si>
    <t>01. CONFIGURAÇÕES</t>
  </si>
  <si>
    <t>Mexe uma vez, no começo. Não é do dia a dia.</t>
  </si>
  <si>
    <t>C5 a C11 = nomes: empresa, responsável, os 2 contratos</t>
  </si>
  <si>
    <t>C12 = dia em que a operação começou</t>
  </si>
  <si>
    <t>C13 = mês que você quer ver nos relatórios</t>
  </si>
  <si>
    <t>C17 = % que o consórcio desconta (0 se não desconta)</t>
  </si>
  <si>
    <t>C18 = dia que fecha a medição (30)</t>
  </si>
  <si>
    <t>C19 = dias que a SABESP demora pra pagar (20)</t>
  </si>
  <si>
    <t>C20 = dias úteis no mês (22)</t>
  </si>
  <si>
    <t>C21 = horas por dia (8,8)</t>
  </si>
  <si>
    <t>C22 = prazo padrão da SABESP em dias (5)</t>
  </si>
  <si>
    <t>C23 = dias antes de acender o alerta (2)</t>
  </si>
  <si>
    <t>C33 e D33 = margem que você quer ganhar (0,20 = 20%)</t>
  </si>
  <si>
    <t>Da linha 44 pra baixo = as listas dos menus.</t>
  </si>
  <si>
    <t>Item novo: escreve na 1a linha vazia da coluna.</t>
  </si>
  <si>
    <t>Só o que está AZUL é seu. Preto e verde é fórmula.</t>
  </si>
  <si>
    <t>01A. BANCO DE CUSTOS</t>
  </si>
  <si>
    <t>Daqui sai o custo do mês e a meta de cada equipe.</t>
  </si>
  <si>
    <t>Mexe só quando o preço de verdade mudar.</t>
  </si>
  <si>
    <t>C = quantos você tem (2 caminhões, escreve 2)</t>
  </si>
  <si>
    <t>D = quanto custa CADA UM por mês</t>
  </si>
  <si>
    <t>F = de onde saiu o preço (contrato, cotação, aluguel)</t>
  </si>
  <si>
    <t>C34 = fator de encargos sobre o salário (0,58)</t>
  </si>
  <si>
    <t>C35 = benefícios por pessoa por mês</t>
  </si>
  <si>
    <t>C40 a C46 = as alíquotas dos impostos</t>
  </si>
  <si>
    <t>Linha 15 e 29 (folha) NÃO se digita:</t>
  </si>
  <si>
    <t>vem somada da aba 08. EQUIPE, pessoa por pessoa.</t>
  </si>
  <si>
    <t>01B. CARTEIRA E TICKET</t>
  </si>
  <si>
    <t>Só a coluna E é sua. O resto é fórmula.</t>
  </si>
  <si>
    <t>E = o CÓD. PREÇO daquele tipo de serviço</t>
  </si>
  <si>
    <t xml:space="preserve">     exemplo: BER-72000053</t>
  </si>
  <si>
    <t>Pega o código na aba 02. TABELA DE PREÇOS.</t>
  </si>
  <si>
    <t>O código tem que ser do MESMO contrato da linha:</t>
  </si>
  <si>
    <t>BER- com BER-, SAN- com SAN-.</t>
  </si>
  <si>
    <t>Tipo que não existe no contrato fica sem preço mesmo.</t>
  </si>
  <si>
    <t>02. TABELA DE PREÇOS</t>
  </si>
  <si>
    <t>Aba de consulta. NÃO digita nada.</t>
  </si>
  <si>
    <t>São os 511 preços que a SABESP paga.</t>
  </si>
  <si>
    <t>Só muda em reajuste oficial do contrato.</t>
  </si>
  <si>
    <t>PARA ACHAR UM SERVIÇO:</t>
  </si>
  <si>
    <t>1) digite parte do nome na célula amarela (J2)</t>
  </si>
  <si>
    <t>2) filtre a coluna BUSCA por "1"</t>
  </si>
  <si>
    <t>A CHAVE da coluna A é o que as outras abas usam.</t>
  </si>
  <si>
    <t>03. CADASTRO DE SERVIÇOS</t>
  </si>
  <si>
    <t>Chegou pedido da SABESP? Abre 1 linha aqui. SEMPRE.</t>
  </si>
  <si>
    <t>Nada é programado nem medido sem estar aqui.</t>
  </si>
  <si>
    <t>B = BERTIOGA ou SANTOS (menu)</t>
  </si>
  <si>
    <t>C = nº da OS que a SABESP passou</t>
  </si>
  <si>
    <t>D = data em que a SABESP pediu</t>
  </si>
  <si>
    <t>E = prazo em dias (5 se não falaram nada)</t>
  </si>
  <si>
    <t>G = URGENTE ou NORMAL (menu)</t>
  </si>
  <si>
    <t>H = tipo de serviço (menu)</t>
  </si>
  <si>
    <t>I = rua      J = número      K = bairro (menu)</t>
  </si>
  <si>
    <t>L = cidade      M = ponto de referência</t>
  </si>
  <si>
    <t>N = piso: asfalto, calçada, terra (menu)</t>
  </si>
  <si>
    <t>O = o que a SABESP pediu, com suas palavras</t>
  </si>
  <si>
    <t>X = observação, se tiver</t>
  </si>
  <si>
    <t>De P até V é fórmula: preenche sozinho quando você</t>
  </si>
  <si>
    <t>programar (aba 04), executar (05) e medir (09).</t>
  </si>
  <si>
    <t>04. PROGRAMAÇÃO DIÁRIA</t>
  </si>
  <si>
    <t>1 linha = 1 serviço, pra 1 equipe, em 1 dia.</t>
  </si>
  <si>
    <t>NA VÉSPERA, ATÉ AS 16h:</t>
  </si>
  <si>
    <t>A = data em que vai executar</t>
  </si>
  <si>
    <t>C = equipe: BER-A, BER-B... (menu)</t>
  </si>
  <si>
    <t>D = ordem do serviço no dia: 1, 2, 3...</t>
  </si>
  <si>
    <t>E = ID do serviço (BER-0001), copiado da aba 03</t>
  </si>
  <si>
    <t xml:space="preserve">     endereço e tipo aparecem sozinhos</t>
  </si>
  <si>
    <t>K = quantas horas acha que vai levar</t>
  </si>
  <si>
    <t>NO FIM DO DIA, O ENCARREGADO DEVOLVE:</t>
  </si>
  <si>
    <t>L = EXECUTOU? SIM ou NÃO (menu)</t>
  </si>
  <si>
    <t>M = data em que executou</t>
  </si>
  <si>
    <t>N = se foi NÃO, o motivo (menu)</t>
  </si>
  <si>
    <t>O = pra que dia vai remarcar</t>
  </si>
  <si>
    <t>R = observação</t>
  </si>
  <si>
    <t>05. ORDENS DE SERVIÇO</t>
  </si>
  <si>
    <t>Abre a OS quando a equipe COMEÇA o serviço.</t>
  </si>
  <si>
    <t>1 linha = 1 serviço.</t>
  </si>
  <si>
    <t>A = ID do serviço (BER-0001) da aba 03</t>
  </si>
  <si>
    <t xml:space="preserve">     endereço, bairro e tipo vêm sozinhos</t>
  </si>
  <si>
    <t>G = equipe (menu)</t>
  </si>
  <si>
    <t>H = encarregado (menu, vem da aba 08)</t>
  </si>
  <si>
    <t>I = data que começou</t>
  </si>
  <si>
    <t>J = data que terminou</t>
  </si>
  <si>
    <t>L = profundidade em metros</t>
  </si>
  <si>
    <t>M = extensão em metros</t>
  </si>
  <si>
    <t>N = repôs o pavimento? (menu)</t>
  </si>
  <si>
    <t>O = tem foto ANTES? (menu)</t>
  </si>
  <si>
    <t>P = tem foto DEPOIS? (menu)</t>
  </si>
  <si>
    <t>Q = nº do RDO daquele dia (aba 10)</t>
  </si>
  <si>
    <t>V = pendência, se tiver</t>
  </si>
  <si>
    <t>Só vira dinheiro a OS CONCLUÍDA, com as 2 fotos</t>
  </si>
  <si>
    <t>e pavimento reposto. Sem isso a SABESP glosa.</t>
  </si>
  <si>
    <t>06. APONTAMENTO DIÁRIO</t>
  </si>
  <si>
    <t>1 linha = 1 EQUIPE em 1 DIA.</t>
  </si>
  <si>
    <t>Encarregado entrega até as 8h do dia seguinte.</t>
  </si>
  <si>
    <t>A = data</t>
  </si>
  <si>
    <t>D = Bertioga ou Santos (menu)</t>
  </si>
  <si>
    <t>E = EQUIPE: BER-A, BER-B... (menu)</t>
  </si>
  <si>
    <t xml:space="preserve">     SEM A EQUIPE PREENCHIDA, TUDO DÁ ZERO.</t>
  </si>
  <si>
    <t>F = quantas pessoas foram trabalhar</t>
  </si>
  <si>
    <t>G = horas normais do dia (8)</t>
  </si>
  <si>
    <t>H = horas extras (vazio se não teve)</t>
  </si>
  <si>
    <t>J = horas de retroescavadeira</t>
  </si>
  <si>
    <t>K = horas de caminhão 3/4 com munck</t>
  </si>
  <si>
    <t>L = horas de caminhão HR</t>
  </si>
  <si>
    <t>M = horas de compressor</t>
  </si>
  <si>
    <t>N = horas de rompedor</t>
  </si>
  <si>
    <t>O = horas de bomba</t>
  </si>
  <si>
    <t xml:space="preserve">     máquina que não usou: escreve 0</t>
  </si>
  <si>
    <t>P = km rodado no dia</t>
  </si>
  <si>
    <t>Z = como foi o dia (menu)</t>
  </si>
  <si>
    <t>AA = se a equipe parou, o motivo (menu)</t>
  </si>
  <si>
    <t>AB = observação</t>
  </si>
  <si>
    <t>De I até Y é fórmula. NÃO DIGITA.</t>
  </si>
  <si>
    <t>07. MATERIAIS</t>
  </si>
  <si>
    <t>1 linha = 1 entrada OU 1 saída de material.</t>
  </si>
  <si>
    <t>B = contrato (menu)</t>
  </si>
  <si>
    <t>C = ENTRADA ou SAÍDA (menu)</t>
  </si>
  <si>
    <t>D = ID do serviço que consumiu (BER-0001)</t>
  </si>
  <si>
    <t>E = material (menu)</t>
  </si>
  <si>
    <t>F = unidade: un, m, kg, sc</t>
  </si>
  <si>
    <t>G = quantidade</t>
  </si>
  <si>
    <t>J = quanto custa 1 unidade</t>
  </si>
  <si>
    <t>L = quem retirou (menu)</t>
  </si>
  <si>
    <t>M = fornecedor      N = nº da nota</t>
  </si>
  <si>
    <t>O = é material da SABESP? (menu)</t>
  </si>
  <si>
    <t>P = observação</t>
  </si>
  <si>
    <t>SAÍDA sem ID de serviço vira perda no prejuízo.</t>
  </si>
  <si>
    <t>08. EQUIPE</t>
  </si>
  <si>
    <t>Quem trabalha em cada equipe.</t>
  </si>
  <si>
    <t>Atualiza quando alguém entra, sai ou refaz exame.</t>
  </si>
  <si>
    <t>A = matrícula (BER-001)</t>
  </si>
  <si>
    <t>C = equipe: BER-A, BER-B, APOIO...</t>
  </si>
  <si>
    <t>D = nome completo</t>
  </si>
  <si>
    <t>E = função (menu)</t>
  </si>
  <si>
    <t>F = data de admissão</t>
  </si>
  <si>
    <t>G = salário</t>
  </si>
  <si>
    <t>M a S = data de VENCIMENTO de cada documento:</t>
  </si>
  <si>
    <t xml:space="preserve">     ASO, NR-06, NR-10, NR-18, NR-33, NR-35, CNH</t>
  </si>
  <si>
    <t>U = ATIVO? SIM ou NÃO (menu)</t>
  </si>
  <si>
    <t xml:space="preserve">     saiu da obra, muda pra NÃO na hora</t>
  </si>
  <si>
    <t>Coluna T vermelha = vence em menos de 30 dias.</t>
  </si>
  <si>
    <t>Renove, ou a fiscalização barra a equipe.</t>
  </si>
  <si>
    <t>09. MEDIÇÃO</t>
  </si>
  <si>
    <t>Aqui o serviço vira DINHEIRO.</t>
  </si>
  <si>
    <t>1 linha = 1 item de preço de 1 OS.</t>
  </si>
  <si>
    <t>A = nº do boletim</t>
  </si>
  <si>
    <t>C = ID do serviço (BER-0001)</t>
  </si>
  <si>
    <t>contrato, equipe e data vêm sozinhos</t>
  </si>
  <si>
    <t>H = CÓD. PREÇO da aba 02 (ex: BER-72000053)</t>
  </si>
  <si>
    <t>descrição, unidade e preço vêm sozinhos</t>
  </si>
  <si>
    <t>K = quantidade medida</t>
  </si>
  <si>
    <t>N = APRESENTADA / APROVADA / GLOSADA (menu)</t>
  </si>
  <si>
    <t>O = data que entregou pra SABESP</t>
  </si>
  <si>
    <t>P = valor que a SABESP cortou</t>
  </si>
  <si>
    <t>Q = por que cortou</t>
  </si>
  <si>
    <t>S = vai reapresentar? (menu)</t>
  </si>
  <si>
    <t>Só lance OS que está CONCLUÍDA na aba 05.</t>
  </si>
  <si>
    <t>10. DIÁRIO DE OBRA</t>
  </si>
  <si>
    <t>1 RDO por dia, por cidade. Todo dia.</t>
  </si>
  <si>
    <t>É o papel que te defende de glosa e prova dia parado.</t>
  </si>
  <si>
    <t>B = data</t>
  </si>
  <si>
    <t>C = contrato (menu)</t>
  </si>
  <si>
    <t>D = clima de manhã (menu)</t>
  </si>
  <si>
    <t>E = clima de tarde (menu)</t>
  </si>
  <si>
    <t>F = condição do solo (menu)</t>
  </si>
  <si>
    <t>L = o que as equipes fizeram no dia</t>
  </si>
  <si>
    <t>M = equipamentos que estavam na rua</t>
  </si>
  <si>
    <t>O = a fiscalização apareceu? (menu)</t>
  </si>
  <si>
    <t>P = responsável WCR que assina (menu)</t>
  </si>
  <si>
    <t>Q = observação</t>
  </si>
  <si>
    <t>Efetivo, equipes, HH e produção vêm sozinhos</t>
  </si>
  <si>
    <t>da aba 06. APONTAMENTO. Não digita.</t>
  </si>
  <si>
    <t>11. OCORRÊNCIAS</t>
  </si>
  <si>
    <t>Só preenche quando dá problema. No MESMO DIA.</t>
  </si>
  <si>
    <t>D = ID do serviço atrapalhado</t>
  </si>
  <si>
    <t>E = equipe (menu)</t>
  </si>
  <si>
    <t>F = tipo: chuva, falta de material... (menu)</t>
  </si>
  <si>
    <t>G = gravidade: leve, grave (menu)</t>
  </si>
  <si>
    <t>H = conta o que aconteceu</t>
  </si>
  <si>
    <t>I = quantas horas se perdeu</t>
  </si>
  <si>
    <t>J = quanto custou, se souber</t>
  </si>
  <si>
    <t>K = o que você fez na hora</t>
  </si>
  <si>
    <t>L = de quem é: SABESP, consórcio ou WCR</t>
  </si>
  <si>
    <t>M = prazo pra resolver</t>
  </si>
  <si>
    <t>N = status (menu)</t>
  </si>
  <si>
    <t>O = data que encerrou</t>
  </si>
  <si>
    <t>Q = isso vira pleito/aditivo? (menu)</t>
  </si>
  <si>
    <t>Ocorrência sem registro = glosa sem defesa.</t>
  </si>
  <si>
    <t>12. FATURAMENTO</t>
  </si>
  <si>
    <t>1 linha = 1 mês de 1 contrato.</t>
  </si>
  <si>
    <t>Quase tudo vem sozinho da aba 09. MEDIÇÃO.</t>
  </si>
  <si>
    <t>VOCÊ SÓ DIGITA 6 COISAS:</t>
  </si>
  <si>
    <t>A = mês</t>
  </si>
  <si>
    <t>B = contrato</t>
  </si>
  <si>
    <t>F = nº da nota fiscal</t>
  </si>
  <si>
    <t>G = data da nota fiscal</t>
  </si>
  <si>
    <t>L = data em que o dinheiro caiu na conta</t>
  </si>
  <si>
    <t>M = quanto caiu de verdade</t>
  </si>
  <si>
    <t>O resto é fórmula: bruto, glosa, imposto,</t>
  </si>
  <si>
    <t>previsão de recebimento, resultado e margem.</t>
  </si>
  <si>
    <t>13. RESUMO GERENCIAL</t>
  </si>
  <si>
    <t>NÃO digita nada aqui. Só olha.</t>
  </si>
  <si>
    <t>É a folha da reunião semanal de contrato.</t>
  </si>
  <si>
    <t>PRA VER OUTRO MÊS:</t>
  </si>
  <si>
    <t>troca a data na célula amarela C4</t>
  </si>
  <si>
    <t>escreve o 1º dia do mês, ex: 01/09/2026</t>
  </si>
  <si>
    <t>A aba inteira recalcula sozinha.</t>
  </si>
  <si>
    <t>14. DASHBOARD</t>
  </si>
  <si>
    <t>NÃO digita nada aqui. Só olha os gráficos.</t>
  </si>
  <si>
    <t>Tudo vem da aba 13. RESUMO GERENCIAL.</t>
  </si>
  <si>
    <t>Pra trocar o mês, muda lá na 13, célula C4.</t>
  </si>
  <si>
    <t>15. ATAS DE REUNIÃO</t>
  </si>
  <si>
    <t>Uma linha = UMA reunião.</t>
  </si>
  <si>
    <t>B = data (o nº da ata sai sozinho)</t>
  </si>
  <si>
    <t>D = tipo de reunião (menu)</t>
  </si>
  <si>
    <t>G e H = quem estava, da WCR e de fora</t>
  </si>
  <si>
    <t>J = o que foi falado (a ata)</t>
  </si>
  <si>
    <t>K = o que ficou decidido</t>
  </si>
  <si>
    <t>L, M, N = pendência, responsável e prazo</t>
  </si>
  <si>
    <t>S = cole a transcrição inteira</t>
  </si>
  <si>
    <t>Prazo vencido deixa a linha vermelha.</t>
  </si>
  <si>
    <t>16. LOOKAHEAD E RESTRIÇÕES</t>
  </si>
  <si>
    <t>O que é: a lista do que VEM, nas próximas</t>
  </si>
  <si>
    <t>4 a 6 semanas, e o que está travando.</t>
  </si>
  <si>
    <t>Regra: serviço com restrição NÃO entra</t>
  </si>
  <si>
    <t>no plano da semana (aba 17).</t>
  </si>
  <si>
    <t>A = segunda-feira da semana prevista</t>
  </si>
  <si>
    <t>C = ID do serviço, da aba 03</t>
  </si>
  <si>
    <t xml:space="preserve">   tipo, endereço e prazo vêm sozinhos</t>
  </si>
  <si>
    <t>G a L = tem material? equipamento?</t>
  </si>
  <si>
    <t xml:space="preserve">   mão de obra? OS emitida? licença da</t>
  </si>
  <si>
    <t xml:space="preserve">   via? acesso? Responda SIM ou NÃO.</t>
  </si>
  <si>
    <t>O = quem vai destravar</t>
  </si>
  <si>
    <t>P = até quando</t>
  </si>
  <si>
    <t>M e N são fórmula: contam as pendências</t>
  </si>
  <si>
    <t>e dizem se está LIVRE PARA PROGRAMAR.</t>
  </si>
  <si>
    <t>Linha com restrição fica vermelha.</t>
  </si>
  <si>
    <t>17. PLANO SEMANAL E PPC</t>
  </si>
  <si>
    <t>O que é: o que cada equipe se</t>
  </si>
  <si>
    <t>COMPROMETEU a entregar na semana.</t>
  </si>
  <si>
    <t>Só entra aqui o que está LIVRE na aba 16.</t>
  </si>
  <si>
    <t>A = segunda-feira da semana</t>
  </si>
  <si>
    <t>B = contrato (menu)   C = equipe (menu)</t>
  </si>
  <si>
    <t>D = ID do serviço</t>
  </si>
  <si>
    <t>G = o compromisso, em uma frase</t>
  </si>
  <si>
    <t>NO FIM DA SEMANA:</t>
  </si>
  <si>
    <t>H = concluiu? SIM ou NÃO (menu)</t>
  </si>
  <si>
    <t>I = data em que concluiu</t>
  </si>
  <si>
    <t>J = se NÃO, a CAUSA (menu)</t>
  </si>
  <si>
    <t xml:space="preserve">   sem causa, o Pareto não funciona</t>
  </si>
  <si>
    <t>K = para que semana foi remarcado</t>
  </si>
  <si>
    <t>À DIREITA, sozinho:</t>
  </si>
  <si>
    <t>PPC = concluído ÷ programado da semana.</t>
  </si>
  <si>
    <t>Abaixo de 70% fica vermelho,</t>
  </si>
  <si>
    <t>85% ou mais fica verde.</t>
  </si>
  <si>
    <t>E o Pareto conta quantas vezes cada</t>
  </si>
  <si>
    <t>causa apareceu. Ataque a maior.</t>
  </si>
  <si>
    <t>18. PLANEJADO x REALIZADO</t>
  </si>
  <si>
    <t>NÃO digita nada, fora as datas.</t>
  </si>
  <si>
    <t>B (bloco de cima) = segunda-feira de</t>
  </si>
  <si>
    <t xml:space="preserve">   cada semana que você quer ver</t>
  </si>
  <si>
    <t>B (bloco de baixo) = 1º dia de cada mês</t>
  </si>
  <si>
    <t>O resto vem sozinho:</t>
  </si>
  <si>
    <t>serviços programados e executados (aba 04)</t>
  </si>
  <si>
    <t>PPC (aba 17)</t>
  </si>
  <si>
    <t>HH previsto (aba 04) x apontado (aba 06)</t>
  </si>
  <si>
    <t>R$ medido (aba 09) x meta (aba 01)</t>
  </si>
  <si>
    <t>Verde é bom, vermelho é ruim,</t>
  </si>
  <si>
    <t>a última coluna escreve a leitura.</t>
  </si>
  <si>
    <t>HH previsto está zerado porque a coluna</t>
  </si>
  <si>
    <t>K da aba 04 nunca foi preenchida.</t>
  </si>
  <si>
    <t>CONTROLE OPERACIONAL E FINANCEIRO — CONTRATO GLOBAL SABESP · WCR SANEAMENTO</t>
  </si>
  <si>
    <t>COMO PREENCHER ESTA ABA</t>
  </si>
  <si>
    <t>Bertioga / Guarujá e Santos · versão 2.0 · setembro de 2026 · leia o bloco A e o bloco C — o resto é consulta</t>
  </si>
  <si>
    <t>A · COMECE POR AQUI — EM UM MINUTO</t>
  </si>
  <si>
    <t>O que é isto</t>
  </si>
  <si>
    <t>Um controle que liga o chamado da SABESP ao dinheiro na conta. Uma linha por serviço, do cadastro até a nota fiscal paga. Nada é digitado duas vezes: o ID amarra tudo.</t>
  </si>
  <si>
    <t>O que você digita</t>
  </si>
  <si>
    <t>Só o AZUL e os filtros AMARELOS. São 8 abas de digitação (03 a 12) e 3 de implantação (01, 01A, 01B). As outras se calculam sozinhas.</t>
  </si>
  <si>
    <t>O que ela faz sozinha</t>
  </si>
  <si>
    <t>ID do serviço, data-limite, status, aderência, homem-hora, custo da equipe, valor da OS, medição, imposto, previsão de recebimento, resultado, margem e todos os gráficos.</t>
  </si>
  <si>
    <t>A rota mínima do dia</t>
  </si>
  <si>
    <t>03 CADASTRO → 04 PROGRAMAÇÃO → (campo) → 06 APONTAMENTO → 05 ORDENS DE SERVIÇO → 09 MEDIÇÃO. Fazendo só isso, o resumo, o faturamento e o dashboard aparecem prontos.</t>
  </si>
  <si>
    <t>A única regra</t>
  </si>
  <si>
    <t>Não digite em cima de célula PRETA ou VERDE e não apague linha. Fórmula apagada não volta sozinha — e ninguém percebe até o fechamento.</t>
  </si>
  <si>
    <t>B · CONVENÇÃO DE CORES — VALE PARA A PLANILHA INTEIRA</t>
  </si>
  <si>
    <t>AZUL</t>
  </si>
  <si>
    <t>Você digita. É campo de entrada.</t>
  </si>
  <si>
    <t>PRETO</t>
  </si>
  <si>
    <t>Fórmula da própria aba. Não apague.</t>
  </si>
  <si>
    <t>VERDE</t>
  </si>
  <si>
    <t>Vem de outra aba pelo ID. Não digite por cima.</t>
  </si>
  <si>
    <t>AMARELO</t>
  </si>
  <si>
    <t>Filtro ou parâmetro. Muda o que a aba mostra ou calcula.</t>
  </si>
  <si>
    <t>Na dúvida</t>
  </si>
  <si>
    <t>Clique na célula e olhe a barra de fórmulas. Se começar com "=", ela não é sua.</t>
  </si>
  <si>
    <t>C · MAPA DE PREENCHIMENTO — COLUNA POR COLUNA, ABA POR ABA</t>
  </si>
  <si>
    <t>ABA</t>
  </si>
  <si>
    <t>O QUE VOCÊ DIGITA — SÓ AS CÉLULAS AZUIS</t>
  </si>
  <si>
    <t>O QUE APARECE SOZINHO</t>
  </si>
  <si>
    <t>QUEM · QUANDO</t>
  </si>
  <si>
    <t>C5 a C13 nomes, contratos e datas · C17 desconto do consórcio · C18 dia de fechamento · C19 defasagem do recebimento · C20 dias úteis · C21 jornada · C22 prazo padrão SABESP · C23 alerta de prazo · C33 margem-alvo</t>
  </si>
  <si>
    <t>Todas as listas suspensas que o sistema inteiro usa (contrato, equipe, tipo, bairro, pavimento, motivo, material, função).</t>
  </si>
  <si>
    <t>Gestão · implantação e reajuste</t>
  </si>
  <si>
    <t>Quantidade e valor unitário de cada item de estrutura (engenheiro, kits, carros, caminhões, alojamento, indiretos) e a fonte de cada um.</t>
  </si>
  <si>
    <t>Custo mensal por contrato, que vira a meta diária de cada equipe na aba 06.</t>
  </si>
  <si>
    <t>Coluna E: o CÓD. PREÇO de cada tipo de serviço. Nada mais.</t>
  </si>
  <si>
    <t>Mix contado na aba 03, descrição e preço da aba 02, ticket apurado da carteira.</t>
  </si>
  <si>
    <t>Programação · uma vez, ao confirmar os códigos</t>
  </si>
  <si>
    <t>Só a busca amarela no alto da aba. Digite uma palavra e a coluna BUSCA marca os itens.</t>
  </si>
  <si>
    <t>Os 511 itens contratuais das duas cidades. Aba de consulta.</t>
  </si>
  <si>
    <t>Ninguém edita</t>
  </si>
  <si>
    <t>B contrato · C nº da OS SABESP · D data da solicitação · E prazo · G prioridade · H tipo de serviço · I a N endereço, nº, bairro, cidade, referência e pavimento · O descrição · W tratativa · X observação</t>
  </si>
  <si>
    <t>A ID (nasce ao escolher o contrato) · F data-limite · P equipe · Q data programada · R data de execução · S status · T dias em aberto · U situação do prazo · V valor medido</t>
  </si>
  <si>
    <t>Programador · diário, até as 10h</t>
  </si>
  <si>
    <t>A data · C equipe · D sequência · E ID do serviço · K horas previstas. Na volta do campo: L executou? · M data de execução · N motivo da não execução · O reprogramar para · R observação</t>
  </si>
  <si>
    <t>B contrato · F tipo · G endereço · H bairro · I prioridade · J data-limite · P status do item · Q aderência</t>
  </si>
  <si>
    <t>Programador 16h · Encarregado fim do turno</t>
  </si>
  <si>
    <t>A ID do serviço · G equipe · H encarregado · I início · J conclusão · L profundidade · M extensão · N pavimento reposto · O foto antes · P foto depois · Q nº do RDO · V pendência</t>
  </si>
  <si>
    <t>B a F contrato, nº da OS, endereço, bairro e tipo · K dias · R nº de itens medidos · S valor da OS · T mês de medição · U status da OS</t>
  </si>
  <si>
    <t>Apontador · no dia da conclusão</t>
  </si>
  <si>
    <t>A data · D contrato · E equipe · F nº de pessoas · G e H horas normais e extras · J a O horas de retro, munck, caminhão HR, compressor, rompedor e bomba · P km · Z status do dia · AA motivo de parada · AB observação</t>
  </si>
  <si>
    <t>I homem-hora · Q e R serviços programados e executados · S aderência · T valor produzido · U meta do dia · V atingimento · W custo da equipe · X resultado · Y R$ por HH</t>
  </si>
  <si>
    <t>Encarregado · até as 8h do dia seguinte</t>
  </si>
  <si>
    <t>A data · B contrato · C movimento · D ID do serviço · E material · F unidade · G quantidade · J custo unitário · L responsável · M fornecedor · N NF · O material da SABESP? · P observação</t>
  </si>
  <si>
    <t>H entrada · I saída · K custo total · e o saldo por material no quadro ao lado.</t>
  </si>
  <si>
    <t>Almoxarife · a cada movimento</t>
  </si>
  <si>
    <t>A matrícula · B contrato · C equipe · D nome · E função · F admissão · G salário · M a S validades de ASO, NR-06, NR-10, NR-18, NR-33, NR-35 e CNH · U ativo?</t>
  </si>
  <si>
    <t>H encargos · I benefícios · J, K e L custo por mês, por dia e por hora · T alerta de vencimento (vermelho vencido, amarelo a 30 dias)</t>
  </si>
  <si>
    <t>Administrativo + Segurança · admissão e reciclagem</t>
  </si>
  <si>
    <t>A nº do boletim · C ID do serviço · H CÓD. PREÇO · K quantidade · N status · O data de apresentação · P valor glosado · Q motivo da glosa · S reapresentar? · T observação</t>
  </si>
  <si>
    <t>B mês · D a G contrato, nº da OS, equipe e data · I descrição · J unidade · L preço unitário · M valor · R valor aprovado</t>
  </si>
  <si>
    <t>Técnico de medição · semanal</t>
  </si>
  <si>
    <t>B data · C contrato · D e E clima manhã e tarde · F condição do solo · L atividades do dia · M equipamentos mobilizados · O visita da fiscalização · P responsável WCR · Q observação</t>
  </si>
  <si>
    <t>A nº do RDO · G efetivo · H equipes em campo · I HH do dia · J serviços executados · K valor produzido · N ocorrências do dia</t>
  </si>
  <si>
    <t>Encarregado · todo dia</t>
  </si>
  <si>
    <t>B data · C contrato · D ID do serviço · E equipe · F tipo · G gravidade · H descrição do fato · I impacto em horas · J custo estimado · K ação imediata · L responsável · M prazo · N status · O encerramento · Q gera pleito?</t>
  </si>
  <si>
    <t>A nº da ocorrência · P dias em aberto</t>
  </si>
  <si>
    <t>Encarregado + Engenheiro · no dia do fato</t>
  </si>
  <si>
    <t>F nº da NF · G data da NF · L data do recebimento · M valor recebido. Só isso — quatro campos por mês.</t>
  </si>
  <si>
    <t>A e B mês e contrato já vêm montados · C medição bruta · D glosa · E aprovada · H imposto · I desconto do consórcio · J líquido · K recebimento previsto · N diferença · O dias de atraso · P status · Q custo do mês · R resultado · S margem</t>
  </si>
  <si>
    <t>Financeiro · na emissão e no crédito</t>
  </si>
  <si>
    <t>13. RESUMO e 14. DASHBOARD</t>
  </si>
  <si>
    <t>Nada. São abas de leitura.</t>
  </si>
  <si>
    <t>KPIs do mês, série mensal, ranking de equipes, Pareto de motivos e os gráficos do contrato.</t>
  </si>
  <si>
    <t>Gestão · leitura</t>
  </si>
  <si>
    <t>D · AS QUATRO ABAS DE PARTIDA — VOCÊ MEXE UMA VEZ E VALE PARA O CONTRATO INTEIRO</t>
  </si>
  <si>
    <t>Estas quatro não são do dia a dia: são a base que faz todas as outras calcularem certo. Errou aqui, erra em tudo — e em silêncio.</t>
  </si>
  <si>
    <t>01. CONFIGURAÇÕES  —  o painel de partida: quem é o contrato, com que regras ele corre e quais palavras a planilha aceita</t>
  </si>
  <si>
    <t>O que é</t>
  </si>
  <si>
    <t>Três coisas em uma aba: a identificação dos dois contratos (bloco A), os parâmetros que regem prazo, medição e caixa (bloco B), e as listas padronizadas (bloco D) que abastecem TODAS as caixas de seleção do arquivo.</t>
  </si>
  <si>
    <t>O que ela decide</t>
  </si>
  <si>
    <t>Dia de fechamento + defasagem = a data prevista de recebimento na aba 12. Prazo padrão SABESP = a data-limite e o alerta VENCIDO na aba 03. Dias úteis e jornada = o custo por dia e por hora na aba 08 e a meta diária na aba 06. Desconto do consórcio = o valor líquido na aba 12.</t>
  </si>
  <si>
    <t>O bloco C não se digita</t>
  </si>
  <si>
    <t>Custo mensal e ticket aparecem em verde: vêm das abas 01A e 01B. Digitar por cima quebra a rastreabilidade — é justamente o que essa versão tirou da planilha.</t>
  </si>
  <si>
    <t>Onde se erra</t>
  </si>
  <si>
    <t>Equipe, bairro, material, função ou motivo que não estiver na lista do bloco D simplesmente não aparece na caixa de seleção das outras abas. Para incluir, escreva na PRIMEIRA linha vazia da lista — a faixa nomeada já tem folga reservada.</t>
  </si>
  <si>
    <t>Quando mexer</t>
  </si>
  <si>
    <t>Na implantação; quando entra equipe, bairro ou material novo; e em reajuste de contrato.</t>
  </si>
  <si>
    <t>01A. BANCO DE CUSTOS  —  a memória de cálculo do custo mensal — de onde sai a meta de cada equipe</t>
  </si>
  <si>
    <t>O custo do contrato desmontado item a item: engenheiro, kits de equipe, carros, caminhões, alojamento e indiretos, cada linha com quantidade, valor unitário e a fonte declarada. Mais três blocos de base: encargos (58% sobre o salário), benefícios por pessoa e tributos sobre a medição (22%).</t>
  </si>
  <si>
    <t>O total desta aba é o custo mensal que aparece na aba 01, e é ele que gera a META R$ DO DIA de cada equipe na aba 06 e o CUSTO DO MÊS na aba 12 — ou seja, a margem do contrato sai daqui.</t>
  </si>
  <si>
    <t>A folha não é digitada</t>
  </si>
  <si>
    <t>A linha "Equipe de campo" vem somada da aba 08, pessoa a pessoa, com salário real, encargos e benefícios. Contratou ou demitiu? Mexe na 08, não aqui.</t>
  </si>
  <si>
    <t>Mudar o valor total no braço em vez de mudar a quantidade ou o preço unitário do item. O total é fórmula: some um item novo na lista, não sobrescreva o resultado.</t>
  </si>
  <si>
    <t>Quando muda quantidade (mais um carro, mais uma frente), preço contratado (locação, alojamento, diesel) ou os percentuais de encargo e tributo.</t>
  </si>
  <si>
    <t>01B. CARTEIRA E TICKET  —  quanto vale, em média, um serviço — e é isso que vira meta de faturamento</t>
  </si>
  <si>
    <t>A aba conta, tipo por tipo, quantos serviços existem hoje na aba 03 (o mix é contado, não estimado) e multiplica pelo preço do item correspondente na aba 02. O resultado é o ticket médio real da carteira de cada cidade.</t>
  </si>
  <si>
    <t>O que você faz aqui</t>
  </si>
  <si>
    <t>Só uma coisa: preencher a coluna E — o CÓD. PREÇO que representa cada tipo de serviço. Descrição e preço aparecem sozinhos ao lado, direto da tabela do contrato.</t>
  </si>
  <si>
    <t>Enquanto a coluna E estiver vazia</t>
  </si>
  <si>
    <t>O TICKET ADOTADO continua sendo o de referência herdado do fluxo de caixa (R$ 881,20 em Bertioga e R$ 1.338,83 em Santos). Preenchida, a planilha passa a usar o ticket apurado do contrato.</t>
  </si>
  <si>
    <t>Cuidado com o contrato</t>
  </si>
  <si>
    <t>O código tem que ser do mesmo contrato da linha: BER- no mix de Bertioga, SAN- no de Santos. Bertioga não tem itens de supressão (SUPR) nem de religação (RELIG) — esses só existem em Santos. Tipo sem código equivalente no contrato fica sem preço, e é para ficar mesmo.</t>
  </si>
  <si>
    <t>Para que serve o ticket</t>
  </si>
  <si>
    <t>É ele que transforma "quantos serviços" em "quanto de receita": alimenta a meta diária da equipe na aba 06 e a projeção de faturamento.</t>
  </si>
  <si>
    <t>02. TABELA DE PREÇOS  —  o contrato em forma de tabela — aba de consulta, ninguém edita</t>
  </si>
  <si>
    <t>Os 511 itens contratados das duas cidades — 212 de Bertioga/Guarujá e 299 de Santos — com grupo, item SABESP, descrição, unidade e preço unitário.</t>
  </si>
  <si>
    <t>A CHAVE é o que liga tudo</t>
  </si>
  <si>
    <t>Coluna A: prefixo do contrato (BER- ou SAN-) + o número do preço. É a CHAVE que a aba 09 usa para trazer descrição, unidade e preço. Por isso um código de Santos não funciona numa OS de Bertioga: são tabelas diferentes, com preços diferentes para o mesmo serviço.</t>
  </si>
  <si>
    <t>Como achar o item</t>
  </si>
  <si>
    <t>Digite uma palavra na célula amarela de busca (TRA, CAVALETE, LRP, ESGOTO...) e a coluna BUSCA marca 1 em tudo que bate. Filtre por essa coluna.</t>
  </si>
  <si>
    <t>Como ler a descrição</t>
  </si>
  <si>
    <t>LAG = ligação de água · TRA = troca de ramal de água · TCV = troca de cavalete · LESG = ligação de esgoto · TRE = troca de ramal de esgoto · SUPR = supressão · RELIG = religação · LRP e LPB = reposição de pavimento · ADC = adicional. Depois vem a condição: CORR = corretiva, PREV = preventiva, AVUL = avulsa, SUCES = sucessiva.</t>
  </si>
  <si>
    <t>Os dois sufixos que mudam o preço</t>
  </si>
  <si>
    <t>S/REP = sem reposição de pavimento · SF = sem fornecimento de material. A diferença entre a versão com e sem chega a 40% do valor do item — confirme com o consórcio qual se aplica ao seu escopo antes da primeira medição.</t>
  </si>
  <si>
    <t>Um serviço, vários itens</t>
  </si>
  <si>
    <t>A medição é por item, não por serviço: uma troca de ramal costuma gerar o TRA + a reposição LRP + algum ADC. Item esquecido é faturamento perdido.</t>
  </si>
  <si>
    <t>Nunca edite preço aqui</t>
  </si>
  <si>
    <t>Só muda com reajuste oficial — e quando mudar, muda o histórico inteiro do contrato junto.</t>
  </si>
  <si>
    <t>E · PASSO A PASSO DE UM SERVIÇO — DO CHAMADO DA SABESP AO DINHEIRO NA CONTA</t>
  </si>
  <si>
    <t>Exemplo: vazamento no ramal, Alameda Mauá 225, Boracéia. Siga as 8 etapas na ordem — cada uma é uma aba e leva menos de um minuto.</t>
  </si>
  <si>
    <t>1 · CHEGOU O CHAMADO</t>
  </si>
  <si>
    <t>Aba 03, uma linha nova. Escolha o contrato (BERTIOGA) e o ID nasce sozinho: BER-0007. Digite o nº da OS da SABESP, a data da solicitação, o prazo, a prioridade, o tipo e o endereço. A DATA LIMITE aparece em F. Acabou.</t>
  </si>
  <si>
    <t>Programador · até as 10h</t>
  </si>
  <si>
    <t>2 · PROGRAMAR O DIA</t>
  </si>
  <si>
    <t>Aba 04: data de amanhã, equipe, sequência e o ID BER-0007. Endereço, prioridade e data-limite vêm sozinhos — não redigite. Digite as horas previstas e imprima a aba: ela já sai formatada em paisagem para o encarregado levar.</t>
  </si>
  <si>
    <t>Programador · até as 16h</t>
  </si>
  <si>
    <t>3 · O CAMPO EXECUTA</t>
  </si>
  <si>
    <t>A folha volta com EXECUTOU? = SIM ou NÃO. Se NÃO, escolha o MOTIVO na lista — sem motivo a linha fica vermelha e a aderência da equipe cai. Se for reprogramar, ponha a nova data na coluna O.</t>
  </si>
  <si>
    <t>Encarregado · fim do turno</t>
  </si>
  <si>
    <t>4 · APONTAR O DIA</t>
  </si>
  <si>
    <t>Aba 06, uma linha por equipe por dia: pessoas, horas normais e extras, horas de cada máquina e km. É daqui que saem HH, custo do dia e R$ por HH. Aba 10: clima, atividades e visita da fiscalização. Houve chuva, quebra ou interferência? Lance na aba 11 HOJE — depois do mês não vale mais como pleito.</t>
  </si>
  <si>
    <t>5 · ABRIR E FECHAR A OS</t>
  </si>
  <si>
    <t>Aba 05: digite o ID BER-0007 e contrato, endereço, bairro e tipo aparecem. Preencha equipe, encarregado, início, conclusão, profundidade, extensão, pavimento reposto e as duas fotos. Sem foto ou sem pavimento a OS fica PENDENTE e não entra no fechamento.</t>
  </si>
  <si>
    <t>6 · MEDIR POR ITEM</t>
  </si>
  <si>
    <t>Aba 09, uma linha por item de preço. Digite o nº do boletim, o ID e o CÓD. PREÇO — ache o código na aba 02 pela busca amarela. Descrição, unidade e preço vêm da tabela do contrato; de você, só a quantidade. Um serviço costuma render 2 ou 3 itens: o serviço, a reposição de pavimento e os adicionais. Item esquecido é faturamento perdido.</t>
  </si>
  <si>
    <t>7 · FECHAR O MÊS</t>
  </si>
  <si>
    <t>Confira a aba 13: produção, aderência, custo e margem. Na aba 12 o mês já está montado com a medição somada — digite só o nº e a data da NF. Imposto, desconto do consórcio, valor líquido e a data prevista de recebimento se calculam.</t>
  </si>
  <si>
    <t>Gestão · dia 1</t>
  </si>
  <si>
    <t>8 · RECEBER</t>
  </si>
  <si>
    <t>Aba 12: data e valor recebido. Se vier menos que o previsto, a DIFERENÇA acende e o status vira EM ATRASO ou parcial. Lance a glosa de volta na aba 09 com o motivo e marque REAPRESENTAR — é assim que o dinheiro volta.</t>
  </si>
  <si>
    <t>Financeiro · na data do crédito</t>
  </si>
  <si>
    <t>F · ROTINA — O QUE OLHAR E QUANDO</t>
  </si>
  <si>
    <t>Todo dia, 8h</t>
  </si>
  <si>
    <t>Aba 06: o apontamento de ontem está completo? Aba 13: quantos serviços estão VENCIDOS?</t>
  </si>
  <si>
    <t>Todo dia, 16h</t>
  </si>
  <si>
    <t>Aba 04: programação de amanhã fechada, com o que está vencido em primeiro lugar.</t>
  </si>
  <si>
    <t>Toda segunda</t>
  </si>
  <si>
    <t>Aba 13, blocos C e D: qual equipe ficou abaixo da meta e qual motivo de não execução mais se repetiu.</t>
  </si>
  <si>
    <t>Toda sexta</t>
  </si>
  <si>
    <t>Aba 09: nenhuma OS concluída sem item de medição lançado. É a maior fonte de perda de receita.</t>
  </si>
  <si>
    <t>Dia 1 do mês</t>
  </si>
  <si>
    <t>Aba 12: fechar o mês anterior, emitir a NF e conferir a margem na aba 13.</t>
  </si>
  <si>
    <t>Dia 20</t>
  </si>
  <si>
    <t>Aba 12: o crédito caiu? Se não, a linha já está EM ATRASO — cobre com o boletim aprovado em mãos.</t>
  </si>
  <si>
    <t>G · O QUE ACENDE VERMELHO — E O QUE FAZER</t>
  </si>
  <si>
    <t>ID não encontrado</t>
  </si>
  <si>
    <t>Você digitou na OS, na medição ou no material um ID que não existe na aba 03. Cadastre o serviço primeiro, ou corrija o ID.</t>
  </si>
  <si>
    <t>CÓDIGO NÃO ENCONTRADO</t>
  </si>
  <si>
    <t>Código fora da tabela do contrato. Procure na aba 02 pela busca amarela — e confira o contrato: código de Santos não existe em Bertioga.</t>
  </si>
  <si>
    <t>EXECUTOU? = NÃO sem motivo</t>
  </si>
  <si>
    <t>A linha fica vermelha até você escolher o motivo na lista. Sem motivo não há Pareto nem defesa de produtividade.</t>
  </si>
  <si>
    <t>Saída de material sem OS</t>
  </si>
  <si>
    <t>Material que saiu sem serviço vinculado é perda. Vincule o ID ou registre como perda na observação.</t>
  </si>
  <si>
    <t>VENCIDO / VENCE EM BREVE</t>
  </si>
  <si>
    <t>O prazo SABESP está estourando. Puxe o serviço para o topo da programação de amanhã.</t>
  </si>
  <si>
    <t>ASO ou NR vencido</t>
  </si>
  <si>
    <t>Vermelho = equipe barrada em campo, dia perdido inteiro. Amarelo = vence em 30 dias, agende a reciclagem agora.</t>
  </si>
  <si>
    <t>OS PENDENTE</t>
  </si>
  <si>
    <t>Falta foto ou falta o pavimento reposto. Complete antes do fechamento — é exatamente isso que a fiscalização glosa.</t>
  </si>
  <si>
    <t>Diferença no recebimento</t>
  </si>
  <si>
    <t>Veio menos que o previsto. Lance o valor glosado e o motivo na aba 09 e marque REAPRESENTAR.</t>
  </si>
  <si>
    <t>H · O QUE NUNCA FAZER</t>
  </si>
  <si>
    <t>Apagar linha</t>
  </si>
  <si>
    <t>Quebra as faixas nomeadas e o número para de somar. Para cancelar um serviço, use CANCELADO na coluna de tratativa da aba 03.</t>
  </si>
  <si>
    <t>Digitar sobre fórmula</t>
  </si>
  <si>
    <t>Célula preta ou verde sobrescrita para de calcular só naquela linha — e ninguém percebe até o fechamento não bater.</t>
  </si>
  <si>
    <t>Inventar valor fora da lista</t>
  </si>
  <si>
    <t>Equipe, bairro, material, função e motivo só existem se estiverem na aba 01. Item novo, cadastre na 01 primeiro.</t>
  </si>
  <si>
    <t>Redigitar endereço</t>
  </si>
  <si>
    <t>Na OS e na medição use o ID. É o que garante que programação, execução, material e medição falam do mesmo serviço.</t>
  </si>
  <si>
    <t>Medir sem OS concluída</t>
  </si>
  <si>
    <t>Item medido sem OS não tem evidência fotográfica. É o primeiro a ser glosado.</t>
  </si>
  <si>
    <t>Guardar ocorrência para depois</t>
  </si>
  <si>
    <t>Chuva, interferência e quebra só viram pleito se estiverem lançadas no dia, com hora e custo.</t>
  </si>
  <si>
    <t>I · IMPLANTAÇÃO — O QUE FALTA PREENCHER ANTES DE RODAR</t>
  </si>
  <si>
    <t>Aba 03</t>
  </si>
  <si>
    <t>Equipe designada e nº da OS SABESP dos 22 serviços já importados de 02 a 09/09/2026.</t>
  </si>
  <si>
    <t>Aba 08</t>
  </si>
  <si>
    <t>Data de admissão e as validades de ASO e NRs das 31 pessoas já cadastradas com salário real.</t>
  </si>
  <si>
    <t>Aba 01B</t>
  </si>
  <si>
    <t>O CÓD. PREÇO de cada tipo de serviço (coluna E). Enquanto estiver vazio, o ticket usa a referência do fluxo de caixa em vez do preço do contrato.</t>
  </si>
  <si>
    <t>Aba 01</t>
  </si>
  <si>
    <t>Confirmar o prazo padrão da SABESP e o desconto do consórcio, se houver.</t>
  </si>
  <si>
    <t>Aba 09</t>
  </si>
  <si>
    <t>Os itens de medição dos serviços que já foram concluídos — é o que falta para o primeiro boletim fechar.</t>
  </si>
  <si>
    <t>Já veio pronto</t>
  </si>
  <si>
    <t>511 itens de preço das duas cidades, 31 pessoas com salário, encargos e benefícios reais, e a carteira de Bertioga com ID, bairro e tipo padronizados.</t>
  </si>
  <si>
    <t>J · DE ONDE VEM CADA NÚMERO</t>
  </si>
  <si>
    <t>Preços</t>
  </si>
  <si>
    <t>Abas PREÇOS BERTIOGA e PREÇOS SANTOS do FLUXO_CAIXA_PROJETADO_BERTIOGA_SANTOS_v4. Nenhum código foi presumido — a escolha do item é do técnico de medição.</t>
  </si>
  <si>
    <t>Custos e metas</t>
  </si>
  <si>
    <t>Aba 01A, item a item, com quantidade, valor unitário e fonte em cada linha. A folha vem da aba 08, pessoa a pessoa, com encargos e benefícios reais.</t>
  </si>
  <si>
    <t>Ticket por serviço</t>
  </si>
  <si>
    <t>Aba 01B: mix contado na aba 03 vezes o preço da aba 02.</t>
  </si>
  <si>
    <t>Regra de rastreabilidade</t>
  </si>
  <si>
    <t>Nenhum valor é digitado solto. Se um número não tem fórmula nem fonte declarada, ele não deveria estar na planilha.</t>
  </si>
  <si>
    <t>Compatibilidade</t>
  </si>
  <si>
    <t>Excel 2019 ou superior e Microsoft 365. No Google Sheets abre e funciona; os gráficos do dashboard podem precisar ser recriados.</t>
  </si>
  <si>
    <t>Impressão</t>
  </si>
  <si>
    <t>Todas as abas saem em paisagem, ajustadas a uma página de largura, com o cabeçalho repetido em toda folha.</t>
  </si>
  <si>
    <t>K · POR QUE ENTRARAM CAMPOS QUE O CONTROLE ANTIGO NÃO TINHA</t>
  </si>
  <si>
    <t>ID do serviço</t>
  </si>
  <si>
    <t>Chave única gerada por fórmula. Sem ela não há como amarrar programação, execução, material e medição ao mesmo serviço — é o que fazia o endereço ser redigitado três vezes com três grafias diferentes.</t>
  </si>
  <si>
    <t>Nº da OS SABESP</t>
  </si>
  <si>
    <t>É o número que a fiscalização usa. Sem ele a conferência da medição vira caça ao endereço.</t>
  </si>
  <si>
    <t>Prazo e data-limite</t>
  </si>
  <si>
    <t>O contrato global tem prazo por tipo de serviço. Sem data-limite calculada não existe fila de prioridade nem defesa contra multa.</t>
  </si>
  <si>
    <t>Equipe responsável</t>
  </si>
  <si>
    <t>Sem ela não há produtividade por equipe, nem como saber qual equipe precisa de apoio.</t>
  </si>
  <si>
    <t>Motivo da não execução</t>
  </si>
  <si>
    <t>Serviço que volta sem ser feito é o maior ladrão de produtividade. Em lista, vira Pareto e decisão; em texto livre, vira nada.</t>
  </si>
  <si>
    <t>Horas de máquina e km</t>
  </si>
  <si>
    <t>Retro e caminhão são o segundo maior custo depois da folha. Sem hora apontada não se sabe se a máquina produziu ou ficou parada no pátio.</t>
  </si>
  <si>
    <t>Homem-hora e R$/HH</t>
  </si>
  <si>
    <t>Único indicador que compara equipes de tamanhos diferentes e cidades diferentes.</t>
  </si>
  <si>
    <t>Código de preço por item</t>
  </si>
  <si>
    <t>A medição é por item, não por serviço. Uma troca de ramal pode gerar três itens. Sem item, perde-se faturamento.</t>
  </si>
  <si>
    <t>Glosa e motivo da glosa</t>
  </si>
  <si>
    <t>Sem histórico de glosa não há reapresentação nem correção da causa. É dinheiro que se perde em silêncio.</t>
  </si>
  <si>
    <t>Foto antes e depois</t>
  </si>
  <si>
    <t>Evidência é o que sustenta a medição e derruba glosa. Por isso é obrigatória para fechar a OS.</t>
  </si>
  <si>
    <t>Pavimento e reposição</t>
  </si>
  <si>
    <t>É item de preço separado e o que mais gera pendência com a prefeitura. Fica visível enquanto não for feito.</t>
  </si>
  <si>
    <t>Previsão de recebimento</t>
  </si>
  <si>
    <t>A medição fecha no dia 30 e cai 20 dias depois. Sem essa data não se enxerga o buraco de caixa antes dele acontecer.</t>
  </si>
  <si>
    <t>Validade de ASO e NRs</t>
  </si>
  <si>
    <t>Equipe com exame vencido é barrada em campo e o dia é perdido inteiro. O alerta acende 30 dias antes.</t>
  </si>
  <si>
    <t>Ocorrência com custo e impacto</t>
  </si>
  <si>
    <t>Chuva, interferência e quebra viram pleito quando registradas no dia. Depois do mês, não valem nada.</t>
  </si>
  <si>
    <t>CONFIGURAÇÕES — PARÂMETROS E LISTAS PADRONIZADAS</t>
  </si>
  <si>
    <t>Painel de partida do contrato: identificação (A), os parâmetros que regem prazo, medição e caixa (B), e as listas que alimentam TODAS as caixas de seleção do arquivo (D). O bloco C não se digita — custo vem da aba 01A e ticket da 01B. Item novo em lista: escreva na PRIMEIRA linha vazia. AZUL = você edita · PRETO e VERDE = não edite.</t>
  </si>
  <si>
    <t>A · IDENTIFICAÇÃO</t>
  </si>
  <si>
    <t>Empresa executante</t>
  </si>
  <si>
    <t>WCR SANEAMENTO</t>
  </si>
  <si>
    <t>Responsável pelo contrato</t>
  </si>
  <si>
    <t>Felipe Nery</t>
  </si>
  <si>
    <t>Coordenador de operações</t>
  </si>
  <si>
    <t>Ícaro Atila</t>
  </si>
  <si>
    <t>Contrato 1 — nome curto</t>
  </si>
  <si>
    <t>BERTIOGA</t>
  </si>
  <si>
    <t>Contrato 1 — descrição</t>
  </si>
  <si>
    <t>Manutenção Global GJ B — Bertioga / Guarujá (Consórcio)</t>
  </si>
  <si>
    <t>Contrato 2 — nome curto</t>
  </si>
  <si>
    <t>SANTOS</t>
  </si>
  <si>
    <t>Contrato 2 — descrição</t>
  </si>
  <si>
    <t>Manutenção Global SA — Santos (Consórcio Global SA)</t>
  </si>
  <si>
    <t>Início da operação</t>
  </si>
  <si>
    <t>Mês de referência atual</t>
  </si>
  <si>
    <t>B · PARÂMETROS FINANCEIROS E DE MEDIÇÃO</t>
  </si>
  <si>
    <t>Imposto sobre a nota (%)</t>
  </si>
  <si>
    <t>Fórmula — vem da aba 01A, bloco D, tributo a tributo.</t>
  </si>
  <si>
    <t>Desconto do consórcio (%)</t>
  </si>
  <si>
    <t>Se o consórcio retiver percentual da medição. 0 = não retém.</t>
  </si>
  <si>
    <t>Dia de fechamento da medição</t>
  </si>
  <si>
    <t>Último dia do mês. Depois desta data o serviço entra no mês seguinte.</t>
  </si>
  <si>
    <t>Defasagem de recebimento (dias)</t>
  </si>
  <si>
    <t>Da data de fechamento até o crédito em conta.</t>
  </si>
  <si>
    <t>Dias úteis por mês</t>
  </si>
  <si>
    <t>Base do custo/dia e das metas diárias.</t>
  </si>
  <si>
    <t>Jornada normal (h/dia)</t>
  </si>
  <si>
    <t>Base do cálculo de produtividade R$/hh.</t>
  </si>
  <si>
    <t>Prazo padrão SABESP (dias)</t>
  </si>
  <si>
    <t>Usado quando o prazo não vem informado na solicitação.</t>
  </si>
  <si>
    <t>Alerta de prazo — dias antes</t>
  </si>
  <si>
    <t>A partir de quantos dias do vencimento o serviço fica AMARELO.</t>
  </si>
  <si>
    <t>Nº de equipes — BERTIOGA</t>
  </si>
  <si>
    <t>Fórmula — conta quantas equipes têm pelo menos uma pessoa ativa na aba 08.</t>
  </si>
  <si>
    <t>Nº de equipes — SANTOS</t>
  </si>
  <si>
    <t>C · CUSTOS E METAS POR CONTRATO   (custos vindos de FLUXO_CAIXA_PROJETADO_BERTIOGA_SANTOS_v4)</t>
  </si>
  <si>
    <t>PARÂMETRO</t>
  </si>
  <si>
    <t>UN</t>
  </si>
  <si>
    <t>OBSERVAÇÃO</t>
  </si>
  <si>
    <t>Custo mensal total do contrato</t>
  </si>
  <si>
    <t>R$/mês</t>
  </si>
  <si>
    <t>Fórmula — vem da aba 01A, item a item (estrutura + quadro nominal ativo da aba 08).</t>
  </si>
  <si>
    <t>Custo por dia útil</t>
  </si>
  <si>
    <t>R$/dia</t>
  </si>
  <si>
    <t>Fórmula: custo mensal ÷ dias úteis.</t>
  </si>
  <si>
    <t>Custo por equipe por dia</t>
  </si>
  <si>
    <t>Fórmula: custo/dia ÷ nº de equipes.</t>
  </si>
  <si>
    <t>Ticket médio por serviço</t>
  </si>
  <si>
    <t>R$/serviço</t>
  </si>
  <si>
    <t>Fórmula — vem da aba 01B, apurado do mix real da carteira ou, na falta dos códigos, do ticket de referência do fluxo de caixa.</t>
  </si>
  <si>
    <t>Margem-alvo do cenário adotado</t>
  </si>
  <si>
    <t>%</t>
  </si>
  <si>
    <t>Cenário ÓTIMA do fluxo de caixa (aba PREMISSAS). É decisão comercial — por isso continua azul.</t>
  </si>
  <si>
    <t>Meta de medição bruta no mês</t>
  </si>
  <si>
    <t>Fórmula: custo × (1+margem) ÷ (1−imposto).</t>
  </si>
  <si>
    <t>Meta de serviços no mês</t>
  </si>
  <si>
    <t>serv./mês</t>
  </si>
  <si>
    <t>Fórmula: meta R$ ÷ ticket médio.</t>
  </si>
  <si>
    <t>Meta de serviços por dia útil</t>
  </si>
  <si>
    <t>serv./dia</t>
  </si>
  <si>
    <t>Base: dias ÚTEIS (22). No fluxo de caixa a base é 30 dias corridos — por isso lá aparece 13,8 e 10,3.</t>
  </si>
  <si>
    <t>Meta de serviços por equipe/dia</t>
  </si>
  <si>
    <t>É a meta que o encarregado cobra em campo.</t>
  </si>
  <si>
    <t>Meta de R$ por equipe/dia</t>
  </si>
  <si>
    <t>É a meta que a gestão cobra na reunião semanal.</t>
  </si>
  <si>
    <t>Produção mínima de equilíbrio (serv./dia)</t>
  </si>
  <si>
    <t>Abaixo disso o contrato dá prejuízo.</t>
  </si>
  <si>
    <t>D · LISTAS PADRONIZADAS   (alimentam todas as caixas de seleção — acrescente na primeira linha vazia)</t>
  </si>
  <si>
    <t>CONTRATO</t>
  </si>
  <si>
    <t>EQUIPE</t>
  </si>
  <si>
    <t>PRIORIDADE</t>
  </si>
  <si>
    <t>TIPO</t>
  </si>
  <si>
    <t>STATUS_CAD</t>
  </si>
  <si>
    <t>STATUS_PROG</t>
  </si>
  <si>
    <t>STATUS_OS</t>
  </si>
  <si>
    <t>STATUS_MED</t>
  </si>
  <si>
    <t>STATUS_FAT</t>
  </si>
  <si>
    <t>MOTIVO_NE</t>
  </si>
  <si>
    <t>MOTIVO_PARADA</t>
  </si>
  <si>
    <t>PAVIMENTO</t>
  </si>
  <si>
    <t>BAIRRO</t>
  </si>
  <si>
    <t>FUNCAO</t>
  </si>
  <si>
    <t>EQUIPAMENTO</t>
  </si>
  <si>
    <t>MATERIAL</t>
  </si>
  <si>
    <t>MOVIMENTO</t>
  </si>
  <si>
    <t>SN</t>
  </si>
  <si>
    <t>SNP</t>
  </si>
  <si>
    <t>CLIMA</t>
  </si>
  <si>
    <t>SOLO</t>
  </si>
  <si>
    <t>TIPO_OCOR</t>
  </si>
  <si>
    <t>GRAVIDADE</t>
  </si>
  <si>
    <t>STATUS_OC</t>
  </si>
  <si>
    <t>DIA</t>
  </si>
  <si>
    <t>CAUSA_NC</t>
  </si>
  <si>
    <t>RESTRICAO</t>
  </si>
  <si>
    <t>BER-A</t>
  </si>
  <si>
    <t>EMERGENCIAL</t>
  </si>
  <si>
    <t>Vazamento de água não visível — rede</t>
  </si>
  <si>
    <t>CADASTRADO</t>
  </si>
  <si>
    <t>PROGRAMADO</t>
  </si>
  <si>
    <t>ABERTA</t>
  </si>
  <si>
    <t>A MEDIR</t>
  </si>
  <si>
    <t>A FATURAR</t>
  </si>
  <si>
    <t>Falta de material</t>
  </si>
  <si>
    <t>SEM PARADA</t>
  </si>
  <si>
    <t>ASFALTO</t>
  </si>
  <si>
    <t>Centro</t>
  </si>
  <si>
    <t>Encarregado de Obras</t>
  </si>
  <si>
    <t>Retroescavadeira</t>
  </si>
  <si>
    <t>Tubo PVC DEFOFO</t>
  </si>
  <si>
    <t>ENTRADA</t>
  </si>
  <si>
    <t>SIM</t>
  </si>
  <si>
    <t>BOM</t>
  </si>
  <si>
    <t>SECO</t>
  </si>
  <si>
    <t>Acidente / incidente</t>
  </si>
  <si>
    <t>BAIXA</t>
  </si>
  <si>
    <t>NORMAL</t>
  </si>
  <si>
    <t>Material</t>
  </si>
  <si>
    <t>BER-B</t>
  </si>
  <si>
    <t>URGENTE</t>
  </si>
  <si>
    <t>Vazamento de água não visível — ramal</t>
  </si>
  <si>
    <t>EXECUTADO</t>
  </si>
  <si>
    <t>EM EXECUÇÃO</t>
  </si>
  <si>
    <t>MEDIDA</t>
  </si>
  <si>
    <t>NF EMITIDA</t>
  </si>
  <si>
    <t>Falta de equipamento</t>
  </si>
  <si>
    <t>Chuva</t>
  </si>
  <si>
    <t>CONCRETO</t>
  </si>
  <si>
    <t>Boracéia</t>
  </si>
  <si>
    <t>Líder de Equipe</t>
  </si>
  <si>
    <t>Caminhão 3/4 + Munck</t>
  </si>
  <si>
    <t>Tubo PVC PBA</t>
  </si>
  <si>
    <t>SAÍDA</t>
  </si>
  <si>
    <t>NÃO</t>
  </si>
  <si>
    <t>NUBLADO</t>
  </si>
  <si>
    <t>ÚMIDO</t>
  </si>
  <si>
    <t>Quase acidente</t>
  </si>
  <si>
    <t>MÉDIA</t>
  </si>
  <si>
    <t>EM TRATATIVA</t>
  </si>
  <si>
    <t>SÁBADO</t>
  </si>
  <si>
    <t>Equipamento</t>
  </si>
  <si>
    <t>BER-C</t>
  </si>
  <si>
    <t>Vazamento de água visível — rede</t>
  </si>
  <si>
    <t>NÃO EXECUTADO</t>
  </si>
  <si>
    <t>AGUARDANDO MATERIAL</t>
  </si>
  <si>
    <t>APRESENTADA</t>
  </si>
  <si>
    <t>Equipe deslocada para emergência</t>
  </si>
  <si>
    <t>Quebra de equipamento</t>
  </si>
  <si>
    <t>PARALELEPÍPEDO</t>
  </si>
  <si>
    <t>Jardim Vicente de Carvalho</t>
  </si>
  <si>
    <t>Encanador</t>
  </si>
  <si>
    <t>Caminhão HR</t>
  </si>
  <si>
    <t>Tubo PEAD</t>
  </si>
  <si>
    <t>DEVOLUÇÃO</t>
  </si>
  <si>
    <t>PARCIAL</t>
  </si>
  <si>
    <t>CHUVA FRACA</t>
  </si>
  <si>
    <t>ENCHARCADO</t>
  </si>
  <si>
    <t>Interferência de outra concessionária</t>
  </si>
  <si>
    <t>ALTA</t>
  </si>
  <si>
    <t>RESOLVIDA</t>
  </si>
  <si>
    <t>DOMINGO</t>
  </si>
  <si>
    <t>Falta de mão de obra</t>
  </si>
  <si>
    <t>Mão de obra</t>
  </si>
  <si>
    <t>BER-D</t>
  </si>
  <si>
    <t>PROGRAMÁVEL</t>
  </si>
  <si>
    <t>Vazamento de água visível — ramal</t>
  </si>
  <si>
    <t>REPROGRAMADO</t>
  </si>
  <si>
    <t>AGUARDANDO PAVIMENTO</t>
  </si>
  <si>
    <t>APROVADA</t>
  </si>
  <si>
    <t>BLOQUETE</t>
  </si>
  <si>
    <t>Albatroz II</t>
  </si>
  <si>
    <t>Encanador Motorizado</t>
  </si>
  <si>
    <t>Caminhão basculante</t>
  </si>
  <si>
    <t>Tubo PVC esgoto</t>
  </si>
  <si>
    <t>PERDA / QUEBRA</t>
  </si>
  <si>
    <t>NÃO SE APLICA</t>
  </si>
  <si>
    <t>CHUVA FORTE</t>
  </si>
  <si>
    <t>LENÇOL FREÁTICO ALTO</t>
  </si>
  <si>
    <t>Reclamação de morador</t>
  </si>
  <si>
    <t>CRÍTICA</t>
  </si>
  <si>
    <t>CANCELADA</t>
  </si>
  <si>
    <t>FERIADO</t>
  </si>
  <si>
    <t>Falta de frente liberada</t>
  </si>
  <si>
    <t>OS / projeto</t>
  </si>
  <si>
    <t>SAN-A</t>
  </si>
  <si>
    <t>Vazamento pé do cavalete</t>
  </si>
  <si>
    <t>PENDENTE</t>
  </si>
  <si>
    <t>CANCELADO</t>
  </si>
  <si>
    <t>CONCLUÍDA</t>
  </si>
  <si>
    <t>GLOSADA</t>
  </si>
  <si>
    <t>RECEBIDA</t>
  </si>
  <si>
    <t>Endereço não localizado</t>
  </si>
  <si>
    <t>Falta de efetivo</t>
  </si>
  <si>
    <t>PASSEIO / CALÇADA</t>
  </si>
  <si>
    <t>Ana Paula</t>
  </si>
  <si>
    <t>Pedreiro</t>
  </si>
  <si>
    <t>Compressor</t>
  </si>
  <si>
    <t>Colar de tomada</t>
  </si>
  <si>
    <t>TRANSFERÊNCIA</t>
  </si>
  <si>
    <t>IMPRATICÁVEL</t>
  </si>
  <si>
    <t>Retrabalho</t>
  </si>
  <si>
    <t>PLANTÃO</t>
  </si>
  <si>
    <t>OS não emitida pela SABESP</t>
  </si>
  <si>
    <t>Licença / via</t>
  </si>
  <si>
    <t>SAN-B</t>
  </si>
  <si>
    <t>Vazamento no ferrule</t>
  </si>
  <si>
    <t>REAPRESENTADA</t>
  </si>
  <si>
    <t>RECEBIDA PARCIAL</t>
  </si>
  <si>
    <t>Sem acesso / imóvel fechado</t>
  </si>
  <si>
    <t>TERRA / SAIBRO</t>
  </si>
  <si>
    <t>Rio da Praia</t>
  </si>
  <si>
    <t>Pedreiro Motorizado</t>
  </si>
  <si>
    <t>Rompedor pneumático</t>
  </si>
  <si>
    <t>Ferrule</t>
  </si>
  <si>
    <t>PARADO</t>
  </si>
  <si>
    <t>Licença / liberação da via</t>
  </si>
  <si>
    <t>Acesso ao local</t>
  </si>
  <si>
    <t>SAN-C</t>
  </si>
  <si>
    <t>Troca de ramal de água</t>
  </si>
  <si>
    <t>DEVOLVIDO À SABESP</t>
  </si>
  <si>
    <t>PAGA</t>
  </si>
  <si>
    <t>EM ATRASO</t>
  </si>
  <si>
    <t>Sem frente de serviço</t>
  </si>
  <si>
    <t>SEM PAVIMENTO</t>
  </si>
  <si>
    <t>Vista Linda</t>
  </si>
  <si>
    <t>Operador de Retroescavadeira</t>
  </si>
  <si>
    <t>Martelete elétrico</t>
  </si>
  <si>
    <t>T de serviço</t>
  </si>
  <si>
    <t>Chuva / clima</t>
  </si>
  <si>
    <t>Informação técnica</t>
  </si>
  <si>
    <t>SAN-D</t>
  </si>
  <si>
    <t>Troca de cavalete</t>
  </si>
  <si>
    <t>Vazamento não localizado</t>
  </si>
  <si>
    <t>Feriado</t>
  </si>
  <si>
    <t>Indaiá</t>
  </si>
  <si>
    <t>Ajudante Geral</t>
  </si>
  <si>
    <t>Bomba de esgotamento</t>
  </si>
  <si>
    <t>Curva / joelho</t>
  </si>
  <si>
    <t>Retrabalho por qualidade</t>
  </si>
  <si>
    <t>Financeiro</t>
  </si>
  <si>
    <t>APOIO</t>
  </si>
  <si>
    <t>Execução de ligação de água</t>
  </si>
  <si>
    <t>Necessita corte de asfalto / licença</t>
  </si>
  <si>
    <t>Deslocamento longo</t>
  </si>
  <si>
    <t>Maitinga</t>
  </si>
  <si>
    <t>Programador(a)</t>
  </si>
  <si>
    <t>Gerador</t>
  </si>
  <si>
    <t>Luva de correr</t>
  </si>
  <si>
    <t>Notificação da fiscalização</t>
  </si>
  <si>
    <t>Mudança de prioridade da SABESP</t>
  </si>
  <si>
    <t>Fiscalização</t>
  </si>
  <si>
    <t>TERCEIRO</t>
  </si>
  <si>
    <t>Supressão de ligação de água</t>
  </si>
  <si>
    <t>Trânsito / evento na via</t>
  </si>
  <si>
    <t>Outro</t>
  </si>
  <si>
    <t>Costa do Sol</t>
  </si>
  <si>
    <t>Engenheiro</t>
  </si>
  <si>
    <t>Serra de disco / clipper</t>
  </si>
  <si>
    <t>Adaptador</t>
  </si>
  <si>
    <t>Dano a terceiros</t>
  </si>
  <si>
    <t>Interferência de terceiros</t>
  </si>
  <si>
    <t>Religação de água</t>
  </si>
  <si>
    <t>Serviço já executado por terceiro</t>
  </si>
  <si>
    <t>Riviera</t>
  </si>
  <si>
    <t>Técnico de Segurança</t>
  </si>
  <si>
    <t>Máquina de solda PEAD</t>
  </si>
  <si>
    <t>Registro esfera</t>
  </si>
  <si>
    <t>Vazamento de terceiro</t>
  </si>
  <si>
    <t>Programação mal dimensionada</t>
  </si>
  <si>
    <t>Substituição de hidrômetro</t>
  </si>
  <si>
    <t>Ordem cancelada pela SABESP</t>
  </si>
  <si>
    <t>São Lourenço</t>
  </si>
  <si>
    <t>Motorista</t>
  </si>
  <si>
    <t>Detector de vazamento (geofone)</t>
  </si>
  <si>
    <t>Registro de gaveta</t>
  </si>
  <si>
    <t>Quebra de veículo</t>
  </si>
  <si>
    <t>Troca de registro / TMD</t>
  </si>
  <si>
    <t>Guaratuba</t>
  </si>
  <si>
    <t>Almoxarife</t>
  </si>
  <si>
    <t>Kit sinalização</t>
  </si>
  <si>
    <t>Cavalete completo</t>
  </si>
  <si>
    <t>Conserto de rede de água</t>
  </si>
  <si>
    <t>Chácaras</t>
  </si>
  <si>
    <t>Van de equipe</t>
  </si>
  <si>
    <t>Hidrômetro</t>
  </si>
  <si>
    <t>Execução de ligação de esgoto</t>
  </si>
  <si>
    <t>Vicente de Carvalho</t>
  </si>
  <si>
    <t>Caixa de proteção</t>
  </si>
  <si>
    <t>Troca de ramal de esgoto</t>
  </si>
  <si>
    <t>Enseada</t>
  </si>
  <si>
    <t>Tê / cruzeta FoFo</t>
  </si>
  <si>
    <t>Desobstrução de rede de esgoto</t>
  </si>
  <si>
    <t>Pitangueiras</t>
  </si>
  <si>
    <t>Abraçadeira de reparo</t>
  </si>
  <si>
    <t>Conserto de rede de esgoto</t>
  </si>
  <si>
    <t>Jardim Santa Maria</t>
  </si>
  <si>
    <t>Areia</t>
  </si>
  <si>
    <t>Construção de PI / PV</t>
  </si>
  <si>
    <t>Perequê</t>
  </si>
  <si>
    <t>Pedrisco</t>
  </si>
  <si>
    <t>Recuperação de PI / PV</t>
  </si>
  <si>
    <t>Gonzaga</t>
  </si>
  <si>
    <t>Brita</t>
  </si>
  <si>
    <t>Reposição de pavimento</t>
  </si>
  <si>
    <t>Ponta da Praia</t>
  </si>
  <si>
    <t>Cimento</t>
  </si>
  <si>
    <t>Remanejamento de rede</t>
  </si>
  <si>
    <t>Embaré</t>
  </si>
  <si>
    <t>Concreto usinado</t>
  </si>
  <si>
    <t>Travessia</t>
  </si>
  <si>
    <t>Aparecida</t>
  </si>
  <si>
    <t>CBUQ / massa asfáltica</t>
  </si>
  <si>
    <t>Vistoria / levantamento</t>
  </si>
  <si>
    <t>Boqueirão</t>
  </si>
  <si>
    <t>Emulsão asfáltica</t>
  </si>
  <si>
    <t>Campo Grande</t>
  </si>
  <si>
    <t>Anel de PI/PV</t>
  </si>
  <si>
    <t>Marapé</t>
  </si>
  <si>
    <t>Tampão FoFo</t>
  </si>
  <si>
    <t>Vila Belmiro</t>
  </si>
  <si>
    <t>Fita zebrada</t>
  </si>
  <si>
    <t>Zona Noroeste</t>
  </si>
  <si>
    <t>Cone de sinalização</t>
  </si>
  <si>
    <t>Areia Branca</t>
  </si>
  <si>
    <t>BANCO DE CUSTOS, ENCARGOS E TRIBUTOS — ITEM A ITEM</t>
  </si>
  <si>
    <t>É daqui que sai o custo mensal de cada contrato — e, por consequência, a meta diária de cada equipe (aba 06) e a margem (aba 12). Cada linha tem quantidade, valor unitário e fonte declarada. A folha não é digitada: vem somada da aba 08, pessoa a pessoa. Nada é digitado na aba 01 — o total daqui é que alimenta o bloco C de lá. AZUL = quantidade e preço contratados · VERDE = vem da aba 08.</t>
  </si>
  <si>
    <t>CUSTO MENSAL — BERTIOGA</t>
  </si>
  <si>
    <t>ITEM</t>
  </si>
  <si>
    <t>QTD</t>
  </si>
  <si>
    <t>VALOR UNIT.</t>
  </si>
  <si>
    <t>TOTAL / MÊS</t>
  </si>
  <si>
    <t>FONTE</t>
  </si>
  <si>
    <t>Engenheiro residente</t>
  </si>
  <si>
    <t>Salário + encargos — praticado pela WCR nos dois contratos</t>
  </si>
  <si>
    <t>Kit de ferramentas por equipe</t>
  </si>
  <si>
    <t>Locação mensal — 1 kit por equipe</t>
  </si>
  <si>
    <t>Carro do engenheiro</t>
  </si>
  <si>
    <t>Locação mensal</t>
  </si>
  <si>
    <t>Carro do encarregado</t>
  </si>
  <si>
    <t>Caminhão 3/4 com munck</t>
  </si>
  <si>
    <t>Locação mensal com operador</t>
  </si>
  <si>
    <t>Caminhão tipo HR</t>
  </si>
  <si>
    <t>Locação mensal — 1 por equipe de campo</t>
  </si>
  <si>
    <t>Alojamento</t>
  </si>
  <si>
    <t>Casa da equipe em Bertioga</t>
  </si>
  <si>
    <t>Equipamentos leves</t>
  </si>
  <si>
    <t>Compressor, rompedor, bombas, geofone, serra e sinalização</t>
  </si>
  <si>
    <t>Custos indiretos</t>
  </si>
  <si>
    <t>Administração de contrato, contabilidade, seguros, EPI e telefonia</t>
  </si>
  <si>
    <t>Equipe de campo — folha, encargos e benefícios</t>
  </si>
  <si>
    <t>Soma do quadro nominal ativo da aba 08. EQUIPE — salário + encargos + benefícios, pessoa a pessoa.</t>
  </si>
  <si>
    <t>TOTAL MENSAL — BERTIOGA</t>
  </si>
  <si>
    <t>Fluxo Trimestral Obra · FLUXO_CAIXA_PROJETADO_BERTIOGA_SANTOS_v4 — abas CUSTOS BERTIOGA e CUSTOS SANTOS</t>
  </si>
  <si>
    <t>CUSTO MENSAL — SANTOS</t>
  </si>
  <si>
    <t>Casa da equipe em Santos</t>
  </si>
  <si>
    <t>TOTAL MENSAL — SANTOS</t>
  </si>
  <si>
    <t>C · ENCARGOS E BENEFÍCIOS — BASE DA FOLHA</t>
  </si>
  <si>
    <t>VALOR</t>
  </si>
  <si>
    <t>MEMÓRIA DE CÁLCULO</t>
  </si>
  <si>
    <t>Fator de encargos sobre o salário</t>
  </si>
  <si>
    <t>INSS patronal, RAT, FGTS, 13º, férias + 1/3, rescisão e repouso. Apurado da própria folha: encargos ÷ salário dá 58,0% para todos os 31 colaboradores das duas cidades.</t>
  </si>
  <si>
    <t>Folha real — CUSTOS BERTIOGA e CUSTOS SANTOS do FLUXO_CAIXA v4</t>
  </si>
  <si>
    <t>Benefícios por pessoa</t>
  </si>
  <si>
    <t>Vale-refeição + vale-alimentação + vale-transporte. Valor único na folha das duas cidades.</t>
  </si>
  <si>
    <t>Conferência — folha original das duas cidades</t>
  </si>
  <si>
    <t>Soma de folha + encargos + benefícios das 31 pessoas, como estava no fluxo de caixa</t>
  </si>
  <si>
    <t>D · TRIBUTOS SOBRE A MEDIÇÃO — Lucro Presumido, serviço</t>
  </si>
  <si>
    <t>TRIBUTO</t>
  </si>
  <si>
    <t>ALÍQUOTA</t>
  </si>
  <si>
    <t>PIS</t>
  </si>
  <si>
    <t>Regime cumulativo do Lucro Presumido</t>
  </si>
  <si>
    <t>Lei 9.718/98</t>
  </si>
  <si>
    <t>COFINS</t>
  </si>
  <si>
    <t>IRPJ</t>
  </si>
  <si>
    <t>15% sobre a presunção de 32% para serviço</t>
  </si>
  <si>
    <t>RIR/2018</t>
  </si>
  <si>
    <t>Adicional de IRPJ</t>
  </si>
  <si>
    <t>10% sobre o excedente de R$ 20 mil/mês — provisão</t>
  </si>
  <si>
    <t>CSLL</t>
  </si>
  <si>
    <t>9% sobre a presunção de 32% para serviço</t>
  </si>
  <si>
    <t>Lei 7.689/88</t>
  </si>
  <si>
    <t>ISS</t>
  </si>
  <si>
    <t>Alíquota-teto adotada por prudência. Bertioga, Guarujá e Santos cobram entre 2% e 5% sobre manutenção — ajuste por município se for menor.</t>
  </si>
  <si>
    <t>Códigos tributários municipais · LC 116/2003 art. 8º</t>
  </si>
  <si>
    <t>Retenção de INSS sobre cessão de mão de obra</t>
  </si>
  <si>
    <t>Retenção de 11% líquida da compensação, ajustada para fechar a carga de 22% adotada no fluxo de caixa</t>
  </si>
  <si>
    <t>IN RFB 971/2009</t>
  </si>
  <si>
    <t>TOTAL DE TRIBUTOS SOBRE A MEDIÇÃO</t>
  </si>
  <si>
    <t>Soma das alíquotas acima. É este total que a aba 01 usa.</t>
  </si>
  <si>
    <t>derivado</t>
  </si>
  <si>
    <t>CARTEIRA E TICKET MÉDIO — DE ONDE SAI O R$ POR SERVIÇO</t>
  </si>
  <si>
    <t>O mix não é chutado: cada linha conta, na aba 03, quantos serviços daquele tipo existem hoje. Você preenche só a coluna E — o CÓD. PREÇO que representa o tipo — e o ticket passa a ser apurado da tabela do contrato em vez de herdado do fluxo de caixa. O código tem que ser do mesmo contrato da linha: Bertioga não tem SUPR nem RELIG. Tipo sem item equivalente no contrato fica sem preço, e é para ficar mesmo.</t>
  </si>
  <si>
    <t>MIX DA CARTEIRA — BERTIOGA</t>
  </si>
  <si>
    <t>TIPO DE SERVIÇO</t>
  </si>
  <si>
    <t>Nº NA CARTEIRA</t>
  </si>
  <si>
    <t>% DO MIX</t>
  </si>
  <si>
    <t>CÓD. PREÇO (CHAVE)</t>
  </si>
  <si>
    <t>DESCRIÇÃO DO ITEM</t>
  </si>
  <si>
    <t>PREÇO UNIT.</t>
  </si>
  <si>
    <t>CONTRIBUIÇÃO</t>
  </si>
  <si>
    <t>BER-72000053</t>
  </si>
  <si>
    <t>nº deste tipo ÷ total do contrato, na aba 03 · preço do item na aba 02</t>
  </si>
  <si>
    <t>BER-72000226</t>
  </si>
  <si>
    <t>BER-72000897</t>
  </si>
  <si>
    <t>BER-72000044</t>
  </si>
  <si>
    <t>TOTAL DA CARTEIRA</t>
  </si>
  <si>
    <t>Ticket apurado da carteira</t>
  </si>
  <si>
    <t>Soma das contribuições: % do mix × preço do item. Fica zero enquanto os códigos de preço não forem preenchidos.</t>
  </si>
  <si>
    <t>Ticket de referência</t>
  </si>
  <si>
    <t>Média adotada no Fluxo Trimestral Obra — aba PREMISSAS do FLUXO_CAIXA v4</t>
  </si>
  <si>
    <t>TICKET ADOTADO</t>
  </si>
  <si>
    <t>Usa o apurado assim que houver códigos preenchidos; até lá, o de referência. É este valor que alimenta a aba 01.</t>
  </si>
  <si>
    <t>MIX DA CARTEIRA — SANTOS</t>
  </si>
  <si>
    <t>Média ponderada água/esgoto — aba PREMISSAS do FLUXO_CAIXA v4</t>
  </si>
  <si>
    <t>TABELA DE PREÇOS DOS CONTRATOS — BERTIOGA/GUARUJÁ E SANTOS</t>
  </si>
  <si>
    <t>511 itens contratados — 212 de Bertioga/Guarujá e 299 de Santos. Aba de consulta: ninguém edita, preço só muda em reajuste oficial. A CHAVE (coluna A) = prefixo do contrato + nº do preço, e é ela que a aba 09 usa para trazer descrição, unidade e preço — por isso um código SAN- não vale numa OS de Bertioga. Busque por palavra na célula amarela; o dicionário dos códigos está no rodapé da aba.</t>
  </si>
  <si>
    <t>BUSCAR:</t>
  </si>
  <si>
    <t>◀ digite parte da descrição ou o nº do preço e filtre a coluna BUSCA por "1"</t>
  </si>
  <si>
    <t>CHAVE</t>
  </si>
  <si>
    <t>GRUPO</t>
  </si>
  <si>
    <t>ITEM SABESP</t>
  </si>
  <si>
    <t>DESCRIÇÃO DO SERVIÇO</t>
  </si>
  <si>
    <t>N. PREÇO</t>
  </si>
  <si>
    <t>R$ UNIT.</t>
  </si>
  <si>
    <t>BUSCA</t>
  </si>
  <si>
    <t>BER-72000033</t>
  </si>
  <si>
    <t>EXECUÇÃO DE LIGAÇÃO DE ÁGUA SUCESSIVA</t>
  </si>
  <si>
    <t>LAG   PA SUCES S/REP SF</t>
  </si>
  <si>
    <t>72000033</t>
  </si>
  <si>
    <t>un</t>
  </si>
  <si>
    <t>BER-72000034</t>
  </si>
  <si>
    <t>LAG   TA SUCES S/REP SF</t>
  </si>
  <si>
    <t>72000034</t>
  </si>
  <si>
    <t>BER-72000035</t>
  </si>
  <si>
    <t>LAG   EX SUCES S/REP SF</t>
  </si>
  <si>
    <t>72000035</t>
  </si>
  <si>
    <t>BER-72000036</t>
  </si>
  <si>
    <t>LAG   TO SUCES S/REP SF</t>
  </si>
  <si>
    <t>72000036</t>
  </si>
  <si>
    <t>BER-72000037</t>
  </si>
  <si>
    <t>LAG   PO SUCES S/REP SF</t>
  </si>
  <si>
    <t>72000037</t>
  </si>
  <si>
    <t>BER-72000229</t>
  </si>
  <si>
    <t>ADC  INST CV    SF</t>
  </si>
  <si>
    <t>72000229</t>
  </si>
  <si>
    <t>BER-72000057</t>
  </si>
  <si>
    <t>LAG   PA SUCES S/REP</t>
  </si>
  <si>
    <t>72000057</t>
  </si>
  <si>
    <t>BER-72000058</t>
  </si>
  <si>
    <t>LAG   TA SUCES S/REP</t>
  </si>
  <si>
    <t>72000058</t>
  </si>
  <si>
    <t>BER-72000059</t>
  </si>
  <si>
    <t>LAG   EX SUCES S/REP</t>
  </si>
  <si>
    <t>72000059</t>
  </si>
  <si>
    <t>BER-72000060</t>
  </si>
  <si>
    <t>LAG   TO SUCES S/REP</t>
  </si>
  <si>
    <t>72000060</t>
  </si>
  <si>
    <t>BER-72000061</t>
  </si>
  <si>
    <t>LAG   PO SUCES S/REP</t>
  </si>
  <si>
    <t>72000061</t>
  </si>
  <si>
    <t>BER-72000224</t>
  </si>
  <si>
    <t>ADC  INST CV</t>
  </si>
  <si>
    <t>72000224</t>
  </si>
  <si>
    <t>BER-72000101</t>
  </si>
  <si>
    <t>LRP CIM   LAG SUCES</t>
  </si>
  <si>
    <t>72000101</t>
  </si>
  <si>
    <t>BER-72000102</t>
  </si>
  <si>
    <t>LRP ESP   LAG SUCES</t>
  </si>
  <si>
    <t>72000102</t>
  </si>
  <si>
    <t>BER-72001180</t>
  </si>
  <si>
    <t>LPB  TA LAG SUCES COMPX C</t>
  </si>
  <si>
    <t>72001180</t>
  </si>
  <si>
    <t>BER-72001082</t>
  </si>
  <si>
    <t>LPB EX LAG SUCES COMPX C</t>
  </si>
  <si>
    <t>72001082</t>
  </si>
  <si>
    <t>BER-72001210</t>
  </si>
  <si>
    <t>LPB  TO LAG SUCES COMPX C</t>
  </si>
  <si>
    <t>72001210</t>
  </si>
  <si>
    <t>BER-72000049</t>
  </si>
  <si>
    <t>LAG   MND SUCES S/REP SF</t>
  </si>
  <si>
    <t>72000049</t>
  </si>
  <si>
    <t>BER-72000073</t>
  </si>
  <si>
    <t>LAG   MND SUCES S/REP</t>
  </si>
  <si>
    <t>72000073</t>
  </si>
  <si>
    <t>BER-72000169</t>
  </si>
  <si>
    <t>LRP CIM  MND LAG SUCES</t>
  </si>
  <si>
    <t>72000169</t>
  </si>
  <si>
    <t>BER-72000170</t>
  </si>
  <si>
    <t>LRP ESP  MND LAG SUCES</t>
  </si>
  <si>
    <t>72000170</t>
  </si>
  <si>
    <t>BER-72001105</t>
  </si>
  <si>
    <t>LPB  MND LAG SUCES COMPX C</t>
  </si>
  <si>
    <t>72001105</t>
  </si>
  <si>
    <t>BER-72000052</t>
  </si>
  <si>
    <t>EXECUÇÃO DE LIGAÇÃO DE ÁGUA AVULSA</t>
  </si>
  <si>
    <t>LAG  ATE 32MM PA AVUL S/REP SF</t>
  </si>
  <si>
    <t>72000052</t>
  </si>
  <si>
    <t>LAG  ATE 32MM TA AVUL S/REP SF</t>
  </si>
  <si>
    <t>72000053</t>
  </si>
  <si>
    <t>BER-72000054</t>
  </si>
  <si>
    <t>LAG  ATE 32MM EX AVUL S/REP SF</t>
  </si>
  <si>
    <t>72000054</t>
  </si>
  <si>
    <t>BER-72000055</t>
  </si>
  <si>
    <t>LAG  ATE 32MM TO AVUL S/REP SF</t>
  </si>
  <si>
    <t>72000055</t>
  </si>
  <si>
    <t>BER-72000056</t>
  </si>
  <si>
    <t>LAG  ATE 32MM PO AVUL S/REP SF</t>
  </si>
  <si>
    <t>72000056</t>
  </si>
  <si>
    <t>BER-72000028</t>
  </si>
  <si>
    <t>LAG  ATE 32MM PA AVUL S/REP</t>
  </si>
  <si>
    <t>72000028</t>
  </si>
  <si>
    <t>BER-72000029</t>
  </si>
  <si>
    <t>LAG  ATE 32MM TA AVUL S/REP</t>
  </si>
  <si>
    <t>72000029</t>
  </si>
  <si>
    <t>BER-72000030</t>
  </si>
  <si>
    <t>LAG  ATE 32MM EX AVUL S/REP</t>
  </si>
  <si>
    <t>72000030</t>
  </si>
  <si>
    <t>BER-72000031</t>
  </si>
  <si>
    <t>LAG  ATE 32MM TO AVUL S/REP</t>
  </si>
  <si>
    <t>72000031</t>
  </si>
  <si>
    <t>BER-72000032</t>
  </si>
  <si>
    <t>LAG  ATE 32MM PO AVUL S/REP</t>
  </si>
  <si>
    <t>72000032</t>
  </si>
  <si>
    <t>BER-72000076</t>
  </si>
  <si>
    <t>LAG  DN50 HD30    SF</t>
  </si>
  <si>
    <t>72000076</t>
  </si>
  <si>
    <t>BER-72000077</t>
  </si>
  <si>
    <t>LAG  DN50 HD300    SF</t>
  </si>
  <si>
    <t>72000077</t>
  </si>
  <si>
    <t>BER-72000078</t>
  </si>
  <si>
    <t>LAG  DN80 HD1100    SF</t>
  </si>
  <si>
    <t>72000078</t>
  </si>
  <si>
    <t>BER-72000079</t>
  </si>
  <si>
    <t>LAG  DN100 HD1800    SF</t>
  </si>
  <si>
    <t>72000079</t>
  </si>
  <si>
    <t>BER-72000080</t>
  </si>
  <si>
    <t>RAMAL  DN 50 A 100   S/REP SF</t>
  </si>
  <si>
    <t>72000080</t>
  </si>
  <si>
    <t>M</t>
  </si>
  <si>
    <t>BER-72000081</t>
  </si>
  <si>
    <t>LRP CIM   LAG AVUL</t>
  </si>
  <si>
    <t>72000081</t>
  </si>
  <si>
    <t>BER-72000082</t>
  </si>
  <si>
    <t>LRP ESP   LAG AVUL</t>
  </si>
  <si>
    <t>72000082</t>
  </si>
  <si>
    <t>BER-72001159</t>
  </si>
  <si>
    <t>LPB TA LAG AVUL COMPX C</t>
  </si>
  <si>
    <t>72001159</t>
  </si>
  <si>
    <t>BER-72001071</t>
  </si>
  <si>
    <t>LPB  EX LAG AVUL COMPX C</t>
  </si>
  <si>
    <t>72001071</t>
  </si>
  <si>
    <t>BER-72001198</t>
  </si>
  <si>
    <t>LPB  TO LAG AVUL COMPX C</t>
  </si>
  <si>
    <t>72001198</t>
  </si>
  <si>
    <t>BER-72000048</t>
  </si>
  <si>
    <t>LAG  ATE 32MM MND AVUL S/REP SF</t>
  </si>
  <si>
    <t>72000048</t>
  </si>
  <si>
    <t>BER-72000072</t>
  </si>
  <si>
    <t>LAG  ATE 32MM MND AVUL S/REP</t>
  </si>
  <si>
    <t>72000072</t>
  </si>
  <si>
    <t>BER-72000161</t>
  </si>
  <si>
    <t>LRP CIM  MND LAG AVUL</t>
  </si>
  <si>
    <t>72000161</t>
  </si>
  <si>
    <t>BER-72000162</t>
  </si>
  <si>
    <t>LRP ESP  MND LAG AVUL</t>
  </si>
  <si>
    <t>72000162</t>
  </si>
  <si>
    <t>BER-72001102</t>
  </si>
  <si>
    <t>LPB  MND LAG AVUL COMPX C</t>
  </si>
  <si>
    <t>72001102</t>
  </si>
  <si>
    <t>BER-72000228</t>
  </si>
  <si>
    <t>TRANSF  CV SIMPLES P/ MULT. 2HD    SF</t>
  </si>
  <si>
    <t>72000228</t>
  </si>
  <si>
    <t>BER-72000209</t>
  </si>
  <si>
    <t>TRANSF  CV SIMPLES P/ MULT. 2HD</t>
  </si>
  <si>
    <t>72000209</t>
  </si>
  <si>
    <t>BER-72000210</t>
  </si>
  <si>
    <t>INCL  LIG EM CV MULT</t>
  </si>
  <si>
    <t>72000210</t>
  </si>
  <si>
    <t>BER-72000237</t>
  </si>
  <si>
    <t>ADC  INST HD CV MULT</t>
  </si>
  <si>
    <t>72000237</t>
  </si>
  <si>
    <t>BER-72000221</t>
  </si>
  <si>
    <t>ADC  INCL LIG  UMA MULT</t>
  </si>
  <si>
    <t>72000221</t>
  </si>
  <si>
    <t>BER-72000211</t>
  </si>
  <si>
    <t>INCL  LIG EM UMA MULT</t>
  </si>
  <si>
    <t>72000211</t>
  </si>
  <si>
    <t>BER-72000222</t>
  </si>
  <si>
    <t>ADC  INST CX UMA</t>
  </si>
  <si>
    <t>72000222</t>
  </si>
  <si>
    <t>BER-72000213</t>
  </si>
  <si>
    <t>INST CX UMA</t>
  </si>
  <si>
    <t>72000213</t>
  </si>
  <si>
    <t>BER-72000212</t>
  </si>
  <si>
    <t>INST CX UMA COM CONSTRUCAO DE MURETA</t>
  </si>
  <si>
    <t>72000212</t>
  </si>
  <si>
    <t>BER-72000216</t>
  </si>
  <si>
    <t>INSTAL CAIXA PARA UMAP</t>
  </si>
  <si>
    <t>72000216</t>
  </si>
  <si>
    <t>BER-72000223</t>
  </si>
  <si>
    <t>72000223</t>
  </si>
  <si>
    <t>BER-72000043</t>
  </si>
  <si>
    <t>EXECUÇÃO DE TROCA DE LIGAÇÃO DE ÁGUA</t>
  </si>
  <si>
    <t>TRA  ATE 32MM CORR PA S/REP SF</t>
  </si>
  <si>
    <t>72000043</t>
  </si>
  <si>
    <t>TRA  ATE 32MM CORR TA S/REP SF</t>
  </si>
  <si>
    <t>72000044</t>
  </si>
  <si>
    <t>BER-72000045</t>
  </si>
  <si>
    <t>TRA  ATE 32MM CORR EX S/REP SF</t>
  </si>
  <si>
    <t>72000045</t>
  </si>
  <si>
    <t>BER-72000046</t>
  </si>
  <si>
    <t>TRA  ATE 32MM CORR TO S/REP SF</t>
  </si>
  <si>
    <t>72000046</t>
  </si>
  <si>
    <t>BER-72000047</t>
  </si>
  <si>
    <t>TRA  ATE 32MM CORR PO S/REP SF</t>
  </si>
  <si>
    <t>72000047</t>
  </si>
  <si>
    <t>BER-72000067</t>
  </si>
  <si>
    <t>TRA  ATE 32MM CORR PA S/REP</t>
  </si>
  <si>
    <t>72000067</t>
  </si>
  <si>
    <t>BER-72000068</t>
  </si>
  <si>
    <t>TRA  ATE 32MM CORR TA S/REP</t>
  </si>
  <si>
    <t>72000068</t>
  </si>
  <si>
    <t>BER-72000069</t>
  </si>
  <si>
    <t>TRA  ATE 32MM CORR EX S/REP</t>
  </si>
  <si>
    <t>72000069</t>
  </si>
  <si>
    <t>BER-72000070</t>
  </si>
  <si>
    <t>TRA  ATE 32MM CORR TO S/REP</t>
  </si>
  <si>
    <t>72000070</t>
  </si>
  <si>
    <t>BER-72000071</t>
  </si>
  <si>
    <t>TRA  ATE 32MM CORR PO S/REP</t>
  </si>
  <si>
    <t>72000071</t>
  </si>
  <si>
    <t>BER-72000141</t>
  </si>
  <si>
    <t>LRP CIM   TRA CORR</t>
  </si>
  <si>
    <t>72000141</t>
  </si>
  <si>
    <t>BER-72000142</t>
  </si>
  <si>
    <t>LRP ESP   TRA CORR</t>
  </si>
  <si>
    <t>72000142</t>
  </si>
  <si>
    <t>BER-72001183</t>
  </si>
  <si>
    <t>LPB  TA TRA CORR COMPX C</t>
  </si>
  <si>
    <t>72001183</t>
  </si>
  <si>
    <t>BER-72001085</t>
  </si>
  <si>
    <t>LPB  EX TRA CORR COMPX C</t>
  </si>
  <si>
    <t>72001085</t>
  </si>
  <si>
    <t>BER-72001213</t>
  </si>
  <si>
    <t>LPB  TO TRA CORR COMPX C</t>
  </si>
  <si>
    <t>72001213</t>
  </si>
  <si>
    <t>BER-72000038</t>
  </si>
  <si>
    <t>TRA  ATE 32MM PREV PA S/REP SF</t>
  </si>
  <si>
    <t>72000038</t>
  </si>
  <si>
    <t>BER-72000039</t>
  </si>
  <si>
    <t>TRA ATE 32MM PREV TA S/REP SF</t>
  </si>
  <si>
    <t>72000039</t>
  </si>
  <si>
    <t>BER-72000040</t>
  </si>
  <si>
    <t>TRA  ATE 32MM PREV EX S/REP SF</t>
  </si>
  <si>
    <t>72000040</t>
  </si>
  <si>
    <t>BER-72000041</t>
  </si>
  <si>
    <t>TRA ATE 32MM PREV TO S/REP SF</t>
  </si>
  <si>
    <t>72000041</t>
  </si>
  <si>
    <t>BER-72000042</t>
  </si>
  <si>
    <t>TRA  ATE 32MM PREV PO S/REP SF</t>
  </si>
  <si>
    <t>72000042</t>
  </si>
  <si>
    <t>BER-72000062</t>
  </si>
  <si>
    <t>TRA  ATE 32MM PREV PA S/REP</t>
  </si>
  <si>
    <t>72000062</t>
  </si>
  <si>
    <t>BER-72000063</t>
  </si>
  <si>
    <t>TRA  ATE 32MM PREV TA S/REP</t>
  </si>
  <si>
    <t>72000063</t>
  </si>
  <si>
    <t>BER-72000064</t>
  </si>
  <si>
    <t>TRA  ATE 32MM PREV EX S/REP</t>
  </si>
  <si>
    <t>72000064</t>
  </si>
  <si>
    <t>BER-72000065</t>
  </si>
  <si>
    <t>TRA  ATE 32MM PREV TO S/REP</t>
  </si>
  <si>
    <t>72000065</t>
  </si>
  <si>
    <t>BER-72000066</t>
  </si>
  <si>
    <t>TRA  ATE 32MM PREV PO S/REP</t>
  </si>
  <si>
    <t>72000066</t>
  </si>
  <si>
    <t>BER-72000121</t>
  </si>
  <si>
    <t>LRP CIM   TRA PREV</t>
  </si>
  <si>
    <t>72000121</t>
  </si>
  <si>
    <t>BER-72000122</t>
  </si>
  <si>
    <t>LRP ESP   TRA PREV</t>
  </si>
  <si>
    <t>72000122</t>
  </si>
  <si>
    <t>BER-72001195</t>
  </si>
  <si>
    <t>LPB  TA TRA PREV COMPX C</t>
  </si>
  <si>
    <t>72001195</t>
  </si>
  <si>
    <t>BER-72001097</t>
  </si>
  <si>
    <t>LPB  EX TRA PREV COMPX C</t>
  </si>
  <si>
    <t>72001097</t>
  </si>
  <si>
    <t>BER-72001225</t>
  </si>
  <si>
    <t>LPB  TO TRA PREV COMPX C</t>
  </si>
  <si>
    <t>72001225</t>
  </si>
  <si>
    <t>BER-72000051</t>
  </si>
  <si>
    <t>TRA  ATE 32MM CORR MND S/REP SF</t>
  </si>
  <si>
    <t>72000051</t>
  </si>
  <si>
    <t>BER-72000075</t>
  </si>
  <si>
    <t>TRA  ATE 32MM CORR MND S/REP</t>
  </si>
  <si>
    <t>72000075</t>
  </si>
  <si>
    <t>BER-72000185</t>
  </si>
  <si>
    <t>LRP CIM  MND TRA CORR</t>
  </si>
  <si>
    <t>72000185</t>
  </si>
  <si>
    <t>BER-72000186</t>
  </si>
  <si>
    <t>LRP ESP  MND TRA CORR</t>
  </si>
  <si>
    <t>72000186</t>
  </si>
  <si>
    <t>BER-72001108</t>
  </si>
  <si>
    <t>LPB  MND TRA CORR COMPX C</t>
  </si>
  <si>
    <t>72001108</t>
  </si>
  <si>
    <t>BER-72000050</t>
  </si>
  <si>
    <t>TRA  ATE 32MM PREV MND S/REP SF</t>
  </si>
  <si>
    <t>72000050</t>
  </si>
  <si>
    <t>BER-72000074</t>
  </si>
  <si>
    <t>TRA  ATE 32MM PREV MND S/REP</t>
  </si>
  <si>
    <t>72000074</t>
  </si>
  <si>
    <t>ADC  SUBST TMD AG    SF</t>
  </si>
  <si>
    <t>72000897</t>
  </si>
  <si>
    <t>BER-72000225</t>
  </si>
  <si>
    <t>ADC TRC PREV PE CV</t>
  </si>
  <si>
    <t>72000225</t>
  </si>
  <si>
    <t>BER-72000898</t>
  </si>
  <si>
    <t>ADC  SUBST TMD AG</t>
  </si>
  <si>
    <t>72000898</t>
  </si>
  <si>
    <t>BER-72000177</t>
  </si>
  <si>
    <t>LRP CIM  MND TRA PREV</t>
  </si>
  <si>
    <t>72000177</t>
  </si>
  <si>
    <t>BER-72000178</t>
  </si>
  <si>
    <t>LRP ESP  MND TRA PREV</t>
  </si>
  <si>
    <t>72000178</t>
  </si>
  <si>
    <t>BER-72001111</t>
  </si>
  <si>
    <t>LPB  MND TRA PREV COMPX C</t>
  </si>
  <si>
    <t>72001111</t>
  </si>
  <si>
    <t>EXECUÇÃO DE SERVIÇOS GERAIS EM CAVALETE</t>
  </si>
  <si>
    <t>TCV SF</t>
  </si>
  <si>
    <t>72000226</t>
  </si>
  <si>
    <t>BER-72000230</t>
  </si>
  <si>
    <t>ADC  TCV    SF</t>
  </si>
  <si>
    <t>72000230</t>
  </si>
  <si>
    <t>BER-72001002</t>
  </si>
  <si>
    <t>ADIC TROCA PREVENT REGIST CAV DN 20MM SF</t>
  </si>
  <si>
    <t>72001002</t>
  </si>
  <si>
    <t>BER-72000215</t>
  </si>
  <si>
    <t>SUBST  CV POR UMA  C/REP PASS</t>
  </si>
  <si>
    <t>72000215</t>
  </si>
  <si>
    <t>BER-72000214</t>
  </si>
  <si>
    <t>SUBST  CV POR UMA  S/REP</t>
  </si>
  <si>
    <t>72000214</t>
  </si>
  <si>
    <t>BER-72000204</t>
  </si>
  <si>
    <t>TCV</t>
  </si>
  <si>
    <t>72000204</t>
  </si>
  <si>
    <t>BER-72000217</t>
  </si>
  <si>
    <t>ADC  TCV</t>
  </si>
  <si>
    <t>72000217</t>
  </si>
  <si>
    <t>BER-72000205</t>
  </si>
  <si>
    <t>TROCA PREVENT REGISTRO CAVALET DN 20MM</t>
  </si>
  <si>
    <t>72000205</t>
  </si>
  <si>
    <t>BER-72000218</t>
  </si>
  <si>
    <t>ADIC TROCA PREVENT REGIST CAV DN 20MM</t>
  </si>
  <si>
    <t>72000218</t>
  </si>
  <si>
    <t>BER-72000890</t>
  </si>
  <si>
    <t>FORNEC CAIXA UMAP</t>
  </si>
  <si>
    <t>72000890</t>
  </si>
  <si>
    <t>BER-72000479</t>
  </si>
  <si>
    <t>EXECUÇÃO DE LIGAÇÃO DE ESGOTO SUCESSIVA</t>
  </si>
  <si>
    <t>LESG CER/PVC  PA SUCES S/REP SF</t>
  </si>
  <si>
    <t>72000479</t>
  </si>
  <si>
    <t>BER-72000480</t>
  </si>
  <si>
    <t>LESG CER/PVC  TA SUCES S/REP SF</t>
  </si>
  <si>
    <t>72000480</t>
  </si>
  <si>
    <t>BER-72000481</t>
  </si>
  <si>
    <t>LESG CER/PVC  EX SUCES S/REP SF</t>
  </si>
  <si>
    <t>72000481</t>
  </si>
  <si>
    <t>BER-72000482</t>
  </si>
  <si>
    <t>LESG CER/PVC  TO SUCES S/REP SF</t>
  </si>
  <si>
    <t>72000482</t>
  </si>
  <si>
    <t>BER-72000483</t>
  </si>
  <si>
    <t>LESG CER/PVC  PO SUCES S/REP SF</t>
  </si>
  <si>
    <t>72000483</t>
  </si>
  <si>
    <t>BER-72000511</t>
  </si>
  <si>
    <t>LESG PVC  PA SUCES S/REP</t>
  </si>
  <si>
    <t>72000511</t>
  </si>
  <si>
    <t>BER-72000512</t>
  </si>
  <si>
    <t>LESG PVC  TA SUCES S/REP</t>
  </si>
  <si>
    <t>72000512</t>
  </si>
  <si>
    <t>BER-72000513</t>
  </si>
  <si>
    <t>LESG PVC  EX SUCES S/REP</t>
  </si>
  <si>
    <t>72000513</t>
  </si>
  <si>
    <t>BER-72000514</t>
  </si>
  <si>
    <t>LESG PVC  TO SUCES S/REP</t>
  </si>
  <si>
    <t>72000514</t>
  </si>
  <si>
    <t>BER-72000515</t>
  </si>
  <si>
    <t>LESG PVC  PO SUCES S/REP</t>
  </si>
  <si>
    <t>72000515</t>
  </si>
  <si>
    <t>BER-72000571</t>
  </si>
  <si>
    <t>LRP CIM   LESG SUCES</t>
  </si>
  <si>
    <t>72000571</t>
  </si>
  <si>
    <t>BER-72000572</t>
  </si>
  <si>
    <t>LRP ESP   LESG SUCES</t>
  </si>
  <si>
    <t>72000572</t>
  </si>
  <si>
    <t>BER-72001177</t>
  </si>
  <si>
    <t>LPB  TA LESG SUCES COMPX C</t>
  </si>
  <si>
    <t>72001177</t>
  </si>
  <si>
    <t>BER-72001077</t>
  </si>
  <si>
    <t>LPB  EX LESG SUCES COMPX C</t>
  </si>
  <si>
    <t>72001077</t>
  </si>
  <si>
    <t>BER-72001207</t>
  </si>
  <si>
    <t>LPB  TO LESG SUCES COMPX C</t>
  </si>
  <si>
    <t>72001207</t>
  </si>
  <si>
    <t>BER-72000005</t>
  </si>
  <si>
    <t>EXECUÇÃO DE LIGAÇÃO DE ESGOTO AVULSA</t>
  </si>
  <si>
    <t>LESG CER/PVC ATE 2M PA AVUL S/REP SF</t>
  </si>
  <si>
    <t>72000005</t>
  </si>
  <si>
    <t>BER-72000468</t>
  </si>
  <si>
    <t>LESG CER/PVC ATE 2M TA AVUL S/REP SF</t>
  </si>
  <si>
    <t>72000468</t>
  </si>
  <si>
    <t>BER-72000469</t>
  </si>
  <si>
    <t>LESG CER/PVC ATE 2M EX AVUL S/REP SF</t>
  </si>
  <si>
    <t>72000469</t>
  </si>
  <si>
    <t>BER-72000470</t>
  </si>
  <si>
    <t>LESG CER/PVC ATE 2M TO AVUL S/REP SF</t>
  </si>
  <si>
    <t>72000470</t>
  </si>
  <si>
    <t>BER-72000471</t>
  </si>
  <si>
    <t>LESG CER/PVC ATE 2M PO AVUL S/REP SF</t>
  </si>
  <si>
    <t>72000471</t>
  </si>
  <si>
    <t>BER-72000472</t>
  </si>
  <si>
    <t>LESG CER/PVC DE 2 A 4M PA AVUL S/REP SF</t>
  </si>
  <si>
    <t>72000472</t>
  </si>
  <si>
    <t>BER-72000473</t>
  </si>
  <si>
    <t>LESG CER/PVC DE 2 A 4M TA AVUL S/REP SF</t>
  </si>
  <si>
    <t>72000473</t>
  </si>
  <si>
    <t>BER-72000474</t>
  </si>
  <si>
    <t>LESG CER/PVC DE 2 A 4M EX AVUL S/REP SF</t>
  </si>
  <si>
    <t>72000474</t>
  </si>
  <si>
    <t>BER-72000475</t>
  </si>
  <si>
    <t>LESG CER/PVC DE 2 A 4M TO AVUL S/REP SF</t>
  </si>
  <si>
    <t>72000475</t>
  </si>
  <si>
    <t>BER-72000476</t>
  </si>
  <si>
    <t>LESG CER/PVC DE 2 A 4M PO AVUL S/REP SF</t>
  </si>
  <si>
    <t>72000476</t>
  </si>
  <si>
    <t>BER-72000499</t>
  </si>
  <si>
    <t>LESG PVC ATE 2M PA AVUL S/REP</t>
  </si>
  <si>
    <t>72000499</t>
  </si>
  <si>
    <t>BER-72000500</t>
  </si>
  <si>
    <t>LESG PVC ATE 2M TA AVUL S/REP</t>
  </si>
  <si>
    <t>72000500</t>
  </si>
  <si>
    <t>BER-72000501</t>
  </si>
  <si>
    <t>LESG PVC ATE 2M EX AVUL S/REP</t>
  </si>
  <si>
    <t>72000501</t>
  </si>
  <si>
    <t>BER-72000502</t>
  </si>
  <si>
    <t>LESG PVC ATE 2M TO AVUL S/REP</t>
  </si>
  <si>
    <t>72000502</t>
  </si>
  <si>
    <t>BER-72000503</t>
  </si>
  <si>
    <t>LESG PVC ATE 2M PO AVUL S/REP</t>
  </si>
  <si>
    <t>72000503</t>
  </si>
  <si>
    <t>BER-72000504</t>
  </si>
  <si>
    <t>LESG PVC DE 2 A 4M PA AVUL S/REP</t>
  </si>
  <si>
    <t>72000504</t>
  </si>
  <si>
    <t>BER-72000505</t>
  </si>
  <si>
    <t>LESG PVC DE 2 A 4M TA AVUL S/REP</t>
  </si>
  <si>
    <t>72000505</t>
  </si>
  <si>
    <t>BER-72000506</t>
  </si>
  <si>
    <t>LESG PVC DE 2 A 4M EX AVUL S/REP</t>
  </si>
  <si>
    <t>72000506</t>
  </si>
  <si>
    <t>BER-72000507</t>
  </si>
  <si>
    <t>LESG PVC DE 2 A 4M TO AVUL S/REP</t>
  </si>
  <si>
    <t>72000507</t>
  </si>
  <si>
    <t>BER-72000508</t>
  </si>
  <si>
    <t>LESG PVC DE 2 A 4M PO AVUL S/REP</t>
  </si>
  <si>
    <t>72000508</t>
  </si>
  <si>
    <t>BER-72000477</t>
  </si>
  <si>
    <t>CMPL CER/PVC LE AVUL 100/150   S/REP SF</t>
  </si>
  <si>
    <t>72000477</t>
  </si>
  <si>
    <t>BER-72000478</t>
  </si>
  <si>
    <t>CMPL CER/PVC LE AVUL 100/150   C/REP SF</t>
  </si>
  <si>
    <t>72000478</t>
  </si>
  <si>
    <t>BER-72000509</t>
  </si>
  <si>
    <t>CMPL PVC LE AVUL 100/150   S/REP</t>
  </si>
  <si>
    <t>72000509</t>
  </si>
  <si>
    <t>BER-72000510</t>
  </si>
  <si>
    <t>CMPL PVC LE AVUL 100/150   C/REP</t>
  </si>
  <si>
    <t>72000510</t>
  </si>
  <si>
    <t>BER-72000531</t>
  </si>
  <si>
    <t>LRP CIM ATE 2M  LESG</t>
  </si>
  <si>
    <t>72000531</t>
  </si>
  <si>
    <t>BER-72000533</t>
  </si>
  <si>
    <t>LRP ESP ATE 2M  LESG</t>
  </si>
  <si>
    <t>72000533</t>
  </si>
  <si>
    <t>BER-72001162</t>
  </si>
  <si>
    <t>LPB ATE 2M TA LESG COMPX C</t>
  </si>
  <si>
    <t>72001162</t>
  </si>
  <si>
    <t>BER-72001041</t>
  </si>
  <si>
    <t>LPB ATE 2M EX LESG COMPX C</t>
  </si>
  <si>
    <t>72001041</t>
  </si>
  <si>
    <t>BER-72001201</t>
  </si>
  <si>
    <t>LPB ATE 2M TO LESG COMPX C</t>
  </si>
  <si>
    <t>72001201</t>
  </si>
  <si>
    <t>BER-72000532</t>
  </si>
  <si>
    <t>LRP CIM MAIS DE 2M  LESG</t>
  </si>
  <si>
    <t>72000532</t>
  </si>
  <si>
    <t>BER-72000534</t>
  </si>
  <si>
    <t>LRP ESP MAIS DE 2M  LESG</t>
  </si>
  <si>
    <t>72000534</t>
  </si>
  <si>
    <t>BER-72001174</t>
  </si>
  <si>
    <t>LPB MAIS DE 2M TA LESG COMPX C</t>
  </si>
  <si>
    <t>72001174</t>
  </si>
  <si>
    <t>BER-72001074</t>
  </si>
  <si>
    <t>LPB MAIS DE 2M EX LESG COMPX C</t>
  </si>
  <si>
    <t>72001074</t>
  </si>
  <si>
    <t>BER-72001204</t>
  </si>
  <si>
    <t>LPB MAIS DE 2M TO LESG COMPX C</t>
  </si>
  <si>
    <t>72001204</t>
  </si>
  <si>
    <t>BER-72000836</t>
  </si>
  <si>
    <t>PRESERV  INTERF  SERV. ESG</t>
  </si>
  <si>
    <t>72000836</t>
  </si>
  <si>
    <t>BER-72000907</t>
  </si>
  <si>
    <t>INST DE CXA DE INSPEÇÃO ESG 45x45x60 CM</t>
  </si>
  <si>
    <t>72000907</t>
  </si>
  <si>
    <t>BER-72000484</t>
  </si>
  <si>
    <t>EXECUÇÃO DE TROCA DE LIGAÇÃO DE ESGOTO</t>
  </si>
  <si>
    <t>TRE  CER/PVC ATE 2M CORR PA S/REP SF</t>
  </si>
  <si>
    <t>72000484</t>
  </si>
  <si>
    <t>BER-72000485</t>
  </si>
  <si>
    <t>TRE  CER/PVC ATE 2M CORR TA S/REP SF</t>
  </si>
  <si>
    <t>72000485</t>
  </si>
  <si>
    <t>BER-72000486</t>
  </si>
  <si>
    <t>TRE  CER/PVC ATE 2M CORR EX S/REP SF</t>
  </si>
  <si>
    <t>72000486</t>
  </si>
  <si>
    <t>BER-72000487</t>
  </si>
  <si>
    <t>TRE  CER/PVC ATE 2M CORR TO S/REP SF</t>
  </si>
  <si>
    <t>72000487</t>
  </si>
  <si>
    <t>BER-72000488</t>
  </si>
  <si>
    <t>TRE  CER/PVC ATE 2M CORR PO S/REP SF</t>
  </si>
  <si>
    <t>72000488</t>
  </si>
  <si>
    <t>BER-72000489</t>
  </si>
  <si>
    <t>TRE  CER/PVC DE 2 A 3M CORR PA S/REP SF</t>
  </si>
  <si>
    <t>72000489</t>
  </si>
  <si>
    <t>BER-72000490</t>
  </si>
  <si>
    <t>TRE  CER/PVC DE 2 A 3M CORR TA S/REP SF</t>
  </si>
  <si>
    <t>72000490</t>
  </si>
  <si>
    <t>BER-72000491</t>
  </si>
  <si>
    <t>TRE  CER/PVC DE 2 A 3M CORR EX S/REP SF</t>
  </si>
  <si>
    <t>72000491</t>
  </si>
  <si>
    <t>BER-72000492</t>
  </si>
  <si>
    <t>TRE  CER/PVC DE 2 A 3M CORR TO S/REP SF</t>
  </si>
  <si>
    <t>72000492</t>
  </si>
  <si>
    <t>BER-72000493</t>
  </si>
  <si>
    <t>TRE  CER/PVC DE 2 A 3M CORR PO S/REP SF</t>
  </si>
  <si>
    <t>72000493</t>
  </si>
  <si>
    <t>BER-72000494</t>
  </si>
  <si>
    <t>TRE  CER/PVC DE 3 A 4M CORR PA S/REP SF</t>
  </si>
  <si>
    <t>72000494</t>
  </si>
  <si>
    <t>BER-72000495</t>
  </si>
  <si>
    <t>TRE  CER/PVC DE 3 A 4M CORR TA S/REP SF</t>
  </si>
  <si>
    <t>72000495</t>
  </si>
  <si>
    <t>BER-72000496</t>
  </si>
  <si>
    <t>TRE  CER/PVC DE 3 A 4M CORR EX S/REP SF</t>
  </si>
  <si>
    <t>72000496</t>
  </si>
  <si>
    <t>BER-72000497</t>
  </si>
  <si>
    <t>TRE  CER/PVC DE 3 A 4M CORR TO S/REP SF</t>
  </si>
  <si>
    <t>72000497</t>
  </si>
  <si>
    <t>BER-72000498</t>
  </si>
  <si>
    <t>72000498</t>
  </si>
  <si>
    <t>BER-72000516</t>
  </si>
  <si>
    <t>TRE  PVC ATE 2M CORR PA S/REP</t>
  </si>
  <si>
    <t>72000516</t>
  </si>
  <si>
    <t>BER-72000517</t>
  </si>
  <si>
    <t>TRE  PVC ATE 2M CORR TA S/REP</t>
  </si>
  <si>
    <t>72000517</t>
  </si>
  <si>
    <t>BER-72000518</t>
  </si>
  <si>
    <t>TRE  PVC ATE 2M CORR EX S/REP</t>
  </si>
  <si>
    <t>72000518</t>
  </si>
  <si>
    <t>BER-72000519</t>
  </si>
  <si>
    <t>TRE  PVC ATE 2M CORR TO S/REP</t>
  </si>
  <si>
    <t>72000519</t>
  </si>
  <si>
    <t>BER-72000520</t>
  </si>
  <si>
    <t>TRE  PVC ATE 2M CORR PO S/REP</t>
  </si>
  <si>
    <t>72000520</t>
  </si>
  <si>
    <t>BER-72000521</t>
  </si>
  <si>
    <t>TRE  PVC DE 2 A 3M CORR PA S/REP</t>
  </si>
  <si>
    <t>72000521</t>
  </si>
  <si>
    <t>BER-72000522</t>
  </si>
  <si>
    <t>TRE  PVC DE 2 A 3M CORR TA S/REP</t>
  </si>
  <si>
    <t>72000522</t>
  </si>
  <si>
    <t>BER-72000523</t>
  </si>
  <si>
    <t>TRE  PVC DE 2 A 3M CORR EX S/REP</t>
  </si>
  <si>
    <t>72000523</t>
  </si>
  <si>
    <t>BER-72000524</t>
  </si>
  <si>
    <t>TRE  PVC DE 2 A 3M CORR TO S/REP</t>
  </si>
  <si>
    <t>72000524</t>
  </si>
  <si>
    <t>BER-72000525</t>
  </si>
  <si>
    <t>TRE  PVC DE 2 A 3M CORR PO S/REP</t>
  </si>
  <si>
    <t>72000525</t>
  </si>
  <si>
    <t>BER-72000526</t>
  </si>
  <si>
    <t>TRE  PVC DE 3 A 4M CORR PA S/REP</t>
  </si>
  <si>
    <t>72000526</t>
  </si>
  <si>
    <t>BER-72000527</t>
  </si>
  <si>
    <t>TRE  PVC DE 3 A 4M CORR TA S/REP</t>
  </si>
  <si>
    <t>72000527</t>
  </si>
  <si>
    <t>BER-72000528</t>
  </si>
  <si>
    <t>TRE  PVC DE 3 A 4M CORR EX S/REP</t>
  </si>
  <si>
    <t>72000528</t>
  </si>
  <si>
    <t>BER-72000529</t>
  </si>
  <si>
    <t>TRE  PVC DE 3 A 4M CORR TO S/REP</t>
  </si>
  <si>
    <t>72000529</t>
  </si>
  <si>
    <t>BER-72000530</t>
  </si>
  <si>
    <t>TRE  PVC DE 3 A 4M CORR PO S/REP</t>
  </si>
  <si>
    <t>72000530</t>
  </si>
  <si>
    <t>BER-72000591</t>
  </si>
  <si>
    <t>LRP CIM ATE 2M  TRE</t>
  </si>
  <si>
    <t>72000591</t>
  </si>
  <si>
    <t>BER-72000592</t>
  </si>
  <si>
    <t>LRP CIM DE 2 A 3M  TRE</t>
  </si>
  <si>
    <t>72000592</t>
  </si>
  <si>
    <t>BER-72000593</t>
  </si>
  <si>
    <t>LRP CIM DE 3 A 4M  TRE</t>
  </si>
  <si>
    <t>72000593</t>
  </si>
  <si>
    <t>BER-72000594</t>
  </si>
  <si>
    <t>LRP ESP ATE 2M  TRE</t>
  </si>
  <si>
    <t>72000594</t>
  </si>
  <si>
    <t>BER-72000595</t>
  </si>
  <si>
    <t>LRP ESP DE 2 A 3M  TRE</t>
  </si>
  <si>
    <t>72000595</t>
  </si>
  <si>
    <t>BER-72000596</t>
  </si>
  <si>
    <t>LRP ESP DE 3 A 4M  TRE</t>
  </si>
  <si>
    <t>72000596</t>
  </si>
  <si>
    <t>BER-72001186</t>
  </si>
  <si>
    <t>LPB ATE 2M TA TRE  COMPX C</t>
  </si>
  <si>
    <t>72001186</t>
  </si>
  <si>
    <t>BER-72001189</t>
  </si>
  <si>
    <t>LPB DE 2 A 3M TA TRE  COMPX C</t>
  </si>
  <si>
    <t>72001189</t>
  </si>
  <si>
    <t>BER-72001192</t>
  </si>
  <si>
    <t>LPB DE 3 A 4M TA TRE  COMPX C</t>
  </si>
  <si>
    <t>72001192</t>
  </si>
  <si>
    <t>BER-72001088</t>
  </si>
  <si>
    <t>LPB ATE 2M EX TRE  COMPX C</t>
  </si>
  <si>
    <t>72001088</t>
  </si>
  <si>
    <t>BER-72001091</t>
  </si>
  <si>
    <t>LPB DE 2 A 3M EX TRE  COMPX C</t>
  </si>
  <si>
    <t>72001091</t>
  </si>
  <si>
    <t>BER-72001094</t>
  </si>
  <si>
    <t>LPB DE 3 A 4M EX TRE  COMPX C</t>
  </si>
  <si>
    <t>72001094</t>
  </si>
  <si>
    <t>BER-72001216</t>
  </si>
  <si>
    <t>LPB ATE 2M TO TRE  COMPX C</t>
  </si>
  <si>
    <t>72001216</t>
  </si>
  <si>
    <t>BER-72001219</t>
  </si>
  <si>
    <t>LPB DE 2 A 3M TO TRE  COMPX C</t>
  </si>
  <si>
    <t>72001219</t>
  </si>
  <si>
    <t>BER-72001222</t>
  </si>
  <si>
    <t>LPB DE 3 A 4M TO TRE  COMPX C</t>
  </si>
  <si>
    <t>72001222</t>
  </si>
  <si>
    <t>SAN-72000759</t>
  </si>
  <si>
    <t>SERVIÇOS DE ESGOTO</t>
  </si>
  <si>
    <t>2090501</t>
  </si>
  <si>
    <t>CONST PI ATE 2M  S/REP</t>
  </si>
  <si>
    <t>72000759</t>
  </si>
  <si>
    <t>2220501</t>
  </si>
  <si>
    <t>SAN-72000760</t>
  </si>
  <si>
    <t>2090502</t>
  </si>
  <si>
    <t>CONST PI DE 2 A 3M  S/REP</t>
  </si>
  <si>
    <t>72000760</t>
  </si>
  <si>
    <t>2220502</t>
  </si>
  <si>
    <t>SAN-72000748</t>
  </si>
  <si>
    <t>2090508</t>
  </si>
  <si>
    <t>CPV DIAM = 1,20M - DE 2 A 3M - S/REP</t>
  </si>
  <si>
    <t>72000748</t>
  </si>
  <si>
    <t>2220508</t>
  </si>
  <si>
    <t>SAN-72000749</t>
  </si>
  <si>
    <t>2090509</t>
  </si>
  <si>
    <t>CPV DIAM = 1,20M - DE 3 A 4M - S/REP</t>
  </si>
  <si>
    <t>72000749</t>
  </si>
  <si>
    <t>2220509</t>
  </si>
  <si>
    <t>SAN-72000750</t>
  </si>
  <si>
    <t>2090510</t>
  </si>
  <si>
    <t>CPV DIAM = 1,20M - DE 4 A 5M - S/REP</t>
  </si>
  <si>
    <t>72000750</t>
  </si>
  <si>
    <t>2220510</t>
  </si>
  <si>
    <t>SAN-72000747</t>
  </si>
  <si>
    <t>2090507</t>
  </si>
  <si>
    <t>CPV DIAM = 1,20M - PROF ATE 2M  S/REP</t>
  </si>
  <si>
    <t>72000747</t>
  </si>
  <si>
    <t>2220507</t>
  </si>
  <si>
    <t>SAN-72000743</t>
  </si>
  <si>
    <t>2090503</t>
  </si>
  <si>
    <t>CPV DIAM = 1M - PROF ATE 2M  S/REP</t>
  </si>
  <si>
    <t>72000743</t>
  </si>
  <si>
    <t>2220503</t>
  </si>
  <si>
    <t>SAN-72000744</t>
  </si>
  <si>
    <t>2090504</t>
  </si>
  <si>
    <t>CPV DIAM = 1M - PROF DE 2 A 3M  S/REP</t>
  </si>
  <si>
    <t>72000744</t>
  </si>
  <si>
    <t>2220504</t>
  </si>
  <si>
    <t>SAN-72000745</t>
  </si>
  <si>
    <t>2090505</t>
  </si>
  <si>
    <t>CPV DIAM = 1M - PROF DE 3 A 4M  S/REP</t>
  </si>
  <si>
    <t>72000745</t>
  </si>
  <si>
    <t>2220505</t>
  </si>
  <si>
    <t>SAN-72000746</t>
  </si>
  <si>
    <t>2090506</t>
  </si>
  <si>
    <t>CPV DIAM = 1M - PROF DE 4 A 5M  S/REP</t>
  </si>
  <si>
    <t>72000746</t>
  </si>
  <si>
    <t>2220506</t>
  </si>
  <si>
    <t>SAN-72001086</t>
  </si>
  <si>
    <t>2240327</t>
  </si>
  <si>
    <t>LPB ATE 2M EX TRE  COMPX A</t>
  </si>
  <si>
    <t>72001086</t>
  </si>
  <si>
    <t>SAN-72001087</t>
  </si>
  <si>
    <t>2240326</t>
  </si>
  <si>
    <t>LPB ATE 2M EX TRE  COMPX B</t>
  </si>
  <si>
    <t>72001087</t>
  </si>
  <si>
    <t>SAN-72001088</t>
  </si>
  <si>
    <t>2240325</t>
  </si>
  <si>
    <t>SAN-72001184</t>
  </si>
  <si>
    <t>2240309</t>
  </si>
  <si>
    <t>LPB ATE 2M TA TRE  COMPX A</t>
  </si>
  <si>
    <t>72001184</t>
  </si>
  <si>
    <t>SAN-72001185</t>
  </si>
  <si>
    <t>2240308</t>
  </si>
  <si>
    <t>LPB ATE 2M TA TRE  COMPX B</t>
  </si>
  <si>
    <t>72001185</t>
  </si>
  <si>
    <t>SAN-72001186</t>
  </si>
  <si>
    <t>2240307</t>
  </si>
  <si>
    <t>SAN-72001214</t>
  </si>
  <si>
    <t>2240345</t>
  </si>
  <si>
    <t>LPB ATE 2M TO TRE  COMPX A</t>
  </si>
  <si>
    <t>72001214</t>
  </si>
  <si>
    <t>SAN-72001215</t>
  </si>
  <si>
    <t>2240344</t>
  </si>
  <si>
    <t>LPB ATE 2M TO TRE  COMPX B</t>
  </si>
  <si>
    <t>72001215</t>
  </si>
  <si>
    <t>SAN-72001216</t>
  </si>
  <si>
    <t>2240343</t>
  </si>
  <si>
    <t>SAN-72000767</t>
  </si>
  <si>
    <t>1090115</t>
  </si>
  <si>
    <t>SUBST PI POR PLAST ATE 2M  S/REP</t>
  </si>
  <si>
    <t>72000767</t>
  </si>
  <si>
    <t>SAN-72000762</t>
  </si>
  <si>
    <t>1090110</t>
  </si>
  <si>
    <t>REC PI DE 2 A 3M  S/REP</t>
  </si>
  <si>
    <t>72000762</t>
  </si>
  <si>
    <t>SAN-72000761</t>
  </si>
  <si>
    <t>1090109</t>
  </si>
  <si>
    <t>REC PI ATE 2M  S/REP</t>
  </si>
  <si>
    <t>72000761</t>
  </si>
  <si>
    <t>SAN-72001060</t>
  </si>
  <si>
    <t>2090605</t>
  </si>
  <si>
    <t>LPB CPV DIAM = 1,20M  COMPX A</t>
  </si>
  <si>
    <t>72001060</t>
  </si>
  <si>
    <t>2220605</t>
  </si>
  <si>
    <t>SAN-72001061</t>
  </si>
  <si>
    <t>2090604</t>
  </si>
  <si>
    <t>LPB CPV DIAM = 1,20M  COMPX B</t>
  </si>
  <si>
    <t>72001061</t>
  </si>
  <si>
    <t>2220604</t>
  </si>
  <si>
    <t>SAN-72001062</t>
  </si>
  <si>
    <t>2090603</t>
  </si>
  <si>
    <t>LPB CPV DIAM = 1,20M  COMPX C</t>
  </si>
  <si>
    <t>72001062</t>
  </si>
  <si>
    <t>2220603</t>
  </si>
  <si>
    <t>SAN-72001089</t>
  </si>
  <si>
    <t>2240333</t>
  </si>
  <si>
    <t>LPB DE 2 A 3M EX TRE  COMPX A</t>
  </si>
  <si>
    <t>72001089</t>
  </si>
  <si>
    <t>SAN-72001090</t>
  </si>
  <si>
    <t>2240332</t>
  </si>
  <si>
    <t>LPB DE 2 A 3M EX TRE  COMPX B</t>
  </si>
  <si>
    <t>72001090</t>
  </si>
  <si>
    <t>SAN-72001091</t>
  </si>
  <si>
    <t>2240331</t>
  </si>
  <si>
    <t>SAN-72001187</t>
  </si>
  <si>
    <t>2240315</t>
  </si>
  <si>
    <t>LPB DE 2 A 3M TA TRE  COMPX A</t>
  </si>
  <si>
    <t>72001187</t>
  </si>
  <si>
    <t>SAN-72001188</t>
  </si>
  <si>
    <t>2240314</t>
  </si>
  <si>
    <t>LPB DE 2 A 3M TA TRE  COMPX B</t>
  </si>
  <si>
    <t>72001188</t>
  </si>
  <si>
    <t>SAN-72001189</t>
  </si>
  <si>
    <t>2240313</t>
  </si>
  <si>
    <t>SAN-72001217</t>
  </si>
  <si>
    <t>2240351</t>
  </si>
  <si>
    <t>LPB DE 2 A 3M TO TRE  COMPX A</t>
  </si>
  <si>
    <t>72001217</t>
  </si>
  <si>
    <t>SAN-72001218</t>
  </si>
  <si>
    <t>2240350</t>
  </si>
  <si>
    <t>LPB DE 2 A 3M TO TRE  COMPX B</t>
  </si>
  <si>
    <t>72001218</t>
  </si>
  <si>
    <t>SAN-72001219</t>
  </si>
  <si>
    <t>2240349</t>
  </si>
  <si>
    <t>SAN-72001092</t>
  </si>
  <si>
    <t>2240339</t>
  </si>
  <si>
    <t>LPB DE 3 A 4M EX TRE  COMPX A</t>
  </si>
  <si>
    <t>72001092</t>
  </si>
  <si>
    <t>SAN-72001093</t>
  </si>
  <si>
    <t>2240338</t>
  </si>
  <si>
    <t>LPB DE 3 A 4M EX TRE  COMPX B</t>
  </si>
  <si>
    <t>72001093</t>
  </si>
  <si>
    <t>SAN-72001094</t>
  </si>
  <si>
    <t>2240337</t>
  </si>
  <si>
    <t>SAN-72001190</t>
  </si>
  <si>
    <t>2240321</t>
  </si>
  <si>
    <t>LPB DE 3 A 4M TA TRE  COMPX A</t>
  </si>
  <si>
    <t>72001190</t>
  </si>
  <si>
    <t>SAN-72001191</t>
  </si>
  <si>
    <t>2240320</t>
  </si>
  <si>
    <t>LPB DE 3 A 4M TA TRE  COMPX B</t>
  </si>
  <si>
    <t>72001191</t>
  </si>
  <si>
    <t>SAN-72001192</t>
  </si>
  <si>
    <t>2240319</t>
  </si>
  <si>
    <t>SAN-72001220</t>
  </si>
  <si>
    <t>2240357</t>
  </si>
  <si>
    <t>LPB DE 3 A 4M TO TRE  COMPX A</t>
  </si>
  <si>
    <t>72001220</t>
  </si>
  <si>
    <t>SAN-72001221</t>
  </si>
  <si>
    <t>2240356</t>
  </si>
  <si>
    <t>LPB DE 3 A 4M TO TRE  COMPX B</t>
  </si>
  <si>
    <t>72001221</t>
  </si>
  <si>
    <t>SAN-72001222</t>
  </si>
  <si>
    <t>2240355</t>
  </si>
  <si>
    <t>SAN-72000768</t>
  </si>
  <si>
    <t>1090116</t>
  </si>
  <si>
    <t>SUBST PV POR PLAST ATE 2M  S/REP</t>
  </si>
  <si>
    <t>72000768</t>
  </si>
  <si>
    <t>SAN-72000769</t>
  </si>
  <si>
    <t>1090117</t>
  </si>
  <si>
    <t>SUBST PV POR PLAST DE 2 A 3M  S/REP</t>
  </si>
  <si>
    <t>72000769</t>
  </si>
  <si>
    <t>SAN-72000770</t>
  </si>
  <si>
    <t>1090118</t>
  </si>
  <si>
    <t>SUBST PV POR PLAST DE 3 A 4M  S/REP</t>
  </si>
  <si>
    <t>72000770</t>
  </si>
  <si>
    <t>SAN-72000531</t>
  </si>
  <si>
    <t>2140501</t>
  </si>
  <si>
    <t>SAN-72000591</t>
  </si>
  <si>
    <t>2240301</t>
  </si>
  <si>
    <t>SAN-72000592</t>
  </si>
  <si>
    <t>2240302</t>
  </si>
  <si>
    <t>SAN-72000593</t>
  </si>
  <si>
    <t>2240303</t>
  </si>
  <si>
    <t>SAN-72000532</t>
  </si>
  <si>
    <t>2140521</t>
  </si>
  <si>
    <t>SAN-72001227</t>
  </si>
  <si>
    <t>2090409</t>
  </si>
  <si>
    <t>LRP CIM PROF ACIMA DE 2M  PRE</t>
  </si>
  <si>
    <t>72001227</t>
  </si>
  <si>
    <t>2220409</t>
  </si>
  <si>
    <t>SAN-72001226</t>
  </si>
  <si>
    <t>2090401</t>
  </si>
  <si>
    <t>LRP CIM PROF ATE 2M  PRE</t>
  </si>
  <si>
    <t>72001226</t>
  </si>
  <si>
    <t>2220401</t>
  </si>
  <si>
    <t>SAN-72000572</t>
  </si>
  <si>
    <t>2130302</t>
  </si>
  <si>
    <t>LRP ESP  LESG SUCES</t>
  </si>
  <si>
    <t>SAN-72000533</t>
  </si>
  <si>
    <t>2140502</t>
  </si>
  <si>
    <t>SAN-72000594</t>
  </si>
  <si>
    <t>2240304</t>
  </si>
  <si>
    <t>SAN-72001233</t>
  </si>
  <si>
    <t>2090602</t>
  </si>
  <si>
    <t>LRP ESP CPV DIAM = 1,20M</t>
  </si>
  <si>
    <t>72001233</t>
  </si>
  <si>
    <t>2220602</t>
  </si>
  <si>
    <t>SAN-72000595</t>
  </si>
  <si>
    <t>2240305</t>
  </si>
  <si>
    <t>SAN-72000596</t>
  </si>
  <si>
    <t>2240306</t>
  </si>
  <si>
    <t>SAN-72001232</t>
  </si>
  <si>
    <t>2090410</t>
  </si>
  <si>
    <t>LRP ESP PROF ACIMA DE 2M  PRE</t>
  </si>
  <si>
    <t>72001232</t>
  </si>
  <si>
    <t>2220410</t>
  </si>
  <si>
    <t>SAN-72001231</t>
  </si>
  <si>
    <t>2090402</t>
  </si>
  <si>
    <t>LRP ESP PROF ATE 2M  PRE</t>
  </si>
  <si>
    <t>72001231</t>
  </si>
  <si>
    <t>2220402</t>
  </si>
  <si>
    <t>SAN-72000486</t>
  </si>
  <si>
    <t>2240103</t>
  </si>
  <si>
    <t>SAN-72000484</t>
  </si>
  <si>
    <t>2240101</t>
  </si>
  <si>
    <t>SAN-72000488</t>
  </si>
  <si>
    <t>2240105</t>
  </si>
  <si>
    <t>SAN-72000485</t>
  </si>
  <si>
    <t>2240102</t>
  </si>
  <si>
    <t>SAN-72000487</t>
  </si>
  <si>
    <t>2240104</t>
  </si>
  <si>
    <t>SAN-72000491</t>
  </si>
  <si>
    <t>2240108</t>
  </si>
  <si>
    <t>SAN-72000489</t>
  </si>
  <si>
    <t>2240106</t>
  </si>
  <si>
    <t>SAN-72000493</t>
  </si>
  <si>
    <t>2240110</t>
  </si>
  <si>
    <t>SAN-72000490</t>
  </si>
  <si>
    <t>2240107</t>
  </si>
  <si>
    <t>SAN-72000492</t>
  </si>
  <si>
    <t>2240109</t>
  </si>
  <si>
    <t>SAN-72000496</t>
  </si>
  <si>
    <t>2240113</t>
  </si>
  <si>
    <t>SAN-72000494</t>
  </si>
  <si>
    <t>2240111</t>
  </si>
  <si>
    <t>SAN-72000495</t>
  </si>
  <si>
    <t>2240112</t>
  </si>
  <si>
    <t>SAN-72000498</t>
  </si>
  <si>
    <t>2240115</t>
  </si>
  <si>
    <t>SAN-72000497</t>
  </si>
  <si>
    <t>2240114</t>
  </si>
  <si>
    <t>SAN-72000518</t>
  </si>
  <si>
    <t>2240203</t>
  </si>
  <si>
    <t>SAN-72000516</t>
  </si>
  <si>
    <t>2240201</t>
  </si>
  <si>
    <t>SAN-72000520</t>
  </si>
  <si>
    <t>2240205</t>
  </si>
  <si>
    <t>SAN-72000517</t>
  </si>
  <si>
    <t>2240202</t>
  </si>
  <si>
    <t>SAN-72000519</t>
  </si>
  <si>
    <t>2240204</t>
  </si>
  <si>
    <t>SAN-72000523</t>
  </si>
  <si>
    <t>2240208</t>
  </si>
  <si>
    <t>SAN-72000521</t>
  </si>
  <si>
    <t>2240206</t>
  </si>
  <si>
    <t>SAN-72000525</t>
  </si>
  <si>
    <t>2240210</t>
  </si>
  <si>
    <t>SAN-72000522</t>
  </si>
  <si>
    <t>2240207</t>
  </si>
  <si>
    <t>SAN-72000524</t>
  </si>
  <si>
    <t>2240209</t>
  </si>
  <si>
    <t>SAN-72000528</t>
  </si>
  <si>
    <t>2240213</t>
  </si>
  <si>
    <t>SAN-72000526</t>
  </si>
  <si>
    <t>2240211</t>
  </si>
  <si>
    <t>SAN-72000530</t>
  </si>
  <si>
    <t>2240215</t>
  </si>
  <si>
    <t>SAN-72000527</t>
  </si>
  <si>
    <t>2240212</t>
  </si>
  <si>
    <t>SAN-72000529</t>
  </si>
  <si>
    <t>2240214</t>
  </si>
  <si>
    <t>SAN-72000896</t>
  </si>
  <si>
    <t>2030217</t>
  </si>
  <si>
    <t>CONCRETO CONST. PECAS</t>
  </si>
  <si>
    <t>72000896</t>
  </si>
  <si>
    <t>M3</t>
  </si>
  <si>
    <t>SAN-72001072</t>
  </si>
  <si>
    <t>2140531</t>
  </si>
  <si>
    <t>LPB MAIS DE 2M EX LESG COMPX A</t>
  </si>
  <si>
    <t>72001072</t>
  </si>
  <si>
    <t>SAN-72001201</t>
  </si>
  <si>
    <t>2140515</t>
  </si>
  <si>
    <t>SAN-72001073</t>
  </si>
  <si>
    <t>2140530</t>
  </si>
  <si>
    <t>LPB MAIS DE 2M EX LESG COMPX B</t>
  </si>
  <si>
    <t>72001073</t>
  </si>
  <si>
    <t>SAN-72001204</t>
  </si>
  <si>
    <t>2140535</t>
  </si>
  <si>
    <t>SAN-72001041</t>
  </si>
  <si>
    <t>2140509</t>
  </si>
  <si>
    <t>SAN-72001074</t>
  </si>
  <si>
    <t>2140529</t>
  </si>
  <si>
    <t>SAN-72001199</t>
  </si>
  <si>
    <t>2140517</t>
  </si>
  <si>
    <t>LPB ATE 2M TO LESG COMPX A</t>
  </si>
  <si>
    <t>72001199</t>
  </si>
  <si>
    <t>SAN-72001202</t>
  </si>
  <si>
    <t>2140537</t>
  </si>
  <si>
    <t>LPB MAIS DE 2M TO LESG COMPX A</t>
  </si>
  <si>
    <t>72001202</t>
  </si>
  <si>
    <t>SAN-72001200</t>
  </si>
  <si>
    <t>2140516</t>
  </si>
  <si>
    <t>LPB ATE 2M TO LESG COMPX B</t>
  </si>
  <si>
    <t>72001200</t>
  </si>
  <si>
    <t>SAN-72001203</t>
  </si>
  <si>
    <t>2140536</t>
  </si>
  <si>
    <t>LPB MAIS DE 2M TO LESG COMPX B</t>
  </si>
  <si>
    <t>72001203</t>
  </si>
  <si>
    <t>SAN-72001162</t>
  </si>
  <si>
    <t>2140503</t>
  </si>
  <si>
    <t>SAN-72001039</t>
  </si>
  <si>
    <t>2140511</t>
  </si>
  <si>
    <t>LPB ATE 2M EX LESG COMPX A</t>
  </si>
  <si>
    <t>72001039</t>
  </si>
  <si>
    <t>SAN-72001040</t>
  </si>
  <si>
    <t>2140510</t>
  </si>
  <si>
    <t>LPB ATE 2M EX LESG COMPX B</t>
  </si>
  <si>
    <t>72001040</t>
  </si>
  <si>
    <t>SAN-72001174</t>
  </si>
  <si>
    <t>2140523</t>
  </si>
  <si>
    <t>SAN-72001075</t>
  </si>
  <si>
    <t>2130311</t>
  </si>
  <si>
    <t>LPB  EX LESG SUCES COMPX A</t>
  </si>
  <si>
    <t>72001075</t>
  </si>
  <si>
    <t>SAN-72000571</t>
  </si>
  <si>
    <t>2130301</t>
  </si>
  <si>
    <t>SAN-72001080</t>
  </si>
  <si>
    <t>2140505</t>
  </si>
  <si>
    <t>LPB ATE 2M TA LESG COMPX A</t>
  </si>
  <si>
    <t>72001080</t>
  </si>
  <si>
    <t>SAN-72001172</t>
  </si>
  <si>
    <t>2140525</t>
  </si>
  <si>
    <t>LPB ASF MAIS DE 2M TA LESG COMPX A</t>
  </si>
  <si>
    <t>72001172</t>
  </si>
  <si>
    <t>SAN-72001076</t>
  </si>
  <si>
    <t>2130310</t>
  </si>
  <si>
    <t>LPB  EX LESG SUCES COMPX B</t>
  </si>
  <si>
    <t>72001076</t>
  </si>
  <si>
    <t>SAN-72001081</t>
  </si>
  <si>
    <t>2140504</t>
  </si>
  <si>
    <t>LPB ATE 2M TA LESG COMPX B</t>
  </si>
  <si>
    <t>72001081</t>
  </si>
  <si>
    <t>SAN-72001173</t>
  </si>
  <si>
    <t>2140524</t>
  </si>
  <si>
    <t>LPB MAIS DE 2M TA LESG COMPX B</t>
  </si>
  <si>
    <t>72001173</t>
  </si>
  <si>
    <t>SAN-72000511</t>
  </si>
  <si>
    <t>2130201</t>
  </si>
  <si>
    <t>SAN-72000512</t>
  </si>
  <si>
    <t>2130202</t>
  </si>
  <si>
    <t>SAN-72000513</t>
  </si>
  <si>
    <t>2130203</t>
  </si>
  <si>
    <t>SAN-72000514</t>
  </si>
  <si>
    <t>2130204</t>
  </si>
  <si>
    <t>SAN-72000515</t>
  </si>
  <si>
    <t>2130205</t>
  </si>
  <si>
    <t>SAN-72001177</t>
  </si>
  <si>
    <t>2130303</t>
  </si>
  <si>
    <t>SAN-72001176</t>
  </si>
  <si>
    <t>2130304</t>
  </si>
  <si>
    <t>LPB  TA LESG SUCES COMPX B</t>
  </si>
  <si>
    <t>72001176</t>
  </si>
  <si>
    <t>SAN-72001175</t>
  </si>
  <si>
    <t>2130305</t>
  </si>
  <si>
    <t>LPB  TA LESG SUCES COMPX A</t>
  </si>
  <si>
    <t>72001175</t>
  </si>
  <si>
    <t>SAN-72001077</t>
  </si>
  <si>
    <t>2130309</t>
  </si>
  <si>
    <t>SAN-72001207</t>
  </si>
  <si>
    <t>2130315</t>
  </si>
  <si>
    <t>SAN-72001206</t>
  </si>
  <si>
    <t>2130316</t>
  </si>
  <si>
    <t>LPB  TO LESG SUCES COMPX B</t>
  </si>
  <si>
    <t>72001206</t>
  </si>
  <si>
    <t>SAN-72001205</t>
  </si>
  <si>
    <t>2130317</t>
  </si>
  <si>
    <t>LPB  TO LESG SUCES COMPX A</t>
  </si>
  <si>
    <t>72001205</t>
  </si>
  <si>
    <t>SAN-72000499</t>
  </si>
  <si>
    <t>2140201</t>
  </si>
  <si>
    <t>SAN-72000500</t>
  </si>
  <si>
    <t>2140202</t>
  </si>
  <si>
    <t>SAN-72000501</t>
  </si>
  <si>
    <t>2140203</t>
  </si>
  <si>
    <t>SAN-72000502</t>
  </si>
  <si>
    <t>2140204</t>
  </si>
  <si>
    <t>SAN-72000503</t>
  </si>
  <si>
    <t>2140205</t>
  </si>
  <si>
    <t>SAN-72000504</t>
  </si>
  <si>
    <t>2140206</t>
  </si>
  <si>
    <t>SAN-72000505</t>
  </si>
  <si>
    <t>2140207</t>
  </si>
  <si>
    <t>SAN-72000506</t>
  </si>
  <si>
    <t>2140208</t>
  </si>
  <si>
    <t>SAN-72000507</t>
  </si>
  <si>
    <t>2140209</t>
  </si>
  <si>
    <t>SAN-72000033</t>
  </si>
  <si>
    <t>SERVIÇOS DE ÁGUA</t>
  </si>
  <si>
    <t>2060101</t>
  </si>
  <si>
    <t>SAN-72000034</t>
  </si>
  <si>
    <t>2060102</t>
  </si>
  <si>
    <t>SAN-72000035</t>
  </si>
  <si>
    <t>2060103</t>
  </si>
  <si>
    <t>SAN-72000036</t>
  </si>
  <si>
    <t>2060104</t>
  </si>
  <si>
    <t>SAN-72000037</t>
  </si>
  <si>
    <t>2060105</t>
  </si>
  <si>
    <t>SAN-72000057</t>
  </si>
  <si>
    <t>2060201</t>
  </si>
  <si>
    <t>SAN-72000058</t>
  </si>
  <si>
    <t>2060202</t>
  </si>
  <si>
    <t>SAN-72000059</t>
  </si>
  <si>
    <t>2060203</t>
  </si>
  <si>
    <t>SAN-72000060</t>
  </si>
  <si>
    <t>2060204</t>
  </si>
  <si>
    <t>SAN-72000061</t>
  </si>
  <si>
    <t>2060205</t>
  </si>
  <si>
    <t>SAN-72001230</t>
  </si>
  <si>
    <t>1030501</t>
  </si>
  <si>
    <t>LRP CIM  SUPR RELIGACAO DE LIGACAO</t>
  </si>
  <si>
    <t>72001230</t>
  </si>
  <si>
    <t>SAN-72001180</t>
  </si>
  <si>
    <t>2060303</t>
  </si>
  <si>
    <t>SAN-72001179</t>
  </si>
  <si>
    <t>2060304</t>
  </si>
  <si>
    <t>LPB  TA LAG SUCES COMPX B</t>
  </si>
  <si>
    <t>72001179</t>
  </si>
  <si>
    <t>SAN-72001178</t>
  </si>
  <si>
    <t>2060305</t>
  </si>
  <si>
    <t>LPB  TA LAG SUCES COMPX A</t>
  </si>
  <si>
    <t>72001178</t>
  </si>
  <si>
    <t>SAN-72001082</t>
  </si>
  <si>
    <t>2060309</t>
  </si>
  <si>
    <t>SAN-72001079</t>
  </si>
  <si>
    <t>2060310</t>
  </si>
  <si>
    <t>LPB EX LAG SUCES COMPX B</t>
  </si>
  <si>
    <t>72001079</t>
  </si>
  <si>
    <t>SAN-72001078</t>
  </si>
  <si>
    <t>2060311</t>
  </si>
  <si>
    <t>LPB EX LAG SUCES COMPX A</t>
  </si>
  <si>
    <t>72001078</t>
  </si>
  <si>
    <t>SAN-72001210</t>
  </si>
  <si>
    <t>2060315</t>
  </si>
  <si>
    <t>SAN-72001209</t>
  </si>
  <si>
    <t>2060316</t>
  </si>
  <si>
    <t>LPB  TO LAG SUCES COMPX B</t>
  </si>
  <si>
    <t>72001209</t>
  </si>
  <si>
    <t>SAN-72001208</t>
  </si>
  <si>
    <t>2060317</t>
  </si>
  <si>
    <t>LPB  TO LAG SUCES COMPX A</t>
  </si>
  <si>
    <t>72001208</t>
  </si>
  <si>
    <t>SAN-72000049</t>
  </si>
  <si>
    <t>2060401</t>
  </si>
  <si>
    <t>SAN-72000073</t>
  </si>
  <si>
    <t>2060501</t>
  </si>
  <si>
    <t>SAN-72001235</t>
  </si>
  <si>
    <t>1030502</t>
  </si>
  <si>
    <t>LRP ESP  SUPR RELIGACAO DE LIGACAO</t>
  </si>
  <si>
    <t>72001235</t>
  </si>
  <si>
    <t>SAN-72001105</t>
  </si>
  <si>
    <t>2060603</t>
  </si>
  <si>
    <t>SAN-72001104</t>
  </si>
  <si>
    <t>2060604</t>
  </si>
  <si>
    <t>LPB  MND LAG SUCES COMPX B</t>
  </si>
  <si>
    <t>72001104</t>
  </si>
  <si>
    <t>SAN-72001103</t>
  </si>
  <si>
    <t>2060605</t>
  </si>
  <si>
    <t>LPB  MND LAG SUCES COMPX A</t>
  </si>
  <si>
    <t>72001103</t>
  </si>
  <si>
    <t>SAN-72000052</t>
  </si>
  <si>
    <t>2070101</t>
  </si>
  <si>
    <t>SAN-72000053</t>
  </si>
  <si>
    <t>2070102</t>
  </si>
  <si>
    <t>SAN-72000054</t>
  </si>
  <si>
    <t>2070103</t>
  </si>
  <si>
    <t>SAN-72000055</t>
  </si>
  <si>
    <t>2070104</t>
  </si>
  <si>
    <t>SAN-72000056</t>
  </si>
  <si>
    <t>2070105</t>
  </si>
  <si>
    <t>SAN-72000028</t>
  </si>
  <si>
    <t>2070201</t>
  </si>
  <si>
    <t>SAN-72000029</t>
  </si>
  <si>
    <t>2070202</t>
  </si>
  <si>
    <t>SAN-72000030</t>
  </si>
  <si>
    <t>2070203</t>
  </si>
  <si>
    <t>SAN-72000031</t>
  </si>
  <si>
    <t>2070204</t>
  </si>
  <si>
    <t>SAN-72000032</t>
  </si>
  <si>
    <t>2070205</t>
  </si>
  <si>
    <t>SAN-72000076</t>
  </si>
  <si>
    <t>2070301</t>
  </si>
  <si>
    <t>SAN-72000077</t>
  </si>
  <si>
    <t>2070302</t>
  </si>
  <si>
    <t>SAN-72000078</t>
  </si>
  <si>
    <t>2070303</t>
  </si>
  <si>
    <t>SAN-72000079</t>
  </si>
  <si>
    <t>2070304</t>
  </si>
  <si>
    <t>SAN-72000101</t>
  </si>
  <si>
    <t>2060301</t>
  </si>
  <si>
    <t>SAN-72001159</t>
  </si>
  <si>
    <t>2070403</t>
  </si>
  <si>
    <t>SAN-72001158</t>
  </si>
  <si>
    <t>2070404</t>
  </si>
  <si>
    <t>LPB TA LAG AVUL COMPX B</t>
  </si>
  <si>
    <t>72001158</t>
  </si>
  <si>
    <t>SAN-72001157</t>
  </si>
  <si>
    <t>2070405</t>
  </si>
  <si>
    <t>LPB  TA LAG AVUL COMPX A</t>
  </si>
  <si>
    <t>72001157</t>
  </si>
  <si>
    <t>SAN-72001071</t>
  </si>
  <si>
    <t>2070409</t>
  </si>
  <si>
    <t>SAN-72001070</t>
  </si>
  <si>
    <t>2070410</t>
  </si>
  <si>
    <t>LPB EX LAG AVUL COMPX B</t>
  </si>
  <si>
    <t>72001070</t>
  </si>
  <si>
    <t>SAN-72001069</t>
  </si>
  <si>
    <t>2070411</t>
  </si>
  <si>
    <t>LPB  ASF EX LAG AVUL COMPX A</t>
  </si>
  <si>
    <t>72001069</t>
  </si>
  <si>
    <t>SAN-72001198</t>
  </si>
  <si>
    <t>2070415</t>
  </si>
  <si>
    <t>SAN-72001197</t>
  </si>
  <si>
    <t>2070416</t>
  </si>
  <si>
    <t>LPB TO LAG AVUL COMPX B</t>
  </si>
  <si>
    <t>72001197</t>
  </si>
  <si>
    <t>SAN-72001196</t>
  </si>
  <si>
    <t>2070417</t>
  </si>
  <si>
    <t>LPB TO LAG AVUL COMPX A</t>
  </si>
  <si>
    <t>72001196</t>
  </si>
  <si>
    <t>SAN-72000048</t>
  </si>
  <si>
    <t>2070501</t>
  </si>
  <si>
    <t>SAN-72000072</t>
  </si>
  <si>
    <t>2070601</t>
  </si>
  <si>
    <t>SAN-72000102</t>
  </si>
  <si>
    <t>2060302</t>
  </si>
  <si>
    <t>SAN-72001102</t>
  </si>
  <si>
    <t>2070703</t>
  </si>
  <si>
    <t>SAN-72001099</t>
  </si>
  <si>
    <t>2070704</t>
  </si>
  <si>
    <t>LPB  MND LAG AVUL COMPX B</t>
  </si>
  <si>
    <t>72001099</t>
  </si>
  <si>
    <t>SAN-72001098</t>
  </si>
  <si>
    <t>2070705</t>
  </si>
  <si>
    <t>LPB  MND LAG AVUL COMPX A</t>
  </si>
  <si>
    <t>72001098</t>
  </si>
  <si>
    <t>SAN-72000169</t>
  </si>
  <si>
    <t>2060601</t>
  </si>
  <si>
    <t>SAN-72000170</t>
  </si>
  <si>
    <t>2060602</t>
  </si>
  <si>
    <t>SAN-72000081</t>
  </si>
  <si>
    <t>2070401</t>
  </si>
  <si>
    <t>SAN-72000082</t>
  </si>
  <si>
    <t>2070402</t>
  </si>
  <si>
    <t>SAN-72000161</t>
  </si>
  <si>
    <t>2070701</t>
  </si>
  <si>
    <t>SAN-72000162</t>
  </si>
  <si>
    <t>2070702</t>
  </si>
  <si>
    <t>SAN-72000141</t>
  </si>
  <si>
    <t>2190301</t>
  </si>
  <si>
    <t>SAN-72000142</t>
  </si>
  <si>
    <t>2190302</t>
  </si>
  <si>
    <t>SAN-72000121</t>
  </si>
  <si>
    <t>2190601</t>
  </si>
  <si>
    <t>SAN-72000044</t>
  </si>
  <si>
    <t>2190101</t>
  </si>
  <si>
    <t>2190102</t>
  </si>
  <si>
    <t>SAN-72000045</t>
  </si>
  <si>
    <t>2190103</t>
  </si>
  <si>
    <t>SAN-72000046</t>
  </si>
  <si>
    <t>2190104</t>
  </si>
  <si>
    <t>SAN-72000047</t>
  </si>
  <si>
    <t>2190105</t>
  </si>
  <si>
    <t>SAN-72000067</t>
  </si>
  <si>
    <t>2190201</t>
  </si>
  <si>
    <t>SAN-72000068</t>
  </si>
  <si>
    <t>2190202</t>
  </si>
  <si>
    <t>SAN-72000069</t>
  </si>
  <si>
    <t>2190203</t>
  </si>
  <si>
    <t>SAN-72000070</t>
  </si>
  <si>
    <t>2190204</t>
  </si>
  <si>
    <t>SAN-72000071</t>
  </si>
  <si>
    <t>2190205</t>
  </si>
  <si>
    <t>SAN-72000122</t>
  </si>
  <si>
    <t>2190602</t>
  </si>
  <si>
    <t>SAN-72001183</t>
  </si>
  <si>
    <t>2190303</t>
  </si>
  <si>
    <t>SAN-72001182</t>
  </si>
  <si>
    <t>2190304</t>
  </si>
  <si>
    <t>LPB  TA TRA CORR COMPX B</t>
  </si>
  <si>
    <t>72001182</t>
  </si>
  <si>
    <t>SAN-72001181</t>
  </si>
  <si>
    <t>2190305</t>
  </si>
  <si>
    <t>LPB  TA TRA CORR COMPX A</t>
  </si>
  <si>
    <t>72001181</t>
  </si>
  <si>
    <t>SAN-72001085</t>
  </si>
  <si>
    <t>2190309</t>
  </si>
  <si>
    <t>SAN-72001084</t>
  </si>
  <si>
    <t>2190310</t>
  </si>
  <si>
    <t>LPB  EX TRA CORR COMPX B</t>
  </si>
  <si>
    <t>72001084</t>
  </si>
  <si>
    <t>SAN-72001083</t>
  </si>
  <si>
    <t>2190311</t>
  </si>
  <si>
    <t>LPB  EX TRA CORR COMPX A</t>
  </si>
  <si>
    <t>72001083</t>
  </si>
  <si>
    <t>SAN-72001213</t>
  </si>
  <si>
    <t>2190315</t>
  </si>
  <si>
    <t>SAN-72001212</t>
  </si>
  <si>
    <t>2190316</t>
  </si>
  <si>
    <t>LPB  TO TRA CORR COMPX B</t>
  </si>
  <si>
    <t>72001212</t>
  </si>
  <si>
    <t>SAN-72001211</t>
  </si>
  <si>
    <t>2190317</t>
  </si>
  <si>
    <t>LPB  TO TRA CORR COMPX A</t>
  </si>
  <si>
    <t>72001211</t>
  </si>
  <si>
    <t>SAN-72000038</t>
  </si>
  <si>
    <t>2190401</t>
  </si>
  <si>
    <t>SAN-72000039</t>
  </si>
  <si>
    <t>2190402</t>
  </si>
  <si>
    <t>SAN-72000040</t>
  </si>
  <si>
    <t>2190403</t>
  </si>
  <si>
    <t>SAN-72000041</t>
  </si>
  <si>
    <t>2190404</t>
  </si>
  <si>
    <t>SAN-72000042</t>
  </si>
  <si>
    <t>2190405</t>
  </si>
  <si>
    <t>SAN-72000062</t>
  </si>
  <si>
    <t>2190501</t>
  </si>
  <si>
    <t>SAN-72000063</t>
  </si>
  <si>
    <t>2190502</t>
  </si>
  <si>
    <t>SAN-72000064</t>
  </si>
  <si>
    <t>2190503</t>
  </si>
  <si>
    <t>SAN-72000065</t>
  </si>
  <si>
    <t>2190504</t>
  </si>
  <si>
    <t>SAN-72000066</t>
  </si>
  <si>
    <t>2190505</t>
  </si>
  <si>
    <t>SAN-72000185</t>
  </si>
  <si>
    <t>2190901</t>
  </si>
  <si>
    <t>SAN-72001195</t>
  </si>
  <si>
    <t>2190603</t>
  </si>
  <si>
    <t>SAN-72001194</t>
  </si>
  <si>
    <t>2190604</t>
  </si>
  <si>
    <t>LPB ASF  TA TRA PREV COMPX B</t>
  </si>
  <si>
    <t>72001194</t>
  </si>
  <si>
    <t>SAN-72001193</t>
  </si>
  <si>
    <t>2190605</t>
  </si>
  <si>
    <t>LPB  TA TRA PREV COMPX A</t>
  </si>
  <si>
    <t>72001193</t>
  </si>
  <si>
    <t>SAN-72001097</t>
  </si>
  <si>
    <t>2190609</t>
  </si>
  <si>
    <t>SAN-72001096</t>
  </si>
  <si>
    <t>2190610</t>
  </si>
  <si>
    <t>LPB  EX TRA PREV COMPX B</t>
  </si>
  <si>
    <t>72001096</t>
  </si>
  <si>
    <t>SAN-72001095</t>
  </si>
  <si>
    <t>2190611</t>
  </si>
  <si>
    <t>LPB  EX TRA PREV COMPX A</t>
  </si>
  <si>
    <t>72001095</t>
  </si>
  <si>
    <t>SAN-72001225</t>
  </si>
  <si>
    <t>2190615</t>
  </si>
  <si>
    <t>SAN-72001224</t>
  </si>
  <si>
    <t>2190616</t>
  </si>
  <si>
    <t>LPB  TO TRA PREV COMPX B</t>
  </si>
  <si>
    <t>72001224</t>
  </si>
  <si>
    <t>SAN-72001223</t>
  </si>
  <si>
    <t>2190617</t>
  </si>
  <si>
    <t>LPB  TO TRA PREV COMPX A</t>
  </si>
  <si>
    <t>72001223</t>
  </si>
  <si>
    <t>SAN-72000051</t>
  </si>
  <si>
    <t>2190701</t>
  </si>
  <si>
    <t>SAN-72000075</t>
  </si>
  <si>
    <t>2190801</t>
  </si>
  <si>
    <t>SAN-72000186</t>
  </si>
  <si>
    <t>2190902</t>
  </si>
  <si>
    <t>SAN-72001108</t>
  </si>
  <si>
    <t>2190903</t>
  </si>
  <si>
    <t>SAN-72001107</t>
  </si>
  <si>
    <t>2190904</t>
  </si>
  <si>
    <t>LPB  MND TRA CORR COMPX B</t>
  </si>
  <si>
    <t>72001107</t>
  </si>
  <si>
    <t>SAN-72001106</t>
  </si>
  <si>
    <t>2190905</t>
  </si>
  <si>
    <t>LPB  MND TRA CORR COMPX A</t>
  </si>
  <si>
    <t>72001106</t>
  </si>
  <si>
    <t>SAN-72000050</t>
  </si>
  <si>
    <t>2191001</t>
  </si>
  <si>
    <t>SAN-72000074</t>
  </si>
  <si>
    <t>2191101</t>
  </si>
  <si>
    <t>SAN-72000177</t>
  </si>
  <si>
    <t>2191401</t>
  </si>
  <si>
    <t>SAN-72001111</t>
  </si>
  <si>
    <t>2191403</t>
  </si>
  <si>
    <t>SAN-72001110</t>
  </si>
  <si>
    <t>2191404</t>
  </si>
  <si>
    <t>LPB  MND TRA PREV COMPX B</t>
  </si>
  <si>
    <t>72001110</t>
  </si>
  <si>
    <t>SAN-72001109</t>
  </si>
  <si>
    <t>2191405</t>
  </si>
  <si>
    <t>LPB  MND TRA PREV COMPX A</t>
  </si>
  <si>
    <t>72001109</t>
  </si>
  <si>
    <t>SAN-72000215</t>
  </si>
  <si>
    <t>2080104</t>
  </si>
  <si>
    <t>SAN-72000214</t>
  </si>
  <si>
    <t>2080105</t>
  </si>
  <si>
    <t>SAN-72000897</t>
  </si>
  <si>
    <t>2191201</t>
  </si>
  <si>
    <t>ADC  SUBST TMD AG   SF</t>
  </si>
  <si>
    <t>SAN-72000898</t>
  </si>
  <si>
    <t>2191302</t>
  </si>
  <si>
    <t>SAN-72000210</t>
  </si>
  <si>
    <t>2070902</t>
  </si>
  <si>
    <t>SAN-72000221</t>
  </si>
  <si>
    <t>2070904</t>
  </si>
  <si>
    <t>SAN-72000211</t>
  </si>
  <si>
    <t>2070905</t>
  </si>
  <si>
    <t>SAN-72000300</t>
  </si>
  <si>
    <t>1050101</t>
  </si>
  <si>
    <t>ARR PVC 50 A 100  S/REP  SF</t>
  </si>
  <si>
    <t>72000300</t>
  </si>
  <si>
    <t>SAN-72000269</t>
  </si>
  <si>
    <t>1050102</t>
  </si>
  <si>
    <t>ARR FF 50 A 100  S/REP  SF</t>
  </si>
  <si>
    <t>72000269</t>
  </si>
  <si>
    <t>SAN-72001138</t>
  </si>
  <si>
    <t>1050207</t>
  </si>
  <si>
    <t>LPB 50 A 100  ARR COMPX C</t>
  </si>
  <si>
    <t>72001138</t>
  </si>
  <si>
    <t>SAN-72000305</t>
  </si>
  <si>
    <t>1050201</t>
  </si>
  <si>
    <t>LRP CIM 50 A 100  ARR</t>
  </si>
  <si>
    <t>72000305</t>
  </si>
  <si>
    <t>SAN-72000308</t>
  </si>
  <si>
    <t>1050204</t>
  </si>
  <si>
    <t>LRP ESP 50 A 100  ARR</t>
  </si>
  <si>
    <t>72000308</t>
  </si>
  <si>
    <t>SAN-72001154</t>
  </si>
  <si>
    <t>1030505</t>
  </si>
  <si>
    <t>LPB SUPR RELIG AG COMPX A</t>
  </si>
  <si>
    <t>72001154</t>
  </si>
  <si>
    <t>SAN-72001155</t>
  </si>
  <si>
    <t>1030504</t>
  </si>
  <si>
    <t>LPB SUPR RELIG AG COMPX B</t>
  </si>
  <si>
    <t>72001155</t>
  </si>
  <si>
    <t>SAN-72001156</t>
  </si>
  <si>
    <t>1030503</t>
  </si>
  <si>
    <t>LPB SUPR RELIG AG COMPX C</t>
  </si>
  <si>
    <t>72001156</t>
  </si>
  <si>
    <t>SAN-72000178</t>
  </si>
  <si>
    <t>2191402</t>
  </si>
  <si>
    <t>SAN-72000245</t>
  </si>
  <si>
    <t>1030404</t>
  </si>
  <si>
    <t>RELIG  CV AG</t>
  </si>
  <si>
    <t>72000245</t>
  </si>
  <si>
    <t>SAN-72000251</t>
  </si>
  <si>
    <t>1030405</t>
  </si>
  <si>
    <t>RELIG  CV AG  PT</t>
  </si>
  <si>
    <t>72000251</t>
  </si>
  <si>
    <t>SAN-72000249</t>
  </si>
  <si>
    <t>1030303</t>
  </si>
  <si>
    <t>RELIG  RAMAL AG  PT S/REP SF</t>
  </si>
  <si>
    <t>72000249</t>
  </si>
  <si>
    <t>SAN-72000248</t>
  </si>
  <si>
    <t>1030407</t>
  </si>
  <si>
    <t>RELIG  TMD AG   S/REP</t>
  </si>
  <si>
    <t>72000248</t>
  </si>
  <si>
    <t>SAN-72000250</t>
  </si>
  <si>
    <t>1030304</t>
  </si>
  <si>
    <t>RELIG  TMD AG  PT S/REP SF</t>
  </si>
  <si>
    <t>72000250</t>
  </si>
  <si>
    <t>SAN-72001164</t>
  </si>
  <si>
    <t>1030406</t>
  </si>
  <si>
    <t>RELIG RAMAL AG  S/ REP</t>
  </si>
  <si>
    <t>72001164</t>
  </si>
  <si>
    <t>SAN-72000243</t>
  </si>
  <si>
    <t>1030409</t>
  </si>
  <si>
    <t>ADC  SUPR TMD AG  S/REP</t>
  </si>
  <si>
    <t>72000243</t>
  </si>
  <si>
    <t>SAN-500001</t>
  </si>
  <si>
    <t>1030408</t>
  </si>
  <si>
    <t>ADIC CORTE SUPR CAVALETE</t>
  </si>
  <si>
    <t>500001</t>
  </si>
  <si>
    <t>SAN-72000240</t>
  </si>
  <si>
    <t>1030401</t>
  </si>
  <si>
    <t>SUPR  CV</t>
  </si>
  <si>
    <t>72000240</t>
  </si>
  <si>
    <t>SAN-72000242</t>
  </si>
  <si>
    <t>1030403</t>
  </si>
  <si>
    <t>SUPR  RAMAL AG  S/REP</t>
  </si>
  <si>
    <t>72000242</t>
  </si>
  <si>
    <t>SAN-72000239</t>
  </si>
  <si>
    <t>1030302</t>
  </si>
  <si>
    <t>SUPR  RAMAL AG  S/REP  SF</t>
  </si>
  <si>
    <t>72000239</t>
  </si>
  <si>
    <t>SAN-72000241</t>
  </si>
  <si>
    <t>1030402</t>
  </si>
  <si>
    <t>SUPR  TMD AG  S/REP</t>
  </si>
  <si>
    <t>72000241</t>
  </si>
  <si>
    <t>SAN-72000238</t>
  </si>
  <si>
    <t>1030301</t>
  </si>
  <si>
    <t>SUPR  TMD AG  S/REP  SF</t>
  </si>
  <si>
    <t>72000238</t>
  </si>
  <si>
    <t>COMO ESCOLHER O ITEM — DICIONÁRIO DOS CÓDIGOS E O QUE CADA CONTRATO TEM</t>
  </si>
  <si>
    <t>SERVIÇO DE CAMPO</t>
  </si>
  <si>
    <t>ONDE PROCURAR NA TABELA</t>
  </si>
  <si>
    <t>COMO ESCOLHER O ITEM CERTO</t>
  </si>
  <si>
    <t>EXISTE EM</t>
  </si>
  <si>
    <t>Nova ligação de água</t>
  </si>
  <si>
    <t>Grupos EXECUÇÃO DE LIGAÇÃO DE ÁGUA AVULSA e SUCESSIVA — prefixo LAG</t>
  </si>
  <si>
    <t>AVULSA = endereço isolado. SUCESSIVA = várias na mesma rua no mesmo dia, e custa menos. Confira o diâmetro e o tipo de piso na descrição.</t>
  </si>
  <si>
    <t>Os dois contratos</t>
  </si>
  <si>
    <t>EXECUÇÃO DE TROCA DE LIGAÇÃO DE ÁGUA — prefixo TRA</t>
  </si>
  <si>
    <t>CORR = corretiva (o vazamento já aconteceu). PREV = preventiva (programada). É este o item de vazamento no ramal: a SABESP paga a troca, não o diagnóstico.</t>
  </si>
  <si>
    <t>Serviço no cavalete</t>
  </si>
  <si>
    <t>EXECUÇÃO DE SERVIÇOS GERAIS EM CAVALETE — TCV, SUBST CV, ADC TCV</t>
  </si>
  <si>
    <t>TCV = troca do cavalete. ADC = adicional por cavalete a mais no mesmo endereço. SUBST CV POR UMA = troca por caixa padrão.</t>
  </si>
  <si>
    <t>Ligação e troca de esgoto</t>
  </si>
  <si>
    <t>LESG (ligação) e TRE (troca de ramal), avulsa ou sucessiva</t>
  </si>
  <si>
    <t>O preço muda por faixa de profundidade (até 2 m, de 2 a 3 m, de 3 a 4 m) e pelo material. Confira a profundidade anotada na OS.</t>
  </si>
  <si>
    <t>Supressão e religação</t>
  </si>
  <si>
    <t>SUPR e RELIG, dentro do grupo SERVIÇOS DE ÁGUA</t>
  </si>
  <si>
    <t>A tabela de Bertioga/Guarujá não tem nenhum item de supressão nem de religação. Se aparecer esse serviço em Bertioga, pare e trate com o consórcio antes de executar.</t>
  </si>
  <si>
    <t>SÓ SANTOS</t>
  </si>
  <si>
    <t>LRP e LPB, dentro do mesmo grupo do serviço</t>
  </si>
  <si>
    <t>LRP CIM = cimento, LRP ESP = especial (asfalto), LPB = lastro/base por complexidade. É SEMPRE item separado, somado ao serviço.</t>
  </si>
  <si>
    <t>Adicionais</t>
  </si>
  <si>
    <t>Prefixo ADC</t>
  </si>
  <si>
    <t>Segundo cavalete no mesmo endereço, instalação de caixa, substituição de TMD. Item pequeno e o mais esquecido na medição.</t>
  </si>
  <si>
    <t>O QUE A TABELA NÃO TEM — E POR QUÊ</t>
  </si>
  <si>
    <t>Não existe item de preço para vazamento de rede, conserto de rede, ferrule, hidrômetro, desobstrução de esgoto, travessia, remanejamento nem vistoria — em nenhum dos dois contratos. A SABESP não paga pelo diagnóstico ("vazamento"), paga pela ação executada: ligação, troca de ramal, cavalete, supressão ou religação. Serviço que não se encaixa em nenhuma dessas ações não tem código: trate com o consórcio antes de executar, sob pena de fazer de graça.</t>
  </si>
  <si>
    <t>ATENÇÃO — antes da primeira medição, confirme com o consórcio qual sufixo se aplica ao seu escopo: S/REP (sem reposição de pavimento) × com reposição, e SF (sem fornecimento de material) × com fornecimento. A diferença entre um e outro chega a 40% do preço do item.</t>
  </si>
  <si>
    <t>CADASTRO DE SERVIÇOS — CARTEIRA DE DEMANDAS RECEBIDAS DA SABESP</t>
  </si>
  <si>
    <t>Porta de entrada de TODO serviço. Nada é programado, executado ou medido sem estar aqui. AZUL = digite · PRETO = fórmula (não apague).</t>
  </si>
  <si>
    <t>ID</t>
  </si>
  <si>
    <t>Nº OS SABESP</t>
  </si>
  <si>
    <t>DATA DA SOLICITAÇÃO</t>
  </si>
  <si>
    <t>PRAZO (dias)</t>
  </si>
  <si>
    <t>DATA LIMITE</t>
  </si>
  <si>
    <t>ENDEREÇO</t>
  </si>
  <si>
    <t>Nº</t>
  </si>
  <si>
    <t>CIDADE</t>
  </si>
  <si>
    <t>PONTO DE REFERÊNCIA</t>
  </si>
  <si>
    <t>DESCRIÇÃO DA SOLICITAÇÃO</t>
  </si>
  <si>
    <t>EQUIPE DESIGNADA</t>
  </si>
  <si>
    <t>DATA PROGRAMADA</t>
  </si>
  <si>
    <t>DATA DE EXECUÇÃO</t>
  </si>
  <si>
    <t>STATUS</t>
  </si>
  <si>
    <t>DIAS EM ABERTO</t>
  </si>
  <si>
    <t>SITUAÇÃO DO PRAZO</t>
  </si>
  <si>
    <t>VALOR MEDIDO</t>
  </si>
  <si>
    <t>TRATATIVA MANUAL</t>
  </si>
  <si>
    <t>Alameda Maua</t>
  </si>
  <si>
    <t>225</t>
  </si>
  <si>
    <t>Bertioga</t>
  </si>
  <si>
    <t>Sede</t>
  </si>
  <si>
    <t>Vazamento de água não visível rede</t>
  </si>
  <si>
    <t>Rua Francisco Chaves</t>
  </si>
  <si>
    <t>2267</t>
  </si>
  <si>
    <t>B</t>
  </si>
  <si>
    <t>Alameda Agapanthos</t>
  </si>
  <si>
    <t>66</t>
  </si>
  <si>
    <t>L.10 Q.G</t>
  </si>
  <si>
    <t>Trocar ramal de água - vaz não visível</t>
  </si>
  <si>
    <t>Alameda Paranapiacaba</t>
  </si>
  <si>
    <t>600</t>
  </si>
  <si>
    <t>Q.23 L.7</t>
  </si>
  <si>
    <t>Vazamento de água não visível ramal</t>
  </si>
  <si>
    <t>Foi localizado um gato na mangueira da Sabesp, porem foi retirado</t>
  </si>
  <si>
    <t>Alameda Rio Grande da Serra</t>
  </si>
  <si>
    <t>455</t>
  </si>
  <si>
    <t>ANT N.687</t>
  </si>
  <si>
    <t>Rua Prolongada Oswaldo Cruz</t>
  </si>
  <si>
    <t>27</t>
  </si>
  <si>
    <t>Casa 2</t>
  </si>
  <si>
    <t>391</t>
  </si>
  <si>
    <t>Q.F L.5</t>
  </si>
  <si>
    <t>930</t>
  </si>
  <si>
    <t>ANT N.1128</t>
  </si>
  <si>
    <t>Rua dos Anjos Antiga Projetada 1B</t>
  </si>
  <si>
    <t>57</t>
  </si>
  <si>
    <t>JD Vicente de Carvalho</t>
  </si>
  <si>
    <t>Casa 3</t>
  </si>
  <si>
    <t>Avenida Tupi Guarani</t>
  </si>
  <si>
    <t>960</t>
  </si>
  <si>
    <t>ANT. 535</t>
  </si>
  <si>
    <t>Rua Seis</t>
  </si>
  <si>
    <t>239</t>
  </si>
  <si>
    <t>Albartroz II</t>
  </si>
  <si>
    <t>14</t>
  </si>
  <si>
    <t>Vazamento pé do cavalete - não visível</t>
  </si>
  <si>
    <t>Rua C</t>
  </si>
  <si>
    <t>Ana Paula, 1134</t>
  </si>
  <si>
    <t>Vazamento no ferrule não visível</t>
  </si>
  <si>
    <t>Rua Aprovada 101</t>
  </si>
  <si>
    <t>21</t>
  </si>
  <si>
    <t>Vazamento no ramal não visível</t>
  </si>
  <si>
    <t>Rua Manoel Gajo</t>
  </si>
  <si>
    <t>1426</t>
  </si>
  <si>
    <t>Rua Oswaldo de Salles Pereira</t>
  </si>
  <si>
    <t>2623</t>
  </si>
  <si>
    <t>Rua Samuel Alves Levino</t>
  </si>
  <si>
    <t>318</t>
  </si>
  <si>
    <t>Rua Renata Pereira Costa</t>
  </si>
  <si>
    <t>9</t>
  </si>
  <si>
    <t>Rua Jair Miranda (antiga rua 5)</t>
  </si>
  <si>
    <t>45</t>
  </si>
  <si>
    <t>Rua Professor José Benevenuto Madureira</t>
  </si>
  <si>
    <t>425</t>
  </si>
  <si>
    <t>Rua aprovada 101</t>
  </si>
  <si>
    <t>01</t>
  </si>
  <si>
    <t>Vazamento não visível</t>
  </si>
  <si>
    <t>Avenida Sabino Abdala</t>
  </si>
  <si>
    <t>85</t>
  </si>
  <si>
    <t>Indaia</t>
  </si>
  <si>
    <t>Rua Luiz Alonso Peres</t>
  </si>
  <si>
    <t>131</t>
  </si>
  <si>
    <t>261</t>
  </si>
  <si>
    <t>51</t>
  </si>
  <si>
    <t>Vazamento cavalete não visível</t>
  </si>
  <si>
    <t>Rua Augusto Ribeiro Pacheco</t>
  </si>
  <si>
    <t>146</t>
  </si>
  <si>
    <t>Jardim Raphael</t>
  </si>
  <si>
    <t>Rua Cardeal Emile Biayenda</t>
  </si>
  <si>
    <t>697</t>
  </si>
  <si>
    <t>Rua Maria Lídia Rego Lima</t>
  </si>
  <si>
    <t>280</t>
  </si>
  <si>
    <t>Guarujá</t>
  </si>
  <si>
    <t>Rua Espírito Santo</t>
  </si>
  <si>
    <t>407</t>
  </si>
  <si>
    <t>260</t>
  </si>
  <si>
    <t>Rua Mario Silveira</t>
  </si>
  <si>
    <t>356</t>
  </si>
  <si>
    <t>295</t>
  </si>
  <si>
    <t>Rua Tambaú</t>
  </si>
  <si>
    <t>470</t>
  </si>
  <si>
    <t>Cazil Frazon</t>
  </si>
  <si>
    <t>432</t>
  </si>
  <si>
    <t>Rua Clemente da Mata Amorim</t>
  </si>
  <si>
    <t>28</t>
  </si>
  <si>
    <t>Jardim Progresso</t>
  </si>
  <si>
    <t>77A</t>
  </si>
  <si>
    <t>Rua Adão Pereira da Silva</t>
  </si>
  <si>
    <t>35</t>
  </si>
  <si>
    <t>Rua Manoel Romero Rodrigues</t>
  </si>
  <si>
    <t>18</t>
  </si>
  <si>
    <t>118</t>
  </si>
  <si>
    <t>Rua Dickson Rodrigues</t>
  </si>
  <si>
    <t>39</t>
  </si>
  <si>
    <t>Rua Coronel João Akui</t>
  </si>
  <si>
    <t>38</t>
  </si>
  <si>
    <t>PROGRAMAÇÃO DIÁRIA — DISTRIBUIÇÃO DOS SERVIÇOS POR EQUIPE E POR DIA</t>
  </si>
  <si>
    <t>O programador monta o dia seguinte até as 16h. O encarregado devolve esta folha preenchida no fim do dia (EXECUTOU? / MOTIVO). Cada linha = um serviço para uma equipe em um dia.</t>
  </si>
  <si>
    <t>DATA</t>
  </si>
  <si>
    <t>SEQ</t>
  </si>
  <si>
    <t>ID DO SERVIÇO</t>
  </si>
  <si>
    <t>H PREVISTAS</t>
  </si>
  <si>
    <t>EXECUTOU?</t>
  </si>
  <si>
    <t>MOTIVO DA NÃO EXECUÇÃO</t>
  </si>
  <si>
    <t>REPROGRAMAR PARA</t>
  </si>
  <si>
    <t>STATUS DO ITEM</t>
  </si>
  <si>
    <t>ADERÊNCIA</t>
  </si>
  <si>
    <t>BER-0001</t>
  </si>
  <si>
    <t>BER-0002</t>
  </si>
  <si>
    <t>BER-0003</t>
  </si>
  <si>
    <t>BER-0004</t>
  </si>
  <si>
    <t>BER-0005</t>
  </si>
  <si>
    <t>BER-0006</t>
  </si>
  <si>
    <t>BER-0007</t>
  </si>
  <si>
    <t>BER-0008</t>
  </si>
  <si>
    <t>BER-0009</t>
  </si>
  <si>
    <t>BER-0010</t>
  </si>
  <si>
    <t>BER-0011</t>
  </si>
  <si>
    <t>BER-0012</t>
  </si>
  <si>
    <t>BER-0013</t>
  </si>
  <si>
    <t>BER-0014</t>
  </si>
  <si>
    <t>BER-0015</t>
  </si>
  <si>
    <t>BER-0016</t>
  </si>
  <si>
    <t>BER-0017</t>
  </si>
  <si>
    <t>BER-0018</t>
  </si>
  <si>
    <t>BER-0019</t>
  </si>
  <si>
    <t>BER-0020</t>
  </si>
  <si>
    <t>BER-0021</t>
  </si>
  <si>
    <t>BER-0022</t>
  </si>
  <si>
    <t>BER-0023</t>
  </si>
  <si>
    <t>BER-0024</t>
  </si>
  <si>
    <t>BER-0025</t>
  </si>
  <si>
    <t>BER-0026</t>
  </si>
  <si>
    <t>BER-0027</t>
  </si>
  <si>
    <t>BER-0028</t>
  </si>
  <si>
    <t>BER-0029</t>
  </si>
  <si>
    <t>BER-0030</t>
  </si>
  <si>
    <t>BER-0031</t>
  </si>
  <si>
    <t>BER-0032</t>
  </si>
  <si>
    <t>BER-0033</t>
  </si>
  <si>
    <t>BER-0034</t>
  </si>
  <si>
    <t>BER-0035</t>
  </si>
  <si>
    <t>BER-0036</t>
  </si>
  <si>
    <t>BER-0037</t>
  </si>
  <si>
    <t>BER-0038</t>
  </si>
  <si>
    <t>BER-0039</t>
  </si>
  <si>
    <t>BER-0040</t>
  </si>
  <si>
    <t>BER-0041</t>
  </si>
  <si>
    <t>BER-0042</t>
  </si>
  <si>
    <t>BER-0043</t>
  </si>
  <si>
    <t>ORDENS DE SERVIÇO — REGISTRO DE EXECUÇÃO (1 LINHA = 1 SERVIÇO CONCLUÍDO)</t>
  </si>
  <si>
    <t>Abra a OS quando a equipe iniciar. Só entra em medição a OS com STATUS CONCLUÍDA, foto antes/depois e pavimento reposto.</t>
  </si>
  <si>
    <t>ENCARREGADO</t>
  </si>
  <si>
    <t>DATA DE INÍCIO</t>
  </si>
  <si>
    <t>DATA DE CONCLUSÃO</t>
  </si>
  <si>
    <t>DIAS</t>
  </si>
  <si>
    <t>PROFUNDIDADE (m)</t>
  </si>
  <si>
    <t>EXTENSÃO (m)</t>
  </si>
  <si>
    <t>PAVIMENTO REPOSTO?</t>
  </si>
  <si>
    <t>FOTO ANTES</t>
  </si>
  <si>
    <t>FOTO DEPOIS</t>
  </si>
  <si>
    <t>Nº DO RDO</t>
  </si>
  <si>
    <t>Nº ITENS MEDIDOS</t>
  </si>
  <si>
    <t>VALOR DA OS</t>
  </si>
  <si>
    <t>MÊS DE MEDIÇÃO</t>
  </si>
  <si>
    <t>STATUS DA OS</t>
  </si>
  <si>
    <t>PENDÊNCIA / OBSERVAÇÃO</t>
  </si>
  <si>
    <t>Foi feito 2 sondagens de 4m de profundidade cada. Não foi encontrado nenhum vazamento</t>
  </si>
  <si>
    <t>Troca de ramal. Foi usado um T de serviço e 2m PEAD</t>
  </si>
  <si>
    <t>Troca de ramal. Foi usado um T de serviço, 1 cotovelo de metal e 2m PEAD</t>
  </si>
  <si>
    <t>Troca de ramal e uma supressão. Foi usado 10m PEAD e um T de 50 · Foi localizado um gato na mangueira da Sabesp, porem foi retirado</t>
  </si>
  <si>
    <t>Troca de ramal e 1 cavalete. Rede oposto de 50. Foi usado 1 T 50, 25m de PEAD, 1 adpt metal cotovelo, 1 registro e 30cm de cano pvc 3/4</t>
  </si>
  <si>
    <t>Troca de ramal e uma supressão. Foi usado o colar de 50 e 4m PEAD</t>
  </si>
  <si>
    <t>Troca de ramal, troca na rede e uma troca no cavalete. Foi usado 1 T 50, 2m de PEAD, 1 cotovelo de metal, 3 cotovelos de plástico, 1 registro, 2 tubetes e 1 luva de 50</t>
  </si>
  <si>
    <t>Troca de ramal. Foi usado 12m de PEAD</t>
  </si>
  <si>
    <t>Troca de ramal. Rede passa no terço, profundidade 40cm, rede de 50. Foi usado um T de serviço e 4m de PEAD</t>
  </si>
  <si>
    <t>Troca de ramal. Foi usado 1 T de serviço e 12m de PEAD</t>
  </si>
  <si>
    <t>Troca de ramal. Foi usado 1 T de serviço e 12m de PEAD. Casa 1 e 2</t>
  </si>
  <si>
    <t>Troca de ramal. Travessia de 35m, red oposto, red de 50. Foi usado 35m de PEAD, 1 adaptador cotovelo de metal e 1 TSI de 75</t>
  </si>
  <si>
    <t>Troca de ramal. Foi usado 1 colar de 50 e 6m de PEAD. Profundidade 60cm passando no terço</t>
  </si>
  <si>
    <t>Troca de ramal. Rede de 50 passa no terço. Foi usado 6m de PEAD e 1 cotovelo de metal</t>
  </si>
  <si>
    <t>Troca de ramal e uma supressão. Foi usado 1 T de serviço e 4m de PEAD. Arrebentado de rede 75, vala 3x2.</t>
  </si>
  <si>
    <t>Vazamento no ramal não visível. Foi usado 14m de PEAD, 1 TSI 75 e 1 lacre</t>
  </si>
  <si>
    <t>Foi tirado o vazamento do pé do cavalete. Foi usado 2 tubetes, 1 registro, 1 cotovelo de metal, 1 lacre e 1 cotovelo. 3m x 60cm abertura</t>
  </si>
  <si>
    <t>Foi tirado o vazamento do pé do cavalete. Foi usado 2 tubetes, 1 registro, 1 cotovelo de metal, 1 lacre e 1 cotovelo. 2,3m x 40cm abertura</t>
  </si>
  <si>
    <t>Troca de ramal. Foi usado 8m de PEAD, oito sacos de asfalto frio, profundidade da rede 1,10m TO.</t>
  </si>
  <si>
    <t>Vazamento proximo ao local da realização de uma atividade, foi notado e reparado. Foi usado 14m de PEAD, 1 TSI 75 e 1 lacre</t>
  </si>
  <si>
    <t>Foram feitas 2 trocas de ramais. Foi usado um T de serviço, 20m de PEAD, 1 kit cotovelo de metal.</t>
  </si>
  <si>
    <t>Foi feita a troca de ramal. Foi usado 1 T de serviço, 12m de PEAD, 2 cotovelos, 1 registro e 2 tubetes</t>
  </si>
  <si>
    <t>Foi feita a troca do ramal e do cavalete. Foi usado 23m de PEAD, 1 TSI de 50.</t>
  </si>
  <si>
    <t>Foi feita a troca de ramal. Foi usado 1 T de 50, 10m de PEAD, 1 cotovelo de metal, 1 registro, 2 tubetes, 1 porca e 1 lacre</t>
  </si>
  <si>
    <t>Foi feito o reparo do vazamento no ramal. Foi usado 12m de PEAD, 1 TSI de 50. Vala aberta 2,50 x 1,20. Passeio 1,60 x 0,60</t>
  </si>
  <si>
    <t>APONTAMENTO DIÁRIO — MÃO DE OBRA, EQUIPAMENTOS E PRODUÇÃO POR EQUIPE</t>
  </si>
  <si>
    <t>Histograma diário do contrato: 1 linha = 1 equipe em 1 dia. É aqui que se enxerga produtividade, hora de máquina ociosa e resultado do dia. O encarregado entrega até as 8h do dia seguinte.</t>
  </si>
  <si>
    <t>SEMANA</t>
  </si>
  <si>
    <t>Nº PESSOAS</t>
  </si>
  <si>
    <t>H NORMAIS</t>
  </si>
  <si>
    <t>H EXTRAS</t>
  </si>
  <si>
    <t>HH TOTAL</t>
  </si>
  <si>
    <t>RETRO (h)</t>
  </si>
  <si>
    <t>CAM 3/4 + MUNCK (h)</t>
  </si>
  <si>
    <t>CAMINHÃO HR (h)</t>
  </si>
  <si>
    <t>COMPRESSOR (h)</t>
  </si>
  <si>
    <t>ROMPEDOR (h)</t>
  </si>
  <si>
    <t>BOMBA (h)</t>
  </si>
  <si>
    <t>KM RODADO</t>
  </si>
  <si>
    <t>SERV. PROGRAMADOS</t>
  </si>
  <si>
    <t>SERV. EXECUTADOS</t>
  </si>
  <si>
    <t>VALOR PRODUZIDO</t>
  </si>
  <si>
    <t>META R$ DO DIA</t>
  </si>
  <si>
    <t>ATINGIMENTO</t>
  </si>
  <si>
    <t>CUSTO DA EQUIPE</t>
  </si>
  <si>
    <t>RESULTADO DO DIA</t>
  </si>
  <si>
    <t>R$ POR HH</t>
  </si>
  <si>
    <t>STATUS DO DIA</t>
  </si>
  <si>
    <t>MOTIVO DE PARADA</t>
  </si>
  <si>
    <t>Integração</t>
  </si>
  <si>
    <t>Ferramentas chegaram após o almoço</t>
  </si>
  <si>
    <t>Mandaram parar devido a chuva</t>
  </si>
  <si>
    <t>Seguraram o dia todo devido a chuva</t>
  </si>
  <si>
    <t xml:space="preserve">Pediram pra refazer algumas coisas por causa da chuva </t>
  </si>
  <si>
    <t>MATERIAIS — MOVIMENTAÇÃO E SALDO DE ALMOXARIFADO</t>
  </si>
  <si>
    <t>Toda saída de material sai vinculada a uma OS. Material sem OS é perda. O saldo do resumo (à direita) atualiza sozinho.</t>
  </si>
  <si>
    <t>ID DO SERVIÇO / OS</t>
  </si>
  <si>
    <t>QUANTIDADE</t>
  </si>
  <si>
    <t>CUSTO UNIT.</t>
  </si>
  <si>
    <t>CUSTO TOTAL</t>
  </si>
  <si>
    <t>RESPONSÁVEL</t>
  </si>
  <si>
    <t>FORNECEDOR / ORIGEM</t>
  </si>
  <si>
    <t>NF / DOCUMENTO</t>
  </si>
  <si>
    <t>MATERIAL DA SABESP?</t>
  </si>
  <si>
    <t>RESUMO DE SALDO POR MATERIAL</t>
  </si>
  <si>
    <t>ENTRADAS</t>
  </si>
  <si>
    <t>SAÍDAS</t>
  </si>
  <si>
    <t>SALDO</t>
  </si>
  <si>
    <t>CUSTO ACUM.</t>
  </si>
  <si>
    <t>EQUIPE — QUADRO NOMINAL, CUSTO E VALIDADE DE TREINAMENTOS</t>
  </si>
  <si>
    <t>Quadro real das duas cidades. As colunas de vencimento acendem em vermelho 30 dias antes — é o controle que evita equipe barrada pela fiscalização.</t>
  </si>
  <si>
    <t>MATRÍCULA</t>
  </si>
  <si>
    <t>NOME</t>
  </si>
  <si>
    <t>FUNÇÃO</t>
  </si>
  <si>
    <t>ADMISSÃO</t>
  </si>
  <si>
    <t>SALÁRIO</t>
  </si>
  <si>
    <t>ENCARGOS (fórmula)</t>
  </si>
  <si>
    <t>BENEFÍCIOS (fórmula)</t>
  </si>
  <si>
    <t>CUSTO / MÊS</t>
  </si>
  <si>
    <t>CUSTO / DIA</t>
  </si>
  <si>
    <t>CUSTO / HORA</t>
  </si>
  <si>
    <t>ASO</t>
  </si>
  <si>
    <t>NR-06 (EPI)</t>
  </si>
  <si>
    <t>NR-10</t>
  </si>
  <si>
    <t>NR-18</t>
  </si>
  <si>
    <t>NR-33 (CONFINADO)</t>
  </si>
  <si>
    <t>NR-35 (ALTURA)</t>
  </si>
  <si>
    <t>CNH</t>
  </si>
  <si>
    <t>ALERTA</t>
  </si>
  <si>
    <t>ATIVO?</t>
  </si>
  <si>
    <t>BER-001</t>
  </si>
  <si>
    <t>Lenildo Lourenco da Silva</t>
  </si>
  <si>
    <t>BER-002</t>
  </si>
  <si>
    <t>BER-003</t>
  </si>
  <si>
    <t>BER-004</t>
  </si>
  <si>
    <t>Junior Sabino</t>
  </si>
  <si>
    <t>Lider de Equipe</t>
  </si>
  <si>
    <t>BER-005</t>
  </si>
  <si>
    <t>Bruno Carvalho Dias</t>
  </si>
  <si>
    <t>BER-006</t>
  </si>
  <si>
    <t>Jerailson Lourenco Santos da S</t>
  </si>
  <si>
    <t>BER-007</t>
  </si>
  <si>
    <t>Egmar de Almeida Pinto</t>
  </si>
  <si>
    <t>BER-008</t>
  </si>
  <si>
    <t>BER-009</t>
  </si>
  <si>
    <t>Rafael Nunes de Godoy</t>
  </si>
  <si>
    <t>BER-010</t>
  </si>
  <si>
    <t>Rafael Santos Cruz</t>
  </si>
  <si>
    <t>BER-011</t>
  </si>
  <si>
    <t>Jose Henrique</t>
  </si>
  <si>
    <t>BER-012</t>
  </si>
  <si>
    <t>Arnaldo de Araujo Bastos</t>
  </si>
  <si>
    <t>BER-013</t>
  </si>
  <si>
    <t>Kaique Tavares da Silva</t>
  </si>
  <si>
    <t>BER-014</t>
  </si>
  <si>
    <t>Programador</t>
  </si>
  <si>
    <t>BER-015</t>
  </si>
  <si>
    <t>Sergio Rodrigues da Silva</t>
  </si>
  <si>
    <t>SAN-016</t>
  </si>
  <si>
    <t>Ricardo Dantas da Silva Junior</t>
  </si>
  <si>
    <t>SAN-017</t>
  </si>
  <si>
    <t>Jean Estevam de Oliveira</t>
  </si>
  <si>
    <t>SAN-018</t>
  </si>
  <si>
    <t>Renato Santos Araujo</t>
  </si>
  <si>
    <t>SAN-019</t>
  </si>
  <si>
    <t>Paulo Alberto da Silva de Paula</t>
  </si>
  <si>
    <t>SAN-020</t>
  </si>
  <si>
    <t>Kaua dos Santos Nunes Rodrigues</t>
  </si>
  <si>
    <t>SAN-021</t>
  </si>
  <si>
    <t>Marcelo da Silva Nogueira</t>
  </si>
  <si>
    <t>SAN-022</t>
  </si>
  <si>
    <t>Jeferson Silva de Paiva</t>
  </si>
  <si>
    <t>SAN-023</t>
  </si>
  <si>
    <t>Danilo Fernando Salgado</t>
  </si>
  <si>
    <t>SAN-024</t>
  </si>
  <si>
    <t>Rian Teixeira da Silva</t>
  </si>
  <si>
    <t>SAN-025</t>
  </si>
  <si>
    <t>Rogério Soares da Silva</t>
  </si>
  <si>
    <t>SAN-026</t>
  </si>
  <si>
    <t>Hernandes Araújo de Oliveira</t>
  </si>
  <si>
    <t>SAN-027</t>
  </si>
  <si>
    <t>Alex</t>
  </si>
  <si>
    <t>SAN-028</t>
  </si>
  <si>
    <t>João Pedro Norberto da Silva</t>
  </si>
  <si>
    <t>SAN-029</t>
  </si>
  <si>
    <t>Lucas de Souza César</t>
  </si>
  <si>
    <t>SAN-030</t>
  </si>
  <si>
    <t>Yasmin</t>
  </si>
  <si>
    <t>Programadora</t>
  </si>
  <si>
    <t>SAN-031</t>
  </si>
  <si>
    <t>Sidnei Jose dos Santos</t>
  </si>
  <si>
    <t>TOTAL DO QUADRO ATIVO</t>
  </si>
  <si>
    <t>MEDIÇÃO — BOLETIM ITEM A ITEM (1 LINHA = 1 ITEM DE PREÇO DE UMA OS)</t>
  </si>
  <si>
    <t>Aqui o serviço vira dinheiro. Digite o CÓD. PREÇO (chave CONTRATO-Nº PREÇO, ex.: BER-72000101) e a descrição, unidade e preço vêm sozinhos da aba 02. Só lance OS com status CONCLUÍDA.</t>
  </si>
  <si>
    <t>1 linha = 1 ITEM DE PREÇO de 1 OS.</t>
  </si>
  <si>
    <t>Nº BOLETIM</t>
  </si>
  <si>
    <t>STATUS DA MEDIÇÃO</t>
  </si>
  <si>
    <t>DATA DE APRESENTAÇÃO</t>
  </si>
  <si>
    <t>VALOR GLOSADO</t>
  </si>
  <si>
    <t>MOTIVO DA GLOSA</t>
  </si>
  <si>
    <t>VALOR APROVADO</t>
  </si>
  <si>
    <t>REAPRESENTAR?</t>
  </si>
  <si>
    <t>Uma OS com 3 itens ocupa 3 linhas.</t>
  </si>
  <si>
    <t>BM-09/2026</t>
  </si>
  <si>
    <t>PREVISTA</t>
  </si>
  <si>
    <t>CUIDADO — SÃO DUAS COISAS DIFERENTES:</t>
  </si>
  <si>
    <t>A = Nº DO BOLETIM</t>
  </si>
  <si>
    <t xml:space="preserve">   É o documento do MÊS que você entrega</t>
  </si>
  <si>
    <t xml:space="preserve">   pra SABESP. Escreva: BM-09/2026</t>
  </si>
  <si>
    <t xml:space="preserve">   REPETE IGUAL em todas as linhas do mês.</t>
  </si>
  <si>
    <t>C = ID DO SERVIÇO</t>
  </si>
  <si>
    <t xml:space="preserve">   É cada serviço, um por um.</t>
  </si>
  <si>
    <t xml:space="preserve">   Escreva: BER-0001</t>
  </si>
  <si>
    <t xml:space="preserve">   Sai pronto na aba 03. Cada linha tem o seu.</t>
  </si>
  <si>
    <t>BER-0001 NUNCA vai na coluna A.</t>
  </si>
  <si>
    <t>Se puser, a coluna A fica VERMELHA.</t>
  </si>
  <si>
    <t>EXEMPLO DE UMA LINHA PREENCHIDA:</t>
  </si>
  <si>
    <t xml:space="preserve">   A = BM-09/2026</t>
  </si>
  <si>
    <t xml:space="preserve">   C = BER-0001</t>
  </si>
  <si>
    <t xml:space="preserve">   H = BER-72000044</t>
  </si>
  <si>
    <t xml:space="preserve">   K = 12</t>
  </si>
  <si>
    <t xml:space="preserve">   N = APRESENTADA</t>
  </si>
  <si>
    <t>H = CÓD. PREÇO, da aba 02</t>
  </si>
  <si>
    <t xml:space="preserve">   descrição, unidade e preço vêm sozinhos</t>
  </si>
  <si>
    <t>BM-09/2027</t>
  </si>
  <si>
    <t>B, D, E, F, G, I, J, L, M = fórmula.</t>
  </si>
  <si>
    <t>Se estiverem VAZIAS, é porque você esqueceu</t>
  </si>
  <si>
    <t>a coluna C. Sem o ID, nada é puxado.</t>
  </si>
  <si>
    <t>DIÁRIO DE OBRA (RDO) — REGISTRO DIÁRIO POR CONTRATO</t>
  </si>
  <si>
    <t>Um RDO por dia por cidade. É o documento que sustenta pleito de chuva, dia parado e improdutividade perante a fiscalização. Efetivo, equipes e produção vêm sozinhos do apontamento.</t>
  </si>
  <si>
    <t>CLIMA MANHÃ</t>
  </si>
  <si>
    <t>CLIMA TARDE</t>
  </si>
  <si>
    <t>CONDIÇÃO DO SOLO</t>
  </si>
  <si>
    <t>EFETIVO EM CAMPO</t>
  </si>
  <si>
    <t>EQUIPES EM CAMPO</t>
  </si>
  <si>
    <t>HH DO DIA</t>
  </si>
  <si>
    <t>SERVIÇOS EXECUTADOS</t>
  </si>
  <si>
    <t>ATIVIDADES DO DIA</t>
  </si>
  <si>
    <t>EQUIPAMENTOS MOBILIZADOS</t>
  </si>
  <si>
    <t>OCORRÊNCIAS DO DIA</t>
  </si>
  <si>
    <t>VISITA DA FISCALIZAÇÃO</t>
  </si>
  <si>
    <t>RESPONSÁVEL WCR</t>
  </si>
  <si>
    <t>Ruim</t>
  </si>
  <si>
    <t>Ícaro</t>
  </si>
  <si>
    <t>Nublado</t>
  </si>
  <si>
    <t>Materiais chegou tarde e foi montado as HR</t>
  </si>
  <si>
    <t>Bom</t>
  </si>
  <si>
    <t>Ok</t>
  </si>
  <si>
    <t>Manutenções realizadas</t>
  </si>
  <si>
    <t>Atividades suspesas após ser iniciado devido a chuva</t>
  </si>
  <si>
    <t>Proibição das atividades devido a chuva</t>
  </si>
  <si>
    <t>Atividades seguradas devido a chuva</t>
  </si>
  <si>
    <t>Foi pedido pra refazer atividades devido a chuva</t>
  </si>
  <si>
    <t>OCORRÊNCIAS E PENDÊNCIAS — TUDO QUE ATRAPALHOU O SERVIÇO</t>
  </si>
  <si>
    <t>Registre no dia. Ocorrência sem registro vira glosa sem defesa. Cada linha tem dono e prazo — o que está ABERTA há mais de 7 dias acende em vermelho.</t>
  </si>
  <si>
    <t>TIPO DE OCORRÊNCIA</t>
  </si>
  <si>
    <t>DESCRIÇÃO DO FATO</t>
  </si>
  <si>
    <t>IMPACTO (h)</t>
  </si>
  <si>
    <t>CUSTO ESTIMADO</t>
  </si>
  <si>
    <t>AÇÃO IMEDIATA TOMADA</t>
  </si>
  <si>
    <t>PRAZO</t>
  </si>
  <si>
    <t>DATA DE ENCERRAMENTO</t>
  </si>
  <si>
    <t>GERA PLEITO / ADITIVO?</t>
  </si>
  <si>
    <t>Leve</t>
  </si>
  <si>
    <t>Integração da equipe para iniciar as atividades</t>
  </si>
  <si>
    <t>Não tem o que fazer</t>
  </si>
  <si>
    <t>Consorcio</t>
  </si>
  <si>
    <t>Dia</t>
  </si>
  <si>
    <t>Feito</t>
  </si>
  <si>
    <t>Falta de ferramentas</t>
  </si>
  <si>
    <t>Grave</t>
  </si>
  <si>
    <t>Ferramentas chegaram somente após o almoço</t>
  </si>
  <si>
    <t>Eng Matheus suspendeu as atividades devido a chuva</t>
  </si>
  <si>
    <t>Matheus</t>
  </si>
  <si>
    <t xml:space="preserve">Eng Matheus fica segurando as equipes e mandou refazer itens devido a chuva </t>
  </si>
  <si>
    <t>Reunião com André URGENTE</t>
  </si>
  <si>
    <t>FATURAMENTO E RECEBIMENTO — DA MEDIÇÃO APROVADA AO CRÉDITO EM CONTA</t>
  </si>
  <si>
    <t>Cada linha é um mês de um contrato. Bruto, glosa, imposto e previsão de recebimento saem sozinhos da aba 09. Você só digita o nº da NF, a data e o valor efetivamente recebido.</t>
  </si>
  <si>
    <t>MÊS</t>
  </si>
  <si>
    <t>MEDIÇÃO BRUTA</t>
  </si>
  <si>
    <t>GLOSA</t>
  </si>
  <si>
    <t>MEDIÇÃO APROVADA</t>
  </si>
  <si>
    <t>Nº DA NF</t>
  </si>
  <si>
    <t>DATA DA NF</t>
  </si>
  <si>
    <t>IMPOSTO</t>
  </si>
  <si>
    <t>DESCONTO DO CONSÓRCIO</t>
  </si>
  <si>
    <t>VALOR LÍQUIDO</t>
  </si>
  <si>
    <t>RECEBIMENTO PREVISTO</t>
  </si>
  <si>
    <t>DATA DO RECEBIMENTO</t>
  </si>
  <si>
    <t>VALOR RECEBIDO</t>
  </si>
  <si>
    <t>DIFERENÇA</t>
  </si>
  <si>
    <t>DIAS DE ATRASO</t>
  </si>
  <si>
    <t>CUSTO DO MÊS</t>
  </si>
  <si>
    <t>RESULTADO</t>
  </si>
  <si>
    <t>MARGEM</t>
  </si>
  <si>
    <t>TOTAL DO CONTRATO</t>
  </si>
  <si>
    <t>RESUMO GERENCIAL — INDICADORES DO CONTRATO</t>
  </si>
  <si>
    <t>Troque o mês na célula amarela e toda a aba recalcula. É a folha da reunião semanal de contrato.</t>
  </si>
  <si>
    <t>MÊS DE REFERÊNCIA:</t>
  </si>
  <si>
    <t>◀ digite o 1º dia do mês (ex.: 01/09/2026)</t>
  </si>
  <si>
    <t>A · INDICADORES DO MÊS</t>
  </si>
  <si>
    <t>INDICADOR</t>
  </si>
  <si>
    <t>GLOBAL</t>
  </si>
  <si>
    <t>META / REFERÊNCIA</t>
  </si>
  <si>
    <t>LEITURA</t>
  </si>
  <si>
    <t>Serviços recebidos da SABESP no mês</t>
  </si>
  <si>
    <t>—</t>
  </si>
  <si>
    <t>Volume de demanda que entrou.</t>
  </si>
  <si>
    <t>Serviços programados no mês</t>
  </si>
  <si>
    <t>O que a programação prometeu.</t>
  </si>
  <si>
    <t>Serviços executados no mês</t>
  </si>
  <si>
    <t>OS concluídas no mês.</t>
  </si>
  <si>
    <t>Aderência à programação</t>
  </si>
  <si>
    <t>≥ 90%</t>
  </si>
  <si>
    <t>Abaixo de 90% a programação não está sendo cumprida.</t>
  </si>
  <si>
    <t>Executados dentro do prazo SABESP</t>
  </si>
  <si>
    <t>≥ 95%</t>
  </si>
  <si>
    <t>É o indicador que a SABESP cobra e que gera multa contratual.</t>
  </si>
  <si>
    <t>Backlog em aberto (todas as datas)</t>
  </si>
  <si>
    <t>Serviço parado é serviço que ainda não virou dinheiro.</t>
  </si>
  <si>
    <t>Serviços VENCIDOS no backlog</t>
  </si>
  <si>
    <t>0</t>
  </si>
  <si>
    <t>Prioridade absoluta da programação de amanhã.</t>
  </si>
  <si>
    <t>Valor medido no mês (bruto)</t>
  </si>
  <si>
    <t>Base da nota fiscal.</t>
  </si>
  <si>
    <t>Meta de medição do mês</t>
  </si>
  <si>
    <t>Cenário adotado em 01. CONFIGURAÇÕES.</t>
  </si>
  <si>
    <t>Atingimento da meta</t>
  </si>
  <si>
    <t>≥ 100%</t>
  </si>
  <si>
    <t>Abaixo de 100% a margem do mês cai.</t>
  </si>
  <si>
    <t>Ticket médio realizado</t>
  </si>
  <si>
    <t>Se cair, a carteira ficou com serviço de baixo valor.</t>
  </si>
  <si>
    <t>Valor glosado no mês</t>
  </si>
  <si>
    <t>Toda glosa deve ter motivo registrado na aba 09.</t>
  </si>
  <si>
    <t>% de glosa sobre o medido</t>
  </si>
  <si>
    <t>≤ 2%</t>
  </si>
  <si>
    <t>Acima de 2% há falha de apontamento ou de execução.</t>
  </si>
  <si>
    <t>Custo do mês</t>
  </si>
  <si>
    <t>Equipe + estrutura + indiretos.</t>
  </si>
  <si>
    <t>Resultado do mês (medido líquido − custo)</t>
  </si>
  <si>
    <t>&gt; 0</t>
  </si>
  <si>
    <t>Margem sobre a medição</t>
  </si>
  <si>
    <t>≥ 20%</t>
  </si>
  <si>
    <t>Cenário ÓTIMA do fluxo de caixa.</t>
  </si>
  <si>
    <t>Homens-hora aplicados no mês</t>
  </si>
  <si>
    <t>Produtividade (R$ medido por homem-hora)</t>
  </si>
  <si>
    <t>Melhor indicador de eficiência de campo.</t>
  </si>
  <si>
    <t>Efetivo médio em campo por dia</t>
  </si>
  <si>
    <t>Por equipe/dia.</t>
  </si>
  <si>
    <t>Horas de retroescavadeira no mês</t>
  </si>
  <si>
    <t>Hora de máquina ociosa é dinheiro parado.</t>
  </si>
  <si>
    <t>Ocorrências abertas</t>
  </si>
  <si>
    <t>Retrabalhos no mês</t>
  </si>
  <si>
    <t>Retrabalho é custo dobrado e risco de glosa.</t>
  </si>
  <si>
    <t>B · SÉRIE MENSAL (alimenta os gráficos do dashboard)</t>
  </si>
  <si>
    <t>EXEC. BERTIOGA</t>
  </si>
  <si>
    <t>EXEC. SANTOS</t>
  </si>
  <si>
    <t>MEDIDO BERTIOGA</t>
  </si>
  <si>
    <t>MEDIDO SANTOS</t>
  </si>
  <si>
    <t>MEDIDO GLOBAL</t>
  </si>
  <si>
    <t>META GLOBAL</t>
  </si>
  <si>
    <t>CUSTO GLOBAL</t>
  </si>
  <si>
    <t>RESULTADO GLOBAL</t>
  </si>
  <si>
    <t>RESULTADO ACUM.</t>
  </si>
  <si>
    <t>C · DESEMPENHO POR EQUIPE NO MÊS</t>
  </si>
  <si>
    <t>DIAS TRABALHADOS</t>
  </si>
  <si>
    <t>HH</t>
  </si>
  <si>
    <t>R$ / HH</t>
  </si>
  <si>
    <t>ATINGIMENTO DA META</t>
  </si>
  <si>
    <t>D · POR QUE O SERVIÇO NÃO FOI EXECUTADO (mês)</t>
  </si>
  <si>
    <t>MOTIVO</t>
  </si>
  <si>
    <t>OCORRÊNCIAS</t>
  </si>
  <si>
    <t>% DO TOTAL</t>
  </si>
  <si>
    <t>E · SERVIÇOS POR TIPO NO MÊS (volume e valor)</t>
  </si>
  <si>
    <t>EXECUTADOS</t>
  </si>
  <si>
    <t>TICKET MÉDIO</t>
  </si>
  <si>
    <t>% DO VALOR</t>
  </si>
  <si>
    <t>DASHBOARD — VISÃO DE CONTRATO</t>
  </si>
  <si>
    <t>Tudo desta aba vem da 13. RESUMO GERENCIAL. Para trocar o mês, altere a célula amarela lá.</t>
  </si>
  <si>
    <t>SERVIÇOS EXECUTADOS NO MÊS</t>
  </si>
  <si>
    <t>ADERÊNCIA À PROGRAMAÇÃO</t>
  </si>
  <si>
    <t>EXECUTADOS NO PRAZO</t>
  </si>
  <si>
    <t>BACKLOG EM ABERTO</t>
  </si>
  <si>
    <t>VALOR MEDIDO NO MÊS</t>
  </si>
  <si>
    <t>RESULTADO DO MÊS</t>
  </si>
  <si>
    <t>MARGEM SOBRE A MEDIÇÃO</t>
  </si>
  <si>
    <t>COMO LER ESTE PAINEL</t>
  </si>
  <si>
    <t>• ADERÊNCIA abaixo de 90% → a programação está prometendo mais do que a equipe entrega, ou o campo não devolve a folha.</t>
  </si>
  <si>
    <t>• EXECUTADOS NO PRAZO abaixo de 95% → risco de multa contratual. Priorize o que está VENCIDO na aba 03.</t>
  </si>
  <si>
    <t>• ATINGIMENTO abaixo de 100% com aderência alta → a carteira está com serviço de ticket baixo. Negocie o mix com a SABESP.</t>
  </si>
  <si>
    <t>• RESULTADO negativo com atingimento alto → o problema é custo (hora extra, máquina ociosa, retrabalho), não produção.</t>
  </si>
  <si>
    <t>• BACKLOG crescendo mês a mês → é preciso mais uma equipe ou reduzir o tempo de ciclo do serviço.</t>
  </si>
  <si>
    <t>ATAS DE REUNIÃO — O QUE FOI FALADO, O QUE FICOU DECIDIDO E QUEM FICOU DE FAZER</t>
  </si>
  <si>
    <t>UMA LINHA POR AÇÃO. O nº da ata sai da data, então todas as linhas da mesma reunião ficam com o mesmo número. Cole a transcrição na última coluna, na primeira linha da reunião. Prazo vencido pinta a linha de vermelho.</t>
  </si>
  <si>
    <t>Nº DA ATA</t>
  </si>
  <si>
    <t>HORA</t>
  </si>
  <si>
    <t>TIPO DE REUNIÃO</t>
  </si>
  <si>
    <t>LOCAL / PLATAFORMA</t>
  </si>
  <si>
    <t>PARTICIPANTES WCR</t>
  </si>
  <si>
    <t>PARTICIPANTES EXTERNOS</t>
  </si>
  <si>
    <t>ASSUNTO</t>
  </si>
  <si>
    <t>O QUE FOI FALADO</t>
  </si>
  <si>
    <t>DECISÃO TOMADA</t>
  </si>
  <si>
    <t>PENDÊNCIA / AÇÃO</t>
  </si>
  <si>
    <t>VIRA PLEITO / ADITIVO?</t>
  </si>
  <si>
    <t>LINK DA GRAVAÇÃO</t>
  </si>
  <si>
    <t>TRANSCRIÇÃO COMPLETA</t>
  </si>
  <si>
    <t>POR QUE (motivo)</t>
  </si>
  <si>
    <t>ONDE (local / aba)</t>
  </si>
  <si>
    <t>COMO (como será feito)</t>
  </si>
  <si>
    <t>QUANTO CUSTA (R$)</t>
  </si>
  <si>
    <t>Interna WCR</t>
  </si>
  <si>
    <t>Chamada online (Tactiq)</t>
  </si>
  <si>
    <t>Felipe Nery, Ícaro Átila</t>
  </si>
  <si>
    <t>Cadastro de serviços</t>
  </si>
  <si>
    <t>Alguns registros estão sem o código, e por isso a planilha não puxa a equipe. Felipe orientou copiar e colar o código e ir descendo. O ID 007 foi usado como exemplo de registro correto, com boletim vinculado.</t>
  </si>
  <si>
    <t>Corrigir e completar os códigos no cadastro e na medição.</t>
  </si>
  <si>
    <t>Ajustar o cadastro de serviços para que o sistema puxe a equipe pelo ID do serviço</t>
  </si>
  <si>
    <t xml:space="preserve">[00:00] Felipe: Vamos lá, mano, é ID do serviço.
[00:02] Icaro: Sim senhora um minuto Não desligue coisas sua ligação é muito importante para nós. Tá vendo? Tá acabando de abrir. Então, eu consegui achar lá ler direitinho colocando o boletim que eu vi o que
[00:48] Felipe: onde que a gente coloca o ID do serviço ele puxa de Tá ele vai puxar a equipe pelo ID do serviço, né?
[01:02] Icaro: que seria né? Coloquei um código aí ele puxou aqui, aí eu simplesmente joguei quantidade, né?
[01:10] Felipe: Agora vamos tirar a equipe, entendeu? ID do serviço aí a equipe.
[01:23] Icaro: Porque eu não consigo é porque aqui ó. Olha aqui eu Felipe. Olha a minha aqui ó.
[01:36] Felipe: Ela tem um código vou te mostrar aí.
[01:40] Felipe: Vou te mandar aí vai lá na medição, vai lá. Coloca lá em equipe, vai lá em equipe eu vou te mandar um código dela aí.
[02:04] Felipe: Ela tá sem código se você excluiu o código eu acho entendeu?
[02:09] Felipe: mandar aí você copia e cola e vai descendo, tá?
[02:37] Icaro: Aqui também não tem para puxar tá vendo?
[03:31] Icaro: Ô mano hoje lá no Consórcio. Você acredita? Que se não é eu e o Sidney para mexer a Emily não ia nem mexer com nós.
[03:40] Icaro: Nem o da OI nem nada aí, só que assim eu na hora que o Sidney viu? Eu fui mexer com ela foi mexeu já foi para a mesma sala, não falou nada o signo e foi mexeu com ela. Ela foi respondeu.
[03:53] Felipe: Esquisito né? Vocês nunca vocês nunca nunca brigou nem nada.
[04:04] Icaro: Isso eu conversei com ela numa boa e outra não tá tomando vamos falar assim, porque ela que pegou né? O serviço não tá tomando serviço dá.
[04:14] Felipe: Você tem que roubar ela para nós.
[04:21] Icaro: No jogo mais estressei com o Sidney.
[04:26] Icaro: O Sidney não sabia onde que era o canteiro. Ele xingou o ex e ele falou que não sabe que o ex tava já tava caminha errado que tinha que passar por outro lugar.
[05:06] Icaro: Aí na hora que a gente chegou lá, ele uai o canteiro aqui é diferente. Eu te falei 10 vezes. Aí ele começou a rir. Amanhã a gente tem que estar lá de novo.
[05:34] Icaro: Resolveu o negócio lá das elevatório?
[05:41] Felipe: Vai chegar o cara vai chegar aí.
[06:21] Felipe: Pera aí que eu tô fazendo só uma mudança aqui, tá?
[09:36] Felipe: Conversei com ele hoje ontem.
[09:38] Icaro: Hoje ele ia lá em Embu. conversou Mas os relatório tem elevador de que já começou mas hoje ele em rua e pegou.
[09:53] Icaro: No meio ambiente.
[09:57] Felipe: Que é mais barato, né, mano?
[09:58] Icaro: Não que é só eu. Ultimamente eu não tô aguentando nem eu Felipe. Ele pegou foi quem Praia Grande. E aqui também a cidadezinha que é mais de boa. Mas tranquilo.
[34:22] Felipe: Vamos lá é os cadastro de serviços. Ah. Essas são as ideias, né?
[34:43] Felipe: Não tem número de IOS ainda não.
[34:46] Icaro: Não é porque o que que aconteceu é para a gente poder fazer esse serviço em Bertioga, o cara ligou o Vitor ligou direto na Sabesp e foi pegando as atividades. Aí ele tá mandando para Para Sabesp. Aí eles estão criando as Oeste pelo da Baixa, entendeu? Depois eu pego todas as oeste de Bertioga com ele.
[35:06] Felipe: Tá aí os cadastros dos outros dias ele tem.
[35:12] Felipe: Até o dia 11 agora do dia 14 e 15.
[35:16] Icaro: É uns catados que ficou que eles já estão pedindo urgente para gente ir para o Guarujá, só que o Mateus não sai do pé, cara.
[35:24] Icaro: rede. Não mano, isso aí é é. Manutenção Mateus tá puxando trena para saber se ficou 2 cm o asfalto frio.
[35:37] Felipe: Aí eu fiscal da Sabesp tá nem aí?
[35:40] Icaro: Ela sabes que as fotos.
[35:43] Felipe: Entendi e você tem as programação dos outros dias aqui do dia 14 e 15 de ontem e hoje O que que tem de S?
[35:50] Icaro: É porque ontem eles acabaram mais tarde, eu não coloquei nela ainda não, mas eu tenho que eles fizeram ontem.
[36:00] Icaro: É porque eu tenho que fazer os cadastro de umas coisas novas também.
[36:06] Felipe: Entendi. Mas beleza você consegue fazer só para gente porque a gente tem que ter essa programação aí beleza? Programação diária.
[36:36] Icaro: Tem umas que tá em aberto, eu coloquei Isaías que executou.
[36:45] Felipe: Então tá no apontamento. Vou produzir só não tem a equipe que fez né? Vamos lá para as equipes primeiro. Vamos fazer a Bertioga esse lenildo, tá?
[37:22] Felipe: Confirma para mim.
[37:43] Icaro: Edivar dos Santos não efetivar não tá mais não.
[37:57] Icaro: É que a gente teve que mexer nessa tô esperando bem dizer para te falar a verdade finalizar as entradas e a saída tinha um cara que era para fazer admissão hoje. Ele falou que viajou que não ia fazer não.
[38:08] Felipe: Não beleza ativo. Então vamos botar aqui não. Edvan não tá Marcelo dos Santos
[38:18] Icaro: Graças a Deus não tá não.
[38:33] Icaro: Eu não eu não sei os nomes dele certinho ainda, pode colocar que depois eu altero isso aí.
[38:45] Felipe: Não beleza só para a gente poder botar certinho, porque que eu tô pedindo isso, tu não apontamento aqui ó. Sacou o apontamento aqui a gente colocar. Qual que é a equipe que tá fazendo entendeu? A gente entender quais são os custos que a gente vai ter no final do mês, entendeu?
[39:07] Felipe: É só uma equipe que tá trabalhando até hoje.
[39:11] Icaro: Não a quantidade de funcionária aí na frente. É porque nesse apontamento de área não vejo essa necessidade de colocar a quantidade de equipe, já que eu coloco quantidade de pessoas.
[39:30] Felipe: Mas aí quando a gente tiver cinco equipes, a gente é bom a gente separar as equipes, entendeu?
[39:35] Icaro: Ah mas é beleza, eu não vejo essa necessidade não apontamento diário.
[39:46] Felipe: Eu acho que é bom, cara para a gente controlar, entendeu? Que quando a gente tiver 200 e você?
[39:53] Icaro: Mas essa planilha não vou deixar ninguém mexer não.
[39:57] Felipe: É bom alguém colocar por exemplo. No dia 03/09, mas foi só uma equipe foi você colocou esse número aqui, né?
[40:09] Icaro: Uhum aí é a hora aí a oito pessoas.
[40:14] Icaro: Um não foi porque tava bêbado não passou no bafômetro não.
[40:17] Felipe: aí é quantas equipes tem por pessoa por
[40:21] Icaro: Então, aí você vê oito pessoas dá duas equipes.
[40:40] Icaro: Aí eu concordo em colocar equipes o que Que tal a equipe fez o quê?
[41:07] Icaro: Não mano, isso aí tá tudo errado mano, eu te deixar tudo arrumadinho.
[41:21] Icaro: Você tá tudo errado. Porque isso aí é o seguinte vai lá em medição para você ver.
[41:28] Felipe: Mas o número do boletim é boletim 9, né?
[41:29] Icaro: Não aí cagou no trem que é o número de boletim é o seguinte ó ID do serviço. Beleza tem. Tá aqui ó 007 007. Tá vendo? Tem uns que tá copiado tá aqui as medição certinho porque tem o boletim.
[41:42] Felipe: Agora esse 20 21 e 22 aqui.
[41:44] Icaro: Não fez nada ainda.
[41:51] Icaro: Olha para você ver o boletim, não fez ele dois fez.
[41:57] Felipe: Para o que vê do c31. da tabela de IOS Que você coloca 17 por exemplo.
[42:09] Icaro: Tá vendo tá aí ó, eu acompanho. Eu preencho aí, depois eu jogo a medição. É tá em sequência.
[42:26] Icaro: De acordo com o que eu tô preenchendo manual, entendeu?
[42:30] Felipe: Mas tá em execução então.
[42:33] Icaro: Sim as que por exemplo, você viu lá que a A1 não foi executada. A dois foi?
[42:44] Icaro: Medição. Olha lá em cima. Foi a dois teve duas atividades nela.
[43:05] Felipe: Então vamos lá para o ponto, por isso que o apontamento diário importante. Que aí a gente sabe a equipe que fez, eu acho que é interessante botar.
[43:19] Icaro: É não entendi o que você quis dizer, mas eu não acho interessante o apontamento diário, eu acho que tipo assim o apontamento diário seria para o que quer dizer equipes no modo geral produziu e se teve alguma interferência. Eu acho que seria mais basicamente isso.
[43:37] Felipe: Por exemplo não executou a 20 21 e 22, né?
[43:42] Icaro: Em cima também não tá como sim, mas não executou não.
[43:44] Felipe: A 20 também não executou a 20 ontem, né? Tá então colocar não aqui a um também não executou né? Não executado. Qualquer data limite de execução dia 7. Por que que não executou?
[44:13] Icaro: Tem que ver o que que é dela.
[44:15] Felipe: falta de material falta de equipamento
[44:17] Icaro: É chuva 90% dos 100% dos nossos problemas é dividir em três é 40% chuva 40% Engenheiro achando que a gente tá fazendo rede, que a gente tá trabalhando é com investimento não é com manutenção não. Eu tô com 45 45 e 10% é a equipe que tá por enquanto reduzida. Só que não tá dando mano, os cara tá mexendo com o asfalto frio. Mateus tá com trena.
[45:06] Icaro: Aí hoje não choveu ele tá lá batendo trena mandando eles voltar para trás com asfalto. Ficou é 2 cm fora do que ele queria.
[45:07] Felipe: Mas aí você tem que colocar isso no diário de obra, mano.
[45:10] Icaro: Não é o estresse. Eu coloco é porque eu não fiz o diário de obra de ontem, mas eu coloco as ocorrências.
[45:33] Felipe: Não Fechou então tá quase legal só falta botar agora os equipamentos ajustar a equipe que tem que atualizar.
[45:49] Icaro: Não precisa mexer na planilha mais não, será?
[45:52] Felipe: Vou te mandar ela toda aqui. Mandei mas eu mexi algumas coisas, vou te mandar aí.
[46:04] Felipe: Ah já sei. Criar uma aba de reunião.
[46:14] Icaro: O que horas que a reunião com o André hoje?
[46:18] Felipe: Sei mano, tem que ver aqui.
[46:19] Icaro: Não a gente precisa muito fazer essa reunião com ele Felipe. Mateus é muito bonzinho e tudo mas é tá estressando a equipe. O André me perguntou eu falei que a equipe é muito boa, tá fazendo serviço direitinho que a chuva tá atrapalhando e tal. Mateus, tô fazendo rede não mano, você fica batendo milímetro.
[46:46] Icaro: Pegou o meu tio, meu tio avesso ele construir na casa e bateu paquímetro na parede.
[46:53] Icaro: O Gabriel tá me pedindo igual doido para ir para o Guarujá? Eu falei Gabriel, você não sai do pé não tem jeito, mano.
[47:46] Icaro: Voltar na nossa conversa aqui aproveitar daqueles mensagens que eu te mandei ontem. Deu certo as elevatórias, né? Então depois eu só me passa uma posição para mim poder falar com os meninos.
[47:59] Felipe: Não vai mandar todo mundo embora.
[48:05] Felipe: Ou vai botar aí na de Santos?
[48:07] Icaro: Santos tem vaga não?
[48:09] Felipe: Então vai mandar todo mundo embora.
[48:11] Icaro: Mas por quê?
[48:13] Felipe: Porque a gente vai usar a mão de obra do Erisvaldo tá chegando.
[48:31] Icaro: De quem é a outra coisa que aquele negócio que eu te falei? Do porque fez o adiantamento para mim certo. Segundo o contrato paga dia 20 Domingo então deve ser 21 segunda certo. O que o meu negócio é o seguinte, se eu não receber não daria para adiantar agora teria problema. E isso eu tenho que tirar uma nota não precisa.
[49:05] Felipe: Eu vou ver isso aí com Williams hoje. Estou esperando ele chegar aqui no escritório, mano. É que ele tá agoniado com consórcio da zona norte que não pagou ainda.
[49:28] Felipe: Ele tá agoniado lá com a zona norte todo mês.
[49:46] Icaro: A conta começa que vem é dia 20 do dia 20 21, você viu aí? Que eu te falei o negócio da casa e o carro.
[49:58] Felipe: Tem que pagar dia 21, né?
[50:00] Icaro: isso
[50:01] Felipe: Tá repete todos esses itens que tem que ver com o Williams, por favor, repete tudo pode até ler o que você mandou aí porque vai sair na transcrição e a gente vai gerar umas ações para falar com ele hoje.
</t>
  </si>
  <si>
    <t>Sem o código o sistema não vincula o serviço à equipe, e a medição sai sem responsável.</t>
  </si>
  <si>
    <t>Abas 03 e 09</t>
  </si>
  <si>
    <t>Padronização da planilha</t>
  </si>
  <si>
    <t>Ícaro ainda não sabe os nomes certos das equipes e pediu para lançar assim mesmo, que depois ele altera. Está esperando finalizar as entradas e saídas de pessoal.</t>
  </si>
  <si>
    <t>Ícaro padroniza; Felipe envia a planilha atualizada. Ícaro declarou que não vai deixar ninguém mexer na planilha.</t>
  </si>
  <si>
    <t>Revisar e padronizar os dados de equipe na planilha (campos de equipe, quantidade de pessoas e códigos)</t>
  </si>
  <si>
    <t>Os nomes das equipes estão errados ou incompletos, o que impede apurar custo por frente.</t>
  </si>
  <si>
    <t>Abas 04, 06 e 08</t>
  </si>
  <si>
    <t>Apontamento diário</t>
  </si>
  <si>
    <t>DIVERGÊNCIA. Felipe quer o campo de equipe no apontamento para apurar custo por equipe no fim do mês, e argumenta que com 5 equipes é preciso separar. Ícaro não vê necessidade porque já registra a quantidade de pessoas, e entende o apontamento como registro de produção geral e interferências do dia. Exemplo: 03/09 com 8 pessoas, que segundo Ícaro equivale a 2 equipes (um faltou por não passar no bafômetro).</t>
  </si>
  <si>
    <t>Ícaro concordou em registrar o que cada equipe fez, mantendo a ressalva quanto ao campo.</t>
  </si>
  <si>
    <t>Atualizar os apontamentos diários com as equipes que executaram cada atividade</t>
  </si>
  <si>
    <t>Sem a equipe no apontamento não dá para saber o custo de cada frente no fim do mês.</t>
  </si>
  <si>
    <t>Aba 06</t>
  </si>
  <si>
    <t>Medição</t>
  </si>
  <si>
    <t>As medições 20, 21 e 22 não foram executadas. A A1 também não; a A2 foi executada e teve duas atividades. Data limite de execução citada: dia 07. Motivos a classificar: chuva, falta de material, falta de equipamento, equipe reduzida.</t>
  </si>
  <si>
    <t>Marcar como não executado, com motivo e prazo.</t>
  </si>
  <si>
    <t>Registrar as atividades 20, 21 e 22 como NÃO EXECUTADAS, com o motivo correto</t>
  </si>
  <si>
    <t>Atividade sem baixa fica parecendo pendente e distorce a aderência e o boletim.</t>
  </si>
  <si>
    <t>Ocorrências de obra</t>
  </si>
  <si>
    <t>Ícaro estima que os problemas se dividem em 40% chuva, 40% exigência do engenheiro tratando manutenção como obra de investimento e 10% equipe reduzida (ele citou 40/40/10 e depois 45/45/10 na mesma fala). Caso concreto: Mateus medindo asfalto frio com trena, achou 2 cm fora do especificado e mandou refazer, em dia sem chuva. A SABESP cobra as fotos.</t>
  </si>
  <si>
    <t>Felipe determinou registrar no diário de obra. Ícaro reconheceu que não fez o RDO de ontem.</t>
  </si>
  <si>
    <t>Lançar no diário de obra as ocorrências e interferências (chuva e fiscalização/medição)</t>
  </si>
  <si>
    <t>Ocorrência sem registro vira glosa sem defesa e perde o direito a pleito.</t>
  </si>
  <si>
    <t>Aba 10</t>
  </si>
  <si>
    <t>Cadastro e programação</t>
  </si>
  <si>
    <t>O cadastro está em dia até o dia 11. Faltam 14 e 15. Ícaro disse que ontem a equipe terminou mais tarde e ele ainda não lançou, e que também precisa cadastrar serviços novos. Há itens em aberto lançados como executados por Isaías.</t>
  </si>
  <si>
    <t>Ícaro lança a programação diária dos dias 14 e 15.</t>
  </si>
  <si>
    <t>Atualizar os cadastros dos dias 14 e 15 com as atividades executadas</t>
  </si>
  <si>
    <t>O cadastro está em dia só até o dia 11; sem 14 e 15 a programação fica furada.</t>
  </si>
  <si>
    <t>Abas 03 e 04</t>
  </si>
  <si>
    <t>Serviços em campo</t>
  </si>
  <si>
    <t>Não há número de OS da SABESP ainda: Vitor ligou direto na SABESP e foi pegando as atividades; a SABESP está criando as OS e depois Ícaro pega todas as de Bertioga com ele. Estão pedindo urgência para ir ao Guarujá e Gabriel insiste no deslocamento. São serviços de manutenção, não de rede.</t>
  </si>
  <si>
    <t>Obter os números de OS de Bertioga com o Vitor.</t>
  </si>
  <si>
    <t>Conferir e corrigir os registros de Bertioga e Guarujá, incluindo pendências de manutenção e atividades urgentes</t>
  </si>
  <si>
    <t>Sem o número da OS da SABESP não há como contestar glosa.</t>
  </si>
  <si>
    <t>Aba 03 / SABESP via Vitor</t>
  </si>
  <si>
    <t>Elevatórias</t>
  </si>
  <si>
    <t>Ícaro confirmou que deu certo e pediu que Felipe passe uma posição para ele comunicar os meninos.</t>
  </si>
  <si>
    <t>Felipe passa a posição hoje.</t>
  </si>
  <si>
    <t>Validar a situação das elevatórias e dar retorno para o Ícaro informar a equipe</t>
  </si>
  <si>
    <t>Felipe</t>
  </si>
  <si>
    <t>A equipe está parada esperando posição para se organizar.</t>
  </si>
  <si>
    <t>Campo — elevatórias</t>
  </si>
  <si>
    <t>Pelo contrato o pagamento é dia 20, que cai num domingo, portanto efetivo dia 21 (segunda). Ícaro sinalizou que tem compromissos nessa data (casa e carro) e que, se não receber, não conseguiria antecipar. Williams está pressionado porque o consórcio da zona norte não pagou, situação que Felipe descreveu como recorrente todo mês.</t>
  </si>
  <si>
    <t>Felipe trata com Williams hoje no escritório.</t>
  </si>
  <si>
    <t>Falar com o Williams sobre o adiantamento/pagamento e checar a situação do consórcio da Zona Norte</t>
  </si>
  <si>
    <t>O pagamento cai dia 21 e há compromisso assumido nessa data.</t>
  </si>
  <si>
    <t>Escritório — Williams</t>
  </si>
  <si>
    <t>Gestão</t>
  </si>
  <si>
    <t>Ícaro perguntou o horário e Felipe não soube informar. Ícaro reforçou a necessidade da reunião: Mateus está estressando a equipe. Quando André perguntou, Ícaro respondeu que a equipe é boa e que a chuva é que está atrapalhando.</t>
  </si>
  <si>
    <t>Aba de reunião criada na planilha (esta aba 15).</t>
  </si>
  <si>
    <t>Confirmar o horário da reunião com o André e criar a aba de reunião na planilha</t>
  </si>
  <si>
    <t>Mateus está estressando a equipe e isso precisa subir para o André.</t>
  </si>
  <si>
    <t>Reunião com André</t>
  </si>
  <si>
    <t>Equipes e pessoal</t>
  </si>
  <si>
    <t>Felipe informou que vai mandar todo mundo embora porque será usada a mão de obra do Erisvaldo, que está chegando. Cogitou-se realocar para Santos, mas Ícaro disse que Santos não tem vaga. Quadro atual: Edvan (Edivar) dos Santos e Marcelo dos Santos não estão ativos; Lenildo a confirmar; uma admissão prevista para hoje não aconteceu porque a pessoa viajou.</t>
  </si>
  <si>
    <t>Desligar o efetivo atual e substituir pela mão de obra do Erisvaldo.</t>
  </si>
  <si>
    <t>Ajustar a alocação da mão de obra considerando a chegada do Erisvaldo</t>
  </si>
  <si>
    <t>A mão de obra do Erisvaldo está chegando e vai substituir o efetivo atual.</t>
  </si>
  <si>
    <t>PONTO A CONFIRMAR: a fala sobre a nota fiscal ficou ambígua na transcrição ('e isso eu tenho que tirar uma nota não precisa'), admitindo as duas leituras.</t>
  </si>
  <si>
    <t>Felipe leva o item para o Williams junto com o adiantamento.</t>
  </si>
  <si>
    <t>Formalizar os apontamentos sobre pagamento/adiantamento e verificar se é preciso emitir nota</t>
  </si>
  <si>
    <t>Ficou dúvida se é preciso emitir nota para o adiantamento.</t>
  </si>
  <si>
    <t>LOOKAHEAD E RESTRIÇÕES — O QUE VEM NAS PRÓXIMAS SEMANAS E O QUE TRAVA</t>
  </si>
  <si>
    <t>Regra do Last Planner: serviço só entra no plano da semana quando NÃO tiver restrição. Marque NÃO no que ainda falta e a linha acende em vermelho.</t>
  </si>
  <si>
    <t>SEMANA (2ª feira)</t>
  </si>
  <si>
    <t>PRAZO SABESP</t>
  </si>
  <si>
    <t>MATERIAL OK?</t>
  </si>
  <si>
    <t>EQUIPAMENTO OK?</t>
  </si>
  <si>
    <t>MÃO DE OBRA OK?</t>
  </si>
  <si>
    <t>OS EMITIDA?</t>
  </si>
  <si>
    <t>LICENÇA / VIA OK?</t>
  </si>
  <si>
    <t>ACESSO OK?</t>
  </si>
  <si>
    <t>RESTRIÇÕES PENDENTES</t>
  </si>
  <si>
    <t>SITUAÇÃO</t>
  </si>
  <si>
    <t>RESPONSÁVEL P/ LIBERAR</t>
  </si>
  <si>
    <t>PRAZO P/ LIBERAR</t>
  </si>
  <si>
    <t>PLANO SEMANAL E PPC — O QUE A EQUIPE SE COMPROMETEU E O QUE SAIU</t>
  </si>
  <si>
    <t>PPC = tarefas concluídas ÷ tarefas programadas na semana. Toda tarefa NÃO concluída precisa de uma causa. É a causa que vira ação de melhoria.</t>
  </si>
  <si>
    <t>COMPROMISSO (o que entregar)</t>
  </si>
  <si>
    <t>CONCLUÍDO?</t>
  </si>
  <si>
    <t>DATA DA CONCLUSÃO</t>
  </si>
  <si>
    <t>CAUSA DE NÃO CUMPRIMENTO</t>
  </si>
  <si>
    <t>REPROGRAMADO PARA</t>
  </si>
  <si>
    <t>PPC POR SEMANA</t>
  </si>
  <si>
    <t>CAUSAS DE NÃO CUMPRIMENTO — PARETO</t>
  </si>
  <si>
    <t>CONCLUÍDO</t>
  </si>
  <si>
    <t>PPC</t>
  </si>
  <si>
    <t>CAUSA</t>
  </si>
  <si>
    <t>TOTAL</t>
  </si>
  <si>
    <t>PLANEJADO × REALIZADO — SEMANA A SEMANA E MÊS A MÊS</t>
  </si>
  <si>
    <t>Não se digita nada aqui, fora a data de início de cada semana. Tudo vem das abas 04, 06, 09, 12 e 17.</t>
  </si>
  <si>
    <t>SERVIÇOS PROGRAMADOS</t>
  </si>
  <si>
    <t>PPC DA SEMANA</t>
  </si>
  <si>
    <t>HH PREVISTO</t>
  </si>
  <si>
    <t>HH APONTADO</t>
  </si>
  <si>
    <t>DESVIO DE HH</t>
  </si>
  <si>
    <t>R$ MEDIDO NA SEMANA</t>
  </si>
  <si>
    <t>META R$ DA SEMANA</t>
  </si>
  <si>
    <t>B · FECHAMENTO MENSAL</t>
  </si>
  <si>
    <t>R$ MEDIDO</t>
  </si>
  <si>
    <t>META R$ DO MÊS</t>
  </si>
  <si>
    <t>RESULTADO ESTIMADO</t>
  </si>
  <si>
    <t>Vitor Nunes do Nascimento</t>
  </si>
  <si>
    <t>Marcio Antonio Marçal</t>
  </si>
  <si>
    <t>Alisson Nascimento de Jesus</t>
  </si>
  <si>
    <t>Erika Magda Cavalcanti Bezerra</t>
  </si>
  <si>
    <t>Vazamento no cavalete e troca de ramal</t>
  </si>
  <si>
    <t>Foi feito a troca de 6 ramais e 6 cavaletes. Foi usado 6T de serviço, 30m de PEAD, 6 cotovelo de metal, 6 kit cavalete completo</t>
  </si>
  <si>
    <t>Foi executados as atividades de forma normal</t>
  </si>
  <si>
    <t>Rua Miguel Seiad</t>
  </si>
  <si>
    <t>BER-0044</t>
  </si>
  <si>
    <t>Foi tirado o vazamento de água não visível. Foi trocado 1 ramal, 1 TSI de 100 e 16m de PEAD</t>
  </si>
  <si>
    <t>Foi feito a troca de 1 ramais e 1 cavaletes. Foi usado 1T de serviço, 5m de PEAD, 1 cotovelo de metal, 1 kit cavalete completo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</si>
</sst>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0.0"/>
    <numFmt numFmtId="166" formatCode="\R\$\ #,##0.00"/>
    <numFmt numFmtId="167" formatCode="\R\$\ #,##0"/>
  </numFmts>
  <fonts count="52" x14ac:knownFonts="1">
    <font>
      <sz val="11"/>
      <color theme="1"/>
      <name val="Calibri"/>
      <family val="2"/>
      <scheme val="minor"/>
    </font>
    <font>
      <b/>
      <sz val="15"/>
      <color rgb="FFFFFFFF"/>
      <name val="Calibri"/>
      <family val="2"/>
    </font>
    <font>
      <i/>
      <sz val="9"/>
      <color rgb="FF595959"/>
      <name val="Calibri"/>
      <family val="2"/>
    </font>
    <font>
      <b/>
      <sz val="10"/>
      <color rgb="FF1F3864"/>
      <name val="Calibri"/>
      <family val="2"/>
    </font>
    <font>
      <sz val="10"/>
      <name val="Calibri"/>
      <family val="2"/>
    </font>
    <font>
      <sz val="10"/>
      <color rgb="FF0000FF"/>
      <name val="Calibri"/>
      <family val="2"/>
    </font>
    <font>
      <sz val="9"/>
      <name val="Calibri"/>
      <family val="2"/>
    </font>
    <font>
      <b/>
      <sz val="9"/>
      <color rgb="FFFFFFFF"/>
      <name val="Calibri"/>
      <family val="2"/>
    </font>
    <font>
      <sz val="10"/>
      <color rgb="FF000000"/>
      <name val="Calibri"/>
      <family val="2"/>
    </font>
    <font>
      <sz val="10"/>
      <color rgb="FF006100"/>
      <name val="Calibri"/>
      <family val="2"/>
    </font>
    <font>
      <b/>
      <sz val="11"/>
      <name val="Calibri"/>
      <family val="2"/>
    </font>
    <font>
      <b/>
      <sz val="8"/>
      <color rgb="FFFFFFFF"/>
      <name val="Calibri"/>
      <family val="2"/>
    </font>
    <font>
      <b/>
      <sz val="20"/>
      <color rgb="FF1F3864"/>
      <name val="Calibri"/>
      <family val="2"/>
    </font>
    <font>
      <b/>
      <sz val="9"/>
      <color rgb="FF9C0006"/>
      <name val="Calibri"/>
      <family val="2"/>
    </font>
    <font>
      <b/>
      <sz val="10"/>
      <name val="Calibri"/>
      <family val="2"/>
    </font>
    <font>
      <b/>
      <sz val="11"/>
      <color rgb="FFFFFFFF"/>
      <name val="Calibri"/>
    </font>
    <font>
      <b/>
      <sz val="10.5"/>
      <color rgb="FF1F3864"/>
      <name val="Calibri"/>
    </font>
    <font>
      <sz val="10.5"/>
      <color rgb="FF262626"/>
      <name val="Calibri"/>
    </font>
    <font>
      <b/>
      <sz val="10.5"/>
      <color rgb="FFB00000"/>
      <name val="Calibri"/>
    </font>
    <font>
      <i/>
      <sz val="10"/>
      <color rgb="FF7F7F7F"/>
      <name val="Calibri"/>
    </font>
    <font>
      <b/>
      <sz val="14"/>
      <color rgb="FFFFFFFF"/>
      <name val="Calibri"/>
    </font>
    <font>
      <i/>
      <sz val="10.5"/>
      <color rgb="FF595959"/>
      <name val="Calibri"/>
    </font>
    <font>
      <b/>
      <sz val="11.5"/>
      <color rgb="FFFFFFFF"/>
      <name val="Calibri"/>
    </font>
    <font>
      <sz val="10"/>
      <color rgb="FF0000FF"/>
      <name val="Calibri"/>
    </font>
    <font>
      <sz val="10"/>
      <color rgb="FF000000"/>
      <name val="Calibri"/>
    </font>
    <font>
      <b/>
      <sz val="11"/>
      <color rgb="FFFFFFFF"/>
      <name val="Calibri"/>
    </font>
    <font>
      <b/>
      <sz val="10.5"/>
      <color rgb="FF1F3864"/>
      <name val="Calibri"/>
    </font>
    <font>
      <sz val="10.5"/>
      <color rgb="FF262626"/>
      <name val="Calibri"/>
    </font>
    <font>
      <b/>
      <sz val="10.5"/>
      <color rgb="FFB00000"/>
      <name val="Calibri"/>
    </font>
    <font>
      <b/>
      <sz val="10.5"/>
      <color rgb="FF375623"/>
      <name val="Calibri"/>
    </font>
    <font>
      <b/>
      <sz val="12"/>
      <color rgb="FFFFFFFF"/>
      <name val="Calibri"/>
    </font>
    <font>
      <i/>
      <sz val="9.5"/>
      <color rgb="FF595959"/>
      <name val="Calibri"/>
    </font>
    <font>
      <b/>
      <sz val="9"/>
      <color rgb="FFFFFFFF"/>
      <name val="Calibri"/>
    </font>
    <font>
      <sz val="10"/>
      <color rgb="FF000000"/>
      <name val="Calibri"/>
    </font>
    <font>
      <sz val="10"/>
      <color rgb="FF0000FF"/>
      <name val="Calibri"/>
    </font>
    <font>
      <b/>
      <sz val="10.5"/>
      <color rgb="FF1F3864"/>
      <name val="Calibri"/>
    </font>
    <font>
      <sz val="10.5"/>
      <color rgb="FF262626"/>
      <name val="Calibri"/>
    </font>
    <font>
      <b/>
      <sz val="10.5"/>
      <color rgb="FFB00000"/>
      <name val="Calibri"/>
    </font>
    <font>
      <b/>
      <sz val="11.5"/>
      <color rgb="FFFFFFFF"/>
      <name val="Calibri"/>
    </font>
    <font>
      <b/>
      <sz val="8.5"/>
      <color rgb="FFFFFFFF"/>
      <name val="Calibri"/>
    </font>
    <font>
      <sz val="10"/>
      <color rgb="FF0000FF"/>
      <name val="Calibri"/>
    </font>
    <font>
      <b/>
      <sz val="9"/>
      <color rgb="FFFFFFFF"/>
      <name val="Calibri"/>
    </font>
    <font>
      <b/>
      <sz val="12"/>
      <color rgb="FFFFFFFF"/>
      <name val="Calibri"/>
    </font>
    <font>
      <i/>
      <sz val="9.5"/>
      <color rgb="FF595959"/>
      <name val="Calibri"/>
    </font>
    <font>
      <sz val="10"/>
      <color rgb="FF000000"/>
      <name val="Calibri"/>
    </font>
    <font>
      <b/>
      <sz val="10"/>
      <color rgb="FFFFFFFF"/>
      <name val="Calibri"/>
    </font>
    <font>
      <b/>
      <sz val="11"/>
      <color rgb="FF1F3864"/>
      <name val="Calibri"/>
    </font>
    <font>
      <b/>
      <sz val="10.5"/>
      <color rgb="FF1F3864"/>
      <name val="Calibri"/>
    </font>
    <font>
      <b/>
      <sz val="11"/>
      <color rgb="FFFFFFFF"/>
      <name val="Calibri"/>
    </font>
    <font>
      <b/>
      <sz val="10.5"/>
      <color rgb="FFB00000"/>
      <name val="Calibri"/>
    </font>
    <font>
      <sz val="10.5"/>
      <color rgb="FF262626"/>
      <name val="Calibri"/>
    </font>
    <font>
      <b/>
      <sz val="11.5"/>
      <color rgb="FFFFFFFF"/>
      <name val="Calibri"/>
    </font>
  </fonts>
  <fills count="31">
    <fill>
      <patternFill patternType="none"/>
    </fill>
    <fill>
      <patternFill patternType="gray125"/>
    </fill>
    <fill>
      <patternFill patternType="solid">
        <fgColor rgb="FF1F3864"/>
      </patternFill>
    </fill>
    <fill>
      <patternFill patternType="solid">
        <fgColor rgb="FFD9E2F3"/>
      </patternFill>
    </fill>
    <fill>
      <patternFill patternType="solid">
        <fgColor rgb="FF2E5C8A"/>
      </patternFill>
    </fill>
    <fill>
      <patternFill patternType="solid">
        <fgColor rgb="FFFFF2CC"/>
      </patternFill>
    </fill>
    <fill>
      <patternFill patternType="solid">
        <fgColor rgb="FFF2F2F2"/>
      </patternFill>
    </fill>
    <fill>
      <patternFill patternType="solid">
        <fgColor rgb="FFE2EFDA"/>
      </patternFill>
    </fill>
    <fill>
      <patternFill patternType="solid">
        <fgColor rgb="FF1F3864"/>
      </patternFill>
    </fill>
    <fill>
      <patternFill patternType="solid">
        <fgColor rgb="FFFFE699"/>
      </patternFill>
    </fill>
    <fill>
      <patternFill patternType="solid">
        <fgColor rgb="FFFFF9E6"/>
      </patternFill>
    </fill>
    <fill>
      <patternFill patternType="solid">
        <fgColor rgb="FFFCE4E4"/>
      </patternFill>
    </fill>
    <fill>
      <patternFill patternType="solid">
        <fgColor rgb="FFFF9999"/>
      </patternFill>
    </fill>
    <fill>
      <patternFill patternType="solid">
        <fgColor rgb="FF2E75B6"/>
      </patternFill>
    </fill>
    <fill>
      <patternFill patternType="solid">
        <fgColor rgb="FFFFFDF5"/>
      </patternFill>
    </fill>
    <fill>
      <patternFill patternType="solid">
        <fgColor rgb="FF1F3864"/>
      </patternFill>
    </fill>
    <fill>
      <patternFill patternType="solid">
        <fgColor rgb="FFFFE699"/>
      </patternFill>
    </fill>
    <fill>
      <patternFill patternType="solid">
        <fgColor rgb="FFFFF9E6"/>
      </patternFill>
    </fill>
    <fill>
      <patternFill patternType="solid">
        <fgColor rgb="FFFCE4E4"/>
      </patternFill>
    </fill>
    <fill>
      <patternFill patternType="solid">
        <fgColor rgb="FFE2EFDA"/>
      </patternFill>
    </fill>
    <fill>
      <patternFill patternType="solid">
        <fgColor rgb="FF1F3864"/>
      </patternFill>
    </fill>
    <fill>
      <patternFill patternType="solid">
        <fgColor rgb="FF2E75B6"/>
      </patternFill>
    </fill>
    <fill>
      <patternFill patternType="solid">
        <fgColor rgb="FFFFE699"/>
      </patternFill>
    </fill>
    <fill>
      <patternFill patternType="solid">
        <fgColor rgb="FFFCE4E4"/>
      </patternFill>
    </fill>
    <fill>
      <patternFill patternType="solid">
        <fgColor rgb="FFFFFDF5"/>
      </patternFill>
    </fill>
    <fill>
      <patternFill patternType="solid">
        <fgColor rgb="FF2E75B6"/>
      </patternFill>
    </fill>
    <fill>
      <patternFill patternType="solid">
        <fgColor rgb="FF1F3864"/>
      </patternFill>
    </fill>
    <fill>
      <patternFill patternType="solid">
        <fgColor rgb="FFD9E2F3"/>
      </patternFill>
    </fill>
    <fill>
      <patternFill patternType="solid">
        <fgColor rgb="FFFFE699"/>
      </patternFill>
    </fill>
    <fill>
      <patternFill patternType="solid">
        <fgColor rgb="FFFCE4E4"/>
      </patternFill>
    </fill>
    <fill>
      <patternFill patternType="solid">
        <fgColor rgb="FFFFF9E6"/>
      </patternFill>
    </fill>
  </fills>
  <borders count="18">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s>
  <cellStyleXfs count="1">
    <xf numFmtId="0" fontId="0" fillId="0" borderId="12"/>
  </cellStyleXfs>
  <cellXfs count="194">
    <xf numFmtId="0" fontId="0" fillId="0" borderId="0" xfId="0" applyBorder="1"/>
    <xf numFmtId="0" fontId="14" fillId="0" borderId="0" xfId="0" applyFont="1" applyBorder="1" applyAlignment="1">
      <alignment horizontal="left" vertical="center" wrapText="1"/>
    </xf>
    <xf numFmtId="0" fontId="5" fillId="0" borderId="0" xfId="0" applyFont="1" applyBorder="1"/>
    <xf numFmtId="0" fontId="8" fillId="0" borderId="0" xfId="0" applyFont="1" applyBorder="1"/>
    <xf numFmtId="0" fontId="9" fillId="0" borderId="0" xfId="0" applyFont="1" applyBorder="1"/>
    <xf numFmtId="0" fontId="4" fillId="5" borderId="0" xfId="0" applyFont="1" applyFill="1" applyBorder="1"/>
    <xf numFmtId="0" fontId="14" fillId="0" borderId="1" xfId="0" applyFont="1" applyBorder="1" applyAlignment="1">
      <alignment horizontal="left" vertical="center" wrapText="1"/>
    </xf>
    <xf numFmtId="0" fontId="5" fillId="0" borderId="1" xfId="0" applyFont="1" applyBorder="1" applyAlignment="1">
      <alignment horizontal="left" vertical="center" wrapText="1"/>
    </xf>
    <xf numFmtId="0" fontId="9" fillId="0" borderId="1" xfId="0" applyFont="1" applyBorder="1" applyAlignment="1">
      <alignment horizontal="left" vertical="center" wrapText="1"/>
    </xf>
    <xf numFmtId="14" fontId="5" fillId="0" borderId="1" xfId="0" applyNumberFormat="1" applyFont="1" applyBorder="1" applyAlignment="1">
      <alignment horizontal="left" vertical="center" wrapText="1"/>
    </xf>
    <xf numFmtId="3" fontId="5" fillId="0" borderId="1" xfId="0" applyNumberFormat="1" applyFont="1" applyBorder="1" applyAlignment="1">
      <alignment horizontal="center" vertical="center" wrapText="1"/>
    </xf>
    <xf numFmtId="3" fontId="9" fillId="0" borderId="1" xfId="0" applyNumberFormat="1" applyFont="1" applyBorder="1" applyAlignment="1">
      <alignment horizontal="center" vertical="center" wrapText="1"/>
    </xf>
    <xf numFmtId="0" fontId="6" fillId="0" borderId="0" xfId="0" applyFont="1" applyBorder="1" applyAlignment="1">
      <alignment horizontal="center" vertical="center" wrapText="1"/>
    </xf>
    <xf numFmtId="3" fontId="8" fillId="0" borderId="1" xfId="0" applyNumberFormat="1" applyFont="1" applyBorder="1" applyAlignment="1">
      <alignment horizontal="center" vertical="center" wrapText="1"/>
    </xf>
    <xf numFmtId="0" fontId="14" fillId="3" borderId="1" xfId="0" applyFont="1" applyFill="1" applyBorder="1" applyAlignment="1">
      <alignment horizontal="left" vertical="center" wrapText="1"/>
    </xf>
    <xf numFmtId="0" fontId="14" fillId="3" borderId="1" xfId="0" applyFont="1" applyFill="1" applyBorder="1" applyAlignment="1">
      <alignment horizontal="right" vertical="center"/>
    </xf>
    <xf numFmtId="0" fontId="6" fillId="3"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10" fontId="5" fillId="0" borderId="1" xfId="0" applyNumberFormat="1" applyFont="1" applyBorder="1" applyAlignment="1">
      <alignment horizontal="center" vertical="center" wrapText="1"/>
    </xf>
    <xf numFmtId="10" fontId="14" fillId="3" borderId="1" xfId="0" applyNumberFormat="1" applyFont="1" applyFill="1" applyBorder="1" applyAlignment="1">
      <alignment horizontal="center" vertical="center" wrapText="1"/>
    </xf>
    <xf numFmtId="0" fontId="14" fillId="3"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3" fontId="14" fillId="3" borderId="1" xfId="0" applyNumberFormat="1" applyFont="1" applyFill="1" applyBorder="1" applyAlignment="1">
      <alignment horizontal="center" vertical="center" wrapText="1"/>
    </xf>
    <xf numFmtId="0" fontId="3" fillId="0" borderId="0" xfId="0" applyFont="1" applyBorder="1" applyAlignment="1">
      <alignment horizontal="right" vertical="center"/>
    </xf>
    <xf numFmtId="0" fontId="5" fillId="5" borderId="1" xfId="0" applyFont="1" applyFill="1" applyBorder="1"/>
    <xf numFmtId="49" fontId="4" fillId="0" borderId="1" xfId="0" applyNumberFormat="1" applyFont="1" applyBorder="1" applyAlignment="1">
      <alignment horizontal="center" vertical="center" wrapText="1"/>
    </xf>
    <xf numFmtId="49" fontId="6" fillId="0" borderId="1" xfId="0" applyNumberFormat="1" applyFont="1" applyBorder="1" applyAlignment="1">
      <alignment horizontal="left" vertical="center" wrapText="1"/>
    </xf>
    <xf numFmtId="49" fontId="6" fillId="0" borderId="1" xfId="0" applyNumberFormat="1" applyFont="1" applyBorder="1" applyAlignment="1">
      <alignment horizontal="center" vertical="center" wrapText="1"/>
    </xf>
    <xf numFmtId="49" fontId="4" fillId="0" borderId="1" xfId="0" applyNumberFormat="1" applyFont="1" applyBorder="1" applyAlignment="1">
      <alignment horizontal="left" vertical="center" wrapText="1"/>
    </xf>
    <xf numFmtId="49" fontId="8"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14" fontId="5" fillId="0" borderId="1" xfId="0" applyNumberFormat="1" applyFont="1" applyBorder="1" applyAlignment="1">
      <alignment horizontal="center" vertical="center" wrapText="1"/>
    </xf>
    <xf numFmtId="14" fontId="8" fillId="0" borderId="1" xfId="0" applyNumberFormat="1" applyFont="1" applyBorder="1" applyAlignment="1">
      <alignment horizontal="center" vertical="center" wrapText="1"/>
    </xf>
    <xf numFmtId="49" fontId="5" fillId="0" borderId="1" xfId="0" applyNumberFormat="1" applyFont="1" applyBorder="1" applyAlignment="1">
      <alignment horizontal="left" vertical="center" wrapText="1"/>
    </xf>
    <xf numFmtId="49" fontId="9" fillId="0" borderId="1" xfId="0" applyNumberFormat="1" applyFont="1" applyBorder="1" applyAlignment="1">
      <alignment horizontal="center" vertical="center" wrapText="1"/>
    </xf>
    <xf numFmtId="14" fontId="9" fillId="0" borderId="1" xfId="0" applyNumberFormat="1" applyFont="1" applyBorder="1" applyAlignment="1">
      <alignment horizontal="center" vertical="center" wrapText="1"/>
    </xf>
    <xf numFmtId="49" fontId="9" fillId="0" borderId="1" xfId="0" applyNumberFormat="1" applyFont="1" applyBorder="1" applyAlignment="1">
      <alignment horizontal="left" vertical="center" wrapText="1"/>
    </xf>
    <xf numFmtId="17" fontId="8" fillId="0" borderId="1" xfId="0" applyNumberFormat="1" applyFont="1" applyBorder="1" applyAlignment="1">
      <alignment horizontal="center" vertical="center" wrapText="1"/>
    </xf>
    <xf numFmtId="0" fontId="10" fillId="0" borderId="0" xfId="0" applyFont="1" applyBorder="1"/>
    <xf numFmtId="0" fontId="3" fillId="0" borderId="0" xfId="0" applyFont="1" applyBorder="1"/>
    <xf numFmtId="17" fontId="4" fillId="0" borderId="1" xfId="0" applyNumberFormat="1" applyFont="1" applyBorder="1" applyAlignment="1">
      <alignment horizontal="center" vertical="center" wrapText="1"/>
    </xf>
    <xf numFmtId="17" fontId="5" fillId="5" borderId="1" xfId="0" applyNumberFormat="1" applyFont="1" applyFill="1" applyBorder="1"/>
    <xf numFmtId="0" fontId="6" fillId="0" borderId="0" xfId="0" applyFont="1" applyBorder="1"/>
    <xf numFmtId="0" fontId="4"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7" fillId="4" borderId="1" xfId="0" applyFont="1" applyFill="1" applyBorder="1" applyAlignment="1">
      <alignment horizontal="center" vertical="center" wrapText="1"/>
    </xf>
    <xf numFmtId="164" fontId="9" fillId="0" borderId="1" xfId="0" applyNumberFormat="1" applyFont="1" applyBorder="1" applyAlignment="1">
      <alignment horizontal="center" vertical="center" wrapText="1"/>
    </xf>
    <xf numFmtId="164" fontId="5" fillId="0" borderId="1" xfId="0"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166" fontId="9" fillId="0" borderId="1" xfId="0" applyNumberFormat="1" applyFont="1" applyBorder="1" applyAlignment="1">
      <alignment horizontal="center" vertical="center" wrapText="1"/>
    </xf>
    <xf numFmtId="166" fontId="8" fillId="0" borderId="1" xfId="0" applyNumberFormat="1" applyFont="1" applyBorder="1" applyAlignment="1">
      <alignment horizontal="center" vertical="center" wrapText="1"/>
    </xf>
    <xf numFmtId="165" fontId="8" fillId="0" borderId="1" xfId="0" applyNumberFormat="1" applyFont="1" applyBorder="1" applyAlignment="1">
      <alignment horizontal="center" vertical="center" wrapText="1"/>
    </xf>
    <xf numFmtId="166" fontId="5" fillId="0" borderId="1" xfId="0" applyNumberFormat="1" applyFont="1" applyBorder="1" applyAlignment="1">
      <alignment horizontal="right" vertical="center"/>
    </xf>
    <xf numFmtId="166" fontId="8" fillId="0" borderId="1" xfId="0" applyNumberFormat="1" applyFont="1" applyBorder="1" applyAlignment="1">
      <alignment horizontal="right" vertical="center"/>
    </xf>
    <xf numFmtId="166" fontId="9" fillId="0" borderId="1" xfId="0" applyNumberFormat="1" applyFont="1" applyBorder="1" applyAlignment="1">
      <alignment horizontal="right" vertical="center"/>
    </xf>
    <xf numFmtId="166" fontId="14" fillId="3" borderId="1" xfId="0" applyNumberFormat="1" applyFont="1" applyFill="1" applyBorder="1" applyAlignment="1">
      <alignment horizontal="right" vertical="center"/>
    </xf>
    <xf numFmtId="166" fontId="5" fillId="0" borderId="1" xfId="0" applyNumberFormat="1" applyFont="1" applyBorder="1" applyAlignment="1">
      <alignment horizontal="center" vertical="center" wrapText="1"/>
    </xf>
    <xf numFmtId="164" fontId="8" fillId="0" borderId="1" xfId="0" applyNumberFormat="1" applyFont="1" applyBorder="1" applyAlignment="1">
      <alignment horizontal="center" vertical="center" wrapText="1"/>
    </xf>
    <xf numFmtId="164" fontId="14" fillId="3" borderId="1" xfId="0" applyNumberFormat="1" applyFont="1" applyFill="1" applyBorder="1" applyAlignment="1">
      <alignment horizontal="center" vertical="center" wrapText="1"/>
    </xf>
    <xf numFmtId="166" fontId="5" fillId="5" borderId="1" xfId="0" applyNumberFormat="1" applyFont="1" applyFill="1" applyBorder="1" applyAlignment="1">
      <alignment horizontal="right" vertical="center"/>
    </xf>
    <xf numFmtId="166" fontId="14" fillId="7" borderId="1" xfId="0" applyNumberFormat="1" applyFont="1" applyFill="1" applyBorder="1" applyAlignment="1">
      <alignment horizontal="right" vertical="center"/>
    </xf>
    <xf numFmtId="166" fontId="4" fillId="0" borderId="1" xfId="0" applyNumberFormat="1" applyFont="1" applyBorder="1" applyAlignment="1">
      <alignment horizontal="right" vertical="center"/>
    </xf>
    <xf numFmtId="49" fontId="5" fillId="12" borderId="1" xfId="0" applyNumberFormat="1" applyFont="1" applyFill="1" applyBorder="1" applyAlignment="1">
      <alignment horizontal="center" vertical="center" wrapText="1"/>
    </xf>
    <xf numFmtId="166" fontId="10" fillId="3" borderId="0" xfId="0" applyNumberFormat="1" applyFont="1" applyFill="1" applyBorder="1"/>
    <xf numFmtId="165" fontId="9" fillId="0" borderId="1" xfId="0" applyNumberFormat="1" applyFont="1" applyBorder="1" applyAlignment="1">
      <alignment horizontal="center" vertical="center" wrapText="1"/>
    </xf>
    <xf numFmtId="164" fontId="10" fillId="3" borderId="0" xfId="0" applyNumberFormat="1" applyFont="1" applyFill="1" applyBorder="1"/>
    <xf numFmtId="167" fontId="8" fillId="0" borderId="1" xfId="0" applyNumberFormat="1" applyFont="1" applyBorder="1" applyAlignment="1">
      <alignment horizontal="right" vertical="center"/>
    </xf>
    <xf numFmtId="0" fontId="22" fillId="13" borderId="0" xfId="0" applyFont="1" applyFill="1" applyBorder="1" applyAlignment="1">
      <alignment horizontal="left" vertical="center" indent="1"/>
    </xf>
    <xf numFmtId="0" fontId="16" fillId="9" borderId="10" xfId="0" applyFont="1" applyFill="1" applyBorder="1" applyAlignment="1">
      <alignment horizontal="left" vertical="center" indent="1"/>
    </xf>
    <xf numFmtId="0" fontId="17" fillId="14" borderId="10" xfId="0" applyFont="1" applyFill="1" applyBorder="1" applyAlignment="1">
      <alignment horizontal="left" vertical="center" indent="1"/>
    </xf>
    <xf numFmtId="0" fontId="18" fillId="11" borderId="10" xfId="0" applyFont="1" applyFill="1" applyBorder="1" applyAlignment="1">
      <alignment horizontal="left" vertical="center" indent="1"/>
    </xf>
    <xf numFmtId="0" fontId="19" fillId="14" borderId="10" xfId="0" applyFont="1" applyFill="1" applyBorder="1" applyAlignment="1">
      <alignment horizontal="left" vertical="center" indent="1"/>
    </xf>
    <xf numFmtId="0" fontId="0" fillId="8" borderId="0" xfId="0" applyFill="1" applyBorder="1"/>
    <xf numFmtId="0" fontId="20" fillId="8" borderId="0" xfId="0" applyFont="1" applyFill="1" applyBorder="1" applyAlignment="1">
      <alignment horizontal="left" vertical="center" indent="1"/>
    </xf>
    <xf numFmtId="0" fontId="21" fillId="0" borderId="0" xfId="0" applyFont="1" applyBorder="1" applyAlignment="1">
      <alignment horizontal="left" vertical="center" indent="1"/>
    </xf>
    <xf numFmtId="0" fontId="0" fillId="13" borderId="0" xfId="0" applyFill="1" applyBorder="1"/>
    <xf numFmtId="49" fontId="5" fillId="0" borderId="7" xfId="0" applyNumberFormat="1" applyFont="1" applyBorder="1" applyAlignment="1">
      <alignment horizontal="center" vertical="center" wrapText="1"/>
    </xf>
    <xf numFmtId="49" fontId="5" fillId="0" borderId="7" xfId="0" applyNumberFormat="1" applyFont="1" applyBorder="1" applyAlignment="1">
      <alignment horizontal="left" vertical="center" wrapText="1"/>
    </xf>
    <xf numFmtId="14" fontId="5" fillId="0" borderId="7" xfId="0" applyNumberFormat="1" applyFont="1" applyBorder="1" applyAlignment="1">
      <alignment horizontal="center" vertical="center" wrapText="1"/>
    </xf>
    <xf numFmtId="165" fontId="5" fillId="0" borderId="7" xfId="0" applyNumberFormat="1" applyFont="1" applyBorder="1" applyAlignment="1">
      <alignment horizontal="center" vertical="center" wrapText="1"/>
    </xf>
    <xf numFmtId="166" fontId="8" fillId="0" borderId="7" xfId="0" applyNumberFormat="1" applyFont="1" applyBorder="1" applyAlignment="1">
      <alignment horizontal="right" vertical="center"/>
    </xf>
    <xf numFmtId="166" fontId="5" fillId="0" borderId="7" xfId="0" applyNumberFormat="1" applyFont="1" applyBorder="1" applyAlignment="1">
      <alignment horizontal="right" vertical="center"/>
    </xf>
    <xf numFmtId="49" fontId="23" fillId="0" borderId="11" xfId="0" applyNumberFormat="1" applyFont="1" applyBorder="1" applyAlignment="1">
      <alignment horizontal="center" vertical="center" wrapText="1"/>
    </xf>
    <xf numFmtId="17" fontId="24" fillId="0" borderId="11" xfId="0" applyNumberFormat="1" applyFont="1" applyBorder="1" applyAlignment="1">
      <alignment horizontal="center" vertical="center" wrapText="1"/>
    </xf>
    <xf numFmtId="49" fontId="24" fillId="0" borderId="11" xfId="0" applyNumberFormat="1" applyFont="1" applyBorder="1" applyAlignment="1">
      <alignment horizontal="center" vertical="center" wrapText="1"/>
    </xf>
    <xf numFmtId="14" fontId="24" fillId="0" borderId="11" xfId="0" applyNumberFormat="1" applyFont="1" applyBorder="1" applyAlignment="1">
      <alignment horizontal="center" vertical="center" wrapText="1"/>
    </xf>
    <xf numFmtId="49" fontId="24" fillId="0" borderId="11" xfId="0" applyNumberFormat="1" applyFont="1" applyBorder="1" applyAlignment="1">
      <alignment horizontal="left" vertical="center" wrapText="1"/>
    </xf>
    <xf numFmtId="166" fontId="24" fillId="0" borderId="11" xfId="0" applyNumberFormat="1" applyFont="1" applyBorder="1" applyAlignment="1">
      <alignment horizontal="right" vertical="center"/>
    </xf>
    <xf numFmtId="0" fontId="17" fillId="0" borderId="12" xfId="0" applyFont="1" applyAlignment="1">
      <alignment horizontal="left" vertical="center" indent="1"/>
    </xf>
    <xf numFmtId="49" fontId="23" fillId="0" borderId="1" xfId="0" applyNumberFormat="1" applyFont="1" applyBorder="1" applyAlignment="1">
      <alignment horizontal="center" vertical="center" wrapText="1"/>
    </xf>
    <xf numFmtId="0" fontId="17" fillId="10" borderId="7" xfId="0" applyFont="1" applyFill="1" applyBorder="1" applyAlignment="1">
      <alignment horizontal="left" vertical="center" indent="1"/>
    </xf>
    <xf numFmtId="0" fontId="18" fillId="11" borderId="7" xfId="0" applyFont="1" applyFill="1" applyBorder="1" applyAlignment="1">
      <alignment horizontal="left" vertical="center" indent="1"/>
    </xf>
    <xf numFmtId="0" fontId="4" fillId="0" borderId="0" xfId="0" applyFont="1" applyBorder="1" applyAlignment="1">
      <alignment horizontal="left" vertical="center" wrapText="1"/>
    </xf>
    <xf numFmtId="0" fontId="6" fillId="0" borderId="0" xfId="0" applyFont="1" applyBorder="1" applyAlignment="1">
      <alignment horizontal="left" vertical="center" wrapText="1"/>
    </xf>
    <xf numFmtId="0" fontId="32" fillId="21" borderId="13" xfId="0" applyFont="1" applyFill="1" applyBorder="1" applyAlignment="1">
      <alignment horizontal="center" vertical="center" wrapText="1"/>
    </xf>
    <xf numFmtId="0" fontId="33" fillId="0" borderId="13" xfId="0" applyFont="1" applyBorder="1"/>
    <xf numFmtId="14" fontId="34" fillId="0" borderId="13" xfId="0" applyNumberFormat="1" applyFont="1" applyBorder="1"/>
    <xf numFmtId="20" fontId="34" fillId="0" borderId="13" xfId="0" applyNumberFormat="1" applyFont="1" applyBorder="1"/>
    <xf numFmtId="0" fontId="34" fillId="0" borderId="13" xfId="0" applyFont="1" applyBorder="1"/>
    <xf numFmtId="0" fontId="34" fillId="0" borderId="13" xfId="0" applyFont="1" applyBorder="1" applyAlignment="1">
      <alignment vertical="top" wrapText="1"/>
    </xf>
    <xf numFmtId="1" fontId="33" fillId="0" borderId="13" xfId="0" applyNumberFormat="1" applyFont="1" applyBorder="1"/>
    <xf numFmtId="0" fontId="0" fillId="21" borderId="0" xfId="0" applyFill="1" applyBorder="1"/>
    <xf numFmtId="0" fontId="38" fillId="21" borderId="0" xfId="0" applyFont="1" applyFill="1" applyBorder="1" applyAlignment="1">
      <alignment horizontal="left" vertical="center" indent="1"/>
    </xf>
    <xf numFmtId="0" fontId="35" fillId="22" borderId="16" xfId="0" applyFont="1" applyFill="1" applyBorder="1" applyAlignment="1">
      <alignment horizontal="left" vertical="center" indent="1"/>
    </xf>
    <xf numFmtId="0" fontId="36" fillId="24" borderId="16" xfId="0" applyFont="1" applyFill="1" applyBorder="1" applyAlignment="1">
      <alignment horizontal="left" vertical="center" indent="1"/>
    </xf>
    <xf numFmtId="0" fontId="37" fillId="23" borderId="16" xfId="0" applyFont="1" applyFill="1" applyBorder="1" applyAlignment="1">
      <alignment horizontal="left" vertical="center" indent="1"/>
    </xf>
    <xf numFmtId="0" fontId="0" fillId="0" borderId="14" xfId="0" applyBorder="1"/>
    <xf numFmtId="0" fontId="0" fillId="0" borderId="15" xfId="0" applyBorder="1"/>
    <xf numFmtId="0" fontId="0" fillId="0" borderId="0" xfId="0" applyBorder="1"/>
    <xf numFmtId="0" fontId="0" fillId="0" borderId="8" xfId="0" applyBorder="1"/>
    <xf numFmtId="0" fontId="0" fillId="0" borderId="9" xfId="0" applyBorder="1"/>
    <xf numFmtId="49" fontId="5" fillId="0" borderId="11" xfId="0" applyNumberFormat="1" applyFont="1" applyBorder="1" applyAlignment="1">
      <alignment horizontal="center" vertical="center" wrapText="1"/>
    </xf>
    <xf numFmtId="17" fontId="24" fillId="0" borderId="13" xfId="0" applyNumberFormat="1" applyFont="1" applyBorder="1" applyAlignment="1">
      <alignment horizontal="center" vertical="center" wrapText="1"/>
    </xf>
    <xf numFmtId="49" fontId="24" fillId="0" borderId="13" xfId="0" applyNumberFormat="1" applyFont="1" applyBorder="1" applyAlignment="1">
      <alignment horizontal="center" vertical="center" wrapText="1"/>
    </xf>
    <xf numFmtId="14" fontId="24" fillId="0" borderId="13" xfId="0" applyNumberFormat="1" applyFont="1" applyBorder="1" applyAlignment="1">
      <alignment horizontal="center" vertical="center" wrapText="1"/>
    </xf>
    <xf numFmtId="49" fontId="4" fillId="0" borderId="13" xfId="0" applyNumberFormat="1" applyFont="1" applyBorder="1" applyAlignment="1">
      <alignment horizontal="center" vertical="center" wrapText="1"/>
    </xf>
    <xf numFmtId="49" fontId="24" fillId="0" borderId="13" xfId="0" applyNumberFormat="1" applyFont="1" applyBorder="1" applyAlignment="1">
      <alignment horizontal="left" vertical="center" wrapText="1"/>
    </xf>
    <xf numFmtId="165" fontId="5" fillId="0" borderId="13" xfId="0" applyNumberFormat="1" applyFont="1" applyBorder="1" applyAlignment="1">
      <alignment horizontal="center" vertical="center" wrapText="1"/>
    </xf>
    <xf numFmtId="166" fontId="24" fillId="0" borderId="13" xfId="0" applyNumberFormat="1" applyFont="1" applyBorder="1" applyAlignment="1">
      <alignment horizontal="right" vertical="center"/>
    </xf>
    <xf numFmtId="49" fontId="5" fillId="0" borderId="13" xfId="0" applyNumberFormat="1" applyFont="1" applyBorder="1" applyAlignment="1">
      <alignment horizontal="center" vertical="center" wrapText="1"/>
    </xf>
    <xf numFmtId="14" fontId="5" fillId="0" borderId="13" xfId="0" applyNumberFormat="1" applyFont="1" applyBorder="1" applyAlignment="1">
      <alignment horizontal="center" vertical="center" wrapText="1"/>
    </xf>
    <xf numFmtId="166" fontId="5" fillId="0" borderId="13" xfId="0" applyNumberFormat="1" applyFont="1" applyBorder="1" applyAlignment="1">
      <alignment horizontal="right" vertical="center"/>
    </xf>
    <xf numFmtId="49" fontId="5" fillId="0" borderId="13" xfId="0" applyNumberFormat="1" applyFont="1" applyBorder="1" applyAlignment="1">
      <alignment horizontal="left" vertical="center" wrapText="1"/>
    </xf>
    <xf numFmtId="166" fontId="8" fillId="0" borderId="13" xfId="0" applyNumberFormat="1" applyFont="1" applyBorder="1" applyAlignment="1">
      <alignment horizontal="right" vertical="center"/>
    </xf>
    <xf numFmtId="0" fontId="0" fillId="0" borderId="12" xfId="0"/>
    <xf numFmtId="0" fontId="28" fillId="18" borderId="13" xfId="0" applyFont="1" applyFill="1" applyBorder="1" applyAlignment="1">
      <alignment horizontal="left" vertical="center" indent="1"/>
    </xf>
    <xf numFmtId="0" fontId="27" fillId="17" borderId="12" xfId="0" applyFont="1" applyFill="1" applyAlignment="1">
      <alignment horizontal="left" vertical="center" indent="1"/>
    </xf>
    <xf numFmtId="0" fontId="39" fillId="25" borderId="0" xfId="0" applyFont="1" applyFill="1" applyBorder="1" applyAlignment="1">
      <alignment horizontal="center" wrapText="1"/>
    </xf>
    <xf numFmtId="0" fontId="40" fillId="0" borderId="17" xfId="0" applyFont="1" applyBorder="1"/>
    <xf numFmtId="0" fontId="41" fillId="25" borderId="17" xfId="0" applyFont="1" applyFill="1" applyBorder="1" applyAlignment="1">
      <alignment horizontal="center" vertical="center" wrapText="1"/>
    </xf>
    <xf numFmtId="0" fontId="40" fillId="0" borderId="17" xfId="0" applyFont="1" applyBorder="1" applyAlignment="1">
      <alignment vertical="top" wrapText="1"/>
    </xf>
    <xf numFmtId="166" fontId="40" fillId="0" borderId="17" xfId="0" applyNumberFormat="1" applyFont="1" applyBorder="1" applyAlignment="1">
      <alignment vertical="top" wrapText="1"/>
    </xf>
    <xf numFmtId="14" fontId="40" fillId="0" borderId="17" xfId="0" applyNumberFormat="1" applyFont="1" applyBorder="1"/>
    <xf numFmtId="0" fontId="44" fillId="0" borderId="17" xfId="0" applyFont="1" applyBorder="1"/>
    <xf numFmtId="14" fontId="44" fillId="0" borderId="17" xfId="0" applyNumberFormat="1" applyFont="1" applyBorder="1"/>
    <xf numFmtId="0" fontId="41" fillId="25" borderId="17" xfId="0" applyFont="1" applyFill="1" applyBorder="1" applyAlignment="1">
      <alignment horizontal="center"/>
    </xf>
    <xf numFmtId="9" fontId="44" fillId="0" borderId="17" xfId="0" applyNumberFormat="1" applyFont="1" applyBorder="1"/>
    <xf numFmtId="0" fontId="46" fillId="27" borderId="0" xfId="0" applyFont="1" applyFill="1" applyBorder="1"/>
    <xf numFmtId="0" fontId="0" fillId="27" borderId="0" xfId="0" applyFill="1" applyBorder="1"/>
    <xf numFmtId="165" fontId="44" fillId="0" borderId="17" xfId="0" applyNumberFormat="1" applyFont="1" applyBorder="1"/>
    <xf numFmtId="166" fontId="44" fillId="0" borderId="17" xfId="0" applyNumberFormat="1" applyFont="1" applyBorder="1"/>
    <xf numFmtId="17" fontId="40" fillId="0" borderId="17" xfId="0" applyNumberFormat="1" applyFont="1" applyBorder="1"/>
    <xf numFmtId="0" fontId="0" fillId="25" borderId="0" xfId="0" applyFill="1" applyBorder="1"/>
    <xf numFmtId="0" fontId="51" fillId="25" borderId="0" xfId="0" applyFont="1" applyFill="1" applyBorder="1" applyAlignment="1">
      <alignment horizontal="left" vertical="center" indent="1"/>
    </xf>
    <xf numFmtId="0" fontId="47" fillId="28" borderId="17" xfId="0" applyFont="1" applyFill="1" applyBorder="1" applyAlignment="1">
      <alignment horizontal="left" vertical="center" indent="1"/>
    </xf>
    <xf numFmtId="0" fontId="49" fillId="29" borderId="17" xfId="0" applyFont="1" applyFill="1" applyBorder="1" applyAlignment="1">
      <alignment horizontal="left" vertical="center" indent="1"/>
    </xf>
    <xf numFmtId="0" fontId="50" fillId="30" borderId="17" xfId="0" applyFont="1" applyFill="1" applyBorder="1" applyAlignment="1">
      <alignment horizontal="left" vertical="center" indent="1"/>
    </xf>
    <xf numFmtId="0" fontId="4" fillId="0" borderId="12" xfId="0" applyFont="1" applyAlignment="1">
      <alignment horizontal="left" vertical="center" wrapText="1"/>
    </xf>
    <xf numFmtId="0" fontId="0" fillId="0" borderId="0" xfId="0" applyBorder="1"/>
    <xf numFmtId="0" fontId="3" fillId="3" borderId="12" xfId="0" applyFont="1" applyFill="1" applyAlignment="1">
      <alignment horizontal="left" vertical="center" wrapText="1"/>
    </xf>
    <xf numFmtId="0" fontId="1" fillId="2" borderId="12" xfId="0" applyFont="1" applyFill="1" applyAlignment="1">
      <alignment horizontal="left" vertical="center" wrapText="1"/>
    </xf>
    <xf numFmtId="0" fontId="3" fillId="6" borderId="12" xfId="0" applyFont="1" applyFill="1" applyAlignment="1">
      <alignment horizontal="left" vertical="center" wrapText="1"/>
    </xf>
    <xf numFmtId="0" fontId="2" fillId="0" borderId="12" xfId="0" applyFont="1" applyAlignment="1">
      <alignment horizontal="left" vertical="center" wrapText="1"/>
    </xf>
    <xf numFmtId="0" fontId="15" fillId="8" borderId="13" xfId="0" applyFont="1" applyFill="1" applyBorder="1" applyAlignment="1">
      <alignment horizontal="center" vertical="center"/>
    </xf>
    <xf numFmtId="0" fontId="0" fillId="0" borderId="14" xfId="0" applyBorder="1"/>
    <xf numFmtId="0" fontId="0" fillId="0" borderId="15" xfId="0" applyBorder="1"/>
    <xf numFmtId="0" fontId="17" fillId="10" borderId="13" xfId="0" applyFont="1" applyFill="1" applyBorder="1" applyAlignment="1">
      <alignment horizontal="left" vertical="center" indent="1"/>
    </xf>
    <xf numFmtId="0" fontId="16" fillId="9" borderId="13" xfId="0" applyFont="1" applyFill="1" applyBorder="1" applyAlignment="1">
      <alignment horizontal="left" vertical="center" indent="1"/>
    </xf>
    <xf numFmtId="0" fontId="18" fillId="11" borderId="13" xfId="0" applyFont="1" applyFill="1" applyBorder="1" applyAlignment="1">
      <alignment horizontal="left" vertical="center" indent="1"/>
    </xf>
    <xf numFmtId="0" fontId="4" fillId="0" borderId="13" xfId="0" applyFont="1" applyBorder="1" applyAlignment="1">
      <alignment horizontal="left" vertical="center" wrapText="1"/>
    </xf>
    <xf numFmtId="0" fontId="6" fillId="0" borderId="13" xfId="0" applyFont="1" applyBorder="1" applyAlignment="1">
      <alignment horizontal="center" vertical="center" wrapText="1"/>
    </xf>
    <xf numFmtId="0" fontId="6" fillId="0" borderId="13" xfId="0" applyFont="1" applyBorder="1" applyAlignment="1">
      <alignment horizontal="left" vertical="center" wrapText="1"/>
    </xf>
    <xf numFmtId="0" fontId="7" fillId="4" borderId="13" xfId="0" applyFont="1" applyFill="1" applyBorder="1" applyAlignment="1">
      <alignment horizontal="center" vertical="center" wrapText="1"/>
    </xf>
    <xf numFmtId="0" fontId="13" fillId="5" borderId="13" xfId="0" applyFont="1" applyFill="1" applyBorder="1" applyAlignment="1">
      <alignment horizontal="left" vertical="center" wrapText="1"/>
    </xf>
    <xf numFmtId="0" fontId="13" fillId="5" borderId="13" xfId="0" applyFont="1" applyFill="1" applyBorder="1" applyAlignment="1">
      <alignment horizontal="center" vertical="center" wrapText="1"/>
    </xf>
    <xf numFmtId="0" fontId="3" fillId="3" borderId="12" xfId="0" applyFont="1" applyFill="1"/>
    <xf numFmtId="0" fontId="27" fillId="17" borderId="13" xfId="0" applyFont="1" applyFill="1" applyBorder="1" applyAlignment="1">
      <alignment horizontal="left" vertical="center" indent="1"/>
    </xf>
    <xf numFmtId="0" fontId="25" fillId="15" borderId="13" xfId="0" applyFont="1" applyFill="1" applyBorder="1" applyAlignment="1">
      <alignment horizontal="center" vertical="center"/>
    </xf>
    <xf numFmtId="0" fontId="29" fillId="19" borderId="13" xfId="0" applyFont="1" applyFill="1" applyBorder="1" applyAlignment="1">
      <alignment horizontal="left" vertical="center" indent="1"/>
    </xf>
    <xf numFmtId="0" fontId="28" fillId="18" borderId="13" xfId="0" applyFont="1" applyFill="1" applyBorder="1" applyAlignment="1">
      <alignment horizontal="left" vertical="center" indent="1"/>
    </xf>
    <xf numFmtId="0" fontId="26" fillId="16" borderId="13" xfId="0" applyFont="1" applyFill="1" applyBorder="1" applyAlignment="1">
      <alignment horizontal="left" vertical="center" indent="1"/>
    </xf>
    <xf numFmtId="3" fontId="12" fillId="3" borderId="13" xfId="0" applyNumberFormat="1" applyFont="1" applyFill="1" applyBorder="1" applyAlignment="1">
      <alignment horizontal="center" vertical="center"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11" fillId="4" borderId="13" xfId="0" applyFont="1" applyFill="1" applyBorder="1" applyAlignment="1">
      <alignment horizontal="center" vertical="center" wrapText="1"/>
    </xf>
    <xf numFmtId="164" fontId="12" fillId="3" borderId="13" xfId="0" applyNumberFormat="1" applyFont="1" applyFill="1" applyBorder="1" applyAlignment="1">
      <alignment horizontal="center" vertical="center" wrapText="1"/>
    </xf>
    <xf numFmtId="0" fontId="6" fillId="0" borderId="12" xfId="0" applyFont="1" applyAlignment="1">
      <alignment horizontal="left" vertical="center" wrapText="1"/>
    </xf>
    <xf numFmtId="167" fontId="12" fillId="3" borderId="13" xfId="0" applyNumberFormat="1" applyFont="1" applyFill="1" applyBorder="1" applyAlignment="1">
      <alignment horizontal="center" vertical="center" wrapText="1"/>
    </xf>
    <xf numFmtId="0" fontId="30" fillId="20" borderId="12" xfId="0" applyFont="1" applyFill="1" applyAlignment="1">
      <alignment horizontal="left" vertical="center" indent="1"/>
    </xf>
    <xf numFmtId="0" fontId="31" fillId="0" borderId="12" xfId="0" applyFont="1" applyAlignment="1">
      <alignment horizontal="left" vertical="center" indent="1"/>
    </xf>
    <xf numFmtId="0" fontId="47" fillId="28" borderId="17" xfId="0" applyFont="1" applyFill="1" applyBorder="1" applyAlignment="1">
      <alignment horizontal="left" vertical="center" indent="1"/>
    </xf>
    <xf numFmtId="0" fontId="0" fillId="0" borderId="17" xfId="0" applyBorder="1"/>
    <xf numFmtId="0" fontId="50" fillId="30" borderId="17" xfId="0" applyFont="1" applyFill="1" applyBorder="1" applyAlignment="1">
      <alignment horizontal="left" vertical="center" indent="1"/>
    </xf>
    <xf numFmtId="0" fontId="49" fillId="29" borderId="17" xfId="0" applyFont="1" applyFill="1" applyBorder="1" applyAlignment="1">
      <alignment horizontal="left" vertical="center" indent="1"/>
    </xf>
    <xf numFmtId="0" fontId="48" fillId="26" borderId="17" xfId="0" applyFont="1" applyFill="1" applyBorder="1" applyAlignment="1">
      <alignment horizontal="center" vertical="center"/>
    </xf>
    <xf numFmtId="0" fontId="42" fillId="26" borderId="0" xfId="0" applyFont="1" applyFill="1" applyBorder="1" applyAlignment="1">
      <alignment horizontal="left" vertical="center" indent="1"/>
    </xf>
    <xf numFmtId="0" fontId="43" fillId="0" borderId="0" xfId="0" applyFont="1" applyBorder="1" applyAlignment="1">
      <alignment horizontal="left" vertical="center" indent="1"/>
    </xf>
    <xf numFmtId="0" fontId="45" fillId="26" borderId="0" xfId="0" applyFont="1" applyFill="1" applyBorder="1" applyAlignment="1">
      <alignment horizontal="center"/>
    </xf>
    <xf numFmtId="0" fontId="47" fillId="27" borderId="0" xfId="0" applyFont="1" applyFill="1" applyBorder="1" applyAlignment="1">
      <alignment horizontal="left" vertical="center" indent="1"/>
    </xf>
    <xf numFmtId="0" fontId="0" fillId="0" borderId="12" xfId="0" applyBorder="1"/>
  </cellXfs>
  <cellStyles count="1">
    <cellStyle name="Normal" xfId="0" builtinId="0"/>
  </cellStyles>
  <dxfs count="71">
    <dxf>
      <fill>
        <patternFill patternType="solid">
          <bgColor rgb="FFE2EFDA"/>
        </patternFill>
      </fill>
    </dxf>
    <dxf>
      <font>
        <b/>
        <color rgb="FF9C0006"/>
      </font>
      <fill>
        <patternFill patternType="solid">
          <bgColor rgb="FFFFC7CE"/>
        </patternFill>
      </fill>
    </dxf>
    <dxf>
      <fill>
        <patternFill patternType="solid">
          <bgColor rgb="FFE2EFDA"/>
        </patternFill>
      </fill>
    </dxf>
    <dxf>
      <font>
        <b/>
        <color rgb="FF9C0006"/>
      </font>
      <fill>
        <patternFill patternType="solid">
          <bgColor rgb="FFFFC7CE"/>
        </patternFill>
      </fill>
    </dxf>
    <dxf>
      <fill>
        <patternFill patternType="solid">
          <bgColor rgb="FFE2EFDA"/>
        </patternFill>
      </fill>
    </dxf>
    <dxf>
      <font>
        <b/>
        <color rgb="FF9C0006"/>
      </font>
      <fill>
        <patternFill patternType="solid">
          <bgColor rgb="FFFFC7CE"/>
        </patternFill>
      </fill>
    </dxf>
    <dxf>
      <fill>
        <patternFill patternType="solid">
          <bgColor rgb="FFE2EFDA"/>
        </patternFill>
      </fill>
    </dxf>
    <dxf>
      <font>
        <b/>
        <color rgb="FF9C0006"/>
      </font>
      <fill>
        <patternFill patternType="solid">
          <bgColor rgb="FFFFC7CE"/>
        </patternFill>
      </fill>
    </dxf>
    <dxf>
      <fill>
        <patternFill patternType="solid">
          <bgColor rgb="FFE2EFDA"/>
        </patternFill>
      </fill>
    </dxf>
    <dxf>
      <fill>
        <patternFill patternType="solid">
          <bgColor rgb="FFFFC7CE"/>
        </patternFill>
      </fill>
    </dxf>
    <dxf>
      <font>
        <b/>
        <color rgb="FF375623"/>
      </font>
      <fill>
        <patternFill patternType="solid">
          <bgColor rgb="FFE2EFDA"/>
        </patternFill>
      </fill>
    </dxf>
    <dxf>
      <fill>
        <patternFill patternType="solid">
          <bgColor rgb="FFFFC7CE"/>
        </patternFill>
      </fill>
    </dxf>
    <dxf>
      <font>
        <b/>
        <color rgb="FF9C0006"/>
      </font>
      <fill>
        <patternFill patternType="solid">
          <bgColor rgb="FFFF9999"/>
        </patternFill>
      </fill>
    </dxf>
    <dxf>
      <fill>
        <patternFill patternType="solid">
          <bgColor rgb="FFE2EFDA"/>
        </patternFill>
      </fill>
    </dxf>
    <dxf>
      <fill>
        <patternFill patternType="solid">
          <bgColor rgb="FFFFC7CE"/>
        </patternFill>
      </fill>
    </dxf>
    <dxf>
      <fill>
        <patternFill patternType="solid">
          <fgColor rgb="FFFFF2CC"/>
        </patternFill>
      </fill>
    </dxf>
    <dxf>
      <fill>
        <patternFill patternType="solid">
          <fgColor rgb="FFE2EFDA"/>
        </patternFill>
      </fill>
    </dxf>
    <dxf>
      <font>
        <b/>
        <color rgb="FF9C0006"/>
      </font>
      <fill>
        <patternFill patternType="solid">
          <fgColor rgb="FFFCE4E4"/>
        </patternFill>
      </fill>
    </dxf>
    <dxf>
      <fill>
        <patternFill patternType="solid">
          <fgColor rgb="FFFFF2CC"/>
        </patternFill>
      </fill>
    </dxf>
    <dxf>
      <fill>
        <patternFill patternType="solid">
          <fgColor rgb="FFE2EFDA"/>
        </patternFill>
      </fill>
    </dxf>
    <dxf>
      <font>
        <b/>
        <color rgb="FF9C0006"/>
      </font>
      <fill>
        <patternFill patternType="solid">
          <fgColor rgb="FFFCE4E4"/>
        </patternFill>
      </fill>
    </dxf>
    <dxf>
      <fill>
        <patternFill patternType="solid">
          <fgColor rgb="FFFCE4E4"/>
        </patternFill>
      </fill>
    </dxf>
    <dxf>
      <fill>
        <patternFill patternType="solid">
          <fgColor rgb="FFE2EFDA"/>
        </patternFill>
      </fill>
    </dxf>
    <dxf>
      <fill>
        <patternFill patternType="solid">
          <fgColor rgb="FFFCE4E4"/>
        </patternFill>
      </fill>
    </dxf>
    <dxf>
      <fill>
        <patternFill patternType="solid">
          <fgColor rgb="FFE2EFDA"/>
        </patternFill>
      </fill>
    </dxf>
    <dxf>
      <font>
        <color rgb="FF9C0006"/>
      </font>
      <fill>
        <patternFill patternType="solid">
          <fgColor rgb="FFFCE4E4"/>
        </patternFill>
      </fill>
    </dxf>
    <dxf>
      <font>
        <color rgb="FF006100"/>
      </font>
      <fill>
        <patternFill patternType="solid">
          <fgColor rgb="FFE2EFDA"/>
        </patternFill>
      </fill>
    </dxf>
    <dxf>
      <font>
        <b/>
        <color rgb="FF9C0006"/>
      </font>
      <fill>
        <patternFill patternType="solid">
          <fgColor rgb="FFFCE4E4"/>
        </patternFill>
      </fill>
    </dxf>
    <dxf>
      <fill>
        <patternFill patternType="solid">
          <fgColor rgb="FFFFF2CC"/>
        </patternFill>
      </fill>
    </dxf>
    <dxf>
      <font>
        <b/>
        <color rgb="FF9C0006"/>
      </font>
      <fill>
        <patternFill patternType="solid">
          <fgColor rgb="FFFCE4E4"/>
        </patternFill>
      </fill>
    </dxf>
    <dxf>
      <fill>
        <patternFill patternType="solid">
          <fgColor rgb="FFFBE5D6"/>
        </patternFill>
      </fill>
    </dxf>
    <dxf>
      <font>
        <b/>
        <color rgb="FF9C0006"/>
      </font>
      <fill>
        <patternFill patternType="solid">
          <fgColor rgb="FFFCE4E4"/>
        </patternFill>
      </fill>
    </dxf>
    <dxf>
      <font>
        <b/>
        <color rgb="FF9C0006"/>
      </font>
      <fill>
        <patternFill patternType="solid">
          <fgColor rgb="FFFCE4E4"/>
        </patternFill>
      </fill>
    </dxf>
    <dxf>
      <fill>
        <patternFill patternType="solid">
          <fgColor rgb="FFFFF2CC"/>
        </patternFill>
      </fill>
    </dxf>
    <dxf>
      <fill>
        <patternFill patternType="solid">
          <fgColor rgb="FFFBE5D6"/>
        </patternFill>
      </fill>
    </dxf>
    <dxf>
      <fill>
        <patternFill patternType="solid">
          <fgColor rgb="FFFCE4E4"/>
        </patternFill>
      </fill>
    </dxf>
    <dxf>
      <font>
        <color rgb="FF006100"/>
      </font>
      <fill>
        <patternFill patternType="solid">
          <fgColor rgb="FFE2EFDA"/>
        </patternFill>
      </fill>
    </dxf>
    <dxf>
      <font>
        <b/>
        <color rgb="FF9C0006"/>
      </font>
      <fill>
        <patternFill patternType="solid">
          <fgColor rgb="FFFCE4E4"/>
        </patternFill>
      </fill>
    </dxf>
    <dxf>
      <font>
        <b/>
        <color rgb="FF9C0006"/>
      </font>
      <fill>
        <patternFill patternType="solid">
          <fgColor rgb="FFFCE4E4"/>
        </patternFill>
      </fill>
    </dxf>
    <dxf>
      <fill>
        <patternFill patternType="solid">
          <fgColor rgb="FFFCE4E4"/>
        </patternFill>
      </fill>
    </dxf>
    <dxf>
      <fill>
        <patternFill patternType="solid">
          <bgColor rgb="FFFFC7CE"/>
        </patternFill>
      </fill>
    </dxf>
    <dxf>
      <font>
        <b/>
        <color rgb="FF9C0006"/>
      </font>
      <fill>
        <patternFill patternType="solid">
          <bgColor rgb="FFFF9999"/>
        </patternFill>
      </fill>
    </dxf>
    <dxf>
      <fill>
        <patternFill patternType="solid">
          <fgColor rgb="FFFBE5D6"/>
        </patternFill>
      </fill>
    </dxf>
    <dxf>
      <fill>
        <patternFill patternType="solid">
          <fgColor rgb="FFFCE4E4"/>
        </patternFill>
      </fill>
    </dxf>
    <dxf>
      <font>
        <b/>
        <color rgb="FF9C0006"/>
      </font>
      <fill>
        <patternFill patternType="solid">
          <fgColor rgb="FFFCE4E4"/>
        </patternFill>
      </fill>
    </dxf>
    <dxf>
      <font>
        <color rgb="FF006100"/>
      </font>
      <fill>
        <patternFill patternType="solid">
          <fgColor rgb="FFE2EFDA"/>
        </patternFill>
      </fill>
    </dxf>
    <dxf>
      <fill>
        <patternFill patternType="solid">
          <fgColor rgb="FFFFF2CC"/>
        </patternFill>
      </fill>
    </dxf>
    <dxf>
      <font>
        <b/>
        <color rgb="FF9C0006"/>
      </font>
      <fill>
        <patternFill patternType="solid">
          <fgColor rgb="FFFCE4E4"/>
        </patternFill>
      </fill>
    </dxf>
    <dxf>
      <font>
        <b/>
        <color rgb="FF9C0006"/>
      </font>
      <fill>
        <patternFill patternType="solid">
          <fgColor rgb="FFFCE4E4"/>
        </patternFill>
      </fill>
    </dxf>
    <dxf>
      <fill>
        <patternFill patternType="solid">
          <fgColor rgb="FFFCE4E4"/>
        </patternFill>
      </fill>
    </dxf>
    <dxf>
      <font>
        <color rgb="FF9C0006"/>
      </font>
      <fill>
        <patternFill patternType="solid">
          <fgColor rgb="FFFCE4E4"/>
        </patternFill>
      </fill>
    </dxf>
    <dxf>
      <font>
        <color rgb="FF9C0006"/>
      </font>
      <fill>
        <patternFill patternType="solid">
          <fgColor rgb="FFFCE4E4"/>
        </patternFill>
      </fill>
    </dxf>
    <dxf>
      <fill>
        <patternFill patternType="solid">
          <fgColor rgb="FFFFF2CC"/>
        </patternFill>
      </fill>
    </dxf>
    <dxf>
      <font>
        <b/>
        <color rgb="FF006100"/>
      </font>
      <fill>
        <patternFill patternType="solid">
          <fgColor rgb="FFE2EFDA"/>
        </patternFill>
      </fill>
    </dxf>
    <dxf>
      <fill>
        <patternFill patternType="solid">
          <fgColor rgb="FFF2F2F2"/>
        </patternFill>
      </fill>
    </dxf>
    <dxf>
      <fill>
        <patternFill patternType="solid">
          <fgColor rgb="FFFFF2CC"/>
        </patternFill>
      </fill>
    </dxf>
    <dxf>
      <font>
        <color rgb="FF9C0006"/>
      </font>
      <fill>
        <patternFill patternType="solid">
          <fgColor rgb="FFFCE4E4"/>
        </patternFill>
      </fill>
    </dxf>
    <dxf>
      <font>
        <b/>
        <color rgb="FF006100"/>
      </font>
      <fill>
        <patternFill patternType="solid">
          <fgColor rgb="FFE2EFDA"/>
        </patternFill>
      </fill>
    </dxf>
    <dxf>
      <fill>
        <patternFill patternType="solid">
          <fgColor rgb="FFFBE5D6"/>
        </patternFill>
      </fill>
    </dxf>
    <dxf>
      <fill>
        <patternFill patternType="solid">
          <fgColor rgb="FFFCE4E4"/>
        </patternFill>
      </fill>
    </dxf>
    <dxf>
      <fill>
        <patternFill patternType="solid">
          <fgColor rgb="FFFFF2CC"/>
        </patternFill>
      </fill>
    </dxf>
    <dxf>
      <font>
        <b/>
        <color rgb="FF9C0006"/>
      </font>
      <fill>
        <patternFill patternType="solid">
          <fgColor rgb="FFFCE4E4"/>
        </patternFill>
      </fill>
    </dxf>
    <dxf>
      <font>
        <b/>
        <color rgb="FF006100"/>
      </font>
      <fill>
        <patternFill patternType="solid">
          <fgColor rgb="FFE2EFDA"/>
        </patternFill>
      </fill>
    </dxf>
    <dxf>
      <fill>
        <patternFill patternType="solid">
          <fgColor rgb="FFFCE4E4"/>
        </patternFill>
      </fill>
    </dxf>
    <dxf>
      <font>
        <color rgb="FF006100"/>
      </font>
      <fill>
        <patternFill patternType="solid">
          <fgColor rgb="FFE2EFDA"/>
        </patternFill>
      </fill>
    </dxf>
    <dxf>
      <font>
        <color rgb="FF974706"/>
      </font>
      <fill>
        <patternFill patternType="solid">
          <fgColor rgb="FFFBE5D6"/>
        </patternFill>
      </fill>
    </dxf>
    <dxf>
      <font>
        <b/>
        <color rgb="FF9C6500"/>
      </font>
      <fill>
        <patternFill patternType="solid">
          <fgColor rgb="FFFFF2CC"/>
        </patternFill>
      </fill>
    </dxf>
    <dxf>
      <font>
        <b/>
        <color rgb="FF9C0006"/>
      </font>
      <fill>
        <patternFill patternType="solid">
          <fgColor rgb="FFFCE4E4"/>
        </patternFill>
      </fill>
    </dxf>
    <dxf>
      <fill>
        <patternFill patternType="solid">
          <fgColor rgb="FFF2F2F2"/>
        </patternFill>
      </fill>
    </dxf>
    <dxf>
      <font>
        <b/>
        <color rgb="FF006100"/>
      </font>
      <fill>
        <patternFill patternType="solid">
          <fgColor rgb="FFE2EFDA"/>
        </patternFill>
      </fill>
    </dxf>
    <dxf>
      <font>
        <b/>
        <color rgb="FF9C0006"/>
      </font>
      <fill>
        <patternFill patternType="solid">
          <fgColor rgb="FFFCE4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a:defRPr/>
            </a:pPr>
            <a:r>
              <a:rPr lang="pt-BR"/>
              <a:t>MEDIÇÃO MENSAL × META</a:t>
            </a:r>
          </a:p>
        </c:rich>
      </c:tx>
      <c:layout/>
      <c:overlay val="1"/>
    </c:title>
    <c:autoTitleDeleted val="0"/>
    <c:plotArea>
      <c:layout/>
      <c:lineChart>
        <c:grouping val="standard"/>
        <c:varyColors val="1"/>
        <c:ser>
          <c:idx val="0"/>
          <c:order val="0"/>
          <c:tx>
            <c:strRef>
              <c:f>'13. RESUMO GERENCIAL'!$G$37</c:f>
              <c:strCache>
                <c:ptCount val="1"/>
                <c:pt idx="0">
                  <c:v>MEDIDO GLOBAL</c:v>
                </c:pt>
              </c:strCache>
            </c:strRef>
          </c:tx>
          <c:spPr>
            <a:ln>
              <a:prstDash val="solid"/>
            </a:ln>
          </c:spPr>
          <c:marker>
            <c:symbol val="none"/>
          </c:marker>
          <c:cat>
            <c:numRef>
              <c:f>'13. RESUMO GERENCIAL'!$B$38:$B$52</c:f>
              <c:numCache>
                <c:formatCode>mmm\-yy</c:formatCode>
                <c:ptCount val="15"/>
                <c:pt idx="0">
                  <c:v>46265</c:v>
                </c:pt>
                <c:pt idx="1">
                  <c:v>46295</c:v>
                </c:pt>
                <c:pt idx="2">
                  <c:v>46326</c:v>
                </c:pt>
                <c:pt idx="3">
                  <c:v>46356</c:v>
                </c:pt>
                <c:pt idx="4">
                  <c:v>46387</c:v>
                </c:pt>
                <c:pt idx="5">
                  <c:v>46418</c:v>
                </c:pt>
                <c:pt idx="6">
                  <c:v>46446</c:v>
                </c:pt>
                <c:pt idx="7">
                  <c:v>46477</c:v>
                </c:pt>
                <c:pt idx="8">
                  <c:v>46507</c:v>
                </c:pt>
                <c:pt idx="9">
                  <c:v>46538</c:v>
                </c:pt>
                <c:pt idx="10">
                  <c:v>46568</c:v>
                </c:pt>
                <c:pt idx="11">
                  <c:v>46599</c:v>
                </c:pt>
                <c:pt idx="12">
                  <c:v>46630</c:v>
                </c:pt>
                <c:pt idx="13">
                  <c:v>46660</c:v>
                </c:pt>
                <c:pt idx="14">
                  <c:v>46691</c:v>
                </c:pt>
              </c:numCache>
            </c:numRef>
          </c:cat>
          <c:val>
            <c:numRef>
              <c:f>'13. RESUMO GERENCIAL'!$G$38:$G$52</c:f>
              <c:numCache>
                <c:formatCode>\R\$\ #,##0</c:formatCode>
                <c:ptCount val="15"/>
                <c:pt idx="0">
                  <c:v>0</c:v>
                </c:pt>
                <c:pt idx="1">
                  <c:v>37390.020000000011</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mooth val="1"/>
          <c:extLst>
            <c:ext xmlns:c16="http://schemas.microsoft.com/office/drawing/2014/chart" uri="{C3380CC4-5D6E-409C-BE32-E72D297353CC}">
              <c16:uniqueId val="{00000000-0AF3-4ED4-B493-764EC23393A3}"/>
            </c:ext>
          </c:extLst>
        </c:ser>
        <c:ser>
          <c:idx val="1"/>
          <c:order val="1"/>
          <c:tx>
            <c:strRef>
              <c:f>'13. RESUMO GERENCIAL'!$H$37</c:f>
              <c:strCache>
                <c:ptCount val="1"/>
                <c:pt idx="0">
                  <c:v>META GLOBAL</c:v>
                </c:pt>
              </c:strCache>
            </c:strRef>
          </c:tx>
          <c:spPr>
            <a:ln>
              <a:prstDash val="solid"/>
            </a:ln>
          </c:spPr>
          <c:marker>
            <c:symbol val="none"/>
          </c:marker>
          <c:cat>
            <c:numRef>
              <c:f>'13. RESUMO GERENCIAL'!$B$38:$B$52</c:f>
              <c:numCache>
                <c:formatCode>mmm\-yy</c:formatCode>
                <c:ptCount val="15"/>
                <c:pt idx="0">
                  <c:v>46265</c:v>
                </c:pt>
                <c:pt idx="1">
                  <c:v>46295</c:v>
                </c:pt>
                <c:pt idx="2">
                  <c:v>46326</c:v>
                </c:pt>
                <c:pt idx="3">
                  <c:v>46356</c:v>
                </c:pt>
                <c:pt idx="4">
                  <c:v>46387</c:v>
                </c:pt>
                <c:pt idx="5">
                  <c:v>46418</c:v>
                </c:pt>
                <c:pt idx="6">
                  <c:v>46446</c:v>
                </c:pt>
                <c:pt idx="7">
                  <c:v>46477</c:v>
                </c:pt>
                <c:pt idx="8">
                  <c:v>46507</c:v>
                </c:pt>
                <c:pt idx="9">
                  <c:v>46538</c:v>
                </c:pt>
                <c:pt idx="10">
                  <c:v>46568</c:v>
                </c:pt>
                <c:pt idx="11">
                  <c:v>46599</c:v>
                </c:pt>
                <c:pt idx="12">
                  <c:v>46630</c:v>
                </c:pt>
                <c:pt idx="13">
                  <c:v>46660</c:v>
                </c:pt>
                <c:pt idx="14">
                  <c:v>46691</c:v>
                </c:pt>
              </c:numCache>
            </c:numRef>
          </c:cat>
          <c:val>
            <c:numRef>
              <c:f>'13. RESUMO GERENCIAL'!$H$38:$H$52</c:f>
              <c:numCache>
                <c:formatCode>\R\$\ #,##0</c:formatCode>
                <c:ptCount val="15"/>
                <c:pt idx="0">
                  <c:v>775610.23076923075</c:v>
                </c:pt>
                <c:pt idx="1">
                  <c:v>775610.23076923075</c:v>
                </c:pt>
                <c:pt idx="2">
                  <c:v>775610.23076923075</c:v>
                </c:pt>
                <c:pt idx="3">
                  <c:v>775610.23076923075</c:v>
                </c:pt>
                <c:pt idx="4">
                  <c:v>775610.23076923075</c:v>
                </c:pt>
                <c:pt idx="5">
                  <c:v>775610.23076923075</c:v>
                </c:pt>
                <c:pt idx="6">
                  <c:v>775610.23076923075</c:v>
                </c:pt>
                <c:pt idx="7">
                  <c:v>775610.23076923075</c:v>
                </c:pt>
                <c:pt idx="8">
                  <c:v>775610.23076923075</c:v>
                </c:pt>
                <c:pt idx="9">
                  <c:v>775610.23076923075</c:v>
                </c:pt>
                <c:pt idx="10">
                  <c:v>775610.23076923075</c:v>
                </c:pt>
                <c:pt idx="11">
                  <c:v>775610.23076923075</c:v>
                </c:pt>
                <c:pt idx="12">
                  <c:v>775610.23076923075</c:v>
                </c:pt>
                <c:pt idx="13">
                  <c:v>775610.23076923075</c:v>
                </c:pt>
                <c:pt idx="14">
                  <c:v>775610.23076923075</c:v>
                </c:pt>
              </c:numCache>
            </c:numRef>
          </c:val>
          <c:smooth val="1"/>
          <c:extLst>
            <c:ext xmlns:c16="http://schemas.microsoft.com/office/drawing/2014/chart" uri="{C3380CC4-5D6E-409C-BE32-E72D297353CC}">
              <c16:uniqueId val="{00000001-0AF3-4ED4-B493-764EC23393A3}"/>
            </c:ext>
          </c:extLst>
        </c:ser>
        <c:dLbls>
          <c:showLegendKey val="0"/>
          <c:showVal val="0"/>
          <c:showCatName val="0"/>
          <c:showSerName val="0"/>
          <c:showPercent val="0"/>
          <c:showBubbleSize val="0"/>
        </c:dLbls>
        <c:smooth val="0"/>
        <c:axId val="10"/>
        <c:axId val="100"/>
      </c:lineChart>
      <c:dateAx>
        <c:axId val="10"/>
        <c:scaling>
          <c:orientation val="minMax"/>
        </c:scaling>
        <c:delete val="1"/>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1"/>
        <c:axPos val="l"/>
        <c:majorGridlines/>
        <c:title>
          <c:tx>
            <c:rich>
              <a:bodyPr/>
              <a:lstStyle/>
              <a:p>
                <a:pPr>
                  <a:defRPr/>
                </a:pPr>
                <a:r>
                  <a:rPr lang="pt-BR"/>
                  <a:t>R$</a:t>
                </a:r>
              </a:p>
            </c:rich>
          </c:tx>
          <c:layout/>
          <c:overlay val="1"/>
        </c:title>
        <c:numFmt formatCode="#,##0" sourceLinked="0"/>
        <c:majorTickMark val="none"/>
        <c:minorTickMark val="none"/>
        <c:tickLblPos val="nextTo"/>
        <c:crossAx val="10"/>
        <c:crosses val="autoZero"/>
        <c:crossBetween val="between"/>
      </c:valAx>
    </c:plotArea>
    <c:legend>
      <c:legendPos val="r"/>
      <c:layout/>
      <c:overlay val="1"/>
    </c:legend>
    <c:plotVisOnly val="1"/>
    <c:dispBlanksAs val="gap"/>
    <c:showDLblsOverMax val="1"/>
  </c:chart>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a:defRPr/>
            </a:pPr>
            <a:r>
              <a:rPr lang="pt-BR"/>
              <a:t>SERVIÇOS EXECUTADOS POR MÊS E CIDADE</a:t>
            </a:r>
          </a:p>
        </c:rich>
      </c:tx>
      <c:layout/>
      <c:overlay val="1"/>
    </c:title>
    <c:autoTitleDeleted val="0"/>
    <c:plotArea>
      <c:layout/>
      <c:barChart>
        <c:barDir val="col"/>
        <c:grouping val="clustered"/>
        <c:varyColors val="1"/>
        <c:ser>
          <c:idx val="0"/>
          <c:order val="0"/>
          <c:tx>
            <c:strRef>
              <c:f>'13. RESUMO GERENCIAL'!$C$37</c:f>
              <c:strCache>
                <c:ptCount val="1"/>
                <c:pt idx="0">
                  <c:v>EXEC. BERTIOGA</c:v>
                </c:pt>
              </c:strCache>
            </c:strRef>
          </c:tx>
          <c:spPr>
            <a:ln>
              <a:prstDash val="solid"/>
            </a:ln>
          </c:spPr>
          <c:invertIfNegative val="1"/>
          <c:cat>
            <c:numRef>
              <c:f>'13. RESUMO GERENCIAL'!$B$38:$B$52</c:f>
              <c:numCache>
                <c:formatCode>mmm\-yy</c:formatCode>
                <c:ptCount val="15"/>
                <c:pt idx="0">
                  <c:v>46265</c:v>
                </c:pt>
                <c:pt idx="1">
                  <c:v>46295</c:v>
                </c:pt>
                <c:pt idx="2">
                  <c:v>46326</c:v>
                </c:pt>
                <c:pt idx="3">
                  <c:v>46356</c:v>
                </c:pt>
                <c:pt idx="4">
                  <c:v>46387</c:v>
                </c:pt>
                <c:pt idx="5">
                  <c:v>46418</c:v>
                </c:pt>
                <c:pt idx="6">
                  <c:v>46446</c:v>
                </c:pt>
                <c:pt idx="7">
                  <c:v>46477</c:v>
                </c:pt>
                <c:pt idx="8">
                  <c:v>46507</c:v>
                </c:pt>
                <c:pt idx="9">
                  <c:v>46538</c:v>
                </c:pt>
                <c:pt idx="10">
                  <c:v>46568</c:v>
                </c:pt>
                <c:pt idx="11">
                  <c:v>46599</c:v>
                </c:pt>
                <c:pt idx="12">
                  <c:v>46630</c:v>
                </c:pt>
                <c:pt idx="13">
                  <c:v>46660</c:v>
                </c:pt>
                <c:pt idx="14">
                  <c:v>46691</c:v>
                </c:pt>
              </c:numCache>
            </c:numRef>
          </c:cat>
          <c:val>
            <c:numRef>
              <c:f>'13. RESUMO GERENCIAL'!$C$38:$C$52</c:f>
              <c:numCache>
                <c:formatCode>#,##0</c:formatCode>
                <c:ptCount val="15"/>
                <c:pt idx="0">
                  <c:v>0</c:v>
                </c:pt>
                <c:pt idx="1">
                  <c:v>29</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2C98-49F4-8BCE-D75422B84B11}"/>
            </c:ext>
          </c:extLst>
        </c:ser>
        <c:ser>
          <c:idx val="1"/>
          <c:order val="1"/>
          <c:tx>
            <c:strRef>
              <c:f>'13. RESUMO GERENCIAL'!$D$37</c:f>
              <c:strCache>
                <c:ptCount val="1"/>
                <c:pt idx="0">
                  <c:v>EXEC. SANTOS</c:v>
                </c:pt>
              </c:strCache>
            </c:strRef>
          </c:tx>
          <c:spPr>
            <a:ln>
              <a:prstDash val="solid"/>
            </a:ln>
          </c:spPr>
          <c:invertIfNegative val="1"/>
          <c:cat>
            <c:numRef>
              <c:f>'13. RESUMO GERENCIAL'!$B$38:$B$52</c:f>
              <c:numCache>
                <c:formatCode>mmm\-yy</c:formatCode>
                <c:ptCount val="15"/>
                <c:pt idx="0">
                  <c:v>46265</c:v>
                </c:pt>
                <c:pt idx="1">
                  <c:v>46295</c:v>
                </c:pt>
                <c:pt idx="2">
                  <c:v>46326</c:v>
                </c:pt>
                <c:pt idx="3">
                  <c:v>46356</c:v>
                </c:pt>
                <c:pt idx="4">
                  <c:v>46387</c:v>
                </c:pt>
                <c:pt idx="5">
                  <c:v>46418</c:v>
                </c:pt>
                <c:pt idx="6">
                  <c:v>46446</c:v>
                </c:pt>
                <c:pt idx="7">
                  <c:v>46477</c:v>
                </c:pt>
                <c:pt idx="8">
                  <c:v>46507</c:v>
                </c:pt>
                <c:pt idx="9">
                  <c:v>46538</c:v>
                </c:pt>
                <c:pt idx="10">
                  <c:v>46568</c:v>
                </c:pt>
                <c:pt idx="11">
                  <c:v>46599</c:v>
                </c:pt>
                <c:pt idx="12">
                  <c:v>46630</c:v>
                </c:pt>
                <c:pt idx="13">
                  <c:v>46660</c:v>
                </c:pt>
                <c:pt idx="14">
                  <c:v>46691</c:v>
                </c:pt>
              </c:numCache>
            </c:numRef>
          </c:cat>
          <c:val>
            <c:numRef>
              <c:f>'13. RESUMO GERENCIAL'!$D$38:$D$52</c:f>
              <c:numCache>
                <c:formatCode>#,##0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2C98-49F4-8BCE-D75422B84B11}"/>
            </c:ext>
          </c:extLst>
        </c:ser>
        <c:dLbls>
          <c:showLegendKey val="0"/>
          <c:showVal val="0"/>
          <c:showCatName val="0"/>
          <c:showSerName val="0"/>
          <c:showPercent val="0"/>
          <c:showBubbleSize val="0"/>
        </c:dLbls>
        <c:gapWidth val="150"/>
        <c:axId val="10"/>
        <c:axId val="100"/>
      </c:barChart>
      <c:dateAx>
        <c:axId val="10"/>
        <c:scaling>
          <c:orientation val="minMax"/>
        </c:scaling>
        <c:delete val="1"/>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1"/>
        <c:axPos val="l"/>
        <c:majorGridlines/>
        <c:title>
          <c:tx>
            <c:rich>
              <a:bodyPr/>
              <a:lstStyle/>
              <a:p>
                <a:pPr>
                  <a:defRPr/>
                </a:pPr>
                <a:r>
                  <a:rPr lang="pt-BR"/>
                  <a:t>serviços</a:t>
                </a:r>
              </a:p>
            </c:rich>
          </c:tx>
          <c:layout/>
          <c:overlay val="1"/>
        </c:title>
        <c:numFmt formatCode="#,##0" sourceLinked="1"/>
        <c:majorTickMark val="none"/>
        <c:minorTickMark val="none"/>
        <c:tickLblPos val="nextTo"/>
        <c:crossAx val="10"/>
        <c:crosses val="autoZero"/>
        <c:crossBetween val="between"/>
      </c:valAx>
    </c:plotArea>
    <c:legend>
      <c:legendPos val="r"/>
      <c:layout/>
      <c:overlay val="1"/>
    </c:legend>
    <c:plotVisOnly val="1"/>
    <c:dispBlanksAs val="gap"/>
    <c:showDLblsOverMax val="1"/>
  </c:chart>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a:defRPr/>
            </a:pPr>
            <a:r>
              <a:rPr lang="pt-BR"/>
              <a:t>RESULTADO ACUMULADO DO CONTRATO</a:t>
            </a:r>
          </a:p>
        </c:rich>
      </c:tx>
      <c:layout/>
      <c:overlay val="1"/>
    </c:title>
    <c:autoTitleDeleted val="0"/>
    <c:plotArea>
      <c:layout/>
      <c:lineChart>
        <c:grouping val="standard"/>
        <c:varyColors val="1"/>
        <c:ser>
          <c:idx val="0"/>
          <c:order val="0"/>
          <c:tx>
            <c:strRef>
              <c:f>'13. RESUMO GERENCIAL'!$K$37</c:f>
              <c:strCache>
                <c:ptCount val="1"/>
                <c:pt idx="0">
                  <c:v>RESULTADO ACUM.</c:v>
                </c:pt>
              </c:strCache>
            </c:strRef>
          </c:tx>
          <c:spPr>
            <a:ln>
              <a:prstDash val="solid"/>
            </a:ln>
          </c:spPr>
          <c:marker>
            <c:symbol val="none"/>
          </c:marker>
          <c:cat>
            <c:numRef>
              <c:f>'13. RESUMO GERENCIAL'!$B$38:$B$52</c:f>
              <c:numCache>
                <c:formatCode>mmm\-yy</c:formatCode>
                <c:ptCount val="15"/>
                <c:pt idx="0">
                  <c:v>46265</c:v>
                </c:pt>
                <c:pt idx="1">
                  <c:v>46295</c:v>
                </c:pt>
                <c:pt idx="2">
                  <c:v>46326</c:v>
                </c:pt>
                <c:pt idx="3">
                  <c:v>46356</c:v>
                </c:pt>
                <c:pt idx="4">
                  <c:v>46387</c:v>
                </c:pt>
                <c:pt idx="5">
                  <c:v>46418</c:v>
                </c:pt>
                <c:pt idx="6">
                  <c:v>46446</c:v>
                </c:pt>
                <c:pt idx="7">
                  <c:v>46477</c:v>
                </c:pt>
                <c:pt idx="8">
                  <c:v>46507</c:v>
                </c:pt>
                <c:pt idx="9">
                  <c:v>46538</c:v>
                </c:pt>
                <c:pt idx="10">
                  <c:v>46568</c:v>
                </c:pt>
                <c:pt idx="11">
                  <c:v>46599</c:v>
                </c:pt>
                <c:pt idx="12">
                  <c:v>46630</c:v>
                </c:pt>
                <c:pt idx="13">
                  <c:v>46660</c:v>
                </c:pt>
                <c:pt idx="14">
                  <c:v>46691</c:v>
                </c:pt>
              </c:numCache>
            </c:numRef>
          </c:cat>
          <c:val>
            <c:numRef>
              <c:f>'13. RESUMO GERENCIAL'!$K$38:$K$52</c:f>
              <c:numCache>
                <c:formatCode>\R\$\ #,##0</c:formatCode>
                <c:ptCount val="15"/>
                <c:pt idx="0">
                  <c:v>0</c:v>
                </c:pt>
                <c:pt idx="1">
                  <c:v>-474982.43439999997</c:v>
                </c:pt>
                <c:pt idx="2">
                  <c:v>-474982.43439999997</c:v>
                </c:pt>
                <c:pt idx="3">
                  <c:v>-474982.43439999997</c:v>
                </c:pt>
                <c:pt idx="4">
                  <c:v>-474982.43439999997</c:v>
                </c:pt>
                <c:pt idx="5">
                  <c:v>-474982.43439999997</c:v>
                </c:pt>
                <c:pt idx="6">
                  <c:v>-474982.43439999997</c:v>
                </c:pt>
                <c:pt idx="7">
                  <c:v>-474982.43439999997</c:v>
                </c:pt>
                <c:pt idx="8">
                  <c:v>-474982.43439999997</c:v>
                </c:pt>
                <c:pt idx="9">
                  <c:v>-474982.43439999997</c:v>
                </c:pt>
                <c:pt idx="10">
                  <c:v>-474982.43439999997</c:v>
                </c:pt>
                <c:pt idx="11">
                  <c:v>-474982.43439999997</c:v>
                </c:pt>
                <c:pt idx="12">
                  <c:v>-474982.43439999997</c:v>
                </c:pt>
                <c:pt idx="13">
                  <c:v>-474982.43439999997</c:v>
                </c:pt>
                <c:pt idx="14">
                  <c:v>-474982.43439999997</c:v>
                </c:pt>
              </c:numCache>
            </c:numRef>
          </c:val>
          <c:smooth val="1"/>
          <c:extLst>
            <c:ext xmlns:c16="http://schemas.microsoft.com/office/drawing/2014/chart" uri="{C3380CC4-5D6E-409C-BE32-E72D297353CC}">
              <c16:uniqueId val="{00000000-A9C6-4C73-B131-55E332353537}"/>
            </c:ext>
          </c:extLst>
        </c:ser>
        <c:dLbls>
          <c:showLegendKey val="0"/>
          <c:showVal val="0"/>
          <c:showCatName val="0"/>
          <c:showSerName val="0"/>
          <c:showPercent val="0"/>
          <c:showBubbleSize val="0"/>
        </c:dLbls>
        <c:smooth val="0"/>
        <c:axId val="10"/>
        <c:axId val="100"/>
      </c:lineChart>
      <c:dateAx>
        <c:axId val="10"/>
        <c:scaling>
          <c:orientation val="minMax"/>
        </c:scaling>
        <c:delete val="1"/>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1"/>
        <c:axPos val="l"/>
        <c:majorGridlines/>
        <c:title>
          <c:tx>
            <c:rich>
              <a:bodyPr/>
              <a:lstStyle/>
              <a:p>
                <a:pPr>
                  <a:defRPr/>
                </a:pPr>
                <a:r>
                  <a:rPr lang="pt-BR"/>
                  <a:t>R$</a:t>
                </a:r>
              </a:p>
            </c:rich>
          </c:tx>
          <c:layout/>
          <c:overlay val="1"/>
        </c:title>
        <c:numFmt formatCode="#,##0" sourceLinked="0"/>
        <c:majorTickMark val="none"/>
        <c:minorTickMark val="none"/>
        <c:tickLblPos val="nextTo"/>
        <c:crossAx val="10"/>
        <c:crosses val="autoZero"/>
        <c:crossBetween val="between"/>
      </c:valAx>
    </c:plotArea>
    <c:legend>
      <c:legendPos val="r"/>
      <c:layout/>
      <c:overlay val="0"/>
      <c:txPr>
        <a:bodyPr/>
        <a:lstStyle/>
        <a:p>
          <a:pPr rtl="0">
            <a:defRPr/>
          </a:pPr>
          <a:endParaRPr lang="pt-BR"/>
        </a:p>
      </c:txPr>
    </c:legend>
    <c:plotVisOnly val="1"/>
    <c:dispBlanksAs val="gap"/>
    <c:showDLblsOverMax val="1"/>
  </c:chart>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a:defRPr/>
            </a:pPr>
            <a:r>
              <a:rPr lang="pt-BR"/>
              <a:t>PRODUÇÃO POR EQUIPE NO MÊS</a:t>
            </a:r>
          </a:p>
        </c:rich>
      </c:tx>
      <c:layout/>
      <c:overlay val="1"/>
    </c:title>
    <c:autoTitleDeleted val="0"/>
    <c:plotArea>
      <c:layout/>
      <c:barChart>
        <c:barDir val="col"/>
        <c:grouping val="clustered"/>
        <c:varyColors val="1"/>
        <c:ser>
          <c:idx val="0"/>
          <c:order val="0"/>
          <c:tx>
            <c:strRef>
              <c:f>'13. RESUMO GERENCIAL'!$I$55</c:f>
              <c:strCache>
                <c:ptCount val="1"/>
                <c:pt idx="0">
                  <c:v>VALOR MEDIDO</c:v>
                </c:pt>
              </c:strCache>
            </c:strRef>
          </c:tx>
          <c:spPr>
            <a:ln>
              <a:prstDash val="solid"/>
            </a:ln>
          </c:spPr>
          <c:invertIfNegative val="1"/>
          <c:cat>
            <c:strRef>
              <c:f>'13. RESUMO GERENCIAL'!$B$56:$B$63</c:f>
              <c:strCache>
                <c:ptCount val="8"/>
                <c:pt idx="0">
                  <c:v>BER-A</c:v>
                </c:pt>
                <c:pt idx="1">
                  <c:v>BER-B</c:v>
                </c:pt>
                <c:pt idx="2">
                  <c:v>BER-C</c:v>
                </c:pt>
                <c:pt idx="3">
                  <c:v>BER-D</c:v>
                </c:pt>
                <c:pt idx="4">
                  <c:v>SAN-A</c:v>
                </c:pt>
                <c:pt idx="5">
                  <c:v>SAN-B</c:v>
                </c:pt>
                <c:pt idx="6">
                  <c:v>SAN-C</c:v>
                </c:pt>
                <c:pt idx="7">
                  <c:v>SAN-D</c:v>
                </c:pt>
              </c:strCache>
            </c:strRef>
          </c:cat>
          <c:val>
            <c:numRef>
              <c:f>'13. RESUMO GERENCIAL'!$I$56:$I$63</c:f>
              <c:numCache>
                <c:formatCode>\R\$\ #,##0.00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A05D-4000-ABDD-7B426E2D59D3}"/>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pt-BR"/>
                  <a:t>R$ medido</a:t>
                </a:r>
              </a:p>
            </c:rich>
          </c:tx>
          <c:layout/>
          <c:overlay val="1"/>
        </c:title>
        <c:numFmt formatCode="\R\$\ #,##0.00" sourceLinked="1"/>
        <c:majorTickMark val="none"/>
        <c:minorTickMark val="none"/>
        <c:tickLblPos val="nextTo"/>
        <c:crossAx val="10"/>
        <c:crosses val="autoZero"/>
        <c:crossBetween val="between"/>
      </c:valAx>
    </c:plotArea>
    <c:legend>
      <c:legendPos val="r"/>
      <c:layout/>
      <c:overlay val="0"/>
    </c:legend>
    <c:plotVisOnly val="1"/>
    <c:dispBlanksAs val="gap"/>
    <c:showDLblsOverMax val="1"/>
  </c:chart>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a:defRPr/>
            </a:pPr>
            <a:r>
              <a:t>MOTIVOS DE NÃO EXECUÇÃO NO MÊS</a:t>
            </a:r>
          </a:p>
        </c:rich>
      </c:tx>
      <c:overlay val="1"/>
    </c:title>
    <c:autoTitleDeleted val="0"/>
    <c:plotArea>
      <c:layout/>
      <c:barChart>
        <c:barDir val="bar"/>
        <c:grouping val="clustered"/>
        <c:varyColors val="1"/>
        <c:ser>
          <c:idx val="0"/>
          <c:order val="0"/>
          <c:tx>
            <c:strRef>
              <c:f>'13. RESUMO GERENCIAL'!$C$66</c:f>
              <c:strCache>
                <c:ptCount val="1"/>
                <c:pt idx="0">
                  <c:v>OCORRÊNCIAS</c:v>
                </c:pt>
              </c:strCache>
            </c:strRef>
          </c:tx>
          <c:spPr>
            <a:ln>
              <a:prstDash val="solid"/>
            </a:ln>
          </c:spPr>
          <c:invertIfNegative val="1"/>
          <c:cat>
            <c:strRef>
              <c:f>'13. RESUMO GERENCIAL'!$B$67:$B$81</c:f>
              <c:strCache>
                <c:ptCount val="15"/>
                <c:pt idx="0">
                  <c:v>Falta de material</c:v>
                </c:pt>
                <c:pt idx="1">
                  <c:v>Falta de equipamento</c:v>
                </c:pt>
                <c:pt idx="2">
                  <c:v>Equipe deslocada para emergência</c:v>
                </c:pt>
                <c:pt idx="3">
                  <c:v>Chuva</c:v>
                </c:pt>
                <c:pt idx="4">
                  <c:v>Endereço não localizado</c:v>
                </c:pt>
                <c:pt idx="5">
                  <c:v>Sem acesso / imóvel fechado</c:v>
                </c:pt>
                <c:pt idx="6">
                  <c:v>Interferência de outra concessionária</c:v>
                </c:pt>
                <c:pt idx="7">
                  <c:v>Vazamento não localizado</c:v>
                </c:pt>
                <c:pt idx="8">
                  <c:v>Necessita corte de asfalto / licença</c:v>
                </c:pt>
                <c:pt idx="9">
                  <c:v>Trânsito / evento na via</c:v>
                </c:pt>
                <c:pt idx="10">
                  <c:v>Serviço já executado por terceiro</c:v>
                </c:pt>
                <c:pt idx="11">
                  <c:v>Ordem cancelada pela SABESP</c:v>
                </c:pt>
                <c:pt idx="12">
                  <c:v>Falta de efetivo</c:v>
                </c:pt>
                <c:pt idx="13">
                  <c:v>Quebra de veículo</c:v>
                </c:pt>
                <c:pt idx="14">
                  <c:v>Outro</c:v>
                </c:pt>
              </c:strCache>
            </c:strRef>
          </c:cat>
          <c:val>
            <c:numRef>
              <c:f>'13. RESUMO GERENCIAL'!$C$67:$C$81</c:f>
              <c:numCache>
                <c:formatCode>#,##0</c:formatCode>
                <c:ptCount val="15"/>
                <c:pt idx="0">
                  <c:v>0</c:v>
                </c:pt>
                <c:pt idx="1">
                  <c:v>0</c:v>
                </c:pt>
                <c:pt idx="2">
                  <c:v>0</c:v>
                </c:pt>
                <c:pt idx="3">
                  <c:v>3</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C610-460A-B033-D8FBB74655BE}"/>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a:defRPr/>
            </a:pPr>
            <a:r>
              <a:t>VALOR MEDIDO POR TIPO DE SERVIÇO</a:t>
            </a:r>
          </a:p>
        </c:rich>
      </c:tx>
      <c:overlay val="1"/>
    </c:title>
    <c:autoTitleDeleted val="0"/>
    <c:plotArea>
      <c:layout/>
      <c:barChart>
        <c:barDir val="bar"/>
        <c:grouping val="clustered"/>
        <c:varyColors val="1"/>
        <c:ser>
          <c:idx val="0"/>
          <c:order val="0"/>
          <c:tx>
            <c:strRef>
              <c:f>'13. RESUMO GERENCIAL'!$D$84</c:f>
              <c:strCache>
                <c:ptCount val="1"/>
                <c:pt idx="0">
                  <c:v>VALOR MEDIDO</c:v>
                </c:pt>
              </c:strCache>
            </c:strRef>
          </c:tx>
          <c:spPr>
            <a:ln>
              <a:prstDash val="solid"/>
            </a:ln>
          </c:spPr>
          <c:invertIfNegative val="1"/>
          <c:cat>
            <c:strRef>
              <c:f>'13. RESUMO GERENCIAL'!$B$85:$B$109</c:f>
              <c:strCache>
                <c:ptCount val="25"/>
                <c:pt idx="0">
                  <c:v>Vazamento de água não visível — rede</c:v>
                </c:pt>
                <c:pt idx="1">
                  <c:v>Vazamento de água não visível — ramal</c:v>
                </c:pt>
                <c:pt idx="2">
                  <c:v>Vazamento de água visível — rede</c:v>
                </c:pt>
                <c:pt idx="3">
                  <c:v>Vazamento de água visível — ramal</c:v>
                </c:pt>
                <c:pt idx="4">
                  <c:v>Vazamento pé do cavalete</c:v>
                </c:pt>
                <c:pt idx="5">
                  <c:v>Vazamento no ferrule</c:v>
                </c:pt>
                <c:pt idx="6">
                  <c:v>Troca de ramal de água</c:v>
                </c:pt>
                <c:pt idx="7">
                  <c:v>Troca de cavalete</c:v>
                </c:pt>
                <c:pt idx="8">
                  <c:v>Execução de ligação de água</c:v>
                </c:pt>
                <c:pt idx="9">
                  <c:v>Supressão de ligação de água</c:v>
                </c:pt>
                <c:pt idx="10">
                  <c:v>Religação de água</c:v>
                </c:pt>
                <c:pt idx="11">
                  <c:v>Substituição de hidrômetro</c:v>
                </c:pt>
                <c:pt idx="12">
                  <c:v>Troca de registro / TMD</c:v>
                </c:pt>
                <c:pt idx="13">
                  <c:v>Conserto de rede de água</c:v>
                </c:pt>
                <c:pt idx="14">
                  <c:v>Execução de ligação de esgoto</c:v>
                </c:pt>
                <c:pt idx="15">
                  <c:v>Troca de ramal de esgoto</c:v>
                </c:pt>
                <c:pt idx="16">
                  <c:v>Desobstrução de rede de esgoto</c:v>
                </c:pt>
                <c:pt idx="17">
                  <c:v>Conserto de rede de esgoto</c:v>
                </c:pt>
                <c:pt idx="18">
                  <c:v>Construção de PI / PV</c:v>
                </c:pt>
                <c:pt idx="19">
                  <c:v>Recuperação de PI / PV</c:v>
                </c:pt>
                <c:pt idx="20">
                  <c:v>Reposição de pavimento</c:v>
                </c:pt>
                <c:pt idx="21">
                  <c:v>Remanejamento de rede</c:v>
                </c:pt>
                <c:pt idx="22">
                  <c:v>Travessia</c:v>
                </c:pt>
                <c:pt idx="23">
                  <c:v>Vistoria / levantamento</c:v>
                </c:pt>
                <c:pt idx="24">
                  <c:v>Outro</c:v>
                </c:pt>
              </c:strCache>
            </c:strRef>
          </c:cat>
          <c:val>
            <c:numRef>
              <c:f>'13. RESUMO GERENCIAL'!$D$85:$D$109</c:f>
              <c:numCache>
                <c:formatCode>\R\$\ #,##0.00</c:formatCode>
                <c:ptCount val="25"/>
                <c:pt idx="0">
                  <c:v>2531.02</c:v>
                </c:pt>
                <c:pt idx="1">
                  <c:v>4402.63</c:v>
                </c:pt>
                <c:pt idx="2">
                  <c:v>0</c:v>
                </c:pt>
                <c:pt idx="3">
                  <c:v>0</c:v>
                </c:pt>
                <c:pt idx="4">
                  <c:v>2208.9899999999998</c:v>
                </c:pt>
                <c:pt idx="5">
                  <c:v>2778.04</c:v>
                </c:pt>
                <c:pt idx="6">
                  <c:v>5936.86</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15FE-43DF-B772-8570170ADBA8}"/>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0</xdr:colOff>
      <xdr:row>11</xdr:row>
      <xdr:rowOff>0</xdr:rowOff>
    </xdr:from>
    <xdr:ext cx="6120000" cy="324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11</xdr:row>
      <xdr:rowOff>0</xdr:rowOff>
    </xdr:from>
    <xdr:ext cx="6120000" cy="3240000"/>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30</xdr:row>
      <xdr:rowOff>0</xdr:rowOff>
    </xdr:from>
    <xdr:ext cx="6120000" cy="3240000"/>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8</xdr:col>
      <xdr:colOff>0</xdr:colOff>
      <xdr:row>30</xdr:row>
      <xdr:rowOff>0</xdr:rowOff>
    </xdr:from>
    <xdr:ext cx="6120000" cy="3240000"/>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49</xdr:row>
      <xdr:rowOff>0</xdr:rowOff>
    </xdr:from>
    <xdr:ext cx="6120000" cy="3960000"/>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8</xdr:col>
      <xdr:colOff>0</xdr:colOff>
      <xdr:row>49</xdr:row>
      <xdr:rowOff>0</xdr:rowOff>
    </xdr:from>
    <xdr:ext cx="6120000" cy="3960000"/>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864"/>
  </sheetPr>
  <dimension ref="A1:C305"/>
  <sheetViews>
    <sheetView showGridLines="0" workbookViewId="0">
      <pane ySplit="2" topLeftCell="A15" activePane="bottomLeft" state="frozen"/>
      <selection pane="bottomLeft"/>
    </sheetView>
  </sheetViews>
  <sheetFormatPr defaultRowHeight="15" x14ac:dyDescent="0.25"/>
  <cols>
    <col min="1" max="1" width="2" style="109" customWidth="1"/>
    <col min="2" max="2" width="95" style="109" customWidth="1"/>
    <col min="3" max="3" width="2" style="109" customWidth="1"/>
  </cols>
  <sheetData>
    <row r="1" spans="1:3" ht="30" customHeight="1" x14ac:dyDescent="0.25">
      <c r="A1" s="73"/>
      <c r="B1" s="74" t="s">
        <v>0</v>
      </c>
      <c r="C1" s="73"/>
    </row>
    <row r="2" spans="1:3" ht="20.100000000000001" customHeight="1" x14ac:dyDescent="0.25">
      <c r="B2" s="75" t="s">
        <v>1</v>
      </c>
    </row>
    <row r="4" spans="1:3" ht="20.100000000000001" customHeight="1" x14ac:dyDescent="0.25">
      <c r="A4" s="76"/>
      <c r="B4" s="68" t="s">
        <v>2</v>
      </c>
      <c r="C4" s="76"/>
    </row>
    <row r="5" spans="1:3" ht="15.6" customHeight="1" x14ac:dyDescent="0.25">
      <c r="B5" s="69" t="s">
        <v>3</v>
      </c>
    </row>
    <row r="6" spans="1:3" ht="15.6" customHeight="1" x14ac:dyDescent="0.25">
      <c r="B6" s="70" t="s">
        <v>4</v>
      </c>
    </row>
    <row r="7" spans="1:3" ht="15.6" customHeight="1" x14ac:dyDescent="0.25">
      <c r="B7" s="70" t="s">
        <v>5</v>
      </c>
    </row>
    <row r="8" spans="1:3" ht="15.6" customHeight="1" x14ac:dyDescent="0.25">
      <c r="B8" s="70" t="s">
        <v>6</v>
      </c>
    </row>
    <row r="10" spans="1:3" ht="20.100000000000001" customHeight="1" x14ac:dyDescent="0.25">
      <c r="A10" s="76"/>
      <c r="B10" s="68" t="s">
        <v>7</v>
      </c>
      <c r="C10" s="76"/>
    </row>
    <row r="11" spans="1:3" ht="15.6" customHeight="1" x14ac:dyDescent="0.25">
      <c r="B11" s="69" t="s">
        <v>8</v>
      </c>
    </row>
    <row r="12" spans="1:3" ht="15.6" customHeight="1" x14ac:dyDescent="0.25">
      <c r="B12" s="70" t="s">
        <v>9</v>
      </c>
    </row>
    <row r="13" spans="1:3" ht="15.6" customHeight="1" x14ac:dyDescent="0.25">
      <c r="B13" s="70" t="s">
        <v>10</v>
      </c>
    </row>
    <row r="14" spans="1:3" ht="15.6" customHeight="1" x14ac:dyDescent="0.25">
      <c r="B14" s="70" t="s">
        <v>11</v>
      </c>
    </row>
    <row r="15" spans="1:3" ht="15.6" customHeight="1" x14ac:dyDescent="0.25">
      <c r="B15" s="70" t="s">
        <v>12</v>
      </c>
    </row>
    <row r="16" spans="1:3" ht="15.6" customHeight="1" x14ac:dyDescent="0.25">
      <c r="B16" s="70" t="s">
        <v>13</v>
      </c>
    </row>
    <row r="17" spans="1:3" ht="15.6" customHeight="1" x14ac:dyDescent="0.25">
      <c r="B17" s="70" t="s">
        <v>14</v>
      </c>
    </row>
    <row r="18" spans="1:3" ht="15.6" customHeight="1" x14ac:dyDescent="0.25">
      <c r="B18" s="70" t="s">
        <v>15</v>
      </c>
    </row>
    <row r="19" spans="1:3" ht="15.6" customHeight="1" x14ac:dyDescent="0.25">
      <c r="B19" s="70" t="s">
        <v>16</v>
      </c>
    </row>
    <row r="20" spans="1:3" ht="15.6" customHeight="1" x14ac:dyDescent="0.25">
      <c r="B20" s="70" t="s">
        <v>17</v>
      </c>
    </row>
    <row r="21" spans="1:3" ht="15.6" customHeight="1" x14ac:dyDescent="0.25">
      <c r="B21" s="70" t="s">
        <v>18</v>
      </c>
    </row>
    <row r="22" spans="1:3" ht="15.6" customHeight="1" x14ac:dyDescent="0.25">
      <c r="B22" s="70" t="s">
        <v>19</v>
      </c>
    </row>
    <row r="23" spans="1:3" ht="15.6" customHeight="1" x14ac:dyDescent="0.25">
      <c r="B23" s="70" t="s">
        <v>20</v>
      </c>
    </row>
    <row r="24" spans="1:3" ht="15.6" customHeight="1" x14ac:dyDescent="0.25">
      <c r="B24" s="70" t="s">
        <v>21</v>
      </c>
    </row>
    <row r="25" spans="1:3" ht="15.6" customHeight="1" x14ac:dyDescent="0.25">
      <c r="B25" s="71" t="s">
        <v>22</v>
      </c>
    </row>
    <row r="27" spans="1:3" ht="20.100000000000001" customHeight="1" x14ac:dyDescent="0.25">
      <c r="A27" s="76"/>
      <c r="B27" s="68" t="s">
        <v>23</v>
      </c>
      <c r="C27" s="76"/>
    </row>
    <row r="28" spans="1:3" ht="15.6" customHeight="1" x14ac:dyDescent="0.25">
      <c r="B28" s="69" t="s">
        <v>24</v>
      </c>
    </row>
    <row r="29" spans="1:3" ht="15.6" customHeight="1" x14ac:dyDescent="0.25">
      <c r="B29" s="70" t="s">
        <v>25</v>
      </c>
    </row>
    <row r="30" spans="1:3" ht="15.6" customHeight="1" x14ac:dyDescent="0.25">
      <c r="B30" s="70" t="s">
        <v>26</v>
      </c>
    </row>
    <row r="31" spans="1:3" ht="15.6" customHeight="1" x14ac:dyDescent="0.25">
      <c r="B31" s="70" t="s">
        <v>27</v>
      </c>
    </row>
    <row r="32" spans="1:3" ht="15.6" customHeight="1" x14ac:dyDescent="0.25">
      <c r="B32" s="70" t="s">
        <v>28</v>
      </c>
    </row>
    <row r="33" spans="1:3" ht="15.6" customHeight="1" x14ac:dyDescent="0.25">
      <c r="B33" s="70" t="s">
        <v>29</v>
      </c>
    </row>
    <row r="34" spans="1:3" ht="15.6" customHeight="1" x14ac:dyDescent="0.25">
      <c r="B34" s="70" t="s">
        <v>30</v>
      </c>
    </row>
    <row r="35" spans="1:3" ht="15.6" customHeight="1" x14ac:dyDescent="0.25">
      <c r="B35" s="70" t="s">
        <v>31</v>
      </c>
    </row>
    <row r="36" spans="1:3" ht="15.6" customHeight="1" x14ac:dyDescent="0.25">
      <c r="B36" s="71" t="s">
        <v>32</v>
      </c>
    </row>
    <row r="37" spans="1:3" ht="15.6" customHeight="1" x14ac:dyDescent="0.25">
      <c r="B37" s="71" t="s">
        <v>33</v>
      </c>
    </row>
    <row r="39" spans="1:3" ht="20.100000000000001" customHeight="1" x14ac:dyDescent="0.25">
      <c r="A39" s="76"/>
      <c r="B39" s="68" t="s">
        <v>34</v>
      </c>
      <c r="C39" s="76"/>
    </row>
    <row r="40" spans="1:3" ht="15.6" customHeight="1" x14ac:dyDescent="0.25">
      <c r="B40" s="69" t="s">
        <v>35</v>
      </c>
    </row>
    <row r="41" spans="1:3" ht="15.6" customHeight="1" x14ac:dyDescent="0.25">
      <c r="B41" s="70" t="s">
        <v>36</v>
      </c>
    </row>
    <row r="42" spans="1:3" ht="15.6" customHeight="1" x14ac:dyDescent="0.25">
      <c r="B42" s="70" t="s">
        <v>37</v>
      </c>
    </row>
    <row r="43" spans="1:3" ht="15.6" customHeight="1" x14ac:dyDescent="0.25">
      <c r="B43" s="70" t="s">
        <v>38</v>
      </c>
    </row>
    <row r="44" spans="1:3" ht="15.6" customHeight="1" x14ac:dyDescent="0.25">
      <c r="B44" s="71" t="s">
        <v>39</v>
      </c>
    </row>
    <row r="45" spans="1:3" ht="15.6" customHeight="1" x14ac:dyDescent="0.25">
      <c r="B45" s="71" t="s">
        <v>40</v>
      </c>
    </row>
    <row r="46" spans="1:3" ht="15.6" customHeight="1" x14ac:dyDescent="0.25">
      <c r="B46" s="70" t="s">
        <v>41</v>
      </c>
    </row>
    <row r="48" spans="1:3" ht="20.100000000000001" customHeight="1" x14ac:dyDescent="0.25">
      <c r="A48" s="76"/>
      <c r="B48" s="68" t="s">
        <v>42</v>
      </c>
      <c r="C48" s="76"/>
    </row>
    <row r="49" spans="1:3" ht="15.6" customHeight="1" x14ac:dyDescent="0.25">
      <c r="B49" s="69" t="s">
        <v>43</v>
      </c>
    </row>
    <row r="50" spans="1:3" ht="15.6" customHeight="1" x14ac:dyDescent="0.25">
      <c r="B50" s="70" t="s">
        <v>44</v>
      </c>
    </row>
    <row r="51" spans="1:3" ht="15.6" customHeight="1" x14ac:dyDescent="0.25">
      <c r="B51" s="70" t="s">
        <v>45</v>
      </c>
    </row>
    <row r="52" spans="1:3" ht="15.6" customHeight="1" x14ac:dyDescent="0.25">
      <c r="B52" s="69" t="s">
        <v>46</v>
      </c>
    </row>
    <row r="53" spans="1:3" ht="15.6" customHeight="1" x14ac:dyDescent="0.25">
      <c r="B53" s="70" t="s">
        <v>47</v>
      </c>
    </row>
    <row r="54" spans="1:3" ht="15.6" customHeight="1" x14ac:dyDescent="0.25">
      <c r="B54" s="70" t="s">
        <v>48</v>
      </c>
    </row>
    <row r="55" spans="1:3" ht="15.6" customHeight="1" x14ac:dyDescent="0.25">
      <c r="B55" s="70" t="s">
        <v>49</v>
      </c>
    </row>
    <row r="57" spans="1:3" ht="20.100000000000001" customHeight="1" x14ac:dyDescent="0.25">
      <c r="A57" s="76"/>
      <c r="B57" s="68" t="s">
        <v>50</v>
      </c>
      <c r="C57" s="76"/>
    </row>
    <row r="58" spans="1:3" ht="15.6" customHeight="1" x14ac:dyDescent="0.25">
      <c r="B58" s="69" t="s">
        <v>51</v>
      </c>
    </row>
    <row r="59" spans="1:3" ht="15.6" customHeight="1" x14ac:dyDescent="0.25">
      <c r="B59" s="70" t="s">
        <v>52</v>
      </c>
    </row>
    <row r="60" spans="1:3" ht="15.6" customHeight="1" x14ac:dyDescent="0.25">
      <c r="B60" s="70" t="s">
        <v>53</v>
      </c>
    </row>
    <row r="61" spans="1:3" ht="15.6" customHeight="1" x14ac:dyDescent="0.25">
      <c r="B61" s="70" t="s">
        <v>54</v>
      </c>
    </row>
    <row r="62" spans="1:3" ht="15.6" customHeight="1" x14ac:dyDescent="0.25">
      <c r="B62" s="70" t="s">
        <v>55</v>
      </c>
    </row>
    <row r="63" spans="1:3" ht="15.6" customHeight="1" x14ac:dyDescent="0.25">
      <c r="B63" s="70" t="s">
        <v>56</v>
      </c>
    </row>
    <row r="64" spans="1:3" ht="15.6" customHeight="1" x14ac:dyDescent="0.25">
      <c r="B64" s="70" t="s">
        <v>57</v>
      </c>
    </row>
    <row r="65" spans="1:3" ht="15.6" customHeight="1" x14ac:dyDescent="0.25">
      <c r="B65" s="70" t="s">
        <v>58</v>
      </c>
    </row>
    <row r="66" spans="1:3" ht="15.6" customHeight="1" x14ac:dyDescent="0.25">
      <c r="B66" s="70" t="s">
        <v>59</v>
      </c>
    </row>
    <row r="67" spans="1:3" ht="15.6" customHeight="1" x14ac:dyDescent="0.25">
      <c r="B67" s="70" t="s">
        <v>60</v>
      </c>
    </row>
    <row r="68" spans="1:3" ht="15.6" customHeight="1" x14ac:dyDescent="0.25">
      <c r="B68" s="70" t="s">
        <v>61</v>
      </c>
    </row>
    <row r="69" spans="1:3" ht="15.6" customHeight="1" x14ac:dyDescent="0.25">
      <c r="B69" s="70" t="s">
        <v>62</v>
      </c>
    </row>
    <row r="70" spans="1:3" ht="15.6" customHeight="1" x14ac:dyDescent="0.25">
      <c r="B70" s="70" t="s">
        <v>63</v>
      </c>
    </row>
    <row r="71" spans="1:3" ht="15.6" customHeight="1" x14ac:dyDescent="0.25">
      <c r="B71" s="71" t="s">
        <v>64</v>
      </c>
    </row>
    <row r="72" spans="1:3" ht="15.6" customHeight="1" x14ac:dyDescent="0.25">
      <c r="B72" s="71" t="s">
        <v>65</v>
      </c>
    </row>
    <row r="74" spans="1:3" ht="20.100000000000001" customHeight="1" x14ac:dyDescent="0.25">
      <c r="A74" s="76"/>
      <c r="B74" s="68" t="s">
        <v>66</v>
      </c>
      <c r="C74" s="76"/>
    </row>
    <row r="75" spans="1:3" ht="15.6" customHeight="1" x14ac:dyDescent="0.25">
      <c r="B75" s="69" t="s">
        <v>67</v>
      </c>
    </row>
    <row r="76" spans="1:3" ht="15.6" customHeight="1" x14ac:dyDescent="0.25">
      <c r="B76" s="69" t="s">
        <v>68</v>
      </c>
    </row>
    <row r="77" spans="1:3" ht="15.6" customHeight="1" x14ac:dyDescent="0.25">
      <c r="B77" s="70" t="s">
        <v>69</v>
      </c>
    </row>
    <row r="78" spans="1:3" ht="15.6" customHeight="1" x14ac:dyDescent="0.25">
      <c r="B78" s="70" t="s">
        <v>70</v>
      </c>
    </row>
    <row r="79" spans="1:3" ht="15.6" customHeight="1" x14ac:dyDescent="0.25">
      <c r="B79" s="70" t="s">
        <v>71</v>
      </c>
    </row>
    <row r="80" spans="1:3" ht="15.6" customHeight="1" x14ac:dyDescent="0.25">
      <c r="B80" s="70" t="s">
        <v>72</v>
      </c>
    </row>
    <row r="81" spans="1:3" ht="15.6" customHeight="1" x14ac:dyDescent="0.25">
      <c r="B81" s="70" t="s">
        <v>73</v>
      </c>
    </row>
    <row r="82" spans="1:3" ht="15.6" customHeight="1" x14ac:dyDescent="0.25">
      <c r="B82" s="70" t="s">
        <v>74</v>
      </c>
    </row>
    <row r="83" spans="1:3" ht="15.6" customHeight="1" x14ac:dyDescent="0.25">
      <c r="B83" s="69" t="s">
        <v>75</v>
      </c>
    </row>
    <row r="84" spans="1:3" ht="15.6" customHeight="1" x14ac:dyDescent="0.25">
      <c r="B84" s="70" t="s">
        <v>76</v>
      </c>
    </row>
    <row r="85" spans="1:3" ht="15.6" customHeight="1" x14ac:dyDescent="0.25">
      <c r="B85" s="70" t="s">
        <v>77</v>
      </c>
    </row>
    <row r="86" spans="1:3" ht="15.6" customHeight="1" x14ac:dyDescent="0.25">
      <c r="B86" s="70" t="s">
        <v>78</v>
      </c>
    </row>
    <row r="87" spans="1:3" ht="15.6" customHeight="1" x14ac:dyDescent="0.25">
      <c r="B87" s="70" t="s">
        <v>79</v>
      </c>
    </row>
    <row r="88" spans="1:3" ht="15.6" customHeight="1" x14ac:dyDescent="0.25">
      <c r="B88" s="70" t="s">
        <v>80</v>
      </c>
    </row>
    <row r="90" spans="1:3" ht="20.100000000000001" customHeight="1" x14ac:dyDescent="0.25">
      <c r="A90" s="76"/>
      <c r="B90" s="68" t="s">
        <v>81</v>
      </c>
      <c r="C90" s="76"/>
    </row>
    <row r="91" spans="1:3" ht="15.6" customHeight="1" x14ac:dyDescent="0.25">
      <c r="B91" s="69" t="s">
        <v>82</v>
      </c>
    </row>
    <row r="92" spans="1:3" ht="15.6" customHeight="1" x14ac:dyDescent="0.25">
      <c r="B92" s="70" t="s">
        <v>83</v>
      </c>
    </row>
    <row r="93" spans="1:3" ht="15.6" customHeight="1" x14ac:dyDescent="0.25">
      <c r="B93" s="70" t="s">
        <v>84</v>
      </c>
    </row>
    <row r="94" spans="1:3" ht="15.6" customHeight="1" x14ac:dyDescent="0.25">
      <c r="B94" s="70" t="s">
        <v>85</v>
      </c>
    </row>
    <row r="95" spans="1:3" ht="15.6" customHeight="1" x14ac:dyDescent="0.25">
      <c r="B95" s="70" t="s">
        <v>86</v>
      </c>
    </row>
    <row r="96" spans="1:3" ht="15.6" customHeight="1" x14ac:dyDescent="0.25">
      <c r="B96" s="70" t="s">
        <v>87</v>
      </c>
    </row>
    <row r="97" spans="1:3" ht="15.6" customHeight="1" x14ac:dyDescent="0.25">
      <c r="B97" s="70" t="s">
        <v>88</v>
      </c>
    </row>
    <row r="98" spans="1:3" ht="15.6" customHeight="1" x14ac:dyDescent="0.25">
      <c r="B98" s="70" t="s">
        <v>89</v>
      </c>
    </row>
    <row r="99" spans="1:3" ht="15.6" customHeight="1" x14ac:dyDescent="0.25">
      <c r="B99" s="70" t="s">
        <v>90</v>
      </c>
    </row>
    <row r="100" spans="1:3" ht="15.6" customHeight="1" x14ac:dyDescent="0.25">
      <c r="B100" s="70" t="s">
        <v>91</v>
      </c>
    </row>
    <row r="101" spans="1:3" ht="15.6" customHeight="1" x14ac:dyDescent="0.25">
      <c r="B101" s="70" t="s">
        <v>92</v>
      </c>
    </row>
    <row r="102" spans="1:3" ht="15.6" customHeight="1" x14ac:dyDescent="0.25">
      <c r="B102" s="70" t="s">
        <v>93</v>
      </c>
    </row>
    <row r="103" spans="1:3" ht="15.6" customHeight="1" x14ac:dyDescent="0.25">
      <c r="B103" s="70" t="s">
        <v>94</v>
      </c>
    </row>
    <row r="104" spans="1:3" ht="15.6" customHeight="1" x14ac:dyDescent="0.25">
      <c r="B104" s="70" t="s">
        <v>95</v>
      </c>
    </row>
    <row r="105" spans="1:3" ht="15.6" customHeight="1" x14ac:dyDescent="0.25">
      <c r="B105" s="70" t="s">
        <v>96</v>
      </c>
    </row>
    <row r="106" spans="1:3" ht="15.6" customHeight="1" x14ac:dyDescent="0.25">
      <c r="B106" s="71" t="s">
        <v>97</v>
      </c>
    </row>
    <row r="107" spans="1:3" ht="15.6" customHeight="1" x14ac:dyDescent="0.25">
      <c r="B107" s="71" t="s">
        <v>98</v>
      </c>
    </row>
    <row r="109" spans="1:3" ht="20.100000000000001" customHeight="1" x14ac:dyDescent="0.25">
      <c r="A109" s="76"/>
      <c r="B109" s="68" t="s">
        <v>99</v>
      </c>
      <c r="C109" s="76"/>
    </row>
    <row r="110" spans="1:3" ht="15.6" customHeight="1" x14ac:dyDescent="0.25">
      <c r="B110" s="69" t="s">
        <v>100</v>
      </c>
    </row>
    <row r="111" spans="1:3" ht="15.6" customHeight="1" x14ac:dyDescent="0.25">
      <c r="B111" s="70" t="s">
        <v>101</v>
      </c>
    </row>
    <row r="112" spans="1:3" ht="15.6" customHeight="1" x14ac:dyDescent="0.25">
      <c r="B112" s="70" t="s">
        <v>102</v>
      </c>
    </row>
    <row r="113" spans="2:2" ht="15.6" customHeight="1" x14ac:dyDescent="0.25">
      <c r="B113" s="70" t="s">
        <v>103</v>
      </c>
    </row>
    <row r="114" spans="2:2" ht="15.6" customHeight="1" x14ac:dyDescent="0.25">
      <c r="B114" s="71" t="s">
        <v>104</v>
      </c>
    </row>
    <row r="115" spans="2:2" ht="15.6" customHeight="1" x14ac:dyDescent="0.25">
      <c r="B115" s="71" t="s">
        <v>105</v>
      </c>
    </row>
    <row r="116" spans="2:2" ht="15.6" customHeight="1" x14ac:dyDescent="0.25">
      <c r="B116" s="70" t="s">
        <v>106</v>
      </c>
    </row>
    <row r="117" spans="2:2" ht="15.6" customHeight="1" x14ac:dyDescent="0.25">
      <c r="B117" s="70" t="s">
        <v>107</v>
      </c>
    </row>
    <row r="118" spans="2:2" ht="15.6" customHeight="1" x14ac:dyDescent="0.25">
      <c r="B118" s="70" t="s">
        <v>108</v>
      </c>
    </row>
    <row r="119" spans="2:2" ht="15.6" customHeight="1" x14ac:dyDescent="0.25">
      <c r="B119" s="70" t="s">
        <v>109</v>
      </c>
    </row>
    <row r="120" spans="2:2" ht="15.6" customHeight="1" x14ac:dyDescent="0.25">
      <c r="B120" s="70" t="s">
        <v>110</v>
      </c>
    </row>
    <row r="121" spans="2:2" ht="15.6" customHeight="1" x14ac:dyDescent="0.25">
      <c r="B121" s="70" t="s">
        <v>111</v>
      </c>
    </row>
    <row r="122" spans="2:2" ht="15.6" customHeight="1" x14ac:dyDescent="0.25">
      <c r="B122" s="70" t="s">
        <v>112</v>
      </c>
    </row>
    <row r="123" spans="2:2" ht="15.6" customHeight="1" x14ac:dyDescent="0.25">
      <c r="B123" s="70" t="s">
        <v>113</v>
      </c>
    </row>
    <row r="124" spans="2:2" ht="15.6" customHeight="1" x14ac:dyDescent="0.25">
      <c r="B124" s="70" t="s">
        <v>114</v>
      </c>
    </row>
    <row r="125" spans="2:2" ht="15.6" customHeight="1" x14ac:dyDescent="0.25">
      <c r="B125" s="70" t="s">
        <v>115</v>
      </c>
    </row>
    <row r="126" spans="2:2" ht="15.6" customHeight="1" x14ac:dyDescent="0.25">
      <c r="B126" s="70" t="s">
        <v>116</v>
      </c>
    </row>
    <row r="127" spans="2:2" ht="15.6" customHeight="1" x14ac:dyDescent="0.25">
      <c r="B127" s="70" t="s">
        <v>117</v>
      </c>
    </row>
    <row r="128" spans="2:2" ht="15.6" customHeight="1" x14ac:dyDescent="0.25">
      <c r="B128" s="70" t="s">
        <v>118</v>
      </c>
    </row>
    <row r="129" spans="1:3" ht="15.6" customHeight="1" x14ac:dyDescent="0.25">
      <c r="B129" s="70" t="s">
        <v>119</v>
      </c>
    </row>
    <row r="130" spans="1:3" ht="15.6" customHeight="1" x14ac:dyDescent="0.25">
      <c r="B130" s="71" t="s">
        <v>120</v>
      </c>
    </row>
    <row r="132" spans="1:3" ht="20.100000000000001" customHeight="1" x14ac:dyDescent="0.25">
      <c r="A132" s="76"/>
      <c r="B132" s="68" t="s">
        <v>121</v>
      </c>
      <c r="C132" s="76"/>
    </row>
    <row r="133" spans="1:3" ht="15.6" customHeight="1" x14ac:dyDescent="0.25">
      <c r="B133" s="69" t="s">
        <v>122</v>
      </c>
    </row>
    <row r="134" spans="1:3" ht="15.6" customHeight="1" x14ac:dyDescent="0.25">
      <c r="B134" s="70" t="s">
        <v>102</v>
      </c>
    </row>
    <row r="135" spans="1:3" ht="15.6" customHeight="1" x14ac:dyDescent="0.25">
      <c r="B135" s="70" t="s">
        <v>123</v>
      </c>
    </row>
    <row r="136" spans="1:3" ht="15.6" customHeight="1" x14ac:dyDescent="0.25">
      <c r="B136" s="70" t="s">
        <v>124</v>
      </c>
    </row>
    <row r="137" spans="1:3" ht="15.6" customHeight="1" x14ac:dyDescent="0.25">
      <c r="B137" s="70" t="s">
        <v>125</v>
      </c>
    </row>
    <row r="138" spans="1:3" ht="15.6" customHeight="1" x14ac:dyDescent="0.25">
      <c r="B138" s="70" t="s">
        <v>126</v>
      </c>
    </row>
    <row r="139" spans="1:3" ht="15.6" customHeight="1" x14ac:dyDescent="0.25">
      <c r="B139" s="70" t="s">
        <v>127</v>
      </c>
    </row>
    <row r="140" spans="1:3" ht="15.6" customHeight="1" x14ac:dyDescent="0.25">
      <c r="B140" s="70" t="s">
        <v>128</v>
      </c>
    </row>
    <row r="141" spans="1:3" ht="15.6" customHeight="1" x14ac:dyDescent="0.25">
      <c r="B141" s="70" t="s">
        <v>129</v>
      </c>
    </row>
    <row r="142" spans="1:3" ht="15.6" customHeight="1" x14ac:dyDescent="0.25">
      <c r="B142" s="70" t="s">
        <v>130</v>
      </c>
    </row>
    <row r="143" spans="1:3" ht="15.6" customHeight="1" x14ac:dyDescent="0.25">
      <c r="B143" s="70" t="s">
        <v>131</v>
      </c>
    </row>
    <row r="144" spans="1:3" ht="15.6" customHeight="1" x14ac:dyDescent="0.25">
      <c r="B144" s="70" t="s">
        <v>132</v>
      </c>
    </row>
    <row r="145" spans="1:3" ht="15.6" customHeight="1" x14ac:dyDescent="0.25">
      <c r="B145" s="70" t="s">
        <v>133</v>
      </c>
    </row>
    <row r="146" spans="1:3" ht="15.6" customHeight="1" x14ac:dyDescent="0.25">
      <c r="B146" s="71" t="s">
        <v>134</v>
      </c>
    </row>
    <row r="148" spans="1:3" ht="20.100000000000001" customHeight="1" x14ac:dyDescent="0.25">
      <c r="A148" s="76"/>
      <c r="B148" s="68" t="s">
        <v>135</v>
      </c>
      <c r="C148" s="76"/>
    </row>
    <row r="149" spans="1:3" ht="15.6" customHeight="1" x14ac:dyDescent="0.25">
      <c r="B149" s="69" t="s">
        <v>136</v>
      </c>
    </row>
    <row r="150" spans="1:3" ht="15.6" customHeight="1" x14ac:dyDescent="0.25">
      <c r="B150" s="70" t="s">
        <v>137</v>
      </c>
    </row>
    <row r="151" spans="1:3" ht="15.6" customHeight="1" x14ac:dyDescent="0.25">
      <c r="B151" s="70" t="s">
        <v>138</v>
      </c>
    </row>
    <row r="152" spans="1:3" ht="15.6" customHeight="1" x14ac:dyDescent="0.25">
      <c r="B152" s="70" t="s">
        <v>123</v>
      </c>
    </row>
    <row r="153" spans="1:3" ht="15.6" customHeight="1" x14ac:dyDescent="0.25">
      <c r="B153" s="70" t="s">
        <v>139</v>
      </c>
    </row>
    <row r="154" spans="1:3" ht="15.6" customHeight="1" x14ac:dyDescent="0.25">
      <c r="B154" s="70" t="s">
        <v>140</v>
      </c>
    </row>
    <row r="155" spans="1:3" ht="15.6" customHeight="1" x14ac:dyDescent="0.25">
      <c r="B155" s="70" t="s">
        <v>141</v>
      </c>
    </row>
    <row r="156" spans="1:3" ht="15.6" customHeight="1" x14ac:dyDescent="0.25">
      <c r="B156" s="70" t="s">
        <v>142</v>
      </c>
    </row>
    <row r="157" spans="1:3" ht="15.6" customHeight="1" x14ac:dyDescent="0.25">
      <c r="B157" s="70" t="s">
        <v>143</v>
      </c>
    </row>
    <row r="158" spans="1:3" ht="15.6" customHeight="1" x14ac:dyDescent="0.25">
      <c r="B158" s="70" t="s">
        <v>144</v>
      </c>
    </row>
    <row r="159" spans="1:3" ht="15.6" customHeight="1" x14ac:dyDescent="0.25">
      <c r="B159" s="70" t="s">
        <v>145</v>
      </c>
    </row>
    <row r="160" spans="1:3" ht="15.6" customHeight="1" x14ac:dyDescent="0.25">
      <c r="B160" s="70" t="s">
        <v>146</v>
      </c>
    </row>
    <row r="161" spans="1:3" ht="15.6" customHeight="1" x14ac:dyDescent="0.25">
      <c r="B161" s="70" t="s">
        <v>147</v>
      </c>
    </row>
    <row r="162" spans="1:3" ht="15.6" customHeight="1" x14ac:dyDescent="0.25">
      <c r="B162" s="71" t="s">
        <v>148</v>
      </c>
    </row>
    <row r="163" spans="1:3" ht="15.6" customHeight="1" x14ac:dyDescent="0.25">
      <c r="B163" s="71" t="s">
        <v>149</v>
      </c>
    </row>
    <row r="165" spans="1:3" ht="20.100000000000001" customHeight="1" x14ac:dyDescent="0.25">
      <c r="A165" s="76"/>
      <c r="B165" s="68" t="s">
        <v>150</v>
      </c>
      <c r="C165" s="76"/>
    </row>
    <row r="166" spans="1:3" ht="15.6" customHeight="1" x14ac:dyDescent="0.25">
      <c r="B166" s="69" t="s">
        <v>151</v>
      </c>
    </row>
    <row r="167" spans="1:3" ht="15.6" customHeight="1" x14ac:dyDescent="0.25">
      <c r="B167" s="70" t="s">
        <v>152</v>
      </c>
    </row>
    <row r="168" spans="1:3" ht="15.6" customHeight="1" x14ac:dyDescent="0.25">
      <c r="B168" s="70" t="s">
        <v>153</v>
      </c>
    </row>
    <row r="169" spans="1:3" ht="15.6" customHeight="1" x14ac:dyDescent="0.25">
      <c r="B169" s="70" t="s">
        <v>154</v>
      </c>
    </row>
    <row r="170" spans="1:3" ht="15.6" customHeight="1" x14ac:dyDescent="0.25">
      <c r="B170" s="72" t="s">
        <v>155</v>
      </c>
    </row>
    <row r="171" spans="1:3" ht="15.6" customHeight="1" x14ac:dyDescent="0.25">
      <c r="B171" s="70" t="s">
        <v>156</v>
      </c>
    </row>
    <row r="172" spans="1:3" ht="15.6" customHeight="1" x14ac:dyDescent="0.25">
      <c r="B172" s="72" t="s">
        <v>157</v>
      </c>
    </row>
    <row r="173" spans="1:3" ht="15.6" customHeight="1" x14ac:dyDescent="0.25">
      <c r="B173" s="70" t="s">
        <v>158</v>
      </c>
    </row>
    <row r="174" spans="1:3" ht="15.6" customHeight="1" x14ac:dyDescent="0.25">
      <c r="B174" s="70" t="s">
        <v>159</v>
      </c>
    </row>
    <row r="175" spans="1:3" ht="15.6" customHeight="1" x14ac:dyDescent="0.25">
      <c r="B175" s="70" t="s">
        <v>160</v>
      </c>
    </row>
    <row r="176" spans="1:3" ht="15.6" customHeight="1" x14ac:dyDescent="0.25">
      <c r="B176" s="70" t="s">
        <v>161</v>
      </c>
    </row>
    <row r="177" spans="1:3" ht="15.6" customHeight="1" x14ac:dyDescent="0.25">
      <c r="B177" s="70" t="s">
        <v>162</v>
      </c>
    </row>
    <row r="178" spans="1:3" ht="15.6" customHeight="1" x14ac:dyDescent="0.25">
      <c r="B178" s="70" t="s">
        <v>163</v>
      </c>
    </row>
    <row r="179" spans="1:3" ht="15.6" customHeight="1" x14ac:dyDescent="0.25">
      <c r="B179" s="71" t="s">
        <v>164</v>
      </c>
    </row>
    <row r="181" spans="1:3" ht="20.100000000000001" customHeight="1" x14ac:dyDescent="0.25">
      <c r="A181" s="76"/>
      <c r="B181" s="68" t="s">
        <v>165</v>
      </c>
      <c r="C181" s="76"/>
    </row>
    <row r="182" spans="1:3" ht="15.6" customHeight="1" x14ac:dyDescent="0.25">
      <c r="B182" s="69" t="s">
        <v>166</v>
      </c>
    </row>
    <row r="183" spans="1:3" ht="15.6" customHeight="1" x14ac:dyDescent="0.25">
      <c r="B183" s="70" t="s">
        <v>167</v>
      </c>
    </row>
    <row r="184" spans="1:3" ht="15.6" customHeight="1" x14ac:dyDescent="0.25">
      <c r="B184" s="70" t="s">
        <v>168</v>
      </c>
    </row>
    <row r="185" spans="1:3" ht="15.6" customHeight="1" x14ac:dyDescent="0.25">
      <c r="B185" s="70" t="s">
        <v>169</v>
      </c>
    </row>
    <row r="186" spans="1:3" ht="15.6" customHeight="1" x14ac:dyDescent="0.25">
      <c r="B186" s="70" t="s">
        <v>170</v>
      </c>
    </row>
    <row r="187" spans="1:3" ht="15.6" customHeight="1" x14ac:dyDescent="0.25">
      <c r="B187" s="70" t="s">
        <v>171</v>
      </c>
    </row>
    <row r="188" spans="1:3" ht="15.6" customHeight="1" x14ac:dyDescent="0.25">
      <c r="B188" s="70" t="s">
        <v>172</v>
      </c>
    </row>
    <row r="189" spans="1:3" ht="15.6" customHeight="1" x14ac:dyDescent="0.25">
      <c r="B189" s="70" t="s">
        <v>173</v>
      </c>
    </row>
    <row r="190" spans="1:3" ht="15.6" customHeight="1" x14ac:dyDescent="0.25">
      <c r="B190" s="70" t="s">
        <v>174</v>
      </c>
    </row>
    <row r="191" spans="1:3" ht="15.6" customHeight="1" x14ac:dyDescent="0.25">
      <c r="B191" s="70" t="s">
        <v>175</v>
      </c>
    </row>
    <row r="192" spans="1:3" ht="15.6" customHeight="1" x14ac:dyDescent="0.25">
      <c r="B192" s="70" t="s">
        <v>176</v>
      </c>
    </row>
    <row r="193" spans="1:3" ht="15.6" customHeight="1" x14ac:dyDescent="0.25">
      <c r="B193" s="70" t="s">
        <v>177</v>
      </c>
    </row>
    <row r="194" spans="1:3" ht="15.6" customHeight="1" x14ac:dyDescent="0.25">
      <c r="B194" s="71" t="s">
        <v>178</v>
      </c>
    </row>
    <row r="195" spans="1:3" ht="15.6" customHeight="1" x14ac:dyDescent="0.25">
      <c r="B195" s="71" t="s">
        <v>179</v>
      </c>
    </row>
    <row r="197" spans="1:3" ht="20.100000000000001" customHeight="1" x14ac:dyDescent="0.25">
      <c r="A197" s="76"/>
      <c r="B197" s="68" t="s">
        <v>180</v>
      </c>
      <c r="C197" s="76"/>
    </row>
    <row r="198" spans="1:3" ht="15.6" customHeight="1" x14ac:dyDescent="0.25">
      <c r="B198" s="69" t="s">
        <v>181</v>
      </c>
    </row>
    <row r="199" spans="1:3" ht="15.6" customHeight="1" x14ac:dyDescent="0.25">
      <c r="B199" s="70" t="s">
        <v>168</v>
      </c>
    </row>
    <row r="200" spans="1:3" ht="15.6" customHeight="1" x14ac:dyDescent="0.25">
      <c r="B200" s="70" t="s">
        <v>169</v>
      </c>
    </row>
    <row r="201" spans="1:3" ht="15.6" customHeight="1" x14ac:dyDescent="0.25">
      <c r="B201" s="70" t="s">
        <v>182</v>
      </c>
    </row>
    <row r="202" spans="1:3" ht="15.6" customHeight="1" x14ac:dyDescent="0.25">
      <c r="B202" s="70" t="s">
        <v>183</v>
      </c>
    </row>
    <row r="203" spans="1:3" ht="15.6" customHeight="1" x14ac:dyDescent="0.25">
      <c r="B203" s="70" t="s">
        <v>184</v>
      </c>
    </row>
    <row r="204" spans="1:3" ht="15.6" customHeight="1" x14ac:dyDescent="0.25">
      <c r="B204" s="70" t="s">
        <v>185</v>
      </c>
    </row>
    <row r="205" spans="1:3" ht="15.6" customHeight="1" x14ac:dyDescent="0.25">
      <c r="B205" s="70" t="s">
        <v>186</v>
      </c>
    </row>
    <row r="206" spans="1:3" ht="15.6" customHeight="1" x14ac:dyDescent="0.25">
      <c r="B206" s="70" t="s">
        <v>187</v>
      </c>
    </row>
    <row r="207" spans="1:3" ht="15.6" customHeight="1" x14ac:dyDescent="0.25">
      <c r="B207" s="70" t="s">
        <v>188</v>
      </c>
    </row>
    <row r="208" spans="1:3" ht="15.6" customHeight="1" x14ac:dyDescent="0.25">
      <c r="B208" s="70" t="s">
        <v>189</v>
      </c>
    </row>
    <row r="209" spans="1:3" ht="15.6" customHeight="1" x14ac:dyDescent="0.25">
      <c r="B209" s="70" t="s">
        <v>190</v>
      </c>
    </row>
    <row r="210" spans="1:3" ht="15.6" customHeight="1" x14ac:dyDescent="0.25">
      <c r="B210" s="70" t="s">
        <v>191</v>
      </c>
    </row>
    <row r="211" spans="1:3" ht="15.6" customHeight="1" x14ac:dyDescent="0.25">
      <c r="B211" s="70" t="s">
        <v>192</v>
      </c>
    </row>
    <row r="212" spans="1:3" ht="15.6" customHeight="1" x14ac:dyDescent="0.25">
      <c r="B212" s="70" t="s">
        <v>193</v>
      </c>
    </row>
    <row r="213" spans="1:3" ht="15.6" customHeight="1" x14ac:dyDescent="0.25">
      <c r="B213" s="70" t="s">
        <v>194</v>
      </c>
    </row>
    <row r="214" spans="1:3" ht="15.6" customHeight="1" x14ac:dyDescent="0.25">
      <c r="B214" s="71" t="s">
        <v>195</v>
      </c>
    </row>
    <row r="216" spans="1:3" ht="20.100000000000001" customHeight="1" x14ac:dyDescent="0.25">
      <c r="A216" s="76"/>
      <c r="B216" s="68" t="s">
        <v>196</v>
      </c>
      <c r="C216" s="76"/>
    </row>
    <row r="217" spans="1:3" ht="15.6" customHeight="1" x14ac:dyDescent="0.25">
      <c r="B217" s="69" t="s">
        <v>197</v>
      </c>
    </row>
    <row r="218" spans="1:3" ht="15.6" customHeight="1" x14ac:dyDescent="0.25">
      <c r="B218" s="70" t="s">
        <v>198</v>
      </c>
    </row>
    <row r="219" spans="1:3" ht="15.6" customHeight="1" x14ac:dyDescent="0.25">
      <c r="B219" s="69" t="s">
        <v>199</v>
      </c>
    </row>
    <row r="220" spans="1:3" ht="15.6" customHeight="1" x14ac:dyDescent="0.25">
      <c r="B220" s="70" t="s">
        <v>200</v>
      </c>
    </row>
    <row r="221" spans="1:3" ht="15.6" customHeight="1" x14ac:dyDescent="0.25">
      <c r="B221" s="70" t="s">
        <v>201</v>
      </c>
    </row>
    <row r="222" spans="1:3" ht="15.6" customHeight="1" x14ac:dyDescent="0.25">
      <c r="B222" s="70" t="s">
        <v>202</v>
      </c>
    </row>
    <row r="223" spans="1:3" ht="15.6" customHeight="1" x14ac:dyDescent="0.25">
      <c r="B223" s="70" t="s">
        <v>203</v>
      </c>
    </row>
    <row r="224" spans="1:3" ht="15.6" customHeight="1" x14ac:dyDescent="0.25">
      <c r="B224" s="70" t="s">
        <v>204</v>
      </c>
    </row>
    <row r="225" spans="1:3" ht="15.6" customHeight="1" x14ac:dyDescent="0.25">
      <c r="B225" s="70" t="s">
        <v>205</v>
      </c>
    </row>
    <row r="226" spans="1:3" ht="15.6" customHeight="1" x14ac:dyDescent="0.25">
      <c r="B226" s="71" t="s">
        <v>206</v>
      </c>
    </row>
    <row r="227" spans="1:3" ht="15.6" customHeight="1" x14ac:dyDescent="0.25">
      <c r="B227" s="71" t="s">
        <v>207</v>
      </c>
    </row>
    <row r="229" spans="1:3" ht="20.100000000000001" customHeight="1" x14ac:dyDescent="0.25">
      <c r="A229" s="76"/>
      <c r="B229" s="68" t="s">
        <v>208</v>
      </c>
      <c r="C229" s="76"/>
    </row>
    <row r="230" spans="1:3" ht="15.6" customHeight="1" x14ac:dyDescent="0.25">
      <c r="B230" s="69" t="s">
        <v>209</v>
      </c>
    </row>
    <row r="231" spans="1:3" ht="15.6" customHeight="1" x14ac:dyDescent="0.25">
      <c r="B231" s="70" t="s">
        <v>210</v>
      </c>
    </row>
    <row r="232" spans="1:3" ht="15.6" customHeight="1" x14ac:dyDescent="0.25">
      <c r="B232" s="69" t="s">
        <v>211</v>
      </c>
    </row>
    <row r="233" spans="1:3" ht="15.6" customHeight="1" x14ac:dyDescent="0.25">
      <c r="B233" s="70" t="s">
        <v>212</v>
      </c>
    </row>
    <row r="234" spans="1:3" ht="15.6" customHeight="1" x14ac:dyDescent="0.25">
      <c r="B234" s="70" t="s">
        <v>213</v>
      </c>
    </row>
    <row r="235" spans="1:3" ht="15.6" customHeight="1" x14ac:dyDescent="0.25">
      <c r="B235" s="70" t="s">
        <v>214</v>
      </c>
    </row>
    <row r="237" spans="1:3" ht="20.100000000000001" customHeight="1" x14ac:dyDescent="0.25">
      <c r="A237" s="76"/>
      <c r="B237" s="68" t="s">
        <v>215</v>
      </c>
      <c r="C237" s="76"/>
    </row>
    <row r="238" spans="1:3" ht="15.6" customHeight="1" x14ac:dyDescent="0.25">
      <c r="B238" s="69" t="s">
        <v>216</v>
      </c>
    </row>
    <row r="239" spans="1:3" ht="15.6" customHeight="1" x14ac:dyDescent="0.25">
      <c r="B239" s="70" t="s">
        <v>217</v>
      </c>
    </row>
    <row r="240" spans="1:3" ht="15.6" customHeight="1" x14ac:dyDescent="0.25">
      <c r="B240" s="70" t="s">
        <v>218</v>
      </c>
    </row>
    <row r="242" spans="1:3" ht="20.100000000000001" customHeight="1" x14ac:dyDescent="0.25">
      <c r="A242" s="102"/>
      <c r="B242" s="103" t="s">
        <v>219</v>
      </c>
      <c r="C242" s="102"/>
    </row>
    <row r="243" spans="1:3" ht="15.6" customHeight="1" x14ac:dyDescent="0.25">
      <c r="B243" s="104" t="s">
        <v>220</v>
      </c>
    </row>
    <row r="244" spans="1:3" ht="15.6" customHeight="1" x14ac:dyDescent="0.25">
      <c r="B244" s="105" t="s">
        <v>221</v>
      </c>
    </row>
    <row r="245" spans="1:3" ht="15.6" customHeight="1" x14ac:dyDescent="0.25">
      <c r="B245" s="105" t="s">
        <v>222</v>
      </c>
    </row>
    <row r="246" spans="1:3" ht="15.6" customHeight="1" x14ac:dyDescent="0.25">
      <c r="B246" s="105" t="s">
        <v>223</v>
      </c>
    </row>
    <row r="247" spans="1:3" ht="15.6" customHeight="1" x14ac:dyDescent="0.25">
      <c r="B247" s="105" t="s">
        <v>224</v>
      </c>
    </row>
    <row r="248" spans="1:3" ht="15.6" customHeight="1" x14ac:dyDescent="0.25">
      <c r="B248" s="105" t="s">
        <v>225</v>
      </c>
    </row>
    <row r="249" spans="1:3" ht="15.6" customHeight="1" x14ac:dyDescent="0.25">
      <c r="B249" s="105" t="s">
        <v>226</v>
      </c>
    </row>
    <row r="250" spans="1:3" ht="15.6" customHeight="1" x14ac:dyDescent="0.25">
      <c r="B250" s="105" t="s">
        <v>227</v>
      </c>
    </row>
    <row r="251" spans="1:3" ht="15.6" customHeight="1" x14ac:dyDescent="0.25">
      <c r="B251" s="106" t="s">
        <v>228</v>
      </c>
    </row>
    <row r="253" spans="1:3" ht="20.100000000000001" customHeight="1" x14ac:dyDescent="0.25">
      <c r="A253" s="143"/>
      <c r="B253" s="144" t="s">
        <v>229</v>
      </c>
      <c r="C253" s="143"/>
    </row>
    <row r="254" spans="1:3" ht="15.6" customHeight="1" x14ac:dyDescent="0.25">
      <c r="B254" s="145" t="s">
        <v>230</v>
      </c>
    </row>
    <row r="255" spans="1:3" ht="15.6" customHeight="1" x14ac:dyDescent="0.25">
      <c r="B255" s="145" t="s">
        <v>231</v>
      </c>
    </row>
    <row r="256" spans="1:3" ht="15.6" customHeight="1" x14ac:dyDescent="0.25">
      <c r="B256" s="146" t="s">
        <v>232</v>
      </c>
    </row>
    <row r="257" spans="1:3" ht="15.6" customHeight="1" x14ac:dyDescent="0.25">
      <c r="B257" s="146" t="s">
        <v>233</v>
      </c>
    </row>
    <row r="258" spans="1:3" ht="15.6" customHeight="1" x14ac:dyDescent="0.25">
      <c r="B258" s="147" t="s">
        <v>234</v>
      </c>
    </row>
    <row r="259" spans="1:3" ht="15.6" customHeight="1" x14ac:dyDescent="0.25">
      <c r="B259" s="147" t="s">
        <v>123</v>
      </c>
    </row>
    <row r="260" spans="1:3" ht="15.6" customHeight="1" x14ac:dyDescent="0.25">
      <c r="B260" s="147" t="s">
        <v>235</v>
      </c>
    </row>
    <row r="261" spans="1:3" ht="15.6" customHeight="1" x14ac:dyDescent="0.25">
      <c r="B261" s="147" t="s">
        <v>236</v>
      </c>
    </row>
    <row r="262" spans="1:3" ht="15.6" customHeight="1" x14ac:dyDescent="0.25">
      <c r="B262" s="145" t="s">
        <v>237</v>
      </c>
    </row>
    <row r="263" spans="1:3" ht="15.6" customHeight="1" x14ac:dyDescent="0.25">
      <c r="B263" s="147" t="s">
        <v>238</v>
      </c>
    </row>
    <row r="264" spans="1:3" ht="15.6" customHeight="1" x14ac:dyDescent="0.25">
      <c r="B264" s="147" t="s">
        <v>239</v>
      </c>
    </row>
    <row r="265" spans="1:3" ht="15.6" customHeight="1" x14ac:dyDescent="0.25">
      <c r="B265" s="147" t="s">
        <v>240</v>
      </c>
    </row>
    <row r="266" spans="1:3" ht="15.6" customHeight="1" x14ac:dyDescent="0.25">
      <c r="B266" s="147" t="s">
        <v>241</v>
      </c>
    </row>
    <row r="267" spans="1:3" ht="15.6" customHeight="1" x14ac:dyDescent="0.25">
      <c r="B267" s="147" t="s">
        <v>242</v>
      </c>
    </row>
    <row r="268" spans="1:3" ht="15.6" customHeight="1" x14ac:dyDescent="0.25">
      <c r="B268" s="147" t="s">
        <v>243</v>
      </c>
    </row>
    <row r="269" spans="1:3" ht="15.6" customHeight="1" x14ac:dyDescent="0.25">
      <c r="B269" s="146" t="s">
        <v>244</v>
      </c>
    </row>
    <row r="271" spans="1:3" ht="20.100000000000001" customHeight="1" x14ac:dyDescent="0.25">
      <c r="A271" s="143"/>
      <c r="B271" s="144" t="s">
        <v>245</v>
      </c>
      <c r="C271" s="143"/>
    </row>
    <row r="272" spans="1:3" ht="15.6" customHeight="1" x14ac:dyDescent="0.25">
      <c r="B272" s="145" t="s">
        <v>246</v>
      </c>
    </row>
    <row r="273" spans="2:2" ht="15.6" customHeight="1" x14ac:dyDescent="0.25">
      <c r="B273" s="145" t="s">
        <v>247</v>
      </c>
    </row>
    <row r="274" spans="2:2" ht="15.6" customHeight="1" x14ac:dyDescent="0.25">
      <c r="B274" s="146" t="s">
        <v>248</v>
      </c>
    </row>
    <row r="275" spans="2:2" ht="15.6" customHeight="1" x14ac:dyDescent="0.25">
      <c r="B275" s="147" t="s">
        <v>249</v>
      </c>
    </row>
    <row r="276" spans="2:2" ht="15.6" customHeight="1" x14ac:dyDescent="0.25">
      <c r="B276" s="147" t="s">
        <v>250</v>
      </c>
    </row>
    <row r="277" spans="2:2" ht="15.6" customHeight="1" x14ac:dyDescent="0.25">
      <c r="B277" s="147" t="s">
        <v>251</v>
      </c>
    </row>
    <row r="278" spans="2:2" ht="15.6" customHeight="1" x14ac:dyDescent="0.25">
      <c r="B278" s="147" t="s">
        <v>252</v>
      </c>
    </row>
    <row r="279" spans="2:2" ht="15.6" customHeight="1" x14ac:dyDescent="0.25">
      <c r="B279" s="145" t="s">
        <v>253</v>
      </c>
    </row>
    <row r="280" spans="2:2" ht="15.6" customHeight="1" x14ac:dyDescent="0.25">
      <c r="B280" s="147" t="s">
        <v>254</v>
      </c>
    </row>
    <row r="281" spans="2:2" ht="15.6" customHeight="1" x14ac:dyDescent="0.25">
      <c r="B281" s="147" t="s">
        <v>255</v>
      </c>
    </row>
    <row r="282" spans="2:2" ht="15.6" customHeight="1" x14ac:dyDescent="0.25">
      <c r="B282" s="146" t="s">
        <v>256</v>
      </c>
    </row>
    <row r="283" spans="2:2" ht="15.6" customHeight="1" x14ac:dyDescent="0.25">
      <c r="B283" s="146" t="s">
        <v>257</v>
      </c>
    </row>
    <row r="284" spans="2:2" ht="15.6" customHeight="1" x14ac:dyDescent="0.25">
      <c r="B284" s="147" t="s">
        <v>258</v>
      </c>
    </row>
    <row r="285" spans="2:2" ht="15.6" customHeight="1" x14ac:dyDescent="0.25">
      <c r="B285" s="145" t="s">
        <v>259</v>
      </c>
    </row>
    <row r="286" spans="2:2" ht="15.6" customHeight="1" x14ac:dyDescent="0.25">
      <c r="B286" s="147" t="s">
        <v>260</v>
      </c>
    </row>
    <row r="287" spans="2:2" ht="15.6" customHeight="1" x14ac:dyDescent="0.25">
      <c r="B287" s="147" t="s">
        <v>261</v>
      </c>
    </row>
    <row r="288" spans="2:2" ht="15.6" customHeight="1" x14ac:dyDescent="0.25">
      <c r="B288" s="147" t="s">
        <v>262</v>
      </c>
    </row>
    <row r="289" spans="1:3" ht="15.6" customHeight="1" x14ac:dyDescent="0.25">
      <c r="B289" s="147" t="s">
        <v>263</v>
      </c>
    </row>
    <row r="290" spans="1:3" ht="15.6" customHeight="1" x14ac:dyDescent="0.25">
      <c r="B290" s="147" t="s">
        <v>264</v>
      </c>
    </row>
    <row r="292" spans="1:3" ht="20.100000000000001" customHeight="1" x14ac:dyDescent="0.25">
      <c r="A292" s="143"/>
      <c r="B292" s="144" t="s">
        <v>265</v>
      </c>
      <c r="C292" s="143"/>
    </row>
    <row r="293" spans="1:3" ht="15.6" customHeight="1" x14ac:dyDescent="0.25">
      <c r="B293" s="145" t="s">
        <v>266</v>
      </c>
    </row>
    <row r="294" spans="1:3" ht="15.6" customHeight="1" x14ac:dyDescent="0.25">
      <c r="B294" s="147" t="s">
        <v>267</v>
      </c>
    </row>
    <row r="295" spans="1:3" ht="15.6" customHeight="1" x14ac:dyDescent="0.25">
      <c r="B295" s="147" t="s">
        <v>268</v>
      </c>
    </row>
    <row r="296" spans="1:3" ht="15.6" customHeight="1" x14ac:dyDescent="0.25">
      <c r="B296" s="147" t="s">
        <v>269</v>
      </c>
    </row>
    <row r="297" spans="1:3" ht="15.6" customHeight="1" x14ac:dyDescent="0.25">
      <c r="B297" s="145" t="s">
        <v>270</v>
      </c>
    </row>
    <row r="298" spans="1:3" ht="15.6" customHeight="1" x14ac:dyDescent="0.25">
      <c r="B298" s="147" t="s">
        <v>271</v>
      </c>
    </row>
    <row r="299" spans="1:3" ht="15.6" customHeight="1" x14ac:dyDescent="0.25">
      <c r="B299" s="147" t="s">
        <v>272</v>
      </c>
    </row>
    <row r="300" spans="1:3" ht="15.6" customHeight="1" x14ac:dyDescent="0.25">
      <c r="B300" s="147" t="s">
        <v>273</v>
      </c>
    </row>
    <row r="301" spans="1:3" ht="15.6" customHeight="1" x14ac:dyDescent="0.25">
      <c r="B301" s="147" t="s">
        <v>274</v>
      </c>
    </row>
    <row r="302" spans="1:3" ht="15.6" customHeight="1" x14ac:dyDescent="0.25">
      <c r="B302" s="147" t="s">
        <v>275</v>
      </c>
    </row>
    <row r="303" spans="1:3" ht="15.6" customHeight="1" x14ac:dyDescent="0.25">
      <c r="B303" s="147" t="s">
        <v>276</v>
      </c>
    </row>
    <row r="304" spans="1:3" ht="15.6" customHeight="1" x14ac:dyDescent="0.25">
      <c r="B304" s="146" t="s">
        <v>277</v>
      </c>
    </row>
    <row r="305" spans="2:2" ht="15.6" customHeight="1" x14ac:dyDescent="0.25">
      <c r="B305" s="146" t="s">
        <v>278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864"/>
    <pageSetUpPr fitToPage="1"/>
  </sheetPr>
  <dimension ref="A1:M132"/>
  <sheetViews>
    <sheetView showGridLines="0" topLeftCell="A64" workbookViewId="0">
      <selection sqref="A1:E1"/>
    </sheetView>
  </sheetViews>
  <sheetFormatPr defaultRowHeight="15" x14ac:dyDescent="0.25"/>
  <cols>
    <col min="1" max="1" width="2" style="109" customWidth="1"/>
    <col min="2" max="2" width="27" style="109" customWidth="1"/>
    <col min="3" max="3" width="66" style="109" customWidth="1"/>
    <col min="4" max="4" width="42" style="109" customWidth="1"/>
    <col min="5" max="5" width="26" style="109" customWidth="1"/>
    <col min="8" max="13" width="10.42578125" style="109" customWidth="1"/>
  </cols>
  <sheetData>
    <row r="1" spans="1:13" ht="26.1" customHeight="1" x14ac:dyDescent="0.25">
      <c r="A1" s="151" t="s">
        <v>279</v>
      </c>
      <c r="B1" s="149"/>
      <c r="C1" s="149"/>
      <c r="D1" s="149"/>
      <c r="E1" s="149"/>
      <c r="H1" s="154" t="s">
        <v>280</v>
      </c>
      <c r="I1" s="155"/>
      <c r="J1" s="155"/>
      <c r="K1" s="155"/>
      <c r="L1" s="155"/>
      <c r="M1" s="156"/>
    </row>
    <row r="2" spans="1:13" ht="14.1" customHeight="1" x14ac:dyDescent="0.25">
      <c r="A2" s="153" t="s">
        <v>281</v>
      </c>
      <c r="B2" s="149"/>
      <c r="C2" s="149"/>
      <c r="D2" s="149"/>
      <c r="E2" s="149"/>
      <c r="H2" s="158" t="s">
        <v>3</v>
      </c>
      <c r="I2" s="155"/>
      <c r="J2" s="155"/>
      <c r="K2" s="155"/>
      <c r="L2" s="155"/>
      <c r="M2" s="156"/>
    </row>
    <row r="3" spans="1:13" x14ac:dyDescent="0.25">
      <c r="H3" s="157" t="s">
        <v>4</v>
      </c>
      <c r="I3" s="155"/>
      <c r="J3" s="155"/>
      <c r="K3" s="155"/>
      <c r="L3" s="155"/>
      <c r="M3" s="156"/>
    </row>
    <row r="4" spans="1:13" ht="18" customHeight="1" x14ac:dyDescent="0.25">
      <c r="B4" s="150" t="s">
        <v>282</v>
      </c>
      <c r="C4" s="149"/>
      <c r="D4" s="149"/>
      <c r="E4" s="149"/>
      <c r="H4" s="157" t="s">
        <v>5</v>
      </c>
      <c r="I4" s="155"/>
      <c r="J4" s="155"/>
      <c r="K4" s="155"/>
      <c r="L4" s="155"/>
      <c r="M4" s="156"/>
    </row>
    <row r="5" spans="1:13" ht="27" customHeight="1" x14ac:dyDescent="0.25">
      <c r="B5" s="1" t="s">
        <v>283</v>
      </c>
      <c r="C5" s="148" t="s">
        <v>284</v>
      </c>
      <c r="D5" s="149"/>
      <c r="E5" s="94"/>
      <c r="H5" s="157" t="s">
        <v>6</v>
      </c>
      <c r="I5" s="155"/>
      <c r="J5" s="155"/>
      <c r="K5" s="155"/>
      <c r="L5" s="155"/>
      <c r="M5" s="156"/>
    </row>
    <row r="6" spans="1:13" ht="27" customHeight="1" x14ac:dyDescent="0.25">
      <c r="B6" s="1" t="s">
        <v>285</v>
      </c>
      <c r="C6" s="148" t="s">
        <v>286</v>
      </c>
      <c r="D6" s="149"/>
      <c r="E6" s="94"/>
    </row>
    <row r="7" spans="1:13" ht="27" customHeight="1" x14ac:dyDescent="0.25">
      <c r="B7" s="1" t="s">
        <v>287</v>
      </c>
      <c r="C7" s="148" t="s">
        <v>288</v>
      </c>
      <c r="D7" s="149"/>
      <c r="E7" s="94"/>
    </row>
    <row r="8" spans="1:13" ht="27" customHeight="1" x14ac:dyDescent="0.25">
      <c r="B8" s="1" t="s">
        <v>289</v>
      </c>
      <c r="C8" s="148" t="s">
        <v>290</v>
      </c>
      <c r="D8" s="149"/>
      <c r="E8" s="94"/>
    </row>
    <row r="9" spans="1:13" ht="27" customHeight="1" x14ac:dyDescent="0.25">
      <c r="B9" s="1" t="s">
        <v>291</v>
      </c>
      <c r="C9" s="148" t="s">
        <v>292</v>
      </c>
      <c r="D9" s="149"/>
      <c r="E9" s="94"/>
    </row>
    <row r="11" spans="1:13" ht="18" customHeight="1" x14ac:dyDescent="0.25">
      <c r="B11" s="150" t="s">
        <v>293</v>
      </c>
      <c r="C11" s="149"/>
      <c r="D11" s="149"/>
      <c r="E11" s="149"/>
    </row>
    <row r="12" spans="1:13" x14ac:dyDescent="0.25">
      <c r="B12" s="2" t="s">
        <v>294</v>
      </c>
      <c r="C12" s="148" t="s">
        <v>295</v>
      </c>
      <c r="D12" s="149"/>
      <c r="E12" s="149"/>
    </row>
    <row r="13" spans="1:13" x14ac:dyDescent="0.25">
      <c r="B13" s="3" t="s">
        <v>296</v>
      </c>
      <c r="C13" s="148" t="s">
        <v>297</v>
      </c>
      <c r="D13" s="149"/>
      <c r="E13" s="149"/>
    </row>
    <row r="14" spans="1:13" x14ac:dyDescent="0.25">
      <c r="B14" s="4" t="s">
        <v>298</v>
      </c>
      <c r="C14" s="148" t="s">
        <v>299</v>
      </c>
      <c r="D14" s="149"/>
      <c r="E14" s="149"/>
    </row>
    <row r="15" spans="1:13" x14ac:dyDescent="0.25">
      <c r="B15" s="5" t="s">
        <v>300</v>
      </c>
      <c r="C15" s="148" t="s">
        <v>301</v>
      </c>
      <c r="D15" s="149"/>
      <c r="E15" s="149"/>
    </row>
    <row r="16" spans="1:13" ht="13.5" customHeight="1" x14ac:dyDescent="0.25">
      <c r="B16" s="1" t="s">
        <v>302</v>
      </c>
      <c r="C16" s="148" t="s">
        <v>303</v>
      </c>
      <c r="D16" s="149"/>
      <c r="E16" s="94"/>
    </row>
    <row r="18" spans="2:5" ht="18" customHeight="1" x14ac:dyDescent="0.25">
      <c r="B18" s="150" t="s">
        <v>304</v>
      </c>
      <c r="C18" s="149"/>
      <c r="D18" s="149"/>
      <c r="E18" s="149"/>
    </row>
    <row r="19" spans="2:5" ht="24" customHeight="1" x14ac:dyDescent="0.25">
      <c r="B19" s="46" t="s">
        <v>305</v>
      </c>
      <c r="C19" s="46" t="s">
        <v>306</v>
      </c>
      <c r="D19" s="46" t="s">
        <v>307</v>
      </c>
      <c r="E19" s="46" t="s">
        <v>308</v>
      </c>
    </row>
    <row r="20" spans="2:5" ht="40.5" customHeight="1" x14ac:dyDescent="0.25">
      <c r="B20" s="6" t="s">
        <v>7</v>
      </c>
      <c r="C20" s="7" t="s">
        <v>309</v>
      </c>
      <c r="D20" s="8" t="s">
        <v>310</v>
      </c>
      <c r="E20" s="45" t="s">
        <v>311</v>
      </c>
    </row>
    <row r="21" spans="2:5" ht="27" customHeight="1" x14ac:dyDescent="0.25">
      <c r="B21" s="6" t="s">
        <v>23</v>
      </c>
      <c r="C21" s="7" t="s">
        <v>312</v>
      </c>
      <c r="D21" s="8" t="s">
        <v>313</v>
      </c>
      <c r="E21" s="45" t="s">
        <v>311</v>
      </c>
    </row>
    <row r="22" spans="2:5" ht="27" customHeight="1" x14ac:dyDescent="0.25">
      <c r="B22" s="6" t="s">
        <v>34</v>
      </c>
      <c r="C22" s="7" t="s">
        <v>314</v>
      </c>
      <c r="D22" s="8" t="s">
        <v>315</v>
      </c>
      <c r="E22" s="45" t="s">
        <v>316</v>
      </c>
    </row>
    <row r="23" spans="2:5" ht="27" customHeight="1" x14ac:dyDescent="0.25">
      <c r="B23" s="6" t="s">
        <v>42</v>
      </c>
      <c r="C23" s="7" t="s">
        <v>317</v>
      </c>
      <c r="D23" s="8" t="s">
        <v>318</v>
      </c>
      <c r="E23" s="45" t="s">
        <v>319</v>
      </c>
    </row>
    <row r="24" spans="2:5" ht="54" customHeight="1" x14ac:dyDescent="0.25">
      <c r="B24" s="6" t="s">
        <v>50</v>
      </c>
      <c r="C24" s="7" t="s">
        <v>320</v>
      </c>
      <c r="D24" s="8" t="s">
        <v>321</v>
      </c>
      <c r="E24" s="45" t="s">
        <v>322</v>
      </c>
    </row>
    <row r="25" spans="2:5" ht="40.5" customHeight="1" x14ac:dyDescent="0.25">
      <c r="B25" s="6" t="s">
        <v>66</v>
      </c>
      <c r="C25" s="7" t="s">
        <v>323</v>
      </c>
      <c r="D25" s="8" t="s">
        <v>324</v>
      </c>
      <c r="E25" s="45" t="s">
        <v>325</v>
      </c>
    </row>
    <row r="26" spans="2:5" ht="40.5" customHeight="1" x14ac:dyDescent="0.25">
      <c r="B26" s="6" t="s">
        <v>81</v>
      </c>
      <c r="C26" s="7" t="s">
        <v>326</v>
      </c>
      <c r="D26" s="8" t="s">
        <v>327</v>
      </c>
      <c r="E26" s="45" t="s">
        <v>328</v>
      </c>
    </row>
    <row r="27" spans="2:5" ht="54" customHeight="1" x14ac:dyDescent="0.25">
      <c r="B27" s="6" t="s">
        <v>99</v>
      </c>
      <c r="C27" s="7" t="s">
        <v>329</v>
      </c>
      <c r="D27" s="8" t="s">
        <v>330</v>
      </c>
      <c r="E27" s="45" t="s">
        <v>331</v>
      </c>
    </row>
    <row r="28" spans="2:5" ht="40.5" customHeight="1" x14ac:dyDescent="0.25">
      <c r="B28" s="6" t="s">
        <v>121</v>
      </c>
      <c r="C28" s="7" t="s">
        <v>332</v>
      </c>
      <c r="D28" s="8" t="s">
        <v>333</v>
      </c>
      <c r="E28" s="45" t="s">
        <v>334</v>
      </c>
    </row>
    <row r="29" spans="2:5" ht="40.5" customHeight="1" x14ac:dyDescent="0.25">
      <c r="B29" s="6" t="s">
        <v>135</v>
      </c>
      <c r="C29" s="7" t="s">
        <v>335</v>
      </c>
      <c r="D29" s="8" t="s">
        <v>336</v>
      </c>
      <c r="E29" s="45" t="s">
        <v>337</v>
      </c>
    </row>
    <row r="30" spans="2:5" ht="40.5" customHeight="1" x14ac:dyDescent="0.25">
      <c r="B30" s="6" t="s">
        <v>150</v>
      </c>
      <c r="C30" s="7" t="s">
        <v>338</v>
      </c>
      <c r="D30" s="8" t="s">
        <v>339</v>
      </c>
      <c r="E30" s="45" t="s">
        <v>340</v>
      </c>
    </row>
    <row r="31" spans="2:5" ht="40.5" customHeight="1" x14ac:dyDescent="0.25">
      <c r="B31" s="6" t="s">
        <v>165</v>
      </c>
      <c r="C31" s="7" t="s">
        <v>341</v>
      </c>
      <c r="D31" s="8" t="s">
        <v>342</v>
      </c>
      <c r="E31" s="45" t="s">
        <v>343</v>
      </c>
    </row>
    <row r="32" spans="2:5" ht="40.5" customHeight="1" x14ac:dyDescent="0.25">
      <c r="B32" s="6" t="s">
        <v>180</v>
      </c>
      <c r="C32" s="7" t="s">
        <v>344</v>
      </c>
      <c r="D32" s="8" t="s">
        <v>345</v>
      </c>
      <c r="E32" s="45" t="s">
        <v>346</v>
      </c>
    </row>
    <row r="33" spans="2:5" ht="67.5" customHeight="1" x14ac:dyDescent="0.25">
      <c r="B33" s="6" t="s">
        <v>196</v>
      </c>
      <c r="C33" s="7" t="s">
        <v>347</v>
      </c>
      <c r="D33" s="8" t="s">
        <v>348</v>
      </c>
      <c r="E33" s="45" t="s">
        <v>349</v>
      </c>
    </row>
    <row r="34" spans="2:5" ht="27" customHeight="1" x14ac:dyDescent="0.25">
      <c r="B34" s="6" t="s">
        <v>350</v>
      </c>
      <c r="C34" s="7" t="s">
        <v>351</v>
      </c>
      <c r="D34" s="8" t="s">
        <v>352</v>
      </c>
      <c r="E34" s="45" t="s">
        <v>353</v>
      </c>
    </row>
    <row r="36" spans="2:5" ht="18" customHeight="1" x14ac:dyDescent="0.25">
      <c r="B36" s="150" t="s">
        <v>354</v>
      </c>
      <c r="C36" s="149"/>
      <c r="D36" s="149"/>
      <c r="E36" s="149"/>
    </row>
    <row r="37" spans="2:5" x14ac:dyDescent="0.25">
      <c r="B37" s="153" t="s">
        <v>355</v>
      </c>
      <c r="C37" s="149"/>
      <c r="D37" s="149"/>
      <c r="E37" s="149"/>
    </row>
    <row r="38" spans="2:5" ht="15.95" customHeight="1" x14ac:dyDescent="0.25">
      <c r="B38" s="152" t="s">
        <v>356</v>
      </c>
      <c r="C38" s="149"/>
      <c r="D38" s="149"/>
      <c r="E38" s="149"/>
    </row>
    <row r="39" spans="2:5" ht="27" customHeight="1" x14ac:dyDescent="0.25">
      <c r="B39" s="94" t="s">
        <v>357</v>
      </c>
      <c r="C39" s="148" t="s">
        <v>358</v>
      </c>
      <c r="D39" s="149"/>
      <c r="E39" s="149"/>
    </row>
    <row r="40" spans="2:5" ht="40.5" customHeight="1" x14ac:dyDescent="0.25">
      <c r="B40" s="94" t="s">
        <v>359</v>
      </c>
      <c r="C40" s="148" t="s">
        <v>360</v>
      </c>
      <c r="D40" s="149"/>
      <c r="E40" s="149"/>
    </row>
    <row r="41" spans="2:5" ht="27" customHeight="1" x14ac:dyDescent="0.25">
      <c r="B41" s="94" t="s">
        <v>361</v>
      </c>
      <c r="C41" s="148" t="s">
        <v>362</v>
      </c>
      <c r="D41" s="149"/>
      <c r="E41" s="149"/>
    </row>
    <row r="42" spans="2:5" ht="27" customHeight="1" x14ac:dyDescent="0.25">
      <c r="B42" s="94" t="s">
        <v>363</v>
      </c>
      <c r="C42" s="148" t="s">
        <v>364</v>
      </c>
      <c r="D42" s="149"/>
      <c r="E42" s="149"/>
    </row>
    <row r="43" spans="2:5" ht="13.5" customHeight="1" x14ac:dyDescent="0.25">
      <c r="B43" s="94" t="s">
        <v>365</v>
      </c>
      <c r="C43" s="148" t="s">
        <v>366</v>
      </c>
      <c r="D43" s="149"/>
      <c r="E43" s="149"/>
    </row>
    <row r="44" spans="2:5" ht="15.95" customHeight="1" x14ac:dyDescent="0.25">
      <c r="B44" s="152" t="s">
        <v>367</v>
      </c>
      <c r="C44" s="149"/>
      <c r="D44" s="149"/>
      <c r="E44" s="149"/>
    </row>
    <row r="45" spans="2:5" ht="40.5" customHeight="1" x14ac:dyDescent="0.25">
      <c r="B45" s="94" t="s">
        <v>357</v>
      </c>
      <c r="C45" s="148" t="s">
        <v>368</v>
      </c>
      <c r="D45" s="149"/>
      <c r="E45" s="149"/>
    </row>
    <row r="46" spans="2:5" ht="27" customHeight="1" x14ac:dyDescent="0.25">
      <c r="B46" s="94" t="s">
        <v>359</v>
      </c>
      <c r="C46" s="148" t="s">
        <v>369</v>
      </c>
      <c r="D46" s="149"/>
      <c r="E46" s="149"/>
    </row>
    <row r="47" spans="2:5" ht="27" customHeight="1" x14ac:dyDescent="0.25">
      <c r="B47" s="94" t="s">
        <v>370</v>
      </c>
      <c r="C47" s="148" t="s">
        <v>371</v>
      </c>
      <c r="D47" s="149"/>
      <c r="E47" s="149"/>
    </row>
    <row r="48" spans="2:5" ht="27" customHeight="1" x14ac:dyDescent="0.25">
      <c r="B48" s="94" t="s">
        <v>363</v>
      </c>
      <c r="C48" s="148" t="s">
        <v>372</v>
      </c>
      <c r="D48" s="149"/>
      <c r="E48" s="149"/>
    </row>
    <row r="49" spans="2:5" ht="27" customHeight="1" x14ac:dyDescent="0.25">
      <c r="B49" s="94" t="s">
        <v>365</v>
      </c>
      <c r="C49" s="148" t="s">
        <v>373</v>
      </c>
      <c r="D49" s="149"/>
      <c r="E49" s="149"/>
    </row>
    <row r="50" spans="2:5" ht="15.95" customHeight="1" x14ac:dyDescent="0.25">
      <c r="B50" s="152" t="s">
        <v>374</v>
      </c>
      <c r="C50" s="149"/>
      <c r="D50" s="149"/>
      <c r="E50" s="149"/>
    </row>
    <row r="51" spans="2:5" ht="27" customHeight="1" x14ac:dyDescent="0.25">
      <c r="B51" s="94" t="s">
        <v>357</v>
      </c>
      <c r="C51" s="148" t="s">
        <v>375</v>
      </c>
      <c r="D51" s="149"/>
      <c r="E51" s="149"/>
    </row>
    <row r="52" spans="2:5" ht="27" customHeight="1" x14ac:dyDescent="0.25">
      <c r="B52" s="94" t="s">
        <v>376</v>
      </c>
      <c r="C52" s="148" t="s">
        <v>377</v>
      </c>
      <c r="D52" s="149"/>
      <c r="E52" s="149"/>
    </row>
    <row r="53" spans="2:5" ht="27" customHeight="1" x14ac:dyDescent="0.25">
      <c r="B53" s="94" t="s">
        <v>378</v>
      </c>
      <c r="C53" s="148" t="s">
        <v>379</v>
      </c>
      <c r="D53" s="149"/>
      <c r="E53" s="149"/>
    </row>
    <row r="54" spans="2:5" ht="27" customHeight="1" x14ac:dyDescent="0.25">
      <c r="B54" s="94" t="s">
        <v>380</v>
      </c>
      <c r="C54" s="148" t="s">
        <v>381</v>
      </c>
      <c r="D54" s="149"/>
      <c r="E54" s="149"/>
    </row>
    <row r="55" spans="2:5" ht="13.5" customHeight="1" x14ac:dyDescent="0.25">
      <c r="B55" s="94" t="s">
        <v>382</v>
      </c>
      <c r="C55" s="148" t="s">
        <v>383</v>
      </c>
      <c r="D55" s="149"/>
      <c r="E55" s="149"/>
    </row>
    <row r="56" spans="2:5" ht="15.95" customHeight="1" x14ac:dyDescent="0.25">
      <c r="B56" s="152" t="s">
        <v>384</v>
      </c>
      <c r="C56" s="149"/>
      <c r="D56" s="149"/>
      <c r="E56" s="149"/>
    </row>
    <row r="57" spans="2:5" ht="27" customHeight="1" x14ac:dyDescent="0.25">
      <c r="B57" s="94" t="s">
        <v>357</v>
      </c>
      <c r="C57" s="148" t="s">
        <v>385</v>
      </c>
      <c r="D57" s="149"/>
      <c r="E57" s="149"/>
    </row>
    <row r="58" spans="2:5" ht="27" customHeight="1" x14ac:dyDescent="0.25">
      <c r="B58" s="94" t="s">
        <v>386</v>
      </c>
      <c r="C58" s="148" t="s">
        <v>387</v>
      </c>
      <c r="D58" s="149"/>
      <c r="E58" s="149"/>
    </row>
    <row r="59" spans="2:5" ht="27" customHeight="1" x14ac:dyDescent="0.25">
      <c r="B59" s="94" t="s">
        <v>388</v>
      </c>
      <c r="C59" s="148" t="s">
        <v>389</v>
      </c>
      <c r="D59" s="149"/>
      <c r="E59" s="149"/>
    </row>
    <row r="60" spans="2:5" ht="40.5" customHeight="1" x14ac:dyDescent="0.25">
      <c r="B60" s="94" t="s">
        <v>390</v>
      </c>
      <c r="C60" s="148" t="s">
        <v>391</v>
      </c>
      <c r="D60" s="149"/>
      <c r="E60" s="149"/>
    </row>
    <row r="61" spans="2:5" ht="27" customHeight="1" x14ac:dyDescent="0.25">
      <c r="B61" s="94" t="s">
        <v>392</v>
      </c>
      <c r="C61" s="148" t="s">
        <v>393</v>
      </c>
      <c r="D61" s="149"/>
      <c r="E61" s="149"/>
    </row>
    <row r="62" spans="2:5" ht="27" customHeight="1" x14ac:dyDescent="0.25">
      <c r="B62" s="94" t="s">
        <v>394</v>
      </c>
      <c r="C62" s="148" t="s">
        <v>395</v>
      </c>
      <c r="D62" s="149"/>
      <c r="E62" s="149"/>
    </row>
    <row r="63" spans="2:5" ht="13.5" customHeight="1" x14ac:dyDescent="0.25">
      <c r="B63" s="94" t="s">
        <v>396</v>
      </c>
      <c r="C63" s="148" t="s">
        <v>397</v>
      </c>
      <c r="D63" s="149"/>
      <c r="E63" s="149"/>
    </row>
    <row r="65" spans="2:5" ht="18" customHeight="1" x14ac:dyDescent="0.25">
      <c r="B65" s="150" t="s">
        <v>398</v>
      </c>
      <c r="C65" s="149"/>
      <c r="D65" s="149"/>
      <c r="E65" s="149"/>
    </row>
    <row r="66" spans="2:5" x14ac:dyDescent="0.25">
      <c r="B66" s="153" t="s">
        <v>399</v>
      </c>
      <c r="C66" s="149"/>
      <c r="D66" s="149"/>
      <c r="E66" s="149"/>
    </row>
    <row r="67" spans="2:5" ht="27" customHeight="1" x14ac:dyDescent="0.25">
      <c r="B67" s="1" t="s">
        <v>400</v>
      </c>
      <c r="C67" s="148" t="s">
        <v>401</v>
      </c>
      <c r="D67" s="149"/>
      <c r="E67" s="94" t="s">
        <v>402</v>
      </c>
    </row>
    <row r="68" spans="2:5" ht="40.5" customHeight="1" x14ac:dyDescent="0.25">
      <c r="B68" s="1" t="s">
        <v>403</v>
      </c>
      <c r="C68" s="148" t="s">
        <v>404</v>
      </c>
      <c r="D68" s="149"/>
      <c r="E68" s="94" t="s">
        <v>405</v>
      </c>
    </row>
    <row r="69" spans="2:5" ht="27" customHeight="1" x14ac:dyDescent="0.25">
      <c r="B69" s="1" t="s">
        <v>406</v>
      </c>
      <c r="C69" s="148" t="s">
        <v>407</v>
      </c>
      <c r="D69" s="149"/>
      <c r="E69" s="94" t="s">
        <v>408</v>
      </c>
    </row>
    <row r="70" spans="2:5" ht="40.5" customHeight="1" x14ac:dyDescent="0.25">
      <c r="B70" s="1" t="s">
        <v>409</v>
      </c>
      <c r="C70" s="148" t="s">
        <v>410</v>
      </c>
      <c r="D70" s="149"/>
      <c r="E70" s="94" t="s">
        <v>331</v>
      </c>
    </row>
    <row r="71" spans="2:5" ht="40.5" customHeight="1" x14ac:dyDescent="0.25">
      <c r="B71" s="1" t="s">
        <v>411</v>
      </c>
      <c r="C71" s="148" t="s">
        <v>412</v>
      </c>
      <c r="D71" s="149"/>
      <c r="E71" s="94" t="s">
        <v>328</v>
      </c>
    </row>
    <row r="72" spans="2:5" ht="54" customHeight="1" x14ac:dyDescent="0.25">
      <c r="B72" s="1" t="s">
        <v>413</v>
      </c>
      <c r="C72" s="148" t="s">
        <v>414</v>
      </c>
      <c r="D72" s="149"/>
      <c r="E72" s="94" t="s">
        <v>340</v>
      </c>
    </row>
    <row r="73" spans="2:5" ht="40.5" customHeight="1" x14ac:dyDescent="0.25">
      <c r="B73" s="1" t="s">
        <v>415</v>
      </c>
      <c r="C73" s="148" t="s">
        <v>416</v>
      </c>
      <c r="D73" s="149"/>
      <c r="E73" s="94" t="s">
        <v>417</v>
      </c>
    </row>
    <row r="74" spans="2:5" ht="27" customHeight="1" x14ac:dyDescent="0.25">
      <c r="B74" s="1" t="s">
        <v>418</v>
      </c>
      <c r="C74" s="148" t="s">
        <v>419</v>
      </c>
      <c r="D74" s="149"/>
      <c r="E74" s="94" t="s">
        <v>420</v>
      </c>
    </row>
    <row r="76" spans="2:5" ht="18" customHeight="1" x14ac:dyDescent="0.25">
      <c r="B76" s="150" t="s">
        <v>421</v>
      </c>
      <c r="C76" s="149"/>
      <c r="D76" s="149"/>
      <c r="E76" s="149"/>
    </row>
    <row r="77" spans="2:5" ht="13.5" customHeight="1" x14ac:dyDescent="0.25">
      <c r="B77" s="1" t="s">
        <v>422</v>
      </c>
      <c r="C77" s="148" t="s">
        <v>423</v>
      </c>
      <c r="D77" s="149"/>
      <c r="E77" s="94"/>
    </row>
    <row r="78" spans="2:5" ht="13.5" customHeight="1" x14ac:dyDescent="0.25">
      <c r="B78" s="1" t="s">
        <v>424</v>
      </c>
      <c r="C78" s="148" t="s">
        <v>425</v>
      </c>
      <c r="D78" s="149"/>
      <c r="E78" s="94"/>
    </row>
    <row r="79" spans="2:5" ht="13.5" customHeight="1" x14ac:dyDescent="0.25">
      <c r="B79" s="1" t="s">
        <v>426</v>
      </c>
      <c r="C79" s="148" t="s">
        <v>427</v>
      </c>
      <c r="D79" s="149"/>
      <c r="E79" s="94"/>
    </row>
    <row r="80" spans="2:5" ht="13.5" customHeight="1" x14ac:dyDescent="0.25">
      <c r="B80" s="1" t="s">
        <v>428</v>
      </c>
      <c r="C80" s="148" t="s">
        <v>429</v>
      </c>
      <c r="D80" s="149"/>
      <c r="E80" s="94"/>
    </row>
    <row r="81" spans="2:5" ht="13.5" customHeight="1" x14ac:dyDescent="0.25">
      <c r="B81" s="1" t="s">
        <v>430</v>
      </c>
      <c r="C81" s="148" t="s">
        <v>431</v>
      </c>
      <c r="D81" s="149"/>
      <c r="E81" s="94"/>
    </row>
    <row r="82" spans="2:5" ht="13.5" customHeight="1" x14ac:dyDescent="0.25">
      <c r="B82" s="1" t="s">
        <v>432</v>
      </c>
      <c r="C82" s="148" t="s">
        <v>433</v>
      </c>
      <c r="D82" s="149"/>
      <c r="E82" s="94"/>
    </row>
    <row r="84" spans="2:5" ht="18" customHeight="1" x14ac:dyDescent="0.25">
      <c r="B84" s="150" t="s">
        <v>434</v>
      </c>
      <c r="C84" s="149"/>
      <c r="D84" s="149"/>
      <c r="E84" s="149"/>
    </row>
    <row r="85" spans="2:5" ht="27" customHeight="1" x14ac:dyDescent="0.25">
      <c r="B85" s="1" t="s">
        <v>435</v>
      </c>
      <c r="C85" s="148" t="s">
        <v>436</v>
      </c>
      <c r="D85" s="149"/>
      <c r="E85" s="94"/>
    </row>
    <row r="86" spans="2:5" ht="27" customHeight="1" x14ac:dyDescent="0.25">
      <c r="B86" s="1" t="s">
        <v>437</v>
      </c>
      <c r="C86" s="148" t="s">
        <v>438</v>
      </c>
      <c r="D86" s="149"/>
      <c r="E86" s="94"/>
    </row>
    <row r="87" spans="2:5" ht="27" customHeight="1" x14ac:dyDescent="0.25">
      <c r="B87" s="1" t="s">
        <v>439</v>
      </c>
      <c r="C87" s="148" t="s">
        <v>440</v>
      </c>
      <c r="D87" s="149"/>
      <c r="E87" s="94"/>
    </row>
    <row r="88" spans="2:5" ht="13.5" customHeight="1" x14ac:dyDescent="0.25">
      <c r="B88" s="1" t="s">
        <v>441</v>
      </c>
      <c r="C88" s="148" t="s">
        <v>442</v>
      </c>
      <c r="D88" s="149"/>
      <c r="E88" s="94"/>
    </row>
    <row r="89" spans="2:5" ht="13.5" customHeight="1" x14ac:dyDescent="0.25">
      <c r="B89" s="1" t="s">
        <v>443</v>
      </c>
      <c r="C89" s="148" t="s">
        <v>444</v>
      </c>
      <c r="D89" s="149"/>
      <c r="E89" s="94"/>
    </row>
    <row r="90" spans="2:5" ht="13.5" customHeight="1" x14ac:dyDescent="0.25">
      <c r="B90" s="1" t="s">
        <v>445</v>
      </c>
      <c r="C90" s="148" t="s">
        <v>446</v>
      </c>
      <c r="D90" s="149"/>
      <c r="E90" s="94"/>
    </row>
    <row r="91" spans="2:5" ht="27" customHeight="1" x14ac:dyDescent="0.25">
      <c r="B91" s="1" t="s">
        <v>447</v>
      </c>
      <c r="C91" s="148" t="s">
        <v>448</v>
      </c>
      <c r="D91" s="149"/>
      <c r="E91" s="94"/>
    </row>
    <row r="92" spans="2:5" ht="13.5" customHeight="1" x14ac:dyDescent="0.25">
      <c r="B92" s="1" t="s">
        <v>449</v>
      </c>
      <c r="C92" s="148" t="s">
        <v>450</v>
      </c>
      <c r="D92" s="149"/>
      <c r="E92" s="94"/>
    </row>
    <row r="94" spans="2:5" ht="18" customHeight="1" x14ac:dyDescent="0.25">
      <c r="B94" s="150" t="s">
        <v>451</v>
      </c>
      <c r="C94" s="149"/>
      <c r="D94" s="149"/>
      <c r="E94" s="149"/>
    </row>
    <row r="95" spans="2:5" ht="27" customHeight="1" x14ac:dyDescent="0.25">
      <c r="B95" s="1" t="s">
        <v>452</v>
      </c>
      <c r="C95" s="148" t="s">
        <v>453</v>
      </c>
      <c r="D95" s="149"/>
      <c r="E95" s="94"/>
    </row>
    <row r="96" spans="2:5" ht="27" customHeight="1" x14ac:dyDescent="0.25">
      <c r="B96" s="1" t="s">
        <v>454</v>
      </c>
      <c r="C96" s="148" t="s">
        <v>455</v>
      </c>
      <c r="D96" s="149"/>
      <c r="E96" s="94"/>
    </row>
    <row r="97" spans="2:5" ht="27" customHeight="1" x14ac:dyDescent="0.25">
      <c r="B97" s="1" t="s">
        <v>456</v>
      </c>
      <c r="C97" s="148" t="s">
        <v>457</v>
      </c>
      <c r="D97" s="149"/>
      <c r="E97" s="94"/>
    </row>
    <row r="98" spans="2:5" ht="27" customHeight="1" x14ac:dyDescent="0.25">
      <c r="B98" s="1" t="s">
        <v>458</v>
      </c>
      <c r="C98" s="148" t="s">
        <v>459</v>
      </c>
      <c r="D98" s="149"/>
      <c r="E98" s="94"/>
    </row>
    <row r="99" spans="2:5" ht="13.5" customHeight="1" x14ac:dyDescent="0.25">
      <c r="B99" s="1" t="s">
        <v>460</v>
      </c>
      <c r="C99" s="148" t="s">
        <v>461</v>
      </c>
      <c r="D99" s="149"/>
      <c r="E99" s="94"/>
    </row>
    <row r="100" spans="2:5" ht="13.5" customHeight="1" x14ac:dyDescent="0.25">
      <c r="B100" s="1" t="s">
        <v>462</v>
      </c>
      <c r="C100" s="148" t="s">
        <v>463</v>
      </c>
      <c r="D100" s="149"/>
      <c r="E100" s="94"/>
    </row>
    <row r="102" spans="2:5" ht="18" customHeight="1" x14ac:dyDescent="0.25">
      <c r="B102" s="150" t="s">
        <v>464</v>
      </c>
      <c r="C102" s="149"/>
      <c r="D102" s="149"/>
      <c r="E102" s="149"/>
    </row>
    <row r="103" spans="2:5" ht="13.5" customHeight="1" x14ac:dyDescent="0.25">
      <c r="B103" s="1" t="s">
        <v>465</v>
      </c>
      <c r="C103" s="148" t="s">
        <v>466</v>
      </c>
      <c r="D103" s="149"/>
      <c r="E103" s="94"/>
    </row>
    <row r="104" spans="2:5" ht="13.5" customHeight="1" x14ac:dyDescent="0.25">
      <c r="B104" s="1" t="s">
        <v>467</v>
      </c>
      <c r="C104" s="148" t="s">
        <v>468</v>
      </c>
      <c r="D104" s="149"/>
      <c r="E104" s="94"/>
    </row>
    <row r="105" spans="2:5" ht="27" customHeight="1" x14ac:dyDescent="0.25">
      <c r="B105" s="1" t="s">
        <v>469</v>
      </c>
      <c r="C105" s="148" t="s">
        <v>470</v>
      </c>
      <c r="D105" s="149"/>
      <c r="E105" s="94"/>
    </row>
    <row r="106" spans="2:5" ht="13.5" customHeight="1" x14ac:dyDescent="0.25">
      <c r="B106" s="1" t="s">
        <v>471</v>
      </c>
      <c r="C106" s="148" t="s">
        <v>472</v>
      </c>
      <c r="D106" s="149"/>
      <c r="E106" s="94"/>
    </row>
    <row r="107" spans="2:5" ht="13.5" customHeight="1" x14ac:dyDescent="0.25">
      <c r="B107" s="1" t="s">
        <v>473</v>
      </c>
      <c r="C107" s="148" t="s">
        <v>474</v>
      </c>
      <c r="D107" s="149"/>
      <c r="E107" s="94"/>
    </row>
    <row r="108" spans="2:5" ht="27" customHeight="1" x14ac:dyDescent="0.25">
      <c r="B108" s="1" t="s">
        <v>475</v>
      </c>
      <c r="C108" s="148" t="s">
        <v>476</v>
      </c>
      <c r="D108" s="149"/>
      <c r="E108" s="94"/>
    </row>
    <row r="110" spans="2:5" ht="18" customHeight="1" x14ac:dyDescent="0.25">
      <c r="B110" s="150" t="s">
        <v>477</v>
      </c>
      <c r="C110" s="149"/>
      <c r="D110" s="149"/>
      <c r="E110" s="149"/>
    </row>
    <row r="111" spans="2:5" ht="27" customHeight="1" x14ac:dyDescent="0.25">
      <c r="B111" s="1" t="s">
        <v>478</v>
      </c>
      <c r="C111" s="148" t="s">
        <v>479</v>
      </c>
      <c r="D111" s="149"/>
      <c r="E111" s="94"/>
    </row>
    <row r="112" spans="2:5" ht="27" customHeight="1" x14ac:dyDescent="0.25">
      <c r="B112" s="1" t="s">
        <v>480</v>
      </c>
      <c r="C112" s="148" t="s">
        <v>481</v>
      </c>
      <c r="D112" s="149"/>
      <c r="E112" s="94"/>
    </row>
    <row r="113" spans="2:5" ht="13.5" customHeight="1" x14ac:dyDescent="0.25">
      <c r="B113" s="1" t="s">
        <v>482</v>
      </c>
      <c r="C113" s="148" t="s">
        <v>483</v>
      </c>
      <c r="D113" s="149"/>
      <c r="E113" s="94"/>
    </row>
    <row r="114" spans="2:5" ht="27" customHeight="1" x14ac:dyDescent="0.25">
      <c r="B114" s="1" t="s">
        <v>484</v>
      </c>
      <c r="C114" s="148" t="s">
        <v>485</v>
      </c>
      <c r="D114" s="149"/>
      <c r="E114" s="94"/>
    </row>
    <row r="115" spans="2:5" ht="27" customHeight="1" x14ac:dyDescent="0.25">
      <c r="B115" s="1" t="s">
        <v>486</v>
      </c>
      <c r="C115" s="148" t="s">
        <v>487</v>
      </c>
      <c r="D115" s="149"/>
      <c r="E115" s="94"/>
    </row>
    <row r="116" spans="2:5" ht="13.5" customHeight="1" x14ac:dyDescent="0.25">
      <c r="B116" s="1" t="s">
        <v>488</v>
      </c>
      <c r="C116" s="148" t="s">
        <v>489</v>
      </c>
      <c r="D116" s="149"/>
      <c r="E116" s="94"/>
    </row>
    <row r="118" spans="2:5" ht="18" customHeight="1" x14ac:dyDescent="0.25">
      <c r="B118" s="150" t="s">
        <v>490</v>
      </c>
      <c r="C118" s="149"/>
      <c r="D118" s="149"/>
      <c r="E118" s="149"/>
    </row>
    <row r="119" spans="2:5" ht="27" customHeight="1" x14ac:dyDescent="0.25">
      <c r="B119" s="1" t="s">
        <v>491</v>
      </c>
      <c r="C119" s="148" t="s">
        <v>492</v>
      </c>
      <c r="D119" s="149"/>
      <c r="E119" s="94"/>
    </row>
    <row r="120" spans="2:5" ht="13.5" customHeight="1" x14ac:dyDescent="0.25">
      <c r="B120" s="1" t="s">
        <v>493</v>
      </c>
      <c r="C120" s="148" t="s">
        <v>494</v>
      </c>
      <c r="D120" s="149"/>
      <c r="E120" s="94"/>
    </row>
    <row r="121" spans="2:5" ht="27" customHeight="1" x14ac:dyDescent="0.25">
      <c r="B121" s="1" t="s">
        <v>495</v>
      </c>
      <c r="C121" s="148" t="s">
        <v>496</v>
      </c>
      <c r="D121" s="149"/>
      <c r="E121" s="94"/>
    </row>
    <row r="122" spans="2:5" ht="13.5" customHeight="1" x14ac:dyDescent="0.25">
      <c r="B122" s="1" t="s">
        <v>497</v>
      </c>
      <c r="C122" s="148" t="s">
        <v>498</v>
      </c>
      <c r="D122" s="149"/>
      <c r="E122" s="94"/>
    </row>
    <row r="123" spans="2:5" ht="27" customHeight="1" x14ac:dyDescent="0.25">
      <c r="B123" s="1" t="s">
        <v>499</v>
      </c>
      <c r="C123" s="148" t="s">
        <v>500</v>
      </c>
      <c r="D123" s="149"/>
      <c r="E123" s="94"/>
    </row>
    <row r="124" spans="2:5" ht="27" customHeight="1" x14ac:dyDescent="0.25">
      <c r="B124" s="1" t="s">
        <v>501</v>
      </c>
      <c r="C124" s="148" t="s">
        <v>502</v>
      </c>
      <c r="D124" s="149"/>
      <c r="E124" s="94"/>
    </row>
    <row r="125" spans="2:5" ht="13.5" customHeight="1" x14ac:dyDescent="0.25">
      <c r="B125" s="1" t="s">
        <v>503</v>
      </c>
      <c r="C125" s="148" t="s">
        <v>504</v>
      </c>
      <c r="D125" s="149"/>
      <c r="E125" s="94"/>
    </row>
    <row r="126" spans="2:5" ht="27" customHeight="1" x14ac:dyDescent="0.25">
      <c r="B126" s="1" t="s">
        <v>505</v>
      </c>
      <c r="C126" s="148" t="s">
        <v>506</v>
      </c>
      <c r="D126" s="149"/>
      <c r="E126" s="94"/>
    </row>
    <row r="127" spans="2:5" ht="13.5" customHeight="1" x14ac:dyDescent="0.25">
      <c r="B127" s="1" t="s">
        <v>507</v>
      </c>
      <c r="C127" s="148" t="s">
        <v>508</v>
      </c>
      <c r="D127" s="149"/>
      <c r="E127" s="94"/>
    </row>
    <row r="128" spans="2:5" ht="13.5" customHeight="1" x14ac:dyDescent="0.25">
      <c r="B128" s="1" t="s">
        <v>509</v>
      </c>
      <c r="C128" s="148" t="s">
        <v>510</v>
      </c>
      <c r="D128" s="149"/>
      <c r="E128" s="94"/>
    </row>
    <row r="129" spans="2:5" ht="13.5" customHeight="1" x14ac:dyDescent="0.25">
      <c r="B129" s="1" t="s">
        <v>511</v>
      </c>
      <c r="C129" s="148" t="s">
        <v>512</v>
      </c>
      <c r="D129" s="149"/>
      <c r="E129" s="94"/>
    </row>
    <row r="130" spans="2:5" ht="27" customHeight="1" x14ac:dyDescent="0.25">
      <c r="B130" s="1" t="s">
        <v>513</v>
      </c>
      <c r="C130" s="148" t="s">
        <v>514</v>
      </c>
      <c r="D130" s="149"/>
      <c r="E130" s="94"/>
    </row>
    <row r="131" spans="2:5" ht="13.5" customHeight="1" x14ac:dyDescent="0.25">
      <c r="B131" s="1" t="s">
        <v>515</v>
      </c>
      <c r="C131" s="148" t="s">
        <v>516</v>
      </c>
      <c r="D131" s="149"/>
      <c r="E131" s="94"/>
    </row>
    <row r="132" spans="2:5" ht="13.5" customHeight="1" x14ac:dyDescent="0.25">
      <c r="B132" s="1" t="s">
        <v>517</v>
      </c>
      <c r="C132" s="148" t="s">
        <v>518</v>
      </c>
      <c r="D132" s="149"/>
      <c r="E132" s="94"/>
    </row>
  </sheetData>
  <mergeCells count="110">
    <mergeCell ref="C130:D130"/>
    <mergeCell ref="C53:E53"/>
    <mergeCell ref="C122:D122"/>
    <mergeCell ref="C58:E58"/>
    <mergeCell ref="C72:D72"/>
    <mergeCell ref="C45:E45"/>
    <mergeCell ref="C81:D81"/>
    <mergeCell ref="H4:M4"/>
    <mergeCell ref="C96:D96"/>
    <mergeCell ref="C78:D78"/>
    <mergeCell ref="C87:D87"/>
    <mergeCell ref="C47:E47"/>
    <mergeCell ref="H2:M2"/>
    <mergeCell ref="B94:E94"/>
    <mergeCell ref="B4:E4"/>
    <mergeCell ref="C16:D16"/>
    <mergeCell ref="C103:D103"/>
    <mergeCell ref="C99:D99"/>
    <mergeCell ref="C9:D9"/>
    <mergeCell ref="H3:M3"/>
    <mergeCell ref="C115:D115"/>
    <mergeCell ref="H1:M1"/>
    <mergeCell ref="C82:D82"/>
    <mergeCell ref="B37:E37"/>
    <mergeCell ref="C63:E63"/>
    <mergeCell ref="B84:E84"/>
    <mergeCell ref="C77:D77"/>
    <mergeCell ref="C86:D86"/>
    <mergeCell ref="B118:E118"/>
    <mergeCell ref="C68:D68"/>
    <mergeCell ref="C55:E55"/>
    <mergeCell ref="C108:D108"/>
    <mergeCell ref="C113:D113"/>
    <mergeCell ref="C85:D85"/>
    <mergeCell ref="C100:D100"/>
    <mergeCell ref="C112:D112"/>
    <mergeCell ref="C80:D80"/>
    <mergeCell ref="C114:D114"/>
    <mergeCell ref="B56:E56"/>
    <mergeCell ref="A2:E2"/>
    <mergeCell ref="H5:M5"/>
    <mergeCell ref="C95:D95"/>
    <mergeCell ref="C70:D70"/>
    <mergeCell ref="C106:D106"/>
    <mergeCell ref="C62:E62"/>
    <mergeCell ref="C124:D124"/>
    <mergeCell ref="B66:E66"/>
    <mergeCell ref="B18:E18"/>
    <mergeCell ref="C90:D90"/>
    <mergeCell ref="C13:E13"/>
    <mergeCell ref="C71:D71"/>
    <mergeCell ref="C123:D123"/>
    <mergeCell ref="B11:E11"/>
    <mergeCell ref="C132:D132"/>
    <mergeCell ref="C15:E15"/>
    <mergeCell ref="C91:D91"/>
    <mergeCell ref="C128:D128"/>
    <mergeCell ref="C127:D127"/>
    <mergeCell ref="C129:D129"/>
    <mergeCell ref="C14:E14"/>
    <mergeCell ref="C125:D125"/>
    <mergeCell ref="B44:E44"/>
    <mergeCell ref="C131:D131"/>
    <mergeCell ref="C54:E54"/>
    <mergeCell ref="C41:E41"/>
    <mergeCell ref="C104:D104"/>
    <mergeCell ref="C74:D74"/>
    <mergeCell ref="C126:D126"/>
    <mergeCell ref="C88:D88"/>
    <mergeCell ref="C121:D121"/>
    <mergeCell ref="C105:D105"/>
    <mergeCell ref="B102:E102"/>
    <mergeCell ref="C57:E57"/>
    <mergeCell ref="C120:D120"/>
    <mergeCell ref="C49:E49"/>
    <mergeCell ref="C119:D119"/>
    <mergeCell ref="C42:E42"/>
    <mergeCell ref="C67:D67"/>
    <mergeCell ref="C111:D111"/>
    <mergeCell ref="C69:D69"/>
    <mergeCell ref="C92:D92"/>
    <mergeCell ref="C97:D97"/>
    <mergeCell ref="C59:E59"/>
    <mergeCell ref="C46:E46"/>
    <mergeCell ref="B50:E50"/>
    <mergeCell ref="C52:E52"/>
    <mergeCell ref="C61:E61"/>
    <mergeCell ref="C48:E48"/>
    <mergeCell ref="C43:E43"/>
    <mergeCell ref="C6:D6"/>
    <mergeCell ref="B65:E65"/>
    <mergeCell ref="C98:D98"/>
    <mergeCell ref="C40:E40"/>
    <mergeCell ref="C107:D107"/>
    <mergeCell ref="C89:D89"/>
    <mergeCell ref="A1:E1"/>
    <mergeCell ref="C116:D116"/>
    <mergeCell ref="C79:D79"/>
    <mergeCell ref="B36:E36"/>
    <mergeCell ref="C51:E51"/>
    <mergeCell ref="C73:D73"/>
    <mergeCell ref="B76:E76"/>
    <mergeCell ref="C60:E60"/>
    <mergeCell ref="B110:E110"/>
    <mergeCell ref="B38:E38"/>
    <mergeCell ref="C5:D5"/>
    <mergeCell ref="C12:E12"/>
    <mergeCell ref="C39:E39"/>
    <mergeCell ref="C8:D8"/>
    <mergeCell ref="C7:D7"/>
  </mergeCells>
  <printOptions horizontalCentered="1"/>
  <pageMargins left="0.3" right="0.3" top="0.5" bottom="0.5" header="0.5" footer="0.5"/>
  <pageSetup paperSize="9" fitToHeight="0" orientation="portrait"/>
  <headerFooter>
    <oddFooter>&amp;L&amp;8 WCR Saneamento — Controle Operacional SABESP&amp;R&amp;8 Página &amp;P de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73"/>
  <sheetViews>
    <sheetView workbookViewId="0">
      <pane xSplit="1" ySplit="3" topLeftCell="B4" activePane="bottomRight" state="frozen"/>
      <selection pane="topRight"/>
      <selection pane="bottomLeft"/>
      <selection pane="bottomRight" sqref="A1:N1"/>
    </sheetView>
  </sheetViews>
  <sheetFormatPr defaultRowHeight="15" x14ac:dyDescent="0.25"/>
  <cols>
    <col min="1" max="1" width="16" style="109" customWidth="1"/>
    <col min="2" max="2" width="40" style="109" customWidth="1"/>
    <col min="3" max="4" width="22" style="109" customWidth="1"/>
    <col min="5" max="5" width="20" style="109" customWidth="1"/>
    <col min="6" max="6" width="52" style="109" customWidth="1"/>
    <col min="7" max="7" width="22" style="109" customWidth="1"/>
    <col min="8" max="8" width="16" style="109" customWidth="1"/>
    <col min="9" max="9" width="18" style="109" customWidth="1"/>
    <col min="10" max="10" width="34" style="109" customWidth="1"/>
    <col min="11" max="11" width="23" style="109" customWidth="1"/>
    <col min="12" max="12" width="19" style="109" customWidth="1"/>
    <col min="13" max="13" width="28" style="109" customWidth="1"/>
    <col min="14" max="14" width="30" style="109" customWidth="1"/>
    <col min="15" max="15" width="33" style="109" customWidth="1"/>
    <col min="16" max="16" width="24" style="109" customWidth="1"/>
    <col min="17" max="20" width="16" style="109" customWidth="1"/>
    <col min="21" max="21" width="22" style="109" customWidth="1"/>
    <col min="22" max="22" width="34" style="109" customWidth="1"/>
    <col min="23" max="25" width="16" style="109" customWidth="1"/>
    <col min="26" max="27" width="30" style="109" customWidth="1"/>
    <col min="28" max="33" width="10.42578125" style="109" customWidth="1"/>
  </cols>
  <sheetData>
    <row r="1" spans="1:33" ht="26.1" customHeight="1" x14ac:dyDescent="0.25">
      <c r="A1" s="151" t="s">
        <v>519</v>
      </c>
      <c r="B1" s="149"/>
      <c r="C1" s="149"/>
      <c r="D1" s="149"/>
      <c r="E1" s="149"/>
      <c r="F1" s="149"/>
      <c r="G1" s="149"/>
      <c r="H1" s="149"/>
      <c r="I1" s="149"/>
      <c r="J1" s="149"/>
      <c r="K1" s="149"/>
      <c r="L1" s="149"/>
      <c r="M1" s="149"/>
      <c r="N1" s="149"/>
      <c r="AB1" s="154" t="s">
        <v>280</v>
      </c>
      <c r="AC1" s="155"/>
      <c r="AD1" s="155"/>
      <c r="AE1" s="155"/>
      <c r="AF1" s="155"/>
      <c r="AG1" s="156"/>
    </row>
    <row r="2" spans="1:33" ht="14.1" customHeight="1" x14ac:dyDescent="0.25">
      <c r="A2" s="153" t="s">
        <v>520</v>
      </c>
      <c r="B2" s="149"/>
      <c r="C2" s="149"/>
      <c r="D2" s="149"/>
      <c r="E2" s="149"/>
      <c r="F2" s="149"/>
      <c r="G2" s="149"/>
      <c r="H2" s="149"/>
      <c r="I2" s="149"/>
      <c r="J2" s="149"/>
      <c r="K2" s="149"/>
      <c r="L2" s="149"/>
      <c r="M2" s="149"/>
      <c r="N2" s="149"/>
      <c r="AB2" s="158" t="s">
        <v>8</v>
      </c>
      <c r="AC2" s="155"/>
      <c r="AD2" s="155"/>
      <c r="AE2" s="155"/>
      <c r="AF2" s="155"/>
      <c r="AG2" s="156"/>
    </row>
    <row r="3" spans="1:33" x14ac:dyDescent="0.25">
      <c r="AB3" s="157" t="s">
        <v>9</v>
      </c>
      <c r="AC3" s="155"/>
      <c r="AD3" s="155"/>
      <c r="AE3" s="155"/>
      <c r="AF3" s="155"/>
      <c r="AG3" s="156"/>
    </row>
    <row r="4" spans="1:33" x14ac:dyDescent="0.25">
      <c r="A4" s="150" t="s">
        <v>521</v>
      </c>
      <c r="B4" s="149"/>
      <c r="C4" s="149"/>
      <c r="D4" s="149"/>
      <c r="E4" s="149"/>
      <c r="F4" s="149"/>
      <c r="AB4" s="157" t="s">
        <v>10</v>
      </c>
      <c r="AC4" s="155"/>
      <c r="AD4" s="155"/>
      <c r="AE4" s="155"/>
      <c r="AF4" s="155"/>
      <c r="AG4" s="156"/>
    </row>
    <row r="5" spans="1:33" x14ac:dyDescent="0.25">
      <c r="B5" s="93" t="s">
        <v>522</v>
      </c>
      <c r="C5" s="7" t="s">
        <v>523</v>
      </c>
      <c r="AB5" s="157" t="s">
        <v>11</v>
      </c>
      <c r="AC5" s="155"/>
      <c r="AD5" s="155"/>
      <c r="AE5" s="155"/>
      <c r="AF5" s="155"/>
      <c r="AG5" s="156"/>
    </row>
    <row r="6" spans="1:33" x14ac:dyDescent="0.25">
      <c r="B6" s="93" t="s">
        <v>524</v>
      </c>
      <c r="C6" s="7" t="s">
        <v>525</v>
      </c>
      <c r="AB6" s="157" t="s">
        <v>12</v>
      </c>
      <c r="AC6" s="155"/>
      <c r="AD6" s="155"/>
      <c r="AE6" s="155"/>
      <c r="AF6" s="155"/>
      <c r="AG6" s="156"/>
    </row>
    <row r="7" spans="1:33" x14ac:dyDescent="0.25">
      <c r="B7" s="93" t="s">
        <v>526</v>
      </c>
      <c r="C7" s="7" t="s">
        <v>527</v>
      </c>
      <c r="AB7" s="157" t="s">
        <v>13</v>
      </c>
      <c r="AC7" s="155"/>
      <c r="AD7" s="155"/>
      <c r="AE7" s="155"/>
      <c r="AF7" s="155"/>
      <c r="AG7" s="156"/>
    </row>
    <row r="8" spans="1:33" x14ac:dyDescent="0.25">
      <c r="B8" s="93" t="s">
        <v>528</v>
      </c>
      <c r="C8" s="7" t="s">
        <v>529</v>
      </c>
      <c r="AB8" s="157" t="s">
        <v>14</v>
      </c>
      <c r="AC8" s="155"/>
      <c r="AD8" s="155"/>
      <c r="AE8" s="155"/>
      <c r="AF8" s="155"/>
      <c r="AG8" s="156"/>
    </row>
    <row r="9" spans="1:33" ht="38.25" customHeight="1" x14ac:dyDescent="0.25">
      <c r="B9" s="93" t="s">
        <v>530</v>
      </c>
      <c r="C9" s="7" t="s">
        <v>531</v>
      </c>
      <c r="AB9" s="157" t="s">
        <v>15</v>
      </c>
      <c r="AC9" s="155"/>
      <c r="AD9" s="155"/>
      <c r="AE9" s="155"/>
      <c r="AF9" s="155"/>
      <c r="AG9" s="156"/>
    </row>
    <row r="10" spans="1:33" x14ac:dyDescent="0.25">
      <c r="B10" s="93" t="s">
        <v>532</v>
      </c>
      <c r="C10" s="7" t="s">
        <v>533</v>
      </c>
      <c r="AB10" s="157" t="s">
        <v>16</v>
      </c>
      <c r="AC10" s="155"/>
      <c r="AD10" s="155"/>
      <c r="AE10" s="155"/>
      <c r="AF10" s="155"/>
      <c r="AG10" s="156"/>
    </row>
    <row r="11" spans="1:33" ht="38.25" customHeight="1" x14ac:dyDescent="0.25">
      <c r="B11" s="93" t="s">
        <v>534</v>
      </c>
      <c r="C11" s="7" t="s">
        <v>535</v>
      </c>
      <c r="AB11" s="157" t="s">
        <v>17</v>
      </c>
      <c r="AC11" s="155"/>
      <c r="AD11" s="155"/>
      <c r="AE11" s="155"/>
      <c r="AF11" s="155"/>
      <c r="AG11" s="156"/>
    </row>
    <row r="12" spans="1:33" x14ac:dyDescent="0.25">
      <c r="B12" s="93" t="s">
        <v>536</v>
      </c>
      <c r="C12" s="9">
        <v>46265</v>
      </c>
      <c r="AB12" s="157" t="s">
        <v>18</v>
      </c>
      <c r="AC12" s="155"/>
      <c r="AD12" s="155"/>
      <c r="AE12" s="155"/>
      <c r="AF12" s="155"/>
      <c r="AG12" s="156"/>
    </row>
    <row r="13" spans="1:33" x14ac:dyDescent="0.25">
      <c r="B13" s="93" t="s">
        <v>537</v>
      </c>
      <c r="C13" s="9">
        <v>46266</v>
      </c>
      <c r="AB13" s="157" t="s">
        <v>19</v>
      </c>
      <c r="AC13" s="155"/>
      <c r="AD13" s="155"/>
      <c r="AE13" s="155"/>
      <c r="AF13" s="155"/>
      <c r="AG13" s="156"/>
    </row>
    <row r="14" spans="1:33" x14ac:dyDescent="0.25">
      <c r="AB14" s="157" t="s">
        <v>20</v>
      </c>
      <c r="AC14" s="155"/>
      <c r="AD14" s="155"/>
      <c r="AE14" s="155"/>
      <c r="AF14" s="155"/>
      <c r="AG14" s="156"/>
    </row>
    <row r="15" spans="1:33" x14ac:dyDescent="0.25">
      <c r="A15" s="150" t="s">
        <v>538</v>
      </c>
      <c r="B15" s="149"/>
      <c r="C15" s="149"/>
      <c r="D15" s="149"/>
      <c r="E15" s="149"/>
      <c r="F15" s="149"/>
      <c r="AB15" s="157" t="s">
        <v>21</v>
      </c>
      <c r="AC15" s="155"/>
      <c r="AD15" s="155"/>
      <c r="AE15" s="155"/>
      <c r="AF15" s="155"/>
      <c r="AG15" s="156"/>
    </row>
    <row r="16" spans="1:33" ht="36" customHeight="1" x14ac:dyDescent="0.25">
      <c r="B16" s="93" t="s">
        <v>539</v>
      </c>
      <c r="C16" s="47">
        <f>'01A. BANCO DE CUSTOS'!$C$47</f>
        <v>0.22</v>
      </c>
      <c r="D16" s="94" t="s">
        <v>540</v>
      </c>
      <c r="AB16" s="159" t="s">
        <v>22</v>
      </c>
      <c r="AC16" s="155"/>
      <c r="AD16" s="155"/>
      <c r="AE16" s="155"/>
      <c r="AF16" s="155"/>
      <c r="AG16" s="156"/>
    </row>
    <row r="17" spans="1:8" ht="36" customHeight="1" x14ac:dyDescent="0.25">
      <c r="B17" s="93" t="s">
        <v>541</v>
      </c>
      <c r="C17" s="48">
        <v>0</v>
      </c>
      <c r="D17" s="94" t="s">
        <v>542</v>
      </c>
    </row>
    <row r="18" spans="1:8" ht="48" customHeight="1" x14ac:dyDescent="0.25">
      <c r="B18" s="93" t="s">
        <v>543</v>
      </c>
      <c r="C18" s="10">
        <v>30</v>
      </c>
      <c r="D18" s="94" t="s">
        <v>544</v>
      </c>
    </row>
    <row r="19" spans="1:8" ht="24" customHeight="1" x14ac:dyDescent="0.25">
      <c r="B19" s="93" t="s">
        <v>545</v>
      </c>
      <c r="C19" s="10">
        <v>20</v>
      </c>
      <c r="D19" s="94" t="s">
        <v>546</v>
      </c>
    </row>
    <row r="20" spans="1:8" ht="24" customHeight="1" x14ac:dyDescent="0.25">
      <c r="B20" s="93" t="s">
        <v>547</v>
      </c>
      <c r="C20" s="10">
        <v>22</v>
      </c>
      <c r="D20" s="94" t="s">
        <v>548</v>
      </c>
    </row>
    <row r="21" spans="1:8" ht="24" customHeight="1" x14ac:dyDescent="0.25">
      <c r="B21" s="93" t="s">
        <v>549</v>
      </c>
      <c r="C21" s="49">
        <v>8.8000000000000007</v>
      </c>
      <c r="D21" s="94" t="s">
        <v>550</v>
      </c>
    </row>
    <row r="22" spans="1:8" ht="36" customHeight="1" x14ac:dyDescent="0.25">
      <c r="B22" s="93" t="s">
        <v>551</v>
      </c>
      <c r="C22" s="10">
        <v>5</v>
      </c>
      <c r="D22" s="94" t="s">
        <v>552</v>
      </c>
    </row>
    <row r="23" spans="1:8" ht="36" customHeight="1" x14ac:dyDescent="0.25">
      <c r="B23" s="93" t="s">
        <v>553</v>
      </c>
      <c r="C23" s="10">
        <v>2</v>
      </c>
      <c r="D23" s="94" t="s">
        <v>554</v>
      </c>
    </row>
    <row r="24" spans="1:8" ht="48" customHeight="1" x14ac:dyDescent="0.25">
      <c r="B24" s="93" t="s">
        <v>555</v>
      </c>
      <c r="C24" s="11">
        <f>SUMPRODUCT((COUNTIFS(EQP_CONTR,"BERTIOGA",EQP_ATIVO,"SIM",EQP_EQUIPE,{"BER-A";"BER-B";"BER-C";"BER-D"})&gt;0)*1)</f>
        <v>4</v>
      </c>
      <c r="D24" s="94" t="s">
        <v>556</v>
      </c>
    </row>
    <row r="25" spans="1:8" ht="48" customHeight="1" x14ac:dyDescent="0.25">
      <c r="B25" s="93" t="s">
        <v>557</v>
      </c>
      <c r="C25" s="11">
        <f>SUMPRODUCT((COUNTIFS(EQP_CONTR,"SANTOS",EQP_ATIVO,"SIM",EQP_EQUIPE,{"SAN-A";"SAN-B";"SAN-C";"SAN-D"})&gt;0)*1)</f>
        <v>4</v>
      </c>
      <c r="D25" s="94" t="s">
        <v>556</v>
      </c>
    </row>
    <row r="27" spans="1:8" x14ac:dyDescent="0.25">
      <c r="A27" s="150" t="s">
        <v>558</v>
      </c>
      <c r="B27" s="149"/>
      <c r="C27" s="149"/>
      <c r="D27" s="149"/>
      <c r="E27" s="149"/>
      <c r="F27" s="149"/>
      <c r="G27" s="149"/>
      <c r="H27" s="149"/>
    </row>
    <row r="28" spans="1:8" x14ac:dyDescent="0.25">
      <c r="A28" s="46"/>
      <c r="B28" s="46" t="s">
        <v>559</v>
      </c>
      <c r="C28" s="46" t="s">
        <v>529</v>
      </c>
      <c r="D28" s="46" t="s">
        <v>533</v>
      </c>
      <c r="E28" s="46" t="s">
        <v>560</v>
      </c>
      <c r="F28" s="46" t="s">
        <v>561</v>
      </c>
    </row>
    <row r="29" spans="1:8" ht="24" customHeight="1" x14ac:dyDescent="0.25">
      <c r="B29" s="93" t="s">
        <v>562</v>
      </c>
      <c r="C29" s="50">
        <f>'01A. BANCO DE CUSTOS'!$E$16</f>
        <v>230982.81</v>
      </c>
      <c r="D29" s="50">
        <f>'01A. BANCO DE CUSTOS'!$E$30</f>
        <v>273163.83999999997</v>
      </c>
      <c r="E29" s="12" t="s">
        <v>563</v>
      </c>
      <c r="F29" s="94" t="s">
        <v>564</v>
      </c>
    </row>
    <row r="30" spans="1:8" x14ac:dyDescent="0.25">
      <c r="B30" s="93" t="s">
        <v>565</v>
      </c>
      <c r="C30" s="51">
        <f>C29/$C$20</f>
        <v>10499.218636363636</v>
      </c>
      <c r="D30" s="51">
        <f>D29/$C$20</f>
        <v>12416.53818181818</v>
      </c>
      <c r="E30" s="12" t="s">
        <v>566</v>
      </c>
      <c r="F30" s="94" t="s">
        <v>567</v>
      </c>
    </row>
    <row r="31" spans="1:8" x14ac:dyDescent="0.25">
      <c r="B31" s="93" t="s">
        <v>568</v>
      </c>
      <c r="C31" s="51">
        <f>C30/$C$24</f>
        <v>2624.8046590909089</v>
      </c>
      <c r="D31" s="51">
        <f>D30/$C$25</f>
        <v>3104.1345454545449</v>
      </c>
      <c r="E31" s="12" t="s">
        <v>566</v>
      </c>
      <c r="F31" s="94" t="s">
        <v>569</v>
      </c>
    </row>
    <row r="32" spans="1:8" ht="24" customHeight="1" x14ac:dyDescent="0.25">
      <c r="B32" s="93" t="s">
        <v>570</v>
      </c>
      <c r="C32" s="50">
        <f>'01B. CARTEIRA E TICKET'!$H$34</f>
        <v>317.49648148148145</v>
      </c>
      <c r="D32" s="50">
        <f>'01B. CARTEIRA E TICKET'!$H$66</f>
        <v>1338.83</v>
      </c>
      <c r="E32" s="12" t="s">
        <v>571</v>
      </c>
      <c r="F32" s="94" t="s">
        <v>572</v>
      </c>
    </row>
    <row r="33" spans="1:27" ht="24" customHeight="1" x14ac:dyDescent="0.25">
      <c r="B33" s="93" t="s">
        <v>573</v>
      </c>
      <c r="C33" s="48">
        <v>0.2</v>
      </c>
      <c r="D33" s="48">
        <v>0.2</v>
      </c>
      <c r="E33" s="12" t="s">
        <v>574</v>
      </c>
      <c r="F33" s="94" t="s">
        <v>575</v>
      </c>
    </row>
    <row r="34" spans="1:27" x14ac:dyDescent="0.25">
      <c r="B34" s="93" t="s">
        <v>576</v>
      </c>
      <c r="C34" s="51">
        <f>C29*(1+C33)/(1-$C$16)</f>
        <v>355358.16923076921</v>
      </c>
      <c r="D34" s="51">
        <f>D29*(1+D33)/(1-$C$16)</f>
        <v>420252.06153846148</v>
      </c>
      <c r="E34" s="12" t="s">
        <v>563</v>
      </c>
      <c r="F34" s="94" t="s">
        <v>577</v>
      </c>
    </row>
    <row r="35" spans="1:27" x14ac:dyDescent="0.25">
      <c r="B35" s="93" t="s">
        <v>578</v>
      </c>
      <c r="C35" s="13">
        <f>C34/C32</f>
        <v>1119.2507317643963</v>
      </c>
      <c r="D35" s="13">
        <f>D34/D32</f>
        <v>313.89501395880097</v>
      </c>
      <c r="E35" s="12" t="s">
        <v>579</v>
      </c>
      <c r="F35" s="94" t="s">
        <v>580</v>
      </c>
    </row>
    <row r="36" spans="1:27" ht="24" customHeight="1" x14ac:dyDescent="0.25">
      <c r="B36" s="93" t="s">
        <v>581</v>
      </c>
      <c r="C36" s="52">
        <f>C35/$C$20</f>
        <v>50.875033262018015</v>
      </c>
      <c r="D36" s="52">
        <f>D35/$C$20</f>
        <v>14.267955179945499</v>
      </c>
      <c r="E36" s="12" t="s">
        <v>582</v>
      </c>
      <c r="F36" s="94" t="s">
        <v>583</v>
      </c>
    </row>
    <row r="37" spans="1:27" x14ac:dyDescent="0.25">
      <c r="B37" s="93" t="s">
        <v>584</v>
      </c>
      <c r="C37" s="52">
        <f>C36/$C$24</f>
        <v>12.718758315504504</v>
      </c>
      <c r="D37" s="52">
        <f>D36/$C$25</f>
        <v>3.5669887949863748</v>
      </c>
      <c r="E37" s="12" t="s">
        <v>582</v>
      </c>
      <c r="F37" s="94" t="s">
        <v>585</v>
      </c>
    </row>
    <row r="38" spans="1:27" x14ac:dyDescent="0.25">
      <c r="B38" s="93" t="s">
        <v>586</v>
      </c>
      <c r="C38" s="51">
        <f>C34/$C$20/$C$24</f>
        <v>4038.1610139860136</v>
      </c>
      <c r="D38" s="51">
        <f>D34/$C$20/$C$25</f>
        <v>4775.5916083916081</v>
      </c>
      <c r="E38" s="12" t="s">
        <v>566</v>
      </c>
      <c r="F38" s="94" t="s">
        <v>587</v>
      </c>
    </row>
    <row r="39" spans="1:27" x14ac:dyDescent="0.25">
      <c r="B39" s="93" t="s">
        <v>588</v>
      </c>
      <c r="C39" s="52">
        <f>C29/(1-$C$16)/C32/$C$20</f>
        <v>42.395861051681678</v>
      </c>
      <c r="D39" s="52">
        <f>D29/(1-$C$16)/D32/$C$20</f>
        <v>11.889962649954583</v>
      </c>
      <c r="E39" s="12" t="s">
        <v>582</v>
      </c>
      <c r="F39" s="94" t="s">
        <v>589</v>
      </c>
    </row>
    <row r="41" spans="1:27" x14ac:dyDescent="0.25">
      <c r="A41" s="150" t="s">
        <v>590</v>
      </c>
      <c r="B41" s="149"/>
      <c r="C41" s="149"/>
      <c r="D41" s="149"/>
      <c r="E41" s="149"/>
      <c r="F41" s="149"/>
      <c r="G41" s="149"/>
      <c r="H41" s="149"/>
      <c r="I41" s="149"/>
      <c r="J41" s="149"/>
      <c r="K41" s="149"/>
      <c r="L41" s="149"/>
      <c r="M41" s="149"/>
      <c r="N41" s="149"/>
    </row>
    <row r="43" spans="1:27" x14ac:dyDescent="0.25">
      <c r="A43" s="46" t="s">
        <v>591</v>
      </c>
      <c r="B43" s="46" t="s">
        <v>592</v>
      </c>
      <c r="C43" s="46" t="s">
        <v>593</v>
      </c>
      <c r="D43" s="46" t="s">
        <v>594</v>
      </c>
      <c r="E43" s="46" t="s">
        <v>595</v>
      </c>
      <c r="F43" s="46" t="s">
        <v>596</v>
      </c>
      <c r="G43" s="46" t="s">
        <v>597</v>
      </c>
      <c r="H43" s="46" t="s">
        <v>598</v>
      </c>
      <c r="I43" s="46" t="s">
        <v>599</v>
      </c>
      <c r="J43" s="46" t="s">
        <v>600</v>
      </c>
      <c r="K43" s="46" t="s">
        <v>601</v>
      </c>
      <c r="L43" s="46" t="s">
        <v>602</v>
      </c>
      <c r="M43" s="46" t="s">
        <v>603</v>
      </c>
      <c r="N43" s="46" t="s">
        <v>604</v>
      </c>
      <c r="O43" s="46" t="s">
        <v>605</v>
      </c>
      <c r="P43" s="46" t="s">
        <v>606</v>
      </c>
      <c r="Q43" s="46" t="s">
        <v>607</v>
      </c>
      <c r="R43" s="46" t="s">
        <v>608</v>
      </c>
      <c r="S43" s="46" t="s">
        <v>609</v>
      </c>
      <c r="T43" s="46" t="s">
        <v>610</v>
      </c>
      <c r="U43" s="46" t="s">
        <v>611</v>
      </c>
      <c r="V43" s="46" t="s">
        <v>612</v>
      </c>
      <c r="W43" s="46" t="s">
        <v>613</v>
      </c>
      <c r="X43" s="46" t="s">
        <v>614</v>
      </c>
      <c r="Y43" s="46" t="s">
        <v>615</v>
      </c>
      <c r="Z43" s="128" t="s">
        <v>616</v>
      </c>
      <c r="AA43" s="128" t="s">
        <v>617</v>
      </c>
    </row>
    <row r="44" spans="1:27" ht="25.5" customHeight="1" x14ac:dyDescent="0.25">
      <c r="A44" s="43" t="s">
        <v>529</v>
      </c>
      <c r="B44" s="43" t="s">
        <v>618</v>
      </c>
      <c r="C44" s="43" t="s">
        <v>619</v>
      </c>
      <c r="D44" s="43" t="s">
        <v>620</v>
      </c>
      <c r="E44" s="43" t="s">
        <v>621</v>
      </c>
      <c r="F44" s="43" t="s">
        <v>622</v>
      </c>
      <c r="G44" s="43" t="s">
        <v>623</v>
      </c>
      <c r="H44" s="43" t="s">
        <v>624</v>
      </c>
      <c r="I44" s="43" t="s">
        <v>625</v>
      </c>
      <c r="J44" s="43" t="s">
        <v>626</v>
      </c>
      <c r="K44" s="43" t="s">
        <v>627</v>
      </c>
      <c r="L44" s="43" t="s">
        <v>628</v>
      </c>
      <c r="M44" s="43" t="s">
        <v>629</v>
      </c>
      <c r="N44" s="43" t="s">
        <v>630</v>
      </c>
      <c r="O44" s="43" t="s">
        <v>631</v>
      </c>
      <c r="P44" s="43" t="s">
        <v>632</v>
      </c>
      <c r="Q44" s="43" t="s">
        <v>633</v>
      </c>
      <c r="R44" s="43" t="s">
        <v>634</v>
      </c>
      <c r="S44" s="43" t="s">
        <v>634</v>
      </c>
      <c r="T44" s="43" t="s">
        <v>635</v>
      </c>
      <c r="U44" s="43" t="s">
        <v>636</v>
      </c>
      <c r="V44" s="43" t="s">
        <v>637</v>
      </c>
      <c r="W44" s="43" t="s">
        <v>638</v>
      </c>
      <c r="X44" s="43" t="s">
        <v>623</v>
      </c>
      <c r="Y44" s="43" t="s">
        <v>639</v>
      </c>
      <c r="Z44" s="129" t="s">
        <v>626</v>
      </c>
      <c r="AA44" s="129" t="s">
        <v>640</v>
      </c>
    </row>
    <row r="45" spans="1:27" ht="25.5" customHeight="1" x14ac:dyDescent="0.25">
      <c r="A45" s="43" t="s">
        <v>533</v>
      </c>
      <c r="B45" s="43" t="s">
        <v>641</v>
      </c>
      <c r="C45" s="43" t="s">
        <v>642</v>
      </c>
      <c r="D45" s="43" t="s">
        <v>643</v>
      </c>
      <c r="E45" s="43" t="s">
        <v>622</v>
      </c>
      <c r="F45" s="43" t="s">
        <v>644</v>
      </c>
      <c r="G45" s="43" t="s">
        <v>645</v>
      </c>
      <c r="H45" s="43" t="s">
        <v>646</v>
      </c>
      <c r="I45" s="43" t="s">
        <v>647</v>
      </c>
      <c r="J45" s="43" t="s">
        <v>648</v>
      </c>
      <c r="K45" s="43" t="s">
        <v>649</v>
      </c>
      <c r="L45" s="43" t="s">
        <v>650</v>
      </c>
      <c r="M45" s="43" t="s">
        <v>651</v>
      </c>
      <c r="N45" s="43" t="s">
        <v>652</v>
      </c>
      <c r="O45" s="43" t="s">
        <v>653</v>
      </c>
      <c r="P45" s="43" t="s">
        <v>654</v>
      </c>
      <c r="Q45" s="43" t="s">
        <v>655</v>
      </c>
      <c r="R45" s="43" t="s">
        <v>656</v>
      </c>
      <c r="S45" s="43" t="s">
        <v>656</v>
      </c>
      <c r="T45" s="43" t="s">
        <v>657</v>
      </c>
      <c r="U45" s="43" t="s">
        <v>658</v>
      </c>
      <c r="V45" s="43" t="s">
        <v>659</v>
      </c>
      <c r="W45" s="43" t="s">
        <v>660</v>
      </c>
      <c r="X45" s="43" t="s">
        <v>661</v>
      </c>
      <c r="Y45" s="43" t="s">
        <v>662</v>
      </c>
      <c r="Z45" s="129" t="s">
        <v>648</v>
      </c>
      <c r="AA45" s="129" t="s">
        <v>663</v>
      </c>
    </row>
    <row r="46" spans="1:27" ht="25.5" customHeight="1" x14ac:dyDescent="0.25">
      <c r="B46" s="43" t="s">
        <v>664</v>
      </c>
      <c r="C46" s="43" t="s">
        <v>639</v>
      </c>
      <c r="D46" s="43" t="s">
        <v>665</v>
      </c>
      <c r="E46" s="43" t="s">
        <v>645</v>
      </c>
      <c r="F46" s="43" t="s">
        <v>666</v>
      </c>
      <c r="G46" s="43" t="s">
        <v>667</v>
      </c>
      <c r="H46" s="43" t="s">
        <v>668</v>
      </c>
      <c r="I46" s="43" t="s">
        <v>668</v>
      </c>
      <c r="J46" s="43" t="s">
        <v>669</v>
      </c>
      <c r="K46" s="43" t="s">
        <v>670</v>
      </c>
      <c r="L46" s="43" t="s">
        <v>671</v>
      </c>
      <c r="M46" s="43" t="s">
        <v>672</v>
      </c>
      <c r="N46" s="43" t="s">
        <v>673</v>
      </c>
      <c r="O46" s="43" t="s">
        <v>674</v>
      </c>
      <c r="P46" s="43" t="s">
        <v>675</v>
      </c>
      <c r="Q46" s="43" t="s">
        <v>676</v>
      </c>
      <c r="S46" s="43" t="s">
        <v>677</v>
      </c>
      <c r="T46" s="43" t="s">
        <v>678</v>
      </c>
      <c r="U46" s="43" t="s">
        <v>679</v>
      </c>
      <c r="V46" s="43" t="s">
        <v>680</v>
      </c>
      <c r="W46" s="43" t="s">
        <v>681</v>
      </c>
      <c r="X46" s="43" t="s">
        <v>682</v>
      </c>
      <c r="Y46" s="43" t="s">
        <v>683</v>
      </c>
      <c r="Z46" s="129" t="s">
        <v>684</v>
      </c>
      <c r="AA46" s="129" t="s">
        <v>685</v>
      </c>
    </row>
    <row r="47" spans="1:27" ht="25.5" customHeight="1" x14ac:dyDescent="0.25">
      <c r="B47" s="43" t="s">
        <v>686</v>
      </c>
      <c r="C47" s="43" t="s">
        <v>687</v>
      </c>
      <c r="D47" s="43" t="s">
        <v>688</v>
      </c>
      <c r="E47" s="43" t="s">
        <v>644</v>
      </c>
      <c r="F47" s="43" t="s">
        <v>689</v>
      </c>
      <c r="G47" s="43" t="s">
        <v>690</v>
      </c>
      <c r="H47" s="43" t="s">
        <v>691</v>
      </c>
      <c r="I47" s="43" t="s">
        <v>691</v>
      </c>
      <c r="J47" s="43" t="s">
        <v>649</v>
      </c>
      <c r="K47" s="43" t="s">
        <v>626</v>
      </c>
      <c r="L47" s="43" t="s">
        <v>692</v>
      </c>
      <c r="M47" s="43" t="s">
        <v>693</v>
      </c>
      <c r="N47" s="43" t="s">
        <v>694</v>
      </c>
      <c r="O47" s="43" t="s">
        <v>695</v>
      </c>
      <c r="P47" s="43" t="s">
        <v>696</v>
      </c>
      <c r="Q47" s="43" t="s">
        <v>697</v>
      </c>
      <c r="S47" s="43" t="s">
        <v>698</v>
      </c>
      <c r="T47" s="43" t="s">
        <v>699</v>
      </c>
      <c r="U47" s="43" t="s">
        <v>700</v>
      </c>
      <c r="V47" s="43" t="s">
        <v>701</v>
      </c>
      <c r="W47" s="43" t="s">
        <v>702</v>
      </c>
      <c r="X47" s="43" t="s">
        <v>703</v>
      </c>
      <c r="Y47" s="43" t="s">
        <v>704</v>
      </c>
      <c r="Z47" s="129" t="s">
        <v>705</v>
      </c>
      <c r="AA47" s="129" t="s">
        <v>706</v>
      </c>
    </row>
    <row r="48" spans="1:27" x14ac:dyDescent="0.25">
      <c r="B48" s="43" t="s">
        <v>707</v>
      </c>
      <c r="D48" s="43" t="s">
        <v>708</v>
      </c>
      <c r="E48" s="43" t="s">
        <v>709</v>
      </c>
      <c r="F48" s="43" t="s">
        <v>710</v>
      </c>
      <c r="G48" s="43" t="s">
        <v>711</v>
      </c>
      <c r="H48" s="43" t="s">
        <v>712</v>
      </c>
      <c r="I48" s="43" t="s">
        <v>713</v>
      </c>
      <c r="J48" s="43" t="s">
        <v>714</v>
      </c>
      <c r="K48" s="43" t="s">
        <v>715</v>
      </c>
      <c r="L48" s="43" t="s">
        <v>716</v>
      </c>
      <c r="M48" s="43" t="s">
        <v>717</v>
      </c>
      <c r="N48" s="43" t="s">
        <v>718</v>
      </c>
      <c r="O48" s="43" t="s">
        <v>719</v>
      </c>
      <c r="P48" s="43" t="s">
        <v>720</v>
      </c>
      <c r="Q48" s="43" t="s">
        <v>721</v>
      </c>
      <c r="T48" s="43" t="s">
        <v>722</v>
      </c>
      <c r="V48" s="43" t="s">
        <v>723</v>
      </c>
      <c r="Y48" s="43" t="s">
        <v>724</v>
      </c>
      <c r="Z48" s="129" t="s">
        <v>725</v>
      </c>
      <c r="AA48" s="129" t="s">
        <v>726</v>
      </c>
    </row>
    <row r="49" spans="2:27" x14ac:dyDescent="0.25">
      <c r="B49" s="43" t="s">
        <v>727</v>
      </c>
      <c r="D49" s="43" t="s">
        <v>728</v>
      </c>
      <c r="E49" s="43" t="s">
        <v>710</v>
      </c>
      <c r="G49" s="43" t="s">
        <v>646</v>
      </c>
      <c r="H49" s="43" t="s">
        <v>729</v>
      </c>
      <c r="I49" s="43" t="s">
        <v>730</v>
      </c>
      <c r="J49" s="43" t="s">
        <v>731</v>
      </c>
      <c r="K49" s="43" t="s">
        <v>637</v>
      </c>
      <c r="L49" s="43" t="s">
        <v>732</v>
      </c>
      <c r="M49" s="43" t="s">
        <v>733</v>
      </c>
      <c r="N49" s="43" t="s">
        <v>734</v>
      </c>
      <c r="O49" s="43" t="s">
        <v>735</v>
      </c>
      <c r="P49" s="43" t="s">
        <v>736</v>
      </c>
      <c r="V49" s="43" t="s">
        <v>670</v>
      </c>
      <c r="Y49" s="43" t="s">
        <v>737</v>
      </c>
      <c r="Z49" s="129" t="s">
        <v>738</v>
      </c>
      <c r="AA49" s="129" t="s">
        <v>739</v>
      </c>
    </row>
    <row r="50" spans="2:27" x14ac:dyDescent="0.25">
      <c r="B50" s="43" t="s">
        <v>740</v>
      </c>
      <c r="D50" s="43" t="s">
        <v>741</v>
      </c>
      <c r="E50" s="43" t="s">
        <v>742</v>
      </c>
      <c r="G50" s="43" t="s">
        <v>703</v>
      </c>
      <c r="H50" s="43" t="s">
        <v>743</v>
      </c>
      <c r="I50" s="43" t="s">
        <v>744</v>
      </c>
      <c r="J50" s="43" t="s">
        <v>680</v>
      </c>
      <c r="K50" s="43" t="s">
        <v>745</v>
      </c>
      <c r="L50" s="43" t="s">
        <v>746</v>
      </c>
      <c r="M50" s="43" t="s">
        <v>747</v>
      </c>
      <c r="N50" s="43" t="s">
        <v>748</v>
      </c>
      <c r="O50" s="43" t="s">
        <v>749</v>
      </c>
      <c r="P50" s="43" t="s">
        <v>750</v>
      </c>
      <c r="V50" s="43" t="s">
        <v>626</v>
      </c>
      <c r="Z50" s="129" t="s">
        <v>751</v>
      </c>
      <c r="AA50" s="129" t="s">
        <v>752</v>
      </c>
    </row>
    <row r="51" spans="2:27" x14ac:dyDescent="0.25">
      <c r="B51" s="43" t="s">
        <v>753</v>
      </c>
      <c r="D51" s="43" t="s">
        <v>754</v>
      </c>
      <c r="J51" s="43" t="s">
        <v>755</v>
      </c>
      <c r="K51" s="43" t="s">
        <v>756</v>
      </c>
      <c r="M51" s="43" t="s">
        <v>757</v>
      </c>
      <c r="N51" s="43" t="s">
        <v>758</v>
      </c>
      <c r="O51" s="43" t="s">
        <v>759</v>
      </c>
      <c r="P51" s="43" t="s">
        <v>760</v>
      </c>
      <c r="V51" s="43" t="s">
        <v>649</v>
      </c>
      <c r="Z51" s="129" t="s">
        <v>761</v>
      </c>
      <c r="AA51" s="129" t="s">
        <v>762</v>
      </c>
    </row>
    <row r="52" spans="2:27" ht="25.5" customHeight="1" x14ac:dyDescent="0.25">
      <c r="B52" s="43" t="s">
        <v>763</v>
      </c>
      <c r="D52" s="43" t="s">
        <v>764</v>
      </c>
      <c r="J52" s="43" t="s">
        <v>765</v>
      </c>
      <c r="K52" s="43" t="s">
        <v>766</v>
      </c>
      <c r="M52" s="43" t="s">
        <v>767</v>
      </c>
      <c r="N52" s="43" t="s">
        <v>768</v>
      </c>
      <c r="O52" s="43" t="s">
        <v>769</v>
      </c>
      <c r="P52" s="43" t="s">
        <v>770</v>
      </c>
      <c r="V52" s="43" t="s">
        <v>771</v>
      </c>
      <c r="Z52" s="129" t="s">
        <v>772</v>
      </c>
      <c r="AA52" s="129" t="s">
        <v>773</v>
      </c>
    </row>
    <row r="53" spans="2:27" ht="25.5" customHeight="1" x14ac:dyDescent="0.25">
      <c r="B53" s="43" t="s">
        <v>774</v>
      </c>
      <c r="D53" s="43" t="s">
        <v>775</v>
      </c>
      <c r="J53" s="43" t="s">
        <v>776</v>
      </c>
      <c r="K53" s="43" t="s">
        <v>777</v>
      </c>
      <c r="M53" s="43" t="s">
        <v>778</v>
      </c>
      <c r="N53" s="43" t="s">
        <v>779</v>
      </c>
      <c r="O53" s="43" t="s">
        <v>780</v>
      </c>
      <c r="P53" s="43" t="s">
        <v>781</v>
      </c>
      <c r="V53" s="43" t="s">
        <v>782</v>
      </c>
      <c r="Z53" s="129" t="s">
        <v>783</v>
      </c>
    </row>
    <row r="54" spans="2:27" x14ac:dyDescent="0.25">
      <c r="D54" s="43" t="s">
        <v>784</v>
      </c>
      <c r="J54" s="43" t="s">
        <v>785</v>
      </c>
      <c r="M54" s="43" t="s">
        <v>786</v>
      </c>
      <c r="N54" s="43" t="s">
        <v>787</v>
      </c>
      <c r="O54" s="43" t="s">
        <v>788</v>
      </c>
      <c r="P54" s="43" t="s">
        <v>789</v>
      </c>
      <c r="V54" s="43" t="s">
        <v>790</v>
      </c>
      <c r="Z54" s="129" t="s">
        <v>791</v>
      </c>
    </row>
    <row r="55" spans="2:27" ht="25.5" customHeight="1" x14ac:dyDescent="0.25">
      <c r="D55" s="43" t="s">
        <v>792</v>
      </c>
      <c r="J55" s="43" t="s">
        <v>793</v>
      </c>
      <c r="M55" s="43" t="s">
        <v>794</v>
      </c>
      <c r="N55" s="43" t="s">
        <v>795</v>
      </c>
      <c r="O55" s="43" t="s">
        <v>796</v>
      </c>
      <c r="P55" s="43" t="s">
        <v>797</v>
      </c>
      <c r="V55" s="43" t="s">
        <v>777</v>
      </c>
      <c r="Z55" s="129" t="s">
        <v>798</v>
      </c>
    </row>
    <row r="56" spans="2:27" x14ac:dyDescent="0.25">
      <c r="D56" s="43" t="s">
        <v>799</v>
      </c>
      <c r="J56" s="43" t="s">
        <v>715</v>
      </c>
      <c r="M56" s="43" t="s">
        <v>800</v>
      </c>
      <c r="N56" s="43" t="s">
        <v>801</v>
      </c>
      <c r="O56" s="43" t="s">
        <v>802</v>
      </c>
      <c r="P56" s="43" t="s">
        <v>803</v>
      </c>
      <c r="Z56" s="129" t="s">
        <v>777</v>
      </c>
    </row>
    <row r="57" spans="2:27" x14ac:dyDescent="0.25">
      <c r="D57" s="43" t="s">
        <v>804</v>
      </c>
      <c r="J57" s="43" t="s">
        <v>798</v>
      </c>
      <c r="M57" s="43" t="s">
        <v>805</v>
      </c>
      <c r="O57" s="43" t="s">
        <v>806</v>
      </c>
      <c r="P57" s="43" t="s">
        <v>807</v>
      </c>
    </row>
    <row r="58" spans="2:27" ht="25.5" customHeight="1" x14ac:dyDescent="0.25">
      <c r="D58" s="43" t="s">
        <v>808</v>
      </c>
      <c r="J58" s="43" t="s">
        <v>777</v>
      </c>
      <c r="M58" s="43" t="s">
        <v>809</v>
      </c>
      <c r="P58" s="43" t="s">
        <v>810</v>
      </c>
    </row>
    <row r="59" spans="2:27" x14ac:dyDescent="0.25">
      <c r="D59" s="43" t="s">
        <v>811</v>
      </c>
      <c r="M59" s="43" t="s">
        <v>812</v>
      </c>
      <c r="P59" s="43" t="s">
        <v>813</v>
      </c>
    </row>
    <row r="60" spans="2:27" ht="25.5" customHeight="1" x14ac:dyDescent="0.25">
      <c r="D60" s="43" t="s">
        <v>814</v>
      </c>
      <c r="M60" s="43" t="s">
        <v>815</v>
      </c>
      <c r="P60" s="43" t="s">
        <v>816</v>
      </c>
    </row>
    <row r="61" spans="2:27" ht="25.5" customHeight="1" x14ac:dyDescent="0.25">
      <c r="D61" s="43" t="s">
        <v>817</v>
      </c>
      <c r="M61" s="43" t="s">
        <v>818</v>
      </c>
      <c r="P61" s="43" t="s">
        <v>819</v>
      </c>
    </row>
    <row r="62" spans="2:27" x14ac:dyDescent="0.25">
      <c r="D62" s="43" t="s">
        <v>820</v>
      </c>
      <c r="M62" s="43" t="s">
        <v>821</v>
      </c>
      <c r="P62" s="43" t="s">
        <v>822</v>
      </c>
    </row>
    <row r="63" spans="2:27" x14ac:dyDescent="0.25">
      <c r="D63" s="43" t="s">
        <v>823</v>
      </c>
      <c r="M63" s="43" t="s">
        <v>824</v>
      </c>
      <c r="P63" s="43" t="s">
        <v>825</v>
      </c>
    </row>
    <row r="64" spans="2:27" x14ac:dyDescent="0.25">
      <c r="D64" s="43" t="s">
        <v>826</v>
      </c>
      <c r="M64" s="43" t="s">
        <v>827</v>
      </c>
      <c r="P64" s="43" t="s">
        <v>828</v>
      </c>
    </row>
    <row r="65" spans="4:16" x14ac:dyDescent="0.25">
      <c r="D65" s="43" t="s">
        <v>829</v>
      </c>
      <c r="M65" s="43" t="s">
        <v>830</v>
      </c>
      <c r="P65" s="43" t="s">
        <v>831</v>
      </c>
    </row>
    <row r="66" spans="4:16" x14ac:dyDescent="0.25">
      <c r="D66" s="43" t="s">
        <v>832</v>
      </c>
      <c r="M66" s="43" t="s">
        <v>833</v>
      </c>
      <c r="P66" s="43" t="s">
        <v>834</v>
      </c>
    </row>
    <row r="67" spans="4:16" x14ac:dyDescent="0.25">
      <c r="D67" s="43" t="s">
        <v>835</v>
      </c>
      <c r="M67" s="43" t="s">
        <v>836</v>
      </c>
      <c r="P67" s="43" t="s">
        <v>837</v>
      </c>
    </row>
    <row r="68" spans="4:16" x14ac:dyDescent="0.25">
      <c r="D68" s="43" t="s">
        <v>777</v>
      </c>
      <c r="M68" s="43" t="s">
        <v>838</v>
      </c>
      <c r="P68" s="43" t="s">
        <v>839</v>
      </c>
    </row>
    <row r="69" spans="4:16" x14ac:dyDescent="0.25">
      <c r="M69" s="43" t="s">
        <v>840</v>
      </c>
      <c r="P69" s="43" t="s">
        <v>841</v>
      </c>
    </row>
    <row r="70" spans="4:16" x14ac:dyDescent="0.25">
      <c r="M70" s="43" t="s">
        <v>842</v>
      </c>
      <c r="P70" s="43" t="s">
        <v>843</v>
      </c>
    </row>
    <row r="71" spans="4:16" x14ac:dyDescent="0.25">
      <c r="M71" s="43" t="s">
        <v>844</v>
      </c>
      <c r="P71" s="43" t="s">
        <v>845</v>
      </c>
    </row>
    <row r="72" spans="4:16" x14ac:dyDescent="0.25">
      <c r="M72" s="43" t="s">
        <v>846</v>
      </c>
      <c r="P72" s="43" t="s">
        <v>777</v>
      </c>
    </row>
    <row r="73" spans="4:16" x14ac:dyDescent="0.25">
      <c r="M73" s="43" t="s">
        <v>777</v>
      </c>
    </row>
  </sheetData>
  <mergeCells count="22">
    <mergeCell ref="A41:N41"/>
    <mergeCell ref="AB13:AG13"/>
    <mergeCell ref="A4:F4"/>
    <mergeCell ref="AB8:AG8"/>
    <mergeCell ref="A27:H27"/>
    <mergeCell ref="AB7:AG7"/>
    <mergeCell ref="AB10:AG10"/>
    <mergeCell ref="A15:F15"/>
    <mergeCell ref="AB6:AG6"/>
    <mergeCell ref="AB15:AG15"/>
    <mergeCell ref="AB5:AG5"/>
    <mergeCell ref="AB14:AG14"/>
    <mergeCell ref="AB4:AG4"/>
    <mergeCell ref="AB16:AG16"/>
    <mergeCell ref="AB1:AG1"/>
    <mergeCell ref="AB9:AG9"/>
    <mergeCell ref="AB12:AG12"/>
    <mergeCell ref="A1:N1"/>
    <mergeCell ref="AB2:AG2"/>
    <mergeCell ref="AB11:AG11"/>
    <mergeCell ref="A2:N2"/>
    <mergeCell ref="AB3:AG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F7F7F"/>
    <pageSetUpPr fitToPage="1"/>
  </sheetPr>
  <dimension ref="A1:P47"/>
  <sheetViews>
    <sheetView showGridLines="0" topLeftCell="A10" workbookViewId="0">
      <selection activeCell="C36" sqref="C36"/>
    </sheetView>
  </sheetViews>
  <sheetFormatPr defaultRowHeight="15" x14ac:dyDescent="0.25"/>
  <cols>
    <col min="2" max="2" width="44" style="109" customWidth="1"/>
    <col min="3" max="3" width="12.28515625" style="109" bestFit="1" customWidth="1"/>
    <col min="4" max="4" width="15" style="109" customWidth="1"/>
    <col min="5" max="5" width="16" style="109" customWidth="1"/>
    <col min="6" max="6" width="68" style="109" customWidth="1"/>
    <col min="11" max="16" width="10.42578125" style="109" customWidth="1"/>
  </cols>
  <sheetData>
    <row r="1" spans="1:16" ht="26.1" customHeight="1" x14ac:dyDescent="0.25">
      <c r="A1" s="151" t="s">
        <v>847</v>
      </c>
      <c r="B1" s="149"/>
      <c r="C1" s="149"/>
      <c r="D1" s="149"/>
      <c r="E1" s="149"/>
      <c r="F1" s="149"/>
      <c r="G1" s="149"/>
      <c r="H1" s="149"/>
      <c r="K1" s="154" t="s">
        <v>280</v>
      </c>
      <c r="L1" s="155"/>
      <c r="M1" s="155"/>
      <c r="N1" s="155"/>
      <c r="O1" s="155"/>
      <c r="P1" s="156"/>
    </row>
    <row r="2" spans="1:16" ht="14.1" customHeight="1" x14ac:dyDescent="0.25">
      <c r="A2" s="153" t="s">
        <v>848</v>
      </c>
      <c r="B2" s="149"/>
      <c r="C2" s="149"/>
      <c r="D2" s="149"/>
      <c r="E2" s="149"/>
      <c r="F2" s="149"/>
      <c r="G2" s="149"/>
      <c r="H2" s="149"/>
      <c r="K2" s="158" t="s">
        <v>24</v>
      </c>
      <c r="L2" s="155"/>
      <c r="M2" s="155"/>
      <c r="N2" s="155"/>
      <c r="O2" s="155"/>
      <c r="P2" s="156"/>
    </row>
    <row r="3" spans="1:16" x14ac:dyDescent="0.25">
      <c r="K3" s="157" t="s">
        <v>25</v>
      </c>
      <c r="L3" s="155"/>
      <c r="M3" s="155"/>
      <c r="N3" s="155"/>
      <c r="O3" s="155"/>
      <c r="P3" s="156"/>
    </row>
    <row r="4" spans="1:16" x14ac:dyDescent="0.25">
      <c r="A4" s="150" t="s">
        <v>849</v>
      </c>
      <c r="B4" s="149"/>
      <c r="C4" s="149"/>
      <c r="D4" s="149"/>
      <c r="E4" s="149"/>
      <c r="F4" s="149"/>
      <c r="K4" s="157" t="s">
        <v>26</v>
      </c>
      <c r="L4" s="155"/>
      <c r="M4" s="155"/>
      <c r="N4" s="155"/>
      <c r="O4" s="155"/>
      <c r="P4" s="156"/>
    </row>
    <row r="5" spans="1:16" x14ac:dyDescent="0.25">
      <c r="B5" s="46" t="s">
        <v>850</v>
      </c>
      <c r="C5" s="46" t="s">
        <v>851</v>
      </c>
      <c r="D5" s="46" t="s">
        <v>852</v>
      </c>
      <c r="E5" s="46" t="s">
        <v>853</v>
      </c>
      <c r="F5" s="46" t="s">
        <v>854</v>
      </c>
      <c r="K5" s="157" t="s">
        <v>27</v>
      </c>
      <c r="L5" s="155"/>
      <c r="M5" s="155"/>
      <c r="N5" s="155"/>
      <c r="O5" s="155"/>
      <c r="P5" s="156"/>
    </row>
    <row r="6" spans="1:16" x14ac:dyDescent="0.25">
      <c r="B6" s="43" t="s">
        <v>855</v>
      </c>
      <c r="C6" s="10">
        <v>1</v>
      </c>
      <c r="D6" s="53">
        <v>13000</v>
      </c>
      <c r="E6" s="54">
        <f t="shared" ref="E6:E14" si="0">C6*D6</f>
        <v>13000</v>
      </c>
      <c r="F6" s="45" t="s">
        <v>856</v>
      </c>
      <c r="K6" s="157" t="s">
        <v>28</v>
      </c>
      <c r="L6" s="155"/>
      <c r="M6" s="155"/>
      <c r="N6" s="155"/>
      <c r="O6" s="155"/>
      <c r="P6" s="156"/>
    </row>
    <row r="7" spans="1:16" x14ac:dyDescent="0.25">
      <c r="B7" s="43" t="s">
        <v>857</v>
      </c>
      <c r="C7" s="10">
        <v>4</v>
      </c>
      <c r="D7" s="53">
        <v>7200</v>
      </c>
      <c r="E7" s="54">
        <f t="shared" si="0"/>
        <v>28800</v>
      </c>
      <c r="F7" s="45" t="s">
        <v>858</v>
      </c>
      <c r="K7" s="157" t="s">
        <v>29</v>
      </c>
      <c r="L7" s="155"/>
      <c r="M7" s="155"/>
      <c r="N7" s="155"/>
      <c r="O7" s="155"/>
      <c r="P7" s="156"/>
    </row>
    <row r="8" spans="1:16" x14ac:dyDescent="0.25">
      <c r="B8" s="43" t="s">
        <v>859</v>
      </c>
      <c r="C8" s="10">
        <v>1</v>
      </c>
      <c r="D8" s="53">
        <v>3400</v>
      </c>
      <c r="E8" s="54">
        <f t="shared" si="0"/>
        <v>3400</v>
      </c>
      <c r="F8" s="45" t="s">
        <v>860</v>
      </c>
      <c r="K8" s="157" t="s">
        <v>30</v>
      </c>
      <c r="L8" s="155"/>
      <c r="M8" s="155"/>
      <c r="N8" s="155"/>
      <c r="O8" s="155"/>
      <c r="P8" s="156"/>
    </row>
    <row r="9" spans="1:16" x14ac:dyDescent="0.25">
      <c r="B9" s="43" t="s">
        <v>861</v>
      </c>
      <c r="C9" s="10">
        <v>1</v>
      </c>
      <c r="D9" s="53">
        <v>3500</v>
      </c>
      <c r="E9" s="54">
        <f t="shared" si="0"/>
        <v>3500</v>
      </c>
      <c r="F9" s="45" t="s">
        <v>860</v>
      </c>
      <c r="K9" s="157" t="s">
        <v>31</v>
      </c>
      <c r="L9" s="155"/>
      <c r="M9" s="155"/>
      <c r="N9" s="155"/>
      <c r="O9" s="155"/>
      <c r="P9" s="156"/>
    </row>
    <row r="10" spans="1:16" x14ac:dyDescent="0.25">
      <c r="B10" s="43" t="s">
        <v>862</v>
      </c>
      <c r="C10" s="10">
        <v>1</v>
      </c>
      <c r="D10" s="53">
        <v>25000</v>
      </c>
      <c r="E10" s="54">
        <f t="shared" si="0"/>
        <v>25000</v>
      </c>
      <c r="F10" s="45" t="s">
        <v>863</v>
      </c>
      <c r="K10" s="159" t="s">
        <v>32</v>
      </c>
      <c r="L10" s="155"/>
      <c r="M10" s="155"/>
      <c r="N10" s="155"/>
      <c r="O10" s="155"/>
      <c r="P10" s="156"/>
    </row>
    <row r="11" spans="1:16" x14ac:dyDescent="0.25">
      <c r="B11" s="43" t="s">
        <v>864</v>
      </c>
      <c r="C11" s="10">
        <v>3</v>
      </c>
      <c r="D11" s="53">
        <v>6500</v>
      </c>
      <c r="E11" s="54">
        <f t="shared" si="0"/>
        <v>19500</v>
      </c>
      <c r="F11" s="45" t="s">
        <v>865</v>
      </c>
      <c r="K11" s="159" t="s">
        <v>33</v>
      </c>
      <c r="L11" s="155"/>
      <c r="M11" s="155"/>
      <c r="N11" s="155"/>
      <c r="O11" s="155"/>
      <c r="P11" s="156"/>
    </row>
    <row r="12" spans="1:16" x14ac:dyDescent="0.25">
      <c r="B12" s="43" t="s">
        <v>866</v>
      </c>
      <c r="C12" s="10">
        <v>1</v>
      </c>
      <c r="D12" s="53">
        <v>13500</v>
      </c>
      <c r="E12" s="54">
        <f t="shared" si="0"/>
        <v>13500</v>
      </c>
      <c r="F12" s="45" t="s">
        <v>867</v>
      </c>
    </row>
    <row r="13" spans="1:16" x14ac:dyDescent="0.25">
      <c r="B13" s="43" t="s">
        <v>868</v>
      </c>
      <c r="C13" s="10">
        <v>1</v>
      </c>
      <c r="D13" s="53">
        <v>12900</v>
      </c>
      <c r="E13" s="54">
        <f t="shared" si="0"/>
        <v>12900</v>
      </c>
      <c r="F13" s="45" t="s">
        <v>869</v>
      </c>
    </row>
    <row r="14" spans="1:16" x14ac:dyDescent="0.25">
      <c r="B14" s="43" t="s">
        <v>870</v>
      </c>
      <c r="C14" s="10">
        <v>1</v>
      </c>
      <c r="D14" s="53">
        <v>20000</v>
      </c>
      <c r="E14" s="54">
        <f t="shared" si="0"/>
        <v>20000</v>
      </c>
      <c r="F14" s="45" t="s">
        <v>871</v>
      </c>
    </row>
    <row r="15" spans="1:16" ht="24" customHeight="1" x14ac:dyDescent="0.25">
      <c r="B15" s="43" t="s">
        <v>872</v>
      </c>
      <c r="C15" s="11">
        <f>COUNTIFS(EQP_CONTR,"BERTIOGA",EQP_ATIVO,"SIM")</f>
        <v>14</v>
      </c>
      <c r="D15" s="55">
        <f>IF(C15=0,0,E15/C15)</f>
        <v>6527.3435714285706</v>
      </c>
      <c r="E15" s="55">
        <f>SUMIFS(EQP_CUSTOMES,EQP_CONTR,"BERTIOGA",EQP_ATIVO,"SIM")</f>
        <v>91382.809999999983</v>
      </c>
      <c r="F15" s="45" t="s">
        <v>873</v>
      </c>
    </row>
    <row r="16" spans="1:16" ht="24" customHeight="1" x14ac:dyDescent="0.25">
      <c r="B16" s="14" t="s">
        <v>874</v>
      </c>
      <c r="C16" s="15"/>
      <c r="D16" s="15"/>
      <c r="E16" s="56">
        <f>SUM(E6:E15)</f>
        <v>230982.81</v>
      </c>
      <c r="F16" s="16" t="s">
        <v>875</v>
      </c>
    </row>
    <row r="18" spans="1:6" x14ac:dyDescent="0.25">
      <c r="A18" s="150" t="s">
        <v>876</v>
      </c>
      <c r="B18" s="149"/>
      <c r="C18" s="149"/>
      <c r="D18" s="149"/>
      <c r="E18" s="149"/>
      <c r="F18" s="149"/>
    </row>
    <row r="19" spans="1:6" x14ac:dyDescent="0.25">
      <c r="B19" s="46" t="s">
        <v>850</v>
      </c>
      <c r="C19" s="46" t="s">
        <v>851</v>
      </c>
      <c r="D19" s="46" t="s">
        <v>852</v>
      </c>
      <c r="E19" s="46" t="s">
        <v>853</v>
      </c>
      <c r="F19" s="46" t="s">
        <v>854</v>
      </c>
    </row>
    <row r="20" spans="1:6" x14ac:dyDescent="0.25">
      <c r="B20" s="43" t="s">
        <v>855</v>
      </c>
      <c r="C20" s="10">
        <v>1</v>
      </c>
      <c r="D20" s="53">
        <v>13000</v>
      </c>
      <c r="E20" s="54">
        <f t="shared" ref="E20:E28" si="1">C20*D20</f>
        <v>13000</v>
      </c>
      <c r="F20" s="45" t="s">
        <v>856</v>
      </c>
    </row>
    <row r="21" spans="1:6" x14ac:dyDescent="0.25">
      <c r="B21" s="43" t="s">
        <v>857</v>
      </c>
      <c r="C21" s="10">
        <v>4</v>
      </c>
      <c r="D21" s="53">
        <v>7200</v>
      </c>
      <c r="E21" s="54">
        <f t="shared" si="1"/>
        <v>28800</v>
      </c>
      <c r="F21" s="45" t="s">
        <v>858</v>
      </c>
    </row>
    <row r="22" spans="1:6" x14ac:dyDescent="0.25">
      <c r="B22" s="43" t="s">
        <v>859</v>
      </c>
      <c r="C22" s="10">
        <v>1</v>
      </c>
      <c r="D22" s="53">
        <v>3400</v>
      </c>
      <c r="E22" s="54">
        <f t="shared" si="1"/>
        <v>3400</v>
      </c>
      <c r="F22" s="45" t="s">
        <v>860</v>
      </c>
    </row>
    <row r="23" spans="1:6" x14ac:dyDescent="0.25">
      <c r="B23" s="43" t="s">
        <v>861</v>
      </c>
      <c r="C23" s="10">
        <v>1</v>
      </c>
      <c r="D23" s="53">
        <v>3400</v>
      </c>
      <c r="E23" s="54">
        <f t="shared" si="1"/>
        <v>3400</v>
      </c>
      <c r="F23" s="45" t="s">
        <v>860</v>
      </c>
    </row>
    <row r="24" spans="1:6" x14ac:dyDescent="0.25">
      <c r="B24" s="43" t="s">
        <v>862</v>
      </c>
      <c r="C24" s="10">
        <v>2</v>
      </c>
      <c r="D24" s="53">
        <v>25000</v>
      </c>
      <c r="E24" s="54">
        <f t="shared" si="1"/>
        <v>50000</v>
      </c>
      <c r="F24" s="45" t="s">
        <v>863</v>
      </c>
    </row>
    <row r="25" spans="1:6" x14ac:dyDescent="0.25">
      <c r="B25" s="43" t="s">
        <v>864</v>
      </c>
      <c r="C25" s="10">
        <v>2</v>
      </c>
      <c r="D25" s="53">
        <v>6000</v>
      </c>
      <c r="E25" s="54">
        <f t="shared" si="1"/>
        <v>12000</v>
      </c>
      <c r="F25" s="45" t="s">
        <v>860</v>
      </c>
    </row>
    <row r="26" spans="1:6" x14ac:dyDescent="0.25">
      <c r="B26" s="43" t="s">
        <v>866</v>
      </c>
      <c r="C26" s="10">
        <v>1</v>
      </c>
      <c r="D26" s="53">
        <v>6000</v>
      </c>
      <c r="E26" s="54">
        <f t="shared" si="1"/>
        <v>6000</v>
      </c>
      <c r="F26" s="45" t="s">
        <v>877</v>
      </c>
    </row>
    <row r="27" spans="1:6" x14ac:dyDescent="0.25">
      <c r="B27" s="43" t="s">
        <v>868</v>
      </c>
      <c r="C27" s="10">
        <v>1</v>
      </c>
      <c r="D27" s="53">
        <v>12900</v>
      </c>
      <c r="E27" s="54">
        <f t="shared" si="1"/>
        <v>12900</v>
      </c>
      <c r="F27" s="45" t="s">
        <v>869</v>
      </c>
    </row>
    <row r="28" spans="1:6" x14ac:dyDescent="0.25">
      <c r="B28" s="43" t="s">
        <v>870</v>
      </c>
      <c r="C28" s="10">
        <v>1</v>
      </c>
      <c r="D28" s="53">
        <v>20000</v>
      </c>
      <c r="E28" s="54">
        <f t="shared" si="1"/>
        <v>20000</v>
      </c>
      <c r="F28" s="45" t="s">
        <v>871</v>
      </c>
    </row>
    <row r="29" spans="1:6" ht="24" customHeight="1" x14ac:dyDescent="0.25">
      <c r="B29" s="43" t="s">
        <v>872</v>
      </c>
      <c r="C29" s="11">
        <f>COUNTIFS(EQP_CONTR,"SANTOS",EQP_ATIVO,"SIM")</f>
        <v>16</v>
      </c>
      <c r="D29" s="55">
        <f>IF(C29=0,0,E29/C29)</f>
        <v>7728.989999999998</v>
      </c>
      <c r="E29" s="55">
        <f>SUMIFS(EQP_CUSTOMES,EQP_CONTR,"SANTOS",EQP_ATIVO,"SIM")</f>
        <v>123663.83999999997</v>
      </c>
      <c r="F29" s="45" t="s">
        <v>873</v>
      </c>
    </row>
    <row r="30" spans="1:6" ht="24" customHeight="1" x14ac:dyDescent="0.25">
      <c r="B30" s="14" t="s">
        <v>878</v>
      </c>
      <c r="C30" s="15"/>
      <c r="D30" s="15"/>
      <c r="E30" s="56">
        <f>SUM(E20:E29)</f>
        <v>273163.83999999997</v>
      </c>
      <c r="F30" s="16" t="s">
        <v>875</v>
      </c>
    </row>
    <row r="32" spans="1:6" x14ac:dyDescent="0.25">
      <c r="A32" s="150" t="s">
        <v>879</v>
      </c>
      <c r="B32" s="149"/>
      <c r="C32" s="149"/>
      <c r="D32" s="149"/>
      <c r="E32" s="149"/>
      <c r="F32" s="149"/>
    </row>
    <row r="33" spans="1:6" ht="24" customHeight="1" x14ac:dyDescent="0.25">
      <c r="B33" s="46" t="s">
        <v>559</v>
      </c>
      <c r="C33" s="46" t="s">
        <v>880</v>
      </c>
      <c r="D33" s="46" t="s">
        <v>560</v>
      </c>
      <c r="E33" s="46" t="s">
        <v>881</v>
      </c>
      <c r="F33" s="46" t="s">
        <v>854</v>
      </c>
    </row>
    <row r="34" spans="1:6" ht="120" customHeight="1" x14ac:dyDescent="0.25">
      <c r="B34" s="43" t="s">
        <v>882</v>
      </c>
      <c r="C34" s="48">
        <v>0.57999999999999996</v>
      </c>
      <c r="D34" s="44" t="s">
        <v>574</v>
      </c>
      <c r="E34" s="45" t="s">
        <v>883</v>
      </c>
      <c r="F34" s="45" t="s">
        <v>884</v>
      </c>
    </row>
    <row r="35" spans="1:6" ht="72" customHeight="1" x14ac:dyDescent="0.25">
      <c r="B35" s="43" t="s">
        <v>885</v>
      </c>
      <c r="C35" s="57">
        <v>1904.32</v>
      </c>
      <c r="D35" s="44" t="s">
        <v>563</v>
      </c>
      <c r="E35" s="45" t="s">
        <v>886</v>
      </c>
      <c r="F35" s="45" t="s">
        <v>884</v>
      </c>
    </row>
    <row r="36" spans="1:6" ht="51" customHeight="1" x14ac:dyDescent="0.25">
      <c r="B36" s="43" t="s">
        <v>887</v>
      </c>
      <c r="C36" s="57">
        <v>226754.32</v>
      </c>
      <c r="D36" s="44" t="s">
        <v>563</v>
      </c>
      <c r="E36" s="17" t="str">
        <f>IF(ABS(C36-(SUMIFS(EQP_CUSTOMES,EQP_ATIVO,"SIM")))&lt;50,"Confere — diferença só de arredondamento por pessoa","⚠ divergência: revise o fator de encargos")</f>
        <v>⚠ divergência: revise o fator de encargos</v>
      </c>
      <c r="F36" s="45" t="s">
        <v>888</v>
      </c>
    </row>
    <row r="38" spans="1:6" x14ac:dyDescent="0.25">
      <c r="A38" s="150" t="s">
        <v>889</v>
      </c>
      <c r="B38" s="149"/>
      <c r="C38" s="149"/>
      <c r="D38" s="149"/>
      <c r="E38" s="149"/>
      <c r="F38" s="149"/>
    </row>
    <row r="39" spans="1:6" ht="24" customHeight="1" x14ac:dyDescent="0.25">
      <c r="B39" s="46" t="s">
        <v>890</v>
      </c>
      <c r="C39" s="46" t="s">
        <v>891</v>
      </c>
      <c r="D39" s="46" t="s">
        <v>560</v>
      </c>
      <c r="E39" s="46" t="s">
        <v>881</v>
      </c>
      <c r="F39" s="46" t="s">
        <v>854</v>
      </c>
    </row>
    <row r="40" spans="1:6" ht="36" customHeight="1" x14ac:dyDescent="0.25">
      <c r="B40" s="43" t="s">
        <v>892</v>
      </c>
      <c r="C40" s="18">
        <v>6.4999999999999997E-3</v>
      </c>
      <c r="D40" s="44" t="s">
        <v>574</v>
      </c>
      <c r="E40" s="45" t="s">
        <v>893</v>
      </c>
      <c r="F40" s="45" t="s">
        <v>894</v>
      </c>
    </row>
    <row r="41" spans="1:6" ht="36" customHeight="1" x14ac:dyDescent="0.25">
      <c r="B41" s="43" t="s">
        <v>895</v>
      </c>
      <c r="C41" s="18">
        <v>0.03</v>
      </c>
      <c r="D41" s="44" t="s">
        <v>574</v>
      </c>
      <c r="E41" s="45" t="s">
        <v>893</v>
      </c>
      <c r="F41" s="45" t="s">
        <v>894</v>
      </c>
    </row>
    <row r="42" spans="1:6" ht="36" customHeight="1" x14ac:dyDescent="0.25">
      <c r="B42" s="43" t="s">
        <v>896</v>
      </c>
      <c r="C42" s="18">
        <v>4.8000000000000001E-2</v>
      </c>
      <c r="D42" s="44" t="s">
        <v>574</v>
      </c>
      <c r="E42" s="45" t="s">
        <v>897</v>
      </c>
      <c r="F42" s="45" t="s">
        <v>898</v>
      </c>
    </row>
    <row r="43" spans="1:6" ht="48" customHeight="1" x14ac:dyDescent="0.25">
      <c r="B43" s="43" t="s">
        <v>899</v>
      </c>
      <c r="C43" s="18">
        <v>0.01</v>
      </c>
      <c r="D43" s="44" t="s">
        <v>574</v>
      </c>
      <c r="E43" s="45" t="s">
        <v>900</v>
      </c>
      <c r="F43" s="45" t="s">
        <v>898</v>
      </c>
    </row>
    <row r="44" spans="1:6" ht="36" customHeight="1" x14ac:dyDescent="0.25">
      <c r="B44" s="43" t="s">
        <v>901</v>
      </c>
      <c r="C44" s="18">
        <v>2.8799999999999999E-2</v>
      </c>
      <c r="D44" s="44" t="s">
        <v>574</v>
      </c>
      <c r="E44" s="45" t="s">
        <v>902</v>
      </c>
      <c r="F44" s="45" t="s">
        <v>903</v>
      </c>
    </row>
    <row r="45" spans="1:6" ht="120" customHeight="1" x14ac:dyDescent="0.25">
      <c r="B45" s="43" t="s">
        <v>904</v>
      </c>
      <c r="C45" s="18">
        <v>0.05</v>
      </c>
      <c r="D45" s="44" t="s">
        <v>574</v>
      </c>
      <c r="E45" s="45" t="s">
        <v>905</v>
      </c>
      <c r="F45" s="45" t="s">
        <v>906</v>
      </c>
    </row>
    <row r="46" spans="1:6" ht="84" customHeight="1" x14ac:dyDescent="0.25">
      <c r="B46" s="43" t="s">
        <v>907</v>
      </c>
      <c r="C46" s="18">
        <v>4.6699999999999998E-2</v>
      </c>
      <c r="D46" s="44" t="s">
        <v>574</v>
      </c>
      <c r="E46" s="45" t="s">
        <v>908</v>
      </c>
      <c r="F46" s="45" t="s">
        <v>909</v>
      </c>
    </row>
    <row r="47" spans="1:6" ht="48" customHeight="1" x14ac:dyDescent="0.25">
      <c r="B47" s="14" t="s">
        <v>910</v>
      </c>
      <c r="C47" s="19">
        <f>SUM(C40:C46)</f>
        <v>0.22</v>
      </c>
      <c r="D47" s="20" t="s">
        <v>574</v>
      </c>
      <c r="E47" s="16" t="s">
        <v>911</v>
      </c>
      <c r="F47" s="16" t="s">
        <v>912</v>
      </c>
    </row>
  </sheetData>
  <mergeCells count="17">
    <mergeCell ref="K8:P8"/>
    <mergeCell ref="A38:F38"/>
    <mergeCell ref="K2:P2"/>
    <mergeCell ref="K7:P7"/>
    <mergeCell ref="K1:P1"/>
    <mergeCell ref="K9:P9"/>
    <mergeCell ref="K5:P5"/>
    <mergeCell ref="K10:P10"/>
    <mergeCell ref="A2:H2"/>
    <mergeCell ref="A32:F32"/>
    <mergeCell ref="K4:P4"/>
    <mergeCell ref="K6:P6"/>
    <mergeCell ref="K3:P3"/>
    <mergeCell ref="A18:F18"/>
    <mergeCell ref="A4:F4"/>
    <mergeCell ref="A1:H1"/>
    <mergeCell ref="K11:P11"/>
  </mergeCells>
  <printOptions horizontalCentered="1"/>
  <pageMargins left="0.3" right="0.3" top="0.5" bottom="0.5" header="0.5" footer="0.5"/>
  <pageSetup paperSize="9" fitToHeight="0" orientation="portrait"/>
  <headerFooter>
    <oddFooter>&amp;L&amp;8 WCR Saneamento — Controle Operacional SABESP&amp;R&amp;8 Página &amp;P de &amp;N</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F7F7F"/>
    <pageSetUpPr fitToPage="1"/>
  </sheetPr>
  <dimension ref="A1:Q66"/>
  <sheetViews>
    <sheetView showGridLines="0" workbookViewId="0">
      <selection activeCell="E6" sqref="E6"/>
    </sheetView>
  </sheetViews>
  <sheetFormatPr defaultRowHeight="15" x14ac:dyDescent="0.25"/>
  <cols>
    <col min="2" max="2" width="38" style="109" customWidth="1"/>
    <col min="3" max="3" width="11" style="109" customWidth="1"/>
    <col min="4" max="4" width="10" style="109" customWidth="1"/>
    <col min="5" max="5" width="18" style="109" customWidth="1"/>
    <col min="6" max="6" width="40" style="109" customWidth="1"/>
    <col min="7" max="7" width="14" style="109" customWidth="1"/>
    <col min="8" max="8" width="15" style="109" customWidth="1"/>
    <col min="9" max="9" width="46" style="109" customWidth="1"/>
    <col min="12" max="17" width="10.42578125" style="109" customWidth="1"/>
  </cols>
  <sheetData>
    <row r="1" spans="1:17" ht="26.1" customHeight="1" x14ac:dyDescent="0.25">
      <c r="A1" s="151" t="s">
        <v>913</v>
      </c>
      <c r="B1" s="149"/>
      <c r="C1" s="149"/>
      <c r="D1" s="149"/>
      <c r="E1" s="149"/>
      <c r="F1" s="149"/>
      <c r="G1" s="149"/>
      <c r="H1" s="149"/>
      <c r="I1" s="149"/>
      <c r="L1" s="154" t="s">
        <v>280</v>
      </c>
      <c r="M1" s="155"/>
      <c r="N1" s="155"/>
      <c r="O1" s="155"/>
      <c r="P1" s="155"/>
      <c r="Q1" s="156"/>
    </row>
    <row r="2" spans="1:17" ht="14.1" customHeight="1" x14ac:dyDescent="0.25">
      <c r="A2" s="153" t="s">
        <v>914</v>
      </c>
      <c r="B2" s="149"/>
      <c r="C2" s="149"/>
      <c r="D2" s="149"/>
      <c r="E2" s="149"/>
      <c r="F2" s="149"/>
      <c r="G2" s="149"/>
      <c r="H2" s="149"/>
      <c r="I2" s="149"/>
      <c r="L2" s="158" t="s">
        <v>35</v>
      </c>
      <c r="M2" s="155"/>
      <c r="N2" s="155"/>
      <c r="O2" s="155"/>
      <c r="P2" s="155"/>
      <c r="Q2" s="156"/>
    </row>
    <row r="3" spans="1:17" x14ac:dyDescent="0.25">
      <c r="L3" s="157" t="s">
        <v>36</v>
      </c>
      <c r="M3" s="155"/>
      <c r="N3" s="155"/>
      <c r="O3" s="155"/>
      <c r="P3" s="155"/>
      <c r="Q3" s="156"/>
    </row>
    <row r="4" spans="1:17" x14ac:dyDescent="0.25">
      <c r="A4" s="150" t="s">
        <v>915</v>
      </c>
      <c r="B4" s="149"/>
      <c r="C4" s="149"/>
      <c r="D4" s="149"/>
      <c r="E4" s="149"/>
      <c r="F4" s="149"/>
      <c r="G4" s="149"/>
      <c r="H4" s="149"/>
      <c r="I4" s="149"/>
      <c r="L4" s="157" t="s">
        <v>37</v>
      </c>
      <c r="M4" s="155"/>
      <c r="N4" s="155"/>
      <c r="O4" s="155"/>
      <c r="P4" s="155"/>
      <c r="Q4" s="156"/>
    </row>
    <row r="5" spans="1:17" ht="24" customHeight="1" x14ac:dyDescent="0.25">
      <c r="B5" s="46" t="s">
        <v>916</v>
      </c>
      <c r="C5" s="46" t="s">
        <v>917</v>
      </c>
      <c r="D5" s="46" t="s">
        <v>918</v>
      </c>
      <c r="E5" s="46" t="s">
        <v>919</v>
      </c>
      <c r="F5" s="46" t="s">
        <v>920</v>
      </c>
      <c r="G5" s="46" t="s">
        <v>921</v>
      </c>
      <c r="H5" s="46" t="s">
        <v>922</v>
      </c>
      <c r="I5" s="46" t="s">
        <v>881</v>
      </c>
      <c r="L5" s="157" t="s">
        <v>38</v>
      </c>
      <c r="M5" s="155"/>
      <c r="N5" s="155"/>
      <c r="O5" s="155"/>
      <c r="P5" s="155"/>
      <c r="Q5" s="156"/>
    </row>
    <row r="6" spans="1:17" ht="24" customHeight="1" x14ac:dyDescent="0.25">
      <c r="B6" s="43" t="s">
        <v>620</v>
      </c>
      <c r="C6" s="11">
        <f t="shared" ref="C6:C30" si="0">COUNTIFS(CAD_TIPO,$B6,CAD_CONTR,"BERTIOGA")</f>
        <v>8</v>
      </c>
      <c r="D6" s="58">
        <f t="shared" ref="D6:D30" si="1">IF(COUNTIFS(CAD_CONTR,"BERTIOGA")=0,"",C6/COUNTIFS(CAD_CONTR,"BERTIOGA"))</f>
        <v>0.14814814814814814</v>
      </c>
      <c r="E6" s="21" t="s">
        <v>923</v>
      </c>
      <c r="F6" s="8" t="str">
        <f t="shared" ref="F6:F30" si="2">IFERROR(IF($E6="","",VLOOKUP($E6,PRE_TAB,5,FALSE)),"CÓDIGO NÃO ENCONTRADO")</f>
        <v>LAG  ATE 32MM TA AVUL S/REP SF</v>
      </c>
      <c r="G6" s="55">
        <f t="shared" ref="G6:G30" si="3">IFERROR(IF($E6="","",VLOOKUP($E6,PRE_TAB,8,FALSE)),"")</f>
        <v>787.5</v>
      </c>
      <c r="H6" s="54">
        <f t="shared" ref="H6:H30" si="4">IF(OR($D6="",$G6=""),0,$D6*$G6)</f>
        <v>116.66666666666666</v>
      </c>
      <c r="I6" s="45" t="s">
        <v>924</v>
      </c>
      <c r="L6" s="159" t="s">
        <v>39</v>
      </c>
      <c r="M6" s="155"/>
      <c r="N6" s="155"/>
      <c r="O6" s="155"/>
      <c r="P6" s="155"/>
      <c r="Q6" s="156"/>
    </row>
    <row r="7" spans="1:17" ht="24" customHeight="1" x14ac:dyDescent="0.25">
      <c r="B7" s="43" t="s">
        <v>643</v>
      </c>
      <c r="C7" s="11">
        <f t="shared" si="0"/>
        <v>5</v>
      </c>
      <c r="D7" s="58">
        <f t="shared" si="1"/>
        <v>9.2592592592592587E-2</v>
      </c>
      <c r="E7" s="21" t="s">
        <v>923</v>
      </c>
      <c r="F7" s="8" t="str">
        <f t="shared" si="2"/>
        <v>LAG  ATE 32MM TA AVUL S/REP SF</v>
      </c>
      <c r="G7" s="55">
        <f t="shared" si="3"/>
        <v>787.5</v>
      </c>
      <c r="H7" s="54">
        <f t="shared" si="4"/>
        <v>72.916666666666657</v>
      </c>
      <c r="I7" s="45" t="s">
        <v>924</v>
      </c>
      <c r="L7" s="159" t="s">
        <v>40</v>
      </c>
      <c r="M7" s="155"/>
      <c r="N7" s="155"/>
      <c r="O7" s="155"/>
      <c r="P7" s="155"/>
      <c r="Q7" s="156"/>
    </row>
    <row r="8" spans="1:17" ht="24" customHeight="1" x14ac:dyDescent="0.25">
      <c r="B8" s="43" t="s">
        <v>665</v>
      </c>
      <c r="C8" s="11">
        <f t="shared" si="0"/>
        <v>0</v>
      </c>
      <c r="D8" s="58">
        <f t="shared" si="1"/>
        <v>0</v>
      </c>
      <c r="E8" s="21"/>
      <c r="F8" s="8" t="str">
        <f t="shared" si="2"/>
        <v/>
      </c>
      <c r="G8" s="55" t="str">
        <f t="shared" si="3"/>
        <v/>
      </c>
      <c r="H8" s="54">
        <f t="shared" si="4"/>
        <v>0</v>
      </c>
      <c r="I8" s="45" t="s">
        <v>924</v>
      </c>
      <c r="L8" s="157" t="s">
        <v>41</v>
      </c>
      <c r="M8" s="155"/>
      <c r="N8" s="155"/>
      <c r="O8" s="155"/>
      <c r="P8" s="155"/>
      <c r="Q8" s="156"/>
    </row>
    <row r="9" spans="1:17" ht="24" customHeight="1" x14ac:dyDescent="0.25">
      <c r="B9" s="43" t="s">
        <v>688</v>
      </c>
      <c r="C9" s="11">
        <f t="shared" si="0"/>
        <v>0</v>
      </c>
      <c r="D9" s="58">
        <f t="shared" si="1"/>
        <v>0</v>
      </c>
      <c r="E9" s="21"/>
      <c r="F9" s="8" t="str">
        <f t="shared" si="2"/>
        <v/>
      </c>
      <c r="G9" s="55" t="str">
        <f t="shared" si="3"/>
        <v/>
      </c>
      <c r="H9" s="54">
        <f t="shared" si="4"/>
        <v>0</v>
      </c>
      <c r="I9" s="45" t="s">
        <v>924</v>
      </c>
    </row>
    <row r="10" spans="1:17" ht="24" customHeight="1" x14ac:dyDescent="0.25">
      <c r="B10" s="43" t="s">
        <v>708</v>
      </c>
      <c r="C10" s="11">
        <f t="shared" si="0"/>
        <v>7</v>
      </c>
      <c r="D10" s="58">
        <f t="shared" si="1"/>
        <v>0.12962962962962962</v>
      </c>
      <c r="E10" s="21" t="s">
        <v>925</v>
      </c>
      <c r="F10" s="8" t="str">
        <f t="shared" si="2"/>
        <v>TCV SF</v>
      </c>
      <c r="G10" s="55">
        <f t="shared" si="3"/>
        <v>301.47000000000003</v>
      </c>
      <c r="H10" s="54">
        <f t="shared" si="4"/>
        <v>39.079444444444448</v>
      </c>
      <c r="I10" s="45" t="s">
        <v>924</v>
      </c>
    </row>
    <row r="11" spans="1:17" ht="24" customHeight="1" x14ac:dyDescent="0.25">
      <c r="B11" s="43" t="s">
        <v>728</v>
      </c>
      <c r="C11" s="11">
        <f t="shared" si="0"/>
        <v>2</v>
      </c>
      <c r="D11" s="58">
        <f t="shared" si="1"/>
        <v>3.7037037037037035E-2</v>
      </c>
      <c r="E11" s="21" t="s">
        <v>926</v>
      </c>
      <c r="F11" s="8" t="str">
        <f t="shared" si="2"/>
        <v>ADC  SUBST TMD AG    SF</v>
      </c>
      <c r="G11" s="55">
        <f t="shared" si="3"/>
        <v>43.3</v>
      </c>
      <c r="H11" s="54">
        <f t="shared" si="4"/>
        <v>1.6037037037037034</v>
      </c>
      <c r="I11" s="45" t="s">
        <v>924</v>
      </c>
    </row>
    <row r="12" spans="1:17" ht="24" customHeight="1" x14ac:dyDescent="0.25">
      <c r="B12" s="43" t="s">
        <v>741</v>
      </c>
      <c r="C12" s="11">
        <f t="shared" si="0"/>
        <v>6</v>
      </c>
      <c r="D12" s="58">
        <f t="shared" si="1"/>
        <v>0.1111111111111111</v>
      </c>
      <c r="E12" s="21" t="s">
        <v>927</v>
      </c>
      <c r="F12" s="8" t="str">
        <f t="shared" si="2"/>
        <v>TRA  ATE 32MM CORR TA S/REP SF</v>
      </c>
      <c r="G12" s="55">
        <f t="shared" si="3"/>
        <v>785.07</v>
      </c>
      <c r="H12" s="54">
        <f t="shared" si="4"/>
        <v>87.23</v>
      </c>
      <c r="I12" s="45" t="s">
        <v>924</v>
      </c>
    </row>
    <row r="13" spans="1:17" ht="24" customHeight="1" x14ac:dyDescent="0.25">
      <c r="B13" s="43" t="s">
        <v>754</v>
      </c>
      <c r="C13" s="11">
        <f t="shared" si="0"/>
        <v>0</v>
      </c>
      <c r="D13" s="58">
        <f t="shared" si="1"/>
        <v>0</v>
      </c>
      <c r="E13" s="21"/>
      <c r="F13" s="8" t="str">
        <f t="shared" si="2"/>
        <v/>
      </c>
      <c r="G13" s="55" t="str">
        <f t="shared" si="3"/>
        <v/>
      </c>
      <c r="H13" s="54">
        <f t="shared" si="4"/>
        <v>0</v>
      </c>
      <c r="I13" s="45" t="s">
        <v>924</v>
      </c>
    </row>
    <row r="14" spans="1:17" ht="24" customHeight="1" x14ac:dyDescent="0.25">
      <c r="B14" s="43" t="s">
        <v>764</v>
      </c>
      <c r="C14" s="11">
        <f t="shared" si="0"/>
        <v>0</v>
      </c>
      <c r="D14" s="58">
        <f t="shared" si="1"/>
        <v>0</v>
      </c>
      <c r="E14" s="21"/>
      <c r="F14" s="8" t="str">
        <f t="shared" si="2"/>
        <v/>
      </c>
      <c r="G14" s="55" t="str">
        <f t="shared" si="3"/>
        <v/>
      </c>
      <c r="H14" s="54">
        <f t="shared" si="4"/>
        <v>0</v>
      </c>
      <c r="I14" s="45" t="s">
        <v>924</v>
      </c>
    </row>
    <row r="15" spans="1:17" ht="24" customHeight="1" x14ac:dyDescent="0.25">
      <c r="B15" s="43" t="s">
        <v>775</v>
      </c>
      <c r="C15" s="11">
        <f t="shared" si="0"/>
        <v>0</v>
      </c>
      <c r="D15" s="58">
        <f t="shared" si="1"/>
        <v>0</v>
      </c>
      <c r="E15" s="21"/>
      <c r="F15" s="8" t="str">
        <f t="shared" si="2"/>
        <v/>
      </c>
      <c r="G15" s="55" t="str">
        <f t="shared" si="3"/>
        <v/>
      </c>
      <c r="H15" s="54">
        <f t="shared" si="4"/>
        <v>0</v>
      </c>
      <c r="I15" s="45" t="s">
        <v>924</v>
      </c>
    </row>
    <row r="16" spans="1:17" ht="24" customHeight="1" x14ac:dyDescent="0.25">
      <c r="B16" s="43" t="s">
        <v>784</v>
      </c>
      <c r="C16" s="11">
        <f t="shared" si="0"/>
        <v>0</v>
      </c>
      <c r="D16" s="58">
        <f t="shared" si="1"/>
        <v>0</v>
      </c>
      <c r="E16" s="21"/>
      <c r="F16" s="8" t="str">
        <f t="shared" si="2"/>
        <v/>
      </c>
      <c r="G16" s="55" t="str">
        <f t="shared" si="3"/>
        <v/>
      </c>
      <c r="H16" s="54">
        <f t="shared" si="4"/>
        <v>0</v>
      </c>
      <c r="I16" s="45" t="s">
        <v>924</v>
      </c>
    </row>
    <row r="17" spans="2:9" ht="24" customHeight="1" x14ac:dyDescent="0.25">
      <c r="B17" s="43" t="s">
        <v>792</v>
      </c>
      <c r="C17" s="11">
        <f t="shared" si="0"/>
        <v>0</v>
      </c>
      <c r="D17" s="58">
        <f t="shared" si="1"/>
        <v>0</v>
      </c>
      <c r="E17" s="21"/>
      <c r="F17" s="8" t="str">
        <f t="shared" si="2"/>
        <v/>
      </c>
      <c r="G17" s="55" t="str">
        <f t="shared" si="3"/>
        <v/>
      </c>
      <c r="H17" s="54">
        <f t="shared" si="4"/>
        <v>0</v>
      </c>
      <c r="I17" s="45" t="s">
        <v>924</v>
      </c>
    </row>
    <row r="18" spans="2:9" ht="24" customHeight="1" x14ac:dyDescent="0.25">
      <c r="B18" s="43" t="s">
        <v>799</v>
      </c>
      <c r="C18" s="11">
        <f t="shared" si="0"/>
        <v>0</v>
      </c>
      <c r="D18" s="58">
        <f t="shared" si="1"/>
        <v>0</v>
      </c>
      <c r="E18" s="21"/>
      <c r="F18" s="8" t="str">
        <f t="shared" si="2"/>
        <v/>
      </c>
      <c r="G18" s="55" t="str">
        <f t="shared" si="3"/>
        <v/>
      </c>
      <c r="H18" s="54">
        <f t="shared" si="4"/>
        <v>0</v>
      </c>
      <c r="I18" s="45" t="s">
        <v>924</v>
      </c>
    </row>
    <row r="19" spans="2:9" ht="24" customHeight="1" x14ac:dyDescent="0.25">
      <c r="B19" s="43" t="s">
        <v>804</v>
      </c>
      <c r="C19" s="11">
        <f t="shared" si="0"/>
        <v>0</v>
      </c>
      <c r="D19" s="58">
        <f t="shared" si="1"/>
        <v>0</v>
      </c>
      <c r="E19" s="21"/>
      <c r="F19" s="8" t="str">
        <f t="shared" si="2"/>
        <v/>
      </c>
      <c r="G19" s="55" t="str">
        <f t="shared" si="3"/>
        <v/>
      </c>
      <c r="H19" s="54">
        <f t="shared" si="4"/>
        <v>0</v>
      </c>
      <c r="I19" s="45" t="s">
        <v>924</v>
      </c>
    </row>
    <row r="20" spans="2:9" ht="24" customHeight="1" x14ac:dyDescent="0.25">
      <c r="B20" s="43" t="s">
        <v>808</v>
      </c>
      <c r="C20" s="11">
        <f t="shared" si="0"/>
        <v>0</v>
      </c>
      <c r="D20" s="58">
        <f t="shared" si="1"/>
        <v>0</v>
      </c>
      <c r="E20" s="21"/>
      <c r="F20" s="8" t="str">
        <f t="shared" si="2"/>
        <v/>
      </c>
      <c r="G20" s="55" t="str">
        <f t="shared" si="3"/>
        <v/>
      </c>
      <c r="H20" s="54">
        <f t="shared" si="4"/>
        <v>0</v>
      </c>
      <c r="I20" s="45" t="s">
        <v>924</v>
      </c>
    </row>
    <row r="21" spans="2:9" ht="24" customHeight="1" x14ac:dyDescent="0.25">
      <c r="B21" s="43" t="s">
        <v>811</v>
      </c>
      <c r="C21" s="11">
        <f t="shared" si="0"/>
        <v>0</v>
      </c>
      <c r="D21" s="58">
        <f t="shared" si="1"/>
        <v>0</v>
      </c>
      <c r="E21" s="21"/>
      <c r="F21" s="8" t="str">
        <f t="shared" si="2"/>
        <v/>
      </c>
      <c r="G21" s="55" t="str">
        <f t="shared" si="3"/>
        <v/>
      </c>
      <c r="H21" s="54">
        <f t="shared" si="4"/>
        <v>0</v>
      </c>
      <c r="I21" s="45" t="s">
        <v>924</v>
      </c>
    </row>
    <row r="22" spans="2:9" ht="24" customHeight="1" x14ac:dyDescent="0.25">
      <c r="B22" s="43" t="s">
        <v>814</v>
      </c>
      <c r="C22" s="11">
        <f t="shared" si="0"/>
        <v>0</v>
      </c>
      <c r="D22" s="58">
        <f t="shared" si="1"/>
        <v>0</v>
      </c>
      <c r="E22" s="21"/>
      <c r="F22" s="8" t="str">
        <f t="shared" si="2"/>
        <v/>
      </c>
      <c r="G22" s="55" t="str">
        <f t="shared" si="3"/>
        <v/>
      </c>
      <c r="H22" s="54">
        <f t="shared" si="4"/>
        <v>0</v>
      </c>
      <c r="I22" s="45" t="s">
        <v>924</v>
      </c>
    </row>
    <row r="23" spans="2:9" ht="24" customHeight="1" x14ac:dyDescent="0.25">
      <c r="B23" s="43" t="s">
        <v>817</v>
      </c>
      <c r="C23" s="11">
        <f t="shared" si="0"/>
        <v>0</v>
      </c>
      <c r="D23" s="58">
        <f t="shared" si="1"/>
        <v>0</v>
      </c>
      <c r="E23" s="21"/>
      <c r="F23" s="8" t="str">
        <f t="shared" si="2"/>
        <v/>
      </c>
      <c r="G23" s="55" t="str">
        <f t="shared" si="3"/>
        <v/>
      </c>
      <c r="H23" s="54">
        <f t="shared" si="4"/>
        <v>0</v>
      </c>
      <c r="I23" s="45" t="s">
        <v>924</v>
      </c>
    </row>
    <row r="24" spans="2:9" ht="24" customHeight="1" x14ac:dyDescent="0.25">
      <c r="B24" s="43" t="s">
        <v>820</v>
      </c>
      <c r="C24" s="11">
        <f t="shared" si="0"/>
        <v>0</v>
      </c>
      <c r="D24" s="58">
        <f t="shared" si="1"/>
        <v>0</v>
      </c>
      <c r="E24" s="21"/>
      <c r="F24" s="8" t="str">
        <f t="shared" si="2"/>
        <v/>
      </c>
      <c r="G24" s="55" t="str">
        <f t="shared" si="3"/>
        <v/>
      </c>
      <c r="H24" s="54">
        <f t="shared" si="4"/>
        <v>0</v>
      </c>
      <c r="I24" s="45" t="s">
        <v>924</v>
      </c>
    </row>
    <row r="25" spans="2:9" ht="24" customHeight="1" x14ac:dyDescent="0.25">
      <c r="B25" s="43" t="s">
        <v>823</v>
      </c>
      <c r="C25" s="11">
        <f t="shared" si="0"/>
        <v>0</v>
      </c>
      <c r="D25" s="58">
        <f t="shared" si="1"/>
        <v>0</v>
      </c>
      <c r="E25" s="21"/>
      <c r="F25" s="8" t="str">
        <f t="shared" si="2"/>
        <v/>
      </c>
      <c r="G25" s="55" t="str">
        <f t="shared" si="3"/>
        <v/>
      </c>
      <c r="H25" s="54">
        <f t="shared" si="4"/>
        <v>0</v>
      </c>
      <c r="I25" s="45" t="s">
        <v>924</v>
      </c>
    </row>
    <row r="26" spans="2:9" ht="24" customHeight="1" x14ac:dyDescent="0.25">
      <c r="B26" s="43" t="s">
        <v>826</v>
      </c>
      <c r="C26" s="11">
        <f t="shared" si="0"/>
        <v>0</v>
      </c>
      <c r="D26" s="58">
        <f t="shared" si="1"/>
        <v>0</v>
      </c>
      <c r="E26" s="21"/>
      <c r="F26" s="8" t="str">
        <f t="shared" si="2"/>
        <v/>
      </c>
      <c r="G26" s="55" t="str">
        <f t="shared" si="3"/>
        <v/>
      </c>
      <c r="H26" s="54">
        <f t="shared" si="4"/>
        <v>0</v>
      </c>
      <c r="I26" s="45" t="s">
        <v>924</v>
      </c>
    </row>
    <row r="27" spans="2:9" ht="24" customHeight="1" x14ac:dyDescent="0.25">
      <c r="B27" s="43" t="s">
        <v>829</v>
      </c>
      <c r="C27" s="11">
        <f t="shared" si="0"/>
        <v>0</v>
      </c>
      <c r="D27" s="58">
        <f t="shared" si="1"/>
        <v>0</v>
      </c>
      <c r="E27" s="21"/>
      <c r="F27" s="8" t="str">
        <f t="shared" si="2"/>
        <v/>
      </c>
      <c r="G27" s="55" t="str">
        <f t="shared" si="3"/>
        <v/>
      </c>
      <c r="H27" s="54">
        <f t="shared" si="4"/>
        <v>0</v>
      </c>
      <c r="I27" s="45" t="s">
        <v>924</v>
      </c>
    </row>
    <row r="28" spans="2:9" ht="24" customHeight="1" x14ac:dyDescent="0.25">
      <c r="B28" s="43" t="s">
        <v>832</v>
      </c>
      <c r="C28" s="11">
        <f t="shared" si="0"/>
        <v>0</v>
      </c>
      <c r="D28" s="58">
        <f t="shared" si="1"/>
        <v>0</v>
      </c>
      <c r="E28" s="21"/>
      <c r="F28" s="8" t="str">
        <f t="shared" si="2"/>
        <v/>
      </c>
      <c r="G28" s="55" t="str">
        <f t="shared" si="3"/>
        <v/>
      </c>
      <c r="H28" s="54">
        <f t="shared" si="4"/>
        <v>0</v>
      </c>
      <c r="I28" s="45" t="s">
        <v>924</v>
      </c>
    </row>
    <row r="29" spans="2:9" ht="24" customHeight="1" x14ac:dyDescent="0.25">
      <c r="B29" s="43" t="s">
        <v>835</v>
      </c>
      <c r="C29" s="11">
        <f t="shared" si="0"/>
        <v>0</v>
      </c>
      <c r="D29" s="58">
        <f t="shared" si="1"/>
        <v>0</v>
      </c>
      <c r="E29" s="21"/>
      <c r="F29" s="8" t="str">
        <f t="shared" si="2"/>
        <v/>
      </c>
      <c r="G29" s="55" t="str">
        <f t="shared" si="3"/>
        <v/>
      </c>
      <c r="H29" s="54">
        <f t="shared" si="4"/>
        <v>0</v>
      </c>
      <c r="I29" s="45" t="s">
        <v>924</v>
      </c>
    </row>
    <row r="30" spans="2:9" ht="24" customHeight="1" x14ac:dyDescent="0.25">
      <c r="B30" s="43" t="s">
        <v>777</v>
      </c>
      <c r="C30" s="11">
        <f t="shared" si="0"/>
        <v>0</v>
      </c>
      <c r="D30" s="58">
        <f t="shared" si="1"/>
        <v>0</v>
      </c>
      <c r="E30" s="21"/>
      <c r="F30" s="8" t="str">
        <f t="shared" si="2"/>
        <v/>
      </c>
      <c r="G30" s="55" t="str">
        <f t="shared" si="3"/>
        <v/>
      </c>
      <c r="H30" s="54">
        <f t="shared" si="4"/>
        <v>0</v>
      </c>
      <c r="I30" s="45" t="s">
        <v>924</v>
      </c>
    </row>
    <row r="31" spans="2:9" x14ac:dyDescent="0.25">
      <c r="B31" s="14" t="s">
        <v>928</v>
      </c>
      <c r="C31" s="22">
        <f>SUM(C6:C30)</f>
        <v>28</v>
      </c>
      <c r="D31" s="59">
        <f>SUM(D6:D30)</f>
        <v>0.51851851851851849</v>
      </c>
      <c r="E31" s="15"/>
      <c r="F31" s="15"/>
      <c r="G31" s="15"/>
      <c r="H31" s="56">
        <f>SUM(H6:H30)</f>
        <v>317.49648148148145</v>
      </c>
      <c r="I31" s="14"/>
    </row>
    <row r="32" spans="2:9" ht="36" customHeight="1" x14ac:dyDescent="0.25">
      <c r="B32" s="43" t="s">
        <v>929</v>
      </c>
      <c r="H32" s="54">
        <f>H31</f>
        <v>317.49648148148145</v>
      </c>
      <c r="I32" s="45" t="s">
        <v>930</v>
      </c>
    </row>
    <row r="33" spans="1:9" ht="24" customHeight="1" x14ac:dyDescent="0.25">
      <c r="B33" s="43" t="s">
        <v>931</v>
      </c>
      <c r="H33" s="60">
        <v>881.2</v>
      </c>
      <c r="I33" s="45" t="s">
        <v>932</v>
      </c>
    </row>
    <row r="34" spans="1:9" ht="36" customHeight="1" x14ac:dyDescent="0.25">
      <c r="B34" s="6" t="s">
        <v>933</v>
      </c>
      <c r="H34" s="61">
        <f>IF(H32&gt;0,H32,H33)</f>
        <v>317.49648148148145</v>
      </c>
      <c r="I34" s="45" t="s">
        <v>934</v>
      </c>
    </row>
    <row r="36" spans="1:9" x14ac:dyDescent="0.25">
      <c r="A36" s="150" t="s">
        <v>935</v>
      </c>
      <c r="B36" s="149"/>
      <c r="C36" s="149"/>
      <c r="D36" s="149"/>
      <c r="E36" s="149"/>
      <c r="F36" s="149"/>
      <c r="G36" s="149"/>
      <c r="H36" s="149"/>
      <c r="I36" s="149"/>
    </row>
    <row r="37" spans="1:9" ht="24" customHeight="1" x14ac:dyDescent="0.25">
      <c r="B37" s="46" t="s">
        <v>916</v>
      </c>
      <c r="C37" s="46" t="s">
        <v>917</v>
      </c>
      <c r="D37" s="46" t="s">
        <v>918</v>
      </c>
      <c r="E37" s="46" t="s">
        <v>919</v>
      </c>
      <c r="F37" s="46" t="s">
        <v>920</v>
      </c>
      <c r="G37" s="46" t="s">
        <v>921</v>
      </c>
      <c r="H37" s="46" t="s">
        <v>922</v>
      </c>
      <c r="I37" s="46" t="s">
        <v>881</v>
      </c>
    </row>
    <row r="38" spans="1:9" ht="24" customHeight="1" x14ac:dyDescent="0.25">
      <c r="B38" s="43" t="s">
        <v>620</v>
      </c>
      <c r="C38" s="11">
        <f t="shared" ref="C38:C62" si="5">COUNTIFS(CAD_TIPO,$B38,CAD_CONTR,"SANTOS")</f>
        <v>0</v>
      </c>
      <c r="D38" s="58" t="str">
        <f t="shared" ref="D38:D62" si="6">IF(COUNTIFS(CAD_CONTR,"SANTOS")=0,"",C38/COUNTIFS(CAD_CONTR,"SANTOS"))</f>
        <v/>
      </c>
      <c r="E38" s="21"/>
      <c r="F38" s="8" t="str">
        <f t="shared" ref="F38:F62" si="7">IFERROR(IF($E38="","",VLOOKUP($E38,PRE_TAB,5,FALSE)),"CÓDIGO NÃO ENCONTRADO")</f>
        <v/>
      </c>
      <c r="G38" s="55" t="str">
        <f t="shared" ref="G38:G62" si="8">IFERROR(IF($E38="","",VLOOKUP($E38,PRE_TAB,8,FALSE)),"")</f>
        <v/>
      </c>
      <c r="H38" s="54">
        <f t="shared" ref="H38:H62" si="9">IF(OR($D38="",$G38=""),0,$D38*$G38)</f>
        <v>0</v>
      </c>
      <c r="I38" s="45" t="s">
        <v>924</v>
      </c>
    </row>
    <row r="39" spans="1:9" ht="24" customHeight="1" x14ac:dyDescent="0.25">
      <c r="B39" s="43" t="s">
        <v>643</v>
      </c>
      <c r="C39" s="11">
        <f t="shared" si="5"/>
        <v>0</v>
      </c>
      <c r="D39" s="58" t="str">
        <f t="shared" si="6"/>
        <v/>
      </c>
      <c r="E39" s="21"/>
      <c r="F39" s="8" t="str">
        <f t="shared" si="7"/>
        <v/>
      </c>
      <c r="G39" s="55" t="str">
        <f t="shared" si="8"/>
        <v/>
      </c>
      <c r="H39" s="54">
        <f t="shared" si="9"/>
        <v>0</v>
      </c>
      <c r="I39" s="45" t="s">
        <v>924</v>
      </c>
    </row>
    <row r="40" spans="1:9" ht="24" customHeight="1" x14ac:dyDescent="0.25">
      <c r="B40" s="43" t="s">
        <v>665</v>
      </c>
      <c r="C40" s="11">
        <f t="shared" si="5"/>
        <v>0</v>
      </c>
      <c r="D40" s="58" t="str">
        <f t="shared" si="6"/>
        <v/>
      </c>
      <c r="E40" s="21"/>
      <c r="F40" s="8" t="str">
        <f t="shared" si="7"/>
        <v/>
      </c>
      <c r="G40" s="55" t="str">
        <f t="shared" si="8"/>
        <v/>
      </c>
      <c r="H40" s="54">
        <f t="shared" si="9"/>
        <v>0</v>
      </c>
      <c r="I40" s="45" t="s">
        <v>924</v>
      </c>
    </row>
    <row r="41" spans="1:9" ht="24" customHeight="1" x14ac:dyDescent="0.25">
      <c r="B41" s="43" t="s">
        <v>688</v>
      </c>
      <c r="C41" s="11">
        <f t="shared" si="5"/>
        <v>0</v>
      </c>
      <c r="D41" s="58" t="str">
        <f t="shared" si="6"/>
        <v/>
      </c>
      <c r="E41" s="21"/>
      <c r="F41" s="8" t="str">
        <f t="shared" si="7"/>
        <v/>
      </c>
      <c r="G41" s="55" t="str">
        <f t="shared" si="8"/>
        <v/>
      </c>
      <c r="H41" s="54">
        <f t="shared" si="9"/>
        <v>0</v>
      </c>
      <c r="I41" s="45" t="s">
        <v>924</v>
      </c>
    </row>
    <row r="42" spans="1:9" ht="24" customHeight="1" x14ac:dyDescent="0.25">
      <c r="B42" s="43" t="s">
        <v>708</v>
      </c>
      <c r="C42" s="11">
        <f t="shared" si="5"/>
        <v>0</v>
      </c>
      <c r="D42" s="58" t="str">
        <f t="shared" si="6"/>
        <v/>
      </c>
      <c r="E42" s="21"/>
      <c r="F42" s="8" t="str">
        <f t="shared" si="7"/>
        <v/>
      </c>
      <c r="G42" s="55" t="str">
        <f t="shared" si="8"/>
        <v/>
      </c>
      <c r="H42" s="54">
        <f t="shared" si="9"/>
        <v>0</v>
      </c>
      <c r="I42" s="45" t="s">
        <v>924</v>
      </c>
    </row>
    <row r="43" spans="1:9" ht="24" customHeight="1" x14ac:dyDescent="0.25">
      <c r="B43" s="43" t="s">
        <v>728</v>
      </c>
      <c r="C43" s="11">
        <f t="shared" si="5"/>
        <v>0</v>
      </c>
      <c r="D43" s="58" t="str">
        <f t="shared" si="6"/>
        <v/>
      </c>
      <c r="E43" s="21"/>
      <c r="F43" s="8" t="str">
        <f t="shared" si="7"/>
        <v/>
      </c>
      <c r="G43" s="55" t="str">
        <f t="shared" si="8"/>
        <v/>
      </c>
      <c r="H43" s="54">
        <f t="shared" si="9"/>
        <v>0</v>
      </c>
      <c r="I43" s="45" t="s">
        <v>924</v>
      </c>
    </row>
    <row r="44" spans="1:9" ht="24" customHeight="1" x14ac:dyDescent="0.25">
      <c r="B44" s="43" t="s">
        <v>741</v>
      </c>
      <c r="C44" s="11">
        <f t="shared" si="5"/>
        <v>0</v>
      </c>
      <c r="D44" s="58" t="str">
        <f t="shared" si="6"/>
        <v/>
      </c>
      <c r="E44" s="21"/>
      <c r="F44" s="8" t="str">
        <f t="shared" si="7"/>
        <v/>
      </c>
      <c r="G44" s="55" t="str">
        <f t="shared" si="8"/>
        <v/>
      </c>
      <c r="H44" s="54">
        <f t="shared" si="9"/>
        <v>0</v>
      </c>
      <c r="I44" s="45" t="s">
        <v>924</v>
      </c>
    </row>
    <row r="45" spans="1:9" ht="24" customHeight="1" x14ac:dyDescent="0.25">
      <c r="B45" s="43" t="s">
        <v>754</v>
      </c>
      <c r="C45" s="11">
        <f t="shared" si="5"/>
        <v>0</v>
      </c>
      <c r="D45" s="58" t="str">
        <f t="shared" si="6"/>
        <v/>
      </c>
      <c r="E45" s="21"/>
      <c r="F45" s="8" t="str">
        <f t="shared" si="7"/>
        <v/>
      </c>
      <c r="G45" s="55" t="str">
        <f t="shared" si="8"/>
        <v/>
      </c>
      <c r="H45" s="54">
        <f t="shared" si="9"/>
        <v>0</v>
      </c>
      <c r="I45" s="45" t="s">
        <v>924</v>
      </c>
    </row>
    <row r="46" spans="1:9" ht="24" customHeight="1" x14ac:dyDescent="0.25">
      <c r="B46" s="43" t="s">
        <v>764</v>
      </c>
      <c r="C46" s="11">
        <f t="shared" si="5"/>
        <v>0</v>
      </c>
      <c r="D46" s="58" t="str">
        <f t="shared" si="6"/>
        <v/>
      </c>
      <c r="E46" s="21"/>
      <c r="F46" s="8" t="str">
        <f t="shared" si="7"/>
        <v/>
      </c>
      <c r="G46" s="55" t="str">
        <f t="shared" si="8"/>
        <v/>
      </c>
      <c r="H46" s="54">
        <f t="shared" si="9"/>
        <v>0</v>
      </c>
      <c r="I46" s="45" t="s">
        <v>924</v>
      </c>
    </row>
    <row r="47" spans="1:9" ht="24" customHeight="1" x14ac:dyDescent="0.25">
      <c r="B47" s="43" t="s">
        <v>775</v>
      </c>
      <c r="C47" s="11">
        <f t="shared" si="5"/>
        <v>0</v>
      </c>
      <c r="D47" s="58" t="str">
        <f t="shared" si="6"/>
        <v/>
      </c>
      <c r="E47" s="21"/>
      <c r="F47" s="8" t="str">
        <f t="shared" si="7"/>
        <v/>
      </c>
      <c r="G47" s="55" t="str">
        <f t="shared" si="8"/>
        <v/>
      </c>
      <c r="H47" s="54">
        <f t="shared" si="9"/>
        <v>0</v>
      </c>
      <c r="I47" s="45" t="s">
        <v>924</v>
      </c>
    </row>
    <row r="48" spans="1:9" ht="24" customHeight="1" x14ac:dyDescent="0.25">
      <c r="B48" s="43" t="s">
        <v>784</v>
      </c>
      <c r="C48" s="11">
        <f t="shared" si="5"/>
        <v>0</v>
      </c>
      <c r="D48" s="58" t="str">
        <f t="shared" si="6"/>
        <v/>
      </c>
      <c r="E48" s="21"/>
      <c r="F48" s="8" t="str">
        <f t="shared" si="7"/>
        <v/>
      </c>
      <c r="G48" s="55" t="str">
        <f t="shared" si="8"/>
        <v/>
      </c>
      <c r="H48" s="54">
        <f t="shared" si="9"/>
        <v>0</v>
      </c>
      <c r="I48" s="45" t="s">
        <v>924</v>
      </c>
    </row>
    <row r="49" spans="2:9" ht="24" customHeight="1" x14ac:dyDescent="0.25">
      <c r="B49" s="43" t="s">
        <v>792</v>
      </c>
      <c r="C49" s="11">
        <f t="shared" si="5"/>
        <v>0</v>
      </c>
      <c r="D49" s="58" t="str">
        <f t="shared" si="6"/>
        <v/>
      </c>
      <c r="E49" s="21"/>
      <c r="F49" s="8" t="str">
        <f t="shared" si="7"/>
        <v/>
      </c>
      <c r="G49" s="55" t="str">
        <f t="shared" si="8"/>
        <v/>
      </c>
      <c r="H49" s="54">
        <f t="shared" si="9"/>
        <v>0</v>
      </c>
      <c r="I49" s="45" t="s">
        <v>924</v>
      </c>
    </row>
    <row r="50" spans="2:9" ht="24" customHeight="1" x14ac:dyDescent="0.25">
      <c r="B50" s="43" t="s">
        <v>799</v>
      </c>
      <c r="C50" s="11">
        <f t="shared" si="5"/>
        <v>0</v>
      </c>
      <c r="D50" s="58" t="str">
        <f t="shared" si="6"/>
        <v/>
      </c>
      <c r="E50" s="21"/>
      <c r="F50" s="8" t="str">
        <f t="shared" si="7"/>
        <v/>
      </c>
      <c r="G50" s="55" t="str">
        <f t="shared" si="8"/>
        <v/>
      </c>
      <c r="H50" s="54">
        <f t="shared" si="9"/>
        <v>0</v>
      </c>
      <c r="I50" s="45" t="s">
        <v>924</v>
      </c>
    </row>
    <row r="51" spans="2:9" ht="24" customHeight="1" x14ac:dyDescent="0.25">
      <c r="B51" s="43" t="s">
        <v>804</v>
      </c>
      <c r="C51" s="11">
        <f t="shared" si="5"/>
        <v>0</v>
      </c>
      <c r="D51" s="58" t="str">
        <f t="shared" si="6"/>
        <v/>
      </c>
      <c r="E51" s="21"/>
      <c r="F51" s="8" t="str">
        <f t="shared" si="7"/>
        <v/>
      </c>
      <c r="G51" s="55" t="str">
        <f t="shared" si="8"/>
        <v/>
      </c>
      <c r="H51" s="54">
        <f t="shared" si="9"/>
        <v>0</v>
      </c>
      <c r="I51" s="45" t="s">
        <v>924</v>
      </c>
    </row>
    <row r="52" spans="2:9" ht="24" customHeight="1" x14ac:dyDescent="0.25">
      <c r="B52" s="43" t="s">
        <v>808</v>
      </c>
      <c r="C52" s="11">
        <f t="shared" si="5"/>
        <v>0</v>
      </c>
      <c r="D52" s="58" t="str">
        <f t="shared" si="6"/>
        <v/>
      </c>
      <c r="E52" s="21"/>
      <c r="F52" s="8" t="str">
        <f t="shared" si="7"/>
        <v/>
      </c>
      <c r="G52" s="55" t="str">
        <f t="shared" si="8"/>
        <v/>
      </c>
      <c r="H52" s="54">
        <f t="shared" si="9"/>
        <v>0</v>
      </c>
      <c r="I52" s="45" t="s">
        <v>924</v>
      </c>
    </row>
    <row r="53" spans="2:9" ht="24" customHeight="1" x14ac:dyDescent="0.25">
      <c r="B53" s="43" t="s">
        <v>811</v>
      </c>
      <c r="C53" s="11">
        <f t="shared" si="5"/>
        <v>0</v>
      </c>
      <c r="D53" s="58" t="str">
        <f t="shared" si="6"/>
        <v/>
      </c>
      <c r="E53" s="21"/>
      <c r="F53" s="8" t="str">
        <f t="shared" si="7"/>
        <v/>
      </c>
      <c r="G53" s="55" t="str">
        <f t="shared" si="8"/>
        <v/>
      </c>
      <c r="H53" s="54">
        <f t="shared" si="9"/>
        <v>0</v>
      </c>
      <c r="I53" s="45" t="s">
        <v>924</v>
      </c>
    </row>
    <row r="54" spans="2:9" ht="24" customHeight="1" x14ac:dyDescent="0.25">
      <c r="B54" s="43" t="s">
        <v>814</v>
      </c>
      <c r="C54" s="11">
        <f t="shared" si="5"/>
        <v>0</v>
      </c>
      <c r="D54" s="58" t="str">
        <f t="shared" si="6"/>
        <v/>
      </c>
      <c r="E54" s="21"/>
      <c r="F54" s="8" t="str">
        <f t="shared" si="7"/>
        <v/>
      </c>
      <c r="G54" s="55" t="str">
        <f t="shared" si="8"/>
        <v/>
      </c>
      <c r="H54" s="54">
        <f t="shared" si="9"/>
        <v>0</v>
      </c>
      <c r="I54" s="45" t="s">
        <v>924</v>
      </c>
    </row>
    <row r="55" spans="2:9" ht="24" customHeight="1" x14ac:dyDescent="0.25">
      <c r="B55" s="43" t="s">
        <v>817</v>
      </c>
      <c r="C55" s="11">
        <f t="shared" si="5"/>
        <v>0</v>
      </c>
      <c r="D55" s="58" t="str">
        <f t="shared" si="6"/>
        <v/>
      </c>
      <c r="E55" s="21"/>
      <c r="F55" s="8" t="str">
        <f t="shared" si="7"/>
        <v/>
      </c>
      <c r="G55" s="55" t="str">
        <f t="shared" si="8"/>
        <v/>
      </c>
      <c r="H55" s="54">
        <f t="shared" si="9"/>
        <v>0</v>
      </c>
      <c r="I55" s="45" t="s">
        <v>924</v>
      </c>
    </row>
    <row r="56" spans="2:9" ht="24" customHeight="1" x14ac:dyDescent="0.25">
      <c r="B56" s="43" t="s">
        <v>820</v>
      </c>
      <c r="C56" s="11">
        <f t="shared" si="5"/>
        <v>0</v>
      </c>
      <c r="D56" s="58" t="str">
        <f t="shared" si="6"/>
        <v/>
      </c>
      <c r="E56" s="21"/>
      <c r="F56" s="8" t="str">
        <f t="shared" si="7"/>
        <v/>
      </c>
      <c r="G56" s="55" t="str">
        <f t="shared" si="8"/>
        <v/>
      </c>
      <c r="H56" s="54">
        <f t="shared" si="9"/>
        <v>0</v>
      </c>
      <c r="I56" s="45" t="s">
        <v>924</v>
      </c>
    </row>
    <row r="57" spans="2:9" ht="24" customHeight="1" x14ac:dyDescent="0.25">
      <c r="B57" s="43" t="s">
        <v>823</v>
      </c>
      <c r="C57" s="11">
        <f t="shared" si="5"/>
        <v>0</v>
      </c>
      <c r="D57" s="58" t="str">
        <f t="shared" si="6"/>
        <v/>
      </c>
      <c r="E57" s="21"/>
      <c r="F57" s="8" t="str">
        <f t="shared" si="7"/>
        <v/>
      </c>
      <c r="G57" s="55" t="str">
        <f t="shared" si="8"/>
        <v/>
      </c>
      <c r="H57" s="54">
        <f t="shared" si="9"/>
        <v>0</v>
      </c>
      <c r="I57" s="45" t="s">
        <v>924</v>
      </c>
    </row>
    <row r="58" spans="2:9" ht="24" customHeight="1" x14ac:dyDescent="0.25">
      <c r="B58" s="43" t="s">
        <v>826</v>
      </c>
      <c r="C58" s="11">
        <f t="shared" si="5"/>
        <v>0</v>
      </c>
      <c r="D58" s="58" t="str">
        <f t="shared" si="6"/>
        <v/>
      </c>
      <c r="E58" s="21"/>
      <c r="F58" s="8" t="str">
        <f t="shared" si="7"/>
        <v/>
      </c>
      <c r="G58" s="55" t="str">
        <f t="shared" si="8"/>
        <v/>
      </c>
      <c r="H58" s="54">
        <f t="shared" si="9"/>
        <v>0</v>
      </c>
      <c r="I58" s="45" t="s">
        <v>924</v>
      </c>
    </row>
    <row r="59" spans="2:9" ht="24" customHeight="1" x14ac:dyDescent="0.25">
      <c r="B59" s="43" t="s">
        <v>829</v>
      </c>
      <c r="C59" s="11">
        <f t="shared" si="5"/>
        <v>0</v>
      </c>
      <c r="D59" s="58" t="str">
        <f t="shared" si="6"/>
        <v/>
      </c>
      <c r="E59" s="21"/>
      <c r="F59" s="8" t="str">
        <f t="shared" si="7"/>
        <v/>
      </c>
      <c r="G59" s="55" t="str">
        <f t="shared" si="8"/>
        <v/>
      </c>
      <c r="H59" s="54">
        <f t="shared" si="9"/>
        <v>0</v>
      </c>
      <c r="I59" s="45" t="s">
        <v>924</v>
      </c>
    </row>
    <row r="60" spans="2:9" ht="24" customHeight="1" x14ac:dyDescent="0.25">
      <c r="B60" s="43" t="s">
        <v>832</v>
      </c>
      <c r="C60" s="11">
        <f t="shared" si="5"/>
        <v>0</v>
      </c>
      <c r="D60" s="58" t="str">
        <f t="shared" si="6"/>
        <v/>
      </c>
      <c r="E60" s="21"/>
      <c r="F60" s="8" t="str">
        <f t="shared" si="7"/>
        <v/>
      </c>
      <c r="G60" s="55" t="str">
        <f t="shared" si="8"/>
        <v/>
      </c>
      <c r="H60" s="54">
        <f t="shared" si="9"/>
        <v>0</v>
      </c>
      <c r="I60" s="45" t="s">
        <v>924</v>
      </c>
    </row>
    <row r="61" spans="2:9" ht="24" customHeight="1" x14ac:dyDescent="0.25">
      <c r="B61" s="43" t="s">
        <v>835</v>
      </c>
      <c r="C61" s="11">
        <f t="shared" si="5"/>
        <v>0</v>
      </c>
      <c r="D61" s="58" t="str">
        <f t="shared" si="6"/>
        <v/>
      </c>
      <c r="E61" s="21"/>
      <c r="F61" s="8" t="str">
        <f t="shared" si="7"/>
        <v/>
      </c>
      <c r="G61" s="55" t="str">
        <f t="shared" si="8"/>
        <v/>
      </c>
      <c r="H61" s="54">
        <f t="shared" si="9"/>
        <v>0</v>
      </c>
      <c r="I61" s="45" t="s">
        <v>924</v>
      </c>
    </row>
    <row r="62" spans="2:9" ht="24" customHeight="1" x14ac:dyDescent="0.25">
      <c r="B62" s="43" t="s">
        <v>777</v>
      </c>
      <c r="C62" s="11">
        <f t="shared" si="5"/>
        <v>0</v>
      </c>
      <c r="D62" s="58" t="str">
        <f t="shared" si="6"/>
        <v/>
      </c>
      <c r="E62" s="21"/>
      <c r="F62" s="8" t="str">
        <f t="shared" si="7"/>
        <v/>
      </c>
      <c r="G62" s="55" t="str">
        <f t="shared" si="8"/>
        <v/>
      </c>
      <c r="H62" s="54">
        <f t="shared" si="9"/>
        <v>0</v>
      </c>
      <c r="I62" s="45" t="s">
        <v>924</v>
      </c>
    </row>
    <row r="63" spans="2:9" x14ac:dyDescent="0.25">
      <c r="B63" s="14" t="s">
        <v>928</v>
      </c>
      <c r="C63" s="22">
        <f>SUM(C38:C62)</f>
        <v>0</v>
      </c>
      <c r="D63" s="59">
        <f>SUM(D38:D62)</f>
        <v>0</v>
      </c>
      <c r="E63" s="15"/>
      <c r="F63" s="15"/>
      <c r="G63" s="15"/>
      <c r="H63" s="56">
        <f>SUM(H38:H62)</f>
        <v>0</v>
      </c>
      <c r="I63" s="14"/>
    </row>
    <row r="64" spans="2:9" ht="36" customHeight="1" x14ac:dyDescent="0.25">
      <c r="B64" s="43" t="s">
        <v>929</v>
      </c>
      <c r="H64" s="54">
        <f>H63</f>
        <v>0</v>
      </c>
      <c r="I64" s="45" t="s">
        <v>930</v>
      </c>
    </row>
    <row r="65" spans="2:9" ht="24" customHeight="1" x14ac:dyDescent="0.25">
      <c r="B65" s="43" t="s">
        <v>931</v>
      </c>
      <c r="H65" s="60">
        <v>1338.83</v>
      </c>
      <c r="I65" s="45" t="s">
        <v>936</v>
      </c>
    </row>
    <row r="66" spans="2:9" ht="36" customHeight="1" x14ac:dyDescent="0.25">
      <c r="B66" s="6" t="s">
        <v>933</v>
      </c>
      <c r="H66" s="61">
        <f>IF(H64&gt;0,H64,H65)</f>
        <v>1338.83</v>
      </c>
      <c r="I66" s="45" t="s">
        <v>934</v>
      </c>
    </row>
  </sheetData>
  <mergeCells count="12">
    <mergeCell ref="L7:Q7"/>
    <mergeCell ref="A2:I2"/>
    <mergeCell ref="L1:Q1"/>
    <mergeCell ref="L5:Q5"/>
    <mergeCell ref="A36:I36"/>
    <mergeCell ref="A1:I1"/>
    <mergeCell ref="L8:Q8"/>
    <mergeCell ref="L3:Q3"/>
    <mergeCell ref="A4:I4"/>
    <mergeCell ref="L4:Q4"/>
    <mergeCell ref="L2:Q2"/>
    <mergeCell ref="L6:Q6"/>
  </mergeCells>
  <conditionalFormatting sqref="F5:F68">
    <cfRule type="cellIs" dxfId="70" priority="1" operator="equal">
      <formula>"CÓDIGO NÃO ENCONTRADO"</formula>
    </cfRule>
  </conditionalFormatting>
  <printOptions horizontalCentered="1"/>
  <pageMargins left="0.3" right="0.3" top="0.5" bottom="0.5" header="0.5" footer="0.5"/>
  <pageSetup paperSize="9" fitToHeight="0" orientation="landscape"/>
  <headerFooter>
    <oddFooter>&amp;L&amp;8 WCR Saneamento — Controle Operacional SABESP&amp;R&amp;8 Página &amp;P de &amp;N</oddFooter>
  </headerFooter>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7F7F7F"/>
    <pageSetUpPr fitToPage="1"/>
  </sheetPr>
  <dimension ref="A1:T531"/>
  <sheetViews>
    <sheetView showGridLines="0" workbookViewId="0">
      <pane ySplit="4" topLeftCell="A5" activePane="bottomLeft" state="frozen"/>
      <selection pane="bottomLeft" activeCell="C66" sqref="C66"/>
    </sheetView>
  </sheetViews>
  <sheetFormatPr defaultRowHeight="15" x14ac:dyDescent="0.25"/>
  <cols>
    <col min="1" max="1" width="22" style="109" customWidth="1"/>
    <col min="2" max="2" width="14" style="109" customWidth="1"/>
    <col min="3" max="3" width="34" style="109" customWidth="1"/>
    <col min="4" max="4" width="13" style="109" customWidth="1"/>
    <col min="5" max="5" width="46" style="109" customWidth="1"/>
    <col min="6" max="6" width="12" style="109" customWidth="1"/>
    <col min="7" max="7" width="7" style="109" customWidth="1"/>
    <col min="8" max="8" width="13" style="109" customWidth="1"/>
    <col min="9" max="9" width="9" style="109" customWidth="1"/>
    <col min="10" max="10" width="10" style="109" customWidth="1"/>
    <col min="11" max="11" width="26" style="109" customWidth="1"/>
    <col min="12" max="12" width="60" style="109" customWidth="1"/>
    <col min="15" max="20" width="10.42578125" style="109" customWidth="1"/>
  </cols>
  <sheetData>
    <row r="1" spans="1:20" ht="26.1" customHeight="1" x14ac:dyDescent="0.25">
      <c r="A1" s="151" t="s">
        <v>937</v>
      </c>
      <c r="B1" s="149"/>
      <c r="C1" s="149"/>
      <c r="D1" s="149"/>
      <c r="E1" s="149"/>
      <c r="F1" s="149"/>
      <c r="G1" s="149"/>
      <c r="H1" s="149"/>
      <c r="I1" s="149"/>
      <c r="O1" s="154" t="s">
        <v>280</v>
      </c>
      <c r="P1" s="155"/>
      <c r="Q1" s="155"/>
      <c r="R1" s="155"/>
      <c r="S1" s="155"/>
      <c r="T1" s="156"/>
    </row>
    <row r="2" spans="1:20" ht="14.1" customHeight="1" x14ac:dyDescent="0.25">
      <c r="A2" s="153" t="s">
        <v>938</v>
      </c>
      <c r="B2" s="149"/>
      <c r="C2" s="149"/>
      <c r="D2" s="149"/>
      <c r="E2" s="149"/>
      <c r="F2" s="149"/>
      <c r="G2" s="149"/>
      <c r="H2" s="149"/>
      <c r="I2" s="149"/>
      <c r="J2" s="23" t="s">
        <v>939</v>
      </c>
      <c r="K2" s="24"/>
      <c r="L2" s="94" t="s">
        <v>940</v>
      </c>
      <c r="O2" s="158" t="s">
        <v>43</v>
      </c>
      <c r="P2" s="155"/>
      <c r="Q2" s="155"/>
      <c r="R2" s="155"/>
      <c r="S2" s="155"/>
      <c r="T2" s="156"/>
    </row>
    <row r="3" spans="1:20" x14ac:dyDescent="0.25">
      <c r="O3" s="157" t="s">
        <v>44</v>
      </c>
      <c r="P3" s="155"/>
      <c r="Q3" s="155"/>
      <c r="R3" s="155"/>
      <c r="S3" s="155"/>
      <c r="T3" s="156"/>
    </row>
    <row r="4" spans="1:20" ht="32.1" customHeight="1" x14ac:dyDescent="0.25">
      <c r="A4" s="46" t="s">
        <v>941</v>
      </c>
      <c r="B4" s="46" t="s">
        <v>591</v>
      </c>
      <c r="C4" s="46" t="s">
        <v>942</v>
      </c>
      <c r="D4" s="46" t="s">
        <v>943</v>
      </c>
      <c r="E4" s="46" t="s">
        <v>944</v>
      </c>
      <c r="F4" s="46" t="s">
        <v>945</v>
      </c>
      <c r="G4" s="46" t="s">
        <v>560</v>
      </c>
      <c r="H4" s="46" t="s">
        <v>946</v>
      </c>
      <c r="I4" s="46" t="s">
        <v>947</v>
      </c>
      <c r="O4" s="157" t="s">
        <v>45</v>
      </c>
      <c r="P4" s="155"/>
      <c r="Q4" s="155"/>
      <c r="R4" s="155"/>
      <c r="S4" s="155"/>
      <c r="T4" s="156"/>
    </row>
    <row r="5" spans="1:20" ht="24" hidden="1" customHeight="1" x14ac:dyDescent="0.25">
      <c r="A5" s="25" t="s">
        <v>948</v>
      </c>
      <c r="B5" s="25" t="s">
        <v>529</v>
      </c>
      <c r="C5" s="26" t="s">
        <v>949</v>
      </c>
      <c r="D5" s="27"/>
      <c r="E5" s="28" t="s">
        <v>950</v>
      </c>
      <c r="F5" s="25" t="s">
        <v>951</v>
      </c>
      <c r="G5" s="27" t="s">
        <v>952</v>
      </c>
      <c r="H5" s="62">
        <v>60.95</v>
      </c>
      <c r="I5" s="27" t="str">
        <f t="shared" ref="I5:I68" si="0">IF($K$2="","",IF(ISNUMBER(SEARCH($K$2,$E5&amp;$F5)),1,""))</f>
        <v/>
      </c>
      <c r="O5" s="158" t="s">
        <v>46</v>
      </c>
      <c r="P5" s="155"/>
      <c r="Q5" s="155"/>
      <c r="R5" s="155"/>
      <c r="S5" s="155"/>
      <c r="T5" s="156"/>
    </row>
    <row r="6" spans="1:20" ht="24" customHeight="1" x14ac:dyDescent="0.25">
      <c r="A6" s="25" t="s">
        <v>953</v>
      </c>
      <c r="B6" s="25" t="s">
        <v>529</v>
      </c>
      <c r="C6" s="26" t="s">
        <v>949</v>
      </c>
      <c r="D6" s="27"/>
      <c r="E6" s="28" t="s">
        <v>954</v>
      </c>
      <c r="F6" s="25" t="s">
        <v>955</v>
      </c>
      <c r="G6" s="27" t="s">
        <v>952</v>
      </c>
      <c r="H6" s="62">
        <v>151.81</v>
      </c>
      <c r="I6" s="27" t="str">
        <f t="shared" si="0"/>
        <v/>
      </c>
      <c r="O6" s="157" t="s">
        <v>47</v>
      </c>
      <c r="P6" s="155"/>
      <c r="Q6" s="155"/>
      <c r="R6" s="155"/>
      <c r="S6" s="155"/>
      <c r="T6" s="156"/>
    </row>
    <row r="7" spans="1:20" ht="24" hidden="1" customHeight="1" x14ac:dyDescent="0.25">
      <c r="A7" s="25" t="s">
        <v>956</v>
      </c>
      <c r="B7" s="25" t="s">
        <v>529</v>
      </c>
      <c r="C7" s="26" t="s">
        <v>949</v>
      </c>
      <c r="D7" s="27"/>
      <c r="E7" s="28" t="s">
        <v>957</v>
      </c>
      <c r="F7" s="25" t="s">
        <v>958</v>
      </c>
      <c r="G7" s="27" t="s">
        <v>952</v>
      </c>
      <c r="H7" s="62">
        <v>202.39</v>
      </c>
      <c r="I7" s="27" t="str">
        <f t="shared" si="0"/>
        <v/>
      </c>
      <c r="O7" s="157" t="s">
        <v>48</v>
      </c>
      <c r="P7" s="155"/>
      <c r="Q7" s="155"/>
      <c r="R7" s="155"/>
      <c r="S7" s="155"/>
      <c r="T7" s="156"/>
    </row>
    <row r="8" spans="1:20" ht="24" customHeight="1" x14ac:dyDescent="0.25">
      <c r="A8" s="25" t="s">
        <v>959</v>
      </c>
      <c r="B8" s="25" t="s">
        <v>529</v>
      </c>
      <c r="C8" s="26" t="s">
        <v>949</v>
      </c>
      <c r="D8" s="27"/>
      <c r="E8" s="28" t="s">
        <v>960</v>
      </c>
      <c r="F8" s="25" t="s">
        <v>961</v>
      </c>
      <c r="G8" s="27" t="s">
        <v>952</v>
      </c>
      <c r="H8" s="62">
        <v>282.67</v>
      </c>
      <c r="I8" s="27" t="str">
        <f t="shared" si="0"/>
        <v/>
      </c>
      <c r="O8" s="157" t="s">
        <v>49</v>
      </c>
      <c r="P8" s="155"/>
      <c r="Q8" s="155"/>
      <c r="R8" s="155"/>
      <c r="S8" s="155"/>
      <c r="T8" s="156"/>
    </row>
    <row r="9" spans="1:20" ht="24" hidden="1" customHeight="1" x14ac:dyDescent="0.25">
      <c r="A9" s="25" t="s">
        <v>962</v>
      </c>
      <c r="B9" s="25" t="s">
        <v>529</v>
      </c>
      <c r="C9" s="26" t="s">
        <v>949</v>
      </c>
      <c r="D9" s="27"/>
      <c r="E9" s="28" t="s">
        <v>963</v>
      </c>
      <c r="F9" s="25" t="s">
        <v>964</v>
      </c>
      <c r="G9" s="27" t="s">
        <v>952</v>
      </c>
      <c r="H9" s="62">
        <v>338.9</v>
      </c>
      <c r="I9" s="27" t="str">
        <f t="shared" si="0"/>
        <v/>
      </c>
    </row>
    <row r="10" spans="1:20" ht="24" hidden="1" customHeight="1" x14ac:dyDescent="0.25">
      <c r="A10" s="25" t="s">
        <v>965</v>
      </c>
      <c r="B10" s="25" t="s">
        <v>529</v>
      </c>
      <c r="C10" s="26" t="s">
        <v>949</v>
      </c>
      <c r="D10" s="27"/>
      <c r="E10" s="28" t="s">
        <v>966</v>
      </c>
      <c r="F10" s="25" t="s">
        <v>967</v>
      </c>
      <c r="G10" s="27" t="s">
        <v>952</v>
      </c>
      <c r="H10" s="62">
        <v>193.79</v>
      </c>
      <c r="I10" s="27" t="str">
        <f t="shared" si="0"/>
        <v/>
      </c>
    </row>
    <row r="11" spans="1:20" ht="24" hidden="1" customHeight="1" x14ac:dyDescent="0.25">
      <c r="A11" s="25" t="s">
        <v>968</v>
      </c>
      <c r="B11" s="25" t="s">
        <v>529</v>
      </c>
      <c r="C11" s="26" t="s">
        <v>949</v>
      </c>
      <c r="D11" s="27"/>
      <c r="E11" s="28" t="s">
        <v>969</v>
      </c>
      <c r="F11" s="25" t="s">
        <v>970</v>
      </c>
      <c r="G11" s="27" t="s">
        <v>952</v>
      </c>
      <c r="H11" s="62">
        <v>436.78</v>
      </c>
      <c r="I11" s="27" t="str">
        <f t="shared" si="0"/>
        <v/>
      </c>
    </row>
    <row r="12" spans="1:20" ht="24" hidden="1" customHeight="1" x14ac:dyDescent="0.25">
      <c r="A12" s="25" t="s">
        <v>971</v>
      </c>
      <c r="B12" s="25" t="s">
        <v>529</v>
      </c>
      <c r="C12" s="26" t="s">
        <v>949</v>
      </c>
      <c r="D12" s="27"/>
      <c r="E12" s="28" t="s">
        <v>972</v>
      </c>
      <c r="F12" s="25" t="s">
        <v>973</v>
      </c>
      <c r="G12" s="27" t="s">
        <v>952</v>
      </c>
      <c r="H12" s="62">
        <v>500.87</v>
      </c>
      <c r="I12" s="27" t="str">
        <f t="shared" si="0"/>
        <v/>
      </c>
    </row>
    <row r="13" spans="1:20" ht="24" hidden="1" customHeight="1" x14ac:dyDescent="0.25">
      <c r="A13" s="25" t="s">
        <v>974</v>
      </c>
      <c r="B13" s="25" t="s">
        <v>529</v>
      </c>
      <c r="C13" s="26" t="s">
        <v>949</v>
      </c>
      <c r="D13" s="27"/>
      <c r="E13" s="28" t="s">
        <v>975</v>
      </c>
      <c r="F13" s="25" t="s">
        <v>976</v>
      </c>
      <c r="G13" s="27" t="s">
        <v>952</v>
      </c>
      <c r="H13" s="62">
        <v>637.5</v>
      </c>
      <c r="I13" s="27" t="str">
        <f t="shared" si="0"/>
        <v/>
      </c>
    </row>
    <row r="14" spans="1:20" ht="24" hidden="1" customHeight="1" x14ac:dyDescent="0.25">
      <c r="A14" s="25" t="s">
        <v>977</v>
      </c>
      <c r="B14" s="25" t="s">
        <v>529</v>
      </c>
      <c r="C14" s="26" t="s">
        <v>949</v>
      </c>
      <c r="D14" s="27"/>
      <c r="E14" s="28" t="s">
        <v>978</v>
      </c>
      <c r="F14" s="25" t="s">
        <v>979</v>
      </c>
      <c r="G14" s="27" t="s">
        <v>952</v>
      </c>
      <c r="H14" s="62">
        <v>654.59</v>
      </c>
      <c r="I14" s="27" t="str">
        <f t="shared" si="0"/>
        <v/>
      </c>
    </row>
    <row r="15" spans="1:20" ht="24" hidden="1" customHeight="1" x14ac:dyDescent="0.25">
      <c r="A15" s="25" t="s">
        <v>980</v>
      </c>
      <c r="B15" s="25" t="s">
        <v>529</v>
      </c>
      <c r="C15" s="26" t="s">
        <v>949</v>
      </c>
      <c r="D15" s="27"/>
      <c r="E15" s="28" t="s">
        <v>981</v>
      </c>
      <c r="F15" s="25" t="s">
        <v>982</v>
      </c>
      <c r="G15" s="27" t="s">
        <v>952</v>
      </c>
      <c r="H15" s="62">
        <v>704.59</v>
      </c>
      <c r="I15" s="27" t="str">
        <f t="shared" si="0"/>
        <v/>
      </c>
    </row>
    <row r="16" spans="1:20" ht="24" hidden="1" customHeight="1" x14ac:dyDescent="0.25">
      <c r="A16" s="25" t="s">
        <v>983</v>
      </c>
      <c r="B16" s="25" t="s">
        <v>529</v>
      </c>
      <c r="C16" s="26" t="s">
        <v>949</v>
      </c>
      <c r="D16" s="27"/>
      <c r="E16" s="28" t="s">
        <v>984</v>
      </c>
      <c r="F16" s="25" t="s">
        <v>985</v>
      </c>
      <c r="G16" s="27" t="s">
        <v>952</v>
      </c>
      <c r="H16" s="62">
        <v>311.39</v>
      </c>
      <c r="I16" s="27" t="str">
        <f t="shared" si="0"/>
        <v/>
      </c>
    </row>
    <row r="17" spans="1:9" ht="24" hidden="1" customHeight="1" x14ac:dyDescent="0.25">
      <c r="A17" s="25" t="s">
        <v>986</v>
      </c>
      <c r="B17" s="25" t="s">
        <v>529</v>
      </c>
      <c r="C17" s="26" t="s">
        <v>949</v>
      </c>
      <c r="D17" s="27"/>
      <c r="E17" s="28" t="s">
        <v>987</v>
      </c>
      <c r="F17" s="25" t="s">
        <v>988</v>
      </c>
      <c r="G17" s="27" t="s">
        <v>952</v>
      </c>
      <c r="H17" s="62">
        <v>139.9</v>
      </c>
      <c r="I17" s="27" t="str">
        <f t="shared" si="0"/>
        <v/>
      </c>
    </row>
    <row r="18" spans="1:9" ht="24" hidden="1" customHeight="1" x14ac:dyDescent="0.25">
      <c r="A18" s="25" t="s">
        <v>989</v>
      </c>
      <c r="B18" s="25" t="s">
        <v>529</v>
      </c>
      <c r="C18" s="26" t="s">
        <v>949</v>
      </c>
      <c r="D18" s="27"/>
      <c r="E18" s="28" t="s">
        <v>990</v>
      </c>
      <c r="F18" s="25" t="s">
        <v>991</v>
      </c>
      <c r="G18" s="27" t="s">
        <v>952</v>
      </c>
      <c r="H18" s="62">
        <v>242.97</v>
      </c>
      <c r="I18" s="27" t="str">
        <f t="shared" si="0"/>
        <v/>
      </c>
    </row>
    <row r="19" spans="1:9" ht="24" hidden="1" customHeight="1" x14ac:dyDescent="0.25">
      <c r="A19" s="25" t="s">
        <v>992</v>
      </c>
      <c r="B19" s="25" t="s">
        <v>529</v>
      </c>
      <c r="C19" s="26" t="s">
        <v>949</v>
      </c>
      <c r="D19" s="27"/>
      <c r="E19" s="28" t="s">
        <v>993</v>
      </c>
      <c r="F19" s="25" t="s">
        <v>994</v>
      </c>
      <c r="G19" s="27" t="s">
        <v>952</v>
      </c>
      <c r="H19" s="62">
        <v>41.96</v>
      </c>
      <c r="I19" s="27" t="str">
        <f t="shared" si="0"/>
        <v/>
      </c>
    </row>
    <row r="20" spans="1:9" ht="24" hidden="1" customHeight="1" x14ac:dyDescent="0.25">
      <c r="A20" s="25" t="s">
        <v>995</v>
      </c>
      <c r="B20" s="25" t="s">
        <v>529</v>
      </c>
      <c r="C20" s="26" t="s">
        <v>949</v>
      </c>
      <c r="D20" s="27"/>
      <c r="E20" s="28" t="s">
        <v>996</v>
      </c>
      <c r="F20" s="25" t="s">
        <v>997</v>
      </c>
      <c r="G20" s="27" t="s">
        <v>952</v>
      </c>
      <c r="H20" s="62">
        <v>78.11</v>
      </c>
      <c r="I20" s="27" t="str">
        <f t="shared" si="0"/>
        <v/>
      </c>
    </row>
    <row r="21" spans="1:9" ht="24" hidden="1" customHeight="1" x14ac:dyDescent="0.25">
      <c r="A21" s="25" t="s">
        <v>998</v>
      </c>
      <c r="B21" s="25" t="s">
        <v>529</v>
      </c>
      <c r="C21" s="26" t="s">
        <v>949</v>
      </c>
      <c r="D21" s="27"/>
      <c r="E21" s="28" t="s">
        <v>999</v>
      </c>
      <c r="F21" s="25" t="s">
        <v>1000</v>
      </c>
      <c r="G21" s="27" t="s">
        <v>952</v>
      </c>
      <c r="H21" s="62">
        <v>114.25</v>
      </c>
      <c r="I21" s="27" t="str">
        <f t="shared" si="0"/>
        <v/>
      </c>
    </row>
    <row r="22" spans="1:9" ht="24" hidden="1" customHeight="1" x14ac:dyDescent="0.25">
      <c r="A22" s="25" t="s">
        <v>1001</v>
      </c>
      <c r="B22" s="25" t="s">
        <v>529</v>
      </c>
      <c r="C22" s="26" t="s">
        <v>949</v>
      </c>
      <c r="D22" s="27"/>
      <c r="E22" s="28" t="s">
        <v>1002</v>
      </c>
      <c r="F22" s="25" t="s">
        <v>1003</v>
      </c>
      <c r="G22" s="27" t="s">
        <v>952</v>
      </c>
      <c r="H22" s="62">
        <v>527.84</v>
      </c>
      <c r="I22" s="27" t="str">
        <f t="shared" si="0"/>
        <v/>
      </c>
    </row>
    <row r="23" spans="1:9" ht="24" hidden="1" customHeight="1" x14ac:dyDescent="0.25">
      <c r="A23" s="25" t="s">
        <v>1004</v>
      </c>
      <c r="B23" s="25" t="s">
        <v>529</v>
      </c>
      <c r="C23" s="26" t="s">
        <v>949</v>
      </c>
      <c r="D23" s="27"/>
      <c r="E23" s="28" t="s">
        <v>1005</v>
      </c>
      <c r="F23" s="25" t="s">
        <v>1006</v>
      </c>
      <c r="G23" s="27" t="s">
        <v>952</v>
      </c>
      <c r="H23" s="62">
        <v>407.22</v>
      </c>
      <c r="I23" s="27" t="str">
        <f t="shared" si="0"/>
        <v/>
      </c>
    </row>
    <row r="24" spans="1:9" ht="24" hidden="1" customHeight="1" x14ac:dyDescent="0.25">
      <c r="A24" s="25" t="s">
        <v>1007</v>
      </c>
      <c r="B24" s="25" t="s">
        <v>529</v>
      </c>
      <c r="C24" s="26" t="s">
        <v>949</v>
      </c>
      <c r="D24" s="27"/>
      <c r="E24" s="28" t="s">
        <v>1008</v>
      </c>
      <c r="F24" s="25" t="s">
        <v>1009</v>
      </c>
      <c r="G24" s="27" t="s">
        <v>952</v>
      </c>
      <c r="H24" s="62">
        <v>139.9</v>
      </c>
      <c r="I24" s="27" t="str">
        <f t="shared" si="0"/>
        <v/>
      </c>
    </row>
    <row r="25" spans="1:9" ht="24" hidden="1" customHeight="1" x14ac:dyDescent="0.25">
      <c r="A25" s="25" t="s">
        <v>1010</v>
      </c>
      <c r="B25" s="25" t="s">
        <v>529</v>
      </c>
      <c r="C25" s="26" t="s">
        <v>949</v>
      </c>
      <c r="D25" s="27"/>
      <c r="E25" s="28" t="s">
        <v>1011</v>
      </c>
      <c r="F25" s="25" t="s">
        <v>1012</v>
      </c>
      <c r="G25" s="27" t="s">
        <v>952</v>
      </c>
      <c r="H25" s="62">
        <v>242.97</v>
      </c>
      <c r="I25" s="27" t="str">
        <f t="shared" si="0"/>
        <v/>
      </c>
    </row>
    <row r="26" spans="1:9" ht="24" hidden="1" customHeight="1" x14ac:dyDescent="0.25">
      <c r="A26" s="25" t="s">
        <v>1013</v>
      </c>
      <c r="B26" s="25" t="s">
        <v>529</v>
      </c>
      <c r="C26" s="26" t="s">
        <v>949</v>
      </c>
      <c r="D26" s="27"/>
      <c r="E26" s="28" t="s">
        <v>1014</v>
      </c>
      <c r="F26" s="25" t="s">
        <v>1015</v>
      </c>
      <c r="G26" s="27" t="s">
        <v>952</v>
      </c>
      <c r="H26" s="62">
        <v>76.06</v>
      </c>
      <c r="I26" s="27" t="str">
        <f t="shared" si="0"/>
        <v/>
      </c>
    </row>
    <row r="27" spans="1:9" hidden="1" x14ac:dyDescent="0.25">
      <c r="A27" s="25" t="s">
        <v>1016</v>
      </c>
      <c r="B27" s="25" t="s">
        <v>529</v>
      </c>
      <c r="C27" s="26" t="s">
        <v>1017</v>
      </c>
      <c r="D27" s="27"/>
      <c r="E27" s="28" t="s">
        <v>1018</v>
      </c>
      <c r="F27" s="25" t="s">
        <v>1019</v>
      </c>
      <c r="G27" s="27" t="s">
        <v>952</v>
      </c>
      <c r="H27" s="62">
        <v>702.85</v>
      </c>
      <c r="I27" s="27" t="str">
        <f t="shared" si="0"/>
        <v/>
      </c>
    </row>
    <row r="28" spans="1:9" x14ac:dyDescent="0.25">
      <c r="A28" s="25" t="s">
        <v>923</v>
      </c>
      <c r="B28" s="25" t="s">
        <v>529</v>
      </c>
      <c r="C28" s="26" t="s">
        <v>1017</v>
      </c>
      <c r="D28" s="27"/>
      <c r="E28" s="28" t="s">
        <v>1020</v>
      </c>
      <c r="F28" s="25" t="s">
        <v>1021</v>
      </c>
      <c r="G28" s="27" t="s">
        <v>952</v>
      </c>
      <c r="H28" s="62">
        <v>787.5</v>
      </c>
      <c r="I28" s="27" t="str">
        <f t="shared" si="0"/>
        <v/>
      </c>
    </row>
    <row r="29" spans="1:9" hidden="1" x14ac:dyDescent="0.25">
      <c r="A29" s="25" t="s">
        <v>1022</v>
      </c>
      <c r="B29" s="25" t="s">
        <v>529</v>
      </c>
      <c r="C29" s="26" t="s">
        <v>1017</v>
      </c>
      <c r="D29" s="27"/>
      <c r="E29" s="28" t="s">
        <v>1023</v>
      </c>
      <c r="F29" s="25" t="s">
        <v>1024</v>
      </c>
      <c r="G29" s="27" t="s">
        <v>952</v>
      </c>
      <c r="H29" s="62">
        <v>798.5</v>
      </c>
      <c r="I29" s="27" t="str">
        <f t="shared" si="0"/>
        <v/>
      </c>
    </row>
    <row r="30" spans="1:9" x14ac:dyDescent="0.25">
      <c r="A30" s="25" t="s">
        <v>1025</v>
      </c>
      <c r="B30" s="25" t="s">
        <v>529</v>
      </c>
      <c r="C30" s="26" t="s">
        <v>1017</v>
      </c>
      <c r="D30" s="27"/>
      <c r="E30" s="28" t="s">
        <v>1026</v>
      </c>
      <c r="F30" s="25" t="s">
        <v>1027</v>
      </c>
      <c r="G30" s="27" t="s">
        <v>952</v>
      </c>
      <c r="H30" s="62">
        <v>803.46</v>
      </c>
      <c r="I30" s="27" t="str">
        <f t="shared" si="0"/>
        <v/>
      </c>
    </row>
    <row r="31" spans="1:9" hidden="1" x14ac:dyDescent="0.25">
      <c r="A31" s="25" t="s">
        <v>1028</v>
      </c>
      <c r="B31" s="25" t="s">
        <v>529</v>
      </c>
      <c r="C31" s="26" t="s">
        <v>1017</v>
      </c>
      <c r="D31" s="27"/>
      <c r="E31" s="28" t="s">
        <v>1029</v>
      </c>
      <c r="F31" s="25" t="s">
        <v>1030</v>
      </c>
      <c r="G31" s="27" t="s">
        <v>952</v>
      </c>
      <c r="H31" s="62">
        <v>840.72</v>
      </c>
      <c r="I31" s="27" t="str">
        <f t="shared" si="0"/>
        <v/>
      </c>
    </row>
    <row r="32" spans="1:9" hidden="1" x14ac:dyDescent="0.25">
      <c r="A32" s="25" t="s">
        <v>1031</v>
      </c>
      <c r="B32" s="25" t="s">
        <v>529</v>
      </c>
      <c r="C32" s="26" t="s">
        <v>1017</v>
      </c>
      <c r="D32" s="27"/>
      <c r="E32" s="28" t="s">
        <v>1032</v>
      </c>
      <c r="F32" s="25" t="s">
        <v>1033</v>
      </c>
      <c r="G32" s="27" t="s">
        <v>952</v>
      </c>
      <c r="H32" s="62">
        <v>806.25</v>
      </c>
      <c r="I32" s="27" t="str">
        <f t="shared" si="0"/>
        <v/>
      </c>
    </row>
    <row r="33" spans="1:9" hidden="1" x14ac:dyDescent="0.25">
      <c r="A33" s="25" t="s">
        <v>1034</v>
      </c>
      <c r="B33" s="25" t="s">
        <v>529</v>
      </c>
      <c r="C33" s="26" t="s">
        <v>1017</v>
      </c>
      <c r="D33" s="27"/>
      <c r="E33" s="28" t="s">
        <v>1035</v>
      </c>
      <c r="F33" s="25" t="s">
        <v>1036</v>
      </c>
      <c r="G33" s="27" t="s">
        <v>952</v>
      </c>
      <c r="H33" s="62">
        <v>864.55</v>
      </c>
      <c r="I33" s="27" t="str">
        <f t="shared" si="0"/>
        <v/>
      </c>
    </row>
    <row r="34" spans="1:9" hidden="1" x14ac:dyDescent="0.25">
      <c r="A34" s="25" t="s">
        <v>1037</v>
      </c>
      <c r="B34" s="25" t="s">
        <v>529</v>
      </c>
      <c r="C34" s="26" t="s">
        <v>1017</v>
      </c>
      <c r="D34" s="27"/>
      <c r="E34" s="28" t="s">
        <v>1038</v>
      </c>
      <c r="F34" s="25" t="s">
        <v>1039</v>
      </c>
      <c r="G34" s="27" t="s">
        <v>952</v>
      </c>
      <c r="H34" s="62">
        <v>909.65</v>
      </c>
      <c r="I34" s="27" t="str">
        <f t="shared" si="0"/>
        <v/>
      </c>
    </row>
    <row r="35" spans="1:9" hidden="1" x14ac:dyDescent="0.25">
      <c r="A35" s="25" t="s">
        <v>1040</v>
      </c>
      <c r="B35" s="25" t="s">
        <v>529</v>
      </c>
      <c r="C35" s="26" t="s">
        <v>1017</v>
      </c>
      <c r="D35" s="27"/>
      <c r="E35" s="28" t="s">
        <v>1041</v>
      </c>
      <c r="F35" s="25" t="s">
        <v>1042</v>
      </c>
      <c r="G35" s="27" t="s">
        <v>952</v>
      </c>
      <c r="H35" s="62">
        <v>1002.3</v>
      </c>
      <c r="I35" s="27" t="str">
        <f t="shared" si="0"/>
        <v/>
      </c>
    </row>
    <row r="36" spans="1:9" hidden="1" x14ac:dyDescent="0.25">
      <c r="A36" s="25" t="s">
        <v>1043</v>
      </c>
      <c r="B36" s="25" t="s">
        <v>529</v>
      </c>
      <c r="C36" s="26" t="s">
        <v>1017</v>
      </c>
      <c r="D36" s="27"/>
      <c r="E36" s="28" t="s">
        <v>1044</v>
      </c>
      <c r="F36" s="25" t="s">
        <v>1045</v>
      </c>
      <c r="G36" s="27" t="s">
        <v>952</v>
      </c>
      <c r="H36" s="62">
        <v>1034.0999999999999</v>
      </c>
      <c r="I36" s="27" t="str">
        <f t="shared" si="0"/>
        <v/>
      </c>
    </row>
    <row r="37" spans="1:9" hidden="1" x14ac:dyDescent="0.25">
      <c r="A37" s="25" t="s">
        <v>1046</v>
      </c>
      <c r="B37" s="25" t="s">
        <v>529</v>
      </c>
      <c r="C37" s="26" t="s">
        <v>1017</v>
      </c>
      <c r="D37" s="27"/>
      <c r="E37" s="28" t="s">
        <v>1047</v>
      </c>
      <c r="F37" s="25" t="s">
        <v>1048</v>
      </c>
      <c r="G37" s="27" t="s">
        <v>952</v>
      </c>
      <c r="H37" s="62">
        <v>501.53</v>
      </c>
      <c r="I37" s="27" t="str">
        <f t="shared" si="0"/>
        <v/>
      </c>
    </row>
    <row r="38" spans="1:9" hidden="1" x14ac:dyDescent="0.25">
      <c r="A38" s="25" t="s">
        <v>1049</v>
      </c>
      <c r="B38" s="25" t="s">
        <v>529</v>
      </c>
      <c r="C38" s="26" t="s">
        <v>1017</v>
      </c>
      <c r="D38" s="27"/>
      <c r="E38" s="28" t="s">
        <v>1050</v>
      </c>
      <c r="F38" s="25" t="s">
        <v>1051</v>
      </c>
      <c r="G38" s="27" t="s">
        <v>952</v>
      </c>
      <c r="H38" s="62">
        <v>460.36</v>
      </c>
      <c r="I38" s="27" t="str">
        <f t="shared" si="0"/>
        <v/>
      </c>
    </row>
    <row r="39" spans="1:9" hidden="1" x14ac:dyDescent="0.25">
      <c r="A39" s="25" t="s">
        <v>1052</v>
      </c>
      <c r="B39" s="25" t="s">
        <v>529</v>
      </c>
      <c r="C39" s="26" t="s">
        <v>1017</v>
      </c>
      <c r="D39" s="27"/>
      <c r="E39" s="28" t="s">
        <v>1053</v>
      </c>
      <c r="F39" s="25" t="s">
        <v>1054</v>
      </c>
      <c r="G39" s="27" t="s">
        <v>952</v>
      </c>
      <c r="H39" s="62">
        <v>562.52</v>
      </c>
      <c r="I39" s="27" t="str">
        <f t="shared" si="0"/>
        <v/>
      </c>
    </row>
    <row r="40" spans="1:9" hidden="1" x14ac:dyDescent="0.25">
      <c r="A40" s="25" t="s">
        <v>1055</v>
      </c>
      <c r="B40" s="25" t="s">
        <v>529</v>
      </c>
      <c r="C40" s="26" t="s">
        <v>1017</v>
      </c>
      <c r="D40" s="27"/>
      <c r="E40" s="28" t="s">
        <v>1056</v>
      </c>
      <c r="F40" s="25" t="s">
        <v>1057</v>
      </c>
      <c r="G40" s="27" t="s">
        <v>952</v>
      </c>
      <c r="H40" s="62">
        <v>603.04</v>
      </c>
      <c r="I40" s="27" t="str">
        <f t="shared" si="0"/>
        <v/>
      </c>
    </row>
    <row r="41" spans="1:9" hidden="1" x14ac:dyDescent="0.25">
      <c r="A41" s="25" t="s">
        <v>1058</v>
      </c>
      <c r="B41" s="25" t="s">
        <v>529</v>
      </c>
      <c r="C41" s="26" t="s">
        <v>1017</v>
      </c>
      <c r="D41" s="27"/>
      <c r="E41" s="28" t="s">
        <v>1059</v>
      </c>
      <c r="F41" s="25" t="s">
        <v>1060</v>
      </c>
      <c r="G41" s="27" t="s">
        <v>1061</v>
      </c>
      <c r="H41" s="62">
        <v>15.43</v>
      </c>
      <c r="I41" s="27" t="str">
        <f t="shared" si="0"/>
        <v/>
      </c>
    </row>
    <row r="42" spans="1:9" hidden="1" x14ac:dyDescent="0.25">
      <c r="A42" s="25" t="s">
        <v>1062</v>
      </c>
      <c r="B42" s="25" t="s">
        <v>529</v>
      </c>
      <c r="C42" s="26" t="s">
        <v>1017</v>
      </c>
      <c r="D42" s="27"/>
      <c r="E42" s="28" t="s">
        <v>1063</v>
      </c>
      <c r="F42" s="25" t="s">
        <v>1064</v>
      </c>
      <c r="G42" s="27" t="s">
        <v>952</v>
      </c>
      <c r="H42" s="62">
        <v>139.9</v>
      </c>
      <c r="I42" s="27" t="str">
        <f t="shared" si="0"/>
        <v/>
      </c>
    </row>
    <row r="43" spans="1:9" x14ac:dyDescent="0.25">
      <c r="A43" s="25" t="s">
        <v>1065</v>
      </c>
      <c r="B43" s="25" t="s">
        <v>529</v>
      </c>
      <c r="C43" s="26" t="s">
        <v>1017</v>
      </c>
      <c r="D43" s="27"/>
      <c r="E43" s="28" t="s">
        <v>1066</v>
      </c>
      <c r="F43" s="25" t="s">
        <v>1067</v>
      </c>
      <c r="G43" s="27" t="s">
        <v>952</v>
      </c>
      <c r="H43" s="62">
        <v>242.97</v>
      </c>
      <c r="I43" s="27" t="str">
        <f t="shared" si="0"/>
        <v/>
      </c>
    </row>
    <row r="44" spans="1:9" hidden="1" x14ac:dyDescent="0.25">
      <c r="A44" s="25" t="s">
        <v>1068</v>
      </c>
      <c r="B44" s="25" t="s">
        <v>529</v>
      </c>
      <c r="C44" s="26" t="s">
        <v>1017</v>
      </c>
      <c r="D44" s="27"/>
      <c r="E44" s="28" t="s">
        <v>1069</v>
      </c>
      <c r="F44" s="25" t="s">
        <v>1070</v>
      </c>
      <c r="G44" s="27" t="s">
        <v>952</v>
      </c>
      <c r="H44" s="62">
        <v>93.7</v>
      </c>
      <c r="I44" s="27" t="str">
        <f t="shared" si="0"/>
        <v/>
      </c>
    </row>
    <row r="45" spans="1:9" hidden="1" x14ac:dyDescent="0.25">
      <c r="A45" s="25" t="s">
        <v>1071</v>
      </c>
      <c r="B45" s="25" t="s">
        <v>529</v>
      </c>
      <c r="C45" s="26" t="s">
        <v>1017</v>
      </c>
      <c r="D45" s="27"/>
      <c r="E45" s="28" t="s">
        <v>1072</v>
      </c>
      <c r="F45" s="25" t="s">
        <v>1073</v>
      </c>
      <c r="G45" s="27" t="s">
        <v>952</v>
      </c>
      <c r="H45" s="62">
        <v>153.38999999999999</v>
      </c>
      <c r="I45" s="27" t="str">
        <f t="shared" si="0"/>
        <v/>
      </c>
    </row>
    <row r="46" spans="1:9" hidden="1" x14ac:dyDescent="0.25">
      <c r="A46" s="25" t="s">
        <v>1074</v>
      </c>
      <c r="B46" s="25" t="s">
        <v>529</v>
      </c>
      <c r="C46" s="26" t="s">
        <v>1017</v>
      </c>
      <c r="D46" s="27"/>
      <c r="E46" s="28" t="s">
        <v>1075</v>
      </c>
      <c r="F46" s="25" t="s">
        <v>1076</v>
      </c>
      <c r="G46" s="27" t="s">
        <v>952</v>
      </c>
      <c r="H46" s="62">
        <v>213.08</v>
      </c>
      <c r="I46" s="27" t="str">
        <f t="shared" si="0"/>
        <v/>
      </c>
    </row>
    <row r="47" spans="1:9" hidden="1" x14ac:dyDescent="0.25">
      <c r="A47" s="25" t="s">
        <v>1077</v>
      </c>
      <c r="B47" s="25" t="s">
        <v>529</v>
      </c>
      <c r="C47" s="26" t="s">
        <v>1017</v>
      </c>
      <c r="D47" s="27"/>
      <c r="E47" s="28" t="s">
        <v>1078</v>
      </c>
      <c r="F47" s="25" t="s">
        <v>1079</v>
      </c>
      <c r="G47" s="27" t="s">
        <v>952</v>
      </c>
      <c r="H47" s="62">
        <v>559.89</v>
      </c>
      <c r="I47" s="27" t="str">
        <f t="shared" si="0"/>
        <v/>
      </c>
    </row>
    <row r="48" spans="1:9" hidden="1" x14ac:dyDescent="0.25">
      <c r="A48" s="25" t="s">
        <v>1080</v>
      </c>
      <c r="B48" s="25" t="s">
        <v>529</v>
      </c>
      <c r="C48" s="26" t="s">
        <v>1017</v>
      </c>
      <c r="D48" s="27"/>
      <c r="E48" s="28" t="s">
        <v>1081</v>
      </c>
      <c r="F48" s="25" t="s">
        <v>1082</v>
      </c>
      <c r="G48" s="27" t="s">
        <v>952</v>
      </c>
      <c r="H48" s="62">
        <v>484.83</v>
      </c>
      <c r="I48" s="27" t="str">
        <f t="shared" si="0"/>
        <v/>
      </c>
    </row>
    <row r="49" spans="1:9" hidden="1" x14ac:dyDescent="0.25">
      <c r="A49" s="25" t="s">
        <v>1083</v>
      </c>
      <c r="B49" s="25" t="s">
        <v>529</v>
      </c>
      <c r="C49" s="26" t="s">
        <v>1017</v>
      </c>
      <c r="D49" s="27"/>
      <c r="E49" s="28" t="s">
        <v>1084</v>
      </c>
      <c r="F49" s="25" t="s">
        <v>1085</v>
      </c>
      <c r="G49" s="27" t="s">
        <v>952</v>
      </c>
      <c r="H49" s="62">
        <v>139.9</v>
      </c>
      <c r="I49" s="27" t="str">
        <f t="shared" si="0"/>
        <v/>
      </c>
    </row>
    <row r="50" spans="1:9" hidden="1" x14ac:dyDescent="0.25">
      <c r="A50" s="25" t="s">
        <v>1086</v>
      </c>
      <c r="B50" s="25" t="s">
        <v>529</v>
      </c>
      <c r="C50" s="26" t="s">
        <v>1017</v>
      </c>
      <c r="D50" s="27"/>
      <c r="E50" s="28" t="s">
        <v>1087</v>
      </c>
      <c r="F50" s="25" t="s">
        <v>1088</v>
      </c>
      <c r="G50" s="27" t="s">
        <v>952</v>
      </c>
      <c r="H50" s="62">
        <v>242.97</v>
      </c>
      <c r="I50" s="27" t="str">
        <f t="shared" si="0"/>
        <v/>
      </c>
    </row>
    <row r="51" spans="1:9" hidden="1" x14ac:dyDescent="0.25">
      <c r="A51" s="25" t="s">
        <v>1089</v>
      </c>
      <c r="B51" s="25" t="s">
        <v>529</v>
      </c>
      <c r="C51" s="26" t="s">
        <v>1017</v>
      </c>
      <c r="D51" s="27"/>
      <c r="E51" s="28" t="s">
        <v>1090</v>
      </c>
      <c r="F51" s="25" t="s">
        <v>1091</v>
      </c>
      <c r="G51" s="27" t="s">
        <v>952</v>
      </c>
      <c r="H51" s="62">
        <v>103.32</v>
      </c>
      <c r="I51" s="27" t="str">
        <f t="shared" si="0"/>
        <v/>
      </c>
    </row>
    <row r="52" spans="1:9" hidden="1" x14ac:dyDescent="0.25">
      <c r="A52" s="25" t="s">
        <v>1092</v>
      </c>
      <c r="B52" s="25" t="s">
        <v>529</v>
      </c>
      <c r="C52" s="26" t="s">
        <v>1017</v>
      </c>
      <c r="D52" s="27"/>
      <c r="E52" s="28" t="s">
        <v>1093</v>
      </c>
      <c r="F52" s="25" t="s">
        <v>1094</v>
      </c>
      <c r="G52" s="27" t="s">
        <v>952</v>
      </c>
      <c r="H52" s="62">
        <v>47.36</v>
      </c>
      <c r="I52" s="27" t="str">
        <f t="shared" si="0"/>
        <v/>
      </c>
    </row>
    <row r="53" spans="1:9" hidden="1" x14ac:dyDescent="0.25">
      <c r="A53" s="25" t="s">
        <v>1095</v>
      </c>
      <c r="B53" s="25" t="s">
        <v>529</v>
      </c>
      <c r="C53" s="26" t="s">
        <v>1017</v>
      </c>
      <c r="D53" s="27"/>
      <c r="E53" s="28" t="s">
        <v>1096</v>
      </c>
      <c r="F53" s="25" t="s">
        <v>1097</v>
      </c>
      <c r="G53" s="27" t="s">
        <v>952</v>
      </c>
      <c r="H53" s="62">
        <v>159.5</v>
      </c>
      <c r="I53" s="27" t="str">
        <f t="shared" si="0"/>
        <v/>
      </c>
    </row>
    <row r="54" spans="1:9" hidden="1" x14ac:dyDescent="0.25">
      <c r="A54" s="25" t="s">
        <v>1098</v>
      </c>
      <c r="B54" s="25" t="s">
        <v>529</v>
      </c>
      <c r="C54" s="26" t="s">
        <v>1017</v>
      </c>
      <c r="D54" s="27"/>
      <c r="E54" s="28" t="s">
        <v>1099</v>
      </c>
      <c r="F54" s="25" t="s">
        <v>1100</v>
      </c>
      <c r="G54" s="27" t="s">
        <v>952</v>
      </c>
      <c r="H54" s="62">
        <v>159.5</v>
      </c>
      <c r="I54" s="27" t="str">
        <f t="shared" si="0"/>
        <v/>
      </c>
    </row>
    <row r="55" spans="1:9" hidden="1" x14ac:dyDescent="0.25">
      <c r="A55" s="25" t="s">
        <v>1101</v>
      </c>
      <c r="B55" s="25" t="s">
        <v>529</v>
      </c>
      <c r="C55" s="26" t="s">
        <v>1017</v>
      </c>
      <c r="D55" s="27"/>
      <c r="E55" s="28" t="s">
        <v>1102</v>
      </c>
      <c r="F55" s="25" t="s">
        <v>1103</v>
      </c>
      <c r="G55" s="27" t="s">
        <v>952</v>
      </c>
      <c r="H55" s="62">
        <v>2.4700000000000002</v>
      </c>
      <c r="I55" s="27" t="str">
        <f t="shared" si="0"/>
        <v/>
      </c>
    </row>
    <row r="56" spans="1:9" hidden="1" x14ac:dyDescent="0.25">
      <c r="A56" s="25" t="s">
        <v>1104</v>
      </c>
      <c r="B56" s="25" t="s">
        <v>529</v>
      </c>
      <c r="C56" s="26" t="s">
        <v>1017</v>
      </c>
      <c r="D56" s="27"/>
      <c r="E56" s="28" t="s">
        <v>1105</v>
      </c>
      <c r="F56" s="25" t="s">
        <v>1106</v>
      </c>
      <c r="G56" s="27" t="s">
        <v>952</v>
      </c>
      <c r="H56" s="62">
        <v>81.09</v>
      </c>
      <c r="I56" s="27" t="str">
        <f t="shared" si="0"/>
        <v/>
      </c>
    </row>
    <row r="57" spans="1:9" hidden="1" x14ac:dyDescent="0.25">
      <c r="A57" s="25" t="s">
        <v>1107</v>
      </c>
      <c r="B57" s="25" t="s">
        <v>529</v>
      </c>
      <c r="C57" s="26" t="s">
        <v>1017</v>
      </c>
      <c r="D57" s="27"/>
      <c r="E57" s="28" t="s">
        <v>1108</v>
      </c>
      <c r="F57" s="25" t="s">
        <v>1109</v>
      </c>
      <c r="G57" s="27" t="s">
        <v>952</v>
      </c>
      <c r="H57" s="62">
        <v>159.5</v>
      </c>
      <c r="I57" s="27" t="str">
        <f t="shared" si="0"/>
        <v/>
      </c>
    </row>
    <row r="58" spans="1:9" hidden="1" x14ac:dyDescent="0.25">
      <c r="A58" s="25" t="s">
        <v>1110</v>
      </c>
      <c r="B58" s="25" t="s">
        <v>529</v>
      </c>
      <c r="C58" s="26" t="s">
        <v>1017</v>
      </c>
      <c r="D58" s="27"/>
      <c r="E58" s="28" t="s">
        <v>1111</v>
      </c>
      <c r="F58" s="25" t="s">
        <v>1112</v>
      </c>
      <c r="G58" s="27" t="s">
        <v>952</v>
      </c>
      <c r="H58" s="62">
        <v>67.739999999999995</v>
      </c>
      <c r="I58" s="27" t="str">
        <f t="shared" si="0"/>
        <v/>
      </c>
    </row>
    <row r="59" spans="1:9" hidden="1" x14ac:dyDescent="0.25">
      <c r="A59" s="25" t="s">
        <v>1113</v>
      </c>
      <c r="B59" s="25" t="s">
        <v>529</v>
      </c>
      <c r="C59" s="26" t="s">
        <v>1017</v>
      </c>
      <c r="D59" s="27"/>
      <c r="E59" s="28" t="s">
        <v>1114</v>
      </c>
      <c r="F59" s="25" t="s">
        <v>1115</v>
      </c>
      <c r="G59" s="27" t="s">
        <v>952</v>
      </c>
      <c r="H59" s="62">
        <v>118.7</v>
      </c>
      <c r="I59" s="27" t="str">
        <f t="shared" si="0"/>
        <v/>
      </c>
    </row>
    <row r="60" spans="1:9" hidden="1" x14ac:dyDescent="0.25">
      <c r="A60" s="25" t="s">
        <v>1116</v>
      </c>
      <c r="B60" s="25" t="s">
        <v>529</v>
      </c>
      <c r="C60" s="26" t="s">
        <v>1017</v>
      </c>
      <c r="D60" s="27"/>
      <c r="E60" s="28" t="s">
        <v>1117</v>
      </c>
      <c r="F60" s="25" t="s">
        <v>1118</v>
      </c>
      <c r="G60" s="27" t="s">
        <v>952</v>
      </c>
      <c r="H60" s="62">
        <v>313.37</v>
      </c>
      <c r="I60" s="27" t="str">
        <f t="shared" si="0"/>
        <v/>
      </c>
    </row>
    <row r="61" spans="1:9" hidden="1" x14ac:dyDescent="0.25">
      <c r="A61" s="25" t="s">
        <v>1119</v>
      </c>
      <c r="B61" s="25" t="s">
        <v>529</v>
      </c>
      <c r="C61" s="26" t="s">
        <v>1017</v>
      </c>
      <c r="D61" s="27"/>
      <c r="E61" s="28" t="s">
        <v>1120</v>
      </c>
      <c r="F61" s="25" t="s">
        <v>1121</v>
      </c>
      <c r="G61" s="27" t="s">
        <v>952</v>
      </c>
      <c r="H61" s="62">
        <v>104</v>
      </c>
      <c r="I61" s="27" t="str">
        <f t="shared" si="0"/>
        <v/>
      </c>
    </row>
    <row r="62" spans="1:9" hidden="1" x14ac:dyDescent="0.25">
      <c r="A62" s="25" t="s">
        <v>1122</v>
      </c>
      <c r="B62" s="25" t="s">
        <v>529</v>
      </c>
      <c r="C62" s="26" t="s">
        <v>1017</v>
      </c>
      <c r="D62" s="27"/>
      <c r="E62" s="28" t="s">
        <v>1120</v>
      </c>
      <c r="F62" s="25" t="s">
        <v>1123</v>
      </c>
      <c r="G62" s="27" t="s">
        <v>952</v>
      </c>
      <c r="H62" s="62">
        <v>81.09</v>
      </c>
      <c r="I62" s="27" t="str">
        <f t="shared" si="0"/>
        <v/>
      </c>
    </row>
    <row r="63" spans="1:9" hidden="1" x14ac:dyDescent="0.25">
      <c r="A63" s="25" t="s">
        <v>1124</v>
      </c>
      <c r="B63" s="25" t="s">
        <v>529</v>
      </c>
      <c r="C63" s="26" t="s">
        <v>1125</v>
      </c>
      <c r="D63" s="27"/>
      <c r="E63" s="28" t="s">
        <v>1126</v>
      </c>
      <c r="F63" s="25" t="s">
        <v>1127</v>
      </c>
      <c r="G63" s="27" t="s">
        <v>952</v>
      </c>
      <c r="H63" s="62">
        <v>722.5</v>
      </c>
      <c r="I63" s="27" t="str">
        <f t="shared" si="0"/>
        <v/>
      </c>
    </row>
    <row r="64" spans="1:9" x14ac:dyDescent="0.25">
      <c r="A64" s="25" t="s">
        <v>927</v>
      </c>
      <c r="B64" s="25" t="s">
        <v>529</v>
      </c>
      <c r="C64" s="26" t="s">
        <v>1125</v>
      </c>
      <c r="D64" s="27"/>
      <c r="E64" s="28" t="s">
        <v>1128</v>
      </c>
      <c r="F64" s="25" t="s">
        <v>1129</v>
      </c>
      <c r="G64" s="27" t="s">
        <v>952</v>
      </c>
      <c r="H64" s="62">
        <v>785.07</v>
      </c>
      <c r="I64" s="27" t="str">
        <f t="shared" si="0"/>
        <v/>
      </c>
    </row>
    <row r="65" spans="1:9" hidden="1" x14ac:dyDescent="0.25">
      <c r="A65" s="25" t="s">
        <v>1130</v>
      </c>
      <c r="B65" s="25" t="s">
        <v>529</v>
      </c>
      <c r="C65" s="26" t="s">
        <v>1125</v>
      </c>
      <c r="D65" s="27"/>
      <c r="E65" s="28" t="s">
        <v>1131</v>
      </c>
      <c r="F65" s="25" t="s">
        <v>1132</v>
      </c>
      <c r="G65" s="27" t="s">
        <v>952</v>
      </c>
      <c r="H65" s="62">
        <v>786.85</v>
      </c>
      <c r="I65" s="27" t="str">
        <f t="shared" si="0"/>
        <v/>
      </c>
    </row>
    <row r="66" spans="1:9" x14ac:dyDescent="0.25">
      <c r="A66" s="25" t="s">
        <v>1133</v>
      </c>
      <c r="B66" s="25" t="s">
        <v>529</v>
      </c>
      <c r="C66" s="26" t="s">
        <v>1125</v>
      </c>
      <c r="D66" s="27"/>
      <c r="E66" s="28" t="s">
        <v>1134</v>
      </c>
      <c r="F66" s="25" t="s">
        <v>1135</v>
      </c>
      <c r="G66" s="27" t="s">
        <v>952</v>
      </c>
      <c r="H66" s="62">
        <v>820.98</v>
      </c>
      <c r="I66" s="27" t="str">
        <f t="shared" si="0"/>
        <v/>
      </c>
    </row>
    <row r="67" spans="1:9" hidden="1" x14ac:dyDescent="0.25">
      <c r="A67" s="25" t="s">
        <v>1136</v>
      </c>
      <c r="B67" s="25" t="s">
        <v>529</v>
      </c>
      <c r="C67" s="26" t="s">
        <v>1125</v>
      </c>
      <c r="D67" s="27"/>
      <c r="E67" s="28" t="s">
        <v>1137</v>
      </c>
      <c r="F67" s="25" t="s">
        <v>1138</v>
      </c>
      <c r="G67" s="27" t="s">
        <v>952</v>
      </c>
      <c r="H67" s="62">
        <v>841.6</v>
      </c>
      <c r="I67" s="27" t="str">
        <f t="shared" si="0"/>
        <v/>
      </c>
    </row>
    <row r="68" spans="1:9" hidden="1" x14ac:dyDescent="0.25">
      <c r="A68" s="25" t="s">
        <v>1139</v>
      </c>
      <c r="B68" s="25" t="s">
        <v>529</v>
      </c>
      <c r="C68" s="26" t="s">
        <v>1125</v>
      </c>
      <c r="D68" s="27"/>
      <c r="E68" s="28" t="s">
        <v>1140</v>
      </c>
      <c r="F68" s="25" t="s">
        <v>1141</v>
      </c>
      <c r="G68" s="27" t="s">
        <v>952</v>
      </c>
      <c r="H68" s="62">
        <v>885.96</v>
      </c>
      <c r="I68" s="27" t="str">
        <f t="shared" si="0"/>
        <v/>
      </c>
    </row>
    <row r="69" spans="1:9" hidden="1" x14ac:dyDescent="0.25">
      <c r="A69" s="25" t="s">
        <v>1142</v>
      </c>
      <c r="B69" s="25" t="s">
        <v>529</v>
      </c>
      <c r="C69" s="26" t="s">
        <v>1125</v>
      </c>
      <c r="D69" s="27"/>
      <c r="E69" s="28" t="s">
        <v>1143</v>
      </c>
      <c r="F69" s="25" t="s">
        <v>1144</v>
      </c>
      <c r="G69" s="27" t="s">
        <v>952</v>
      </c>
      <c r="H69" s="62">
        <v>960.44</v>
      </c>
      <c r="I69" s="27" t="str">
        <f t="shared" ref="I69:I132" si="1">IF($K$2="","",IF(ISNUMBER(SEARCH($K$2,$E69&amp;$F69)),1,""))</f>
        <v/>
      </c>
    </row>
    <row r="70" spans="1:9" hidden="1" x14ac:dyDescent="0.25">
      <c r="A70" s="25" t="s">
        <v>1145</v>
      </c>
      <c r="B70" s="25" t="s">
        <v>529</v>
      </c>
      <c r="C70" s="26" t="s">
        <v>1125</v>
      </c>
      <c r="D70" s="27"/>
      <c r="E70" s="28" t="s">
        <v>1146</v>
      </c>
      <c r="F70" s="25" t="s">
        <v>1147</v>
      </c>
      <c r="G70" s="27" t="s">
        <v>952</v>
      </c>
      <c r="H70" s="62">
        <v>1022.76</v>
      </c>
      <c r="I70" s="27" t="str">
        <f t="shared" si="1"/>
        <v/>
      </c>
    </row>
    <row r="71" spans="1:9" hidden="1" x14ac:dyDescent="0.25">
      <c r="A71" s="25" t="s">
        <v>1148</v>
      </c>
      <c r="B71" s="25" t="s">
        <v>529</v>
      </c>
      <c r="C71" s="26" t="s">
        <v>1125</v>
      </c>
      <c r="D71" s="27"/>
      <c r="E71" s="28" t="s">
        <v>1149</v>
      </c>
      <c r="F71" s="25" t="s">
        <v>1150</v>
      </c>
      <c r="G71" s="27" t="s">
        <v>952</v>
      </c>
      <c r="H71" s="62">
        <v>1079.5899999999999</v>
      </c>
      <c r="I71" s="27" t="str">
        <f t="shared" si="1"/>
        <v/>
      </c>
    </row>
    <row r="72" spans="1:9" hidden="1" x14ac:dyDescent="0.25">
      <c r="A72" s="25" t="s">
        <v>1151</v>
      </c>
      <c r="B72" s="25" t="s">
        <v>529</v>
      </c>
      <c r="C72" s="26" t="s">
        <v>1125</v>
      </c>
      <c r="D72" s="27"/>
      <c r="E72" s="28" t="s">
        <v>1152</v>
      </c>
      <c r="F72" s="25" t="s">
        <v>1153</v>
      </c>
      <c r="G72" s="27" t="s">
        <v>952</v>
      </c>
      <c r="H72" s="62">
        <v>1144.6400000000001</v>
      </c>
      <c r="I72" s="27" t="str">
        <f t="shared" si="1"/>
        <v/>
      </c>
    </row>
    <row r="73" spans="1:9" hidden="1" x14ac:dyDescent="0.25">
      <c r="A73" s="25" t="s">
        <v>1154</v>
      </c>
      <c r="B73" s="25" t="s">
        <v>529</v>
      </c>
      <c r="C73" s="26" t="s">
        <v>1125</v>
      </c>
      <c r="D73" s="27"/>
      <c r="E73" s="28" t="s">
        <v>1155</v>
      </c>
      <c r="F73" s="25" t="s">
        <v>1156</v>
      </c>
      <c r="G73" s="27" t="s">
        <v>952</v>
      </c>
      <c r="H73" s="62">
        <v>139.9</v>
      </c>
      <c r="I73" s="27" t="str">
        <f t="shared" si="1"/>
        <v/>
      </c>
    </row>
    <row r="74" spans="1:9" hidden="1" x14ac:dyDescent="0.25">
      <c r="A74" s="25" t="s">
        <v>1157</v>
      </c>
      <c r="B74" s="25" t="s">
        <v>529</v>
      </c>
      <c r="C74" s="26" t="s">
        <v>1125</v>
      </c>
      <c r="D74" s="27"/>
      <c r="E74" s="28" t="s">
        <v>1158</v>
      </c>
      <c r="F74" s="25" t="s">
        <v>1159</v>
      </c>
      <c r="G74" s="27" t="s">
        <v>952</v>
      </c>
      <c r="H74" s="62">
        <v>242.97</v>
      </c>
      <c r="I74" s="27" t="str">
        <f t="shared" si="1"/>
        <v/>
      </c>
    </row>
    <row r="75" spans="1:9" hidden="1" x14ac:dyDescent="0.25">
      <c r="A75" s="25" t="s">
        <v>1160</v>
      </c>
      <c r="B75" s="25" t="s">
        <v>529</v>
      </c>
      <c r="C75" s="26" t="s">
        <v>1125</v>
      </c>
      <c r="D75" s="27"/>
      <c r="E75" s="28" t="s">
        <v>1161</v>
      </c>
      <c r="F75" s="25" t="s">
        <v>1162</v>
      </c>
      <c r="G75" s="27" t="s">
        <v>952</v>
      </c>
      <c r="H75" s="62">
        <v>123.29</v>
      </c>
      <c r="I75" s="27" t="str">
        <f t="shared" si="1"/>
        <v/>
      </c>
    </row>
    <row r="76" spans="1:9" hidden="1" x14ac:dyDescent="0.25">
      <c r="A76" s="25" t="s">
        <v>1163</v>
      </c>
      <c r="B76" s="25" t="s">
        <v>529</v>
      </c>
      <c r="C76" s="26" t="s">
        <v>1125</v>
      </c>
      <c r="D76" s="27"/>
      <c r="E76" s="28" t="s">
        <v>1164</v>
      </c>
      <c r="F76" s="25" t="s">
        <v>1165</v>
      </c>
      <c r="G76" s="27" t="s">
        <v>952</v>
      </c>
      <c r="H76" s="62">
        <v>205.39</v>
      </c>
      <c r="I76" s="27" t="str">
        <f t="shared" si="1"/>
        <v/>
      </c>
    </row>
    <row r="77" spans="1:9" hidden="1" x14ac:dyDescent="0.25">
      <c r="A77" s="25" t="s">
        <v>1166</v>
      </c>
      <c r="B77" s="25" t="s">
        <v>529</v>
      </c>
      <c r="C77" s="26" t="s">
        <v>1125</v>
      </c>
      <c r="D77" s="27"/>
      <c r="E77" s="28" t="s">
        <v>1167</v>
      </c>
      <c r="F77" s="25" t="s">
        <v>1168</v>
      </c>
      <c r="G77" s="27" t="s">
        <v>952</v>
      </c>
      <c r="H77" s="62">
        <v>287.49</v>
      </c>
      <c r="I77" s="27" t="str">
        <f t="shared" si="1"/>
        <v/>
      </c>
    </row>
    <row r="78" spans="1:9" hidden="1" x14ac:dyDescent="0.25">
      <c r="A78" s="25" t="s">
        <v>1169</v>
      </c>
      <c r="B78" s="25" t="s">
        <v>529</v>
      </c>
      <c r="C78" s="26" t="s">
        <v>1125</v>
      </c>
      <c r="D78" s="27"/>
      <c r="E78" s="28" t="s">
        <v>1170</v>
      </c>
      <c r="F78" s="25" t="s">
        <v>1171</v>
      </c>
      <c r="G78" s="27" t="s">
        <v>952</v>
      </c>
      <c r="H78" s="62">
        <v>651.29999999999995</v>
      </c>
      <c r="I78" s="27" t="str">
        <f t="shared" si="1"/>
        <v/>
      </c>
    </row>
    <row r="79" spans="1:9" hidden="1" x14ac:dyDescent="0.25">
      <c r="A79" s="25" t="s">
        <v>1172</v>
      </c>
      <c r="B79" s="25" t="s">
        <v>529</v>
      </c>
      <c r="C79" s="26" t="s">
        <v>1125</v>
      </c>
      <c r="D79" s="27"/>
      <c r="E79" s="28" t="s">
        <v>1173</v>
      </c>
      <c r="F79" s="25" t="s">
        <v>1174</v>
      </c>
      <c r="G79" s="27" t="s">
        <v>952</v>
      </c>
      <c r="H79" s="62">
        <v>675.08</v>
      </c>
      <c r="I79" s="27" t="str">
        <f t="shared" si="1"/>
        <v/>
      </c>
    </row>
    <row r="80" spans="1:9" hidden="1" x14ac:dyDescent="0.25">
      <c r="A80" s="25" t="s">
        <v>1175</v>
      </c>
      <c r="B80" s="25" t="s">
        <v>529</v>
      </c>
      <c r="C80" s="26" t="s">
        <v>1125</v>
      </c>
      <c r="D80" s="27"/>
      <c r="E80" s="28" t="s">
        <v>1176</v>
      </c>
      <c r="F80" s="25" t="s">
        <v>1177</v>
      </c>
      <c r="G80" s="27" t="s">
        <v>952</v>
      </c>
      <c r="H80" s="62">
        <v>722.64</v>
      </c>
      <c r="I80" s="27" t="str">
        <f t="shared" si="1"/>
        <v/>
      </c>
    </row>
    <row r="81" spans="1:9" hidden="1" x14ac:dyDescent="0.25">
      <c r="A81" s="25" t="s">
        <v>1178</v>
      </c>
      <c r="B81" s="25" t="s">
        <v>529</v>
      </c>
      <c r="C81" s="26" t="s">
        <v>1125</v>
      </c>
      <c r="D81" s="27"/>
      <c r="E81" s="28" t="s">
        <v>1179</v>
      </c>
      <c r="F81" s="25" t="s">
        <v>1180</v>
      </c>
      <c r="G81" s="27" t="s">
        <v>952</v>
      </c>
      <c r="H81" s="62">
        <v>788.04</v>
      </c>
      <c r="I81" s="27" t="str">
        <f t="shared" si="1"/>
        <v/>
      </c>
    </row>
    <row r="82" spans="1:9" hidden="1" x14ac:dyDescent="0.25">
      <c r="A82" s="25" t="s">
        <v>1181</v>
      </c>
      <c r="B82" s="25" t="s">
        <v>529</v>
      </c>
      <c r="C82" s="26" t="s">
        <v>1125</v>
      </c>
      <c r="D82" s="27"/>
      <c r="E82" s="28" t="s">
        <v>1182</v>
      </c>
      <c r="F82" s="25" t="s">
        <v>1183</v>
      </c>
      <c r="G82" s="27" t="s">
        <v>952</v>
      </c>
      <c r="H82" s="62">
        <v>826.68</v>
      </c>
      <c r="I82" s="27" t="str">
        <f t="shared" si="1"/>
        <v/>
      </c>
    </row>
    <row r="83" spans="1:9" hidden="1" x14ac:dyDescent="0.25">
      <c r="A83" s="25" t="s">
        <v>1184</v>
      </c>
      <c r="B83" s="25" t="s">
        <v>529</v>
      </c>
      <c r="C83" s="26" t="s">
        <v>1125</v>
      </c>
      <c r="D83" s="27"/>
      <c r="E83" s="28" t="s">
        <v>1185</v>
      </c>
      <c r="F83" s="25" t="s">
        <v>1186</v>
      </c>
      <c r="G83" s="27" t="s">
        <v>952</v>
      </c>
      <c r="H83" s="62">
        <v>722.64</v>
      </c>
      <c r="I83" s="27" t="str">
        <f t="shared" si="1"/>
        <v/>
      </c>
    </row>
    <row r="84" spans="1:9" hidden="1" x14ac:dyDescent="0.25">
      <c r="A84" s="25" t="s">
        <v>1187</v>
      </c>
      <c r="B84" s="25" t="s">
        <v>529</v>
      </c>
      <c r="C84" s="26" t="s">
        <v>1125</v>
      </c>
      <c r="D84" s="27"/>
      <c r="E84" s="28" t="s">
        <v>1188</v>
      </c>
      <c r="F84" s="25" t="s">
        <v>1189</v>
      </c>
      <c r="G84" s="27" t="s">
        <v>952</v>
      </c>
      <c r="H84" s="62">
        <v>785.3</v>
      </c>
      <c r="I84" s="27" t="str">
        <f t="shared" si="1"/>
        <v/>
      </c>
    </row>
    <row r="85" spans="1:9" hidden="1" x14ac:dyDescent="0.25">
      <c r="A85" s="25" t="s">
        <v>1190</v>
      </c>
      <c r="B85" s="25" t="s">
        <v>529</v>
      </c>
      <c r="C85" s="26" t="s">
        <v>1125</v>
      </c>
      <c r="D85" s="27"/>
      <c r="E85" s="28" t="s">
        <v>1191</v>
      </c>
      <c r="F85" s="25" t="s">
        <v>1192</v>
      </c>
      <c r="G85" s="27" t="s">
        <v>952</v>
      </c>
      <c r="H85" s="62">
        <v>862.36</v>
      </c>
      <c r="I85" s="27" t="str">
        <f t="shared" si="1"/>
        <v/>
      </c>
    </row>
    <row r="86" spans="1:9" hidden="1" x14ac:dyDescent="0.25">
      <c r="A86" s="25" t="s">
        <v>1193</v>
      </c>
      <c r="B86" s="25" t="s">
        <v>529</v>
      </c>
      <c r="C86" s="26" t="s">
        <v>1125</v>
      </c>
      <c r="D86" s="27"/>
      <c r="E86" s="28" t="s">
        <v>1194</v>
      </c>
      <c r="F86" s="25" t="s">
        <v>1195</v>
      </c>
      <c r="G86" s="27" t="s">
        <v>952</v>
      </c>
      <c r="H86" s="62">
        <v>981.5</v>
      </c>
      <c r="I86" s="27" t="str">
        <f t="shared" si="1"/>
        <v/>
      </c>
    </row>
    <row r="87" spans="1:9" hidden="1" x14ac:dyDescent="0.25">
      <c r="A87" s="25" t="s">
        <v>1196</v>
      </c>
      <c r="B87" s="25" t="s">
        <v>529</v>
      </c>
      <c r="C87" s="26" t="s">
        <v>1125</v>
      </c>
      <c r="D87" s="27"/>
      <c r="E87" s="28" t="s">
        <v>1197</v>
      </c>
      <c r="F87" s="25" t="s">
        <v>1198</v>
      </c>
      <c r="G87" s="27" t="s">
        <v>952</v>
      </c>
      <c r="H87" s="62">
        <v>1022.88</v>
      </c>
      <c r="I87" s="27" t="str">
        <f t="shared" si="1"/>
        <v/>
      </c>
    </row>
    <row r="88" spans="1:9" hidden="1" x14ac:dyDescent="0.25">
      <c r="A88" s="25" t="s">
        <v>1199</v>
      </c>
      <c r="B88" s="25" t="s">
        <v>529</v>
      </c>
      <c r="C88" s="26" t="s">
        <v>1125</v>
      </c>
      <c r="D88" s="27"/>
      <c r="E88" s="28" t="s">
        <v>1200</v>
      </c>
      <c r="F88" s="25" t="s">
        <v>1201</v>
      </c>
      <c r="G88" s="27" t="s">
        <v>952</v>
      </c>
      <c r="H88" s="62">
        <v>139.9</v>
      </c>
      <c r="I88" s="27" t="str">
        <f t="shared" si="1"/>
        <v/>
      </c>
    </row>
    <row r="89" spans="1:9" hidden="1" x14ac:dyDescent="0.25">
      <c r="A89" s="25" t="s">
        <v>1202</v>
      </c>
      <c r="B89" s="25" t="s">
        <v>529</v>
      </c>
      <c r="C89" s="26" t="s">
        <v>1125</v>
      </c>
      <c r="D89" s="27"/>
      <c r="E89" s="28" t="s">
        <v>1203</v>
      </c>
      <c r="F89" s="25" t="s">
        <v>1204</v>
      </c>
      <c r="G89" s="27" t="s">
        <v>952</v>
      </c>
      <c r="H89" s="62">
        <v>242.97</v>
      </c>
      <c r="I89" s="27" t="str">
        <f t="shared" si="1"/>
        <v/>
      </c>
    </row>
    <row r="90" spans="1:9" hidden="1" x14ac:dyDescent="0.25">
      <c r="A90" s="25" t="s">
        <v>1205</v>
      </c>
      <c r="B90" s="25" t="s">
        <v>529</v>
      </c>
      <c r="C90" s="26" t="s">
        <v>1125</v>
      </c>
      <c r="D90" s="27"/>
      <c r="E90" s="28" t="s">
        <v>1206</v>
      </c>
      <c r="F90" s="25" t="s">
        <v>1207</v>
      </c>
      <c r="G90" s="27" t="s">
        <v>952</v>
      </c>
      <c r="H90" s="62">
        <v>78.040000000000006</v>
      </c>
      <c r="I90" s="27" t="str">
        <f t="shared" si="1"/>
        <v/>
      </c>
    </row>
    <row r="91" spans="1:9" hidden="1" x14ac:dyDescent="0.25">
      <c r="A91" s="25" t="s">
        <v>1208</v>
      </c>
      <c r="B91" s="25" t="s">
        <v>529</v>
      </c>
      <c r="C91" s="26" t="s">
        <v>1125</v>
      </c>
      <c r="D91" s="27"/>
      <c r="E91" s="28" t="s">
        <v>1209</v>
      </c>
      <c r="F91" s="25" t="s">
        <v>1210</v>
      </c>
      <c r="G91" s="27" t="s">
        <v>952</v>
      </c>
      <c r="H91" s="62">
        <v>141.54</v>
      </c>
      <c r="I91" s="27" t="str">
        <f t="shared" si="1"/>
        <v/>
      </c>
    </row>
    <row r="92" spans="1:9" hidden="1" x14ac:dyDescent="0.25">
      <c r="A92" s="25" t="s">
        <v>1211</v>
      </c>
      <c r="B92" s="25" t="s">
        <v>529</v>
      </c>
      <c r="C92" s="26" t="s">
        <v>1125</v>
      </c>
      <c r="D92" s="27"/>
      <c r="E92" s="28" t="s">
        <v>1212</v>
      </c>
      <c r="F92" s="25" t="s">
        <v>1213</v>
      </c>
      <c r="G92" s="27" t="s">
        <v>952</v>
      </c>
      <c r="H92" s="62">
        <v>205.03</v>
      </c>
      <c r="I92" s="27" t="str">
        <f t="shared" si="1"/>
        <v/>
      </c>
    </row>
    <row r="93" spans="1:9" hidden="1" x14ac:dyDescent="0.25">
      <c r="A93" s="25" t="s">
        <v>1214</v>
      </c>
      <c r="B93" s="25" t="s">
        <v>529</v>
      </c>
      <c r="C93" s="26" t="s">
        <v>1125</v>
      </c>
      <c r="D93" s="27"/>
      <c r="E93" s="28" t="s">
        <v>1215</v>
      </c>
      <c r="F93" s="25" t="s">
        <v>1216</v>
      </c>
      <c r="G93" s="27" t="s">
        <v>952</v>
      </c>
      <c r="H93" s="62">
        <v>674.93</v>
      </c>
      <c r="I93" s="27" t="str">
        <f t="shared" si="1"/>
        <v/>
      </c>
    </row>
    <row r="94" spans="1:9" hidden="1" x14ac:dyDescent="0.25">
      <c r="A94" s="25" t="s">
        <v>1217</v>
      </c>
      <c r="B94" s="25" t="s">
        <v>529</v>
      </c>
      <c r="C94" s="26" t="s">
        <v>1125</v>
      </c>
      <c r="D94" s="27"/>
      <c r="E94" s="28" t="s">
        <v>1218</v>
      </c>
      <c r="F94" s="25" t="s">
        <v>1219</v>
      </c>
      <c r="G94" s="27" t="s">
        <v>952</v>
      </c>
      <c r="H94" s="62">
        <v>697.87</v>
      </c>
      <c r="I94" s="27" t="str">
        <f t="shared" si="1"/>
        <v/>
      </c>
    </row>
    <row r="95" spans="1:9" hidden="1" x14ac:dyDescent="0.25">
      <c r="A95" s="25" t="s">
        <v>1220</v>
      </c>
      <c r="B95" s="25" t="s">
        <v>529</v>
      </c>
      <c r="C95" s="26" t="s">
        <v>1125</v>
      </c>
      <c r="D95" s="27"/>
      <c r="E95" s="28" t="s">
        <v>1221</v>
      </c>
      <c r="F95" s="25" t="s">
        <v>1222</v>
      </c>
      <c r="G95" s="27" t="s">
        <v>952</v>
      </c>
      <c r="H95" s="62">
        <v>139.9</v>
      </c>
      <c r="I95" s="27" t="str">
        <f t="shared" si="1"/>
        <v/>
      </c>
    </row>
    <row r="96" spans="1:9" hidden="1" x14ac:dyDescent="0.25">
      <c r="A96" s="25" t="s">
        <v>1223</v>
      </c>
      <c r="B96" s="25" t="s">
        <v>529</v>
      </c>
      <c r="C96" s="26" t="s">
        <v>1125</v>
      </c>
      <c r="D96" s="27"/>
      <c r="E96" s="28" t="s">
        <v>1224</v>
      </c>
      <c r="F96" s="25" t="s">
        <v>1225</v>
      </c>
      <c r="G96" s="27" t="s">
        <v>952</v>
      </c>
      <c r="H96" s="62">
        <v>242.97</v>
      </c>
      <c r="I96" s="27" t="str">
        <f t="shared" si="1"/>
        <v/>
      </c>
    </row>
    <row r="97" spans="1:9" hidden="1" x14ac:dyDescent="0.25">
      <c r="A97" s="25" t="s">
        <v>1226</v>
      </c>
      <c r="B97" s="25" t="s">
        <v>529</v>
      </c>
      <c r="C97" s="26" t="s">
        <v>1125</v>
      </c>
      <c r="D97" s="27"/>
      <c r="E97" s="28" t="s">
        <v>1227</v>
      </c>
      <c r="F97" s="25" t="s">
        <v>1228</v>
      </c>
      <c r="G97" s="27" t="s">
        <v>952</v>
      </c>
      <c r="H97" s="62">
        <v>76.06</v>
      </c>
      <c r="I97" s="27" t="str">
        <f t="shared" si="1"/>
        <v/>
      </c>
    </row>
    <row r="98" spans="1:9" hidden="1" x14ac:dyDescent="0.25">
      <c r="A98" s="25" t="s">
        <v>1229</v>
      </c>
      <c r="B98" s="25" t="s">
        <v>529</v>
      </c>
      <c r="C98" s="26" t="s">
        <v>1125</v>
      </c>
      <c r="D98" s="27"/>
      <c r="E98" s="28" t="s">
        <v>1230</v>
      </c>
      <c r="F98" s="25" t="s">
        <v>1231</v>
      </c>
      <c r="G98" s="27" t="s">
        <v>952</v>
      </c>
      <c r="H98" s="62">
        <v>651.29999999999995</v>
      </c>
      <c r="I98" s="27" t="str">
        <f t="shared" si="1"/>
        <v/>
      </c>
    </row>
    <row r="99" spans="1:9" hidden="1" x14ac:dyDescent="0.25">
      <c r="A99" s="25" t="s">
        <v>1232</v>
      </c>
      <c r="B99" s="25" t="s">
        <v>529</v>
      </c>
      <c r="C99" s="26" t="s">
        <v>1125</v>
      </c>
      <c r="D99" s="27"/>
      <c r="E99" s="28" t="s">
        <v>1233</v>
      </c>
      <c r="F99" s="25" t="s">
        <v>1234</v>
      </c>
      <c r="G99" s="27" t="s">
        <v>952</v>
      </c>
      <c r="H99" s="62">
        <v>552.29</v>
      </c>
      <c r="I99" s="27" t="str">
        <f t="shared" si="1"/>
        <v/>
      </c>
    </row>
    <row r="100" spans="1:9" hidden="1" x14ac:dyDescent="0.25">
      <c r="A100" s="25" t="s">
        <v>926</v>
      </c>
      <c r="B100" s="25" t="s">
        <v>529</v>
      </c>
      <c r="C100" s="26" t="s">
        <v>1125</v>
      </c>
      <c r="D100" s="27"/>
      <c r="E100" s="28" t="s">
        <v>1235</v>
      </c>
      <c r="F100" s="25" t="s">
        <v>1236</v>
      </c>
      <c r="G100" s="27" t="s">
        <v>952</v>
      </c>
      <c r="H100" s="62">
        <v>43.3</v>
      </c>
      <c r="I100" s="27" t="str">
        <f t="shared" si="1"/>
        <v/>
      </c>
    </row>
    <row r="101" spans="1:9" hidden="1" x14ac:dyDescent="0.25">
      <c r="A101" s="25" t="s">
        <v>1237</v>
      </c>
      <c r="B101" s="25" t="s">
        <v>529</v>
      </c>
      <c r="C101" s="26" t="s">
        <v>1125</v>
      </c>
      <c r="D101" s="27"/>
      <c r="E101" s="28" t="s">
        <v>1238</v>
      </c>
      <c r="F101" s="25" t="s">
        <v>1239</v>
      </c>
      <c r="G101" s="27" t="s">
        <v>952</v>
      </c>
      <c r="H101" s="62">
        <v>286.89</v>
      </c>
      <c r="I101" s="27" t="str">
        <f t="shared" si="1"/>
        <v/>
      </c>
    </row>
    <row r="102" spans="1:9" hidden="1" x14ac:dyDescent="0.25">
      <c r="A102" s="25" t="s">
        <v>1240</v>
      </c>
      <c r="B102" s="25" t="s">
        <v>529</v>
      </c>
      <c r="C102" s="26" t="s">
        <v>1125</v>
      </c>
      <c r="D102" s="27"/>
      <c r="E102" s="28" t="s">
        <v>1241</v>
      </c>
      <c r="F102" s="25" t="s">
        <v>1242</v>
      </c>
      <c r="G102" s="27" t="s">
        <v>952</v>
      </c>
      <c r="H102" s="62">
        <v>107.61</v>
      </c>
      <c r="I102" s="27" t="str">
        <f t="shared" si="1"/>
        <v/>
      </c>
    </row>
    <row r="103" spans="1:9" hidden="1" x14ac:dyDescent="0.25">
      <c r="A103" s="25" t="s">
        <v>1243</v>
      </c>
      <c r="B103" s="25" t="s">
        <v>529</v>
      </c>
      <c r="C103" s="26" t="s">
        <v>1125</v>
      </c>
      <c r="D103" s="27"/>
      <c r="E103" s="28" t="s">
        <v>1244</v>
      </c>
      <c r="F103" s="25" t="s">
        <v>1245</v>
      </c>
      <c r="G103" s="27" t="s">
        <v>952</v>
      </c>
      <c r="H103" s="62">
        <v>139.9</v>
      </c>
      <c r="I103" s="27" t="str">
        <f t="shared" si="1"/>
        <v/>
      </c>
    </row>
    <row r="104" spans="1:9" hidden="1" x14ac:dyDescent="0.25">
      <c r="A104" s="25" t="s">
        <v>1246</v>
      </c>
      <c r="B104" s="25" t="s">
        <v>529</v>
      </c>
      <c r="C104" s="26" t="s">
        <v>1125</v>
      </c>
      <c r="D104" s="27"/>
      <c r="E104" s="28" t="s">
        <v>1247</v>
      </c>
      <c r="F104" s="25" t="s">
        <v>1248</v>
      </c>
      <c r="G104" s="27" t="s">
        <v>952</v>
      </c>
      <c r="H104" s="62">
        <v>242.97</v>
      </c>
      <c r="I104" s="27" t="str">
        <f t="shared" si="1"/>
        <v/>
      </c>
    </row>
    <row r="105" spans="1:9" hidden="1" x14ac:dyDescent="0.25">
      <c r="A105" s="25" t="s">
        <v>1249</v>
      </c>
      <c r="B105" s="25" t="s">
        <v>529</v>
      </c>
      <c r="C105" s="26" t="s">
        <v>1125</v>
      </c>
      <c r="D105" s="27"/>
      <c r="E105" s="28" t="s">
        <v>1250</v>
      </c>
      <c r="F105" s="25" t="s">
        <v>1251</v>
      </c>
      <c r="G105" s="27" t="s">
        <v>952</v>
      </c>
      <c r="H105" s="62">
        <v>68.8</v>
      </c>
      <c r="I105" s="27" t="str">
        <f t="shared" si="1"/>
        <v/>
      </c>
    </row>
    <row r="106" spans="1:9" ht="24" customHeight="1" x14ac:dyDescent="0.25">
      <c r="A106" s="25" t="s">
        <v>925</v>
      </c>
      <c r="B106" s="25" t="s">
        <v>529</v>
      </c>
      <c r="C106" s="26" t="s">
        <v>1252</v>
      </c>
      <c r="D106" s="27"/>
      <c r="E106" s="28" t="s">
        <v>1253</v>
      </c>
      <c r="F106" s="25" t="s">
        <v>1254</v>
      </c>
      <c r="G106" s="27" t="s">
        <v>952</v>
      </c>
      <c r="H106" s="62">
        <v>301.47000000000003</v>
      </c>
      <c r="I106" s="27" t="str">
        <f t="shared" si="1"/>
        <v/>
      </c>
    </row>
    <row r="107" spans="1:9" ht="24" hidden="1" customHeight="1" x14ac:dyDescent="0.25">
      <c r="A107" s="25" t="s">
        <v>1255</v>
      </c>
      <c r="B107" s="25" t="s">
        <v>529</v>
      </c>
      <c r="C107" s="26" t="s">
        <v>1252</v>
      </c>
      <c r="D107" s="27"/>
      <c r="E107" s="28" t="s">
        <v>1256</v>
      </c>
      <c r="F107" s="25" t="s">
        <v>1257</v>
      </c>
      <c r="G107" s="27" t="s">
        <v>952</v>
      </c>
      <c r="H107" s="62">
        <v>193.79</v>
      </c>
      <c r="I107" s="27" t="str">
        <f t="shared" si="1"/>
        <v/>
      </c>
    </row>
    <row r="108" spans="1:9" ht="24" hidden="1" customHeight="1" x14ac:dyDescent="0.25">
      <c r="A108" s="25" t="s">
        <v>1258</v>
      </c>
      <c r="B108" s="25" t="s">
        <v>529</v>
      </c>
      <c r="C108" s="26" t="s">
        <v>1252</v>
      </c>
      <c r="D108" s="27"/>
      <c r="E108" s="28" t="s">
        <v>1259</v>
      </c>
      <c r="F108" s="25" t="s">
        <v>1260</v>
      </c>
      <c r="G108" s="27" t="s">
        <v>952</v>
      </c>
      <c r="H108" s="62">
        <v>10.56</v>
      </c>
      <c r="I108" s="27" t="str">
        <f t="shared" si="1"/>
        <v/>
      </c>
    </row>
    <row r="109" spans="1:9" ht="24" hidden="1" customHeight="1" x14ac:dyDescent="0.25">
      <c r="A109" s="25" t="s">
        <v>1261</v>
      </c>
      <c r="B109" s="25" t="s">
        <v>529</v>
      </c>
      <c r="C109" s="26" t="s">
        <v>1252</v>
      </c>
      <c r="D109" s="27"/>
      <c r="E109" s="28" t="s">
        <v>1262</v>
      </c>
      <c r="F109" s="25" t="s">
        <v>1263</v>
      </c>
      <c r="G109" s="27" t="s">
        <v>952</v>
      </c>
      <c r="H109" s="62">
        <v>404.5</v>
      </c>
      <c r="I109" s="27" t="str">
        <f t="shared" si="1"/>
        <v/>
      </c>
    </row>
    <row r="110" spans="1:9" ht="24" hidden="1" customHeight="1" x14ac:dyDescent="0.25">
      <c r="A110" s="25" t="s">
        <v>1264</v>
      </c>
      <c r="B110" s="25" t="s">
        <v>529</v>
      </c>
      <c r="C110" s="26" t="s">
        <v>1252</v>
      </c>
      <c r="D110" s="27"/>
      <c r="E110" s="28" t="s">
        <v>1265</v>
      </c>
      <c r="F110" s="25" t="s">
        <v>1266</v>
      </c>
      <c r="G110" s="27" t="s">
        <v>952</v>
      </c>
      <c r="H110" s="62">
        <v>331</v>
      </c>
      <c r="I110" s="27" t="str">
        <f t="shared" si="1"/>
        <v/>
      </c>
    </row>
    <row r="111" spans="1:9" ht="24" hidden="1" customHeight="1" x14ac:dyDescent="0.25">
      <c r="A111" s="25" t="s">
        <v>1110</v>
      </c>
      <c r="B111" s="25" t="s">
        <v>529</v>
      </c>
      <c r="C111" s="26" t="s">
        <v>1252</v>
      </c>
      <c r="D111" s="27"/>
      <c r="E111" s="28" t="s">
        <v>1111</v>
      </c>
      <c r="F111" s="25" t="s">
        <v>1112</v>
      </c>
      <c r="G111" s="27" t="s">
        <v>952</v>
      </c>
      <c r="H111" s="62">
        <v>67.739999999999995</v>
      </c>
      <c r="I111" s="27" t="str">
        <f t="shared" si="1"/>
        <v/>
      </c>
    </row>
    <row r="112" spans="1:9" ht="24" hidden="1" customHeight="1" x14ac:dyDescent="0.25">
      <c r="A112" s="25" t="s">
        <v>1113</v>
      </c>
      <c r="B112" s="25" t="s">
        <v>529</v>
      </c>
      <c r="C112" s="26" t="s">
        <v>1252</v>
      </c>
      <c r="D112" s="27"/>
      <c r="E112" s="28" t="s">
        <v>1114</v>
      </c>
      <c r="F112" s="25" t="s">
        <v>1115</v>
      </c>
      <c r="G112" s="27" t="s">
        <v>952</v>
      </c>
      <c r="H112" s="62">
        <v>118.7</v>
      </c>
      <c r="I112" s="27" t="str">
        <f t="shared" si="1"/>
        <v/>
      </c>
    </row>
    <row r="113" spans="1:9" ht="24" hidden="1" customHeight="1" x14ac:dyDescent="0.25">
      <c r="A113" s="25" t="s">
        <v>1116</v>
      </c>
      <c r="B113" s="25" t="s">
        <v>529</v>
      </c>
      <c r="C113" s="26" t="s">
        <v>1252</v>
      </c>
      <c r="D113" s="27"/>
      <c r="E113" s="28" t="s">
        <v>1117</v>
      </c>
      <c r="F113" s="25" t="s">
        <v>1118</v>
      </c>
      <c r="G113" s="27" t="s">
        <v>952</v>
      </c>
      <c r="H113" s="62">
        <v>313.37</v>
      </c>
      <c r="I113" s="27" t="str">
        <f t="shared" si="1"/>
        <v/>
      </c>
    </row>
    <row r="114" spans="1:9" ht="24" hidden="1" customHeight="1" x14ac:dyDescent="0.25">
      <c r="A114" s="25" t="s">
        <v>1119</v>
      </c>
      <c r="B114" s="25" t="s">
        <v>529</v>
      </c>
      <c r="C114" s="26" t="s">
        <v>1252</v>
      </c>
      <c r="D114" s="27"/>
      <c r="E114" s="28" t="s">
        <v>1120</v>
      </c>
      <c r="F114" s="25" t="s">
        <v>1121</v>
      </c>
      <c r="G114" s="27" t="s">
        <v>952</v>
      </c>
      <c r="H114" s="62">
        <v>104</v>
      </c>
      <c r="I114" s="27" t="str">
        <f t="shared" si="1"/>
        <v/>
      </c>
    </row>
    <row r="115" spans="1:9" ht="24" hidden="1" customHeight="1" x14ac:dyDescent="0.25">
      <c r="A115" s="25" t="s">
        <v>1122</v>
      </c>
      <c r="B115" s="25" t="s">
        <v>529</v>
      </c>
      <c r="C115" s="26" t="s">
        <v>1252</v>
      </c>
      <c r="D115" s="27"/>
      <c r="E115" s="28" t="s">
        <v>1120</v>
      </c>
      <c r="F115" s="25" t="s">
        <v>1123</v>
      </c>
      <c r="G115" s="27" t="s">
        <v>952</v>
      </c>
      <c r="H115" s="62">
        <v>81.09</v>
      </c>
      <c r="I115" s="27" t="str">
        <f t="shared" si="1"/>
        <v/>
      </c>
    </row>
    <row r="116" spans="1:9" ht="24" hidden="1" customHeight="1" x14ac:dyDescent="0.25">
      <c r="A116" s="25" t="s">
        <v>1267</v>
      </c>
      <c r="B116" s="25" t="s">
        <v>529</v>
      </c>
      <c r="C116" s="26" t="s">
        <v>1252</v>
      </c>
      <c r="D116" s="27"/>
      <c r="E116" s="28" t="s">
        <v>1268</v>
      </c>
      <c r="F116" s="25" t="s">
        <v>1269</v>
      </c>
      <c r="G116" s="27" t="s">
        <v>952</v>
      </c>
      <c r="H116" s="62">
        <v>355.5</v>
      </c>
      <c r="I116" s="27" t="str">
        <f t="shared" si="1"/>
        <v/>
      </c>
    </row>
    <row r="117" spans="1:9" ht="24" hidden="1" customHeight="1" x14ac:dyDescent="0.25">
      <c r="A117" s="25" t="s">
        <v>1270</v>
      </c>
      <c r="B117" s="25" t="s">
        <v>529</v>
      </c>
      <c r="C117" s="26" t="s">
        <v>1252</v>
      </c>
      <c r="D117" s="27"/>
      <c r="E117" s="28" t="s">
        <v>1271</v>
      </c>
      <c r="F117" s="25" t="s">
        <v>1272</v>
      </c>
      <c r="G117" s="27" t="s">
        <v>952</v>
      </c>
      <c r="H117" s="62">
        <v>338.05</v>
      </c>
      <c r="I117" s="27" t="str">
        <f t="shared" si="1"/>
        <v/>
      </c>
    </row>
    <row r="118" spans="1:9" ht="24" hidden="1" customHeight="1" x14ac:dyDescent="0.25">
      <c r="A118" s="25" t="s">
        <v>1273</v>
      </c>
      <c r="B118" s="25" t="s">
        <v>529</v>
      </c>
      <c r="C118" s="26" t="s">
        <v>1252</v>
      </c>
      <c r="D118" s="27"/>
      <c r="E118" s="28" t="s">
        <v>1274</v>
      </c>
      <c r="F118" s="25" t="s">
        <v>1275</v>
      </c>
      <c r="G118" s="27" t="s">
        <v>952</v>
      </c>
      <c r="H118" s="62">
        <v>110.5</v>
      </c>
      <c r="I118" s="27" t="str">
        <f t="shared" si="1"/>
        <v/>
      </c>
    </row>
    <row r="119" spans="1:9" ht="24" hidden="1" customHeight="1" x14ac:dyDescent="0.25">
      <c r="A119" s="25" t="s">
        <v>1276</v>
      </c>
      <c r="B119" s="25" t="s">
        <v>529</v>
      </c>
      <c r="C119" s="26" t="s">
        <v>1252</v>
      </c>
      <c r="D119" s="27"/>
      <c r="E119" s="28" t="s">
        <v>1277</v>
      </c>
      <c r="F119" s="25" t="s">
        <v>1278</v>
      </c>
      <c r="G119" s="27" t="s">
        <v>952</v>
      </c>
      <c r="H119" s="62">
        <v>81.09</v>
      </c>
      <c r="I119" s="27" t="str">
        <f t="shared" si="1"/>
        <v/>
      </c>
    </row>
    <row r="120" spans="1:9" ht="24" hidden="1" customHeight="1" x14ac:dyDescent="0.25">
      <c r="A120" s="25" t="s">
        <v>1279</v>
      </c>
      <c r="B120" s="25" t="s">
        <v>529</v>
      </c>
      <c r="C120" s="26" t="s">
        <v>1252</v>
      </c>
      <c r="D120" s="27"/>
      <c r="E120" s="28" t="s">
        <v>1280</v>
      </c>
      <c r="F120" s="25" t="s">
        <v>1281</v>
      </c>
      <c r="G120" s="27" t="s">
        <v>952</v>
      </c>
      <c r="H120" s="62">
        <v>291.64999999999998</v>
      </c>
      <c r="I120" s="27" t="str">
        <f t="shared" si="1"/>
        <v/>
      </c>
    </row>
    <row r="121" spans="1:9" ht="24" hidden="1" customHeight="1" x14ac:dyDescent="0.25">
      <c r="A121" s="25" t="s">
        <v>1282</v>
      </c>
      <c r="B121" s="25" t="s">
        <v>529</v>
      </c>
      <c r="C121" s="26" t="s">
        <v>1283</v>
      </c>
      <c r="D121" s="27"/>
      <c r="E121" s="28" t="s">
        <v>1284</v>
      </c>
      <c r="F121" s="25" t="s">
        <v>1285</v>
      </c>
      <c r="G121" s="27" t="s">
        <v>952</v>
      </c>
      <c r="H121" s="62">
        <v>390.01</v>
      </c>
      <c r="I121" s="27" t="str">
        <f t="shared" si="1"/>
        <v/>
      </c>
    </row>
    <row r="122" spans="1:9" ht="24" hidden="1" customHeight="1" x14ac:dyDescent="0.25">
      <c r="A122" s="25" t="s">
        <v>1286</v>
      </c>
      <c r="B122" s="25" t="s">
        <v>529</v>
      </c>
      <c r="C122" s="26" t="s">
        <v>1283</v>
      </c>
      <c r="D122" s="27"/>
      <c r="E122" s="28" t="s">
        <v>1287</v>
      </c>
      <c r="F122" s="25" t="s">
        <v>1288</v>
      </c>
      <c r="G122" s="27" t="s">
        <v>952</v>
      </c>
      <c r="H122" s="62">
        <v>423.4</v>
      </c>
      <c r="I122" s="27" t="str">
        <f t="shared" si="1"/>
        <v/>
      </c>
    </row>
    <row r="123" spans="1:9" ht="24" hidden="1" customHeight="1" x14ac:dyDescent="0.25">
      <c r="A123" s="25" t="s">
        <v>1289</v>
      </c>
      <c r="B123" s="25" t="s">
        <v>529</v>
      </c>
      <c r="C123" s="26" t="s">
        <v>1283</v>
      </c>
      <c r="D123" s="27"/>
      <c r="E123" s="28" t="s">
        <v>1290</v>
      </c>
      <c r="F123" s="25" t="s">
        <v>1291</v>
      </c>
      <c r="G123" s="27" t="s">
        <v>952</v>
      </c>
      <c r="H123" s="62">
        <v>432.26</v>
      </c>
      <c r="I123" s="27" t="str">
        <f t="shared" si="1"/>
        <v/>
      </c>
    </row>
    <row r="124" spans="1:9" ht="24" hidden="1" customHeight="1" x14ac:dyDescent="0.25">
      <c r="A124" s="25" t="s">
        <v>1292</v>
      </c>
      <c r="B124" s="25" t="s">
        <v>529</v>
      </c>
      <c r="C124" s="26" t="s">
        <v>1283</v>
      </c>
      <c r="D124" s="27"/>
      <c r="E124" s="28" t="s">
        <v>1293</v>
      </c>
      <c r="F124" s="25" t="s">
        <v>1294</v>
      </c>
      <c r="G124" s="27" t="s">
        <v>952</v>
      </c>
      <c r="H124" s="62">
        <v>460.56</v>
      </c>
      <c r="I124" s="27" t="str">
        <f t="shared" si="1"/>
        <v/>
      </c>
    </row>
    <row r="125" spans="1:9" ht="24" hidden="1" customHeight="1" x14ac:dyDescent="0.25">
      <c r="A125" s="25" t="s">
        <v>1295</v>
      </c>
      <c r="B125" s="25" t="s">
        <v>529</v>
      </c>
      <c r="C125" s="26" t="s">
        <v>1283</v>
      </c>
      <c r="D125" s="27"/>
      <c r="E125" s="28" t="s">
        <v>1296</v>
      </c>
      <c r="F125" s="25" t="s">
        <v>1297</v>
      </c>
      <c r="G125" s="27" t="s">
        <v>952</v>
      </c>
      <c r="H125" s="62">
        <v>493.99</v>
      </c>
      <c r="I125" s="27" t="str">
        <f t="shared" si="1"/>
        <v/>
      </c>
    </row>
    <row r="126" spans="1:9" ht="24" hidden="1" customHeight="1" x14ac:dyDescent="0.25">
      <c r="A126" s="25" t="s">
        <v>1298</v>
      </c>
      <c r="B126" s="25" t="s">
        <v>529</v>
      </c>
      <c r="C126" s="26" t="s">
        <v>1283</v>
      </c>
      <c r="D126" s="27"/>
      <c r="E126" s="28" t="s">
        <v>1299</v>
      </c>
      <c r="F126" s="25" t="s">
        <v>1300</v>
      </c>
      <c r="G126" s="27" t="s">
        <v>952</v>
      </c>
      <c r="H126" s="62">
        <v>650.95000000000005</v>
      </c>
      <c r="I126" s="27" t="str">
        <f t="shared" si="1"/>
        <v/>
      </c>
    </row>
    <row r="127" spans="1:9" ht="24" hidden="1" customHeight="1" x14ac:dyDescent="0.25">
      <c r="A127" s="25" t="s">
        <v>1301</v>
      </c>
      <c r="B127" s="25" t="s">
        <v>529</v>
      </c>
      <c r="C127" s="26" t="s">
        <v>1283</v>
      </c>
      <c r="D127" s="27"/>
      <c r="E127" s="28" t="s">
        <v>1302</v>
      </c>
      <c r="F127" s="25" t="s">
        <v>1303</v>
      </c>
      <c r="G127" s="27" t="s">
        <v>952</v>
      </c>
      <c r="H127" s="62">
        <v>798.18</v>
      </c>
      <c r="I127" s="27" t="str">
        <f t="shared" si="1"/>
        <v/>
      </c>
    </row>
    <row r="128" spans="1:9" ht="24" hidden="1" customHeight="1" x14ac:dyDescent="0.25">
      <c r="A128" s="25" t="s">
        <v>1304</v>
      </c>
      <c r="B128" s="25" t="s">
        <v>529</v>
      </c>
      <c r="C128" s="26" t="s">
        <v>1283</v>
      </c>
      <c r="D128" s="27"/>
      <c r="E128" s="28" t="s">
        <v>1305</v>
      </c>
      <c r="F128" s="25" t="s">
        <v>1306</v>
      </c>
      <c r="G128" s="27" t="s">
        <v>952</v>
      </c>
      <c r="H128" s="62">
        <v>811.85</v>
      </c>
      <c r="I128" s="27" t="str">
        <f t="shared" si="1"/>
        <v/>
      </c>
    </row>
    <row r="129" spans="1:9" ht="24" hidden="1" customHeight="1" x14ac:dyDescent="0.25">
      <c r="A129" s="25" t="s">
        <v>1307</v>
      </c>
      <c r="B129" s="25" t="s">
        <v>529</v>
      </c>
      <c r="C129" s="26" t="s">
        <v>1283</v>
      </c>
      <c r="D129" s="27"/>
      <c r="E129" s="28" t="s">
        <v>1308</v>
      </c>
      <c r="F129" s="25" t="s">
        <v>1309</v>
      </c>
      <c r="G129" s="27" t="s">
        <v>952</v>
      </c>
      <c r="H129" s="62">
        <v>863.62</v>
      </c>
      <c r="I129" s="27" t="str">
        <f t="shared" si="1"/>
        <v/>
      </c>
    </row>
    <row r="130" spans="1:9" ht="24" hidden="1" customHeight="1" x14ac:dyDescent="0.25">
      <c r="A130" s="25" t="s">
        <v>1310</v>
      </c>
      <c r="B130" s="25" t="s">
        <v>529</v>
      </c>
      <c r="C130" s="26" t="s">
        <v>1283</v>
      </c>
      <c r="D130" s="27"/>
      <c r="E130" s="28" t="s">
        <v>1311</v>
      </c>
      <c r="F130" s="25" t="s">
        <v>1312</v>
      </c>
      <c r="G130" s="27" t="s">
        <v>952</v>
      </c>
      <c r="H130" s="62">
        <v>977.64</v>
      </c>
      <c r="I130" s="27" t="str">
        <f t="shared" si="1"/>
        <v/>
      </c>
    </row>
    <row r="131" spans="1:9" ht="24" hidden="1" customHeight="1" x14ac:dyDescent="0.25">
      <c r="A131" s="25" t="s">
        <v>1313</v>
      </c>
      <c r="B131" s="25" t="s">
        <v>529</v>
      </c>
      <c r="C131" s="26" t="s">
        <v>1283</v>
      </c>
      <c r="D131" s="27"/>
      <c r="E131" s="28" t="s">
        <v>1314</v>
      </c>
      <c r="F131" s="25" t="s">
        <v>1315</v>
      </c>
      <c r="G131" s="27" t="s">
        <v>952</v>
      </c>
      <c r="H131" s="62">
        <v>139.9</v>
      </c>
      <c r="I131" s="27" t="str">
        <f t="shared" si="1"/>
        <v/>
      </c>
    </row>
    <row r="132" spans="1:9" ht="24" hidden="1" customHeight="1" x14ac:dyDescent="0.25">
      <c r="A132" s="25" t="s">
        <v>1316</v>
      </c>
      <c r="B132" s="25" t="s">
        <v>529</v>
      </c>
      <c r="C132" s="26" t="s">
        <v>1283</v>
      </c>
      <c r="D132" s="27"/>
      <c r="E132" s="28" t="s">
        <v>1317</v>
      </c>
      <c r="F132" s="25" t="s">
        <v>1318</v>
      </c>
      <c r="G132" s="27" t="s">
        <v>952</v>
      </c>
      <c r="H132" s="62">
        <v>240.54</v>
      </c>
      <c r="I132" s="27" t="str">
        <f t="shared" si="1"/>
        <v/>
      </c>
    </row>
    <row r="133" spans="1:9" ht="24" hidden="1" customHeight="1" x14ac:dyDescent="0.25">
      <c r="A133" s="25" t="s">
        <v>1319</v>
      </c>
      <c r="B133" s="25" t="s">
        <v>529</v>
      </c>
      <c r="C133" s="26" t="s">
        <v>1283</v>
      </c>
      <c r="D133" s="27"/>
      <c r="E133" s="28" t="s">
        <v>1320</v>
      </c>
      <c r="F133" s="25" t="s">
        <v>1321</v>
      </c>
      <c r="G133" s="27" t="s">
        <v>952</v>
      </c>
      <c r="H133" s="62">
        <v>75.92</v>
      </c>
      <c r="I133" s="27" t="str">
        <f t="shared" ref="I133:I196" si="2">IF($K$2="","",IF(ISNUMBER(SEARCH($K$2,$E133&amp;$F133)),1,""))</f>
        <v/>
      </c>
    </row>
    <row r="134" spans="1:9" ht="24" hidden="1" customHeight="1" x14ac:dyDescent="0.25">
      <c r="A134" s="25" t="s">
        <v>1322</v>
      </c>
      <c r="B134" s="25" t="s">
        <v>529</v>
      </c>
      <c r="C134" s="26" t="s">
        <v>1283</v>
      </c>
      <c r="D134" s="27"/>
      <c r="E134" s="28" t="s">
        <v>1323</v>
      </c>
      <c r="F134" s="25" t="s">
        <v>1324</v>
      </c>
      <c r="G134" s="27" t="s">
        <v>952</v>
      </c>
      <c r="H134" s="62">
        <v>166.98</v>
      </c>
      <c r="I134" s="27" t="str">
        <f t="shared" si="2"/>
        <v/>
      </c>
    </row>
    <row r="135" spans="1:9" ht="24" hidden="1" customHeight="1" x14ac:dyDescent="0.25">
      <c r="A135" s="25" t="s">
        <v>1325</v>
      </c>
      <c r="B135" s="25" t="s">
        <v>529</v>
      </c>
      <c r="C135" s="26" t="s">
        <v>1283</v>
      </c>
      <c r="D135" s="27"/>
      <c r="E135" s="28" t="s">
        <v>1326</v>
      </c>
      <c r="F135" s="25" t="s">
        <v>1327</v>
      </c>
      <c r="G135" s="27" t="s">
        <v>952</v>
      </c>
      <c r="H135" s="62">
        <v>255.46</v>
      </c>
      <c r="I135" s="27" t="str">
        <f t="shared" si="2"/>
        <v/>
      </c>
    </row>
    <row r="136" spans="1:9" hidden="1" x14ac:dyDescent="0.25">
      <c r="A136" s="25" t="s">
        <v>1328</v>
      </c>
      <c r="B136" s="25" t="s">
        <v>529</v>
      </c>
      <c r="C136" s="26" t="s">
        <v>1329</v>
      </c>
      <c r="D136" s="27"/>
      <c r="E136" s="28" t="s">
        <v>1330</v>
      </c>
      <c r="F136" s="25" t="s">
        <v>1331</v>
      </c>
      <c r="G136" s="27" t="s">
        <v>952</v>
      </c>
      <c r="H136" s="62">
        <v>596.79</v>
      </c>
      <c r="I136" s="27" t="str">
        <f t="shared" si="2"/>
        <v/>
      </c>
    </row>
    <row r="137" spans="1:9" hidden="1" x14ac:dyDescent="0.25">
      <c r="A137" s="25" t="s">
        <v>1332</v>
      </c>
      <c r="B137" s="25" t="s">
        <v>529</v>
      </c>
      <c r="C137" s="26" t="s">
        <v>1329</v>
      </c>
      <c r="D137" s="27"/>
      <c r="E137" s="28" t="s">
        <v>1333</v>
      </c>
      <c r="F137" s="25" t="s">
        <v>1334</v>
      </c>
      <c r="G137" s="27" t="s">
        <v>952</v>
      </c>
      <c r="H137" s="62">
        <v>1119.55</v>
      </c>
      <c r="I137" s="27" t="str">
        <f t="shared" si="2"/>
        <v/>
      </c>
    </row>
    <row r="138" spans="1:9" hidden="1" x14ac:dyDescent="0.25">
      <c r="A138" s="25" t="s">
        <v>1335</v>
      </c>
      <c r="B138" s="25" t="s">
        <v>529</v>
      </c>
      <c r="C138" s="26" t="s">
        <v>1329</v>
      </c>
      <c r="D138" s="27"/>
      <c r="E138" s="28" t="s">
        <v>1336</v>
      </c>
      <c r="F138" s="25" t="s">
        <v>1337</v>
      </c>
      <c r="G138" s="27" t="s">
        <v>952</v>
      </c>
      <c r="H138" s="62">
        <v>1173.1099999999999</v>
      </c>
      <c r="I138" s="27" t="str">
        <f t="shared" si="2"/>
        <v/>
      </c>
    </row>
    <row r="139" spans="1:9" hidden="1" x14ac:dyDescent="0.25">
      <c r="A139" s="25" t="s">
        <v>1338</v>
      </c>
      <c r="B139" s="25" t="s">
        <v>529</v>
      </c>
      <c r="C139" s="26" t="s">
        <v>1329</v>
      </c>
      <c r="D139" s="27"/>
      <c r="E139" s="28" t="s">
        <v>1339</v>
      </c>
      <c r="F139" s="25" t="s">
        <v>1340</v>
      </c>
      <c r="G139" s="27" t="s">
        <v>952</v>
      </c>
      <c r="H139" s="62">
        <v>1177.74</v>
      </c>
      <c r="I139" s="27" t="str">
        <f t="shared" si="2"/>
        <v/>
      </c>
    </row>
    <row r="140" spans="1:9" hidden="1" x14ac:dyDescent="0.25">
      <c r="A140" s="25" t="s">
        <v>1341</v>
      </c>
      <c r="B140" s="25" t="s">
        <v>529</v>
      </c>
      <c r="C140" s="26" t="s">
        <v>1329</v>
      </c>
      <c r="D140" s="27"/>
      <c r="E140" s="28" t="s">
        <v>1342</v>
      </c>
      <c r="F140" s="25" t="s">
        <v>1343</v>
      </c>
      <c r="G140" s="27" t="s">
        <v>952</v>
      </c>
      <c r="H140" s="62">
        <v>1240.19</v>
      </c>
      <c r="I140" s="27" t="str">
        <f t="shared" si="2"/>
        <v/>
      </c>
    </row>
    <row r="141" spans="1:9" hidden="1" x14ac:dyDescent="0.25">
      <c r="A141" s="25" t="s">
        <v>1344</v>
      </c>
      <c r="B141" s="25" t="s">
        <v>529</v>
      </c>
      <c r="C141" s="26" t="s">
        <v>1329</v>
      </c>
      <c r="D141" s="27"/>
      <c r="E141" s="28" t="s">
        <v>1345</v>
      </c>
      <c r="F141" s="25" t="s">
        <v>1346</v>
      </c>
      <c r="G141" s="27" t="s">
        <v>952</v>
      </c>
      <c r="H141" s="62">
        <v>768.26</v>
      </c>
      <c r="I141" s="27" t="str">
        <f t="shared" si="2"/>
        <v/>
      </c>
    </row>
    <row r="142" spans="1:9" hidden="1" x14ac:dyDescent="0.25">
      <c r="A142" s="25" t="s">
        <v>1347</v>
      </c>
      <c r="B142" s="25" t="s">
        <v>529</v>
      </c>
      <c r="C142" s="26" t="s">
        <v>1329</v>
      </c>
      <c r="D142" s="27"/>
      <c r="E142" s="28" t="s">
        <v>1348</v>
      </c>
      <c r="F142" s="25" t="s">
        <v>1349</v>
      </c>
      <c r="G142" s="27" t="s">
        <v>952</v>
      </c>
      <c r="H142" s="62">
        <v>1387.35</v>
      </c>
      <c r="I142" s="27" t="str">
        <f t="shared" si="2"/>
        <v/>
      </c>
    </row>
    <row r="143" spans="1:9" hidden="1" x14ac:dyDescent="0.25">
      <c r="A143" s="25" t="s">
        <v>1350</v>
      </c>
      <c r="B143" s="25" t="s">
        <v>529</v>
      </c>
      <c r="C143" s="26" t="s">
        <v>1329</v>
      </c>
      <c r="D143" s="27"/>
      <c r="E143" s="28" t="s">
        <v>1351</v>
      </c>
      <c r="F143" s="25" t="s">
        <v>1352</v>
      </c>
      <c r="G143" s="27" t="s">
        <v>952</v>
      </c>
      <c r="H143" s="62">
        <v>1400.88</v>
      </c>
      <c r="I143" s="27" t="str">
        <f t="shared" si="2"/>
        <v/>
      </c>
    </row>
    <row r="144" spans="1:9" hidden="1" x14ac:dyDescent="0.25">
      <c r="A144" s="25" t="s">
        <v>1353</v>
      </c>
      <c r="B144" s="25" t="s">
        <v>529</v>
      </c>
      <c r="C144" s="26" t="s">
        <v>1329</v>
      </c>
      <c r="D144" s="27"/>
      <c r="E144" s="28" t="s">
        <v>1354</v>
      </c>
      <c r="F144" s="25" t="s">
        <v>1355</v>
      </c>
      <c r="G144" s="27" t="s">
        <v>952</v>
      </c>
      <c r="H144" s="62">
        <v>1387.49</v>
      </c>
      <c r="I144" s="27" t="str">
        <f t="shared" si="2"/>
        <v/>
      </c>
    </row>
    <row r="145" spans="1:9" hidden="1" x14ac:dyDescent="0.25">
      <c r="A145" s="25" t="s">
        <v>1356</v>
      </c>
      <c r="B145" s="25" t="s">
        <v>529</v>
      </c>
      <c r="C145" s="26" t="s">
        <v>1329</v>
      </c>
      <c r="D145" s="27"/>
      <c r="E145" s="28" t="s">
        <v>1357</v>
      </c>
      <c r="F145" s="25" t="s">
        <v>1358</v>
      </c>
      <c r="G145" s="27" t="s">
        <v>952</v>
      </c>
      <c r="H145" s="62">
        <v>1438.1</v>
      </c>
      <c r="I145" s="27" t="str">
        <f t="shared" si="2"/>
        <v/>
      </c>
    </row>
    <row r="146" spans="1:9" hidden="1" x14ac:dyDescent="0.25">
      <c r="A146" s="25" t="s">
        <v>1359</v>
      </c>
      <c r="B146" s="25" t="s">
        <v>529</v>
      </c>
      <c r="C146" s="26" t="s">
        <v>1329</v>
      </c>
      <c r="D146" s="27"/>
      <c r="E146" s="28" t="s">
        <v>1360</v>
      </c>
      <c r="F146" s="25" t="s">
        <v>1361</v>
      </c>
      <c r="G146" s="27" t="s">
        <v>952</v>
      </c>
      <c r="H146" s="62">
        <v>893.74</v>
      </c>
      <c r="I146" s="27" t="str">
        <f t="shared" si="2"/>
        <v/>
      </c>
    </row>
    <row r="147" spans="1:9" hidden="1" x14ac:dyDescent="0.25">
      <c r="A147" s="25" t="s">
        <v>1362</v>
      </c>
      <c r="B147" s="25" t="s">
        <v>529</v>
      </c>
      <c r="C147" s="26" t="s">
        <v>1329</v>
      </c>
      <c r="D147" s="27"/>
      <c r="E147" s="28" t="s">
        <v>1363</v>
      </c>
      <c r="F147" s="25" t="s">
        <v>1364</v>
      </c>
      <c r="G147" s="27" t="s">
        <v>952</v>
      </c>
      <c r="H147" s="62">
        <v>1227.79</v>
      </c>
      <c r="I147" s="27" t="str">
        <f t="shared" si="2"/>
        <v/>
      </c>
    </row>
    <row r="148" spans="1:9" hidden="1" x14ac:dyDescent="0.25">
      <c r="A148" s="25" t="s">
        <v>1365</v>
      </c>
      <c r="B148" s="25" t="s">
        <v>529</v>
      </c>
      <c r="C148" s="26" t="s">
        <v>1329</v>
      </c>
      <c r="D148" s="27"/>
      <c r="E148" s="28" t="s">
        <v>1366</v>
      </c>
      <c r="F148" s="25" t="s">
        <v>1367</v>
      </c>
      <c r="G148" s="27" t="s">
        <v>952</v>
      </c>
      <c r="H148" s="62">
        <v>1346.97</v>
      </c>
      <c r="I148" s="27" t="str">
        <f t="shared" si="2"/>
        <v/>
      </c>
    </row>
    <row r="149" spans="1:9" hidden="1" x14ac:dyDescent="0.25">
      <c r="A149" s="25" t="s">
        <v>1368</v>
      </c>
      <c r="B149" s="25" t="s">
        <v>529</v>
      </c>
      <c r="C149" s="26" t="s">
        <v>1329</v>
      </c>
      <c r="D149" s="27"/>
      <c r="E149" s="28" t="s">
        <v>1369</v>
      </c>
      <c r="F149" s="25" t="s">
        <v>1370</v>
      </c>
      <c r="G149" s="27" t="s">
        <v>952</v>
      </c>
      <c r="H149" s="62">
        <v>1511.3</v>
      </c>
      <c r="I149" s="27" t="str">
        <f t="shared" si="2"/>
        <v/>
      </c>
    </row>
    <row r="150" spans="1:9" hidden="1" x14ac:dyDescent="0.25">
      <c r="A150" s="25" t="s">
        <v>1371</v>
      </c>
      <c r="B150" s="25" t="s">
        <v>529</v>
      </c>
      <c r="C150" s="26" t="s">
        <v>1329</v>
      </c>
      <c r="D150" s="27"/>
      <c r="E150" s="28" t="s">
        <v>1372</v>
      </c>
      <c r="F150" s="25" t="s">
        <v>1373</v>
      </c>
      <c r="G150" s="27" t="s">
        <v>952</v>
      </c>
      <c r="H150" s="62">
        <v>1569.12</v>
      </c>
      <c r="I150" s="27" t="str">
        <f t="shared" si="2"/>
        <v/>
      </c>
    </row>
    <row r="151" spans="1:9" hidden="1" x14ac:dyDescent="0.25">
      <c r="A151" s="25" t="s">
        <v>1374</v>
      </c>
      <c r="B151" s="25" t="s">
        <v>529</v>
      </c>
      <c r="C151" s="26" t="s">
        <v>1329</v>
      </c>
      <c r="D151" s="27"/>
      <c r="E151" s="28" t="s">
        <v>1375</v>
      </c>
      <c r="F151" s="25" t="s">
        <v>1376</v>
      </c>
      <c r="G151" s="27" t="s">
        <v>952</v>
      </c>
      <c r="H151" s="62">
        <v>1061.8699999999999</v>
      </c>
      <c r="I151" s="27" t="str">
        <f t="shared" si="2"/>
        <v/>
      </c>
    </row>
    <row r="152" spans="1:9" hidden="1" x14ac:dyDescent="0.25">
      <c r="A152" s="25" t="s">
        <v>1377</v>
      </c>
      <c r="B152" s="25" t="s">
        <v>529</v>
      </c>
      <c r="C152" s="26" t="s">
        <v>1329</v>
      </c>
      <c r="D152" s="27"/>
      <c r="E152" s="28" t="s">
        <v>1378</v>
      </c>
      <c r="F152" s="25" t="s">
        <v>1379</v>
      </c>
      <c r="G152" s="27" t="s">
        <v>952</v>
      </c>
      <c r="H152" s="62">
        <v>1331.41</v>
      </c>
      <c r="I152" s="27" t="str">
        <f t="shared" si="2"/>
        <v/>
      </c>
    </row>
    <row r="153" spans="1:9" hidden="1" x14ac:dyDescent="0.25">
      <c r="A153" s="25" t="s">
        <v>1380</v>
      </c>
      <c r="B153" s="25" t="s">
        <v>529</v>
      </c>
      <c r="C153" s="26" t="s">
        <v>1329</v>
      </c>
      <c r="D153" s="27"/>
      <c r="E153" s="28" t="s">
        <v>1381</v>
      </c>
      <c r="F153" s="25" t="s">
        <v>1382</v>
      </c>
      <c r="G153" s="27" t="s">
        <v>952</v>
      </c>
      <c r="H153" s="62">
        <v>1609.52</v>
      </c>
      <c r="I153" s="27" t="str">
        <f t="shared" si="2"/>
        <v/>
      </c>
    </row>
    <row r="154" spans="1:9" hidden="1" x14ac:dyDescent="0.25">
      <c r="A154" s="25" t="s">
        <v>1383</v>
      </c>
      <c r="B154" s="25" t="s">
        <v>529</v>
      </c>
      <c r="C154" s="26" t="s">
        <v>1329</v>
      </c>
      <c r="D154" s="27"/>
      <c r="E154" s="28" t="s">
        <v>1384</v>
      </c>
      <c r="F154" s="25" t="s">
        <v>1385</v>
      </c>
      <c r="G154" s="27" t="s">
        <v>952</v>
      </c>
      <c r="H154" s="62">
        <v>1679.39</v>
      </c>
      <c r="I154" s="27" t="str">
        <f t="shared" si="2"/>
        <v/>
      </c>
    </row>
    <row r="155" spans="1:9" hidden="1" x14ac:dyDescent="0.25">
      <c r="A155" s="25" t="s">
        <v>1386</v>
      </c>
      <c r="B155" s="25" t="s">
        <v>529</v>
      </c>
      <c r="C155" s="26" t="s">
        <v>1329</v>
      </c>
      <c r="D155" s="27"/>
      <c r="E155" s="28" t="s">
        <v>1387</v>
      </c>
      <c r="F155" s="25" t="s">
        <v>1388</v>
      </c>
      <c r="G155" s="27" t="s">
        <v>952</v>
      </c>
      <c r="H155" s="62">
        <v>1740.83</v>
      </c>
      <c r="I155" s="27" t="str">
        <f t="shared" si="2"/>
        <v/>
      </c>
    </row>
    <row r="156" spans="1:9" hidden="1" x14ac:dyDescent="0.25">
      <c r="A156" s="25" t="s">
        <v>1389</v>
      </c>
      <c r="B156" s="25" t="s">
        <v>529</v>
      </c>
      <c r="C156" s="26" t="s">
        <v>1329</v>
      </c>
      <c r="D156" s="27"/>
      <c r="E156" s="28" t="s">
        <v>1390</v>
      </c>
      <c r="F156" s="25" t="s">
        <v>1391</v>
      </c>
      <c r="G156" s="27" t="s">
        <v>952</v>
      </c>
      <c r="H156" s="62">
        <v>337.39</v>
      </c>
      <c r="I156" s="27" t="str">
        <f t="shared" si="2"/>
        <v/>
      </c>
    </row>
    <row r="157" spans="1:9" hidden="1" x14ac:dyDescent="0.25">
      <c r="A157" s="25" t="s">
        <v>1392</v>
      </c>
      <c r="B157" s="25" t="s">
        <v>529</v>
      </c>
      <c r="C157" s="26" t="s">
        <v>1329</v>
      </c>
      <c r="D157" s="27"/>
      <c r="E157" s="28" t="s">
        <v>1393</v>
      </c>
      <c r="F157" s="25" t="s">
        <v>1394</v>
      </c>
      <c r="G157" s="27" t="s">
        <v>952</v>
      </c>
      <c r="H157" s="62">
        <v>395.5</v>
      </c>
      <c r="I157" s="27" t="str">
        <f t="shared" si="2"/>
        <v/>
      </c>
    </row>
    <row r="158" spans="1:9" hidden="1" x14ac:dyDescent="0.25">
      <c r="A158" s="25" t="s">
        <v>1395</v>
      </c>
      <c r="B158" s="25" t="s">
        <v>529</v>
      </c>
      <c r="C158" s="26" t="s">
        <v>1329</v>
      </c>
      <c r="D158" s="27"/>
      <c r="E158" s="28" t="s">
        <v>1396</v>
      </c>
      <c r="F158" s="25" t="s">
        <v>1397</v>
      </c>
      <c r="G158" s="27" t="s">
        <v>952</v>
      </c>
      <c r="H158" s="62">
        <v>385.9</v>
      </c>
      <c r="I158" s="27" t="str">
        <f t="shared" si="2"/>
        <v/>
      </c>
    </row>
    <row r="159" spans="1:9" hidden="1" x14ac:dyDescent="0.25">
      <c r="A159" s="25" t="s">
        <v>1398</v>
      </c>
      <c r="B159" s="25" t="s">
        <v>529</v>
      </c>
      <c r="C159" s="26" t="s">
        <v>1329</v>
      </c>
      <c r="D159" s="27"/>
      <c r="E159" s="28" t="s">
        <v>1399</v>
      </c>
      <c r="F159" s="25" t="s">
        <v>1400</v>
      </c>
      <c r="G159" s="27" t="s">
        <v>952</v>
      </c>
      <c r="H159" s="62">
        <v>482.91</v>
      </c>
      <c r="I159" s="27" t="str">
        <f t="shared" si="2"/>
        <v/>
      </c>
    </row>
    <row r="160" spans="1:9" hidden="1" x14ac:dyDescent="0.25">
      <c r="A160" s="25" t="s">
        <v>1401</v>
      </c>
      <c r="B160" s="25" t="s">
        <v>529</v>
      </c>
      <c r="C160" s="26" t="s">
        <v>1329</v>
      </c>
      <c r="D160" s="27"/>
      <c r="E160" s="28" t="s">
        <v>1402</v>
      </c>
      <c r="F160" s="25" t="s">
        <v>1403</v>
      </c>
      <c r="G160" s="27" t="s">
        <v>952</v>
      </c>
      <c r="H160" s="62">
        <v>139.9</v>
      </c>
      <c r="I160" s="27" t="str">
        <f t="shared" si="2"/>
        <v/>
      </c>
    </row>
    <row r="161" spans="1:9" hidden="1" x14ac:dyDescent="0.25">
      <c r="A161" s="25" t="s">
        <v>1404</v>
      </c>
      <c r="B161" s="25" t="s">
        <v>529</v>
      </c>
      <c r="C161" s="26" t="s">
        <v>1329</v>
      </c>
      <c r="D161" s="27"/>
      <c r="E161" s="28" t="s">
        <v>1405</v>
      </c>
      <c r="F161" s="25" t="s">
        <v>1406</v>
      </c>
      <c r="G161" s="27" t="s">
        <v>952</v>
      </c>
      <c r="H161" s="62">
        <v>240.54</v>
      </c>
      <c r="I161" s="27" t="str">
        <f t="shared" si="2"/>
        <v/>
      </c>
    </row>
    <row r="162" spans="1:9" hidden="1" x14ac:dyDescent="0.25">
      <c r="A162" s="25" t="s">
        <v>1407</v>
      </c>
      <c r="B162" s="25" t="s">
        <v>529</v>
      </c>
      <c r="C162" s="26" t="s">
        <v>1329</v>
      </c>
      <c r="D162" s="27"/>
      <c r="E162" s="28" t="s">
        <v>1408</v>
      </c>
      <c r="F162" s="25" t="s">
        <v>1409</v>
      </c>
      <c r="G162" s="27" t="s">
        <v>952</v>
      </c>
      <c r="H162" s="62">
        <v>143.71</v>
      </c>
      <c r="I162" s="27" t="str">
        <f t="shared" si="2"/>
        <v/>
      </c>
    </row>
    <row r="163" spans="1:9" hidden="1" x14ac:dyDescent="0.25">
      <c r="A163" s="25" t="s">
        <v>1410</v>
      </c>
      <c r="B163" s="25" t="s">
        <v>529</v>
      </c>
      <c r="C163" s="26" t="s">
        <v>1329</v>
      </c>
      <c r="D163" s="27"/>
      <c r="E163" s="28" t="s">
        <v>1411</v>
      </c>
      <c r="F163" s="25" t="s">
        <v>1412</v>
      </c>
      <c r="G163" s="27" t="s">
        <v>952</v>
      </c>
      <c r="H163" s="62">
        <v>234.76</v>
      </c>
      <c r="I163" s="27" t="str">
        <f t="shared" si="2"/>
        <v/>
      </c>
    </row>
    <row r="164" spans="1:9" hidden="1" x14ac:dyDescent="0.25">
      <c r="A164" s="25" t="s">
        <v>1413</v>
      </c>
      <c r="B164" s="25" t="s">
        <v>529</v>
      </c>
      <c r="C164" s="26" t="s">
        <v>1329</v>
      </c>
      <c r="D164" s="27"/>
      <c r="E164" s="28" t="s">
        <v>1414</v>
      </c>
      <c r="F164" s="25" t="s">
        <v>1415</v>
      </c>
      <c r="G164" s="27" t="s">
        <v>952</v>
      </c>
      <c r="H164" s="62">
        <v>325.82</v>
      </c>
      <c r="I164" s="27" t="str">
        <f t="shared" si="2"/>
        <v/>
      </c>
    </row>
    <row r="165" spans="1:9" hidden="1" x14ac:dyDescent="0.25">
      <c r="A165" s="25" t="s">
        <v>1416</v>
      </c>
      <c r="B165" s="25" t="s">
        <v>529</v>
      </c>
      <c r="C165" s="26" t="s">
        <v>1329</v>
      </c>
      <c r="D165" s="27"/>
      <c r="E165" s="28" t="s">
        <v>1417</v>
      </c>
      <c r="F165" s="25" t="s">
        <v>1418</v>
      </c>
      <c r="G165" s="27" t="s">
        <v>952</v>
      </c>
      <c r="H165" s="62">
        <v>139.9</v>
      </c>
      <c r="I165" s="27" t="str">
        <f t="shared" si="2"/>
        <v/>
      </c>
    </row>
    <row r="166" spans="1:9" hidden="1" x14ac:dyDescent="0.25">
      <c r="A166" s="25" t="s">
        <v>1419</v>
      </c>
      <c r="B166" s="25" t="s">
        <v>529</v>
      </c>
      <c r="C166" s="26" t="s">
        <v>1329</v>
      </c>
      <c r="D166" s="27"/>
      <c r="E166" s="28" t="s">
        <v>1420</v>
      </c>
      <c r="F166" s="25" t="s">
        <v>1421</v>
      </c>
      <c r="G166" s="27" t="s">
        <v>952</v>
      </c>
      <c r="H166" s="62">
        <v>242.97</v>
      </c>
      <c r="I166" s="27" t="str">
        <f t="shared" si="2"/>
        <v/>
      </c>
    </row>
    <row r="167" spans="1:9" hidden="1" x14ac:dyDescent="0.25">
      <c r="A167" s="25" t="s">
        <v>1422</v>
      </c>
      <c r="B167" s="25" t="s">
        <v>529</v>
      </c>
      <c r="C167" s="26" t="s">
        <v>1329</v>
      </c>
      <c r="D167" s="27"/>
      <c r="E167" s="28" t="s">
        <v>1423</v>
      </c>
      <c r="F167" s="25" t="s">
        <v>1424</v>
      </c>
      <c r="G167" s="27" t="s">
        <v>952</v>
      </c>
      <c r="H167" s="62">
        <v>143.71</v>
      </c>
      <c r="I167" s="27" t="str">
        <f t="shared" si="2"/>
        <v/>
      </c>
    </row>
    <row r="168" spans="1:9" hidden="1" x14ac:dyDescent="0.25">
      <c r="A168" s="25" t="s">
        <v>1425</v>
      </c>
      <c r="B168" s="25" t="s">
        <v>529</v>
      </c>
      <c r="C168" s="26" t="s">
        <v>1329</v>
      </c>
      <c r="D168" s="27"/>
      <c r="E168" s="28" t="s">
        <v>1426</v>
      </c>
      <c r="F168" s="25" t="s">
        <v>1427</v>
      </c>
      <c r="G168" s="27" t="s">
        <v>952</v>
      </c>
      <c r="H168" s="62">
        <v>234.76</v>
      </c>
      <c r="I168" s="27" t="str">
        <f t="shared" si="2"/>
        <v/>
      </c>
    </row>
    <row r="169" spans="1:9" hidden="1" x14ac:dyDescent="0.25">
      <c r="A169" s="25" t="s">
        <v>1428</v>
      </c>
      <c r="B169" s="25" t="s">
        <v>529</v>
      </c>
      <c r="C169" s="26" t="s">
        <v>1329</v>
      </c>
      <c r="D169" s="27"/>
      <c r="E169" s="28" t="s">
        <v>1429</v>
      </c>
      <c r="F169" s="25" t="s">
        <v>1430</v>
      </c>
      <c r="G169" s="27" t="s">
        <v>952</v>
      </c>
      <c r="H169" s="62">
        <v>325.82</v>
      </c>
      <c r="I169" s="27" t="str">
        <f t="shared" si="2"/>
        <v/>
      </c>
    </row>
    <row r="170" spans="1:9" hidden="1" x14ac:dyDescent="0.25">
      <c r="A170" s="25" t="s">
        <v>1431</v>
      </c>
      <c r="B170" s="25" t="s">
        <v>529</v>
      </c>
      <c r="C170" s="26" t="s">
        <v>1329</v>
      </c>
      <c r="D170" s="27"/>
      <c r="E170" s="28" t="s">
        <v>1432</v>
      </c>
      <c r="F170" s="25" t="s">
        <v>1433</v>
      </c>
      <c r="G170" s="27" t="s">
        <v>952</v>
      </c>
      <c r="H170" s="62">
        <v>144.55000000000001</v>
      </c>
      <c r="I170" s="27" t="str">
        <f t="shared" si="2"/>
        <v/>
      </c>
    </row>
    <row r="171" spans="1:9" hidden="1" x14ac:dyDescent="0.25">
      <c r="A171" s="25" t="s">
        <v>1434</v>
      </c>
      <c r="B171" s="25" t="s">
        <v>529</v>
      </c>
      <c r="C171" s="26" t="s">
        <v>1329</v>
      </c>
      <c r="D171" s="27"/>
      <c r="E171" s="28" t="s">
        <v>1435</v>
      </c>
      <c r="F171" s="25" t="s">
        <v>1436</v>
      </c>
      <c r="G171" s="27" t="s">
        <v>952</v>
      </c>
      <c r="H171" s="62">
        <v>237.9</v>
      </c>
      <c r="I171" s="27" t="str">
        <f t="shared" si="2"/>
        <v/>
      </c>
    </row>
    <row r="172" spans="1:9" ht="24" hidden="1" customHeight="1" x14ac:dyDescent="0.25">
      <c r="A172" s="25" t="s">
        <v>1437</v>
      </c>
      <c r="B172" s="25" t="s">
        <v>529</v>
      </c>
      <c r="C172" s="26" t="s">
        <v>1438</v>
      </c>
      <c r="D172" s="27"/>
      <c r="E172" s="28" t="s">
        <v>1439</v>
      </c>
      <c r="F172" s="25" t="s">
        <v>1440</v>
      </c>
      <c r="G172" s="27" t="s">
        <v>952</v>
      </c>
      <c r="H172" s="62">
        <v>770.21</v>
      </c>
      <c r="I172" s="27" t="str">
        <f t="shared" si="2"/>
        <v/>
      </c>
    </row>
    <row r="173" spans="1:9" ht="24" hidden="1" customHeight="1" x14ac:dyDescent="0.25">
      <c r="A173" s="25" t="s">
        <v>1441</v>
      </c>
      <c r="B173" s="25" t="s">
        <v>529</v>
      </c>
      <c r="C173" s="26" t="s">
        <v>1438</v>
      </c>
      <c r="D173" s="27"/>
      <c r="E173" s="28" t="s">
        <v>1442</v>
      </c>
      <c r="F173" s="25" t="s">
        <v>1443</v>
      </c>
      <c r="G173" s="27" t="s">
        <v>952</v>
      </c>
      <c r="H173" s="62">
        <v>1278.43</v>
      </c>
      <c r="I173" s="27" t="str">
        <f t="shared" si="2"/>
        <v/>
      </c>
    </row>
    <row r="174" spans="1:9" ht="24" hidden="1" customHeight="1" x14ac:dyDescent="0.25">
      <c r="A174" s="25" t="s">
        <v>1444</v>
      </c>
      <c r="B174" s="25" t="s">
        <v>529</v>
      </c>
      <c r="C174" s="26" t="s">
        <v>1438</v>
      </c>
      <c r="D174" s="27"/>
      <c r="E174" s="28" t="s">
        <v>1445</v>
      </c>
      <c r="F174" s="25" t="s">
        <v>1446</v>
      </c>
      <c r="G174" s="27" t="s">
        <v>952</v>
      </c>
      <c r="H174" s="62">
        <v>1257.54</v>
      </c>
      <c r="I174" s="27" t="str">
        <f t="shared" si="2"/>
        <v/>
      </c>
    </row>
    <row r="175" spans="1:9" ht="24" hidden="1" customHeight="1" x14ac:dyDescent="0.25">
      <c r="A175" s="25" t="s">
        <v>1447</v>
      </c>
      <c r="B175" s="25" t="s">
        <v>529</v>
      </c>
      <c r="C175" s="26" t="s">
        <v>1438</v>
      </c>
      <c r="D175" s="27"/>
      <c r="E175" s="28" t="s">
        <v>1448</v>
      </c>
      <c r="F175" s="25" t="s">
        <v>1449</v>
      </c>
      <c r="G175" s="27" t="s">
        <v>952</v>
      </c>
      <c r="H175" s="62">
        <v>1305.28</v>
      </c>
      <c r="I175" s="27" t="str">
        <f t="shared" si="2"/>
        <v/>
      </c>
    </row>
    <row r="176" spans="1:9" ht="24" hidden="1" customHeight="1" x14ac:dyDescent="0.25">
      <c r="A176" s="25" t="s">
        <v>1450</v>
      </c>
      <c r="B176" s="25" t="s">
        <v>529</v>
      </c>
      <c r="C176" s="26" t="s">
        <v>1438</v>
      </c>
      <c r="D176" s="27"/>
      <c r="E176" s="28" t="s">
        <v>1451</v>
      </c>
      <c r="F176" s="25" t="s">
        <v>1452</v>
      </c>
      <c r="G176" s="27" t="s">
        <v>952</v>
      </c>
      <c r="H176" s="62">
        <v>1317.16</v>
      </c>
      <c r="I176" s="27" t="str">
        <f t="shared" si="2"/>
        <v/>
      </c>
    </row>
    <row r="177" spans="1:9" ht="24" hidden="1" customHeight="1" x14ac:dyDescent="0.25">
      <c r="A177" s="25" t="s">
        <v>1453</v>
      </c>
      <c r="B177" s="25" t="s">
        <v>529</v>
      </c>
      <c r="C177" s="26" t="s">
        <v>1438</v>
      </c>
      <c r="D177" s="27"/>
      <c r="E177" s="28" t="s">
        <v>1454</v>
      </c>
      <c r="F177" s="25" t="s">
        <v>1455</v>
      </c>
      <c r="G177" s="27" t="s">
        <v>952</v>
      </c>
      <c r="H177" s="62">
        <v>964.52</v>
      </c>
      <c r="I177" s="27" t="str">
        <f t="shared" si="2"/>
        <v/>
      </c>
    </row>
    <row r="178" spans="1:9" ht="24" hidden="1" customHeight="1" x14ac:dyDescent="0.25">
      <c r="A178" s="25" t="s">
        <v>1456</v>
      </c>
      <c r="B178" s="25" t="s">
        <v>529</v>
      </c>
      <c r="C178" s="26" t="s">
        <v>1438</v>
      </c>
      <c r="D178" s="27"/>
      <c r="E178" s="28" t="s">
        <v>1457</v>
      </c>
      <c r="F178" s="25" t="s">
        <v>1458</v>
      </c>
      <c r="G178" s="27" t="s">
        <v>952</v>
      </c>
      <c r="H178" s="62">
        <v>1302.3</v>
      </c>
      <c r="I178" s="27" t="str">
        <f t="shared" si="2"/>
        <v/>
      </c>
    </row>
    <row r="179" spans="1:9" ht="24" hidden="1" customHeight="1" x14ac:dyDescent="0.25">
      <c r="A179" s="25" t="s">
        <v>1459</v>
      </c>
      <c r="B179" s="25" t="s">
        <v>529</v>
      </c>
      <c r="C179" s="26" t="s">
        <v>1438</v>
      </c>
      <c r="D179" s="27"/>
      <c r="E179" s="28" t="s">
        <v>1460</v>
      </c>
      <c r="F179" s="25" t="s">
        <v>1461</v>
      </c>
      <c r="G179" s="27" t="s">
        <v>952</v>
      </c>
      <c r="H179" s="62">
        <v>1364.73</v>
      </c>
      <c r="I179" s="27" t="str">
        <f t="shared" si="2"/>
        <v/>
      </c>
    </row>
    <row r="180" spans="1:9" ht="24" hidden="1" customHeight="1" x14ac:dyDescent="0.25">
      <c r="A180" s="25" t="s">
        <v>1462</v>
      </c>
      <c r="B180" s="25" t="s">
        <v>529</v>
      </c>
      <c r="C180" s="26" t="s">
        <v>1438</v>
      </c>
      <c r="D180" s="27"/>
      <c r="E180" s="28" t="s">
        <v>1463</v>
      </c>
      <c r="F180" s="25" t="s">
        <v>1464</v>
      </c>
      <c r="G180" s="27" t="s">
        <v>952</v>
      </c>
      <c r="H180" s="62">
        <v>1376.44</v>
      </c>
      <c r="I180" s="27" t="str">
        <f t="shared" si="2"/>
        <v/>
      </c>
    </row>
    <row r="181" spans="1:9" ht="24" hidden="1" customHeight="1" x14ac:dyDescent="0.25">
      <c r="A181" s="25" t="s">
        <v>1465</v>
      </c>
      <c r="B181" s="25" t="s">
        <v>529</v>
      </c>
      <c r="C181" s="26" t="s">
        <v>1438</v>
      </c>
      <c r="D181" s="27"/>
      <c r="E181" s="28" t="s">
        <v>1466</v>
      </c>
      <c r="F181" s="25" t="s">
        <v>1467</v>
      </c>
      <c r="G181" s="27" t="s">
        <v>952</v>
      </c>
      <c r="H181" s="62">
        <v>1456.88</v>
      </c>
      <c r="I181" s="27" t="str">
        <f t="shared" si="2"/>
        <v/>
      </c>
    </row>
    <row r="182" spans="1:9" ht="24" hidden="1" customHeight="1" x14ac:dyDescent="0.25">
      <c r="A182" s="25" t="s">
        <v>1468</v>
      </c>
      <c r="B182" s="25" t="s">
        <v>529</v>
      </c>
      <c r="C182" s="26" t="s">
        <v>1438</v>
      </c>
      <c r="D182" s="27"/>
      <c r="E182" s="28" t="s">
        <v>1469</v>
      </c>
      <c r="F182" s="25" t="s">
        <v>1470</v>
      </c>
      <c r="G182" s="27" t="s">
        <v>952</v>
      </c>
      <c r="H182" s="62">
        <v>1079.21</v>
      </c>
      <c r="I182" s="27" t="str">
        <f t="shared" si="2"/>
        <v/>
      </c>
    </row>
    <row r="183" spans="1:9" ht="24" hidden="1" customHeight="1" x14ac:dyDescent="0.25">
      <c r="A183" s="25" t="s">
        <v>1471</v>
      </c>
      <c r="B183" s="25" t="s">
        <v>529</v>
      </c>
      <c r="C183" s="26" t="s">
        <v>1438</v>
      </c>
      <c r="D183" s="27"/>
      <c r="E183" s="28" t="s">
        <v>1472</v>
      </c>
      <c r="F183" s="25" t="s">
        <v>1473</v>
      </c>
      <c r="G183" s="27" t="s">
        <v>952</v>
      </c>
      <c r="H183" s="62">
        <v>1474.57</v>
      </c>
      <c r="I183" s="27" t="str">
        <f t="shared" si="2"/>
        <v/>
      </c>
    </row>
    <row r="184" spans="1:9" ht="24" hidden="1" customHeight="1" x14ac:dyDescent="0.25">
      <c r="A184" s="25" t="s">
        <v>1474</v>
      </c>
      <c r="B184" s="25" t="s">
        <v>529</v>
      </c>
      <c r="C184" s="26" t="s">
        <v>1438</v>
      </c>
      <c r="D184" s="27"/>
      <c r="E184" s="28" t="s">
        <v>1475</v>
      </c>
      <c r="F184" s="25" t="s">
        <v>1476</v>
      </c>
      <c r="G184" s="27" t="s">
        <v>952</v>
      </c>
      <c r="H184" s="62">
        <v>1534.31</v>
      </c>
      <c r="I184" s="27" t="str">
        <f t="shared" si="2"/>
        <v/>
      </c>
    </row>
    <row r="185" spans="1:9" ht="24" hidden="1" customHeight="1" x14ac:dyDescent="0.25">
      <c r="A185" s="25" t="s">
        <v>1477</v>
      </c>
      <c r="B185" s="25" t="s">
        <v>529</v>
      </c>
      <c r="C185" s="26" t="s">
        <v>1438</v>
      </c>
      <c r="D185" s="27"/>
      <c r="E185" s="28" t="s">
        <v>1478</v>
      </c>
      <c r="F185" s="25" t="s">
        <v>1479</v>
      </c>
      <c r="G185" s="27" t="s">
        <v>952</v>
      </c>
      <c r="H185" s="62">
        <v>1563.74</v>
      </c>
      <c r="I185" s="27" t="str">
        <f t="shared" si="2"/>
        <v/>
      </c>
    </row>
    <row r="186" spans="1:9" ht="24" hidden="1" customHeight="1" x14ac:dyDescent="0.25">
      <c r="A186" s="25" t="s">
        <v>1480</v>
      </c>
      <c r="B186" s="25" t="s">
        <v>529</v>
      </c>
      <c r="C186" s="26" t="s">
        <v>1438</v>
      </c>
      <c r="D186" s="27"/>
      <c r="E186" s="28" t="s">
        <v>1478</v>
      </c>
      <c r="F186" s="25" t="s">
        <v>1481</v>
      </c>
      <c r="G186" s="27" t="s">
        <v>952</v>
      </c>
      <c r="H186" s="62">
        <v>1602.53</v>
      </c>
      <c r="I186" s="27" t="str">
        <f t="shared" si="2"/>
        <v/>
      </c>
    </row>
    <row r="187" spans="1:9" ht="24" hidden="1" customHeight="1" x14ac:dyDescent="0.25">
      <c r="A187" s="25" t="s">
        <v>1482</v>
      </c>
      <c r="B187" s="25" t="s">
        <v>529</v>
      </c>
      <c r="C187" s="26" t="s">
        <v>1438</v>
      </c>
      <c r="D187" s="27"/>
      <c r="E187" s="28" t="s">
        <v>1483</v>
      </c>
      <c r="F187" s="25" t="s">
        <v>1484</v>
      </c>
      <c r="G187" s="27" t="s">
        <v>952</v>
      </c>
      <c r="H187" s="62">
        <v>819.41</v>
      </c>
      <c r="I187" s="27" t="str">
        <f t="shared" si="2"/>
        <v/>
      </c>
    </row>
    <row r="188" spans="1:9" ht="24" hidden="1" customHeight="1" x14ac:dyDescent="0.25">
      <c r="A188" s="25" t="s">
        <v>1485</v>
      </c>
      <c r="B188" s="25" t="s">
        <v>529</v>
      </c>
      <c r="C188" s="26" t="s">
        <v>1438</v>
      </c>
      <c r="D188" s="27"/>
      <c r="E188" s="28" t="s">
        <v>1486</v>
      </c>
      <c r="F188" s="25" t="s">
        <v>1487</v>
      </c>
      <c r="G188" s="27" t="s">
        <v>952</v>
      </c>
      <c r="H188" s="62">
        <v>1397.13</v>
      </c>
      <c r="I188" s="27" t="str">
        <f t="shared" si="2"/>
        <v/>
      </c>
    </row>
    <row r="189" spans="1:9" ht="24" hidden="1" customHeight="1" x14ac:dyDescent="0.25">
      <c r="A189" s="25" t="s">
        <v>1488</v>
      </c>
      <c r="B189" s="25" t="s">
        <v>529</v>
      </c>
      <c r="C189" s="26" t="s">
        <v>1438</v>
      </c>
      <c r="D189" s="27"/>
      <c r="E189" s="28" t="s">
        <v>1489</v>
      </c>
      <c r="F189" s="25" t="s">
        <v>1490</v>
      </c>
      <c r="G189" s="27" t="s">
        <v>952</v>
      </c>
      <c r="H189" s="62">
        <v>1466.23</v>
      </c>
      <c r="I189" s="27" t="str">
        <f t="shared" si="2"/>
        <v/>
      </c>
    </row>
    <row r="190" spans="1:9" ht="24" hidden="1" customHeight="1" x14ac:dyDescent="0.25">
      <c r="A190" s="25" t="s">
        <v>1491</v>
      </c>
      <c r="B190" s="25" t="s">
        <v>529</v>
      </c>
      <c r="C190" s="26" t="s">
        <v>1438</v>
      </c>
      <c r="D190" s="27"/>
      <c r="E190" s="28" t="s">
        <v>1492</v>
      </c>
      <c r="F190" s="25" t="s">
        <v>1493</v>
      </c>
      <c r="G190" s="27" t="s">
        <v>952</v>
      </c>
      <c r="H190" s="62">
        <v>1596.83</v>
      </c>
      <c r="I190" s="27" t="str">
        <f t="shared" si="2"/>
        <v/>
      </c>
    </row>
    <row r="191" spans="1:9" ht="24" hidden="1" customHeight="1" x14ac:dyDescent="0.25">
      <c r="A191" s="25" t="s">
        <v>1494</v>
      </c>
      <c r="B191" s="25" t="s">
        <v>529</v>
      </c>
      <c r="C191" s="26" t="s">
        <v>1438</v>
      </c>
      <c r="D191" s="27"/>
      <c r="E191" s="28" t="s">
        <v>1495</v>
      </c>
      <c r="F191" s="25" t="s">
        <v>1496</v>
      </c>
      <c r="G191" s="27" t="s">
        <v>952</v>
      </c>
      <c r="H191" s="62">
        <v>1774.95</v>
      </c>
      <c r="I191" s="27" t="str">
        <f t="shared" si="2"/>
        <v/>
      </c>
    </row>
    <row r="192" spans="1:9" ht="24" hidden="1" customHeight="1" x14ac:dyDescent="0.25">
      <c r="A192" s="25" t="s">
        <v>1497</v>
      </c>
      <c r="B192" s="25" t="s">
        <v>529</v>
      </c>
      <c r="C192" s="26" t="s">
        <v>1438</v>
      </c>
      <c r="D192" s="27"/>
      <c r="E192" s="28" t="s">
        <v>1498</v>
      </c>
      <c r="F192" s="25" t="s">
        <v>1499</v>
      </c>
      <c r="G192" s="27" t="s">
        <v>952</v>
      </c>
      <c r="H192" s="62">
        <v>901</v>
      </c>
      <c r="I192" s="27" t="str">
        <f t="shared" si="2"/>
        <v/>
      </c>
    </row>
    <row r="193" spans="1:9" ht="24" hidden="1" customHeight="1" x14ac:dyDescent="0.25">
      <c r="A193" s="25" t="s">
        <v>1500</v>
      </c>
      <c r="B193" s="25" t="s">
        <v>529</v>
      </c>
      <c r="C193" s="26" t="s">
        <v>1438</v>
      </c>
      <c r="D193" s="27"/>
      <c r="E193" s="28" t="s">
        <v>1501</v>
      </c>
      <c r="F193" s="25" t="s">
        <v>1502</v>
      </c>
      <c r="G193" s="27" t="s">
        <v>952</v>
      </c>
      <c r="H193" s="62">
        <v>1483.63</v>
      </c>
      <c r="I193" s="27" t="str">
        <f t="shared" si="2"/>
        <v/>
      </c>
    </row>
    <row r="194" spans="1:9" ht="24" hidden="1" customHeight="1" x14ac:dyDescent="0.25">
      <c r="A194" s="25" t="s">
        <v>1503</v>
      </c>
      <c r="B194" s="25" t="s">
        <v>529</v>
      </c>
      <c r="C194" s="26" t="s">
        <v>1438</v>
      </c>
      <c r="D194" s="27"/>
      <c r="E194" s="28" t="s">
        <v>1504</v>
      </c>
      <c r="F194" s="25" t="s">
        <v>1505</v>
      </c>
      <c r="G194" s="27" t="s">
        <v>952</v>
      </c>
      <c r="H194" s="62">
        <v>1706.43</v>
      </c>
      <c r="I194" s="27" t="str">
        <f t="shared" si="2"/>
        <v/>
      </c>
    </row>
    <row r="195" spans="1:9" ht="24" hidden="1" customHeight="1" x14ac:dyDescent="0.25">
      <c r="A195" s="25" t="s">
        <v>1506</v>
      </c>
      <c r="B195" s="25" t="s">
        <v>529</v>
      </c>
      <c r="C195" s="26" t="s">
        <v>1438</v>
      </c>
      <c r="D195" s="27"/>
      <c r="E195" s="28" t="s">
        <v>1507</v>
      </c>
      <c r="F195" s="25" t="s">
        <v>1508</v>
      </c>
      <c r="G195" s="27" t="s">
        <v>952</v>
      </c>
      <c r="H195" s="62">
        <v>1846.3</v>
      </c>
      <c r="I195" s="27" t="str">
        <f t="shared" si="2"/>
        <v/>
      </c>
    </row>
    <row r="196" spans="1:9" ht="24" hidden="1" customHeight="1" x14ac:dyDescent="0.25">
      <c r="A196" s="25" t="s">
        <v>1509</v>
      </c>
      <c r="B196" s="25" t="s">
        <v>529</v>
      </c>
      <c r="C196" s="26" t="s">
        <v>1438</v>
      </c>
      <c r="D196" s="27"/>
      <c r="E196" s="28" t="s">
        <v>1510</v>
      </c>
      <c r="F196" s="25" t="s">
        <v>1511</v>
      </c>
      <c r="G196" s="27" t="s">
        <v>952</v>
      </c>
      <c r="H196" s="62">
        <v>2066.5</v>
      </c>
      <c r="I196" s="27" t="str">
        <f t="shared" si="2"/>
        <v/>
      </c>
    </row>
    <row r="197" spans="1:9" ht="24" hidden="1" customHeight="1" x14ac:dyDescent="0.25">
      <c r="A197" s="25" t="s">
        <v>1512</v>
      </c>
      <c r="B197" s="25" t="s">
        <v>529</v>
      </c>
      <c r="C197" s="26" t="s">
        <v>1438</v>
      </c>
      <c r="D197" s="27"/>
      <c r="E197" s="28" t="s">
        <v>1513</v>
      </c>
      <c r="F197" s="25" t="s">
        <v>1514</v>
      </c>
      <c r="G197" s="27" t="s">
        <v>952</v>
      </c>
      <c r="H197" s="62">
        <v>1027.6300000000001</v>
      </c>
      <c r="I197" s="27" t="str">
        <f t="shared" ref="I197:I260" si="3">IF($K$2="","",IF(ISNUMBER(SEARCH($K$2,$E197&amp;$F197)),1,""))</f>
        <v/>
      </c>
    </row>
    <row r="198" spans="1:9" ht="24" hidden="1" customHeight="1" x14ac:dyDescent="0.25">
      <c r="A198" s="25" t="s">
        <v>1515</v>
      </c>
      <c r="B198" s="25" t="s">
        <v>529</v>
      </c>
      <c r="C198" s="26" t="s">
        <v>1438</v>
      </c>
      <c r="D198" s="27"/>
      <c r="E198" s="28" t="s">
        <v>1516</v>
      </c>
      <c r="F198" s="25" t="s">
        <v>1517</v>
      </c>
      <c r="G198" s="27" t="s">
        <v>952</v>
      </c>
      <c r="H198" s="62">
        <v>1653.31</v>
      </c>
      <c r="I198" s="27" t="str">
        <f t="shared" si="3"/>
        <v/>
      </c>
    </row>
    <row r="199" spans="1:9" ht="24" hidden="1" customHeight="1" x14ac:dyDescent="0.25">
      <c r="A199" s="25" t="s">
        <v>1518</v>
      </c>
      <c r="B199" s="25" t="s">
        <v>529</v>
      </c>
      <c r="C199" s="26" t="s">
        <v>1438</v>
      </c>
      <c r="D199" s="27"/>
      <c r="E199" s="28" t="s">
        <v>1519</v>
      </c>
      <c r="F199" s="25" t="s">
        <v>1520</v>
      </c>
      <c r="G199" s="27" t="s">
        <v>952</v>
      </c>
      <c r="H199" s="62">
        <v>1769</v>
      </c>
      <c r="I199" s="27" t="str">
        <f t="shared" si="3"/>
        <v/>
      </c>
    </row>
    <row r="200" spans="1:9" ht="24" hidden="1" customHeight="1" x14ac:dyDescent="0.25">
      <c r="A200" s="25" t="s">
        <v>1521</v>
      </c>
      <c r="B200" s="25" t="s">
        <v>529</v>
      </c>
      <c r="C200" s="26" t="s">
        <v>1438</v>
      </c>
      <c r="D200" s="27"/>
      <c r="E200" s="28" t="s">
        <v>1522</v>
      </c>
      <c r="F200" s="25" t="s">
        <v>1523</v>
      </c>
      <c r="G200" s="27" t="s">
        <v>952</v>
      </c>
      <c r="H200" s="62">
        <v>1982.85</v>
      </c>
      <c r="I200" s="27" t="str">
        <f t="shared" si="3"/>
        <v/>
      </c>
    </row>
    <row r="201" spans="1:9" ht="24" hidden="1" customHeight="1" x14ac:dyDescent="0.25">
      <c r="A201" s="25" t="s">
        <v>1524</v>
      </c>
      <c r="B201" s="25" t="s">
        <v>529</v>
      </c>
      <c r="C201" s="26" t="s">
        <v>1438</v>
      </c>
      <c r="D201" s="27"/>
      <c r="E201" s="28" t="s">
        <v>1525</v>
      </c>
      <c r="F201" s="25" t="s">
        <v>1526</v>
      </c>
      <c r="G201" s="27" t="s">
        <v>952</v>
      </c>
      <c r="H201" s="62">
        <v>2354.75</v>
      </c>
      <c r="I201" s="27" t="str">
        <f t="shared" si="3"/>
        <v/>
      </c>
    </row>
    <row r="202" spans="1:9" ht="24" customHeight="1" x14ac:dyDescent="0.25">
      <c r="A202" s="25" t="s">
        <v>1527</v>
      </c>
      <c r="B202" s="25" t="s">
        <v>529</v>
      </c>
      <c r="C202" s="26" t="s">
        <v>1438</v>
      </c>
      <c r="D202" s="27"/>
      <c r="E202" s="28" t="s">
        <v>1528</v>
      </c>
      <c r="F202" s="25" t="s">
        <v>1529</v>
      </c>
      <c r="G202" s="27" t="s">
        <v>952</v>
      </c>
      <c r="H202" s="62">
        <v>139.9</v>
      </c>
      <c r="I202" s="27" t="str">
        <f t="shared" si="3"/>
        <v/>
      </c>
    </row>
    <row r="203" spans="1:9" ht="24" customHeight="1" x14ac:dyDescent="0.25">
      <c r="A203" s="25" t="s">
        <v>1530</v>
      </c>
      <c r="B203" s="25" t="s">
        <v>529</v>
      </c>
      <c r="C203" s="26" t="s">
        <v>1438</v>
      </c>
      <c r="D203" s="27"/>
      <c r="E203" s="28" t="s">
        <v>1531</v>
      </c>
      <c r="F203" s="25" t="s">
        <v>1532</v>
      </c>
      <c r="G203" s="27" t="s">
        <v>952</v>
      </c>
      <c r="H203" s="62">
        <v>139.9</v>
      </c>
      <c r="I203" s="27" t="str">
        <f t="shared" si="3"/>
        <v/>
      </c>
    </row>
    <row r="204" spans="1:9" ht="24" customHeight="1" x14ac:dyDescent="0.25">
      <c r="A204" s="25" t="s">
        <v>1533</v>
      </c>
      <c r="B204" s="25" t="s">
        <v>529</v>
      </c>
      <c r="C204" s="26" t="s">
        <v>1438</v>
      </c>
      <c r="D204" s="27"/>
      <c r="E204" s="28" t="s">
        <v>1534</v>
      </c>
      <c r="F204" s="25" t="s">
        <v>1535</v>
      </c>
      <c r="G204" s="27" t="s">
        <v>952</v>
      </c>
      <c r="H204" s="62">
        <v>139.9</v>
      </c>
      <c r="I204" s="27" t="str">
        <f t="shared" si="3"/>
        <v/>
      </c>
    </row>
    <row r="205" spans="1:9" ht="24" hidden="1" customHeight="1" x14ac:dyDescent="0.25">
      <c r="A205" s="25" t="s">
        <v>1536</v>
      </c>
      <c r="B205" s="25" t="s">
        <v>529</v>
      </c>
      <c r="C205" s="26" t="s">
        <v>1438</v>
      </c>
      <c r="D205" s="27"/>
      <c r="E205" s="28" t="s">
        <v>1537</v>
      </c>
      <c r="F205" s="25" t="s">
        <v>1538</v>
      </c>
      <c r="G205" s="27" t="s">
        <v>952</v>
      </c>
      <c r="H205" s="62">
        <v>242.97</v>
      </c>
      <c r="I205" s="27" t="str">
        <f t="shared" si="3"/>
        <v/>
      </c>
    </row>
    <row r="206" spans="1:9" ht="24" hidden="1" customHeight="1" x14ac:dyDescent="0.25">
      <c r="A206" s="25" t="s">
        <v>1539</v>
      </c>
      <c r="B206" s="25" t="s">
        <v>529</v>
      </c>
      <c r="C206" s="26" t="s">
        <v>1438</v>
      </c>
      <c r="D206" s="27"/>
      <c r="E206" s="28" t="s">
        <v>1540</v>
      </c>
      <c r="F206" s="25" t="s">
        <v>1541</v>
      </c>
      <c r="G206" s="27" t="s">
        <v>952</v>
      </c>
      <c r="H206" s="62">
        <v>242.97</v>
      </c>
      <c r="I206" s="27" t="str">
        <f t="shared" si="3"/>
        <v/>
      </c>
    </row>
    <row r="207" spans="1:9" ht="24" hidden="1" customHeight="1" x14ac:dyDescent="0.25">
      <c r="A207" s="25" t="s">
        <v>1542</v>
      </c>
      <c r="B207" s="25" t="s">
        <v>529</v>
      </c>
      <c r="C207" s="26" t="s">
        <v>1438</v>
      </c>
      <c r="D207" s="27"/>
      <c r="E207" s="28" t="s">
        <v>1543</v>
      </c>
      <c r="F207" s="25" t="s">
        <v>1544</v>
      </c>
      <c r="G207" s="27" t="s">
        <v>952</v>
      </c>
      <c r="H207" s="62">
        <v>242.97</v>
      </c>
      <c r="I207" s="27" t="str">
        <f t="shared" si="3"/>
        <v/>
      </c>
    </row>
    <row r="208" spans="1:9" ht="24" customHeight="1" x14ac:dyDescent="0.25">
      <c r="A208" s="25" t="s">
        <v>1545</v>
      </c>
      <c r="B208" s="25" t="s">
        <v>529</v>
      </c>
      <c r="C208" s="26" t="s">
        <v>1438</v>
      </c>
      <c r="D208" s="27"/>
      <c r="E208" s="28" t="s">
        <v>1546</v>
      </c>
      <c r="F208" s="25" t="s">
        <v>1547</v>
      </c>
      <c r="G208" s="27" t="s">
        <v>952</v>
      </c>
      <c r="H208" s="62">
        <v>439.87</v>
      </c>
      <c r="I208" s="27" t="str">
        <f t="shared" si="3"/>
        <v/>
      </c>
    </row>
    <row r="209" spans="1:9" ht="24" customHeight="1" x14ac:dyDescent="0.25">
      <c r="A209" s="25" t="s">
        <v>1548</v>
      </c>
      <c r="B209" s="25" t="s">
        <v>529</v>
      </c>
      <c r="C209" s="26" t="s">
        <v>1438</v>
      </c>
      <c r="D209" s="27"/>
      <c r="E209" s="28" t="s">
        <v>1549</v>
      </c>
      <c r="F209" s="25" t="s">
        <v>1550</v>
      </c>
      <c r="G209" s="27" t="s">
        <v>952</v>
      </c>
      <c r="H209" s="62">
        <v>796.81</v>
      </c>
      <c r="I209" s="27" t="str">
        <f t="shared" si="3"/>
        <v/>
      </c>
    </row>
    <row r="210" spans="1:9" ht="24" customHeight="1" x14ac:dyDescent="0.25">
      <c r="A210" s="25" t="s">
        <v>1551</v>
      </c>
      <c r="B210" s="25" t="s">
        <v>529</v>
      </c>
      <c r="C210" s="26" t="s">
        <v>1438</v>
      </c>
      <c r="D210" s="27"/>
      <c r="E210" s="28" t="s">
        <v>1552</v>
      </c>
      <c r="F210" s="25" t="s">
        <v>1553</v>
      </c>
      <c r="G210" s="27" t="s">
        <v>952</v>
      </c>
      <c r="H210" s="62">
        <v>1024.22</v>
      </c>
      <c r="I210" s="27" t="str">
        <f t="shared" si="3"/>
        <v/>
      </c>
    </row>
    <row r="211" spans="1:9" ht="24" hidden="1" customHeight="1" x14ac:dyDescent="0.25">
      <c r="A211" s="25" t="s">
        <v>1554</v>
      </c>
      <c r="B211" s="25" t="s">
        <v>529</v>
      </c>
      <c r="C211" s="26" t="s">
        <v>1438</v>
      </c>
      <c r="D211" s="27"/>
      <c r="E211" s="28" t="s">
        <v>1555</v>
      </c>
      <c r="F211" s="25" t="s">
        <v>1556</v>
      </c>
      <c r="G211" s="27" t="s">
        <v>952</v>
      </c>
      <c r="H211" s="62">
        <v>684.44</v>
      </c>
      <c r="I211" s="27" t="str">
        <f t="shared" si="3"/>
        <v/>
      </c>
    </row>
    <row r="212" spans="1:9" ht="24" hidden="1" customHeight="1" x14ac:dyDescent="0.25">
      <c r="A212" s="25" t="s">
        <v>1557</v>
      </c>
      <c r="B212" s="25" t="s">
        <v>529</v>
      </c>
      <c r="C212" s="26" t="s">
        <v>1438</v>
      </c>
      <c r="D212" s="27"/>
      <c r="E212" s="28" t="s">
        <v>1558</v>
      </c>
      <c r="F212" s="25" t="s">
        <v>1559</v>
      </c>
      <c r="G212" s="27" t="s">
        <v>952</v>
      </c>
      <c r="H212" s="62">
        <v>1041.3900000000001</v>
      </c>
      <c r="I212" s="27" t="str">
        <f t="shared" si="3"/>
        <v/>
      </c>
    </row>
    <row r="213" spans="1:9" ht="24" hidden="1" customHeight="1" x14ac:dyDescent="0.25">
      <c r="A213" s="25" t="s">
        <v>1560</v>
      </c>
      <c r="B213" s="25" t="s">
        <v>529</v>
      </c>
      <c r="C213" s="26" t="s">
        <v>1438</v>
      </c>
      <c r="D213" s="27"/>
      <c r="E213" s="28" t="s">
        <v>1561</v>
      </c>
      <c r="F213" s="25" t="s">
        <v>1562</v>
      </c>
      <c r="G213" s="27" t="s">
        <v>952</v>
      </c>
      <c r="H213" s="62">
        <v>1326.87</v>
      </c>
      <c r="I213" s="27" t="str">
        <f t="shared" si="3"/>
        <v/>
      </c>
    </row>
    <row r="214" spans="1:9" ht="24" customHeight="1" x14ac:dyDescent="0.25">
      <c r="A214" s="25" t="s">
        <v>1563</v>
      </c>
      <c r="B214" s="25" t="s">
        <v>529</v>
      </c>
      <c r="C214" s="26" t="s">
        <v>1438</v>
      </c>
      <c r="D214" s="27"/>
      <c r="E214" s="28" t="s">
        <v>1564</v>
      </c>
      <c r="F214" s="25" t="s">
        <v>1565</v>
      </c>
      <c r="G214" s="27" t="s">
        <v>952</v>
      </c>
      <c r="H214" s="62">
        <v>929.02</v>
      </c>
      <c r="I214" s="27" t="str">
        <f t="shared" si="3"/>
        <v/>
      </c>
    </row>
    <row r="215" spans="1:9" ht="24" customHeight="1" x14ac:dyDescent="0.25">
      <c r="A215" s="25" t="s">
        <v>1566</v>
      </c>
      <c r="B215" s="25" t="s">
        <v>529</v>
      </c>
      <c r="C215" s="26" t="s">
        <v>1438</v>
      </c>
      <c r="D215" s="27"/>
      <c r="E215" s="28" t="s">
        <v>1567</v>
      </c>
      <c r="F215" s="25" t="s">
        <v>1568</v>
      </c>
      <c r="G215" s="27" t="s">
        <v>952</v>
      </c>
      <c r="H215" s="62">
        <v>1273.1099999999999</v>
      </c>
      <c r="I215" s="27" t="str">
        <f t="shared" si="3"/>
        <v/>
      </c>
    </row>
    <row r="216" spans="1:9" ht="24" customHeight="1" x14ac:dyDescent="0.25">
      <c r="A216" s="25" t="s">
        <v>1569</v>
      </c>
      <c r="B216" s="25" t="s">
        <v>529</v>
      </c>
      <c r="C216" s="26" t="s">
        <v>1438</v>
      </c>
      <c r="D216" s="27"/>
      <c r="E216" s="28" t="s">
        <v>1570</v>
      </c>
      <c r="F216" s="25" t="s">
        <v>1571</v>
      </c>
      <c r="G216" s="27" t="s">
        <v>952</v>
      </c>
      <c r="H216" s="62">
        <v>1365.8</v>
      </c>
      <c r="I216" s="27" t="str">
        <f t="shared" si="3"/>
        <v/>
      </c>
    </row>
    <row r="217" spans="1:9" hidden="1" x14ac:dyDescent="0.25">
      <c r="A217" s="25" t="s">
        <v>1572</v>
      </c>
      <c r="B217" s="25" t="s">
        <v>533</v>
      </c>
      <c r="C217" s="26" t="s">
        <v>1573</v>
      </c>
      <c r="D217" s="27" t="s">
        <v>1574</v>
      </c>
      <c r="E217" s="28" t="s">
        <v>1575</v>
      </c>
      <c r="F217" s="25" t="s">
        <v>1576</v>
      </c>
      <c r="G217" s="27" t="s">
        <v>952</v>
      </c>
      <c r="H217" s="62">
        <v>1597.75</v>
      </c>
      <c r="I217" s="27" t="str">
        <f t="shared" si="3"/>
        <v/>
      </c>
    </row>
    <row r="218" spans="1:9" hidden="1" x14ac:dyDescent="0.25">
      <c r="A218" s="25" t="s">
        <v>1572</v>
      </c>
      <c r="B218" s="25" t="s">
        <v>533</v>
      </c>
      <c r="C218" s="26" t="s">
        <v>1573</v>
      </c>
      <c r="D218" s="27" t="s">
        <v>1577</v>
      </c>
      <c r="E218" s="28" t="s">
        <v>1575</v>
      </c>
      <c r="F218" s="25" t="s">
        <v>1576</v>
      </c>
      <c r="G218" s="27" t="s">
        <v>952</v>
      </c>
      <c r="H218" s="62">
        <v>1597.75</v>
      </c>
      <c r="I218" s="27" t="str">
        <f t="shared" si="3"/>
        <v/>
      </c>
    </row>
    <row r="219" spans="1:9" hidden="1" x14ac:dyDescent="0.25">
      <c r="A219" s="25" t="s">
        <v>1578</v>
      </c>
      <c r="B219" s="25" t="s">
        <v>533</v>
      </c>
      <c r="C219" s="26" t="s">
        <v>1573</v>
      </c>
      <c r="D219" s="27" t="s">
        <v>1579</v>
      </c>
      <c r="E219" s="28" t="s">
        <v>1580</v>
      </c>
      <c r="F219" s="25" t="s">
        <v>1581</v>
      </c>
      <c r="G219" s="27" t="s">
        <v>952</v>
      </c>
      <c r="H219" s="62">
        <v>1762.75</v>
      </c>
      <c r="I219" s="27" t="str">
        <f t="shared" si="3"/>
        <v/>
      </c>
    </row>
    <row r="220" spans="1:9" hidden="1" x14ac:dyDescent="0.25">
      <c r="A220" s="25" t="s">
        <v>1578</v>
      </c>
      <c r="B220" s="25" t="s">
        <v>533</v>
      </c>
      <c r="C220" s="26" t="s">
        <v>1573</v>
      </c>
      <c r="D220" s="27" t="s">
        <v>1582</v>
      </c>
      <c r="E220" s="28" t="s">
        <v>1580</v>
      </c>
      <c r="F220" s="25" t="s">
        <v>1581</v>
      </c>
      <c r="G220" s="27" t="s">
        <v>952</v>
      </c>
      <c r="H220" s="62">
        <v>1762.75</v>
      </c>
      <c r="I220" s="27" t="str">
        <f t="shared" si="3"/>
        <v/>
      </c>
    </row>
    <row r="221" spans="1:9" hidden="1" x14ac:dyDescent="0.25">
      <c r="A221" s="25" t="s">
        <v>1583</v>
      </c>
      <c r="B221" s="25" t="s">
        <v>533</v>
      </c>
      <c r="C221" s="26" t="s">
        <v>1573</v>
      </c>
      <c r="D221" s="27" t="s">
        <v>1584</v>
      </c>
      <c r="E221" s="28" t="s">
        <v>1585</v>
      </c>
      <c r="F221" s="25" t="s">
        <v>1586</v>
      </c>
      <c r="G221" s="27" t="s">
        <v>952</v>
      </c>
      <c r="H221" s="62">
        <v>2992.75</v>
      </c>
      <c r="I221" s="27" t="str">
        <f t="shared" si="3"/>
        <v/>
      </c>
    </row>
    <row r="222" spans="1:9" hidden="1" x14ac:dyDescent="0.25">
      <c r="A222" s="25" t="s">
        <v>1583</v>
      </c>
      <c r="B222" s="25" t="s">
        <v>533</v>
      </c>
      <c r="C222" s="26" t="s">
        <v>1573</v>
      </c>
      <c r="D222" s="27" t="s">
        <v>1587</v>
      </c>
      <c r="E222" s="28" t="s">
        <v>1585</v>
      </c>
      <c r="F222" s="25" t="s">
        <v>1586</v>
      </c>
      <c r="G222" s="27" t="s">
        <v>952</v>
      </c>
      <c r="H222" s="62">
        <v>2992.75</v>
      </c>
      <c r="I222" s="27" t="str">
        <f t="shared" si="3"/>
        <v/>
      </c>
    </row>
    <row r="223" spans="1:9" hidden="1" x14ac:dyDescent="0.25">
      <c r="A223" s="25" t="s">
        <v>1588</v>
      </c>
      <c r="B223" s="25" t="s">
        <v>533</v>
      </c>
      <c r="C223" s="26" t="s">
        <v>1573</v>
      </c>
      <c r="D223" s="27" t="s">
        <v>1589</v>
      </c>
      <c r="E223" s="28" t="s">
        <v>1590</v>
      </c>
      <c r="F223" s="25" t="s">
        <v>1591</v>
      </c>
      <c r="G223" s="27" t="s">
        <v>952</v>
      </c>
      <c r="H223" s="62">
        <v>3712.75</v>
      </c>
      <c r="I223" s="27" t="str">
        <f t="shared" si="3"/>
        <v/>
      </c>
    </row>
    <row r="224" spans="1:9" hidden="1" x14ac:dyDescent="0.25">
      <c r="A224" s="25" t="s">
        <v>1588</v>
      </c>
      <c r="B224" s="25" t="s">
        <v>533</v>
      </c>
      <c r="C224" s="26" t="s">
        <v>1573</v>
      </c>
      <c r="D224" s="27" t="s">
        <v>1592</v>
      </c>
      <c r="E224" s="28" t="s">
        <v>1590</v>
      </c>
      <c r="F224" s="25" t="s">
        <v>1591</v>
      </c>
      <c r="G224" s="27" t="s">
        <v>952</v>
      </c>
      <c r="H224" s="62">
        <v>3712.75</v>
      </c>
      <c r="I224" s="27" t="str">
        <f t="shared" si="3"/>
        <v/>
      </c>
    </row>
    <row r="225" spans="1:9" hidden="1" x14ac:dyDescent="0.25">
      <c r="A225" s="25" t="s">
        <v>1593</v>
      </c>
      <c r="B225" s="25" t="s">
        <v>533</v>
      </c>
      <c r="C225" s="26" t="s">
        <v>1573</v>
      </c>
      <c r="D225" s="27" t="s">
        <v>1594</v>
      </c>
      <c r="E225" s="28" t="s">
        <v>1595</v>
      </c>
      <c r="F225" s="25" t="s">
        <v>1596</v>
      </c>
      <c r="G225" s="27" t="s">
        <v>952</v>
      </c>
      <c r="H225" s="62">
        <v>4297.75</v>
      </c>
      <c r="I225" s="27" t="str">
        <f t="shared" si="3"/>
        <v/>
      </c>
    </row>
    <row r="226" spans="1:9" hidden="1" x14ac:dyDescent="0.25">
      <c r="A226" s="25" t="s">
        <v>1593</v>
      </c>
      <c r="B226" s="25" t="s">
        <v>533</v>
      </c>
      <c r="C226" s="26" t="s">
        <v>1573</v>
      </c>
      <c r="D226" s="27" t="s">
        <v>1597</v>
      </c>
      <c r="E226" s="28" t="s">
        <v>1595</v>
      </c>
      <c r="F226" s="25" t="s">
        <v>1596</v>
      </c>
      <c r="G226" s="27" t="s">
        <v>952</v>
      </c>
      <c r="H226" s="62">
        <v>4297.75</v>
      </c>
      <c r="I226" s="27" t="str">
        <f t="shared" si="3"/>
        <v/>
      </c>
    </row>
    <row r="227" spans="1:9" hidden="1" x14ac:dyDescent="0.25">
      <c r="A227" s="25" t="s">
        <v>1598</v>
      </c>
      <c r="B227" s="25" t="s">
        <v>533</v>
      </c>
      <c r="C227" s="26" t="s">
        <v>1573</v>
      </c>
      <c r="D227" s="27" t="s">
        <v>1599</v>
      </c>
      <c r="E227" s="28" t="s">
        <v>1600</v>
      </c>
      <c r="F227" s="25" t="s">
        <v>1601</v>
      </c>
      <c r="G227" s="27" t="s">
        <v>952</v>
      </c>
      <c r="H227" s="62">
        <v>2097.75</v>
      </c>
      <c r="I227" s="27" t="str">
        <f t="shared" si="3"/>
        <v/>
      </c>
    </row>
    <row r="228" spans="1:9" hidden="1" x14ac:dyDescent="0.25">
      <c r="A228" s="25" t="s">
        <v>1598</v>
      </c>
      <c r="B228" s="25" t="s">
        <v>533</v>
      </c>
      <c r="C228" s="26" t="s">
        <v>1573</v>
      </c>
      <c r="D228" s="27" t="s">
        <v>1602</v>
      </c>
      <c r="E228" s="28" t="s">
        <v>1600</v>
      </c>
      <c r="F228" s="25" t="s">
        <v>1601</v>
      </c>
      <c r="G228" s="27" t="s">
        <v>952</v>
      </c>
      <c r="H228" s="62">
        <v>2097.75</v>
      </c>
      <c r="I228" s="27" t="str">
        <f t="shared" si="3"/>
        <v/>
      </c>
    </row>
    <row r="229" spans="1:9" hidden="1" x14ac:dyDescent="0.25">
      <c r="A229" s="25" t="s">
        <v>1603</v>
      </c>
      <c r="B229" s="25" t="s">
        <v>533</v>
      </c>
      <c r="C229" s="26" t="s">
        <v>1573</v>
      </c>
      <c r="D229" s="27" t="s">
        <v>1604</v>
      </c>
      <c r="E229" s="28" t="s">
        <v>1605</v>
      </c>
      <c r="F229" s="25" t="s">
        <v>1606</v>
      </c>
      <c r="G229" s="27" t="s">
        <v>952</v>
      </c>
      <c r="H229" s="62">
        <v>1992.75</v>
      </c>
      <c r="I229" s="27" t="str">
        <f t="shared" si="3"/>
        <v/>
      </c>
    </row>
    <row r="230" spans="1:9" hidden="1" x14ac:dyDescent="0.25">
      <c r="A230" s="25" t="s">
        <v>1603</v>
      </c>
      <c r="B230" s="25" t="s">
        <v>533</v>
      </c>
      <c r="C230" s="26" t="s">
        <v>1573</v>
      </c>
      <c r="D230" s="27" t="s">
        <v>1607</v>
      </c>
      <c r="E230" s="28" t="s">
        <v>1605</v>
      </c>
      <c r="F230" s="25" t="s">
        <v>1606</v>
      </c>
      <c r="G230" s="27" t="s">
        <v>952</v>
      </c>
      <c r="H230" s="62">
        <v>1992.75</v>
      </c>
      <c r="I230" s="27" t="str">
        <f t="shared" si="3"/>
        <v/>
      </c>
    </row>
    <row r="231" spans="1:9" hidden="1" x14ac:dyDescent="0.25">
      <c r="A231" s="25" t="s">
        <v>1608</v>
      </c>
      <c r="B231" s="25" t="s">
        <v>533</v>
      </c>
      <c r="C231" s="26" t="s">
        <v>1573</v>
      </c>
      <c r="D231" s="27" t="s">
        <v>1609</v>
      </c>
      <c r="E231" s="28" t="s">
        <v>1610</v>
      </c>
      <c r="F231" s="25" t="s">
        <v>1611</v>
      </c>
      <c r="G231" s="27" t="s">
        <v>952</v>
      </c>
      <c r="H231" s="62">
        <v>2762.75</v>
      </c>
      <c r="I231" s="27" t="str">
        <f t="shared" si="3"/>
        <v/>
      </c>
    </row>
    <row r="232" spans="1:9" hidden="1" x14ac:dyDescent="0.25">
      <c r="A232" s="25" t="s">
        <v>1608</v>
      </c>
      <c r="B232" s="25" t="s">
        <v>533</v>
      </c>
      <c r="C232" s="26" t="s">
        <v>1573</v>
      </c>
      <c r="D232" s="27" t="s">
        <v>1612</v>
      </c>
      <c r="E232" s="28" t="s">
        <v>1610</v>
      </c>
      <c r="F232" s="25" t="s">
        <v>1611</v>
      </c>
      <c r="G232" s="27" t="s">
        <v>952</v>
      </c>
      <c r="H232" s="62">
        <v>2762.75</v>
      </c>
      <c r="I232" s="27" t="str">
        <f t="shared" si="3"/>
        <v/>
      </c>
    </row>
    <row r="233" spans="1:9" hidden="1" x14ac:dyDescent="0.25">
      <c r="A233" s="25" t="s">
        <v>1613</v>
      </c>
      <c r="B233" s="25" t="s">
        <v>533</v>
      </c>
      <c r="C233" s="26" t="s">
        <v>1573</v>
      </c>
      <c r="D233" s="27" t="s">
        <v>1614</v>
      </c>
      <c r="E233" s="28" t="s">
        <v>1615</v>
      </c>
      <c r="F233" s="25" t="s">
        <v>1616</v>
      </c>
      <c r="G233" s="27" t="s">
        <v>952</v>
      </c>
      <c r="H233" s="62">
        <v>3492.75</v>
      </c>
      <c r="I233" s="27" t="str">
        <f t="shared" si="3"/>
        <v/>
      </c>
    </row>
    <row r="234" spans="1:9" hidden="1" x14ac:dyDescent="0.25">
      <c r="A234" s="25" t="s">
        <v>1613</v>
      </c>
      <c r="B234" s="25" t="s">
        <v>533</v>
      </c>
      <c r="C234" s="26" t="s">
        <v>1573</v>
      </c>
      <c r="D234" s="27" t="s">
        <v>1617</v>
      </c>
      <c r="E234" s="28" t="s">
        <v>1615</v>
      </c>
      <c r="F234" s="25" t="s">
        <v>1616</v>
      </c>
      <c r="G234" s="27" t="s">
        <v>952</v>
      </c>
      <c r="H234" s="62">
        <v>3492.75</v>
      </c>
      <c r="I234" s="27" t="str">
        <f t="shared" si="3"/>
        <v/>
      </c>
    </row>
    <row r="235" spans="1:9" hidden="1" x14ac:dyDescent="0.25">
      <c r="A235" s="25" t="s">
        <v>1618</v>
      </c>
      <c r="B235" s="25" t="s">
        <v>533</v>
      </c>
      <c r="C235" s="26" t="s">
        <v>1573</v>
      </c>
      <c r="D235" s="27" t="s">
        <v>1619</v>
      </c>
      <c r="E235" s="28" t="s">
        <v>1620</v>
      </c>
      <c r="F235" s="25" t="s">
        <v>1621</v>
      </c>
      <c r="G235" s="27" t="s">
        <v>952</v>
      </c>
      <c r="H235" s="62">
        <v>4462.75</v>
      </c>
      <c r="I235" s="27" t="str">
        <f t="shared" si="3"/>
        <v/>
      </c>
    </row>
    <row r="236" spans="1:9" hidden="1" x14ac:dyDescent="0.25">
      <c r="A236" s="25" t="s">
        <v>1618</v>
      </c>
      <c r="B236" s="25" t="s">
        <v>533</v>
      </c>
      <c r="C236" s="26" t="s">
        <v>1573</v>
      </c>
      <c r="D236" s="27" t="s">
        <v>1622</v>
      </c>
      <c r="E236" s="28" t="s">
        <v>1620</v>
      </c>
      <c r="F236" s="25" t="s">
        <v>1621</v>
      </c>
      <c r="G236" s="27" t="s">
        <v>952</v>
      </c>
      <c r="H236" s="62">
        <v>4462.75</v>
      </c>
      <c r="I236" s="27" t="str">
        <f t="shared" si="3"/>
        <v/>
      </c>
    </row>
    <row r="237" spans="1:9" hidden="1" x14ac:dyDescent="0.25">
      <c r="A237" s="25" t="s">
        <v>1623</v>
      </c>
      <c r="B237" s="25" t="s">
        <v>533</v>
      </c>
      <c r="C237" s="26" t="s">
        <v>1573</v>
      </c>
      <c r="D237" s="27" t="s">
        <v>1624</v>
      </c>
      <c r="E237" s="28" t="s">
        <v>1625</v>
      </c>
      <c r="F237" s="25" t="s">
        <v>1626</v>
      </c>
      <c r="G237" s="27" t="s">
        <v>952</v>
      </c>
      <c r="H237" s="62">
        <v>458.79</v>
      </c>
      <c r="I237" s="27" t="str">
        <f t="shared" si="3"/>
        <v/>
      </c>
    </row>
    <row r="238" spans="1:9" hidden="1" x14ac:dyDescent="0.25">
      <c r="A238" s="25" t="s">
        <v>1627</v>
      </c>
      <c r="B238" s="25" t="s">
        <v>533</v>
      </c>
      <c r="C238" s="26" t="s">
        <v>1573</v>
      </c>
      <c r="D238" s="27" t="s">
        <v>1628</v>
      </c>
      <c r="E238" s="28" t="s">
        <v>1629</v>
      </c>
      <c r="F238" s="25" t="s">
        <v>1630</v>
      </c>
      <c r="G238" s="27" t="s">
        <v>952</v>
      </c>
      <c r="H238" s="62">
        <v>435.01</v>
      </c>
      <c r="I238" s="27" t="str">
        <f t="shared" si="3"/>
        <v/>
      </c>
    </row>
    <row r="239" spans="1:9" hidden="1" x14ac:dyDescent="0.25">
      <c r="A239" s="25" t="s">
        <v>1631</v>
      </c>
      <c r="B239" s="25" t="s">
        <v>533</v>
      </c>
      <c r="C239" s="26" t="s">
        <v>1573</v>
      </c>
      <c r="D239" s="27" t="s">
        <v>1632</v>
      </c>
      <c r="E239" s="28" t="s">
        <v>1555</v>
      </c>
      <c r="F239" s="25" t="s">
        <v>1556</v>
      </c>
      <c r="G239" s="27" t="s">
        <v>952</v>
      </c>
      <c r="H239" s="62">
        <v>1134.9100000000001</v>
      </c>
      <c r="I239" s="27" t="str">
        <f t="shared" si="3"/>
        <v/>
      </c>
    </row>
    <row r="240" spans="1:9" hidden="1" x14ac:dyDescent="0.25">
      <c r="A240" s="25" t="s">
        <v>1633</v>
      </c>
      <c r="B240" s="25" t="s">
        <v>533</v>
      </c>
      <c r="C240" s="26" t="s">
        <v>1573</v>
      </c>
      <c r="D240" s="27" t="s">
        <v>1634</v>
      </c>
      <c r="E240" s="28" t="s">
        <v>1635</v>
      </c>
      <c r="F240" s="25" t="s">
        <v>1636</v>
      </c>
      <c r="G240" s="27" t="s">
        <v>952</v>
      </c>
      <c r="H240" s="62">
        <v>296.39999999999998</v>
      </c>
      <c r="I240" s="27" t="str">
        <f t="shared" si="3"/>
        <v/>
      </c>
    </row>
    <row r="241" spans="1:9" hidden="1" x14ac:dyDescent="0.25">
      <c r="A241" s="25" t="s">
        <v>1637</v>
      </c>
      <c r="B241" s="25" t="s">
        <v>533</v>
      </c>
      <c r="C241" s="26" t="s">
        <v>1573</v>
      </c>
      <c r="D241" s="27" t="s">
        <v>1638</v>
      </c>
      <c r="E241" s="28" t="s">
        <v>1639</v>
      </c>
      <c r="F241" s="25" t="s">
        <v>1640</v>
      </c>
      <c r="G241" s="27" t="s">
        <v>952</v>
      </c>
      <c r="H241" s="62">
        <v>280.7</v>
      </c>
      <c r="I241" s="27" t="str">
        <f t="shared" si="3"/>
        <v/>
      </c>
    </row>
    <row r="242" spans="1:9" hidden="1" x14ac:dyDescent="0.25">
      <c r="A242" s="25" t="s">
        <v>1641</v>
      </c>
      <c r="B242" s="25" t="s">
        <v>533</v>
      </c>
      <c r="C242" s="26" t="s">
        <v>1573</v>
      </c>
      <c r="D242" s="27" t="s">
        <v>1642</v>
      </c>
      <c r="E242" s="28" t="s">
        <v>1546</v>
      </c>
      <c r="F242" s="25" t="s">
        <v>1547</v>
      </c>
      <c r="G242" s="27" t="s">
        <v>952</v>
      </c>
      <c r="H242" s="62">
        <v>729.3</v>
      </c>
      <c r="I242" s="27" t="str">
        <f t="shared" si="3"/>
        <v/>
      </c>
    </row>
    <row r="243" spans="1:9" hidden="1" x14ac:dyDescent="0.25">
      <c r="A243" s="25" t="s">
        <v>1643</v>
      </c>
      <c r="B243" s="25" t="s">
        <v>533</v>
      </c>
      <c r="C243" s="26" t="s">
        <v>1573</v>
      </c>
      <c r="D243" s="27" t="s">
        <v>1644</v>
      </c>
      <c r="E243" s="28" t="s">
        <v>1645</v>
      </c>
      <c r="F243" s="25" t="s">
        <v>1646</v>
      </c>
      <c r="G243" s="27" t="s">
        <v>952</v>
      </c>
      <c r="H243" s="62">
        <v>621.1</v>
      </c>
      <c r="I243" s="27" t="str">
        <f t="shared" si="3"/>
        <v/>
      </c>
    </row>
    <row r="244" spans="1:9" hidden="1" x14ac:dyDescent="0.25">
      <c r="A244" s="25" t="s">
        <v>1647</v>
      </c>
      <c r="B244" s="25" t="s">
        <v>533</v>
      </c>
      <c r="C244" s="26" t="s">
        <v>1573</v>
      </c>
      <c r="D244" s="27" t="s">
        <v>1648</v>
      </c>
      <c r="E244" s="28" t="s">
        <v>1649</v>
      </c>
      <c r="F244" s="25" t="s">
        <v>1650</v>
      </c>
      <c r="G244" s="27" t="s">
        <v>952</v>
      </c>
      <c r="H244" s="62">
        <v>589.29999999999995</v>
      </c>
      <c r="I244" s="27" t="str">
        <f t="shared" si="3"/>
        <v/>
      </c>
    </row>
    <row r="245" spans="1:9" hidden="1" x14ac:dyDescent="0.25">
      <c r="A245" s="25" t="s">
        <v>1651</v>
      </c>
      <c r="B245" s="25" t="s">
        <v>533</v>
      </c>
      <c r="C245" s="26" t="s">
        <v>1573</v>
      </c>
      <c r="D245" s="27" t="s">
        <v>1652</v>
      </c>
      <c r="E245" s="28" t="s">
        <v>1564</v>
      </c>
      <c r="F245" s="25" t="s">
        <v>1565</v>
      </c>
      <c r="G245" s="27" t="s">
        <v>952</v>
      </c>
      <c r="H245" s="62">
        <v>1540.4</v>
      </c>
      <c r="I245" s="27" t="str">
        <f t="shared" si="3"/>
        <v/>
      </c>
    </row>
    <row r="246" spans="1:9" hidden="1" x14ac:dyDescent="0.25">
      <c r="A246" s="25" t="s">
        <v>1653</v>
      </c>
      <c r="B246" s="25" t="s">
        <v>533</v>
      </c>
      <c r="C246" s="26" t="s">
        <v>1573</v>
      </c>
      <c r="D246" s="27" t="s">
        <v>1654</v>
      </c>
      <c r="E246" s="28" t="s">
        <v>1655</v>
      </c>
      <c r="F246" s="25" t="s">
        <v>1656</v>
      </c>
      <c r="G246" s="27" t="s">
        <v>952</v>
      </c>
      <c r="H246" s="62">
        <v>3967</v>
      </c>
      <c r="I246" s="27" t="str">
        <f t="shared" si="3"/>
        <v/>
      </c>
    </row>
    <row r="247" spans="1:9" hidden="1" x14ac:dyDescent="0.25">
      <c r="A247" s="25" t="s">
        <v>1657</v>
      </c>
      <c r="B247" s="25" t="s">
        <v>533</v>
      </c>
      <c r="C247" s="26" t="s">
        <v>1573</v>
      </c>
      <c r="D247" s="27" t="s">
        <v>1658</v>
      </c>
      <c r="E247" s="28" t="s">
        <v>1659</v>
      </c>
      <c r="F247" s="25" t="s">
        <v>1660</v>
      </c>
      <c r="G247" s="27" t="s">
        <v>952</v>
      </c>
      <c r="H247" s="62">
        <v>3261</v>
      </c>
      <c r="I247" s="27" t="str">
        <f t="shared" si="3"/>
        <v/>
      </c>
    </row>
    <row r="248" spans="1:9" hidden="1" x14ac:dyDescent="0.25">
      <c r="A248" s="25" t="s">
        <v>1661</v>
      </c>
      <c r="B248" s="25" t="s">
        <v>533</v>
      </c>
      <c r="C248" s="26" t="s">
        <v>1573</v>
      </c>
      <c r="D248" s="27" t="s">
        <v>1662</v>
      </c>
      <c r="E248" s="28" t="s">
        <v>1663</v>
      </c>
      <c r="F248" s="25" t="s">
        <v>1664</v>
      </c>
      <c r="G248" s="27" t="s">
        <v>952</v>
      </c>
      <c r="H248" s="62">
        <v>2394</v>
      </c>
      <c r="I248" s="27" t="str">
        <f t="shared" si="3"/>
        <v/>
      </c>
    </row>
    <row r="249" spans="1:9" hidden="1" x14ac:dyDescent="0.25">
      <c r="A249" s="25" t="s">
        <v>1665</v>
      </c>
      <c r="B249" s="25" t="s">
        <v>533</v>
      </c>
      <c r="C249" s="26" t="s">
        <v>1573</v>
      </c>
      <c r="D249" s="27" t="s">
        <v>1666</v>
      </c>
      <c r="E249" s="28" t="s">
        <v>1667</v>
      </c>
      <c r="F249" s="25" t="s">
        <v>1668</v>
      </c>
      <c r="G249" s="27" t="s">
        <v>952</v>
      </c>
      <c r="H249" s="62">
        <v>275</v>
      </c>
      <c r="I249" s="27" t="str">
        <f t="shared" si="3"/>
        <v/>
      </c>
    </row>
    <row r="250" spans="1:9" hidden="1" x14ac:dyDescent="0.25">
      <c r="A250" s="25" t="s">
        <v>1665</v>
      </c>
      <c r="B250" s="25" t="s">
        <v>533</v>
      </c>
      <c r="C250" s="26" t="s">
        <v>1573</v>
      </c>
      <c r="D250" s="27" t="s">
        <v>1669</v>
      </c>
      <c r="E250" s="28" t="s">
        <v>1667</v>
      </c>
      <c r="F250" s="25" t="s">
        <v>1668</v>
      </c>
      <c r="G250" s="27" t="s">
        <v>952</v>
      </c>
      <c r="H250" s="62">
        <v>275</v>
      </c>
      <c r="I250" s="27" t="str">
        <f t="shared" si="3"/>
        <v/>
      </c>
    </row>
    <row r="251" spans="1:9" hidden="1" x14ac:dyDescent="0.25">
      <c r="A251" s="25" t="s">
        <v>1670</v>
      </c>
      <c r="B251" s="25" t="s">
        <v>533</v>
      </c>
      <c r="C251" s="26" t="s">
        <v>1573</v>
      </c>
      <c r="D251" s="27" t="s">
        <v>1671</v>
      </c>
      <c r="E251" s="28" t="s">
        <v>1672</v>
      </c>
      <c r="F251" s="25" t="s">
        <v>1673</v>
      </c>
      <c r="G251" s="27" t="s">
        <v>952</v>
      </c>
      <c r="H251" s="62">
        <v>223</v>
      </c>
      <c r="I251" s="27" t="str">
        <f t="shared" si="3"/>
        <v/>
      </c>
    </row>
    <row r="252" spans="1:9" hidden="1" x14ac:dyDescent="0.25">
      <c r="A252" s="25" t="s">
        <v>1670</v>
      </c>
      <c r="B252" s="25" t="s">
        <v>533</v>
      </c>
      <c r="C252" s="26" t="s">
        <v>1573</v>
      </c>
      <c r="D252" s="27" t="s">
        <v>1674</v>
      </c>
      <c r="E252" s="28" t="s">
        <v>1672</v>
      </c>
      <c r="F252" s="25" t="s">
        <v>1673</v>
      </c>
      <c r="G252" s="27" t="s">
        <v>952</v>
      </c>
      <c r="H252" s="62">
        <v>223</v>
      </c>
      <c r="I252" s="27" t="str">
        <f t="shared" si="3"/>
        <v/>
      </c>
    </row>
    <row r="253" spans="1:9" hidden="1" x14ac:dyDescent="0.25">
      <c r="A253" s="25" t="s">
        <v>1675</v>
      </c>
      <c r="B253" s="25" t="s">
        <v>533</v>
      </c>
      <c r="C253" s="26" t="s">
        <v>1573</v>
      </c>
      <c r="D253" s="27" t="s">
        <v>1676</v>
      </c>
      <c r="E253" s="28" t="s">
        <v>1677</v>
      </c>
      <c r="F253" s="25" t="s">
        <v>1678</v>
      </c>
      <c r="G253" s="27" t="s">
        <v>952</v>
      </c>
      <c r="H253" s="62">
        <v>400</v>
      </c>
      <c r="I253" s="27" t="str">
        <f t="shared" si="3"/>
        <v/>
      </c>
    </row>
    <row r="254" spans="1:9" hidden="1" x14ac:dyDescent="0.25">
      <c r="A254" s="25" t="s">
        <v>1675</v>
      </c>
      <c r="B254" s="25" t="s">
        <v>533</v>
      </c>
      <c r="C254" s="26" t="s">
        <v>1573</v>
      </c>
      <c r="D254" s="27" t="s">
        <v>1679</v>
      </c>
      <c r="E254" s="28" t="s">
        <v>1677</v>
      </c>
      <c r="F254" s="25" t="s">
        <v>1678</v>
      </c>
      <c r="G254" s="27" t="s">
        <v>952</v>
      </c>
      <c r="H254" s="62">
        <v>400</v>
      </c>
      <c r="I254" s="27" t="str">
        <f t="shared" si="3"/>
        <v/>
      </c>
    </row>
    <row r="255" spans="1:9" hidden="1" x14ac:dyDescent="0.25">
      <c r="A255" s="25" t="s">
        <v>1680</v>
      </c>
      <c r="B255" s="25" t="s">
        <v>533</v>
      </c>
      <c r="C255" s="26" t="s">
        <v>1573</v>
      </c>
      <c r="D255" s="27" t="s">
        <v>1681</v>
      </c>
      <c r="E255" s="28" t="s">
        <v>1682</v>
      </c>
      <c r="F255" s="25" t="s">
        <v>1683</v>
      </c>
      <c r="G255" s="27" t="s">
        <v>952</v>
      </c>
      <c r="H255" s="62">
        <v>688</v>
      </c>
      <c r="I255" s="27" t="str">
        <f t="shared" si="3"/>
        <v/>
      </c>
    </row>
    <row r="256" spans="1:9" hidden="1" x14ac:dyDescent="0.25">
      <c r="A256" s="25" t="s">
        <v>1684</v>
      </c>
      <c r="B256" s="25" t="s">
        <v>533</v>
      </c>
      <c r="C256" s="26" t="s">
        <v>1573</v>
      </c>
      <c r="D256" s="27" t="s">
        <v>1685</v>
      </c>
      <c r="E256" s="28" t="s">
        <v>1686</v>
      </c>
      <c r="F256" s="25" t="s">
        <v>1687</v>
      </c>
      <c r="G256" s="27" t="s">
        <v>952</v>
      </c>
      <c r="H256" s="62">
        <v>662</v>
      </c>
      <c r="I256" s="27" t="str">
        <f t="shared" si="3"/>
        <v/>
      </c>
    </row>
    <row r="257" spans="1:9" hidden="1" x14ac:dyDescent="0.25">
      <c r="A257" s="25" t="s">
        <v>1688</v>
      </c>
      <c r="B257" s="25" t="s">
        <v>533</v>
      </c>
      <c r="C257" s="26" t="s">
        <v>1573</v>
      </c>
      <c r="D257" s="27" t="s">
        <v>1689</v>
      </c>
      <c r="E257" s="28" t="s">
        <v>1558</v>
      </c>
      <c r="F257" s="25" t="s">
        <v>1559</v>
      </c>
      <c r="G257" s="27" t="s">
        <v>952</v>
      </c>
      <c r="H257" s="62">
        <v>1726</v>
      </c>
      <c r="I257" s="27" t="str">
        <f t="shared" si="3"/>
        <v/>
      </c>
    </row>
    <row r="258" spans="1:9" hidden="1" x14ac:dyDescent="0.25">
      <c r="A258" s="25" t="s">
        <v>1690</v>
      </c>
      <c r="B258" s="25" t="s">
        <v>533</v>
      </c>
      <c r="C258" s="26" t="s">
        <v>1573</v>
      </c>
      <c r="D258" s="27" t="s">
        <v>1691</v>
      </c>
      <c r="E258" s="28" t="s">
        <v>1692</v>
      </c>
      <c r="F258" s="25" t="s">
        <v>1693</v>
      </c>
      <c r="G258" s="27" t="s">
        <v>952</v>
      </c>
      <c r="H258" s="62">
        <v>526</v>
      </c>
      <c r="I258" s="27" t="str">
        <f t="shared" si="3"/>
        <v/>
      </c>
    </row>
    <row r="259" spans="1:9" hidden="1" x14ac:dyDescent="0.25">
      <c r="A259" s="25" t="s">
        <v>1694</v>
      </c>
      <c r="B259" s="25" t="s">
        <v>533</v>
      </c>
      <c r="C259" s="26" t="s">
        <v>1573</v>
      </c>
      <c r="D259" s="27" t="s">
        <v>1695</v>
      </c>
      <c r="E259" s="28" t="s">
        <v>1696</v>
      </c>
      <c r="F259" s="25" t="s">
        <v>1697</v>
      </c>
      <c r="G259" s="27" t="s">
        <v>952</v>
      </c>
      <c r="H259" s="62">
        <v>507</v>
      </c>
      <c r="I259" s="27" t="str">
        <f t="shared" si="3"/>
        <v/>
      </c>
    </row>
    <row r="260" spans="1:9" hidden="1" x14ac:dyDescent="0.25">
      <c r="A260" s="25" t="s">
        <v>1698</v>
      </c>
      <c r="B260" s="25" t="s">
        <v>533</v>
      </c>
      <c r="C260" s="26" t="s">
        <v>1573</v>
      </c>
      <c r="D260" s="27" t="s">
        <v>1699</v>
      </c>
      <c r="E260" s="28" t="s">
        <v>1549</v>
      </c>
      <c r="F260" s="25" t="s">
        <v>1550</v>
      </c>
      <c r="G260" s="27" t="s">
        <v>952</v>
      </c>
      <c r="H260" s="62">
        <v>1321.2</v>
      </c>
      <c r="I260" s="27" t="str">
        <f t="shared" si="3"/>
        <v/>
      </c>
    </row>
    <row r="261" spans="1:9" hidden="1" x14ac:dyDescent="0.25">
      <c r="A261" s="25" t="s">
        <v>1700</v>
      </c>
      <c r="B261" s="25" t="s">
        <v>533</v>
      </c>
      <c r="C261" s="26" t="s">
        <v>1573</v>
      </c>
      <c r="D261" s="27" t="s">
        <v>1701</v>
      </c>
      <c r="E261" s="28" t="s">
        <v>1702</v>
      </c>
      <c r="F261" s="25" t="s">
        <v>1703</v>
      </c>
      <c r="G261" s="27" t="s">
        <v>952</v>
      </c>
      <c r="H261" s="62">
        <v>851.1</v>
      </c>
      <c r="I261" s="27" t="str">
        <f t="shared" ref="I261:I324" si="4">IF($K$2="","",IF(ISNUMBER(SEARCH($K$2,$E261&amp;$F261)),1,""))</f>
        <v/>
      </c>
    </row>
    <row r="262" spans="1:9" hidden="1" x14ac:dyDescent="0.25">
      <c r="A262" s="25" t="s">
        <v>1704</v>
      </c>
      <c r="B262" s="25" t="s">
        <v>533</v>
      </c>
      <c r="C262" s="26" t="s">
        <v>1573</v>
      </c>
      <c r="D262" s="27" t="s">
        <v>1705</v>
      </c>
      <c r="E262" s="28" t="s">
        <v>1706</v>
      </c>
      <c r="F262" s="25" t="s">
        <v>1707</v>
      </c>
      <c r="G262" s="27" t="s">
        <v>952</v>
      </c>
      <c r="H262" s="62">
        <v>816.3</v>
      </c>
      <c r="I262" s="27" t="str">
        <f t="shared" si="4"/>
        <v/>
      </c>
    </row>
    <row r="263" spans="1:9" hidden="1" x14ac:dyDescent="0.25">
      <c r="A263" s="25" t="s">
        <v>1708</v>
      </c>
      <c r="B263" s="25" t="s">
        <v>533</v>
      </c>
      <c r="C263" s="26" t="s">
        <v>1573</v>
      </c>
      <c r="D263" s="27" t="s">
        <v>1709</v>
      </c>
      <c r="E263" s="28" t="s">
        <v>1567</v>
      </c>
      <c r="F263" s="25" t="s">
        <v>1568</v>
      </c>
      <c r="G263" s="27" t="s">
        <v>952</v>
      </c>
      <c r="H263" s="62">
        <v>2132.3000000000002</v>
      </c>
      <c r="I263" s="27" t="str">
        <f t="shared" si="4"/>
        <v/>
      </c>
    </row>
    <row r="264" spans="1:9" hidden="1" x14ac:dyDescent="0.25">
      <c r="A264" s="25" t="s">
        <v>1710</v>
      </c>
      <c r="B264" s="25" t="s">
        <v>533</v>
      </c>
      <c r="C264" s="26" t="s">
        <v>1573</v>
      </c>
      <c r="D264" s="27" t="s">
        <v>1711</v>
      </c>
      <c r="E264" s="28" t="s">
        <v>1712</v>
      </c>
      <c r="F264" s="25" t="s">
        <v>1713</v>
      </c>
      <c r="G264" s="27" t="s">
        <v>952</v>
      </c>
      <c r="H264" s="62">
        <v>1084.1300000000001</v>
      </c>
      <c r="I264" s="27" t="str">
        <f t="shared" si="4"/>
        <v/>
      </c>
    </row>
    <row r="265" spans="1:9" hidden="1" x14ac:dyDescent="0.25">
      <c r="A265" s="25" t="s">
        <v>1714</v>
      </c>
      <c r="B265" s="25" t="s">
        <v>533</v>
      </c>
      <c r="C265" s="26" t="s">
        <v>1573</v>
      </c>
      <c r="D265" s="27" t="s">
        <v>1715</v>
      </c>
      <c r="E265" s="28" t="s">
        <v>1716</v>
      </c>
      <c r="F265" s="25" t="s">
        <v>1717</v>
      </c>
      <c r="G265" s="27" t="s">
        <v>952</v>
      </c>
      <c r="H265" s="62">
        <v>1051.78</v>
      </c>
      <c r="I265" s="27" t="str">
        <f t="shared" si="4"/>
        <v/>
      </c>
    </row>
    <row r="266" spans="1:9" hidden="1" x14ac:dyDescent="0.25">
      <c r="A266" s="25" t="s">
        <v>1718</v>
      </c>
      <c r="B266" s="25" t="s">
        <v>533</v>
      </c>
      <c r="C266" s="26" t="s">
        <v>1573</v>
      </c>
      <c r="D266" s="27" t="s">
        <v>1719</v>
      </c>
      <c r="E266" s="28" t="s">
        <v>1561</v>
      </c>
      <c r="F266" s="25" t="s">
        <v>1562</v>
      </c>
      <c r="G266" s="27" t="s">
        <v>952</v>
      </c>
      <c r="H266" s="62">
        <v>2743.13</v>
      </c>
      <c r="I266" s="27" t="str">
        <f t="shared" si="4"/>
        <v/>
      </c>
    </row>
    <row r="267" spans="1:9" hidden="1" x14ac:dyDescent="0.25">
      <c r="A267" s="25" t="s">
        <v>1720</v>
      </c>
      <c r="B267" s="25" t="s">
        <v>533</v>
      </c>
      <c r="C267" s="26" t="s">
        <v>1573</v>
      </c>
      <c r="D267" s="27" t="s">
        <v>1721</v>
      </c>
      <c r="E267" s="28" t="s">
        <v>1722</v>
      </c>
      <c r="F267" s="25" t="s">
        <v>1723</v>
      </c>
      <c r="G267" s="27" t="s">
        <v>952</v>
      </c>
      <c r="H267" s="62">
        <v>894.67</v>
      </c>
      <c r="I267" s="27" t="str">
        <f t="shared" si="4"/>
        <v/>
      </c>
    </row>
    <row r="268" spans="1:9" hidden="1" x14ac:dyDescent="0.25">
      <c r="A268" s="25" t="s">
        <v>1724</v>
      </c>
      <c r="B268" s="25" t="s">
        <v>533</v>
      </c>
      <c r="C268" s="26" t="s">
        <v>1573</v>
      </c>
      <c r="D268" s="27" t="s">
        <v>1725</v>
      </c>
      <c r="E268" s="28" t="s">
        <v>1726</v>
      </c>
      <c r="F268" s="25" t="s">
        <v>1727</v>
      </c>
      <c r="G268" s="27" t="s">
        <v>952</v>
      </c>
      <c r="H268" s="62">
        <v>871.78</v>
      </c>
      <c r="I268" s="27" t="str">
        <f t="shared" si="4"/>
        <v/>
      </c>
    </row>
    <row r="269" spans="1:9" hidden="1" x14ac:dyDescent="0.25">
      <c r="A269" s="25" t="s">
        <v>1728</v>
      </c>
      <c r="B269" s="25" t="s">
        <v>533</v>
      </c>
      <c r="C269" s="26" t="s">
        <v>1573</v>
      </c>
      <c r="D269" s="27" t="s">
        <v>1729</v>
      </c>
      <c r="E269" s="28" t="s">
        <v>1552</v>
      </c>
      <c r="F269" s="25" t="s">
        <v>1553</v>
      </c>
      <c r="G269" s="27" t="s">
        <v>952</v>
      </c>
      <c r="H269" s="62">
        <v>2270</v>
      </c>
      <c r="I269" s="27" t="str">
        <f t="shared" si="4"/>
        <v/>
      </c>
    </row>
    <row r="270" spans="1:9" hidden="1" x14ac:dyDescent="0.25">
      <c r="A270" s="25" t="s">
        <v>1730</v>
      </c>
      <c r="B270" s="25" t="s">
        <v>533</v>
      </c>
      <c r="C270" s="26" t="s">
        <v>1573</v>
      </c>
      <c r="D270" s="27" t="s">
        <v>1731</v>
      </c>
      <c r="E270" s="28" t="s">
        <v>1732</v>
      </c>
      <c r="F270" s="25" t="s">
        <v>1733</v>
      </c>
      <c r="G270" s="27" t="s">
        <v>952</v>
      </c>
      <c r="H270" s="62">
        <v>1273.5999999999999</v>
      </c>
      <c r="I270" s="27" t="str">
        <f t="shared" si="4"/>
        <v/>
      </c>
    </row>
    <row r="271" spans="1:9" hidden="1" x14ac:dyDescent="0.25">
      <c r="A271" s="25" t="s">
        <v>1734</v>
      </c>
      <c r="B271" s="25" t="s">
        <v>533</v>
      </c>
      <c r="C271" s="26" t="s">
        <v>1573</v>
      </c>
      <c r="D271" s="27" t="s">
        <v>1735</v>
      </c>
      <c r="E271" s="28" t="s">
        <v>1736</v>
      </c>
      <c r="F271" s="25" t="s">
        <v>1737</v>
      </c>
      <c r="G271" s="27" t="s">
        <v>952</v>
      </c>
      <c r="H271" s="62">
        <v>1231.8</v>
      </c>
      <c r="I271" s="27" t="str">
        <f t="shared" si="4"/>
        <v/>
      </c>
    </row>
    <row r="272" spans="1:9" hidden="1" x14ac:dyDescent="0.25">
      <c r="A272" s="25" t="s">
        <v>1738</v>
      </c>
      <c r="B272" s="25" t="s">
        <v>533</v>
      </c>
      <c r="C272" s="26" t="s">
        <v>1573</v>
      </c>
      <c r="D272" s="27" t="s">
        <v>1739</v>
      </c>
      <c r="E272" s="28" t="s">
        <v>1570</v>
      </c>
      <c r="F272" s="25" t="s">
        <v>1571</v>
      </c>
      <c r="G272" s="27" t="s">
        <v>952</v>
      </c>
      <c r="H272" s="62">
        <v>3216.27</v>
      </c>
      <c r="I272" s="27" t="str">
        <f t="shared" si="4"/>
        <v/>
      </c>
    </row>
    <row r="273" spans="1:9" hidden="1" x14ac:dyDescent="0.25">
      <c r="A273" s="25" t="s">
        <v>1740</v>
      </c>
      <c r="B273" s="25" t="s">
        <v>533</v>
      </c>
      <c r="C273" s="26" t="s">
        <v>1573</v>
      </c>
      <c r="D273" s="27" t="s">
        <v>1741</v>
      </c>
      <c r="E273" s="28" t="s">
        <v>1742</v>
      </c>
      <c r="F273" s="25" t="s">
        <v>1743</v>
      </c>
      <c r="G273" s="27" t="s">
        <v>952</v>
      </c>
      <c r="H273" s="62">
        <v>5164.4399999999996</v>
      </c>
      <c r="I273" s="27" t="str">
        <f t="shared" si="4"/>
        <v/>
      </c>
    </row>
    <row r="274" spans="1:9" hidden="1" x14ac:dyDescent="0.25">
      <c r="A274" s="25" t="s">
        <v>1744</v>
      </c>
      <c r="B274" s="25" t="s">
        <v>533</v>
      </c>
      <c r="C274" s="26" t="s">
        <v>1573</v>
      </c>
      <c r="D274" s="27" t="s">
        <v>1745</v>
      </c>
      <c r="E274" s="28" t="s">
        <v>1746</v>
      </c>
      <c r="F274" s="25" t="s">
        <v>1747</v>
      </c>
      <c r="G274" s="27" t="s">
        <v>952</v>
      </c>
      <c r="H274" s="62">
        <v>8472.5499999999993</v>
      </c>
      <c r="I274" s="27" t="str">
        <f t="shared" si="4"/>
        <v/>
      </c>
    </row>
    <row r="275" spans="1:9" hidden="1" x14ac:dyDescent="0.25">
      <c r="A275" s="25" t="s">
        <v>1748</v>
      </c>
      <c r="B275" s="25" t="s">
        <v>533</v>
      </c>
      <c r="C275" s="26" t="s">
        <v>1573</v>
      </c>
      <c r="D275" s="27" t="s">
        <v>1749</v>
      </c>
      <c r="E275" s="28" t="s">
        <v>1750</v>
      </c>
      <c r="F275" s="25" t="s">
        <v>1751</v>
      </c>
      <c r="G275" s="27" t="s">
        <v>952</v>
      </c>
      <c r="H275" s="62">
        <v>11566.33</v>
      </c>
      <c r="I275" s="27" t="str">
        <f t="shared" si="4"/>
        <v/>
      </c>
    </row>
    <row r="276" spans="1:9" hidden="1" x14ac:dyDescent="0.25">
      <c r="A276" s="25" t="s">
        <v>1752</v>
      </c>
      <c r="B276" s="25" t="s">
        <v>533</v>
      </c>
      <c r="C276" s="26" t="s">
        <v>1573</v>
      </c>
      <c r="D276" s="27" t="s">
        <v>1753</v>
      </c>
      <c r="E276" s="28" t="s">
        <v>1402</v>
      </c>
      <c r="F276" s="25" t="s">
        <v>1403</v>
      </c>
      <c r="G276" s="27" t="s">
        <v>952</v>
      </c>
      <c r="H276" s="62">
        <v>142.75</v>
      </c>
      <c r="I276" s="27" t="str">
        <f t="shared" si="4"/>
        <v/>
      </c>
    </row>
    <row r="277" spans="1:9" hidden="1" x14ac:dyDescent="0.25">
      <c r="A277" s="25" t="s">
        <v>1754</v>
      </c>
      <c r="B277" s="25" t="s">
        <v>533</v>
      </c>
      <c r="C277" s="26" t="s">
        <v>1573</v>
      </c>
      <c r="D277" s="27" t="s">
        <v>1755</v>
      </c>
      <c r="E277" s="28" t="s">
        <v>1528</v>
      </c>
      <c r="F277" s="25" t="s">
        <v>1529</v>
      </c>
      <c r="G277" s="27" t="s">
        <v>952</v>
      </c>
      <c r="H277" s="62">
        <v>142.75</v>
      </c>
      <c r="I277" s="27" t="str">
        <f t="shared" si="4"/>
        <v/>
      </c>
    </row>
    <row r="278" spans="1:9" hidden="1" x14ac:dyDescent="0.25">
      <c r="A278" s="25" t="s">
        <v>1756</v>
      </c>
      <c r="B278" s="25" t="s">
        <v>533</v>
      </c>
      <c r="C278" s="26" t="s">
        <v>1573</v>
      </c>
      <c r="D278" s="27" t="s">
        <v>1757</v>
      </c>
      <c r="E278" s="28" t="s">
        <v>1531</v>
      </c>
      <c r="F278" s="25" t="s">
        <v>1532</v>
      </c>
      <c r="G278" s="27" t="s">
        <v>952</v>
      </c>
      <c r="H278" s="62">
        <v>142.75</v>
      </c>
      <c r="I278" s="27" t="str">
        <f t="shared" si="4"/>
        <v/>
      </c>
    </row>
    <row r="279" spans="1:9" hidden="1" x14ac:dyDescent="0.25">
      <c r="A279" s="25" t="s">
        <v>1758</v>
      </c>
      <c r="B279" s="25" t="s">
        <v>533</v>
      </c>
      <c r="C279" s="26" t="s">
        <v>1573</v>
      </c>
      <c r="D279" s="27" t="s">
        <v>1759</v>
      </c>
      <c r="E279" s="28" t="s">
        <v>1534</v>
      </c>
      <c r="F279" s="25" t="s">
        <v>1535</v>
      </c>
      <c r="G279" s="27" t="s">
        <v>952</v>
      </c>
      <c r="H279" s="62">
        <v>142.75</v>
      </c>
      <c r="I279" s="27" t="str">
        <f t="shared" si="4"/>
        <v/>
      </c>
    </row>
    <row r="280" spans="1:9" hidden="1" x14ac:dyDescent="0.25">
      <c r="A280" s="25" t="s">
        <v>1760</v>
      </c>
      <c r="B280" s="25" t="s">
        <v>533</v>
      </c>
      <c r="C280" s="26" t="s">
        <v>1573</v>
      </c>
      <c r="D280" s="27" t="s">
        <v>1761</v>
      </c>
      <c r="E280" s="28" t="s">
        <v>1417</v>
      </c>
      <c r="F280" s="25" t="s">
        <v>1418</v>
      </c>
      <c r="G280" s="27" t="s">
        <v>952</v>
      </c>
      <c r="H280" s="62">
        <v>142.75</v>
      </c>
      <c r="I280" s="27" t="str">
        <f t="shared" si="4"/>
        <v/>
      </c>
    </row>
    <row r="281" spans="1:9" hidden="1" x14ac:dyDescent="0.25">
      <c r="A281" s="25" t="s">
        <v>1762</v>
      </c>
      <c r="B281" s="25" t="s">
        <v>533</v>
      </c>
      <c r="C281" s="26" t="s">
        <v>1573</v>
      </c>
      <c r="D281" s="27" t="s">
        <v>1763</v>
      </c>
      <c r="E281" s="28" t="s">
        <v>1764</v>
      </c>
      <c r="F281" s="25" t="s">
        <v>1765</v>
      </c>
      <c r="G281" s="27" t="s">
        <v>1061</v>
      </c>
      <c r="H281" s="62">
        <v>18.670000000000002</v>
      </c>
      <c r="I281" s="27" t="str">
        <f t="shared" si="4"/>
        <v/>
      </c>
    </row>
    <row r="282" spans="1:9" hidden="1" x14ac:dyDescent="0.25">
      <c r="A282" s="25" t="s">
        <v>1762</v>
      </c>
      <c r="B282" s="25" t="s">
        <v>533</v>
      </c>
      <c r="C282" s="26" t="s">
        <v>1573</v>
      </c>
      <c r="D282" s="27" t="s">
        <v>1766</v>
      </c>
      <c r="E282" s="28" t="s">
        <v>1764</v>
      </c>
      <c r="F282" s="25" t="s">
        <v>1765</v>
      </c>
      <c r="G282" s="27" t="s">
        <v>1061</v>
      </c>
      <c r="H282" s="62">
        <v>18.670000000000002</v>
      </c>
      <c r="I282" s="27" t="str">
        <f t="shared" si="4"/>
        <v/>
      </c>
    </row>
    <row r="283" spans="1:9" hidden="1" x14ac:dyDescent="0.25">
      <c r="A283" s="25" t="s">
        <v>1767</v>
      </c>
      <c r="B283" s="25" t="s">
        <v>533</v>
      </c>
      <c r="C283" s="26" t="s">
        <v>1573</v>
      </c>
      <c r="D283" s="27" t="s">
        <v>1768</v>
      </c>
      <c r="E283" s="28" t="s">
        <v>1769</v>
      </c>
      <c r="F283" s="25" t="s">
        <v>1770</v>
      </c>
      <c r="G283" s="27" t="s">
        <v>1061</v>
      </c>
      <c r="H283" s="62">
        <v>16.329999999999998</v>
      </c>
      <c r="I283" s="27" t="str">
        <f t="shared" si="4"/>
        <v/>
      </c>
    </row>
    <row r="284" spans="1:9" hidden="1" x14ac:dyDescent="0.25">
      <c r="A284" s="25" t="s">
        <v>1767</v>
      </c>
      <c r="B284" s="25" t="s">
        <v>533</v>
      </c>
      <c r="C284" s="26" t="s">
        <v>1573</v>
      </c>
      <c r="D284" s="27" t="s">
        <v>1771</v>
      </c>
      <c r="E284" s="28" t="s">
        <v>1769</v>
      </c>
      <c r="F284" s="25" t="s">
        <v>1770</v>
      </c>
      <c r="G284" s="27" t="s">
        <v>1061</v>
      </c>
      <c r="H284" s="62">
        <v>16.329999999999998</v>
      </c>
      <c r="I284" s="27" t="str">
        <f t="shared" si="4"/>
        <v/>
      </c>
    </row>
    <row r="285" spans="1:9" hidden="1" x14ac:dyDescent="0.25">
      <c r="A285" s="25" t="s">
        <v>1772</v>
      </c>
      <c r="B285" s="25" t="s">
        <v>533</v>
      </c>
      <c r="C285" s="26" t="s">
        <v>1573</v>
      </c>
      <c r="D285" s="27" t="s">
        <v>1773</v>
      </c>
      <c r="E285" s="28" t="s">
        <v>1774</v>
      </c>
      <c r="F285" s="25" t="s">
        <v>1318</v>
      </c>
      <c r="G285" s="27" t="s">
        <v>952</v>
      </c>
      <c r="H285" s="62">
        <v>247.93</v>
      </c>
      <c r="I285" s="27" t="str">
        <f t="shared" si="4"/>
        <v/>
      </c>
    </row>
    <row r="286" spans="1:9" hidden="1" x14ac:dyDescent="0.25">
      <c r="A286" s="25" t="s">
        <v>1775</v>
      </c>
      <c r="B286" s="25" t="s">
        <v>533</v>
      </c>
      <c r="C286" s="26" t="s">
        <v>1573</v>
      </c>
      <c r="D286" s="27" t="s">
        <v>1776</v>
      </c>
      <c r="E286" s="28" t="s">
        <v>1405</v>
      </c>
      <c r="F286" s="25" t="s">
        <v>1406</v>
      </c>
      <c r="G286" s="27" t="s">
        <v>952</v>
      </c>
      <c r="H286" s="62">
        <v>247.93</v>
      </c>
      <c r="I286" s="27" t="str">
        <f t="shared" si="4"/>
        <v/>
      </c>
    </row>
    <row r="287" spans="1:9" hidden="1" x14ac:dyDescent="0.25">
      <c r="A287" s="25" t="s">
        <v>1777</v>
      </c>
      <c r="B287" s="25" t="s">
        <v>533</v>
      </c>
      <c r="C287" s="26" t="s">
        <v>1573</v>
      </c>
      <c r="D287" s="27" t="s">
        <v>1778</v>
      </c>
      <c r="E287" s="28" t="s">
        <v>1537</v>
      </c>
      <c r="F287" s="25" t="s">
        <v>1538</v>
      </c>
      <c r="G287" s="27" t="s">
        <v>952</v>
      </c>
      <c r="H287" s="62">
        <v>247.93</v>
      </c>
      <c r="I287" s="27" t="str">
        <f t="shared" si="4"/>
        <v/>
      </c>
    </row>
    <row r="288" spans="1:9" hidden="1" x14ac:dyDescent="0.25">
      <c r="A288" s="25" t="s">
        <v>1779</v>
      </c>
      <c r="B288" s="25" t="s">
        <v>533</v>
      </c>
      <c r="C288" s="26" t="s">
        <v>1573</v>
      </c>
      <c r="D288" s="27" t="s">
        <v>1780</v>
      </c>
      <c r="E288" s="28" t="s">
        <v>1781</v>
      </c>
      <c r="F288" s="25" t="s">
        <v>1782</v>
      </c>
      <c r="G288" s="27" t="s">
        <v>952</v>
      </c>
      <c r="H288" s="62">
        <v>162.53</v>
      </c>
      <c r="I288" s="27" t="str">
        <f t="shared" si="4"/>
        <v/>
      </c>
    </row>
    <row r="289" spans="1:9" hidden="1" x14ac:dyDescent="0.25">
      <c r="A289" s="25" t="s">
        <v>1779</v>
      </c>
      <c r="B289" s="25" t="s">
        <v>533</v>
      </c>
      <c r="C289" s="26" t="s">
        <v>1573</v>
      </c>
      <c r="D289" s="27" t="s">
        <v>1783</v>
      </c>
      <c r="E289" s="28" t="s">
        <v>1781</v>
      </c>
      <c r="F289" s="25" t="s">
        <v>1782</v>
      </c>
      <c r="G289" s="27" t="s">
        <v>952</v>
      </c>
      <c r="H289" s="62">
        <v>162.53</v>
      </c>
      <c r="I289" s="27" t="str">
        <f t="shared" si="4"/>
        <v/>
      </c>
    </row>
    <row r="290" spans="1:9" hidden="1" x14ac:dyDescent="0.25">
      <c r="A290" s="25" t="s">
        <v>1784</v>
      </c>
      <c r="B290" s="25" t="s">
        <v>533</v>
      </c>
      <c r="C290" s="26" t="s">
        <v>1573</v>
      </c>
      <c r="D290" s="27" t="s">
        <v>1785</v>
      </c>
      <c r="E290" s="28" t="s">
        <v>1540</v>
      </c>
      <c r="F290" s="25" t="s">
        <v>1541</v>
      </c>
      <c r="G290" s="27" t="s">
        <v>952</v>
      </c>
      <c r="H290" s="62">
        <v>247.93</v>
      </c>
      <c r="I290" s="27" t="str">
        <f t="shared" si="4"/>
        <v/>
      </c>
    </row>
    <row r="291" spans="1:9" hidden="1" x14ac:dyDescent="0.25">
      <c r="A291" s="25" t="s">
        <v>1786</v>
      </c>
      <c r="B291" s="25" t="s">
        <v>533</v>
      </c>
      <c r="C291" s="26" t="s">
        <v>1573</v>
      </c>
      <c r="D291" s="27" t="s">
        <v>1787</v>
      </c>
      <c r="E291" s="28" t="s">
        <v>1543</v>
      </c>
      <c r="F291" s="25" t="s">
        <v>1544</v>
      </c>
      <c r="G291" s="27" t="s">
        <v>952</v>
      </c>
      <c r="H291" s="62">
        <v>247.93</v>
      </c>
      <c r="I291" s="27" t="str">
        <f t="shared" si="4"/>
        <v/>
      </c>
    </row>
    <row r="292" spans="1:9" hidden="1" x14ac:dyDescent="0.25">
      <c r="A292" s="25" t="s">
        <v>1788</v>
      </c>
      <c r="B292" s="25" t="s">
        <v>533</v>
      </c>
      <c r="C292" s="26" t="s">
        <v>1573</v>
      </c>
      <c r="D292" s="27" t="s">
        <v>1789</v>
      </c>
      <c r="E292" s="28" t="s">
        <v>1790</v>
      </c>
      <c r="F292" s="25" t="s">
        <v>1791</v>
      </c>
      <c r="G292" s="27" t="s">
        <v>1061</v>
      </c>
      <c r="H292" s="62">
        <v>114.03</v>
      </c>
      <c r="I292" s="27" t="str">
        <f t="shared" si="4"/>
        <v/>
      </c>
    </row>
    <row r="293" spans="1:9" hidden="1" x14ac:dyDescent="0.25">
      <c r="A293" s="25" t="s">
        <v>1788</v>
      </c>
      <c r="B293" s="25" t="s">
        <v>533</v>
      </c>
      <c r="C293" s="26" t="s">
        <v>1573</v>
      </c>
      <c r="D293" s="27" t="s">
        <v>1792</v>
      </c>
      <c r="E293" s="28" t="s">
        <v>1790</v>
      </c>
      <c r="F293" s="25" t="s">
        <v>1791</v>
      </c>
      <c r="G293" s="27" t="s">
        <v>1061</v>
      </c>
      <c r="H293" s="62">
        <v>114.03</v>
      </c>
      <c r="I293" s="27" t="str">
        <f t="shared" si="4"/>
        <v/>
      </c>
    </row>
    <row r="294" spans="1:9" hidden="1" x14ac:dyDescent="0.25">
      <c r="A294" s="25" t="s">
        <v>1793</v>
      </c>
      <c r="B294" s="25" t="s">
        <v>533</v>
      </c>
      <c r="C294" s="26" t="s">
        <v>1573</v>
      </c>
      <c r="D294" s="27" t="s">
        <v>1794</v>
      </c>
      <c r="E294" s="28" t="s">
        <v>1795</v>
      </c>
      <c r="F294" s="25" t="s">
        <v>1796</v>
      </c>
      <c r="G294" s="27" t="s">
        <v>1061</v>
      </c>
      <c r="H294" s="62">
        <v>99.76</v>
      </c>
      <c r="I294" s="27" t="str">
        <f t="shared" si="4"/>
        <v/>
      </c>
    </row>
    <row r="295" spans="1:9" hidden="1" x14ac:dyDescent="0.25">
      <c r="A295" s="25" t="s">
        <v>1793</v>
      </c>
      <c r="B295" s="25" t="s">
        <v>533</v>
      </c>
      <c r="C295" s="26" t="s">
        <v>1573</v>
      </c>
      <c r="D295" s="27" t="s">
        <v>1797</v>
      </c>
      <c r="E295" s="28" t="s">
        <v>1795</v>
      </c>
      <c r="F295" s="25" t="s">
        <v>1796</v>
      </c>
      <c r="G295" s="27" t="s">
        <v>1061</v>
      </c>
      <c r="H295" s="62">
        <v>99.76</v>
      </c>
      <c r="I295" s="27" t="str">
        <f t="shared" si="4"/>
        <v/>
      </c>
    </row>
    <row r="296" spans="1:9" hidden="1" x14ac:dyDescent="0.25">
      <c r="A296" s="25" t="s">
        <v>1798</v>
      </c>
      <c r="B296" s="25" t="s">
        <v>533</v>
      </c>
      <c r="C296" s="26" t="s">
        <v>1573</v>
      </c>
      <c r="D296" s="27" t="s">
        <v>1799</v>
      </c>
      <c r="E296" s="28" t="s">
        <v>1445</v>
      </c>
      <c r="F296" s="25" t="s">
        <v>1446</v>
      </c>
      <c r="G296" s="27" t="s">
        <v>952</v>
      </c>
      <c r="H296" s="62">
        <v>1625</v>
      </c>
      <c r="I296" s="27" t="str">
        <f t="shared" si="4"/>
        <v/>
      </c>
    </row>
    <row r="297" spans="1:9" hidden="1" x14ac:dyDescent="0.25">
      <c r="A297" s="25" t="s">
        <v>1800</v>
      </c>
      <c r="B297" s="25" t="s">
        <v>533</v>
      </c>
      <c r="C297" s="26" t="s">
        <v>1573</v>
      </c>
      <c r="D297" s="27" t="s">
        <v>1801</v>
      </c>
      <c r="E297" s="28" t="s">
        <v>1439</v>
      </c>
      <c r="F297" s="25" t="s">
        <v>1440</v>
      </c>
      <c r="G297" s="27" t="s">
        <v>952</v>
      </c>
      <c r="H297" s="62">
        <v>647.75</v>
      </c>
      <c r="I297" s="27" t="str">
        <f t="shared" si="4"/>
        <v/>
      </c>
    </row>
    <row r="298" spans="1:9" hidden="1" x14ac:dyDescent="0.25">
      <c r="A298" s="25" t="s">
        <v>1802</v>
      </c>
      <c r="B298" s="25" t="s">
        <v>533</v>
      </c>
      <c r="C298" s="26" t="s">
        <v>1573</v>
      </c>
      <c r="D298" s="27" t="s">
        <v>1803</v>
      </c>
      <c r="E298" s="28" t="s">
        <v>1451</v>
      </c>
      <c r="F298" s="25" t="s">
        <v>1452</v>
      </c>
      <c r="G298" s="27" t="s">
        <v>952</v>
      </c>
      <c r="H298" s="62">
        <v>1107.75</v>
      </c>
      <c r="I298" s="27" t="str">
        <f t="shared" si="4"/>
        <v/>
      </c>
    </row>
    <row r="299" spans="1:9" hidden="1" x14ac:dyDescent="0.25">
      <c r="A299" s="25" t="s">
        <v>1804</v>
      </c>
      <c r="B299" s="25" t="s">
        <v>533</v>
      </c>
      <c r="C299" s="26" t="s">
        <v>1573</v>
      </c>
      <c r="D299" s="27" t="s">
        <v>1805</v>
      </c>
      <c r="E299" s="28" t="s">
        <v>1442</v>
      </c>
      <c r="F299" s="25" t="s">
        <v>1443</v>
      </c>
      <c r="G299" s="27" t="s">
        <v>952</v>
      </c>
      <c r="H299" s="62">
        <v>1560</v>
      </c>
      <c r="I299" s="27" t="str">
        <f t="shared" si="4"/>
        <v/>
      </c>
    </row>
    <row r="300" spans="1:9" hidden="1" x14ac:dyDescent="0.25">
      <c r="A300" s="25" t="s">
        <v>1806</v>
      </c>
      <c r="B300" s="25" t="s">
        <v>533</v>
      </c>
      <c r="C300" s="26" t="s">
        <v>1573</v>
      </c>
      <c r="D300" s="27" t="s">
        <v>1807</v>
      </c>
      <c r="E300" s="28" t="s">
        <v>1448</v>
      </c>
      <c r="F300" s="25" t="s">
        <v>1449</v>
      </c>
      <c r="G300" s="27" t="s">
        <v>952</v>
      </c>
      <c r="H300" s="62">
        <v>1097.75</v>
      </c>
      <c r="I300" s="27" t="str">
        <f t="shared" si="4"/>
        <v/>
      </c>
    </row>
    <row r="301" spans="1:9" hidden="1" x14ac:dyDescent="0.25">
      <c r="A301" s="25" t="s">
        <v>1808</v>
      </c>
      <c r="B301" s="25" t="s">
        <v>533</v>
      </c>
      <c r="C301" s="26" t="s">
        <v>1573</v>
      </c>
      <c r="D301" s="27" t="s">
        <v>1809</v>
      </c>
      <c r="E301" s="28" t="s">
        <v>1460</v>
      </c>
      <c r="F301" s="25" t="s">
        <v>1461</v>
      </c>
      <c r="G301" s="27" t="s">
        <v>952</v>
      </c>
      <c r="H301" s="62">
        <v>1795</v>
      </c>
      <c r="I301" s="27" t="str">
        <f t="shared" si="4"/>
        <v/>
      </c>
    </row>
    <row r="302" spans="1:9" hidden="1" x14ac:dyDescent="0.25">
      <c r="A302" s="25" t="s">
        <v>1810</v>
      </c>
      <c r="B302" s="25" t="s">
        <v>533</v>
      </c>
      <c r="C302" s="26" t="s">
        <v>1573</v>
      </c>
      <c r="D302" s="27" t="s">
        <v>1811</v>
      </c>
      <c r="E302" s="28" t="s">
        <v>1454</v>
      </c>
      <c r="F302" s="25" t="s">
        <v>1455</v>
      </c>
      <c r="G302" s="27" t="s">
        <v>952</v>
      </c>
      <c r="H302" s="62">
        <v>811.17</v>
      </c>
      <c r="I302" s="27" t="str">
        <f t="shared" si="4"/>
        <v/>
      </c>
    </row>
    <row r="303" spans="1:9" hidden="1" x14ac:dyDescent="0.25">
      <c r="A303" s="25" t="s">
        <v>1812</v>
      </c>
      <c r="B303" s="25" t="s">
        <v>533</v>
      </c>
      <c r="C303" s="26" t="s">
        <v>1573</v>
      </c>
      <c r="D303" s="27" t="s">
        <v>1813</v>
      </c>
      <c r="E303" s="28" t="s">
        <v>1466</v>
      </c>
      <c r="F303" s="25" t="s">
        <v>1467</v>
      </c>
      <c r="G303" s="27" t="s">
        <v>952</v>
      </c>
      <c r="H303" s="62">
        <v>1225.25</v>
      </c>
      <c r="I303" s="27" t="str">
        <f t="shared" si="4"/>
        <v/>
      </c>
    </row>
    <row r="304" spans="1:9" hidden="1" x14ac:dyDescent="0.25">
      <c r="A304" s="25" t="s">
        <v>1814</v>
      </c>
      <c r="B304" s="25" t="s">
        <v>533</v>
      </c>
      <c r="C304" s="26" t="s">
        <v>1573</v>
      </c>
      <c r="D304" s="27" t="s">
        <v>1815</v>
      </c>
      <c r="E304" s="28" t="s">
        <v>1457</v>
      </c>
      <c r="F304" s="25" t="s">
        <v>1458</v>
      </c>
      <c r="G304" s="27" t="s">
        <v>952</v>
      </c>
      <c r="H304" s="62">
        <v>1695</v>
      </c>
      <c r="I304" s="27" t="str">
        <f t="shared" si="4"/>
        <v/>
      </c>
    </row>
    <row r="305" spans="1:9" hidden="1" x14ac:dyDescent="0.25">
      <c r="A305" s="25" t="s">
        <v>1816</v>
      </c>
      <c r="B305" s="25" t="s">
        <v>533</v>
      </c>
      <c r="C305" s="26" t="s">
        <v>1573</v>
      </c>
      <c r="D305" s="27" t="s">
        <v>1817</v>
      </c>
      <c r="E305" s="28" t="s">
        <v>1463</v>
      </c>
      <c r="F305" s="25" t="s">
        <v>1464</v>
      </c>
      <c r="G305" s="27" t="s">
        <v>952</v>
      </c>
      <c r="H305" s="62">
        <v>1157.5999999999999</v>
      </c>
      <c r="I305" s="27" t="str">
        <f t="shared" si="4"/>
        <v/>
      </c>
    </row>
    <row r="306" spans="1:9" hidden="1" x14ac:dyDescent="0.25">
      <c r="A306" s="25" t="s">
        <v>1818</v>
      </c>
      <c r="B306" s="25" t="s">
        <v>533</v>
      </c>
      <c r="C306" s="26" t="s">
        <v>1573</v>
      </c>
      <c r="D306" s="27" t="s">
        <v>1819</v>
      </c>
      <c r="E306" s="28" t="s">
        <v>1475</v>
      </c>
      <c r="F306" s="25" t="s">
        <v>1476</v>
      </c>
      <c r="G306" s="27" t="s">
        <v>952</v>
      </c>
      <c r="H306" s="62">
        <v>1290.3800000000001</v>
      </c>
      <c r="I306" s="27" t="str">
        <f t="shared" si="4"/>
        <v/>
      </c>
    </row>
    <row r="307" spans="1:9" hidden="1" x14ac:dyDescent="0.25">
      <c r="A307" s="25" t="s">
        <v>1820</v>
      </c>
      <c r="B307" s="25" t="s">
        <v>533</v>
      </c>
      <c r="C307" s="26" t="s">
        <v>1573</v>
      </c>
      <c r="D307" s="27" t="s">
        <v>1821</v>
      </c>
      <c r="E307" s="28" t="s">
        <v>1469</v>
      </c>
      <c r="F307" s="25" t="s">
        <v>1470</v>
      </c>
      <c r="G307" s="27" t="s">
        <v>952</v>
      </c>
      <c r="H307" s="62">
        <v>907.63</v>
      </c>
      <c r="I307" s="27" t="str">
        <f t="shared" si="4"/>
        <v/>
      </c>
    </row>
    <row r="308" spans="1:9" hidden="1" x14ac:dyDescent="0.25">
      <c r="A308" s="25" t="s">
        <v>1822</v>
      </c>
      <c r="B308" s="25" t="s">
        <v>533</v>
      </c>
      <c r="C308" s="26" t="s">
        <v>1573</v>
      </c>
      <c r="D308" s="27" t="s">
        <v>1823</v>
      </c>
      <c r="E308" s="28" t="s">
        <v>1472</v>
      </c>
      <c r="F308" s="25" t="s">
        <v>1473</v>
      </c>
      <c r="G308" s="27" t="s">
        <v>952</v>
      </c>
      <c r="H308" s="62">
        <v>1240.1300000000001</v>
      </c>
      <c r="I308" s="27" t="str">
        <f t="shared" si="4"/>
        <v/>
      </c>
    </row>
    <row r="309" spans="1:9" hidden="1" x14ac:dyDescent="0.25">
      <c r="A309" s="25" t="s">
        <v>1824</v>
      </c>
      <c r="B309" s="25" t="s">
        <v>533</v>
      </c>
      <c r="C309" s="26" t="s">
        <v>1573</v>
      </c>
      <c r="D309" s="27" t="s">
        <v>1825</v>
      </c>
      <c r="E309" s="28" t="s">
        <v>1478</v>
      </c>
      <c r="F309" s="25" t="s">
        <v>1481</v>
      </c>
      <c r="G309" s="27" t="s">
        <v>952</v>
      </c>
      <c r="H309" s="62">
        <v>1347.75</v>
      </c>
      <c r="I309" s="27" t="str">
        <f t="shared" si="4"/>
        <v/>
      </c>
    </row>
    <row r="310" spans="1:9" hidden="1" x14ac:dyDescent="0.25">
      <c r="A310" s="25" t="s">
        <v>1826</v>
      </c>
      <c r="B310" s="25" t="s">
        <v>533</v>
      </c>
      <c r="C310" s="26" t="s">
        <v>1573</v>
      </c>
      <c r="D310" s="27" t="s">
        <v>1827</v>
      </c>
      <c r="E310" s="28" t="s">
        <v>1478</v>
      </c>
      <c r="F310" s="25" t="s">
        <v>1479</v>
      </c>
      <c r="G310" s="27" t="s">
        <v>952</v>
      </c>
      <c r="H310" s="62">
        <v>1315.13</v>
      </c>
      <c r="I310" s="27" t="str">
        <f t="shared" si="4"/>
        <v/>
      </c>
    </row>
    <row r="311" spans="1:9" hidden="1" x14ac:dyDescent="0.25">
      <c r="A311" s="25" t="s">
        <v>1828</v>
      </c>
      <c r="B311" s="25" t="s">
        <v>533</v>
      </c>
      <c r="C311" s="26" t="s">
        <v>1573</v>
      </c>
      <c r="D311" s="27" t="s">
        <v>1829</v>
      </c>
      <c r="E311" s="28" t="s">
        <v>1489</v>
      </c>
      <c r="F311" s="25" t="s">
        <v>1490</v>
      </c>
      <c r="G311" s="27" t="s">
        <v>952</v>
      </c>
      <c r="H311" s="62">
        <v>1725</v>
      </c>
      <c r="I311" s="27" t="str">
        <f t="shared" si="4"/>
        <v/>
      </c>
    </row>
    <row r="312" spans="1:9" hidden="1" x14ac:dyDescent="0.25">
      <c r="A312" s="25" t="s">
        <v>1830</v>
      </c>
      <c r="B312" s="25" t="s">
        <v>533</v>
      </c>
      <c r="C312" s="26" t="s">
        <v>1573</v>
      </c>
      <c r="D312" s="27" t="s">
        <v>1831</v>
      </c>
      <c r="E312" s="28" t="s">
        <v>1483</v>
      </c>
      <c r="F312" s="25" t="s">
        <v>1484</v>
      </c>
      <c r="G312" s="27" t="s">
        <v>952</v>
      </c>
      <c r="H312" s="62">
        <v>689.14</v>
      </c>
      <c r="I312" s="27" t="str">
        <f t="shared" si="4"/>
        <v/>
      </c>
    </row>
    <row r="313" spans="1:9" hidden="1" x14ac:dyDescent="0.25">
      <c r="A313" s="25" t="s">
        <v>1832</v>
      </c>
      <c r="B313" s="25" t="s">
        <v>533</v>
      </c>
      <c r="C313" s="26" t="s">
        <v>1573</v>
      </c>
      <c r="D313" s="27" t="s">
        <v>1833</v>
      </c>
      <c r="E313" s="28" t="s">
        <v>1495</v>
      </c>
      <c r="F313" s="25" t="s">
        <v>1496</v>
      </c>
      <c r="G313" s="27" t="s">
        <v>952</v>
      </c>
      <c r="H313" s="62">
        <v>1492.75</v>
      </c>
      <c r="I313" s="27" t="str">
        <f t="shared" si="4"/>
        <v/>
      </c>
    </row>
    <row r="314" spans="1:9" hidden="1" x14ac:dyDescent="0.25">
      <c r="A314" s="25" t="s">
        <v>1834</v>
      </c>
      <c r="B314" s="25" t="s">
        <v>533</v>
      </c>
      <c r="C314" s="26" t="s">
        <v>1573</v>
      </c>
      <c r="D314" s="27" t="s">
        <v>1835</v>
      </c>
      <c r="E314" s="28" t="s">
        <v>1486</v>
      </c>
      <c r="F314" s="25" t="s">
        <v>1487</v>
      </c>
      <c r="G314" s="27" t="s">
        <v>952</v>
      </c>
      <c r="H314" s="62">
        <v>1660</v>
      </c>
      <c r="I314" s="27" t="str">
        <f t="shared" si="4"/>
        <v/>
      </c>
    </row>
    <row r="315" spans="1:9" hidden="1" x14ac:dyDescent="0.25">
      <c r="A315" s="25" t="s">
        <v>1836</v>
      </c>
      <c r="B315" s="25" t="s">
        <v>533</v>
      </c>
      <c r="C315" s="26" t="s">
        <v>1573</v>
      </c>
      <c r="D315" s="27" t="s">
        <v>1837</v>
      </c>
      <c r="E315" s="28" t="s">
        <v>1492</v>
      </c>
      <c r="F315" s="25" t="s">
        <v>1493</v>
      </c>
      <c r="G315" s="27" t="s">
        <v>952</v>
      </c>
      <c r="H315" s="62">
        <v>1342.95</v>
      </c>
      <c r="I315" s="27" t="str">
        <f t="shared" si="4"/>
        <v/>
      </c>
    </row>
    <row r="316" spans="1:9" hidden="1" x14ac:dyDescent="0.25">
      <c r="A316" s="25" t="s">
        <v>1838</v>
      </c>
      <c r="B316" s="25" t="s">
        <v>533</v>
      </c>
      <c r="C316" s="26" t="s">
        <v>1573</v>
      </c>
      <c r="D316" s="27" t="s">
        <v>1839</v>
      </c>
      <c r="E316" s="28" t="s">
        <v>1504</v>
      </c>
      <c r="F316" s="25" t="s">
        <v>1505</v>
      </c>
      <c r="G316" s="27" t="s">
        <v>952</v>
      </c>
      <c r="H316" s="62">
        <v>1945</v>
      </c>
      <c r="I316" s="27" t="str">
        <f t="shared" si="4"/>
        <v/>
      </c>
    </row>
    <row r="317" spans="1:9" hidden="1" x14ac:dyDescent="0.25">
      <c r="A317" s="25" t="s">
        <v>1840</v>
      </c>
      <c r="B317" s="25" t="s">
        <v>533</v>
      </c>
      <c r="C317" s="26" t="s">
        <v>1573</v>
      </c>
      <c r="D317" s="27" t="s">
        <v>1841</v>
      </c>
      <c r="E317" s="28" t="s">
        <v>1498</v>
      </c>
      <c r="F317" s="25" t="s">
        <v>1499</v>
      </c>
      <c r="G317" s="27" t="s">
        <v>952</v>
      </c>
      <c r="H317" s="62">
        <v>757.75</v>
      </c>
      <c r="I317" s="27" t="str">
        <f t="shared" si="4"/>
        <v/>
      </c>
    </row>
    <row r="318" spans="1:9" hidden="1" x14ac:dyDescent="0.25">
      <c r="A318" s="25" t="s">
        <v>1842</v>
      </c>
      <c r="B318" s="25" t="s">
        <v>533</v>
      </c>
      <c r="C318" s="26" t="s">
        <v>1573</v>
      </c>
      <c r="D318" s="27" t="s">
        <v>1843</v>
      </c>
      <c r="E318" s="28" t="s">
        <v>1510</v>
      </c>
      <c r="F318" s="25" t="s">
        <v>1511</v>
      </c>
      <c r="G318" s="27" t="s">
        <v>952</v>
      </c>
      <c r="H318" s="62">
        <v>1737.95</v>
      </c>
      <c r="I318" s="27" t="str">
        <f t="shared" si="4"/>
        <v/>
      </c>
    </row>
    <row r="319" spans="1:9" hidden="1" x14ac:dyDescent="0.25">
      <c r="A319" s="25" t="s">
        <v>1844</v>
      </c>
      <c r="B319" s="25" t="s">
        <v>533</v>
      </c>
      <c r="C319" s="26" t="s">
        <v>1573</v>
      </c>
      <c r="D319" s="27" t="s">
        <v>1845</v>
      </c>
      <c r="E319" s="28" t="s">
        <v>1501</v>
      </c>
      <c r="F319" s="25" t="s">
        <v>1502</v>
      </c>
      <c r="G319" s="27" t="s">
        <v>952</v>
      </c>
      <c r="H319" s="62">
        <v>1925</v>
      </c>
      <c r="I319" s="27" t="str">
        <f t="shared" si="4"/>
        <v/>
      </c>
    </row>
    <row r="320" spans="1:9" hidden="1" x14ac:dyDescent="0.25">
      <c r="A320" s="25" t="s">
        <v>1846</v>
      </c>
      <c r="B320" s="25" t="s">
        <v>533</v>
      </c>
      <c r="C320" s="26" t="s">
        <v>1573</v>
      </c>
      <c r="D320" s="27" t="s">
        <v>1847</v>
      </c>
      <c r="E320" s="28" t="s">
        <v>1507</v>
      </c>
      <c r="F320" s="25" t="s">
        <v>1508</v>
      </c>
      <c r="G320" s="27" t="s">
        <v>952</v>
      </c>
      <c r="H320" s="62">
        <v>1552.75</v>
      </c>
      <c r="I320" s="27" t="str">
        <f t="shared" si="4"/>
        <v/>
      </c>
    </row>
    <row r="321" spans="1:9" hidden="1" x14ac:dyDescent="0.25">
      <c r="A321" s="25" t="s">
        <v>1848</v>
      </c>
      <c r="B321" s="25" t="s">
        <v>533</v>
      </c>
      <c r="C321" s="26" t="s">
        <v>1573</v>
      </c>
      <c r="D321" s="27" t="s">
        <v>1849</v>
      </c>
      <c r="E321" s="28" t="s">
        <v>1519</v>
      </c>
      <c r="F321" s="25" t="s">
        <v>1520</v>
      </c>
      <c r="G321" s="27" t="s">
        <v>952</v>
      </c>
      <c r="H321" s="62">
        <v>1487.75</v>
      </c>
      <c r="I321" s="27" t="str">
        <f t="shared" si="4"/>
        <v/>
      </c>
    </row>
    <row r="322" spans="1:9" hidden="1" x14ac:dyDescent="0.25">
      <c r="A322" s="25" t="s">
        <v>1850</v>
      </c>
      <c r="B322" s="25" t="s">
        <v>533</v>
      </c>
      <c r="C322" s="26" t="s">
        <v>1573</v>
      </c>
      <c r="D322" s="27" t="s">
        <v>1851</v>
      </c>
      <c r="E322" s="28" t="s">
        <v>1513</v>
      </c>
      <c r="F322" s="25" t="s">
        <v>1514</v>
      </c>
      <c r="G322" s="27" t="s">
        <v>952</v>
      </c>
      <c r="H322" s="62">
        <v>864.25</v>
      </c>
      <c r="I322" s="27" t="str">
        <f t="shared" si="4"/>
        <v/>
      </c>
    </row>
    <row r="323" spans="1:9" hidden="1" x14ac:dyDescent="0.25">
      <c r="A323" s="25" t="s">
        <v>1852</v>
      </c>
      <c r="B323" s="25" t="s">
        <v>533</v>
      </c>
      <c r="C323" s="26" t="s">
        <v>1573</v>
      </c>
      <c r="D323" s="27" t="s">
        <v>1853</v>
      </c>
      <c r="E323" s="28" t="s">
        <v>1525</v>
      </c>
      <c r="F323" s="25" t="s">
        <v>1526</v>
      </c>
      <c r="G323" s="27" t="s">
        <v>952</v>
      </c>
      <c r="H323" s="62">
        <v>1980.38</v>
      </c>
      <c r="I323" s="27" t="str">
        <f t="shared" si="4"/>
        <v/>
      </c>
    </row>
    <row r="324" spans="1:9" hidden="1" x14ac:dyDescent="0.25">
      <c r="A324" s="25" t="s">
        <v>1854</v>
      </c>
      <c r="B324" s="25" t="s">
        <v>533</v>
      </c>
      <c r="C324" s="26" t="s">
        <v>1573</v>
      </c>
      <c r="D324" s="27" t="s">
        <v>1855</v>
      </c>
      <c r="E324" s="28" t="s">
        <v>1516</v>
      </c>
      <c r="F324" s="25" t="s">
        <v>1517</v>
      </c>
      <c r="G324" s="27" t="s">
        <v>952</v>
      </c>
      <c r="H324" s="62">
        <v>1390.45</v>
      </c>
      <c r="I324" s="27" t="str">
        <f t="shared" si="4"/>
        <v/>
      </c>
    </row>
    <row r="325" spans="1:9" hidden="1" x14ac:dyDescent="0.25">
      <c r="A325" s="25" t="s">
        <v>1856</v>
      </c>
      <c r="B325" s="25" t="s">
        <v>533</v>
      </c>
      <c r="C325" s="26" t="s">
        <v>1573</v>
      </c>
      <c r="D325" s="27" t="s">
        <v>1857</v>
      </c>
      <c r="E325" s="28" t="s">
        <v>1522</v>
      </c>
      <c r="F325" s="25" t="s">
        <v>1523</v>
      </c>
      <c r="G325" s="27" t="s">
        <v>952</v>
      </c>
      <c r="H325" s="62">
        <v>1667.6</v>
      </c>
      <c r="I325" s="27" t="str">
        <f t="shared" ref="I325:I388" si="5">IF($K$2="","",IF(ISNUMBER(SEARCH($K$2,$E325&amp;$F325)),1,""))</f>
        <v/>
      </c>
    </row>
    <row r="326" spans="1:9" hidden="1" x14ac:dyDescent="0.25">
      <c r="A326" s="25" t="s">
        <v>1858</v>
      </c>
      <c r="B326" s="25" t="s">
        <v>533</v>
      </c>
      <c r="C326" s="26" t="s">
        <v>1573</v>
      </c>
      <c r="D326" s="27" t="s">
        <v>1859</v>
      </c>
      <c r="E326" s="28" t="s">
        <v>1860</v>
      </c>
      <c r="F326" s="25" t="s">
        <v>1861</v>
      </c>
      <c r="G326" s="27" t="s">
        <v>1862</v>
      </c>
      <c r="H326" s="62">
        <v>353.9</v>
      </c>
      <c r="I326" s="27" t="str">
        <f t="shared" si="5"/>
        <v/>
      </c>
    </row>
    <row r="327" spans="1:9" hidden="1" x14ac:dyDescent="0.25">
      <c r="A327" s="25" t="s">
        <v>1863</v>
      </c>
      <c r="B327" s="25" t="s">
        <v>533</v>
      </c>
      <c r="C327" s="26" t="s">
        <v>1573</v>
      </c>
      <c r="D327" s="27" t="s">
        <v>1864</v>
      </c>
      <c r="E327" s="28" t="s">
        <v>1865</v>
      </c>
      <c r="F327" s="25" t="s">
        <v>1866</v>
      </c>
      <c r="G327" s="27" t="s">
        <v>952</v>
      </c>
      <c r="H327" s="62">
        <v>131.82</v>
      </c>
      <c r="I327" s="27" t="str">
        <f t="shared" si="5"/>
        <v/>
      </c>
    </row>
    <row r="328" spans="1:9" hidden="1" x14ac:dyDescent="0.25">
      <c r="A328" s="25" t="s">
        <v>1867</v>
      </c>
      <c r="B328" s="25" t="s">
        <v>533</v>
      </c>
      <c r="C328" s="26" t="s">
        <v>1573</v>
      </c>
      <c r="D328" s="27" t="s">
        <v>1868</v>
      </c>
      <c r="E328" s="28" t="s">
        <v>1414</v>
      </c>
      <c r="F328" s="25" t="s">
        <v>1415</v>
      </c>
      <c r="G328" s="27" t="s">
        <v>952</v>
      </c>
      <c r="H328" s="62">
        <v>113.79</v>
      </c>
      <c r="I328" s="27" t="str">
        <f t="shared" si="5"/>
        <v/>
      </c>
    </row>
    <row r="329" spans="1:9" hidden="1" x14ac:dyDescent="0.25">
      <c r="A329" s="25" t="s">
        <v>1869</v>
      </c>
      <c r="B329" s="25" t="s">
        <v>533</v>
      </c>
      <c r="C329" s="26" t="s">
        <v>1573</v>
      </c>
      <c r="D329" s="27" t="s">
        <v>1870</v>
      </c>
      <c r="E329" s="28" t="s">
        <v>1871</v>
      </c>
      <c r="F329" s="25" t="s">
        <v>1872</v>
      </c>
      <c r="G329" s="27" t="s">
        <v>952</v>
      </c>
      <c r="H329" s="62">
        <v>113.79</v>
      </c>
      <c r="I329" s="27" t="str">
        <f t="shared" si="5"/>
        <v/>
      </c>
    </row>
    <row r="330" spans="1:9" hidden="1" x14ac:dyDescent="0.25">
      <c r="A330" s="25" t="s">
        <v>1873</v>
      </c>
      <c r="B330" s="25" t="s">
        <v>533</v>
      </c>
      <c r="C330" s="26" t="s">
        <v>1573</v>
      </c>
      <c r="D330" s="27" t="s">
        <v>1874</v>
      </c>
      <c r="E330" s="28" t="s">
        <v>1429</v>
      </c>
      <c r="F330" s="25" t="s">
        <v>1430</v>
      </c>
      <c r="G330" s="27" t="s">
        <v>952</v>
      </c>
      <c r="H330" s="62">
        <v>247.93</v>
      </c>
      <c r="I330" s="27" t="str">
        <f t="shared" si="5"/>
        <v/>
      </c>
    </row>
    <row r="331" spans="1:9" hidden="1" x14ac:dyDescent="0.25">
      <c r="A331" s="25" t="s">
        <v>1875</v>
      </c>
      <c r="B331" s="25" t="s">
        <v>533</v>
      </c>
      <c r="C331" s="26" t="s">
        <v>1573</v>
      </c>
      <c r="D331" s="27" t="s">
        <v>1876</v>
      </c>
      <c r="E331" s="28" t="s">
        <v>1411</v>
      </c>
      <c r="F331" s="25" t="s">
        <v>1412</v>
      </c>
      <c r="G331" s="27" t="s">
        <v>952</v>
      </c>
      <c r="H331" s="62">
        <v>607.67999999999995</v>
      </c>
      <c r="I331" s="27" t="str">
        <f t="shared" si="5"/>
        <v/>
      </c>
    </row>
    <row r="332" spans="1:9" hidden="1" x14ac:dyDescent="0.25">
      <c r="A332" s="25" t="s">
        <v>1877</v>
      </c>
      <c r="B332" s="25" t="s">
        <v>533</v>
      </c>
      <c r="C332" s="26" t="s">
        <v>1573</v>
      </c>
      <c r="D332" s="27" t="s">
        <v>1878</v>
      </c>
      <c r="E332" s="28" t="s">
        <v>1426</v>
      </c>
      <c r="F332" s="25" t="s">
        <v>1427</v>
      </c>
      <c r="G332" s="27" t="s">
        <v>952</v>
      </c>
      <c r="H332" s="62">
        <v>745.13</v>
      </c>
      <c r="I332" s="27" t="str">
        <f t="shared" si="5"/>
        <v/>
      </c>
    </row>
    <row r="333" spans="1:9" hidden="1" x14ac:dyDescent="0.25">
      <c r="A333" s="25" t="s">
        <v>1879</v>
      </c>
      <c r="B333" s="25" t="s">
        <v>533</v>
      </c>
      <c r="C333" s="26" t="s">
        <v>1573</v>
      </c>
      <c r="D333" s="27" t="s">
        <v>1880</v>
      </c>
      <c r="E333" s="28" t="s">
        <v>1881</v>
      </c>
      <c r="F333" s="25" t="s">
        <v>1882</v>
      </c>
      <c r="G333" s="27" t="s">
        <v>952</v>
      </c>
      <c r="H333" s="62">
        <v>757.88</v>
      </c>
      <c r="I333" s="27" t="str">
        <f t="shared" si="5"/>
        <v/>
      </c>
    </row>
    <row r="334" spans="1:9" hidden="1" x14ac:dyDescent="0.25">
      <c r="A334" s="25" t="s">
        <v>1883</v>
      </c>
      <c r="B334" s="25" t="s">
        <v>533</v>
      </c>
      <c r="C334" s="26" t="s">
        <v>1573</v>
      </c>
      <c r="D334" s="27" t="s">
        <v>1884</v>
      </c>
      <c r="E334" s="28" t="s">
        <v>1885</v>
      </c>
      <c r="F334" s="25" t="s">
        <v>1886</v>
      </c>
      <c r="G334" s="27" t="s">
        <v>952</v>
      </c>
      <c r="H334" s="62">
        <v>806.2</v>
      </c>
      <c r="I334" s="27" t="str">
        <f t="shared" si="5"/>
        <v/>
      </c>
    </row>
    <row r="335" spans="1:9" hidden="1" x14ac:dyDescent="0.25">
      <c r="A335" s="25" t="s">
        <v>1887</v>
      </c>
      <c r="B335" s="25" t="s">
        <v>533</v>
      </c>
      <c r="C335" s="26" t="s">
        <v>1573</v>
      </c>
      <c r="D335" s="27" t="s">
        <v>1888</v>
      </c>
      <c r="E335" s="28" t="s">
        <v>1889</v>
      </c>
      <c r="F335" s="25" t="s">
        <v>1890</v>
      </c>
      <c r="G335" s="27" t="s">
        <v>952</v>
      </c>
      <c r="H335" s="62">
        <v>912.65</v>
      </c>
      <c r="I335" s="27" t="str">
        <f t="shared" si="5"/>
        <v/>
      </c>
    </row>
    <row r="336" spans="1:9" hidden="1" x14ac:dyDescent="0.25">
      <c r="A336" s="25" t="s">
        <v>1891</v>
      </c>
      <c r="B336" s="25" t="s">
        <v>533</v>
      </c>
      <c r="C336" s="26" t="s">
        <v>1573</v>
      </c>
      <c r="D336" s="27" t="s">
        <v>1892</v>
      </c>
      <c r="E336" s="28" t="s">
        <v>1893</v>
      </c>
      <c r="F336" s="25" t="s">
        <v>1894</v>
      </c>
      <c r="G336" s="27" t="s">
        <v>952</v>
      </c>
      <c r="H336" s="62">
        <v>125.88</v>
      </c>
      <c r="I336" s="27" t="str">
        <f t="shared" si="5"/>
        <v/>
      </c>
    </row>
    <row r="337" spans="1:9" hidden="1" x14ac:dyDescent="0.25">
      <c r="A337" s="25" t="s">
        <v>1895</v>
      </c>
      <c r="B337" s="25" t="s">
        <v>533</v>
      </c>
      <c r="C337" s="26" t="s">
        <v>1573</v>
      </c>
      <c r="D337" s="27" t="s">
        <v>1896</v>
      </c>
      <c r="E337" s="28" t="s">
        <v>1408</v>
      </c>
      <c r="F337" s="25" t="s">
        <v>1409</v>
      </c>
      <c r="G337" s="27" t="s">
        <v>952</v>
      </c>
      <c r="H337" s="62">
        <v>61.43</v>
      </c>
      <c r="I337" s="27" t="str">
        <f t="shared" si="5"/>
        <v/>
      </c>
    </row>
    <row r="338" spans="1:9" hidden="1" x14ac:dyDescent="0.25">
      <c r="A338" s="25" t="s">
        <v>1897</v>
      </c>
      <c r="B338" s="25" t="s">
        <v>533</v>
      </c>
      <c r="C338" s="26" t="s">
        <v>1573</v>
      </c>
      <c r="D338" s="27" t="s">
        <v>1898</v>
      </c>
      <c r="E338" s="28" t="s">
        <v>1899</v>
      </c>
      <c r="F338" s="25" t="s">
        <v>1900</v>
      </c>
      <c r="G338" s="27" t="s">
        <v>952</v>
      </c>
      <c r="H338" s="62">
        <v>77.64</v>
      </c>
      <c r="I338" s="27" t="str">
        <f t="shared" si="5"/>
        <v/>
      </c>
    </row>
    <row r="339" spans="1:9" hidden="1" x14ac:dyDescent="0.25">
      <c r="A339" s="25" t="s">
        <v>1901</v>
      </c>
      <c r="B339" s="25" t="s">
        <v>533</v>
      </c>
      <c r="C339" s="26" t="s">
        <v>1573</v>
      </c>
      <c r="D339" s="27" t="s">
        <v>1902</v>
      </c>
      <c r="E339" s="28" t="s">
        <v>1903</v>
      </c>
      <c r="F339" s="25" t="s">
        <v>1904</v>
      </c>
      <c r="G339" s="27" t="s">
        <v>952</v>
      </c>
      <c r="H339" s="62">
        <v>276.88</v>
      </c>
      <c r="I339" s="27" t="str">
        <f t="shared" si="5"/>
        <v/>
      </c>
    </row>
    <row r="340" spans="1:9" hidden="1" x14ac:dyDescent="0.25">
      <c r="A340" s="25" t="s">
        <v>1905</v>
      </c>
      <c r="B340" s="25" t="s">
        <v>533</v>
      </c>
      <c r="C340" s="26" t="s">
        <v>1573</v>
      </c>
      <c r="D340" s="27" t="s">
        <v>1906</v>
      </c>
      <c r="E340" s="28" t="s">
        <v>1423</v>
      </c>
      <c r="F340" s="25" t="s">
        <v>1424</v>
      </c>
      <c r="G340" s="27" t="s">
        <v>952</v>
      </c>
      <c r="H340" s="62">
        <v>427.87</v>
      </c>
      <c r="I340" s="27" t="str">
        <f t="shared" si="5"/>
        <v/>
      </c>
    </row>
    <row r="341" spans="1:9" hidden="1" x14ac:dyDescent="0.25">
      <c r="A341" s="25" t="s">
        <v>1907</v>
      </c>
      <c r="B341" s="25" t="s">
        <v>533</v>
      </c>
      <c r="C341" s="26" t="s">
        <v>1573</v>
      </c>
      <c r="D341" s="27" t="s">
        <v>1908</v>
      </c>
      <c r="E341" s="28" t="s">
        <v>1909</v>
      </c>
      <c r="F341" s="25" t="s">
        <v>1910</v>
      </c>
      <c r="G341" s="27" t="s">
        <v>952</v>
      </c>
      <c r="H341" s="62">
        <v>202.2</v>
      </c>
      <c r="I341" s="27" t="str">
        <f t="shared" si="5"/>
        <v/>
      </c>
    </row>
    <row r="342" spans="1:9" hidden="1" x14ac:dyDescent="0.25">
      <c r="A342" s="25" t="s">
        <v>1911</v>
      </c>
      <c r="B342" s="25" t="s">
        <v>533</v>
      </c>
      <c r="C342" s="26" t="s">
        <v>1573</v>
      </c>
      <c r="D342" s="27" t="s">
        <v>1912</v>
      </c>
      <c r="E342" s="28" t="s">
        <v>1314</v>
      </c>
      <c r="F342" s="25" t="s">
        <v>1315</v>
      </c>
      <c r="G342" s="27" t="s">
        <v>952</v>
      </c>
      <c r="H342" s="62">
        <v>250.77</v>
      </c>
      <c r="I342" s="27" t="str">
        <f t="shared" si="5"/>
        <v/>
      </c>
    </row>
    <row r="343" spans="1:9" hidden="1" x14ac:dyDescent="0.25">
      <c r="A343" s="25" t="s">
        <v>1913</v>
      </c>
      <c r="B343" s="25" t="s">
        <v>533</v>
      </c>
      <c r="C343" s="26" t="s">
        <v>1573</v>
      </c>
      <c r="D343" s="27" t="s">
        <v>1914</v>
      </c>
      <c r="E343" s="28" t="s">
        <v>1915</v>
      </c>
      <c r="F343" s="25" t="s">
        <v>1916</v>
      </c>
      <c r="G343" s="27" t="s">
        <v>952</v>
      </c>
      <c r="H343" s="62">
        <v>842.75</v>
      </c>
      <c r="I343" s="27" t="str">
        <f t="shared" si="5"/>
        <v/>
      </c>
    </row>
    <row r="344" spans="1:9" hidden="1" x14ac:dyDescent="0.25">
      <c r="A344" s="25" t="s">
        <v>1917</v>
      </c>
      <c r="B344" s="25" t="s">
        <v>533</v>
      </c>
      <c r="C344" s="26" t="s">
        <v>1573</v>
      </c>
      <c r="D344" s="27" t="s">
        <v>1918</v>
      </c>
      <c r="E344" s="28" t="s">
        <v>1919</v>
      </c>
      <c r="F344" s="25" t="s">
        <v>1920</v>
      </c>
      <c r="G344" s="27" t="s">
        <v>952</v>
      </c>
      <c r="H344" s="62">
        <v>1157.75</v>
      </c>
      <c r="I344" s="27" t="str">
        <f t="shared" si="5"/>
        <v/>
      </c>
    </row>
    <row r="345" spans="1:9" hidden="1" x14ac:dyDescent="0.25">
      <c r="A345" s="25" t="s">
        <v>1921</v>
      </c>
      <c r="B345" s="25" t="s">
        <v>533</v>
      </c>
      <c r="C345" s="26" t="s">
        <v>1573</v>
      </c>
      <c r="D345" s="27" t="s">
        <v>1922</v>
      </c>
      <c r="E345" s="28" t="s">
        <v>1923</v>
      </c>
      <c r="F345" s="25" t="s">
        <v>1924</v>
      </c>
      <c r="G345" s="27" t="s">
        <v>952</v>
      </c>
      <c r="H345" s="62">
        <v>1270.1300000000001</v>
      </c>
      <c r="I345" s="27" t="str">
        <f t="shared" si="5"/>
        <v/>
      </c>
    </row>
    <row r="346" spans="1:9" hidden="1" x14ac:dyDescent="0.25">
      <c r="A346" s="25" t="s">
        <v>1925</v>
      </c>
      <c r="B346" s="25" t="s">
        <v>533</v>
      </c>
      <c r="C346" s="26" t="s">
        <v>1573</v>
      </c>
      <c r="D346" s="27" t="s">
        <v>1926</v>
      </c>
      <c r="E346" s="28" t="s">
        <v>1927</v>
      </c>
      <c r="F346" s="25" t="s">
        <v>1928</v>
      </c>
      <c r="G346" s="27" t="s">
        <v>952</v>
      </c>
      <c r="H346" s="62">
        <v>1425.08</v>
      </c>
      <c r="I346" s="27" t="str">
        <f t="shared" si="5"/>
        <v/>
      </c>
    </row>
    <row r="347" spans="1:9" hidden="1" x14ac:dyDescent="0.25">
      <c r="A347" s="25" t="s">
        <v>1929</v>
      </c>
      <c r="B347" s="25" t="s">
        <v>533</v>
      </c>
      <c r="C347" s="26" t="s">
        <v>1573</v>
      </c>
      <c r="D347" s="27" t="s">
        <v>1930</v>
      </c>
      <c r="E347" s="28" t="s">
        <v>1931</v>
      </c>
      <c r="F347" s="25" t="s">
        <v>1932</v>
      </c>
      <c r="G347" s="27" t="s">
        <v>952</v>
      </c>
      <c r="H347" s="62">
        <v>1479.6</v>
      </c>
      <c r="I347" s="27" t="str">
        <f t="shared" si="5"/>
        <v/>
      </c>
    </row>
    <row r="348" spans="1:9" hidden="1" x14ac:dyDescent="0.25">
      <c r="A348" s="25" t="s">
        <v>1772</v>
      </c>
      <c r="B348" s="25" t="s">
        <v>533</v>
      </c>
      <c r="C348" s="26" t="s">
        <v>1573</v>
      </c>
      <c r="D348" s="27" t="s">
        <v>1773</v>
      </c>
      <c r="E348" s="28" t="s">
        <v>1317</v>
      </c>
      <c r="F348" s="25" t="s">
        <v>1318</v>
      </c>
      <c r="G348" s="27" t="s">
        <v>952</v>
      </c>
      <c r="H348" s="62">
        <v>1001.29</v>
      </c>
      <c r="I348" s="27" t="str">
        <f t="shared" si="5"/>
        <v/>
      </c>
    </row>
    <row r="349" spans="1:9" hidden="1" x14ac:dyDescent="0.25">
      <c r="A349" s="25" t="s">
        <v>1933</v>
      </c>
      <c r="B349" s="25" t="s">
        <v>533</v>
      </c>
      <c r="C349" s="26" t="s">
        <v>1573</v>
      </c>
      <c r="D349" s="27" t="s">
        <v>1934</v>
      </c>
      <c r="E349" s="28" t="s">
        <v>1299</v>
      </c>
      <c r="F349" s="25" t="s">
        <v>1300</v>
      </c>
      <c r="G349" s="27" t="s">
        <v>952</v>
      </c>
      <c r="H349" s="62">
        <v>1242.9000000000001</v>
      </c>
      <c r="I349" s="27" t="str">
        <f t="shared" si="5"/>
        <v/>
      </c>
    </row>
    <row r="350" spans="1:9" hidden="1" x14ac:dyDescent="0.25">
      <c r="A350" s="25" t="s">
        <v>1935</v>
      </c>
      <c r="B350" s="25" t="s">
        <v>533</v>
      </c>
      <c r="C350" s="26" t="s">
        <v>1573</v>
      </c>
      <c r="D350" s="27" t="s">
        <v>1936</v>
      </c>
      <c r="E350" s="28" t="s">
        <v>1302</v>
      </c>
      <c r="F350" s="25" t="s">
        <v>1303</v>
      </c>
      <c r="G350" s="27" t="s">
        <v>952</v>
      </c>
      <c r="H350" s="62">
        <v>1502.53</v>
      </c>
      <c r="I350" s="27" t="str">
        <f t="shared" si="5"/>
        <v/>
      </c>
    </row>
    <row r="351" spans="1:9" hidden="1" x14ac:dyDescent="0.25">
      <c r="A351" s="25" t="s">
        <v>1937</v>
      </c>
      <c r="B351" s="25" t="s">
        <v>533</v>
      </c>
      <c r="C351" s="26" t="s">
        <v>1573</v>
      </c>
      <c r="D351" s="27" t="s">
        <v>1938</v>
      </c>
      <c r="E351" s="28" t="s">
        <v>1305</v>
      </c>
      <c r="F351" s="25" t="s">
        <v>1306</v>
      </c>
      <c r="G351" s="27" t="s">
        <v>952</v>
      </c>
      <c r="H351" s="62">
        <v>1567.75</v>
      </c>
      <c r="I351" s="27" t="str">
        <f t="shared" si="5"/>
        <v/>
      </c>
    </row>
    <row r="352" spans="1:9" hidden="1" x14ac:dyDescent="0.25">
      <c r="A352" s="25" t="s">
        <v>1939</v>
      </c>
      <c r="B352" s="25" t="s">
        <v>533</v>
      </c>
      <c r="C352" s="26" t="s">
        <v>1573</v>
      </c>
      <c r="D352" s="27" t="s">
        <v>1940</v>
      </c>
      <c r="E352" s="28" t="s">
        <v>1308</v>
      </c>
      <c r="F352" s="25" t="s">
        <v>1309</v>
      </c>
      <c r="G352" s="27" t="s">
        <v>952</v>
      </c>
      <c r="H352" s="62">
        <v>1625.1</v>
      </c>
      <c r="I352" s="27" t="str">
        <f t="shared" si="5"/>
        <v/>
      </c>
    </row>
    <row r="353" spans="1:9" hidden="1" x14ac:dyDescent="0.25">
      <c r="A353" s="25" t="s">
        <v>1941</v>
      </c>
      <c r="B353" s="25" t="s">
        <v>533</v>
      </c>
      <c r="C353" s="26" t="s">
        <v>1573</v>
      </c>
      <c r="D353" s="27" t="s">
        <v>1942</v>
      </c>
      <c r="E353" s="28" t="s">
        <v>1311</v>
      </c>
      <c r="F353" s="25" t="s">
        <v>1312</v>
      </c>
      <c r="G353" s="27" t="s">
        <v>952</v>
      </c>
      <c r="H353" s="62">
        <v>456.33</v>
      </c>
      <c r="I353" s="27" t="str">
        <f t="shared" si="5"/>
        <v/>
      </c>
    </row>
    <row r="354" spans="1:9" hidden="1" x14ac:dyDescent="0.25">
      <c r="A354" s="25" t="s">
        <v>1943</v>
      </c>
      <c r="B354" s="25" t="s">
        <v>533</v>
      </c>
      <c r="C354" s="26" t="s">
        <v>1573</v>
      </c>
      <c r="D354" s="27" t="s">
        <v>1944</v>
      </c>
      <c r="E354" s="28" t="s">
        <v>1320</v>
      </c>
      <c r="F354" s="25" t="s">
        <v>1321</v>
      </c>
      <c r="G354" s="27" t="s">
        <v>952</v>
      </c>
      <c r="H354" s="62">
        <v>62.94</v>
      </c>
      <c r="I354" s="27" t="str">
        <f t="shared" si="5"/>
        <v/>
      </c>
    </row>
    <row r="355" spans="1:9" hidden="1" x14ac:dyDescent="0.25">
      <c r="A355" s="25" t="s">
        <v>1945</v>
      </c>
      <c r="B355" s="25" t="s">
        <v>533</v>
      </c>
      <c r="C355" s="26" t="s">
        <v>1573</v>
      </c>
      <c r="D355" s="27" t="s">
        <v>1946</v>
      </c>
      <c r="E355" s="28" t="s">
        <v>1947</v>
      </c>
      <c r="F355" s="25" t="s">
        <v>1948</v>
      </c>
      <c r="G355" s="27" t="s">
        <v>952</v>
      </c>
      <c r="H355" s="62">
        <v>30.72</v>
      </c>
      <c r="I355" s="27" t="str">
        <f t="shared" si="5"/>
        <v/>
      </c>
    </row>
    <row r="356" spans="1:9" hidden="1" x14ac:dyDescent="0.25">
      <c r="A356" s="25" t="s">
        <v>1949</v>
      </c>
      <c r="B356" s="25" t="s">
        <v>533</v>
      </c>
      <c r="C356" s="26" t="s">
        <v>1573</v>
      </c>
      <c r="D356" s="27" t="s">
        <v>1950</v>
      </c>
      <c r="E356" s="28" t="s">
        <v>1951</v>
      </c>
      <c r="F356" s="25" t="s">
        <v>1952</v>
      </c>
      <c r="G356" s="27" t="s">
        <v>952</v>
      </c>
      <c r="H356" s="62">
        <v>38.82</v>
      </c>
      <c r="I356" s="27" t="str">
        <f t="shared" si="5"/>
        <v/>
      </c>
    </row>
    <row r="357" spans="1:9" hidden="1" x14ac:dyDescent="0.25">
      <c r="A357" s="25" t="s">
        <v>1953</v>
      </c>
      <c r="B357" s="25" t="s">
        <v>533</v>
      </c>
      <c r="C357" s="26" t="s">
        <v>1573</v>
      </c>
      <c r="D357" s="27" t="s">
        <v>1954</v>
      </c>
      <c r="E357" s="28" t="s">
        <v>1323</v>
      </c>
      <c r="F357" s="25" t="s">
        <v>1324</v>
      </c>
      <c r="G357" s="27" t="s">
        <v>952</v>
      </c>
      <c r="H357" s="62">
        <v>138.44</v>
      </c>
      <c r="I357" s="27" t="str">
        <f t="shared" si="5"/>
        <v/>
      </c>
    </row>
    <row r="358" spans="1:9" hidden="1" x14ac:dyDescent="0.25">
      <c r="A358" s="25" t="s">
        <v>1955</v>
      </c>
      <c r="B358" s="25" t="s">
        <v>533</v>
      </c>
      <c r="C358" s="26" t="s">
        <v>1573</v>
      </c>
      <c r="D358" s="27" t="s">
        <v>1956</v>
      </c>
      <c r="E358" s="28" t="s">
        <v>1326</v>
      </c>
      <c r="F358" s="25" t="s">
        <v>1327</v>
      </c>
      <c r="G358" s="27" t="s">
        <v>952</v>
      </c>
      <c r="H358" s="62">
        <v>213.94</v>
      </c>
      <c r="I358" s="27" t="str">
        <f t="shared" si="5"/>
        <v/>
      </c>
    </row>
    <row r="359" spans="1:9" hidden="1" x14ac:dyDescent="0.25">
      <c r="A359" s="25" t="s">
        <v>1957</v>
      </c>
      <c r="B359" s="25" t="s">
        <v>533</v>
      </c>
      <c r="C359" s="26" t="s">
        <v>1573</v>
      </c>
      <c r="D359" s="27" t="s">
        <v>1958</v>
      </c>
      <c r="E359" s="28" t="s">
        <v>1959</v>
      </c>
      <c r="F359" s="25" t="s">
        <v>1960</v>
      </c>
      <c r="G359" s="27" t="s">
        <v>952</v>
      </c>
      <c r="H359" s="62">
        <v>101.1</v>
      </c>
      <c r="I359" s="27" t="str">
        <f t="shared" si="5"/>
        <v/>
      </c>
    </row>
    <row r="360" spans="1:9" hidden="1" x14ac:dyDescent="0.25">
      <c r="A360" s="25" t="s">
        <v>1961</v>
      </c>
      <c r="B360" s="25" t="s">
        <v>533</v>
      </c>
      <c r="C360" s="26" t="s">
        <v>1573</v>
      </c>
      <c r="D360" s="27" t="s">
        <v>1962</v>
      </c>
      <c r="E360" s="28" t="s">
        <v>1963</v>
      </c>
      <c r="F360" s="25" t="s">
        <v>1964</v>
      </c>
      <c r="G360" s="27" t="s">
        <v>952</v>
      </c>
      <c r="H360" s="62">
        <v>125.39</v>
      </c>
      <c r="I360" s="27" t="str">
        <f t="shared" si="5"/>
        <v/>
      </c>
    </row>
    <row r="361" spans="1:9" hidden="1" x14ac:dyDescent="0.25">
      <c r="A361" s="25" t="s">
        <v>1965</v>
      </c>
      <c r="B361" s="25" t="s">
        <v>533</v>
      </c>
      <c r="C361" s="26" t="s">
        <v>1573</v>
      </c>
      <c r="D361" s="27" t="s">
        <v>1966</v>
      </c>
      <c r="E361" s="28" t="s">
        <v>1360</v>
      </c>
      <c r="F361" s="25" t="s">
        <v>1361</v>
      </c>
      <c r="G361" s="27" t="s">
        <v>952</v>
      </c>
      <c r="H361" s="62">
        <v>421.38</v>
      </c>
      <c r="I361" s="27" t="str">
        <f t="shared" si="5"/>
        <v/>
      </c>
    </row>
    <row r="362" spans="1:9" hidden="1" x14ac:dyDescent="0.25">
      <c r="A362" s="25" t="s">
        <v>1967</v>
      </c>
      <c r="B362" s="25" t="s">
        <v>533</v>
      </c>
      <c r="C362" s="26" t="s">
        <v>1573</v>
      </c>
      <c r="D362" s="27" t="s">
        <v>1968</v>
      </c>
      <c r="E362" s="28" t="s">
        <v>1363</v>
      </c>
      <c r="F362" s="25" t="s">
        <v>1364</v>
      </c>
      <c r="G362" s="27" t="s">
        <v>952</v>
      </c>
      <c r="H362" s="62">
        <v>578.88</v>
      </c>
      <c r="I362" s="27" t="str">
        <f t="shared" si="5"/>
        <v/>
      </c>
    </row>
    <row r="363" spans="1:9" hidden="1" x14ac:dyDescent="0.25">
      <c r="A363" s="25" t="s">
        <v>1969</v>
      </c>
      <c r="B363" s="25" t="s">
        <v>533</v>
      </c>
      <c r="C363" s="26" t="s">
        <v>1573</v>
      </c>
      <c r="D363" s="27" t="s">
        <v>1970</v>
      </c>
      <c r="E363" s="28" t="s">
        <v>1366</v>
      </c>
      <c r="F363" s="25" t="s">
        <v>1367</v>
      </c>
      <c r="G363" s="27" t="s">
        <v>952</v>
      </c>
      <c r="H363" s="62">
        <v>635.05999999999995</v>
      </c>
      <c r="I363" s="27" t="str">
        <f t="shared" si="5"/>
        <v/>
      </c>
    </row>
    <row r="364" spans="1:9" hidden="1" x14ac:dyDescent="0.25">
      <c r="A364" s="25" t="s">
        <v>1971</v>
      </c>
      <c r="B364" s="25" t="s">
        <v>533</v>
      </c>
      <c r="C364" s="26" t="s">
        <v>1573</v>
      </c>
      <c r="D364" s="27" t="s">
        <v>1972</v>
      </c>
      <c r="E364" s="28" t="s">
        <v>1369</v>
      </c>
      <c r="F364" s="25" t="s">
        <v>1370</v>
      </c>
      <c r="G364" s="27" t="s">
        <v>952</v>
      </c>
      <c r="H364" s="62">
        <v>712.54</v>
      </c>
      <c r="I364" s="27" t="str">
        <f t="shared" si="5"/>
        <v/>
      </c>
    </row>
    <row r="365" spans="1:9" hidden="1" x14ac:dyDescent="0.25">
      <c r="A365" s="25" t="s">
        <v>1973</v>
      </c>
      <c r="B365" s="25" t="s">
        <v>533</v>
      </c>
      <c r="C365" s="26" t="s">
        <v>1573</v>
      </c>
      <c r="D365" s="27" t="s">
        <v>1974</v>
      </c>
      <c r="E365" s="28" t="s">
        <v>1372</v>
      </c>
      <c r="F365" s="25" t="s">
        <v>1373</v>
      </c>
      <c r="G365" s="27" t="s">
        <v>952</v>
      </c>
      <c r="H365" s="62">
        <v>739.8</v>
      </c>
      <c r="I365" s="27" t="str">
        <f t="shared" si="5"/>
        <v/>
      </c>
    </row>
    <row r="366" spans="1:9" hidden="1" x14ac:dyDescent="0.25">
      <c r="A366" s="25" t="s">
        <v>1975</v>
      </c>
      <c r="B366" s="25" t="s">
        <v>533</v>
      </c>
      <c r="C366" s="26" t="s">
        <v>1573</v>
      </c>
      <c r="D366" s="27" t="s">
        <v>1976</v>
      </c>
      <c r="E366" s="28" t="s">
        <v>1375</v>
      </c>
      <c r="F366" s="25" t="s">
        <v>1376</v>
      </c>
      <c r="G366" s="27" t="s">
        <v>952</v>
      </c>
      <c r="H366" s="62">
        <v>500.65</v>
      </c>
      <c r="I366" s="27" t="str">
        <f t="shared" si="5"/>
        <v/>
      </c>
    </row>
    <row r="367" spans="1:9" hidden="1" x14ac:dyDescent="0.25">
      <c r="A367" s="25" t="s">
        <v>1977</v>
      </c>
      <c r="B367" s="25" t="s">
        <v>533</v>
      </c>
      <c r="C367" s="26" t="s">
        <v>1573</v>
      </c>
      <c r="D367" s="27" t="s">
        <v>1978</v>
      </c>
      <c r="E367" s="28" t="s">
        <v>1378</v>
      </c>
      <c r="F367" s="25" t="s">
        <v>1379</v>
      </c>
      <c r="G367" s="27" t="s">
        <v>952</v>
      </c>
      <c r="H367" s="62">
        <v>621.45000000000005</v>
      </c>
      <c r="I367" s="27" t="str">
        <f t="shared" si="5"/>
        <v/>
      </c>
    </row>
    <row r="368" spans="1:9" hidden="1" x14ac:dyDescent="0.25">
      <c r="A368" s="25" t="s">
        <v>1979</v>
      </c>
      <c r="B368" s="25" t="s">
        <v>533</v>
      </c>
      <c r="C368" s="26" t="s">
        <v>1573</v>
      </c>
      <c r="D368" s="27" t="s">
        <v>1980</v>
      </c>
      <c r="E368" s="28" t="s">
        <v>1381</v>
      </c>
      <c r="F368" s="25" t="s">
        <v>1382</v>
      </c>
      <c r="G368" s="27" t="s">
        <v>952</v>
      </c>
      <c r="H368" s="62">
        <v>751.26</v>
      </c>
      <c r="I368" s="27" t="str">
        <f t="shared" si="5"/>
        <v/>
      </c>
    </row>
    <row r="369" spans="1:9" hidden="1" x14ac:dyDescent="0.25">
      <c r="A369" s="25" t="s">
        <v>1981</v>
      </c>
      <c r="B369" s="25" t="s">
        <v>533</v>
      </c>
      <c r="C369" s="26" t="s">
        <v>1573</v>
      </c>
      <c r="D369" s="27" t="s">
        <v>1982</v>
      </c>
      <c r="E369" s="28" t="s">
        <v>1384</v>
      </c>
      <c r="F369" s="25" t="s">
        <v>1385</v>
      </c>
      <c r="G369" s="27" t="s">
        <v>952</v>
      </c>
      <c r="H369" s="62">
        <v>783.88</v>
      </c>
      <c r="I369" s="27" t="str">
        <f t="shared" si="5"/>
        <v/>
      </c>
    </row>
    <row r="370" spans="1:9" hidden="1" x14ac:dyDescent="0.25">
      <c r="A370" s="25" t="s">
        <v>1983</v>
      </c>
      <c r="B370" s="25" t="s">
        <v>533</v>
      </c>
      <c r="C370" s="26" t="s">
        <v>1984</v>
      </c>
      <c r="D370" s="27" t="s">
        <v>1985</v>
      </c>
      <c r="E370" s="28" t="s">
        <v>950</v>
      </c>
      <c r="F370" s="25" t="s">
        <v>951</v>
      </c>
      <c r="G370" s="27" t="s">
        <v>952</v>
      </c>
      <c r="H370" s="62">
        <v>56.9</v>
      </c>
      <c r="I370" s="27" t="str">
        <f t="shared" si="5"/>
        <v/>
      </c>
    </row>
    <row r="371" spans="1:9" hidden="1" x14ac:dyDescent="0.25">
      <c r="A371" s="25" t="s">
        <v>1986</v>
      </c>
      <c r="B371" s="25" t="s">
        <v>533</v>
      </c>
      <c r="C371" s="26" t="s">
        <v>1984</v>
      </c>
      <c r="D371" s="27" t="s">
        <v>1987</v>
      </c>
      <c r="E371" s="28" t="s">
        <v>954</v>
      </c>
      <c r="F371" s="25" t="s">
        <v>955</v>
      </c>
      <c r="G371" s="27" t="s">
        <v>952</v>
      </c>
      <c r="H371" s="62">
        <v>141.72</v>
      </c>
      <c r="I371" s="27" t="str">
        <f t="shared" si="5"/>
        <v/>
      </c>
    </row>
    <row r="372" spans="1:9" hidden="1" x14ac:dyDescent="0.25">
      <c r="A372" s="25" t="s">
        <v>1988</v>
      </c>
      <c r="B372" s="25" t="s">
        <v>533</v>
      </c>
      <c r="C372" s="26" t="s">
        <v>1984</v>
      </c>
      <c r="D372" s="27" t="s">
        <v>1989</v>
      </c>
      <c r="E372" s="28" t="s">
        <v>957</v>
      </c>
      <c r="F372" s="25" t="s">
        <v>958</v>
      </c>
      <c r="G372" s="27" t="s">
        <v>952</v>
      </c>
      <c r="H372" s="62">
        <v>188.94</v>
      </c>
      <c r="I372" s="27" t="str">
        <f t="shared" si="5"/>
        <v/>
      </c>
    </row>
    <row r="373" spans="1:9" hidden="1" x14ac:dyDescent="0.25">
      <c r="A373" s="25" t="s">
        <v>1990</v>
      </c>
      <c r="B373" s="25" t="s">
        <v>533</v>
      </c>
      <c r="C373" s="26" t="s">
        <v>1984</v>
      </c>
      <c r="D373" s="27" t="s">
        <v>1991</v>
      </c>
      <c r="E373" s="28" t="s">
        <v>960</v>
      </c>
      <c r="F373" s="25" t="s">
        <v>961</v>
      </c>
      <c r="G373" s="27" t="s">
        <v>952</v>
      </c>
      <c r="H373" s="62">
        <v>263.88</v>
      </c>
      <c r="I373" s="27" t="str">
        <f t="shared" si="5"/>
        <v/>
      </c>
    </row>
    <row r="374" spans="1:9" hidden="1" x14ac:dyDescent="0.25">
      <c r="A374" s="25" t="s">
        <v>1992</v>
      </c>
      <c r="B374" s="25" t="s">
        <v>533</v>
      </c>
      <c r="C374" s="26" t="s">
        <v>1984</v>
      </c>
      <c r="D374" s="27" t="s">
        <v>1993</v>
      </c>
      <c r="E374" s="28" t="s">
        <v>963</v>
      </c>
      <c r="F374" s="25" t="s">
        <v>964</v>
      </c>
      <c r="G374" s="27" t="s">
        <v>952</v>
      </c>
      <c r="H374" s="62">
        <v>316.38</v>
      </c>
      <c r="I374" s="27" t="str">
        <f t="shared" si="5"/>
        <v/>
      </c>
    </row>
    <row r="375" spans="1:9" hidden="1" x14ac:dyDescent="0.25">
      <c r="A375" s="25" t="s">
        <v>1994</v>
      </c>
      <c r="B375" s="25" t="s">
        <v>533</v>
      </c>
      <c r="C375" s="26" t="s">
        <v>1984</v>
      </c>
      <c r="D375" s="27" t="s">
        <v>1995</v>
      </c>
      <c r="E375" s="28" t="s">
        <v>969</v>
      </c>
      <c r="F375" s="25" t="s">
        <v>970</v>
      </c>
      <c r="G375" s="27" t="s">
        <v>952</v>
      </c>
      <c r="H375" s="62">
        <v>407.75</v>
      </c>
      <c r="I375" s="27" t="str">
        <f t="shared" si="5"/>
        <v/>
      </c>
    </row>
    <row r="376" spans="1:9" hidden="1" x14ac:dyDescent="0.25">
      <c r="A376" s="25" t="s">
        <v>1996</v>
      </c>
      <c r="B376" s="25" t="s">
        <v>533</v>
      </c>
      <c r="C376" s="26" t="s">
        <v>1984</v>
      </c>
      <c r="D376" s="27" t="s">
        <v>1997</v>
      </c>
      <c r="E376" s="28" t="s">
        <v>972</v>
      </c>
      <c r="F376" s="25" t="s">
        <v>973</v>
      </c>
      <c r="G376" s="27" t="s">
        <v>952</v>
      </c>
      <c r="H376" s="62">
        <v>467.58</v>
      </c>
      <c r="I376" s="27" t="str">
        <f t="shared" si="5"/>
        <v/>
      </c>
    </row>
    <row r="377" spans="1:9" hidden="1" x14ac:dyDescent="0.25">
      <c r="A377" s="25" t="s">
        <v>1998</v>
      </c>
      <c r="B377" s="25" t="s">
        <v>533</v>
      </c>
      <c r="C377" s="26" t="s">
        <v>1984</v>
      </c>
      <c r="D377" s="27" t="s">
        <v>1999</v>
      </c>
      <c r="E377" s="28" t="s">
        <v>975</v>
      </c>
      <c r="F377" s="25" t="s">
        <v>976</v>
      </c>
      <c r="G377" s="27" t="s">
        <v>952</v>
      </c>
      <c r="H377" s="62">
        <v>595.13</v>
      </c>
      <c r="I377" s="27" t="str">
        <f t="shared" si="5"/>
        <v/>
      </c>
    </row>
    <row r="378" spans="1:9" hidden="1" x14ac:dyDescent="0.25">
      <c r="A378" s="25" t="s">
        <v>2000</v>
      </c>
      <c r="B378" s="25" t="s">
        <v>533</v>
      </c>
      <c r="C378" s="26" t="s">
        <v>1984</v>
      </c>
      <c r="D378" s="27" t="s">
        <v>2001</v>
      </c>
      <c r="E378" s="28" t="s">
        <v>978</v>
      </c>
      <c r="F378" s="25" t="s">
        <v>979</v>
      </c>
      <c r="G378" s="27" t="s">
        <v>952</v>
      </c>
      <c r="H378" s="62">
        <v>611.08000000000004</v>
      </c>
      <c r="I378" s="27" t="str">
        <f t="shared" si="5"/>
        <v/>
      </c>
    </row>
    <row r="379" spans="1:9" hidden="1" x14ac:dyDescent="0.25">
      <c r="A379" s="25" t="s">
        <v>2002</v>
      </c>
      <c r="B379" s="25" t="s">
        <v>533</v>
      </c>
      <c r="C379" s="26" t="s">
        <v>1984</v>
      </c>
      <c r="D379" s="27" t="s">
        <v>2003</v>
      </c>
      <c r="E379" s="28" t="s">
        <v>981</v>
      </c>
      <c r="F379" s="25" t="s">
        <v>982</v>
      </c>
      <c r="G379" s="27" t="s">
        <v>952</v>
      </c>
      <c r="H379" s="62">
        <v>657.75</v>
      </c>
      <c r="I379" s="27" t="str">
        <f t="shared" si="5"/>
        <v/>
      </c>
    </row>
    <row r="380" spans="1:9" hidden="1" x14ac:dyDescent="0.25">
      <c r="A380" s="25" t="s">
        <v>2004</v>
      </c>
      <c r="B380" s="25" t="s">
        <v>533</v>
      </c>
      <c r="C380" s="26" t="s">
        <v>1984</v>
      </c>
      <c r="D380" s="27" t="s">
        <v>2005</v>
      </c>
      <c r="E380" s="28" t="s">
        <v>2006</v>
      </c>
      <c r="F380" s="25" t="s">
        <v>2007</v>
      </c>
      <c r="G380" s="27" t="s">
        <v>952</v>
      </c>
      <c r="H380" s="62">
        <v>7.81</v>
      </c>
      <c r="I380" s="27" t="str">
        <f t="shared" si="5"/>
        <v/>
      </c>
    </row>
    <row r="381" spans="1:9" hidden="1" x14ac:dyDescent="0.25">
      <c r="A381" s="25" t="s">
        <v>2008</v>
      </c>
      <c r="B381" s="25" t="s">
        <v>533</v>
      </c>
      <c r="C381" s="26" t="s">
        <v>1984</v>
      </c>
      <c r="D381" s="27" t="s">
        <v>2009</v>
      </c>
      <c r="E381" s="28" t="s">
        <v>993</v>
      </c>
      <c r="F381" s="25" t="s">
        <v>994</v>
      </c>
      <c r="G381" s="27" t="s">
        <v>952</v>
      </c>
      <c r="H381" s="62">
        <v>69.59</v>
      </c>
      <c r="I381" s="27" t="str">
        <f t="shared" si="5"/>
        <v/>
      </c>
    </row>
    <row r="382" spans="1:9" hidden="1" x14ac:dyDescent="0.25">
      <c r="A382" s="25" t="s">
        <v>2010</v>
      </c>
      <c r="B382" s="25" t="s">
        <v>533</v>
      </c>
      <c r="C382" s="26" t="s">
        <v>1984</v>
      </c>
      <c r="D382" s="27" t="s">
        <v>2011</v>
      </c>
      <c r="E382" s="28" t="s">
        <v>2012</v>
      </c>
      <c r="F382" s="25" t="s">
        <v>2013</v>
      </c>
      <c r="G382" s="27" t="s">
        <v>952</v>
      </c>
      <c r="H382" s="62">
        <v>30.61</v>
      </c>
      <c r="I382" s="27" t="str">
        <f t="shared" si="5"/>
        <v/>
      </c>
    </row>
    <row r="383" spans="1:9" hidden="1" x14ac:dyDescent="0.25">
      <c r="A383" s="25" t="s">
        <v>2014</v>
      </c>
      <c r="B383" s="25" t="s">
        <v>533</v>
      </c>
      <c r="C383" s="26" t="s">
        <v>1984</v>
      </c>
      <c r="D383" s="27" t="s">
        <v>2015</v>
      </c>
      <c r="E383" s="28" t="s">
        <v>2016</v>
      </c>
      <c r="F383" s="25" t="s">
        <v>2017</v>
      </c>
      <c r="G383" s="27" t="s">
        <v>952</v>
      </c>
      <c r="H383" s="62">
        <v>35.89</v>
      </c>
      <c r="I383" s="27" t="str">
        <f t="shared" si="5"/>
        <v/>
      </c>
    </row>
    <row r="384" spans="1:9" hidden="1" x14ac:dyDescent="0.25">
      <c r="A384" s="25" t="s">
        <v>2018</v>
      </c>
      <c r="B384" s="25" t="s">
        <v>533</v>
      </c>
      <c r="C384" s="26" t="s">
        <v>1984</v>
      </c>
      <c r="D384" s="27" t="s">
        <v>2019</v>
      </c>
      <c r="E384" s="28" t="s">
        <v>996</v>
      </c>
      <c r="F384" s="25" t="s">
        <v>997</v>
      </c>
      <c r="G384" s="27" t="s">
        <v>952</v>
      </c>
      <c r="H384" s="62">
        <v>98.63</v>
      </c>
      <c r="I384" s="27" t="str">
        <f t="shared" si="5"/>
        <v/>
      </c>
    </row>
    <row r="385" spans="1:9" hidden="1" x14ac:dyDescent="0.25">
      <c r="A385" s="25" t="s">
        <v>2020</v>
      </c>
      <c r="B385" s="25" t="s">
        <v>533</v>
      </c>
      <c r="C385" s="26" t="s">
        <v>1984</v>
      </c>
      <c r="D385" s="27" t="s">
        <v>2021</v>
      </c>
      <c r="E385" s="28" t="s">
        <v>2022</v>
      </c>
      <c r="F385" s="25" t="s">
        <v>2023</v>
      </c>
      <c r="G385" s="27" t="s">
        <v>952</v>
      </c>
      <c r="H385" s="62">
        <v>61.96</v>
      </c>
      <c r="I385" s="27" t="str">
        <f t="shared" si="5"/>
        <v/>
      </c>
    </row>
    <row r="386" spans="1:9" hidden="1" x14ac:dyDescent="0.25">
      <c r="A386" s="25" t="s">
        <v>2024</v>
      </c>
      <c r="B386" s="25" t="s">
        <v>533</v>
      </c>
      <c r="C386" s="26" t="s">
        <v>1984</v>
      </c>
      <c r="D386" s="27" t="s">
        <v>2025</v>
      </c>
      <c r="E386" s="28" t="s">
        <v>2026</v>
      </c>
      <c r="F386" s="25" t="s">
        <v>2027</v>
      </c>
      <c r="G386" s="27" t="s">
        <v>952</v>
      </c>
      <c r="H386" s="62">
        <v>71.64</v>
      </c>
      <c r="I386" s="27" t="str">
        <f t="shared" si="5"/>
        <v/>
      </c>
    </row>
    <row r="387" spans="1:9" hidden="1" x14ac:dyDescent="0.25">
      <c r="A387" s="25" t="s">
        <v>2028</v>
      </c>
      <c r="B387" s="25" t="s">
        <v>533</v>
      </c>
      <c r="C387" s="26" t="s">
        <v>1984</v>
      </c>
      <c r="D387" s="27" t="s">
        <v>2029</v>
      </c>
      <c r="E387" s="28" t="s">
        <v>999</v>
      </c>
      <c r="F387" s="25" t="s">
        <v>1000</v>
      </c>
      <c r="G387" s="27" t="s">
        <v>952</v>
      </c>
      <c r="H387" s="62">
        <v>189.45</v>
      </c>
      <c r="I387" s="27" t="str">
        <f t="shared" si="5"/>
        <v/>
      </c>
    </row>
    <row r="388" spans="1:9" hidden="1" x14ac:dyDescent="0.25">
      <c r="A388" s="25" t="s">
        <v>2030</v>
      </c>
      <c r="B388" s="25" t="s">
        <v>533</v>
      </c>
      <c r="C388" s="26" t="s">
        <v>1984</v>
      </c>
      <c r="D388" s="27" t="s">
        <v>2031</v>
      </c>
      <c r="E388" s="28" t="s">
        <v>2032</v>
      </c>
      <c r="F388" s="25" t="s">
        <v>2033</v>
      </c>
      <c r="G388" s="27" t="s">
        <v>952</v>
      </c>
      <c r="H388" s="62">
        <v>92.16</v>
      </c>
      <c r="I388" s="27" t="str">
        <f t="shared" si="5"/>
        <v/>
      </c>
    </row>
    <row r="389" spans="1:9" hidden="1" x14ac:dyDescent="0.25">
      <c r="A389" s="25" t="s">
        <v>2034</v>
      </c>
      <c r="B389" s="25" t="s">
        <v>533</v>
      </c>
      <c r="C389" s="26" t="s">
        <v>1984</v>
      </c>
      <c r="D389" s="27" t="s">
        <v>2035</v>
      </c>
      <c r="E389" s="28" t="s">
        <v>2036</v>
      </c>
      <c r="F389" s="25" t="s">
        <v>2037</v>
      </c>
      <c r="G389" s="27" t="s">
        <v>952</v>
      </c>
      <c r="H389" s="62">
        <v>104.35</v>
      </c>
      <c r="I389" s="27" t="str">
        <f t="shared" ref="I389:I452" si="6">IF($K$2="","",IF(ISNUMBER(SEARCH($K$2,$E389&amp;$F389)),1,""))</f>
        <v/>
      </c>
    </row>
    <row r="390" spans="1:9" hidden="1" x14ac:dyDescent="0.25">
      <c r="A390" s="25" t="s">
        <v>2038</v>
      </c>
      <c r="B390" s="25" t="s">
        <v>533</v>
      </c>
      <c r="C390" s="26" t="s">
        <v>1984</v>
      </c>
      <c r="D390" s="27" t="s">
        <v>2039</v>
      </c>
      <c r="E390" s="28" t="s">
        <v>1002</v>
      </c>
      <c r="F390" s="25" t="s">
        <v>1003</v>
      </c>
      <c r="G390" s="27" t="s">
        <v>952</v>
      </c>
      <c r="H390" s="62">
        <v>492.75</v>
      </c>
      <c r="I390" s="27" t="str">
        <f t="shared" si="6"/>
        <v/>
      </c>
    </row>
    <row r="391" spans="1:9" hidden="1" x14ac:dyDescent="0.25">
      <c r="A391" s="25" t="s">
        <v>2040</v>
      </c>
      <c r="B391" s="25" t="s">
        <v>533</v>
      </c>
      <c r="C391" s="26" t="s">
        <v>1984</v>
      </c>
      <c r="D391" s="27" t="s">
        <v>2041</v>
      </c>
      <c r="E391" s="28" t="s">
        <v>1005</v>
      </c>
      <c r="F391" s="25" t="s">
        <v>1006</v>
      </c>
      <c r="G391" s="27" t="s">
        <v>952</v>
      </c>
      <c r="H391" s="62">
        <v>380.15</v>
      </c>
      <c r="I391" s="27" t="str">
        <f t="shared" si="6"/>
        <v/>
      </c>
    </row>
    <row r="392" spans="1:9" hidden="1" x14ac:dyDescent="0.25">
      <c r="A392" s="25" t="s">
        <v>2042</v>
      </c>
      <c r="B392" s="25" t="s">
        <v>533</v>
      </c>
      <c r="C392" s="26" t="s">
        <v>1984</v>
      </c>
      <c r="D392" s="27" t="s">
        <v>2043</v>
      </c>
      <c r="E392" s="28" t="s">
        <v>2044</v>
      </c>
      <c r="F392" s="25" t="s">
        <v>2045</v>
      </c>
      <c r="G392" s="27" t="s">
        <v>952</v>
      </c>
      <c r="H392" s="62">
        <v>16.38</v>
      </c>
      <c r="I392" s="27" t="str">
        <f t="shared" si="6"/>
        <v/>
      </c>
    </row>
    <row r="393" spans="1:9" hidden="1" x14ac:dyDescent="0.25">
      <c r="A393" s="25" t="s">
        <v>2046</v>
      </c>
      <c r="B393" s="25" t="s">
        <v>533</v>
      </c>
      <c r="C393" s="26" t="s">
        <v>1984</v>
      </c>
      <c r="D393" s="27" t="s">
        <v>2047</v>
      </c>
      <c r="E393" s="28" t="s">
        <v>1014</v>
      </c>
      <c r="F393" s="25" t="s">
        <v>1015</v>
      </c>
      <c r="G393" s="27" t="s">
        <v>952</v>
      </c>
      <c r="H393" s="62">
        <v>126.12</v>
      </c>
      <c r="I393" s="27" t="str">
        <f t="shared" si="6"/>
        <v/>
      </c>
    </row>
    <row r="394" spans="1:9" hidden="1" x14ac:dyDescent="0.25">
      <c r="A394" s="25" t="s">
        <v>2048</v>
      </c>
      <c r="B394" s="25" t="s">
        <v>533</v>
      </c>
      <c r="C394" s="26" t="s">
        <v>1984</v>
      </c>
      <c r="D394" s="27" t="s">
        <v>2049</v>
      </c>
      <c r="E394" s="28" t="s">
        <v>2050</v>
      </c>
      <c r="F394" s="25" t="s">
        <v>2051</v>
      </c>
      <c r="G394" s="27" t="s">
        <v>952</v>
      </c>
      <c r="H394" s="62">
        <v>66.88</v>
      </c>
      <c r="I394" s="27" t="str">
        <f t="shared" si="6"/>
        <v/>
      </c>
    </row>
    <row r="395" spans="1:9" hidden="1" x14ac:dyDescent="0.25">
      <c r="A395" s="25" t="s">
        <v>2052</v>
      </c>
      <c r="B395" s="25" t="s">
        <v>533</v>
      </c>
      <c r="C395" s="26" t="s">
        <v>1984</v>
      </c>
      <c r="D395" s="27" t="s">
        <v>2053</v>
      </c>
      <c r="E395" s="28" t="s">
        <v>2054</v>
      </c>
      <c r="F395" s="25" t="s">
        <v>2055</v>
      </c>
      <c r="G395" s="27" t="s">
        <v>952</v>
      </c>
      <c r="H395" s="62">
        <v>75.2</v>
      </c>
      <c r="I395" s="27" t="str">
        <f t="shared" si="6"/>
        <v/>
      </c>
    </row>
    <row r="396" spans="1:9" hidden="1" x14ac:dyDescent="0.25">
      <c r="A396" s="25" t="s">
        <v>2056</v>
      </c>
      <c r="B396" s="25" t="s">
        <v>533</v>
      </c>
      <c r="C396" s="26" t="s">
        <v>1984</v>
      </c>
      <c r="D396" s="27" t="s">
        <v>2057</v>
      </c>
      <c r="E396" s="28" t="s">
        <v>1018</v>
      </c>
      <c r="F396" s="25" t="s">
        <v>1019</v>
      </c>
      <c r="G396" s="27" t="s">
        <v>952</v>
      </c>
      <c r="H396" s="62">
        <v>695</v>
      </c>
      <c r="I396" s="27" t="str">
        <f t="shared" si="6"/>
        <v/>
      </c>
    </row>
    <row r="397" spans="1:9" hidden="1" x14ac:dyDescent="0.25">
      <c r="A397" s="25" t="s">
        <v>2058</v>
      </c>
      <c r="B397" s="25" t="s">
        <v>533</v>
      </c>
      <c r="C397" s="26" t="s">
        <v>1984</v>
      </c>
      <c r="D397" s="27" t="s">
        <v>2059</v>
      </c>
      <c r="E397" s="28" t="s">
        <v>1020</v>
      </c>
      <c r="F397" s="25" t="s">
        <v>1021</v>
      </c>
      <c r="G397" s="27" t="s">
        <v>952</v>
      </c>
      <c r="H397" s="62">
        <v>725</v>
      </c>
      <c r="I397" s="27" t="str">
        <f t="shared" si="6"/>
        <v/>
      </c>
    </row>
    <row r="398" spans="1:9" hidden="1" x14ac:dyDescent="0.25">
      <c r="A398" s="25" t="s">
        <v>2060</v>
      </c>
      <c r="B398" s="25" t="s">
        <v>533</v>
      </c>
      <c r="C398" s="26" t="s">
        <v>1984</v>
      </c>
      <c r="D398" s="27" t="s">
        <v>2061</v>
      </c>
      <c r="E398" s="28" t="s">
        <v>1023</v>
      </c>
      <c r="F398" s="25" t="s">
        <v>1024</v>
      </c>
      <c r="G398" s="27" t="s">
        <v>952</v>
      </c>
      <c r="H398" s="62">
        <v>752.95</v>
      </c>
      <c r="I398" s="27" t="str">
        <f t="shared" si="6"/>
        <v/>
      </c>
    </row>
    <row r="399" spans="1:9" hidden="1" x14ac:dyDescent="0.25">
      <c r="A399" s="25" t="s">
        <v>2062</v>
      </c>
      <c r="B399" s="25" t="s">
        <v>533</v>
      </c>
      <c r="C399" s="26" t="s">
        <v>1984</v>
      </c>
      <c r="D399" s="27" t="s">
        <v>2063</v>
      </c>
      <c r="E399" s="28" t="s">
        <v>1026</v>
      </c>
      <c r="F399" s="25" t="s">
        <v>1027</v>
      </c>
      <c r="G399" s="27" t="s">
        <v>952</v>
      </c>
      <c r="H399" s="62">
        <v>757.63</v>
      </c>
      <c r="I399" s="27" t="str">
        <f t="shared" si="6"/>
        <v/>
      </c>
    </row>
    <row r="400" spans="1:9" hidden="1" x14ac:dyDescent="0.25">
      <c r="A400" s="25" t="s">
        <v>2064</v>
      </c>
      <c r="B400" s="25" t="s">
        <v>533</v>
      </c>
      <c r="C400" s="26" t="s">
        <v>1984</v>
      </c>
      <c r="D400" s="27" t="s">
        <v>2065</v>
      </c>
      <c r="E400" s="28" t="s">
        <v>1029</v>
      </c>
      <c r="F400" s="25" t="s">
        <v>1030</v>
      </c>
      <c r="G400" s="27" t="s">
        <v>952</v>
      </c>
      <c r="H400" s="62">
        <v>792.75</v>
      </c>
      <c r="I400" s="27" t="str">
        <f t="shared" si="6"/>
        <v/>
      </c>
    </row>
    <row r="401" spans="1:9" hidden="1" x14ac:dyDescent="0.25">
      <c r="A401" s="25" t="s">
        <v>2066</v>
      </c>
      <c r="B401" s="25" t="s">
        <v>533</v>
      </c>
      <c r="C401" s="26" t="s">
        <v>1984</v>
      </c>
      <c r="D401" s="27" t="s">
        <v>2067</v>
      </c>
      <c r="E401" s="28" t="s">
        <v>1032</v>
      </c>
      <c r="F401" s="25" t="s">
        <v>1033</v>
      </c>
      <c r="G401" s="27" t="s">
        <v>952</v>
      </c>
      <c r="H401" s="62">
        <v>807.75</v>
      </c>
      <c r="I401" s="27" t="str">
        <f t="shared" si="6"/>
        <v/>
      </c>
    </row>
    <row r="402" spans="1:9" hidden="1" x14ac:dyDescent="0.25">
      <c r="A402" s="25" t="s">
        <v>2068</v>
      </c>
      <c r="B402" s="25" t="s">
        <v>533</v>
      </c>
      <c r="C402" s="26" t="s">
        <v>1984</v>
      </c>
      <c r="D402" s="27" t="s">
        <v>2069</v>
      </c>
      <c r="E402" s="28" t="s">
        <v>1035</v>
      </c>
      <c r="F402" s="25" t="s">
        <v>1036</v>
      </c>
      <c r="G402" s="27" t="s">
        <v>952</v>
      </c>
      <c r="H402" s="62">
        <v>837.5</v>
      </c>
      <c r="I402" s="27" t="str">
        <f t="shared" si="6"/>
        <v/>
      </c>
    </row>
    <row r="403" spans="1:9" hidden="1" x14ac:dyDescent="0.25">
      <c r="A403" s="25" t="s">
        <v>2070</v>
      </c>
      <c r="B403" s="25" t="s">
        <v>533</v>
      </c>
      <c r="C403" s="26" t="s">
        <v>1984</v>
      </c>
      <c r="D403" s="27" t="s">
        <v>2071</v>
      </c>
      <c r="E403" s="28" t="s">
        <v>1038</v>
      </c>
      <c r="F403" s="25" t="s">
        <v>1039</v>
      </c>
      <c r="G403" s="27" t="s">
        <v>952</v>
      </c>
      <c r="H403" s="62">
        <v>857.75</v>
      </c>
      <c r="I403" s="27" t="str">
        <f t="shared" si="6"/>
        <v/>
      </c>
    </row>
    <row r="404" spans="1:9" hidden="1" x14ac:dyDescent="0.25">
      <c r="A404" s="25" t="s">
        <v>2072</v>
      </c>
      <c r="B404" s="25" t="s">
        <v>533</v>
      </c>
      <c r="C404" s="26" t="s">
        <v>1984</v>
      </c>
      <c r="D404" s="27" t="s">
        <v>2073</v>
      </c>
      <c r="E404" s="28" t="s">
        <v>1041</v>
      </c>
      <c r="F404" s="25" t="s">
        <v>1042</v>
      </c>
      <c r="G404" s="27" t="s">
        <v>952</v>
      </c>
      <c r="H404" s="62">
        <v>945.13</v>
      </c>
      <c r="I404" s="27" t="str">
        <f t="shared" si="6"/>
        <v/>
      </c>
    </row>
    <row r="405" spans="1:9" hidden="1" x14ac:dyDescent="0.25">
      <c r="A405" s="25" t="s">
        <v>2074</v>
      </c>
      <c r="B405" s="25" t="s">
        <v>533</v>
      </c>
      <c r="C405" s="26" t="s">
        <v>1984</v>
      </c>
      <c r="D405" s="27" t="s">
        <v>2075</v>
      </c>
      <c r="E405" s="28" t="s">
        <v>1044</v>
      </c>
      <c r="F405" s="25" t="s">
        <v>1045</v>
      </c>
      <c r="G405" s="27" t="s">
        <v>952</v>
      </c>
      <c r="H405" s="62">
        <v>975.1</v>
      </c>
      <c r="I405" s="27" t="str">
        <f t="shared" si="6"/>
        <v/>
      </c>
    </row>
    <row r="406" spans="1:9" hidden="1" x14ac:dyDescent="0.25">
      <c r="A406" s="25" t="s">
        <v>2076</v>
      </c>
      <c r="B406" s="25" t="s">
        <v>533</v>
      </c>
      <c r="C406" s="26" t="s">
        <v>1984</v>
      </c>
      <c r="D406" s="27" t="s">
        <v>2077</v>
      </c>
      <c r="E406" s="28" t="s">
        <v>1047</v>
      </c>
      <c r="F406" s="25" t="s">
        <v>1048</v>
      </c>
      <c r="G406" s="27" t="s">
        <v>952</v>
      </c>
      <c r="H406" s="62">
        <v>468.19</v>
      </c>
      <c r="I406" s="27" t="str">
        <f t="shared" si="6"/>
        <v/>
      </c>
    </row>
    <row r="407" spans="1:9" hidden="1" x14ac:dyDescent="0.25">
      <c r="A407" s="25" t="s">
        <v>2078</v>
      </c>
      <c r="B407" s="25" t="s">
        <v>533</v>
      </c>
      <c r="C407" s="26" t="s">
        <v>1984</v>
      </c>
      <c r="D407" s="27" t="s">
        <v>2079</v>
      </c>
      <c r="E407" s="28" t="s">
        <v>1050</v>
      </c>
      <c r="F407" s="25" t="s">
        <v>1051</v>
      </c>
      <c r="G407" s="27" t="s">
        <v>952</v>
      </c>
      <c r="H407" s="62">
        <v>429.75</v>
      </c>
      <c r="I407" s="27" t="str">
        <f t="shared" si="6"/>
        <v/>
      </c>
    </row>
    <row r="408" spans="1:9" hidden="1" x14ac:dyDescent="0.25">
      <c r="A408" s="25" t="s">
        <v>2080</v>
      </c>
      <c r="B408" s="25" t="s">
        <v>533</v>
      </c>
      <c r="C408" s="26" t="s">
        <v>1984</v>
      </c>
      <c r="D408" s="27" t="s">
        <v>2081</v>
      </c>
      <c r="E408" s="28" t="s">
        <v>1053</v>
      </c>
      <c r="F408" s="25" t="s">
        <v>1054</v>
      </c>
      <c r="G408" s="27" t="s">
        <v>952</v>
      </c>
      <c r="H408" s="62">
        <v>525.13</v>
      </c>
      <c r="I408" s="27" t="str">
        <f t="shared" si="6"/>
        <v/>
      </c>
    </row>
    <row r="409" spans="1:9" hidden="1" x14ac:dyDescent="0.25">
      <c r="A409" s="25" t="s">
        <v>2082</v>
      </c>
      <c r="B409" s="25" t="s">
        <v>533</v>
      </c>
      <c r="C409" s="26" t="s">
        <v>1984</v>
      </c>
      <c r="D409" s="27" t="s">
        <v>2083</v>
      </c>
      <c r="E409" s="28" t="s">
        <v>1056</v>
      </c>
      <c r="F409" s="25" t="s">
        <v>1057</v>
      </c>
      <c r="G409" s="27" t="s">
        <v>952</v>
      </c>
      <c r="H409" s="62">
        <v>562.95000000000005</v>
      </c>
      <c r="I409" s="27" t="str">
        <f t="shared" si="6"/>
        <v/>
      </c>
    </row>
    <row r="410" spans="1:9" hidden="1" x14ac:dyDescent="0.25">
      <c r="A410" s="25" t="s">
        <v>2084</v>
      </c>
      <c r="B410" s="25" t="s">
        <v>533</v>
      </c>
      <c r="C410" s="26" t="s">
        <v>1984</v>
      </c>
      <c r="D410" s="27" t="s">
        <v>2085</v>
      </c>
      <c r="E410" s="28" t="s">
        <v>987</v>
      </c>
      <c r="F410" s="25" t="s">
        <v>988</v>
      </c>
      <c r="G410" s="27" t="s">
        <v>952</v>
      </c>
      <c r="H410" s="62">
        <v>142.75</v>
      </c>
      <c r="I410" s="27" t="str">
        <f t="shared" si="6"/>
        <v/>
      </c>
    </row>
    <row r="411" spans="1:9" hidden="1" x14ac:dyDescent="0.25">
      <c r="A411" s="25" t="s">
        <v>2086</v>
      </c>
      <c r="B411" s="25" t="s">
        <v>533</v>
      </c>
      <c r="C411" s="26" t="s">
        <v>1984</v>
      </c>
      <c r="D411" s="27" t="s">
        <v>2087</v>
      </c>
      <c r="E411" s="28" t="s">
        <v>1069</v>
      </c>
      <c r="F411" s="25" t="s">
        <v>1070</v>
      </c>
      <c r="G411" s="27" t="s">
        <v>952</v>
      </c>
      <c r="H411" s="62">
        <v>155.37</v>
      </c>
      <c r="I411" s="27" t="str">
        <f t="shared" si="6"/>
        <v/>
      </c>
    </row>
    <row r="412" spans="1:9" hidden="1" x14ac:dyDescent="0.25">
      <c r="A412" s="25" t="s">
        <v>2088</v>
      </c>
      <c r="B412" s="25" t="s">
        <v>533</v>
      </c>
      <c r="C412" s="26" t="s">
        <v>1984</v>
      </c>
      <c r="D412" s="27" t="s">
        <v>2089</v>
      </c>
      <c r="E412" s="28" t="s">
        <v>2090</v>
      </c>
      <c r="F412" s="25" t="s">
        <v>2091</v>
      </c>
      <c r="G412" s="27" t="s">
        <v>952</v>
      </c>
      <c r="H412" s="62">
        <v>78.06</v>
      </c>
      <c r="I412" s="27" t="str">
        <f t="shared" si="6"/>
        <v/>
      </c>
    </row>
    <row r="413" spans="1:9" hidden="1" x14ac:dyDescent="0.25">
      <c r="A413" s="25" t="s">
        <v>2092</v>
      </c>
      <c r="B413" s="25" t="s">
        <v>533</v>
      </c>
      <c r="C413" s="26" t="s">
        <v>1984</v>
      </c>
      <c r="D413" s="27" t="s">
        <v>2093</v>
      </c>
      <c r="E413" s="28" t="s">
        <v>2094</v>
      </c>
      <c r="F413" s="25" t="s">
        <v>2095</v>
      </c>
      <c r="G413" s="27" t="s">
        <v>952</v>
      </c>
      <c r="H413" s="62">
        <v>96.25</v>
      </c>
      <c r="I413" s="27" t="str">
        <f t="shared" si="6"/>
        <v/>
      </c>
    </row>
    <row r="414" spans="1:9" hidden="1" x14ac:dyDescent="0.25">
      <c r="A414" s="25" t="s">
        <v>2096</v>
      </c>
      <c r="B414" s="25" t="s">
        <v>533</v>
      </c>
      <c r="C414" s="26" t="s">
        <v>1984</v>
      </c>
      <c r="D414" s="27" t="s">
        <v>2097</v>
      </c>
      <c r="E414" s="28" t="s">
        <v>1072</v>
      </c>
      <c r="F414" s="25" t="s">
        <v>1073</v>
      </c>
      <c r="G414" s="27" t="s">
        <v>952</v>
      </c>
      <c r="H414" s="62">
        <v>193.7</v>
      </c>
      <c r="I414" s="27" t="str">
        <f t="shared" si="6"/>
        <v/>
      </c>
    </row>
    <row r="415" spans="1:9" hidden="1" x14ac:dyDescent="0.25">
      <c r="A415" s="25" t="s">
        <v>2098</v>
      </c>
      <c r="B415" s="25" t="s">
        <v>533</v>
      </c>
      <c r="C415" s="26" t="s">
        <v>1984</v>
      </c>
      <c r="D415" s="27" t="s">
        <v>2099</v>
      </c>
      <c r="E415" s="28" t="s">
        <v>2100</v>
      </c>
      <c r="F415" s="25" t="s">
        <v>2101</v>
      </c>
      <c r="G415" s="27" t="s">
        <v>952</v>
      </c>
      <c r="H415" s="62">
        <v>122.23</v>
      </c>
      <c r="I415" s="27" t="str">
        <f t="shared" si="6"/>
        <v/>
      </c>
    </row>
    <row r="416" spans="1:9" hidden="1" x14ac:dyDescent="0.25">
      <c r="A416" s="25" t="s">
        <v>2102</v>
      </c>
      <c r="B416" s="25" t="s">
        <v>533</v>
      </c>
      <c r="C416" s="26" t="s">
        <v>1984</v>
      </c>
      <c r="D416" s="27" t="s">
        <v>2103</v>
      </c>
      <c r="E416" s="28" t="s">
        <v>2104</v>
      </c>
      <c r="F416" s="25" t="s">
        <v>2105</v>
      </c>
      <c r="G416" s="27" t="s">
        <v>952</v>
      </c>
      <c r="H416" s="62">
        <v>152.96</v>
      </c>
      <c r="I416" s="27" t="str">
        <f t="shared" si="6"/>
        <v/>
      </c>
    </row>
    <row r="417" spans="1:9" hidden="1" x14ac:dyDescent="0.25">
      <c r="A417" s="25" t="s">
        <v>2106</v>
      </c>
      <c r="B417" s="25" t="s">
        <v>533</v>
      </c>
      <c r="C417" s="26" t="s">
        <v>1984</v>
      </c>
      <c r="D417" s="27" t="s">
        <v>2107</v>
      </c>
      <c r="E417" s="28" t="s">
        <v>1075</v>
      </c>
      <c r="F417" s="25" t="s">
        <v>1076</v>
      </c>
      <c r="G417" s="27" t="s">
        <v>952</v>
      </c>
      <c r="H417" s="62">
        <v>353.32</v>
      </c>
      <c r="I417" s="27" t="str">
        <f t="shared" si="6"/>
        <v/>
      </c>
    </row>
    <row r="418" spans="1:9" hidden="1" x14ac:dyDescent="0.25">
      <c r="A418" s="25" t="s">
        <v>2108</v>
      </c>
      <c r="B418" s="25" t="s">
        <v>533</v>
      </c>
      <c r="C418" s="26" t="s">
        <v>1984</v>
      </c>
      <c r="D418" s="27" t="s">
        <v>2109</v>
      </c>
      <c r="E418" s="28" t="s">
        <v>2110</v>
      </c>
      <c r="F418" s="25" t="s">
        <v>2111</v>
      </c>
      <c r="G418" s="27" t="s">
        <v>952</v>
      </c>
      <c r="H418" s="62">
        <v>169.29</v>
      </c>
      <c r="I418" s="27" t="str">
        <f t="shared" si="6"/>
        <v/>
      </c>
    </row>
    <row r="419" spans="1:9" hidden="1" x14ac:dyDescent="0.25">
      <c r="A419" s="25" t="s">
        <v>2112</v>
      </c>
      <c r="B419" s="25" t="s">
        <v>533</v>
      </c>
      <c r="C419" s="26" t="s">
        <v>1984</v>
      </c>
      <c r="D419" s="27" t="s">
        <v>2113</v>
      </c>
      <c r="E419" s="28" t="s">
        <v>2114</v>
      </c>
      <c r="F419" s="25" t="s">
        <v>2115</v>
      </c>
      <c r="G419" s="27" t="s">
        <v>952</v>
      </c>
      <c r="H419" s="62">
        <v>209.66</v>
      </c>
      <c r="I419" s="27" t="str">
        <f t="shared" si="6"/>
        <v/>
      </c>
    </row>
    <row r="420" spans="1:9" hidden="1" x14ac:dyDescent="0.25">
      <c r="A420" s="25" t="s">
        <v>2116</v>
      </c>
      <c r="B420" s="25" t="s">
        <v>533</v>
      </c>
      <c r="C420" s="26" t="s">
        <v>1984</v>
      </c>
      <c r="D420" s="27" t="s">
        <v>2117</v>
      </c>
      <c r="E420" s="28" t="s">
        <v>1078</v>
      </c>
      <c r="F420" s="25" t="s">
        <v>1079</v>
      </c>
      <c r="G420" s="27" t="s">
        <v>952</v>
      </c>
      <c r="H420" s="62">
        <v>527.95000000000005</v>
      </c>
      <c r="I420" s="27" t="str">
        <f t="shared" si="6"/>
        <v/>
      </c>
    </row>
    <row r="421" spans="1:9" hidden="1" x14ac:dyDescent="0.25">
      <c r="A421" s="25" t="s">
        <v>2118</v>
      </c>
      <c r="B421" s="25" t="s">
        <v>533</v>
      </c>
      <c r="C421" s="26" t="s">
        <v>1984</v>
      </c>
      <c r="D421" s="27" t="s">
        <v>2119</v>
      </c>
      <c r="E421" s="28" t="s">
        <v>1081</v>
      </c>
      <c r="F421" s="25" t="s">
        <v>1082</v>
      </c>
      <c r="G421" s="27" t="s">
        <v>952</v>
      </c>
      <c r="H421" s="62">
        <v>457.17</v>
      </c>
      <c r="I421" s="27" t="str">
        <f t="shared" si="6"/>
        <v/>
      </c>
    </row>
    <row r="422" spans="1:9" hidden="1" x14ac:dyDescent="0.25">
      <c r="A422" s="25" t="s">
        <v>2120</v>
      </c>
      <c r="B422" s="25" t="s">
        <v>533</v>
      </c>
      <c r="C422" s="26" t="s">
        <v>1984</v>
      </c>
      <c r="D422" s="27" t="s">
        <v>2121</v>
      </c>
      <c r="E422" s="28" t="s">
        <v>990</v>
      </c>
      <c r="F422" s="25" t="s">
        <v>991</v>
      </c>
      <c r="G422" s="27" t="s">
        <v>952</v>
      </c>
      <c r="H422" s="62">
        <v>247.93</v>
      </c>
      <c r="I422" s="27" t="str">
        <f t="shared" si="6"/>
        <v/>
      </c>
    </row>
    <row r="423" spans="1:9" hidden="1" x14ac:dyDescent="0.25">
      <c r="A423" s="25" t="s">
        <v>2122</v>
      </c>
      <c r="B423" s="25" t="s">
        <v>533</v>
      </c>
      <c r="C423" s="26" t="s">
        <v>1984</v>
      </c>
      <c r="D423" s="27" t="s">
        <v>2123</v>
      </c>
      <c r="E423" s="28" t="s">
        <v>1090</v>
      </c>
      <c r="F423" s="25" t="s">
        <v>1091</v>
      </c>
      <c r="G423" s="27" t="s">
        <v>952</v>
      </c>
      <c r="H423" s="62">
        <v>171.32</v>
      </c>
      <c r="I423" s="27" t="str">
        <f t="shared" si="6"/>
        <v/>
      </c>
    </row>
    <row r="424" spans="1:9" hidden="1" x14ac:dyDescent="0.25">
      <c r="A424" s="25" t="s">
        <v>2124</v>
      </c>
      <c r="B424" s="25" t="s">
        <v>533</v>
      </c>
      <c r="C424" s="26" t="s">
        <v>1984</v>
      </c>
      <c r="D424" s="27" t="s">
        <v>2125</v>
      </c>
      <c r="E424" s="28" t="s">
        <v>2126</v>
      </c>
      <c r="F424" s="25" t="s">
        <v>2127</v>
      </c>
      <c r="G424" s="27" t="s">
        <v>952</v>
      </c>
      <c r="H424" s="62">
        <v>80.52</v>
      </c>
      <c r="I424" s="27" t="str">
        <f t="shared" si="6"/>
        <v/>
      </c>
    </row>
    <row r="425" spans="1:9" hidden="1" x14ac:dyDescent="0.25">
      <c r="A425" s="25" t="s">
        <v>2128</v>
      </c>
      <c r="B425" s="25" t="s">
        <v>533</v>
      </c>
      <c r="C425" s="26" t="s">
        <v>1984</v>
      </c>
      <c r="D425" s="27" t="s">
        <v>2129</v>
      </c>
      <c r="E425" s="28" t="s">
        <v>2130</v>
      </c>
      <c r="F425" s="25" t="s">
        <v>2131</v>
      </c>
      <c r="G425" s="27" t="s">
        <v>952</v>
      </c>
      <c r="H425" s="62">
        <v>76.62</v>
      </c>
      <c r="I425" s="27" t="str">
        <f t="shared" si="6"/>
        <v/>
      </c>
    </row>
    <row r="426" spans="1:9" hidden="1" x14ac:dyDescent="0.25">
      <c r="A426" s="25" t="s">
        <v>2132</v>
      </c>
      <c r="B426" s="25" t="s">
        <v>533</v>
      </c>
      <c r="C426" s="26" t="s">
        <v>1984</v>
      </c>
      <c r="D426" s="27" t="s">
        <v>2133</v>
      </c>
      <c r="E426" s="28" t="s">
        <v>1008</v>
      </c>
      <c r="F426" s="25" t="s">
        <v>1009</v>
      </c>
      <c r="G426" s="27" t="s">
        <v>952</v>
      </c>
      <c r="H426" s="62">
        <v>142.75</v>
      </c>
      <c r="I426" s="27" t="str">
        <f t="shared" si="6"/>
        <v/>
      </c>
    </row>
    <row r="427" spans="1:9" hidden="1" x14ac:dyDescent="0.25">
      <c r="A427" s="25" t="s">
        <v>2134</v>
      </c>
      <c r="B427" s="25" t="s">
        <v>533</v>
      </c>
      <c r="C427" s="26" t="s">
        <v>1984</v>
      </c>
      <c r="D427" s="27" t="s">
        <v>2135</v>
      </c>
      <c r="E427" s="28" t="s">
        <v>1011</v>
      </c>
      <c r="F427" s="25" t="s">
        <v>1012</v>
      </c>
      <c r="G427" s="27" t="s">
        <v>952</v>
      </c>
      <c r="H427" s="62">
        <v>247.93</v>
      </c>
      <c r="I427" s="27" t="str">
        <f t="shared" si="6"/>
        <v/>
      </c>
    </row>
    <row r="428" spans="1:9" hidden="1" x14ac:dyDescent="0.25">
      <c r="A428" s="25" t="s">
        <v>2136</v>
      </c>
      <c r="B428" s="25" t="s">
        <v>533</v>
      </c>
      <c r="C428" s="26" t="s">
        <v>1984</v>
      </c>
      <c r="D428" s="27" t="s">
        <v>2137</v>
      </c>
      <c r="E428" s="28" t="s">
        <v>1063</v>
      </c>
      <c r="F428" s="25" t="s">
        <v>1064</v>
      </c>
      <c r="G428" s="27" t="s">
        <v>952</v>
      </c>
      <c r="H428" s="62">
        <v>142.75</v>
      </c>
      <c r="I428" s="27" t="str">
        <f t="shared" si="6"/>
        <v/>
      </c>
    </row>
    <row r="429" spans="1:9" hidden="1" x14ac:dyDescent="0.25">
      <c r="A429" s="25" t="s">
        <v>2138</v>
      </c>
      <c r="B429" s="25" t="s">
        <v>533</v>
      </c>
      <c r="C429" s="26" t="s">
        <v>1984</v>
      </c>
      <c r="D429" s="27" t="s">
        <v>2139</v>
      </c>
      <c r="E429" s="28" t="s">
        <v>1066</v>
      </c>
      <c r="F429" s="25" t="s">
        <v>1067</v>
      </c>
      <c r="G429" s="27" t="s">
        <v>952</v>
      </c>
      <c r="H429" s="62">
        <v>247.93</v>
      </c>
      <c r="I429" s="27" t="str">
        <f t="shared" si="6"/>
        <v/>
      </c>
    </row>
    <row r="430" spans="1:9" hidden="1" x14ac:dyDescent="0.25">
      <c r="A430" s="25" t="s">
        <v>2140</v>
      </c>
      <c r="B430" s="25" t="s">
        <v>533</v>
      </c>
      <c r="C430" s="26" t="s">
        <v>1984</v>
      </c>
      <c r="D430" s="27" t="s">
        <v>2141</v>
      </c>
      <c r="E430" s="28" t="s">
        <v>1084</v>
      </c>
      <c r="F430" s="25" t="s">
        <v>1085</v>
      </c>
      <c r="G430" s="27" t="s">
        <v>952</v>
      </c>
      <c r="H430" s="62">
        <v>142.75</v>
      </c>
      <c r="I430" s="27" t="str">
        <f t="shared" si="6"/>
        <v/>
      </c>
    </row>
    <row r="431" spans="1:9" hidden="1" x14ac:dyDescent="0.25">
      <c r="A431" s="25" t="s">
        <v>2142</v>
      </c>
      <c r="B431" s="25" t="s">
        <v>533</v>
      </c>
      <c r="C431" s="26" t="s">
        <v>1984</v>
      </c>
      <c r="D431" s="27" t="s">
        <v>2143</v>
      </c>
      <c r="E431" s="28" t="s">
        <v>1087</v>
      </c>
      <c r="F431" s="25" t="s">
        <v>1088</v>
      </c>
      <c r="G431" s="27" t="s">
        <v>952</v>
      </c>
      <c r="H431" s="62">
        <v>247.93</v>
      </c>
      <c r="I431" s="27" t="str">
        <f t="shared" si="6"/>
        <v/>
      </c>
    </row>
    <row r="432" spans="1:9" hidden="1" x14ac:dyDescent="0.25">
      <c r="A432" s="25" t="s">
        <v>2144</v>
      </c>
      <c r="B432" s="25" t="s">
        <v>533</v>
      </c>
      <c r="C432" s="26" t="s">
        <v>1984</v>
      </c>
      <c r="D432" s="27" t="s">
        <v>2145</v>
      </c>
      <c r="E432" s="28" t="s">
        <v>1155</v>
      </c>
      <c r="F432" s="25" t="s">
        <v>1156</v>
      </c>
      <c r="G432" s="27" t="s">
        <v>952</v>
      </c>
      <c r="H432" s="62">
        <v>142.75</v>
      </c>
      <c r="I432" s="27" t="str">
        <f t="shared" si="6"/>
        <v/>
      </c>
    </row>
    <row r="433" spans="1:9" hidden="1" x14ac:dyDescent="0.25">
      <c r="A433" s="25" t="s">
        <v>2146</v>
      </c>
      <c r="B433" s="25" t="s">
        <v>533</v>
      </c>
      <c r="C433" s="26" t="s">
        <v>1984</v>
      </c>
      <c r="D433" s="27" t="s">
        <v>2147</v>
      </c>
      <c r="E433" s="28" t="s">
        <v>1158</v>
      </c>
      <c r="F433" s="25" t="s">
        <v>1159</v>
      </c>
      <c r="G433" s="27" t="s">
        <v>952</v>
      </c>
      <c r="H433" s="62">
        <v>247.93</v>
      </c>
      <c r="I433" s="27" t="str">
        <f t="shared" si="6"/>
        <v/>
      </c>
    </row>
    <row r="434" spans="1:9" hidden="1" x14ac:dyDescent="0.25">
      <c r="A434" s="25" t="s">
        <v>2148</v>
      </c>
      <c r="B434" s="25" t="s">
        <v>533</v>
      </c>
      <c r="C434" s="26" t="s">
        <v>1984</v>
      </c>
      <c r="D434" s="27" t="s">
        <v>2149</v>
      </c>
      <c r="E434" s="28" t="s">
        <v>1200</v>
      </c>
      <c r="F434" s="25" t="s">
        <v>1201</v>
      </c>
      <c r="G434" s="27" t="s">
        <v>952</v>
      </c>
      <c r="H434" s="62">
        <v>142.75</v>
      </c>
      <c r="I434" s="27" t="str">
        <f t="shared" si="6"/>
        <v/>
      </c>
    </row>
    <row r="435" spans="1:9" hidden="1" x14ac:dyDescent="0.25">
      <c r="A435" s="25" t="s">
        <v>2150</v>
      </c>
      <c r="B435" s="25" t="s">
        <v>533</v>
      </c>
      <c r="C435" s="26" t="s">
        <v>1984</v>
      </c>
      <c r="D435" s="27" t="s">
        <v>2151</v>
      </c>
      <c r="E435" s="28" t="s">
        <v>1126</v>
      </c>
      <c r="F435" s="25" t="s">
        <v>1129</v>
      </c>
      <c r="G435" s="27" t="s">
        <v>952</v>
      </c>
      <c r="H435" s="62">
        <v>845</v>
      </c>
      <c r="I435" s="27" t="str">
        <f t="shared" si="6"/>
        <v/>
      </c>
    </row>
    <row r="436" spans="1:9" hidden="1" x14ac:dyDescent="0.25">
      <c r="A436" s="25" t="s">
        <v>2150</v>
      </c>
      <c r="B436" s="25" t="s">
        <v>533</v>
      </c>
      <c r="C436" s="26" t="s">
        <v>1984</v>
      </c>
      <c r="D436" s="27" t="s">
        <v>2152</v>
      </c>
      <c r="E436" s="28" t="s">
        <v>1128</v>
      </c>
      <c r="F436" s="25" t="s">
        <v>1129</v>
      </c>
      <c r="G436" s="27" t="s">
        <v>952</v>
      </c>
      <c r="H436" s="62">
        <v>1025</v>
      </c>
      <c r="I436" s="27" t="str">
        <f t="shared" si="6"/>
        <v/>
      </c>
    </row>
    <row r="437" spans="1:9" hidden="1" x14ac:dyDescent="0.25">
      <c r="A437" s="25" t="s">
        <v>2153</v>
      </c>
      <c r="B437" s="25" t="s">
        <v>533</v>
      </c>
      <c r="C437" s="26" t="s">
        <v>1984</v>
      </c>
      <c r="D437" s="27" t="s">
        <v>2154</v>
      </c>
      <c r="E437" s="28" t="s">
        <v>1131</v>
      </c>
      <c r="F437" s="25" t="s">
        <v>1132</v>
      </c>
      <c r="G437" s="27" t="s">
        <v>952</v>
      </c>
      <c r="H437" s="62">
        <v>661.75</v>
      </c>
      <c r="I437" s="27" t="str">
        <f t="shared" si="6"/>
        <v/>
      </c>
    </row>
    <row r="438" spans="1:9" hidden="1" x14ac:dyDescent="0.25">
      <c r="A438" s="25" t="s">
        <v>2155</v>
      </c>
      <c r="B438" s="25" t="s">
        <v>533</v>
      </c>
      <c r="C438" s="26" t="s">
        <v>1984</v>
      </c>
      <c r="D438" s="27" t="s">
        <v>2156</v>
      </c>
      <c r="E438" s="28" t="s">
        <v>1134</v>
      </c>
      <c r="F438" s="25" t="s">
        <v>1135</v>
      </c>
      <c r="G438" s="27" t="s">
        <v>952</v>
      </c>
      <c r="H438" s="62">
        <v>690.45</v>
      </c>
      <c r="I438" s="27" t="str">
        <f t="shared" si="6"/>
        <v/>
      </c>
    </row>
    <row r="439" spans="1:9" hidden="1" x14ac:dyDescent="0.25">
      <c r="A439" s="25" t="s">
        <v>2157</v>
      </c>
      <c r="B439" s="25" t="s">
        <v>533</v>
      </c>
      <c r="C439" s="26" t="s">
        <v>1984</v>
      </c>
      <c r="D439" s="27" t="s">
        <v>2158</v>
      </c>
      <c r="E439" s="28" t="s">
        <v>1137</v>
      </c>
      <c r="F439" s="25" t="s">
        <v>1138</v>
      </c>
      <c r="G439" s="27" t="s">
        <v>952</v>
      </c>
      <c r="H439" s="62">
        <v>707.8</v>
      </c>
      <c r="I439" s="27" t="str">
        <f t="shared" si="6"/>
        <v/>
      </c>
    </row>
    <row r="440" spans="1:9" hidden="1" x14ac:dyDescent="0.25">
      <c r="A440" s="25" t="s">
        <v>2159</v>
      </c>
      <c r="B440" s="25" t="s">
        <v>533</v>
      </c>
      <c r="C440" s="26" t="s">
        <v>1984</v>
      </c>
      <c r="D440" s="27" t="s">
        <v>2160</v>
      </c>
      <c r="E440" s="28" t="s">
        <v>1140</v>
      </c>
      <c r="F440" s="25" t="s">
        <v>1141</v>
      </c>
      <c r="G440" s="27" t="s">
        <v>952</v>
      </c>
      <c r="H440" s="62">
        <v>987.5</v>
      </c>
      <c r="I440" s="27" t="str">
        <f t="shared" si="6"/>
        <v/>
      </c>
    </row>
    <row r="441" spans="1:9" hidden="1" x14ac:dyDescent="0.25">
      <c r="A441" s="25" t="s">
        <v>2161</v>
      </c>
      <c r="B441" s="25" t="s">
        <v>533</v>
      </c>
      <c r="C441" s="26" t="s">
        <v>1984</v>
      </c>
      <c r="D441" s="27" t="s">
        <v>2162</v>
      </c>
      <c r="E441" s="28" t="s">
        <v>1143</v>
      </c>
      <c r="F441" s="25" t="s">
        <v>1144</v>
      </c>
      <c r="G441" s="27" t="s">
        <v>952</v>
      </c>
      <c r="H441" s="62">
        <v>1175</v>
      </c>
      <c r="I441" s="27" t="str">
        <f t="shared" si="6"/>
        <v/>
      </c>
    </row>
    <row r="442" spans="1:9" hidden="1" x14ac:dyDescent="0.25">
      <c r="A442" s="25" t="s">
        <v>2163</v>
      </c>
      <c r="B442" s="25" t="s">
        <v>533</v>
      </c>
      <c r="C442" s="26" t="s">
        <v>1984</v>
      </c>
      <c r="D442" s="27" t="s">
        <v>2164</v>
      </c>
      <c r="E442" s="28" t="s">
        <v>1146</v>
      </c>
      <c r="F442" s="25" t="s">
        <v>1147</v>
      </c>
      <c r="G442" s="27" t="s">
        <v>952</v>
      </c>
      <c r="H442" s="62">
        <v>860.15</v>
      </c>
      <c r="I442" s="27" t="str">
        <f t="shared" si="6"/>
        <v/>
      </c>
    </row>
    <row r="443" spans="1:9" hidden="1" x14ac:dyDescent="0.25">
      <c r="A443" s="25" t="s">
        <v>2165</v>
      </c>
      <c r="B443" s="25" t="s">
        <v>533</v>
      </c>
      <c r="C443" s="26" t="s">
        <v>1984</v>
      </c>
      <c r="D443" s="27" t="s">
        <v>2166</v>
      </c>
      <c r="E443" s="28" t="s">
        <v>1149</v>
      </c>
      <c r="F443" s="25" t="s">
        <v>1150</v>
      </c>
      <c r="G443" s="27" t="s">
        <v>952</v>
      </c>
      <c r="H443" s="62">
        <v>907.95</v>
      </c>
      <c r="I443" s="27" t="str">
        <f t="shared" si="6"/>
        <v/>
      </c>
    </row>
    <row r="444" spans="1:9" hidden="1" x14ac:dyDescent="0.25">
      <c r="A444" s="25" t="s">
        <v>2167</v>
      </c>
      <c r="B444" s="25" t="s">
        <v>533</v>
      </c>
      <c r="C444" s="26" t="s">
        <v>1984</v>
      </c>
      <c r="D444" s="27" t="s">
        <v>2168</v>
      </c>
      <c r="E444" s="28" t="s">
        <v>1152</v>
      </c>
      <c r="F444" s="25" t="s">
        <v>1153</v>
      </c>
      <c r="G444" s="27" t="s">
        <v>952</v>
      </c>
      <c r="H444" s="62">
        <v>962.65</v>
      </c>
      <c r="I444" s="27" t="str">
        <f t="shared" si="6"/>
        <v/>
      </c>
    </row>
    <row r="445" spans="1:9" hidden="1" x14ac:dyDescent="0.25">
      <c r="A445" s="25" t="s">
        <v>2169</v>
      </c>
      <c r="B445" s="25" t="s">
        <v>533</v>
      </c>
      <c r="C445" s="26" t="s">
        <v>1984</v>
      </c>
      <c r="D445" s="27" t="s">
        <v>2170</v>
      </c>
      <c r="E445" s="28" t="s">
        <v>1203</v>
      </c>
      <c r="F445" s="25" t="s">
        <v>1204</v>
      </c>
      <c r="G445" s="27" t="s">
        <v>952</v>
      </c>
      <c r="H445" s="62">
        <v>247.93</v>
      </c>
      <c r="I445" s="27" t="str">
        <f t="shared" si="6"/>
        <v/>
      </c>
    </row>
    <row r="446" spans="1:9" hidden="1" x14ac:dyDescent="0.25">
      <c r="A446" s="25" t="s">
        <v>2171</v>
      </c>
      <c r="B446" s="25" t="s">
        <v>533</v>
      </c>
      <c r="C446" s="26" t="s">
        <v>1984</v>
      </c>
      <c r="D446" s="27" t="s">
        <v>2172</v>
      </c>
      <c r="E446" s="28" t="s">
        <v>1161</v>
      </c>
      <c r="F446" s="25" t="s">
        <v>1162</v>
      </c>
      <c r="G446" s="27" t="s">
        <v>952</v>
      </c>
      <c r="H446" s="62">
        <v>204.45</v>
      </c>
      <c r="I446" s="27" t="str">
        <f t="shared" si="6"/>
        <v/>
      </c>
    </row>
    <row r="447" spans="1:9" hidden="1" x14ac:dyDescent="0.25">
      <c r="A447" s="25" t="s">
        <v>2173</v>
      </c>
      <c r="B447" s="25" t="s">
        <v>533</v>
      </c>
      <c r="C447" s="26" t="s">
        <v>1984</v>
      </c>
      <c r="D447" s="27" t="s">
        <v>2174</v>
      </c>
      <c r="E447" s="28" t="s">
        <v>2175</v>
      </c>
      <c r="F447" s="25" t="s">
        <v>2176</v>
      </c>
      <c r="G447" s="27" t="s">
        <v>952</v>
      </c>
      <c r="H447" s="62">
        <v>87.3</v>
      </c>
      <c r="I447" s="27" t="str">
        <f t="shared" si="6"/>
        <v/>
      </c>
    </row>
    <row r="448" spans="1:9" hidden="1" x14ac:dyDescent="0.25">
      <c r="A448" s="25" t="s">
        <v>2177</v>
      </c>
      <c r="B448" s="25" t="s">
        <v>533</v>
      </c>
      <c r="C448" s="26" t="s">
        <v>1984</v>
      </c>
      <c r="D448" s="27" t="s">
        <v>2178</v>
      </c>
      <c r="E448" s="28" t="s">
        <v>2179</v>
      </c>
      <c r="F448" s="25" t="s">
        <v>2180</v>
      </c>
      <c r="G448" s="27" t="s">
        <v>952</v>
      </c>
      <c r="H448" s="62">
        <v>99.21</v>
      </c>
      <c r="I448" s="27" t="str">
        <f t="shared" si="6"/>
        <v/>
      </c>
    </row>
    <row r="449" spans="1:9" hidden="1" x14ac:dyDescent="0.25">
      <c r="A449" s="25" t="s">
        <v>2181</v>
      </c>
      <c r="B449" s="25" t="s">
        <v>533</v>
      </c>
      <c r="C449" s="26" t="s">
        <v>1984</v>
      </c>
      <c r="D449" s="27" t="s">
        <v>2182</v>
      </c>
      <c r="E449" s="28" t="s">
        <v>1164</v>
      </c>
      <c r="F449" s="25" t="s">
        <v>1165</v>
      </c>
      <c r="G449" s="27" t="s">
        <v>952</v>
      </c>
      <c r="H449" s="62">
        <v>259.36</v>
      </c>
      <c r="I449" s="27" t="str">
        <f t="shared" si="6"/>
        <v/>
      </c>
    </row>
    <row r="450" spans="1:9" hidden="1" x14ac:dyDescent="0.25">
      <c r="A450" s="25" t="s">
        <v>2183</v>
      </c>
      <c r="B450" s="25" t="s">
        <v>533</v>
      </c>
      <c r="C450" s="26" t="s">
        <v>1984</v>
      </c>
      <c r="D450" s="27" t="s">
        <v>2184</v>
      </c>
      <c r="E450" s="28" t="s">
        <v>2185</v>
      </c>
      <c r="F450" s="25" t="s">
        <v>2186</v>
      </c>
      <c r="G450" s="27" t="s">
        <v>952</v>
      </c>
      <c r="H450" s="62">
        <v>144.72999999999999</v>
      </c>
      <c r="I450" s="27" t="str">
        <f t="shared" si="6"/>
        <v/>
      </c>
    </row>
    <row r="451" spans="1:9" hidden="1" x14ac:dyDescent="0.25">
      <c r="A451" s="25" t="s">
        <v>2187</v>
      </c>
      <c r="B451" s="25" t="s">
        <v>533</v>
      </c>
      <c r="C451" s="26" t="s">
        <v>1984</v>
      </c>
      <c r="D451" s="27" t="s">
        <v>2188</v>
      </c>
      <c r="E451" s="28" t="s">
        <v>2189</v>
      </c>
      <c r="F451" s="25" t="s">
        <v>2190</v>
      </c>
      <c r="G451" s="27" t="s">
        <v>952</v>
      </c>
      <c r="H451" s="62">
        <v>163.66</v>
      </c>
      <c r="I451" s="27" t="str">
        <f t="shared" si="6"/>
        <v/>
      </c>
    </row>
    <row r="452" spans="1:9" hidden="1" x14ac:dyDescent="0.25">
      <c r="A452" s="25" t="s">
        <v>2191</v>
      </c>
      <c r="B452" s="25" t="s">
        <v>533</v>
      </c>
      <c r="C452" s="26" t="s">
        <v>1984</v>
      </c>
      <c r="D452" s="27" t="s">
        <v>2192</v>
      </c>
      <c r="E452" s="28" t="s">
        <v>1167</v>
      </c>
      <c r="F452" s="25" t="s">
        <v>1168</v>
      </c>
      <c r="G452" s="27" t="s">
        <v>952</v>
      </c>
      <c r="H452" s="62">
        <v>476.71</v>
      </c>
      <c r="I452" s="27" t="str">
        <f t="shared" si="6"/>
        <v/>
      </c>
    </row>
    <row r="453" spans="1:9" hidden="1" x14ac:dyDescent="0.25">
      <c r="A453" s="25" t="s">
        <v>2193</v>
      </c>
      <c r="B453" s="25" t="s">
        <v>533</v>
      </c>
      <c r="C453" s="26" t="s">
        <v>1984</v>
      </c>
      <c r="D453" s="27" t="s">
        <v>2194</v>
      </c>
      <c r="E453" s="28" t="s">
        <v>2195</v>
      </c>
      <c r="F453" s="25" t="s">
        <v>2196</v>
      </c>
      <c r="G453" s="27" t="s">
        <v>952</v>
      </c>
      <c r="H453" s="62">
        <v>202.18</v>
      </c>
      <c r="I453" s="27" t="str">
        <f t="shared" ref="I453:I515" si="7">IF($K$2="","",IF(ISNUMBER(SEARCH($K$2,$E453&amp;$F453)),1,""))</f>
        <v/>
      </c>
    </row>
    <row r="454" spans="1:9" hidden="1" x14ac:dyDescent="0.25">
      <c r="A454" s="25" t="s">
        <v>2197</v>
      </c>
      <c r="B454" s="25" t="s">
        <v>533</v>
      </c>
      <c r="C454" s="26" t="s">
        <v>1984</v>
      </c>
      <c r="D454" s="27" t="s">
        <v>2198</v>
      </c>
      <c r="E454" s="28" t="s">
        <v>2199</v>
      </c>
      <c r="F454" s="25" t="s">
        <v>2200</v>
      </c>
      <c r="G454" s="27" t="s">
        <v>952</v>
      </c>
      <c r="H454" s="62">
        <v>228.11</v>
      </c>
      <c r="I454" s="27" t="str">
        <f t="shared" si="7"/>
        <v/>
      </c>
    </row>
    <row r="455" spans="1:9" hidden="1" x14ac:dyDescent="0.25">
      <c r="A455" s="25" t="s">
        <v>2201</v>
      </c>
      <c r="B455" s="25" t="s">
        <v>533</v>
      </c>
      <c r="C455" s="26" t="s">
        <v>1984</v>
      </c>
      <c r="D455" s="27" t="s">
        <v>2202</v>
      </c>
      <c r="E455" s="28" t="s">
        <v>1170</v>
      </c>
      <c r="F455" s="25" t="s">
        <v>1171</v>
      </c>
      <c r="G455" s="27" t="s">
        <v>952</v>
      </c>
      <c r="H455" s="62">
        <v>837.5</v>
      </c>
      <c r="I455" s="27" t="str">
        <f t="shared" si="7"/>
        <v/>
      </c>
    </row>
    <row r="456" spans="1:9" hidden="1" x14ac:dyDescent="0.25">
      <c r="A456" s="25" t="s">
        <v>2203</v>
      </c>
      <c r="B456" s="25" t="s">
        <v>533</v>
      </c>
      <c r="C456" s="26" t="s">
        <v>1984</v>
      </c>
      <c r="D456" s="27" t="s">
        <v>2204</v>
      </c>
      <c r="E456" s="28" t="s">
        <v>1173</v>
      </c>
      <c r="F456" s="25" t="s">
        <v>1174</v>
      </c>
      <c r="G456" s="27" t="s">
        <v>952</v>
      </c>
      <c r="H456" s="62">
        <v>907.5</v>
      </c>
      <c r="I456" s="27" t="str">
        <f t="shared" si="7"/>
        <v/>
      </c>
    </row>
    <row r="457" spans="1:9" hidden="1" x14ac:dyDescent="0.25">
      <c r="A457" s="25" t="s">
        <v>2205</v>
      </c>
      <c r="B457" s="25" t="s">
        <v>533</v>
      </c>
      <c r="C457" s="26" t="s">
        <v>1984</v>
      </c>
      <c r="D457" s="27" t="s">
        <v>2206</v>
      </c>
      <c r="E457" s="28" t="s">
        <v>1176</v>
      </c>
      <c r="F457" s="25" t="s">
        <v>1177</v>
      </c>
      <c r="G457" s="27" t="s">
        <v>952</v>
      </c>
      <c r="H457" s="62">
        <v>607.75</v>
      </c>
      <c r="I457" s="27" t="str">
        <f t="shared" si="7"/>
        <v/>
      </c>
    </row>
    <row r="458" spans="1:9" hidden="1" x14ac:dyDescent="0.25">
      <c r="A458" s="25" t="s">
        <v>2207</v>
      </c>
      <c r="B458" s="25" t="s">
        <v>533</v>
      </c>
      <c r="C458" s="26" t="s">
        <v>1984</v>
      </c>
      <c r="D458" s="27" t="s">
        <v>2208</v>
      </c>
      <c r="E458" s="28" t="s">
        <v>1179</v>
      </c>
      <c r="F458" s="25" t="s">
        <v>1180</v>
      </c>
      <c r="G458" s="27" t="s">
        <v>952</v>
      </c>
      <c r="H458" s="62">
        <v>662.75</v>
      </c>
      <c r="I458" s="27" t="str">
        <f t="shared" si="7"/>
        <v/>
      </c>
    </row>
    <row r="459" spans="1:9" hidden="1" x14ac:dyDescent="0.25">
      <c r="A459" s="25" t="s">
        <v>2209</v>
      </c>
      <c r="B459" s="25" t="s">
        <v>533</v>
      </c>
      <c r="C459" s="26" t="s">
        <v>1984</v>
      </c>
      <c r="D459" s="27" t="s">
        <v>2210</v>
      </c>
      <c r="E459" s="28" t="s">
        <v>1182</v>
      </c>
      <c r="F459" s="25" t="s">
        <v>1183</v>
      </c>
      <c r="G459" s="27" t="s">
        <v>952</v>
      </c>
      <c r="H459" s="62">
        <v>695.25</v>
      </c>
      <c r="I459" s="27" t="str">
        <f t="shared" si="7"/>
        <v/>
      </c>
    </row>
    <row r="460" spans="1:9" hidden="1" x14ac:dyDescent="0.25">
      <c r="A460" s="25" t="s">
        <v>2211</v>
      </c>
      <c r="B460" s="25" t="s">
        <v>533</v>
      </c>
      <c r="C460" s="26" t="s">
        <v>1984</v>
      </c>
      <c r="D460" s="27" t="s">
        <v>2212</v>
      </c>
      <c r="E460" s="28" t="s">
        <v>1185</v>
      </c>
      <c r="F460" s="25" t="s">
        <v>1186</v>
      </c>
      <c r="G460" s="27" t="s">
        <v>952</v>
      </c>
      <c r="H460" s="62">
        <v>937.5</v>
      </c>
      <c r="I460" s="27" t="str">
        <f t="shared" si="7"/>
        <v/>
      </c>
    </row>
    <row r="461" spans="1:9" hidden="1" x14ac:dyDescent="0.25">
      <c r="A461" s="25" t="s">
        <v>2213</v>
      </c>
      <c r="B461" s="25" t="s">
        <v>533</v>
      </c>
      <c r="C461" s="26" t="s">
        <v>1984</v>
      </c>
      <c r="D461" s="27" t="s">
        <v>2214</v>
      </c>
      <c r="E461" s="28" t="s">
        <v>1188</v>
      </c>
      <c r="F461" s="25" t="s">
        <v>1189</v>
      </c>
      <c r="G461" s="27" t="s">
        <v>952</v>
      </c>
      <c r="H461" s="62">
        <v>1075</v>
      </c>
      <c r="I461" s="27" t="str">
        <f t="shared" si="7"/>
        <v/>
      </c>
    </row>
    <row r="462" spans="1:9" hidden="1" x14ac:dyDescent="0.25">
      <c r="A462" s="25" t="s">
        <v>2215</v>
      </c>
      <c r="B462" s="25" t="s">
        <v>533</v>
      </c>
      <c r="C462" s="26" t="s">
        <v>1984</v>
      </c>
      <c r="D462" s="27" t="s">
        <v>2216</v>
      </c>
      <c r="E462" s="28" t="s">
        <v>1191</v>
      </c>
      <c r="F462" s="25" t="s">
        <v>1192</v>
      </c>
      <c r="G462" s="27" t="s">
        <v>952</v>
      </c>
      <c r="H462" s="62">
        <v>725.25</v>
      </c>
      <c r="I462" s="27" t="str">
        <f t="shared" si="7"/>
        <v/>
      </c>
    </row>
    <row r="463" spans="1:9" hidden="1" x14ac:dyDescent="0.25">
      <c r="A463" s="25" t="s">
        <v>2217</v>
      </c>
      <c r="B463" s="25" t="s">
        <v>533</v>
      </c>
      <c r="C463" s="26" t="s">
        <v>1984</v>
      </c>
      <c r="D463" s="27" t="s">
        <v>2218</v>
      </c>
      <c r="E463" s="28" t="s">
        <v>1194</v>
      </c>
      <c r="F463" s="25" t="s">
        <v>1195</v>
      </c>
      <c r="G463" s="27" t="s">
        <v>952</v>
      </c>
      <c r="H463" s="62">
        <v>825.45</v>
      </c>
      <c r="I463" s="27" t="str">
        <f t="shared" si="7"/>
        <v/>
      </c>
    </row>
    <row r="464" spans="1:9" hidden="1" x14ac:dyDescent="0.25">
      <c r="A464" s="25" t="s">
        <v>2219</v>
      </c>
      <c r="B464" s="25" t="s">
        <v>533</v>
      </c>
      <c r="C464" s="26" t="s">
        <v>1984</v>
      </c>
      <c r="D464" s="27" t="s">
        <v>2220</v>
      </c>
      <c r="E464" s="28" t="s">
        <v>1197</v>
      </c>
      <c r="F464" s="25" t="s">
        <v>1198</v>
      </c>
      <c r="G464" s="27" t="s">
        <v>952</v>
      </c>
      <c r="H464" s="62">
        <v>860.25</v>
      </c>
      <c r="I464" s="27" t="str">
        <f t="shared" si="7"/>
        <v/>
      </c>
    </row>
    <row r="465" spans="1:9" hidden="1" x14ac:dyDescent="0.25">
      <c r="A465" s="25" t="s">
        <v>2221</v>
      </c>
      <c r="B465" s="25" t="s">
        <v>533</v>
      </c>
      <c r="C465" s="26" t="s">
        <v>1984</v>
      </c>
      <c r="D465" s="27" t="s">
        <v>2222</v>
      </c>
      <c r="E465" s="28" t="s">
        <v>1221</v>
      </c>
      <c r="F465" s="25" t="s">
        <v>1222</v>
      </c>
      <c r="G465" s="27" t="s">
        <v>952</v>
      </c>
      <c r="H465" s="62">
        <v>142.75</v>
      </c>
      <c r="I465" s="27" t="str">
        <f t="shared" si="7"/>
        <v/>
      </c>
    </row>
    <row r="466" spans="1:9" hidden="1" x14ac:dyDescent="0.25">
      <c r="A466" s="25" t="s">
        <v>2223</v>
      </c>
      <c r="B466" s="25" t="s">
        <v>533</v>
      </c>
      <c r="C466" s="26" t="s">
        <v>1984</v>
      </c>
      <c r="D466" s="27" t="s">
        <v>2224</v>
      </c>
      <c r="E466" s="28" t="s">
        <v>1206</v>
      </c>
      <c r="F466" s="25" t="s">
        <v>1207</v>
      </c>
      <c r="G466" s="27" t="s">
        <v>952</v>
      </c>
      <c r="H466" s="62">
        <v>129.41</v>
      </c>
      <c r="I466" s="27" t="str">
        <f t="shared" si="7"/>
        <v/>
      </c>
    </row>
    <row r="467" spans="1:9" hidden="1" x14ac:dyDescent="0.25">
      <c r="A467" s="25" t="s">
        <v>2225</v>
      </c>
      <c r="B467" s="25" t="s">
        <v>533</v>
      </c>
      <c r="C467" s="26" t="s">
        <v>1984</v>
      </c>
      <c r="D467" s="27" t="s">
        <v>2226</v>
      </c>
      <c r="E467" s="28" t="s">
        <v>2227</v>
      </c>
      <c r="F467" s="25" t="s">
        <v>2228</v>
      </c>
      <c r="G467" s="27" t="s">
        <v>952</v>
      </c>
      <c r="H467" s="62">
        <v>64.08</v>
      </c>
      <c r="I467" s="27" t="str">
        <f t="shared" si="7"/>
        <v/>
      </c>
    </row>
    <row r="468" spans="1:9" hidden="1" x14ac:dyDescent="0.25">
      <c r="A468" s="25" t="s">
        <v>2229</v>
      </c>
      <c r="B468" s="25" t="s">
        <v>533</v>
      </c>
      <c r="C468" s="26" t="s">
        <v>1984</v>
      </c>
      <c r="D468" s="27" t="s">
        <v>2230</v>
      </c>
      <c r="E468" s="28" t="s">
        <v>2231</v>
      </c>
      <c r="F468" s="25" t="s">
        <v>2232</v>
      </c>
      <c r="G468" s="27" t="s">
        <v>952</v>
      </c>
      <c r="H468" s="62">
        <v>79.599999999999994</v>
      </c>
      <c r="I468" s="27" t="str">
        <f t="shared" si="7"/>
        <v/>
      </c>
    </row>
    <row r="469" spans="1:9" hidden="1" x14ac:dyDescent="0.25">
      <c r="A469" s="25" t="s">
        <v>2233</v>
      </c>
      <c r="B469" s="25" t="s">
        <v>533</v>
      </c>
      <c r="C469" s="26" t="s">
        <v>1984</v>
      </c>
      <c r="D469" s="27" t="s">
        <v>2234</v>
      </c>
      <c r="E469" s="28" t="s">
        <v>1209</v>
      </c>
      <c r="F469" s="25" t="s">
        <v>1210</v>
      </c>
      <c r="G469" s="27" t="s">
        <v>952</v>
      </c>
      <c r="H469" s="62">
        <v>178.73</v>
      </c>
      <c r="I469" s="27" t="str">
        <f t="shared" si="7"/>
        <v/>
      </c>
    </row>
    <row r="470" spans="1:9" hidden="1" x14ac:dyDescent="0.25">
      <c r="A470" s="25" t="s">
        <v>2235</v>
      </c>
      <c r="B470" s="25" t="s">
        <v>533</v>
      </c>
      <c r="C470" s="26" t="s">
        <v>1984</v>
      </c>
      <c r="D470" s="27" t="s">
        <v>2236</v>
      </c>
      <c r="E470" s="28" t="s">
        <v>2237</v>
      </c>
      <c r="F470" s="25" t="s">
        <v>2238</v>
      </c>
      <c r="G470" s="27" t="s">
        <v>952</v>
      </c>
      <c r="H470" s="62">
        <v>114.33</v>
      </c>
      <c r="I470" s="27" t="str">
        <f t="shared" si="7"/>
        <v/>
      </c>
    </row>
    <row r="471" spans="1:9" hidden="1" x14ac:dyDescent="0.25">
      <c r="A471" s="25" t="s">
        <v>2239</v>
      </c>
      <c r="B471" s="25" t="s">
        <v>533</v>
      </c>
      <c r="C471" s="26" t="s">
        <v>1984</v>
      </c>
      <c r="D471" s="27" t="s">
        <v>2240</v>
      </c>
      <c r="E471" s="28" t="s">
        <v>2241</v>
      </c>
      <c r="F471" s="25" t="s">
        <v>2242</v>
      </c>
      <c r="G471" s="27" t="s">
        <v>952</v>
      </c>
      <c r="H471" s="62">
        <v>139.34</v>
      </c>
      <c r="I471" s="27" t="str">
        <f t="shared" si="7"/>
        <v/>
      </c>
    </row>
    <row r="472" spans="1:9" hidden="1" x14ac:dyDescent="0.25">
      <c r="A472" s="25" t="s">
        <v>2243</v>
      </c>
      <c r="B472" s="25" t="s">
        <v>533</v>
      </c>
      <c r="C472" s="26" t="s">
        <v>1984</v>
      </c>
      <c r="D472" s="27" t="s">
        <v>2244</v>
      </c>
      <c r="E472" s="28" t="s">
        <v>1212</v>
      </c>
      <c r="F472" s="25" t="s">
        <v>1213</v>
      </c>
      <c r="G472" s="27" t="s">
        <v>952</v>
      </c>
      <c r="H472" s="62">
        <v>339.97</v>
      </c>
      <c r="I472" s="27" t="str">
        <f t="shared" si="7"/>
        <v/>
      </c>
    </row>
    <row r="473" spans="1:9" hidden="1" x14ac:dyDescent="0.25">
      <c r="A473" s="25" t="s">
        <v>2245</v>
      </c>
      <c r="B473" s="25" t="s">
        <v>533</v>
      </c>
      <c r="C473" s="26" t="s">
        <v>1984</v>
      </c>
      <c r="D473" s="27" t="s">
        <v>2246</v>
      </c>
      <c r="E473" s="28" t="s">
        <v>2247</v>
      </c>
      <c r="F473" s="25" t="s">
        <v>2248</v>
      </c>
      <c r="G473" s="27" t="s">
        <v>952</v>
      </c>
      <c r="H473" s="62">
        <v>164.42</v>
      </c>
      <c r="I473" s="27" t="str">
        <f t="shared" si="7"/>
        <v/>
      </c>
    </row>
    <row r="474" spans="1:9" hidden="1" x14ac:dyDescent="0.25">
      <c r="A474" s="25" t="s">
        <v>2249</v>
      </c>
      <c r="B474" s="25" t="s">
        <v>533</v>
      </c>
      <c r="C474" s="26" t="s">
        <v>1984</v>
      </c>
      <c r="D474" s="27" t="s">
        <v>2250</v>
      </c>
      <c r="E474" s="28" t="s">
        <v>2251</v>
      </c>
      <c r="F474" s="25" t="s">
        <v>2252</v>
      </c>
      <c r="G474" s="27" t="s">
        <v>952</v>
      </c>
      <c r="H474" s="62">
        <v>198.57</v>
      </c>
      <c r="I474" s="27" t="str">
        <f t="shared" si="7"/>
        <v/>
      </c>
    </row>
    <row r="475" spans="1:9" hidden="1" x14ac:dyDescent="0.25">
      <c r="A475" s="25" t="s">
        <v>2253</v>
      </c>
      <c r="B475" s="25" t="s">
        <v>533</v>
      </c>
      <c r="C475" s="26" t="s">
        <v>1984</v>
      </c>
      <c r="D475" s="27" t="s">
        <v>2254</v>
      </c>
      <c r="E475" s="28" t="s">
        <v>1215</v>
      </c>
      <c r="F475" s="25" t="s">
        <v>1216</v>
      </c>
      <c r="G475" s="27" t="s">
        <v>952</v>
      </c>
      <c r="H475" s="62">
        <v>567.63</v>
      </c>
      <c r="I475" s="27" t="str">
        <f t="shared" si="7"/>
        <v/>
      </c>
    </row>
    <row r="476" spans="1:9" hidden="1" x14ac:dyDescent="0.25">
      <c r="A476" s="25" t="s">
        <v>2255</v>
      </c>
      <c r="B476" s="25" t="s">
        <v>533</v>
      </c>
      <c r="C476" s="26" t="s">
        <v>1984</v>
      </c>
      <c r="D476" s="27" t="s">
        <v>2256</v>
      </c>
      <c r="E476" s="28" t="s">
        <v>1218</v>
      </c>
      <c r="F476" s="25" t="s">
        <v>1219</v>
      </c>
      <c r="G476" s="27" t="s">
        <v>952</v>
      </c>
      <c r="H476" s="62">
        <v>586.92999999999995</v>
      </c>
      <c r="I476" s="27" t="str">
        <f t="shared" si="7"/>
        <v/>
      </c>
    </row>
    <row r="477" spans="1:9" hidden="1" x14ac:dyDescent="0.25">
      <c r="A477" s="25" t="s">
        <v>2257</v>
      </c>
      <c r="B477" s="25" t="s">
        <v>533</v>
      </c>
      <c r="C477" s="26" t="s">
        <v>1984</v>
      </c>
      <c r="D477" s="27" t="s">
        <v>2258</v>
      </c>
      <c r="E477" s="28" t="s">
        <v>1224</v>
      </c>
      <c r="F477" s="25" t="s">
        <v>1225</v>
      </c>
      <c r="G477" s="27" t="s">
        <v>952</v>
      </c>
      <c r="H477" s="62">
        <v>247.93</v>
      </c>
      <c r="I477" s="27" t="str">
        <f t="shared" si="7"/>
        <v/>
      </c>
    </row>
    <row r="478" spans="1:9" hidden="1" x14ac:dyDescent="0.25">
      <c r="A478" s="25" t="s">
        <v>2259</v>
      </c>
      <c r="B478" s="25" t="s">
        <v>533</v>
      </c>
      <c r="C478" s="26" t="s">
        <v>1984</v>
      </c>
      <c r="D478" s="27" t="s">
        <v>2260</v>
      </c>
      <c r="E478" s="28" t="s">
        <v>1227</v>
      </c>
      <c r="F478" s="25" t="s">
        <v>1228</v>
      </c>
      <c r="G478" s="27" t="s">
        <v>952</v>
      </c>
      <c r="H478" s="62">
        <v>126.13</v>
      </c>
      <c r="I478" s="27" t="str">
        <f t="shared" si="7"/>
        <v/>
      </c>
    </row>
    <row r="479" spans="1:9" hidden="1" x14ac:dyDescent="0.25">
      <c r="A479" s="25" t="s">
        <v>2261</v>
      </c>
      <c r="B479" s="25" t="s">
        <v>533</v>
      </c>
      <c r="C479" s="26" t="s">
        <v>1984</v>
      </c>
      <c r="D479" s="27" t="s">
        <v>2262</v>
      </c>
      <c r="E479" s="28" t="s">
        <v>2263</v>
      </c>
      <c r="F479" s="25" t="s">
        <v>2264</v>
      </c>
      <c r="G479" s="27" t="s">
        <v>952</v>
      </c>
      <c r="H479" s="62">
        <v>57.95</v>
      </c>
      <c r="I479" s="27" t="str">
        <f t="shared" si="7"/>
        <v/>
      </c>
    </row>
    <row r="480" spans="1:9" hidden="1" x14ac:dyDescent="0.25">
      <c r="A480" s="25" t="s">
        <v>2265</v>
      </c>
      <c r="B480" s="25" t="s">
        <v>533</v>
      </c>
      <c r="C480" s="26" t="s">
        <v>1984</v>
      </c>
      <c r="D480" s="27" t="s">
        <v>2266</v>
      </c>
      <c r="E480" s="28" t="s">
        <v>2267</v>
      </c>
      <c r="F480" s="25" t="s">
        <v>2268</v>
      </c>
      <c r="G480" s="27" t="s">
        <v>952</v>
      </c>
      <c r="H480" s="62">
        <v>72</v>
      </c>
      <c r="I480" s="27" t="str">
        <f t="shared" si="7"/>
        <v/>
      </c>
    </row>
    <row r="481" spans="1:9" hidden="1" x14ac:dyDescent="0.25">
      <c r="A481" s="25" t="s">
        <v>2269</v>
      </c>
      <c r="B481" s="25" t="s">
        <v>533</v>
      </c>
      <c r="C481" s="26" t="s">
        <v>1984</v>
      </c>
      <c r="D481" s="27" t="s">
        <v>2270</v>
      </c>
      <c r="E481" s="28" t="s">
        <v>1230</v>
      </c>
      <c r="F481" s="25" t="s">
        <v>1231</v>
      </c>
      <c r="G481" s="27" t="s">
        <v>952</v>
      </c>
      <c r="H481" s="62">
        <v>547.75</v>
      </c>
      <c r="I481" s="27" t="str">
        <f t="shared" si="7"/>
        <v/>
      </c>
    </row>
    <row r="482" spans="1:9" hidden="1" x14ac:dyDescent="0.25">
      <c r="A482" s="25" t="s">
        <v>2271</v>
      </c>
      <c r="B482" s="25" t="s">
        <v>533</v>
      </c>
      <c r="C482" s="26" t="s">
        <v>1984</v>
      </c>
      <c r="D482" s="27" t="s">
        <v>2272</v>
      </c>
      <c r="E482" s="28" t="s">
        <v>1233</v>
      </c>
      <c r="F482" s="25" t="s">
        <v>1234</v>
      </c>
      <c r="G482" s="27" t="s">
        <v>952</v>
      </c>
      <c r="H482" s="62">
        <v>464.48</v>
      </c>
      <c r="I482" s="27" t="str">
        <f t="shared" si="7"/>
        <v/>
      </c>
    </row>
    <row r="483" spans="1:9" hidden="1" x14ac:dyDescent="0.25">
      <c r="A483" s="25" t="s">
        <v>2273</v>
      </c>
      <c r="B483" s="25" t="s">
        <v>533</v>
      </c>
      <c r="C483" s="26" t="s">
        <v>1984</v>
      </c>
      <c r="D483" s="27" t="s">
        <v>2274</v>
      </c>
      <c r="E483" s="28" t="s">
        <v>1244</v>
      </c>
      <c r="F483" s="25" t="s">
        <v>1245</v>
      </c>
      <c r="G483" s="27" t="s">
        <v>952</v>
      </c>
      <c r="H483" s="62">
        <v>142.75</v>
      </c>
      <c r="I483" s="27" t="str">
        <f t="shared" si="7"/>
        <v/>
      </c>
    </row>
    <row r="484" spans="1:9" hidden="1" x14ac:dyDescent="0.25">
      <c r="A484" s="25" t="s">
        <v>2275</v>
      </c>
      <c r="B484" s="25" t="s">
        <v>533</v>
      </c>
      <c r="C484" s="26" t="s">
        <v>1984</v>
      </c>
      <c r="D484" s="27" t="s">
        <v>2276</v>
      </c>
      <c r="E484" s="28" t="s">
        <v>1250</v>
      </c>
      <c r="F484" s="25" t="s">
        <v>1251</v>
      </c>
      <c r="G484" s="27" t="s">
        <v>952</v>
      </c>
      <c r="H484" s="62">
        <v>114.08</v>
      </c>
      <c r="I484" s="27" t="str">
        <f t="shared" si="7"/>
        <v/>
      </c>
    </row>
    <row r="485" spans="1:9" hidden="1" x14ac:dyDescent="0.25">
      <c r="A485" s="25" t="s">
        <v>2277</v>
      </c>
      <c r="B485" s="25" t="s">
        <v>533</v>
      </c>
      <c r="C485" s="26" t="s">
        <v>1984</v>
      </c>
      <c r="D485" s="27" t="s">
        <v>2278</v>
      </c>
      <c r="E485" s="28" t="s">
        <v>2279</v>
      </c>
      <c r="F485" s="25" t="s">
        <v>2280</v>
      </c>
      <c r="G485" s="27" t="s">
        <v>952</v>
      </c>
      <c r="H485" s="62">
        <v>57.44</v>
      </c>
      <c r="I485" s="27" t="str">
        <f t="shared" si="7"/>
        <v/>
      </c>
    </row>
    <row r="486" spans="1:9" hidden="1" x14ac:dyDescent="0.25">
      <c r="A486" s="25" t="s">
        <v>2281</v>
      </c>
      <c r="B486" s="25" t="s">
        <v>533</v>
      </c>
      <c r="C486" s="26" t="s">
        <v>1984</v>
      </c>
      <c r="D486" s="27" t="s">
        <v>2282</v>
      </c>
      <c r="E486" s="28" t="s">
        <v>2283</v>
      </c>
      <c r="F486" s="25" t="s">
        <v>2284</v>
      </c>
      <c r="G486" s="27" t="s">
        <v>952</v>
      </c>
      <c r="H486" s="62">
        <v>59.46</v>
      </c>
      <c r="I486" s="27" t="str">
        <f t="shared" si="7"/>
        <v/>
      </c>
    </row>
    <row r="487" spans="1:9" hidden="1" x14ac:dyDescent="0.25">
      <c r="A487" s="25" t="s">
        <v>2285</v>
      </c>
      <c r="B487" s="25" t="s">
        <v>533</v>
      </c>
      <c r="C487" s="26" t="s">
        <v>1984</v>
      </c>
      <c r="D487" s="27" t="s">
        <v>2286</v>
      </c>
      <c r="E487" s="28" t="s">
        <v>1262</v>
      </c>
      <c r="F487" s="25" t="s">
        <v>1263</v>
      </c>
      <c r="G487" s="27" t="s">
        <v>952</v>
      </c>
      <c r="H487" s="62">
        <v>412.75</v>
      </c>
      <c r="I487" s="27" t="str">
        <f t="shared" si="7"/>
        <v/>
      </c>
    </row>
    <row r="488" spans="1:9" hidden="1" x14ac:dyDescent="0.25">
      <c r="A488" s="25" t="s">
        <v>2287</v>
      </c>
      <c r="B488" s="25" t="s">
        <v>533</v>
      </c>
      <c r="C488" s="26" t="s">
        <v>1984</v>
      </c>
      <c r="D488" s="27" t="s">
        <v>2288</v>
      </c>
      <c r="E488" s="28" t="s">
        <v>1265</v>
      </c>
      <c r="F488" s="25" t="s">
        <v>1266</v>
      </c>
      <c r="G488" s="27" t="s">
        <v>952</v>
      </c>
      <c r="H488" s="62">
        <v>337.75</v>
      </c>
      <c r="I488" s="27" t="str">
        <f t="shared" si="7"/>
        <v/>
      </c>
    </row>
    <row r="489" spans="1:9" hidden="1" x14ac:dyDescent="0.25">
      <c r="A489" s="25" t="s">
        <v>2289</v>
      </c>
      <c r="B489" s="25" t="s">
        <v>533</v>
      </c>
      <c r="C489" s="26" t="s">
        <v>1984</v>
      </c>
      <c r="D489" s="27" t="s">
        <v>2290</v>
      </c>
      <c r="E489" s="28" t="s">
        <v>2291</v>
      </c>
      <c r="F489" s="25" t="s">
        <v>1236</v>
      </c>
      <c r="G489" s="27" t="s">
        <v>952</v>
      </c>
      <c r="H489" s="62">
        <v>44.19</v>
      </c>
      <c r="I489" s="27" t="str">
        <f t="shared" si="7"/>
        <v/>
      </c>
    </row>
    <row r="490" spans="1:9" hidden="1" x14ac:dyDescent="0.25">
      <c r="A490" s="25" t="s">
        <v>2292</v>
      </c>
      <c r="B490" s="25" t="s">
        <v>533</v>
      </c>
      <c r="C490" s="26" t="s">
        <v>1984</v>
      </c>
      <c r="D490" s="27" t="s">
        <v>2293</v>
      </c>
      <c r="E490" s="28" t="s">
        <v>1241</v>
      </c>
      <c r="F490" s="25" t="s">
        <v>1242</v>
      </c>
      <c r="G490" s="27" t="s">
        <v>952</v>
      </c>
      <c r="H490" s="62">
        <v>109.81</v>
      </c>
      <c r="I490" s="27" t="str">
        <f t="shared" si="7"/>
        <v/>
      </c>
    </row>
    <row r="491" spans="1:9" hidden="1" x14ac:dyDescent="0.25">
      <c r="A491" s="25" t="s">
        <v>2294</v>
      </c>
      <c r="B491" s="25" t="s">
        <v>533</v>
      </c>
      <c r="C491" s="26" t="s">
        <v>1984</v>
      </c>
      <c r="D491" s="27" t="s">
        <v>2295</v>
      </c>
      <c r="E491" s="28" t="s">
        <v>1099</v>
      </c>
      <c r="F491" s="25" t="s">
        <v>1100</v>
      </c>
      <c r="G491" s="27" t="s">
        <v>952</v>
      </c>
      <c r="H491" s="62">
        <v>162.75</v>
      </c>
      <c r="I491" s="27" t="str">
        <f t="shared" si="7"/>
        <v/>
      </c>
    </row>
    <row r="492" spans="1:9" hidden="1" x14ac:dyDescent="0.25">
      <c r="A492" s="25" t="s">
        <v>2296</v>
      </c>
      <c r="B492" s="25" t="s">
        <v>533</v>
      </c>
      <c r="C492" s="26" t="s">
        <v>1984</v>
      </c>
      <c r="D492" s="27" t="s">
        <v>2297</v>
      </c>
      <c r="E492" s="28" t="s">
        <v>1105</v>
      </c>
      <c r="F492" s="25" t="s">
        <v>1106</v>
      </c>
      <c r="G492" s="27" t="s">
        <v>952</v>
      </c>
      <c r="H492" s="62">
        <v>82.75</v>
      </c>
      <c r="I492" s="27" t="str">
        <f t="shared" si="7"/>
        <v/>
      </c>
    </row>
    <row r="493" spans="1:9" hidden="1" x14ac:dyDescent="0.25">
      <c r="A493" s="25" t="s">
        <v>2298</v>
      </c>
      <c r="B493" s="25" t="s">
        <v>533</v>
      </c>
      <c r="C493" s="26" t="s">
        <v>1984</v>
      </c>
      <c r="D493" s="27" t="s">
        <v>2299</v>
      </c>
      <c r="E493" s="28" t="s">
        <v>1108</v>
      </c>
      <c r="F493" s="25" t="s">
        <v>1109</v>
      </c>
      <c r="G493" s="27" t="s">
        <v>952</v>
      </c>
      <c r="H493" s="62">
        <v>162.75</v>
      </c>
      <c r="I493" s="27" t="str">
        <f t="shared" si="7"/>
        <v/>
      </c>
    </row>
    <row r="494" spans="1:9" hidden="1" x14ac:dyDescent="0.25">
      <c r="A494" s="25" t="s">
        <v>2300</v>
      </c>
      <c r="B494" s="25" t="s">
        <v>533</v>
      </c>
      <c r="C494" s="26" t="s">
        <v>1984</v>
      </c>
      <c r="D494" s="27" t="s">
        <v>2301</v>
      </c>
      <c r="E494" s="28" t="s">
        <v>2302</v>
      </c>
      <c r="F494" s="25" t="s">
        <v>2303</v>
      </c>
      <c r="G494" s="27" t="s">
        <v>952</v>
      </c>
      <c r="H494" s="62">
        <v>307.92</v>
      </c>
      <c r="I494" s="27" t="str">
        <f t="shared" si="7"/>
        <v/>
      </c>
    </row>
    <row r="495" spans="1:9" hidden="1" x14ac:dyDescent="0.25">
      <c r="A495" s="25" t="s">
        <v>2304</v>
      </c>
      <c r="B495" s="25" t="s">
        <v>533</v>
      </c>
      <c r="C495" s="26" t="s">
        <v>1984</v>
      </c>
      <c r="D495" s="27" t="s">
        <v>2305</v>
      </c>
      <c r="E495" s="28" t="s">
        <v>2306</v>
      </c>
      <c r="F495" s="25" t="s">
        <v>2307</v>
      </c>
      <c r="G495" s="27" t="s">
        <v>952</v>
      </c>
      <c r="H495" s="62">
        <v>335.39</v>
      </c>
      <c r="I495" s="27" t="str">
        <f t="shared" si="7"/>
        <v/>
      </c>
    </row>
    <row r="496" spans="1:9" hidden="1" x14ac:dyDescent="0.25">
      <c r="A496" s="25" t="s">
        <v>2308</v>
      </c>
      <c r="B496" s="25" t="s">
        <v>533</v>
      </c>
      <c r="C496" s="26" t="s">
        <v>1984</v>
      </c>
      <c r="D496" s="27" t="s">
        <v>2309</v>
      </c>
      <c r="E496" s="28" t="s">
        <v>2310</v>
      </c>
      <c r="F496" s="25" t="s">
        <v>2311</v>
      </c>
      <c r="G496" s="27" t="s">
        <v>952</v>
      </c>
      <c r="H496" s="62">
        <v>177.79</v>
      </c>
      <c r="I496" s="27" t="str">
        <f t="shared" si="7"/>
        <v/>
      </c>
    </row>
    <row r="497" spans="1:9" hidden="1" x14ac:dyDescent="0.25">
      <c r="A497" s="25" t="s">
        <v>2312</v>
      </c>
      <c r="B497" s="25" t="s">
        <v>533</v>
      </c>
      <c r="C497" s="26" t="s">
        <v>1984</v>
      </c>
      <c r="D497" s="27" t="s">
        <v>2313</v>
      </c>
      <c r="E497" s="28" t="s">
        <v>2314</v>
      </c>
      <c r="F497" s="25" t="s">
        <v>2315</v>
      </c>
      <c r="G497" s="27" t="s">
        <v>952</v>
      </c>
      <c r="H497" s="62">
        <v>125.73</v>
      </c>
      <c r="I497" s="27" t="str">
        <f t="shared" si="7"/>
        <v/>
      </c>
    </row>
    <row r="498" spans="1:9" hidden="1" x14ac:dyDescent="0.25">
      <c r="A498" s="25" t="s">
        <v>2316</v>
      </c>
      <c r="B498" s="25" t="s">
        <v>533</v>
      </c>
      <c r="C498" s="26" t="s">
        <v>1984</v>
      </c>
      <c r="D498" s="27" t="s">
        <v>2317</v>
      </c>
      <c r="E498" s="28" t="s">
        <v>2318</v>
      </c>
      <c r="F498" s="25" t="s">
        <v>2319</v>
      </c>
      <c r="G498" s="27" t="s">
        <v>952</v>
      </c>
      <c r="H498" s="62">
        <v>181.65</v>
      </c>
      <c r="I498" s="27" t="str">
        <f t="shared" si="7"/>
        <v/>
      </c>
    </row>
    <row r="499" spans="1:9" hidden="1" x14ac:dyDescent="0.25">
      <c r="A499" s="25" t="s">
        <v>2320</v>
      </c>
      <c r="B499" s="25" t="s">
        <v>533</v>
      </c>
      <c r="C499" s="26" t="s">
        <v>1984</v>
      </c>
      <c r="D499" s="27" t="s">
        <v>2321</v>
      </c>
      <c r="E499" s="28" t="s">
        <v>2322</v>
      </c>
      <c r="F499" s="25" t="s">
        <v>2323</v>
      </c>
      <c r="G499" s="27" t="s">
        <v>952</v>
      </c>
      <c r="H499" s="62">
        <v>53.32</v>
      </c>
      <c r="I499" s="27" t="str">
        <f t="shared" si="7"/>
        <v/>
      </c>
    </row>
    <row r="500" spans="1:9" hidden="1" x14ac:dyDescent="0.25">
      <c r="A500" s="25" t="s">
        <v>2324</v>
      </c>
      <c r="B500" s="25" t="s">
        <v>533</v>
      </c>
      <c r="C500" s="26" t="s">
        <v>1984</v>
      </c>
      <c r="D500" s="27" t="s">
        <v>2325</v>
      </c>
      <c r="E500" s="28" t="s">
        <v>2326</v>
      </c>
      <c r="F500" s="25" t="s">
        <v>2327</v>
      </c>
      <c r="G500" s="27" t="s">
        <v>952</v>
      </c>
      <c r="H500" s="62">
        <v>42.22</v>
      </c>
      <c r="I500" s="27" t="str">
        <f t="shared" si="7"/>
        <v/>
      </c>
    </row>
    <row r="501" spans="1:9" hidden="1" x14ac:dyDescent="0.25">
      <c r="A501" s="25" t="s">
        <v>2328</v>
      </c>
      <c r="B501" s="25" t="s">
        <v>533</v>
      </c>
      <c r="C501" s="26" t="s">
        <v>1984</v>
      </c>
      <c r="D501" s="27" t="s">
        <v>2329</v>
      </c>
      <c r="E501" s="28" t="s">
        <v>2330</v>
      </c>
      <c r="F501" s="25" t="s">
        <v>2331</v>
      </c>
      <c r="G501" s="27" t="s">
        <v>952</v>
      </c>
      <c r="H501" s="62">
        <v>83.09</v>
      </c>
      <c r="I501" s="27" t="str">
        <f t="shared" si="7"/>
        <v/>
      </c>
    </row>
    <row r="502" spans="1:9" hidden="1" x14ac:dyDescent="0.25">
      <c r="A502" s="25" t="s">
        <v>2332</v>
      </c>
      <c r="B502" s="25" t="s">
        <v>533</v>
      </c>
      <c r="C502" s="26" t="s">
        <v>1984</v>
      </c>
      <c r="D502" s="27" t="s">
        <v>2333</v>
      </c>
      <c r="E502" s="28" t="s">
        <v>1247</v>
      </c>
      <c r="F502" s="25" t="s">
        <v>1248</v>
      </c>
      <c r="G502" s="27" t="s">
        <v>952</v>
      </c>
      <c r="H502" s="62">
        <v>247.93</v>
      </c>
      <c r="I502" s="27" t="str">
        <f t="shared" si="7"/>
        <v/>
      </c>
    </row>
    <row r="503" spans="1:9" hidden="1" x14ac:dyDescent="0.25">
      <c r="A503" s="25" t="s">
        <v>2334</v>
      </c>
      <c r="B503" s="25" t="s">
        <v>533</v>
      </c>
      <c r="C503" s="26" t="s">
        <v>1984</v>
      </c>
      <c r="D503" s="27" t="s">
        <v>2335</v>
      </c>
      <c r="E503" s="28" t="s">
        <v>2336</v>
      </c>
      <c r="F503" s="25" t="s">
        <v>2337</v>
      </c>
      <c r="G503" s="27" t="s">
        <v>952</v>
      </c>
      <c r="H503" s="62">
        <v>20.8</v>
      </c>
      <c r="I503" s="27" t="str">
        <f t="shared" si="7"/>
        <v/>
      </c>
    </row>
    <row r="504" spans="1:9" hidden="1" x14ac:dyDescent="0.25">
      <c r="A504" s="25" t="s">
        <v>2338</v>
      </c>
      <c r="B504" s="25" t="s">
        <v>533</v>
      </c>
      <c r="C504" s="26" t="s">
        <v>1984</v>
      </c>
      <c r="D504" s="27" t="s">
        <v>2339</v>
      </c>
      <c r="E504" s="28" t="s">
        <v>2340</v>
      </c>
      <c r="F504" s="25" t="s">
        <v>2341</v>
      </c>
      <c r="G504" s="27" t="s">
        <v>952</v>
      </c>
      <c r="H504" s="62">
        <v>27.55</v>
      </c>
      <c r="I504" s="27" t="str">
        <f t="shared" si="7"/>
        <v/>
      </c>
    </row>
    <row r="505" spans="1:9" hidden="1" x14ac:dyDescent="0.25">
      <c r="A505" s="25" t="s">
        <v>2342</v>
      </c>
      <c r="B505" s="25" t="s">
        <v>533</v>
      </c>
      <c r="C505" s="26" t="s">
        <v>1984</v>
      </c>
      <c r="D505" s="27" t="s">
        <v>2343</v>
      </c>
      <c r="E505" s="28" t="s">
        <v>2344</v>
      </c>
      <c r="F505" s="25" t="s">
        <v>2345</v>
      </c>
      <c r="G505" s="27" t="s">
        <v>952</v>
      </c>
      <c r="H505" s="62">
        <v>377.75</v>
      </c>
      <c r="I505" s="27" t="str">
        <f t="shared" si="7"/>
        <v/>
      </c>
    </row>
    <row r="506" spans="1:9" hidden="1" x14ac:dyDescent="0.25">
      <c r="A506" s="25" t="s">
        <v>2346</v>
      </c>
      <c r="B506" s="25" t="s">
        <v>533</v>
      </c>
      <c r="C506" s="26" t="s">
        <v>1984</v>
      </c>
      <c r="D506" s="27" t="s">
        <v>2347</v>
      </c>
      <c r="E506" s="28" t="s">
        <v>2348</v>
      </c>
      <c r="F506" s="25" t="s">
        <v>2349</v>
      </c>
      <c r="G506" s="27" t="s">
        <v>952</v>
      </c>
      <c r="H506" s="62">
        <v>478.3</v>
      </c>
      <c r="I506" s="27" t="str">
        <f t="shared" si="7"/>
        <v/>
      </c>
    </row>
    <row r="507" spans="1:9" hidden="1" x14ac:dyDescent="0.25">
      <c r="A507" s="25" t="s">
        <v>2350</v>
      </c>
      <c r="B507" s="25" t="s">
        <v>533</v>
      </c>
      <c r="C507" s="26" t="s">
        <v>1984</v>
      </c>
      <c r="D507" s="27" t="s">
        <v>2351</v>
      </c>
      <c r="E507" s="28" t="s">
        <v>2352</v>
      </c>
      <c r="F507" s="25" t="s">
        <v>2353</v>
      </c>
      <c r="G507" s="27" t="s">
        <v>952</v>
      </c>
      <c r="H507" s="62">
        <v>428.3</v>
      </c>
      <c r="I507" s="27" t="str">
        <f t="shared" si="7"/>
        <v/>
      </c>
    </row>
    <row r="508" spans="1:9" hidden="1" x14ac:dyDescent="0.25">
      <c r="A508" s="25" t="s">
        <v>2354</v>
      </c>
      <c r="B508" s="25" t="s">
        <v>533</v>
      </c>
      <c r="C508" s="26" t="s">
        <v>1984</v>
      </c>
      <c r="D508" s="27" t="s">
        <v>2355</v>
      </c>
      <c r="E508" s="28" t="s">
        <v>2356</v>
      </c>
      <c r="F508" s="25" t="s">
        <v>2357</v>
      </c>
      <c r="G508" s="27" t="s">
        <v>952</v>
      </c>
      <c r="H508" s="62">
        <v>32.04</v>
      </c>
      <c r="I508" s="27" t="str">
        <f t="shared" si="7"/>
        <v/>
      </c>
    </row>
    <row r="509" spans="1:9" hidden="1" x14ac:dyDescent="0.25">
      <c r="A509" s="25" t="s">
        <v>2358</v>
      </c>
      <c r="B509" s="25" t="s">
        <v>533</v>
      </c>
      <c r="C509" s="26" t="s">
        <v>1984</v>
      </c>
      <c r="D509" s="27" t="s">
        <v>2359</v>
      </c>
      <c r="E509" s="28" t="s">
        <v>2360</v>
      </c>
      <c r="F509" s="25" t="s">
        <v>2361</v>
      </c>
      <c r="G509" s="27" t="s">
        <v>952</v>
      </c>
      <c r="H509" s="62">
        <v>67.180000000000007</v>
      </c>
      <c r="I509" s="27" t="str">
        <f t="shared" si="7"/>
        <v/>
      </c>
    </row>
    <row r="510" spans="1:9" hidden="1" x14ac:dyDescent="0.25">
      <c r="A510" s="25" t="s">
        <v>2362</v>
      </c>
      <c r="B510" s="25" t="s">
        <v>533</v>
      </c>
      <c r="C510" s="26" t="s">
        <v>1984</v>
      </c>
      <c r="D510" s="27" t="s">
        <v>2363</v>
      </c>
      <c r="E510" s="28" t="s">
        <v>2364</v>
      </c>
      <c r="F510" s="25" t="s">
        <v>2365</v>
      </c>
      <c r="G510" s="27" t="s">
        <v>952</v>
      </c>
      <c r="H510" s="62">
        <v>8.11</v>
      </c>
      <c r="I510" s="27" t="str">
        <f t="shared" si="7"/>
        <v/>
      </c>
    </row>
    <row r="511" spans="1:9" hidden="1" x14ac:dyDescent="0.25">
      <c r="A511" s="25" t="s">
        <v>2366</v>
      </c>
      <c r="B511" s="25" t="s">
        <v>533</v>
      </c>
      <c r="C511" s="26" t="s">
        <v>1984</v>
      </c>
      <c r="D511" s="27" t="s">
        <v>2367</v>
      </c>
      <c r="E511" s="28" t="s">
        <v>2368</v>
      </c>
      <c r="F511" s="25" t="s">
        <v>2369</v>
      </c>
      <c r="G511" s="27" t="s">
        <v>952</v>
      </c>
      <c r="H511" s="62">
        <v>12.89</v>
      </c>
      <c r="I511" s="27" t="str">
        <f t="shared" si="7"/>
        <v/>
      </c>
    </row>
    <row r="512" spans="1:9" hidden="1" x14ac:dyDescent="0.25">
      <c r="A512" s="25" t="s">
        <v>2370</v>
      </c>
      <c r="B512" s="25" t="s">
        <v>533</v>
      </c>
      <c r="C512" s="26" t="s">
        <v>1984</v>
      </c>
      <c r="D512" s="27" t="s">
        <v>2371</v>
      </c>
      <c r="E512" s="28" t="s">
        <v>2372</v>
      </c>
      <c r="F512" s="25" t="s">
        <v>2373</v>
      </c>
      <c r="G512" s="27" t="s">
        <v>952</v>
      </c>
      <c r="H512" s="62">
        <v>442.75</v>
      </c>
      <c r="I512" s="27" t="str">
        <f t="shared" si="7"/>
        <v/>
      </c>
    </row>
    <row r="513" spans="1:9" hidden="1" x14ac:dyDescent="0.25">
      <c r="A513" s="25" t="s">
        <v>2374</v>
      </c>
      <c r="B513" s="25" t="s">
        <v>533</v>
      </c>
      <c r="C513" s="26" t="s">
        <v>1984</v>
      </c>
      <c r="D513" s="27" t="s">
        <v>2375</v>
      </c>
      <c r="E513" s="28" t="s">
        <v>2376</v>
      </c>
      <c r="F513" s="25" t="s">
        <v>2377</v>
      </c>
      <c r="G513" s="27" t="s">
        <v>952</v>
      </c>
      <c r="H513" s="62">
        <v>377.75</v>
      </c>
      <c r="I513" s="27" t="str">
        <f t="shared" si="7"/>
        <v/>
      </c>
    </row>
    <row r="514" spans="1:9" hidden="1" x14ac:dyDescent="0.25">
      <c r="A514" s="25" t="s">
        <v>2378</v>
      </c>
      <c r="B514" s="25" t="s">
        <v>533</v>
      </c>
      <c r="C514" s="26" t="s">
        <v>1984</v>
      </c>
      <c r="D514" s="27" t="s">
        <v>2379</v>
      </c>
      <c r="E514" s="28" t="s">
        <v>2380</v>
      </c>
      <c r="F514" s="25" t="s">
        <v>2381</v>
      </c>
      <c r="G514" s="27" t="s">
        <v>952</v>
      </c>
      <c r="H514" s="62">
        <v>492.75</v>
      </c>
      <c r="I514" s="27" t="str">
        <f t="shared" si="7"/>
        <v/>
      </c>
    </row>
    <row r="515" spans="1:9" hidden="1" x14ac:dyDescent="0.25">
      <c r="A515" s="25" t="s">
        <v>2382</v>
      </c>
      <c r="B515" s="25" t="s">
        <v>533</v>
      </c>
      <c r="C515" s="26" t="s">
        <v>1984</v>
      </c>
      <c r="D515" s="27" t="s">
        <v>2383</v>
      </c>
      <c r="E515" s="28" t="s">
        <v>2384</v>
      </c>
      <c r="F515" s="25" t="s">
        <v>2385</v>
      </c>
      <c r="G515" s="27" t="s">
        <v>952</v>
      </c>
      <c r="H515" s="62">
        <v>427.95</v>
      </c>
      <c r="I515" s="27" t="str">
        <f t="shared" si="7"/>
        <v/>
      </c>
    </row>
    <row r="518" spans="1:9" x14ac:dyDescent="0.25">
      <c r="A518" s="150" t="s">
        <v>2386</v>
      </c>
      <c r="B518" s="149"/>
      <c r="C518" s="149"/>
      <c r="D518" s="149"/>
      <c r="E518" s="149"/>
      <c r="F518" s="149"/>
      <c r="G518" s="149"/>
      <c r="H518" s="149"/>
    </row>
    <row r="519" spans="1:9" x14ac:dyDescent="0.25">
      <c r="A519" s="163" t="s">
        <v>2387</v>
      </c>
      <c r="B519" s="156"/>
      <c r="C519" s="163" t="s">
        <v>2388</v>
      </c>
      <c r="D519" s="156"/>
      <c r="E519" s="163" t="s">
        <v>2389</v>
      </c>
      <c r="F519" s="156"/>
      <c r="G519" s="163" t="s">
        <v>2390</v>
      </c>
      <c r="H519" s="156"/>
    </row>
    <row r="520" spans="1:9" ht="42" customHeight="1" x14ac:dyDescent="0.25">
      <c r="A520" s="160" t="s">
        <v>2391</v>
      </c>
      <c r="B520" s="156"/>
      <c r="C520" s="160" t="s">
        <v>2392</v>
      </c>
      <c r="D520" s="156"/>
      <c r="E520" s="162" t="s">
        <v>2393</v>
      </c>
      <c r="F520" s="156"/>
      <c r="G520" s="161" t="s">
        <v>2394</v>
      </c>
      <c r="H520" s="156"/>
    </row>
    <row r="521" spans="1:9" ht="42" customHeight="1" x14ac:dyDescent="0.25">
      <c r="A521" s="160" t="s">
        <v>741</v>
      </c>
      <c r="B521" s="156"/>
      <c r="C521" s="160" t="s">
        <v>2395</v>
      </c>
      <c r="D521" s="156"/>
      <c r="E521" s="162" t="s">
        <v>2396</v>
      </c>
      <c r="F521" s="156"/>
      <c r="G521" s="161" t="s">
        <v>2394</v>
      </c>
      <c r="H521" s="156"/>
    </row>
    <row r="522" spans="1:9" ht="42" customHeight="1" x14ac:dyDescent="0.25">
      <c r="A522" s="160" t="s">
        <v>2397</v>
      </c>
      <c r="B522" s="156"/>
      <c r="C522" s="160" t="s">
        <v>2398</v>
      </c>
      <c r="D522" s="156"/>
      <c r="E522" s="162" t="s">
        <v>2399</v>
      </c>
      <c r="F522" s="156"/>
      <c r="G522" s="161" t="s">
        <v>2394</v>
      </c>
      <c r="H522" s="156"/>
    </row>
    <row r="523" spans="1:9" ht="42" customHeight="1" x14ac:dyDescent="0.25">
      <c r="A523" s="160" t="s">
        <v>2400</v>
      </c>
      <c r="B523" s="156"/>
      <c r="C523" s="160" t="s">
        <v>2401</v>
      </c>
      <c r="D523" s="156"/>
      <c r="E523" s="162" t="s">
        <v>2402</v>
      </c>
      <c r="F523" s="156"/>
      <c r="G523" s="161" t="s">
        <v>2394</v>
      </c>
      <c r="H523" s="156"/>
    </row>
    <row r="524" spans="1:9" ht="42" customHeight="1" x14ac:dyDescent="0.25">
      <c r="A524" s="160" t="s">
        <v>2403</v>
      </c>
      <c r="B524" s="156"/>
      <c r="C524" s="160" t="s">
        <v>2404</v>
      </c>
      <c r="D524" s="156"/>
      <c r="E524" s="162" t="s">
        <v>2405</v>
      </c>
      <c r="F524" s="156"/>
      <c r="G524" s="165" t="s">
        <v>2406</v>
      </c>
      <c r="H524" s="156"/>
    </row>
    <row r="525" spans="1:9" ht="42" customHeight="1" x14ac:dyDescent="0.25">
      <c r="A525" s="160" t="s">
        <v>826</v>
      </c>
      <c r="B525" s="156"/>
      <c r="C525" s="160" t="s">
        <v>2407</v>
      </c>
      <c r="D525" s="156"/>
      <c r="E525" s="162" t="s">
        <v>2408</v>
      </c>
      <c r="F525" s="156"/>
      <c r="G525" s="161" t="s">
        <v>2394</v>
      </c>
      <c r="H525" s="156"/>
    </row>
    <row r="526" spans="1:9" ht="42" customHeight="1" x14ac:dyDescent="0.25">
      <c r="A526" s="160" t="s">
        <v>2409</v>
      </c>
      <c r="B526" s="156"/>
      <c r="C526" s="160" t="s">
        <v>2410</v>
      </c>
      <c r="D526" s="156"/>
      <c r="E526" s="162" t="s">
        <v>2411</v>
      </c>
      <c r="F526" s="156"/>
      <c r="G526" s="161" t="s">
        <v>2394</v>
      </c>
      <c r="H526" s="156"/>
    </row>
    <row r="528" spans="1:9" x14ac:dyDescent="0.25">
      <c r="A528" s="150" t="s">
        <v>2412</v>
      </c>
      <c r="B528" s="149"/>
      <c r="C528" s="149"/>
      <c r="D528" s="149"/>
      <c r="E528" s="149"/>
      <c r="F528" s="149"/>
      <c r="G528" s="149"/>
      <c r="H528" s="149"/>
    </row>
    <row r="529" spans="1:8" ht="45.95" customHeight="1" x14ac:dyDescent="0.25">
      <c r="A529" s="160" t="s">
        <v>2413</v>
      </c>
      <c r="B529" s="155"/>
      <c r="C529" s="155"/>
      <c r="D529" s="155"/>
      <c r="E529" s="155"/>
      <c r="F529" s="155"/>
      <c r="G529" s="155"/>
      <c r="H529" s="156"/>
    </row>
    <row r="531" spans="1:8" ht="27.95" customHeight="1" x14ac:dyDescent="0.25">
      <c r="A531" s="164" t="s">
        <v>2414</v>
      </c>
      <c r="B531" s="155"/>
      <c r="C531" s="155"/>
      <c r="D531" s="155"/>
      <c r="E531" s="155"/>
      <c r="F531" s="155"/>
      <c r="G531" s="155"/>
      <c r="H531" s="156"/>
    </row>
  </sheetData>
  <autoFilter ref="A4:I515">
    <filterColumn colId="1">
      <filters>
        <filter val="BERTIOGA"/>
      </filters>
    </filterColumn>
    <filterColumn colId="4">
      <filters>
        <filter val="LAG   TA SUCES S/REP SF"/>
        <filter val="LAG   TO SUCES S/REP SF"/>
        <filter val="LAG  ATE 32MM TA AVUL S/REP SF"/>
        <filter val="LAG  ATE 32MM TO AVUL S/REP SF"/>
        <filter val="LPB ATE 2M TA TRE  COMPX C"/>
        <filter val="LPB ATE 2M TO TRE  COMPX C"/>
        <filter val="LPB DE 2 A 3M TA TRE  COMPX C"/>
        <filter val="LPB DE 2 A 3M TO TRE  COMPX C"/>
        <filter val="LPB DE 3 A 4M TA TRE  COMPX C"/>
        <filter val="LPB DE 3 A 4M TO TRE  COMPX C"/>
        <filter val="LRP CIM ATE 2M  TRE"/>
        <filter val="LRP CIM DE 2 A 3M  TRE"/>
        <filter val="LRP CIM DE 3 A 4M  TRE"/>
        <filter val="LRP ESP   LAG AVUL"/>
        <filter val="TCV SF"/>
        <filter val="TRA  ATE 32MM CORR TA S/REP SF"/>
        <filter val="TRA  ATE 32MM CORR TO S/REP SF"/>
      </filters>
    </filterColumn>
  </autoFilter>
  <mergeCells count="46">
    <mergeCell ref="A529:H529"/>
    <mergeCell ref="A525:B525"/>
    <mergeCell ref="G525:H525"/>
    <mergeCell ref="A1:I1"/>
    <mergeCell ref="C519:D519"/>
    <mergeCell ref="E519:F519"/>
    <mergeCell ref="E522:F522"/>
    <mergeCell ref="G522:H522"/>
    <mergeCell ref="A518:H518"/>
    <mergeCell ref="A528:H528"/>
    <mergeCell ref="C522:D522"/>
    <mergeCell ref="A531:H531"/>
    <mergeCell ref="O8:T8"/>
    <mergeCell ref="O2:T2"/>
    <mergeCell ref="C521:D521"/>
    <mergeCell ref="E521:F521"/>
    <mergeCell ref="A524:B524"/>
    <mergeCell ref="G524:H524"/>
    <mergeCell ref="E520:F520"/>
    <mergeCell ref="G520:H520"/>
    <mergeCell ref="C523:D523"/>
    <mergeCell ref="O7:T7"/>
    <mergeCell ref="E523:F523"/>
    <mergeCell ref="O3:T3"/>
    <mergeCell ref="C526:D526"/>
    <mergeCell ref="A526:B526"/>
    <mergeCell ref="A2:I2"/>
    <mergeCell ref="C525:D525"/>
    <mergeCell ref="E525:F525"/>
    <mergeCell ref="A519:B519"/>
    <mergeCell ref="G519:H519"/>
    <mergeCell ref="A522:B522"/>
    <mergeCell ref="E526:F526"/>
    <mergeCell ref="G526:H526"/>
    <mergeCell ref="A521:B521"/>
    <mergeCell ref="G521:H521"/>
    <mergeCell ref="O5:T5"/>
    <mergeCell ref="C524:D524"/>
    <mergeCell ref="O1:T1"/>
    <mergeCell ref="E524:F524"/>
    <mergeCell ref="C520:D520"/>
    <mergeCell ref="O4:T4"/>
    <mergeCell ref="A520:B520"/>
    <mergeCell ref="A523:B523"/>
    <mergeCell ref="G523:H523"/>
    <mergeCell ref="O6:T6"/>
  </mergeCells>
  <printOptions horizontalCentered="1"/>
  <pageMargins left="0.3" right="0.3" top="0.5" bottom="0.5" header="0.5" footer="0.5"/>
  <pageSetup paperSize="9" fitToHeight="0" orientation="portrait"/>
  <headerFooter>
    <oddFooter>&amp;L&amp;8 WCR Saneamento — Controle Operacional SABESP&amp;R&amp;8 Página &amp;P de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2E75B6"/>
    <pageSetUpPr fitToPage="1"/>
  </sheetPr>
  <dimension ref="A1:AF604"/>
  <sheetViews>
    <sheetView showGridLines="0" topLeftCell="S1" workbookViewId="0">
      <pane ySplit="4" topLeftCell="A5" activePane="bottomLeft" state="frozen"/>
      <selection pane="bottomLeft" activeCell="A22" sqref="A22"/>
    </sheetView>
  </sheetViews>
  <sheetFormatPr defaultRowHeight="15" x14ac:dyDescent="0.25"/>
  <cols>
    <col min="1" max="1" width="11" style="109" customWidth="1"/>
    <col min="2" max="2" width="12" style="109" customWidth="1"/>
    <col min="3" max="3" width="14" style="109" customWidth="1"/>
    <col min="4" max="4" width="12" style="109" customWidth="1"/>
    <col min="5" max="5" width="8" style="109" customWidth="1"/>
    <col min="6" max="6" width="12" style="109" customWidth="1"/>
    <col min="7" max="7" width="13" style="109" customWidth="1"/>
    <col min="8" max="8" width="30" style="109" customWidth="1"/>
    <col min="9" max="9" width="34" style="109" customWidth="1"/>
    <col min="10" max="10" width="7" style="109" customWidth="1"/>
    <col min="11" max="11" width="22" style="109" customWidth="1"/>
    <col min="12" max="12" width="12" style="109" customWidth="1"/>
    <col min="13" max="13" width="26" style="109" customWidth="1"/>
    <col min="14" max="14" width="15" style="109" customWidth="1"/>
    <col min="15" max="15" width="40" style="109" customWidth="1"/>
    <col min="16" max="16" width="13" style="109" customWidth="1"/>
    <col min="17" max="18" width="12" style="109" customWidth="1"/>
    <col min="19" max="19" width="15" style="109" customWidth="1"/>
    <col min="20" max="20" width="9" style="109" customWidth="1"/>
    <col min="21" max="21" width="16" style="109" customWidth="1"/>
    <col min="22" max="22" width="14" style="109" customWidth="1"/>
    <col min="23" max="23" width="18" style="109" customWidth="1"/>
    <col min="24" max="24" width="32" style="109" customWidth="1"/>
    <col min="27" max="32" width="10.42578125" style="109" customWidth="1"/>
  </cols>
  <sheetData>
    <row r="1" spans="1:32" ht="26.1" customHeight="1" x14ac:dyDescent="0.25">
      <c r="A1" s="151" t="s">
        <v>2415</v>
      </c>
      <c r="B1" s="149"/>
      <c r="C1" s="149"/>
      <c r="D1" s="149"/>
      <c r="E1" s="149"/>
      <c r="F1" s="149"/>
      <c r="G1" s="149"/>
      <c r="H1" s="149"/>
      <c r="I1" s="149"/>
      <c r="J1" s="149"/>
      <c r="K1" s="149"/>
      <c r="L1" s="149"/>
      <c r="M1" s="149"/>
      <c r="N1" s="149"/>
      <c r="O1" s="149"/>
      <c r="P1" s="149"/>
      <c r="Q1" s="149"/>
      <c r="R1" s="149"/>
      <c r="S1" s="149"/>
      <c r="T1" s="149"/>
      <c r="U1" s="149"/>
      <c r="V1" s="149"/>
      <c r="W1" s="149"/>
      <c r="X1" s="149"/>
      <c r="AA1" s="154" t="s">
        <v>280</v>
      </c>
      <c r="AB1" s="155"/>
      <c r="AC1" s="155"/>
      <c r="AD1" s="155"/>
      <c r="AE1" s="155"/>
      <c r="AF1" s="156"/>
    </row>
    <row r="2" spans="1:32" ht="14.1" customHeight="1" x14ac:dyDescent="0.25">
      <c r="A2" s="153" t="s">
        <v>2416</v>
      </c>
      <c r="B2" s="149"/>
      <c r="C2" s="149"/>
      <c r="D2" s="149"/>
      <c r="E2" s="149"/>
      <c r="F2" s="149"/>
      <c r="G2" s="149"/>
      <c r="H2" s="149"/>
      <c r="I2" s="149"/>
      <c r="J2" s="149"/>
      <c r="K2" s="149"/>
      <c r="L2" s="149"/>
      <c r="M2" s="149"/>
      <c r="N2" s="149"/>
      <c r="O2" s="149"/>
      <c r="P2" s="149"/>
      <c r="Q2" s="149"/>
      <c r="R2" s="149"/>
      <c r="S2" s="149"/>
      <c r="T2" s="149"/>
      <c r="U2" s="149"/>
      <c r="V2" s="149"/>
      <c r="W2" s="149"/>
      <c r="X2" s="149"/>
      <c r="AA2" s="158" t="s">
        <v>51</v>
      </c>
      <c r="AB2" s="155"/>
      <c r="AC2" s="155"/>
      <c r="AD2" s="155"/>
      <c r="AE2" s="155"/>
      <c r="AF2" s="156"/>
    </row>
    <row r="3" spans="1:32" x14ac:dyDescent="0.25">
      <c r="AA3" s="157" t="s">
        <v>52</v>
      </c>
      <c r="AB3" s="155"/>
      <c r="AC3" s="155"/>
      <c r="AD3" s="155"/>
      <c r="AE3" s="155"/>
      <c r="AF3" s="156"/>
    </row>
    <row r="4" spans="1:32" ht="32.1" customHeight="1" x14ac:dyDescent="0.25">
      <c r="A4" s="46" t="s">
        <v>2417</v>
      </c>
      <c r="B4" s="46" t="s">
        <v>591</v>
      </c>
      <c r="C4" s="46" t="s">
        <v>2418</v>
      </c>
      <c r="D4" s="46" t="s">
        <v>2419</v>
      </c>
      <c r="E4" s="46" t="s">
        <v>2420</v>
      </c>
      <c r="F4" s="46" t="s">
        <v>2421</v>
      </c>
      <c r="G4" s="46" t="s">
        <v>593</v>
      </c>
      <c r="H4" s="46" t="s">
        <v>916</v>
      </c>
      <c r="I4" s="46" t="s">
        <v>2422</v>
      </c>
      <c r="J4" s="46" t="s">
        <v>2423</v>
      </c>
      <c r="K4" s="46" t="s">
        <v>603</v>
      </c>
      <c r="L4" s="46" t="s">
        <v>2424</v>
      </c>
      <c r="M4" s="46" t="s">
        <v>2425</v>
      </c>
      <c r="N4" s="46" t="s">
        <v>602</v>
      </c>
      <c r="O4" s="46" t="s">
        <v>2426</v>
      </c>
      <c r="P4" s="46" t="s">
        <v>2427</v>
      </c>
      <c r="Q4" s="46" t="s">
        <v>2428</v>
      </c>
      <c r="R4" s="46" t="s">
        <v>2429</v>
      </c>
      <c r="S4" s="46" t="s">
        <v>2430</v>
      </c>
      <c r="T4" s="46" t="s">
        <v>2431</v>
      </c>
      <c r="U4" s="46" t="s">
        <v>2432</v>
      </c>
      <c r="V4" s="46" t="s">
        <v>2433</v>
      </c>
      <c r="W4" s="46" t="s">
        <v>2434</v>
      </c>
      <c r="X4" s="46" t="s">
        <v>561</v>
      </c>
      <c r="AA4" s="157" t="s">
        <v>53</v>
      </c>
      <c r="AB4" s="155"/>
      <c r="AC4" s="155"/>
      <c r="AD4" s="155"/>
      <c r="AE4" s="155"/>
      <c r="AF4" s="156"/>
    </row>
    <row r="5" spans="1:32" ht="25.5" customHeight="1" x14ac:dyDescent="0.25">
      <c r="A5" s="29" t="str">
        <f t="shared" ref="A5:A68" si="0">IF($B5="","",LEFT($B5,3)&amp;"-"&amp;TEXT(ROW()-4,"0000"))</f>
        <v>BER-0001</v>
      </c>
      <c r="B5" s="30" t="s">
        <v>529</v>
      </c>
      <c r="C5" s="30"/>
      <c r="D5" s="31">
        <v>46267</v>
      </c>
      <c r="E5" s="10">
        <v>5</v>
      </c>
      <c r="F5" s="32">
        <f>IF($D5="","",$D5+IF($E5="",'01. CONFIGURAÇÕES'!$C$22,$E5))</f>
        <v>46272</v>
      </c>
      <c r="G5" s="30" t="s">
        <v>642</v>
      </c>
      <c r="H5" s="33" t="s">
        <v>620</v>
      </c>
      <c r="I5" s="33" t="s">
        <v>2435</v>
      </c>
      <c r="J5" s="30" t="s">
        <v>2436</v>
      </c>
      <c r="K5" s="33" t="s">
        <v>651</v>
      </c>
      <c r="L5" s="30" t="s">
        <v>2437</v>
      </c>
      <c r="M5" s="33" t="s">
        <v>2438</v>
      </c>
      <c r="N5" s="30"/>
      <c r="O5" s="33" t="s">
        <v>2439</v>
      </c>
      <c r="P5" s="34">
        <f t="shared" ref="P5:P68" si="1">IFERROR(IF($A5="","",IF(COUNTIFS(OS_ID,$A5)&gt;0,INDEX(OS_EQUIPE,MATCH($A5,OS_ID,0)),IF(COUNTIFS(PROG_ID,$A5)&gt;0,INDEX(PROG_EQUIPE,MATCH($A5,PROG_ID,0)),""))),"")</f>
        <v>0</v>
      </c>
      <c r="Q5" s="35">
        <f t="shared" ref="Q5:Q68" si="2">IF($A5="","",IFERROR(IF(INDEX(PROG_DATA,MATCH($A5,PROG_ID,0))=0,"",INDEX(PROG_DATA,MATCH($A5,PROG_ID,0))),""))</f>
        <v>46273</v>
      </c>
      <c r="R5" s="35">
        <f t="shared" ref="R5:R29" si="3">IF($A5="","",IFERROR(IF(INDEX(OS_FIM,MATCH($A5,OS_ID,0))=0,"",INDEX(OS_FIM,MATCH($A5,OS_ID,0))),""))</f>
        <v>46273</v>
      </c>
      <c r="S5" s="29" t="str">
        <f t="shared" ref="S5:S68" si="4">IF($A5="","",IF($W5&lt;&gt;"",$W5,IF($V5&gt;0,"MEDIDO",IF($R5&lt;&gt;"","EXECUTADO",IF(COUNTIFS(OS_ID,$A5)&gt;0,"EM EXECUÇÃO",IF($Q5&lt;&gt;"","PROGRAMADO","CADASTRADO"))))))</f>
        <v>EXECUTADO</v>
      </c>
      <c r="T5" s="13">
        <f t="shared" ref="T5:T68" ca="1" si="5">IF($A5="","",IF($R5&lt;&gt;"",$R5-$D5,TODAY()-$D5))</f>
        <v>6</v>
      </c>
      <c r="U5" s="29" t="str">
        <f ca="1">IF(OR($A5="",$F5=""),"",IF($R5&lt;&gt;"",IF($R5&lt;=$F5,"NO PRAZO","FORA DO PRAZO"),IF(TODAY()&gt;$F5,"VENCIDO",IF($F5-TODAY()&lt;='01. CONFIGURAÇÕES'!$C$23,"VENCE EM BREVE","EM DIA"))))</f>
        <v>FORA DO PRAZO</v>
      </c>
      <c r="V5" s="55">
        <f t="shared" ref="V5:V68" si="6">IF($A5="","",SUMIFS(MED_VLR,MED_ID,$A5))</f>
        <v>0</v>
      </c>
      <c r="W5" s="30"/>
      <c r="X5" s="33"/>
      <c r="AA5" s="157" t="s">
        <v>54</v>
      </c>
      <c r="AB5" s="155"/>
      <c r="AC5" s="155"/>
      <c r="AD5" s="155"/>
      <c r="AE5" s="155"/>
      <c r="AF5" s="156"/>
    </row>
    <row r="6" spans="1:32" ht="25.5" customHeight="1" x14ac:dyDescent="0.25">
      <c r="A6" s="29" t="str">
        <f t="shared" si="0"/>
        <v>BER-0002</v>
      </c>
      <c r="B6" s="30" t="s">
        <v>529</v>
      </c>
      <c r="C6" s="30"/>
      <c r="D6" s="31">
        <v>46267</v>
      </c>
      <c r="E6" s="10">
        <v>5</v>
      </c>
      <c r="F6" s="32">
        <f>IF($D6="","",$D6+IF($E6="",'01. CONFIGURAÇÕES'!$C$22,$E6))</f>
        <v>46272</v>
      </c>
      <c r="G6" s="30" t="s">
        <v>642</v>
      </c>
      <c r="H6" s="33" t="s">
        <v>620</v>
      </c>
      <c r="I6" s="33" t="s">
        <v>2440</v>
      </c>
      <c r="J6" s="30" t="s">
        <v>2441</v>
      </c>
      <c r="K6" s="33" t="s">
        <v>672</v>
      </c>
      <c r="L6" s="30" t="s">
        <v>2437</v>
      </c>
      <c r="M6" s="33" t="s">
        <v>2442</v>
      </c>
      <c r="N6" s="30"/>
      <c r="O6" s="33" t="s">
        <v>2439</v>
      </c>
      <c r="P6" s="34">
        <f t="shared" si="1"/>
        <v>0</v>
      </c>
      <c r="Q6" s="35">
        <f t="shared" si="2"/>
        <v>46268</v>
      </c>
      <c r="R6" s="35">
        <f t="shared" si="3"/>
        <v>46268</v>
      </c>
      <c r="S6" s="29" t="str">
        <f t="shared" si="4"/>
        <v>MEDIDO</v>
      </c>
      <c r="T6" s="13">
        <f t="shared" ca="1" si="5"/>
        <v>1</v>
      </c>
      <c r="U6" s="29" t="str">
        <f ca="1">IF(OR($A6="",$F6=""),"",IF($R6&lt;&gt;"",IF($R6&lt;=$F6,"NO PRAZO","FORA DO PRAZO"),IF(TODAY()&gt;$F6,"VENCIDO",IF($F6-TODAY()&lt;='01. CONFIGURAÇÕES'!$C$23,"VENCE EM BREVE","EM DIA"))))</f>
        <v>NO PRAZO</v>
      </c>
      <c r="V6" s="55">
        <f t="shared" si="6"/>
        <v>924.97</v>
      </c>
      <c r="W6" s="30"/>
      <c r="X6" s="33"/>
      <c r="AA6" s="157" t="s">
        <v>55</v>
      </c>
      <c r="AB6" s="155"/>
      <c r="AC6" s="155"/>
      <c r="AD6" s="155"/>
      <c r="AE6" s="155"/>
      <c r="AF6" s="156"/>
    </row>
    <row r="7" spans="1:32" x14ac:dyDescent="0.25">
      <c r="A7" s="29" t="str">
        <f t="shared" si="0"/>
        <v>BER-0003</v>
      </c>
      <c r="B7" s="30" t="s">
        <v>529</v>
      </c>
      <c r="C7" s="30"/>
      <c r="D7" s="31">
        <v>46267</v>
      </c>
      <c r="E7" s="10">
        <v>5</v>
      </c>
      <c r="F7" s="32">
        <f>IF($D7="","",$D7+IF($E7="",'01. CONFIGURAÇÕES'!$C$22,$E7))</f>
        <v>46272</v>
      </c>
      <c r="G7" s="30" t="s">
        <v>639</v>
      </c>
      <c r="H7" s="33" t="s">
        <v>741</v>
      </c>
      <c r="I7" s="33" t="s">
        <v>2443</v>
      </c>
      <c r="J7" s="30" t="s">
        <v>2444</v>
      </c>
      <c r="K7" s="33" t="s">
        <v>651</v>
      </c>
      <c r="L7" s="30" t="s">
        <v>2437</v>
      </c>
      <c r="M7" s="33" t="s">
        <v>2445</v>
      </c>
      <c r="N7" s="30"/>
      <c r="O7" s="33" t="s">
        <v>2446</v>
      </c>
      <c r="P7" s="34">
        <f t="shared" si="1"/>
        <v>0</v>
      </c>
      <c r="Q7" s="35">
        <f t="shared" si="2"/>
        <v>46268</v>
      </c>
      <c r="R7" s="35">
        <f t="shared" si="3"/>
        <v>46268</v>
      </c>
      <c r="S7" s="29" t="str">
        <f t="shared" si="4"/>
        <v>MEDIDO</v>
      </c>
      <c r="T7" s="13">
        <f t="shared" ca="1" si="5"/>
        <v>1</v>
      </c>
      <c r="U7" s="29" t="str">
        <f ca="1">IF(OR($A7="",$F7=""),"",IF($R7&lt;&gt;"",IF($R7&lt;=$F7,"NO PRAZO","FORA DO PRAZO"),IF(TODAY()&gt;$F7,"VENCIDO",IF($F7-TODAY()&lt;='01. CONFIGURAÇÕES'!$C$23,"VENCE EM BREVE","EM DIA"))))</f>
        <v>NO PRAZO</v>
      </c>
      <c r="V7" s="55">
        <f t="shared" si="6"/>
        <v>785.07</v>
      </c>
      <c r="W7" s="30"/>
      <c r="X7" s="33"/>
      <c r="AA7" s="157" t="s">
        <v>56</v>
      </c>
      <c r="AB7" s="155"/>
      <c r="AC7" s="155"/>
      <c r="AD7" s="155"/>
      <c r="AE7" s="155"/>
      <c r="AF7" s="156"/>
    </row>
    <row r="8" spans="1:32" ht="25.5" customHeight="1" x14ac:dyDescent="0.25">
      <c r="A8" s="29" t="str">
        <f t="shared" si="0"/>
        <v>BER-0004</v>
      </c>
      <c r="B8" s="30" t="s">
        <v>529</v>
      </c>
      <c r="C8" s="30"/>
      <c r="D8" s="31">
        <v>46267</v>
      </c>
      <c r="E8" s="10">
        <v>5</v>
      </c>
      <c r="F8" s="32">
        <f>IF($D8="","",$D8+IF($E8="",'01. CONFIGURAÇÕES'!$C$22,$E8))</f>
        <v>46272</v>
      </c>
      <c r="G8" s="30" t="s">
        <v>642</v>
      </c>
      <c r="H8" s="33" t="s">
        <v>643</v>
      </c>
      <c r="I8" s="33" t="s">
        <v>2447</v>
      </c>
      <c r="J8" s="30" t="s">
        <v>2448</v>
      </c>
      <c r="K8" s="33" t="s">
        <v>651</v>
      </c>
      <c r="L8" s="30" t="s">
        <v>2437</v>
      </c>
      <c r="M8" s="33" t="s">
        <v>2449</v>
      </c>
      <c r="N8" s="30"/>
      <c r="O8" s="33" t="s">
        <v>2450</v>
      </c>
      <c r="P8" s="34">
        <f t="shared" si="1"/>
        <v>0</v>
      </c>
      <c r="Q8" s="35">
        <f t="shared" si="2"/>
        <v>46268</v>
      </c>
      <c r="R8" s="35">
        <f t="shared" si="3"/>
        <v>46268</v>
      </c>
      <c r="S8" s="29" t="str">
        <f t="shared" si="4"/>
        <v>MEDIDO</v>
      </c>
      <c r="T8" s="13">
        <f t="shared" ca="1" si="5"/>
        <v>1</v>
      </c>
      <c r="U8" s="29" t="str">
        <f ca="1">IF(OR($A8="",$F8=""),"",IF($R8&lt;&gt;"",IF($R8&lt;=$F8,"NO PRAZO","FORA DO PRAZO"),IF(TODAY()&gt;$F8,"VENCIDO",IF($F8-TODAY()&lt;='01. CONFIGURAÇÕES'!$C$23,"VENCE EM BREVE","EM DIA"))))</f>
        <v>NO PRAZO</v>
      </c>
      <c r="V8" s="55">
        <f t="shared" si="6"/>
        <v>785.07</v>
      </c>
      <c r="W8" s="30"/>
      <c r="X8" s="33" t="s">
        <v>2451</v>
      </c>
      <c r="AA8" s="157" t="s">
        <v>57</v>
      </c>
      <c r="AB8" s="155"/>
      <c r="AC8" s="155"/>
      <c r="AD8" s="155"/>
      <c r="AE8" s="155"/>
      <c r="AF8" s="156"/>
    </row>
    <row r="9" spans="1:32" ht="25.5" customHeight="1" x14ac:dyDescent="0.25">
      <c r="A9" s="29" t="str">
        <f t="shared" si="0"/>
        <v>BER-0005</v>
      </c>
      <c r="B9" s="30" t="s">
        <v>529</v>
      </c>
      <c r="C9" s="30"/>
      <c r="D9" s="31">
        <v>46267</v>
      </c>
      <c r="E9" s="10">
        <v>5</v>
      </c>
      <c r="F9" s="32">
        <f>IF($D9="","",$D9+IF($E9="",'01. CONFIGURAÇÕES'!$C$22,$E9))</f>
        <v>46272</v>
      </c>
      <c r="G9" s="30" t="s">
        <v>642</v>
      </c>
      <c r="H9" s="33" t="s">
        <v>643</v>
      </c>
      <c r="I9" s="33" t="s">
        <v>2452</v>
      </c>
      <c r="J9" s="30" t="s">
        <v>2453</v>
      </c>
      <c r="K9" s="33" t="s">
        <v>651</v>
      </c>
      <c r="L9" s="30" t="s">
        <v>2437</v>
      </c>
      <c r="M9" s="33" t="s">
        <v>2454</v>
      </c>
      <c r="N9" s="30"/>
      <c r="O9" s="33" t="s">
        <v>2450</v>
      </c>
      <c r="P9" s="34">
        <f t="shared" si="1"/>
        <v>0</v>
      </c>
      <c r="Q9" s="35">
        <f t="shared" si="2"/>
        <v>46268</v>
      </c>
      <c r="R9" s="35">
        <f t="shared" si="3"/>
        <v>46268</v>
      </c>
      <c r="S9" s="29" t="str">
        <f t="shared" si="4"/>
        <v>MEDIDO</v>
      </c>
      <c r="T9" s="13">
        <f t="shared" ca="1" si="5"/>
        <v>1</v>
      </c>
      <c r="U9" s="29" t="str">
        <f ca="1">IF(OR($A9="",$F9=""),"",IF($R9&lt;&gt;"",IF($R9&lt;=$F9,"NO PRAZO","FORA DO PRAZO"),IF(TODAY()&gt;$F9,"VENCIDO",IF($F9-TODAY()&lt;='01. CONFIGURAÇÕES'!$C$23,"VENCE EM BREVE","EM DIA"))))</f>
        <v>NO PRAZO</v>
      </c>
      <c r="V9" s="55">
        <f t="shared" si="6"/>
        <v>1086.54</v>
      </c>
      <c r="W9" s="30"/>
      <c r="X9" s="33"/>
      <c r="AA9" s="157" t="s">
        <v>58</v>
      </c>
      <c r="AB9" s="155"/>
      <c r="AC9" s="155"/>
      <c r="AD9" s="155"/>
      <c r="AE9" s="155"/>
      <c r="AF9" s="156"/>
    </row>
    <row r="10" spans="1:32" ht="25.5" customHeight="1" x14ac:dyDescent="0.25">
      <c r="A10" s="29" t="str">
        <f t="shared" si="0"/>
        <v>BER-0006</v>
      </c>
      <c r="B10" s="30" t="s">
        <v>529</v>
      </c>
      <c r="C10" s="30"/>
      <c r="D10" s="31">
        <v>46267</v>
      </c>
      <c r="E10" s="10">
        <v>5</v>
      </c>
      <c r="F10" s="32">
        <f>IF($D10="","",$D10+IF($E10="",'01. CONFIGURAÇÕES'!$C$22,$E10))</f>
        <v>46272</v>
      </c>
      <c r="G10" s="30" t="s">
        <v>639</v>
      </c>
      <c r="H10" s="33" t="s">
        <v>741</v>
      </c>
      <c r="I10" s="33" t="s">
        <v>2455</v>
      </c>
      <c r="J10" s="30" t="s">
        <v>2456</v>
      </c>
      <c r="K10" s="33" t="s">
        <v>672</v>
      </c>
      <c r="L10" s="30" t="s">
        <v>2437</v>
      </c>
      <c r="M10" s="33" t="s">
        <v>2457</v>
      </c>
      <c r="N10" s="30"/>
      <c r="O10" s="33" t="s">
        <v>2446</v>
      </c>
      <c r="P10" s="34">
        <f t="shared" si="1"/>
        <v>0</v>
      </c>
      <c r="Q10" s="35">
        <f t="shared" si="2"/>
        <v>46268</v>
      </c>
      <c r="R10" s="35">
        <f t="shared" si="3"/>
        <v>46268</v>
      </c>
      <c r="S10" s="29" t="str">
        <f t="shared" si="4"/>
        <v>MEDIDO</v>
      </c>
      <c r="T10" s="13">
        <f t="shared" ca="1" si="5"/>
        <v>1</v>
      </c>
      <c r="U10" s="29" t="str">
        <f ca="1">IF(OR($A10="",$F10=""),"",IF($R10&lt;&gt;"",IF($R10&lt;=$F10,"NO PRAZO","FORA DO PRAZO"),IF(TODAY()&gt;$F10,"VENCIDO",IF($F10-TODAY()&lt;='01. CONFIGURAÇÕES'!$C$23,"VENCE EM BREVE","EM DIA"))))</f>
        <v>NO PRAZO</v>
      </c>
      <c r="V10" s="55">
        <f t="shared" si="6"/>
        <v>924.97</v>
      </c>
      <c r="W10" s="30"/>
      <c r="X10" s="33"/>
      <c r="AA10" s="157" t="s">
        <v>59</v>
      </c>
      <c r="AB10" s="155"/>
      <c r="AC10" s="155"/>
      <c r="AD10" s="155"/>
      <c r="AE10" s="155"/>
      <c r="AF10" s="156"/>
    </row>
    <row r="11" spans="1:32" ht="25.5" customHeight="1" x14ac:dyDescent="0.25">
      <c r="A11" s="29" t="str">
        <f t="shared" si="0"/>
        <v>BER-0007</v>
      </c>
      <c r="B11" s="30" t="s">
        <v>529</v>
      </c>
      <c r="C11" s="30"/>
      <c r="D11" s="31">
        <v>46267</v>
      </c>
      <c r="E11" s="10">
        <v>5</v>
      </c>
      <c r="F11" s="32">
        <f>IF($D11="","",$D11+IF($E11="",'01. CONFIGURAÇÕES'!$C$22,$E11))</f>
        <v>46272</v>
      </c>
      <c r="G11" s="30" t="s">
        <v>639</v>
      </c>
      <c r="H11" s="33" t="s">
        <v>741</v>
      </c>
      <c r="I11" s="33" t="s">
        <v>2455</v>
      </c>
      <c r="J11" s="30" t="s">
        <v>2458</v>
      </c>
      <c r="K11" s="33" t="s">
        <v>672</v>
      </c>
      <c r="L11" s="30" t="s">
        <v>2437</v>
      </c>
      <c r="M11" s="33" t="s">
        <v>2459</v>
      </c>
      <c r="N11" s="30"/>
      <c r="O11" s="33" t="s">
        <v>2446</v>
      </c>
      <c r="P11" s="34">
        <f t="shared" si="1"/>
        <v>0</v>
      </c>
      <c r="Q11" s="35">
        <f t="shared" si="2"/>
        <v>46267</v>
      </c>
      <c r="R11" s="35">
        <f t="shared" si="3"/>
        <v>46268</v>
      </c>
      <c r="S11" s="29" t="str">
        <f t="shared" si="4"/>
        <v>MEDIDO</v>
      </c>
      <c r="T11" s="13">
        <f t="shared" ca="1" si="5"/>
        <v>1</v>
      </c>
      <c r="U11" s="29" t="str">
        <f ca="1">IF(OR($A11="",$F11=""),"",IF($R11&lt;&gt;"",IF($R11&lt;=$F11,"NO PRAZO","FORA DO PRAZO"),IF(TODAY()&gt;$F11,"VENCIDO",IF($F11-TODAY()&lt;='01. CONFIGURAÇÕES'!$C$23,"VENCE EM BREVE","EM DIA"))))</f>
        <v>NO PRAZO</v>
      </c>
      <c r="V11" s="55">
        <f t="shared" si="6"/>
        <v>1871.6100000000001</v>
      </c>
      <c r="W11" s="30"/>
      <c r="X11" s="33"/>
      <c r="AA11" s="157" t="s">
        <v>60</v>
      </c>
      <c r="AB11" s="155"/>
      <c r="AC11" s="155"/>
      <c r="AD11" s="155"/>
      <c r="AE11" s="155"/>
      <c r="AF11" s="156"/>
    </row>
    <row r="12" spans="1:32" ht="25.5" customHeight="1" x14ac:dyDescent="0.25">
      <c r="A12" s="29" t="str">
        <f t="shared" si="0"/>
        <v>BER-0008</v>
      </c>
      <c r="B12" s="30" t="s">
        <v>529</v>
      </c>
      <c r="C12" s="30"/>
      <c r="D12" s="31">
        <v>46267</v>
      </c>
      <c r="E12" s="10">
        <v>5</v>
      </c>
      <c r="F12" s="32">
        <f>IF($D12="","",$D12+IF($E12="",'01. CONFIGURAÇÕES'!$C$22,$E12))</f>
        <v>46272</v>
      </c>
      <c r="G12" s="30" t="s">
        <v>642</v>
      </c>
      <c r="H12" s="33" t="s">
        <v>643</v>
      </c>
      <c r="I12" s="33" t="s">
        <v>2447</v>
      </c>
      <c r="J12" s="30" t="s">
        <v>2460</v>
      </c>
      <c r="K12" s="33" t="s">
        <v>651</v>
      </c>
      <c r="L12" s="30" t="s">
        <v>2437</v>
      </c>
      <c r="M12" s="33" t="s">
        <v>2461</v>
      </c>
      <c r="N12" s="30"/>
      <c r="O12" s="33" t="s">
        <v>2450</v>
      </c>
      <c r="P12" s="34">
        <f t="shared" si="1"/>
        <v>0</v>
      </c>
      <c r="Q12" s="35">
        <f t="shared" si="2"/>
        <v>46267</v>
      </c>
      <c r="R12" s="35">
        <f t="shared" si="3"/>
        <v>46268</v>
      </c>
      <c r="S12" s="29" t="str">
        <f t="shared" si="4"/>
        <v>MEDIDO</v>
      </c>
      <c r="T12" s="13">
        <f t="shared" ca="1" si="5"/>
        <v>1</v>
      </c>
      <c r="U12" s="29" t="str">
        <f ca="1">IF(OR($A12="",$F12=""),"",IF($R12&lt;&gt;"",IF($R12&lt;=$F12,"NO PRAZO","FORA DO PRAZO"),IF(TODAY()&gt;$F12,"VENCIDO",IF($F12-TODAY()&lt;='01. CONFIGURAÇÕES'!$C$23,"VENCE EM BREVE","EM DIA"))))</f>
        <v>NO PRAZO</v>
      </c>
      <c r="V12" s="55">
        <f t="shared" si="6"/>
        <v>820.98</v>
      </c>
      <c r="W12" s="30"/>
      <c r="X12" s="33"/>
      <c r="AA12" s="157" t="s">
        <v>61</v>
      </c>
      <c r="AB12" s="155"/>
      <c r="AC12" s="155"/>
      <c r="AD12" s="155"/>
      <c r="AE12" s="155"/>
      <c r="AF12" s="156"/>
    </row>
    <row r="13" spans="1:32" ht="25.5" customHeight="1" x14ac:dyDescent="0.25">
      <c r="A13" s="29" t="str">
        <f t="shared" si="0"/>
        <v>BER-0009</v>
      </c>
      <c r="B13" s="30" t="s">
        <v>529</v>
      </c>
      <c r="C13" s="30"/>
      <c r="D13" s="31">
        <v>46267</v>
      </c>
      <c r="E13" s="10">
        <v>5</v>
      </c>
      <c r="F13" s="32">
        <f>IF($D13="","",$D13+IF($E13="",'01. CONFIGURAÇÕES'!$C$22,$E13))</f>
        <v>46272</v>
      </c>
      <c r="G13" s="30" t="s">
        <v>642</v>
      </c>
      <c r="H13" s="33" t="s">
        <v>643</v>
      </c>
      <c r="I13" s="33" t="s">
        <v>2462</v>
      </c>
      <c r="J13" s="30" t="s">
        <v>2463</v>
      </c>
      <c r="K13" s="33" t="s">
        <v>672</v>
      </c>
      <c r="L13" s="30" t="s">
        <v>2437</v>
      </c>
      <c r="M13" s="33" t="s">
        <v>2464</v>
      </c>
      <c r="N13" s="30"/>
      <c r="O13" s="33" t="s">
        <v>2450</v>
      </c>
      <c r="P13" s="34">
        <f t="shared" si="1"/>
        <v>0</v>
      </c>
      <c r="Q13" s="35">
        <f t="shared" si="2"/>
        <v>46269</v>
      </c>
      <c r="R13" s="35">
        <f t="shared" si="3"/>
        <v>46269</v>
      </c>
      <c r="S13" s="29" t="str">
        <f t="shared" si="4"/>
        <v>MEDIDO</v>
      </c>
      <c r="T13" s="13">
        <f t="shared" ca="1" si="5"/>
        <v>2</v>
      </c>
      <c r="U13" s="29" t="str">
        <f ca="1">IF(OR($A13="",$F13=""),"",IF($R13&lt;&gt;"",IF($R13&lt;=$F13,"NO PRAZO","FORA DO PRAZO"),IF(TODAY()&gt;$F13,"VENCIDO",IF($F13-TODAY()&lt;='01. CONFIGURAÇÕES'!$C$23,"VENCE EM BREVE","EM DIA"))))</f>
        <v>NO PRAZO</v>
      </c>
      <c r="V13" s="55">
        <f t="shared" si="6"/>
        <v>924.97</v>
      </c>
      <c r="W13" s="30"/>
      <c r="X13" s="33"/>
      <c r="AA13" s="157" t="s">
        <v>62</v>
      </c>
      <c r="AB13" s="155"/>
      <c r="AC13" s="155"/>
      <c r="AD13" s="155"/>
      <c r="AE13" s="155"/>
      <c r="AF13" s="156"/>
    </row>
    <row r="14" spans="1:32" x14ac:dyDescent="0.25">
      <c r="A14" s="29" t="str">
        <f t="shared" si="0"/>
        <v>BER-0010</v>
      </c>
      <c r="B14" s="30" t="s">
        <v>529</v>
      </c>
      <c r="C14" s="30"/>
      <c r="D14" s="31">
        <v>46268</v>
      </c>
      <c r="E14" s="10">
        <v>5</v>
      </c>
      <c r="F14" s="32">
        <f>IF($D14="","",$D14+IF($E14="",'01. CONFIGURAÇÕES'!$C$22,$E14))</f>
        <v>46273</v>
      </c>
      <c r="G14" s="30" t="s">
        <v>639</v>
      </c>
      <c r="H14" s="33" t="s">
        <v>741</v>
      </c>
      <c r="I14" s="33" t="s">
        <v>2447</v>
      </c>
      <c r="J14" s="30" t="s">
        <v>2460</v>
      </c>
      <c r="K14" s="33" t="s">
        <v>651</v>
      </c>
      <c r="L14" s="30" t="s">
        <v>2437</v>
      </c>
      <c r="M14" s="33" t="s">
        <v>2457</v>
      </c>
      <c r="N14" s="30"/>
      <c r="O14" s="33" t="s">
        <v>2446</v>
      </c>
      <c r="P14" s="34">
        <f t="shared" si="1"/>
        <v>0</v>
      </c>
      <c r="Q14" s="35">
        <f t="shared" si="2"/>
        <v>46269</v>
      </c>
      <c r="R14" s="35">
        <f t="shared" si="3"/>
        <v>46269</v>
      </c>
      <c r="S14" s="29" t="str">
        <f t="shared" si="4"/>
        <v>MEDIDO</v>
      </c>
      <c r="T14" s="13">
        <f t="shared" ca="1" si="5"/>
        <v>1</v>
      </c>
      <c r="U14" s="29" t="str">
        <f ca="1">IF(OR($A14="",$F14=""),"",IF($R14&lt;&gt;"",IF($R14&lt;=$F14,"NO PRAZO","FORA DO PRAZO"),IF(TODAY()&gt;$F14,"VENCIDO",IF($F14-TODAY()&lt;='01. CONFIGURAÇÕES'!$C$23,"VENCE EM BREVE","EM DIA"))))</f>
        <v>NO PRAZO</v>
      </c>
      <c r="V14" s="55">
        <f t="shared" si="6"/>
        <v>785.07</v>
      </c>
      <c r="W14" s="30"/>
      <c r="X14" s="33"/>
      <c r="AA14" s="157" t="s">
        <v>63</v>
      </c>
      <c r="AB14" s="155"/>
      <c r="AC14" s="155"/>
      <c r="AD14" s="155"/>
      <c r="AE14" s="155"/>
      <c r="AF14" s="156"/>
    </row>
    <row r="15" spans="1:32" x14ac:dyDescent="0.25">
      <c r="A15" s="29" t="str">
        <f t="shared" si="0"/>
        <v>BER-0011</v>
      </c>
      <c r="B15" s="30" t="s">
        <v>529</v>
      </c>
      <c r="C15" s="30"/>
      <c r="D15" s="31">
        <v>46268</v>
      </c>
      <c r="E15" s="10">
        <v>5</v>
      </c>
      <c r="F15" s="32">
        <f>IF($D15="","",$D15+IF($E15="",'01. CONFIGURAÇÕES'!$C$22,$E15))</f>
        <v>46273</v>
      </c>
      <c r="G15" s="30" t="s">
        <v>639</v>
      </c>
      <c r="H15" s="33" t="s">
        <v>741</v>
      </c>
      <c r="I15" s="33" t="s">
        <v>2447</v>
      </c>
      <c r="J15" s="30" t="s">
        <v>2460</v>
      </c>
      <c r="K15" s="33" t="s">
        <v>651</v>
      </c>
      <c r="L15" s="30" t="s">
        <v>2437</v>
      </c>
      <c r="M15" s="33" t="s">
        <v>2465</v>
      </c>
      <c r="N15" s="30"/>
      <c r="O15" s="33" t="s">
        <v>2446</v>
      </c>
      <c r="P15" s="34">
        <f t="shared" si="1"/>
        <v>0</v>
      </c>
      <c r="Q15" s="35">
        <f t="shared" si="2"/>
        <v>46269</v>
      </c>
      <c r="R15" s="35">
        <f t="shared" si="3"/>
        <v>46269</v>
      </c>
      <c r="S15" s="29" t="str">
        <f t="shared" si="4"/>
        <v>MEDIDO</v>
      </c>
      <c r="T15" s="13">
        <f t="shared" ca="1" si="5"/>
        <v>1</v>
      </c>
      <c r="U15" s="29" t="str">
        <f ca="1">IF(OR($A15="",$F15=""),"",IF($R15&lt;&gt;"",IF($R15&lt;=$F15,"NO PRAZO","FORA DO PRAZO"),IF(TODAY()&gt;$F15,"VENCIDO",IF($F15-TODAY()&lt;='01. CONFIGURAÇÕES'!$C$23,"VENCE EM BREVE","EM DIA"))))</f>
        <v>NO PRAZO</v>
      </c>
      <c r="V15" s="55">
        <f t="shared" si="6"/>
        <v>785.07</v>
      </c>
      <c r="W15" s="30"/>
      <c r="X15" s="33"/>
      <c r="AA15" s="159" t="s">
        <v>64</v>
      </c>
      <c r="AB15" s="155"/>
      <c r="AC15" s="155"/>
      <c r="AD15" s="155"/>
      <c r="AE15" s="155"/>
      <c r="AF15" s="156"/>
    </row>
    <row r="16" spans="1:32" ht="25.5" customHeight="1" x14ac:dyDescent="0.25">
      <c r="A16" s="29" t="str">
        <f t="shared" si="0"/>
        <v>BER-0012</v>
      </c>
      <c r="B16" s="30" t="s">
        <v>529</v>
      </c>
      <c r="C16" s="30"/>
      <c r="D16" s="31">
        <v>46268</v>
      </c>
      <c r="E16" s="10">
        <v>5</v>
      </c>
      <c r="F16" s="32">
        <f>IF($D16="","",$D16+IF($E16="",'01. CONFIGURAÇÕES'!$C$22,$E16))</f>
        <v>46273</v>
      </c>
      <c r="G16" s="30" t="s">
        <v>642</v>
      </c>
      <c r="H16" s="33" t="s">
        <v>620</v>
      </c>
      <c r="I16" s="33" t="s">
        <v>2466</v>
      </c>
      <c r="J16" s="30" t="s">
        <v>2467</v>
      </c>
      <c r="K16" s="33" t="s">
        <v>651</v>
      </c>
      <c r="L16" s="30" t="s">
        <v>2437</v>
      </c>
      <c r="M16" s="33" t="s">
        <v>2468</v>
      </c>
      <c r="N16" s="30"/>
      <c r="O16" s="33" t="s">
        <v>2439</v>
      </c>
      <c r="P16" s="34">
        <f t="shared" si="1"/>
        <v>0</v>
      </c>
      <c r="Q16" s="35">
        <f t="shared" si="2"/>
        <v>46269</v>
      </c>
      <c r="R16" s="35">
        <f t="shared" si="3"/>
        <v>46269</v>
      </c>
      <c r="S16" s="29" t="str">
        <f t="shared" si="4"/>
        <v>MEDIDO</v>
      </c>
      <c r="T16" s="13">
        <f t="shared" ca="1" si="5"/>
        <v>1</v>
      </c>
      <c r="U16" s="29" t="str">
        <f ca="1">IF(OR($A16="",$F16=""),"",IF($R16&lt;&gt;"",IF($R16&lt;=$F16,"NO PRAZO","FORA DO PRAZO"),IF(TODAY()&gt;$F16,"VENCIDO",IF($F16-TODAY()&lt;='01. CONFIGURAÇÕES'!$C$23,"VENCE EM BREVE","EM DIA"))))</f>
        <v>NO PRAZO</v>
      </c>
      <c r="V16" s="55">
        <f t="shared" si="6"/>
        <v>820.98</v>
      </c>
      <c r="W16" s="30"/>
      <c r="X16" s="33"/>
      <c r="AA16" s="159" t="s">
        <v>65</v>
      </c>
      <c r="AB16" s="155"/>
      <c r="AC16" s="155"/>
      <c r="AD16" s="155"/>
      <c r="AE16" s="155"/>
      <c r="AF16" s="156"/>
    </row>
    <row r="17" spans="1:24" x14ac:dyDescent="0.25">
      <c r="A17" s="29" t="str">
        <f t="shared" si="0"/>
        <v>BER-0013</v>
      </c>
      <c r="B17" s="30" t="s">
        <v>529</v>
      </c>
      <c r="C17" s="30"/>
      <c r="D17" s="31">
        <v>46273</v>
      </c>
      <c r="E17" s="10">
        <v>5</v>
      </c>
      <c r="F17" s="32">
        <f>IF($D17="","",$D17+IF($E17="",'01. CONFIGURAÇÕES'!$C$22,$E17))</f>
        <v>46278</v>
      </c>
      <c r="G17" s="30" t="s">
        <v>639</v>
      </c>
      <c r="H17" s="33" t="s">
        <v>741</v>
      </c>
      <c r="I17" s="33" t="s">
        <v>2469</v>
      </c>
      <c r="J17" s="30" t="s">
        <v>2470</v>
      </c>
      <c r="K17" s="33" t="s">
        <v>693</v>
      </c>
      <c r="L17" s="30" t="s">
        <v>2437</v>
      </c>
      <c r="M17" s="33" t="s">
        <v>2471</v>
      </c>
      <c r="N17" s="30"/>
      <c r="O17" s="33" t="s">
        <v>2446</v>
      </c>
      <c r="P17" s="34">
        <f t="shared" si="1"/>
        <v>0</v>
      </c>
      <c r="Q17" s="35">
        <f t="shared" si="2"/>
        <v>46273</v>
      </c>
      <c r="R17" s="35">
        <f t="shared" si="3"/>
        <v>46273</v>
      </c>
      <c r="S17" s="29" t="str">
        <f t="shared" si="4"/>
        <v>MEDIDO</v>
      </c>
      <c r="T17" s="13">
        <f t="shared" ca="1" si="5"/>
        <v>0</v>
      </c>
      <c r="U17" s="29" t="str">
        <f ca="1">IF(OR($A17="",$F17=""),"",IF($R17&lt;&gt;"",IF($R17&lt;=$F17,"NO PRAZO","FORA DO PRAZO"),IF(TODAY()&gt;$F17,"VENCIDO",IF($F17-TODAY()&lt;='01. CONFIGURAÇÕES'!$C$23,"VENCE EM BREVE","EM DIA"))))</f>
        <v>NO PRAZO</v>
      </c>
      <c r="V17" s="55">
        <f t="shared" si="6"/>
        <v>785.07</v>
      </c>
      <c r="W17" s="30"/>
      <c r="X17" s="33"/>
    </row>
    <row r="18" spans="1:24" x14ac:dyDescent="0.25">
      <c r="A18" s="29" t="str">
        <f t="shared" si="0"/>
        <v>BER-0014</v>
      </c>
      <c r="B18" s="30" t="s">
        <v>529</v>
      </c>
      <c r="C18" s="30"/>
      <c r="D18" s="31">
        <v>46273</v>
      </c>
      <c r="E18" s="10">
        <v>5</v>
      </c>
      <c r="F18" s="32">
        <f>IF($D18="","",$D18+IF($E18="",'01. CONFIGURAÇÕES'!$C$22,$E18))</f>
        <v>46278</v>
      </c>
      <c r="G18" s="30" t="s">
        <v>642</v>
      </c>
      <c r="H18" s="33" t="s">
        <v>708</v>
      </c>
      <c r="I18" s="33" t="s">
        <v>2469</v>
      </c>
      <c r="J18" s="30" t="s">
        <v>2472</v>
      </c>
      <c r="K18" s="33" t="s">
        <v>693</v>
      </c>
      <c r="L18" s="30" t="s">
        <v>2437</v>
      </c>
      <c r="M18" s="33" t="s">
        <v>2471</v>
      </c>
      <c r="N18" s="30"/>
      <c r="O18" s="33" t="s">
        <v>2473</v>
      </c>
      <c r="P18" s="34">
        <f t="shared" si="1"/>
        <v>0</v>
      </c>
      <c r="Q18" s="35">
        <f t="shared" si="2"/>
        <v>46273</v>
      </c>
      <c r="R18" s="35">
        <f t="shared" si="3"/>
        <v>46273</v>
      </c>
      <c r="S18" s="29" t="str">
        <f t="shared" si="4"/>
        <v>MEDIDO</v>
      </c>
      <c r="T18" s="13">
        <f t="shared" ca="1" si="5"/>
        <v>0</v>
      </c>
      <c r="U18" s="29" t="str">
        <f ca="1">IF(OR($A18="",$F18=""),"",IF($R18&lt;&gt;"",IF($R18&lt;=$F18,"NO PRAZO","FORA DO PRAZO"),IF(TODAY()&gt;$F18,"VENCIDO",IF($F18-TODAY()&lt;='01. CONFIGURAÇÕES'!$C$23,"VENCE EM BREVE","EM DIA"))))</f>
        <v>NO PRAZO</v>
      </c>
      <c r="V18" s="55">
        <f t="shared" si="6"/>
        <v>785.07</v>
      </c>
      <c r="W18" s="30"/>
      <c r="X18" s="33"/>
    </row>
    <row r="19" spans="1:24" x14ac:dyDescent="0.25">
      <c r="A19" s="29" t="str">
        <f t="shared" si="0"/>
        <v>BER-0015</v>
      </c>
      <c r="B19" s="30" t="s">
        <v>529</v>
      </c>
      <c r="C19" s="30"/>
      <c r="D19" s="31">
        <v>46273</v>
      </c>
      <c r="E19" s="10">
        <v>5</v>
      </c>
      <c r="F19" s="32">
        <f>IF($D19="","",$D19+IF($E19="",'01. CONFIGURAÇÕES'!$C$22,$E19))</f>
        <v>46278</v>
      </c>
      <c r="G19" s="30" t="s">
        <v>642</v>
      </c>
      <c r="H19" s="33" t="s">
        <v>728</v>
      </c>
      <c r="I19" s="33" t="s">
        <v>2474</v>
      </c>
      <c r="J19" s="30"/>
      <c r="K19" s="33" t="s">
        <v>717</v>
      </c>
      <c r="L19" s="30" t="s">
        <v>2437</v>
      </c>
      <c r="M19" s="33" t="s">
        <v>2475</v>
      </c>
      <c r="N19" s="30"/>
      <c r="O19" s="33" t="s">
        <v>2476</v>
      </c>
      <c r="P19" s="34">
        <f t="shared" si="1"/>
        <v>0</v>
      </c>
      <c r="Q19" s="35">
        <f t="shared" si="2"/>
        <v>46273</v>
      </c>
      <c r="R19" s="35">
        <f t="shared" si="3"/>
        <v>46273</v>
      </c>
      <c r="S19" s="29" t="str">
        <f t="shared" si="4"/>
        <v>MEDIDO</v>
      </c>
      <c r="T19" s="13">
        <f t="shared" ca="1" si="5"/>
        <v>0</v>
      </c>
      <c r="U19" s="29" t="str">
        <f ca="1">IF(OR($A19="",$F19=""),"",IF($R19&lt;&gt;"",IF($R19&lt;=$F19,"NO PRAZO","FORA DO PRAZO"),IF(TODAY()&gt;$F19,"VENCIDO",IF($F19-TODAY()&lt;='01. CONFIGURAÇÕES'!$C$23,"VENCE EM BREVE","EM DIA"))))</f>
        <v>NO PRAZO</v>
      </c>
      <c r="V19" s="55">
        <f t="shared" si="6"/>
        <v>785.07</v>
      </c>
      <c r="W19" s="30"/>
      <c r="X19" s="33"/>
    </row>
    <row r="20" spans="1:24" ht="25.5" customHeight="1" x14ac:dyDescent="0.25">
      <c r="A20" s="29" t="str">
        <f t="shared" si="0"/>
        <v>BER-0016</v>
      </c>
      <c r="B20" s="30" t="s">
        <v>529</v>
      </c>
      <c r="C20" s="30"/>
      <c r="D20" s="31">
        <v>46273</v>
      </c>
      <c r="E20" s="10">
        <v>5</v>
      </c>
      <c r="F20" s="32">
        <f>IF($D20="","",$D20+IF($E20="",'01. CONFIGURAÇÕES'!$C$22,$E20))</f>
        <v>46278</v>
      </c>
      <c r="G20" s="30" t="s">
        <v>642</v>
      </c>
      <c r="H20" s="33" t="s">
        <v>643</v>
      </c>
      <c r="I20" s="33" t="s">
        <v>2477</v>
      </c>
      <c r="J20" s="30" t="s">
        <v>2478</v>
      </c>
      <c r="K20" s="33" t="s">
        <v>717</v>
      </c>
      <c r="L20" s="30" t="s">
        <v>2437</v>
      </c>
      <c r="M20" s="33" t="s">
        <v>717</v>
      </c>
      <c r="N20" s="30"/>
      <c r="O20" s="33" t="s">
        <v>2479</v>
      </c>
      <c r="P20" s="34">
        <f t="shared" si="1"/>
        <v>0</v>
      </c>
      <c r="Q20" s="35">
        <f t="shared" si="2"/>
        <v>46273</v>
      </c>
      <c r="R20" s="35">
        <f t="shared" si="3"/>
        <v>46276</v>
      </c>
      <c r="S20" s="29" t="str">
        <f t="shared" si="4"/>
        <v>MEDIDO</v>
      </c>
      <c r="T20" s="13">
        <f t="shared" ca="1" si="5"/>
        <v>3</v>
      </c>
      <c r="U20" s="29" t="str">
        <f ca="1">IF(OR($A20="",$F20=""),"",IF($R20&lt;&gt;"",IF($R20&lt;=$F20,"NO PRAZO","FORA DO PRAZO"),IF(TODAY()&gt;$F20,"VENCIDO",IF($F20-TODAY()&lt;='01. CONFIGURAÇÕES'!$C$23,"VENCE EM BREVE","EM DIA"))))</f>
        <v>NO PRAZO</v>
      </c>
      <c r="V20" s="55">
        <f t="shared" si="6"/>
        <v>785.07</v>
      </c>
      <c r="W20" s="30"/>
      <c r="X20" s="33"/>
    </row>
    <row r="21" spans="1:24" x14ac:dyDescent="0.25">
      <c r="A21" s="29" t="str">
        <f t="shared" si="0"/>
        <v>BER-0017</v>
      </c>
      <c r="B21" s="30" t="s">
        <v>529</v>
      </c>
      <c r="C21" s="30"/>
      <c r="D21" s="31">
        <v>46273</v>
      </c>
      <c r="E21" s="10">
        <v>5</v>
      </c>
      <c r="F21" s="32">
        <f>IF($D21="","",$D21+IF($E21="",'01. CONFIGURAÇÕES'!$C$22,$E21))</f>
        <v>46278</v>
      </c>
      <c r="G21" s="30" t="s">
        <v>642</v>
      </c>
      <c r="H21" s="33" t="s">
        <v>708</v>
      </c>
      <c r="I21" s="33" t="s">
        <v>2480</v>
      </c>
      <c r="J21" s="30" t="s">
        <v>2481</v>
      </c>
      <c r="K21" s="33" t="s">
        <v>629</v>
      </c>
      <c r="L21" s="30" t="s">
        <v>2437</v>
      </c>
      <c r="M21" s="33" t="s">
        <v>629</v>
      </c>
      <c r="N21" s="30"/>
      <c r="O21" s="33" t="s">
        <v>2473</v>
      </c>
      <c r="P21" s="34">
        <f t="shared" si="1"/>
        <v>0</v>
      </c>
      <c r="Q21" s="35">
        <f t="shared" si="2"/>
        <v>46274</v>
      </c>
      <c r="R21" s="35">
        <f t="shared" si="3"/>
        <v>46274</v>
      </c>
      <c r="S21" s="29" t="str">
        <f t="shared" si="4"/>
        <v>MEDIDO</v>
      </c>
      <c r="T21" s="13">
        <f t="shared" ca="1" si="5"/>
        <v>1</v>
      </c>
      <c r="U21" s="29" t="str">
        <f ca="1">IF(OR($A21="",$F21=""),"",IF($R21&lt;&gt;"",IF($R21&lt;=$F21,"NO PRAZO","FORA DO PRAZO"),IF(TODAY()&gt;$F21,"VENCIDO",IF($F21-TODAY()&lt;='01. CONFIGURAÇÕES'!$C$23,"VENCE EM BREVE","EM DIA"))))</f>
        <v>NO PRAZO</v>
      </c>
      <c r="V21" s="55">
        <f t="shared" si="6"/>
        <v>301.47000000000003</v>
      </c>
      <c r="W21" s="30"/>
      <c r="X21" s="33"/>
    </row>
    <row r="22" spans="1:24" x14ac:dyDescent="0.25">
      <c r="A22" s="29" t="str">
        <f t="shared" si="0"/>
        <v>BER-0018</v>
      </c>
      <c r="B22" s="30" t="s">
        <v>529</v>
      </c>
      <c r="C22" s="30"/>
      <c r="D22" s="31">
        <v>46273</v>
      </c>
      <c r="E22" s="10">
        <v>5</v>
      </c>
      <c r="F22" s="32">
        <f>IF($D22="","",$D22+IF($E22="",'01. CONFIGURAÇÕES'!$C$22,$E22))</f>
        <v>46278</v>
      </c>
      <c r="G22" s="30" t="s">
        <v>642</v>
      </c>
      <c r="H22" s="33" t="s">
        <v>708</v>
      </c>
      <c r="I22" s="33" t="s">
        <v>2482</v>
      </c>
      <c r="J22" s="30" t="s">
        <v>2483</v>
      </c>
      <c r="K22" s="33" t="s">
        <v>629</v>
      </c>
      <c r="L22" s="30" t="s">
        <v>2437</v>
      </c>
      <c r="M22" s="33" t="s">
        <v>629</v>
      </c>
      <c r="N22" s="30"/>
      <c r="O22" s="33" t="s">
        <v>2473</v>
      </c>
      <c r="P22" s="34">
        <f t="shared" si="1"/>
        <v>0</v>
      </c>
      <c r="Q22" s="35">
        <f t="shared" si="2"/>
        <v>46274</v>
      </c>
      <c r="R22" s="35">
        <f t="shared" si="3"/>
        <v>46274</v>
      </c>
      <c r="S22" s="29" t="str">
        <f t="shared" si="4"/>
        <v>MEDIDO</v>
      </c>
      <c r="T22" s="13">
        <f t="shared" ca="1" si="5"/>
        <v>1</v>
      </c>
      <c r="U22" s="29" t="str">
        <f ca="1">IF(OR($A22="",$F22=""),"",IF($R22&lt;&gt;"",IF($R22&lt;=$F22,"NO PRAZO","FORA DO PRAZO"),IF(TODAY()&gt;$F22,"VENCIDO",IF($F22-TODAY()&lt;='01. CONFIGURAÇÕES'!$C$23,"VENCE EM BREVE","EM DIA"))))</f>
        <v>NO PRAZO</v>
      </c>
      <c r="V22" s="55">
        <f t="shared" si="6"/>
        <v>301.47000000000003</v>
      </c>
      <c r="W22" s="30"/>
      <c r="X22" s="33"/>
    </row>
    <row r="23" spans="1:24" x14ac:dyDescent="0.25">
      <c r="A23" s="29" t="str">
        <f t="shared" si="0"/>
        <v>BER-0019</v>
      </c>
      <c r="B23" s="30" t="s">
        <v>529</v>
      </c>
      <c r="C23" s="30"/>
      <c r="D23" s="31">
        <v>46273</v>
      </c>
      <c r="E23" s="10">
        <v>5</v>
      </c>
      <c r="F23" s="32">
        <f>IF($D23="","",$D23+IF($E23="",'01. CONFIGURAÇÕES'!$C$22,$E23))</f>
        <v>46278</v>
      </c>
      <c r="G23" s="30" t="s">
        <v>642</v>
      </c>
      <c r="H23" s="33" t="s">
        <v>728</v>
      </c>
      <c r="I23" s="33" t="s">
        <v>2484</v>
      </c>
      <c r="J23" s="30" t="s">
        <v>2485</v>
      </c>
      <c r="K23" s="33" t="s">
        <v>733</v>
      </c>
      <c r="L23" s="30" t="s">
        <v>2437</v>
      </c>
      <c r="M23" s="33" t="s">
        <v>733</v>
      </c>
      <c r="N23" s="30"/>
      <c r="O23" s="33" t="s">
        <v>2476</v>
      </c>
      <c r="P23" s="34">
        <f t="shared" si="1"/>
        <v>0</v>
      </c>
      <c r="Q23" s="35">
        <f t="shared" si="2"/>
        <v>46273</v>
      </c>
      <c r="R23" s="35">
        <f t="shared" si="3"/>
        <v>46276</v>
      </c>
      <c r="S23" s="29" t="str">
        <f t="shared" si="4"/>
        <v>MEDIDO</v>
      </c>
      <c r="T23" s="13">
        <f t="shared" ca="1" si="5"/>
        <v>3</v>
      </c>
      <c r="U23" s="29" t="str">
        <f ca="1">IF(OR($A23="",$F23=""),"",IF($R23&lt;&gt;"",IF($R23&lt;=$F23,"NO PRAZO","FORA DO PRAZO"),IF(TODAY()&gt;$F23,"VENCIDO",IF($F23-TODAY()&lt;='01. CONFIGURAÇÕES'!$C$23,"VENCE EM BREVE","EM DIA"))))</f>
        <v>NO PRAZO</v>
      </c>
      <c r="V23" s="55">
        <f t="shared" si="6"/>
        <v>1992.97</v>
      </c>
      <c r="W23" s="30"/>
      <c r="X23" s="33"/>
    </row>
    <row r="24" spans="1:24" x14ac:dyDescent="0.25">
      <c r="A24" s="29" t="str">
        <f t="shared" si="0"/>
        <v>BER-0020</v>
      </c>
      <c r="B24" s="30" t="s">
        <v>529</v>
      </c>
      <c r="C24" s="30"/>
      <c r="D24" s="31">
        <v>46273</v>
      </c>
      <c r="E24" s="10">
        <v>5</v>
      </c>
      <c r="F24" s="32">
        <f>IF($D24="","",$D24+IF($E24="",'01. CONFIGURAÇÕES'!$C$22,$E24))</f>
        <v>46278</v>
      </c>
      <c r="G24" s="30" t="s">
        <v>642</v>
      </c>
      <c r="H24" s="33" t="s">
        <v>708</v>
      </c>
      <c r="I24" s="33" t="s">
        <v>2486</v>
      </c>
      <c r="J24" s="30" t="s">
        <v>2487</v>
      </c>
      <c r="K24" s="33" t="s">
        <v>733</v>
      </c>
      <c r="L24" s="30" t="s">
        <v>2437</v>
      </c>
      <c r="M24" s="33" t="s">
        <v>733</v>
      </c>
      <c r="N24" s="30"/>
      <c r="O24" s="33" t="s">
        <v>2473</v>
      </c>
      <c r="P24" s="34">
        <f t="shared" si="1"/>
        <v>0</v>
      </c>
      <c r="Q24" s="35">
        <f t="shared" si="2"/>
        <v>46273</v>
      </c>
      <c r="R24" s="35">
        <f t="shared" si="3"/>
        <v>46276</v>
      </c>
      <c r="S24" s="29" t="str">
        <f t="shared" si="4"/>
        <v>EXECUTADO</v>
      </c>
      <c r="T24" s="13">
        <f t="shared" ca="1" si="5"/>
        <v>3</v>
      </c>
      <c r="U24" s="29" t="str">
        <f ca="1">IF(OR($A24="",$F24=""),"",IF($R24&lt;&gt;"",IF($R24&lt;=$F24,"NO PRAZO","FORA DO PRAZO"),IF(TODAY()&gt;$F24,"VENCIDO",IF($F24-TODAY()&lt;='01. CONFIGURAÇÕES'!$C$23,"VENCE EM BREVE","EM DIA"))))</f>
        <v>NO PRAZO</v>
      </c>
      <c r="V24" s="55">
        <f t="shared" si="6"/>
        <v>0</v>
      </c>
      <c r="W24" s="30"/>
      <c r="X24" s="33"/>
    </row>
    <row r="25" spans="1:24" x14ac:dyDescent="0.25">
      <c r="A25" s="29" t="str">
        <f t="shared" si="0"/>
        <v>BER-0021</v>
      </c>
      <c r="B25" s="30" t="s">
        <v>529</v>
      </c>
      <c r="C25" s="30"/>
      <c r="D25" s="31">
        <v>46273</v>
      </c>
      <c r="E25" s="10">
        <v>5</v>
      </c>
      <c r="F25" s="32">
        <f>IF($D25="","",$D25+IF($E25="",'01. CONFIGURAÇÕES'!$C$22,$E25))</f>
        <v>46278</v>
      </c>
      <c r="G25" s="30" t="s">
        <v>642</v>
      </c>
      <c r="H25" s="33" t="s">
        <v>708</v>
      </c>
      <c r="I25" s="33" t="s">
        <v>2488</v>
      </c>
      <c r="J25" s="30" t="s">
        <v>2489</v>
      </c>
      <c r="K25" s="33" t="s">
        <v>693</v>
      </c>
      <c r="L25" s="30" t="s">
        <v>2437</v>
      </c>
      <c r="M25" s="33" t="s">
        <v>693</v>
      </c>
      <c r="N25" s="30"/>
      <c r="O25" s="33" t="s">
        <v>2473</v>
      </c>
      <c r="P25" s="34">
        <f t="shared" si="1"/>
        <v>0</v>
      </c>
      <c r="Q25" s="35">
        <f t="shared" si="2"/>
        <v>46273</v>
      </c>
      <c r="R25" s="35" t="str">
        <f t="shared" si="3"/>
        <v/>
      </c>
      <c r="S25" s="29" t="str">
        <f t="shared" si="4"/>
        <v>EM EXECUÇÃO</v>
      </c>
      <c r="T25" s="13">
        <f t="shared" ca="1" si="5"/>
        <v>8</v>
      </c>
      <c r="U25" s="29" t="str">
        <f ca="1">IF(OR($A25="",$F25=""),"",IF($R25&lt;&gt;"",IF($R25&lt;=$F25,"NO PRAZO","FORA DO PRAZO"),IF(TODAY()&gt;$F25,"VENCIDO",IF($F25-TODAY()&lt;='01. CONFIGURAÇÕES'!$C$23,"VENCE EM BREVE","EM DIA"))))</f>
        <v>VENCIDO</v>
      </c>
      <c r="V25" s="55">
        <f t="shared" si="6"/>
        <v>0</v>
      </c>
      <c r="W25" s="30"/>
      <c r="X25" s="33"/>
    </row>
    <row r="26" spans="1:24" ht="25.5" customHeight="1" x14ac:dyDescent="0.25">
      <c r="A26" s="29" t="str">
        <f t="shared" si="0"/>
        <v>BER-0022</v>
      </c>
      <c r="B26" s="30" t="s">
        <v>529</v>
      </c>
      <c r="C26" s="30"/>
      <c r="D26" s="31">
        <v>46273</v>
      </c>
      <c r="E26" s="10">
        <v>5</v>
      </c>
      <c r="F26" s="32">
        <f>IF($D26="","",$D26+IF($E26="",'01. CONFIGURAÇÕES'!$C$22,$E26))</f>
        <v>46278</v>
      </c>
      <c r="G26" s="30" t="s">
        <v>642</v>
      </c>
      <c r="H26" s="33" t="s">
        <v>708</v>
      </c>
      <c r="I26" s="33" t="s">
        <v>2490</v>
      </c>
      <c r="J26" s="30" t="s">
        <v>2491</v>
      </c>
      <c r="K26" s="33" t="s">
        <v>733</v>
      </c>
      <c r="L26" s="30" t="s">
        <v>2437</v>
      </c>
      <c r="M26" s="33" t="s">
        <v>733</v>
      </c>
      <c r="N26" s="30"/>
      <c r="O26" s="33" t="s">
        <v>2473</v>
      </c>
      <c r="P26" s="34">
        <f t="shared" si="1"/>
        <v>0</v>
      </c>
      <c r="Q26" s="35">
        <f t="shared" si="2"/>
        <v>46273</v>
      </c>
      <c r="R26" s="35" t="str">
        <f t="shared" si="3"/>
        <v/>
      </c>
      <c r="S26" s="29" t="str">
        <f t="shared" si="4"/>
        <v>EM EXECUÇÃO</v>
      </c>
      <c r="T26" s="13">
        <f t="shared" ca="1" si="5"/>
        <v>8</v>
      </c>
      <c r="U26" s="29" t="str">
        <f ca="1">IF(OR($A26="",$F26=""),"",IF($R26&lt;&gt;"",IF($R26&lt;=$F26,"NO PRAZO","FORA DO PRAZO"),IF(TODAY()&gt;$F26,"VENCIDO",IF($F26-TODAY()&lt;='01. CONFIGURAÇÕES'!$C$23,"VENCE EM BREVE","EM DIA"))))</f>
        <v>VENCIDO</v>
      </c>
      <c r="V26" s="55">
        <f t="shared" si="6"/>
        <v>0</v>
      </c>
      <c r="W26" s="30"/>
      <c r="X26" s="33"/>
    </row>
    <row r="27" spans="1:24" ht="25.5" customHeight="1" x14ac:dyDescent="0.25">
      <c r="A27" s="29" t="str">
        <f t="shared" si="0"/>
        <v>BER-0023</v>
      </c>
      <c r="B27" s="30" t="s">
        <v>529</v>
      </c>
      <c r="C27" s="30"/>
      <c r="D27" s="31">
        <v>46276</v>
      </c>
      <c r="E27" s="10">
        <v>5</v>
      </c>
      <c r="F27" s="32">
        <f>IF($D27="","",$D27+IF($E27="",'01. CONFIGURAÇÕES'!$C$22,$E27))</f>
        <v>46281</v>
      </c>
      <c r="G27" s="30" t="s">
        <v>639</v>
      </c>
      <c r="H27" s="33" t="s">
        <v>620</v>
      </c>
      <c r="I27" s="33" t="s">
        <v>2492</v>
      </c>
      <c r="J27" s="30" t="s">
        <v>2493</v>
      </c>
      <c r="K27" s="33" t="s">
        <v>717</v>
      </c>
      <c r="L27" s="30" t="s">
        <v>2437</v>
      </c>
      <c r="M27" s="33" t="s">
        <v>717</v>
      </c>
      <c r="N27" s="30"/>
      <c r="O27" s="33" t="s">
        <v>2494</v>
      </c>
      <c r="P27" s="34">
        <f t="shared" si="1"/>
        <v>0</v>
      </c>
      <c r="Q27" s="35">
        <f t="shared" si="2"/>
        <v>46276</v>
      </c>
      <c r="R27" s="35">
        <f t="shared" si="3"/>
        <v>46276</v>
      </c>
      <c r="S27" s="29" t="str">
        <f t="shared" si="4"/>
        <v>MEDIDO</v>
      </c>
      <c r="T27" s="13">
        <f t="shared" ca="1" si="5"/>
        <v>0</v>
      </c>
      <c r="U27" s="29" t="str">
        <f ca="1">IF(OR($A27="",$F27=""),"",IF($R27&lt;&gt;"",IF($R27&lt;=$F27,"NO PRAZO","FORA DO PRAZO"),IF(TODAY()&gt;$F27,"VENCIDO",IF($F27-TODAY()&lt;='01. CONFIGURAÇÕES'!$C$23,"VENCE EM BREVE","EM DIA"))))</f>
        <v>NO PRAZO</v>
      </c>
      <c r="V27" s="55">
        <f t="shared" si="6"/>
        <v>785.07</v>
      </c>
      <c r="W27" s="30"/>
      <c r="X27" s="33"/>
    </row>
    <row r="28" spans="1:24" x14ac:dyDescent="0.25">
      <c r="A28" s="29" t="str">
        <f t="shared" si="0"/>
        <v>BER-0024</v>
      </c>
      <c r="B28" s="30" t="s">
        <v>529</v>
      </c>
      <c r="C28" s="30"/>
      <c r="D28" s="31">
        <v>46279</v>
      </c>
      <c r="E28" s="10">
        <v>5</v>
      </c>
      <c r="F28" s="32">
        <f>IF($D28="","",$D28+IF($E28="",'01. CONFIGURAÇÕES'!$C$22,$E28))</f>
        <v>46284</v>
      </c>
      <c r="G28" s="30" t="s">
        <v>639</v>
      </c>
      <c r="H28" s="33" t="s">
        <v>2479</v>
      </c>
      <c r="I28" s="33" t="s">
        <v>2495</v>
      </c>
      <c r="J28" s="30" t="s">
        <v>2496</v>
      </c>
      <c r="K28" s="33" t="s">
        <v>2497</v>
      </c>
      <c r="L28" s="30" t="s">
        <v>2437</v>
      </c>
      <c r="M28" s="33" t="s">
        <v>2497</v>
      </c>
      <c r="N28" s="30"/>
      <c r="O28" s="33" t="s">
        <v>2479</v>
      </c>
      <c r="P28" s="34">
        <f t="shared" si="1"/>
        <v>0</v>
      </c>
      <c r="Q28" s="35">
        <f t="shared" si="2"/>
        <v>46279</v>
      </c>
      <c r="R28" s="35">
        <f t="shared" si="3"/>
        <v>46279</v>
      </c>
      <c r="S28" s="29" t="str">
        <f t="shared" si="4"/>
        <v>MEDIDO</v>
      </c>
      <c r="T28" s="13">
        <f t="shared" ca="1" si="5"/>
        <v>0</v>
      </c>
      <c r="U28" s="29" t="str">
        <f ca="1">IF(OR($A28="",$F28=""),"",IF($R28&lt;&gt;"",IF($R28&lt;=$F28,"NO PRAZO","FORA DO PRAZO"),IF(TODAY()&gt;$F28,"VENCIDO",IF($F28-TODAY()&lt;='01. CONFIGURAÇÕES'!$C$23,"VENCE EM BREVE","EM DIA"))))</f>
        <v>NO PRAZO</v>
      </c>
      <c r="V28" s="55">
        <f t="shared" si="6"/>
        <v>2813.95</v>
      </c>
      <c r="W28" s="30"/>
      <c r="X28" s="33"/>
    </row>
    <row r="29" spans="1:24" x14ac:dyDescent="0.25">
      <c r="A29" s="29" t="str">
        <f t="shared" si="0"/>
        <v>BER-0025</v>
      </c>
      <c r="B29" s="30" t="s">
        <v>529</v>
      </c>
      <c r="C29" s="30"/>
      <c r="D29" s="31">
        <v>46279</v>
      </c>
      <c r="E29" s="10">
        <v>5</v>
      </c>
      <c r="F29" s="32">
        <f>IF($D29="","",$D29+IF($E29="",'01. CONFIGURAÇÕES'!$C$22,$E29))</f>
        <v>46284</v>
      </c>
      <c r="G29" s="30" t="s">
        <v>639</v>
      </c>
      <c r="H29" s="33" t="s">
        <v>708</v>
      </c>
      <c r="I29" s="33" t="s">
        <v>2498</v>
      </c>
      <c r="J29" s="30" t="s">
        <v>2499</v>
      </c>
      <c r="K29" s="33" t="s">
        <v>2497</v>
      </c>
      <c r="L29" s="30" t="s">
        <v>2437</v>
      </c>
      <c r="M29" s="33" t="s">
        <v>2497</v>
      </c>
      <c r="N29" s="30"/>
      <c r="O29" s="33" t="s">
        <v>708</v>
      </c>
      <c r="P29" s="34">
        <f t="shared" si="1"/>
        <v>0</v>
      </c>
      <c r="Q29" s="35">
        <f t="shared" si="2"/>
        <v>46279</v>
      </c>
      <c r="R29" s="35">
        <f t="shared" si="3"/>
        <v>46280</v>
      </c>
      <c r="S29" s="29" t="str">
        <f t="shared" si="4"/>
        <v>MEDIDO</v>
      </c>
      <c r="T29" s="13">
        <f t="shared" ca="1" si="5"/>
        <v>1</v>
      </c>
      <c r="U29" s="29" t="str">
        <f ca="1">IF(OR($A29="",$F29=""),"",IF($R29&lt;&gt;"",IF($R29&lt;=$F29,"NO PRAZO","FORA DO PRAZO"),IF(TODAY()&gt;$F29,"VENCIDO",IF($F29-TODAY()&lt;='01. CONFIGURAÇÕES'!$C$23,"VENCE EM BREVE","EM DIA"))))</f>
        <v>NO PRAZO</v>
      </c>
      <c r="V29" s="55">
        <f t="shared" si="6"/>
        <v>820.98</v>
      </c>
      <c r="W29" s="30"/>
      <c r="X29" s="33"/>
    </row>
    <row r="30" spans="1:24" x14ac:dyDescent="0.25">
      <c r="A30" s="29" t="str">
        <f t="shared" si="0"/>
        <v>BER-0026</v>
      </c>
      <c r="B30" s="30" t="s">
        <v>529</v>
      </c>
      <c r="C30" s="30"/>
      <c r="D30" s="31">
        <v>46279</v>
      </c>
      <c r="E30" s="10">
        <v>5</v>
      </c>
      <c r="F30" s="32">
        <f>IF($D30="","",$D30+IF($E30="",'01. CONFIGURAÇÕES'!$C$22,$E30))</f>
        <v>46284</v>
      </c>
      <c r="G30" s="30" t="s">
        <v>639</v>
      </c>
      <c r="H30" s="33" t="s">
        <v>2479</v>
      </c>
      <c r="I30" s="33" t="s">
        <v>2495</v>
      </c>
      <c r="J30" s="30" t="s">
        <v>2500</v>
      </c>
      <c r="K30" s="33" t="s">
        <v>2497</v>
      </c>
      <c r="L30" s="30" t="s">
        <v>2437</v>
      </c>
      <c r="M30" s="33" t="s">
        <v>2497</v>
      </c>
      <c r="N30" s="30"/>
      <c r="O30" s="33" t="s">
        <v>2479</v>
      </c>
      <c r="P30" s="34">
        <f t="shared" si="1"/>
        <v>0</v>
      </c>
      <c r="Q30" s="35">
        <f t="shared" si="2"/>
        <v>46279</v>
      </c>
      <c r="R30" s="35">
        <v>46280</v>
      </c>
      <c r="S30" s="29" t="str">
        <f t="shared" si="4"/>
        <v>MEDIDO</v>
      </c>
      <c r="T30" s="13">
        <f t="shared" ca="1" si="5"/>
        <v>1</v>
      </c>
      <c r="U30" s="29" t="str">
        <f ca="1">IF(OR($A30="",$F30=""),"",IF($R30&lt;&gt;"",IF($R30&lt;=$F30,"NO PRAZO","FORA DO PRAZO"),IF(TODAY()&gt;$F30,"VENCIDO",IF($F30-TODAY()&lt;='01. CONFIGURAÇÕES'!$C$23,"VENCE EM BREVE","EM DIA"))))</f>
        <v>NO PRAZO</v>
      </c>
      <c r="V30" s="55">
        <f t="shared" si="6"/>
        <v>2434.3399999999997</v>
      </c>
      <c r="W30" s="30"/>
      <c r="X30" s="33"/>
    </row>
    <row r="31" spans="1:24" x14ac:dyDescent="0.25">
      <c r="A31" s="29" t="str">
        <f t="shared" si="0"/>
        <v>BER-0027</v>
      </c>
      <c r="B31" s="30" t="s">
        <v>529</v>
      </c>
      <c r="C31" s="30"/>
      <c r="D31" s="31">
        <v>46279</v>
      </c>
      <c r="E31" s="10">
        <v>5</v>
      </c>
      <c r="F31" s="32">
        <f>IF($D31="","",$D31+IF($E31="",'01. CONFIGURAÇÕES'!$C$22,$E31))</f>
        <v>46284</v>
      </c>
      <c r="G31" s="30" t="s">
        <v>639</v>
      </c>
      <c r="H31" s="33" t="s">
        <v>2479</v>
      </c>
      <c r="I31" s="33" t="s">
        <v>2495</v>
      </c>
      <c r="J31" s="30" t="s">
        <v>2501</v>
      </c>
      <c r="K31" s="33" t="s">
        <v>2497</v>
      </c>
      <c r="L31" s="30" t="s">
        <v>2437</v>
      </c>
      <c r="M31" s="33" t="s">
        <v>2497</v>
      </c>
      <c r="N31" s="30"/>
      <c r="O31" s="33" t="s">
        <v>2479</v>
      </c>
      <c r="P31" s="34">
        <f t="shared" si="1"/>
        <v>0</v>
      </c>
      <c r="Q31" s="35">
        <f t="shared" si="2"/>
        <v>46279</v>
      </c>
      <c r="R31" s="35">
        <f t="shared" ref="R31:R94" si="7">IF($A31="","",IFERROR(IF(INDEX(OS_FIM,MATCH($A31,OS_ID,0))=0,"",INDEX(OS_FIM,MATCH($A31,OS_ID,0))),""))</f>
        <v>46280</v>
      </c>
      <c r="S31" s="29" t="str">
        <f t="shared" si="4"/>
        <v>MEDIDO</v>
      </c>
      <c r="T31" s="13">
        <f t="shared" ca="1" si="5"/>
        <v>1</v>
      </c>
      <c r="U31" s="29" t="str">
        <f ca="1">IF(OR($A31="",$F31=""),"",IF($R31&lt;&gt;"",IF($R31&lt;=$F31,"NO PRAZO","FORA DO PRAZO"),IF(TODAY()&gt;$F31,"VENCIDO",IF($F31-TODAY()&lt;='01. CONFIGURAÇÕES'!$C$23,"VENCE EM BREVE","EM DIA"))))</f>
        <v>NO PRAZO</v>
      </c>
      <c r="V31" s="55">
        <f t="shared" si="6"/>
        <v>2132.87</v>
      </c>
      <c r="W31" s="30"/>
      <c r="X31" s="33"/>
    </row>
    <row r="32" spans="1:24" x14ac:dyDescent="0.25">
      <c r="A32" s="29" t="str">
        <f t="shared" si="0"/>
        <v>BER-0028</v>
      </c>
      <c r="B32" s="30" t="s">
        <v>529</v>
      </c>
      <c r="C32" s="30"/>
      <c r="D32" s="31">
        <v>46279</v>
      </c>
      <c r="E32" s="10">
        <v>5</v>
      </c>
      <c r="F32" s="32">
        <f>IF($D32="","",$D32+IF($E32="",'01. CONFIGURAÇÕES'!$C$22,$E32))</f>
        <v>46284</v>
      </c>
      <c r="G32" s="30" t="s">
        <v>639</v>
      </c>
      <c r="H32" s="33" t="s">
        <v>2502</v>
      </c>
      <c r="I32" s="33" t="s">
        <v>2503</v>
      </c>
      <c r="J32" s="30" t="s">
        <v>2504</v>
      </c>
      <c r="K32" s="33" t="s">
        <v>2505</v>
      </c>
      <c r="L32" s="30" t="s">
        <v>2437</v>
      </c>
      <c r="M32" s="33" t="s">
        <v>2505</v>
      </c>
      <c r="N32" s="30"/>
      <c r="O32" s="33" t="s">
        <v>2502</v>
      </c>
      <c r="P32" s="34">
        <f t="shared" si="1"/>
        <v>0</v>
      </c>
      <c r="Q32" s="35">
        <f t="shared" si="2"/>
        <v>46279</v>
      </c>
      <c r="R32" s="35" t="str">
        <f t="shared" si="7"/>
        <v/>
      </c>
      <c r="S32" s="29" t="str">
        <f t="shared" si="4"/>
        <v>EM EXECUÇÃO</v>
      </c>
      <c r="T32" s="13">
        <f t="shared" ca="1" si="5"/>
        <v>2</v>
      </c>
      <c r="U32" s="29" t="str">
        <f ca="1">IF(OR($A32="",$F32=""),"",IF($R32&lt;&gt;"",IF($R32&lt;=$F32,"NO PRAZO","FORA DO PRAZO"),IF(TODAY()&gt;$F32,"VENCIDO",IF($F32-TODAY()&lt;='01. CONFIGURAÇÕES'!$C$23,"VENCE EM BREVE","EM DIA"))))</f>
        <v>EM DIA</v>
      </c>
      <c r="V32" s="55">
        <f t="shared" si="6"/>
        <v>0</v>
      </c>
      <c r="W32" s="30"/>
      <c r="X32" s="33"/>
    </row>
    <row r="33" spans="1:24" x14ac:dyDescent="0.25">
      <c r="A33" s="29" t="str">
        <f t="shared" si="0"/>
        <v>BER-0029</v>
      </c>
      <c r="B33" s="30" t="s">
        <v>529</v>
      </c>
      <c r="C33" s="30"/>
      <c r="D33" s="31">
        <v>46279</v>
      </c>
      <c r="E33" s="10">
        <v>5</v>
      </c>
      <c r="F33" s="32">
        <f>IF($D33="","",$D33+IF($E33="",'01. CONFIGURAÇÕES'!$C$22,$E33))</f>
        <v>46284</v>
      </c>
      <c r="G33" s="30" t="s">
        <v>639</v>
      </c>
      <c r="H33" s="33" t="s">
        <v>2479</v>
      </c>
      <c r="I33" s="33" t="s">
        <v>2506</v>
      </c>
      <c r="J33" s="30" t="s">
        <v>2507</v>
      </c>
      <c r="K33" s="33" t="s">
        <v>733</v>
      </c>
      <c r="L33" s="30" t="s">
        <v>2437</v>
      </c>
      <c r="M33" s="33" t="s">
        <v>733</v>
      </c>
      <c r="N33" s="30"/>
      <c r="O33" s="33" t="s">
        <v>2479</v>
      </c>
      <c r="P33" s="34">
        <f t="shared" si="1"/>
        <v>0</v>
      </c>
      <c r="Q33" s="35">
        <f t="shared" si="2"/>
        <v>46279</v>
      </c>
      <c r="R33" s="35">
        <f t="shared" si="7"/>
        <v>46280</v>
      </c>
      <c r="S33" s="29" t="str">
        <f t="shared" si="4"/>
        <v>MEDIDO</v>
      </c>
      <c r="T33" s="13">
        <f t="shared" ca="1" si="5"/>
        <v>1</v>
      </c>
      <c r="U33" s="29" t="str">
        <f ca="1">IF(OR($A33="",$F33=""),"",IF($R33&lt;&gt;"",IF($R33&lt;=$F33,"NO PRAZO","FORA DO PRAZO"),IF(TODAY()&gt;$F33,"VENCIDO",IF($F33-TODAY()&lt;='01. CONFIGURAÇÕES'!$C$23,"VENCE EM BREVE","EM DIA"))))</f>
        <v>NO PRAZO</v>
      </c>
      <c r="V33" s="55">
        <f t="shared" si="6"/>
        <v>2132.87</v>
      </c>
      <c r="W33" s="30"/>
      <c r="X33" s="33"/>
    </row>
    <row r="34" spans="1:24" ht="25.5" customHeight="1" x14ac:dyDescent="0.25">
      <c r="A34" s="29" t="str">
        <f t="shared" si="0"/>
        <v>BER-0030</v>
      </c>
      <c r="B34" s="30" t="s">
        <v>529</v>
      </c>
      <c r="C34" s="30"/>
      <c r="D34" s="31">
        <v>46281</v>
      </c>
      <c r="E34" s="10">
        <v>3</v>
      </c>
      <c r="F34" s="32">
        <f>IF($D34="","",$D34+IF($E34="",'01. CONFIGURAÇÕES'!$C$22,$E34))</f>
        <v>46284</v>
      </c>
      <c r="G34" s="30" t="s">
        <v>642</v>
      </c>
      <c r="H34" s="33" t="s">
        <v>620</v>
      </c>
      <c r="I34" s="33" t="s">
        <v>2508</v>
      </c>
      <c r="J34" s="30" t="s">
        <v>2509</v>
      </c>
      <c r="K34" s="33" t="s">
        <v>809</v>
      </c>
      <c r="L34" s="30" t="s">
        <v>2510</v>
      </c>
      <c r="M34" s="33"/>
      <c r="N34" s="30"/>
      <c r="O34" s="33"/>
      <c r="P34" s="34">
        <f t="shared" si="1"/>
        <v>0</v>
      </c>
      <c r="Q34" s="35">
        <f t="shared" si="2"/>
        <v>46281</v>
      </c>
      <c r="R34" s="35" t="str">
        <f t="shared" si="7"/>
        <v/>
      </c>
      <c r="S34" s="29" t="str">
        <f t="shared" si="4"/>
        <v>EM EXECUÇÃO</v>
      </c>
      <c r="T34" s="13">
        <f t="shared" ca="1" si="5"/>
        <v>0</v>
      </c>
      <c r="U34" s="29" t="str">
        <f ca="1">IF(OR($A34="",$F34=""),"",IF($R34&lt;&gt;"",IF($R34&lt;=$F34,"NO PRAZO","FORA DO PRAZO"),IF(TODAY()&gt;$F34,"VENCIDO",IF($F34-TODAY()&lt;='01. CONFIGURAÇÕES'!$C$23,"VENCE EM BREVE","EM DIA"))))</f>
        <v>EM DIA</v>
      </c>
      <c r="V34" s="55">
        <f t="shared" si="6"/>
        <v>0</v>
      </c>
      <c r="W34" s="30"/>
      <c r="X34" s="33"/>
    </row>
    <row r="35" spans="1:24" x14ac:dyDescent="0.25">
      <c r="A35" s="29" t="str">
        <f t="shared" si="0"/>
        <v>BER-0031</v>
      </c>
      <c r="B35" s="30" t="s">
        <v>529</v>
      </c>
      <c r="C35" s="30"/>
      <c r="D35" s="31">
        <v>46281</v>
      </c>
      <c r="E35" s="10">
        <v>3</v>
      </c>
      <c r="F35" s="32">
        <f>IF($D35="","",$D35+IF($E35="",'01. CONFIGURAÇÕES'!$C$22,$E35))</f>
        <v>46284</v>
      </c>
      <c r="G35" s="30" t="s">
        <v>642</v>
      </c>
      <c r="H35" s="33" t="s">
        <v>2479</v>
      </c>
      <c r="I35" s="33" t="s">
        <v>2511</v>
      </c>
      <c r="J35" s="30" t="s">
        <v>2512</v>
      </c>
      <c r="K35" s="33" t="s">
        <v>809</v>
      </c>
      <c r="L35" s="30" t="s">
        <v>2510</v>
      </c>
      <c r="M35" s="33"/>
      <c r="N35" s="30"/>
      <c r="O35" s="33" t="s">
        <v>3092</v>
      </c>
      <c r="P35" s="34">
        <f t="shared" si="1"/>
        <v>0</v>
      </c>
      <c r="Q35" s="35">
        <f t="shared" si="2"/>
        <v>46281</v>
      </c>
      <c r="R35" s="35">
        <f t="shared" si="7"/>
        <v>46281</v>
      </c>
      <c r="S35" s="29" t="str">
        <f t="shared" si="4"/>
        <v>MEDIDO</v>
      </c>
      <c r="T35" s="13">
        <f t="shared" ca="1" si="5"/>
        <v>0</v>
      </c>
      <c r="U35" s="29" t="str">
        <f ca="1">IF(OR($A35="",$F35=""),"",IF($R35&lt;&gt;"",IF($R35&lt;=$F35,"NO PRAZO","FORA DO PRAZO"),IF(TODAY()&gt;$F35,"VENCIDO",IF($F35-TODAY()&lt;='01. CONFIGURAÇÕES'!$C$23,"VENCE EM BREVE","EM DIA"))))</f>
        <v>NO PRAZO</v>
      </c>
      <c r="V35" s="55">
        <f t="shared" si="6"/>
        <v>1226.44</v>
      </c>
      <c r="W35" s="30"/>
      <c r="X35" s="33"/>
    </row>
    <row r="36" spans="1:24" x14ac:dyDescent="0.25">
      <c r="A36" s="29" t="str">
        <f t="shared" si="0"/>
        <v>BER-0032</v>
      </c>
      <c r="B36" s="30" t="s">
        <v>529</v>
      </c>
      <c r="C36" s="30"/>
      <c r="D36" s="31">
        <v>46281</v>
      </c>
      <c r="E36" s="10">
        <v>3</v>
      </c>
      <c r="F36" s="32">
        <f>IF($D36="","",$D36+IF($E36="",'01. CONFIGURAÇÕES'!$C$22,$E36))</f>
        <v>46284</v>
      </c>
      <c r="G36" s="30" t="s">
        <v>642</v>
      </c>
      <c r="H36" s="33" t="s">
        <v>2502</v>
      </c>
      <c r="I36" s="33" t="s">
        <v>2511</v>
      </c>
      <c r="J36" s="30" t="s">
        <v>2513</v>
      </c>
      <c r="K36" s="33" t="s">
        <v>809</v>
      </c>
      <c r="L36" s="30" t="s">
        <v>2510</v>
      </c>
      <c r="M36" s="33"/>
      <c r="N36" s="30"/>
      <c r="O36" s="33" t="s">
        <v>3092</v>
      </c>
      <c r="P36" s="34">
        <f t="shared" si="1"/>
        <v>0</v>
      </c>
      <c r="Q36" s="35">
        <f t="shared" si="2"/>
        <v>46281</v>
      </c>
      <c r="R36" s="35">
        <v>46281</v>
      </c>
      <c r="S36" s="29" t="str">
        <f t="shared" si="4"/>
        <v>MEDIDO</v>
      </c>
      <c r="T36" s="13">
        <f t="shared" ca="1" si="5"/>
        <v>0</v>
      </c>
      <c r="U36" s="29" t="str">
        <f ca="1">IF(OR($A36="",$F36=""),"",IF($R36&lt;&gt;"",IF($R36&lt;=$F36,"NO PRAZO","FORA DO PRAZO"),IF(TODAY()&gt;$F36,"VENCIDO",IF($F36-TODAY()&lt;='01. CONFIGURAÇÕES'!$C$23,"VENCE EM BREVE","EM DIA"))))</f>
        <v>NO PRAZO</v>
      </c>
      <c r="V36" s="55">
        <f t="shared" si="6"/>
        <v>6659.1399999999994</v>
      </c>
      <c r="W36" s="30"/>
      <c r="X36" s="33"/>
    </row>
    <row r="37" spans="1:24" x14ac:dyDescent="0.25">
      <c r="A37" s="29" t="str">
        <f t="shared" si="0"/>
        <v>BER-0033</v>
      </c>
      <c r="B37" s="30" t="s">
        <v>529</v>
      </c>
      <c r="C37" s="30"/>
      <c r="D37" s="31">
        <v>46281</v>
      </c>
      <c r="E37" s="10">
        <v>3</v>
      </c>
      <c r="F37" s="32">
        <f>IF($D37="","",$D37+IF($E37="",'01. CONFIGURAÇÕES'!$C$22,$E37))</f>
        <v>46284</v>
      </c>
      <c r="G37" s="30" t="s">
        <v>642</v>
      </c>
      <c r="H37" s="33" t="s">
        <v>2479</v>
      </c>
      <c r="I37" s="33" t="s">
        <v>2514</v>
      </c>
      <c r="J37" s="30" t="s">
        <v>2515</v>
      </c>
      <c r="K37" s="33" t="s">
        <v>809</v>
      </c>
      <c r="L37" s="30" t="s">
        <v>2510</v>
      </c>
      <c r="M37" s="33"/>
      <c r="N37" s="30"/>
      <c r="O37" s="33"/>
      <c r="P37" s="34">
        <f t="shared" si="1"/>
        <v>0</v>
      </c>
      <c r="Q37" s="35">
        <f t="shared" si="2"/>
        <v>46281</v>
      </c>
      <c r="R37" s="35" t="str">
        <f t="shared" si="7"/>
        <v/>
      </c>
      <c r="S37" s="29" t="str">
        <f t="shared" si="4"/>
        <v>EM EXECUÇÃO</v>
      </c>
      <c r="T37" s="13">
        <f t="shared" ca="1" si="5"/>
        <v>0</v>
      </c>
      <c r="U37" s="29" t="str">
        <f ca="1">IF(OR($A37="",$F37=""),"",IF($R37&lt;&gt;"",IF($R37&lt;=$F37,"NO PRAZO","FORA DO PRAZO"),IF(TODAY()&gt;$F37,"VENCIDO",IF($F37-TODAY()&lt;='01. CONFIGURAÇÕES'!$C$23,"VENCE EM BREVE","EM DIA"))))</f>
        <v>EM DIA</v>
      </c>
      <c r="V37" s="55">
        <f t="shared" si="6"/>
        <v>0</v>
      </c>
      <c r="W37" s="30"/>
      <c r="X37" s="33"/>
    </row>
    <row r="38" spans="1:24" x14ac:dyDescent="0.25">
      <c r="A38" s="29" t="str">
        <f t="shared" si="0"/>
        <v>BER-0034</v>
      </c>
      <c r="B38" s="30" t="s">
        <v>529</v>
      </c>
      <c r="C38" s="30"/>
      <c r="D38" s="31">
        <v>46281</v>
      </c>
      <c r="E38" s="10">
        <v>3</v>
      </c>
      <c r="F38" s="32">
        <f>IF($D38="","",$D38+IF($E38="",'01. CONFIGURAÇÕES'!$C$22,$E38))</f>
        <v>46284</v>
      </c>
      <c r="G38" s="30" t="s">
        <v>642</v>
      </c>
      <c r="H38" s="33" t="s">
        <v>2479</v>
      </c>
      <c r="I38" s="33" t="s">
        <v>2514</v>
      </c>
      <c r="J38" s="30" t="s">
        <v>2516</v>
      </c>
      <c r="K38" s="33" t="s">
        <v>809</v>
      </c>
      <c r="L38" s="30" t="s">
        <v>2510</v>
      </c>
      <c r="M38" s="33"/>
      <c r="N38" s="30"/>
      <c r="O38" s="33"/>
      <c r="P38" s="34">
        <f t="shared" si="1"/>
        <v>0</v>
      </c>
      <c r="Q38" s="35">
        <f t="shared" si="2"/>
        <v>46281</v>
      </c>
      <c r="R38" s="35" t="str">
        <f t="shared" si="7"/>
        <v/>
      </c>
      <c r="S38" s="29" t="str">
        <f t="shared" si="4"/>
        <v>EM EXECUÇÃO</v>
      </c>
      <c r="T38" s="13">
        <f t="shared" ca="1" si="5"/>
        <v>0</v>
      </c>
      <c r="U38" s="29" t="str">
        <f ca="1">IF(OR($A38="",$F38=""),"",IF($R38&lt;&gt;"",IF($R38&lt;=$F38,"NO PRAZO","FORA DO PRAZO"),IF(TODAY()&gt;$F38,"VENCIDO",IF($F38-TODAY()&lt;='01. CONFIGURAÇÕES'!$C$23,"VENCE EM BREVE","EM DIA"))))</f>
        <v>EM DIA</v>
      </c>
      <c r="V38" s="55">
        <f t="shared" si="6"/>
        <v>0</v>
      </c>
      <c r="W38" s="30"/>
      <c r="X38" s="33"/>
    </row>
    <row r="39" spans="1:24" x14ac:dyDescent="0.25">
      <c r="A39" s="29" t="str">
        <f t="shared" si="0"/>
        <v>BER-0035</v>
      </c>
      <c r="B39" s="30" t="s">
        <v>529</v>
      </c>
      <c r="C39" s="30"/>
      <c r="D39" s="31">
        <v>46281</v>
      </c>
      <c r="E39" s="10">
        <v>3</v>
      </c>
      <c r="F39" s="32">
        <f>IF($D39="","",$D39+IF($E39="",'01. CONFIGURAÇÕES'!$C$22,$E39))</f>
        <v>46284</v>
      </c>
      <c r="G39" s="30" t="s">
        <v>642</v>
      </c>
      <c r="H39" s="33" t="s">
        <v>2479</v>
      </c>
      <c r="I39" s="33" t="s">
        <v>2517</v>
      </c>
      <c r="J39" s="30" t="s">
        <v>2518</v>
      </c>
      <c r="K39" s="33" t="s">
        <v>809</v>
      </c>
      <c r="L39" s="30" t="s">
        <v>2510</v>
      </c>
      <c r="M39" s="33"/>
      <c r="N39" s="30"/>
      <c r="O39" s="33"/>
      <c r="P39" s="34">
        <f t="shared" si="1"/>
        <v>0</v>
      </c>
      <c r="Q39" s="35">
        <f t="shared" si="2"/>
        <v>46281</v>
      </c>
      <c r="R39" s="35" t="str">
        <f t="shared" si="7"/>
        <v/>
      </c>
      <c r="S39" s="29" t="str">
        <f t="shared" si="4"/>
        <v>EM EXECUÇÃO</v>
      </c>
      <c r="T39" s="13">
        <f t="shared" ca="1" si="5"/>
        <v>0</v>
      </c>
      <c r="U39" s="29" t="str">
        <f ca="1">IF(OR($A39="",$F39=""),"",IF($R39&lt;&gt;"",IF($R39&lt;=$F39,"NO PRAZO","FORA DO PRAZO"),IF(TODAY()&gt;$F39,"VENCIDO",IF($F39-TODAY()&lt;='01. CONFIGURAÇÕES'!$C$23,"VENCE EM BREVE","EM DIA"))))</f>
        <v>EM DIA</v>
      </c>
      <c r="V39" s="55">
        <f t="shared" si="6"/>
        <v>0</v>
      </c>
      <c r="W39" s="30"/>
      <c r="X39" s="33"/>
    </row>
    <row r="40" spans="1:24" ht="25.5" customHeight="1" x14ac:dyDescent="0.25">
      <c r="A40" s="29" t="str">
        <f t="shared" si="0"/>
        <v>BER-0036</v>
      </c>
      <c r="B40" s="30" t="s">
        <v>529</v>
      </c>
      <c r="C40" s="30"/>
      <c r="D40" s="31">
        <v>46281</v>
      </c>
      <c r="E40" s="10">
        <v>3</v>
      </c>
      <c r="F40" s="32">
        <f>IF($D40="","",$D40+IF($E40="",'01. CONFIGURAÇÕES'!$C$22,$E40))</f>
        <v>46284</v>
      </c>
      <c r="G40" s="30" t="s">
        <v>642</v>
      </c>
      <c r="H40" s="33" t="s">
        <v>620</v>
      </c>
      <c r="I40" s="33" t="s">
        <v>2519</v>
      </c>
      <c r="J40" s="30" t="s">
        <v>2520</v>
      </c>
      <c r="K40" s="33" t="s">
        <v>809</v>
      </c>
      <c r="L40" s="30" t="s">
        <v>2510</v>
      </c>
      <c r="M40" s="33"/>
      <c r="N40" s="30"/>
      <c r="O40" s="33"/>
      <c r="P40" s="34">
        <f t="shared" si="1"/>
        <v>0</v>
      </c>
      <c r="Q40" s="35">
        <f t="shared" si="2"/>
        <v>46281</v>
      </c>
      <c r="R40" s="35" t="str">
        <f t="shared" si="7"/>
        <v/>
      </c>
      <c r="S40" s="29" t="str">
        <f t="shared" si="4"/>
        <v>EM EXECUÇÃO</v>
      </c>
      <c r="T40" s="13">
        <f t="shared" ca="1" si="5"/>
        <v>0</v>
      </c>
      <c r="U40" s="29" t="str">
        <f ca="1">IF(OR($A40="",$F40=""),"",IF($R40&lt;&gt;"",IF($R40&lt;=$F40,"NO PRAZO","FORA DO PRAZO"),IF(TODAY()&gt;$F40,"VENCIDO",IF($F40-TODAY()&lt;='01. CONFIGURAÇÕES'!$C$23,"VENCE EM BREVE","EM DIA"))))</f>
        <v>EM DIA</v>
      </c>
      <c r="V40" s="55">
        <f t="shared" si="6"/>
        <v>0</v>
      </c>
      <c r="W40" s="30"/>
      <c r="X40" s="33"/>
    </row>
    <row r="41" spans="1:24" ht="25.5" customHeight="1" x14ac:dyDescent="0.25">
      <c r="A41" s="29" t="str">
        <f t="shared" si="0"/>
        <v>BER-0037</v>
      </c>
      <c r="B41" s="30" t="s">
        <v>529</v>
      </c>
      <c r="C41" s="30"/>
      <c r="D41" s="31">
        <v>46281</v>
      </c>
      <c r="E41" s="10">
        <v>3</v>
      </c>
      <c r="F41" s="32">
        <f>IF($D41="","",$D41+IF($E41="",'01. CONFIGURAÇÕES'!$C$22,$E41))</f>
        <v>46284</v>
      </c>
      <c r="G41" s="30" t="s">
        <v>642</v>
      </c>
      <c r="H41" s="33" t="s">
        <v>620</v>
      </c>
      <c r="I41" s="33" t="s">
        <v>2521</v>
      </c>
      <c r="J41" s="30" t="s">
        <v>2522</v>
      </c>
      <c r="K41" s="33" t="s">
        <v>2523</v>
      </c>
      <c r="L41" s="30" t="s">
        <v>2510</v>
      </c>
      <c r="M41" s="33"/>
      <c r="N41" s="30"/>
      <c r="O41" s="33"/>
      <c r="P41" s="34">
        <f t="shared" si="1"/>
        <v>0</v>
      </c>
      <c r="Q41" s="35">
        <f t="shared" si="2"/>
        <v>46281</v>
      </c>
      <c r="R41" s="35" t="str">
        <f t="shared" si="7"/>
        <v/>
      </c>
      <c r="S41" s="29" t="str">
        <f t="shared" si="4"/>
        <v>EM EXECUÇÃO</v>
      </c>
      <c r="T41" s="13">
        <f t="shared" ca="1" si="5"/>
        <v>0</v>
      </c>
      <c r="U41" s="29" t="str">
        <f ca="1">IF(OR($A41="",$F41=""),"",IF($R41&lt;&gt;"",IF($R41&lt;=$F41,"NO PRAZO","FORA DO PRAZO"),IF(TODAY()&gt;$F41,"VENCIDO",IF($F41-TODAY()&lt;='01. CONFIGURAÇÕES'!$C$23,"VENCE EM BREVE","EM DIA"))))</f>
        <v>EM DIA</v>
      </c>
      <c r="V41" s="55">
        <f t="shared" si="6"/>
        <v>0</v>
      </c>
      <c r="W41" s="30"/>
      <c r="X41" s="33"/>
    </row>
    <row r="42" spans="1:24" x14ac:dyDescent="0.25">
      <c r="A42" s="29" t="str">
        <f t="shared" si="0"/>
        <v>BER-0038</v>
      </c>
      <c r="B42" s="30" t="s">
        <v>529</v>
      </c>
      <c r="C42" s="30"/>
      <c r="D42" s="31">
        <v>46281</v>
      </c>
      <c r="E42" s="10">
        <v>3</v>
      </c>
      <c r="F42" s="32">
        <f>IF($D42="","",$D42+IF($E42="",'01. CONFIGURAÇÕES'!$C$22,$E42))</f>
        <v>46284</v>
      </c>
      <c r="G42" s="30" t="s">
        <v>642</v>
      </c>
      <c r="H42" s="33" t="s">
        <v>2479</v>
      </c>
      <c r="I42" s="33" t="s">
        <v>2521</v>
      </c>
      <c r="J42" s="30" t="s">
        <v>2524</v>
      </c>
      <c r="K42" s="33" t="s">
        <v>2523</v>
      </c>
      <c r="L42" s="30" t="s">
        <v>2510</v>
      </c>
      <c r="M42" s="33"/>
      <c r="N42" s="30"/>
      <c r="O42" s="33"/>
      <c r="P42" s="34">
        <f t="shared" si="1"/>
        <v>0</v>
      </c>
      <c r="Q42" s="35">
        <f t="shared" si="2"/>
        <v>46281</v>
      </c>
      <c r="R42" s="35" t="str">
        <f t="shared" si="7"/>
        <v/>
      </c>
      <c r="S42" s="29" t="str">
        <f t="shared" si="4"/>
        <v>EM EXECUÇÃO</v>
      </c>
      <c r="T42" s="13">
        <f t="shared" ca="1" si="5"/>
        <v>0</v>
      </c>
      <c r="U42" s="29" t="str">
        <f ca="1">IF(OR($A42="",$F42=""),"",IF($R42&lt;&gt;"",IF($R42&lt;=$F42,"NO PRAZO","FORA DO PRAZO"),IF(TODAY()&gt;$F42,"VENCIDO",IF($F42-TODAY()&lt;='01. CONFIGURAÇÕES'!$C$23,"VENCE EM BREVE","EM DIA"))))</f>
        <v>EM DIA</v>
      </c>
      <c r="V42" s="55">
        <f t="shared" si="6"/>
        <v>0</v>
      </c>
      <c r="W42" s="30"/>
      <c r="X42" s="33"/>
    </row>
    <row r="43" spans="1:24" x14ac:dyDescent="0.25">
      <c r="A43" s="29" t="str">
        <f t="shared" si="0"/>
        <v>BER-0039</v>
      </c>
      <c r="B43" s="30" t="s">
        <v>529</v>
      </c>
      <c r="C43" s="30"/>
      <c r="D43" s="31">
        <v>46281</v>
      </c>
      <c r="E43" s="10">
        <v>3</v>
      </c>
      <c r="F43" s="32">
        <f>IF($D43="","",$D43+IF($E43="",'01. CONFIGURAÇÕES'!$C$22,$E43))</f>
        <v>46284</v>
      </c>
      <c r="G43" s="30" t="s">
        <v>642</v>
      </c>
      <c r="H43" s="33" t="s">
        <v>2502</v>
      </c>
      <c r="I43" s="33" t="s">
        <v>2525</v>
      </c>
      <c r="J43" s="30" t="s">
        <v>2526</v>
      </c>
      <c r="K43" s="33" t="s">
        <v>2523</v>
      </c>
      <c r="L43" s="30" t="s">
        <v>2510</v>
      </c>
      <c r="M43" s="33"/>
      <c r="N43" s="30"/>
      <c r="O43" s="33"/>
      <c r="P43" s="34">
        <f t="shared" si="1"/>
        <v>0</v>
      </c>
      <c r="Q43" s="35">
        <f t="shared" si="2"/>
        <v>46281</v>
      </c>
      <c r="R43" s="35" t="str">
        <f t="shared" si="7"/>
        <v/>
      </c>
      <c r="S43" s="29" t="str">
        <f t="shared" si="4"/>
        <v>EM EXECUÇÃO</v>
      </c>
      <c r="T43" s="13">
        <f t="shared" ca="1" si="5"/>
        <v>0</v>
      </c>
      <c r="U43" s="29" t="str">
        <f ca="1">IF(OR($A43="",$F43=""),"",IF($R43&lt;&gt;"",IF($R43&lt;=$F43,"NO PRAZO","FORA DO PRAZO"),IF(TODAY()&gt;$F43,"VENCIDO",IF($F43-TODAY()&lt;='01. CONFIGURAÇÕES'!$C$23,"VENCE EM BREVE","EM DIA"))))</f>
        <v>EM DIA</v>
      </c>
      <c r="V43" s="55">
        <f t="shared" si="6"/>
        <v>0</v>
      </c>
      <c r="W43" s="30"/>
      <c r="X43" s="33"/>
    </row>
    <row r="44" spans="1:24" x14ac:dyDescent="0.25">
      <c r="A44" s="29" t="str">
        <f t="shared" si="0"/>
        <v>BER-0040</v>
      </c>
      <c r="B44" s="30" t="s">
        <v>529</v>
      </c>
      <c r="C44" s="30"/>
      <c r="D44" s="31">
        <v>46281</v>
      </c>
      <c r="E44" s="10">
        <v>3</v>
      </c>
      <c r="F44" s="32">
        <f>IF($D44="","",$D44+IF($E44="",'01. CONFIGURAÇÕES'!$C$22,$E44))</f>
        <v>46284</v>
      </c>
      <c r="G44" s="30" t="s">
        <v>642</v>
      </c>
      <c r="H44" s="33" t="s">
        <v>2479</v>
      </c>
      <c r="I44" s="33" t="s">
        <v>2527</v>
      </c>
      <c r="J44" s="30" t="s">
        <v>2528</v>
      </c>
      <c r="K44" s="33" t="s">
        <v>2523</v>
      </c>
      <c r="L44" s="30" t="s">
        <v>2510</v>
      </c>
      <c r="M44" s="33"/>
      <c r="N44" s="30"/>
      <c r="O44" s="33"/>
      <c r="P44" s="34">
        <f t="shared" si="1"/>
        <v>0</v>
      </c>
      <c r="Q44" s="35">
        <f t="shared" si="2"/>
        <v>46281</v>
      </c>
      <c r="R44" s="35" t="str">
        <f t="shared" si="7"/>
        <v/>
      </c>
      <c r="S44" s="29" t="str">
        <f t="shared" si="4"/>
        <v>EM EXECUÇÃO</v>
      </c>
      <c r="T44" s="13">
        <f t="shared" ca="1" si="5"/>
        <v>0</v>
      </c>
      <c r="U44" s="29" t="str">
        <f ca="1">IF(OR($A44="",$F44=""),"",IF($R44&lt;&gt;"",IF($R44&lt;=$F44,"NO PRAZO","FORA DO PRAZO"),IF(TODAY()&gt;$F44,"VENCIDO",IF($F44-TODAY()&lt;='01. CONFIGURAÇÕES'!$C$23,"VENCE EM BREVE","EM DIA"))))</f>
        <v>EM DIA</v>
      </c>
      <c r="V44" s="55">
        <f t="shared" si="6"/>
        <v>0</v>
      </c>
      <c r="W44" s="30"/>
      <c r="X44" s="33"/>
    </row>
    <row r="45" spans="1:24" x14ac:dyDescent="0.25">
      <c r="A45" s="29" t="str">
        <f t="shared" si="0"/>
        <v>BER-0041</v>
      </c>
      <c r="B45" s="30" t="s">
        <v>529</v>
      </c>
      <c r="C45" s="30"/>
      <c r="D45" s="31">
        <v>46281</v>
      </c>
      <c r="E45" s="10">
        <v>3</v>
      </c>
      <c r="F45" s="32">
        <f>IF($D45="","",$D45+IF($E45="",'01. CONFIGURAÇÕES'!$C$22,$E45))</f>
        <v>46284</v>
      </c>
      <c r="G45" s="30" t="s">
        <v>642</v>
      </c>
      <c r="H45" s="33" t="s">
        <v>2479</v>
      </c>
      <c r="I45" s="33" t="s">
        <v>2527</v>
      </c>
      <c r="J45" s="30" t="s">
        <v>2529</v>
      </c>
      <c r="K45" s="33" t="s">
        <v>2523</v>
      </c>
      <c r="L45" s="30" t="s">
        <v>2510</v>
      </c>
      <c r="M45" s="33"/>
      <c r="N45" s="30"/>
      <c r="O45" s="33"/>
      <c r="P45" s="34">
        <f t="shared" si="1"/>
        <v>0</v>
      </c>
      <c r="Q45" s="35">
        <f t="shared" si="2"/>
        <v>46281</v>
      </c>
      <c r="R45" s="35" t="str">
        <f t="shared" si="7"/>
        <v/>
      </c>
      <c r="S45" s="29" t="str">
        <f t="shared" si="4"/>
        <v>EM EXECUÇÃO</v>
      </c>
      <c r="T45" s="13">
        <f t="shared" ca="1" si="5"/>
        <v>0</v>
      </c>
      <c r="U45" s="29" t="str">
        <f ca="1">IF(OR($A45="",$F45=""),"",IF($R45&lt;&gt;"",IF($R45&lt;=$F45,"NO PRAZO","FORA DO PRAZO"),IF(TODAY()&gt;$F45,"VENCIDO",IF($F45-TODAY()&lt;='01. CONFIGURAÇÕES'!$C$23,"VENCE EM BREVE","EM DIA"))))</f>
        <v>EM DIA</v>
      </c>
      <c r="V45" s="55">
        <f t="shared" si="6"/>
        <v>0</v>
      </c>
      <c r="W45" s="30"/>
      <c r="X45" s="33"/>
    </row>
    <row r="46" spans="1:24" ht="25.5" customHeight="1" x14ac:dyDescent="0.25">
      <c r="A46" s="29" t="str">
        <f t="shared" si="0"/>
        <v>BER-0042</v>
      </c>
      <c r="B46" s="30" t="s">
        <v>529</v>
      </c>
      <c r="C46" s="30"/>
      <c r="D46" s="31">
        <v>46281</v>
      </c>
      <c r="E46" s="10">
        <v>3</v>
      </c>
      <c r="F46" s="32">
        <f>IF($D46="","",$D46+IF($E46="",'01. CONFIGURAÇÕES'!$C$22,$E46))</f>
        <v>46284</v>
      </c>
      <c r="G46" s="30" t="s">
        <v>642</v>
      </c>
      <c r="H46" s="33" t="s">
        <v>620</v>
      </c>
      <c r="I46" s="33" t="s">
        <v>2530</v>
      </c>
      <c r="J46" s="30" t="s">
        <v>2531</v>
      </c>
      <c r="K46" s="33" t="s">
        <v>2523</v>
      </c>
      <c r="L46" s="30" t="s">
        <v>2510</v>
      </c>
      <c r="M46" s="33"/>
      <c r="N46" s="30"/>
      <c r="O46" s="33"/>
      <c r="P46" s="34">
        <f t="shared" si="1"/>
        <v>0</v>
      </c>
      <c r="Q46" s="35">
        <f t="shared" si="2"/>
        <v>46281</v>
      </c>
      <c r="R46" s="35" t="str">
        <f t="shared" si="7"/>
        <v/>
      </c>
      <c r="S46" s="29" t="str">
        <f t="shared" si="4"/>
        <v>EM EXECUÇÃO</v>
      </c>
      <c r="T46" s="13">
        <f t="shared" ca="1" si="5"/>
        <v>0</v>
      </c>
      <c r="U46" s="29" t="str">
        <f ca="1">IF(OR($A46="",$F46=""),"",IF($R46&lt;&gt;"",IF($R46&lt;=$F46,"NO PRAZO","FORA DO PRAZO"),IF(TODAY()&gt;$F46,"VENCIDO",IF($F46-TODAY()&lt;='01. CONFIGURAÇÕES'!$C$23,"VENCE EM BREVE","EM DIA"))))</f>
        <v>EM DIA</v>
      </c>
      <c r="V46" s="55">
        <f t="shared" si="6"/>
        <v>0</v>
      </c>
      <c r="W46" s="30"/>
      <c r="X46" s="33"/>
    </row>
    <row r="47" spans="1:24" x14ac:dyDescent="0.25">
      <c r="A47" s="29" t="str">
        <f t="shared" si="0"/>
        <v>BER-0043</v>
      </c>
      <c r="B47" s="30" t="s">
        <v>529</v>
      </c>
      <c r="C47" s="30"/>
      <c r="D47" s="31">
        <v>46281</v>
      </c>
      <c r="E47" s="10">
        <v>3</v>
      </c>
      <c r="F47" s="32">
        <f>IF($D47="","",$D47+IF($E47="",'01. CONFIGURAÇÕES'!$C$22,$E47))</f>
        <v>46284</v>
      </c>
      <c r="G47" s="30" t="s">
        <v>642</v>
      </c>
      <c r="H47" s="33" t="s">
        <v>2479</v>
      </c>
      <c r="I47" s="33" t="s">
        <v>2532</v>
      </c>
      <c r="J47" s="30" t="s">
        <v>2533</v>
      </c>
      <c r="K47" s="33" t="s">
        <v>2523</v>
      </c>
      <c r="L47" s="30" t="s">
        <v>2510</v>
      </c>
      <c r="M47" s="33"/>
      <c r="N47" s="30"/>
      <c r="O47" s="33"/>
      <c r="P47" s="34">
        <f t="shared" si="1"/>
        <v>0</v>
      </c>
      <c r="Q47" s="35">
        <f t="shared" si="2"/>
        <v>46281</v>
      </c>
      <c r="R47" s="35" t="str">
        <f t="shared" si="7"/>
        <v/>
      </c>
      <c r="S47" s="29" t="str">
        <f t="shared" si="4"/>
        <v>EM EXECUÇÃO</v>
      </c>
      <c r="T47" s="13">
        <f t="shared" ca="1" si="5"/>
        <v>0</v>
      </c>
      <c r="U47" s="29" t="str">
        <f ca="1">IF(OR($A47="",$F47=""),"",IF($R47&lt;&gt;"",IF($R47&lt;=$F47,"NO PRAZO","FORA DO PRAZO"),IF(TODAY()&gt;$F47,"VENCIDO",IF($F47-TODAY()&lt;='01. CONFIGURAÇÕES'!$C$23,"VENCE EM BREVE","EM DIA"))))</f>
        <v>EM DIA</v>
      </c>
      <c r="V47" s="55">
        <f t="shared" si="6"/>
        <v>0</v>
      </c>
      <c r="W47" s="30"/>
      <c r="X47" s="33"/>
    </row>
    <row r="48" spans="1:24" x14ac:dyDescent="0.25">
      <c r="A48" s="29" t="str">
        <f t="shared" si="0"/>
        <v>BER-0044</v>
      </c>
      <c r="B48" s="30" t="s">
        <v>529</v>
      </c>
      <c r="C48" s="30"/>
      <c r="D48" s="31">
        <v>46281</v>
      </c>
      <c r="E48" s="10">
        <v>3</v>
      </c>
      <c r="F48" s="32">
        <f>IF($D48="","",$D48+IF($E48="",'01. CONFIGURAÇÕES'!$C$22,$E48))</f>
        <v>46284</v>
      </c>
      <c r="G48" s="30" t="s">
        <v>642</v>
      </c>
      <c r="H48" s="33" t="s">
        <v>2479</v>
      </c>
      <c r="I48" s="33" t="s">
        <v>3095</v>
      </c>
      <c r="J48" s="30" t="s">
        <v>2460</v>
      </c>
      <c r="K48" s="33"/>
      <c r="L48" s="30" t="s">
        <v>2437</v>
      </c>
      <c r="M48" s="33"/>
      <c r="N48" s="30"/>
      <c r="O48" s="33" t="s">
        <v>2479</v>
      </c>
      <c r="P48" s="34">
        <f t="shared" si="1"/>
        <v>0</v>
      </c>
      <c r="Q48" s="35">
        <f t="shared" si="2"/>
        <v>46281</v>
      </c>
      <c r="R48" s="35">
        <f t="shared" si="7"/>
        <v>46281</v>
      </c>
      <c r="S48" s="29" t="str">
        <f t="shared" si="4"/>
        <v>MEDIDO</v>
      </c>
      <c r="T48" s="13">
        <f t="shared" ca="1" si="5"/>
        <v>0</v>
      </c>
      <c r="U48" s="29" t="str">
        <f ca="1">IF(OR($A48="",$F48=""),"",IF($R48&lt;&gt;"",IF($R48&lt;=$F48,"NO PRAZO","FORA DO PRAZO"),IF(TODAY()&gt;$F48,"VENCIDO",IF($F48-TODAY()&lt;='01. CONFIGURAÇÕES'!$C$23,"VENCE EM BREVE","EM DIA"))))</f>
        <v>NO PRAZO</v>
      </c>
      <c r="V48" s="55">
        <f t="shared" si="6"/>
        <v>2132.87</v>
      </c>
      <c r="W48" s="30"/>
      <c r="X48" s="33"/>
    </row>
    <row r="49" spans="1:24" x14ac:dyDescent="0.25">
      <c r="A49" s="29" t="str">
        <f t="shared" si="0"/>
        <v>BER-0045</v>
      </c>
      <c r="B49" s="30" t="s">
        <v>529</v>
      </c>
      <c r="C49" s="30"/>
      <c r="D49" s="31"/>
      <c r="E49" s="10"/>
      <c r="F49" s="32" t="str">
        <f>IF($D49="","",$D49+IF($E49="",'01. CONFIGURAÇÕES'!$C$22,$E49))</f>
        <v/>
      </c>
      <c r="G49" s="30"/>
      <c r="H49" s="33"/>
      <c r="I49" s="33"/>
      <c r="J49" s="30"/>
      <c r="K49" s="33"/>
      <c r="L49" s="30"/>
      <c r="M49" s="33"/>
      <c r="N49" s="30"/>
      <c r="O49" s="33"/>
      <c r="P49" s="34" t="str">
        <f t="shared" si="1"/>
        <v/>
      </c>
      <c r="Q49" s="35" t="str">
        <f t="shared" si="2"/>
        <v/>
      </c>
      <c r="R49" s="35" t="str">
        <f t="shared" si="7"/>
        <v/>
      </c>
      <c r="S49" s="29" t="str">
        <f t="shared" si="4"/>
        <v>CADASTRADO</v>
      </c>
      <c r="T49" s="13">
        <f t="shared" ca="1" si="5"/>
        <v>46281</v>
      </c>
      <c r="U49" s="29" t="str">
        <f ca="1">IF(OR($A49="",$F49=""),"",IF($R49&lt;&gt;"",IF($R49&lt;=$F49,"NO PRAZO","FORA DO PRAZO"),IF(TODAY()&gt;$F49,"VENCIDO",IF($F49-TODAY()&lt;='01. CONFIGURAÇÕES'!$C$23,"VENCE EM BREVE","EM DIA"))))</f>
        <v/>
      </c>
      <c r="V49" s="55">
        <f t="shared" si="6"/>
        <v>0</v>
      </c>
      <c r="W49" s="30"/>
      <c r="X49" s="33"/>
    </row>
    <row r="50" spans="1:24" x14ac:dyDescent="0.25">
      <c r="A50" s="29" t="str">
        <f t="shared" si="0"/>
        <v>BER-0046</v>
      </c>
      <c r="B50" s="30" t="s">
        <v>529</v>
      </c>
      <c r="C50" s="30"/>
      <c r="D50" s="31"/>
      <c r="E50" s="10"/>
      <c r="F50" s="32" t="str">
        <f>IF($D50="","",$D50+IF($E50="",'01. CONFIGURAÇÕES'!$C$22,$E50))</f>
        <v/>
      </c>
      <c r="G50" s="30"/>
      <c r="H50" s="33"/>
      <c r="I50" s="33"/>
      <c r="J50" s="30"/>
      <c r="K50" s="33"/>
      <c r="L50" s="30"/>
      <c r="M50" s="33"/>
      <c r="N50" s="30"/>
      <c r="O50" s="33"/>
      <c r="P50" s="34" t="str">
        <f t="shared" si="1"/>
        <v/>
      </c>
      <c r="Q50" s="35" t="str">
        <f t="shared" si="2"/>
        <v/>
      </c>
      <c r="R50" s="35" t="str">
        <f t="shared" si="7"/>
        <v/>
      </c>
      <c r="S50" s="29" t="str">
        <f t="shared" si="4"/>
        <v>CADASTRADO</v>
      </c>
      <c r="T50" s="13">
        <f t="shared" ca="1" si="5"/>
        <v>46281</v>
      </c>
      <c r="U50" s="29" t="str">
        <f ca="1">IF(OR($A50="",$F50=""),"",IF($R50&lt;&gt;"",IF($R50&lt;=$F50,"NO PRAZO","FORA DO PRAZO"),IF(TODAY()&gt;$F50,"VENCIDO",IF($F50-TODAY()&lt;='01. CONFIGURAÇÕES'!$C$23,"VENCE EM BREVE","EM DIA"))))</f>
        <v/>
      </c>
      <c r="V50" s="55">
        <f t="shared" si="6"/>
        <v>0</v>
      </c>
      <c r="W50" s="30"/>
      <c r="X50" s="33"/>
    </row>
    <row r="51" spans="1:24" x14ac:dyDescent="0.25">
      <c r="A51" s="29" t="str">
        <f t="shared" si="0"/>
        <v>BER-0047</v>
      </c>
      <c r="B51" s="30" t="s">
        <v>529</v>
      </c>
      <c r="C51" s="30"/>
      <c r="D51" s="31"/>
      <c r="E51" s="10"/>
      <c r="F51" s="32" t="str">
        <f>IF($D51="","",$D51+IF($E51="",'01. CONFIGURAÇÕES'!$C$22,$E51))</f>
        <v/>
      </c>
      <c r="G51" s="30"/>
      <c r="H51" s="33"/>
      <c r="I51" s="33"/>
      <c r="J51" s="30"/>
      <c r="K51" s="33"/>
      <c r="L51" s="30"/>
      <c r="M51" s="33"/>
      <c r="N51" s="30"/>
      <c r="O51" s="33"/>
      <c r="P51" s="34" t="str">
        <f t="shared" si="1"/>
        <v/>
      </c>
      <c r="Q51" s="35" t="str">
        <f t="shared" si="2"/>
        <v/>
      </c>
      <c r="R51" s="35" t="str">
        <f t="shared" si="7"/>
        <v/>
      </c>
      <c r="S51" s="29" t="str">
        <f t="shared" si="4"/>
        <v>CADASTRADO</v>
      </c>
      <c r="T51" s="13">
        <f t="shared" ca="1" si="5"/>
        <v>46281</v>
      </c>
      <c r="U51" s="29" t="str">
        <f ca="1">IF(OR($A51="",$F51=""),"",IF($R51&lt;&gt;"",IF($R51&lt;=$F51,"NO PRAZO","FORA DO PRAZO"),IF(TODAY()&gt;$F51,"VENCIDO",IF($F51-TODAY()&lt;='01. CONFIGURAÇÕES'!$C$23,"VENCE EM BREVE","EM DIA"))))</f>
        <v/>
      </c>
      <c r="V51" s="55">
        <f t="shared" si="6"/>
        <v>0</v>
      </c>
      <c r="W51" s="30"/>
      <c r="X51" s="33"/>
    </row>
    <row r="52" spans="1:24" x14ac:dyDescent="0.25">
      <c r="A52" s="29" t="str">
        <f t="shared" si="0"/>
        <v>BER-0048</v>
      </c>
      <c r="B52" s="30" t="s">
        <v>529</v>
      </c>
      <c r="C52" s="30"/>
      <c r="D52" s="31"/>
      <c r="E52" s="10"/>
      <c r="F52" s="32" t="str">
        <f>IF($D52="","",$D52+IF($E52="",'01. CONFIGURAÇÕES'!$C$22,$E52))</f>
        <v/>
      </c>
      <c r="G52" s="30"/>
      <c r="H52" s="33"/>
      <c r="I52" s="33"/>
      <c r="J52" s="30"/>
      <c r="K52" s="33"/>
      <c r="L52" s="30"/>
      <c r="M52" s="33"/>
      <c r="N52" s="30"/>
      <c r="O52" s="33"/>
      <c r="P52" s="34" t="str">
        <f t="shared" si="1"/>
        <v/>
      </c>
      <c r="Q52" s="35" t="str">
        <f t="shared" si="2"/>
        <v/>
      </c>
      <c r="R52" s="35" t="str">
        <f t="shared" si="7"/>
        <v/>
      </c>
      <c r="S52" s="29" t="str">
        <f t="shared" si="4"/>
        <v>CADASTRADO</v>
      </c>
      <c r="T52" s="13">
        <f t="shared" ca="1" si="5"/>
        <v>46281</v>
      </c>
      <c r="U52" s="29" t="str">
        <f ca="1">IF(OR($A52="",$F52=""),"",IF($R52&lt;&gt;"",IF($R52&lt;=$F52,"NO PRAZO","FORA DO PRAZO"),IF(TODAY()&gt;$F52,"VENCIDO",IF($F52-TODAY()&lt;='01. CONFIGURAÇÕES'!$C$23,"VENCE EM BREVE","EM DIA"))))</f>
        <v/>
      </c>
      <c r="V52" s="55">
        <f t="shared" si="6"/>
        <v>0</v>
      </c>
      <c r="W52" s="30"/>
      <c r="X52" s="33"/>
    </row>
    <row r="53" spans="1:24" x14ac:dyDescent="0.25">
      <c r="A53" s="29" t="str">
        <f t="shared" si="0"/>
        <v>BER-0049</v>
      </c>
      <c r="B53" s="30" t="s">
        <v>529</v>
      </c>
      <c r="C53" s="30"/>
      <c r="D53" s="31"/>
      <c r="E53" s="10"/>
      <c r="F53" s="32" t="str">
        <f>IF($D53="","",$D53+IF($E53="",'01. CONFIGURAÇÕES'!$C$22,$E53))</f>
        <v/>
      </c>
      <c r="G53" s="30"/>
      <c r="H53" s="33"/>
      <c r="I53" s="33"/>
      <c r="J53" s="30"/>
      <c r="K53" s="33"/>
      <c r="L53" s="30"/>
      <c r="M53" s="33"/>
      <c r="N53" s="30"/>
      <c r="O53" s="33"/>
      <c r="P53" s="34" t="str">
        <f t="shared" si="1"/>
        <v/>
      </c>
      <c r="Q53" s="35" t="str">
        <f t="shared" si="2"/>
        <v/>
      </c>
      <c r="R53" s="35" t="str">
        <f t="shared" si="7"/>
        <v/>
      </c>
      <c r="S53" s="29" t="str">
        <f t="shared" si="4"/>
        <v>CADASTRADO</v>
      </c>
      <c r="T53" s="13">
        <f t="shared" ca="1" si="5"/>
        <v>46281</v>
      </c>
      <c r="U53" s="29" t="str">
        <f ca="1">IF(OR($A53="",$F53=""),"",IF($R53&lt;&gt;"",IF($R53&lt;=$F53,"NO PRAZO","FORA DO PRAZO"),IF(TODAY()&gt;$F53,"VENCIDO",IF($F53-TODAY()&lt;='01. CONFIGURAÇÕES'!$C$23,"VENCE EM BREVE","EM DIA"))))</f>
        <v/>
      </c>
      <c r="V53" s="55">
        <f t="shared" si="6"/>
        <v>0</v>
      </c>
      <c r="W53" s="30"/>
      <c r="X53" s="33"/>
    </row>
    <row r="54" spans="1:24" x14ac:dyDescent="0.25">
      <c r="A54" s="29" t="str">
        <f t="shared" si="0"/>
        <v>BER-0050</v>
      </c>
      <c r="B54" s="30" t="s">
        <v>529</v>
      </c>
      <c r="C54" s="30"/>
      <c r="D54" s="31"/>
      <c r="E54" s="10"/>
      <c r="F54" s="32" t="str">
        <f>IF($D54="","",$D54+IF($E54="",'01. CONFIGURAÇÕES'!$C$22,$E54))</f>
        <v/>
      </c>
      <c r="G54" s="30"/>
      <c r="H54" s="33"/>
      <c r="I54" s="33"/>
      <c r="J54" s="30"/>
      <c r="K54" s="33"/>
      <c r="L54" s="30"/>
      <c r="M54" s="33"/>
      <c r="N54" s="30"/>
      <c r="O54" s="33"/>
      <c r="P54" s="34" t="str">
        <f t="shared" si="1"/>
        <v/>
      </c>
      <c r="Q54" s="35" t="str">
        <f t="shared" si="2"/>
        <v/>
      </c>
      <c r="R54" s="35" t="str">
        <f t="shared" si="7"/>
        <v/>
      </c>
      <c r="S54" s="29" t="str">
        <f t="shared" si="4"/>
        <v>CADASTRADO</v>
      </c>
      <c r="T54" s="13">
        <f t="shared" ca="1" si="5"/>
        <v>46281</v>
      </c>
      <c r="U54" s="29" t="str">
        <f ca="1">IF(OR($A54="",$F54=""),"",IF($R54&lt;&gt;"",IF($R54&lt;=$F54,"NO PRAZO","FORA DO PRAZO"),IF(TODAY()&gt;$F54,"VENCIDO",IF($F54-TODAY()&lt;='01. CONFIGURAÇÕES'!$C$23,"VENCE EM BREVE","EM DIA"))))</f>
        <v/>
      </c>
      <c r="V54" s="55">
        <f t="shared" si="6"/>
        <v>0</v>
      </c>
      <c r="W54" s="30"/>
      <c r="X54" s="33"/>
    </row>
    <row r="55" spans="1:24" x14ac:dyDescent="0.25">
      <c r="A55" s="29" t="str">
        <f t="shared" si="0"/>
        <v>BER-0051</v>
      </c>
      <c r="B55" s="30" t="s">
        <v>529</v>
      </c>
      <c r="C55" s="30"/>
      <c r="D55" s="31"/>
      <c r="E55" s="10"/>
      <c r="F55" s="32" t="str">
        <f>IF($D55="","",$D55+IF($E55="",'01. CONFIGURAÇÕES'!$C$22,$E55))</f>
        <v/>
      </c>
      <c r="G55" s="30"/>
      <c r="H55" s="33"/>
      <c r="I55" s="33"/>
      <c r="J55" s="30"/>
      <c r="K55" s="33"/>
      <c r="L55" s="30"/>
      <c r="M55" s="33"/>
      <c r="N55" s="30"/>
      <c r="O55" s="33"/>
      <c r="P55" s="34" t="str">
        <f t="shared" si="1"/>
        <v/>
      </c>
      <c r="Q55" s="35" t="str">
        <f t="shared" si="2"/>
        <v/>
      </c>
      <c r="R55" s="35" t="str">
        <f t="shared" si="7"/>
        <v/>
      </c>
      <c r="S55" s="29" t="str">
        <f t="shared" si="4"/>
        <v>CADASTRADO</v>
      </c>
      <c r="T55" s="13">
        <f t="shared" ca="1" si="5"/>
        <v>46281</v>
      </c>
      <c r="U55" s="29" t="str">
        <f ca="1">IF(OR($A55="",$F55=""),"",IF($R55&lt;&gt;"",IF($R55&lt;=$F55,"NO PRAZO","FORA DO PRAZO"),IF(TODAY()&gt;$F55,"VENCIDO",IF($F55-TODAY()&lt;='01. CONFIGURAÇÕES'!$C$23,"VENCE EM BREVE","EM DIA"))))</f>
        <v/>
      </c>
      <c r="V55" s="55">
        <f t="shared" si="6"/>
        <v>0</v>
      </c>
      <c r="W55" s="30"/>
      <c r="X55" s="33"/>
    </row>
    <row r="56" spans="1:24" x14ac:dyDescent="0.25">
      <c r="A56" s="29" t="str">
        <f t="shared" si="0"/>
        <v>BER-0052</v>
      </c>
      <c r="B56" s="30" t="s">
        <v>529</v>
      </c>
      <c r="C56" s="30"/>
      <c r="D56" s="31"/>
      <c r="E56" s="10"/>
      <c r="F56" s="32" t="str">
        <f>IF($D56="","",$D56+IF($E56="",'01. CONFIGURAÇÕES'!$C$22,$E56))</f>
        <v/>
      </c>
      <c r="G56" s="30"/>
      <c r="H56" s="33"/>
      <c r="I56" s="33"/>
      <c r="J56" s="30"/>
      <c r="K56" s="33"/>
      <c r="L56" s="30"/>
      <c r="M56" s="33"/>
      <c r="N56" s="30"/>
      <c r="O56" s="33"/>
      <c r="P56" s="34" t="str">
        <f t="shared" si="1"/>
        <v/>
      </c>
      <c r="Q56" s="35" t="str">
        <f t="shared" si="2"/>
        <v/>
      </c>
      <c r="R56" s="35" t="str">
        <f t="shared" si="7"/>
        <v/>
      </c>
      <c r="S56" s="29" t="str">
        <f t="shared" si="4"/>
        <v>CADASTRADO</v>
      </c>
      <c r="T56" s="13">
        <f t="shared" ca="1" si="5"/>
        <v>46281</v>
      </c>
      <c r="U56" s="29" t="str">
        <f ca="1">IF(OR($A56="",$F56=""),"",IF($R56&lt;&gt;"",IF($R56&lt;=$F56,"NO PRAZO","FORA DO PRAZO"),IF(TODAY()&gt;$F56,"VENCIDO",IF($F56-TODAY()&lt;='01. CONFIGURAÇÕES'!$C$23,"VENCE EM BREVE","EM DIA"))))</f>
        <v/>
      </c>
      <c r="V56" s="55">
        <f t="shared" si="6"/>
        <v>0</v>
      </c>
      <c r="W56" s="30"/>
      <c r="X56" s="33"/>
    </row>
    <row r="57" spans="1:24" x14ac:dyDescent="0.25">
      <c r="A57" s="29" t="str">
        <f t="shared" si="0"/>
        <v>BER-0053</v>
      </c>
      <c r="B57" s="30" t="s">
        <v>529</v>
      </c>
      <c r="C57" s="30"/>
      <c r="D57" s="31"/>
      <c r="E57" s="10"/>
      <c r="F57" s="32" t="str">
        <f>IF($D57="","",$D57+IF($E57="",'01. CONFIGURAÇÕES'!$C$22,$E57))</f>
        <v/>
      </c>
      <c r="G57" s="30"/>
      <c r="H57" s="33"/>
      <c r="I57" s="33"/>
      <c r="J57" s="30"/>
      <c r="K57" s="33"/>
      <c r="L57" s="30"/>
      <c r="M57" s="33"/>
      <c r="N57" s="30"/>
      <c r="O57" s="33"/>
      <c r="P57" s="34" t="str">
        <f t="shared" si="1"/>
        <v/>
      </c>
      <c r="Q57" s="35" t="str">
        <f t="shared" si="2"/>
        <v/>
      </c>
      <c r="R57" s="35" t="str">
        <f t="shared" si="7"/>
        <v/>
      </c>
      <c r="S57" s="29" t="str">
        <f t="shared" si="4"/>
        <v>CADASTRADO</v>
      </c>
      <c r="T57" s="13">
        <f t="shared" ca="1" si="5"/>
        <v>46281</v>
      </c>
      <c r="U57" s="29" t="str">
        <f ca="1">IF(OR($A57="",$F57=""),"",IF($R57&lt;&gt;"",IF($R57&lt;=$F57,"NO PRAZO","FORA DO PRAZO"),IF(TODAY()&gt;$F57,"VENCIDO",IF($F57-TODAY()&lt;='01. CONFIGURAÇÕES'!$C$23,"VENCE EM BREVE","EM DIA"))))</f>
        <v/>
      </c>
      <c r="V57" s="55">
        <f t="shared" si="6"/>
        <v>0</v>
      </c>
      <c r="W57" s="30"/>
      <c r="X57" s="33"/>
    </row>
    <row r="58" spans="1:24" x14ac:dyDescent="0.25">
      <c r="A58" s="29" t="str">
        <f t="shared" si="0"/>
        <v>BER-0054</v>
      </c>
      <c r="B58" s="30" t="s">
        <v>529</v>
      </c>
      <c r="C58" s="30"/>
      <c r="D58" s="31"/>
      <c r="E58" s="10"/>
      <c r="F58" s="32" t="str">
        <f>IF($D58="","",$D58+IF($E58="",'01. CONFIGURAÇÕES'!$C$22,$E58))</f>
        <v/>
      </c>
      <c r="G58" s="30"/>
      <c r="H58" s="33"/>
      <c r="I58" s="33"/>
      <c r="J58" s="30"/>
      <c r="K58" s="33"/>
      <c r="L58" s="30"/>
      <c r="M58" s="33"/>
      <c r="N58" s="30"/>
      <c r="O58" s="33"/>
      <c r="P58" s="34" t="str">
        <f t="shared" si="1"/>
        <v/>
      </c>
      <c r="Q58" s="35" t="str">
        <f t="shared" si="2"/>
        <v/>
      </c>
      <c r="R58" s="35" t="str">
        <f t="shared" si="7"/>
        <v/>
      </c>
      <c r="S58" s="29" t="str">
        <f t="shared" si="4"/>
        <v>CADASTRADO</v>
      </c>
      <c r="T58" s="13">
        <f t="shared" ca="1" si="5"/>
        <v>46281</v>
      </c>
      <c r="U58" s="29" t="str">
        <f ca="1">IF(OR($A58="",$F58=""),"",IF($R58&lt;&gt;"",IF($R58&lt;=$F58,"NO PRAZO","FORA DO PRAZO"),IF(TODAY()&gt;$F58,"VENCIDO",IF($F58-TODAY()&lt;='01. CONFIGURAÇÕES'!$C$23,"VENCE EM BREVE","EM DIA"))))</f>
        <v/>
      </c>
      <c r="V58" s="55">
        <f t="shared" si="6"/>
        <v>0</v>
      </c>
      <c r="W58" s="30"/>
      <c r="X58" s="33"/>
    </row>
    <row r="59" spans="1:24" x14ac:dyDescent="0.25">
      <c r="A59" s="29" t="str">
        <f t="shared" si="0"/>
        <v/>
      </c>
      <c r="B59" s="30"/>
      <c r="C59" s="30"/>
      <c r="D59" s="31"/>
      <c r="E59" s="10"/>
      <c r="F59" s="32" t="str">
        <f>IF($D59="","",$D59+IF($E59="",'01. CONFIGURAÇÕES'!$C$22,$E59))</f>
        <v/>
      </c>
      <c r="G59" s="30"/>
      <c r="H59" s="33"/>
      <c r="I59" s="33"/>
      <c r="J59" s="30"/>
      <c r="K59" s="33"/>
      <c r="L59" s="30"/>
      <c r="M59" s="33"/>
      <c r="N59" s="30"/>
      <c r="O59" s="33"/>
      <c r="P59" s="34" t="str">
        <f t="shared" si="1"/>
        <v/>
      </c>
      <c r="Q59" s="35" t="str">
        <f t="shared" si="2"/>
        <v/>
      </c>
      <c r="R59" s="35" t="str">
        <f t="shared" si="7"/>
        <v/>
      </c>
      <c r="S59" s="29" t="str">
        <f t="shared" si="4"/>
        <v/>
      </c>
      <c r="T59" s="13" t="str">
        <f t="shared" ca="1" si="5"/>
        <v/>
      </c>
      <c r="U59" s="29" t="str">
        <f ca="1">IF(OR($A59="",$F59=""),"",IF($R59&lt;&gt;"",IF($R59&lt;=$F59,"NO PRAZO","FORA DO PRAZO"),IF(TODAY()&gt;$F59,"VENCIDO",IF($F59-TODAY()&lt;='01. CONFIGURAÇÕES'!$C$23,"VENCE EM BREVE","EM DIA"))))</f>
        <v/>
      </c>
      <c r="V59" s="55" t="str">
        <f t="shared" si="6"/>
        <v/>
      </c>
      <c r="W59" s="30"/>
      <c r="X59" s="33"/>
    </row>
    <row r="60" spans="1:24" x14ac:dyDescent="0.25">
      <c r="A60" s="29" t="str">
        <f t="shared" si="0"/>
        <v/>
      </c>
      <c r="B60" s="30"/>
      <c r="C60" s="30"/>
      <c r="D60" s="31"/>
      <c r="E60" s="10"/>
      <c r="F60" s="32" t="str">
        <f>IF($D60="","",$D60+IF($E60="",'01. CONFIGURAÇÕES'!$C$22,$E60))</f>
        <v/>
      </c>
      <c r="G60" s="30"/>
      <c r="H60" s="33"/>
      <c r="I60" s="33"/>
      <c r="J60" s="30"/>
      <c r="K60" s="33"/>
      <c r="L60" s="30"/>
      <c r="M60" s="33"/>
      <c r="N60" s="30"/>
      <c r="O60" s="33"/>
      <c r="P60" s="34" t="str">
        <f t="shared" si="1"/>
        <v/>
      </c>
      <c r="Q60" s="35" t="str">
        <f t="shared" si="2"/>
        <v/>
      </c>
      <c r="R60" s="35" t="str">
        <f t="shared" si="7"/>
        <v/>
      </c>
      <c r="S60" s="29" t="str">
        <f t="shared" si="4"/>
        <v/>
      </c>
      <c r="T60" s="13" t="str">
        <f t="shared" ca="1" si="5"/>
        <v/>
      </c>
      <c r="U60" s="29" t="str">
        <f ca="1">IF(OR($A60="",$F60=""),"",IF($R60&lt;&gt;"",IF($R60&lt;=$F60,"NO PRAZO","FORA DO PRAZO"),IF(TODAY()&gt;$F60,"VENCIDO",IF($F60-TODAY()&lt;='01. CONFIGURAÇÕES'!$C$23,"VENCE EM BREVE","EM DIA"))))</f>
        <v/>
      </c>
      <c r="V60" s="55" t="str">
        <f t="shared" si="6"/>
        <v/>
      </c>
      <c r="W60" s="30"/>
      <c r="X60" s="33"/>
    </row>
    <row r="61" spans="1:24" x14ac:dyDescent="0.25">
      <c r="A61" s="29" t="str">
        <f t="shared" si="0"/>
        <v/>
      </c>
      <c r="B61" s="30"/>
      <c r="C61" s="30"/>
      <c r="D61" s="31"/>
      <c r="E61" s="10"/>
      <c r="F61" s="32" t="str">
        <f>IF($D61="","",$D61+IF($E61="",'01. CONFIGURAÇÕES'!$C$22,$E61))</f>
        <v/>
      </c>
      <c r="G61" s="30"/>
      <c r="H61" s="33"/>
      <c r="I61" s="33"/>
      <c r="J61" s="30"/>
      <c r="K61" s="33"/>
      <c r="L61" s="30"/>
      <c r="M61" s="33"/>
      <c r="N61" s="30"/>
      <c r="O61" s="33"/>
      <c r="P61" s="34" t="str">
        <f t="shared" si="1"/>
        <v/>
      </c>
      <c r="Q61" s="35" t="str">
        <f t="shared" si="2"/>
        <v/>
      </c>
      <c r="R61" s="35" t="str">
        <f t="shared" si="7"/>
        <v/>
      </c>
      <c r="S61" s="29" t="str">
        <f t="shared" si="4"/>
        <v/>
      </c>
      <c r="T61" s="13" t="str">
        <f t="shared" ca="1" si="5"/>
        <v/>
      </c>
      <c r="U61" s="29" t="str">
        <f ca="1">IF(OR($A61="",$F61=""),"",IF($R61&lt;&gt;"",IF($R61&lt;=$F61,"NO PRAZO","FORA DO PRAZO"),IF(TODAY()&gt;$F61,"VENCIDO",IF($F61-TODAY()&lt;='01. CONFIGURAÇÕES'!$C$23,"VENCE EM BREVE","EM DIA"))))</f>
        <v/>
      </c>
      <c r="V61" s="55" t="str">
        <f t="shared" si="6"/>
        <v/>
      </c>
      <c r="W61" s="30"/>
      <c r="X61" s="33"/>
    </row>
    <row r="62" spans="1:24" x14ac:dyDescent="0.25">
      <c r="A62" s="29" t="str">
        <f t="shared" si="0"/>
        <v/>
      </c>
      <c r="B62" s="30"/>
      <c r="C62" s="30"/>
      <c r="D62" s="31"/>
      <c r="E62" s="10"/>
      <c r="F62" s="32" t="str">
        <f>IF($D62="","",$D62+IF($E62="",'01. CONFIGURAÇÕES'!$C$22,$E62))</f>
        <v/>
      </c>
      <c r="G62" s="30"/>
      <c r="H62" s="33"/>
      <c r="I62" s="33"/>
      <c r="J62" s="30"/>
      <c r="K62" s="33"/>
      <c r="L62" s="30"/>
      <c r="M62" s="33"/>
      <c r="N62" s="30"/>
      <c r="O62" s="33"/>
      <c r="P62" s="34" t="str">
        <f t="shared" si="1"/>
        <v/>
      </c>
      <c r="Q62" s="35" t="str">
        <f t="shared" si="2"/>
        <v/>
      </c>
      <c r="R62" s="35" t="str">
        <f t="shared" si="7"/>
        <v/>
      </c>
      <c r="S62" s="29" t="str">
        <f t="shared" si="4"/>
        <v/>
      </c>
      <c r="T62" s="13" t="str">
        <f t="shared" ca="1" si="5"/>
        <v/>
      </c>
      <c r="U62" s="29" t="str">
        <f ca="1">IF(OR($A62="",$F62=""),"",IF($R62&lt;&gt;"",IF($R62&lt;=$F62,"NO PRAZO","FORA DO PRAZO"),IF(TODAY()&gt;$F62,"VENCIDO",IF($F62-TODAY()&lt;='01. CONFIGURAÇÕES'!$C$23,"VENCE EM BREVE","EM DIA"))))</f>
        <v/>
      </c>
      <c r="V62" s="55" t="str">
        <f t="shared" si="6"/>
        <v/>
      </c>
      <c r="W62" s="30"/>
      <c r="X62" s="33"/>
    </row>
    <row r="63" spans="1:24" x14ac:dyDescent="0.25">
      <c r="A63" s="29" t="str">
        <f t="shared" si="0"/>
        <v/>
      </c>
      <c r="B63" s="30"/>
      <c r="C63" s="30"/>
      <c r="D63" s="31"/>
      <c r="E63" s="10"/>
      <c r="F63" s="32" t="str">
        <f>IF($D63="","",$D63+IF($E63="",'01. CONFIGURAÇÕES'!$C$22,$E63))</f>
        <v/>
      </c>
      <c r="G63" s="30"/>
      <c r="H63" s="33"/>
      <c r="I63" s="33"/>
      <c r="J63" s="30"/>
      <c r="K63" s="33"/>
      <c r="L63" s="30"/>
      <c r="M63" s="33"/>
      <c r="N63" s="30"/>
      <c r="O63" s="33"/>
      <c r="P63" s="34" t="str">
        <f t="shared" si="1"/>
        <v/>
      </c>
      <c r="Q63" s="35" t="str">
        <f t="shared" si="2"/>
        <v/>
      </c>
      <c r="R63" s="35" t="str">
        <f t="shared" si="7"/>
        <v/>
      </c>
      <c r="S63" s="29" t="str">
        <f t="shared" si="4"/>
        <v/>
      </c>
      <c r="T63" s="13" t="str">
        <f t="shared" ca="1" si="5"/>
        <v/>
      </c>
      <c r="U63" s="29" t="str">
        <f ca="1">IF(OR($A63="",$F63=""),"",IF($R63&lt;&gt;"",IF($R63&lt;=$F63,"NO PRAZO","FORA DO PRAZO"),IF(TODAY()&gt;$F63,"VENCIDO",IF($F63-TODAY()&lt;='01. CONFIGURAÇÕES'!$C$23,"VENCE EM BREVE","EM DIA"))))</f>
        <v/>
      </c>
      <c r="V63" s="55" t="str">
        <f t="shared" si="6"/>
        <v/>
      </c>
      <c r="W63" s="30"/>
      <c r="X63" s="33"/>
    </row>
    <row r="64" spans="1:24" x14ac:dyDescent="0.25">
      <c r="A64" s="29" t="str">
        <f t="shared" si="0"/>
        <v/>
      </c>
      <c r="B64" s="30"/>
      <c r="C64" s="30"/>
      <c r="D64" s="31"/>
      <c r="E64" s="10"/>
      <c r="F64" s="32" t="str">
        <f>IF($D64="","",$D64+IF($E64="",'01. CONFIGURAÇÕES'!$C$22,$E64))</f>
        <v/>
      </c>
      <c r="G64" s="30"/>
      <c r="H64" s="33"/>
      <c r="I64" s="33"/>
      <c r="J64" s="30"/>
      <c r="K64" s="33"/>
      <c r="L64" s="30"/>
      <c r="M64" s="33"/>
      <c r="N64" s="30"/>
      <c r="O64" s="33"/>
      <c r="P64" s="34" t="str">
        <f t="shared" si="1"/>
        <v/>
      </c>
      <c r="Q64" s="35" t="str">
        <f t="shared" si="2"/>
        <v/>
      </c>
      <c r="R64" s="35" t="str">
        <f t="shared" si="7"/>
        <v/>
      </c>
      <c r="S64" s="29" t="str">
        <f t="shared" si="4"/>
        <v/>
      </c>
      <c r="T64" s="13" t="str">
        <f t="shared" ca="1" si="5"/>
        <v/>
      </c>
      <c r="U64" s="29" t="str">
        <f ca="1">IF(OR($A64="",$F64=""),"",IF($R64&lt;&gt;"",IF($R64&lt;=$F64,"NO PRAZO","FORA DO PRAZO"),IF(TODAY()&gt;$F64,"VENCIDO",IF($F64-TODAY()&lt;='01. CONFIGURAÇÕES'!$C$23,"VENCE EM BREVE","EM DIA"))))</f>
        <v/>
      </c>
      <c r="V64" s="55" t="str">
        <f t="shared" si="6"/>
        <v/>
      </c>
      <c r="W64" s="30"/>
      <c r="X64" s="33"/>
    </row>
    <row r="65" spans="1:24" x14ac:dyDescent="0.25">
      <c r="A65" s="29" t="str">
        <f t="shared" si="0"/>
        <v/>
      </c>
      <c r="B65" s="30"/>
      <c r="C65" s="30"/>
      <c r="D65" s="31"/>
      <c r="E65" s="10"/>
      <c r="F65" s="32" t="str">
        <f>IF($D65="","",$D65+IF($E65="",'01. CONFIGURAÇÕES'!$C$22,$E65))</f>
        <v/>
      </c>
      <c r="G65" s="30"/>
      <c r="H65" s="33"/>
      <c r="I65" s="33"/>
      <c r="J65" s="30"/>
      <c r="K65" s="33"/>
      <c r="L65" s="30"/>
      <c r="M65" s="33"/>
      <c r="N65" s="30"/>
      <c r="O65" s="33"/>
      <c r="P65" s="34" t="str">
        <f t="shared" si="1"/>
        <v/>
      </c>
      <c r="Q65" s="35" t="str">
        <f t="shared" si="2"/>
        <v/>
      </c>
      <c r="R65" s="35" t="str">
        <f t="shared" si="7"/>
        <v/>
      </c>
      <c r="S65" s="29" t="str">
        <f t="shared" si="4"/>
        <v/>
      </c>
      <c r="T65" s="13" t="str">
        <f t="shared" ca="1" si="5"/>
        <v/>
      </c>
      <c r="U65" s="29" t="str">
        <f ca="1">IF(OR($A65="",$F65=""),"",IF($R65&lt;&gt;"",IF($R65&lt;=$F65,"NO PRAZO","FORA DO PRAZO"),IF(TODAY()&gt;$F65,"VENCIDO",IF($F65-TODAY()&lt;='01. CONFIGURAÇÕES'!$C$23,"VENCE EM BREVE","EM DIA"))))</f>
        <v/>
      </c>
      <c r="V65" s="55" t="str">
        <f t="shared" si="6"/>
        <v/>
      </c>
      <c r="W65" s="30"/>
      <c r="X65" s="33"/>
    </row>
    <row r="66" spans="1:24" x14ac:dyDescent="0.25">
      <c r="A66" s="29" t="str">
        <f t="shared" si="0"/>
        <v/>
      </c>
      <c r="B66" s="30"/>
      <c r="C66" s="30"/>
      <c r="D66" s="31"/>
      <c r="E66" s="10"/>
      <c r="F66" s="32" t="str">
        <f>IF($D66="","",$D66+IF($E66="",'01. CONFIGURAÇÕES'!$C$22,$E66))</f>
        <v/>
      </c>
      <c r="G66" s="30"/>
      <c r="H66" s="33"/>
      <c r="I66" s="33"/>
      <c r="J66" s="30"/>
      <c r="K66" s="33"/>
      <c r="L66" s="30"/>
      <c r="M66" s="33"/>
      <c r="N66" s="30"/>
      <c r="O66" s="33"/>
      <c r="P66" s="34" t="str">
        <f t="shared" si="1"/>
        <v/>
      </c>
      <c r="Q66" s="35" t="str">
        <f t="shared" si="2"/>
        <v/>
      </c>
      <c r="R66" s="35" t="str">
        <f t="shared" si="7"/>
        <v/>
      </c>
      <c r="S66" s="29" t="str">
        <f t="shared" si="4"/>
        <v/>
      </c>
      <c r="T66" s="13" t="str">
        <f t="shared" ca="1" si="5"/>
        <v/>
      </c>
      <c r="U66" s="29" t="str">
        <f ca="1">IF(OR($A66="",$F66=""),"",IF($R66&lt;&gt;"",IF($R66&lt;=$F66,"NO PRAZO","FORA DO PRAZO"),IF(TODAY()&gt;$F66,"VENCIDO",IF($F66-TODAY()&lt;='01. CONFIGURAÇÕES'!$C$23,"VENCE EM BREVE","EM DIA"))))</f>
        <v/>
      </c>
      <c r="V66" s="55" t="str">
        <f t="shared" si="6"/>
        <v/>
      </c>
      <c r="W66" s="30"/>
      <c r="X66" s="33"/>
    </row>
    <row r="67" spans="1:24" x14ac:dyDescent="0.25">
      <c r="A67" s="29" t="str">
        <f t="shared" si="0"/>
        <v/>
      </c>
      <c r="B67" s="30"/>
      <c r="C67" s="30"/>
      <c r="D67" s="31"/>
      <c r="E67" s="10"/>
      <c r="F67" s="32" t="str">
        <f>IF($D67="","",$D67+IF($E67="",'01. CONFIGURAÇÕES'!$C$22,$E67))</f>
        <v/>
      </c>
      <c r="G67" s="30"/>
      <c r="H67" s="33"/>
      <c r="I67" s="33"/>
      <c r="J67" s="30"/>
      <c r="K67" s="33"/>
      <c r="L67" s="30"/>
      <c r="M67" s="33"/>
      <c r="N67" s="30"/>
      <c r="O67" s="33"/>
      <c r="P67" s="34" t="str">
        <f t="shared" si="1"/>
        <v/>
      </c>
      <c r="Q67" s="35" t="str">
        <f t="shared" si="2"/>
        <v/>
      </c>
      <c r="R67" s="35" t="str">
        <f t="shared" si="7"/>
        <v/>
      </c>
      <c r="S67" s="29" t="str">
        <f t="shared" si="4"/>
        <v/>
      </c>
      <c r="T67" s="13" t="str">
        <f t="shared" ca="1" si="5"/>
        <v/>
      </c>
      <c r="U67" s="29" t="str">
        <f ca="1">IF(OR($A67="",$F67=""),"",IF($R67&lt;&gt;"",IF($R67&lt;=$F67,"NO PRAZO","FORA DO PRAZO"),IF(TODAY()&gt;$F67,"VENCIDO",IF($F67-TODAY()&lt;='01. CONFIGURAÇÕES'!$C$23,"VENCE EM BREVE","EM DIA"))))</f>
        <v/>
      </c>
      <c r="V67" s="55" t="str">
        <f t="shared" si="6"/>
        <v/>
      </c>
      <c r="W67" s="30"/>
      <c r="X67" s="33"/>
    </row>
    <row r="68" spans="1:24" x14ac:dyDescent="0.25">
      <c r="A68" s="29" t="str">
        <f t="shared" si="0"/>
        <v/>
      </c>
      <c r="B68" s="30"/>
      <c r="C68" s="30"/>
      <c r="D68" s="31"/>
      <c r="E68" s="10"/>
      <c r="F68" s="32" t="str">
        <f>IF($D68="","",$D68+IF($E68="",'01. CONFIGURAÇÕES'!$C$22,$E68))</f>
        <v/>
      </c>
      <c r="G68" s="30"/>
      <c r="H68" s="33"/>
      <c r="I68" s="33"/>
      <c r="J68" s="30"/>
      <c r="K68" s="33"/>
      <c r="L68" s="30"/>
      <c r="M68" s="33"/>
      <c r="N68" s="30"/>
      <c r="O68" s="33"/>
      <c r="P68" s="34" t="str">
        <f t="shared" si="1"/>
        <v/>
      </c>
      <c r="Q68" s="35" t="str">
        <f t="shared" si="2"/>
        <v/>
      </c>
      <c r="R68" s="35" t="str">
        <f t="shared" si="7"/>
        <v/>
      </c>
      <c r="S68" s="29" t="str">
        <f t="shared" si="4"/>
        <v/>
      </c>
      <c r="T68" s="13" t="str">
        <f t="shared" ca="1" si="5"/>
        <v/>
      </c>
      <c r="U68" s="29" t="str">
        <f ca="1">IF(OR($A68="",$F68=""),"",IF($R68&lt;&gt;"",IF($R68&lt;=$F68,"NO PRAZO","FORA DO PRAZO"),IF(TODAY()&gt;$F68,"VENCIDO",IF($F68-TODAY()&lt;='01. CONFIGURAÇÕES'!$C$23,"VENCE EM BREVE","EM DIA"))))</f>
        <v/>
      </c>
      <c r="V68" s="55" t="str">
        <f t="shared" si="6"/>
        <v/>
      </c>
      <c r="W68" s="30"/>
      <c r="X68" s="33"/>
    </row>
    <row r="69" spans="1:24" x14ac:dyDescent="0.25">
      <c r="A69" s="29" t="str">
        <f t="shared" ref="A69:A132" si="8">IF($B69="","",LEFT($B69,3)&amp;"-"&amp;TEXT(ROW()-4,"0000"))</f>
        <v/>
      </c>
      <c r="B69" s="30"/>
      <c r="C69" s="30"/>
      <c r="D69" s="31"/>
      <c r="E69" s="10"/>
      <c r="F69" s="32" t="str">
        <f>IF($D69="","",$D69+IF($E69="",'01. CONFIGURAÇÕES'!$C$22,$E69))</f>
        <v/>
      </c>
      <c r="G69" s="30"/>
      <c r="H69" s="33"/>
      <c r="I69" s="33"/>
      <c r="J69" s="30"/>
      <c r="K69" s="33"/>
      <c r="L69" s="30"/>
      <c r="M69" s="33"/>
      <c r="N69" s="30"/>
      <c r="O69" s="33"/>
      <c r="P69" s="34" t="str">
        <f t="shared" ref="P69:P132" si="9">IFERROR(IF($A69="","",IF(COUNTIFS(OS_ID,$A69)&gt;0,INDEX(OS_EQUIPE,MATCH($A69,OS_ID,0)),IF(COUNTIFS(PROG_ID,$A69)&gt;0,INDEX(PROG_EQUIPE,MATCH($A69,PROG_ID,0)),""))),"")</f>
        <v/>
      </c>
      <c r="Q69" s="35" t="str">
        <f t="shared" ref="Q69:Q132" si="10">IF($A69="","",IFERROR(IF(INDEX(PROG_DATA,MATCH($A69,PROG_ID,0))=0,"",INDEX(PROG_DATA,MATCH($A69,PROG_ID,0))),""))</f>
        <v/>
      </c>
      <c r="R69" s="35" t="str">
        <f t="shared" si="7"/>
        <v/>
      </c>
      <c r="S69" s="29" t="str">
        <f t="shared" ref="S69:S132" si="11">IF($A69="","",IF($W69&lt;&gt;"",$W69,IF($V69&gt;0,"MEDIDO",IF($R69&lt;&gt;"","EXECUTADO",IF(COUNTIFS(OS_ID,$A69)&gt;0,"EM EXECUÇÃO",IF($Q69&lt;&gt;"","PROGRAMADO","CADASTRADO"))))))</f>
        <v/>
      </c>
      <c r="T69" s="13" t="str">
        <f t="shared" ref="T69:T132" ca="1" si="12">IF($A69="","",IF($R69&lt;&gt;"",$R69-$D69,TODAY()-$D69))</f>
        <v/>
      </c>
      <c r="U69" s="29" t="str">
        <f ca="1">IF(OR($A69="",$F69=""),"",IF($R69&lt;&gt;"",IF($R69&lt;=$F69,"NO PRAZO","FORA DO PRAZO"),IF(TODAY()&gt;$F69,"VENCIDO",IF($F69-TODAY()&lt;='01. CONFIGURAÇÕES'!$C$23,"VENCE EM BREVE","EM DIA"))))</f>
        <v/>
      </c>
      <c r="V69" s="55" t="str">
        <f t="shared" ref="V69:V132" si="13">IF($A69="","",SUMIFS(MED_VLR,MED_ID,$A69))</f>
        <v/>
      </c>
      <c r="W69" s="30"/>
      <c r="X69" s="33"/>
    </row>
    <row r="70" spans="1:24" x14ac:dyDescent="0.25">
      <c r="A70" s="29" t="str">
        <f t="shared" si="8"/>
        <v/>
      </c>
      <c r="B70" s="30"/>
      <c r="C70" s="30"/>
      <c r="D70" s="31"/>
      <c r="E70" s="10"/>
      <c r="F70" s="32" t="str">
        <f>IF($D70="","",$D70+IF($E70="",'01. CONFIGURAÇÕES'!$C$22,$E70))</f>
        <v/>
      </c>
      <c r="G70" s="30"/>
      <c r="H70" s="33"/>
      <c r="I70" s="33"/>
      <c r="J70" s="30"/>
      <c r="K70" s="33"/>
      <c r="L70" s="30"/>
      <c r="M70" s="33"/>
      <c r="N70" s="30"/>
      <c r="O70" s="33"/>
      <c r="P70" s="34" t="str">
        <f t="shared" si="9"/>
        <v/>
      </c>
      <c r="Q70" s="35" t="str">
        <f t="shared" si="10"/>
        <v/>
      </c>
      <c r="R70" s="35" t="str">
        <f t="shared" si="7"/>
        <v/>
      </c>
      <c r="S70" s="29" t="str">
        <f t="shared" si="11"/>
        <v/>
      </c>
      <c r="T70" s="13" t="str">
        <f t="shared" ca="1" si="12"/>
        <v/>
      </c>
      <c r="U70" s="29" t="str">
        <f ca="1">IF(OR($A70="",$F70=""),"",IF($R70&lt;&gt;"",IF($R70&lt;=$F70,"NO PRAZO","FORA DO PRAZO"),IF(TODAY()&gt;$F70,"VENCIDO",IF($F70-TODAY()&lt;='01. CONFIGURAÇÕES'!$C$23,"VENCE EM BREVE","EM DIA"))))</f>
        <v/>
      </c>
      <c r="V70" s="55" t="str">
        <f t="shared" si="13"/>
        <v/>
      </c>
      <c r="W70" s="30"/>
      <c r="X70" s="33"/>
    </row>
    <row r="71" spans="1:24" x14ac:dyDescent="0.25">
      <c r="A71" s="29" t="str">
        <f t="shared" si="8"/>
        <v/>
      </c>
      <c r="B71" s="30"/>
      <c r="C71" s="30"/>
      <c r="D71" s="31"/>
      <c r="E71" s="10"/>
      <c r="F71" s="32" t="str">
        <f>IF($D71="","",$D71+IF($E71="",'01. CONFIGURAÇÕES'!$C$22,$E71))</f>
        <v/>
      </c>
      <c r="G71" s="30"/>
      <c r="H71" s="33"/>
      <c r="I71" s="33"/>
      <c r="J71" s="30"/>
      <c r="K71" s="33"/>
      <c r="L71" s="30"/>
      <c r="M71" s="33"/>
      <c r="N71" s="30"/>
      <c r="O71" s="33"/>
      <c r="P71" s="34" t="str">
        <f t="shared" si="9"/>
        <v/>
      </c>
      <c r="Q71" s="35" t="str">
        <f t="shared" si="10"/>
        <v/>
      </c>
      <c r="R71" s="35" t="str">
        <f t="shared" si="7"/>
        <v/>
      </c>
      <c r="S71" s="29" t="str">
        <f t="shared" si="11"/>
        <v/>
      </c>
      <c r="T71" s="13" t="str">
        <f t="shared" ca="1" si="12"/>
        <v/>
      </c>
      <c r="U71" s="29" t="str">
        <f ca="1">IF(OR($A71="",$F71=""),"",IF($R71&lt;&gt;"",IF($R71&lt;=$F71,"NO PRAZO","FORA DO PRAZO"),IF(TODAY()&gt;$F71,"VENCIDO",IF($F71-TODAY()&lt;='01. CONFIGURAÇÕES'!$C$23,"VENCE EM BREVE","EM DIA"))))</f>
        <v/>
      </c>
      <c r="V71" s="55" t="str">
        <f t="shared" si="13"/>
        <v/>
      </c>
      <c r="W71" s="30"/>
      <c r="X71" s="33"/>
    </row>
    <row r="72" spans="1:24" x14ac:dyDescent="0.25">
      <c r="A72" s="29" t="str">
        <f t="shared" si="8"/>
        <v/>
      </c>
      <c r="B72" s="30"/>
      <c r="C72" s="30"/>
      <c r="D72" s="31"/>
      <c r="E72" s="10"/>
      <c r="F72" s="32" t="str">
        <f>IF($D72="","",$D72+IF($E72="",'01. CONFIGURAÇÕES'!$C$22,$E72))</f>
        <v/>
      </c>
      <c r="G72" s="30"/>
      <c r="H72" s="33"/>
      <c r="I72" s="33"/>
      <c r="J72" s="30"/>
      <c r="K72" s="33"/>
      <c r="L72" s="30"/>
      <c r="M72" s="33"/>
      <c r="N72" s="30"/>
      <c r="O72" s="33"/>
      <c r="P72" s="34" t="str">
        <f t="shared" si="9"/>
        <v/>
      </c>
      <c r="Q72" s="35" t="str">
        <f t="shared" si="10"/>
        <v/>
      </c>
      <c r="R72" s="35" t="str">
        <f t="shared" si="7"/>
        <v/>
      </c>
      <c r="S72" s="29" t="str">
        <f t="shared" si="11"/>
        <v/>
      </c>
      <c r="T72" s="13" t="str">
        <f t="shared" ca="1" si="12"/>
        <v/>
      </c>
      <c r="U72" s="29" t="str">
        <f ca="1">IF(OR($A72="",$F72=""),"",IF($R72&lt;&gt;"",IF($R72&lt;=$F72,"NO PRAZO","FORA DO PRAZO"),IF(TODAY()&gt;$F72,"VENCIDO",IF($F72-TODAY()&lt;='01. CONFIGURAÇÕES'!$C$23,"VENCE EM BREVE","EM DIA"))))</f>
        <v/>
      </c>
      <c r="V72" s="55" t="str">
        <f t="shared" si="13"/>
        <v/>
      </c>
      <c r="W72" s="30"/>
      <c r="X72" s="33"/>
    </row>
    <row r="73" spans="1:24" x14ac:dyDescent="0.25">
      <c r="A73" s="29" t="str">
        <f t="shared" si="8"/>
        <v/>
      </c>
      <c r="B73" s="30"/>
      <c r="C73" s="30"/>
      <c r="D73" s="31"/>
      <c r="E73" s="10"/>
      <c r="F73" s="32" t="str">
        <f>IF($D73="","",$D73+IF($E73="",'01. CONFIGURAÇÕES'!$C$22,$E73))</f>
        <v/>
      </c>
      <c r="G73" s="30"/>
      <c r="H73" s="33"/>
      <c r="I73" s="33"/>
      <c r="J73" s="30"/>
      <c r="K73" s="33"/>
      <c r="L73" s="30"/>
      <c r="M73" s="33"/>
      <c r="N73" s="30"/>
      <c r="O73" s="33"/>
      <c r="P73" s="34" t="str">
        <f t="shared" si="9"/>
        <v/>
      </c>
      <c r="Q73" s="35" t="str">
        <f t="shared" si="10"/>
        <v/>
      </c>
      <c r="R73" s="35" t="str">
        <f t="shared" si="7"/>
        <v/>
      </c>
      <c r="S73" s="29" t="str">
        <f t="shared" si="11"/>
        <v/>
      </c>
      <c r="T73" s="13" t="str">
        <f t="shared" ca="1" si="12"/>
        <v/>
      </c>
      <c r="U73" s="29" t="str">
        <f ca="1">IF(OR($A73="",$F73=""),"",IF($R73&lt;&gt;"",IF($R73&lt;=$F73,"NO PRAZO","FORA DO PRAZO"),IF(TODAY()&gt;$F73,"VENCIDO",IF($F73-TODAY()&lt;='01. CONFIGURAÇÕES'!$C$23,"VENCE EM BREVE","EM DIA"))))</f>
        <v/>
      </c>
      <c r="V73" s="55" t="str">
        <f t="shared" si="13"/>
        <v/>
      </c>
      <c r="W73" s="30"/>
      <c r="X73" s="33"/>
    </row>
    <row r="74" spans="1:24" x14ac:dyDescent="0.25">
      <c r="A74" s="29" t="str">
        <f t="shared" si="8"/>
        <v/>
      </c>
      <c r="B74" s="30"/>
      <c r="C74" s="30"/>
      <c r="D74" s="31"/>
      <c r="E74" s="10"/>
      <c r="F74" s="32" t="str">
        <f>IF($D74="","",$D74+IF($E74="",'01. CONFIGURAÇÕES'!$C$22,$E74))</f>
        <v/>
      </c>
      <c r="G74" s="30"/>
      <c r="H74" s="33"/>
      <c r="I74" s="33"/>
      <c r="J74" s="30"/>
      <c r="K74" s="33"/>
      <c r="L74" s="30"/>
      <c r="M74" s="33"/>
      <c r="N74" s="30"/>
      <c r="O74" s="33"/>
      <c r="P74" s="34" t="str">
        <f t="shared" si="9"/>
        <v/>
      </c>
      <c r="Q74" s="35" t="str">
        <f t="shared" si="10"/>
        <v/>
      </c>
      <c r="R74" s="35" t="str">
        <f t="shared" si="7"/>
        <v/>
      </c>
      <c r="S74" s="29" t="str">
        <f t="shared" si="11"/>
        <v/>
      </c>
      <c r="T74" s="13" t="str">
        <f t="shared" ca="1" si="12"/>
        <v/>
      </c>
      <c r="U74" s="29" t="str">
        <f ca="1">IF(OR($A74="",$F74=""),"",IF($R74&lt;&gt;"",IF($R74&lt;=$F74,"NO PRAZO","FORA DO PRAZO"),IF(TODAY()&gt;$F74,"VENCIDO",IF($F74-TODAY()&lt;='01. CONFIGURAÇÕES'!$C$23,"VENCE EM BREVE","EM DIA"))))</f>
        <v/>
      </c>
      <c r="V74" s="55" t="str">
        <f t="shared" si="13"/>
        <v/>
      </c>
      <c r="W74" s="30"/>
      <c r="X74" s="33"/>
    </row>
    <row r="75" spans="1:24" x14ac:dyDescent="0.25">
      <c r="A75" s="29" t="str">
        <f t="shared" si="8"/>
        <v/>
      </c>
      <c r="B75" s="30"/>
      <c r="C75" s="30"/>
      <c r="D75" s="31"/>
      <c r="E75" s="10"/>
      <c r="F75" s="32" t="str">
        <f>IF($D75="","",$D75+IF($E75="",'01. CONFIGURAÇÕES'!$C$22,$E75))</f>
        <v/>
      </c>
      <c r="G75" s="30"/>
      <c r="H75" s="33"/>
      <c r="I75" s="33"/>
      <c r="J75" s="30"/>
      <c r="K75" s="33"/>
      <c r="L75" s="30"/>
      <c r="M75" s="33"/>
      <c r="N75" s="30"/>
      <c r="O75" s="33"/>
      <c r="P75" s="34" t="str">
        <f t="shared" si="9"/>
        <v/>
      </c>
      <c r="Q75" s="35" t="str">
        <f t="shared" si="10"/>
        <v/>
      </c>
      <c r="R75" s="35" t="str">
        <f t="shared" si="7"/>
        <v/>
      </c>
      <c r="S75" s="29" t="str">
        <f t="shared" si="11"/>
        <v/>
      </c>
      <c r="T75" s="13" t="str">
        <f t="shared" ca="1" si="12"/>
        <v/>
      </c>
      <c r="U75" s="29" t="str">
        <f ca="1">IF(OR($A75="",$F75=""),"",IF($R75&lt;&gt;"",IF($R75&lt;=$F75,"NO PRAZO","FORA DO PRAZO"),IF(TODAY()&gt;$F75,"VENCIDO",IF($F75-TODAY()&lt;='01. CONFIGURAÇÕES'!$C$23,"VENCE EM BREVE","EM DIA"))))</f>
        <v/>
      </c>
      <c r="V75" s="55" t="str">
        <f t="shared" si="13"/>
        <v/>
      </c>
      <c r="W75" s="30"/>
      <c r="X75" s="33"/>
    </row>
    <row r="76" spans="1:24" x14ac:dyDescent="0.25">
      <c r="A76" s="29" t="str">
        <f t="shared" si="8"/>
        <v/>
      </c>
      <c r="B76" s="30"/>
      <c r="C76" s="30"/>
      <c r="D76" s="31"/>
      <c r="E76" s="10"/>
      <c r="F76" s="32" t="str">
        <f>IF($D76="","",$D76+IF($E76="",'01. CONFIGURAÇÕES'!$C$22,$E76))</f>
        <v/>
      </c>
      <c r="G76" s="30"/>
      <c r="H76" s="33"/>
      <c r="I76" s="33"/>
      <c r="J76" s="30"/>
      <c r="K76" s="33"/>
      <c r="L76" s="30"/>
      <c r="M76" s="33"/>
      <c r="N76" s="30"/>
      <c r="O76" s="33"/>
      <c r="P76" s="34" t="str">
        <f t="shared" si="9"/>
        <v/>
      </c>
      <c r="Q76" s="35" t="str">
        <f t="shared" si="10"/>
        <v/>
      </c>
      <c r="R76" s="35" t="str">
        <f t="shared" si="7"/>
        <v/>
      </c>
      <c r="S76" s="29" t="str">
        <f t="shared" si="11"/>
        <v/>
      </c>
      <c r="T76" s="13" t="str">
        <f t="shared" ca="1" si="12"/>
        <v/>
      </c>
      <c r="U76" s="29" t="str">
        <f ca="1">IF(OR($A76="",$F76=""),"",IF($R76&lt;&gt;"",IF($R76&lt;=$F76,"NO PRAZO","FORA DO PRAZO"),IF(TODAY()&gt;$F76,"VENCIDO",IF($F76-TODAY()&lt;='01. CONFIGURAÇÕES'!$C$23,"VENCE EM BREVE","EM DIA"))))</f>
        <v/>
      </c>
      <c r="V76" s="55" t="str">
        <f t="shared" si="13"/>
        <v/>
      </c>
      <c r="W76" s="30"/>
      <c r="X76" s="33"/>
    </row>
    <row r="77" spans="1:24" x14ac:dyDescent="0.25">
      <c r="A77" s="29" t="str">
        <f t="shared" si="8"/>
        <v/>
      </c>
      <c r="B77" s="30"/>
      <c r="C77" s="30"/>
      <c r="D77" s="31"/>
      <c r="E77" s="10"/>
      <c r="F77" s="32" t="str">
        <f>IF($D77="","",$D77+IF($E77="",'01. CONFIGURAÇÕES'!$C$22,$E77))</f>
        <v/>
      </c>
      <c r="G77" s="30"/>
      <c r="H77" s="33"/>
      <c r="I77" s="33"/>
      <c r="J77" s="30"/>
      <c r="K77" s="33"/>
      <c r="L77" s="30"/>
      <c r="M77" s="33"/>
      <c r="N77" s="30"/>
      <c r="O77" s="33"/>
      <c r="P77" s="34" t="str">
        <f t="shared" si="9"/>
        <v/>
      </c>
      <c r="Q77" s="35" t="str">
        <f t="shared" si="10"/>
        <v/>
      </c>
      <c r="R77" s="35" t="str">
        <f t="shared" si="7"/>
        <v/>
      </c>
      <c r="S77" s="29" t="str">
        <f t="shared" si="11"/>
        <v/>
      </c>
      <c r="T77" s="13" t="str">
        <f t="shared" ca="1" si="12"/>
        <v/>
      </c>
      <c r="U77" s="29" t="str">
        <f ca="1">IF(OR($A77="",$F77=""),"",IF($R77&lt;&gt;"",IF($R77&lt;=$F77,"NO PRAZO","FORA DO PRAZO"),IF(TODAY()&gt;$F77,"VENCIDO",IF($F77-TODAY()&lt;='01. CONFIGURAÇÕES'!$C$23,"VENCE EM BREVE","EM DIA"))))</f>
        <v/>
      </c>
      <c r="V77" s="55" t="str">
        <f t="shared" si="13"/>
        <v/>
      </c>
      <c r="W77" s="30"/>
      <c r="X77" s="33"/>
    </row>
    <row r="78" spans="1:24" x14ac:dyDescent="0.25">
      <c r="A78" s="29" t="str">
        <f t="shared" si="8"/>
        <v/>
      </c>
      <c r="B78" s="30"/>
      <c r="C78" s="30"/>
      <c r="D78" s="31"/>
      <c r="E78" s="10"/>
      <c r="F78" s="32" t="str">
        <f>IF($D78="","",$D78+IF($E78="",'01. CONFIGURAÇÕES'!$C$22,$E78))</f>
        <v/>
      </c>
      <c r="G78" s="30"/>
      <c r="H78" s="33"/>
      <c r="I78" s="33"/>
      <c r="J78" s="30"/>
      <c r="K78" s="33"/>
      <c r="L78" s="30"/>
      <c r="M78" s="33"/>
      <c r="N78" s="30"/>
      <c r="O78" s="33"/>
      <c r="P78" s="34" t="str">
        <f t="shared" si="9"/>
        <v/>
      </c>
      <c r="Q78" s="35" t="str">
        <f t="shared" si="10"/>
        <v/>
      </c>
      <c r="R78" s="35" t="str">
        <f t="shared" si="7"/>
        <v/>
      </c>
      <c r="S78" s="29" t="str">
        <f t="shared" si="11"/>
        <v/>
      </c>
      <c r="T78" s="13" t="str">
        <f t="shared" ca="1" si="12"/>
        <v/>
      </c>
      <c r="U78" s="29" t="str">
        <f ca="1">IF(OR($A78="",$F78=""),"",IF($R78&lt;&gt;"",IF($R78&lt;=$F78,"NO PRAZO","FORA DO PRAZO"),IF(TODAY()&gt;$F78,"VENCIDO",IF($F78-TODAY()&lt;='01. CONFIGURAÇÕES'!$C$23,"VENCE EM BREVE","EM DIA"))))</f>
        <v/>
      </c>
      <c r="V78" s="55" t="str">
        <f t="shared" si="13"/>
        <v/>
      </c>
      <c r="W78" s="30"/>
      <c r="X78" s="33"/>
    </row>
    <row r="79" spans="1:24" x14ac:dyDescent="0.25">
      <c r="A79" s="29" t="str">
        <f t="shared" si="8"/>
        <v/>
      </c>
      <c r="B79" s="30"/>
      <c r="C79" s="30"/>
      <c r="D79" s="31"/>
      <c r="E79" s="10"/>
      <c r="F79" s="32" t="str">
        <f>IF($D79="","",$D79+IF($E79="",'01. CONFIGURAÇÕES'!$C$22,$E79))</f>
        <v/>
      </c>
      <c r="G79" s="30"/>
      <c r="H79" s="33"/>
      <c r="I79" s="33"/>
      <c r="J79" s="30"/>
      <c r="K79" s="33"/>
      <c r="L79" s="30"/>
      <c r="M79" s="33"/>
      <c r="N79" s="30"/>
      <c r="O79" s="33"/>
      <c r="P79" s="34" t="str">
        <f t="shared" si="9"/>
        <v/>
      </c>
      <c r="Q79" s="35" t="str">
        <f t="shared" si="10"/>
        <v/>
      </c>
      <c r="R79" s="35" t="str">
        <f t="shared" si="7"/>
        <v/>
      </c>
      <c r="S79" s="29" t="str">
        <f t="shared" si="11"/>
        <v/>
      </c>
      <c r="T79" s="13" t="str">
        <f t="shared" ca="1" si="12"/>
        <v/>
      </c>
      <c r="U79" s="29" t="str">
        <f ca="1">IF(OR($A79="",$F79=""),"",IF($R79&lt;&gt;"",IF($R79&lt;=$F79,"NO PRAZO","FORA DO PRAZO"),IF(TODAY()&gt;$F79,"VENCIDO",IF($F79-TODAY()&lt;='01. CONFIGURAÇÕES'!$C$23,"VENCE EM BREVE","EM DIA"))))</f>
        <v/>
      </c>
      <c r="V79" s="55" t="str">
        <f t="shared" si="13"/>
        <v/>
      </c>
      <c r="W79" s="30"/>
      <c r="X79" s="33"/>
    </row>
    <row r="80" spans="1:24" x14ac:dyDescent="0.25">
      <c r="A80" s="29" t="str">
        <f t="shared" si="8"/>
        <v/>
      </c>
      <c r="B80" s="30"/>
      <c r="C80" s="30"/>
      <c r="D80" s="31"/>
      <c r="E80" s="10"/>
      <c r="F80" s="32" t="str">
        <f>IF($D80="","",$D80+IF($E80="",'01. CONFIGURAÇÕES'!$C$22,$E80))</f>
        <v/>
      </c>
      <c r="G80" s="30"/>
      <c r="H80" s="33"/>
      <c r="I80" s="33"/>
      <c r="J80" s="30"/>
      <c r="K80" s="33"/>
      <c r="L80" s="30"/>
      <c r="M80" s="33"/>
      <c r="N80" s="30"/>
      <c r="O80" s="33"/>
      <c r="P80" s="34" t="str">
        <f t="shared" si="9"/>
        <v/>
      </c>
      <c r="Q80" s="35" t="str">
        <f t="shared" si="10"/>
        <v/>
      </c>
      <c r="R80" s="35" t="str">
        <f t="shared" si="7"/>
        <v/>
      </c>
      <c r="S80" s="29" t="str">
        <f t="shared" si="11"/>
        <v/>
      </c>
      <c r="T80" s="13" t="str">
        <f t="shared" ca="1" si="12"/>
        <v/>
      </c>
      <c r="U80" s="29" t="str">
        <f ca="1">IF(OR($A80="",$F80=""),"",IF($R80&lt;&gt;"",IF($R80&lt;=$F80,"NO PRAZO","FORA DO PRAZO"),IF(TODAY()&gt;$F80,"VENCIDO",IF($F80-TODAY()&lt;='01. CONFIGURAÇÕES'!$C$23,"VENCE EM BREVE","EM DIA"))))</f>
        <v/>
      </c>
      <c r="V80" s="55" t="str">
        <f t="shared" si="13"/>
        <v/>
      </c>
      <c r="W80" s="30"/>
      <c r="X80" s="33"/>
    </row>
    <row r="81" spans="1:24" x14ac:dyDescent="0.25">
      <c r="A81" s="29" t="str">
        <f t="shared" si="8"/>
        <v/>
      </c>
      <c r="B81" s="30"/>
      <c r="C81" s="30"/>
      <c r="D81" s="31"/>
      <c r="E81" s="10"/>
      <c r="F81" s="32" t="str">
        <f>IF($D81="","",$D81+IF($E81="",'01. CONFIGURAÇÕES'!$C$22,$E81))</f>
        <v/>
      </c>
      <c r="G81" s="30"/>
      <c r="H81" s="33"/>
      <c r="I81" s="33"/>
      <c r="J81" s="30"/>
      <c r="K81" s="33"/>
      <c r="L81" s="30"/>
      <c r="M81" s="33"/>
      <c r="N81" s="30"/>
      <c r="O81" s="33"/>
      <c r="P81" s="34" t="str">
        <f t="shared" si="9"/>
        <v/>
      </c>
      <c r="Q81" s="35" t="str">
        <f t="shared" si="10"/>
        <v/>
      </c>
      <c r="R81" s="35" t="str">
        <f t="shared" si="7"/>
        <v/>
      </c>
      <c r="S81" s="29" t="str">
        <f t="shared" si="11"/>
        <v/>
      </c>
      <c r="T81" s="13" t="str">
        <f t="shared" ca="1" si="12"/>
        <v/>
      </c>
      <c r="U81" s="29" t="str">
        <f ca="1">IF(OR($A81="",$F81=""),"",IF($R81&lt;&gt;"",IF($R81&lt;=$F81,"NO PRAZO","FORA DO PRAZO"),IF(TODAY()&gt;$F81,"VENCIDO",IF($F81-TODAY()&lt;='01. CONFIGURAÇÕES'!$C$23,"VENCE EM BREVE","EM DIA"))))</f>
        <v/>
      </c>
      <c r="V81" s="55" t="str">
        <f t="shared" si="13"/>
        <v/>
      </c>
      <c r="W81" s="30"/>
      <c r="X81" s="33"/>
    </row>
    <row r="82" spans="1:24" x14ac:dyDescent="0.25">
      <c r="A82" s="29" t="str">
        <f t="shared" si="8"/>
        <v/>
      </c>
      <c r="B82" s="30"/>
      <c r="C82" s="30"/>
      <c r="D82" s="31"/>
      <c r="E82" s="10"/>
      <c r="F82" s="32" t="str">
        <f>IF($D82="","",$D82+IF($E82="",'01. CONFIGURAÇÕES'!$C$22,$E82))</f>
        <v/>
      </c>
      <c r="G82" s="30"/>
      <c r="H82" s="33"/>
      <c r="I82" s="33"/>
      <c r="J82" s="30"/>
      <c r="K82" s="33"/>
      <c r="L82" s="30"/>
      <c r="M82" s="33"/>
      <c r="N82" s="30"/>
      <c r="O82" s="33"/>
      <c r="P82" s="34" t="str">
        <f t="shared" si="9"/>
        <v/>
      </c>
      <c r="Q82" s="35" t="str">
        <f t="shared" si="10"/>
        <v/>
      </c>
      <c r="R82" s="35" t="str">
        <f t="shared" si="7"/>
        <v/>
      </c>
      <c r="S82" s="29" t="str">
        <f t="shared" si="11"/>
        <v/>
      </c>
      <c r="T82" s="13" t="str">
        <f t="shared" ca="1" si="12"/>
        <v/>
      </c>
      <c r="U82" s="29" t="str">
        <f ca="1">IF(OR($A82="",$F82=""),"",IF($R82&lt;&gt;"",IF($R82&lt;=$F82,"NO PRAZO","FORA DO PRAZO"),IF(TODAY()&gt;$F82,"VENCIDO",IF($F82-TODAY()&lt;='01. CONFIGURAÇÕES'!$C$23,"VENCE EM BREVE","EM DIA"))))</f>
        <v/>
      </c>
      <c r="V82" s="55" t="str">
        <f t="shared" si="13"/>
        <v/>
      </c>
      <c r="W82" s="30"/>
      <c r="X82" s="33"/>
    </row>
    <row r="83" spans="1:24" x14ac:dyDescent="0.25">
      <c r="A83" s="29" t="str">
        <f t="shared" si="8"/>
        <v/>
      </c>
      <c r="B83" s="30"/>
      <c r="C83" s="30"/>
      <c r="D83" s="31"/>
      <c r="E83" s="10"/>
      <c r="F83" s="32" t="str">
        <f>IF($D83="","",$D83+IF($E83="",'01. CONFIGURAÇÕES'!$C$22,$E83))</f>
        <v/>
      </c>
      <c r="G83" s="30"/>
      <c r="H83" s="33"/>
      <c r="I83" s="33"/>
      <c r="J83" s="30"/>
      <c r="K83" s="33"/>
      <c r="L83" s="30"/>
      <c r="M83" s="33"/>
      <c r="N83" s="30"/>
      <c r="O83" s="33"/>
      <c r="P83" s="34" t="str">
        <f t="shared" si="9"/>
        <v/>
      </c>
      <c r="Q83" s="35" t="str">
        <f t="shared" si="10"/>
        <v/>
      </c>
      <c r="R83" s="35" t="str">
        <f t="shared" si="7"/>
        <v/>
      </c>
      <c r="S83" s="29" t="str">
        <f t="shared" si="11"/>
        <v/>
      </c>
      <c r="T83" s="13" t="str">
        <f t="shared" ca="1" si="12"/>
        <v/>
      </c>
      <c r="U83" s="29" t="str">
        <f ca="1">IF(OR($A83="",$F83=""),"",IF($R83&lt;&gt;"",IF($R83&lt;=$F83,"NO PRAZO","FORA DO PRAZO"),IF(TODAY()&gt;$F83,"VENCIDO",IF($F83-TODAY()&lt;='01. CONFIGURAÇÕES'!$C$23,"VENCE EM BREVE","EM DIA"))))</f>
        <v/>
      </c>
      <c r="V83" s="55" t="str">
        <f t="shared" si="13"/>
        <v/>
      </c>
      <c r="W83" s="30"/>
      <c r="X83" s="33"/>
    </row>
    <row r="84" spans="1:24" x14ac:dyDescent="0.25">
      <c r="A84" s="29" t="str">
        <f t="shared" si="8"/>
        <v/>
      </c>
      <c r="B84" s="30"/>
      <c r="C84" s="30"/>
      <c r="D84" s="31"/>
      <c r="E84" s="10"/>
      <c r="F84" s="32" t="str">
        <f>IF($D84="","",$D84+IF($E84="",'01. CONFIGURAÇÕES'!$C$22,$E84))</f>
        <v/>
      </c>
      <c r="G84" s="30"/>
      <c r="H84" s="33"/>
      <c r="I84" s="33"/>
      <c r="J84" s="30"/>
      <c r="K84" s="33"/>
      <c r="L84" s="30"/>
      <c r="M84" s="33"/>
      <c r="N84" s="30"/>
      <c r="O84" s="33"/>
      <c r="P84" s="34" t="str">
        <f t="shared" si="9"/>
        <v/>
      </c>
      <c r="Q84" s="35" t="str">
        <f t="shared" si="10"/>
        <v/>
      </c>
      <c r="R84" s="35" t="str">
        <f t="shared" si="7"/>
        <v/>
      </c>
      <c r="S84" s="29" t="str">
        <f t="shared" si="11"/>
        <v/>
      </c>
      <c r="T84" s="13" t="str">
        <f t="shared" ca="1" si="12"/>
        <v/>
      </c>
      <c r="U84" s="29" t="str">
        <f ca="1">IF(OR($A84="",$F84=""),"",IF($R84&lt;&gt;"",IF($R84&lt;=$F84,"NO PRAZO","FORA DO PRAZO"),IF(TODAY()&gt;$F84,"VENCIDO",IF($F84-TODAY()&lt;='01. CONFIGURAÇÕES'!$C$23,"VENCE EM BREVE","EM DIA"))))</f>
        <v/>
      </c>
      <c r="V84" s="55" t="str">
        <f t="shared" si="13"/>
        <v/>
      </c>
      <c r="W84" s="30"/>
      <c r="X84" s="33"/>
    </row>
    <row r="85" spans="1:24" x14ac:dyDescent="0.25">
      <c r="A85" s="29" t="str">
        <f t="shared" si="8"/>
        <v/>
      </c>
      <c r="B85" s="30"/>
      <c r="C85" s="30"/>
      <c r="D85" s="31"/>
      <c r="E85" s="10"/>
      <c r="F85" s="32" t="str">
        <f>IF($D85="","",$D85+IF($E85="",'01. CONFIGURAÇÕES'!$C$22,$E85))</f>
        <v/>
      </c>
      <c r="G85" s="30"/>
      <c r="H85" s="33"/>
      <c r="I85" s="33"/>
      <c r="J85" s="30"/>
      <c r="K85" s="33"/>
      <c r="L85" s="30"/>
      <c r="M85" s="33"/>
      <c r="N85" s="30"/>
      <c r="O85" s="33"/>
      <c r="P85" s="34" t="str">
        <f t="shared" si="9"/>
        <v/>
      </c>
      <c r="Q85" s="35" t="str">
        <f t="shared" si="10"/>
        <v/>
      </c>
      <c r="R85" s="35" t="str">
        <f t="shared" si="7"/>
        <v/>
      </c>
      <c r="S85" s="29" t="str">
        <f t="shared" si="11"/>
        <v/>
      </c>
      <c r="T85" s="13" t="str">
        <f t="shared" ca="1" si="12"/>
        <v/>
      </c>
      <c r="U85" s="29" t="str">
        <f ca="1">IF(OR($A85="",$F85=""),"",IF($R85&lt;&gt;"",IF($R85&lt;=$F85,"NO PRAZO","FORA DO PRAZO"),IF(TODAY()&gt;$F85,"VENCIDO",IF($F85-TODAY()&lt;='01. CONFIGURAÇÕES'!$C$23,"VENCE EM BREVE","EM DIA"))))</f>
        <v/>
      </c>
      <c r="V85" s="55" t="str">
        <f t="shared" si="13"/>
        <v/>
      </c>
      <c r="W85" s="30"/>
      <c r="X85" s="33"/>
    </row>
    <row r="86" spans="1:24" x14ac:dyDescent="0.25">
      <c r="A86" s="29" t="str">
        <f t="shared" si="8"/>
        <v/>
      </c>
      <c r="B86" s="30"/>
      <c r="C86" s="30"/>
      <c r="D86" s="31"/>
      <c r="E86" s="10"/>
      <c r="F86" s="32" t="str">
        <f>IF($D86="","",$D86+IF($E86="",'01. CONFIGURAÇÕES'!$C$22,$E86))</f>
        <v/>
      </c>
      <c r="G86" s="30"/>
      <c r="H86" s="33"/>
      <c r="I86" s="33"/>
      <c r="J86" s="30"/>
      <c r="K86" s="33"/>
      <c r="L86" s="30"/>
      <c r="M86" s="33"/>
      <c r="N86" s="30"/>
      <c r="O86" s="33"/>
      <c r="P86" s="34" t="str">
        <f t="shared" si="9"/>
        <v/>
      </c>
      <c r="Q86" s="35" t="str">
        <f t="shared" si="10"/>
        <v/>
      </c>
      <c r="R86" s="35" t="str">
        <f t="shared" si="7"/>
        <v/>
      </c>
      <c r="S86" s="29" t="str">
        <f t="shared" si="11"/>
        <v/>
      </c>
      <c r="T86" s="13" t="str">
        <f t="shared" ca="1" si="12"/>
        <v/>
      </c>
      <c r="U86" s="29" t="str">
        <f ca="1">IF(OR($A86="",$F86=""),"",IF($R86&lt;&gt;"",IF($R86&lt;=$F86,"NO PRAZO","FORA DO PRAZO"),IF(TODAY()&gt;$F86,"VENCIDO",IF($F86-TODAY()&lt;='01. CONFIGURAÇÕES'!$C$23,"VENCE EM BREVE","EM DIA"))))</f>
        <v/>
      </c>
      <c r="V86" s="55" t="str">
        <f t="shared" si="13"/>
        <v/>
      </c>
      <c r="W86" s="30"/>
      <c r="X86" s="33"/>
    </row>
    <row r="87" spans="1:24" x14ac:dyDescent="0.25">
      <c r="A87" s="29" t="str">
        <f t="shared" si="8"/>
        <v/>
      </c>
      <c r="B87" s="30"/>
      <c r="C87" s="30"/>
      <c r="D87" s="31"/>
      <c r="E87" s="10"/>
      <c r="F87" s="32" t="str">
        <f>IF($D87="","",$D87+IF($E87="",'01. CONFIGURAÇÕES'!$C$22,$E87))</f>
        <v/>
      </c>
      <c r="G87" s="30"/>
      <c r="H87" s="33"/>
      <c r="I87" s="33"/>
      <c r="J87" s="30"/>
      <c r="K87" s="33"/>
      <c r="L87" s="30"/>
      <c r="M87" s="33"/>
      <c r="N87" s="30"/>
      <c r="O87" s="33"/>
      <c r="P87" s="34" t="str">
        <f t="shared" si="9"/>
        <v/>
      </c>
      <c r="Q87" s="35" t="str">
        <f t="shared" si="10"/>
        <v/>
      </c>
      <c r="R87" s="35" t="str">
        <f t="shared" si="7"/>
        <v/>
      </c>
      <c r="S87" s="29" t="str">
        <f t="shared" si="11"/>
        <v/>
      </c>
      <c r="T87" s="13" t="str">
        <f t="shared" ca="1" si="12"/>
        <v/>
      </c>
      <c r="U87" s="29" t="str">
        <f ca="1">IF(OR($A87="",$F87=""),"",IF($R87&lt;&gt;"",IF($R87&lt;=$F87,"NO PRAZO","FORA DO PRAZO"),IF(TODAY()&gt;$F87,"VENCIDO",IF($F87-TODAY()&lt;='01. CONFIGURAÇÕES'!$C$23,"VENCE EM BREVE","EM DIA"))))</f>
        <v/>
      </c>
      <c r="V87" s="55" t="str">
        <f t="shared" si="13"/>
        <v/>
      </c>
      <c r="W87" s="30"/>
      <c r="X87" s="33"/>
    </row>
    <row r="88" spans="1:24" x14ac:dyDescent="0.25">
      <c r="A88" s="29" t="str">
        <f t="shared" si="8"/>
        <v/>
      </c>
      <c r="B88" s="30"/>
      <c r="C88" s="30"/>
      <c r="D88" s="31"/>
      <c r="E88" s="10"/>
      <c r="F88" s="32" t="str">
        <f>IF($D88="","",$D88+IF($E88="",'01. CONFIGURAÇÕES'!$C$22,$E88))</f>
        <v/>
      </c>
      <c r="G88" s="30"/>
      <c r="H88" s="33"/>
      <c r="I88" s="33"/>
      <c r="J88" s="30"/>
      <c r="K88" s="33"/>
      <c r="L88" s="30"/>
      <c r="M88" s="33"/>
      <c r="N88" s="30"/>
      <c r="O88" s="33"/>
      <c r="P88" s="34" t="str">
        <f t="shared" si="9"/>
        <v/>
      </c>
      <c r="Q88" s="35" t="str">
        <f t="shared" si="10"/>
        <v/>
      </c>
      <c r="R88" s="35" t="str">
        <f t="shared" si="7"/>
        <v/>
      </c>
      <c r="S88" s="29" t="str">
        <f t="shared" si="11"/>
        <v/>
      </c>
      <c r="T88" s="13" t="str">
        <f t="shared" ca="1" si="12"/>
        <v/>
      </c>
      <c r="U88" s="29" t="str">
        <f ca="1">IF(OR($A88="",$F88=""),"",IF($R88&lt;&gt;"",IF($R88&lt;=$F88,"NO PRAZO","FORA DO PRAZO"),IF(TODAY()&gt;$F88,"VENCIDO",IF($F88-TODAY()&lt;='01. CONFIGURAÇÕES'!$C$23,"VENCE EM BREVE","EM DIA"))))</f>
        <v/>
      </c>
      <c r="V88" s="55" t="str">
        <f t="shared" si="13"/>
        <v/>
      </c>
      <c r="W88" s="30"/>
      <c r="X88" s="33"/>
    </row>
    <row r="89" spans="1:24" x14ac:dyDescent="0.25">
      <c r="A89" s="29" t="str">
        <f t="shared" si="8"/>
        <v/>
      </c>
      <c r="B89" s="30"/>
      <c r="C89" s="30"/>
      <c r="D89" s="31"/>
      <c r="E89" s="10"/>
      <c r="F89" s="32" t="str">
        <f>IF($D89="","",$D89+IF($E89="",'01. CONFIGURAÇÕES'!$C$22,$E89))</f>
        <v/>
      </c>
      <c r="G89" s="30"/>
      <c r="H89" s="33"/>
      <c r="I89" s="33"/>
      <c r="J89" s="30"/>
      <c r="K89" s="33"/>
      <c r="L89" s="30"/>
      <c r="M89" s="33"/>
      <c r="N89" s="30"/>
      <c r="O89" s="33"/>
      <c r="P89" s="34" t="str">
        <f t="shared" si="9"/>
        <v/>
      </c>
      <c r="Q89" s="35" t="str">
        <f t="shared" si="10"/>
        <v/>
      </c>
      <c r="R89" s="35" t="str">
        <f t="shared" si="7"/>
        <v/>
      </c>
      <c r="S89" s="29" t="str">
        <f t="shared" si="11"/>
        <v/>
      </c>
      <c r="T89" s="13" t="str">
        <f t="shared" ca="1" si="12"/>
        <v/>
      </c>
      <c r="U89" s="29" t="str">
        <f ca="1">IF(OR($A89="",$F89=""),"",IF($R89&lt;&gt;"",IF($R89&lt;=$F89,"NO PRAZO","FORA DO PRAZO"),IF(TODAY()&gt;$F89,"VENCIDO",IF($F89-TODAY()&lt;='01. CONFIGURAÇÕES'!$C$23,"VENCE EM BREVE","EM DIA"))))</f>
        <v/>
      </c>
      <c r="V89" s="55" t="str">
        <f t="shared" si="13"/>
        <v/>
      </c>
      <c r="W89" s="30"/>
      <c r="X89" s="33"/>
    </row>
    <row r="90" spans="1:24" x14ac:dyDescent="0.25">
      <c r="A90" s="29" t="str">
        <f t="shared" si="8"/>
        <v/>
      </c>
      <c r="B90" s="30"/>
      <c r="C90" s="30"/>
      <c r="D90" s="31"/>
      <c r="E90" s="10"/>
      <c r="F90" s="32" t="str">
        <f>IF($D90="","",$D90+IF($E90="",'01. CONFIGURAÇÕES'!$C$22,$E90))</f>
        <v/>
      </c>
      <c r="G90" s="30"/>
      <c r="H90" s="33"/>
      <c r="I90" s="33"/>
      <c r="J90" s="30"/>
      <c r="K90" s="33"/>
      <c r="L90" s="30"/>
      <c r="M90" s="33"/>
      <c r="N90" s="30"/>
      <c r="O90" s="33"/>
      <c r="P90" s="34" t="str">
        <f t="shared" si="9"/>
        <v/>
      </c>
      <c r="Q90" s="35" t="str">
        <f t="shared" si="10"/>
        <v/>
      </c>
      <c r="R90" s="35" t="str">
        <f t="shared" si="7"/>
        <v/>
      </c>
      <c r="S90" s="29" t="str">
        <f t="shared" si="11"/>
        <v/>
      </c>
      <c r="T90" s="13" t="str">
        <f t="shared" ca="1" si="12"/>
        <v/>
      </c>
      <c r="U90" s="29" t="str">
        <f ca="1">IF(OR($A90="",$F90=""),"",IF($R90&lt;&gt;"",IF($R90&lt;=$F90,"NO PRAZO","FORA DO PRAZO"),IF(TODAY()&gt;$F90,"VENCIDO",IF($F90-TODAY()&lt;='01. CONFIGURAÇÕES'!$C$23,"VENCE EM BREVE","EM DIA"))))</f>
        <v/>
      </c>
      <c r="V90" s="55" t="str">
        <f t="shared" si="13"/>
        <v/>
      </c>
      <c r="W90" s="30"/>
      <c r="X90" s="33"/>
    </row>
    <row r="91" spans="1:24" x14ac:dyDescent="0.25">
      <c r="A91" s="29" t="str">
        <f t="shared" si="8"/>
        <v/>
      </c>
      <c r="B91" s="30"/>
      <c r="C91" s="30"/>
      <c r="D91" s="31"/>
      <c r="E91" s="10"/>
      <c r="F91" s="32" t="str">
        <f>IF($D91="","",$D91+IF($E91="",'01. CONFIGURAÇÕES'!$C$22,$E91))</f>
        <v/>
      </c>
      <c r="G91" s="30"/>
      <c r="H91" s="33"/>
      <c r="I91" s="33"/>
      <c r="J91" s="30"/>
      <c r="K91" s="33"/>
      <c r="L91" s="30"/>
      <c r="M91" s="33"/>
      <c r="N91" s="30"/>
      <c r="O91" s="33"/>
      <c r="P91" s="34" t="str">
        <f t="shared" si="9"/>
        <v/>
      </c>
      <c r="Q91" s="35" t="str">
        <f t="shared" si="10"/>
        <v/>
      </c>
      <c r="R91" s="35" t="str">
        <f t="shared" si="7"/>
        <v/>
      </c>
      <c r="S91" s="29" t="str">
        <f t="shared" si="11"/>
        <v/>
      </c>
      <c r="T91" s="13" t="str">
        <f t="shared" ca="1" si="12"/>
        <v/>
      </c>
      <c r="U91" s="29" t="str">
        <f ca="1">IF(OR($A91="",$F91=""),"",IF($R91&lt;&gt;"",IF($R91&lt;=$F91,"NO PRAZO","FORA DO PRAZO"),IF(TODAY()&gt;$F91,"VENCIDO",IF($F91-TODAY()&lt;='01. CONFIGURAÇÕES'!$C$23,"VENCE EM BREVE","EM DIA"))))</f>
        <v/>
      </c>
      <c r="V91" s="55" t="str">
        <f t="shared" si="13"/>
        <v/>
      </c>
      <c r="W91" s="30"/>
      <c r="X91" s="33"/>
    </row>
    <row r="92" spans="1:24" x14ac:dyDescent="0.25">
      <c r="A92" s="29" t="str">
        <f t="shared" si="8"/>
        <v/>
      </c>
      <c r="B92" s="30"/>
      <c r="C92" s="30"/>
      <c r="D92" s="31"/>
      <c r="E92" s="10"/>
      <c r="F92" s="32" t="str">
        <f>IF($D92="","",$D92+IF($E92="",'01. CONFIGURAÇÕES'!$C$22,$E92))</f>
        <v/>
      </c>
      <c r="G92" s="30"/>
      <c r="H92" s="33"/>
      <c r="I92" s="33"/>
      <c r="J92" s="30"/>
      <c r="K92" s="33"/>
      <c r="L92" s="30"/>
      <c r="M92" s="33"/>
      <c r="N92" s="30"/>
      <c r="O92" s="33"/>
      <c r="P92" s="34" t="str">
        <f t="shared" si="9"/>
        <v/>
      </c>
      <c r="Q92" s="35" t="str">
        <f t="shared" si="10"/>
        <v/>
      </c>
      <c r="R92" s="35" t="str">
        <f t="shared" si="7"/>
        <v/>
      </c>
      <c r="S92" s="29" t="str">
        <f t="shared" si="11"/>
        <v/>
      </c>
      <c r="T92" s="13" t="str">
        <f t="shared" ca="1" si="12"/>
        <v/>
      </c>
      <c r="U92" s="29" t="str">
        <f ca="1">IF(OR($A92="",$F92=""),"",IF($R92&lt;&gt;"",IF($R92&lt;=$F92,"NO PRAZO","FORA DO PRAZO"),IF(TODAY()&gt;$F92,"VENCIDO",IF($F92-TODAY()&lt;='01. CONFIGURAÇÕES'!$C$23,"VENCE EM BREVE","EM DIA"))))</f>
        <v/>
      </c>
      <c r="V92" s="55" t="str">
        <f t="shared" si="13"/>
        <v/>
      </c>
      <c r="W92" s="30"/>
      <c r="X92" s="33"/>
    </row>
    <row r="93" spans="1:24" x14ac:dyDescent="0.25">
      <c r="A93" s="29" t="str">
        <f t="shared" si="8"/>
        <v/>
      </c>
      <c r="B93" s="30"/>
      <c r="C93" s="30"/>
      <c r="D93" s="31"/>
      <c r="E93" s="10"/>
      <c r="F93" s="32" t="str">
        <f>IF($D93="","",$D93+IF($E93="",'01. CONFIGURAÇÕES'!$C$22,$E93))</f>
        <v/>
      </c>
      <c r="G93" s="30"/>
      <c r="H93" s="33"/>
      <c r="I93" s="33"/>
      <c r="J93" s="30"/>
      <c r="K93" s="33"/>
      <c r="L93" s="30"/>
      <c r="M93" s="33"/>
      <c r="N93" s="30"/>
      <c r="O93" s="33"/>
      <c r="P93" s="34" t="str">
        <f t="shared" si="9"/>
        <v/>
      </c>
      <c r="Q93" s="35" t="str">
        <f t="shared" si="10"/>
        <v/>
      </c>
      <c r="R93" s="35" t="str">
        <f t="shared" si="7"/>
        <v/>
      </c>
      <c r="S93" s="29" t="str">
        <f t="shared" si="11"/>
        <v/>
      </c>
      <c r="T93" s="13" t="str">
        <f t="shared" ca="1" si="12"/>
        <v/>
      </c>
      <c r="U93" s="29" t="str">
        <f ca="1">IF(OR($A93="",$F93=""),"",IF($R93&lt;&gt;"",IF($R93&lt;=$F93,"NO PRAZO","FORA DO PRAZO"),IF(TODAY()&gt;$F93,"VENCIDO",IF($F93-TODAY()&lt;='01. CONFIGURAÇÕES'!$C$23,"VENCE EM BREVE","EM DIA"))))</f>
        <v/>
      </c>
      <c r="V93" s="55" t="str">
        <f t="shared" si="13"/>
        <v/>
      </c>
      <c r="W93" s="30"/>
      <c r="X93" s="33"/>
    </row>
    <row r="94" spans="1:24" x14ac:dyDescent="0.25">
      <c r="A94" s="29" t="str">
        <f t="shared" si="8"/>
        <v/>
      </c>
      <c r="B94" s="30"/>
      <c r="C94" s="30"/>
      <c r="D94" s="31"/>
      <c r="E94" s="10"/>
      <c r="F94" s="32" t="str">
        <f>IF($D94="","",$D94+IF($E94="",'01. CONFIGURAÇÕES'!$C$22,$E94))</f>
        <v/>
      </c>
      <c r="G94" s="30"/>
      <c r="H94" s="33"/>
      <c r="I94" s="33"/>
      <c r="J94" s="30"/>
      <c r="K94" s="33"/>
      <c r="L94" s="30"/>
      <c r="M94" s="33"/>
      <c r="N94" s="30"/>
      <c r="O94" s="33"/>
      <c r="P94" s="34" t="str">
        <f t="shared" si="9"/>
        <v/>
      </c>
      <c r="Q94" s="35" t="str">
        <f t="shared" si="10"/>
        <v/>
      </c>
      <c r="R94" s="35" t="str">
        <f t="shared" si="7"/>
        <v/>
      </c>
      <c r="S94" s="29" t="str">
        <f t="shared" si="11"/>
        <v/>
      </c>
      <c r="T94" s="13" t="str">
        <f t="shared" ca="1" si="12"/>
        <v/>
      </c>
      <c r="U94" s="29" t="str">
        <f ca="1">IF(OR($A94="",$F94=""),"",IF($R94&lt;&gt;"",IF($R94&lt;=$F94,"NO PRAZO","FORA DO PRAZO"),IF(TODAY()&gt;$F94,"VENCIDO",IF($F94-TODAY()&lt;='01. CONFIGURAÇÕES'!$C$23,"VENCE EM BREVE","EM DIA"))))</f>
        <v/>
      </c>
      <c r="V94" s="55" t="str">
        <f t="shared" si="13"/>
        <v/>
      </c>
      <c r="W94" s="30"/>
      <c r="X94" s="33"/>
    </row>
    <row r="95" spans="1:24" x14ac:dyDescent="0.25">
      <c r="A95" s="29" t="str">
        <f t="shared" si="8"/>
        <v/>
      </c>
      <c r="B95" s="30"/>
      <c r="C95" s="30"/>
      <c r="D95" s="31"/>
      <c r="E95" s="10"/>
      <c r="F95" s="32" t="str">
        <f>IF($D95="","",$D95+IF($E95="",'01. CONFIGURAÇÕES'!$C$22,$E95))</f>
        <v/>
      </c>
      <c r="G95" s="30"/>
      <c r="H95" s="33"/>
      <c r="I95" s="33"/>
      <c r="J95" s="30"/>
      <c r="K95" s="33"/>
      <c r="L95" s="30"/>
      <c r="M95" s="33"/>
      <c r="N95" s="30"/>
      <c r="O95" s="33"/>
      <c r="P95" s="34" t="str">
        <f t="shared" si="9"/>
        <v/>
      </c>
      <c r="Q95" s="35" t="str">
        <f t="shared" si="10"/>
        <v/>
      </c>
      <c r="R95" s="35" t="str">
        <f t="shared" ref="R95:R158" si="14">IF($A95="","",IFERROR(IF(INDEX(OS_FIM,MATCH($A95,OS_ID,0))=0,"",INDEX(OS_FIM,MATCH($A95,OS_ID,0))),""))</f>
        <v/>
      </c>
      <c r="S95" s="29" t="str">
        <f t="shared" si="11"/>
        <v/>
      </c>
      <c r="T95" s="13" t="str">
        <f t="shared" ca="1" si="12"/>
        <v/>
      </c>
      <c r="U95" s="29" t="str">
        <f ca="1">IF(OR($A95="",$F95=""),"",IF($R95&lt;&gt;"",IF($R95&lt;=$F95,"NO PRAZO","FORA DO PRAZO"),IF(TODAY()&gt;$F95,"VENCIDO",IF($F95-TODAY()&lt;='01. CONFIGURAÇÕES'!$C$23,"VENCE EM BREVE","EM DIA"))))</f>
        <v/>
      </c>
      <c r="V95" s="55" t="str">
        <f t="shared" si="13"/>
        <v/>
      </c>
      <c r="W95" s="30"/>
      <c r="X95" s="33"/>
    </row>
    <row r="96" spans="1:24" x14ac:dyDescent="0.25">
      <c r="A96" s="29" t="str">
        <f t="shared" si="8"/>
        <v/>
      </c>
      <c r="B96" s="30"/>
      <c r="C96" s="30"/>
      <c r="D96" s="31"/>
      <c r="E96" s="10"/>
      <c r="F96" s="32" t="str">
        <f>IF($D96="","",$D96+IF($E96="",'01. CONFIGURAÇÕES'!$C$22,$E96))</f>
        <v/>
      </c>
      <c r="G96" s="30"/>
      <c r="H96" s="33"/>
      <c r="I96" s="33"/>
      <c r="J96" s="30"/>
      <c r="K96" s="33"/>
      <c r="L96" s="30"/>
      <c r="M96" s="33"/>
      <c r="N96" s="30"/>
      <c r="O96" s="33"/>
      <c r="P96" s="34" t="str">
        <f t="shared" si="9"/>
        <v/>
      </c>
      <c r="Q96" s="35" t="str">
        <f t="shared" si="10"/>
        <v/>
      </c>
      <c r="R96" s="35" t="str">
        <f t="shared" si="14"/>
        <v/>
      </c>
      <c r="S96" s="29" t="str">
        <f t="shared" si="11"/>
        <v/>
      </c>
      <c r="T96" s="13" t="str">
        <f t="shared" ca="1" si="12"/>
        <v/>
      </c>
      <c r="U96" s="29" t="str">
        <f ca="1">IF(OR($A96="",$F96=""),"",IF($R96&lt;&gt;"",IF($R96&lt;=$F96,"NO PRAZO","FORA DO PRAZO"),IF(TODAY()&gt;$F96,"VENCIDO",IF($F96-TODAY()&lt;='01. CONFIGURAÇÕES'!$C$23,"VENCE EM BREVE","EM DIA"))))</f>
        <v/>
      </c>
      <c r="V96" s="55" t="str">
        <f t="shared" si="13"/>
        <v/>
      </c>
      <c r="W96" s="30"/>
      <c r="X96" s="33"/>
    </row>
    <row r="97" spans="1:24" x14ac:dyDescent="0.25">
      <c r="A97" s="29" t="str">
        <f t="shared" si="8"/>
        <v/>
      </c>
      <c r="B97" s="30"/>
      <c r="C97" s="30"/>
      <c r="D97" s="31"/>
      <c r="E97" s="10"/>
      <c r="F97" s="32" t="str">
        <f>IF($D97="","",$D97+IF($E97="",'01. CONFIGURAÇÕES'!$C$22,$E97))</f>
        <v/>
      </c>
      <c r="G97" s="30"/>
      <c r="H97" s="33"/>
      <c r="I97" s="33"/>
      <c r="J97" s="30"/>
      <c r="K97" s="33"/>
      <c r="L97" s="30"/>
      <c r="M97" s="33"/>
      <c r="N97" s="30"/>
      <c r="O97" s="33"/>
      <c r="P97" s="34" t="str">
        <f t="shared" si="9"/>
        <v/>
      </c>
      <c r="Q97" s="35" t="str">
        <f t="shared" si="10"/>
        <v/>
      </c>
      <c r="R97" s="35" t="str">
        <f t="shared" si="14"/>
        <v/>
      </c>
      <c r="S97" s="29" t="str">
        <f t="shared" si="11"/>
        <v/>
      </c>
      <c r="T97" s="13" t="str">
        <f t="shared" ca="1" si="12"/>
        <v/>
      </c>
      <c r="U97" s="29" t="str">
        <f ca="1">IF(OR($A97="",$F97=""),"",IF($R97&lt;&gt;"",IF($R97&lt;=$F97,"NO PRAZO","FORA DO PRAZO"),IF(TODAY()&gt;$F97,"VENCIDO",IF($F97-TODAY()&lt;='01. CONFIGURAÇÕES'!$C$23,"VENCE EM BREVE","EM DIA"))))</f>
        <v/>
      </c>
      <c r="V97" s="55" t="str">
        <f t="shared" si="13"/>
        <v/>
      </c>
      <c r="W97" s="30"/>
      <c r="X97" s="33"/>
    </row>
    <row r="98" spans="1:24" x14ac:dyDescent="0.25">
      <c r="A98" s="29" t="str">
        <f t="shared" si="8"/>
        <v/>
      </c>
      <c r="B98" s="30"/>
      <c r="C98" s="30"/>
      <c r="D98" s="31"/>
      <c r="E98" s="10"/>
      <c r="F98" s="32" t="str">
        <f>IF($D98="","",$D98+IF($E98="",'01. CONFIGURAÇÕES'!$C$22,$E98))</f>
        <v/>
      </c>
      <c r="G98" s="30"/>
      <c r="H98" s="33"/>
      <c r="I98" s="33"/>
      <c r="J98" s="30"/>
      <c r="K98" s="33"/>
      <c r="L98" s="30"/>
      <c r="M98" s="33"/>
      <c r="N98" s="30"/>
      <c r="O98" s="33"/>
      <c r="P98" s="34" t="str">
        <f t="shared" si="9"/>
        <v/>
      </c>
      <c r="Q98" s="35" t="str">
        <f t="shared" si="10"/>
        <v/>
      </c>
      <c r="R98" s="35" t="str">
        <f t="shared" si="14"/>
        <v/>
      </c>
      <c r="S98" s="29" t="str">
        <f t="shared" si="11"/>
        <v/>
      </c>
      <c r="T98" s="13" t="str">
        <f t="shared" ca="1" si="12"/>
        <v/>
      </c>
      <c r="U98" s="29" t="str">
        <f ca="1">IF(OR($A98="",$F98=""),"",IF($R98&lt;&gt;"",IF($R98&lt;=$F98,"NO PRAZO","FORA DO PRAZO"),IF(TODAY()&gt;$F98,"VENCIDO",IF($F98-TODAY()&lt;='01. CONFIGURAÇÕES'!$C$23,"VENCE EM BREVE","EM DIA"))))</f>
        <v/>
      </c>
      <c r="V98" s="55" t="str">
        <f t="shared" si="13"/>
        <v/>
      </c>
      <c r="W98" s="30"/>
      <c r="X98" s="33"/>
    </row>
    <row r="99" spans="1:24" x14ac:dyDescent="0.25">
      <c r="A99" s="29" t="str">
        <f t="shared" si="8"/>
        <v/>
      </c>
      <c r="B99" s="30"/>
      <c r="C99" s="30"/>
      <c r="D99" s="31"/>
      <c r="E99" s="10"/>
      <c r="F99" s="32" t="str">
        <f>IF($D99="","",$D99+IF($E99="",'01. CONFIGURAÇÕES'!$C$22,$E99))</f>
        <v/>
      </c>
      <c r="G99" s="30"/>
      <c r="H99" s="33"/>
      <c r="I99" s="33"/>
      <c r="J99" s="30"/>
      <c r="K99" s="33"/>
      <c r="L99" s="30"/>
      <c r="M99" s="33"/>
      <c r="N99" s="30"/>
      <c r="O99" s="33"/>
      <c r="P99" s="34" t="str">
        <f t="shared" si="9"/>
        <v/>
      </c>
      <c r="Q99" s="35" t="str">
        <f t="shared" si="10"/>
        <v/>
      </c>
      <c r="R99" s="35" t="str">
        <f t="shared" si="14"/>
        <v/>
      </c>
      <c r="S99" s="29" t="str">
        <f t="shared" si="11"/>
        <v/>
      </c>
      <c r="T99" s="13" t="str">
        <f t="shared" ca="1" si="12"/>
        <v/>
      </c>
      <c r="U99" s="29" t="str">
        <f ca="1">IF(OR($A99="",$F99=""),"",IF($R99&lt;&gt;"",IF($R99&lt;=$F99,"NO PRAZO","FORA DO PRAZO"),IF(TODAY()&gt;$F99,"VENCIDO",IF($F99-TODAY()&lt;='01. CONFIGURAÇÕES'!$C$23,"VENCE EM BREVE","EM DIA"))))</f>
        <v/>
      </c>
      <c r="V99" s="55" t="str">
        <f t="shared" si="13"/>
        <v/>
      </c>
      <c r="W99" s="30"/>
      <c r="X99" s="33"/>
    </row>
    <row r="100" spans="1:24" x14ac:dyDescent="0.25">
      <c r="A100" s="29" t="str">
        <f t="shared" si="8"/>
        <v/>
      </c>
      <c r="B100" s="30"/>
      <c r="C100" s="30"/>
      <c r="D100" s="31"/>
      <c r="E100" s="10"/>
      <c r="F100" s="32" t="str">
        <f>IF($D100="","",$D100+IF($E100="",'01. CONFIGURAÇÕES'!$C$22,$E100))</f>
        <v/>
      </c>
      <c r="G100" s="30"/>
      <c r="H100" s="33"/>
      <c r="I100" s="33"/>
      <c r="J100" s="30"/>
      <c r="K100" s="33"/>
      <c r="L100" s="30"/>
      <c r="M100" s="33"/>
      <c r="N100" s="30"/>
      <c r="O100" s="33"/>
      <c r="P100" s="34" t="str">
        <f t="shared" si="9"/>
        <v/>
      </c>
      <c r="Q100" s="35" t="str">
        <f t="shared" si="10"/>
        <v/>
      </c>
      <c r="R100" s="35" t="str">
        <f t="shared" si="14"/>
        <v/>
      </c>
      <c r="S100" s="29" t="str">
        <f t="shared" si="11"/>
        <v/>
      </c>
      <c r="T100" s="13" t="str">
        <f t="shared" ca="1" si="12"/>
        <v/>
      </c>
      <c r="U100" s="29" t="str">
        <f ca="1">IF(OR($A100="",$F100=""),"",IF($R100&lt;&gt;"",IF($R100&lt;=$F100,"NO PRAZO","FORA DO PRAZO"),IF(TODAY()&gt;$F100,"VENCIDO",IF($F100-TODAY()&lt;='01. CONFIGURAÇÕES'!$C$23,"VENCE EM BREVE","EM DIA"))))</f>
        <v/>
      </c>
      <c r="V100" s="55" t="str">
        <f t="shared" si="13"/>
        <v/>
      </c>
      <c r="W100" s="30"/>
      <c r="X100" s="33"/>
    </row>
    <row r="101" spans="1:24" x14ac:dyDescent="0.25">
      <c r="A101" s="29" t="str">
        <f t="shared" si="8"/>
        <v/>
      </c>
      <c r="B101" s="30"/>
      <c r="C101" s="30"/>
      <c r="D101" s="31"/>
      <c r="E101" s="10"/>
      <c r="F101" s="32" t="str">
        <f>IF($D101="","",$D101+IF($E101="",'01. CONFIGURAÇÕES'!$C$22,$E101))</f>
        <v/>
      </c>
      <c r="G101" s="30"/>
      <c r="H101" s="33"/>
      <c r="I101" s="33"/>
      <c r="J101" s="30"/>
      <c r="K101" s="33"/>
      <c r="L101" s="30"/>
      <c r="M101" s="33"/>
      <c r="N101" s="30"/>
      <c r="O101" s="33"/>
      <c r="P101" s="34" t="str">
        <f t="shared" si="9"/>
        <v/>
      </c>
      <c r="Q101" s="35" t="str">
        <f t="shared" si="10"/>
        <v/>
      </c>
      <c r="R101" s="35" t="str">
        <f t="shared" si="14"/>
        <v/>
      </c>
      <c r="S101" s="29" t="str">
        <f t="shared" si="11"/>
        <v/>
      </c>
      <c r="T101" s="13" t="str">
        <f t="shared" ca="1" si="12"/>
        <v/>
      </c>
      <c r="U101" s="29" t="str">
        <f ca="1">IF(OR($A101="",$F101=""),"",IF($R101&lt;&gt;"",IF($R101&lt;=$F101,"NO PRAZO","FORA DO PRAZO"),IF(TODAY()&gt;$F101,"VENCIDO",IF($F101-TODAY()&lt;='01. CONFIGURAÇÕES'!$C$23,"VENCE EM BREVE","EM DIA"))))</f>
        <v/>
      </c>
      <c r="V101" s="55" t="str">
        <f t="shared" si="13"/>
        <v/>
      </c>
      <c r="W101" s="30"/>
      <c r="X101" s="33"/>
    </row>
    <row r="102" spans="1:24" x14ac:dyDescent="0.25">
      <c r="A102" s="29" t="str">
        <f t="shared" si="8"/>
        <v/>
      </c>
      <c r="B102" s="30"/>
      <c r="C102" s="30"/>
      <c r="D102" s="31"/>
      <c r="E102" s="10"/>
      <c r="F102" s="32" t="str">
        <f>IF($D102="","",$D102+IF($E102="",'01. CONFIGURAÇÕES'!$C$22,$E102))</f>
        <v/>
      </c>
      <c r="G102" s="30"/>
      <c r="H102" s="33"/>
      <c r="I102" s="33"/>
      <c r="J102" s="30"/>
      <c r="K102" s="33"/>
      <c r="L102" s="30"/>
      <c r="M102" s="33"/>
      <c r="N102" s="30"/>
      <c r="O102" s="33"/>
      <c r="P102" s="34" t="str">
        <f t="shared" si="9"/>
        <v/>
      </c>
      <c r="Q102" s="35" t="str">
        <f t="shared" si="10"/>
        <v/>
      </c>
      <c r="R102" s="35" t="str">
        <f t="shared" si="14"/>
        <v/>
      </c>
      <c r="S102" s="29" t="str">
        <f t="shared" si="11"/>
        <v/>
      </c>
      <c r="T102" s="13" t="str">
        <f t="shared" ca="1" si="12"/>
        <v/>
      </c>
      <c r="U102" s="29" t="str">
        <f ca="1">IF(OR($A102="",$F102=""),"",IF($R102&lt;&gt;"",IF($R102&lt;=$F102,"NO PRAZO","FORA DO PRAZO"),IF(TODAY()&gt;$F102,"VENCIDO",IF($F102-TODAY()&lt;='01. CONFIGURAÇÕES'!$C$23,"VENCE EM BREVE","EM DIA"))))</f>
        <v/>
      </c>
      <c r="V102" s="55" t="str">
        <f t="shared" si="13"/>
        <v/>
      </c>
      <c r="W102" s="30"/>
      <c r="X102" s="33"/>
    </row>
    <row r="103" spans="1:24" x14ac:dyDescent="0.25">
      <c r="A103" s="29" t="str">
        <f t="shared" si="8"/>
        <v/>
      </c>
      <c r="B103" s="30"/>
      <c r="C103" s="30"/>
      <c r="D103" s="31"/>
      <c r="E103" s="10"/>
      <c r="F103" s="32" t="str">
        <f>IF($D103="","",$D103+IF($E103="",'01. CONFIGURAÇÕES'!$C$22,$E103))</f>
        <v/>
      </c>
      <c r="G103" s="30"/>
      <c r="H103" s="33"/>
      <c r="I103" s="33"/>
      <c r="J103" s="30"/>
      <c r="K103" s="33"/>
      <c r="L103" s="30"/>
      <c r="M103" s="33"/>
      <c r="N103" s="30"/>
      <c r="O103" s="33"/>
      <c r="P103" s="34" t="str">
        <f t="shared" si="9"/>
        <v/>
      </c>
      <c r="Q103" s="35" t="str">
        <f t="shared" si="10"/>
        <v/>
      </c>
      <c r="R103" s="35" t="str">
        <f t="shared" si="14"/>
        <v/>
      </c>
      <c r="S103" s="29" t="str">
        <f t="shared" si="11"/>
        <v/>
      </c>
      <c r="T103" s="13" t="str">
        <f t="shared" ca="1" si="12"/>
        <v/>
      </c>
      <c r="U103" s="29" t="str">
        <f ca="1">IF(OR($A103="",$F103=""),"",IF($R103&lt;&gt;"",IF($R103&lt;=$F103,"NO PRAZO","FORA DO PRAZO"),IF(TODAY()&gt;$F103,"VENCIDO",IF($F103-TODAY()&lt;='01. CONFIGURAÇÕES'!$C$23,"VENCE EM BREVE","EM DIA"))))</f>
        <v/>
      </c>
      <c r="V103" s="55" t="str">
        <f t="shared" si="13"/>
        <v/>
      </c>
      <c r="W103" s="30"/>
      <c r="X103" s="33"/>
    </row>
    <row r="104" spans="1:24" x14ac:dyDescent="0.25">
      <c r="A104" s="29" t="str">
        <f t="shared" si="8"/>
        <v/>
      </c>
      <c r="B104" s="30"/>
      <c r="C104" s="30"/>
      <c r="D104" s="31"/>
      <c r="E104" s="10"/>
      <c r="F104" s="32" t="str">
        <f>IF($D104="","",$D104+IF($E104="",'01. CONFIGURAÇÕES'!$C$22,$E104))</f>
        <v/>
      </c>
      <c r="G104" s="30"/>
      <c r="H104" s="33"/>
      <c r="I104" s="33"/>
      <c r="J104" s="30"/>
      <c r="K104" s="33"/>
      <c r="L104" s="30"/>
      <c r="M104" s="33"/>
      <c r="N104" s="30"/>
      <c r="O104" s="33"/>
      <c r="P104" s="34" t="str">
        <f t="shared" si="9"/>
        <v/>
      </c>
      <c r="Q104" s="35" t="str">
        <f t="shared" si="10"/>
        <v/>
      </c>
      <c r="R104" s="35" t="str">
        <f t="shared" si="14"/>
        <v/>
      </c>
      <c r="S104" s="29" t="str">
        <f t="shared" si="11"/>
        <v/>
      </c>
      <c r="T104" s="13" t="str">
        <f t="shared" ca="1" si="12"/>
        <v/>
      </c>
      <c r="U104" s="29" t="str">
        <f ca="1">IF(OR($A104="",$F104=""),"",IF($R104&lt;&gt;"",IF($R104&lt;=$F104,"NO PRAZO","FORA DO PRAZO"),IF(TODAY()&gt;$F104,"VENCIDO",IF($F104-TODAY()&lt;='01. CONFIGURAÇÕES'!$C$23,"VENCE EM BREVE","EM DIA"))))</f>
        <v/>
      </c>
      <c r="V104" s="55" t="str">
        <f t="shared" si="13"/>
        <v/>
      </c>
      <c r="W104" s="30"/>
      <c r="X104" s="33"/>
    </row>
    <row r="105" spans="1:24" x14ac:dyDescent="0.25">
      <c r="A105" s="29" t="str">
        <f t="shared" si="8"/>
        <v/>
      </c>
      <c r="B105" s="30"/>
      <c r="C105" s="30"/>
      <c r="D105" s="31"/>
      <c r="E105" s="10"/>
      <c r="F105" s="32" t="str">
        <f>IF($D105="","",$D105+IF($E105="",'01. CONFIGURAÇÕES'!$C$22,$E105))</f>
        <v/>
      </c>
      <c r="G105" s="30"/>
      <c r="H105" s="33"/>
      <c r="I105" s="33"/>
      <c r="J105" s="30"/>
      <c r="K105" s="33"/>
      <c r="L105" s="30"/>
      <c r="M105" s="33"/>
      <c r="N105" s="30"/>
      <c r="O105" s="33"/>
      <c r="P105" s="34" t="str">
        <f t="shared" si="9"/>
        <v/>
      </c>
      <c r="Q105" s="35" t="str">
        <f t="shared" si="10"/>
        <v/>
      </c>
      <c r="R105" s="35" t="str">
        <f t="shared" si="14"/>
        <v/>
      </c>
      <c r="S105" s="29" t="str">
        <f t="shared" si="11"/>
        <v/>
      </c>
      <c r="T105" s="13" t="str">
        <f t="shared" ca="1" si="12"/>
        <v/>
      </c>
      <c r="U105" s="29" t="str">
        <f ca="1">IF(OR($A105="",$F105=""),"",IF($R105&lt;&gt;"",IF($R105&lt;=$F105,"NO PRAZO","FORA DO PRAZO"),IF(TODAY()&gt;$F105,"VENCIDO",IF($F105-TODAY()&lt;='01. CONFIGURAÇÕES'!$C$23,"VENCE EM BREVE","EM DIA"))))</f>
        <v/>
      </c>
      <c r="V105" s="55" t="str">
        <f t="shared" si="13"/>
        <v/>
      </c>
      <c r="W105" s="30"/>
      <c r="X105" s="33"/>
    </row>
    <row r="106" spans="1:24" x14ac:dyDescent="0.25">
      <c r="A106" s="29" t="str">
        <f t="shared" si="8"/>
        <v/>
      </c>
      <c r="B106" s="30"/>
      <c r="C106" s="30"/>
      <c r="D106" s="31"/>
      <c r="E106" s="10"/>
      <c r="F106" s="32" t="str">
        <f>IF($D106="","",$D106+IF($E106="",'01. CONFIGURAÇÕES'!$C$22,$E106))</f>
        <v/>
      </c>
      <c r="G106" s="30"/>
      <c r="H106" s="33"/>
      <c r="I106" s="33"/>
      <c r="J106" s="30"/>
      <c r="K106" s="33"/>
      <c r="L106" s="30"/>
      <c r="M106" s="33"/>
      <c r="N106" s="30"/>
      <c r="O106" s="33"/>
      <c r="P106" s="34" t="str">
        <f t="shared" si="9"/>
        <v/>
      </c>
      <c r="Q106" s="35" t="str">
        <f t="shared" si="10"/>
        <v/>
      </c>
      <c r="R106" s="35" t="str">
        <f t="shared" si="14"/>
        <v/>
      </c>
      <c r="S106" s="29" t="str">
        <f t="shared" si="11"/>
        <v/>
      </c>
      <c r="T106" s="13" t="str">
        <f t="shared" ca="1" si="12"/>
        <v/>
      </c>
      <c r="U106" s="29" t="str">
        <f ca="1">IF(OR($A106="",$F106=""),"",IF($R106&lt;&gt;"",IF($R106&lt;=$F106,"NO PRAZO","FORA DO PRAZO"),IF(TODAY()&gt;$F106,"VENCIDO",IF($F106-TODAY()&lt;='01. CONFIGURAÇÕES'!$C$23,"VENCE EM BREVE","EM DIA"))))</f>
        <v/>
      </c>
      <c r="V106" s="55" t="str">
        <f t="shared" si="13"/>
        <v/>
      </c>
      <c r="W106" s="30"/>
      <c r="X106" s="33"/>
    </row>
    <row r="107" spans="1:24" x14ac:dyDescent="0.25">
      <c r="A107" s="29" t="str">
        <f t="shared" si="8"/>
        <v/>
      </c>
      <c r="B107" s="30"/>
      <c r="C107" s="30"/>
      <c r="D107" s="31"/>
      <c r="E107" s="10"/>
      <c r="F107" s="32" t="str">
        <f>IF($D107="","",$D107+IF($E107="",'01. CONFIGURAÇÕES'!$C$22,$E107))</f>
        <v/>
      </c>
      <c r="G107" s="30"/>
      <c r="H107" s="33"/>
      <c r="I107" s="33"/>
      <c r="J107" s="30"/>
      <c r="K107" s="33"/>
      <c r="L107" s="30"/>
      <c r="M107" s="33"/>
      <c r="N107" s="30"/>
      <c r="O107" s="33"/>
      <c r="P107" s="34" t="str">
        <f t="shared" si="9"/>
        <v/>
      </c>
      <c r="Q107" s="35" t="str">
        <f t="shared" si="10"/>
        <v/>
      </c>
      <c r="R107" s="35" t="str">
        <f t="shared" si="14"/>
        <v/>
      </c>
      <c r="S107" s="29" t="str">
        <f t="shared" si="11"/>
        <v/>
      </c>
      <c r="T107" s="13" t="str">
        <f t="shared" ca="1" si="12"/>
        <v/>
      </c>
      <c r="U107" s="29" t="str">
        <f ca="1">IF(OR($A107="",$F107=""),"",IF($R107&lt;&gt;"",IF($R107&lt;=$F107,"NO PRAZO","FORA DO PRAZO"),IF(TODAY()&gt;$F107,"VENCIDO",IF($F107-TODAY()&lt;='01. CONFIGURAÇÕES'!$C$23,"VENCE EM BREVE","EM DIA"))))</f>
        <v/>
      </c>
      <c r="V107" s="55" t="str">
        <f t="shared" si="13"/>
        <v/>
      </c>
      <c r="W107" s="30"/>
      <c r="X107" s="33"/>
    </row>
    <row r="108" spans="1:24" x14ac:dyDescent="0.25">
      <c r="A108" s="29" t="str">
        <f t="shared" si="8"/>
        <v/>
      </c>
      <c r="B108" s="30"/>
      <c r="C108" s="30"/>
      <c r="D108" s="31"/>
      <c r="E108" s="10"/>
      <c r="F108" s="32" t="str">
        <f>IF($D108="","",$D108+IF($E108="",'01. CONFIGURAÇÕES'!$C$22,$E108))</f>
        <v/>
      </c>
      <c r="G108" s="30"/>
      <c r="H108" s="33"/>
      <c r="I108" s="33"/>
      <c r="J108" s="30"/>
      <c r="K108" s="33"/>
      <c r="L108" s="30"/>
      <c r="M108" s="33"/>
      <c r="N108" s="30"/>
      <c r="O108" s="33"/>
      <c r="P108" s="34" t="str">
        <f t="shared" si="9"/>
        <v/>
      </c>
      <c r="Q108" s="35" t="str">
        <f t="shared" si="10"/>
        <v/>
      </c>
      <c r="R108" s="35" t="str">
        <f t="shared" si="14"/>
        <v/>
      </c>
      <c r="S108" s="29" t="str">
        <f t="shared" si="11"/>
        <v/>
      </c>
      <c r="T108" s="13" t="str">
        <f t="shared" ca="1" si="12"/>
        <v/>
      </c>
      <c r="U108" s="29" t="str">
        <f ca="1">IF(OR($A108="",$F108=""),"",IF($R108&lt;&gt;"",IF($R108&lt;=$F108,"NO PRAZO","FORA DO PRAZO"),IF(TODAY()&gt;$F108,"VENCIDO",IF($F108-TODAY()&lt;='01. CONFIGURAÇÕES'!$C$23,"VENCE EM BREVE","EM DIA"))))</f>
        <v/>
      </c>
      <c r="V108" s="55" t="str">
        <f t="shared" si="13"/>
        <v/>
      </c>
      <c r="W108" s="30"/>
      <c r="X108" s="33"/>
    </row>
    <row r="109" spans="1:24" x14ac:dyDescent="0.25">
      <c r="A109" s="29" t="str">
        <f t="shared" si="8"/>
        <v/>
      </c>
      <c r="B109" s="30"/>
      <c r="C109" s="30"/>
      <c r="D109" s="31"/>
      <c r="E109" s="10"/>
      <c r="F109" s="32" t="str">
        <f>IF($D109="","",$D109+IF($E109="",'01. CONFIGURAÇÕES'!$C$22,$E109))</f>
        <v/>
      </c>
      <c r="G109" s="30"/>
      <c r="H109" s="33"/>
      <c r="I109" s="33"/>
      <c r="J109" s="30"/>
      <c r="K109" s="33"/>
      <c r="L109" s="30"/>
      <c r="M109" s="33"/>
      <c r="N109" s="30"/>
      <c r="O109" s="33"/>
      <c r="P109" s="34" t="str">
        <f t="shared" si="9"/>
        <v/>
      </c>
      <c r="Q109" s="35" t="str">
        <f t="shared" si="10"/>
        <v/>
      </c>
      <c r="R109" s="35" t="str">
        <f t="shared" si="14"/>
        <v/>
      </c>
      <c r="S109" s="29" t="str">
        <f t="shared" si="11"/>
        <v/>
      </c>
      <c r="T109" s="13" t="str">
        <f t="shared" ca="1" si="12"/>
        <v/>
      </c>
      <c r="U109" s="29" t="str">
        <f ca="1">IF(OR($A109="",$F109=""),"",IF($R109&lt;&gt;"",IF($R109&lt;=$F109,"NO PRAZO","FORA DO PRAZO"),IF(TODAY()&gt;$F109,"VENCIDO",IF($F109-TODAY()&lt;='01. CONFIGURAÇÕES'!$C$23,"VENCE EM BREVE","EM DIA"))))</f>
        <v/>
      </c>
      <c r="V109" s="55" t="str">
        <f t="shared" si="13"/>
        <v/>
      </c>
      <c r="W109" s="30"/>
      <c r="X109" s="33"/>
    </row>
    <row r="110" spans="1:24" x14ac:dyDescent="0.25">
      <c r="A110" s="29" t="str">
        <f t="shared" si="8"/>
        <v/>
      </c>
      <c r="B110" s="30"/>
      <c r="C110" s="30"/>
      <c r="D110" s="31"/>
      <c r="E110" s="10"/>
      <c r="F110" s="32" t="str">
        <f>IF($D110="","",$D110+IF($E110="",'01. CONFIGURAÇÕES'!$C$22,$E110))</f>
        <v/>
      </c>
      <c r="G110" s="30"/>
      <c r="H110" s="33"/>
      <c r="I110" s="33"/>
      <c r="J110" s="30"/>
      <c r="K110" s="33"/>
      <c r="L110" s="30"/>
      <c r="M110" s="33"/>
      <c r="N110" s="30"/>
      <c r="O110" s="33"/>
      <c r="P110" s="34" t="str">
        <f t="shared" si="9"/>
        <v/>
      </c>
      <c r="Q110" s="35" t="str">
        <f t="shared" si="10"/>
        <v/>
      </c>
      <c r="R110" s="35" t="str">
        <f t="shared" si="14"/>
        <v/>
      </c>
      <c r="S110" s="29" t="str">
        <f t="shared" si="11"/>
        <v/>
      </c>
      <c r="T110" s="13" t="str">
        <f t="shared" ca="1" si="12"/>
        <v/>
      </c>
      <c r="U110" s="29" t="str">
        <f ca="1">IF(OR($A110="",$F110=""),"",IF($R110&lt;&gt;"",IF($R110&lt;=$F110,"NO PRAZO","FORA DO PRAZO"),IF(TODAY()&gt;$F110,"VENCIDO",IF($F110-TODAY()&lt;='01. CONFIGURAÇÕES'!$C$23,"VENCE EM BREVE","EM DIA"))))</f>
        <v/>
      </c>
      <c r="V110" s="55" t="str">
        <f t="shared" si="13"/>
        <v/>
      </c>
      <c r="W110" s="30"/>
      <c r="X110" s="33"/>
    </row>
    <row r="111" spans="1:24" x14ac:dyDescent="0.25">
      <c r="A111" s="29" t="str">
        <f t="shared" si="8"/>
        <v/>
      </c>
      <c r="B111" s="30"/>
      <c r="C111" s="30"/>
      <c r="D111" s="31"/>
      <c r="E111" s="10"/>
      <c r="F111" s="32" t="str">
        <f>IF($D111="","",$D111+IF($E111="",'01. CONFIGURAÇÕES'!$C$22,$E111))</f>
        <v/>
      </c>
      <c r="G111" s="30"/>
      <c r="H111" s="33"/>
      <c r="I111" s="33"/>
      <c r="J111" s="30"/>
      <c r="K111" s="33"/>
      <c r="L111" s="30"/>
      <c r="M111" s="33"/>
      <c r="N111" s="30"/>
      <c r="O111" s="33"/>
      <c r="P111" s="34" t="str">
        <f t="shared" si="9"/>
        <v/>
      </c>
      <c r="Q111" s="35" t="str">
        <f t="shared" si="10"/>
        <v/>
      </c>
      <c r="R111" s="35" t="str">
        <f t="shared" si="14"/>
        <v/>
      </c>
      <c r="S111" s="29" t="str">
        <f t="shared" si="11"/>
        <v/>
      </c>
      <c r="T111" s="13" t="str">
        <f t="shared" ca="1" si="12"/>
        <v/>
      </c>
      <c r="U111" s="29" t="str">
        <f ca="1">IF(OR($A111="",$F111=""),"",IF($R111&lt;&gt;"",IF($R111&lt;=$F111,"NO PRAZO","FORA DO PRAZO"),IF(TODAY()&gt;$F111,"VENCIDO",IF($F111-TODAY()&lt;='01. CONFIGURAÇÕES'!$C$23,"VENCE EM BREVE","EM DIA"))))</f>
        <v/>
      </c>
      <c r="V111" s="55" t="str">
        <f t="shared" si="13"/>
        <v/>
      </c>
      <c r="W111" s="30"/>
      <c r="X111" s="33"/>
    </row>
    <row r="112" spans="1:24" x14ac:dyDescent="0.25">
      <c r="A112" s="29" t="str">
        <f t="shared" si="8"/>
        <v/>
      </c>
      <c r="B112" s="30"/>
      <c r="C112" s="30"/>
      <c r="D112" s="31"/>
      <c r="E112" s="10"/>
      <c r="F112" s="32" t="str">
        <f>IF($D112="","",$D112+IF($E112="",'01. CONFIGURAÇÕES'!$C$22,$E112))</f>
        <v/>
      </c>
      <c r="G112" s="30"/>
      <c r="H112" s="33"/>
      <c r="I112" s="33"/>
      <c r="J112" s="30"/>
      <c r="K112" s="33"/>
      <c r="L112" s="30"/>
      <c r="M112" s="33"/>
      <c r="N112" s="30"/>
      <c r="O112" s="33"/>
      <c r="P112" s="34" t="str">
        <f t="shared" si="9"/>
        <v/>
      </c>
      <c r="Q112" s="35" t="str">
        <f t="shared" si="10"/>
        <v/>
      </c>
      <c r="R112" s="35" t="str">
        <f t="shared" si="14"/>
        <v/>
      </c>
      <c r="S112" s="29" t="str">
        <f t="shared" si="11"/>
        <v/>
      </c>
      <c r="T112" s="13" t="str">
        <f t="shared" ca="1" si="12"/>
        <v/>
      </c>
      <c r="U112" s="29" t="str">
        <f ca="1">IF(OR($A112="",$F112=""),"",IF($R112&lt;&gt;"",IF($R112&lt;=$F112,"NO PRAZO","FORA DO PRAZO"),IF(TODAY()&gt;$F112,"VENCIDO",IF($F112-TODAY()&lt;='01. CONFIGURAÇÕES'!$C$23,"VENCE EM BREVE","EM DIA"))))</f>
        <v/>
      </c>
      <c r="V112" s="55" t="str">
        <f t="shared" si="13"/>
        <v/>
      </c>
      <c r="W112" s="30"/>
      <c r="X112" s="33"/>
    </row>
    <row r="113" spans="1:24" x14ac:dyDescent="0.25">
      <c r="A113" s="29" t="str">
        <f t="shared" si="8"/>
        <v/>
      </c>
      <c r="B113" s="30"/>
      <c r="C113" s="30"/>
      <c r="D113" s="31"/>
      <c r="E113" s="10"/>
      <c r="F113" s="32" t="str">
        <f>IF($D113="","",$D113+IF($E113="",'01. CONFIGURAÇÕES'!$C$22,$E113))</f>
        <v/>
      </c>
      <c r="G113" s="30"/>
      <c r="H113" s="33"/>
      <c r="I113" s="33"/>
      <c r="J113" s="30"/>
      <c r="K113" s="33"/>
      <c r="L113" s="30"/>
      <c r="M113" s="33"/>
      <c r="N113" s="30"/>
      <c r="O113" s="33"/>
      <c r="P113" s="34" t="str">
        <f t="shared" si="9"/>
        <v/>
      </c>
      <c r="Q113" s="35" t="str">
        <f t="shared" si="10"/>
        <v/>
      </c>
      <c r="R113" s="35" t="str">
        <f t="shared" si="14"/>
        <v/>
      </c>
      <c r="S113" s="29" t="str">
        <f t="shared" si="11"/>
        <v/>
      </c>
      <c r="T113" s="13" t="str">
        <f t="shared" ca="1" si="12"/>
        <v/>
      </c>
      <c r="U113" s="29" t="str">
        <f ca="1">IF(OR($A113="",$F113=""),"",IF($R113&lt;&gt;"",IF($R113&lt;=$F113,"NO PRAZO","FORA DO PRAZO"),IF(TODAY()&gt;$F113,"VENCIDO",IF($F113-TODAY()&lt;='01. CONFIGURAÇÕES'!$C$23,"VENCE EM BREVE","EM DIA"))))</f>
        <v/>
      </c>
      <c r="V113" s="55" t="str">
        <f t="shared" si="13"/>
        <v/>
      </c>
      <c r="W113" s="30"/>
      <c r="X113" s="33"/>
    </row>
    <row r="114" spans="1:24" x14ac:dyDescent="0.25">
      <c r="A114" s="29" t="str">
        <f t="shared" si="8"/>
        <v/>
      </c>
      <c r="B114" s="30"/>
      <c r="C114" s="30"/>
      <c r="D114" s="31"/>
      <c r="E114" s="10"/>
      <c r="F114" s="32" t="str">
        <f>IF($D114="","",$D114+IF($E114="",'01. CONFIGURAÇÕES'!$C$22,$E114))</f>
        <v/>
      </c>
      <c r="G114" s="30"/>
      <c r="H114" s="33"/>
      <c r="I114" s="33"/>
      <c r="J114" s="30"/>
      <c r="K114" s="33"/>
      <c r="L114" s="30"/>
      <c r="M114" s="33"/>
      <c r="N114" s="30"/>
      <c r="O114" s="33"/>
      <c r="P114" s="34" t="str">
        <f t="shared" si="9"/>
        <v/>
      </c>
      <c r="Q114" s="35" t="str">
        <f t="shared" si="10"/>
        <v/>
      </c>
      <c r="R114" s="35" t="str">
        <f t="shared" si="14"/>
        <v/>
      </c>
      <c r="S114" s="29" t="str">
        <f t="shared" si="11"/>
        <v/>
      </c>
      <c r="T114" s="13" t="str">
        <f t="shared" ca="1" si="12"/>
        <v/>
      </c>
      <c r="U114" s="29" t="str">
        <f ca="1">IF(OR($A114="",$F114=""),"",IF($R114&lt;&gt;"",IF($R114&lt;=$F114,"NO PRAZO","FORA DO PRAZO"),IF(TODAY()&gt;$F114,"VENCIDO",IF($F114-TODAY()&lt;='01. CONFIGURAÇÕES'!$C$23,"VENCE EM BREVE","EM DIA"))))</f>
        <v/>
      </c>
      <c r="V114" s="55" t="str">
        <f t="shared" si="13"/>
        <v/>
      </c>
      <c r="W114" s="30"/>
      <c r="X114" s="33"/>
    </row>
    <row r="115" spans="1:24" x14ac:dyDescent="0.25">
      <c r="A115" s="29" t="str">
        <f t="shared" si="8"/>
        <v/>
      </c>
      <c r="B115" s="30"/>
      <c r="C115" s="30"/>
      <c r="D115" s="31"/>
      <c r="E115" s="10"/>
      <c r="F115" s="32" t="str">
        <f>IF($D115="","",$D115+IF($E115="",'01. CONFIGURAÇÕES'!$C$22,$E115))</f>
        <v/>
      </c>
      <c r="G115" s="30"/>
      <c r="H115" s="33"/>
      <c r="I115" s="33"/>
      <c r="J115" s="30"/>
      <c r="K115" s="33"/>
      <c r="L115" s="30"/>
      <c r="M115" s="33"/>
      <c r="N115" s="30"/>
      <c r="O115" s="33"/>
      <c r="P115" s="34" t="str">
        <f t="shared" si="9"/>
        <v/>
      </c>
      <c r="Q115" s="35" t="str">
        <f t="shared" si="10"/>
        <v/>
      </c>
      <c r="R115" s="35" t="str">
        <f t="shared" si="14"/>
        <v/>
      </c>
      <c r="S115" s="29" t="str">
        <f t="shared" si="11"/>
        <v/>
      </c>
      <c r="T115" s="13" t="str">
        <f t="shared" ca="1" si="12"/>
        <v/>
      </c>
      <c r="U115" s="29" t="str">
        <f ca="1">IF(OR($A115="",$F115=""),"",IF($R115&lt;&gt;"",IF($R115&lt;=$F115,"NO PRAZO","FORA DO PRAZO"),IF(TODAY()&gt;$F115,"VENCIDO",IF($F115-TODAY()&lt;='01. CONFIGURAÇÕES'!$C$23,"VENCE EM BREVE","EM DIA"))))</f>
        <v/>
      </c>
      <c r="V115" s="55" t="str">
        <f t="shared" si="13"/>
        <v/>
      </c>
      <c r="W115" s="30"/>
      <c r="X115" s="33"/>
    </row>
    <row r="116" spans="1:24" x14ac:dyDescent="0.25">
      <c r="A116" s="29" t="str">
        <f t="shared" si="8"/>
        <v/>
      </c>
      <c r="B116" s="30"/>
      <c r="C116" s="30"/>
      <c r="D116" s="31"/>
      <c r="E116" s="10"/>
      <c r="F116" s="32" t="str">
        <f>IF($D116="","",$D116+IF($E116="",'01. CONFIGURAÇÕES'!$C$22,$E116))</f>
        <v/>
      </c>
      <c r="G116" s="30"/>
      <c r="H116" s="33"/>
      <c r="I116" s="33"/>
      <c r="J116" s="30"/>
      <c r="K116" s="33"/>
      <c r="L116" s="30"/>
      <c r="M116" s="33"/>
      <c r="N116" s="30"/>
      <c r="O116" s="33"/>
      <c r="P116" s="34" t="str">
        <f t="shared" si="9"/>
        <v/>
      </c>
      <c r="Q116" s="35" t="str">
        <f t="shared" si="10"/>
        <v/>
      </c>
      <c r="R116" s="35" t="str">
        <f t="shared" si="14"/>
        <v/>
      </c>
      <c r="S116" s="29" t="str">
        <f t="shared" si="11"/>
        <v/>
      </c>
      <c r="T116" s="13" t="str">
        <f t="shared" ca="1" si="12"/>
        <v/>
      </c>
      <c r="U116" s="29" t="str">
        <f ca="1">IF(OR($A116="",$F116=""),"",IF($R116&lt;&gt;"",IF($R116&lt;=$F116,"NO PRAZO","FORA DO PRAZO"),IF(TODAY()&gt;$F116,"VENCIDO",IF($F116-TODAY()&lt;='01. CONFIGURAÇÕES'!$C$23,"VENCE EM BREVE","EM DIA"))))</f>
        <v/>
      </c>
      <c r="V116" s="55" t="str">
        <f t="shared" si="13"/>
        <v/>
      </c>
      <c r="W116" s="30"/>
      <c r="X116" s="33"/>
    </row>
    <row r="117" spans="1:24" x14ac:dyDescent="0.25">
      <c r="A117" s="29" t="str">
        <f t="shared" si="8"/>
        <v/>
      </c>
      <c r="B117" s="30"/>
      <c r="C117" s="30"/>
      <c r="D117" s="31"/>
      <c r="E117" s="10"/>
      <c r="F117" s="32" t="str">
        <f>IF($D117="","",$D117+IF($E117="",'01. CONFIGURAÇÕES'!$C$22,$E117))</f>
        <v/>
      </c>
      <c r="G117" s="30"/>
      <c r="H117" s="33"/>
      <c r="I117" s="33"/>
      <c r="J117" s="30"/>
      <c r="K117" s="33"/>
      <c r="L117" s="30"/>
      <c r="M117" s="33"/>
      <c r="N117" s="30"/>
      <c r="O117" s="33"/>
      <c r="P117" s="34" t="str">
        <f t="shared" si="9"/>
        <v/>
      </c>
      <c r="Q117" s="35" t="str">
        <f t="shared" si="10"/>
        <v/>
      </c>
      <c r="R117" s="35" t="str">
        <f t="shared" si="14"/>
        <v/>
      </c>
      <c r="S117" s="29" t="str">
        <f t="shared" si="11"/>
        <v/>
      </c>
      <c r="T117" s="13" t="str">
        <f t="shared" ca="1" si="12"/>
        <v/>
      </c>
      <c r="U117" s="29" t="str">
        <f ca="1">IF(OR($A117="",$F117=""),"",IF($R117&lt;&gt;"",IF($R117&lt;=$F117,"NO PRAZO","FORA DO PRAZO"),IF(TODAY()&gt;$F117,"VENCIDO",IF($F117-TODAY()&lt;='01. CONFIGURAÇÕES'!$C$23,"VENCE EM BREVE","EM DIA"))))</f>
        <v/>
      </c>
      <c r="V117" s="55" t="str">
        <f t="shared" si="13"/>
        <v/>
      </c>
      <c r="W117" s="30"/>
      <c r="X117" s="33"/>
    </row>
    <row r="118" spans="1:24" x14ac:dyDescent="0.25">
      <c r="A118" s="29" t="str">
        <f t="shared" si="8"/>
        <v/>
      </c>
      <c r="B118" s="30"/>
      <c r="C118" s="30"/>
      <c r="D118" s="31"/>
      <c r="E118" s="10"/>
      <c r="F118" s="32" t="str">
        <f>IF($D118="","",$D118+IF($E118="",'01. CONFIGURAÇÕES'!$C$22,$E118))</f>
        <v/>
      </c>
      <c r="G118" s="30"/>
      <c r="H118" s="33"/>
      <c r="I118" s="33"/>
      <c r="J118" s="30"/>
      <c r="K118" s="33"/>
      <c r="L118" s="30"/>
      <c r="M118" s="33"/>
      <c r="N118" s="30"/>
      <c r="O118" s="33"/>
      <c r="P118" s="34" t="str">
        <f t="shared" si="9"/>
        <v/>
      </c>
      <c r="Q118" s="35" t="str">
        <f t="shared" si="10"/>
        <v/>
      </c>
      <c r="R118" s="35" t="str">
        <f t="shared" si="14"/>
        <v/>
      </c>
      <c r="S118" s="29" t="str">
        <f t="shared" si="11"/>
        <v/>
      </c>
      <c r="T118" s="13" t="str">
        <f t="shared" ca="1" si="12"/>
        <v/>
      </c>
      <c r="U118" s="29" t="str">
        <f ca="1">IF(OR($A118="",$F118=""),"",IF($R118&lt;&gt;"",IF($R118&lt;=$F118,"NO PRAZO","FORA DO PRAZO"),IF(TODAY()&gt;$F118,"VENCIDO",IF($F118-TODAY()&lt;='01. CONFIGURAÇÕES'!$C$23,"VENCE EM BREVE","EM DIA"))))</f>
        <v/>
      </c>
      <c r="V118" s="55" t="str">
        <f t="shared" si="13"/>
        <v/>
      </c>
      <c r="W118" s="30"/>
      <c r="X118" s="33"/>
    </row>
    <row r="119" spans="1:24" x14ac:dyDescent="0.25">
      <c r="A119" s="29" t="str">
        <f t="shared" si="8"/>
        <v/>
      </c>
      <c r="B119" s="30"/>
      <c r="C119" s="30"/>
      <c r="D119" s="31"/>
      <c r="E119" s="10"/>
      <c r="F119" s="32" t="str">
        <f>IF($D119="","",$D119+IF($E119="",'01. CONFIGURAÇÕES'!$C$22,$E119))</f>
        <v/>
      </c>
      <c r="G119" s="30"/>
      <c r="H119" s="33"/>
      <c r="I119" s="33"/>
      <c r="J119" s="30"/>
      <c r="K119" s="33"/>
      <c r="L119" s="30"/>
      <c r="M119" s="33"/>
      <c r="N119" s="30"/>
      <c r="O119" s="33"/>
      <c r="P119" s="34" t="str">
        <f t="shared" si="9"/>
        <v/>
      </c>
      <c r="Q119" s="35" t="str">
        <f t="shared" si="10"/>
        <v/>
      </c>
      <c r="R119" s="35" t="str">
        <f t="shared" si="14"/>
        <v/>
      </c>
      <c r="S119" s="29" t="str">
        <f t="shared" si="11"/>
        <v/>
      </c>
      <c r="T119" s="13" t="str">
        <f t="shared" ca="1" si="12"/>
        <v/>
      </c>
      <c r="U119" s="29" t="str">
        <f ca="1">IF(OR($A119="",$F119=""),"",IF($R119&lt;&gt;"",IF($R119&lt;=$F119,"NO PRAZO","FORA DO PRAZO"),IF(TODAY()&gt;$F119,"VENCIDO",IF($F119-TODAY()&lt;='01. CONFIGURAÇÕES'!$C$23,"VENCE EM BREVE","EM DIA"))))</f>
        <v/>
      </c>
      <c r="V119" s="55" t="str">
        <f t="shared" si="13"/>
        <v/>
      </c>
      <c r="W119" s="30"/>
      <c r="X119" s="33"/>
    </row>
    <row r="120" spans="1:24" x14ac:dyDescent="0.25">
      <c r="A120" s="29" t="str">
        <f t="shared" si="8"/>
        <v/>
      </c>
      <c r="B120" s="30"/>
      <c r="C120" s="30"/>
      <c r="D120" s="31"/>
      <c r="E120" s="10"/>
      <c r="F120" s="32" t="str">
        <f>IF($D120="","",$D120+IF($E120="",'01. CONFIGURAÇÕES'!$C$22,$E120))</f>
        <v/>
      </c>
      <c r="G120" s="30"/>
      <c r="H120" s="33"/>
      <c r="I120" s="33"/>
      <c r="J120" s="30"/>
      <c r="K120" s="33"/>
      <c r="L120" s="30"/>
      <c r="M120" s="33"/>
      <c r="N120" s="30"/>
      <c r="O120" s="33"/>
      <c r="P120" s="34" t="str">
        <f t="shared" si="9"/>
        <v/>
      </c>
      <c r="Q120" s="35" t="str">
        <f t="shared" si="10"/>
        <v/>
      </c>
      <c r="R120" s="35" t="str">
        <f t="shared" si="14"/>
        <v/>
      </c>
      <c r="S120" s="29" t="str">
        <f t="shared" si="11"/>
        <v/>
      </c>
      <c r="T120" s="13" t="str">
        <f t="shared" ca="1" si="12"/>
        <v/>
      </c>
      <c r="U120" s="29" t="str">
        <f ca="1">IF(OR($A120="",$F120=""),"",IF($R120&lt;&gt;"",IF($R120&lt;=$F120,"NO PRAZO","FORA DO PRAZO"),IF(TODAY()&gt;$F120,"VENCIDO",IF($F120-TODAY()&lt;='01. CONFIGURAÇÕES'!$C$23,"VENCE EM BREVE","EM DIA"))))</f>
        <v/>
      </c>
      <c r="V120" s="55" t="str">
        <f t="shared" si="13"/>
        <v/>
      </c>
      <c r="W120" s="30"/>
      <c r="X120" s="33"/>
    </row>
    <row r="121" spans="1:24" x14ac:dyDescent="0.25">
      <c r="A121" s="29" t="str">
        <f t="shared" si="8"/>
        <v/>
      </c>
      <c r="B121" s="30"/>
      <c r="C121" s="30"/>
      <c r="D121" s="31"/>
      <c r="E121" s="10"/>
      <c r="F121" s="32" t="str">
        <f>IF($D121="","",$D121+IF($E121="",'01. CONFIGURAÇÕES'!$C$22,$E121))</f>
        <v/>
      </c>
      <c r="G121" s="30"/>
      <c r="H121" s="33"/>
      <c r="I121" s="33"/>
      <c r="J121" s="30"/>
      <c r="K121" s="33"/>
      <c r="L121" s="30"/>
      <c r="M121" s="33"/>
      <c r="N121" s="30"/>
      <c r="O121" s="33"/>
      <c r="P121" s="34" t="str">
        <f t="shared" si="9"/>
        <v/>
      </c>
      <c r="Q121" s="35" t="str">
        <f t="shared" si="10"/>
        <v/>
      </c>
      <c r="R121" s="35" t="str">
        <f t="shared" si="14"/>
        <v/>
      </c>
      <c r="S121" s="29" t="str">
        <f t="shared" si="11"/>
        <v/>
      </c>
      <c r="T121" s="13" t="str">
        <f t="shared" ca="1" si="12"/>
        <v/>
      </c>
      <c r="U121" s="29" t="str">
        <f ca="1">IF(OR($A121="",$F121=""),"",IF($R121&lt;&gt;"",IF($R121&lt;=$F121,"NO PRAZO","FORA DO PRAZO"),IF(TODAY()&gt;$F121,"VENCIDO",IF($F121-TODAY()&lt;='01. CONFIGURAÇÕES'!$C$23,"VENCE EM BREVE","EM DIA"))))</f>
        <v/>
      </c>
      <c r="V121" s="55" t="str">
        <f t="shared" si="13"/>
        <v/>
      </c>
      <c r="W121" s="30"/>
      <c r="X121" s="33"/>
    </row>
    <row r="122" spans="1:24" x14ac:dyDescent="0.25">
      <c r="A122" s="29" t="str">
        <f t="shared" si="8"/>
        <v/>
      </c>
      <c r="B122" s="30"/>
      <c r="C122" s="30"/>
      <c r="D122" s="31"/>
      <c r="E122" s="10"/>
      <c r="F122" s="32" t="str">
        <f>IF($D122="","",$D122+IF($E122="",'01. CONFIGURAÇÕES'!$C$22,$E122))</f>
        <v/>
      </c>
      <c r="G122" s="30"/>
      <c r="H122" s="33"/>
      <c r="I122" s="33"/>
      <c r="J122" s="30"/>
      <c r="K122" s="33"/>
      <c r="L122" s="30"/>
      <c r="M122" s="33"/>
      <c r="N122" s="30"/>
      <c r="O122" s="33"/>
      <c r="P122" s="34" t="str">
        <f t="shared" si="9"/>
        <v/>
      </c>
      <c r="Q122" s="35" t="str">
        <f t="shared" si="10"/>
        <v/>
      </c>
      <c r="R122" s="35" t="str">
        <f t="shared" si="14"/>
        <v/>
      </c>
      <c r="S122" s="29" t="str">
        <f t="shared" si="11"/>
        <v/>
      </c>
      <c r="T122" s="13" t="str">
        <f t="shared" ca="1" si="12"/>
        <v/>
      </c>
      <c r="U122" s="29" t="str">
        <f ca="1">IF(OR($A122="",$F122=""),"",IF($R122&lt;&gt;"",IF($R122&lt;=$F122,"NO PRAZO","FORA DO PRAZO"),IF(TODAY()&gt;$F122,"VENCIDO",IF($F122-TODAY()&lt;='01. CONFIGURAÇÕES'!$C$23,"VENCE EM BREVE","EM DIA"))))</f>
        <v/>
      </c>
      <c r="V122" s="55" t="str">
        <f t="shared" si="13"/>
        <v/>
      </c>
      <c r="W122" s="30"/>
      <c r="X122" s="33"/>
    </row>
    <row r="123" spans="1:24" x14ac:dyDescent="0.25">
      <c r="A123" s="29" t="str">
        <f t="shared" si="8"/>
        <v/>
      </c>
      <c r="B123" s="30"/>
      <c r="C123" s="30"/>
      <c r="D123" s="31"/>
      <c r="E123" s="10"/>
      <c r="F123" s="32" t="str">
        <f>IF($D123="","",$D123+IF($E123="",'01. CONFIGURAÇÕES'!$C$22,$E123))</f>
        <v/>
      </c>
      <c r="G123" s="30"/>
      <c r="H123" s="33"/>
      <c r="I123" s="33"/>
      <c r="J123" s="30"/>
      <c r="K123" s="33"/>
      <c r="L123" s="30"/>
      <c r="M123" s="33"/>
      <c r="N123" s="30"/>
      <c r="O123" s="33"/>
      <c r="P123" s="34" t="str">
        <f t="shared" si="9"/>
        <v/>
      </c>
      <c r="Q123" s="35" t="str">
        <f t="shared" si="10"/>
        <v/>
      </c>
      <c r="R123" s="35" t="str">
        <f t="shared" si="14"/>
        <v/>
      </c>
      <c r="S123" s="29" t="str">
        <f t="shared" si="11"/>
        <v/>
      </c>
      <c r="T123" s="13" t="str">
        <f t="shared" ca="1" si="12"/>
        <v/>
      </c>
      <c r="U123" s="29" t="str">
        <f ca="1">IF(OR($A123="",$F123=""),"",IF($R123&lt;&gt;"",IF($R123&lt;=$F123,"NO PRAZO","FORA DO PRAZO"),IF(TODAY()&gt;$F123,"VENCIDO",IF($F123-TODAY()&lt;='01. CONFIGURAÇÕES'!$C$23,"VENCE EM BREVE","EM DIA"))))</f>
        <v/>
      </c>
      <c r="V123" s="55" t="str">
        <f t="shared" si="13"/>
        <v/>
      </c>
      <c r="W123" s="30"/>
      <c r="X123" s="33"/>
    </row>
    <row r="124" spans="1:24" x14ac:dyDescent="0.25">
      <c r="A124" s="29" t="str">
        <f t="shared" si="8"/>
        <v/>
      </c>
      <c r="B124" s="30"/>
      <c r="C124" s="30"/>
      <c r="D124" s="31"/>
      <c r="E124" s="10"/>
      <c r="F124" s="32" t="str">
        <f>IF($D124="","",$D124+IF($E124="",'01. CONFIGURAÇÕES'!$C$22,$E124))</f>
        <v/>
      </c>
      <c r="G124" s="30"/>
      <c r="H124" s="33"/>
      <c r="I124" s="33"/>
      <c r="J124" s="30"/>
      <c r="K124" s="33"/>
      <c r="L124" s="30"/>
      <c r="M124" s="33"/>
      <c r="N124" s="30"/>
      <c r="O124" s="33"/>
      <c r="P124" s="34" t="str">
        <f t="shared" si="9"/>
        <v/>
      </c>
      <c r="Q124" s="35" t="str">
        <f t="shared" si="10"/>
        <v/>
      </c>
      <c r="R124" s="35" t="str">
        <f t="shared" si="14"/>
        <v/>
      </c>
      <c r="S124" s="29" t="str">
        <f t="shared" si="11"/>
        <v/>
      </c>
      <c r="T124" s="13" t="str">
        <f t="shared" ca="1" si="12"/>
        <v/>
      </c>
      <c r="U124" s="29" t="str">
        <f ca="1">IF(OR($A124="",$F124=""),"",IF($R124&lt;&gt;"",IF($R124&lt;=$F124,"NO PRAZO","FORA DO PRAZO"),IF(TODAY()&gt;$F124,"VENCIDO",IF($F124-TODAY()&lt;='01. CONFIGURAÇÕES'!$C$23,"VENCE EM BREVE","EM DIA"))))</f>
        <v/>
      </c>
      <c r="V124" s="55" t="str">
        <f t="shared" si="13"/>
        <v/>
      </c>
      <c r="W124" s="30"/>
      <c r="X124" s="33"/>
    </row>
    <row r="125" spans="1:24" x14ac:dyDescent="0.25">
      <c r="A125" s="29" t="str">
        <f t="shared" si="8"/>
        <v/>
      </c>
      <c r="B125" s="30"/>
      <c r="C125" s="30"/>
      <c r="D125" s="31"/>
      <c r="E125" s="10"/>
      <c r="F125" s="32" t="str">
        <f>IF($D125="","",$D125+IF($E125="",'01. CONFIGURAÇÕES'!$C$22,$E125))</f>
        <v/>
      </c>
      <c r="G125" s="30"/>
      <c r="H125" s="33"/>
      <c r="I125" s="33"/>
      <c r="J125" s="30"/>
      <c r="K125" s="33"/>
      <c r="L125" s="30"/>
      <c r="M125" s="33"/>
      <c r="N125" s="30"/>
      <c r="O125" s="33"/>
      <c r="P125" s="34" t="str">
        <f t="shared" si="9"/>
        <v/>
      </c>
      <c r="Q125" s="35" t="str">
        <f t="shared" si="10"/>
        <v/>
      </c>
      <c r="R125" s="35" t="str">
        <f t="shared" si="14"/>
        <v/>
      </c>
      <c r="S125" s="29" t="str">
        <f t="shared" si="11"/>
        <v/>
      </c>
      <c r="T125" s="13" t="str">
        <f t="shared" ca="1" si="12"/>
        <v/>
      </c>
      <c r="U125" s="29" t="str">
        <f ca="1">IF(OR($A125="",$F125=""),"",IF($R125&lt;&gt;"",IF($R125&lt;=$F125,"NO PRAZO","FORA DO PRAZO"),IF(TODAY()&gt;$F125,"VENCIDO",IF($F125-TODAY()&lt;='01. CONFIGURAÇÕES'!$C$23,"VENCE EM BREVE","EM DIA"))))</f>
        <v/>
      </c>
      <c r="V125" s="55" t="str">
        <f t="shared" si="13"/>
        <v/>
      </c>
      <c r="W125" s="30"/>
      <c r="X125" s="33"/>
    </row>
    <row r="126" spans="1:24" x14ac:dyDescent="0.25">
      <c r="A126" s="29" t="str">
        <f t="shared" si="8"/>
        <v/>
      </c>
      <c r="B126" s="30"/>
      <c r="C126" s="30"/>
      <c r="D126" s="31"/>
      <c r="E126" s="10"/>
      <c r="F126" s="32" t="str">
        <f>IF($D126="","",$D126+IF($E126="",'01. CONFIGURAÇÕES'!$C$22,$E126))</f>
        <v/>
      </c>
      <c r="G126" s="30"/>
      <c r="H126" s="33"/>
      <c r="I126" s="33"/>
      <c r="J126" s="30"/>
      <c r="K126" s="33"/>
      <c r="L126" s="30"/>
      <c r="M126" s="33"/>
      <c r="N126" s="30"/>
      <c r="O126" s="33"/>
      <c r="P126" s="34" t="str">
        <f t="shared" si="9"/>
        <v/>
      </c>
      <c r="Q126" s="35" t="str">
        <f t="shared" si="10"/>
        <v/>
      </c>
      <c r="R126" s="35" t="str">
        <f t="shared" si="14"/>
        <v/>
      </c>
      <c r="S126" s="29" t="str">
        <f t="shared" si="11"/>
        <v/>
      </c>
      <c r="T126" s="13" t="str">
        <f t="shared" ca="1" si="12"/>
        <v/>
      </c>
      <c r="U126" s="29" t="str">
        <f ca="1">IF(OR($A126="",$F126=""),"",IF($R126&lt;&gt;"",IF($R126&lt;=$F126,"NO PRAZO","FORA DO PRAZO"),IF(TODAY()&gt;$F126,"VENCIDO",IF($F126-TODAY()&lt;='01. CONFIGURAÇÕES'!$C$23,"VENCE EM BREVE","EM DIA"))))</f>
        <v/>
      </c>
      <c r="V126" s="55" t="str">
        <f t="shared" si="13"/>
        <v/>
      </c>
      <c r="W126" s="30"/>
      <c r="X126" s="33"/>
    </row>
    <row r="127" spans="1:24" x14ac:dyDescent="0.25">
      <c r="A127" s="29" t="str">
        <f t="shared" si="8"/>
        <v/>
      </c>
      <c r="B127" s="30"/>
      <c r="C127" s="30"/>
      <c r="D127" s="31"/>
      <c r="E127" s="10"/>
      <c r="F127" s="32" t="str">
        <f>IF($D127="","",$D127+IF($E127="",'01. CONFIGURAÇÕES'!$C$22,$E127))</f>
        <v/>
      </c>
      <c r="G127" s="30"/>
      <c r="H127" s="33"/>
      <c r="I127" s="33"/>
      <c r="J127" s="30"/>
      <c r="K127" s="33"/>
      <c r="L127" s="30"/>
      <c r="M127" s="33"/>
      <c r="N127" s="30"/>
      <c r="O127" s="33"/>
      <c r="P127" s="34" t="str">
        <f t="shared" si="9"/>
        <v/>
      </c>
      <c r="Q127" s="35" t="str">
        <f t="shared" si="10"/>
        <v/>
      </c>
      <c r="R127" s="35" t="str">
        <f t="shared" si="14"/>
        <v/>
      </c>
      <c r="S127" s="29" t="str">
        <f t="shared" si="11"/>
        <v/>
      </c>
      <c r="T127" s="13" t="str">
        <f t="shared" ca="1" si="12"/>
        <v/>
      </c>
      <c r="U127" s="29" t="str">
        <f ca="1">IF(OR($A127="",$F127=""),"",IF($R127&lt;&gt;"",IF($R127&lt;=$F127,"NO PRAZO","FORA DO PRAZO"),IF(TODAY()&gt;$F127,"VENCIDO",IF($F127-TODAY()&lt;='01. CONFIGURAÇÕES'!$C$23,"VENCE EM BREVE","EM DIA"))))</f>
        <v/>
      </c>
      <c r="V127" s="55" t="str">
        <f t="shared" si="13"/>
        <v/>
      </c>
      <c r="W127" s="30"/>
      <c r="X127" s="33"/>
    </row>
    <row r="128" spans="1:24" x14ac:dyDescent="0.25">
      <c r="A128" s="29" t="str">
        <f t="shared" si="8"/>
        <v/>
      </c>
      <c r="B128" s="30"/>
      <c r="C128" s="30"/>
      <c r="D128" s="31"/>
      <c r="E128" s="10"/>
      <c r="F128" s="32" t="str">
        <f>IF($D128="","",$D128+IF($E128="",'01. CONFIGURAÇÕES'!$C$22,$E128))</f>
        <v/>
      </c>
      <c r="G128" s="30"/>
      <c r="H128" s="33"/>
      <c r="I128" s="33"/>
      <c r="J128" s="30"/>
      <c r="K128" s="33"/>
      <c r="L128" s="30"/>
      <c r="M128" s="33"/>
      <c r="N128" s="30"/>
      <c r="O128" s="33"/>
      <c r="P128" s="34" t="str">
        <f t="shared" si="9"/>
        <v/>
      </c>
      <c r="Q128" s="35" t="str">
        <f t="shared" si="10"/>
        <v/>
      </c>
      <c r="R128" s="35" t="str">
        <f t="shared" si="14"/>
        <v/>
      </c>
      <c r="S128" s="29" t="str">
        <f t="shared" si="11"/>
        <v/>
      </c>
      <c r="T128" s="13" t="str">
        <f t="shared" ca="1" si="12"/>
        <v/>
      </c>
      <c r="U128" s="29" t="str">
        <f ca="1">IF(OR($A128="",$F128=""),"",IF($R128&lt;&gt;"",IF($R128&lt;=$F128,"NO PRAZO","FORA DO PRAZO"),IF(TODAY()&gt;$F128,"VENCIDO",IF($F128-TODAY()&lt;='01. CONFIGURAÇÕES'!$C$23,"VENCE EM BREVE","EM DIA"))))</f>
        <v/>
      </c>
      <c r="V128" s="55" t="str">
        <f t="shared" si="13"/>
        <v/>
      </c>
      <c r="W128" s="30"/>
      <c r="X128" s="33"/>
    </row>
    <row r="129" spans="1:24" x14ac:dyDescent="0.25">
      <c r="A129" s="29" t="str">
        <f t="shared" si="8"/>
        <v/>
      </c>
      <c r="B129" s="30"/>
      <c r="C129" s="30"/>
      <c r="D129" s="31"/>
      <c r="E129" s="10"/>
      <c r="F129" s="32" t="str">
        <f>IF($D129="","",$D129+IF($E129="",'01. CONFIGURAÇÕES'!$C$22,$E129))</f>
        <v/>
      </c>
      <c r="G129" s="30"/>
      <c r="H129" s="33"/>
      <c r="I129" s="33"/>
      <c r="J129" s="30"/>
      <c r="K129" s="33"/>
      <c r="L129" s="30"/>
      <c r="M129" s="33"/>
      <c r="N129" s="30"/>
      <c r="O129" s="33"/>
      <c r="P129" s="34" t="str">
        <f t="shared" si="9"/>
        <v/>
      </c>
      <c r="Q129" s="35" t="str">
        <f t="shared" si="10"/>
        <v/>
      </c>
      <c r="R129" s="35" t="str">
        <f t="shared" si="14"/>
        <v/>
      </c>
      <c r="S129" s="29" t="str">
        <f t="shared" si="11"/>
        <v/>
      </c>
      <c r="T129" s="13" t="str">
        <f t="shared" ca="1" si="12"/>
        <v/>
      </c>
      <c r="U129" s="29" t="str">
        <f ca="1">IF(OR($A129="",$F129=""),"",IF($R129&lt;&gt;"",IF($R129&lt;=$F129,"NO PRAZO","FORA DO PRAZO"),IF(TODAY()&gt;$F129,"VENCIDO",IF($F129-TODAY()&lt;='01. CONFIGURAÇÕES'!$C$23,"VENCE EM BREVE","EM DIA"))))</f>
        <v/>
      </c>
      <c r="V129" s="55" t="str">
        <f t="shared" si="13"/>
        <v/>
      </c>
      <c r="W129" s="30"/>
      <c r="X129" s="33"/>
    </row>
    <row r="130" spans="1:24" x14ac:dyDescent="0.25">
      <c r="A130" s="29" t="str">
        <f t="shared" si="8"/>
        <v/>
      </c>
      <c r="B130" s="30"/>
      <c r="C130" s="30"/>
      <c r="D130" s="31"/>
      <c r="E130" s="10"/>
      <c r="F130" s="32" t="str">
        <f>IF($D130="","",$D130+IF($E130="",'01. CONFIGURAÇÕES'!$C$22,$E130))</f>
        <v/>
      </c>
      <c r="G130" s="30"/>
      <c r="H130" s="33"/>
      <c r="I130" s="33"/>
      <c r="J130" s="30"/>
      <c r="K130" s="33"/>
      <c r="L130" s="30"/>
      <c r="M130" s="33"/>
      <c r="N130" s="30"/>
      <c r="O130" s="33"/>
      <c r="P130" s="34" t="str">
        <f t="shared" si="9"/>
        <v/>
      </c>
      <c r="Q130" s="35" t="str">
        <f t="shared" si="10"/>
        <v/>
      </c>
      <c r="R130" s="35" t="str">
        <f t="shared" si="14"/>
        <v/>
      </c>
      <c r="S130" s="29" t="str">
        <f t="shared" si="11"/>
        <v/>
      </c>
      <c r="T130" s="13" t="str">
        <f t="shared" ca="1" si="12"/>
        <v/>
      </c>
      <c r="U130" s="29" t="str">
        <f ca="1">IF(OR($A130="",$F130=""),"",IF($R130&lt;&gt;"",IF($R130&lt;=$F130,"NO PRAZO","FORA DO PRAZO"),IF(TODAY()&gt;$F130,"VENCIDO",IF($F130-TODAY()&lt;='01. CONFIGURAÇÕES'!$C$23,"VENCE EM BREVE","EM DIA"))))</f>
        <v/>
      </c>
      <c r="V130" s="55" t="str">
        <f t="shared" si="13"/>
        <v/>
      </c>
      <c r="W130" s="30"/>
      <c r="X130" s="33"/>
    </row>
    <row r="131" spans="1:24" x14ac:dyDescent="0.25">
      <c r="A131" s="29" t="str">
        <f t="shared" si="8"/>
        <v/>
      </c>
      <c r="B131" s="30"/>
      <c r="C131" s="30"/>
      <c r="D131" s="31"/>
      <c r="E131" s="10"/>
      <c r="F131" s="32" t="str">
        <f>IF($D131="","",$D131+IF($E131="",'01. CONFIGURAÇÕES'!$C$22,$E131))</f>
        <v/>
      </c>
      <c r="G131" s="30"/>
      <c r="H131" s="33"/>
      <c r="I131" s="33"/>
      <c r="J131" s="30"/>
      <c r="K131" s="33"/>
      <c r="L131" s="30"/>
      <c r="M131" s="33"/>
      <c r="N131" s="30"/>
      <c r="O131" s="33"/>
      <c r="P131" s="34" t="str">
        <f t="shared" si="9"/>
        <v/>
      </c>
      <c r="Q131" s="35" t="str">
        <f t="shared" si="10"/>
        <v/>
      </c>
      <c r="R131" s="35" t="str">
        <f t="shared" si="14"/>
        <v/>
      </c>
      <c r="S131" s="29" t="str">
        <f t="shared" si="11"/>
        <v/>
      </c>
      <c r="T131" s="13" t="str">
        <f t="shared" ca="1" si="12"/>
        <v/>
      </c>
      <c r="U131" s="29" t="str">
        <f ca="1">IF(OR($A131="",$F131=""),"",IF($R131&lt;&gt;"",IF($R131&lt;=$F131,"NO PRAZO","FORA DO PRAZO"),IF(TODAY()&gt;$F131,"VENCIDO",IF($F131-TODAY()&lt;='01. CONFIGURAÇÕES'!$C$23,"VENCE EM BREVE","EM DIA"))))</f>
        <v/>
      </c>
      <c r="V131" s="55" t="str">
        <f t="shared" si="13"/>
        <v/>
      </c>
      <c r="W131" s="30"/>
      <c r="X131" s="33"/>
    </row>
    <row r="132" spans="1:24" x14ac:dyDescent="0.25">
      <c r="A132" s="29" t="str">
        <f t="shared" si="8"/>
        <v/>
      </c>
      <c r="B132" s="30"/>
      <c r="C132" s="30"/>
      <c r="D132" s="31"/>
      <c r="E132" s="10"/>
      <c r="F132" s="32" t="str">
        <f>IF($D132="","",$D132+IF($E132="",'01. CONFIGURAÇÕES'!$C$22,$E132))</f>
        <v/>
      </c>
      <c r="G132" s="30"/>
      <c r="H132" s="33"/>
      <c r="I132" s="33"/>
      <c r="J132" s="30"/>
      <c r="K132" s="33"/>
      <c r="L132" s="30"/>
      <c r="M132" s="33"/>
      <c r="N132" s="30"/>
      <c r="O132" s="33"/>
      <c r="P132" s="34" t="str">
        <f t="shared" si="9"/>
        <v/>
      </c>
      <c r="Q132" s="35" t="str">
        <f t="shared" si="10"/>
        <v/>
      </c>
      <c r="R132" s="35" t="str">
        <f t="shared" si="14"/>
        <v/>
      </c>
      <c r="S132" s="29" t="str">
        <f t="shared" si="11"/>
        <v/>
      </c>
      <c r="T132" s="13" t="str">
        <f t="shared" ca="1" si="12"/>
        <v/>
      </c>
      <c r="U132" s="29" t="str">
        <f ca="1">IF(OR($A132="",$F132=""),"",IF($R132&lt;&gt;"",IF($R132&lt;=$F132,"NO PRAZO","FORA DO PRAZO"),IF(TODAY()&gt;$F132,"VENCIDO",IF($F132-TODAY()&lt;='01. CONFIGURAÇÕES'!$C$23,"VENCE EM BREVE","EM DIA"))))</f>
        <v/>
      </c>
      <c r="V132" s="55" t="str">
        <f t="shared" si="13"/>
        <v/>
      </c>
      <c r="W132" s="30"/>
      <c r="X132" s="33"/>
    </row>
    <row r="133" spans="1:24" x14ac:dyDescent="0.25">
      <c r="A133" s="29" t="str">
        <f t="shared" ref="A133:A196" si="15">IF($B133="","",LEFT($B133,3)&amp;"-"&amp;TEXT(ROW()-4,"0000"))</f>
        <v/>
      </c>
      <c r="B133" s="30"/>
      <c r="C133" s="30"/>
      <c r="D133" s="31"/>
      <c r="E133" s="10"/>
      <c r="F133" s="32" t="str">
        <f>IF($D133="","",$D133+IF($E133="",'01. CONFIGURAÇÕES'!$C$22,$E133))</f>
        <v/>
      </c>
      <c r="G133" s="30"/>
      <c r="H133" s="33"/>
      <c r="I133" s="33"/>
      <c r="J133" s="30"/>
      <c r="K133" s="33"/>
      <c r="L133" s="30"/>
      <c r="M133" s="33"/>
      <c r="N133" s="30"/>
      <c r="O133" s="33"/>
      <c r="P133" s="34" t="str">
        <f t="shared" ref="P133:P196" si="16">IFERROR(IF($A133="","",IF(COUNTIFS(OS_ID,$A133)&gt;0,INDEX(OS_EQUIPE,MATCH($A133,OS_ID,0)),IF(COUNTIFS(PROG_ID,$A133)&gt;0,INDEX(PROG_EQUIPE,MATCH($A133,PROG_ID,0)),""))),"")</f>
        <v/>
      </c>
      <c r="Q133" s="35" t="str">
        <f t="shared" ref="Q133:Q196" si="17">IF($A133="","",IFERROR(IF(INDEX(PROG_DATA,MATCH($A133,PROG_ID,0))=0,"",INDEX(PROG_DATA,MATCH($A133,PROG_ID,0))),""))</f>
        <v/>
      </c>
      <c r="R133" s="35" t="str">
        <f t="shared" si="14"/>
        <v/>
      </c>
      <c r="S133" s="29" t="str">
        <f t="shared" ref="S133:S196" si="18">IF($A133="","",IF($W133&lt;&gt;"",$W133,IF($V133&gt;0,"MEDIDO",IF($R133&lt;&gt;"","EXECUTADO",IF(COUNTIFS(OS_ID,$A133)&gt;0,"EM EXECUÇÃO",IF($Q133&lt;&gt;"","PROGRAMADO","CADASTRADO"))))))</f>
        <v/>
      </c>
      <c r="T133" s="13" t="str">
        <f t="shared" ref="T133:T196" ca="1" si="19">IF($A133="","",IF($R133&lt;&gt;"",$R133-$D133,TODAY()-$D133))</f>
        <v/>
      </c>
      <c r="U133" s="29" t="str">
        <f ca="1">IF(OR($A133="",$F133=""),"",IF($R133&lt;&gt;"",IF($R133&lt;=$F133,"NO PRAZO","FORA DO PRAZO"),IF(TODAY()&gt;$F133,"VENCIDO",IF($F133-TODAY()&lt;='01. CONFIGURAÇÕES'!$C$23,"VENCE EM BREVE","EM DIA"))))</f>
        <v/>
      </c>
      <c r="V133" s="55" t="str">
        <f t="shared" ref="V133:V196" si="20">IF($A133="","",SUMIFS(MED_VLR,MED_ID,$A133))</f>
        <v/>
      </c>
      <c r="W133" s="30"/>
      <c r="X133" s="33"/>
    </row>
    <row r="134" spans="1:24" x14ac:dyDescent="0.25">
      <c r="A134" s="29" t="str">
        <f t="shared" si="15"/>
        <v/>
      </c>
      <c r="B134" s="30"/>
      <c r="C134" s="30"/>
      <c r="D134" s="31"/>
      <c r="E134" s="10"/>
      <c r="F134" s="32" t="str">
        <f>IF($D134="","",$D134+IF($E134="",'01. CONFIGURAÇÕES'!$C$22,$E134))</f>
        <v/>
      </c>
      <c r="G134" s="30"/>
      <c r="H134" s="33"/>
      <c r="I134" s="33"/>
      <c r="J134" s="30"/>
      <c r="K134" s="33"/>
      <c r="L134" s="30"/>
      <c r="M134" s="33"/>
      <c r="N134" s="30"/>
      <c r="O134" s="33"/>
      <c r="P134" s="34" t="str">
        <f t="shared" si="16"/>
        <v/>
      </c>
      <c r="Q134" s="35" t="str">
        <f t="shared" si="17"/>
        <v/>
      </c>
      <c r="R134" s="35" t="str">
        <f t="shared" si="14"/>
        <v/>
      </c>
      <c r="S134" s="29" t="str">
        <f t="shared" si="18"/>
        <v/>
      </c>
      <c r="T134" s="13" t="str">
        <f t="shared" ca="1" si="19"/>
        <v/>
      </c>
      <c r="U134" s="29" t="str">
        <f ca="1">IF(OR($A134="",$F134=""),"",IF($R134&lt;&gt;"",IF($R134&lt;=$F134,"NO PRAZO","FORA DO PRAZO"),IF(TODAY()&gt;$F134,"VENCIDO",IF($F134-TODAY()&lt;='01. CONFIGURAÇÕES'!$C$23,"VENCE EM BREVE","EM DIA"))))</f>
        <v/>
      </c>
      <c r="V134" s="55" t="str">
        <f t="shared" si="20"/>
        <v/>
      </c>
      <c r="W134" s="30"/>
      <c r="X134" s="33"/>
    </row>
    <row r="135" spans="1:24" x14ac:dyDescent="0.25">
      <c r="A135" s="29" t="str">
        <f t="shared" si="15"/>
        <v/>
      </c>
      <c r="B135" s="30"/>
      <c r="C135" s="30"/>
      <c r="D135" s="31"/>
      <c r="E135" s="10"/>
      <c r="F135" s="32" t="str">
        <f>IF($D135="","",$D135+IF($E135="",'01. CONFIGURAÇÕES'!$C$22,$E135))</f>
        <v/>
      </c>
      <c r="G135" s="30"/>
      <c r="H135" s="33"/>
      <c r="I135" s="33"/>
      <c r="J135" s="30"/>
      <c r="K135" s="33"/>
      <c r="L135" s="30"/>
      <c r="M135" s="33"/>
      <c r="N135" s="30"/>
      <c r="O135" s="33"/>
      <c r="P135" s="34" t="str">
        <f t="shared" si="16"/>
        <v/>
      </c>
      <c r="Q135" s="35" t="str">
        <f t="shared" si="17"/>
        <v/>
      </c>
      <c r="R135" s="35" t="str">
        <f t="shared" si="14"/>
        <v/>
      </c>
      <c r="S135" s="29" t="str">
        <f t="shared" si="18"/>
        <v/>
      </c>
      <c r="T135" s="13" t="str">
        <f t="shared" ca="1" si="19"/>
        <v/>
      </c>
      <c r="U135" s="29" t="str">
        <f ca="1">IF(OR($A135="",$F135=""),"",IF($R135&lt;&gt;"",IF($R135&lt;=$F135,"NO PRAZO","FORA DO PRAZO"),IF(TODAY()&gt;$F135,"VENCIDO",IF($F135-TODAY()&lt;='01. CONFIGURAÇÕES'!$C$23,"VENCE EM BREVE","EM DIA"))))</f>
        <v/>
      </c>
      <c r="V135" s="55" t="str">
        <f t="shared" si="20"/>
        <v/>
      </c>
      <c r="W135" s="30"/>
      <c r="X135" s="33"/>
    </row>
    <row r="136" spans="1:24" x14ac:dyDescent="0.25">
      <c r="A136" s="29" t="str">
        <f t="shared" si="15"/>
        <v/>
      </c>
      <c r="B136" s="30"/>
      <c r="C136" s="30"/>
      <c r="D136" s="31"/>
      <c r="E136" s="10"/>
      <c r="F136" s="32" t="str">
        <f>IF($D136="","",$D136+IF($E136="",'01. CONFIGURAÇÕES'!$C$22,$E136))</f>
        <v/>
      </c>
      <c r="G136" s="30"/>
      <c r="H136" s="33"/>
      <c r="I136" s="33"/>
      <c r="J136" s="30"/>
      <c r="K136" s="33"/>
      <c r="L136" s="30"/>
      <c r="M136" s="33"/>
      <c r="N136" s="30"/>
      <c r="O136" s="33"/>
      <c r="P136" s="34" t="str">
        <f t="shared" si="16"/>
        <v/>
      </c>
      <c r="Q136" s="35" t="str">
        <f t="shared" si="17"/>
        <v/>
      </c>
      <c r="R136" s="35" t="str">
        <f t="shared" si="14"/>
        <v/>
      </c>
      <c r="S136" s="29" t="str">
        <f t="shared" si="18"/>
        <v/>
      </c>
      <c r="T136" s="13" t="str">
        <f t="shared" ca="1" si="19"/>
        <v/>
      </c>
      <c r="U136" s="29" t="str">
        <f ca="1">IF(OR($A136="",$F136=""),"",IF($R136&lt;&gt;"",IF($R136&lt;=$F136,"NO PRAZO","FORA DO PRAZO"),IF(TODAY()&gt;$F136,"VENCIDO",IF($F136-TODAY()&lt;='01. CONFIGURAÇÕES'!$C$23,"VENCE EM BREVE","EM DIA"))))</f>
        <v/>
      </c>
      <c r="V136" s="55" t="str">
        <f t="shared" si="20"/>
        <v/>
      </c>
      <c r="W136" s="30"/>
      <c r="X136" s="33"/>
    </row>
    <row r="137" spans="1:24" x14ac:dyDescent="0.25">
      <c r="A137" s="29" t="str">
        <f t="shared" si="15"/>
        <v/>
      </c>
      <c r="B137" s="30"/>
      <c r="C137" s="30"/>
      <c r="D137" s="31"/>
      <c r="E137" s="10"/>
      <c r="F137" s="32" t="str">
        <f>IF($D137="","",$D137+IF($E137="",'01. CONFIGURAÇÕES'!$C$22,$E137))</f>
        <v/>
      </c>
      <c r="G137" s="30"/>
      <c r="H137" s="33"/>
      <c r="I137" s="33"/>
      <c r="J137" s="30"/>
      <c r="K137" s="33"/>
      <c r="L137" s="30"/>
      <c r="M137" s="33"/>
      <c r="N137" s="30"/>
      <c r="O137" s="33"/>
      <c r="P137" s="34" t="str">
        <f t="shared" si="16"/>
        <v/>
      </c>
      <c r="Q137" s="35" t="str">
        <f t="shared" si="17"/>
        <v/>
      </c>
      <c r="R137" s="35" t="str">
        <f t="shared" si="14"/>
        <v/>
      </c>
      <c r="S137" s="29" t="str">
        <f t="shared" si="18"/>
        <v/>
      </c>
      <c r="T137" s="13" t="str">
        <f t="shared" ca="1" si="19"/>
        <v/>
      </c>
      <c r="U137" s="29" t="str">
        <f ca="1">IF(OR($A137="",$F137=""),"",IF($R137&lt;&gt;"",IF($R137&lt;=$F137,"NO PRAZO","FORA DO PRAZO"),IF(TODAY()&gt;$F137,"VENCIDO",IF($F137-TODAY()&lt;='01. CONFIGURAÇÕES'!$C$23,"VENCE EM BREVE","EM DIA"))))</f>
        <v/>
      </c>
      <c r="V137" s="55" t="str">
        <f t="shared" si="20"/>
        <v/>
      </c>
      <c r="W137" s="30"/>
      <c r="X137" s="33"/>
    </row>
    <row r="138" spans="1:24" x14ac:dyDescent="0.25">
      <c r="A138" s="29" t="str">
        <f t="shared" si="15"/>
        <v/>
      </c>
      <c r="B138" s="30"/>
      <c r="C138" s="30"/>
      <c r="D138" s="31"/>
      <c r="E138" s="10"/>
      <c r="F138" s="32" t="str">
        <f>IF($D138="","",$D138+IF($E138="",'01. CONFIGURAÇÕES'!$C$22,$E138))</f>
        <v/>
      </c>
      <c r="G138" s="30"/>
      <c r="H138" s="33"/>
      <c r="I138" s="33"/>
      <c r="J138" s="30"/>
      <c r="K138" s="33"/>
      <c r="L138" s="30"/>
      <c r="M138" s="33"/>
      <c r="N138" s="30"/>
      <c r="O138" s="33"/>
      <c r="P138" s="34" t="str">
        <f t="shared" si="16"/>
        <v/>
      </c>
      <c r="Q138" s="35" t="str">
        <f t="shared" si="17"/>
        <v/>
      </c>
      <c r="R138" s="35" t="str">
        <f t="shared" si="14"/>
        <v/>
      </c>
      <c r="S138" s="29" t="str">
        <f t="shared" si="18"/>
        <v/>
      </c>
      <c r="T138" s="13" t="str">
        <f t="shared" ca="1" si="19"/>
        <v/>
      </c>
      <c r="U138" s="29" t="str">
        <f ca="1">IF(OR($A138="",$F138=""),"",IF($R138&lt;&gt;"",IF($R138&lt;=$F138,"NO PRAZO","FORA DO PRAZO"),IF(TODAY()&gt;$F138,"VENCIDO",IF($F138-TODAY()&lt;='01. CONFIGURAÇÕES'!$C$23,"VENCE EM BREVE","EM DIA"))))</f>
        <v/>
      </c>
      <c r="V138" s="55" t="str">
        <f t="shared" si="20"/>
        <v/>
      </c>
      <c r="W138" s="30"/>
      <c r="X138" s="33"/>
    </row>
    <row r="139" spans="1:24" x14ac:dyDescent="0.25">
      <c r="A139" s="29" t="str">
        <f t="shared" si="15"/>
        <v/>
      </c>
      <c r="B139" s="30"/>
      <c r="C139" s="30"/>
      <c r="D139" s="31"/>
      <c r="E139" s="10"/>
      <c r="F139" s="32" t="str">
        <f>IF($D139="","",$D139+IF($E139="",'01. CONFIGURAÇÕES'!$C$22,$E139))</f>
        <v/>
      </c>
      <c r="G139" s="30"/>
      <c r="H139" s="33"/>
      <c r="I139" s="33"/>
      <c r="J139" s="30"/>
      <c r="K139" s="33"/>
      <c r="L139" s="30"/>
      <c r="M139" s="33"/>
      <c r="N139" s="30"/>
      <c r="O139" s="33"/>
      <c r="P139" s="34" t="str">
        <f t="shared" si="16"/>
        <v/>
      </c>
      <c r="Q139" s="35" t="str">
        <f t="shared" si="17"/>
        <v/>
      </c>
      <c r="R139" s="35" t="str">
        <f t="shared" si="14"/>
        <v/>
      </c>
      <c r="S139" s="29" t="str">
        <f t="shared" si="18"/>
        <v/>
      </c>
      <c r="T139" s="13" t="str">
        <f t="shared" ca="1" si="19"/>
        <v/>
      </c>
      <c r="U139" s="29" t="str">
        <f ca="1">IF(OR($A139="",$F139=""),"",IF($R139&lt;&gt;"",IF($R139&lt;=$F139,"NO PRAZO","FORA DO PRAZO"),IF(TODAY()&gt;$F139,"VENCIDO",IF($F139-TODAY()&lt;='01. CONFIGURAÇÕES'!$C$23,"VENCE EM BREVE","EM DIA"))))</f>
        <v/>
      </c>
      <c r="V139" s="55" t="str">
        <f t="shared" si="20"/>
        <v/>
      </c>
      <c r="W139" s="30"/>
      <c r="X139" s="33"/>
    </row>
    <row r="140" spans="1:24" x14ac:dyDescent="0.25">
      <c r="A140" s="29" t="str">
        <f t="shared" si="15"/>
        <v/>
      </c>
      <c r="B140" s="30"/>
      <c r="C140" s="30"/>
      <c r="D140" s="31"/>
      <c r="E140" s="10"/>
      <c r="F140" s="32" t="str">
        <f>IF($D140="","",$D140+IF($E140="",'01. CONFIGURAÇÕES'!$C$22,$E140))</f>
        <v/>
      </c>
      <c r="G140" s="30"/>
      <c r="H140" s="33"/>
      <c r="I140" s="33"/>
      <c r="J140" s="30"/>
      <c r="K140" s="33"/>
      <c r="L140" s="30"/>
      <c r="M140" s="33"/>
      <c r="N140" s="30"/>
      <c r="O140" s="33"/>
      <c r="P140" s="34" t="str">
        <f t="shared" si="16"/>
        <v/>
      </c>
      <c r="Q140" s="35" t="str">
        <f t="shared" si="17"/>
        <v/>
      </c>
      <c r="R140" s="35" t="str">
        <f t="shared" si="14"/>
        <v/>
      </c>
      <c r="S140" s="29" t="str">
        <f t="shared" si="18"/>
        <v/>
      </c>
      <c r="T140" s="13" t="str">
        <f t="shared" ca="1" si="19"/>
        <v/>
      </c>
      <c r="U140" s="29" t="str">
        <f ca="1">IF(OR($A140="",$F140=""),"",IF($R140&lt;&gt;"",IF($R140&lt;=$F140,"NO PRAZO","FORA DO PRAZO"),IF(TODAY()&gt;$F140,"VENCIDO",IF($F140-TODAY()&lt;='01. CONFIGURAÇÕES'!$C$23,"VENCE EM BREVE","EM DIA"))))</f>
        <v/>
      </c>
      <c r="V140" s="55" t="str">
        <f t="shared" si="20"/>
        <v/>
      </c>
      <c r="W140" s="30"/>
      <c r="X140" s="33"/>
    </row>
    <row r="141" spans="1:24" x14ac:dyDescent="0.25">
      <c r="A141" s="29" t="str">
        <f t="shared" si="15"/>
        <v/>
      </c>
      <c r="B141" s="30"/>
      <c r="C141" s="30"/>
      <c r="D141" s="31"/>
      <c r="E141" s="10"/>
      <c r="F141" s="32" t="str">
        <f>IF($D141="","",$D141+IF($E141="",'01. CONFIGURAÇÕES'!$C$22,$E141))</f>
        <v/>
      </c>
      <c r="G141" s="30"/>
      <c r="H141" s="33"/>
      <c r="I141" s="33"/>
      <c r="J141" s="30"/>
      <c r="K141" s="33"/>
      <c r="L141" s="30"/>
      <c r="M141" s="33"/>
      <c r="N141" s="30"/>
      <c r="O141" s="33"/>
      <c r="P141" s="34" t="str">
        <f t="shared" si="16"/>
        <v/>
      </c>
      <c r="Q141" s="35" t="str">
        <f t="shared" si="17"/>
        <v/>
      </c>
      <c r="R141" s="35" t="str">
        <f t="shared" si="14"/>
        <v/>
      </c>
      <c r="S141" s="29" t="str">
        <f t="shared" si="18"/>
        <v/>
      </c>
      <c r="T141" s="13" t="str">
        <f t="shared" ca="1" si="19"/>
        <v/>
      </c>
      <c r="U141" s="29" t="str">
        <f ca="1">IF(OR($A141="",$F141=""),"",IF($R141&lt;&gt;"",IF($R141&lt;=$F141,"NO PRAZO","FORA DO PRAZO"),IF(TODAY()&gt;$F141,"VENCIDO",IF($F141-TODAY()&lt;='01. CONFIGURAÇÕES'!$C$23,"VENCE EM BREVE","EM DIA"))))</f>
        <v/>
      </c>
      <c r="V141" s="55" t="str">
        <f t="shared" si="20"/>
        <v/>
      </c>
      <c r="W141" s="30"/>
      <c r="X141" s="33"/>
    </row>
    <row r="142" spans="1:24" x14ac:dyDescent="0.25">
      <c r="A142" s="29" t="str">
        <f t="shared" si="15"/>
        <v/>
      </c>
      <c r="B142" s="30"/>
      <c r="C142" s="30"/>
      <c r="D142" s="31"/>
      <c r="E142" s="10"/>
      <c r="F142" s="32" t="str">
        <f>IF($D142="","",$D142+IF($E142="",'01. CONFIGURAÇÕES'!$C$22,$E142))</f>
        <v/>
      </c>
      <c r="G142" s="30"/>
      <c r="H142" s="33"/>
      <c r="I142" s="33"/>
      <c r="J142" s="30"/>
      <c r="K142" s="33"/>
      <c r="L142" s="30"/>
      <c r="M142" s="33"/>
      <c r="N142" s="30"/>
      <c r="O142" s="33"/>
      <c r="P142" s="34" t="str">
        <f t="shared" si="16"/>
        <v/>
      </c>
      <c r="Q142" s="35" t="str">
        <f t="shared" si="17"/>
        <v/>
      </c>
      <c r="R142" s="35" t="str">
        <f t="shared" si="14"/>
        <v/>
      </c>
      <c r="S142" s="29" t="str">
        <f t="shared" si="18"/>
        <v/>
      </c>
      <c r="T142" s="13" t="str">
        <f t="shared" ca="1" si="19"/>
        <v/>
      </c>
      <c r="U142" s="29" t="str">
        <f ca="1">IF(OR($A142="",$F142=""),"",IF($R142&lt;&gt;"",IF($R142&lt;=$F142,"NO PRAZO","FORA DO PRAZO"),IF(TODAY()&gt;$F142,"VENCIDO",IF($F142-TODAY()&lt;='01. CONFIGURAÇÕES'!$C$23,"VENCE EM BREVE","EM DIA"))))</f>
        <v/>
      </c>
      <c r="V142" s="55" t="str">
        <f t="shared" si="20"/>
        <v/>
      </c>
      <c r="W142" s="30"/>
      <c r="X142" s="33"/>
    </row>
    <row r="143" spans="1:24" x14ac:dyDescent="0.25">
      <c r="A143" s="29" t="str">
        <f t="shared" si="15"/>
        <v/>
      </c>
      <c r="B143" s="30"/>
      <c r="C143" s="30"/>
      <c r="D143" s="31"/>
      <c r="E143" s="10"/>
      <c r="F143" s="32" t="str">
        <f>IF($D143="","",$D143+IF($E143="",'01. CONFIGURAÇÕES'!$C$22,$E143))</f>
        <v/>
      </c>
      <c r="G143" s="30"/>
      <c r="H143" s="33"/>
      <c r="I143" s="33"/>
      <c r="J143" s="30"/>
      <c r="K143" s="33"/>
      <c r="L143" s="30"/>
      <c r="M143" s="33"/>
      <c r="N143" s="30"/>
      <c r="O143" s="33"/>
      <c r="P143" s="34" t="str">
        <f t="shared" si="16"/>
        <v/>
      </c>
      <c r="Q143" s="35" t="str">
        <f t="shared" si="17"/>
        <v/>
      </c>
      <c r="R143" s="35" t="str">
        <f t="shared" si="14"/>
        <v/>
      </c>
      <c r="S143" s="29" t="str">
        <f t="shared" si="18"/>
        <v/>
      </c>
      <c r="T143" s="13" t="str">
        <f t="shared" ca="1" si="19"/>
        <v/>
      </c>
      <c r="U143" s="29" t="str">
        <f ca="1">IF(OR($A143="",$F143=""),"",IF($R143&lt;&gt;"",IF($R143&lt;=$F143,"NO PRAZO","FORA DO PRAZO"),IF(TODAY()&gt;$F143,"VENCIDO",IF($F143-TODAY()&lt;='01. CONFIGURAÇÕES'!$C$23,"VENCE EM BREVE","EM DIA"))))</f>
        <v/>
      </c>
      <c r="V143" s="55" t="str">
        <f t="shared" si="20"/>
        <v/>
      </c>
      <c r="W143" s="30"/>
      <c r="X143" s="33"/>
    </row>
    <row r="144" spans="1:24" x14ac:dyDescent="0.25">
      <c r="A144" s="29" t="str">
        <f t="shared" si="15"/>
        <v/>
      </c>
      <c r="B144" s="30"/>
      <c r="C144" s="30"/>
      <c r="D144" s="31"/>
      <c r="E144" s="10"/>
      <c r="F144" s="32" t="str">
        <f>IF($D144="","",$D144+IF($E144="",'01. CONFIGURAÇÕES'!$C$22,$E144))</f>
        <v/>
      </c>
      <c r="G144" s="30"/>
      <c r="H144" s="33"/>
      <c r="I144" s="33"/>
      <c r="J144" s="30"/>
      <c r="K144" s="33"/>
      <c r="L144" s="30"/>
      <c r="M144" s="33"/>
      <c r="N144" s="30"/>
      <c r="O144" s="33"/>
      <c r="P144" s="34" t="str">
        <f t="shared" si="16"/>
        <v/>
      </c>
      <c r="Q144" s="35" t="str">
        <f t="shared" si="17"/>
        <v/>
      </c>
      <c r="R144" s="35" t="str">
        <f t="shared" si="14"/>
        <v/>
      </c>
      <c r="S144" s="29" t="str">
        <f t="shared" si="18"/>
        <v/>
      </c>
      <c r="T144" s="13" t="str">
        <f t="shared" ca="1" si="19"/>
        <v/>
      </c>
      <c r="U144" s="29" t="str">
        <f ca="1">IF(OR($A144="",$F144=""),"",IF($R144&lt;&gt;"",IF($R144&lt;=$F144,"NO PRAZO","FORA DO PRAZO"),IF(TODAY()&gt;$F144,"VENCIDO",IF($F144-TODAY()&lt;='01. CONFIGURAÇÕES'!$C$23,"VENCE EM BREVE","EM DIA"))))</f>
        <v/>
      </c>
      <c r="V144" s="55" t="str">
        <f t="shared" si="20"/>
        <v/>
      </c>
      <c r="W144" s="30"/>
      <c r="X144" s="33"/>
    </row>
    <row r="145" spans="1:24" x14ac:dyDescent="0.25">
      <c r="A145" s="29" t="str">
        <f t="shared" si="15"/>
        <v/>
      </c>
      <c r="B145" s="30"/>
      <c r="C145" s="30"/>
      <c r="D145" s="31"/>
      <c r="E145" s="10"/>
      <c r="F145" s="32" t="str">
        <f>IF($D145="","",$D145+IF($E145="",'01. CONFIGURAÇÕES'!$C$22,$E145))</f>
        <v/>
      </c>
      <c r="G145" s="30"/>
      <c r="H145" s="33"/>
      <c r="I145" s="33"/>
      <c r="J145" s="30"/>
      <c r="K145" s="33"/>
      <c r="L145" s="30"/>
      <c r="M145" s="33"/>
      <c r="N145" s="30"/>
      <c r="O145" s="33"/>
      <c r="P145" s="34" t="str">
        <f t="shared" si="16"/>
        <v/>
      </c>
      <c r="Q145" s="35" t="str">
        <f t="shared" si="17"/>
        <v/>
      </c>
      <c r="R145" s="35" t="str">
        <f t="shared" si="14"/>
        <v/>
      </c>
      <c r="S145" s="29" t="str">
        <f t="shared" si="18"/>
        <v/>
      </c>
      <c r="T145" s="13" t="str">
        <f t="shared" ca="1" si="19"/>
        <v/>
      </c>
      <c r="U145" s="29" t="str">
        <f ca="1">IF(OR($A145="",$F145=""),"",IF($R145&lt;&gt;"",IF($R145&lt;=$F145,"NO PRAZO","FORA DO PRAZO"),IF(TODAY()&gt;$F145,"VENCIDO",IF($F145-TODAY()&lt;='01. CONFIGURAÇÕES'!$C$23,"VENCE EM BREVE","EM DIA"))))</f>
        <v/>
      </c>
      <c r="V145" s="55" t="str">
        <f t="shared" si="20"/>
        <v/>
      </c>
      <c r="W145" s="30"/>
      <c r="X145" s="33"/>
    </row>
    <row r="146" spans="1:24" x14ac:dyDescent="0.25">
      <c r="A146" s="29" t="str">
        <f t="shared" si="15"/>
        <v/>
      </c>
      <c r="B146" s="30"/>
      <c r="C146" s="30"/>
      <c r="D146" s="31"/>
      <c r="E146" s="10"/>
      <c r="F146" s="32" t="str">
        <f>IF($D146="","",$D146+IF($E146="",'01. CONFIGURAÇÕES'!$C$22,$E146))</f>
        <v/>
      </c>
      <c r="G146" s="30"/>
      <c r="H146" s="33"/>
      <c r="I146" s="33"/>
      <c r="J146" s="30"/>
      <c r="K146" s="33"/>
      <c r="L146" s="30"/>
      <c r="M146" s="33"/>
      <c r="N146" s="30"/>
      <c r="O146" s="33"/>
      <c r="P146" s="34" t="str">
        <f t="shared" si="16"/>
        <v/>
      </c>
      <c r="Q146" s="35" t="str">
        <f t="shared" si="17"/>
        <v/>
      </c>
      <c r="R146" s="35" t="str">
        <f t="shared" si="14"/>
        <v/>
      </c>
      <c r="S146" s="29" t="str">
        <f t="shared" si="18"/>
        <v/>
      </c>
      <c r="T146" s="13" t="str">
        <f t="shared" ca="1" si="19"/>
        <v/>
      </c>
      <c r="U146" s="29" t="str">
        <f ca="1">IF(OR($A146="",$F146=""),"",IF($R146&lt;&gt;"",IF($R146&lt;=$F146,"NO PRAZO","FORA DO PRAZO"),IF(TODAY()&gt;$F146,"VENCIDO",IF($F146-TODAY()&lt;='01. CONFIGURAÇÕES'!$C$23,"VENCE EM BREVE","EM DIA"))))</f>
        <v/>
      </c>
      <c r="V146" s="55" t="str">
        <f t="shared" si="20"/>
        <v/>
      </c>
      <c r="W146" s="30"/>
      <c r="X146" s="33"/>
    </row>
    <row r="147" spans="1:24" x14ac:dyDescent="0.25">
      <c r="A147" s="29" t="str">
        <f t="shared" si="15"/>
        <v/>
      </c>
      <c r="B147" s="30"/>
      <c r="C147" s="30"/>
      <c r="D147" s="31"/>
      <c r="E147" s="10"/>
      <c r="F147" s="32" t="str">
        <f>IF($D147="","",$D147+IF($E147="",'01. CONFIGURAÇÕES'!$C$22,$E147))</f>
        <v/>
      </c>
      <c r="G147" s="30"/>
      <c r="H147" s="33"/>
      <c r="I147" s="33"/>
      <c r="J147" s="30"/>
      <c r="K147" s="33"/>
      <c r="L147" s="30"/>
      <c r="M147" s="33"/>
      <c r="N147" s="30"/>
      <c r="O147" s="33"/>
      <c r="P147" s="34" t="str">
        <f t="shared" si="16"/>
        <v/>
      </c>
      <c r="Q147" s="35" t="str">
        <f t="shared" si="17"/>
        <v/>
      </c>
      <c r="R147" s="35" t="str">
        <f t="shared" si="14"/>
        <v/>
      </c>
      <c r="S147" s="29" t="str">
        <f t="shared" si="18"/>
        <v/>
      </c>
      <c r="T147" s="13" t="str">
        <f t="shared" ca="1" si="19"/>
        <v/>
      </c>
      <c r="U147" s="29" t="str">
        <f ca="1">IF(OR($A147="",$F147=""),"",IF($R147&lt;&gt;"",IF($R147&lt;=$F147,"NO PRAZO","FORA DO PRAZO"),IF(TODAY()&gt;$F147,"VENCIDO",IF($F147-TODAY()&lt;='01. CONFIGURAÇÕES'!$C$23,"VENCE EM BREVE","EM DIA"))))</f>
        <v/>
      </c>
      <c r="V147" s="55" t="str">
        <f t="shared" si="20"/>
        <v/>
      </c>
      <c r="W147" s="30"/>
      <c r="X147" s="33"/>
    </row>
    <row r="148" spans="1:24" x14ac:dyDescent="0.25">
      <c r="A148" s="29" t="str">
        <f t="shared" si="15"/>
        <v/>
      </c>
      <c r="B148" s="30"/>
      <c r="C148" s="30"/>
      <c r="D148" s="31"/>
      <c r="E148" s="10"/>
      <c r="F148" s="32" t="str">
        <f>IF($D148="","",$D148+IF($E148="",'01. CONFIGURAÇÕES'!$C$22,$E148))</f>
        <v/>
      </c>
      <c r="G148" s="30"/>
      <c r="H148" s="33"/>
      <c r="I148" s="33"/>
      <c r="J148" s="30"/>
      <c r="K148" s="33"/>
      <c r="L148" s="30"/>
      <c r="M148" s="33"/>
      <c r="N148" s="30"/>
      <c r="O148" s="33"/>
      <c r="P148" s="34" t="str">
        <f t="shared" si="16"/>
        <v/>
      </c>
      <c r="Q148" s="35" t="str">
        <f t="shared" si="17"/>
        <v/>
      </c>
      <c r="R148" s="35" t="str">
        <f t="shared" si="14"/>
        <v/>
      </c>
      <c r="S148" s="29" t="str">
        <f t="shared" si="18"/>
        <v/>
      </c>
      <c r="T148" s="13" t="str">
        <f t="shared" ca="1" si="19"/>
        <v/>
      </c>
      <c r="U148" s="29" t="str">
        <f ca="1">IF(OR($A148="",$F148=""),"",IF($R148&lt;&gt;"",IF($R148&lt;=$F148,"NO PRAZO","FORA DO PRAZO"),IF(TODAY()&gt;$F148,"VENCIDO",IF($F148-TODAY()&lt;='01. CONFIGURAÇÕES'!$C$23,"VENCE EM BREVE","EM DIA"))))</f>
        <v/>
      </c>
      <c r="V148" s="55" t="str">
        <f t="shared" si="20"/>
        <v/>
      </c>
      <c r="W148" s="30"/>
      <c r="X148" s="33"/>
    </row>
    <row r="149" spans="1:24" x14ac:dyDescent="0.25">
      <c r="A149" s="29" t="str">
        <f t="shared" si="15"/>
        <v/>
      </c>
      <c r="B149" s="30"/>
      <c r="C149" s="30"/>
      <c r="D149" s="31"/>
      <c r="E149" s="10"/>
      <c r="F149" s="32" t="str">
        <f>IF($D149="","",$D149+IF($E149="",'01. CONFIGURAÇÕES'!$C$22,$E149))</f>
        <v/>
      </c>
      <c r="G149" s="30"/>
      <c r="H149" s="33"/>
      <c r="I149" s="33"/>
      <c r="J149" s="30"/>
      <c r="K149" s="33"/>
      <c r="L149" s="30"/>
      <c r="M149" s="33"/>
      <c r="N149" s="30"/>
      <c r="O149" s="33"/>
      <c r="P149" s="34" t="str">
        <f t="shared" si="16"/>
        <v/>
      </c>
      <c r="Q149" s="35" t="str">
        <f t="shared" si="17"/>
        <v/>
      </c>
      <c r="R149" s="35" t="str">
        <f t="shared" si="14"/>
        <v/>
      </c>
      <c r="S149" s="29" t="str">
        <f t="shared" si="18"/>
        <v/>
      </c>
      <c r="T149" s="13" t="str">
        <f t="shared" ca="1" si="19"/>
        <v/>
      </c>
      <c r="U149" s="29" t="str">
        <f ca="1">IF(OR($A149="",$F149=""),"",IF($R149&lt;&gt;"",IF($R149&lt;=$F149,"NO PRAZO","FORA DO PRAZO"),IF(TODAY()&gt;$F149,"VENCIDO",IF($F149-TODAY()&lt;='01. CONFIGURAÇÕES'!$C$23,"VENCE EM BREVE","EM DIA"))))</f>
        <v/>
      </c>
      <c r="V149" s="55" t="str">
        <f t="shared" si="20"/>
        <v/>
      </c>
      <c r="W149" s="30"/>
      <c r="X149" s="33"/>
    </row>
    <row r="150" spans="1:24" x14ac:dyDescent="0.25">
      <c r="A150" s="29" t="str">
        <f t="shared" si="15"/>
        <v/>
      </c>
      <c r="B150" s="30"/>
      <c r="C150" s="30"/>
      <c r="D150" s="31"/>
      <c r="E150" s="10"/>
      <c r="F150" s="32" t="str">
        <f>IF($D150="","",$D150+IF($E150="",'01. CONFIGURAÇÕES'!$C$22,$E150))</f>
        <v/>
      </c>
      <c r="G150" s="30"/>
      <c r="H150" s="33"/>
      <c r="I150" s="33"/>
      <c r="J150" s="30"/>
      <c r="K150" s="33"/>
      <c r="L150" s="30"/>
      <c r="M150" s="33"/>
      <c r="N150" s="30"/>
      <c r="O150" s="33"/>
      <c r="P150" s="34" t="str">
        <f t="shared" si="16"/>
        <v/>
      </c>
      <c r="Q150" s="35" t="str">
        <f t="shared" si="17"/>
        <v/>
      </c>
      <c r="R150" s="35" t="str">
        <f t="shared" si="14"/>
        <v/>
      </c>
      <c r="S150" s="29" t="str">
        <f t="shared" si="18"/>
        <v/>
      </c>
      <c r="T150" s="13" t="str">
        <f t="shared" ca="1" si="19"/>
        <v/>
      </c>
      <c r="U150" s="29" t="str">
        <f ca="1">IF(OR($A150="",$F150=""),"",IF($R150&lt;&gt;"",IF($R150&lt;=$F150,"NO PRAZO","FORA DO PRAZO"),IF(TODAY()&gt;$F150,"VENCIDO",IF($F150-TODAY()&lt;='01. CONFIGURAÇÕES'!$C$23,"VENCE EM BREVE","EM DIA"))))</f>
        <v/>
      </c>
      <c r="V150" s="55" t="str">
        <f t="shared" si="20"/>
        <v/>
      </c>
      <c r="W150" s="30"/>
      <c r="X150" s="33"/>
    </row>
    <row r="151" spans="1:24" x14ac:dyDescent="0.25">
      <c r="A151" s="29" t="str">
        <f t="shared" si="15"/>
        <v/>
      </c>
      <c r="B151" s="30"/>
      <c r="C151" s="30"/>
      <c r="D151" s="31"/>
      <c r="E151" s="10"/>
      <c r="F151" s="32" t="str">
        <f>IF($D151="","",$D151+IF($E151="",'01. CONFIGURAÇÕES'!$C$22,$E151))</f>
        <v/>
      </c>
      <c r="G151" s="30"/>
      <c r="H151" s="33"/>
      <c r="I151" s="33"/>
      <c r="J151" s="30"/>
      <c r="K151" s="33"/>
      <c r="L151" s="30"/>
      <c r="M151" s="33"/>
      <c r="N151" s="30"/>
      <c r="O151" s="33"/>
      <c r="P151" s="34" t="str">
        <f t="shared" si="16"/>
        <v/>
      </c>
      <c r="Q151" s="35" t="str">
        <f t="shared" si="17"/>
        <v/>
      </c>
      <c r="R151" s="35" t="str">
        <f t="shared" si="14"/>
        <v/>
      </c>
      <c r="S151" s="29" t="str">
        <f t="shared" si="18"/>
        <v/>
      </c>
      <c r="T151" s="13" t="str">
        <f t="shared" ca="1" si="19"/>
        <v/>
      </c>
      <c r="U151" s="29" t="str">
        <f ca="1">IF(OR($A151="",$F151=""),"",IF($R151&lt;&gt;"",IF($R151&lt;=$F151,"NO PRAZO","FORA DO PRAZO"),IF(TODAY()&gt;$F151,"VENCIDO",IF($F151-TODAY()&lt;='01. CONFIGURAÇÕES'!$C$23,"VENCE EM BREVE","EM DIA"))))</f>
        <v/>
      </c>
      <c r="V151" s="55" t="str">
        <f t="shared" si="20"/>
        <v/>
      </c>
      <c r="W151" s="30"/>
      <c r="X151" s="33"/>
    </row>
    <row r="152" spans="1:24" x14ac:dyDescent="0.25">
      <c r="A152" s="29" t="str">
        <f t="shared" si="15"/>
        <v/>
      </c>
      <c r="B152" s="30"/>
      <c r="C152" s="30"/>
      <c r="D152" s="31"/>
      <c r="E152" s="10"/>
      <c r="F152" s="32" t="str">
        <f>IF($D152="","",$D152+IF($E152="",'01. CONFIGURAÇÕES'!$C$22,$E152))</f>
        <v/>
      </c>
      <c r="G152" s="30"/>
      <c r="H152" s="33"/>
      <c r="I152" s="33"/>
      <c r="J152" s="30"/>
      <c r="K152" s="33"/>
      <c r="L152" s="30"/>
      <c r="M152" s="33"/>
      <c r="N152" s="30"/>
      <c r="O152" s="33"/>
      <c r="P152" s="34" t="str">
        <f t="shared" si="16"/>
        <v/>
      </c>
      <c r="Q152" s="35" t="str">
        <f t="shared" si="17"/>
        <v/>
      </c>
      <c r="R152" s="35" t="str">
        <f t="shared" si="14"/>
        <v/>
      </c>
      <c r="S152" s="29" t="str">
        <f t="shared" si="18"/>
        <v/>
      </c>
      <c r="T152" s="13" t="str">
        <f t="shared" ca="1" si="19"/>
        <v/>
      </c>
      <c r="U152" s="29" t="str">
        <f ca="1">IF(OR($A152="",$F152=""),"",IF($R152&lt;&gt;"",IF($R152&lt;=$F152,"NO PRAZO","FORA DO PRAZO"),IF(TODAY()&gt;$F152,"VENCIDO",IF($F152-TODAY()&lt;='01. CONFIGURAÇÕES'!$C$23,"VENCE EM BREVE","EM DIA"))))</f>
        <v/>
      </c>
      <c r="V152" s="55" t="str">
        <f t="shared" si="20"/>
        <v/>
      </c>
      <c r="W152" s="30"/>
      <c r="X152" s="33"/>
    </row>
    <row r="153" spans="1:24" x14ac:dyDescent="0.25">
      <c r="A153" s="29" t="str">
        <f t="shared" si="15"/>
        <v/>
      </c>
      <c r="B153" s="30"/>
      <c r="C153" s="30"/>
      <c r="D153" s="31"/>
      <c r="E153" s="10"/>
      <c r="F153" s="32" t="str">
        <f>IF($D153="","",$D153+IF($E153="",'01. CONFIGURAÇÕES'!$C$22,$E153))</f>
        <v/>
      </c>
      <c r="G153" s="30"/>
      <c r="H153" s="33"/>
      <c r="I153" s="33"/>
      <c r="J153" s="30"/>
      <c r="K153" s="33"/>
      <c r="L153" s="30"/>
      <c r="M153" s="33"/>
      <c r="N153" s="30"/>
      <c r="O153" s="33"/>
      <c r="P153" s="34" t="str">
        <f t="shared" si="16"/>
        <v/>
      </c>
      <c r="Q153" s="35" t="str">
        <f t="shared" si="17"/>
        <v/>
      </c>
      <c r="R153" s="35" t="str">
        <f t="shared" si="14"/>
        <v/>
      </c>
      <c r="S153" s="29" t="str">
        <f t="shared" si="18"/>
        <v/>
      </c>
      <c r="T153" s="13" t="str">
        <f t="shared" ca="1" si="19"/>
        <v/>
      </c>
      <c r="U153" s="29" t="str">
        <f ca="1">IF(OR($A153="",$F153=""),"",IF($R153&lt;&gt;"",IF($R153&lt;=$F153,"NO PRAZO","FORA DO PRAZO"),IF(TODAY()&gt;$F153,"VENCIDO",IF($F153-TODAY()&lt;='01. CONFIGURAÇÕES'!$C$23,"VENCE EM BREVE","EM DIA"))))</f>
        <v/>
      </c>
      <c r="V153" s="55" t="str">
        <f t="shared" si="20"/>
        <v/>
      </c>
      <c r="W153" s="30"/>
      <c r="X153" s="33"/>
    </row>
    <row r="154" spans="1:24" x14ac:dyDescent="0.25">
      <c r="A154" s="29" t="str">
        <f t="shared" si="15"/>
        <v/>
      </c>
      <c r="B154" s="30"/>
      <c r="C154" s="30"/>
      <c r="D154" s="31"/>
      <c r="E154" s="10"/>
      <c r="F154" s="32" t="str">
        <f>IF($D154="","",$D154+IF($E154="",'01. CONFIGURAÇÕES'!$C$22,$E154))</f>
        <v/>
      </c>
      <c r="G154" s="30"/>
      <c r="H154" s="33"/>
      <c r="I154" s="33"/>
      <c r="J154" s="30"/>
      <c r="K154" s="33"/>
      <c r="L154" s="30"/>
      <c r="M154" s="33"/>
      <c r="N154" s="30"/>
      <c r="O154" s="33"/>
      <c r="P154" s="34" t="str">
        <f t="shared" si="16"/>
        <v/>
      </c>
      <c r="Q154" s="35" t="str">
        <f t="shared" si="17"/>
        <v/>
      </c>
      <c r="R154" s="35" t="str">
        <f t="shared" si="14"/>
        <v/>
      </c>
      <c r="S154" s="29" t="str">
        <f t="shared" si="18"/>
        <v/>
      </c>
      <c r="T154" s="13" t="str">
        <f t="shared" ca="1" si="19"/>
        <v/>
      </c>
      <c r="U154" s="29" t="str">
        <f ca="1">IF(OR($A154="",$F154=""),"",IF($R154&lt;&gt;"",IF($R154&lt;=$F154,"NO PRAZO","FORA DO PRAZO"),IF(TODAY()&gt;$F154,"VENCIDO",IF($F154-TODAY()&lt;='01. CONFIGURAÇÕES'!$C$23,"VENCE EM BREVE","EM DIA"))))</f>
        <v/>
      </c>
      <c r="V154" s="55" t="str">
        <f t="shared" si="20"/>
        <v/>
      </c>
      <c r="W154" s="30"/>
      <c r="X154" s="33"/>
    </row>
    <row r="155" spans="1:24" x14ac:dyDescent="0.25">
      <c r="A155" s="29" t="str">
        <f t="shared" si="15"/>
        <v/>
      </c>
      <c r="B155" s="30"/>
      <c r="C155" s="30"/>
      <c r="D155" s="31"/>
      <c r="E155" s="10"/>
      <c r="F155" s="32" t="str">
        <f>IF($D155="","",$D155+IF($E155="",'01. CONFIGURAÇÕES'!$C$22,$E155))</f>
        <v/>
      </c>
      <c r="G155" s="30"/>
      <c r="H155" s="33"/>
      <c r="I155" s="33"/>
      <c r="J155" s="30"/>
      <c r="K155" s="33"/>
      <c r="L155" s="30"/>
      <c r="M155" s="33"/>
      <c r="N155" s="30"/>
      <c r="O155" s="33"/>
      <c r="P155" s="34" t="str">
        <f t="shared" si="16"/>
        <v/>
      </c>
      <c r="Q155" s="35" t="str">
        <f t="shared" si="17"/>
        <v/>
      </c>
      <c r="R155" s="35" t="str">
        <f t="shared" si="14"/>
        <v/>
      </c>
      <c r="S155" s="29" t="str">
        <f t="shared" si="18"/>
        <v/>
      </c>
      <c r="T155" s="13" t="str">
        <f t="shared" ca="1" si="19"/>
        <v/>
      </c>
      <c r="U155" s="29" t="str">
        <f ca="1">IF(OR($A155="",$F155=""),"",IF($R155&lt;&gt;"",IF($R155&lt;=$F155,"NO PRAZO","FORA DO PRAZO"),IF(TODAY()&gt;$F155,"VENCIDO",IF($F155-TODAY()&lt;='01. CONFIGURAÇÕES'!$C$23,"VENCE EM BREVE","EM DIA"))))</f>
        <v/>
      </c>
      <c r="V155" s="55" t="str">
        <f t="shared" si="20"/>
        <v/>
      </c>
      <c r="W155" s="30"/>
      <c r="X155" s="33"/>
    </row>
    <row r="156" spans="1:24" x14ac:dyDescent="0.25">
      <c r="A156" s="29" t="str">
        <f t="shared" si="15"/>
        <v/>
      </c>
      <c r="B156" s="30"/>
      <c r="C156" s="30"/>
      <c r="D156" s="31"/>
      <c r="E156" s="10"/>
      <c r="F156" s="32" t="str">
        <f>IF($D156="","",$D156+IF($E156="",'01. CONFIGURAÇÕES'!$C$22,$E156))</f>
        <v/>
      </c>
      <c r="G156" s="30"/>
      <c r="H156" s="33"/>
      <c r="I156" s="33"/>
      <c r="J156" s="30"/>
      <c r="K156" s="33"/>
      <c r="L156" s="30"/>
      <c r="M156" s="33"/>
      <c r="N156" s="30"/>
      <c r="O156" s="33"/>
      <c r="P156" s="34" t="str">
        <f t="shared" si="16"/>
        <v/>
      </c>
      <c r="Q156" s="35" t="str">
        <f t="shared" si="17"/>
        <v/>
      </c>
      <c r="R156" s="35" t="str">
        <f t="shared" si="14"/>
        <v/>
      </c>
      <c r="S156" s="29" t="str">
        <f t="shared" si="18"/>
        <v/>
      </c>
      <c r="T156" s="13" t="str">
        <f t="shared" ca="1" si="19"/>
        <v/>
      </c>
      <c r="U156" s="29" t="str">
        <f ca="1">IF(OR($A156="",$F156=""),"",IF($R156&lt;&gt;"",IF($R156&lt;=$F156,"NO PRAZO","FORA DO PRAZO"),IF(TODAY()&gt;$F156,"VENCIDO",IF($F156-TODAY()&lt;='01. CONFIGURAÇÕES'!$C$23,"VENCE EM BREVE","EM DIA"))))</f>
        <v/>
      </c>
      <c r="V156" s="55" t="str">
        <f t="shared" si="20"/>
        <v/>
      </c>
      <c r="W156" s="30"/>
      <c r="X156" s="33"/>
    </row>
    <row r="157" spans="1:24" x14ac:dyDescent="0.25">
      <c r="A157" s="29" t="str">
        <f t="shared" si="15"/>
        <v/>
      </c>
      <c r="B157" s="30"/>
      <c r="C157" s="30"/>
      <c r="D157" s="31"/>
      <c r="E157" s="10"/>
      <c r="F157" s="32" t="str">
        <f>IF($D157="","",$D157+IF($E157="",'01. CONFIGURAÇÕES'!$C$22,$E157))</f>
        <v/>
      </c>
      <c r="G157" s="30"/>
      <c r="H157" s="33"/>
      <c r="I157" s="33"/>
      <c r="J157" s="30"/>
      <c r="K157" s="33"/>
      <c r="L157" s="30"/>
      <c r="M157" s="33"/>
      <c r="N157" s="30"/>
      <c r="O157" s="33"/>
      <c r="P157" s="34" t="str">
        <f t="shared" si="16"/>
        <v/>
      </c>
      <c r="Q157" s="35" t="str">
        <f t="shared" si="17"/>
        <v/>
      </c>
      <c r="R157" s="35" t="str">
        <f t="shared" si="14"/>
        <v/>
      </c>
      <c r="S157" s="29" t="str">
        <f t="shared" si="18"/>
        <v/>
      </c>
      <c r="T157" s="13" t="str">
        <f t="shared" ca="1" si="19"/>
        <v/>
      </c>
      <c r="U157" s="29" t="str">
        <f ca="1">IF(OR($A157="",$F157=""),"",IF($R157&lt;&gt;"",IF($R157&lt;=$F157,"NO PRAZO","FORA DO PRAZO"),IF(TODAY()&gt;$F157,"VENCIDO",IF($F157-TODAY()&lt;='01. CONFIGURAÇÕES'!$C$23,"VENCE EM BREVE","EM DIA"))))</f>
        <v/>
      </c>
      <c r="V157" s="55" t="str">
        <f t="shared" si="20"/>
        <v/>
      </c>
      <c r="W157" s="30"/>
      <c r="X157" s="33"/>
    </row>
    <row r="158" spans="1:24" x14ac:dyDescent="0.25">
      <c r="A158" s="29" t="str">
        <f t="shared" si="15"/>
        <v/>
      </c>
      <c r="B158" s="30"/>
      <c r="C158" s="30"/>
      <c r="D158" s="31"/>
      <c r="E158" s="10"/>
      <c r="F158" s="32" t="str">
        <f>IF($D158="","",$D158+IF($E158="",'01. CONFIGURAÇÕES'!$C$22,$E158))</f>
        <v/>
      </c>
      <c r="G158" s="30"/>
      <c r="H158" s="33"/>
      <c r="I158" s="33"/>
      <c r="J158" s="30"/>
      <c r="K158" s="33"/>
      <c r="L158" s="30"/>
      <c r="M158" s="33"/>
      <c r="N158" s="30"/>
      <c r="O158" s="33"/>
      <c r="P158" s="34" t="str">
        <f t="shared" si="16"/>
        <v/>
      </c>
      <c r="Q158" s="35" t="str">
        <f t="shared" si="17"/>
        <v/>
      </c>
      <c r="R158" s="35" t="str">
        <f t="shared" si="14"/>
        <v/>
      </c>
      <c r="S158" s="29" t="str">
        <f t="shared" si="18"/>
        <v/>
      </c>
      <c r="T158" s="13" t="str">
        <f t="shared" ca="1" si="19"/>
        <v/>
      </c>
      <c r="U158" s="29" t="str">
        <f ca="1">IF(OR($A158="",$F158=""),"",IF($R158&lt;&gt;"",IF($R158&lt;=$F158,"NO PRAZO","FORA DO PRAZO"),IF(TODAY()&gt;$F158,"VENCIDO",IF($F158-TODAY()&lt;='01. CONFIGURAÇÕES'!$C$23,"VENCE EM BREVE","EM DIA"))))</f>
        <v/>
      </c>
      <c r="V158" s="55" t="str">
        <f t="shared" si="20"/>
        <v/>
      </c>
      <c r="W158" s="30"/>
      <c r="X158" s="33"/>
    </row>
    <row r="159" spans="1:24" x14ac:dyDescent="0.25">
      <c r="A159" s="29" t="str">
        <f t="shared" si="15"/>
        <v/>
      </c>
      <c r="B159" s="30"/>
      <c r="C159" s="30"/>
      <c r="D159" s="31"/>
      <c r="E159" s="10"/>
      <c r="F159" s="32" t="str">
        <f>IF($D159="","",$D159+IF($E159="",'01. CONFIGURAÇÕES'!$C$22,$E159))</f>
        <v/>
      </c>
      <c r="G159" s="30"/>
      <c r="H159" s="33"/>
      <c r="I159" s="33"/>
      <c r="J159" s="30"/>
      <c r="K159" s="33"/>
      <c r="L159" s="30"/>
      <c r="M159" s="33"/>
      <c r="N159" s="30"/>
      <c r="O159" s="33"/>
      <c r="P159" s="34" t="str">
        <f t="shared" si="16"/>
        <v/>
      </c>
      <c r="Q159" s="35" t="str">
        <f t="shared" si="17"/>
        <v/>
      </c>
      <c r="R159" s="35" t="str">
        <f t="shared" ref="R159:R222" si="21">IF($A159="","",IFERROR(IF(INDEX(OS_FIM,MATCH($A159,OS_ID,0))=0,"",INDEX(OS_FIM,MATCH($A159,OS_ID,0))),""))</f>
        <v/>
      </c>
      <c r="S159" s="29" t="str">
        <f t="shared" si="18"/>
        <v/>
      </c>
      <c r="T159" s="13" t="str">
        <f t="shared" ca="1" si="19"/>
        <v/>
      </c>
      <c r="U159" s="29" t="str">
        <f ca="1">IF(OR($A159="",$F159=""),"",IF($R159&lt;&gt;"",IF($R159&lt;=$F159,"NO PRAZO","FORA DO PRAZO"),IF(TODAY()&gt;$F159,"VENCIDO",IF($F159-TODAY()&lt;='01. CONFIGURAÇÕES'!$C$23,"VENCE EM BREVE","EM DIA"))))</f>
        <v/>
      </c>
      <c r="V159" s="55" t="str">
        <f t="shared" si="20"/>
        <v/>
      </c>
      <c r="W159" s="30"/>
      <c r="X159" s="33"/>
    </row>
    <row r="160" spans="1:24" x14ac:dyDescent="0.25">
      <c r="A160" s="29" t="str">
        <f t="shared" si="15"/>
        <v/>
      </c>
      <c r="B160" s="30"/>
      <c r="C160" s="30"/>
      <c r="D160" s="31"/>
      <c r="E160" s="10"/>
      <c r="F160" s="32" t="str">
        <f>IF($D160="","",$D160+IF($E160="",'01. CONFIGURAÇÕES'!$C$22,$E160))</f>
        <v/>
      </c>
      <c r="G160" s="30"/>
      <c r="H160" s="33"/>
      <c r="I160" s="33"/>
      <c r="J160" s="30"/>
      <c r="K160" s="33"/>
      <c r="L160" s="30"/>
      <c r="M160" s="33"/>
      <c r="N160" s="30"/>
      <c r="O160" s="33"/>
      <c r="P160" s="34" t="str">
        <f t="shared" si="16"/>
        <v/>
      </c>
      <c r="Q160" s="35" t="str">
        <f t="shared" si="17"/>
        <v/>
      </c>
      <c r="R160" s="35" t="str">
        <f t="shared" si="21"/>
        <v/>
      </c>
      <c r="S160" s="29" t="str">
        <f t="shared" si="18"/>
        <v/>
      </c>
      <c r="T160" s="13" t="str">
        <f t="shared" ca="1" si="19"/>
        <v/>
      </c>
      <c r="U160" s="29" t="str">
        <f ca="1">IF(OR($A160="",$F160=""),"",IF($R160&lt;&gt;"",IF($R160&lt;=$F160,"NO PRAZO","FORA DO PRAZO"),IF(TODAY()&gt;$F160,"VENCIDO",IF($F160-TODAY()&lt;='01. CONFIGURAÇÕES'!$C$23,"VENCE EM BREVE","EM DIA"))))</f>
        <v/>
      </c>
      <c r="V160" s="55" t="str">
        <f t="shared" si="20"/>
        <v/>
      </c>
      <c r="W160" s="30"/>
      <c r="X160" s="33"/>
    </row>
    <row r="161" spans="1:24" x14ac:dyDescent="0.25">
      <c r="A161" s="29" t="str">
        <f t="shared" si="15"/>
        <v/>
      </c>
      <c r="B161" s="30"/>
      <c r="C161" s="30"/>
      <c r="D161" s="31"/>
      <c r="E161" s="10"/>
      <c r="F161" s="32" t="str">
        <f>IF($D161="","",$D161+IF($E161="",'01. CONFIGURAÇÕES'!$C$22,$E161))</f>
        <v/>
      </c>
      <c r="G161" s="30"/>
      <c r="H161" s="33"/>
      <c r="I161" s="33"/>
      <c r="J161" s="30"/>
      <c r="K161" s="33"/>
      <c r="L161" s="30"/>
      <c r="M161" s="33"/>
      <c r="N161" s="30"/>
      <c r="O161" s="33"/>
      <c r="P161" s="34" t="str">
        <f t="shared" si="16"/>
        <v/>
      </c>
      <c r="Q161" s="35" t="str">
        <f t="shared" si="17"/>
        <v/>
      </c>
      <c r="R161" s="35" t="str">
        <f t="shared" si="21"/>
        <v/>
      </c>
      <c r="S161" s="29" t="str">
        <f t="shared" si="18"/>
        <v/>
      </c>
      <c r="T161" s="13" t="str">
        <f t="shared" ca="1" si="19"/>
        <v/>
      </c>
      <c r="U161" s="29" t="str">
        <f ca="1">IF(OR($A161="",$F161=""),"",IF($R161&lt;&gt;"",IF($R161&lt;=$F161,"NO PRAZO","FORA DO PRAZO"),IF(TODAY()&gt;$F161,"VENCIDO",IF($F161-TODAY()&lt;='01. CONFIGURAÇÕES'!$C$23,"VENCE EM BREVE","EM DIA"))))</f>
        <v/>
      </c>
      <c r="V161" s="55" t="str">
        <f t="shared" si="20"/>
        <v/>
      </c>
      <c r="W161" s="30"/>
      <c r="X161" s="33"/>
    </row>
    <row r="162" spans="1:24" x14ac:dyDescent="0.25">
      <c r="A162" s="29" t="str">
        <f t="shared" si="15"/>
        <v/>
      </c>
      <c r="B162" s="30"/>
      <c r="C162" s="30"/>
      <c r="D162" s="31"/>
      <c r="E162" s="10"/>
      <c r="F162" s="32" t="str">
        <f>IF($D162="","",$D162+IF($E162="",'01. CONFIGURAÇÕES'!$C$22,$E162))</f>
        <v/>
      </c>
      <c r="G162" s="30"/>
      <c r="H162" s="33"/>
      <c r="I162" s="33"/>
      <c r="J162" s="30"/>
      <c r="K162" s="33"/>
      <c r="L162" s="30"/>
      <c r="M162" s="33"/>
      <c r="N162" s="30"/>
      <c r="O162" s="33"/>
      <c r="P162" s="34" t="str">
        <f t="shared" si="16"/>
        <v/>
      </c>
      <c r="Q162" s="35" t="str">
        <f t="shared" si="17"/>
        <v/>
      </c>
      <c r="R162" s="35" t="str">
        <f t="shared" si="21"/>
        <v/>
      </c>
      <c r="S162" s="29" t="str">
        <f t="shared" si="18"/>
        <v/>
      </c>
      <c r="T162" s="13" t="str">
        <f t="shared" ca="1" si="19"/>
        <v/>
      </c>
      <c r="U162" s="29" t="str">
        <f ca="1">IF(OR($A162="",$F162=""),"",IF($R162&lt;&gt;"",IF($R162&lt;=$F162,"NO PRAZO","FORA DO PRAZO"),IF(TODAY()&gt;$F162,"VENCIDO",IF($F162-TODAY()&lt;='01. CONFIGURAÇÕES'!$C$23,"VENCE EM BREVE","EM DIA"))))</f>
        <v/>
      </c>
      <c r="V162" s="55" t="str">
        <f t="shared" si="20"/>
        <v/>
      </c>
      <c r="W162" s="30"/>
      <c r="X162" s="33"/>
    </row>
    <row r="163" spans="1:24" x14ac:dyDescent="0.25">
      <c r="A163" s="29" t="str">
        <f t="shared" si="15"/>
        <v/>
      </c>
      <c r="B163" s="30"/>
      <c r="C163" s="30"/>
      <c r="D163" s="31"/>
      <c r="E163" s="10"/>
      <c r="F163" s="32" t="str">
        <f>IF($D163="","",$D163+IF($E163="",'01. CONFIGURAÇÕES'!$C$22,$E163))</f>
        <v/>
      </c>
      <c r="G163" s="30"/>
      <c r="H163" s="33"/>
      <c r="I163" s="33"/>
      <c r="J163" s="30"/>
      <c r="K163" s="33"/>
      <c r="L163" s="30"/>
      <c r="M163" s="33"/>
      <c r="N163" s="30"/>
      <c r="O163" s="33"/>
      <c r="P163" s="34" t="str">
        <f t="shared" si="16"/>
        <v/>
      </c>
      <c r="Q163" s="35" t="str">
        <f t="shared" si="17"/>
        <v/>
      </c>
      <c r="R163" s="35" t="str">
        <f t="shared" si="21"/>
        <v/>
      </c>
      <c r="S163" s="29" t="str">
        <f t="shared" si="18"/>
        <v/>
      </c>
      <c r="T163" s="13" t="str">
        <f t="shared" ca="1" si="19"/>
        <v/>
      </c>
      <c r="U163" s="29" t="str">
        <f ca="1">IF(OR($A163="",$F163=""),"",IF($R163&lt;&gt;"",IF($R163&lt;=$F163,"NO PRAZO","FORA DO PRAZO"),IF(TODAY()&gt;$F163,"VENCIDO",IF($F163-TODAY()&lt;='01. CONFIGURAÇÕES'!$C$23,"VENCE EM BREVE","EM DIA"))))</f>
        <v/>
      </c>
      <c r="V163" s="55" t="str">
        <f t="shared" si="20"/>
        <v/>
      </c>
      <c r="W163" s="30"/>
      <c r="X163" s="33"/>
    </row>
    <row r="164" spans="1:24" x14ac:dyDescent="0.25">
      <c r="A164" s="29" t="str">
        <f t="shared" si="15"/>
        <v/>
      </c>
      <c r="B164" s="30"/>
      <c r="C164" s="30"/>
      <c r="D164" s="31"/>
      <c r="E164" s="10"/>
      <c r="F164" s="32" t="str">
        <f>IF($D164="","",$D164+IF($E164="",'01. CONFIGURAÇÕES'!$C$22,$E164))</f>
        <v/>
      </c>
      <c r="G164" s="30"/>
      <c r="H164" s="33"/>
      <c r="I164" s="33"/>
      <c r="J164" s="30"/>
      <c r="K164" s="33"/>
      <c r="L164" s="30"/>
      <c r="M164" s="33"/>
      <c r="N164" s="30"/>
      <c r="O164" s="33"/>
      <c r="P164" s="34" t="str">
        <f t="shared" si="16"/>
        <v/>
      </c>
      <c r="Q164" s="35" t="str">
        <f t="shared" si="17"/>
        <v/>
      </c>
      <c r="R164" s="35" t="str">
        <f t="shared" si="21"/>
        <v/>
      </c>
      <c r="S164" s="29" t="str">
        <f t="shared" si="18"/>
        <v/>
      </c>
      <c r="T164" s="13" t="str">
        <f t="shared" ca="1" si="19"/>
        <v/>
      </c>
      <c r="U164" s="29" t="str">
        <f ca="1">IF(OR($A164="",$F164=""),"",IF($R164&lt;&gt;"",IF($R164&lt;=$F164,"NO PRAZO","FORA DO PRAZO"),IF(TODAY()&gt;$F164,"VENCIDO",IF($F164-TODAY()&lt;='01. CONFIGURAÇÕES'!$C$23,"VENCE EM BREVE","EM DIA"))))</f>
        <v/>
      </c>
      <c r="V164" s="55" t="str">
        <f t="shared" si="20"/>
        <v/>
      </c>
      <c r="W164" s="30"/>
      <c r="X164" s="33"/>
    </row>
    <row r="165" spans="1:24" x14ac:dyDescent="0.25">
      <c r="A165" s="29" t="str">
        <f t="shared" si="15"/>
        <v/>
      </c>
      <c r="B165" s="30"/>
      <c r="C165" s="30"/>
      <c r="D165" s="31"/>
      <c r="E165" s="10"/>
      <c r="F165" s="32" t="str">
        <f>IF($D165="","",$D165+IF($E165="",'01. CONFIGURAÇÕES'!$C$22,$E165))</f>
        <v/>
      </c>
      <c r="G165" s="30"/>
      <c r="H165" s="33"/>
      <c r="I165" s="33"/>
      <c r="J165" s="30"/>
      <c r="K165" s="33"/>
      <c r="L165" s="30"/>
      <c r="M165" s="33"/>
      <c r="N165" s="30"/>
      <c r="O165" s="33"/>
      <c r="P165" s="34" t="str">
        <f t="shared" si="16"/>
        <v/>
      </c>
      <c r="Q165" s="35" t="str">
        <f t="shared" si="17"/>
        <v/>
      </c>
      <c r="R165" s="35" t="str">
        <f t="shared" si="21"/>
        <v/>
      </c>
      <c r="S165" s="29" t="str">
        <f t="shared" si="18"/>
        <v/>
      </c>
      <c r="T165" s="13" t="str">
        <f t="shared" ca="1" si="19"/>
        <v/>
      </c>
      <c r="U165" s="29" t="str">
        <f ca="1">IF(OR($A165="",$F165=""),"",IF($R165&lt;&gt;"",IF($R165&lt;=$F165,"NO PRAZO","FORA DO PRAZO"),IF(TODAY()&gt;$F165,"VENCIDO",IF($F165-TODAY()&lt;='01. CONFIGURAÇÕES'!$C$23,"VENCE EM BREVE","EM DIA"))))</f>
        <v/>
      </c>
      <c r="V165" s="55" t="str">
        <f t="shared" si="20"/>
        <v/>
      </c>
      <c r="W165" s="30"/>
      <c r="X165" s="33"/>
    </row>
    <row r="166" spans="1:24" x14ac:dyDescent="0.25">
      <c r="A166" s="29" t="str">
        <f t="shared" si="15"/>
        <v/>
      </c>
      <c r="B166" s="30"/>
      <c r="C166" s="30"/>
      <c r="D166" s="31"/>
      <c r="E166" s="10"/>
      <c r="F166" s="32" t="str">
        <f>IF($D166="","",$D166+IF($E166="",'01. CONFIGURAÇÕES'!$C$22,$E166))</f>
        <v/>
      </c>
      <c r="G166" s="30"/>
      <c r="H166" s="33"/>
      <c r="I166" s="33"/>
      <c r="J166" s="30"/>
      <c r="K166" s="33"/>
      <c r="L166" s="30"/>
      <c r="M166" s="33"/>
      <c r="N166" s="30"/>
      <c r="O166" s="33"/>
      <c r="P166" s="34" t="str">
        <f t="shared" si="16"/>
        <v/>
      </c>
      <c r="Q166" s="35" t="str">
        <f t="shared" si="17"/>
        <v/>
      </c>
      <c r="R166" s="35" t="str">
        <f t="shared" si="21"/>
        <v/>
      </c>
      <c r="S166" s="29" t="str">
        <f t="shared" si="18"/>
        <v/>
      </c>
      <c r="T166" s="13" t="str">
        <f t="shared" ca="1" si="19"/>
        <v/>
      </c>
      <c r="U166" s="29" t="str">
        <f ca="1">IF(OR($A166="",$F166=""),"",IF($R166&lt;&gt;"",IF($R166&lt;=$F166,"NO PRAZO","FORA DO PRAZO"),IF(TODAY()&gt;$F166,"VENCIDO",IF($F166-TODAY()&lt;='01. CONFIGURAÇÕES'!$C$23,"VENCE EM BREVE","EM DIA"))))</f>
        <v/>
      </c>
      <c r="V166" s="55" t="str">
        <f t="shared" si="20"/>
        <v/>
      </c>
      <c r="W166" s="30"/>
      <c r="X166" s="33"/>
    </row>
    <row r="167" spans="1:24" x14ac:dyDescent="0.25">
      <c r="A167" s="29" t="str">
        <f t="shared" si="15"/>
        <v/>
      </c>
      <c r="B167" s="30"/>
      <c r="C167" s="30"/>
      <c r="D167" s="31"/>
      <c r="E167" s="10"/>
      <c r="F167" s="32" t="str">
        <f>IF($D167="","",$D167+IF($E167="",'01. CONFIGURAÇÕES'!$C$22,$E167))</f>
        <v/>
      </c>
      <c r="G167" s="30"/>
      <c r="H167" s="33"/>
      <c r="I167" s="33"/>
      <c r="J167" s="30"/>
      <c r="K167" s="33"/>
      <c r="L167" s="30"/>
      <c r="M167" s="33"/>
      <c r="N167" s="30"/>
      <c r="O167" s="33"/>
      <c r="P167" s="34" t="str">
        <f t="shared" si="16"/>
        <v/>
      </c>
      <c r="Q167" s="35" t="str">
        <f t="shared" si="17"/>
        <v/>
      </c>
      <c r="R167" s="35" t="str">
        <f t="shared" si="21"/>
        <v/>
      </c>
      <c r="S167" s="29" t="str">
        <f t="shared" si="18"/>
        <v/>
      </c>
      <c r="T167" s="13" t="str">
        <f t="shared" ca="1" si="19"/>
        <v/>
      </c>
      <c r="U167" s="29" t="str">
        <f ca="1">IF(OR($A167="",$F167=""),"",IF($R167&lt;&gt;"",IF($R167&lt;=$F167,"NO PRAZO","FORA DO PRAZO"),IF(TODAY()&gt;$F167,"VENCIDO",IF($F167-TODAY()&lt;='01. CONFIGURAÇÕES'!$C$23,"VENCE EM BREVE","EM DIA"))))</f>
        <v/>
      </c>
      <c r="V167" s="55" t="str">
        <f t="shared" si="20"/>
        <v/>
      </c>
      <c r="W167" s="30"/>
      <c r="X167" s="33"/>
    </row>
    <row r="168" spans="1:24" x14ac:dyDescent="0.25">
      <c r="A168" s="29" t="str">
        <f t="shared" si="15"/>
        <v/>
      </c>
      <c r="B168" s="30"/>
      <c r="C168" s="30"/>
      <c r="D168" s="31"/>
      <c r="E168" s="10"/>
      <c r="F168" s="32" t="str">
        <f>IF($D168="","",$D168+IF($E168="",'01. CONFIGURAÇÕES'!$C$22,$E168))</f>
        <v/>
      </c>
      <c r="G168" s="30"/>
      <c r="H168" s="33"/>
      <c r="I168" s="33"/>
      <c r="J168" s="30"/>
      <c r="K168" s="33"/>
      <c r="L168" s="30"/>
      <c r="M168" s="33"/>
      <c r="N168" s="30"/>
      <c r="O168" s="33"/>
      <c r="P168" s="34" t="str">
        <f t="shared" si="16"/>
        <v/>
      </c>
      <c r="Q168" s="35" t="str">
        <f t="shared" si="17"/>
        <v/>
      </c>
      <c r="R168" s="35" t="str">
        <f t="shared" si="21"/>
        <v/>
      </c>
      <c r="S168" s="29" t="str">
        <f t="shared" si="18"/>
        <v/>
      </c>
      <c r="T168" s="13" t="str">
        <f t="shared" ca="1" si="19"/>
        <v/>
      </c>
      <c r="U168" s="29" t="str">
        <f ca="1">IF(OR($A168="",$F168=""),"",IF($R168&lt;&gt;"",IF($R168&lt;=$F168,"NO PRAZO","FORA DO PRAZO"),IF(TODAY()&gt;$F168,"VENCIDO",IF($F168-TODAY()&lt;='01. CONFIGURAÇÕES'!$C$23,"VENCE EM BREVE","EM DIA"))))</f>
        <v/>
      </c>
      <c r="V168" s="55" t="str">
        <f t="shared" si="20"/>
        <v/>
      </c>
      <c r="W168" s="30"/>
      <c r="X168" s="33"/>
    </row>
    <row r="169" spans="1:24" x14ac:dyDescent="0.25">
      <c r="A169" s="29" t="str">
        <f t="shared" si="15"/>
        <v/>
      </c>
      <c r="B169" s="30"/>
      <c r="C169" s="30"/>
      <c r="D169" s="31"/>
      <c r="E169" s="10"/>
      <c r="F169" s="32" t="str">
        <f>IF($D169="","",$D169+IF($E169="",'01. CONFIGURAÇÕES'!$C$22,$E169))</f>
        <v/>
      </c>
      <c r="G169" s="30"/>
      <c r="H169" s="33"/>
      <c r="I169" s="33"/>
      <c r="J169" s="30"/>
      <c r="K169" s="33"/>
      <c r="L169" s="30"/>
      <c r="M169" s="33"/>
      <c r="N169" s="30"/>
      <c r="O169" s="33"/>
      <c r="P169" s="34" t="str">
        <f t="shared" si="16"/>
        <v/>
      </c>
      <c r="Q169" s="35" t="str">
        <f t="shared" si="17"/>
        <v/>
      </c>
      <c r="R169" s="35" t="str">
        <f t="shared" si="21"/>
        <v/>
      </c>
      <c r="S169" s="29" t="str">
        <f t="shared" si="18"/>
        <v/>
      </c>
      <c r="T169" s="13" t="str">
        <f t="shared" ca="1" si="19"/>
        <v/>
      </c>
      <c r="U169" s="29" t="str">
        <f ca="1">IF(OR($A169="",$F169=""),"",IF($R169&lt;&gt;"",IF($R169&lt;=$F169,"NO PRAZO","FORA DO PRAZO"),IF(TODAY()&gt;$F169,"VENCIDO",IF($F169-TODAY()&lt;='01. CONFIGURAÇÕES'!$C$23,"VENCE EM BREVE","EM DIA"))))</f>
        <v/>
      </c>
      <c r="V169" s="55" t="str">
        <f t="shared" si="20"/>
        <v/>
      </c>
      <c r="W169" s="30"/>
      <c r="X169" s="33"/>
    </row>
    <row r="170" spans="1:24" x14ac:dyDescent="0.25">
      <c r="A170" s="29" t="str">
        <f t="shared" si="15"/>
        <v/>
      </c>
      <c r="B170" s="30"/>
      <c r="C170" s="30"/>
      <c r="D170" s="31"/>
      <c r="E170" s="10"/>
      <c r="F170" s="32" t="str">
        <f>IF($D170="","",$D170+IF($E170="",'01. CONFIGURAÇÕES'!$C$22,$E170))</f>
        <v/>
      </c>
      <c r="G170" s="30"/>
      <c r="H170" s="33"/>
      <c r="I170" s="33"/>
      <c r="J170" s="30"/>
      <c r="K170" s="33"/>
      <c r="L170" s="30"/>
      <c r="M170" s="33"/>
      <c r="N170" s="30"/>
      <c r="O170" s="33"/>
      <c r="P170" s="34" t="str">
        <f t="shared" si="16"/>
        <v/>
      </c>
      <c r="Q170" s="35" t="str">
        <f t="shared" si="17"/>
        <v/>
      </c>
      <c r="R170" s="35" t="str">
        <f t="shared" si="21"/>
        <v/>
      </c>
      <c r="S170" s="29" t="str">
        <f t="shared" si="18"/>
        <v/>
      </c>
      <c r="T170" s="13" t="str">
        <f t="shared" ca="1" si="19"/>
        <v/>
      </c>
      <c r="U170" s="29" t="str">
        <f ca="1">IF(OR($A170="",$F170=""),"",IF($R170&lt;&gt;"",IF($R170&lt;=$F170,"NO PRAZO","FORA DO PRAZO"),IF(TODAY()&gt;$F170,"VENCIDO",IF($F170-TODAY()&lt;='01. CONFIGURAÇÕES'!$C$23,"VENCE EM BREVE","EM DIA"))))</f>
        <v/>
      </c>
      <c r="V170" s="55" t="str">
        <f t="shared" si="20"/>
        <v/>
      </c>
      <c r="W170" s="30"/>
      <c r="X170" s="33"/>
    </row>
    <row r="171" spans="1:24" x14ac:dyDescent="0.25">
      <c r="A171" s="29" t="str">
        <f t="shared" si="15"/>
        <v/>
      </c>
      <c r="B171" s="30"/>
      <c r="C171" s="30"/>
      <c r="D171" s="31"/>
      <c r="E171" s="10"/>
      <c r="F171" s="32" t="str">
        <f>IF($D171="","",$D171+IF($E171="",'01. CONFIGURAÇÕES'!$C$22,$E171))</f>
        <v/>
      </c>
      <c r="G171" s="30"/>
      <c r="H171" s="33"/>
      <c r="I171" s="33"/>
      <c r="J171" s="30"/>
      <c r="K171" s="33"/>
      <c r="L171" s="30"/>
      <c r="M171" s="33"/>
      <c r="N171" s="30"/>
      <c r="O171" s="33"/>
      <c r="P171" s="34" t="str">
        <f t="shared" si="16"/>
        <v/>
      </c>
      <c r="Q171" s="35" t="str">
        <f t="shared" si="17"/>
        <v/>
      </c>
      <c r="R171" s="35" t="str">
        <f t="shared" si="21"/>
        <v/>
      </c>
      <c r="S171" s="29" t="str">
        <f t="shared" si="18"/>
        <v/>
      </c>
      <c r="T171" s="13" t="str">
        <f t="shared" ca="1" si="19"/>
        <v/>
      </c>
      <c r="U171" s="29" t="str">
        <f ca="1">IF(OR($A171="",$F171=""),"",IF($R171&lt;&gt;"",IF($R171&lt;=$F171,"NO PRAZO","FORA DO PRAZO"),IF(TODAY()&gt;$F171,"VENCIDO",IF($F171-TODAY()&lt;='01. CONFIGURAÇÕES'!$C$23,"VENCE EM BREVE","EM DIA"))))</f>
        <v/>
      </c>
      <c r="V171" s="55" t="str">
        <f t="shared" si="20"/>
        <v/>
      </c>
      <c r="W171" s="30"/>
      <c r="X171" s="33"/>
    </row>
    <row r="172" spans="1:24" x14ac:dyDescent="0.25">
      <c r="A172" s="29" t="str">
        <f t="shared" si="15"/>
        <v/>
      </c>
      <c r="B172" s="30"/>
      <c r="C172" s="30"/>
      <c r="D172" s="31"/>
      <c r="E172" s="10"/>
      <c r="F172" s="32" t="str">
        <f>IF($D172="","",$D172+IF($E172="",'01. CONFIGURAÇÕES'!$C$22,$E172))</f>
        <v/>
      </c>
      <c r="G172" s="30"/>
      <c r="H172" s="33"/>
      <c r="I172" s="33"/>
      <c r="J172" s="30"/>
      <c r="K172" s="33"/>
      <c r="L172" s="30"/>
      <c r="M172" s="33"/>
      <c r="N172" s="30"/>
      <c r="O172" s="33"/>
      <c r="P172" s="34" t="str">
        <f t="shared" si="16"/>
        <v/>
      </c>
      <c r="Q172" s="35" t="str">
        <f t="shared" si="17"/>
        <v/>
      </c>
      <c r="R172" s="35" t="str">
        <f t="shared" si="21"/>
        <v/>
      </c>
      <c r="S172" s="29" t="str">
        <f t="shared" si="18"/>
        <v/>
      </c>
      <c r="T172" s="13" t="str">
        <f t="shared" ca="1" si="19"/>
        <v/>
      </c>
      <c r="U172" s="29" t="str">
        <f ca="1">IF(OR($A172="",$F172=""),"",IF($R172&lt;&gt;"",IF($R172&lt;=$F172,"NO PRAZO","FORA DO PRAZO"),IF(TODAY()&gt;$F172,"VENCIDO",IF($F172-TODAY()&lt;='01. CONFIGURAÇÕES'!$C$23,"VENCE EM BREVE","EM DIA"))))</f>
        <v/>
      </c>
      <c r="V172" s="55" t="str">
        <f t="shared" si="20"/>
        <v/>
      </c>
      <c r="W172" s="30"/>
      <c r="X172" s="33"/>
    </row>
    <row r="173" spans="1:24" x14ac:dyDescent="0.25">
      <c r="A173" s="29" t="str">
        <f t="shared" si="15"/>
        <v/>
      </c>
      <c r="B173" s="30"/>
      <c r="C173" s="30"/>
      <c r="D173" s="31"/>
      <c r="E173" s="10"/>
      <c r="F173" s="32" t="str">
        <f>IF($D173="","",$D173+IF($E173="",'01. CONFIGURAÇÕES'!$C$22,$E173))</f>
        <v/>
      </c>
      <c r="G173" s="30"/>
      <c r="H173" s="33"/>
      <c r="I173" s="33"/>
      <c r="J173" s="30"/>
      <c r="K173" s="33"/>
      <c r="L173" s="30"/>
      <c r="M173" s="33"/>
      <c r="N173" s="30"/>
      <c r="O173" s="33"/>
      <c r="P173" s="34" t="str">
        <f t="shared" si="16"/>
        <v/>
      </c>
      <c r="Q173" s="35" t="str">
        <f t="shared" si="17"/>
        <v/>
      </c>
      <c r="R173" s="35" t="str">
        <f t="shared" si="21"/>
        <v/>
      </c>
      <c r="S173" s="29" t="str">
        <f t="shared" si="18"/>
        <v/>
      </c>
      <c r="T173" s="13" t="str">
        <f t="shared" ca="1" si="19"/>
        <v/>
      </c>
      <c r="U173" s="29" t="str">
        <f ca="1">IF(OR($A173="",$F173=""),"",IF($R173&lt;&gt;"",IF($R173&lt;=$F173,"NO PRAZO","FORA DO PRAZO"),IF(TODAY()&gt;$F173,"VENCIDO",IF($F173-TODAY()&lt;='01. CONFIGURAÇÕES'!$C$23,"VENCE EM BREVE","EM DIA"))))</f>
        <v/>
      </c>
      <c r="V173" s="55" t="str">
        <f t="shared" si="20"/>
        <v/>
      </c>
      <c r="W173" s="30"/>
      <c r="X173" s="33"/>
    </row>
    <row r="174" spans="1:24" x14ac:dyDescent="0.25">
      <c r="A174" s="29" t="str">
        <f t="shared" si="15"/>
        <v/>
      </c>
      <c r="B174" s="30"/>
      <c r="C174" s="30"/>
      <c r="D174" s="31"/>
      <c r="E174" s="10"/>
      <c r="F174" s="32" t="str">
        <f>IF($D174="","",$D174+IF($E174="",'01. CONFIGURAÇÕES'!$C$22,$E174))</f>
        <v/>
      </c>
      <c r="G174" s="30"/>
      <c r="H174" s="33"/>
      <c r="I174" s="33"/>
      <c r="J174" s="30"/>
      <c r="K174" s="33"/>
      <c r="L174" s="30"/>
      <c r="M174" s="33"/>
      <c r="N174" s="30"/>
      <c r="O174" s="33"/>
      <c r="P174" s="34" t="str">
        <f t="shared" si="16"/>
        <v/>
      </c>
      <c r="Q174" s="35" t="str">
        <f t="shared" si="17"/>
        <v/>
      </c>
      <c r="R174" s="35" t="str">
        <f t="shared" si="21"/>
        <v/>
      </c>
      <c r="S174" s="29" t="str">
        <f t="shared" si="18"/>
        <v/>
      </c>
      <c r="T174" s="13" t="str">
        <f t="shared" ca="1" si="19"/>
        <v/>
      </c>
      <c r="U174" s="29" t="str">
        <f ca="1">IF(OR($A174="",$F174=""),"",IF($R174&lt;&gt;"",IF($R174&lt;=$F174,"NO PRAZO","FORA DO PRAZO"),IF(TODAY()&gt;$F174,"VENCIDO",IF($F174-TODAY()&lt;='01. CONFIGURAÇÕES'!$C$23,"VENCE EM BREVE","EM DIA"))))</f>
        <v/>
      </c>
      <c r="V174" s="55" t="str">
        <f t="shared" si="20"/>
        <v/>
      </c>
      <c r="W174" s="30"/>
      <c r="X174" s="33"/>
    </row>
    <row r="175" spans="1:24" x14ac:dyDescent="0.25">
      <c r="A175" s="29" t="str">
        <f t="shared" si="15"/>
        <v/>
      </c>
      <c r="B175" s="30"/>
      <c r="C175" s="30"/>
      <c r="D175" s="31"/>
      <c r="E175" s="10"/>
      <c r="F175" s="32" t="str">
        <f>IF($D175="","",$D175+IF($E175="",'01. CONFIGURAÇÕES'!$C$22,$E175))</f>
        <v/>
      </c>
      <c r="G175" s="30"/>
      <c r="H175" s="33"/>
      <c r="I175" s="33"/>
      <c r="J175" s="30"/>
      <c r="K175" s="33"/>
      <c r="L175" s="30"/>
      <c r="M175" s="33"/>
      <c r="N175" s="30"/>
      <c r="O175" s="33"/>
      <c r="P175" s="34" t="str">
        <f t="shared" si="16"/>
        <v/>
      </c>
      <c r="Q175" s="35" t="str">
        <f t="shared" si="17"/>
        <v/>
      </c>
      <c r="R175" s="35" t="str">
        <f t="shared" si="21"/>
        <v/>
      </c>
      <c r="S175" s="29" t="str">
        <f t="shared" si="18"/>
        <v/>
      </c>
      <c r="T175" s="13" t="str">
        <f t="shared" ca="1" si="19"/>
        <v/>
      </c>
      <c r="U175" s="29" t="str">
        <f ca="1">IF(OR($A175="",$F175=""),"",IF($R175&lt;&gt;"",IF($R175&lt;=$F175,"NO PRAZO","FORA DO PRAZO"),IF(TODAY()&gt;$F175,"VENCIDO",IF($F175-TODAY()&lt;='01. CONFIGURAÇÕES'!$C$23,"VENCE EM BREVE","EM DIA"))))</f>
        <v/>
      </c>
      <c r="V175" s="55" t="str">
        <f t="shared" si="20"/>
        <v/>
      </c>
      <c r="W175" s="30"/>
      <c r="X175" s="33"/>
    </row>
    <row r="176" spans="1:24" x14ac:dyDescent="0.25">
      <c r="A176" s="29" t="str">
        <f t="shared" si="15"/>
        <v/>
      </c>
      <c r="B176" s="30"/>
      <c r="C176" s="30"/>
      <c r="D176" s="31"/>
      <c r="E176" s="10"/>
      <c r="F176" s="32" t="str">
        <f>IF($D176="","",$D176+IF($E176="",'01. CONFIGURAÇÕES'!$C$22,$E176))</f>
        <v/>
      </c>
      <c r="G176" s="30"/>
      <c r="H176" s="33"/>
      <c r="I176" s="33"/>
      <c r="J176" s="30"/>
      <c r="K176" s="33"/>
      <c r="L176" s="30"/>
      <c r="M176" s="33"/>
      <c r="N176" s="30"/>
      <c r="O176" s="33"/>
      <c r="P176" s="34" t="str">
        <f t="shared" si="16"/>
        <v/>
      </c>
      <c r="Q176" s="35" t="str">
        <f t="shared" si="17"/>
        <v/>
      </c>
      <c r="R176" s="35" t="str">
        <f t="shared" si="21"/>
        <v/>
      </c>
      <c r="S176" s="29" t="str">
        <f t="shared" si="18"/>
        <v/>
      </c>
      <c r="T176" s="13" t="str">
        <f t="shared" ca="1" si="19"/>
        <v/>
      </c>
      <c r="U176" s="29" t="str">
        <f ca="1">IF(OR($A176="",$F176=""),"",IF($R176&lt;&gt;"",IF($R176&lt;=$F176,"NO PRAZO","FORA DO PRAZO"),IF(TODAY()&gt;$F176,"VENCIDO",IF($F176-TODAY()&lt;='01. CONFIGURAÇÕES'!$C$23,"VENCE EM BREVE","EM DIA"))))</f>
        <v/>
      </c>
      <c r="V176" s="55" t="str">
        <f t="shared" si="20"/>
        <v/>
      </c>
      <c r="W176" s="30"/>
      <c r="X176" s="33"/>
    </row>
    <row r="177" spans="1:24" x14ac:dyDescent="0.25">
      <c r="A177" s="29" t="str">
        <f t="shared" si="15"/>
        <v/>
      </c>
      <c r="B177" s="30"/>
      <c r="C177" s="30"/>
      <c r="D177" s="31"/>
      <c r="E177" s="10"/>
      <c r="F177" s="32" t="str">
        <f>IF($D177="","",$D177+IF($E177="",'01. CONFIGURAÇÕES'!$C$22,$E177))</f>
        <v/>
      </c>
      <c r="G177" s="30"/>
      <c r="H177" s="33"/>
      <c r="I177" s="33"/>
      <c r="J177" s="30"/>
      <c r="K177" s="33"/>
      <c r="L177" s="30"/>
      <c r="M177" s="33"/>
      <c r="N177" s="30"/>
      <c r="O177" s="33"/>
      <c r="P177" s="34" t="str">
        <f t="shared" si="16"/>
        <v/>
      </c>
      <c r="Q177" s="35" t="str">
        <f t="shared" si="17"/>
        <v/>
      </c>
      <c r="R177" s="35" t="str">
        <f t="shared" si="21"/>
        <v/>
      </c>
      <c r="S177" s="29" t="str">
        <f t="shared" si="18"/>
        <v/>
      </c>
      <c r="T177" s="13" t="str">
        <f t="shared" ca="1" si="19"/>
        <v/>
      </c>
      <c r="U177" s="29" t="str">
        <f ca="1">IF(OR($A177="",$F177=""),"",IF($R177&lt;&gt;"",IF($R177&lt;=$F177,"NO PRAZO","FORA DO PRAZO"),IF(TODAY()&gt;$F177,"VENCIDO",IF($F177-TODAY()&lt;='01. CONFIGURAÇÕES'!$C$23,"VENCE EM BREVE","EM DIA"))))</f>
        <v/>
      </c>
      <c r="V177" s="55" t="str">
        <f t="shared" si="20"/>
        <v/>
      </c>
      <c r="W177" s="30"/>
      <c r="X177" s="33"/>
    </row>
    <row r="178" spans="1:24" x14ac:dyDescent="0.25">
      <c r="A178" s="29" t="str">
        <f t="shared" si="15"/>
        <v/>
      </c>
      <c r="B178" s="30"/>
      <c r="C178" s="30"/>
      <c r="D178" s="31"/>
      <c r="E178" s="10"/>
      <c r="F178" s="32" t="str">
        <f>IF($D178="","",$D178+IF($E178="",'01. CONFIGURAÇÕES'!$C$22,$E178))</f>
        <v/>
      </c>
      <c r="G178" s="30"/>
      <c r="H178" s="33"/>
      <c r="I178" s="33"/>
      <c r="J178" s="30"/>
      <c r="K178" s="33"/>
      <c r="L178" s="30"/>
      <c r="M178" s="33"/>
      <c r="N178" s="30"/>
      <c r="O178" s="33"/>
      <c r="P178" s="34" t="str">
        <f t="shared" si="16"/>
        <v/>
      </c>
      <c r="Q178" s="35" t="str">
        <f t="shared" si="17"/>
        <v/>
      </c>
      <c r="R178" s="35" t="str">
        <f t="shared" si="21"/>
        <v/>
      </c>
      <c r="S178" s="29" t="str">
        <f t="shared" si="18"/>
        <v/>
      </c>
      <c r="T178" s="13" t="str">
        <f t="shared" ca="1" si="19"/>
        <v/>
      </c>
      <c r="U178" s="29" t="str">
        <f ca="1">IF(OR($A178="",$F178=""),"",IF($R178&lt;&gt;"",IF($R178&lt;=$F178,"NO PRAZO","FORA DO PRAZO"),IF(TODAY()&gt;$F178,"VENCIDO",IF($F178-TODAY()&lt;='01. CONFIGURAÇÕES'!$C$23,"VENCE EM BREVE","EM DIA"))))</f>
        <v/>
      </c>
      <c r="V178" s="55" t="str">
        <f t="shared" si="20"/>
        <v/>
      </c>
      <c r="W178" s="30"/>
      <c r="X178" s="33"/>
    </row>
    <row r="179" spans="1:24" x14ac:dyDescent="0.25">
      <c r="A179" s="29" t="str">
        <f t="shared" si="15"/>
        <v/>
      </c>
      <c r="B179" s="30"/>
      <c r="C179" s="30"/>
      <c r="D179" s="31"/>
      <c r="E179" s="10"/>
      <c r="F179" s="32" t="str">
        <f>IF($D179="","",$D179+IF($E179="",'01. CONFIGURAÇÕES'!$C$22,$E179))</f>
        <v/>
      </c>
      <c r="G179" s="30"/>
      <c r="H179" s="33"/>
      <c r="I179" s="33"/>
      <c r="J179" s="30"/>
      <c r="K179" s="33"/>
      <c r="L179" s="30"/>
      <c r="M179" s="33"/>
      <c r="N179" s="30"/>
      <c r="O179" s="33"/>
      <c r="P179" s="34" t="str">
        <f t="shared" si="16"/>
        <v/>
      </c>
      <c r="Q179" s="35" t="str">
        <f t="shared" si="17"/>
        <v/>
      </c>
      <c r="R179" s="35" t="str">
        <f t="shared" si="21"/>
        <v/>
      </c>
      <c r="S179" s="29" t="str">
        <f t="shared" si="18"/>
        <v/>
      </c>
      <c r="T179" s="13" t="str">
        <f t="shared" ca="1" si="19"/>
        <v/>
      </c>
      <c r="U179" s="29" t="str">
        <f ca="1">IF(OR($A179="",$F179=""),"",IF($R179&lt;&gt;"",IF($R179&lt;=$F179,"NO PRAZO","FORA DO PRAZO"),IF(TODAY()&gt;$F179,"VENCIDO",IF($F179-TODAY()&lt;='01. CONFIGURAÇÕES'!$C$23,"VENCE EM BREVE","EM DIA"))))</f>
        <v/>
      </c>
      <c r="V179" s="55" t="str">
        <f t="shared" si="20"/>
        <v/>
      </c>
      <c r="W179" s="30"/>
      <c r="X179" s="33"/>
    </row>
    <row r="180" spans="1:24" x14ac:dyDescent="0.25">
      <c r="A180" s="29" t="str">
        <f t="shared" si="15"/>
        <v/>
      </c>
      <c r="B180" s="30"/>
      <c r="C180" s="30"/>
      <c r="D180" s="31"/>
      <c r="E180" s="10"/>
      <c r="F180" s="32" t="str">
        <f>IF($D180="","",$D180+IF($E180="",'01. CONFIGURAÇÕES'!$C$22,$E180))</f>
        <v/>
      </c>
      <c r="G180" s="30"/>
      <c r="H180" s="33"/>
      <c r="I180" s="33"/>
      <c r="J180" s="30"/>
      <c r="K180" s="33"/>
      <c r="L180" s="30"/>
      <c r="M180" s="33"/>
      <c r="N180" s="30"/>
      <c r="O180" s="33"/>
      <c r="P180" s="34" t="str">
        <f t="shared" si="16"/>
        <v/>
      </c>
      <c r="Q180" s="35" t="str">
        <f t="shared" si="17"/>
        <v/>
      </c>
      <c r="R180" s="35" t="str">
        <f t="shared" si="21"/>
        <v/>
      </c>
      <c r="S180" s="29" t="str">
        <f t="shared" si="18"/>
        <v/>
      </c>
      <c r="T180" s="13" t="str">
        <f t="shared" ca="1" si="19"/>
        <v/>
      </c>
      <c r="U180" s="29" t="str">
        <f ca="1">IF(OR($A180="",$F180=""),"",IF($R180&lt;&gt;"",IF($R180&lt;=$F180,"NO PRAZO","FORA DO PRAZO"),IF(TODAY()&gt;$F180,"VENCIDO",IF($F180-TODAY()&lt;='01. CONFIGURAÇÕES'!$C$23,"VENCE EM BREVE","EM DIA"))))</f>
        <v/>
      </c>
      <c r="V180" s="55" t="str">
        <f t="shared" si="20"/>
        <v/>
      </c>
      <c r="W180" s="30"/>
      <c r="X180" s="33"/>
    </row>
    <row r="181" spans="1:24" x14ac:dyDescent="0.25">
      <c r="A181" s="29" t="str">
        <f t="shared" si="15"/>
        <v/>
      </c>
      <c r="B181" s="30"/>
      <c r="C181" s="30"/>
      <c r="D181" s="31"/>
      <c r="E181" s="10"/>
      <c r="F181" s="32" t="str">
        <f>IF($D181="","",$D181+IF($E181="",'01. CONFIGURAÇÕES'!$C$22,$E181))</f>
        <v/>
      </c>
      <c r="G181" s="30"/>
      <c r="H181" s="33"/>
      <c r="I181" s="33"/>
      <c r="J181" s="30"/>
      <c r="K181" s="33"/>
      <c r="L181" s="30"/>
      <c r="M181" s="33"/>
      <c r="N181" s="30"/>
      <c r="O181" s="33"/>
      <c r="P181" s="34" t="str">
        <f t="shared" si="16"/>
        <v/>
      </c>
      <c r="Q181" s="35" t="str">
        <f t="shared" si="17"/>
        <v/>
      </c>
      <c r="R181" s="35" t="str">
        <f t="shared" si="21"/>
        <v/>
      </c>
      <c r="S181" s="29" t="str">
        <f t="shared" si="18"/>
        <v/>
      </c>
      <c r="T181" s="13" t="str">
        <f t="shared" ca="1" si="19"/>
        <v/>
      </c>
      <c r="U181" s="29" t="str">
        <f ca="1">IF(OR($A181="",$F181=""),"",IF($R181&lt;&gt;"",IF($R181&lt;=$F181,"NO PRAZO","FORA DO PRAZO"),IF(TODAY()&gt;$F181,"VENCIDO",IF($F181-TODAY()&lt;='01. CONFIGURAÇÕES'!$C$23,"VENCE EM BREVE","EM DIA"))))</f>
        <v/>
      </c>
      <c r="V181" s="55" t="str">
        <f t="shared" si="20"/>
        <v/>
      </c>
      <c r="W181" s="30"/>
      <c r="X181" s="33"/>
    </row>
    <row r="182" spans="1:24" x14ac:dyDescent="0.25">
      <c r="A182" s="29" t="str">
        <f t="shared" si="15"/>
        <v/>
      </c>
      <c r="B182" s="30"/>
      <c r="C182" s="30"/>
      <c r="D182" s="31"/>
      <c r="E182" s="10"/>
      <c r="F182" s="32" t="str">
        <f>IF($D182="","",$D182+IF($E182="",'01. CONFIGURAÇÕES'!$C$22,$E182))</f>
        <v/>
      </c>
      <c r="G182" s="30"/>
      <c r="H182" s="33"/>
      <c r="I182" s="33"/>
      <c r="J182" s="30"/>
      <c r="K182" s="33"/>
      <c r="L182" s="30"/>
      <c r="M182" s="33"/>
      <c r="N182" s="30"/>
      <c r="O182" s="33"/>
      <c r="P182" s="34" t="str">
        <f t="shared" si="16"/>
        <v/>
      </c>
      <c r="Q182" s="35" t="str">
        <f t="shared" si="17"/>
        <v/>
      </c>
      <c r="R182" s="35" t="str">
        <f t="shared" si="21"/>
        <v/>
      </c>
      <c r="S182" s="29" t="str">
        <f t="shared" si="18"/>
        <v/>
      </c>
      <c r="T182" s="13" t="str">
        <f t="shared" ca="1" si="19"/>
        <v/>
      </c>
      <c r="U182" s="29" t="str">
        <f ca="1">IF(OR($A182="",$F182=""),"",IF($R182&lt;&gt;"",IF($R182&lt;=$F182,"NO PRAZO","FORA DO PRAZO"),IF(TODAY()&gt;$F182,"VENCIDO",IF($F182-TODAY()&lt;='01. CONFIGURAÇÕES'!$C$23,"VENCE EM BREVE","EM DIA"))))</f>
        <v/>
      </c>
      <c r="V182" s="55" t="str">
        <f t="shared" si="20"/>
        <v/>
      </c>
      <c r="W182" s="30"/>
      <c r="X182" s="33"/>
    </row>
    <row r="183" spans="1:24" x14ac:dyDescent="0.25">
      <c r="A183" s="29" t="str">
        <f t="shared" si="15"/>
        <v/>
      </c>
      <c r="B183" s="30"/>
      <c r="C183" s="30"/>
      <c r="D183" s="31"/>
      <c r="E183" s="10"/>
      <c r="F183" s="32" t="str">
        <f>IF($D183="","",$D183+IF($E183="",'01. CONFIGURAÇÕES'!$C$22,$E183))</f>
        <v/>
      </c>
      <c r="G183" s="30"/>
      <c r="H183" s="33"/>
      <c r="I183" s="33"/>
      <c r="J183" s="30"/>
      <c r="K183" s="33"/>
      <c r="L183" s="30"/>
      <c r="M183" s="33"/>
      <c r="N183" s="30"/>
      <c r="O183" s="33"/>
      <c r="P183" s="34" t="str">
        <f t="shared" si="16"/>
        <v/>
      </c>
      <c r="Q183" s="35" t="str">
        <f t="shared" si="17"/>
        <v/>
      </c>
      <c r="R183" s="35" t="str">
        <f t="shared" si="21"/>
        <v/>
      </c>
      <c r="S183" s="29" t="str">
        <f t="shared" si="18"/>
        <v/>
      </c>
      <c r="T183" s="13" t="str">
        <f t="shared" ca="1" si="19"/>
        <v/>
      </c>
      <c r="U183" s="29" t="str">
        <f ca="1">IF(OR($A183="",$F183=""),"",IF($R183&lt;&gt;"",IF($R183&lt;=$F183,"NO PRAZO","FORA DO PRAZO"),IF(TODAY()&gt;$F183,"VENCIDO",IF($F183-TODAY()&lt;='01. CONFIGURAÇÕES'!$C$23,"VENCE EM BREVE","EM DIA"))))</f>
        <v/>
      </c>
      <c r="V183" s="55" t="str">
        <f t="shared" si="20"/>
        <v/>
      </c>
      <c r="W183" s="30"/>
      <c r="X183" s="33"/>
    </row>
    <row r="184" spans="1:24" x14ac:dyDescent="0.25">
      <c r="A184" s="29" t="str">
        <f t="shared" si="15"/>
        <v/>
      </c>
      <c r="B184" s="30"/>
      <c r="C184" s="30"/>
      <c r="D184" s="31"/>
      <c r="E184" s="10"/>
      <c r="F184" s="32" t="str">
        <f>IF($D184="","",$D184+IF($E184="",'01. CONFIGURAÇÕES'!$C$22,$E184))</f>
        <v/>
      </c>
      <c r="G184" s="30"/>
      <c r="H184" s="33"/>
      <c r="I184" s="33"/>
      <c r="J184" s="30"/>
      <c r="K184" s="33"/>
      <c r="L184" s="30"/>
      <c r="M184" s="33"/>
      <c r="N184" s="30"/>
      <c r="O184" s="33"/>
      <c r="P184" s="34" t="str">
        <f t="shared" si="16"/>
        <v/>
      </c>
      <c r="Q184" s="35" t="str">
        <f t="shared" si="17"/>
        <v/>
      </c>
      <c r="R184" s="35" t="str">
        <f t="shared" si="21"/>
        <v/>
      </c>
      <c r="S184" s="29" t="str">
        <f t="shared" si="18"/>
        <v/>
      </c>
      <c r="T184" s="13" t="str">
        <f t="shared" ca="1" si="19"/>
        <v/>
      </c>
      <c r="U184" s="29" t="str">
        <f ca="1">IF(OR($A184="",$F184=""),"",IF($R184&lt;&gt;"",IF($R184&lt;=$F184,"NO PRAZO","FORA DO PRAZO"),IF(TODAY()&gt;$F184,"VENCIDO",IF($F184-TODAY()&lt;='01. CONFIGURAÇÕES'!$C$23,"VENCE EM BREVE","EM DIA"))))</f>
        <v/>
      </c>
      <c r="V184" s="55" t="str">
        <f t="shared" si="20"/>
        <v/>
      </c>
      <c r="W184" s="30"/>
      <c r="X184" s="33"/>
    </row>
    <row r="185" spans="1:24" x14ac:dyDescent="0.25">
      <c r="A185" s="29" t="str">
        <f t="shared" si="15"/>
        <v/>
      </c>
      <c r="B185" s="30"/>
      <c r="C185" s="30"/>
      <c r="D185" s="31"/>
      <c r="E185" s="10"/>
      <c r="F185" s="32" t="str">
        <f>IF($D185="","",$D185+IF($E185="",'01. CONFIGURAÇÕES'!$C$22,$E185))</f>
        <v/>
      </c>
      <c r="G185" s="30"/>
      <c r="H185" s="33"/>
      <c r="I185" s="33"/>
      <c r="J185" s="30"/>
      <c r="K185" s="33"/>
      <c r="L185" s="30"/>
      <c r="M185" s="33"/>
      <c r="N185" s="30"/>
      <c r="O185" s="33"/>
      <c r="P185" s="34" t="str">
        <f t="shared" si="16"/>
        <v/>
      </c>
      <c r="Q185" s="35" t="str">
        <f t="shared" si="17"/>
        <v/>
      </c>
      <c r="R185" s="35" t="str">
        <f t="shared" si="21"/>
        <v/>
      </c>
      <c r="S185" s="29" t="str">
        <f t="shared" si="18"/>
        <v/>
      </c>
      <c r="T185" s="13" t="str">
        <f t="shared" ca="1" si="19"/>
        <v/>
      </c>
      <c r="U185" s="29" t="str">
        <f ca="1">IF(OR($A185="",$F185=""),"",IF($R185&lt;&gt;"",IF($R185&lt;=$F185,"NO PRAZO","FORA DO PRAZO"),IF(TODAY()&gt;$F185,"VENCIDO",IF($F185-TODAY()&lt;='01. CONFIGURAÇÕES'!$C$23,"VENCE EM BREVE","EM DIA"))))</f>
        <v/>
      </c>
      <c r="V185" s="55" t="str">
        <f t="shared" si="20"/>
        <v/>
      </c>
      <c r="W185" s="30"/>
      <c r="X185" s="33"/>
    </row>
    <row r="186" spans="1:24" x14ac:dyDescent="0.25">
      <c r="A186" s="29" t="str">
        <f t="shared" si="15"/>
        <v/>
      </c>
      <c r="B186" s="30"/>
      <c r="C186" s="30"/>
      <c r="D186" s="31"/>
      <c r="E186" s="10"/>
      <c r="F186" s="32" t="str">
        <f>IF($D186="","",$D186+IF($E186="",'01. CONFIGURAÇÕES'!$C$22,$E186))</f>
        <v/>
      </c>
      <c r="G186" s="30"/>
      <c r="H186" s="33"/>
      <c r="I186" s="33"/>
      <c r="J186" s="30"/>
      <c r="K186" s="33"/>
      <c r="L186" s="30"/>
      <c r="M186" s="33"/>
      <c r="N186" s="30"/>
      <c r="O186" s="33"/>
      <c r="P186" s="34" t="str">
        <f t="shared" si="16"/>
        <v/>
      </c>
      <c r="Q186" s="35" t="str">
        <f t="shared" si="17"/>
        <v/>
      </c>
      <c r="R186" s="35" t="str">
        <f t="shared" si="21"/>
        <v/>
      </c>
      <c r="S186" s="29" t="str">
        <f t="shared" si="18"/>
        <v/>
      </c>
      <c r="T186" s="13" t="str">
        <f t="shared" ca="1" si="19"/>
        <v/>
      </c>
      <c r="U186" s="29" t="str">
        <f ca="1">IF(OR($A186="",$F186=""),"",IF($R186&lt;&gt;"",IF($R186&lt;=$F186,"NO PRAZO","FORA DO PRAZO"),IF(TODAY()&gt;$F186,"VENCIDO",IF($F186-TODAY()&lt;='01. CONFIGURAÇÕES'!$C$23,"VENCE EM BREVE","EM DIA"))))</f>
        <v/>
      </c>
      <c r="V186" s="55" t="str">
        <f t="shared" si="20"/>
        <v/>
      </c>
      <c r="W186" s="30"/>
      <c r="X186" s="33"/>
    </row>
    <row r="187" spans="1:24" x14ac:dyDescent="0.25">
      <c r="A187" s="29" t="str">
        <f t="shared" si="15"/>
        <v/>
      </c>
      <c r="B187" s="30"/>
      <c r="C187" s="30"/>
      <c r="D187" s="31"/>
      <c r="E187" s="10"/>
      <c r="F187" s="32" t="str">
        <f>IF($D187="","",$D187+IF($E187="",'01. CONFIGURAÇÕES'!$C$22,$E187))</f>
        <v/>
      </c>
      <c r="G187" s="30"/>
      <c r="H187" s="33"/>
      <c r="I187" s="33"/>
      <c r="J187" s="30"/>
      <c r="K187" s="33"/>
      <c r="L187" s="30"/>
      <c r="M187" s="33"/>
      <c r="N187" s="30"/>
      <c r="O187" s="33"/>
      <c r="P187" s="34" t="str">
        <f t="shared" si="16"/>
        <v/>
      </c>
      <c r="Q187" s="35" t="str">
        <f t="shared" si="17"/>
        <v/>
      </c>
      <c r="R187" s="35" t="str">
        <f t="shared" si="21"/>
        <v/>
      </c>
      <c r="S187" s="29" t="str">
        <f t="shared" si="18"/>
        <v/>
      </c>
      <c r="T187" s="13" t="str">
        <f t="shared" ca="1" si="19"/>
        <v/>
      </c>
      <c r="U187" s="29" t="str">
        <f ca="1">IF(OR($A187="",$F187=""),"",IF($R187&lt;&gt;"",IF($R187&lt;=$F187,"NO PRAZO","FORA DO PRAZO"),IF(TODAY()&gt;$F187,"VENCIDO",IF($F187-TODAY()&lt;='01. CONFIGURAÇÕES'!$C$23,"VENCE EM BREVE","EM DIA"))))</f>
        <v/>
      </c>
      <c r="V187" s="55" t="str">
        <f t="shared" si="20"/>
        <v/>
      </c>
      <c r="W187" s="30"/>
      <c r="X187" s="33"/>
    </row>
    <row r="188" spans="1:24" x14ac:dyDescent="0.25">
      <c r="A188" s="29" t="str">
        <f t="shared" si="15"/>
        <v/>
      </c>
      <c r="B188" s="30"/>
      <c r="C188" s="30"/>
      <c r="D188" s="31"/>
      <c r="E188" s="10"/>
      <c r="F188" s="32" t="str">
        <f>IF($D188="","",$D188+IF($E188="",'01. CONFIGURAÇÕES'!$C$22,$E188))</f>
        <v/>
      </c>
      <c r="G188" s="30"/>
      <c r="H188" s="33"/>
      <c r="I188" s="33"/>
      <c r="J188" s="30"/>
      <c r="K188" s="33"/>
      <c r="L188" s="30"/>
      <c r="M188" s="33"/>
      <c r="N188" s="30"/>
      <c r="O188" s="33"/>
      <c r="P188" s="34" t="str">
        <f t="shared" si="16"/>
        <v/>
      </c>
      <c r="Q188" s="35" t="str">
        <f t="shared" si="17"/>
        <v/>
      </c>
      <c r="R188" s="35" t="str">
        <f t="shared" si="21"/>
        <v/>
      </c>
      <c r="S188" s="29" t="str">
        <f t="shared" si="18"/>
        <v/>
      </c>
      <c r="T188" s="13" t="str">
        <f t="shared" ca="1" si="19"/>
        <v/>
      </c>
      <c r="U188" s="29" t="str">
        <f ca="1">IF(OR($A188="",$F188=""),"",IF($R188&lt;&gt;"",IF($R188&lt;=$F188,"NO PRAZO","FORA DO PRAZO"),IF(TODAY()&gt;$F188,"VENCIDO",IF($F188-TODAY()&lt;='01. CONFIGURAÇÕES'!$C$23,"VENCE EM BREVE","EM DIA"))))</f>
        <v/>
      </c>
      <c r="V188" s="55" t="str">
        <f t="shared" si="20"/>
        <v/>
      </c>
      <c r="W188" s="30"/>
      <c r="X188" s="33"/>
    </row>
    <row r="189" spans="1:24" x14ac:dyDescent="0.25">
      <c r="A189" s="29" t="str">
        <f t="shared" si="15"/>
        <v/>
      </c>
      <c r="B189" s="30"/>
      <c r="C189" s="30"/>
      <c r="D189" s="31"/>
      <c r="E189" s="10"/>
      <c r="F189" s="32" t="str">
        <f>IF($D189="","",$D189+IF($E189="",'01. CONFIGURAÇÕES'!$C$22,$E189))</f>
        <v/>
      </c>
      <c r="G189" s="30"/>
      <c r="H189" s="33"/>
      <c r="I189" s="33"/>
      <c r="J189" s="30"/>
      <c r="K189" s="33"/>
      <c r="L189" s="30"/>
      <c r="M189" s="33"/>
      <c r="N189" s="30"/>
      <c r="O189" s="33"/>
      <c r="P189" s="34" t="str">
        <f t="shared" si="16"/>
        <v/>
      </c>
      <c r="Q189" s="35" t="str">
        <f t="shared" si="17"/>
        <v/>
      </c>
      <c r="R189" s="35" t="str">
        <f t="shared" si="21"/>
        <v/>
      </c>
      <c r="S189" s="29" t="str">
        <f t="shared" si="18"/>
        <v/>
      </c>
      <c r="T189" s="13" t="str">
        <f t="shared" ca="1" si="19"/>
        <v/>
      </c>
      <c r="U189" s="29" t="str">
        <f ca="1">IF(OR($A189="",$F189=""),"",IF($R189&lt;&gt;"",IF($R189&lt;=$F189,"NO PRAZO","FORA DO PRAZO"),IF(TODAY()&gt;$F189,"VENCIDO",IF($F189-TODAY()&lt;='01. CONFIGURAÇÕES'!$C$23,"VENCE EM BREVE","EM DIA"))))</f>
        <v/>
      </c>
      <c r="V189" s="55" t="str">
        <f t="shared" si="20"/>
        <v/>
      </c>
      <c r="W189" s="30"/>
      <c r="X189" s="33"/>
    </row>
    <row r="190" spans="1:24" x14ac:dyDescent="0.25">
      <c r="A190" s="29" t="str">
        <f t="shared" si="15"/>
        <v/>
      </c>
      <c r="B190" s="30"/>
      <c r="C190" s="30"/>
      <c r="D190" s="31"/>
      <c r="E190" s="10"/>
      <c r="F190" s="32" t="str">
        <f>IF($D190="","",$D190+IF($E190="",'01. CONFIGURAÇÕES'!$C$22,$E190))</f>
        <v/>
      </c>
      <c r="G190" s="30"/>
      <c r="H190" s="33"/>
      <c r="I190" s="33"/>
      <c r="J190" s="30"/>
      <c r="K190" s="33"/>
      <c r="L190" s="30"/>
      <c r="M190" s="33"/>
      <c r="N190" s="30"/>
      <c r="O190" s="33"/>
      <c r="P190" s="34" t="str">
        <f t="shared" si="16"/>
        <v/>
      </c>
      <c r="Q190" s="35" t="str">
        <f t="shared" si="17"/>
        <v/>
      </c>
      <c r="R190" s="35" t="str">
        <f t="shared" si="21"/>
        <v/>
      </c>
      <c r="S190" s="29" t="str">
        <f t="shared" si="18"/>
        <v/>
      </c>
      <c r="T190" s="13" t="str">
        <f t="shared" ca="1" si="19"/>
        <v/>
      </c>
      <c r="U190" s="29" t="str">
        <f ca="1">IF(OR($A190="",$F190=""),"",IF($R190&lt;&gt;"",IF($R190&lt;=$F190,"NO PRAZO","FORA DO PRAZO"),IF(TODAY()&gt;$F190,"VENCIDO",IF($F190-TODAY()&lt;='01. CONFIGURAÇÕES'!$C$23,"VENCE EM BREVE","EM DIA"))))</f>
        <v/>
      </c>
      <c r="V190" s="55" t="str">
        <f t="shared" si="20"/>
        <v/>
      </c>
      <c r="W190" s="30"/>
      <c r="X190" s="33"/>
    </row>
    <row r="191" spans="1:24" x14ac:dyDescent="0.25">
      <c r="A191" s="29" t="str">
        <f t="shared" si="15"/>
        <v/>
      </c>
      <c r="B191" s="30"/>
      <c r="C191" s="30"/>
      <c r="D191" s="31"/>
      <c r="E191" s="10"/>
      <c r="F191" s="32" t="str">
        <f>IF($D191="","",$D191+IF($E191="",'01. CONFIGURAÇÕES'!$C$22,$E191))</f>
        <v/>
      </c>
      <c r="G191" s="30"/>
      <c r="H191" s="33"/>
      <c r="I191" s="33"/>
      <c r="J191" s="30"/>
      <c r="K191" s="33"/>
      <c r="L191" s="30"/>
      <c r="M191" s="33"/>
      <c r="N191" s="30"/>
      <c r="O191" s="33"/>
      <c r="P191" s="34" t="str">
        <f t="shared" si="16"/>
        <v/>
      </c>
      <c r="Q191" s="35" t="str">
        <f t="shared" si="17"/>
        <v/>
      </c>
      <c r="R191" s="35" t="str">
        <f t="shared" si="21"/>
        <v/>
      </c>
      <c r="S191" s="29" t="str">
        <f t="shared" si="18"/>
        <v/>
      </c>
      <c r="T191" s="13" t="str">
        <f t="shared" ca="1" si="19"/>
        <v/>
      </c>
      <c r="U191" s="29" t="str">
        <f ca="1">IF(OR($A191="",$F191=""),"",IF($R191&lt;&gt;"",IF($R191&lt;=$F191,"NO PRAZO","FORA DO PRAZO"),IF(TODAY()&gt;$F191,"VENCIDO",IF($F191-TODAY()&lt;='01. CONFIGURAÇÕES'!$C$23,"VENCE EM BREVE","EM DIA"))))</f>
        <v/>
      </c>
      <c r="V191" s="55" t="str">
        <f t="shared" si="20"/>
        <v/>
      </c>
      <c r="W191" s="30"/>
      <c r="X191" s="33"/>
    </row>
    <row r="192" spans="1:24" x14ac:dyDescent="0.25">
      <c r="A192" s="29" t="str">
        <f t="shared" si="15"/>
        <v/>
      </c>
      <c r="B192" s="30"/>
      <c r="C192" s="30"/>
      <c r="D192" s="31"/>
      <c r="E192" s="10"/>
      <c r="F192" s="32" t="str">
        <f>IF($D192="","",$D192+IF($E192="",'01. CONFIGURAÇÕES'!$C$22,$E192))</f>
        <v/>
      </c>
      <c r="G192" s="30"/>
      <c r="H192" s="33"/>
      <c r="I192" s="33"/>
      <c r="J192" s="30"/>
      <c r="K192" s="33"/>
      <c r="L192" s="30"/>
      <c r="M192" s="33"/>
      <c r="N192" s="30"/>
      <c r="O192" s="33"/>
      <c r="P192" s="34" t="str">
        <f t="shared" si="16"/>
        <v/>
      </c>
      <c r="Q192" s="35" t="str">
        <f t="shared" si="17"/>
        <v/>
      </c>
      <c r="R192" s="35" t="str">
        <f t="shared" si="21"/>
        <v/>
      </c>
      <c r="S192" s="29" t="str">
        <f t="shared" si="18"/>
        <v/>
      </c>
      <c r="T192" s="13" t="str">
        <f t="shared" ca="1" si="19"/>
        <v/>
      </c>
      <c r="U192" s="29" t="str">
        <f ca="1">IF(OR($A192="",$F192=""),"",IF($R192&lt;&gt;"",IF($R192&lt;=$F192,"NO PRAZO","FORA DO PRAZO"),IF(TODAY()&gt;$F192,"VENCIDO",IF($F192-TODAY()&lt;='01. CONFIGURAÇÕES'!$C$23,"VENCE EM BREVE","EM DIA"))))</f>
        <v/>
      </c>
      <c r="V192" s="55" t="str">
        <f t="shared" si="20"/>
        <v/>
      </c>
      <c r="W192" s="30"/>
      <c r="X192" s="33"/>
    </row>
    <row r="193" spans="1:24" x14ac:dyDescent="0.25">
      <c r="A193" s="29" t="str">
        <f t="shared" si="15"/>
        <v/>
      </c>
      <c r="B193" s="30"/>
      <c r="C193" s="30"/>
      <c r="D193" s="31"/>
      <c r="E193" s="10"/>
      <c r="F193" s="32" t="str">
        <f>IF($D193="","",$D193+IF($E193="",'01. CONFIGURAÇÕES'!$C$22,$E193))</f>
        <v/>
      </c>
      <c r="G193" s="30"/>
      <c r="H193" s="33"/>
      <c r="I193" s="33"/>
      <c r="J193" s="30"/>
      <c r="K193" s="33"/>
      <c r="L193" s="30"/>
      <c r="M193" s="33"/>
      <c r="N193" s="30"/>
      <c r="O193" s="33"/>
      <c r="P193" s="34" t="str">
        <f t="shared" si="16"/>
        <v/>
      </c>
      <c r="Q193" s="35" t="str">
        <f t="shared" si="17"/>
        <v/>
      </c>
      <c r="R193" s="35" t="str">
        <f t="shared" si="21"/>
        <v/>
      </c>
      <c r="S193" s="29" t="str">
        <f t="shared" si="18"/>
        <v/>
      </c>
      <c r="T193" s="13" t="str">
        <f t="shared" ca="1" si="19"/>
        <v/>
      </c>
      <c r="U193" s="29" t="str">
        <f ca="1">IF(OR($A193="",$F193=""),"",IF($R193&lt;&gt;"",IF($R193&lt;=$F193,"NO PRAZO","FORA DO PRAZO"),IF(TODAY()&gt;$F193,"VENCIDO",IF($F193-TODAY()&lt;='01. CONFIGURAÇÕES'!$C$23,"VENCE EM BREVE","EM DIA"))))</f>
        <v/>
      </c>
      <c r="V193" s="55" t="str">
        <f t="shared" si="20"/>
        <v/>
      </c>
      <c r="W193" s="30"/>
      <c r="X193" s="33"/>
    </row>
    <row r="194" spans="1:24" x14ac:dyDescent="0.25">
      <c r="A194" s="29" t="str">
        <f t="shared" si="15"/>
        <v/>
      </c>
      <c r="B194" s="30"/>
      <c r="C194" s="30"/>
      <c r="D194" s="31"/>
      <c r="E194" s="10"/>
      <c r="F194" s="32" t="str">
        <f>IF($D194="","",$D194+IF($E194="",'01. CONFIGURAÇÕES'!$C$22,$E194))</f>
        <v/>
      </c>
      <c r="G194" s="30"/>
      <c r="H194" s="33"/>
      <c r="I194" s="33"/>
      <c r="J194" s="30"/>
      <c r="K194" s="33"/>
      <c r="L194" s="30"/>
      <c r="M194" s="33"/>
      <c r="N194" s="30"/>
      <c r="O194" s="33"/>
      <c r="P194" s="34" t="str">
        <f t="shared" si="16"/>
        <v/>
      </c>
      <c r="Q194" s="35" t="str">
        <f t="shared" si="17"/>
        <v/>
      </c>
      <c r="R194" s="35" t="str">
        <f t="shared" si="21"/>
        <v/>
      </c>
      <c r="S194" s="29" t="str">
        <f t="shared" si="18"/>
        <v/>
      </c>
      <c r="T194" s="13" t="str">
        <f t="shared" ca="1" si="19"/>
        <v/>
      </c>
      <c r="U194" s="29" t="str">
        <f ca="1">IF(OR($A194="",$F194=""),"",IF($R194&lt;&gt;"",IF($R194&lt;=$F194,"NO PRAZO","FORA DO PRAZO"),IF(TODAY()&gt;$F194,"VENCIDO",IF($F194-TODAY()&lt;='01. CONFIGURAÇÕES'!$C$23,"VENCE EM BREVE","EM DIA"))))</f>
        <v/>
      </c>
      <c r="V194" s="55" t="str">
        <f t="shared" si="20"/>
        <v/>
      </c>
      <c r="W194" s="30"/>
      <c r="X194" s="33"/>
    </row>
    <row r="195" spans="1:24" x14ac:dyDescent="0.25">
      <c r="A195" s="29" t="str">
        <f t="shared" si="15"/>
        <v/>
      </c>
      <c r="B195" s="30"/>
      <c r="C195" s="30"/>
      <c r="D195" s="31"/>
      <c r="E195" s="10"/>
      <c r="F195" s="32" t="str">
        <f>IF($D195="","",$D195+IF($E195="",'01. CONFIGURAÇÕES'!$C$22,$E195))</f>
        <v/>
      </c>
      <c r="G195" s="30"/>
      <c r="H195" s="33"/>
      <c r="I195" s="33"/>
      <c r="J195" s="30"/>
      <c r="K195" s="33"/>
      <c r="L195" s="30"/>
      <c r="M195" s="33"/>
      <c r="N195" s="30"/>
      <c r="O195" s="33"/>
      <c r="P195" s="34" t="str">
        <f t="shared" si="16"/>
        <v/>
      </c>
      <c r="Q195" s="35" t="str">
        <f t="shared" si="17"/>
        <v/>
      </c>
      <c r="R195" s="35" t="str">
        <f t="shared" si="21"/>
        <v/>
      </c>
      <c r="S195" s="29" t="str">
        <f t="shared" si="18"/>
        <v/>
      </c>
      <c r="T195" s="13" t="str">
        <f t="shared" ca="1" si="19"/>
        <v/>
      </c>
      <c r="U195" s="29" t="str">
        <f ca="1">IF(OR($A195="",$F195=""),"",IF($R195&lt;&gt;"",IF($R195&lt;=$F195,"NO PRAZO","FORA DO PRAZO"),IF(TODAY()&gt;$F195,"VENCIDO",IF($F195-TODAY()&lt;='01. CONFIGURAÇÕES'!$C$23,"VENCE EM BREVE","EM DIA"))))</f>
        <v/>
      </c>
      <c r="V195" s="55" t="str">
        <f t="shared" si="20"/>
        <v/>
      </c>
      <c r="W195" s="30"/>
      <c r="X195" s="33"/>
    </row>
    <row r="196" spans="1:24" x14ac:dyDescent="0.25">
      <c r="A196" s="29" t="str">
        <f t="shared" si="15"/>
        <v/>
      </c>
      <c r="B196" s="30"/>
      <c r="C196" s="30"/>
      <c r="D196" s="31"/>
      <c r="E196" s="10"/>
      <c r="F196" s="32" t="str">
        <f>IF($D196="","",$D196+IF($E196="",'01. CONFIGURAÇÕES'!$C$22,$E196))</f>
        <v/>
      </c>
      <c r="G196" s="30"/>
      <c r="H196" s="33"/>
      <c r="I196" s="33"/>
      <c r="J196" s="30"/>
      <c r="K196" s="33"/>
      <c r="L196" s="30"/>
      <c r="M196" s="33"/>
      <c r="N196" s="30"/>
      <c r="O196" s="33"/>
      <c r="P196" s="34" t="str">
        <f t="shared" si="16"/>
        <v/>
      </c>
      <c r="Q196" s="35" t="str">
        <f t="shared" si="17"/>
        <v/>
      </c>
      <c r="R196" s="35" t="str">
        <f t="shared" si="21"/>
        <v/>
      </c>
      <c r="S196" s="29" t="str">
        <f t="shared" si="18"/>
        <v/>
      </c>
      <c r="T196" s="13" t="str">
        <f t="shared" ca="1" si="19"/>
        <v/>
      </c>
      <c r="U196" s="29" t="str">
        <f ca="1">IF(OR($A196="",$F196=""),"",IF($R196&lt;&gt;"",IF($R196&lt;=$F196,"NO PRAZO","FORA DO PRAZO"),IF(TODAY()&gt;$F196,"VENCIDO",IF($F196-TODAY()&lt;='01. CONFIGURAÇÕES'!$C$23,"VENCE EM BREVE","EM DIA"))))</f>
        <v/>
      </c>
      <c r="V196" s="55" t="str">
        <f t="shared" si="20"/>
        <v/>
      </c>
      <c r="W196" s="30"/>
      <c r="X196" s="33"/>
    </row>
    <row r="197" spans="1:24" x14ac:dyDescent="0.25">
      <c r="A197" s="29" t="str">
        <f t="shared" ref="A197:A260" si="22">IF($B197="","",LEFT($B197,3)&amp;"-"&amp;TEXT(ROW()-4,"0000"))</f>
        <v/>
      </c>
      <c r="B197" s="30"/>
      <c r="C197" s="30"/>
      <c r="D197" s="31"/>
      <c r="E197" s="10"/>
      <c r="F197" s="32" t="str">
        <f>IF($D197="","",$D197+IF($E197="",'01. CONFIGURAÇÕES'!$C$22,$E197))</f>
        <v/>
      </c>
      <c r="G197" s="30"/>
      <c r="H197" s="33"/>
      <c r="I197" s="33"/>
      <c r="J197" s="30"/>
      <c r="K197" s="33"/>
      <c r="L197" s="30"/>
      <c r="M197" s="33"/>
      <c r="N197" s="30"/>
      <c r="O197" s="33"/>
      <c r="P197" s="34" t="str">
        <f t="shared" ref="P197:P260" si="23">IFERROR(IF($A197="","",IF(COUNTIFS(OS_ID,$A197)&gt;0,INDEX(OS_EQUIPE,MATCH($A197,OS_ID,0)),IF(COUNTIFS(PROG_ID,$A197)&gt;0,INDEX(PROG_EQUIPE,MATCH($A197,PROG_ID,0)),""))),"")</f>
        <v/>
      </c>
      <c r="Q197" s="35" t="str">
        <f t="shared" ref="Q197:Q260" si="24">IF($A197="","",IFERROR(IF(INDEX(PROG_DATA,MATCH($A197,PROG_ID,0))=0,"",INDEX(PROG_DATA,MATCH($A197,PROG_ID,0))),""))</f>
        <v/>
      </c>
      <c r="R197" s="35" t="str">
        <f t="shared" si="21"/>
        <v/>
      </c>
      <c r="S197" s="29" t="str">
        <f t="shared" ref="S197:S260" si="25">IF($A197="","",IF($W197&lt;&gt;"",$W197,IF($V197&gt;0,"MEDIDO",IF($R197&lt;&gt;"","EXECUTADO",IF(COUNTIFS(OS_ID,$A197)&gt;0,"EM EXECUÇÃO",IF($Q197&lt;&gt;"","PROGRAMADO","CADASTRADO"))))))</f>
        <v/>
      </c>
      <c r="T197" s="13" t="str">
        <f t="shared" ref="T197:T260" ca="1" si="26">IF($A197="","",IF($R197&lt;&gt;"",$R197-$D197,TODAY()-$D197))</f>
        <v/>
      </c>
      <c r="U197" s="29" t="str">
        <f ca="1">IF(OR($A197="",$F197=""),"",IF($R197&lt;&gt;"",IF($R197&lt;=$F197,"NO PRAZO","FORA DO PRAZO"),IF(TODAY()&gt;$F197,"VENCIDO",IF($F197-TODAY()&lt;='01. CONFIGURAÇÕES'!$C$23,"VENCE EM BREVE","EM DIA"))))</f>
        <v/>
      </c>
      <c r="V197" s="55" t="str">
        <f t="shared" ref="V197:V260" si="27">IF($A197="","",SUMIFS(MED_VLR,MED_ID,$A197))</f>
        <v/>
      </c>
      <c r="W197" s="30"/>
      <c r="X197" s="33"/>
    </row>
    <row r="198" spans="1:24" x14ac:dyDescent="0.25">
      <c r="A198" s="29" t="str">
        <f t="shared" si="22"/>
        <v/>
      </c>
      <c r="B198" s="30"/>
      <c r="C198" s="30"/>
      <c r="D198" s="31"/>
      <c r="E198" s="10"/>
      <c r="F198" s="32" t="str">
        <f>IF($D198="","",$D198+IF($E198="",'01. CONFIGURAÇÕES'!$C$22,$E198))</f>
        <v/>
      </c>
      <c r="G198" s="30"/>
      <c r="H198" s="33"/>
      <c r="I198" s="33"/>
      <c r="J198" s="30"/>
      <c r="K198" s="33"/>
      <c r="L198" s="30"/>
      <c r="M198" s="33"/>
      <c r="N198" s="30"/>
      <c r="O198" s="33"/>
      <c r="P198" s="34" t="str">
        <f t="shared" si="23"/>
        <v/>
      </c>
      <c r="Q198" s="35" t="str">
        <f t="shared" si="24"/>
        <v/>
      </c>
      <c r="R198" s="35" t="str">
        <f t="shared" si="21"/>
        <v/>
      </c>
      <c r="S198" s="29" t="str">
        <f t="shared" si="25"/>
        <v/>
      </c>
      <c r="T198" s="13" t="str">
        <f t="shared" ca="1" si="26"/>
        <v/>
      </c>
      <c r="U198" s="29" t="str">
        <f ca="1">IF(OR($A198="",$F198=""),"",IF($R198&lt;&gt;"",IF($R198&lt;=$F198,"NO PRAZO","FORA DO PRAZO"),IF(TODAY()&gt;$F198,"VENCIDO",IF($F198-TODAY()&lt;='01. CONFIGURAÇÕES'!$C$23,"VENCE EM BREVE","EM DIA"))))</f>
        <v/>
      </c>
      <c r="V198" s="55" t="str">
        <f t="shared" si="27"/>
        <v/>
      </c>
      <c r="W198" s="30"/>
      <c r="X198" s="33"/>
    </row>
    <row r="199" spans="1:24" x14ac:dyDescent="0.25">
      <c r="A199" s="29" t="str">
        <f t="shared" si="22"/>
        <v/>
      </c>
      <c r="B199" s="30"/>
      <c r="C199" s="30"/>
      <c r="D199" s="31"/>
      <c r="E199" s="10"/>
      <c r="F199" s="32" t="str">
        <f>IF($D199="","",$D199+IF($E199="",'01. CONFIGURAÇÕES'!$C$22,$E199))</f>
        <v/>
      </c>
      <c r="G199" s="30"/>
      <c r="H199" s="33"/>
      <c r="I199" s="33"/>
      <c r="J199" s="30"/>
      <c r="K199" s="33"/>
      <c r="L199" s="30"/>
      <c r="M199" s="33"/>
      <c r="N199" s="30"/>
      <c r="O199" s="33"/>
      <c r="P199" s="34" t="str">
        <f t="shared" si="23"/>
        <v/>
      </c>
      <c r="Q199" s="35" t="str">
        <f t="shared" si="24"/>
        <v/>
      </c>
      <c r="R199" s="35" t="str">
        <f t="shared" si="21"/>
        <v/>
      </c>
      <c r="S199" s="29" t="str">
        <f t="shared" si="25"/>
        <v/>
      </c>
      <c r="T199" s="13" t="str">
        <f t="shared" ca="1" si="26"/>
        <v/>
      </c>
      <c r="U199" s="29" t="str">
        <f ca="1">IF(OR($A199="",$F199=""),"",IF($R199&lt;&gt;"",IF($R199&lt;=$F199,"NO PRAZO","FORA DO PRAZO"),IF(TODAY()&gt;$F199,"VENCIDO",IF($F199-TODAY()&lt;='01. CONFIGURAÇÕES'!$C$23,"VENCE EM BREVE","EM DIA"))))</f>
        <v/>
      </c>
      <c r="V199" s="55" t="str">
        <f t="shared" si="27"/>
        <v/>
      </c>
      <c r="W199" s="30"/>
      <c r="X199" s="33"/>
    </row>
    <row r="200" spans="1:24" x14ac:dyDescent="0.25">
      <c r="A200" s="29" t="str">
        <f t="shared" si="22"/>
        <v/>
      </c>
      <c r="B200" s="30"/>
      <c r="C200" s="30"/>
      <c r="D200" s="31"/>
      <c r="E200" s="10"/>
      <c r="F200" s="32" t="str">
        <f>IF($D200="","",$D200+IF($E200="",'01. CONFIGURAÇÕES'!$C$22,$E200))</f>
        <v/>
      </c>
      <c r="G200" s="30"/>
      <c r="H200" s="33"/>
      <c r="I200" s="33"/>
      <c r="J200" s="30"/>
      <c r="K200" s="33"/>
      <c r="L200" s="30"/>
      <c r="M200" s="33"/>
      <c r="N200" s="30"/>
      <c r="O200" s="33"/>
      <c r="P200" s="34" t="str">
        <f t="shared" si="23"/>
        <v/>
      </c>
      <c r="Q200" s="35" t="str">
        <f t="shared" si="24"/>
        <v/>
      </c>
      <c r="R200" s="35" t="str">
        <f t="shared" si="21"/>
        <v/>
      </c>
      <c r="S200" s="29" t="str">
        <f t="shared" si="25"/>
        <v/>
      </c>
      <c r="T200" s="13" t="str">
        <f t="shared" ca="1" si="26"/>
        <v/>
      </c>
      <c r="U200" s="29" t="str">
        <f ca="1">IF(OR($A200="",$F200=""),"",IF($R200&lt;&gt;"",IF($R200&lt;=$F200,"NO PRAZO","FORA DO PRAZO"),IF(TODAY()&gt;$F200,"VENCIDO",IF($F200-TODAY()&lt;='01. CONFIGURAÇÕES'!$C$23,"VENCE EM BREVE","EM DIA"))))</f>
        <v/>
      </c>
      <c r="V200" s="55" t="str">
        <f t="shared" si="27"/>
        <v/>
      </c>
      <c r="W200" s="30"/>
      <c r="X200" s="33"/>
    </row>
    <row r="201" spans="1:24" x14ac:dyDescent="0.25">
      <c r="A201" s="29" t="str">
        <f t="shared" si="22"/>
        <v/>
      </c>
      <c r="B201" s="30"/>
      <c r="C201" s="30"/>
      <c r="D201" s="31"/>
      <c r="E201" s="10"/>
      <c r="F201" s="32" t="str">
        <f>IF($D201="","",$D201+IF($E201="",'01. CONFIGURAÇÕES'!$C$22,$E201))</f>
        <v/>
      </c>
      <c r="G201" s="30"/>
      <c r="H201" s="33"/>
      <c r="I201" s="33"/>
      <c r="J201" s="30"/>
      <c r="K201" s="33"/>
      <c r="L201" s="30"/>
      <c r="M201" s="33"/>
      <c r="N201" s="30"/>
      <c r="O201" s="33"/>
      <c r="P201" s="34" t="str">
        <f t="shared" si="23"/>
        <v/>
      </c>
      <c r="Q201" s="35" t="str">
        <f t="shared" si="24"/>
        <v/>
      </c>
      <c r="R201" s="35" t="str">
        <f t="shared" si="21"/>
        <v/>
      </c>
      <c r="S201" s="29" t="str">
        <f t="shared" si="25"/>
        <v/>
      </c>
      <c r="T201" s="13" t="str">
        <f t="shared" ca="1" si="26"/>
        <v/>
      </c>
      <c r="U201" s="29" t="str">
        <f ca="1">IF(OR($A201="",$F201=""),"",IF($R201&lt;&gt;"",IF($R201&lt;=$F201,"NO PRAZO","FORA DO PRAZO"),IF(TODAY()&gt;$F201,"VENCIDO",IF($F201-TODAY()&lt;='01. CONFIGURAÇÕES'!$C$23,"VENCE EM BREVE","EM DIA"))))</f>
        <v/>
      </c>
      <c r="V201" s="55" t="str">
        <f t="shared" si="27"/>
        <v/>
      </c>
      <c r="W201" s="30"/>
      <c r="X201" s="33"/>
    </row>
    <row r="202" spans="1:24" x14ac:dyDescent="0.25">
      <c r="A202" s="29" t="str">
        <f t="shared" si="22"/>
        <v/>
      </c>
      <c r="B202" s="30"/>
      <c r="C202" s="30"/>
      <c r="D202" s="31"/>
      <c r="E202" s="10"/>
      <c r="F202" s="32" t="str">
        <f>IF($D202="","",$D202+IF($E202="",'01. CONFIGURAÇÕES'!$C$22,$E202))</f>
        <v/>
      </c>
      <c r="G202" s="30"/>
      <c r="H202" s="33"/>
      <c r="I202" s="33"/>
      <c r="J202" s="30"/>
      <c r="K202" s="33"/>
      <c r="L202" s="30"/>
      <c r="M202" s="33"/>
      <c r="N202" s="30"/>
      <c r="O202" s="33"/>
      <c r="P202" s="34" t="str">
        <f t="shared" si="23"/>
        <v/>
      </c>
      <c r="Q202" s="35" t="str">
        <f t="shared" si="24"/>
        <v/>
      </c>
      <c r="R202" s="35" t="str">
        <f t="shared" si="21"/>
        <v/>
      </c>
      <c r="S202" s="29" t="str">
        <f t="shared" si="25"/>
        <v/>
      </c>
      <c r="T202" s="13" t="str">
        <f t="shared" ca="1" si="26"/>
        <v/>
      </c>
      <c r="U202" s="29" t="str">
        <f ca="1">IF(OR($A202="",$F202=""),"",IF($R202&lt;&gt;"",IF($R202&lt;=$F202,"NO PRAZO","FORA DO PRAZO"),IF(TODAY()&gt;$F202,"VENCIDO",IF($F202-TODAY()&lt;='01. CONFIGURAÇÕES'!$C$23,"VENCE EM BREVE","EM DIA"))))</f>
        <v/>
      </c>
      <c r="V202" s="55" t="str">
        <f t="shared" si="27"/>
        <v/>
      </c>
      <c r="W202" s="30"/>
      <c r="X202" s="33"/>
    </row>
    <row r="203" spans="1:24" x14ac:dyDescent="0.25">
      <c r="A203" s="29" t="str">
        <f t="shared" si="22"/>
        <v/>
      </c>
      <c r="B203" s="30"/>
      <c r="C203" s="30"/>
      <c r="D203" s="31"/>
      <c r="E203" s="10"/>
      <c r="F203" s="32" t="str">
        <f>IF($D203="","",$D203+IF($E203="",'01. CONFIGURAÇÕES'!$C$22,$E203))</f>
        <v/>
      </c>
      <c r="G203" s="30"/>
      <c r="H203" s="33"/>
      <c r="I203" s="33"/>
      <c r="J203" s="30"/>
      <c r="K203" s="33"/>
      <c r="L203" s="30"/>
      <c r="M203" s="33"/>
      <c r="N203" s="30"/>
      <c r="O203" s="33"/>
      <c r="P203" s="34" t="str">
        <f t="shared" si="23"/>
        <v/>
      </c>
      <c r="Q203" s="35" t="str">
        <f t="shared" si="24"/>
        <v/>
      </c>
      <c r="R203" s="35" t="str">
        <f t="shared" si="21"/>
        <v/>
      </c>
      <c r="S203" s="29" t="str">
        <f t="shared" si="25"/>
        <v/>
      </c>
      <c r="T203" s="13" t="str">
        <f t="shared" ca="1" si="26"/>
        <v/>
      </c>
      <c r="U203" s="29" t="str">
        <f ca="1">IF(OR($A203="",$F203=""),"",IF($R203&lt;&gt;"",IF($R203&lt;=$F203,"NO PRAZO","FORA DO PRAZO"),IF(TODAY()&gt;$F203,"VENCIDO",IF($F203-TODAY()&lt;='01. CONFIGURAÇÕES'!$C$23,"VENCE EM BREVE","EM DIA"))))</f>
        <v/>
      </c>
      <c r="V203" s="55" t="str">
        <f t="shared" si="27"/>
        <v/>
      </c>
      <c r="W203" s="30"/>
      <c r="X203" s="33"/>
    </row>
    <row r="204" spans="1:24" x14ac:dyDescent="0.25">
      <c r="A204" s="29" t="str">
        <f t="shared" si="22"/>
        <v/>
      </c>
      <c r="B204" s="30"/>
      <c r="C204" s="30"/>
      <c r="D204" s="31"/>
      <c r="E204" s="10"/>
      <c r="F204" s="32" t="str">
        <f>IF($D204="","",$D204+IF($E204="",'01. CONFIGURAÇÕES'!$C$22,$E204))</f>
        <v/>
      </c>
      <c r="G204" s="30"/>
      <c r="H204" s="33"/>
      <c r="I204" s="33"/>
      <c r="J204" s="30"/>
      <c r="K204" s="33"/>
      <c r="L204" s="30"/>
      <c r="M204" s="33"/>
      <c r="N204" s="30"/>
      <c r="O204" s="33"/>
      <c r="P204" s="34" t="str">
        <f t="shared" si="23"/>
        <v/>
      </c>
      <c r="Q204" s="35" t="str">
        <f t="shared" si="24"/>
        <v/>
      </c>
      <c r="R204" s="35" t="str">
        <f t="shared" si="21"/>
        <v/>
      </c>
      <c r="S204" s="29" t="str">
        <f t="shared" si="25"/>
        <v/>
      </c>
      <c r="T204" s="13" t="str">
        <f t="shared" ca="1" si="26"/>
        <v/>
      </c>
      <c r="U204" s="29" t="str">
        <f ca="1">IF(OR($A204="",$F204=""),"",IF($R204&lt;&gt;"",IF($R204&lt;=$F204,"NO PRAZO","FORA DO PRAZO"),IF(TODAY()&gt;$F204,"VENCIDO",IF($F204-TODAY()&lt;='01. CONFIGURAÇÕES'!$C$23,"VENCE EM BREVE","EM DIA"))))</f>
        <v/>
      </c>
      <c r="V204" s="55" t="str">
        <f t="shared" si="27"/>
        <v/>
      </c>
      <c r="W204" s="30"/>
      <c r="X204" s="33"/>
    </row>
    <row r="205" spans="1:24" x14ac:dyDescent="0.25">
      <c r="A205" s="29" t="str">
        <f t="shared" si="22"/>
        <v/>
      </c>
      <c r="B205" s="30"/>
      <c r="C205" s="30"/>
      <c r="D205" s="31"/>
      <c r="E205" s="10"/>
      <c r="F205" s="32" t="str">
        <f>IF($D205="","",$D205+IF($E205="",'01. CONFIGURAÇÕES'!$C$22,$E205))</f>
        <v/>
      </c>
      <c r="G205" s="30"/>
      <c r="H205" s="33"/>
      <c r="I205" s="33"/>
      <c r="J205" s="30"/>
      <c r="K205" s="33"/>
      <c r="L205" s="30"/>
      <c r="M205" s="33"/>
      <c r="N205" s="30"/>
      <c r="O205" s="33"/>
      <c r="P205" s="34" t="str">
        <f t="shared" si="23"/>
        <v/>
      </c>
      <c r="Q205" s="35" t="str">
        <f t="shared" si="24"/>
        <v/>
      </c>
      <c r="R205" s="35" t="str">
        <f t="shared" si="21"/>
        <v/>
      </c>
      <c r="S205" s="29" t="str">
        <f t="shared" si="25"/>
        <v/>
      </c>
      <c r="T205" s="13" t="str">
        <f t="shared" ca="1" si="26"/>
        <v/>
      </c>
      <c r="U205" s="29" t="str">
        <f ca="1">IF(OR($A205="",$F205=""),"",IF($R205&lt;&gt;"",IF($R205&lt;=$F205,"NO PRAZO","FORA DO PRAZO"),IF(TODAY()&gt;$F205,"VENCIDO",IF($F205-TODAY()&lt;='01. CONFIGURAÇÕES'!$C$23,"VENCE EM BREVE","EM DIA"))))</f>
        <v/>
      </c>
      <c r="V205" s="55" t="str">
        <f t="shared" si="27"/>
        <v/>
      </c>
      <c r="W205" s="30"/>
      <c r="X205" s="33"/>
    </row>
    <row r="206" spans="1:24" x14ac:dyDescent="0.25">
      <c r="A206" s="29" t="str">
        <f t="shared" si="22"/>
        <v/>
      </c>
      <c r="B206" s="30"/>
      <c r="C206" s="30"/>
      <c r="D206" s="31"/>
      <c r="E206" s="10"/>
      <c r="F206" s="32" t="str">
        <f>IF($D206="","",$D206+IF($E206="",'01. CONFIGURAÇÕES'!$C$22,$E206))</f>
        <v/>
      </c>
      <c r="G206" s="30"/>
      <c r="H206" s="33"/>
      <c r="I206" s="33"/>
      <c r="J206" s="30"/>
      <c r="K206" s="33"/>
      <c r="L206" s="30"/>
      <c r="M206" s="33"/>
      <c r="N206" s="30"/>
      <c r="O206" s="33"/>
      <c r="P206" s="34" t="str">
        <f t="shared" si="23"/>
        <v/>
      </c>
      <c r="Q206" s="35" t="str">
        <f t="shared" si="24"/>
        <v/>
      </c>
      <c r="R206" s="35" t="str">
        <f t="shared" si="21"/>
        <v/>
      </c>
      <c r="S206" s="29" t="str">
        <f t="shared" si="25"/>
        <v/>
      </c>
      <c r="T206" s="13" t="str">
        <f t="shared" ca="1" si="26"/>
        <v/>
      </c>
      <c r="U206" s="29" t="str">
        <f ca="1">IF(OR($A206="",$F206=""),"",IF($R206&lt;&gt;"",IF($R206&lt;=$F206,"NO PRAZO","FORA DO PRAZO"),IF(TODAY()&gt;$F206,"VENCIDO",IF($F206-TODAY()&lt;='01. CONFIGURAÇÕES'!$C$23,"VENCE EM BREVE","EM DIA"))))</f>
        <v/>
      </c>
      <c r="V206" s="55" t="str">
        <f t="shared" si="27"/>
        <v/>
      </c>
      <c r="W206" s="30"/>
      <c r="X206" s="33"/>
    </row>
    <row r="207" spans="1:24" x14ac:dyDescent="0.25">
      <c r="A207" s="29" t="str">
        <f t="shared" si="22"/>
        <v/>
      </c>
      <c r="B207" s="30"/>
      <c r="C207" s="30"/>
      <c r="D207" s="31"/>
      <c r="E207" s="10"/>
      <c r="F207" s="32" t="str">
        <f>IF($D207="","",$D207+IF($E207="",'01. CONFIGURAÇÕES'!$C$22,$E207))</f>
        <v/>
      </c>
      <c r="G207" s="30"/>
      <c r="H207" s="33"/>
      <c r="I207" s="33"/>
      <c r="J207" s="30"/>
      <c r="K207" s="33"/>
      <c r="L207" s="30"/>
      <c r="M207" s="33"/>
      <c r="N207" s="30"/>
      <c r="O207" s="33"/>
      <c r="P207" s="34" t="str">
        <f t="shared" si="23"/>
        <v/>
      </c>
      <c r="Q207" s="35" t="str">
        <f t="shared" si="24"/>
        <v/>
      </c>
      <c r="R207" s="35" t="str">
        <f t="shared" si="21"/>
        <v/>
      </c>
      <c r="S207" s="29" t="str">
        <f t="shared" si="25"/>
        <v/>
      </c>
      <c r="T207" s="13" t="str">
        <f t="shared" ca="1" si="26"/>
        <v/>
      </c>
      <c r="U207" s="29" t="str">
        <f ca="1">IF(OR($A207="",$F207=""),"",IF($R207&lt;&gt;"",IF($R207&lt;=$F207,"NO PRAZO","FORA DO PRAZO"),IF(TODAY()&gt;$F207,"VENCIDO",IF($F207-TODAY()&lt;='01. CONFIGURAÇÕES'!$C$23,"VENCE EM BREVE","EM DIA"))))</f>
        <v/>
      </c>
      <c r="V207" s="55" t="str">
        <f t="shared" si="27"/>
        <v/>
      </c>
      <c r="W207" s="30"/>
      <c r="X207" s="33"/>
    </row>
    <row r="208" spans="1:24" x14ac:dyDescent="0.25">
      <c r="A208" s="29" t="str">
        <f t="shared" si="22"/>
        <v/>
      </c>
      <c r="B208" s="30"/>
      <c r="C208" s="30"/>
      <c r="D208" s="31"/>
      <c r="E208" s="10"/>
      <c r="F208" s="32" t="str">
        <f>IF($D208="","",$D208+IF($E208="",'01. CONFIGURAÇÕES'!$C$22,$E208))</f>
        <v/>
      </c>
      <c r="G208" s="30"/>
      <c r="H208" s="33"/>
      <c r="I208" s="33"/>
      <c r="J208" s="30"/>
      <c r="K208" s="33"/>
      <c r="L208" s="30"/>
      <c r="M208" s="33"/>
      <c r="N208" s="30"/>
      <c r="O208" s="33"/>
      <c r="P208" s="34" t="str">
        <f t="shared" si="23"/>
        <v/>
      </c>
      <c r="Q208" s="35" t="str">
        <f t="shared" si="24"/>
        <v/>
      </c>
      <c r="R208" s="35" t="str">
        <f t="shared" si="21"/>
        <v/>
      </c>
      <c r="S208" s="29" t="str">
        <f t="shared" si="25"/>
        <v/>
      </c>
      <c r="T208" s="13" t="str">
        <f t="shared" ca="1" si="26"/>
        <v/>
      </c>
      <c r="U208" s="29" t="str">
        <f ca="1">IF(OR($A208="",$F208=""),"",IF($R208&lt;&gt;"",IF($R208&lt;=$F208,"NO PRAZO","FORA DO PRAZO"),IF(TODAY()&gt;$F208,"VENCIDO",IF($F208-TODAY()&lt;='01. CONFIGURAÇÕES'!$C$23,"VENCE EM BREVE","EM DIA"))))</f>
        <v/>
      </c>
      <c r="V208" s="55" t="str">
        <f t="shared" si="27"/>
        <v/>
      </c>
      <c r="W208" s="30"/>
      <c r="X208" s="33"/>
    </row>
    <row r="209" spans="1:24" x14ac:dyDescent="0.25">
      <c r="A209" s="29" t="str">
        <f t="shared" si="22"/>
        <v/>
      </c>
      <c r="B209" s="30"/>
      <c r="C209" s="30"/>
      <c r="D209" s="31"/>
      <c r="E209" s="10"/>
      <c r="F209" s="32" t="str">
        <f>IF($D209="","",$D209+IF($E209="",'01. CONFIGURAÇÕES'!$C$22,$E209))</f>
        <v/>
      </c>
      <c r="G209" s="30"/>
      <c r="H209" s="33"/>
      <c r="I209" s="33"/>
      <c r="J209" s="30"/>
      <c r="K209" s="33"/>
      <c r="L209" s="30"/>
      <c r="M209" s="33"/>
      <c r="N209" s="30"/>
      <c r="O209" s="33"/>
      <c r="P209" s="34" t="str">
        <f t="shared" si="23"/>
        <v/>
      </c>
      <c r="Q209" s="35" t="str">
        <f t="shared" si="24"/>
        <v/>
      </c>
      <c r="R209" s="35" t="str">
        <f t="shared" si="21"/>
        <v/>
      </c>
      <c r="S209" s="29" t="str">
        <f t="shared" si="25"/>
        <v/>
      </c>
      <c r="T209" s="13" t="str">
        <f t="shared" ca="1" si="26"/>
        <v/>
      </c>
      <c r="U209" s="29" t="str">
        <f ca="1">IF(OR($A209="",$F209=""),"",IF($R209&lt;&gt;"",IF($R209&lt;=$F209,"NO PRAZO","FORA DO PRAZO"),IF(TODAY()&gt;$F209,"VENCIDO",IF($F209-TODAY()&lt;='01. CONFIGURAÇÕES'!$C$23,"VENCE EM BREVE","EM DIA"))))</f>
        <v/>
      </c>
      <c r="V209" s="55" t="str">
        <f t="shared" si="27"/>
        <v/>
      </c>
      <c r="W209" s="30"/>
      <c r="X209" s="33"/>
    </row>
    <row r="210" spans="1:24" x14ac:dyDescent="0.25">
      <c r="A210" s="29" t="str">
        <f t="shared" si="22"/>
        <v/>
      </c>
      <c r="B210" s="30"/>
      <c r="C210" s="30"/>
      <c r="D210" s="31"/>
      <c r="E210" s="10"/>
      <c r="F210" s="32" t="str">
        <f>IF($D210="","",$D210+IF($E210="",'01. CONFIGURAÇÕES'!$C$22,$E210))</f>
        <v/>
      </c>
      <c r="G210" s="30"/>
      <c r="H210" s="33"/>
      <c r="I210" s="33"/>
      <c r="J210" s="30"/>
      <c r="K210" s="33"/>
      <c r="L210" s="30"/>
      <c r="M210" s="33"/>
      <c r="N210" s="30"/>
      <c r="O210" s="33"/>
      <c r="P210" s="34" t="str">
        <f t="shared" si="23"/>
        <v/>
      </c>
      <c r="Q210" s="35" t="str">
        <f t="shared" si="24"/>
        <v/>
      </c>
      <c r="R210" s="35" t="str">
        <f t="shared" si="21"/>
        <v/>
      </c>
      <c r="S210" s="29" t="str">
        <f t="shared" si="25"/>
        <v/>
      </c>
      <c r="T210" s="13" t="str">
        <f t="shared" ca="1" si="26"/>
        <v/>
      </c>
      <c r="U210" s="29" t="str">
        <f ca="1">IF(OR($A210="",$F210=""),"",IF($R210&lt;&gt;"",IF($R210&lt;=$F210,"NO PRAZO","FORA DO PRAZO"),IF(TODAY()&gt;$F210,"VENCIDO",IF($F210-TODAY()&lt;='01. CONFIGURAÇÕES'!$C$23,"VENCE EM BREVE","EM DIA"))))</f>
        <v/>
      </c>
      <c r="V210" s="55" t="str">
        <f t="shared" si="27"/>
        <v/>
      </c>
      <c r="W210" s="30"/>
      <c r="X210" s="33"/>
    </row>
    <row r="211" spans="1:24" x14ac:dyDescent="0.25">
      <c r="A211" s="29" t="str">
        <f t="shared" si="22"/>
        <v/>
      </c>
      <c r="B211" s="30"/>
      <c r="C211" s="30"/>
      <c r="D211" s="31"/>
      <c r="E211" s="10"/>
      <c r="F211" s="32" t="str">
        <f>IF($D211="","",$D211+IF($E211="",'01. CONFIGURAÇÕES'!$C$22,$E211))</f>
        <v/>
      </c>
      <c r="G211" s="30"/>
      <c r="H211" s="33"/>
      <c r="I211" s="33"/>
      <c r="J211" s="30"/>
      <c r="K211" s="33"/>
      <c r="L211" s="30"/>
      <c r="M211" s="33"/>
      <c r="N211" s="30"/>
      <c r="O211" s="33"/>
      <c r="P211" s="34" t="str">
        <f t="shared" si="23"/>
        <v/>
      </c>
      <c r="Q211" s="35" t="str">
        <f t="shared" si="24"/>
        <v/>
      </c>
      <c r="R211" s="35" t="str">
        <f t="shared" si="21"/>
        <v/>
      </c>
      <c r="S211" s="29" t="str">
        <f t="shared" si="25"/>
        <v/>
      </c>
      <c r="T211" s="13" t="str">
        <f t="shared" ca="1" si="26"/>
        <v/>
      </c>
      <c r="U211" s="29" t="str">
        <f ca="1">IF(OR($A211="",$F211=""),"",IF($R211&lt;&gt;"",IF($R211&lt;=$F211,"NO PRAZO","FORA DO PRAZO"),IF(TODAY()&gt;$F211,"VENCIDO",IF($F211-TODAY()&lt;='01. CONFIGURAÇÕES'!$C$23,"VENCE EM BREVE","EM DIA"))))</f>
        <v/>
      </c>
      <c r="V211" s="55" t="str">
        <f t="shared" si="27"/>
        <v/>
      </c>
      <c r="W211" s="30"/>
      <c r="X211" s="33"/>
    </row>
    <row r="212" spans="1:24" x14ac:dyDescent="0.25">
      <c r="A212" s="29" t="str">
        <f t="shared" si="22"/>
        <v/>
      </c>
      <c r="B212" s="30"/>
      <c r="C212" s="30"/>
      <c r="D212" s="31"/>
      <c r="E212" s="10"/>
      <c r="F212" s="32" t="str">
        <f>IF($D212="","",$D212+IF($E212="",'01. CONFIGURAÇÕES'!$C$22,$E212))</f>
        <v/>
      </c>
      <c r="G212" s="30"/>
      <c r="H212" s="33"/>
      <c r="I212" s="33"/>
      <c r="J212" s="30"/>
      <c r="K212" s="33"/>
      <c r="L212" s="30"/>
      <c r="M212" s="33"/>
      <c r="N212" s="30"/>
      <c r="O212" s="33"/>
      <c r="P212" s="34" t="str">
        <f t="shared" si="23"/>
        <v/>
      </c>
      <c r="Q212" s="35" t="str">
        <f t="shared" si="24"/>
        <v/>
      </c>
      <c r="R212" s="35" t="str">
        <f t="shared" si="21"/>
        <v/>
      </c>
      <c r="S212" s="29" t="str">
        <f t="shared" si="25"/>
        <v/>
      </c>
      <c r="T212" s="13" t="str">
        <f t="shared" ca="1" si="26"/>
        <v/>
      </c>
      <c r="U212" s="29" t="str">
        <f ca="1">IF(OR($A212="",$F212=""),"",IF($R212&lt;&gt;"",IF($R212&lt;=$F212,"NO PRAZO","FORA DO PRAZO"),IF(TODAY()&gt;$F212,"VENCIDO",IF($F212-TODAY()&lt;='01. CONFIGURAÇÕES'!$C$23,"VENCE EM BREVE","EM DIA"))))</f>
        <v/>
      </c>
      <c r="V212" s="55" t="str">
        <f t="shared" si="27"/>
        <v/>
      </c>
      <c r="W212" s="30"/>
      <c r="X212" s="33"/>
    </row>
    <row r="213" spans="1:24" x14ac:dyDescent="0.25">
      <c r="A213" s="29" t="str">
        <f t="shared" si="22"/>
        <v/>
      </c>
      <c r="B213" s="30"/>
      <c r="C213" s="30"/>
      <c r="D213" s="31"/>
      <c r="E213" s="10"/>
      <c r="F213" s="32" t="str">
        <f>IF($D213="","",$D213+IF($E213="",'01. CONFIGURAÇÕES'!$C$22,$E213))</f>
        <v/>
      </c>
      <c r="G213" s="30"/>
      <c r="H213" s="33"/>
      <c r="I213" s="33"/>
      <c r="J213" s="30"/>
      <c r="K213" s="33"/>
      <c r="L213" s="30"/>
      <c r="M213" s="33"/>
      <c r="N213" s="30"/>
      <c r="O213" s="33"/>
      <c r="P213" s="34" t="str">
        <f t="shared" si="23"/>
        <v/>
      </c>
      <c r="Q213" s="35" t="str">
        <f t="shared" si="24"/>
        <v/>
      </c>
      <c r="R213" s="35" t="str">
        <f t="shared" si="21"/>
        <v/>
      </c>
      <c r="S213" s="29" t="str">
        <f t="shared" si="25"/>
        <v/>
      </c>
      <c r="T213" s="13" t="str">
        <f t="shared" ca="1" si="26"/>
        <v/>
      </c>
      <c r="U213" s="29" t="str">
        <f ca="1">IF(OR($A213="",$F213=""),"",IF($R213&lt;&gt;"",IF($R213&lt;=$F213,"NO PRAZO","FORA DO PRAZO"),IF(TODAY()&gt;$F213,"VENCIDO",IF($F213-TODAY()&lt;='01. CONFIGURAÇÕES'!$C$23,"VENCE EM BREVE","EM DIA"))))</f>
        <v/>
      </c>
      <c r="V213" s="55" t="str">
        <f t="shared" si="27"/>
        <v/>
      </c>
      <c r="W213" s="30"/>
      <c r="X213" s="33"/>
    </row>
    <row r="214" spans="1:24" x14ac:dyDescent="0.25">
      <c r="A214" s="29" t="str">
        <f t="shared" si="22"/>
        <v/>
      </c>
      <c r="B214" s="30"/>
      <c r="C214" s="30"/>
      <c r="D214" s="31"/>
      <c r="E214" s="10"/>
      <c r="F214" s="32" t="str">
        <f>IF($D214="","",$D214+IF($E214="",'01. CONFIGURAÇÕES'!$C$22,$E214))</f>
        <v/>
      </c>
      <c r="G214" s="30"/>
      <c r="H214" s="33"/>
      <c r="I214" s="33"/>
      <c r="J214" s="30"/>
      <c r="K214" s="33"/>
      <c r="L214" s="30"/>
      <c r="M214" s="33"/>
      <c r="N214" s="30"/>
      <c r="O214" s="33"/>
      <c r="P214" s="34" t="str">
        <f t="shared" si="23"/>
        <v/>
      </c>
      <c r="Q214" s="35" t="str">
        <f t="shared" si="24"/>
        <v/>
      </c>
      <c r="R214" s="35" t="str">
        <f t="shared" si="21"/>
        <v/>
      </c>
      <c r="S214" s="29" t="str">
        <f t="shared" si="25"/>
        <v/>
      </c>
      <c r="T214" s="13" t="str">
        <f t="shared" ca="1" si="26"/>
        <v/>
      </c>
      <c r="U214" s="29" t="str">
        <f ca="1">IF(OR($A214="",$F214=""),"",IF($R214&lt;&gt;"",IF($R214&lt;=$F214,"NO PRAZO","FORA DO PRAZO"),IF(TODAY()&gt;$F214,"VENCIDO",IF($F214-TODAY()&lt;='01. CONFIGURAÇÕES'!$C$23,"VENCE EM BREVE","EM DIA"))))</f>
        <v/>
      </c>
      <c r="V214" s="55" t="str">
        <f t="shared" si="27"/>
        <v/>
      </c>
      <c r="W214" s="30"/>
      <c r="X214" s="33"/>
    </row>
    <row r="215" spans="1:24" x14ac:dyDescent="0.25">
      <c r="A215" s="29" t="str">
        <f t="shared" si="22"/>
        <v/>
      </c>
      <c r="B215" s="30"/>
      <c r="C215" s="30"/>
      <c r="D215" s="31"/>
      <c r="E215" s="10"/>
      <c r="F215" s="32" t="str">
        <f>IF($D215="","",$D215+IF($E215="",'01. CONFIGURAÇÕES'!$C$22,$E215))</f>
        <v/>
      </c>
      <c r="G215" s="30"/>
      <c r="H215" s="33"/>
      <c r="I215" s="33"/>
      <c r="J215" s="30"/>
      <c r="K215" s="33"/>
      <c r="L215" s="30"/>
      <c r="M215" s="33"/>
      <c r="N215" s="30"/>
      <c r="O215" s="33"/>
      <c r="P215" s="34" t="str">
        <f t="shared" si="23"/>
        <v/>
      </c>
      <c r="Q215" s="35" t="str">
        <f t="shared" si="24"/>
        <v/>
      </c>
      <c r="R215" s="35" t="str">
        <f t="shared" si="21"/>
        <v/>
      </c>
      <c r="S215" s="29" t="str">
        <f t="shared" si="25"/>
        <v/>
      </c>
      <c r="T215" s="13" t="str">
        <f t="shared" ca="1" si="26"/>
        <v/>
      </c>
      <c r="U215" s="29" t="str">
        <f ca="1">IF(OR($A215="",$F215=""),"",IF($R215&lt;&gt;"",IF($R215&lt;=$F215,"NO PRAZO","FORA DO PRAZO"),IF(TODAY()&gt;$F215,"VENCIDO",IF($F215-TODAY()&lt;='01. CONFIGURAÇÕES'!$C$23,"VENCE EM BREVE","EM DIA"))))</f>
        <v/>
      </c>
      <c r="V215" s="55" t="str">
        <f t="shared" si="27"/>
        <v/>
      </c>
      <c r="W215" s="30"/>
      <c r="X215" s="33"/>
    </row>
    <row r="216" spans="1:24" x14ac:dyDescent="0.25">
      <c r="A216" s="29" t="str">
        <f t="shared" si="22"/>
        <v/>
      </c>
      <c r="B216" s="30"/>
      <c r="C216" s="30"/>
      <c r="D216" s="31"/>
      <c r="E216" s="10"/>
      <c r="F216" s="32" t="str">
        <f>IF($D216="","",$D216+IF($E216="",'01. CONFIGURAÇÕES'!$C$22,$E216))</f>
        <v/>
      </c>
      <c r="G216" s="30"/>
      <c r="H216" s="33"/>
      <c r="I216" s="33"/>
      <c r="J216" s="30"/>
      <c r="K216" s="33"/>
      <c r="L216" s="30"/>
      <c r="M216" s="33"/>
      <c r="N216" s="30"/>
      <c r="O216" s="33"/>
      <c r="P216" s="34" t="str">
        <f t="shared" si="23"/>
        <v/>
      </c>
      <c r="Q216" s="35" t="str">
        <f t="shared" si="24"/>
        <v/>
      </c>
      <c r="R216" s="35" t="str">
        <f t="shared" si="21"/>
        <v/>
      </c>
      <c r="S216" s="29" t="str">
        <f t="shared" si="25"/>
        <v/>
      </c>
      <c r="T216" s="13" t="str">
        <f t="shared" ca="1" si="26"/>
        <v/>
      </c>
      <c r="U216" s="29" t="str">
        <f ca="1">IF(OR($A216="",$F216=""),"",IF($R216&lt;&gt;"",IF($R216&lt;=$F216,"NO PRAZO","FORA DO PRAZO"),IF(TODAY()&gt;$F216,"VENCIDO",IF($F216-TODAY()&lt;='01. CONFIGURAÇÕES'!$C$23,"VENCE EM BREVE","EM DIA"))))</f>
        <v/>
      </c>
      <c r="V216" s="55" t="str">
        <f t="shared" si="27"/>
        <v/>
      </c>
      <c r="W216" s="30"/>
      <c r="X216" s="33"/>
    </row>
    <row r="217" spans="1:24" x14ac:dyDescent="0.25">
      <c r="A217" s="29" t="str">
        <f t="shared" si="22"/>
        <v/>
      </c>
      <c r="B217" s="30"/>
      <c r="C217" s="30"/>
      <c r="D217" s="31"/>
      <c r="E217" s="10"/>
      <c r="F217" s="32" t="str">
        <f>IF($D217="","",$D217+IF($E217="",'01. CONFIGURAÇÕES'!$C$22,$E217))</f>
        <v/>
      </c>
      <c r="G217" s="30"/>
      <c r="H217" s="33"/>
      <c r="I217" s="33"/>
      <c r="J217" s="30"/>
      <c r="K217" s="33"/>
      <c r="L217" s="30"/>
      <c r="M217" s="33"/>
      <c r="N217" s="30"/>
      <c r="O217" s="33"/>
      <c r="P217" s="34" t="str">
        <f t="shared" si="23"/>
        <v/>
      </c>
      <c r="Q217" s="35" t="str">
        <f t="shared" si="24"/>
        <v/>
      </c>
      <c r="R217" s="35" t="str">
        <f t="shared" si="21"/>
        <v/>
      </c>
      <c r="S217" s="29" t="str">
        <f t="shared" si="25"/>
        <v/>
      </c>
      <c r="T217" s="13" t="str">
        <f t="shared" ca="1" si="26"/>
        <v/>
      </c>
      <c r="U217" s="29" t="str">
        <f ca="1">IF(OR($A217="",$F217=""),"",IF($R217&lt;&gt;"",IF($R217&lt;=$F217,"NO PRAZO","FORA DO PRAZO"),IF(TODAY()&gt;$F217,"VENCIDO",IF($F217-TODAY()&lt;='01. CONFIGURAÇÕES'!$C$23,"VENCE EM BREVE","EM DIA"))))</f>
        <v/>
      </c>
      <c r="V217" s="55" t="str">
        <f t="shared" si="27"/>
        <v/>
      </c>
      <c r="W217" s="30"/>
      <c r="X217" s="33"/>
    </row>
    <row r="218" spans="1:24" x14ac:dyDescent="0.25">
      <c r="A218" s="29" t="str">
        <f t="shared" si="22"/>
        <v/>
      </c>
      <c r="B218" s="30"/>
      <c r="C218" s="30"/>
      <c r="D218" s="31"/>
      <c r="E218" s="10"/>
      <c r="F218" s="32" t="str">
        <f>IF($D218="","",$D218+IF($E218="",'01. CONFIGURAÇÕES'!$C$22,$E218))</f>
        <v/>
      </c>
      <c r="G218" s="30"/>
      <c r="H218" s="33"/>
      <c r="I218" s="33"/>
      <c r="J218" s="30"/>
      <c r="K218" s="33"/>
      <c r="L218" s="30"/>
      <c r="M218" s="33"/>
      <c r="N218" s="30"/>
      <c r="O218" s="33"/>
      <c r="P218" s="34" t="str">
        <f t="shared" si="23"/>
        <v/>
      </c>
      <c r="Q218" s="35" t="str">
        <f t="shared" si="24"/>
        <v/>
      </c>
      <c r="R218" s="35" t="str">
        <f t="shared" si="21"/>
        <v/>
      </c>
      <c r="S218" s="29" t="str">
        <f t="shared" si="25"/>
        <v/>
      </c>
      <c r="T218" s="13" t="str">
        <f t="shared" ca="1" si="26"/>
        <v/>
      </c>
      <c r="U218" s="29" t="str">
        <f ca="1">IF(OR($A218="",$F218=""),"",IF($R218&lt;&gt;"",IF($R218&lt;=$F218,"NO PRAZO","FORA DO PRAZO"),IF(TODAY()&gt;$F218,"VENCIDO",IF($F218-TODAY()&lt;='01. CONFIGURAÇÕES'!$C$23,"VENCE EM BREVE","EM DIA"))))</f>
        <v/>
      </c>
      <c r="V218" s="55" t="str">
        <f t="shared" si="27"/>
        <v/>
      </c>
      <c r="W218" s="30"/>
      <c r="X218" s="33"/>
    </row>
    <row r="219" spans="1:24" x14ac:dyDescent="0.25">
      <c r="A219" s="29" t="str">
        <f t="shared" si="22"/>
        <v/>
      </c>
      <c r="B219" s="30"/>
      <c r="C219" s="30"/>
      <c r="D219" s="31"/>
      <c r="E219" s="10"/>
      <c r="F219" s="32" t="str">
        <f>IF($D219="","",$D219+IF($E219="",'01. CONFIGURAÇÕES'!$C$22,$E219))</f>
        <v/>
      </c>
      <c r="G219" s="30"/>
      <c r="H219" s="33"/>
      <c r="I219" s="33"/>
      <c r="J219" s="30"/>
      <c r="K219" s="33"/>
      <c r="L219" s="30"/>
      <c r="M219" s="33"/>
      <c r="N219" s="30"/>
      <c r="O219" s="33"/>
      <c r="P219" s="34" t="str">
        <f t="shared" si="23"/>
        <v/>
      </c>
      <c r="Q219" s="35" t="str">
        <f t="shared" si="24"/>
        <v/>
      </c>
      <c r="R219" s="35" t="str">
        <f t="shared" si="21"/>
        <v/>
      </c>
      <c r="S219" s="29" t="str">
        <f t="shared" si="25"/>
        <v/>
      </c>
      <c r="T219" s="13" t="str">
        <f t="shared" ca="1" si="26"/>
        <v/>
      </c>
      <c r="U219" s="29" t="str">
        <f ca="1">IF(OR($A219="",$F219=""),"",IF($R219&lt;&gt;"",IF($R219&lt;=$F219,"NO PRAZO","FORA DO PRAZO"),IF(TODAY()&gt;$F219,"VENCIDO",IF($F219-TODAY()&lt;='01. CONFIGURAÇÕES'!$C$23,"VENCE EM BREVE","EM DIA"))))</f>
        <v/>
      </c>
      <c r="V219" s="55" t="str">
        <f t="shared" si="27"/>
        <v/>
      </c>
      <c r="W219" s="30"/>
      <c r="X219" s="33"/>
    </row>
    <row r="220" spans="1:24" x14ac:dyDescent="0.25">
      <c r="A220" s="29" t="str">
        <f t="shared" si="22"/>
        <v/>
      </c>
      <c r="B220" s="30"/>
      <c r="C220" s="30"/>
      <c r="D220" s="31"/>
      <c r="E220" s="10"/>
      <c r="F220" s="32" t="str">
        <f>IF($D220="","",$D220+IF($E220="",'01. CONFIGURAÇÕES'!$C$22,$E220))</f>
        <v/>
      </c>
      <c r="G220" s="30"/>
      <c r="H220" s="33"/>
      <c r="I220" s="33"/>
      <c r="J220" s="30"/>
      <c r="K220" s="33"/>
      <c r="L220" s="30"/>
      <c r="M220" s="33"/>
      <c r="N220" s="30"/>
      <c r="O220" s="33"/>
      <c r="P220" s="34" t="str">
        <f t="shared" si="23"/>
        <v/>
      </c>
      <c r="Q220" s="35" t="str">
        <f t="shared" si="24"/>
        <v/>
      </c>
      <c r="R220" s="35" t="str">
        <f t="shared" si="21"/>
        <v/>
      </c>
      <c r="S220" s="29" t="str">
        <f t="shared" si="25"/>
        <v/>
      </c>
      <c r="T220" s="13" t="str">
        <f t="shared" ca="1" si="26"/>
        <v/>
      </c>
      <c r="U220" s="29" t="str">
        <f ca="1">IF(OR($A220="",$F220=""),"",IF($R220&lt;&gt;"",IF($R220&lt;=$F220,"NO PRAZO","FORA DO PRAZO"),IF(TODAY()&gt;$F220,"VENCIDO",IF($F220-TODAY()&lt;='01. CONFIGURAÇÕES'!$C$23,"VENCE EM BREVE","EM DIA"))))</f>
        <v/>
      </c>
      <c r="V220" s="55" t="str">
        <f t="shared" si="27"/>
        <v/>
      </c>
      <c r="W220" s="30"/>
      <c r="X220" s="33"/>
    </row>
    <row r="221" spans="1:24" x14ac:dyDescent="0.25">
      <c r="A221" s="29" t="str">
        <f t="shared" si="22"/>
        <v/>
      </c>
      <c r="B221" s="30"/>
      <c r="C221" s="30"/>
      <c r="D221" s="31"/>
      <c r="E221" s="10"/>
      <c r="F221" s="32" t="str">
        <f>IF($D221="","",$D221+IF($E221="",'01. CONFIGURAÇÕES'!$C$22,$E221))</f>
        <v/>
      </c>
      <c r="G221" s="30"/>
      <c r="H221" s="33"/>
      <c r="I221" s="33"/>
      <c r="J221" s="30"/>
      <c r="K221" s="33"/>
      <c r="L221" s="30"/>
      <c r="M221" s="33"/>
      <c r="N221" s="30"/>
      <c r="O221" s="33"/>
      <c r="P221" s="34" t="str">
        <f t="shared" si="23"/>
        <v/>
      </c>
      <c r="Q221" s="35" t="str">
        <f t="shared" si="24"/>
        <v/>
      </c>
      <c r="R221" s="35" t="str">
        <f t="shared" si="21"/>
        <v/>
      </c>
      <c r="S221" s="29" t="str">
        <f t="shared" si="25"/>
        <v/>
      </c>
      <c r="T221" s="13" t="str">
        <f t="shared" ca="1" si="26"/>
        <v/>
      </c>
      <c r="U221" s="29" t="str">
        <f ca="1">IF(OR($A221="",$F221=""),"",IF($R221&lt;&gt;"",IF($R221&lt;=$F221,"NO PRAZO","FORA DO PRAZO"),IF(TODAY()&gt;$F221,"VENCIDO",IF($F221-TODAY()&lt;='01. CONFIGURAÇÕES'!$C$23,"VENCE EM BREVE","EM DIA"))))</f>
        <v/>
      </c>
      <c r="V221" s="55" t="str">
        <f t="shared" si="27"/>
        <v/>
      </c>
      <c r="W221" s="30"/>
      <c r="X221" s="33"/>
    </row>
    <row r="222" spans="1:24" x14ac:dyDescent="0.25">
      <c r="A222" s="29" t="str">
        <f t="shared" si="22"/>
        <v/>
      </c>
      <c r="B222" s="30"/>
      <c r="C222" s="30"/>
      <c r="D222" s="31"/>
      <c r="E222" s="10"/>
      <c r="F222" s="32" t="str">
        <f>IF($D222="","",$D222+IF($E222="",'01. CONFIGURAÇÕES'!$C$22,$E222))</f>
        <v/>
      </c>
      <c r="G222" s="30"/>
      <c r="H222" s="33"/>
      <c r="I222" s="33"/>
      <c r="J222" s="30"/>
      <c r="K222" s="33"/>
      <c r="L222" s="30"/>
      <c r="M222" s="33"/>
      <c r="N222" s="30"/>
      <c r="O222" s="33"/>
      <c r="P222" s="34" t="str">
        <f t="shared" si="23"/>
        <v/>
      </c>
      <c r="Q222" s="35" t="str">
        <f t="shared" si="24"/>
        <v/>
      </c>
      <c r="R222" s="35" t="str">
        <f t="shared" si="21"/>
        <v/>
      </c>
      <c r="S222" s="29" t="str">
        <f t="shared" si="25"/>
        <v/>
      </c>
      <c r="T222" s="13" t="str">
        <f t="shared" ca="1" si="26"/>
        <v/>
      </c>
      <c r="U222" s="29" t="str">
        <f ca="1">IF(OR($A222="",$F222=""),"",IF($R222&lt;&gt;"",IF($R222&lt;=$F222,"NO PRAZO","FORA DO PRAZO"),IF(TODAY()&gt;$F222,"VENCIDO",IF($F222-TODAY()&lt;='01. CONFIGURAÇÕES'!$C$23,"VENCE EM BREVE","EM DIA"))))</f>
        <v/>
      </c>
      <c r="V222" s="55" t="str">
        <f t="shared" si="27"/>
        <v/>
      </c>
      <c r="W222" s="30"/>
      <c r="X222" s="33"/>
    </row>
    <row r="223" spans="1:24" x14ac:dyDescent="0.25">
      <c r="A223" s="29" t="str">
        <f t="shared" si="22"/>
        <v/>
      </c>
      <c r="B223" s="30"/>
      <c r="C223" s="30"/>
      <c r="D223" s="31"/>
      <c r="E223" s="10"/>
      <c r="F223" s="32" t="str">
        <f>IF($D223="","",$D223+IF($E223="",'01. CONFIGURAÇÕES'!$C$22,$E223))</f>
        <v/>
      </c>
      <c r="G223" s="30"/>
      <c r="H223" s="33"/>
      <c r="I223" s="33"/>
      <c r="J223" s="30"/>
      <c r="K223" s="33"/>
      <c r="L223" s="30"/>
      <c r="M223" s="33"/>
      <c r="N223" s="30"/>
      <c r="O223" s="33"/>
      <c r="P223" s="34" t="str">
        <f t="shared" si="23"/>
        <v/>
      </c>
      <c r="Q223" s="35" t="str">
        <f t="shared" si="24"/>
        <v/>
      </c>
      <c r="R223" s="35" t="str">
        <f t="shared" ref="R223:R286" si="28">IF($A223="","",IFERROR(IF(INDEX(OS_FIM,MATCH($A223,OS_ID,0))=0,"",INDEX(OS_FIM,MATCH($A223,OS_ID,0))),""))</f>
        <v/>
      </c>
      <c r="S223" s="29" t="str">
        <f t="shared" si="25"/>
        <v/>
      </c>
      <c r="T223" s="13" t="str">
        <f t="shared" ca="1" si="26"/>
        <v/>
      </c>
      <c r="U223" s="29" t="str">
        <f ca="1">IF(OR($A223="",$F223=""),"",IF($R223&lt;&gt;"",IF($R223&lt;=$F223,"NO PRAZO","FORA DO PRAZO"),IF(TODAY()&gt;$F223,"VENCIDO",IF($F223-TODAY()&lt;='01. CONFIGURAÇÕES'!$C$23,"VENCE EM BREVE","EM DIA"))))</f>
        <v/>
      </c>
      <c r="V223" s="55" t="str">
        <f t="shared" si="27"/>
        <v/>
      </c>
      <c r="W223" s="30"/>
      <c r="X223" s="33"/>
    </row>
    <row r="224" spans="1:24" x14ac:dyDescent="0.25">
      <c r="A224" s="29" t="str">
        <f t="shared" si="22"/>
        <v/>
      </c>
      <c r="B224" s="30"/>
      <c r="C224" s="30"/>
      <c r="D224" s="31"/>
      <c r="E224" s="10"/>
      <c r="F224" s="32" t="str">
        <f>IF($D224="","",$D224+IF($E224="",'01. CONFIGURAÇÕES'!$C$22,$E224))</f>
        <v/>
      </c>
      <c r="G224" s="30"/>
      <c r="H224" s="33"/>
      <c r="I224" s="33"/>
      <c r="J224" s="30"/>
      <c r="K224" s="33"/>
      <c r="L224" s="30"/>
      <c r="M224" s="33"/>
      <c r="N224" s="30"/>
      <c r="O224" s="33"/>
      <c r="P224" s="34" t="str">
        <f t="shared" si="23"/>
        <v/>
      </c>
      <c r="Q224" s="35" t="str">
        <f t="shared" si="24"/>
        <v/>
      </c>
      <c r="R224" s="35" t="str">
        <f t="shared" si="28"/>
        <v/>
      </c>
      <c r="S224" s="29" t="str">
        <f t="shared" si="25"/>
        <v/>
      </c>
      <c r="T224" s="13" t="str">
        <f t="shared" ca="1" si="26"/>
        <v/>
      </c>
      <c r="U224" s="29" t="str">
        <f ca="1">IF(OR($A224="",$F224=""),"",IF($R224&lt;&gt;"",IF($R224&lt;=$F224,"NO PRAZO","FORA DO PRAZO"),IF(TODAY()&gt;$F224,"VENCIDO",IF($F224-TODAY()&lt;='01. CONFIGURAÇÕES'!$C$23,"VENCE EM BREVE","EM DIA"))))</f>
        <v/>
      </c>
      <c r="V224" s="55" t="str">
        <f t="shared" si="27"/>
        <v/>
      </c>
      <c r="W224" s="30"/>
      <c r="X224" s="33"/>
    </row>
    <row r="225" spans="1:24" x14ac:dyDescent="0.25">
      <c r="A225" s="29" t="str">
        <f t="shared" si="22"/>
        <v/>
      </c>
      <c r="B225" s="30"/>
      <c r="C225" s="30"/>
      <c r="D225" s="31"/>
      <c r="E225" s="10"/>
      <c r="F225" s="32" t="str">
        <f>IF($D225="","",$D225+IF($E225="",'01. CONFIGURAÇÕES'!$C$22,$E225))</f>
        <v/>
      </c>
      <c r="G225" s="30"/>
      <c r="H225" s="33"/>
      <c r="I225" s="33"/>
      <c r="J225" s="30"/>
      <c r="K225" s="33"/>
      <c r="L225" s="30"/>
      <c r="M225" s="33"/>
      <c r="N225" s="30"/>
      <c r="O225" s="33"/>
      <c r="P225" s="34" t="str">
        <f t="shared" si="23"/>
        <v/>
      </c>
      <c r="Q225" s="35" t="str">
        <f t="shared" si="24"/>
        <v/>
      </c>
      <c r="R225" s="35" t="str">
        <f t="shared" si="28"/>
        <v/>
      </c>
      <c r="S225" s="29" t="str">
        <f t="shared" si="25"/>
        <v/>
      </c>
      <c r="T225" s="13" t="str">
        <f t="shared" ca="1" si="26"/>
        <v/>
      </c>
      <c r="U225" s="29" t="str">
        <f ca="1">IF(OR($A225="",$F225=""),"",IF($R225&lt;&gt;"",IF($R225&lt;=$F225,"NO PRAZO","FORA DO PRAZO"),IF(TODAY()&gt;$F225,"VENCIDO",IF($F225-TODAY()&lt;='01. CONFIGURAÇÕES'!$C$23,"VENCE EM BREVE","EM DIA"))))</f>
        <v/>
      </c>
      <c r="V225" s="55" t="str">
        <f t="shared" si="27"/>
        <v/>
      </c>
      <c r="W225" s="30"/>
      <c r="X225" s="33"/>
    </row>
    <row r="226" spans="1:24" x14ac:dyDescent="0.25">
      <c r="A226" s="29" t="str">
        <f t="shared" si="22"/>
        <v/>
      </c>
      <c r="B226" s="30"/>
      <c r="C226" s="30"/>
      <c r="D226" s="31"/>
      <c r="E226" s="10"/>
      <c r="F226" s="32" t="str">
        <f>IF($D226="","",$D226+IF($E226="",'01. CONFIGURAÇÕES'!$C$22,$E226))</f>
        <v/>
      </c>
      <c r="G226" s="30"/>
      <c r="H226" s="33"/>
      <c r="I226" s="33"/>
      <c r="J226" s="30"/>
      <c r="K226" s="33"/>
      <c r="L226" s="30"/>
      <c r="M226" s="33"/>
      <c r="N226" s="30"/>
      <c r="O226" s="33"/>
      <c r="P226" s="34" t="str">
        <f t="shared" si="23"/>
        <v/>
      </c>
      <c r="Q226" s="35" t="str">
        <f t="shared" si="24"/>
        <v/>
      </c>
      <c r="R226" s="35" t="str">
        <f t="shared" si="28"/>
        <v/>
      </c>
      <c r="S226" s="29" t="str">
        <f t="shared" si="25"/>
        <v/>
      </c>
      <c r="T226" s="13" t="str">
        <f t="shared" ca="1" si="26"/>
        <v/>
      </c>
      <c r="U226" s="29" t="str">
        <f ca="1">IF(OR($A226="",$F226=""),"",IF($R226&lt;&gt;"",IF($R226&lt;=$F226,"NO PRAZO","FORA DO PRAZO"),IF(TODAY()&gt;$F226,"VENCIDO",IF($F226-TODAY()&lt;='01. CONFIGURAÇÕES'!$C$23,"VENCE EM BREVE","EM DIA"))))</f>
        <v/>
      </c>
      <c r="V226" s="55" t="str">
        <f t="shared" si="27"/>
        <v/>
      </c>
      <c r="W226" s="30"/>
      <c r="X226" s="33"/>
    </row>
    <row r="227" spans="1:24" x14ac:dyDescent="0.25">
      <c r="A227" s="29" t="str">
        <f t="shared" si="22"/>
        <v/>
      </c>
      <c r="B227" s="30"/>
      <c r="C227" s="30"/>
      <c r="D227" s="31"/>
      <c r="E227" s="10"/>
      <c r="F227" s="32" t="str">
        <f>IF($D227="","",$D227+IF($E227="",'01. CONFIGURAÇÕES'!$C$22,$E227))</f>
        <v/>
      </c>
      <c r="G227" s="30"/>
      <c r="H227" s="33"/>
      <c r="I227" s="33"/>
      <c r="J227" s="30"/>
      <c r="K227" s="33"/>
      <c r="L227" s="30"/>
      <c r="M227" s="33"/>
      <c r="N227" s="30"/>
      <c r="O227" s="33"/>
      <c r="P227" s="34" t="str">
        <f t="shared" si="23"/>
        <v/>
      </c>
      <c r="Q227" s="35" t="str">
        <f t="shared" si="24"/>
        <v/>
      </c>
      <c r="R227" s="35" t="str">
        <f t="shared" si="28"/>
        <v/>
      </c>
      <c r="S227" s="29" t="str">
        <f t="shared" si="25"/>
        <v/>
      </c>
      <c r="T227" s="13" t="str">
        <f t="shared" ca="1" si="26"/>
        <v/>
      </c>
      <c r="U227" s="29" t="str">
        <f ca="1">IF(OR($A227="",$F227=""),"",IF($R227&lt;&gt;"",IF($R227&lt;=$F227,"NO PRAZO","FORA DO PRAZO"),IF(TODAY()&gt;$F227,"VENCIDO",IF($F227-TODAY()&lt;='01. CONFIGURAÇÕES'!$C$23,"VENCE EM BREVE","EM DIA"))))</f>
        <v/>
      </c>
      <c r="V227" s="55" t="str">
        <f t="shared" si="27"/>
        <v/>
      </c>
      <c r="W227" s="30"/>
      <c r="X227" s="33"/>
    </row>
    <row r="228" spans="1:24" x14ac:dyDescent="0.25">
      <c r="A228" s="29" t="str">
        <f t="shared" si="22"/>
        <v/>
      </c>
      <c r="B228" s="30"/>
      <c r="C228" s="30"/>
      <c r="D228" s="31"/>
      <c r="E228" s="10"/>
      <c r="F228" s="32" t="str">
        <f>IF($D228="","",$D228+IF($E228="",'01. CONFIGURAÇÕES'!$C$22,$E228))</f>
        <v/>
      </c>
      <c r="G228" s="30"/>
      <c r="H228" s="33"/>
      <c r="I228" s="33"/>
      <c r="J228" s="30"/>
      <c r="K228" s="33"/>
      <c r="L228" s="30"/>
      <c r="M228" s="33"/>
      <c r="N228" s="30"/>
      <c r="O228" s="33"/>
      <c r="P228" s="34" t="str">
        <f t="shared" si="23"/>
        <v/>
      </c>
      <c r="Q228" s="35" t="str">
        <f t="shared" si="24"/>
        <v/>
      </c>
      <c r="R228" s="35" t="str">
        <f t="shared" si="28"/>
        <v/>
      </c>
      <c r="S228" s="29" t="str">
        <f t="shared" si="25"/>
        <v/>
      </c>
      <c r="T228" s="13" t="str">
        <f t="shared" ca="1" si="26"/>
        <v/>
      </c>
      <c r="U228" s="29" t="str">
        <f ca="1">IF(OR($A228="",$F228=""),"",IF($R228&lt;&gt;"",IF($R228&lt;=$F228,"NO PRAZO","FORA DO PRAZO"),IF(TODAY()&gt;$F228,"VENCIDO",IF($F228-TODAY()&lt;='01. CONFIGURAÇÕES'!$C$23,"VENCE EM BREVE","EM DIA"))))</f>
        <v/>
      </c>
      <c r="V228" s="55" t="str">
        <f t="shared" si="27"/>
        <v/>
      </c>
      <c r="W228" s="30"/>
      <c r="X228" s="33"/>
    </row>
    <row r="229" spans="1:24" x14ac:dyDescent="0.25">
      <c r="A229" s="29" t="str">
        <f t="shared" si="22"/>
        <v/>
      </c>
      <c r="B229" s="30"/>
      <c r="C229" s="30"/>
      <c r="D229" s="31"/>
      <c r="E229" s="10"/>
      <c r="F229" s="32" t="str">
        <f>IF($D229="","",$D229+IF($E229="",'01. CONFIGURAÇÕES'!$C$22,$E229))</f>
        <v/>
      </c>
      <c r="G229" s="30"/>
      <c r="H229" s="33"/>
      <c r="I229" s="33"/>
      <c r="J229" s="30"/>
      <c r="K229" s="33"/>
      <c r="L229" s="30"/>
      <c r="M229" s="33"/>
      <c r="N229" s="30"/>
      <c r="O229" s="33"/>
      <c r="P229" s="34" t="str">
        <f t="shared" si="23"/>
        <v/>
      </c>
      <c r="Q229" s="35" t="str">
        <f t="shared" si="24"/>
        <v/>
      </c>
      <c r="R229" s="35" t="str">
        <f t="shared" si="28"/>
        <v/>
      </c>
      <c r="S229" s="29" t="str">
        <f t="shared" si="25"/>
        <v/>
      </c>
      <c r="T229" s="13" t="str">
        <f t="shared" ca="1" si="26"/>
        <v/>
      </c>
      <c r="U229" s="29" t="str">
        <f ca="1">IF(OR($A229="",$F229=""),"",IF($R229&lt;&gt;"",IF($R229&lt;=$F229,"NO PRAZO","FORA DO PRAZO"),IF(TODAY()&gt;$F229,"VENCIDO",IF($F229-TODAY()&lt;='01. CONFIGURAÇÕES'!$C$23,"VENCE EM BREVE","EM DIA"))))</f>
        <v/>
      </c>
      <c r="V229" s="55" t="str">
        <f t="shared" si="27"/>
        <v/>
      </c>
      <c r="W229" s="30"/>
      <c r="X229" s="33"/>
    </row>
    <row r="230" spans="1:24" x14ac:dyDescent="0.25">
      <c r="A230" s="29" t="str">
        <f t="shared" si="22"/>
        <v/>
      </c>
      <c r="B230" s="30"/>
      <c r="C230" s="30"/>
      <c r="D230" s="31"/>
      <c r="E230" s="10"/>
      <c r="F230" s="32" t="str">
        <f>IF($D230="","",$D230+IF($E230="",'01. CONFIGURAÇÕES'!$C$22,$E230))</f>
        <v/>
      </c>
      <c r="G230" s="30"/>
      <c r="H230" s="33"/>
      <c r="I230" s="33"/>
      <c r="J230" s="30"/>
      <c r="K230" s="33"/>
      <c r="L230" s="30"/>
      <c r="M230" s="33"/>
      <c r="N230" s="30"/>
      <c r="O230" s="33"/>
      <c r="P230" s="34" t="str">
        <f t="shared" si="23"/>
        <v/>
      </c>
      <c r="Q230" s="35" t="str">
        <f t="shared" si="24"/>
        <v/>
      </c>
      <c r="R230" s="35" t="str">
        <f t="shared" si="28"/>
        <v/>
      </c>
      <c r="S230" s="29" t="str">
        <f t="shared" si="25"/>
        <v/>
      </c>
      <c r="T230" s="13" t="str">
        <f t="shared" ca="1" si="26"/>
        <v/>
      </c>
      <c r="U230" s="29" t="str">
        <f ca="1">IF(OR($A230="",$F230=""),"",IF($R230&lt;&gt;"",IF($R230&lt;=$F230,"NO PRAZO","FORA DO PRAZO"),IF(TODAY()&gt;$F230,"VENCIDO",IF($F230-TODAY()&lt;='01. CONFIGURAÇÕES'!$C$23,"VENCE EM BREVE","EM DIA"))))</f>
        <v/>
      </c>
      <c r="V230" s="55" t="str">
        <f t="shared" si="27"/>
        <v/>
      </c>
      <c r="W230" s="30"/>
      <c r="X230" s="33"/>
    </row>
    <row r="231" spans="1:24" x14ac:dyDescent="0.25">
      <c r="A231" s="29" t="str">
        <f t="shared" si="22"/>
        <v/>
      </c>
      <c r="B231" s="30"/>
      <c r="C231" s="30"/>
      <c r="D231" s="31"/>
      <c r="E231" s="10"/>
      <c r="F231" s="32" t="str">
        <f>IF($D231="","",$D231+IF($E231="",'01. CONFIGURAÇÕES'!$C$22,$E231))</f>
        <v/>
      </c>
      <c r="G231" s="30"/>
      <c r="H231" s="33"/>
      <c r="I231" s="33"/>
      <c r="J231" s="30"/>
      <c r="K231" s="33"/>
      <c r="L231" s="30"/>
      <c r="M231" s="33"/>
      <c r="N231" s="30"/>
      <c r="O231" s="33"/>
      <c r="P231" s="34" t="str">
        <f t="shared" si="23"/>
        <v/>
      </c>
      <c r="Q231" s="35" t="str">
        <f t="shared" si="24"/>
        <v/>
      </c>
      <c r="R231" s="35" t="str">
        <f t="shared" si="28"/>
        <v/>
      </c>
      <c r="S231" s="29" t="str">
        <f t="shared" si="25"/>
        <v/>
      </c>
      <c r="T231" s="13" t="str">
        <f t="shared" ca="1" si="26"/>
        <v/>
      </c>
      <c r="U231" s="29" t="str">
        <f ca="1">IF(OR($A231="",$F231=""),"",IF($R231&lt;&gt;"",IF($R231&lt;=$F231,"NO PRAZO","FORA DO PRAZO"),IF(TODAY()&gt;$F231,"VENCIDO",IF($F231-TODAY()&lt;='01. CONFIGURAÇÕES'!$C$23,"VENCE EM BREVE","EM DIA"))))</f>
        <v/>
      </c>
      <c r="V231" s="55" t="str">
        <f t="shared" si="27"/>
        <v/>
      </c>
      <c r="W231" s="30"/>
      <c r="X231" s="33"/>
    </row>
    <row r="232" spans="1:24" x14ac:dyDescent="0.25">
      <c r="A232" s="29" t="str">
        <f t="shared" si="22"/>
        <v/>
      </c>
      <c r="B232" s="30"/>
      <c r="C232" s="30"/>
      <c r="D232" s="31"/>
      <c r="E232" s="10"/>
      <c r="F232" s="32" t="str">
        <f>IF($D232="","",$D232+IF($E232="",'01. CONFIGURAÇÕES'!$C$22,$E232))</f>
        <v/>
      </c>
      <c r="G232" s="30"/>
      <c r="H232" s="33"/>
      <c r="I232" s="33"/>
      <c r="J232" s="30"/>
      <c r="K232" s="33"/>
      <c r="L232" s="30"/>
      <c r="M232" s="33"/>
      <c r="N232" s="30"/>
      <c r="O232" s="33"/>
      <c r="P232" s="34" t="str">
        <f t="shared" si="23"/>
        <v/>
      </c>
      <c r="Q232" s="35" t="str">
        <f t="shared" si="24"/>
        <v/>
      </c>
      <c r="R232" s="35" t="str">
        <f t="shared" si="28"/>
        <v/>
      </c>
      <c r="S232" s="29" t="str">
        <f t="shared" si="25"/>
        <v/>
      </c>
      <c r="T232" s="13" t="str">
        <f t="shared" ca="1" si="26"/>
        <v/>
      </c>
      <c r="U232" s="29" t="str">
        <f ca="1">IF(OR($A232="",$F232=""),"",IF($R232&lt;&gt;"",IF($R232&lt;=$F232,"NO PRAZO","FORA DO PRAZO"),IF(TODAY()&gt;$F232,"VENCIDO",IF($F232-TODAY()&lt;='01. CONFIGURAÇÕES'!$C$23,"VENCE EM BREVE","EM DIA"))))</f>
        <v/>
      </c>
      <c r="V232" s="55" t="str">
        <f t="shared" si="27"/>
        <v/>
      </c>
      <c r="W232" s="30"/>
      <c r="X232" s="33"/>
    </row>
    <row r="233" spans="1:24" x14ac:dyDescent="0.25">
      <c r="A233" s="29" t="str">
        <f t="shared" si="22"/>
        <v/>
      </c>
      <c r="B233" s="30"/>
      <c r="C233" s="30"/>
      <c r="D233" s="31"/>
      <c r="E233" s="10"/>
      <c r="F233" s="32" t="str">
        <f>IF($D233="","",$D233+IF($E233="",'01. CONFIGURAÇÕES'!$C$22,$E233))</f>
        <v/>
      </c>
      <c r="G233" s="30"/>
      <c r="H233" s="33"/>
      <c r="I233" s="33"/>
      <c r="J233" s="30"/>
      <c r="K233" s="33"/>
      <c r="L233" s="30"/>
      <c r="M233" s="33"/>
      <c r="N233" s="30"/>
      <c r="O233" s="33"/>
      <c r="P233" s="34" t="str">
        <f t="shared" si="23"/>
        <v/>
      </c>
      <c r="Q233" s="35" t="str">
        <f t="shared" si="24"/>
        <v/>
      </c>
      <c r="R233" s="35" t="str">
        <f t="shared" si="28"/>
        <v/>
      </c>
      <c r="S233" s="29" t="str">
        <f t="shared" si="25"/>
        <v/>
      </c>
      <c r="T233" s="13" t="str">
        <f t="shared" ca="1" si="26"/>
        <v/>
      </c>
      <c r="U233" s="29" t="str">
        <f ca="1">IF(OR($A233="",$F233=""),"",IF($R233&lt;&gt;"",IF($R233&lt;=$F233,"NO PRAZO","FORA DO PRAZO"),IF(TODAY()&gt;$F233,"VENCIDO",IF($F233-TODAY()&lt;='01. CONFIGURAÇÕES'!$C$23,"VENCE EM BREVE","EM DIA"))))</f>
        <v/>
      </c>
      <c r="V233" s="55" t="str">
        <f t="shared" si="27"/>
        <v/>
      </c>
      <c r="W233" s="30"/>
      <c r="X233" s="33"/>
    </row>
    <row r="234" spans="1:24" x14ac:dyDescent="0.25">
      <c r="A234" s="29" t="str">
        <f t="shared" si="22"/>
        <v/>
      </c>
      <c r="B234" s="30"/>
      <c r="C234" s="30"/>
      <c r="D234" s="31"/>
      <c r="E234" s="10"/>
      <c r="F234" s="32" t="str">
        <f>IF($D234="","",$D234+IF($E234="",'01. CONFIGURAÇÕES'!$C$22,$E234))</f>
        <v/>
      </c>
      <c r="G234" s="30"/>
      <c r="H234" s="33"/>
      <c r="I234" s="33"/>
      <c r="J234" s="30"/>
      <c r="K234" s="33"/>
      <c r="L234" s="30"/>
      <c r="M234" s="33"/>
      <c r="N234" s="30"/>
      <c r="O234" s="33"/>
      <c r="P234" s="34" t="str">
        <f t="shared" si="23"/>
        <v/>
      </c>
      <c r="Q234" s="35" t="str">
        <f t="shared" si="24"/>
        <v/>
      </c>
      <c r="R234" s="35" t="str">
        <f t="shared" si="28"/>
        <v/>
      </c>
      <c r="S234" s="29" t="str">
        <f t="shared" si="25"/>
        <v/>
      </c>
      <c r="T234" s="13" t="str">
        <f t="shared" ca="1" si="26"/>
        <v/>
      </c>
      <c r="U234" s="29" t="str">
        <f ca="1">IF(OR($A234="",$F234=""),"",IF($R234&lt;&gt;"",IF($R234&lt;=$F234,"NO PRAZO","FORA DO PRAZO"),IF(TODAY()&gt;$F234,"VENCIDO",IF($F234-TODAY()&lt;='01. CONFIGURAÇÕES'!$C$23,"VENCE EM BREVE","EM DIA"))))</f>
        <v/>
      </c>
      <c r="V234" s="55" t="str">
        <f t="shared" si="27"/>
        <v/>
      </c>
      <c r="W234" s="30"/>
      <c r="X234" s="33"/>
    </row>
    <row r="235" spans="1:24" x14ac:dyDescent="0.25">
      <c r="A235" s="29" t="str">
        <f t="shared" si="22"/>
        <v/>
      </c>
      <c r="B235" s="30"/>
      <c r="C235" s="30"/>
      <c r="D235" s="31"/>
      <c r="E235" s="10"/>
      <c r="F235" s="32" t="str">
        <f>IF($D235="","",$D235+IF($E235="",'01. CONFIGURAÇÕES'!$C$22,$E235))</f>
        <v/>
      </c>
      <c r="G235" s="30"/>
      <c r="H235" s="33"/>
      <c r="I235" s="33"/>
      <c r="J235" s="30"/>
      <c r="K235" s="33"/>
      <c r="L235" s="30"/>
      <c r="M235" s="33"/>
      <c r="N235" s="30"/>
      <c r="O235" s="33"/>
      <c r="P235" s="34" t="str">
        <f t="shared" si="23"/>
        <v/>
      </c>
      <c r="Q235" s="35" t="str">
        <f t="shared" si="24"/>
        <v/>
      </c>
      <c r="R235" s="35" t="str">
        <f t="shared" si="28"/>
        <v/>
      </c>
      <c r="S235" s="29" t="str">
        <f t="shared" si="25"/>
        <v/>
      </c>
      <c r="T235" s="13" t="str">
        <f t="shared" ca="1" si="26"/>
        <v/>
      </c>
      <c r="U235" s="29" t="str">
        <f ca="1">IF(OR($A235="",$F235=""),"",IF($R235&lt;&gt;"",IF($R235&lt;=$F235,"NO PRAZO","FORA DO PRAZO"),IF(TODAY()&gt;$F235,"VENCIDO",IF($F235-TODAY()&lt;='01. CONFIGURAÇÕES'!$C$23,"VENCE EM BREVE","EM DIA"))))</f>
        <v/>
      </c>
      <c r="V235" s="55" t="str">
        <f t="shared" si="27"/>
        <v/>
      </c>
      <c r="W235" s="30"/>
      <c r="X235" s="33"/>
    </row>
    <row r="236" spans="1:24" x14ac:dyDescent="0.25">
      <c r="A236" s="29" t="str">
        <f t="shared" si="22"/>
        <v/>
      </c>
      <c r="B236" s="30"/>
      <c r="C236" s="30"/>
      <c r="D236" s="31"/>
      <c r="E236" s="10"/>
      <c r="F236" s="32" t="str">
        <f>IF($D236="","",$D236+IF($E236="",'01. CONFIGURAÇÕES'!$C$22,$E236))</f>
        <v/>
      </c>
      <c r="G236" s="30"/>
      <c r="H236" s="33"/>
      <c r="I236" s="33"/>
      <c r="J236" s="30"/>
      <c r="K236" s="33"/>
      <c r="L236" s="30"/>
      <c r="M236" s="33"/>
      <c r="N236" s="30"/>
      <c r="O236" s="33"/>
      <c r="P236" s="34" t="str">
        <f t="shared" si="23"/>
        <v/>
      </c>
      <c r="Q236" s="35" t="str">
        <f t="shared" si="24"/>
        <v/>
      </c>
      <c r="R236" s="35" t="str">
        <f t="shared" si="28"/>
        <v/>
      </c>
      <c r="S236" s="29" t="str">
        <f t="shared" si="25"/>
        <v/>
      </c>
      <c r="T236" s="13" t="str">
        <f t="shared" ca="1" si="26"/>
        <v/>
      </c>
      <c r="U236" s="29" t="str">
        <f ca="1">IF(OR($A236="",$F236=""),"",IF($R236&lt;&gt;"",IF($R236&lt;=$F236,"NO PRAZO","FORA DO PRAZO"),IF(TODAY()&gt;$F236,"VENCIDO",IF($F236-TODAY()&lt;='01. CONFIGURAÇÕES'!$C$23,"VENCE EM BREVE","EM DIA"))))</f>
        <v/>
      </c>
      <c r="V236" s="55" t="str">
        <f t="shared" si="27"/>
        <v/>
      </c>
      <c r="W236" s="30"/>
      <c r="X236" s="33"/>
    </row>
    <row r="237" spans="1:24" x14ac:dyDescent="0.25">
      <c r="A237" s="29" t="str">
        <f t="shared" si="22"/>
        <v/>
      </c>
      <c r="B237" s="30"/>
      <c r="C237" s="30"/>
      <c r="D237" s="31"/>
      <c r="E237" s="10"/>
      <c r="F237" s="32" t="str">
        <f>IF($D237="","",$D237+IF($E237="",'01. CONFIGURAÇÕES'!$C$22,$E237))</f>
        <v/>
      </c>
      <c r="G237" s="30"/>
      <c r="H237" s="33"/>
      <c r="I237" s="33"/>
      <c r="J237" s="30"/>
      <c r="K237" s="33"/>
      <c r="L237" s="30"/>
      <c r="M237" s="33"/>
      <c r="N237" s="30"/>
      <c r="O237" s="33"/>
      <c r="P237" s="34" t="str">
        <f t="shared" si="23"/>
        <v/>
      </c>
      <c r="Q237" s="35" t="str">
        <f t="shared" si="24"/>
        <v/>
      </c>
      <c r="R237" s="35" t="str">
        <f t="shared" si="28"/>
        <v/>
      </c>
      <c r="S237" s="29" t="str">
        <f t="shared" si="25"/>
        <v/>
      </c>
      <c r="T237" s="13" t="str">
        <f t="shared" ca="1" si="26"/>
        <v/>
      </c>
      <c r="U237" s="29" t="str">
        <f ca="1">IF(OR($A237="",$F237=""),"",IF($R237&lt;&gt;"",IF($R237&lt;=$F237,"NO PRAZO","FORA DO PRAZO"),IF(TODAY()&gt;$F237,"VENCIDO",IF($F237-TODAY()&lt;='01. CONFIGURAÇÕES'!$C$23,"VENCE EM BREVE","EM DIA"))))</f>
        <v/>
      </c>
      <c r="V237" s="55" t="str">
        <f t="shared" si="27"/>
        <v/>
      </c>
      <c r="W237" s="30"/>
      <c r="X237" s="33"/>
    </row>
    <row r="238" spans="1:24" x14ac:dyDescent="0.25">
      <c r="A238" s="29" t="str">
        <f t="shared" si="22"/>
        <v/>
      </c>
      <c r="B238" s="30"/>
      <c r="C238" s="30"/>
      <c r="D238" s="31"/>
      <c r="E238" s="10"/>
      <c r="F238" s="32" t="str">
        <f>IF($D238="","",$D238+IF($E238="",'01. CONFIGURAÇÕES'!$C$22,$E238))</f>
        <v/>
      </c>
      <c r="G238" s="30"/>
      <c r="H238" s="33"/>
      <c r="I238" s="33"/>
      <c r="J238" s="30"/>
      <c r="K238" s="33"/>
      <c r="L238" s="30"/>
      <c r="M238" s="33"/>
      <c r="N238" s="30"/>
      <c r="O238" s="33"/>
      <c r="P238" s="34" t="str">
        <f t="shared" si="23"/>
        <v/>
      </c>
      <c r="Q238" s="35" t="str">
        <f t="shared" si="24"/>
        <v/>
      </c>
      <c r="R238" s="35" t="str">
        <f t="shared" si="28"/>
        <v/>
      </c>
      <c r="S238" s="29" t="str">
        <f t="shared" si="25"/>
        <v/>
      </c>
      <c r="T238" s="13" t="str">
        <f t="shared" ca="1" si="26"/>
        <v/>
      </c>
      <c r="U238" s="29" t="str">
        <f ca="1">IF(OR($A238="",$F238=""),"",IF($R238&lt;&gt;"",IF($R238&lt;=$F238,"NO PRAZO","FORA DO PRAZO"),IF(TODAY()&gt;$F238,"VENCIDO",IF($F238-TODAY()&lt;='01. CONFIGURAÇÕES'!$C$23,"VENCE EM BREVE","EM DIA"))))</f>
        <v/>
      </c>
      <c r="V238" s="55" t="str">
        <f t="shared" si="27"/>
        <v/>
      </c>
      <c r="W238" s="30"/>
      <c r="X238" s="33"/>
    </row>
    <row r="239" spans="1:24" x14ac:dyDescent="0.25">
      <c r="A239" s="29" t="str">
        <f t="shared" si="22"/>
        <v/>
      </c>
      <c r="B239" s="30"/>
      <c r="C239" s="30"/>
      <c r="D239" s="31"/>
      <c r="E239" s="10"/>
      <c r="F239" s="32" t="str">
        <f>IF($D239="","",$D239+IF($E239="",'01. CONFIGURAÇÕES'!$C$22,$E239))</f>
        <v/>
      </c>
      <c r="G239" s="30"/>
      <c r="H239" s="33"/>
      <c r="I239" s="33"/>
      <c r="J239" s="30"/>
      <c r="K239" s="33"/>
      <c r="L239" s="30"/>
      <c r="M239" s="33"/>
      <c r="N239" s="30"/>
      <c r="O239" s="33"/>
      <c r="P239" s="34" t="str">
        <f t="shared" si="23"/>
        <v/>
      </c>
      <c r="Q239" s="35" t="str">
        <f t="shared" si="24"/>
        <v/>
      </c>
      <c r="R239" s="35" t="str">
        <f t="shared" si="28"/>
        <v/>
      </c>
      <c r="S239" s="29" t="str">
        <f t="shared" si="25"/>
        <v/>
      </c>
      <c r="T239" s="13" t="str">
        <f t="shared" ca="1" si="26"/>
        <v/>
      </c>
      <c r="U239" s="29" t="str">
        <f ca="1">IF(OR($A239="",$F239=""),"",IF($R239&lt;&gt;"",IF($R239&lt;=$F239,"NO PRAZO","FORA DO PRAZO"),IF(TODAY()&gt;$F239,"VENCIDO",IF($F239-TODAY()&lt;='01. CONFIGURAÇÕES'!$C$23,"VENCE EM BREVE","EM DIA"))))</f>
        <v/>
      </c>
      <c r="V239" s="55" t="str">
        <f t="shared" si="27"/>
        <v/>
      </c>
      <c r="W239" s="30"/>
      <c r="X239" s="33"/>
    </row>
    <row r="240" spans="1:24" x14ac:dyDescent="0.25">
      <c r="A240" s="29" t="str">
        <f t="shared" si="22"/>
        <v/>
      </c>
      <c r="B240" s="30"/>
      <c r="C240" s="30"/>
      <c r="D240" s="31"/>
      <c r="E240" s="10"/>
      <c r="F240" s="32" t="str">
        <f>IF($D240="","",$D240+IF($E240="",'01. CONFIGURAÇÕES'!$C$22,$E240))</f>
        <v/>
      </c>
      <c r="G240" s="30"/>
      <c r="H240" s="33"/>
      <c r="I240" s="33"/>
      <c r="J240" s="30"/>
      <c r="K240" s="33"/>
      <c r="L240" s="30"/>
      <c r="M240" s="33"/>
      <c r="N240" s="30"/>
      <c r="O240" s="33"/>
      <c r="P240" s="34" t="str">
        <f t="shared" si="23"/>
        <v/>
      </c>
      <c r="Q240" s="35" t="str">
        <f t="shared" si="24"/>
        <v/>
      </c>
      <c r="R240" s="35" t="str">
        <f t="shared" si="28"/>
        <v/>
      </c>
      <c r="S240" s="29" t="str">
        <f t="shared" si="25"/>
        <v/>
      </c>
      <c r="T240" s="13" t="str">
        <f t="shared" ca="1" si="26"/>
        <v/>
      </c>
      <c r="U240" s="29" t="str">
        <f ca="1">IF(OR($A240="",$F240=""),"",IF($R240&lt;&gt;"",IF($R240&lt;=$F240,"NO PRAZO","FORA DO PRAZO"),IF(TODAY()&gt;$F240,"VENCIDO",IF($F240-TODAY()&lt;='01. CONFIGURAÇÕES'!$C$23,"VENCE EM BREVE","EM DIA"))))</f>
        <v/>
      </c>
      <c r="V240" s="55" t="str">
        <f t="shared" si="27"/>
        <v/>
      </c>
      <c r="W240" s="30"/>
      <c r="X240" s="33"/>
    </row>
    <row r="241" spans="1:24" x14ac:dyDescent="0.25">
      <c r="A241" s="29" t="str">
        <f t="shared" si="22"/>
        <v/>
      </c>
      <c r="B241" s="30"/>
      <c r="C241" s="30"/>
      <c r="D241" s="31"/>
      <c r="E241" s="10"/>
      <c r="F241" s="32" t="str">
        <f>IF($D241="","",$D241+IF($E241="",'01. CONFIGURAÇÕES'!$C$22,$E241))</f>
        <v/>
      </c>
      <c r="G241" s="30"/>
      <c r="H241" s="33"/>
      <c r="I241" s="33"/>
      <c r="J241" s="30"/>
      <c r="K241" s="33"/>
      <c r="L241" s="30"/>
      <c r="M241" s="33"/>
      <c r="N241" s="30"/>
      <c r="O241" s="33"/>
      <c r="P241" s="34" t="str">
        <f t="shared" si="23"/>
        <v/>
      </c>
      <c r="Q241" s="35" t="str">
        <f t="shared" si="24"/>
        <v/>
      </c>
      <c r="R241" s="35" t="str">
        <f t="shared" si="28"/>
        <v/>
      </c>
      <c r="S241" s="29" t="str">
        <f t="shared" si="25"/>
        <v/>
      </c>
      <c r="T241" s="13" t="str">
        <f t="shared" ca="1" si="26"/>
        <v/>
      </c>
      <c r="U241" s="29" t="str">
        <f ca="1">IF(OR($A241="",$F241=""),"",IF($R241&lt;&gt;"",IF($R241&lt;=$F241,"NO PRAZO","FORA DO PRAZO"),IF(TODAY()&gt;$F241,"VENCIDO",IF($F241-TODAY()&lt;='01. CONFIGURAÇÕES'!$C$23,"VENCE EM BREVE","EM DIA"))))</f>
        <v/>
      </c>
      <c r="V241" s="55" t="str">
        <f t="shared" si="27"/>
        <v/>
      </c>
      <c r="W241" s="30"/>
      <c r="X241" s="33"/>
    </row>
    <row r="242" spans="1:24" x14ac:dyDescent="0.25">
      <c r="A242" s="29" t="str">
        <f t="shared" si="22"/>
        <v/>
      </c>
      <c r="B242" s="30"/>
      <c r="C242" s="30"/>
      <c r="D242" s="31"/>
      <c r="E242" s="10"/>
      <c r="F242" s="32" t="str">
        <f>IF($D242="","",$D242+IF($E242="",'01. CONFIGURAÇÕES'!$C$22,$E242))</f>
        <v/>
      </c>
      <c r="G242" s="30"/>
      <c r="H242" s="33"/>
      <c r="I242" s="33"/>
      <c r="J242" s="30"/>
      <c r="K242" s="33"/>
      <c r="L242" s="30"/>
      <c r="M242" s="33"/>
      <c r="N242" s="30"/>
      <c r="O242" s="33"/>
      <c r="P242" s="34" t="str">
        <f t="shared" si="23"/>
        <v/>
      </c>
      <c r="Q242" s="35" t="str">
        <f t="shared" si="24"/>
        <v/>
      </c>
      <c r="R242" s="35" t="str">
        <f t="shared" si="28"/>
        <v/>
      </c>
      <c r="S242" s="29" t="str">
        <f t="shared" si="25"/>
        <v/>
      </c>
      <c r="T242" s="13" t="str">
        <f t="shared" ca="1" si="26"/>
        <v/>
      </c>
      <c r="U242" s="29" t="str">
        <f ca="1">IF(OR($A242="",$F242=""),"",IF($R242&lt;&gt;"",IF($R242&lt;=$F242,"NO PRAZO","FORA DO PRAZO"),IF(TODAY()&gt;$F242,"VENCIDO",IF($F242-TODAY()&lt;='01. CONFIGURAÇÕES'!$C$23,"VENCE EM BREVE","EM DIA"))))</f>
        <v/>
      </c>
      <c r="V242" s="55" t="str">
        <f t="shared" si="27"/>
        <v/>
      </c>
      <c r="W242" s="30"/>
      <c r="X242" s="33"/>
    </row>
    <row r="243" spans="1:24" x14ac:dyDescent="0.25">
      <c r="A243" s="29" t="str">
        <f t="shared" si="22"/>
        <v/>
      </c>
      <c r="B243" s="30"/>
      <c r="C243" s="30"/>
      <c r="D243" s="31"/>
      <c r="E243" s="10"/>
      <c r="F243" s="32" t="str">
        <f>IF($D243="","",$D243+IF($E243="",'01. CONFIGURAÇÕES'!$C$22,$E243))</f>
        <v/>
      </c>
      <c r="G243" s="30"/>
      <c r="H243" s="33"/>
      <c r="I243" s="33"/>
      <c r="J243" s="30"/>
      <c r="K243" s="33"/>
      <c r="L243" s="30"/>
      <c r="M243" s="33"/>
      <c r="N243" s="30"/>
      <c r="O243" s="33"/>
      <c r="P243" s="34" t="str">
        <f t="shared" si="23"/>
        <v/>
      </c>
      <c r="Q243" s="35" t="str">
        <f t="shared" si="24"/>
        <v/>
      </c>
      <c r="R243" s="35" t="str">
        <f t="shared" si="28"/>
        <v/>
      </c>
      <c r="S243" s="29" t="str">
        <f t="shared" si="25"/>
        <v/>
      </c>
      <c r="T243" s="13" t="str">
        <f t="shared" ca="1" si="26"/>
        <v/>
      </c>
      <c r="U243" s="29" t="str">
        <f ca="1">IF(OR($A243="",$F243=""),"",IF($R243&lt;&gt;"",IF($R243&lt;=$F243,"NO PRAZO","FORA DO PRAZO"),IF(TODAY()&gt;$F243,"VENCIDO",IF($F243-TODAY()&lt;='01. CONFIGURAÇÕES'!$C$23,"VENCE EM BREVE","EM DIA"))))</f>
        <v/>
      </c>
      <c r="V243" s="55" t="str">
        <f t="shared" si="27"/>
        <v/>
      </c>
      <c r="W243" s="30"/>
      <c r="X243" s="33"/>
    </row>
    <row r="244" spans="1:24" x14ac:dyDescent="0.25">
      <c r="A244" s="29" t="str">
        <f t="shared" si="22"/>
        <v/>
      </c>
      <c r="B244" s="30"/>
      <c r="C244" s="30"/>
      <c r="D244" s="31"/>
      <c r="E244" s="10"/>
      <c r="F244" s="32" t="str">
        <f>IF($D244="","",$D244+IF($E244="",'01. CONFIGURAÇÕES'!$C$22,$E244))</f>
        <v/>
      </c>
      <c r="G244" s="30"/>
      <c r="H244" s="33"/>
      <c r="I244" s="33"/>
      <c r="J244" s="30"/>
      <c r="K244" s="33"/>
      <c r="L244" s="30"/>
      <c r="M244" s="33"/>
      <c r="N244" s="30"/>
      <c r="O244" s="33"/>
      <c r="P244" s="34" t="str">
        <f t="shared" si="23"/>
        <v/>
      </c>
      <c r="Q244" s="35" t="str">
        <f t="shared" si="24"/>
        <v/>
      </c>
      <c r="R244" s="35" t="str">
        <f t="shared" si="28"/>
        <v/>
      </c>
      <c r="S244" s="29" t="str">
        <f t="shared" si="25"/>
        <v/>
      </c>
      <c r="T244" s="13" t="str">
        <f t="shared" ca="1" si="26"/>
        <v/>
      </c>
      <c r="U244" s="29" t="str">
        <f ca="1">IF(OR($A244="",$F244=""),"",IF($R244&lt;&gt;"",IF($R244&lt;=$F244,"NO PRAZO","FORA DO PRAZO"),IF(TODAY()&gt;$F244,"VENCIDO",IF($F244-TODAY()&lt;='01. CONFIGURAÇÕES'!$C$23,"VENCE EM BREVE","EM DIA"))))</f>
        <v/>
      </c>
      <c r="V244" s="55" t="str">
        <f t="shared" si="27"/>
        <v/>
      </c>
      <c r="W244" s="30"/>
      <c r="X244" s="33"/>
    </row>
    <row r="245" spans="1:24" x14ac:dyDescent="0.25">
      <c r="A245" s="29" t="str">
        <f t="shared" si="22"/>
        <v/>
      </c>
      <c r="B245" s="30"/>
      <c r="C245" s="30"/>
      <c r="D245" s="31"/>
      <c r="E245" s="10"/>
      <c r="F245" s="32" t="str">
        <f>IF($D245="","",$D245+IF($E245="",'01. CONFIGURAÇÕES'!$C$22,$E245))</f>
        <v/>
      </c>
      <c r="G245" s="30"/>
      <c r="H245" s="33"/>
      <c r="I245" s="33"/>
      <c r="J245" s="30"/>
      <c r="K245" s="33"/>
      <c r="L245" s="30"/>
      <c r="M245" s="33"/>
      <c r="N245" s="30"/>
      <c r="O245" s="33"/>
      <c r="P245" s="34" t="str">
        <f t="shared" si="23"/>
        <v/>
      </c>
      <c r="Q245" s="35" t="str">
        <f t="shared" si="24"/>
        <v/>
      </c>
      <c r="R245" s="35" t="str">
        <f t="shared" si="28"/>
        <v/>
      </c>
      <c r="S245" s="29" t="str">
        <f t="shared" si="25"/>
        <v/>
      </c>
      <c r="T245" s="13" t="str">
        <f t="shared" ca="1" si="26"/>
        <v/>
      </c>
      <c r="U245" s="29" t="str">
        <f ca="1">IF(OR($A245="",$F245=""),"",IF($R245&lt;&gt;"",IF($R245&lt;=$F245,"NO PRAZO","FORA DO PRAZO"),IF(TODAY()&gt;$F245,"VENCIDO",IF($F245-TODAY()&lt;='01. CONFIGURAÇÕES'!$C$23,"VENCE EM BREVE","EM DIA"))))</f>
        <v/>
      </c>
      <c r="V245" s="55" t="str">
        <f t="shared" si="27"/>
        <v/>
      </c>
      <c r="W245" s="30"/>
      <c r="X245" s="33"/>
    </row>
    <row r="246" spans="1:24" x14ac:dyDescent="0.25">
      <c r="A246" s="29" t="str">
        <f t="shared" si="22"/>
        <v/>
      </c>
      <c r="B246" s="30"/>
      <c r="C246" s="30"/>
      <c r="D246" s="31"/>
      <c r="E246" s="10"/>
      <c r="F246" s="32" t="str">
        <f>IF($D246="","",$D246+IF($E246="",'01. CONFIGURAÇÕES'!$C$22,$E246))</f>
        <v/>
      </c>
      <c r="G246" s="30"/>
      <c r="H246" s="33"/>
      <c r="I246" s="33"/>
      <c r="J246" s="30"/>
      <c r="K246" s="33"/>
      <c r="L246" s="30"/>
      <c r="M246" s="33"/>
      <c r="N246" s="30"/>
      <c r="O246" s="33"/>
      <c r="P246" s="34" t="str">
        <f t="shared" si="23"/>
        <v/>
      </c>
      <c r="Q246" s="35" t="str">
        <f t="shared" si="24"/>
        <v/>
      </c>
      <c r="R246" s="35" t="str">
        <f t="shared" si="28"/>
        <v/>
      </c>
      <c r="S246" s="29" t="str">
        <f t="shared" si="25"/>
        <v/>
      </c>
      <c r="T246" s="13" t="str">
        <f t="shared" ca="1" si="26"/>
        <v/>
      </c>
      <c r="U246" s="29" t="str">
        <f ca="1">IF(OR($A246="",$F246=""),"",IF($R246&lt;&gt;"",IF($R246&lt;=$F246,"NO PRAZO","FORA DO PRAZO"),IF(TODAY()&gt;$F246,"VENCIDO",IF($F246-TODAY()&lt;='01. CONFIGURAÇÕES'!$C$23,"VENCE EM BREVE","EM DIA"))))</f>
        <v/>
      </c>
      <c r="V246" s="55" t="str">
        <f t="shared" si="27"/>
        <v/>
      </c>
      <c r="W246" s="30"/>
      <c r="X246" s="33"/>
    </row>
    <row r="247" spans="1:24" x14ac:dyDescent="0.25">
      <c r="A247" s="29" t="str">
        <f t="shared" si="22"/>
        <v/>
      </c>
      <c r="B247" s="30"/>
      <c r="C247" s="30"/>
      <c r="D247" s="31"/>
      <c r="E247" s="10"/>
      <c r="F247" s="32" t="str">
        <f>IF($D247="","",$D247+IF($E247="",'01. CONFIGURAÇÕES'!$C$22,$E247))</f>
        <v/>
      </c>
      <c r="G247" s="30"/>
      <c r="H247" s="33"/>
      <c r="I247" s="33"/>
      <c r="J247" s="30"/>
      <c r="K247" s="33"/>
      <c r="L247" s="30"/>
      <c r="M247" s="33"/>
      <c r="N247" s="30"/>
      <c r="O247" s="33"/>
      <c r="P247" s="34" t="str">
        <f t="shared" si="23"/>
        <v/>
      </c>
      <c r="Q247" s="35" t="str">
        <f t="shared" si="24"/>
        <v/>
      </c>
      <c r="R247" s="35" t="str">
        <f t="shared" si="28"/>
        <v/>
      </c>
      <c r="S247" s="29" t="str">
        <f t="shared" si="25"/>
        <v/>
      </c>
      <c r="T247" s="13" t="str">
        <f t="shared" ca="1" si="26"/>
        <v/>
      </c>
      <c r="U247" s="29" t="str">
        <f ca="1">IF(OR($A247="",$F247=""),"",IF($R247&lt;&gt;"",IF($R247&lt;=$F247,"NO PRAZO","FORA DO PRAZO"),IF(TODAY()&gt;$F247,"VENCIDO",IF($F247-TODAY()&lt;='01. CONFIGURAÇÕES'!$C$23,"VENCE EM BREVE","EM DIA"))))</f>
        <v/>
      </c>
      <c r="V247" s="55" t="str">
        <f t="shared" si="27"/>
        <v/>
      </c>
      <c r="W247" s="30"/>
      <c r="X247" s="33"/>
    </row>
    <row r="248" spans="1:24" x14ac:dyDescent="0.25">
      <c r="A248" s="29" t="str">
        <f t="shared" si="22"/>
        <v/>
      </c>
      <c r="B248" s="30"/>
      <c r="C248" s="30"/>
      <c r="D248" s="31"/>
      <c r="E248" s="10"/>
      <c r="F248" s="32" t="str">
        <f>IF($D248="","",$D248+IF($E248="",'01. CONFIGURAÇÕES'!$C$22,$E248))</f>
        <v/>
      </c>
      <c r="G248" s="30"/>
      <c r="H248" s="33"/>
      <c r="I248" s="33"/>
      <c r="J248" s="30"/>
      <c r="K248" s="33"/>
      <c r="L248" s="30"/>
      <c r="M248" s="33"/>
      <c r="N248" s="30"/>
      <c r="O248" s="33"/>
      <c r="P248" s="34" t="str">
        <f t="shared" si="23"/>
        <v/>
      </c>
      <c r="Q248" s="35" t="str">
        <f t="shared" si="24"/>
        <v/>
      </c>
      <c r="R248" s="35" t="str">
        <f t="shared" si="28"/>
        <v/>
      </c>
      <c r="S248" s="29" t="str">
        <f t="shared" si="25"/>
        <v/>
      </c>
      <c r="T248" s="13" t="str">
        <f t="shared" ca="1" si="26"/>
        <v/>
      </c>
      <c r="U248" s="29" t="str">
        <f ca="1">IF(OR($A248="",$F248=""),"",IF($R248&lt;&gt;"",IF($R248&lt;=$F248,"NO PRAZO","FORA DO PRAZO"),IF(TODAY()&gt;$F248,"VENCIDO",IF($F248-TODAY()&lt;='01. CONFIGURAÇÕES'!$C$23,"VENCE EM BREVE","EM DIA"))))</f>
        <v/>
      </c>
      <c r="V248" s="55" t="str">
        <f t="shared" si="27"/>
        <v/>
      </c>
      <c r="W248" s="30"/>
      <c r="X248" s="33"/>
    </row>
    <row r="249" spans="1:24" x14ac:dyDescent="0.25">
      <c r="A249" s="29" t="str">
        <f t="shared" si="22"/>
        <v/>
      </c>
      <c r="B249" s="30"/>
      <c r="C249" s="30"/>
      <c r="D249" s="31"/>
      <c r="E249" s="10"/>
      <c r="F249" s="32" t="str">
        <f>IF($D249="","",$D249+IF($E249="",'01. CONFIGURAÇÕES'!$C$22,$E249))</f>
        <v/>
      </c>
      <c r="G249" s="30"/>
      <c r="H249" s="33"/>
      <c r="I249" s="33"/>
      <c r="J249" s="30"/>
      <c r="K249" s="33"/>
      <c r="L249" s="30"/>
      <c r="M249" s="33"/>
      <c r="N249" s="30"/>
      <c r="O249" s="33"/>
      <c r="P249" s="34" t="str">
        <f t="shared" si="23"/>
        <v/>
      </c>
      <c r="Q249" s="35" t="str">
        <f t="shared" si="24"/>
        <v/>
      </c>
      <c r="R249" s="35" t="str">
        <f t="shared" si="28"/>
        <v/>
      </c>
      <c r="S249" s="29" t="str">
        <f t="shared" si="25"/>
        <v/>
      </c>
      <c r="T249" s="13" t="str">
        <f t="shared" ca="1" si="26"/>
        <v/>
      </c>
      <c r="U249" s="29" t="str">
        <f ca="1">IF(OR($A249="",$F249=""),"",IF($R249&lt;&gt;"",IF($R249&lt;=$F249,"NO PRAZO","FORA DO PRAZO"),IF(TODAY()&gt;$F249,"VENCIDO",IF($F249-TODAY()&lt;='01. CONFIGURAÇÕES'!$C$23,"VENCE EM BREVE","EM DIA"))))</f>
        <v/>
      </c>
      <c r="V249" s="55" t="str">
        <f t="shared" si="27"/>
        <v/>
      </c>
      <c r="W249" s="30"/>
      <c r="X249" s="33"/>
    </row>
    <row r="250" spans="1:24" x14ac:dyDescent="0.25">
      <c r="A250" s="29" t="str">
        <f t="shared" si="22"/>
        <v/>
      </c>
      <c r="B250" s="30"/>
      <c r="C250" s="30"/>
      <c r="D250" s="31"/>
      <c r="E250" s="10"/>
      <c r="F250" s="32" t="str">
        <f>IF($D250="","",$D250+IF($E250="",'01. CONFIGURAÇÕES'!$C$22,$E250))</f>
        <v/>
      </c>
      <c r="G250" s="30"/>
      <c r="H250" s="33"/>
      <c r="I250" s="33"/>
      <c r="J250" s="30"/>
      <c r="K250" s="33"/>
      <c r="L250" s="30"/>
      <c r="M250" s="33"/>
      <c r="N250" s="30"/>
      <c r="O250" s="33"/>
      <c r="P250" s="34" t="str">
        <f t="shared" si="23"/>
        <v/>
      </c>
      <c r="Q250" s="35" t="str">
        <f t="shared" si="24"/>
        <v/>
      </c>
      <c r="R250" s="35" t="str">
        <f t="shared" si="28"/>
        <v/>
      </c>
      <c r="S250" s="29" t="str">
        <f t="shared" si="25"/>
        <v/>
      </c>
      <c r="T250" s="13" t="str">
        <f t="shared" ca="1" si="26"/>
        <v/>
      </c>
      <c r="U250" s="29" t="str">
        <f ca="1">IF(OR($A250="",$F250=""),"",IF($R250&lt;&gt;"",IF($R250&lt;=$F250,"NO PRAZO","FORA DO PRAZO"),IF(TODAY()&gt;$F250,"VENCIDO",IF($F250-TODAY()&lt;='01. CONFIGURAÇÕES'!$C$23,"VENCE EM BREVE","EM DIA"))))</f>
        <v/>
      </c>
      <c r="V250" s="55" t="str">
        <f t="shared" si="27"/>
        <v/>
      </c>
      <c r="W250" s="30"/>
      <c r="X250" s="33"/>
    </row>
    <row r="251" spans="1:24" x14ac:dyDescent="0.25">
      <c r="A251" s="29" t="str">
        <f t="shared" si="22"/>
        <v/>
      </c>
      <c r="B251" s="30"/>
      <c r="C251" s="30"/>
      <c r="D251" s="31"/>
      <c r="E251" s="10"/>
      <c r="F251" s="32" t="str">
        <f>IF($D251="","",$D251+IF($E251="",'01. CONFIGURAÇÕES'!$C$22,$E251))</f>
        <v/>
      </c>
      <c r="G251" s="30"/>
      <c r="H251" s="33"/>
      <c r="I251" s="33"/>
      <c r="J251" s="30"/>
      <c r="K251" s="33"/>
      <c r="L251" s="30"/>
      <c r="M251" s="33"/>
      <c r="N251" s="30"/>
      <c r="O251" s="33"/>
      <c r="P251" s="34" t="str">
        <f t="shared" si="23"/>
        <v/>
      </c>
      <c r="Q251" s="35" t="str">
        <f t="shared" si="24"/>
        <v/>
      </c>
      <c r="R251" s="35" t="str">
        <f t="shared" si="28"/>
        <v/>
      </c>
      <c r="S251" s="29" t="str">
        <f t="shared" si="25"/>
        <v/>
      </c>
      <c r="T251" s="13" t="str">
        <f t="shared" ca="1" si="26"/>
        <v/>
      </c>
      <c r="U251" s="29" t="str">
        <f ca="1">IF(OR($A251="",$F251=""),"",IF($R251&lt;&gt;"",IF($R251&lt;=$F251,"NO PRAZO","FORA DO PRAZO"),IF(TODAY()&gt;$F251,"VENCIDO",IF($F251-TODAY()&lt;='01. CONFIGURAÇÕES'!$C$23,"VENCE EM BREVE","EM DIA"))))</f>
        <v/>
      </c>
      <c r="V251" s="55" t="str">
        <f t="shared" si="27"/>
        <v/>
      </c>
      <c r="W251" s="30"/>
      <c r="X251" s="33"/>
    </row>
    <row r="252" spans="1:24" x14ac:dyDescent="0.25">
      <c r="A252" s="29" t="str">
        <f t="shared" si="22"/>
        <v/>
      </c>
      <c r="B252" s="30"/>
      <c r="C252" s="30"/>
      <c r="D252" s="31"/>
      <c r="E252" s="10"/>
      <c r="F252" s="32" t="str">
        <f>IF($D252="","",$D252+IF($E252="",'01. CONFIGURAÇÕES'!$C$22,$E252))</f>
        <v/>
      </c>
      <c r="G252" s="30"/>
      <c r="H252" s="33"/>
      <c r="I252" s="33"/>
      <c r="J252" s="30"/>
      <c r="K252" s="33"/>
      <c r="L252" s="30"/>
      <c r="M252" s="33"/>
      <c r="N252" s="30"/>
      <c r="O252" s="33"/>
      <c r="P252" s="34" t="str">
        <f t="shared" si="23"/>
        <v/>
      </c>
      <c r="Q252" s="35" t="str">
        <f t="shared" si="24"/>
        <v/>
      </c>
      <c r="R252" s="35" t="str">
        <f t="shared" si="28"/>
        <v/>
      </c>
      <c r="S252" s="29" t="str">
        <f t="shared" si="25"/>
        <v/>
      </c>
      <c r="T252" s="13" t="str">
        <f t="shared" ca="1" si="26"/>
        <v/>
      </c>
      <c r="U252" s="29" t="str">
        <f ca="1">IF(OR($A252="",$F252=""),"",IF($R252&lt;&gt;"",IF($R252&lt;=$F252,"NO PRAZO","FORA DO PRAZO"),IF(TODAY()&gt;$F252,"VENCIDO",IF($F252-TODAY()&lt;='01. CONFIGURAÇÕES'!$C$23,"VENCE EM BREVE","EM DIA"))))</f>
        <v/>
      </c>
      <c r="V252" s="55" t="str">
        <f t="shared" si="27"/>
        <v/>
      </c>
      <c r="W252" s="30"/>
      <c r="X252" s="33"/>
    </row>
    <row r="253" spans="1:24" x14ac:dyDescent="0.25">
      <c r="A253" s="29" t="str">
        <f t="shared" si="22"/>
        <v/>
      </c>
      <c r="B253" s="30"/>
      <c r="C253" s="30"/>
      <c r="D253" s="31"/>
      <c r="E253" s="10"/>
      <c r="F253" s="32" t="str">
        <f>IF($D253="","",$D253+IF($E253="",'01. CONFIGURAÇÕES'!$C$22,$E253))</f>
        <v/>
      </c>
      <c r="G253" s="30"/>
      <c r="H253" s="33"/>
      <c r="I253" s="33"/>
      <c r="J253" s="30"/>
      <c r="K253" s="33"/>
      <c r="L253" s="30"/>
      <c r="M253" s="33"/>
      <c r="N253" s="30"/>
      <c r="O253" s="33"/>
      <c r="P253" s="34" t="str">
        <f t="shared" si="23"/>
        <v/>
      </c>
      <c r="Q253" s="35" t="str">
        <f t="shared" si="24"/>
        <v/>
      </c>
      <c r="R253" s="35" t="str">
        <f t="shared" si="28"/>
        <v/>
      </c>
      <c r="S253" s="29" t="str">
        <f t="shared" si="25"/>
        <v/>
      </c>
      <c r="T253" s="13" t="str">
        <f t="shared" ca="1" si="26"/>
        <v/>
      </c>
      <c r="U253" s="29" t="str">
        <f ca="1">IF(OR($A253="",$F253=""),"",IF($R253&lt;&gt;"",IF($R253&lt;=$F253,"NO PRAZO","FORA DO PRAZO"),IF(TODAY()&gt;$F253,"VENCIDO",IF($F253-TODAY()&lt;='01. CONFIGURAÇÕES'!$C$23,"VENCE EM BREVE","EM DIA"))))</f>
        <v/>
      </c>
      <c r="V253" s="55" t="str">
        <f t="shared" si="27"/>
        <v/>
      </c>
      <c r="W253" s="30"/>
      <c r="X253" s="33"/>
    </row>
    <row r="254" spans="1:24" x14ac:dyDescent="0.25">
      <c r="A254" s="29" t="str">
        <f t="shared" si="22"/>
        <v/>
      </c>
      <c r="B254" s="30"/>
      <c r="C254" s="30"/>
      <c r="D254" s="31"/>
      <c r="E254" s="10"/>
      <c r="F254" s="32" t="str">
        <f>IF($D254="","",$D254+IF($E254="",'01. CONFIGURAÇÕES'!$C$22,$E254))</f>
        <v/>
      </c>
      <c r="G254" s="30"/>
      <c r="H254" s="33"/>
      <c r="I254" s="33"/>
      <c r="J254" s="30"/>
      <c r="K254" s="33"/>
      <c r="L254" s="30"/>
      <c r="M254" s="33"/>
      <c r="N254" s="30"/>
      <c r="O254" s="33"/>
      <c r="P254" s="34" t="str">
        <f t="shared" si="23"/>
        <v/>
      </c>
      <c r="Q254" s="35" t="str">
        <f t="shared" si="24"/>
        <v/>
      </c>
      <c r="R254" s="35" t="str">
        <f t="shared" si="28"/>
        <v/>
      </c>
      <c r="S254" s="29" t="str">
        <f t="shared" si="25"/>
        <v/>
      </c>
      <c r="T254" s="13" t="str">
        <f t="shared" ca="1" si="26"/>
        <v/>
      </c>
      <c r="U254" s="29" t="str">
        <f ca="1">IF(OR($A254="",$F254=""),"",IF($R254&lt;&gt;"",IF($R254&lt;=$F254,"NO PRAZO","FORA DO PRAZO"),IF(TODAY()&gt;$F254,"VENCIDO",IF($F254-TODAY()&lt;='01. CONFIGURAÇÕES'!$C$23,"VENCE EM BREVE","EM DIA"))))</f>
        <v/>
      </c>
      <c r="V254" s="55" t="str">
        <f t="shared" si="27"/>
        <v/>
      </c>
      <c r="W254" s="30"/>
      <c r="X254" s="33"/>
    </row>
    <row r="255" spans="1:24" x14ac:dyDescent="0.25">
      <c r="A255" s="29" t="str">
        <f t="shared" si="22"/>
        <v/>
      </c>
      <c r="B255" s="30"/>
      <c r="C255" s="30"/>
      <c r="D255" s="31"/>
      <c r="E255" s="10"/>
      <c r="F255" s="32" t="str">
        <f>IF($D255="","",$D255+IF($E255="",'01. CONFIGURAÇÕES'!$C$22,$E255))</f>
        <v/>
      </c>
      <c r="G255" s="30"/>
      <c r="H255" s="33"/>
      <c r="I255" s="33"/>
      <c r="J255" s="30"/>
      <c r="K255" s="33"/>
      <c r="L255" s="30"/>
      <c r="M255" s="33"/>
      <c r="N255" s="30"/>
      <c r="O255" s="33"/>
      <c r="P255" s="34" t="str">
        <f t="shared" si="23"/>
        <v/>
      </c>
      <c r="Q255" s="35" t="str">
        <f t="shared" si="24"/>
        <v/>
      </c>
      <c r="R255" s="35" t="str">
        <f t="shared" si="28"/>
        <v/>
      </c>
      <c r="S255" s="29" t="str">
        <f t="shared" si="25"/>
        <v/>
      </c>
      <c r="T255" s="13" t="str">
        <f t="shared" ca="1" si="26"/>
        <v/>
      </c>
      <c r="U255" s="29" t="str">
        <f ca="1">IF(OR($A255="",$F255=""),"",IF($R255&lt;&gt;"",IF($R255&lt;=$F255,"NO PRAZO","FORA DO PRAZO"),IF(TODAY()&gt;$F255,"VENCIDO",IF($F255-TODAY()&lt;='01. CONFIGURAÇÕES'!$C$23,"VENCE EM BREVE","EM DIA"))))</f>
        <v/>
      </c>
      <c r="V255" s="55" t="str">
        <f t="shared" si="27"/>
        <v/>
      </c>
      <c r="W255" s="30"/>
      <c r="X255" s="33"/>
    </row>
    <row r="256" spans="1:24" x14ac:dyDescent="0.25">
      <c r="A256" s="29" t="str">
        <f t="shared" si="22"/>
        <v/>
      </c>
      <c r="B256" s="30"/>
      <c r="C256" s="30"/>
      <c r="D256" s="31"/>
      <c r="E256" s="10"/>
      <c r="F256" s="32" t="str">
        <f>IF($D256="","",$D256+IF($E256="",'01. CONFIGURAÇÕES'!$C$22,$E256))</f>
        <v/>
      </c>
      <c r="G256" s="30"/>
      <c r="H256" s="33"/>
      <c r="I256" s="33"/>
      <c r="J256" s="30"/>
      <c r="K256" s="33"/>
      <c r="L256" s="30"/>
      <c r="M256" s="33"/>
      <c r="N256" s="30"/>
      <c r="O256" s="33"/>
      <c r="P256" s="34" t="str">
        <f t="shared" si="23"/>
        <v/>
      </c>
      <c r="Q256" s="35" t="str">
        <f t="shared" si="24"/>
        <v/>
      </c>
      <c r="R256" s="35" t="str">
        <f t="shared" si="28"/>
        <v/>
      </c>
      <c r="S256" s="29" t="str">
        <f t="shared" si="25"/>
        <v/>
      </c>
      <c r="T256" s="13" t="str">
        <f t="shared" ca="1" si="26"/>
        <v/>
      </c>
      <c r="U256" s="29" t="str">
        <f ca="1">IF(OR($A256="",$F256=""),"",IF($R256&lt;&gt;"",IF($R256&lt;=$F256,"NO PRAZO","FORA DO PRAZO"),IF(TODAY()&gt;$F256,"VENCIDO",IF($F256-TODAY()&lt;='01. CONFIGURAÇÕES'!$C$23,"VENCE EM BREVE","EM DIA"))))</f>
        <v/>
      </c>
      <c r="V256" s="55" t="str">
        <f t="shared" si="27"/>
        <v/>
      </c>
      <c r="W256" s="30"/>
      <c r="X256" s="33"/>
    </row>
    <row r="257" spans="1:24" x14ac:dyDescent="0.25">
      <c r="A257" s="29" t="str">
        <f t="shared" si="22"/>
        <v/>
      </c>
      <c r="B257" s="30"/>
      <c r="C257" s="30"/>
      <c r="D257" s="31"/>
      <c r="E257" s="10"/>
      <c r="F257" s="32" t="str">
        <f>IF($D257="","",$D257+IF($E257="",'01. CONFIGURAÇÕES'!$C$22,$E257))</f>
        <v/>
      </c>
      <c r="G257" s="30"/>
      <c r="H257" s="33"/>
      <c r="I257" s="33"/>
      <c r="J257" s="30"/>
      <c r="K257" s="33"/>
      <c r="L257" s="30"/>
      <c r="M257" s="33"/>
      <c r="N257" s="30"/>
      <c r="O257" s="33"/>
      <c r="P257" s="34" t="str">
        <f t="shared" si="23"/>
        <v/>
      </c>
      <c r="Q257" s="35" t="str">
        <f t="shared" si="24"/>
        <v/>
      </c>
      <c r="R257" s="35" t="str">
        <f t="shared" si="28"/>
        <v/>
      </c>
      <c r="S257" s="29" t="str">
        <f t="shared" si="25"/>
        <v/>
      </c>
      <c r="T257" s="13" t="str">
        <f t="shared" ca="1" si="26"/>
        <v/>
      </c>
      <c r="U257" s="29" t="str">
        <f ca="1">IF(OR($A257="",$F257=""),"",IF($R257&lt;&gt;"",IF($R257&lt;=$F257,"NO PRAZO","FORA DO PRAZO"),IF(TODAY()&gt;$F257,"VENCIDO",IF($F257-TODAY()&lt;='01. CONFIGURAÇÕES'!$C$23,"VENCE EM BREVE","EM DIA"))))</f>
        <v/>
      </c>
      <c r="V257" s="55" t="str">
        <f t="shared" si="27"/>
        <v/>
      </c>
      <c r="W257" s="30"/>
      <c r="X257" s="33"/>
    </row>
    <row r="258" spans="1:24" x14ac:dyDescent="0.25">
      <c r="A258" s="29" t="str">
        <f t="shared" si="22"/>
        <v/>
      </c>
      <c r="B258" s="30"/>
      <c r="C258" s="30"/>
      <c r="D258" s="31"/>
      <c r="E258" s="10"/>
      <c r="F258" s="32" t="str">
        <f>IF($D258="","",$D258+IF($E258="",'01. CONFIGURAÇÕES'!$C$22,$E258))</f>
        <v/>
      </c>
      <c r="G258" s="30"/>
      <c r="H258" s="33"/>
      <c r="I258" s="33"/>
      <c r="J258" s="30"/>
      <c r="K258" s="33"/>
      <c r="L258" s="30"/>
      <c r="M258" s="33"/>
      <c r="N258" s="30"/>
      <c r="O258" s="33"/>
      <c r="P258" s="34" t="str">
        <f t="shared" si="23"/>
        <v/>
      </c>
      <c r="Q258" s="35" t="str">
        <f t="shared" si="24"/>
        <v/>
      </c>
      <c r="R258" s="35" t="str">
        <f t="shared" si="28"/>
        <v/>
      </c>
      <c r="S258" s="29" t="str">
        <f t="shared" si="25"/>
        <v/>
      </c>
      <c r="T258" s="13" t="str">
        <f t="shared" ca="1" si="26"/>
        <v/>
      </c>
      <c r="U258" s="29" t="str">
        <f ca="1">IF(OR($A258="",$F258=""),"",IF($R258&lt;&gt;"",IF($R258&lt;=$F258,"NO PRAZO","FORA DO PRAZO"),IF(TODAY()&gt;$F258,"VENCIDO",IF($F258-TODAY()&lt;='01. CONFIGURAÇÕES'!$C$23,"VENCE EM BREVE","EM DIA"))))</f>
        <v/>
      </c>
      <c r="V258" s="55" t="str">
        <f t="shared" si="27"/>
        <v/>
      </c>
      <c r="W258" s="30"/>
      <c r="X258" s="33"/>
    </row>
    <row r="259" spans="1:24" x14ac:dyDescent="0.25">
      <c r="A259" s="29" t="str">
        <f t="shared" si="22"/>
        <v/>
      </c>
      <c r="B259" s="30"/>
      <c r="C259" s="30"/>
      <c r="D259" s="31"/>
      <c r="E259" s="10"/>
      <c r="F259" s="32" t="str">
        <f>IF($D259="","",$D259+IF($E259="",'01. CONFIGURAÇÕES'!$C$22,$E259))</f>
        <v/>
      </c>
      <c r="G259" s="30"/>
      <c r="H259" s="33"/>
      <c r="I259" s="33"/>
      <c r="J259" s="30"/>
      <c r="K259" s="33"/>
      <c r="L259" s="30"/>
      <c r="M259" s="33"/>
      <c r="N259" s="30"/>
      <c r="O259" s="33"/>
      <c r="P259" s="34" t="str">
        <f t="shared" si="23"/>
        <v/>
      </c>
      <c r="Q259" s="35" t="str">
        <f t="shared" si="24"/>
        <v/>
      </c>
      <c r="R259" s="35" t="str">
        <f t="shared" si="28"/>
        <v/>
      </c>
      <c r="S259" s="29" t="str">
        <f t="shared" si="25"/>
        <v/>
      </c>
      <c r="T259" s="13" t="str">
        <f t="shared" ca="1" si="26"/>
        <v/>
      </c>
      <c r="U259" s="29" t="str">
        <f ca="1">IF(OR($A259="",$F259=""),"",IF($R259&lt;&gt;"",IF($R259&lt;=$F259,"NO PRAZO","FORA DO PRAZO"),IF(TODAY()&gt;$F259,"VENCIDO",IF($F259-TODAY()&lt;='01. CONFIGURAÇÕES'!$C$23,"VENCE EM BREVE","EM DIA"))))</f>
        <v/>
      </c>
      <c r="V259" s="55" t="str">
        <f t="shared" si="27"/>
        <v/>
      </c>
      <c r="W259" s="30"/>
      <c r="X259" s="33"/>
    </row>
    <row r="260" spans="1:24" x14ac:dyDescent="0.25">
      <c r="A260" s="29" t="str">
        <f t="shared" si="22"/>
        <v/>
      </c>
      <c r="B260" s="30"/>
      <c r="C260" s="30"/>
      <c r="D260" s="31"/>
      <c r="E260" s="10"/>
      <c r="F260" s="32" t="str">
        <f>IF($D260="","",$D260+IF($E260="",'01. CONFIGURAÇÕES'!$C$22,$E260))</f>
        <v/>
      </c>
      <c r="G260" s="30"/>
      <c r="H260" s="33"/>
      <c r="I260" s="33"/>
      <c r="J260" s="30"/>
      <c r="K260" s="33"/>
      <c r="L260" s="30"/>
      <c r="M260" s="33"/>
      <c r="N260" s="30"/>
      <c r="O260" s="33"/>
      <c r="P260" s="34" t="str">
        <f t="shared" si="23"/>
        <v/>
      </c>
      <c r="Q260" s="35" t="str">
        <f t="shared" si="24"/>
        <v/>
      </c>
      <c r="R260" s="35" t="str">
        <f t="shared" si="28"/>
        <v/>
      </c>
      <c r="S260" s="29" t="str">
        <f t="shared" si="25"/>
        <v/>
      </c>
      <c r="T260" s="13" t="str">
        <f t="shared" ca="1" si="26"/>
        <v/>
      </c>
      <c r="U260" s="29" t="str">
        <f ca="1">IF(OR($A260="",$F260=""),"",IF($R260&lt;&gt;"",IF($R260&lt;=$F260,"NO PRAZO","FORA DO PRAZO"),IF(TODAY()&gt;$F260,"VENCIDO",IF($F260-TODAY()&lt;='01. CONFIGURAÇÕES'!$C$23,"VENCE EM BREVE","EM DIA"))))</f>
        <v/>
      </c>
      <c r="V260" s="55" t="str">
        <f t="shared" si="27"/>
        <v/>
      </c>
      <c r="W260" s="30"/>
      <c r="X260" s="33"/>
    </row>
    <row r="261" spans="1:24" x14ac:dyDescent="0.25">
      <c r="A261" s="29" t="str">
        <f t="shared" ref="A261:A324" si="29">IF($B261="","",LEFT($B261,3)&amp;"-"&amp;TEXT(ROW()-4,"0000"))</f>
        <v/>
      </c>
      <c r="B261" s="30"/>
      <c r="C261" s="30"/>
      <c r="D261" s="31"/>
      <c r="E261" s="10"/>
      <c r="F261" s="32" t="str">
        <f>IF($D261="","",$D261+IF($E261="",'01. CONFIGURAÇÕES'!$C$22,$E261))</f>
        <v/>
      </c>
      <c r="G261" s="30"/>
      <c r="H261" s="33"/>
      <c r="I261" s="33"/>
      <c r="J261" s="30"/>
      <c r="K261" s="33"/>
      <c r="L261" s="30"/>
      <c r="M261" s="33"/>
      <c r="N261" s="30"/>
      <c r="O261" s="33"/>
      <c r="P261" s="34" t="str">
        <f t="shared" ref="P261:P324" si="30">IFERROR(IF($A261="","",IF(COUNTIFS(OS_ID,$A261)&gt;0,INDEX(OS_EQUIPE,MATCH($A261,OS_ID,0)),IF(COUNTIFS(PROG_ID,$A261)&gt;0,INDEX(PROG_EQUIPE,MATCH($A261,PROG_ID,0)),""))),"")</f>
        <v/>
      </c>
      <c r="Q261" s="35" t="str">
        <f t="shared" ref="Q261:Q324" si="31">IF($A261="","",IFERROR(IF(INDEX(PROG_DATA,MATCH($A261,PROG_ID,0))=0,"",INDEX(PROG_DATA,MATCH($A261,PROG_ID,0))),""))</f>
        <v/>
      </c>
      <c r="R261" s="35" t="str">
        <f t="shared" si="28"/>
        <v/>
      </c>
      <c r="S261" s="29" t="str">
        <f t="shared" ref="S261:S324" si="32">IF($A261="","",IF($W261&lt;&gt;"",$W261,IF($V261&gt;0,"MEDIDO",IF($R261&lt;&gt;"","EXECUTADO",IF(COUNTIFS(OS_ID,$A261)&gt;0,"EM EXECUÇÃO",IF($Q261&lt;&gt;"","PROGRAMADO","CADASTRADO"))))))</f>
        <v/>
      </c>
      <c r="T261" s="13" t="str">
        <f t="shared" ref="T261:T324" ca="1" si="33">IF($A261="","",IF($R261&lt;&gt;"",$R261-$D261,TODAY()-$D261))</f>
        <v/>
      </c>
      <c r="U261" s="29" t="str">
        <f ca="1">IF(OR($A261="",$F261=""),"",IF($R261&lt;&gt;"",IF($R261&lt;=$F261,"NO PRAZO","FORA DO PRAZO"),IF(TODAY()&gt;$F261,"VENCIDO",IF($F261-TODAY()&lt;='01. CONFIGURAÇÕES'!$C$23,"VENCE EM BREVE","EM DIA"))))</f>
        <v/>
      </c>
      <c r="V261" s="55" t="str">
        <f t="shared" ref="V261:V324" si="34">IF($A261="","",SUMIFS(MED_VLR,MED_ID,$A261))</f>
        <v/>
      </c>
      <c r="W261" s="30"/>
      <c r="X261" s="33"/>
    </row>
    <row r="262" spans="1:24" x14ac:dyDescent="0.25">
      <c r="A262" s="29" t="str">
        <f t="shared" si="29"/>
        <v/>
      </c>
      <c r="B262" s="30"/>
      <c r="C262" s="30"/>
      <c r="D262" s="31"/>
      <c r="E262" s="10"/>
      <c r="F262" s="32" t="str">
        <f>IF($D262="","",$D262+IF($E262="",'01. CONFIGURAÇÕES'!$C$22,$E262))</f>
        <v/>
      </c>
      <c r="G262" s="30"/>
      <c r="H262" s="33"/>
      <c r="I262" s="33"/>
      <c r="J262" s="30"/>
      <c r="K262" s="33"/>
      <c r="L262" s="30"/>
      <c r="M262" s="33"/>
      <c r="N262" s="30"/>
      <c r="O262" s="33"/>
      <c r="P262" s="34" t="str">
        <f t="shared" si="30"/>
        <v/>
      </c>
      <c r="Q262" s="35" t="str">
        <f t="shared" si="31"/>
        <v/>
      </c>
      <c r="R262" s="35" t="str">
        <f t="shared" si="28"/>
        <v/>
      </c>
      <c r="S262" s="29" t="str">
        <f t="shared" si="32"/>
        <v/>
      </c>
      <c r="T262" s="13" t="str">
        <f t="shared" ca="1" si="33"/>
        <v/>
      </c>
      <c r="U262" s="29" t="str">
        <f ca="1">IF(OR($A262="",$F262=""),"",IF($R262&lt;&gt;"",IF($R262&lt;=$F262,"NO PRAZO","FORA DO PRAZO"),IF(TODAY()&gt;$F262,"VENCIDO",IF($F262-TODAY()&lt;='01. CONFIGURAÇÕES'!$C$23,"VENCE EM BREVE","EM DIA"))))</f>
        <v/>
      </c>
      <c r="V262" s="55" t="str">
        <f t="shared" si="34"/>
        <v/>
      </c>
      <c r="W262" s="30"/>
      <c r="X262" s="33"/>
    </row>
    <row r="263" spans="1:24" x14ac:dyDescent="0.25">
      <c r="A263" s="29" t="str">
        <f t="shared" si="29"/>
        <v/>
      </c>
      <c r="B263" s="30"/>
      <c r="C263" s="30"/>
      <c r="D263" s="31"/>
      <c r="E263" s="10"/>
      <c r="F263" s="32" t="str">
        <f>IF($D263="","",$D263+IF($E263="",'01. CONFIGURAÇÕES'!$C$22,$E263))</f>
        <v/>
      </c>
      <c r="G263" s="30"/>
      <c r="H263" s="33"/>
      <c r="I263" s="33"/>
      <c r="J263" s="30"/>
      <c r="K263" s="33"/>
      <c r="L263" s="30"/>
      <c r="M263" s="33"/>
      <c r="N263" s="30"/>
      <c r="O263" s="33"/>
      <c r="P263" s="34" t="str">
        <f t="shared" si="30"/>
        <v/>
      </c>
      <c r="Q263" s="35" t="str">
        <f t="shared" si="31"/>
        <v/>
      </c>
      <c r="R263" s="35" t="str">
        <f t="shared" si="28"/>
        <v/>
      </c>
      <c r="S263" s="29" t="str">
        <f t="shared" si="32"/>
        <v/>
      </c>
      <c r="T263" s="13" t="str">
        <f t="shared" ca="1" si="33"/>
        <v/>
      </c>
      <c r="U263" s="29" t="str">
        <f ca="1">IF(OR($A263="",$F263=""),"",IF($R263&lt;&gt;"",IF($R263&lt;=$F263,"NO PRAZO","FORA DO PRAZO"),IF(TODAY()&gt;$F263,"VENCIDO",IF($F263-TODAY()&lt;='01. CONFIGURAÇÕES'!$C$23,"VENCE EM BREVE","EM DIA"))))</f>
        <v/>
      </c>
      <c r="V263" s="55" t="str">
        <f t="shared" si="34"/>
        <v/>
      </c>
      <c r="W263" s="30"/>
      <c r="X263" s="33"/>
    </row>
    <row r="264" spans="1:24" x14ac:dyDescent="0.25">
      <c r="A264" s="29" t="str">
        <f t="shared" si="29"/>
        <v/>
      </c>
      <c r="B264" s="30"/>
      <c r="C264" s="30"/>
      <c r="D264" s="31"/>
      <c r="E264" s="10"/>
      <c r="F264" s="32" t="str">
        <f>IF($D264="","",$D264+IF($E264="",'01. CONFIGURAÇÕES'!$C$22,$E264))</f>
        <v/>
      </c>
      <c r="G264" s="30"/>
      <c r="H264" s="33"/>
      <c r="I264" s="33"/>
      <c r="J264" s="30"/>
      <c r="K264" s="33"/>
      <c r="L264" s="30"/>
      <c r="M264" s="33"/>
      <c r="N264" s="30"/>
      <c r="O264" s="33"/>
      <c r="P264" s="34" t="str">
        <f t="shared" si="30"/>
        <v/>
      </c>
      <c r="Q264" s="35" t="str">
        <f t="shared" si="31"/>
        <v/>
      </c>
      <c r="R264" s="35" t="str">
        <f t="shared" si="28"/>
        <v/>
      </c>
      <c r="S264" s="29" t="str">
        <f t="shared" si="32"/>
        <v/>
      </c>
      <c r="T264" s="13" t="str">
        <f t="shared" ca="1" si="33"/>
        <v/>
      </c>
      <c r="U264" s="29" t="str">
        <f ca="1">IF(OR($A264="",$F264=""),"",IF($R264&lt;&gt;"",IF($R264&lt;=$F264,"NO PRAZO","FORA DO PRAZO"),IF(TODAY()&gt;$F264,"VENCIDO",IF($F264-TODAY()&lt;='01. CONFIGURAÇÕES'!$C$23,"VENCE EM BREVE","EM DIA"))))</f>
        <v/>
      </c>
      <c r="V264" s="55" t="str">
        <f t="shared" si="34"/>
        <v/>
      </c>
      <c r="W264" s="30"/>
      <c r="X264" s="33"/>
    </row>
    <row r="265" spans="1:24" x14ac:dyDescent="0.25">
      <c r="A265" s="29" t="str">
        <f t="shared" si="29"/>
        <v/>
      </c>
      <c r="B265" s="30"/>
      <c r="C265" s="30"/>
      <c r="D265" s="31"/>
      <c r="E265" s="10"/>
      <c r="F265" s="32" t="str">
        <f>IF($D265="","",$D265+IF($E265="",'01. CONFIGURAÇÕES'!$C$22,$E265))</f>
        <v/>
      </c>
      <c r="G265" s="30"/>
      <c r="H265" s="33"/>
      <c r="I265" s="33"/>
      <c r="J265" s="30"/>
      <c r="K265" s="33"/>
      <c r="L265" s="30"/>
      <c r="M265" s="33"/>
      <c r="N265" s="30"/>
      <c r="O265" s="33"/>
      <c r="P265" s="34" t="str">
        <f t="shared" si="30"/>
        <v/>
      </c>
      <c r="Q265" s="35" t="str">
        <f t="shared" si="31"/>
        <v/>
      </c>
      <c r="R265" s="35" t="str">
        <f t="shared" si="28"/>
        <v/>
      </c>
      <c r="S265" s="29" t="str">
        <f t="shared" si="32"/>
        <v/>
      </c>
      <c r="T265" s="13" t="str">
        <f t="shared" ca="1" si="33"/>
        <v/>
      </c>
      <c r="U265" s="29" t="str">
        <f ca="1">IF(OR($A265="",$F265=""),"",IF($R265&lt;&gt;"",IF($R265&lt;=$F265,"NO PRAZO","FORA DO PRAZO"),IF(TODAY()&gt;$F265,"VENCIDO",IF($F265-TODAY()&lt;='01. CONFIGURAÇÕES'!$C$23,"VENCE EM BREVE","EM DIA"))))</f>
        <v/>
      </c>
      <c r="V265" s="55" t="str">
        <f t="shared" si="34"/>
        <v/>
      </c>
      <c r="W265" s="30"/>
      <c r="X265" s="33"/>
    </row>
    <row r="266" spans="1:24" x14ac:dyDescent="0.25">
      <c r="A266" s="29" t="str">
        <f t="shared" si="29"/>
        <v/>
      </c>
      <c r="B266" s="30"/>
      <c r="C266" s="30"/>
      <c r="D266" s="31"/>
      <c r="E266" s="10"/>
      <c r="F266" s="32" t="str">
        <f>IF($D266="","",$D266+IF($E266="",'01. CONFIGURAÇÕES'!$C$22,$E266))</f>
        <v/>
      </c>
      <c r="G266" s="30"/>
      <c r="H266" s="33"/>
      <c r="I266" s="33"/>
      <c r="J266" s="30"/>
      <c r="K266" s="33"/>
      <c r="L266" s="30"/>
      <c r="M266" s="33"/>
      <c r="N266" s="30"/>
      <c r="O266" s="33"/>
      <c r="P266" s="34" t="str">
        <f t="shared" si="30"/>
        <v/>
      </c>
      <c r="Q266" s="35" t="str">
        <f t="shared" si="31"/>
        <v/>
      </c>
      <c r="R266" s="35" t="str">
        <f t="shared" si="28"/>
        <v/>
      </c>
      <c r="S266" s="29" t="str">
        <f t="shared" si="32"/>
        <v/>
      </c>
      <c r="T266" s="13" t="str">
        <f t="shared" ca="1" si="33"/>
        <v/>
      </c>
      <c r="U266" s="29" t="str">
        <f ca="1">IF(OR($A266="",$F266=""),"",IF($R266&lt;&gt;"",IF($R266&lt;=$F266,"NO PRAZO","FORA DO PRAZO"),IF(TODAY()&gt;$F266,"VENCIDO",IF($F266-TODAY()&lt;='01. CONFIGURAÇÕES'!$C$23,"VENCE EM BREVE","EM DIA"))))</f>
        <v/>
      </c>
      <c r="V266" s="55" t="str">
        <f t="shared" si="34"/>
        <v/>
      </c>
      <c r="W266" s="30"/>
      <c r="X266" s="33"/>
    </row>
    <row r="267" spans="1:24" x14ac:dyDescent="0.25">
      <c r="A267" s="29" t="str">
        <f t="shared" si="29"/>
        <v/>
      </c>
      <c r="B267" s="30"/>
      <c r="C267" s="30"/>
      <c r="D267" s="31"/>
      <c r="E267" s="10"/>
      <c r="F267" s="32" t="str">
        <f>IF($D267="","",$D267+IF($E267="",'01. CONFIGURAÇÕES'!$C$22,$E267))</f>
        <v/>
      </c>
      <c r="G267" s="30"/>
      <c r="H267" s="33"/>
      <c r="I267" s="33"/>
      <c r="J267" s="30"/>
      <c r="K267" s="33"/>
      <c r="L267" s="30"/>
      <c r="M267" s="33"/>
      <c r="N267" s="30"/>
      <c r="O267" s="33"/>
      <c r="P267" s="34" t="str">
        <f t="shared" si="30"/>
        <v/>
      </c>
      <c r="Q267" s="35" t="str">
        <f t="shared" si="31"/>
        <v/>
      </c>
      <c r="R267" s="35" t="str">
        <f t="shared" si="28"/>
        <v/>
      </c>
      <c r="S267" s="29" t="str">
        <f t="shared" si="32"/>
        <v/>
      </c>
      <c r="T267" s="13" t="str">
        <f t="shared" ca="1" si="33"/>
        <v/>
      </c>
      <c r="U267" s="29" t="str">
        <f ca="1">IF(OR($A267="",$F267=""),"",IF($R267&lt;&gt;"",IF($R267&lt;=$F267,"NO PRAZO","FORA DO PRAZO"),IF(TODAY()&gt;$F267,"VENCIDO",IF($F267-TODAY()&lt;='01. CONFIGURAÇÕES'!$C$23,"VENCE EM BREVE","EM DIA"))))</f>
        <v/>
      </c>
      <c r="V267" s="55" t="str">
        <f t="shared" si="34"/>
        <v/>
      </c>
      <c r="W267" s="30"/>
      <c r="X267" s="33"/>
    </row>
    <row r="268" spans="1:24" x14ac:dyDescent="0.25">
      <c r="A268" s="29" t="str">
        <f t="shared" si="29"/>
        <v/>
      </c>
      <c r="B268" s="30"/>
      <c r="C268" s="30"/>
      <c r="D268" s="31"/>
      <c r="E268" s="10"/>
      <c r="F268" s="32" t="str">
        <f>IF($D268="","",$D268+IF($E268="",'01. CONFIGURAÇÕES'!$C$22,$E268))</f>
        <v/>
      </c>
      <c r="G268" s="30"/>
      <c r="H268" s="33"/>
      <c r="I268" s="33"/>
      <c r="J268" s="30"/>
      <c r="K268" s="33"/>
      <c r="L268" s="30"/>
      <c r="M268" s="33"/>
      <c r="N268" s="30"/>
      <c r="O268" s="33"/>
      <c r="P268" s="34" t="str">
        <f t="shared" si="30"/>
        <v/>
      </c>
      <c r="Q268" s="35" t="str">
        <f t="shared" si="31"/>
        <v/>
      </c>
      <c r="R268" s="35" t="str">
        <f t="shared" si="28"/>
        <v/>
      </c>
      <c r="S268" s="29" t="str">
        <f t="shared" si="32"/>
        <v/>
      </c>
      <c r="T268" s="13" t="str">
        <f t="shared" ca="1" si="33"/>
        <v/>
      </c>
      <c r="U268" s="29" t="str">
        <f ca="1">IF(OR($A268="",$F268=""),"",IF($R268&lt;&gt;"",IF($R268&lt;=$F268,"NO PRAZO","FORA DO PRAZO"),IF(TODAY()&gt;$F268,"VENCIDO",IF($F268-TODAY()&lt;='01. CONFIGURAÇÕES'!$C$23,"VENCE EM BREVE","EM DIA"))))</f>
        <v/>
      </c>
      <c r="V268" s="55" t="str">
        <f t="shared" si="34"/>
        <v/>
      </c>
      <c r="W268" s="30"/>
      <c r="X268" s="33"/>
    </row>
    <row r="269" spans="1:24" x14ac:dyDescent="0.25">
      <c r="A269" s="29" t="str">
        <f t="shared" si="29"/>
        <v/>
      </c>
      <c r="B269" s="30"/>
      <c r="C269" s="30"/>
      <c r="D269" s="31"/>
      <c r="E269" s="10"/>
      <c r="F269" s="32" t="str">
        <f>IF($D269="","",$D269+IF($E269="",'01. CONFIGURAÇÕES'!$C$22,$E269))</f>
        <v/>
      </c>
      <c r="G269" s="30"/>
      <c r="H269" s="33"/>
      <c r="I269" s="33"/>
      <c r="J269" s="30"/>
      <c r="K269" s="33"/>
      <c r="L269" s="30"/>
      <c r="M269" s="33"/>
      <c r="N269" s="30"/>
      <c r="O269" s="33"/>
      <c r="P269" s="34" t="str">
        <f t="shared" si="30"/>
        <v/>
      </c>
      <c r="Q269" s="35" t="str">
        <f t="shared" si="31"/>
        <v/>
      </c>
      <c r="R269" s="35" t="str">
        <f t="shared" si="28"/>
        <v/>
      </c>
      <c r="S269" s="29" t="str">
        <f t="shared" si="32"/>
        <v/>
      </c>
      <c r="T269" s="13" t="str">
        <f t="shared" ca="1" si="33"/>
        <v/>
      </c>
      <c r="U269" s="29" t="str">
        <f ca="1">IF(OR($A269="",$F269=""),"",IF($R269&lt;&gt;"",IF($R269&lt;=$F269,"NO PRAZO","FORA DO PRAZO"),IF(TODAY()&gt;$F269,"VENCIDO",IF($F269-TODAY()&lt;='01. CONFIGURAÇÕES'!$C$23,"VENCE EM BREVE","EM DIA"))))</f>
        <v/>
      </c>
      <c r="V269" s="55" t="str">
        <f t="shared" si="34"/>
        <v/>
      </c>
      <c r="W269" s="30"/>
      <c r="X269" s="33"/>
    </row>
    <row r="270" spans="1:24" x14ac:dyDescent="0.25">
      <c r="A270" s="29" t="str">
        <f t="shared" si="29"/>
        <v/>
      </c>
      <c r="B270" s="30"/>
      <c r="C270" s="30"/>
      <c r="D270" s="31"/>
      <c r="E270" s="10"/>
      <c r="F270" s="32" t="str">
        <f>IF($D270="","",$D270+IF($E270="",'01. CONFIGURAÇÕES'!$C$22,$E270))</f>
        <v/>
      </c>
      <c r="G270" s="30"/>
      <c r="H270" s="33"/>
      <c r="I270" s="33"/>
      <c r="J270" s="30"/>
      <c r="K270" s="33"/>
      <c r="L270" s="30"/>
      <c r="M270" s="33"/>
      <c r="N270" s="30"/>
      <c r="O270" s="33"/>
      <c r="P270" s="34" t="str">
        <f t="shared" si="30"/>
        <v/>
      </c>
      <c r="Q270" s="35" t="str">
        <f t="shared" si="31"/>
        <v/>
      </c>
      <c r="R270" s="35" t="str">
        <f t="shared" si="28"/>
        <v/>
      </c>
      <c r="S270" s="29" t="str">
        <f t="shared" si="32"/>
        <v/>
      </c>
      <c r="T270" s="13" t="str">
        <f t="shared" ca="1" si="33"/>
        <v/>
      </c>
      <c r="U270" s="29" t="str">
        <f ca="1">IF(OR($A270="",$F270=""),"",IF($R270&lt;&gt;"",IF($R270&lt;=$F270,"NO PRAZO","FORA DO PRAZO"),IF(TODAY()&gt;$F270,"VENCIDO",IF($F270-TODAY()&lt;='01. CONFIGURAÇÕES'!$C$23,"VENCE EM BREVE","EM DIA"))))</f>
        <v/>
      </c>
      <c r="V270" s="55" t="str">
        <f t="shared" si="34"/>
        <v/>
      </c>
      <c r="W270" s="30"/>
      <c r="X270" s="33"/>
    </row>
    <row r="271" spans="1:24" x14ac:dyDescent="0.25">
      <c r="A271" s="29" t="str">
        <f t="shared" si="29"/>
        <v/>
      </c>
      <c r="B271" s="30"/>
      <c r="C271" s="30"/>
      <c r="D271" s="31"/>
      <c r="E271" s="10"/>
      <c r="F271" s="32" t="str">
        <f>IF($D271="","",$D271+IF($E271="",'01. CONFIGURAÇÕES'!$C$22,$E271))</f>
        <v/>
      </c>
      <c r="G271" s="30"/>
      <c r="H271" s="33"/>
      <c r="I271" s="33"/>
      <c r="J271" s="30"/>
      <c r="K271" s="33"/>
      <c r="L271" s="30"/>
      <c r="M271" s="33"/>
      <c r="N271" s="30"/>
      <c r="O271" s="33"/>
      <c r="P271" s="34" t="str">
        <f t="shared" si="30"/>
        <v/>
      </c>
      <c r="Q271" s="35" t="str">
        <f t="shared" si="31"/>
        <v/>
      </c>
      <c r="R271" s="35" t="str">
        <f t="shared" si="28"/>
        <v/>
      </c>
      <c r="S271" s="29" t="str">
        <f t="shared" si="32"/>
        <v/>
      </c>
      <c r="T271" s="13" t="str">
        <f t="shared" ca="1" si="33"/>
        <v/>
      </c>
      <c r="U271" s="29" t="str">
        <f ca="1">IF(OR($A271="",$F271=""),"",IF($R271&lt;&gt;"",IF($R271&lt;=$F271,"NO PRAZO","FORA DO PRAZO"),IF(TODAY()&gt;$F271,"VENCIDO",IF($F271-TODAY()&lt;='01. CONFIGURAÇÕES'!$C$23,"VENCE EM BREVE","EM DIA"))))</f>
        <v/>
      </c>
      <c r="V271" s="55" t="str">
        <f t="shared" si="34"/>
        <v/>
      </c>
      <c r="W271" s="30"/>
      <c r="X271" s="33"/>
    </row>
    <row r="272" spans="1:24" x14ac:dyDescent="0.25">
      <c r="A272" s="29" t="str">
        <f t="shared" si="29"/>
        <v/>
      </c>
      <c r="B272" s="30"/>
      <c r="C272" s="30"/>
      <c r="D272" s="31"/>
      <c r="E272" s="10"/>
      <c r="F272" s="32" t="str">
        <f>IF($D272="","",$D272+IF($E272="",'01. CONFIGURAÇÕES'!$C$22,$E272))</f>
        <v/>
      </c>
      <c r="G272" s="30"/>
      <c r="H272" s="33"/>
      <c r="I272" s="33"/>
      <c r="J272" s="30"/>
      <c r="K272" s="33"/>
      <c r="L272" s="30"/>
      <c r="M272" s="33"/>
      <c r="N272" s="30"/>
      <c r="O272" s="33"/>
      <c r="P272" s="34" t="str">
        <f t="shared" si="30"/>
        <v/>
      </c>
      <c r="Q272" s="35" t="str">
        <f t="shared" si="31"/>
        <v/>
      </c>
      <c r="R272" s="35" t="str">
        <f t="shared" si="28"/>
        <v/>
      </c>
      <c r="S272" s="29" t="str">
        <f t="shared" si="32"/>
        <v/>
      </c>
      <c r="T272" s="13" t="str">
        <f t="shared" ca="1" si="33"/>
        <v/>
      </c>
      <c r="U272" s="29" t="str">
        <f ca="1">IF(OR($A272="",$F272=""),"",IF($R272&lt;&gt;"",IF($R272&lt;=$F272,"NO PRAZO","FORA DO PRAZO"),IF(TODAY()&gt;$F272,"VENCIDO",IF($F272-TODAY()&lt;='01. CONFIGURAÇÕES'!$C$23,"VENCE EM BREVE","EM DIA"))))</f>
        <v/>
      </c>
      <c r="V272" s="55" t="str">
        <f t="shared" si="34"/>
        <v/>
      </c>
      <c r="W272" s="30"/>
      <c r="X272" s="33"/>
    </row>
    <row r="273" spans="1:24" x14ac:dyDescent="0.25">
      <c r="A273" s="29" t="str">
        <f t="shared" si="29"/>
        <v/>
      </c>
      <c r="B273" s="30"/>
      <c r="C273" s="30"/>
      <c r="D273" s="31"/>
      <c r="E273" s="10"/>
      <c r="F273" s="32" t="str">
        <f>IF($D273="","",$D273+IF($E273="",'01. CONFIGURAÇÕES'!$C$22,$E273))</f>
        <v/>
      </c>
      <c r="G273" s="30"/>
      <c r="H273" s="33"/>
      <c r="I273" s="33"/>
      <c r="J273" s="30"/>
      <c r="K273" s="33"/>
      <c r="L273" s="30"/>
      <c r="M273" s="33"/>
      <c r="N273" s="30"/>
      <c r="O273" s="33"/>
      <c r="P273" s="34" t="str">
        <f t="shared" si="30"/>
        <v/>
      </c>
      <c r="Q273" s="35" t="str">
        <f t="shared" si="31"/>
        <v/>
      </c>
      <c r="R273" s="35" t="str">
        <f t="shared" si="28"/>
        <v/>
      </c>
      <c r="S273" s="29" t="str">
        <f t="shared" si="32"/>
        <v/>
      </c>
      <c r="T273" s="13" t="str">
        <f t="shared" ca="1" si="33"/>
        <v/>
      </c>
      <c r="U273" s="29" t="str">
        <f ca="1">IF(OR($A273="",$F273=""),"",IF($R273&lt;&gt;"",IF($R273&lt;=$F273,"NO PRAZO","FORA DO PRAZO"),IF(TODAY()&gt;$F273,"VENCIDO",IF($F273-TODAY()&lt;='01. CONFIGURAÇÕES'!$C$23,"VENCE EM BREVE","EM DIA"))))</f>
        <v/>
      </c>
      <c r="V273" s="55" t="str">
        <f t="shared" si="34"/>
        <v/>
      </c>
      <c r="W273" s="30"/>
      <c r="X273" s="33"/>
    </row>
    <row r="274" spans="1:24" x14ac:dyDescent="0.25">
      <c r="A274" s="29" t="str">
        <f t="shared" si="29"/>
        <v/>
      </c>
      <c r="B274" s="30"/>
      <c r="C274" s="30"/>
      <c r="D274" s="31"/>
      <c r="E274" s="10"/>
      <c r="F274" s="32" t="str">
        <f>IF($D274="","",$D274+IF($E274="",'01. CONFIGURAÇÕES'!$C$22,$E274))</f>
        <v/>
      </c>
      <c r="G274" s="30"/>
      <c r="H274" s="33"/>
      <c r="I274" s="33"/>
      <c r="J274" s="30"/>
      <c r="K274" s="33"/>
      <c r="L274" s="30"/>
      <c r="M274" s="33"/>
      <c r="N274" s="30"/>
      <c r="O274" s="33"/>
      <c r="P274" s="34" t="str">
        <f t="shared" si="30"/>
        <v/>
      </c>
      <c r="Q274" s="35" t="str">
        <f t="shared" si="31"/>
        <v/>
      </c>
      <c r="R274" s="35" t="str">
        <f t="shared" si="28"/>
        <v/>
      </c>
      <c r="S274" s="29" t="str">
        <f t="shared" si="32"/>
        <v/>
      </c>
      <c r="T274" s="13" t="str">
        <f t="shared" ca="1" si="33"/>
        <v/>
      </c>
      <c r="U274" s="29" t="str">
        <f ca="1">IF(OR($A274="",$F274=""),"",IF($R274&lt;&gt;"",IF($R274&lt;=$F274,"NO PRAZO","FORA DO PRAZO"),IF(TODAY()&gt;$F274,"VENCIDO",IF($F274-TODAY()&lt;='01. CONFIGURAÇÕES'!$C$23,"VENCE EM BREVE","EM DIA"))))</f>
        <v/>
      </c>
      <c r="V274" s="55" t="str">
        <f t="shared" si="34"/>
        <v/>
      </c>
      <c r="W274" s="30"/>
      <c r="X274" s="33"/>
    </row>
    <row r="275" spans="1:24" x14ac:dyDescent="0.25">
      <c r="A275" s="29" t="str">
        <f t="shared" si="29"/>
        <v/>
      </c>
      <c r="B275" s="30"/>
      <c r="C275" s="30"/>
      <c r="D275" s="31"/>
      <c r="E275" s="10"/>
      <c r="F275" s="32" t="str">
        <f>IF($D275="","",$D275+IF($E275="",'01. CONFIGURAÇÕES'!$C$22,$E275))</f>
        <v/>
      </c>
      <c r="G275" s="30"/>
      <c r="H275" s="33"/>
      <c r="I275" s="33"/>
      <c r="J275" s="30"/>
      <c r="K275" s="33"/>
      <c r="L275" s="30"/>
      <c r="M275" s="33"/>
      <c r="N275" s="30"/>
      <c r="O275" s="33"/>
      <c r="P275" s="34" t="str">
        <f t="shared" si="30"/>
        <v/>
      </c>
      <c r="Q275" s="35" t="str">
        <f t="shared" si="31"/>
        <v/>
      </c>
      <c r="R275" s="35" t="str">
        <f t="shared" si="28"/>
        <v/>
      </c>
      <c r="S275" s="29" t="str">
        <f t="shared" si="32"/>
        <v/>
      </c>
      <c r="T275" s="13" t="str">
        <f t="shared" ca="1" si="33"/>
        <v/>
      </c>
      <c r="U275" s="29" t="str">
        <f ca="1">IF(OR($A275="",$F275=""),"",IF($R275&lt;&gt;"",IF($R275&lt;=$F275,"NO PRAZO","FORA DO PRAZO"),IF(TODAY()&gt;$F275,"VENCIDO",IF($F275-TODAY()&lt;='01. CONFIGURAÇÕES'!$C$23,"VENCE EM BREVE","EM DIA"))))</f>
        <v/>
      </c>
      <c r="V275" s="55" t="str">
        <f t="shared" si="34"/>
        <v/>
      </c>
      <c r="W275" s="30"/>
      <c r="X275" s="33"/>
    </row>
    <row r="276" spans="1:24" x14ac:dyDescent="0.25">
      <c r="A276" s="29" t="str">
        <f t="shared" si="29"/>
        <v/>
      </c>
      <c r="B276" s="30"/>
      <c r="C276" s="30"/>
      <c r="D276" s="31"/>
      <c r="E276" s="10"/>
      <c r="F276" s="32" t="str">
        <f>IF($D276="","",$D276+IF($E276="",'01. CONFIGURAÇÕES'!$C$22,$E276))</f>
        <v/>
      </c>
      <c r="G276" s="30"/>
      <c r="H276" s="33"/>
      <c r="I276" s="33"/>
      <c r="J276" s="30"/>
      <c r="K276" s="33"/>
      <c r="L276" s="30"/>
      <c r="M276" s="33"/>
      <c r="N276" s="30"/>
      <c r="O276" s="33"/>
      <c r="P276" s="34" t="str">
        <f t="shared" si="30"/>
        <v/>
      </c>
      <c r="Q276" s="35" t="str">
        <f t="shared" si="31"/>
        <v/>
      </c>
      <c r="R276" s="35" t="str">
        <f t="shared" si="28"/>
        <v/>
      </c>
      <c r="S276" s="29" t="str">
        <f t="shared" si="32"/>
        <v/>
      </c>
      <c r="T276" s="13" t="str">
        <f t="shared" ca="1" si="33"/>
        <v/>
      </c>
      <c r="U276" s="29" t="str">
        <f ca="1">IF(OR($A276="",$F276=""),"",IF($R276&lt;&gt;"",IF($R276&lt;=$F276,"NO PRAZO","FORA DO PRAZO"),IF(TODAY()&gt;$F276,"VENCIDO",IF($F276-TODAY()&lt;='01. CONFIGURAÇÕES'!$C$23,"VENCE EM BREVE","EM DIA"))))</f>
        <v/>
      </c>
      <c r="V276" s="55" t="str">
        <f t="shared" si="34"/>
        <v/>
      </c>
      <c r="W276" s="30"/>
      <c r="X276" s="33"/>
    </row>
    <row r="277" spans="1:24" x14ac:dyDescent="0.25">
      <c r="A277" s="29" t="str">
        <f t="shared" si="29"/>
        <v/>
      </c>
      <c r="B277" s="30"/>
      <c r="C277" s="30"/>
      <c r="D277" s="31"/>
      <c r="E277" s="10"/>
      <c r="F277" s="32" t="str">
        <f>IF($D277="","",$D277+IF($E277="",'01. CONFIGURAÇÕES'!$C$22,$E277))</f>
        <v/>
      </c>
      <c r="G277" s="30"/>
      <c r="H277" s="33"/>
      <c r="I277" s="33"/>
      <c r="J277" s="30"/>
      <c r="K277" s="33"/>
      <c r="L277" s="30"/>
      <c r="M277" s="33"/>
      <c r="N277" s="30"/>
      <c r="O277" s="33"/>
      <c r="P277" s="34" t="str">
        <f t="shared" si="30"/>
        <v/>
      </c>
      <c r="Q277" s="35" t="str">
        <f t="shared" si="31"/>
        <v/>
      </c>
      <c r="R277" s="35" t="str">
        <f t="shared" si="28"/>
        <v/>
      </c>
      <c r="S277" s="29" t="str">
        <f t="shared" si="32"/>
        <v/>
      </c>
      <c r="T277" s="13" t="str">
        <f t="shared" ca="1" si="33"/>
        <v/>
      </c>
      <c r="U277" s="29" t="str">
        <f ca="1">IF(OR($A277="",$F277=""),"",IF($R277&lt;&gt;"",IF($R277&lt;=$F277,"NO PRAZO","FORA DO PRAZO"),IF(TODAY()&gt;$F277,"VENCIDO",IF($F277-TODAY()&lt;='01. CONFIGURAÇÕES'!$C$23,"VENCE EM BREVE","EM DIA"))))</f>
        <v/>
      </c>
      <c r="V277" s="55" t="str">
        <f t="shared" si="34"/>
        <v/>
      </c>
      <c r="W277" s="30"/>
      <c r="X277" s="33"/>
    </row>
    <row r="278" spans="1:24" x14ac:dyDescent="0.25">
      <c r="A278" s="29" t="str">
        <f t="shared" si="29"/>
        <v/>
      </c>
      <c r="B278" s="30"/>
      <c r="C278" s="30"/>
      <c r="D278" s="31"/>
      <c r="E278" s="10"/>
      <c r="F278" s="32" t="str">
        <f>IF($D278="","",$D278+IF($E278="",'01. CONFIGURAÇÕES'!$C$22,$E278))</f>
        <v/>
      </c>
      <c r="G278" s="30"/>
      <c r="H278" s="33"/>
      <c r="I278" s="33"/>
      <c r="J278" s="30"/>
      <c r="K278" s="33"/>
      <c r="L278" s="30"/>
      <c r="M278" s="33"/>
      <c r="N278" s="30"/>
      <c r="O278" s="33"/>
      <c r="P278" s="34" t="str">
        <f t="shared" si="30"/>
        <v/>
      </c>
      <c r="Q278" s="35" t="str">
        <f t="shared" si="31"/>
        <v/>
      </c>
      <c r="R278" s="35" t="str">
        <f t="shared" si="28"/>
        <v/>
      </c>
      <c r="S278" s="29" t="str">
        <f t="shared" si="32"/>
        <v/>
      </c>
      <c r="T278" s="13" t="str">
        <f t="shared" ca="1" si="33"/>
        <v/>
      </c>
      <c r="U278" s="29" t="str">
        <f ca="1">IF(OR($A278="",$F278=""),"",IF($R278&lt;&gt;"",IF($R278&lt;=$F278,"NO PRAZO","FORA DO PRAZO"),IF(TODAY()&gt;$F278,"VENCIDO",IF($F278-TODAY()&lt;='01. CONFIGURAÇÕES'!$C$23,"VENCE EM BREVE","EM DIA"))))</f>
        <v/>
      </c>
      <c r="V278" s="55" t="str">
        <f t="shared" si="34"/>
        <v/>
      </c>
      <c r="W278" s="30"/>
      <c r="X278" s="33"/>
    </row>
    <row r="279" spans="1:24" x14ac:dyDescent="0.25">
      <c r="A279" s="29" t="str">
        <f t="shared" si="29"/>
        <v/>
      </c>
      <c r="B279" s="30"/>
      <c r="C279" s="30"/>
      <c r="D279" s="31"/>
      <c r="E279" s="10"/>
      <c r="F279" s="32" t="str">
        <f>IF($D279="","",$D279+IF($E279="",'01. CONFIGURAÇÕES'!$C$22,$E279))</f>
        <v/>
      </c>
      <c r="G279" s="30"/>
      <c r="H279" s="33"/>
      <c r="I279" s="33"/>
      <c r="J279" s="30"/>
      <c r="K279" s="33"/>
      <c r="L279" s="30"/>
      <c r="M279" s="33"/>
      <c r="N279" s="30"/>
      <c r="O279" s="33"/>
      <c r="P279" s="34" t="str">
        <f t="shared" si="30"/>
        <v/>
      </c>
      <c r="Q279" s="35" t="str">
        <f t="shared" si="31"/>
        <v/>
      </c>
      <c r="R279" s="35" t="str">
        <f t="shared" si="28"/>
        <v/>
      </c>
      <c r="S279" s="29" t="str">
        <f t="shared" si="32"/>
        <v/>
      </c>
      <c r="T279" s="13" t="str">
        <f t="shared" ca="1" si="33"/>
        <v/>
      </c>
      <c r="U279" s="29" t="str">
        <f ca="1">IF(OR($A279="",$F279=""),"",IF($R279&lt;&gt;"",IF($R279&lt;=$F279,"NO PRAZO","FORA DO PRAZO"),IF(TODAY()&gt;$F279,"VENCIDO",IF($F279-TODAY()&lt;='01. CONFIGURAÇÕES'!$C$23,"VENCE EM BREVE","EM DIA"))))</f>
        <v/>
      </c>
      <c r="V279" s="55" t="str">
        <f t="shared" si="34"/>
        <v/>
      </c>
      <c r="W279" s="30"/>
      <c r="X279" s="33"/>
    </row>
    <row r="280" spans="1:24" x14ac:dyDescent="0.25">
      <c r="A280" s="29" t="str">
        <f t="shared" si="29"/>
        <v/>
      </c>
      <c r="B280" s="30"/>
      <c r="C280" s="30"/>
      <c r="D280" s="31"/>
      <c r="E280" s="10"/>
      <c r="F280" s="32" t="str">
        <f>IF($D280="","",$D280+IF($E280="",'01. CONFIGURAÇÕES'!$C$22,$E280))</f>
        <v/>
      </c>
      <c r="G280" s="30"/>
      <c r="H280" s="33"/>
      <c r="I280" s="33"/>
      <c r="J280" s="30"/>
      <c r="K280" s="33"/>
      <c r="L280" s="30"/>
      <c r="M280" s="33"/>
      <c r="N280" s="30"/>
      <c r="O280" s="33"/>
      <c r="P280" s="34" t="str">
        <f t="shared" si="30"/>
        <v/>
      </c>
      <c r="Q280" s="35" t="str">
        <f t="shared" si="31"/>
        <v/>
      </c>
      <c r="R280" s="35" t="str">
        <f t="shared" si="28"/>
        <v/>
      </c>
      <c r="S280" s="29" t="str">
        <f t="shared" si="32"/>
        <v/>
      </c>
      <c r="T280" s="13" t="str">
        <f t="shared" ca="1" si="33"/>
        <v/>
      </c>
      <c r="U280" s="29" t="str">
        <f ca="1">IF(OR($A280="",$F280=""),"",IF($R280&lt;&gt;"",IF($R280&lt;=$F280,"NO PRAZO","FORA DO PRAZO"),IF(TODAY()&gt;$F280,"VENCIDO",IF($F280-TODAY()&lt;='01. CONFIGURAÇÕES'!$C$23,"VENCE EM BREVE","EM DIA"))))</f>
        <v/>
      </c>
      <c r="V280" s="55" t="str">
        <f t="shared" si="34"/>
        <v/>
      </c>
      <c r="W280" s="30"/>
      <c r="X280" s="33"/>
    </row>
    <row r="281" spans="1:24" x14ac:dyDescent="0.25">
      <c r="A281" s="29" t="str">
        <f t="shared" si="29"/>
        <v/>
      </c>
      <c r="B281" s="30"/>
      <c r="C281" s="30"/>
      <c r="D281" s="31"/>
      <c r="E281" s="10"/>
      <c r="F281" s="32" t="str">
        <f>IF($D281="","",$D281+IF($E281="",'01. CONFIGURAÇÕES'!$C$22,$E281))</f>
        <v/>
      </c>
      <c r="G281" s="30"/>
      <c r="H281" s="33"/>
      <c r="I281" s="33"/>
      <c r="J281" s="30"/>
      <c r="K281" s="33"/>
      <c r="L281" s="30"/>
      <c r="M281" s="33"/>
      <c r="N281" s="30"/>
      <c r="O281" s="33"/>
      <c r="P281" s="34" t="str">
        <f t="shared" si="30"/>
        <v/>
      </c>
      <c r="Q281" s="35" t="str">
        <f t="shared" si="31"/>
        <v/>
      </c>
      <c r="R281" s="35" t="str">
        <f t="shared" si="28"/>
        <v/>
      </c>
      <c r="S281" s="29" t="str">
        <f t="shared" si="32"/>
        <v/>
      </c>
      <c r="T281" s="13" t="str">
        <f t="shared" ca="1" si="33"/>
        <v/>
      </c>
      <c r="U281" s="29" t="str">
        <f ca="1">IF(OR($A281="",$F281=""),"",IF($R281&lt;&gt;"",IF($R281&lt;=$F281,"NO PRAZO","FORA DO PRAZO"),IF(TODAY()&gt;$F281,"VENCIDO",IF($F281-TODAY()&lt;='01. CONFIGURAÇÕES'!$C$23,"VENCE EM BREVE","EM DIA"))))</f>
        <v/>
      </c>
      <c r="V281" s="55" t="str">
        <f t="shared" si="34"/>
        <v/>
      </c>
      <c r="W281" s="30"/>
      <c r="X281" s="33"/>
    </row>
    <row r="282" spans="1:24" x14ac:dyDescent="0.25">
      <c r="A282" s="29" t="str">
        <f t="shared" si="29"/>
        <v/>
      </c>
      <c r="B282" s="30"/>
      <c r="C282" s="30"/>
      <c r="D282" s="31"/>
      <c r="E282" s="10"/>
      <c r="F282" s="32" t="str">
        <f>IF($D282="","",$D282+IF($E282="",'01. CONFIGURAÇÕES'!$C$22,$E282))</f>
        <v/>
      </c>
      <c r="G282" s="30"/>
      <c r="H282" s="33"/>
      <c r="I282" s="33"/>
      <c r="J282" s="30"/>
      <c r="K282" s="33"/>
      <c r="L282" s="30"/>
      <c r="M282" s="33"/>
      <c r="N282" s="30"/>
      <c r="O282" s="33"/>
      <c r="P282" s="34" t="str">
        <f t="shared" si="30"/>
        <v/>
      </c>
      <c r="Q282" s="35" t="str">
        <f t="shared" si="31"/>
        <v/>
      </c>
      <c r="R282" s="35" t="str">
        <f t="shared" si="28"/>
        <v/>
      </c>
      <c r="S282" s="29" t="str">
        <f t="shared" si="32"/>
        <v/>
      </c>
      <c r="T282" s="13" t="str">
        <f t="shared" ca="1" si="33"/>
        <v/>
      </c>
      <c r="U282" s="29" t="str">
        <f ca="1">IF(OR($A282="",$F282=""),"",IF($R282&lt;&gt;"",IF($R282&lt;=$F282,"NO PRAZO","FORA DO PRAZO"),IF(TODAY()&gt;$F282,"VENCIDO",IF($F282-TODAY()&lt;='01. CONFIGURAÇÕES'!$C$23,"VENCE EM BREVE","EM DIA"))))</f>
        <v/>
      </c>
      <c r="V282" s="55" t="str">
        <f t="shared" si="34"/>
        <v/>
      </c>
      <c r="W282" s="30"/>
      <c r="X282" s="33"/>
    </row>
    <row r="283" spans="1:24" x14ac:dyDescent="0.25">
      <c r="A283" s="29" t="str">
        <f t="shared" si="29"/>
        <v/>
      </c>
      <c r="B283" s="30"/>
      <c r="C283" s="30"/>
      <c r="D283" s="31"/>
      <c r="E283" s="10"/>
      <c r="F283" s="32" t="str">
        <f>IF($D283="","",$D283+IF($E283="",'01. CONFIGURAÇÕES'!$C$22,$E283))</f>
        <v/>
      </c>
      <c r="G283" s="30"/>
      <c r="H283" s="33"/>
      <c r="I283" s="33"/>
      <c r="J283" s="30"/>
      <c r="K283" s="33"/>
      <c r="L283" s="30"/>
      <c r="M283" s="33"/>
      <c r="N283" s="30"/>
      <c r="O283" s="33"/>
      <c r="P283" s="34" t="str">
        <f t="shared" si="30"/>
        <v/>
      </c>
      <c r="Q283" s="35" t="str">
        <f t="shared" si="31"/>
        <v/>
      </c>
      <c r="R283" s="35" t="str">
        <f t="shared" si="28"/>
        <v/>
      </c>
      <c r="S283" s="29" t="str">
        <f t="shared" si="32"/>
        <v/>
      </c>
      <c r="T283" s="13" t="str">
        <f t="shared" ca="1" si="33"/>
        <v/>
      </c>
      <c r="U283" s="29" t="str">
        <f ca="1">IF(OR($A283="",$F283=""),"",IF($R283&lt;&gt;"",IF($R283&lt;=$F283,"NO PRAZO","FORA DO PRAZO"),IF(TODAY()&gt;$F283,"VENCIDO",IF($F283-TODAY()&lt;='01. CONFIGURAÇÕES'!$C$23,"VENCE EM BREVE","EM DIA"))))</f>
        <v/>
      </c>
      <c r="V283" s="55" t="str">
        <f t="shared" si="34"/>
        <v/>
      </c>
      <c r="W283" s="30"/>
      <c r="X283" s="33"/>
    </row>
    <row r="284" spans="1:24" x14ac:dyDescent="0.25">
      <c r="A284" s="29" t="str">
        <f t="shared" si="29"/>
        <v/>
      </c>
      <c r="B284" s="30"/>
      <c r="C284" s="30"/>
      <c r="D284" s="31"/>
      <c r="E284" s="10"/>
      <c r="F284" s="32" t="str">
        <f>IF($D284="","",$D284+IF($E284="",'01. CONFIGURAÇÕES'!$C$22,$E284))</f>
        <v/>
      </c>
      <c r="G284" s="30"/>
      <c r="H284" s="33"/>
      <c r="I284" s="33"/>
      <c r="J284" s="30"/>
      <c r="K284" s="33"/>
      <c r="L284" s="30"/>
      <c r="M284" s="33"/>
      <c r="N284" s="30"/>
      <c r="O284" s="33"/>
      <c r="P284" s="34" t="str">
        <f t="shared" si="30"/>
        <v/>
      </c>
      <c r="Q284" s="35" t="str">
        <f t="shared" si="31"/>
        <v/>
      </c>
      <c r="R284" s="35" t="str">
        <f t="shared" si="28"/>
        <v/>
      </c>
      <c r="S284" s="29" t="str">
        <f t="shared" si="32"/>
        <v/>
      </c>
      <c r="T284" s="13" t="str">
        <f t="shared" ca="1" si="33"/>
        <v/>
      </c>
      <c r="U284" s="29" t="str">
        <f ca="1">IF(OR($A284="",$F284=""),"",IF($R284&lt;&gt;"",IF($R284&lt;=$F284,"NO PRAZO","FORA DO PRAZO"),IF(TODAY()&gt;$F284,"VENCIDO",IF($F284-TODAY()&lt;='01. CONFIGURAÇÕES'!$C$23,"VENCE EM BREVE","EM DIA"))))</f>
        <v/>
      </c>
      <c r="V284" s="55" t="str">
        <f t="shared" si="34"/>
        <v/>
      </c>
      <c r="W284" s="30"/>
      <c r="X284" s="33"/>
    </row>
    <row r="285" spans="1:24" x14ac:dyDescent="0.25">
      <c r="A285" s="29" t="str">
        <f t="shared" si="29"/>
        <v/>
      </c>
      <c r="B285" s="30"/>
      <c r="C285" s="30"/>
      <c r="D285" s="31"/>
      <c r="E285" s="10"/>
      <c r="F285" s="32" t="str">
        <f>IF($D285="","",$D285+IF($E285="",'01. CONFIGURAÇÕES'!$C$22,$E285))</f>
        <v/>
      </c>
      <c r="G285" s="30"/>
      <c r="H285" s="33"/>
      <c r="I285" s="33"/>
      <c r="J285" s="30"/>
      <c r="K285" s="33"/>
      <c r="L285" s="30"/>
      <c r="M285" s="33"/>
      <c r="N285" s="30"/>
      <c r="O285" s="33"/>
      <c r="P285" s="34" t="str">
        <f t="shared" si="30"/>
        <v/>
      </c>
      <c r="Q285" s="35" t="str">
        <f t="shared" si="31"/>
        <v/>
      </c>
      <c r="R285" s="35" t="str">
        <f t="shared" si="28"/>
        <v/>
      </c>
      <c r="S285" s="29" t="str">
        <f t="shared" si="32"/>
        <v/>
      </c>
      <c r="T285" s="13" t="str">
        <f t="shared" ca="1" si="33"/>
        <v/>
      </c>
      <c r="U285" s="29" t="str">
        <f ca="1">IF(OR($A285="",$F285=""),"",IF($R285&lt;&gt;"",IF($R285&lt;=$F285,"NO PRAZO","FORA DO PRAZO"),IF(TODAY()&gt;$F285,"VENCIDO",IF($F285-TODAY()&lt;='01. CONFIGURAÇÕES'!$C$23,"VENCE EM BREVE","EM DIA"))))</f>
        <v/>
      </c>
      <c r="V285" s="55" t="str">
        <f t="shared" si="34"/>
        <v/>
      </c>
      <c r="W285" s="30"/>
      <c r="X285" s="33"/>
    </row>
    <row r="286" spans="1:24" x14ac:dyDescent="0.25">
      <c r="A286" s="29" t="str">
        <f t="shared" si="29"/>
        <v/>
      </c>
      <c r="B286" s="30"/>
      <c r="C286" s="30"/>
      <c r="D286" s="31"/>
      <c r="E286" s="10"/>
      <c r="F286" s="32" t="str">
        <f>IF($D286="","",$D286+IF($E286="",'01. CONFIGURAÇÕES'!$C$22,$E286))</f>
        <v/>
      </c>
      <c r="G286" s="30"/>
      <c r="H286" s="33"/>
      <c r="I286" s="33"/>
      <c r="J286" s="30"/>
      <c r="K286" s="33"/>
      <c r="L286" s="30"/>
      <c r="M286" s="33"/>
      <c r="N286" s="30"/>
      <c r="O286" s="33"/>
      <c r="P286" s="34" t="str">
        <f t="shared" si="30"/>
        <v/>
      </c>
      <c r="Q286" s="35" t="str">
        <f t="shared" si="31"/>
        <v/>
      </c>
      <c r="R286" s="35" t="str">
        <f t="shared" si="28"/>
        <v/>
      </c>
      <c r="S286" s="29" t="str">
        <f t="shared" si="32"/>
        <v/>
      </c>
      <c r="T286" s="13" t="str">
        <f t="shared" ca="1" si="33"/>
        <v/>
      </c>
      <c r="U286" s="29" t="str">
        <f ca="1">IF(OR($A286="",$F286=""),"",IF($R286&lt;&gt;"",IF($R286&lt;=$F286,"NO PRAZO","FORA DO PRAZO"),IF(TODAY()&gt;$F286,"VENCIDO",IF($F286-TODAY()&lt;='01. CONFIGURAÇÕES'!$C$23,"VENCE EM BREVE","EM DIA"))))</f>
        <v/>
      </c>
      <c r="V286" s="55" t="str">
        <f t="shared" si="34"/>
        <v/>
      </c>
      <c r="W286" s="30"/>
      <c r="X286" s="33"/>
    </row>
    <row r="287" spans="1:24" x14ac:dyDescent="0.25">
      <c r="A287" s="29" t="str">
        <f t="shared" si="29"/>
        <v/>
      </c>
      <c r="B287" s="30"/>
      <c r="C287" s="30"/>
      <c r="D287" s="31"/>
      <c r="E287" s="10"/>
      <c r="F287" s="32" t="str">
        <f>IF($D287="","",$D287+IF($E287="",'01. CONFIGURAÇÕES'!$C$22,$E287))</f>
        <v/>
      </c>
      <c r="G287" s="30"/>
      <c r="H287" s="33"/>
      <c r="I287" s="33"/>
      <c r="J287" s="30"/>
      <c r="K287" s="33"/>
      <c r="L287" s="30"/>
      <c r="M287" s="33"/>
      <c r="N287" s="30"/>
      <c r="O287" s="33"/>
      <c r="P287" s="34" t="str">
        <f t="shared" si="30"/>
        <v/>
      </c>
      <c r="Q287" s="35" t="str">
        <f t="shared" si="31"/>
        <v/>
      </c>
      <c r="R287" s="35" t="str">
        <f t="shared" ref="R287:R350" si="35">IF($A287="","",IFERROR(IF(INDEX(OS_FIM,MATCH($A287,OS_ID,0))=0,"",INDEX(OS_FIM,MATCH($A287,OS_ID,0))),""))</f>
        <v/>
      </c>
      <c r="S287" s="29" t="str">
        <f t="shared" si="32"/>
        <v/>
      </c>
      <c r="T287" s="13" t="str">
        <f t="shared" ca="1" si="33"/>
        <v/>
      </c>
      <c r="U287" s="29" t="str">
        <f ca="1">IF(OR($A287="",$F287=""),"",IF($R287&lt;&gt;"",IF($R287&lt;=$F287,"NO PRAZO","FORA DO PRAZO"),IF(TODAY()&gt;$F287,"VENCIDO",IF($F287-TODAY()&lt;='01. CONFIGURAÇÕES'!$C$23,"VENCE EM BREVE","EM DIA"))))</f>
        <v/>
      </c>
      <c r="V287" s="55" t="str">
        <f t="shared" si="34"/>
        <v/>
      </c>
      <c r="W287" s="30"/>
      <c r="X287" s="33"/>
    </row>
    <row r="288" spans="1:24" x14ac:dyDescent="0.25">
      <c r="A288" s="29" t="str">
        <f t="shared" si="29"/>
        <v/>
      </c>
      <c r="B288" s="30"/>
      <c r="C288" s="30"/>
      <c r="D288" s="31"/>
      <c r="E288" s="10"/>
      <c r="F288" s="32" t="str">
        <f>IF($D288="","",$D288+IF($E288="",'01. CONFIGURAÇÕES'!$C$22,$E288))</f>
        <v/>
      </c>
      <c r="G288" s="30"/>
      <c r="H288" s="33"/>
      <c r="I288" s="33"/>
      <c r="J288" s="30"/>
      <c r="K288" s="33"/>
      <c r="L288" s="30"/>
      <c r="M288" s="33"/>
      <c r="N288" s="30"/>
      <c r="O288" s="33"/>
      <c r="P288" s="34" t="str">
        <f t="shared" si="30"/>
        <v/>
      </c>
      <c r="Q288" s="35" t="str">
        <f t="shared" si="31"/>
        <v/>
      </c>
      <c r="R288" s="35" t="str">
        <f t="shared" si="35"/>
        <v/>
      </c>
      <c r="S288" s="29" t="str">
        <f t="shared" si="32"/>
        <v/>
      </c>
      <c r="T288" s="13" t="str">
        <f t="shared" ca="1" si="33"/>
        <v/>
      </c>
      <c r="U288" s="29" t="str">
        <f ca="1">IF(OR($A288="",$F288=""),"",IF($R288&lt;&gt;"",IF($R288&lt;=$F288,"NO PRAZO","FORA DO PRAZO"),IF(TODAY()&gt;$F288,"VENCIDO",IF($F288-TODAY()&lt;='01. CONFIGURAÇÕES'!$C$23,"VENCE EM BREVE","EM DIA"))))</f>
        <v/>
      </c>
      <c r="V288" s="55" t="str">
        <f t="shared" si="34"/>
        <v/>
      </c>
      <c r="W288" s="30"/>
      <c r="X288" s="33"/>
    </row>
    <row r="289" spans="1:24" x14ac:dyDescent="0.25">
      <c r="A289" s="29" t="str">
        <f t="shared" si="29"/>
        <v/>
      </c>
      <c r="B289" s="30"/>
      <c r="C289" s="30"/>
      <c r="D289" s="31"/>
      <c r="E289" s="10"/>
      <c r="F289" s="32" t="str">
        <f>IF($D289="","",$D289+IF($E289="",'01. CONFIGURAÇÕES'!$C$22,$E289))</f>
        <v/>
      </c>
      <c r="G289" s="30"/>
      <c r="H289" s="33"/>
      <c r="I289" s="33"/>
      <c r="J289" s="30"/>
      <c r="K289" s="33"/>
      <c r="L289" s="30"/>
      <c r="M289" s="33"/>
      <c r="N289" s="30"/>
      <c r="O289" s="33"/>
      <c r="P289" s="34" t="str">
        <f t="shared" si="30"/>
        <v/>
      </c>
      <c r="Q289" s="35" t="str">
        <f t="shared" si="31"/>
        <v/>
      </c>
      <c r="R289" s="35" t="str">
        <f t="shared" si="35"/>
        <v/>
      </c>
      <c r="S289" s="29" t="str">
        <f t="shared" si="32"/>
        <v/>
      </c>
      <c r="T289" s="13" t="str">
        <f t="shared" ca="1" si="33"/>
        <v/>
      </c>
      <c r="U289" s="29" t="str">
        <f ca="1">IF(OR($A289="",$F289=""),"",IF($R289&lt;&gt;"",IF($R289&lt;=$F289,"NO PRAZO","FORA DO PRAZO"),IF(TODAY()&gt;$F289,"VENCIDO",IF($F289-TODAY()&lt;='01. CONFIGURAÇÕES'!$C$23,"VENCE EM BREVE","EM DIA"))))</f>
        <v/>
      </c>
      <c r="V289" s="55" t="str">
        <f t="shared" si="34"/>
        <v/>
      </c>
      <c r="W289" s="30"/>
      <c r="X289" s="33"/>
    </row>
    <row r="290" spans="1:24" x14ac:dyDescent="0.25">
      <c r="A290" s="29" t="str">
        <f t="shared" si="29"/>
        <v/>
      </c>
      <c r="B290" s="30"/>
      <c r="C290" s="30"/>
      <c r="D290" s="31"/>
      <c r="E290" s="10"/>
      <c r="F290" s="32" t="str">
        <f>IF($D290="","",$D290+IF($E290="",'01. CONFIGURAÇÕES'!$C$22,$E290))</f>
        <v/>
      </c>
      <c r="G290" s="30"/>
      <c r="H290" s="33"/>
      <c r="I290" s="33"/>
      <c r="J290" s="30"/>
      <c r="K290" s="33"/>
      <c r="L290" s="30"/>
      <c r="M290" s="33"/>
      <c r="N290" s="30"/>
      <c r="O290" s="33"/>
      <c r="P290" s="34" t="str">
        <f t="shared" si="30"/>
        <v/>
      </c>
      <c r="Q290" s="35" t="str">
        <f t="shared" si="31"/>
        <v/>
      </c>
      <c r="R290" s="35" t="str">
        <f t="shared" si="35"/>
        <v/>
      </c>
      <c r="S290" s="29" t="str">
        <f t="shared" si="32"/>
        <v/>
      </c>
      <c r="T290" s="13" t="str">
        <f t="shared" ca="1" si="33"/>
        <v/>
      </c>
      <c r="U290" s="29" t="str">
        <f ca="1">IF(OR($A290="",$F290=""),"",IF($R290&lt;&gt;"",IF($R290&lt;=$F290,"NO PRAZO","FORA DO PRAZO"),IF(TODAY()&gt;$F290,"VENCIDO",IF($F290-TODAY()&lt;='01. CONFIGURAÇÕES'!$C$23,"VENCE EM BREVE","EM DIA"))))</f>
        <v/>
      </c>
      <c r="V290" s="55" t="str">
        <f t="shared" si="34"/>
        <v/>
      </c>
      <c r="W290" s="30"/>
      <c r="X290" s="33"/>
    </row>
    <row r="291" spans="1:24" x14ac:dyDescent="0.25">
      <c r="A291" s="29" t="str">
        <f t="shared" si="29"/>
        <v/>
      </c>
      <c r="B291" s="30"/>
      <c r="C291" s="30"/>
      <c r="D291" s="31"/>
      <c r="E291" s="10"/>
      <c r="F291" s="32" t="str">
        <f>IF($D291="","",$D291+IF($E291="",'01. CONFIGURAÇÕES'!$C$22,$E291))</f>
        <v/>
      </c>
      <c r="G291" s="30"/>
      <c r="H291" s="33"/>
      <c r="I291" s="33"/>
      <c r="J291" s="30"/>
      <c r="K291" s="33"/>
      <c r="L291" s="30"/>
      <c r="M291" s="33"/>
      <c r="N291" s="30"/>
      <c r="O291" s="33"/>
      <c r="P291" s="34" t="str">
        <f t="shared" si="30"/>
        <v/>
      </c>
      <c r="Q291" s="35" t="str">
        <f t="shared" si="31"/>
        <v/>
      </c>
      <c r="R291" s="35" t="str">
        <f t="shared" si="35"/>
        <v/>
      </c>
      <c r="S291" s="29" t="str">
        <f t="shared" si="32"/>
        <v/>
      </c>
      <c r="T291" s="13" t="str">
        <f t="shared" ca="1" si="33"/>
        <v/>
      </c>
      <c r="U291" s="29" t="str">
        <f ca="1">IF(OR($A291="",$F291=""),"",IF($R291&lt;&gt;"",IF($R291&lt;=$F291,"NO PRAZO","FORA DO PRAZO"),IF(TODAY()&gt;$F291,"VENCIDO",IF($F291-TODAY()&lt;='01. CONFIGURAÇÕES'!$C$23,"VENCE EM BREVE","EM DIA"))))</f>
        <v/>
      </c>
      <c r="V291" s="55" t="str">
        <f t="shared" si="34"/>
        <v/>
      </c>
      <c r="W291" s="30"/>
      <c r="X291" s="33"/>
    </row>
    <row r="292" spans="1:24" x14ac:dyDescent="0.25">
      <c r="A292" s="29" t="str">
        <f t="shared" si="29"/>
        <v/>
      </c>
      <c r="B292" s="30"/>
      <c r="C292" s="30"/>
      <c r="D292" s="31"/>
      <c r="E292" s="10"/>
      <c r="F292" s="32" t="str">
        <f>IF($D292="","",$D292+IF($E292="",'01. CONFIGURAÇÕES'!$C$22,$E292))</f>
        <v/>
      </c>
      <c r="G292" s="30"/>
      <c r="H292" s="33"/>
      <c r="I292" s="33"/>
      <c r="J292" s="30"/>
      <c r="K292" s="33"/>
      <c r="L292" s="30"/>
      <c r="M292" s="33"/>
      <c r="N292" s="30"/>
      <c r="O292" s="33"/>
      <c r="P292" s="34" t="str">
        <f t="shared" si="30"/>
        <v/>
      </c>
      <c r="Q292" s="35" t="str">
        <f t="shared" si="31"/>
        <v/>
      </c>
      <c r="R292" s="35" t="str">
        <f t="shared" si="35"/>
        <v/>
      </c>
      <c r="S292" s="29" t="str">
        <f t="shared" si="32"/>
        <v/>
      </c>
      <c r="T292" s="13" t="str">
        <f t="shared" ca="1" si="33"/>
        <v/>
      </c>
      <c r="U292" s="29" t="str">
        <f ca="1">IF(OR($A292="",$F292=""),"",IF($R292&lt;&gt;"",IF($R292&lt;=$F292,"NO PRAZO","FORA DO PRAZO"),IF(TODAY()&gt;$F292,"VENCIDO",IF($F292-TODAY()&lt;='01. CONFIGURAÇÕES'!$C$23,"VENCE EM BREVE","EM DIA"))))</f>
        <v/>
      </c>
      <c r="V292" s="55" t="str">
        <f t="shared" si="34"/>
        <v/>
      </c>
      <c r="W292" s="30"/>
      <c r="X292" s="33"/>
    </row>
    <row r="293" spans="1:24" x14ac:dyDescent="0.25">
      <c r="A293" s="29" t="str">
        <f t="shared" si="29"/>
        <v/>
      </c>
      <c r="B293" s="30"/>
      <c r="C293" s="30"/>
      <c r="D293" s="31"/>
      <c r="E293" s="10"/>
      <c r="F293" s="32" t="str">
        <f>IF($D293="","",$D293+IF($E293="",'01. CONFIGURAÇÕES'!$C$22,$E293))</f>
        <v/>
      </c>
      <c r="G293" s="30"/>
      <c r="H293" s="33"/>
      <c r="I293" s="33"/>
      <c r="J293" s="30"/>
      <c r="K293" s="33"/>
      <c r="L293" s="30"/>
      <c r="M293" s="33"/>
      <c r="N293" s="30"/>
      <c r="O293" s="33"/>
      <c r="P293" s="34" t="str">
        <f t="shared" si="30"/>
        <v/>
      </c>
      <c r="Q293" s="35" t="str">
        <f t="shared" si="31"/>
        <v/>
      </c>
      <c r="R293" s="35" t="str">
        <f t="shared" si="35"/>
        <v/>
      </c>
      <c r="S293" s="29" t="str">
        <f t="shared" si="32"/>
        <v/>
      </c>
      <c r="T293" s="13" t="str">
        <f t="shared" ca="1" si="33"/>
        <v/>
      </c>
      <c r="U293" s="29" t="str">
        <f ca="1">IF(OR($A293="",$F293=""),"",IF($R293&lt;&gt;"",IF($R293&lt;=$F293,"NO PRAZO","FORA DO PRAZO"),IF(TODAY()&gt;$F293,"VENCIDO",IF($F293-TODAY()&lt;='01. CONFIGURAÇÕES'!$C$23,"VENCE EM BREVE","EM DIA"))))</f>
        <v/>
      </c>
      <c r="V293" s="55" t="str">
        <f t="shared" si="34"/>
        <v/>
      </c>
      <c r="W293" s="30"/>
      <c r="X293" s="33"/>
    </row>
    <row r="294" spans="1:24" x14ac:dyDescent="0.25">
      <c r="A294" s="29" t="str">
        <f t="shared" si="29"/>
        <v/>
      </c>
      <c r="B294" s="30"/>
      <c r="C294" s="30"/>
      <c r="D294" s="31"/>
      <c r="E294" s="10"/>
      <c r="F294" s="32" t="str">
        <f>IF($D294="","",$D294+IF($E294="",'01. CONFIGURAÇÕES'!$C$22,$E294))</f>
        <v/>
      </c>
      <c r="G294" s="30"/>
      <c r="H294" s="33"/>
      <c r="I294" s="33"/>
      <c r="J294" s="30"/>
      <c r="K294" s="33"/>
      <c r="L294" s="30"/>
      <c r="M294" s="33"/>
      <c r="N294" s="30"/>
      <c r="O294" s="33"/>
      <c r="P294" s="34" t="str">
        <f t="shared" si="30"/>
        <v/>
      </c>
      <c r="Q294" s="35" t="str">
        <f t="shared" si="31"/>
        <v/>
      </c>
      <c r="R294" s="35" t="str">
        <f t="shared" si="35"/>
        <v/>
      </c>
      <c r="S294" s="29" t="str">
        <f t="shared" si="32"/>
        <v/>
      </c>
      <c r="T294" s="13" t="str">
        <f t="shared" ca="1" si="33"/>
        <v/>
      </c>
      <c r="U294" s="29" t="str">
        <f ca="1">IF(OR($A294="",$F294=""),"",IF($R294&lt;&gt;"",IF($R294&lt;=$F294,"NO PRAZO","FORA DO PRAZO"),IF(TODAY()&gt;$F294,"VENCIDO",IF($F294-TODAY()&lt;='01. CONFIGURAÇÕES'!$C$23,"VENCE EM BREVE","EM DIA"))))</f>
        <v/>
      </c>
      <c r="V294" s="55" t="str">
        <f t="shared" si="34"/>
        <v/>
      </c>
      <c r="W294" s="30"/>
      <c r="X294" s="33"/>
    </row>
    <row r="295" spans="1:24" x14ac:dyDescent="0.25">
      <c r="A295" s="29" t="str">
        <f t="shared" si="29"/>
        <v/>
      </c>
      <c r="B295" s="30"/>
      <c r="C295" s="30"/>
      <c r="D295" s="31"/>
      <c r="E295" s="10"/>
      <c r="F295" s="32" t="str">
        <f>IF($D295="","",$D295+IF($E295="",'01. CONFIGURAÇÕES'!$C$22,$E295))</f>
        <v/>
      </c>
      <c r="G295" s="30"/>
      <c r="H295" s="33"/>
      <c r="I295" s="33"/>
      <c r="J295" s="30"/>
      <c r="K295" s="33"/>
      <c r="L295" s="30"/>
      <c r="M295" s="33"/>
      <c r="N295" s="30"/>
      <c r="O295" s="33"/>
      <c r="P295" s="34" t="str">
        <f t="shared" si="30"/>
        <v/>
      </c>
      <c r="Q295" s="35" t="str">
        <f t="shared" si="31"/>
        <v/>
      </c>
      <c r="R295" s="35" t="str">
        <f t="shared" si="35"/>
        <v/>
      </c>
      <c r="S295" s="29" t="str">
        <f t="shared" si="32"/>
        <v/>
      </c>
      <c r="T295" s="13" t="str">
        <f t="shared" ca="1" si="33"/>
        <v/>
      </c>
      <c r="U295" s="29" t="str">
        <f ca="1">IF(OR($A295="",$F295=""),"",IF($R295&lt;&gt;"",IF($R295&lt;=$F295,"NO PRAZO","FORA DO PRAZO"),IF(TODAY()&gt;$F295,"VENCIDO",IF($F295-TODAY()&lt;='01. CONFIGURAÇÕES'!$C$23,"VENCE EM BREVE","EM DIA"))))</f>
        <v/>
      </c>
      <c r="V295" s="55" t="str">
        <f t="shared" si="34"/>
        <v/>
      </c>
      <c r="W295" s="30"/>
      <c r="X295" s="33"/>
    </row>
    <row r="296" spans="1:24" x14ac:dyDescent="0.25">
      <c r="A296" s="29" t="str">
        <f t="shared" si="29"/>
        <v/>
      </c>
      <c r="B296" s="30"/>
      <c r="C296" s="30"/>
      <c r="D296" s="31"/>
      <c r="E296" s="10"/>
      <c r="F296" s="32" t="str">
        <f>IF($D296="","",$D296+IF($E296="",'01. CONFIGURAÇÕES'!$C$22,$E296))</f>
        <v/>
      </c>
      <c r="G296" s="30"/>
      <c r="H296" s="33"/>
      <c r="I296" s="33"/>
      <c r="J296" s="30"/>
      <c r="K296" s="33"/>
      <c r="L296" s="30"/>
      <c r="M296" s="33"/>
      <c r="N296" s="30"/>
      <c r="O296" s="33"/>
      <c r="P296" s="34" t="str">
        <f t="shared" si="30"/>
        <v/>
      </c>
      <c r="Q296" s="35" t="str">
        <f t="shared" si="31"/>
        <v/>
      </c>
      <c r="R296" s="35" t="str">
        <f t="shared" si="35"/>
        <v/>
      </c>
      <c r="S296" s="29" t="str">
        <f t="shared" si="32"/>
        <v/>
      </c>
      <c r="T296" s="13" t="str">
        <f t="shared" ca="1" si="33"/>
        <v/>
      </c>
      <c r="U296" s="29" t="str">
        <f ca="1">IF(OR($A296="",$F296=""),"",IF($R296&lt;&gt;"",IF($R296&lt;=$F296,"NO PRAZO","FORA DO PRAZO"),IF(TODAY()&gt;$F296,"VENCIDO",IF($F296-TODAY()&lt;='01. CONFIGURAÇÕES'!$C$23,"VENCE EM BREVE","EM DIA"))))</f>
        <v/>
      </c>
      <c r="V296" s="55" t="str">
        <f t="shared" si="34"/>
        <v/>
      </c>
      <c r="W296" s="30"/>
      <c r="X296" s="33"/>
    </row>
    <row r="297" spans="1:24" x14ac:dyDescent="0.25">
      <c r="A297" s="29" t="str">
        <f t="shared" si="29"/>
        <v/>
      </c>
      <c r="B297" s="30"/>
      <c r="C297" s="30"/>
      <c r="D297" s="31"/>
      <c r="E297" s="10"/>
      <c r="F297" s="32" t="str">
        <f>IF($D297="","",$D297+IF($E297="",'01. CONFIGURAÇÕES'!$C$22,$E297))</f>
        <v/>
      </c>
      <c r="G297" s="30"/>
      <c r="H297" s="33"/>
      <c r="I297" s="33"/>
      <c r="J297" s="30"/>
      <c r="K297" s="33"/>
      <c r="L297" s="30"/>
      <c r="M297" s="33"/>
      <c r="N297" s="30"/>
      <c r="O297" s="33"/>
      <c r="P297" s="34" t="str">
        <f t="shared" si="30"/>
        <v/>
      </c>
      <c r="Q297" s="35" t="str">
        <f t="shared" si="31"/>
        <v/>
      </c>
      <c r="R297" s="35" t="str">
        <f t="shared" si="35"/>
        <v/>
      </c>
      <c r="S297" s="29" t="str">
        <f t="shared" si="32"/>
        <v/>
      </c>
      <c r="T297" s="13" t="str">
        <f t="shared" ca="1" si="33"/>
        <v/>
      </c>
      <c r="U297" s="29" t="str">
        <f ca="1">IF(OR($A297="",$F297=""),"",IF($R297&lt;&gt;"",IF($R297&lt;=$F297,"NO PRAZO","FORA DO PRAZO"),IF(TODAY()&gt;$F297,"VENCIDO",IF($F297-TODAY()&lt;='01. CONFIGURAÇÕES'!$C$23,"VENCE EM BREVE","EM DIA"))))</f>
        <v/>
      </c>
      <c r="V297" s="55" t="str">
        <f t="shared" si="34"/>
        <v/>
      </c>
      <c r="W297" s="30"/>
      <c r="X297" s="33"/>
    </row>
    <row r="298" spans="1:24" x14ac:dyDescent="0.25">
      <c r="A298" s="29" t="str">
        <f t="shared" si="29"/>
        <v/>
      </c>
      <c r="B298" s="30"/>
      <c r="C298" s="30"/>
      <c r="D298" s="31"/>
      <c r="E298" s="10"/>
      <c r="F298" s="32" t="str">
        <f>IF($D298="","",$D298+IF($E298="",'01. CONFIGURAÇÕES'!$C$22,$E298))</f>
        <v/>
      </c>
      <c r="G298" s="30"/>
      <c r="H298" s="33"/>
      <c r="I298" s="33"/>
      <c r="J298" s="30"/>
      <c r="K298" s="33"/>
      <c r="L298" s="30"/>
      <c r="M298" s="33"/>
      <c r="N298" s="30"/>
      <c r="O298" s="33"/>
      <c r="P298" s="34" t="str">
        <f t="shared" si="30"/>
        <v/>
      </c>
      <c r="Q298" s="35" t="str">
        <f t="shared" si="31"/>
        <v/>
      </c>
      <c r="R298" s="35" t="str">
        <f t="shared" si="35"/>
        <v/>
      </c>
      <c r="S298" s="29" t="str">
        <f t="shared" si="32"/>
        <v/>
      </c>
      <c r="T298" s="13" t="str">
        <f t="shared" ca="1" si="33"/>
        <v/>
      </c>
      <c r="U298" s="29" t="str">
        <f ca="1">IF(OR($A298="",$F298=""),"",IF($R298&lt;&gt;"",IF($R298&lt;=$F298,"NO PRAZO","FORA DO PRAZO"),IF(TODAY()&gt;$F298,"VENCIDO",IF($F298-TODAY()&lt;='01. CONFIGURAÇÕES'!$C$23,"VENCE EM BREVE","EM DIA"))))</f>
        <v/>
      </c>
      <c r="V298" s="55" t="str">
        <f t="shared" si="34"/>
        <v/>
      </c>
      <c r="W298" s="30"/>
      <c r="X298" s="33"/>
    </row>
    <row r="299" spans="1:24" x14ac:dyDescent="0.25">
      <c r="A299" s="29" t="str">
        <f t="shared" si="29"/>
        <v/>
      </c>
      <c r="B299" s="30"/>
      <c r="C299" s="30"/>
      <c r="D299" s="31"/>
      <c r="E299" s="10"/>
      <c r="F299" s="32" t="str">
        <f>IF($D299="","",$D299+IF($E299="",'01. CONFIGURAÇÕES'!$C$22,$E299))</f>
        <v/>
      </c>
      <c r="G299" s="30"/>
      <c r="H299" s="33"/>
      <c r="I299" s="33"/>
      <c r="J299" s="30"/>
      <c r="K299" s="33"/>
      <c r="L299" s="30"/>
      <c r="M299" s="33"/>
      <c r="N299" s="30"/>
      <c r="O299" s="33"/>
      <c r="P299" s="34" t="str">
        <f t="shared" si="30"/>
        <v/>
      </c>
      <c r="Q299" s="35" t="str">
        <f t="shared" si="31"/>
        <v/>
      </c>
      <c r="R299" s="35" t="str">
        <f t="shared" si="35"/>
        <v/>
      </c>
      <c r="S299" s="29" t="str">
        <f t="shared" si="32"/>
        <v/>
      </c>
      <c r="T299" s="13" t="str">
        <f t="shared" ca="1" si="33"/>
        <v/>
      </c>
      <c r="U299" s="29" t="str">
        <f ca="1">IF(OR($A299="",$F299=""),"",IF($R299&lt;&gt;"",IF($R299&lt;=$F299,"NO PRAZO","FORA DO PRAZO"),IF(TODAY()&gt;$F299,"VENCIDO",IF($F299-TODAY()&lt;='01. CONFIGURAÇÕES'!$C$23,"VENCE EM BREVE","EM DIA"))))</f>
        <v/>
      </c>
      <c r="V299" s="55" t="str">
        <f t="shared" si="34"/>
        <v/>
      </c>
      <c r="W299" s="30"/>
      <c r="X299" s="33"/>
    </row>
    <row r="300" spans="1:24" x14ac:dyDescent="0.25">
      <c r="A300" s="29" t="str">
        <f t="shared" si="29"/>
        <v/>
      </c>
      <c r="B300" s="30"/>
      <c r="C300" s="30"/>
      <c r="D300" s="31"/>
      <c r="E300" s="10"/>
      <c r="F300" s="32" t="str">
        <f>IF($D300="","",$D300+IF($E300="",'01. CONFIGURAÇÕES'!$C$22,$E300))</f>
        <v/>
      </c>
      <c r="G300" s="30"/>
      <c r="H300" s="33"/>
      <c r="I300" s="33"/>
      <c r="J300" s="30"/>
      <c r="K300" s="33"/>
      <c r="L300" s="30"/>
      <c r="M300" s="33"/>
      <c r="N300" s="30"/>
      <c r="O300" s="33"/>
      <c r="P300" s="34" t="str">
        <f t="shared" si="30"/>
        <v/>
      </c>
      <c r="Q300" s="35" t="str">
        <f t="shared" si="31"/>
        <v/>
      </c>
      <c r="R300" s="35" t="str">
        <f t="shared" si="35"/>
        <v/>
      </c>
      <c r="S300" s="29" t="str">
        <f t="shared" si="32"/>
        <v/>
      </c>
      <c r="T300" s="13" t="str">
        <f t="shared" ca="1" si="33"/>
        <v/>
      </c>
      <c r="U300" s="29" t="str">
        <f ca="1">IF(OR($A300="",$F300=""),"",IF($R300&lt;&gt;"",IF($R300&lt;=$F300,"NO PRAZO","FORA DO PRAZO"),IF(TODAY()&gt;$F300,"VENCIDO",IF($F300-TODAY()&lt;='01. CONFIGURAÇÕES'!$C$23,"VENCE EM BREVE","EM DIA"))))</f>
        <v/>
      </c>
      <c r="V300" s="55" t="str">
        <f t="shared" si="34"/>
        <v/>
      </c>
      <c r="W300" s="30"/>
      <c r="X300" s="33"/>
    </row>
    <row r="301" spans="1:24" x14ac:dyDescent="0.25">
      <c r="A301" s="29" t="str">
        <f t="shared" si="29"/>
        <v/>
      </c>
      <c r="B301" s="30"/>
      <c r="C301" s="30"/>
      <c r="D301" s="31"/>
      <c r="E301" s="10"/>
      <c r="F301" s="32" t="str">
        <f>IF($D301="","",$D301+IF($E301="",'01. CONFIGURAÇÕES'!$C$22,$E301))</f>
        <v/>
      </c>
      <c r="G301" s="30"/>
      <c r="H301" s="33"/>
      <c r="I301" s="33"/>
      <c r="J301" s="30"/>
      <c r="K301" s="33"/>
      <c r="L301" s="30"/>
      <c r="M301" s="33"/>
      <c r="N301" s="30"/>
      <c r="O301" s="33"/>
      <c r="P301" s="34" t="str">
        <f t="shared" si="30"/>
        <v/>
      </c>
      <c r="Q301" s="35" t="str">
        <f t="shared" si="31"/>
        <v/>
      </c>
      <c r="R301" s="35" t="str">
        <f t="shared" si="35"/>
        <v/>
      </c>
      <c r="S301" s="29" t="str">
        <f t="shared" si="32"/>
        <v/>
      </c>
      <c r="T301" s="13" t="str">
        <f t="shared" ca="1" si="33"/>
        <v/>
      </c>
      <c r="U301" s="29" t="str">
        <f ca="1">IF(OR($A301="",$F301=""),"",IF($R301&lt;&gt;"",IF($R301&lt;=$F301,"NO PRAZO","FORA DO PRAZO"),IF(TODAY()&gt;$F301,"VENCIDO",IF($F301-TODAY()&lt;='01. CONFIGURAÇÕES'!$C$23,"VENCE EM BREVE","EM DIA"))))</f>
        <v/>
      </c>
      <c r="V301" s="55" t="str">
        <f t="shared" si="34"/>
        <v/>
      </c>
      <c r="W301" s="30"/>
      <c r="X301" s="33"/>
    </row>
    <row r="302" spans="1:24" x14ac:dyDescent="0.25">
      <c r="A302" s="29" t="str">
        <f t="shared" si="29"/>
        <v/>
      </c>
      <c r="B302" s="30"/>
      <c r="C302" s="30"/>
      <c r="D302" s="31"/>
      <c r="E302" s="10"/>
      <c r="F302" s="32" t="str">
        <f>IF($D302="","",$D302+IF($E302="",'01. CONFIGURAÇÕES'!$C$22,$E302))</f>
        <v/>
      </c>
      <c r="G302" s="30"/>
      <c r="H302" s="33"/>
      <c r="I302" s="33"/>
      <c r="J302" s="30"/>
      <c r="K302" s="33"/>
      <c r="L302" s="30"/>
      <c r="M302" s="33"/>
      <c r="N302" s="30"/>
      <c r="O302" s="33"/>
      <c r="P302" s="34" t="str">
        <f t="shared" si="30"/>
        <v/>
      </c>
      <c r="Q302" s="35" t="str">
        <f t="shared" si="31"/>
        <v/>
      </c>
      <c r="R302" s="35" t="str">
        <f t="shared" si="35"/>
        <v/>
      </c>
      <c r="S302" s="29" t="str">
        <f t="shared" si="32"/>
        <v/>
      </c>
      <c r="T302" s="13" t="str">
        <f t="shared" ca="1" si="33"/>
        <v/>
      </c>
      <c r="U302" s="29" t="str">
        <f ca="1">IF(OR($A302="",$F302=""),"",IF($R302&lt;&gt;"",IF($R302&lt;=$F302,"NO PRAZO","FORA DO PRAZO"),IF(TODAY()&gt;$F302,"VENCIDO",IF($F302-TODAY()&lt;='01. CONFIGURAÇÕES'!$C$23,"VENCE EM BREVE","EM DIA"))))</f>
        <v/>
      </c>
      <c r="V302" s="55" t="str">
        <f t="shared" si="34"/>
        <v/>
      </c>
      <c r="W302" s="30"/>
      <c r="X302" s="33"/>
    </row>
    <row r="303" spans="1:24" x14ac:dyDescent="0.25">
      <c r="A303" s="29" t="str">
        <f t="shared" si="29"/>
        <v/>
      </c>
      <c r="B303" s="30"/>
      <c r="C303" s="30"/>
      <c r="D303" s="31"/>
      <c r="E303" s="10"/>
      <c r="F303" s="32" t="str">
        <f>IF($D303="","",$D303+IF($E303="",'01. CONFIGURAÇÕES'!$C$22,$E303))</f>
        <v/>
      </c>
      <c r="G303" s="30"/>
      <c r="H303" s="33"/>
      <c r="I303" s="33"/>
      <c r="J303" s="30"/>
      <c r="K303" s="33"/>
      <c r="L303" s="30"/>
      <c r="M303" s="33"/>
      <c r="N303" s="30"/>
      <c r="O303" s="33"/>
      <c r="P303" s="34" t="str">
        <f t="shared" si="30"/>
        <v/>
      </c>
      <c r="Q303" s="35" t="str">
        <f t="shared" si="31"/>
        <v/>
      </c>
      <c r="R303" s="35" t="str">
        <f t="shared" si="35"/>
        <v/>
      </c>
      <c r="S303" s="29" t="str">
        <f t="shared" si="32"/>
        <v/>
      </c>
      <c r="T303" s="13" t="str">
        <f t="shared" ca="1" si="33"/>
        <v/>
      </c>
      <c r="U303" s="29" t="str">
        <f ca="1">IF(OR($A303="",$F303=""),"",IF($R303&lt;&gt;"",IF($R303&lt;=$F303,"NO PRAZO","FORA DO PRAZO"),IF(TODAY()&gt;$F303,"VENCIDO",IF($F303-TODAY()&lt;='01. CONFIGURAÇÕES'!$C$23,"VENCE EM BREVE","EM DIA"))))</f>
        <v/>
      </c>
      <c r="V303" s="55" t="str">
        <f t="shared" si="34"/>
        <v/>
      </c>
      <c r="W303" s="30"/>
      <c r="X303" s="33"/>
    </row>
    <row r="304" spans="1:24" x14ac:dyDescent="0.25">
      <c r="A304" s="29" t="str">
        <f t="shared" si="29"/>
        <v/>
      </c>
      <c r="B304" s="30"/>
      <c r="C304" s="30"/>
      <c r="D304" s="31"/>
      <c r="E304" s="10"/>
      <c r="F304" s="32" t="str">
        <f>IF($D304="","",$D304+IF($E304="",'01. CONFIGURAÇÕES'!$C$22,$E304))</f>
        <v/>
      </c>
      <c r="G304" s="30"/>
      <c r="H304" s="33"/>
      <c r="I304" s="33"/>
      <c r="J304" s="30"/>
      <c r="K304" s="33"/>
      <c r="L304" s="30"/>
      <c r="M304" s="33"/>
      <c r="N304" s="30"/>
      <c r="O304" s="33"/>
      <c r="P304" s="34" t="str">
        <f t="shared" si="30"/>
        <v/>
      </c>
      <c r="Q304" s="35" t="str">
        <f t="shared" si="31"/>
        <v/>
      </c>
      <c r="R304" s="35" t="str">
        <f t="shared" si="35"/>
        <v/>
      </c>
      <c r="S304" s="29" t="str">
        <f t="shared" si="32"/>
        <v/>
      </c>
      <c r="T304" s="13" t="str">
        <f t="shared" ca="1" si="33"/>
        <v/>
      </c>
      <c r="U304" s="29" t="str">
        <f ca="1">IF(OR($A304="",$F304=""),"",IF($R304&lt;&gt;"",IF($R304&lt;=$F304,"NO PRAZO","FORA DO PRAZO"),IF(TODAY()&gt;$F304,"VENCIDO",IF($F304-TODAY()&lt;='01. CONFIGURAÇÕES'!$C$23,"VENCE EM BREVE","EM DIA"))))</f>
        <v/>
      </c>
      <c r="V304" s="55" t="str">
        <f t="shared" si="34"/>
        <v/>
      </c>
      <c r="W304" s="30"/>
      <c r="X304" s="33"/>
    </row>
    <row r="305" spans="1:24" x14ac:dyDescent="0.25">
      <c r="A305" s="29" t="str">
        <f t="shared" si="29"/>
        <v/>
      </c>
      <c r="B305" s="30"/>
      <c r="C305" s="30"/>
      <c r="D305" s="31"/>
      <c r="E305" s="10"/>
      <c r="F305" s="32" t="str">
        <f>IF($D305="","",$D305+IF($E305="",'01. CONFIGURAÇÕES'!$C$22,$E305))</f>
        <v/>
      </c>
      <c r="G305" s="30"/>
      <c r="H305" s="33"/>
      <c r="I305" s="33"/>
      <c r="J305" s="30"/>
      <c r="K305" s="33"/>
      <c r="L305" s="30"/>
      <c r="M305" s="33"/>
      <c r="N305" s="30"/>
      <c r="O305" s="33"/>
      <c r="P305" s="34" t="str">
        <f t="shared" si="30"/>
        <v/>
      </c>
      <c r="Q305" s="35" t="str">
        <f t="shared" si="31"/>
        <v/>
      </c>
      <c r="R305" s="35" t="str">
        <f t="shared" si="35"/>
        <v/>
      </c>
      <c r="S305" s="29" t="str">
        <f t="shared" si="32"/>
        <v/>
      </c>
      <c r="T305" s="13" t="str">
        <f t="shared" ca="1" si="33"/>
        <v/>
      </c>
      <c r="U305" s="29" t="str">
        <f ca="1">IF(OR($A305="",$F305=""),"",IF($R305&lt;&gt;"",IF($R305&lt;=$F305,"NO PRAZO","FORA DO PRAZO"),IF(TODAY()&gt;$F305,"VENCIDO",IF($F305-TODAY()&lt;='01. CONFIGURAÇÕES'!$C$23,"VENCE EM BREVE","EM DIA"))))</f>
        <v/>
      </c>
      <c r="V305" s="55" t="str">
        <f t="shared" si="34"/>
        <v/>
      </c>
      <c r="W305" s="30"/>
      <c r="X305" s="33"/>
    </row>
    <row r="306" spans="1:24" x14ac:dyDescent="0.25">
      <c r="A306" s="29" t="str">
        <f t="shared" si="29"/>
        <v/>
      </c>
      <c r="B306" s="30"/>
      <c r="C306" s="30"/>
      <c r="D306" s="31"/>
      <c r="E306" s="10"/>
      <c r="F306" s="32" t="str">
        <f>IF($D306="","",$D306+IF($E306="",'01. CONFIGURAÇÕES'!$C$22,$E306))</f>
        <v/>
      </c>
      <c r="G306" s="30"/>
      <c r="H306" s="33"/>
      <c r="I306" s="33"/>
      <c r="J306" s="30"/>
      <c r="K306" s="33"/>
      <c r="L306" s="30"/>
      <c r="M306" s="33"/>
      <c r="N306" s="30"/>
      <c r="O306" s="33"/>
      <c r="P306" s="34" t="str">
        <f t="shared" si="30"/>
        <v/>
      </c>
      <c r="Q306" s="35" t="str">
        <f t="shared" si="31"/>
        <v/>
      </c>
      <c r="R306" s="35" t="str">
        <f t="shared" si="35"/>
        <v/>
      </c>
      <c r="S306" s="29" t="str">
        <f t="shared" si="32"/>
        <v/>
      </c>
      <c r="T306" s="13" t="str">
        <f t="shared" ca="1" si="33"/>
        <v/>
      </c>
      <c r="U306" s="29" t="str">
        <f ca="1">IF(OR($A306="",$F306=""),"",IF($R306&lt;&gt;"",IF($R306&lt;=$F306,"NO PRAZO","FORA DO PRAZO"),IF(TODAY()&gt;$F306,"VENCIDO",IF($F306-TODAY()&lt;='01. CONFIGURAÇÕES'!$C$23,"VENCE EM BREVE","EM DIA"))))</f>
        <v/>
      </c>
      <c r="V306" s="55" t="str">
        <f t="shared" si="34"/>
        <v/>
      </c>
      <c r="W306" s="30"/>
      <c r="X306" s="33"/>
    </row>
    <row r="307" spans="1:24" x14ac:dyDescent="0.25">
      <c r="A307" s="29" t="str">
        <f t="shared" si="29"/>
        <v/>
      </c>
      <c r="B307" s="30"/>
      <c r="C307" s="30"/>
      <c r="D307" s="31"/>
      <c r="E307" s="10"/>
      <c r="F307" s="32" t="str">
        <f>IF($D307="","",$D307+IF($E307="",'01. CONFIGURAÇÕES'!$C$22,$E307))</f>
        <v/>
      </c>
      <c r="G307" s="30"/>
      <c r="H307" s="33"/>
      <c r="I307" s="33"/>
      <c r="J307" s="30"/>
      <c r="K307" s="33"/>
      <c r="L307" s="30"/>
      <c r="M307" s="33"/>
      <c r="N307" s="30"/>
      <c r="O307" s="33"/>
      <c r="P307" s="34" t="str">
        <f t="shared" si="30"/>
        <v/>
      </c>
      <c r="Q307" s="35" t="str">
        <f t="shared" si="31"/>
        <v/>
      </c>
      <c r="R307" s="35" t="str">
        <f t="shared" si="35"/>
        <v/>
      </c>
      <c r="S307" s="29" t="str">
        <f t="shared" si="32"/>
        <v/>
      </c>
      <c r="T307" s="13" t="str">
        <f t="shared" ca="1" si="33"/>
        <v/>
      </c>
      <c r="U307" s="29" t="str">
        <f ca="1">IF(OR($A307="",$F307=""),"",IF($R307&lt;&gt;"",IF($R307&lt;=$F307,"NO PRAZO","FORA DO PRAZO"),IF(TODAY()&gt;$F307,"VENCIDO",IF($F307-TODAY()&lt;='01. CONFIGURAÇÕES'!$C$23,"VENCE EM BREVE","EM DIA"))))</f>
        <v/>
      </c>
      <c r="V307" s="55" t="str">
        <f t="shared" si="34"/>
        <v/>
      </c>
      <c r="W307" s="30"/>
      <c r="X307" s="33"/>
    </row>
    <row r="308" spans="1:24" x14ac:dyDescent="0.25">
      <c r="A308" s="29" t="str">
        <f t="shared" si="29"/>
        <v/>
      </c>
      <c r="B308" s="30"/>
      <c r="C308" s="30"/>
      <c r="D308" s="31"/>
      <c r="E308" s="10"/>
      <c r="F308" s="32" t="str">
        <f>IF($D308="","",$D308+IF($E308="",'01. CONFIGURAÇÕES'!$C$22,$E308))</f>
        <v/>
      </c>
      <c r="G308" s="30"/>
      <c r="H308" s="33"/>
      <c r="I308" s="33"/>
      <c r="J308" s="30"/>
      <c r="K308" s="33"/>
      <c r="L308" s="30"/>
      <c r="M308" s="33"/>
      <c r="N308" s="30"/>
      <c r="O308" s="33"/>
      <c r="P308" s="34" t="str">
        <f t="shared" si="30"/>
        <v/>
      </c>
      <c r="Q308" s="35" t="str">
        <f t="shared" si="31"/>
        <v/>
      </c>
      <c r="R308" s="35" t="str">
        <f t="shared" si="35"/>
        <v/>
      </c>
      <c r="S308" s="29" t="str">
        <f t="shared" si="32"/>
        <v/>
      </c>
      <c r="T308" s="13" t="str">
        <f t="shared" ca="1" si="33"/>
        <v/>
      </c>
      <c r="U308" s="29" t="str">
        <f ca="1">IF(OR($A308="",$F308=""),"",IF($R308&lt;&gt;"",IF($R308&lt;=$F308,"NO PRAZO","FORA DO PRAZO"),IF(TODAY()&gt;$F308,"VENCIDO",IF($F308-TODAY()&lt;='01. CONFIGURAÇÕES'!$C$23,"VENCE EM BREVE","EM DIA"))))</f>
        <v/>
      </c>
      <c r="V308" s="55" t="str">
        <f t="shared" si="34"/>
        <v/>
      </c>
      <c r="W308" s="30"/>
      <c r="X308" s="33"/>
    </row>
    <row r="309" spans="1:24" x14ac:dyDescent="0.25">
      <c r="A309" s="29" t="str">
        <f t="shared" si="29"/>
        <v/>
      </c>
      <c r="B309" s="30"/>
      <c r="C309" s="30"/>
      <c r="D309" s="31"/>
      <c r="E309" s="10"/>
      <c r="F309" s="32" t="str">
        <f>IF($D309="","",$D309+IF($E309="",'01. CONFIGURAÇÕES'!$C$22,$E309))</f>
        <v/>
      </c>
      <c r="G309" s="30"/>
      <c r="H309" s="33"/>
      <c r="I309" s="33"/>
      <c r="J309" s="30"/>
      <c r="K309" s="33"/>
      <c r="L309" s="30"/>
      <c r="M309" s="33"/>
      <c r="N309" s="30"/>
      <c r="O309" s="33"/>
      <c r="P309" s="34" t="str">
        <f t="shared" si="30"/>
        <v/>
      </c>
      <c r="Q309" s="35" t="str">
        <f t="shared" si="31"/>
        <v/>
      </c>
      <c r="R309" s="35" t="str">
        <f t="shared" si="35"/>
        <v/>
      </c>
      <c r="S309" s="29" t="str">
        <f t="shared" si="32"/>
        <v/>
      </c>
      <c r="T309" s="13" t="str">
        <f t="shared" ca="1" si="33"/>
        <v/>
      </c>
      <c r="U309" s="29" t="str">
        <f ca="1">IF(OR($A309="",$F309=""),"",IF($R309&lt;&gt;"",IF($R309&lt;=$F309,"NO PRAZO","FORA DO PRAZO"),IF(TODAY()&gt;$F309,"VENCIDO",IF($F309-TODAY()&lt;='01. CONFIGURAÇÕES'!$C$23,"VENCE EM BREVE","EM DIA"))))</f>
        <v/>
      </c>
      <c r="V309" s="55" t="str">
        <f t="shared" si="34"/>
        <v/>
      </c>
      <c r="W309" s="30"/>
      <c r="X309" s="33"/>
    </row>
    <row r="310" spans="1:24" x14ac:dyDescent="0.25">
      <c r="A310" s="29" t="str">
        <f t="shared" si="29"/>
        <v/>
      </c>
      <c r="B310" s="30"/>
      <c r="C310" s="30"/>
      <c r="D310" s="31"/>
      <c r="E310" s="10"/>
      <c r="F310" s="32" t="str">
        <f>IF($D310="","",$D310+IF($E310="",'01. CONFIGURAÇÕES'!$C$22,$E310))</f>
        <v/>
      </c>
      <c r="G310" s="30"/>
      <c r="H310" s="33"/>
      <c r="I310" s="33"/>
      <c r="J310" s="30"/>
      <c r="K310" s="33"/>
      <c r="L310" s="30"/>
      <c r="M310" s="33"/>
      <c r="N310" s="30"/>
      <c r="O310" s="33"/>
      <c r="P310" s="34" t="str">
        <f t="shared" si="30"/>
        <v/>
      </c>
      <c r="Q310" s="35" t="str">
        <f t="shared" si="31"/>
        <v/>
      </c>
      <c r="R310" s="35" t="str">
        <f t="shared" si="35"/>
        <v/>
      </c>
      <c r="S310" s="29" t="str">
        <f t="shared" si="32"/>
        <v/>
      </c>
      <c r="T310" s="13" t="str">
        <f t="shared" ca="1" si="33"/>
        <v/>
      </c>
      <c r="U310" s="29" t="str">
        <f ca="1">IF(OR($A310="",$F310=""),"",IF($R310&lt;&gt;"",IF($R310&lt;=$F310,"NO PRAZO","FORA DO PRAZO"),IF(TODAY()&gt;$F310,"VENCIDO",IF($F310-TODAY()&lt;='01. CONFIGURAÇÕES'!$C$23,"VENCE EM BREVE","EM DIA"))))</f>
        <v/>
      </c>
      <c r="V310" s="55" t="str">
        <f t="shared" si="34"/>
        <v/>
      </c>
      <c r="W310" s="30"/>
      <c r="X310" s="33"/>
    </row>
    <row r="311" spans="1:24" x14ac:dyDescent="0.25">
      <c r="A311" s="29" t="str">
        <f t="shared" si="29"/>
        <v/>
      </c>
      <c r="B311" s="30"/>
      <c r="C311" s="30"/>
      <c r="D311" s="31"/>
      <c r="E311" s="10"/>
      <c r="F311" s="32" t="str">
        <f>IF($D311="","",$D311+IF($E311="",'01. CONFIGURAÇÕES'!$C$22,$E311))</f>
        <v/>
      </c>
      <c r="G311" s="30"/>
      <c r="H311" s="33"/>
      <c r="I311" s="33"/>
      <c r="J311" s="30"/>
      <c r="K311" s="33"/>
      <c r="L311" s="30"/>
      <c r="M311" s="33"/>
      <c r="N311" s="30"/>
      <c r="O311" s="33"/>
      <c r="P311" s="34" t="str">
        <f t="shared" si="30"/>
        <v/>
      </c>
      <c r="Q311" s="35" t="str">
        <f t="shared" si="31"/>
        <v/>
      </c>
      <c r="R311" s="35" t="str">
        <f t="shared" si="35"/>
        <v/>
      </c>
      <c r="S311" s="29" t="str">
        <f t="shared" si="32"/>
        <v/>
      </c>
      <c r="T311" s="13" t="str">
        <f t="shared" ca="1" si="33"/>
        <v/>
      </c>
      <c r="U311" s="29" t="str">
        <f ca="1">IF(OR($A311="",$F311=""),"",IF($R311&lt;&gt;"",IF($R311&lt;=$F311,"NO PRAZO","FORA DO PRAZO"),IF(TODAY()&gt;$F311,"VENCIDO",IF($F311-TODAY()&lt;='01. CONFIGURAÇÕES'!$C$23,"VENCE EM BREVE","EM DIA"))))</f>
        <v/>
      </c>
      <c r="V311" s="55" t="str">
        <f t="shared" si="34"/>
        <v/>
      </c>
      <c r="W311" s="30"/>
      <c r="X311" s="33"/>
    </row>
    <row r="312" spans="1:24" x14ac:dyDescent="0.25">
      <c r="A312" s="29" t="str">
        <f t="shared" si="29"/>
        <v/>
      </c>
      <c r="B312" s="30"/>
      <c r="C312" s="30"/>
      <c r="D312" s="31"/>
      <c r="E312" s="10"/>
      <c r="F312" s="32" t="str">
        <f>IF($D312="","",$D312+IF($E312="",'01. CONFIGURAÇÕES'!$C$22,$E312))</f>
        <v/>
      </c>
      <c r="G312" s="30"/>
      <c r="H312" s="33"/>
      <c r="I312" s="33"/>
      <c r="J312" s="30"/>
      <c r="K312" s="33"/>
      <c r="L312" s="30"/>
      <c r="M312" s="33"/>
      <c r="N312" s="30"/>
      <c r="O312" s="33"/>
      <c r="P312" s="34" t="str">
        <f t="shared" si="30"/>
        <v/>
      </c>
      <c r="Q312" s="35" t="str">
        <f t="shared" si="31"/>
        <v/>
      </c>
      <c r="R312" s="35" t="str">
        <f t="shared" si="35"/>
        <v/>
      </c>
      <c r="S312" s="29" t="str">
        <f t="shared" si="32"/>
        <v/>
      </c>
      <c r="T312" s="13" t="str">
        <f t="shared" ca="1" si="33"/>
        <v/>
      </c>
      <c r="U312" s="29" t="str">
        <f ca="1">IF(OR($A312="",$F312=""),"",IF($R312&lt;&gt;"",IF($R312&lt;=$F312,"NO PRAZO","FORA DO PRAZO"),IF(TODAY()&gt;$F312,"VENCIDO",IF($F312-TODAY()&lt;='01. CONFIGURAÇÕES'!$C$23,"VENCE EM BREVE","EM DIA"))))</f>
        <v/>
      </c>
      <c r="V312" s="55" t="str">
        <f t="shared" si="34"/>
        <v/>
      </c>
      <c r="W312" s="30"/>
      <c r="X312" s="33"/>
    </row>
    <row r="313" spans="1:24" x14ac:dyDescent="0.25">
      <c r="A313" s="29" t="str">
        <f t="shared" si="29"/>
        <v/>
      </c>
      <c r="B313" s="30"/>
      <c r="C313" s="30"/>
      <c r="D313" s="31"/>
      <c r="E313" s="10"/>
      <c r="F313" s="32" t="str">
        <f>IF($D313="","",$D313+IF($E313="",'01. CONFIGURAÇÕES'!$C$22,$E313))</f>
        <v/>
      </c>
      <c r="G313" s="30"/>
      <c r="H313" s="33"/>
      <c r="I313" s="33"/>
      <c r="J313" s="30"/>
      <c r="K313" s="33"/>
      <c r="L313" s="30"/>
      <c r="M313" s="33"/>
      <c r="N313" s="30"/>
      <c r="O313" s="33"/>
      <c r="P313" s="34" t="str">
        <f t="shared" si="30"/>
        <v/>
      </c>
      <c r="Q313" s="35" t="str">
        <f t="shared" si="31"/>
        <v/>
      </c>
      <c r="R313" s="35" t="str">
        <f t="shared" si="35"/>
        <v/>
      </c>
      <c r="S313" s="29" t="str">
        <f t="shared" si="32"/>
        <v/>
      </c>
      <c r="T313" s="13" t="str">
        <f t="shared" ca="1" si="33"/>
        <v/>
      </c>
      <c r="U313" s="29" t="str">
        <f ca="1">IF(OR($A313="",$F313=""),"",IF($R313&lt;&gt;"",IF($R313&lt;=$F313,"NO PRAZO","FORA DO PRAZO"),IF(TODAY()&gt;$F313,"VENCIDO",IF($F313-TODAY()&lt;='01. CONFIGURAÇÕES'!$C$23,"VENCE EM BREVE","EM DIA"))))</f>
        <v/>
      </c>
      <c r="V313" s="55" t="str">
        <f t="shared" si="34"/>
        <v/>
      </c>
      <c r="W313" s="30"/>
      <c r="X313" s="33"/>
    </row>
    <row r="314" spans="1:24" x14ac:dyDescent="0.25">
      <c r="A314" s="29" t="str">
        <f t="shared" si="29"/>
        <v/>
      </c>
      <c r="B314" s="30"/>
      <c r="C314" s="30"/>
      <c r="D314" s="31"/>
      <c r="E314" s="10"/>
      <c r="F314" s="32" t="str">
        <f>IF($D314="","",$D314+IF($E314="",'01. CONFIGURAÇÕES'!$C$22,$E314))</f>
        <v/>
      </c>
      <c r="G314" s="30"/>
      <c r="H314" s="33"/>
      <c r="I314" s="33"/>
      <c r="J314" s="30"/>
      <c r="K314" s="33"/>
      <c r="L314" s="30"/>
      <c r="M314" s="33"/>
      <c r="N314" s="30"/>
      <c r="O314" s="33"/>
      <c r="P314" s="34" t="str">
        <f t="shared" si="30"/>
        <v/>
      </c>
      <c r="Q314" s="35" t="str">
        <f t="shared" si="31"/>
        <v/>
      </c>
      <c r="R314" s="35" t="str">
        <f t="shared" si="35"/>
        <v/>
      </c>
      <c r="S314" s="29" t="str">
        <f t="shared" si="32"/>
        <v/>
      </c>
      <c r="T314" s="13" t="str">
        <f t="shared" ca="1" si="33"/>
        <v/>
      </c>
      <c r="U314" s="29" t="str">
        <f ca="1">IF(OR($A314="",$F314=""),"",IF($R314&lt;&gt;"",IF($R314&lt;=$F314,"NO PRAZO","FORA DO PRAZO"),IF(TODAY()&gt;$F314,"VENCIDO",IF($F314-TODAY()&lt;='01. CONFIGURAÇÕES'!$C$23,"VENCE EM BREVE","EM DIA"))))</f>
        <v/>
      </c>
      <c r="V314" s="55" t="str">
        <f t="shared" si="34"/>
        <v/>
      </c>
      <c r="W314" s="30"/>
      <c r="X314" s="33"/>
    </row>
    <row r="315" spans="1:24" x14ac:dyDescent="0.25">
      <c r="A315" s="29" t="str">
        <f t="shared" si="29"/>
        <v/>
      </c>
      <c r="B315" s="30"/>
      <c r="C315" s="30"/>
      <c r="D315" s="31"/>
      <c r="E315" s="10"/>
      <c r="F315" s="32" t="str">
        <f>IF($D315="","",$D315+IF($E315="",'01. CONFIGURAÇÕES'!$C$22,$E315))</f>
        <v/>
      </c>
      <c r="G315" s="30"/>
      <c r="H315" s="33"/>
      <c r="I315" s="33"/>
      <c r="J315" s="30"/>
      <c r="K315" s="33"/>
      <c r="L315" s="30"/>
      <c r="M315" s="33"/>
      <c r="N315" s="30"/>
      <c r="O315" s="33"/>
      <c r="P315" s="34" t="str">
        <f t="shared" si="30"/>
        <v/>
      </c>
      <c r="Q315" s="35" t="str">
        <f t="shared" si="31"/>
        <v/>
      </c>
      <c r="R315" s="35" t="str">
        <f t="shared" si="35"/>
        <v/>
      </c>
      <c r="S315" s="29" t="str">
        <f t="shared" si="32"/>
        <v/>
      </c>
      <c r="T315" s="13" t="str">
        <f t="shared" ca="1" si="33"/>
        <v/>
      </c>
      <c r="U315" s="29" t="str">
        <f ca="1">IF(OR($A315="",$F315=""),"",IF($R315&lt;&gt;"",IF($R315&lt;=$F315,"NO PRAZO","FORA DO PRAZO"),IF(TODAY()&gt;$F315,"VENCIDO",IF($F315-TODAY()&lt;='01. CONFIGURAÇÕES'!$C$23,"VENCE EM BREVE","EM DIA"))))</f>
        <v/>
      </c>
      <c r="V315" s="55" t="str">
        <f t="shared" si="34"/>
        <v/>
      </c>
      <c r="W315" s="30"/>
      <c r="X315" s="33"/>
    </row>
    <row r="316" spans="1:24" x14ac:dyDescent="0.25">
      <c r="A316" s="29" t="str">
        <f t="shared" si="29"/>
        <v/>
      </c>
      <c r="B316" s="30"/>
      <c r="C316" s="30"/>
      <c r="D316" s="31"/>
      <c r="E316" s="10"/>
      <c r="F316" s="32" t="str">
        <f>IF($D316="","",$D316+IF($E316="",'01. CONFIGURAÇÕES'!$C$22,$E316))</f>
        <v/>
      </c>
      <c r="G316" s="30"/>
      <c r="H316" s="33"/>
      <c r="I316" s="33"/>
      <c r="J316" s="30"/>
      <c r="K316" s="33"/>
      <c r="L316" s="30"/>
      <c r="M316" s="33"/>
      <c r="N316" s="30"/>
      <c r="O316" s="33"/>
      <c r="P316" s="34" t="str">
        <f t="shared" si="30"/>
        <v/>
      </c>
      <c r="Q316" s="35" t="str">
        <f t="shared" si="31"/>
        <v/>
      </c>
      <c r="R316" s="35" t="str">
        <f t="shared" si="35"/>
        <v/>
      </c>
      <c r="S316" s="29" t="str">
        <f t="shared" si="32"/>
        <v/>
      </c>
      <c r="T316" s="13" t="str">
        <f t="shared" ca="1" si="33"/>
        <v/>
      </c>
      <c r="U316" s="29" t="str">
        <f ca="1">IF(OR($A316="",$F316=""),"",IF($R316&lt;&gt;"",IF($R316&lt;=$F316,"NO PRAZO","FORA DO PRAZO"),IF(TODAY()&gt;$F316,"VENCIDO",IF($F316-TODAY()&lt;='01. CONFIGURAÇÕES'!$C$23,"VENCE EM BREVE","EM DIA"))))</f>
        <v/>
      </c>
      <c r="V316" s="55" t="str">
        <f t="shared" si="34"/>
        <v/>
      </c>
      <c r="W316" s="30"/>
      <c r="X316" s="33"/>
    </row>
    <row r="317" spans="1:24" x14ac:dyDescent="0.25">
      <c r="A317" s="29" t="str">
        <f t="shared" si="29"/>
        <v/>
      </c>
      <c r="B317" s="30"/>
      <c r="C317" s="30"/>
      <c r="D317" s="31"/>
      <c r="E317" s="10"/>
      <c r="F317" s="32" t="str">
        <f>IF($D317="","",$D317+IF($E317="",'01. CONFIGURAÇÕES'!$C$22,$E317))</f>
        <v/>
      </c>
      <c r="G317" s="30"/>
      <c r="H317" s="33"/>
      <c r="I317" s="33"/>
      <c r="J317" s="30"/>
      <c r="K317" s="33"/>
      <c r="L317" s="30"/>
      <c r="M317" s="33"/>
      <c r="N317" s="30"/>
      <c r="O317" s="33"/>
      <c r="P317" s="34" t="str">
        <f t="shared" si="30"/>
        <v/>
      </c>
      <c r="Q317" s="35" t="str">
        <f t="shared" si="31"/>
        <v/>
      </c>
      <c r="R317" s="35" t="str">
        <f t="shared" si="35"/>
        <v/>
      </c>
      <c r="S317" s="29" t="str">
        <f t="shared" si="32"/>
        <v/>
      </c>
      <c r="T317" s="13" t="str">
        <f t="shared" ca="1" si="33"/>
        <v/>
      </c>
      <c r="U317" s="29" t="str">
        <f ca="1">IF(OR($A317="",$F317=""),"",IF($R317&lt;&gt;"",IF($R317&lt;=$F317,"NO PRAZO","FORA DO PRAZO"),IF(TODAY()&gt;$F317,"VENCIDO",IF($F317-TODAY()&lt;='01. CONFIGURAÇÕES'!$C$23,"VENCE EM BREVE","EM DIA"))))</f>
        <v/>
      </c>
      <c r="V317" s="55" t="str">
        <f t="shared" si="34"/>
        <v/>
      </c>
      <c r="W317" s="30"/>
      <c r="X317" s="33"/>
    </row>
    <row r="318" spans="1:24" x14ac:dyDescent="0.25">
      <c r="A318" s="29" t="str">
        <f t="shared" si="29"/>
        <v/>
      </c>
      <c r="B318" s="30"/>
      <c r="C318" s="30"/>
      <c r="D318" s="31"/>
      <c r="E318" s="10"/>
      <c r="F318" s="32" t="str">
        <f>IF($D318="","",$D318+IF($E318="",'01. CONFIGURAÇÕES'!$C$22,$E318))</f>
        <v/>
      </c>
      <c r="G318" s="30"/>
      <c r="H318" s="33"/>
      <c r="I318" s="33"/>
      <c r="J318" s="30"/>
      <c r="K318" s="33"/>
      <c r="L318" s="30"/>
      <c r="M318" s="33"/>
      <c r="N318" s="30"/>
      <c r="O318" s="33"/>
      <c r="P318" s="34" t="str">
        <f t="shared" si="30"/>
        <v/>
      </c>
      <c r="Q318" s="35" t="str">
        <f t="shared" si="31"/>
        <v/>
      </c>
      <c r="R318" s="35" t="str">
        <f t="shared" si="35"/>
        <v/>
      </c>
      <c r="S318" s="29" t="str">
        <f t="shared" si="32"/>
        <v/>
      </c>
      <c r="T318" s="13" t="str">
        <f t="shared" ca="1" si="33"/>
        <v/>
      </c>
      <c r="U318" s="29" t="str">
        <f ca="1">IF(OR($A318="",$F318=""),"",IF($R318&lt;&gt;"",IF($R318&lt;=$F318,"NO PRAZO","FORA DO PRAZO"),IF(TODAY()&gt;$F318,"VENCIDO",IF($F318-TODAY()&lt;='01. CONFIGURAÇÕES'!$C$23,"VENCE EM BREVE","EM DIA"))))</f>
        <v/>
      </c>
      <c r="V318" s="55" t="str">
        <f t="shared" si="34"/>
        <v/>
      </c>
      <c r="W318" s="30"/>
      <c r="X318" s="33"/>
    </row>
    <row r="319" spans="1:24" x14ac:dyDescent="0.25">
      <c r="A319" s="29" t="str">
        <f t="shared" si="29"/>
        <v/>
      </c>
      <c r="B319" s="30"/>
      <c r="C319" s="30"/>
      <c r="D319" s="31"/>
      <c r="E319" s="10"/>
      <c r="F319" s="32" t="str">
        <f>IF($D319="","",$D319+IF($E319="",'01. CONFIGURAÇÕES'!$C$22,$E319))</f>
        <v/>
      </c>
      <c r="G319" s="30"/>
      <c r="H319" s="33"/>
      <c r="I319" s="33"/>
      <c r="J319" s="30"/>
      <c r="K319" s="33"/>
      <c r="L319" s="30"/>
      <c r="M319" s="33"/>
      <c r="N319" s="30"/>
      <c r="O319" s="33"/>
      <c r="P319" s="34" t="str">
        <f t="shared" si="30"/>
        <v/>
      </c>
      <c r="Q319" s="35" t="str">
        <f t="shared" si="31"/>
        <v/>
      </c>
      <c r="R319" s="35" t="str">
        <f t="shared" si="35"/>
        <v/>
      </c>
      <c r="S319" s="29" t="str">
        <f t="shared" si="32"/>
        <v/>
      </c>
      <c r="T319" s="13" t="str">
        <f t="shared" ca="1" si="33"/>
        <v/>
      </c>
      <c r="U319" s="29" t="str">
        <f ca="1">IF(OR($A319="",$F319=""),"",IF($R319&lt;&gt;"",IF($R319&lt;=$F319,"NO PRAZO","FORA DO PRAZO"),IF(TODAY()&gt;$F319,"VENCIDO",IF($F319-TODAY()&lt;='01. CONFIGURAÇÕES'!$C$23,"VENCE EM BREVE","EM DIA"))))</f>
        <v/>
      </c>
      <c r="V319" s="55" t="str">
        <f t="shared" si="34"/>
        <v/>
      </c>
      <c r="W319" s="30"/>
      <c r="X319" s="33"/>
    </row>
    <row r="320" spans="1:24" x14ac:dyDescent="0.25">
      <c r="A320" s="29" t="str">
        <f t="shared" si="29"/>
        <v/>
      </c>
      <c r="B320" s="30"/>
      <c r="C320" s="30"/>
      <c r="D320" s="31"/>
      <c r="E320" s="10"/>
      <c r="F320" s="32" t="str">
        <f>IF($D320="","",$D320+IF($E320="",'01. CONFIGURAÇÕES'!$C$22,$E320))</f>
        <v/>
      </c>
      <c r="G320" s="30"/>
      <c r="H320" s="33"/>
      <c r="I320" s="33"/>
      <c r="J320" s="30"/>
      <c r="K320" s="33"/>
      <c r="L320" s="30"/>
      <c r="M320" s="33"/>
      <c r="N320" s="30"/>
      <c r="O320" s="33"/>
      <c r="P320" s="34" t="str">
        <f t="shared" si="30"/>
        <v/>
      </c>
      <c r="Q320" s="35" t="str">
        <f t="shared" si="31"/>
        <v/>
      </c>
      <c r="R320" s="35" t="str">
        <f t="shared" si="35"/>
        <v/>
      </c>
      <c r="S320" s="29" t="str">
        <f t="shared" si="32"/>
        <v/>
      </c>
      <c r="T320" s="13" t="str">
        <f t="shared" ca="1" si="33"/>
        <v/>
      </c>
      <c r="U320" s="29" t="str">
        <f ca="1">IF(OR($A320="",$F320=""),"",IF($R320&lt;&gt;"",IF($R320&lt;=$F320,"NO PRAZO","FORA DO PRAZO"),IF(TODAY()&gt;$F320,"VENCIDO",IF($F320-TODAY()&lt;='01. CONFIGURAÇÕES'!$C$23,"VENCE EM BREVE","EM DIA"))))</f>
        <v/>
      </c>
      <c r="V320" s="55" t="str">
        <f t="shared" si="34"/>
        <v/>
      </c>
      <c r="W320" s="30"/>
      <c r="X320" s="33"/>
    </row>
    <row r="321" spans="1:24" x14ac:dyDescent="0.25">
      <c r="A321" s="29" t="str">
        <f t="shared" si="29"/>
        <v/>
      </c>
      <c r="B321" s="30"/>
      <c r="C321" s="30"/>
      <c r="D321" s="31"/>
      <c r="E321" s="10"/>
      <c r="F321" s="32" t="str">
        <f>IF($D321="","",$D321+IF($E321="",'01. CONFIGURAÇÕES'!$C$22,$E321))</f>
        <v/>
      </c>
      <c r="G321" s="30"/>
      <c r="H321" s="33"/>
      <c r="I321" s="33"/>
      <c r="J321" s="30"/>
      <c r="K321" s="33"/>
      <c r="L321" s="30"/>
      <c r="M321" s="33"/>
      <c r="N321" s="30"/>
      <c r="O321" s="33"/>
      <c r="P321" s="34" t="str">
        <f t="shared" si="30"/>
        <v/>
      </c>
      <c r="Q321" s="35" t="str">
        <f t="shared" si="31"/>
        <v/>
      </c>
      <c r="R321" s="35" t="str">
        <f t="shared" si="35"/>
        <v/>
      </c>
      <c r="S321" s="29" t="str">
        <f t="shared" si="32"/>
        <v/>
      </c>
      <c r="T321" s="13" t="str">
        <f t="shared" ca="1" si="33"/>
        <v/>
      </c>
      <c r="U321" s="29" t="str">
        <f ca="1">IF(OR($A321="",$F321=""),"",IF($R321&lt;&gt;"",IF($R321&lt;=$F321,"NO PRAZO","FORA DO PRAZO"),IF(TODAY()&gt;$F321,"VENCIDO",IF($F321-TODAY()&lt;='01. CONFIGURAÇÕES'!$C$23,"VENCE EM BREVE","EM DIA"))))</f>
        <v/>
      </c>
      <c r="V321" s="55" t="str">
        <f t="shared" si="34"/>
        <v/>
      </c>
      <c r="W321" s="30"/>
      <c r="X321" s="33"/>
    </row>
    <row r="322" spans="1:24" x14ac:dyDescent="0.25">
      <c r="A322" s="29" t="str">
        <f t="shared" si="29"/>
        <v/>
      </c>
      <c r="B322" s="30"/>
      <c r="C322" s="30"/>
      <c r="D322" s="31"/>
      <c r="E322" s="10"/>
      <c r="F322" s="32" t="str">
        <f>IF($D322="","",$D322+IF($E322="",'01. CONFIGURAÇÕES'!$C$22,$E322))</f>
        <v/>
      </c>
      <c r="G322" s="30"/>
      <c r="H322" s="33"/>
      <c r="I322" s="33"/>
      <c r="J322" s="30"/>
      <c r="K322" s="33"/>
      <c r="L322" s="30"/>
      <c r="M322" s="33"/>
      <c r="N322" s="30"/>
      <c r="O322" s="33"/>
      <c r="P322" s="34" t="str">
        <f t="shared" si="30"/>
        <v/>
      </c>
      <c r="Q322" s="35" t="str">
        <f t="shared" si="31"/>
        <v/>
      </c>
      <c r="R322" s="35" t="str">
        <f t="shared" si="35"/>
        <v/>
      </c>
      <c r="S322" s="29" t="str">
        <f t="shared" si="32"/>
        <v/>
      </c>
      <c r="T322" s="13" t="str">
        <f t="shared" ca="1" si="33"/>
        <v/>
      </c>
      <c r="U322" s="29" t="str">
        <f ca="1">IF(OR($A322="",$F322=""),"",IF($R322&lt;&gt;"",IF($R322&lt;=$F322,"NO PRAZO","FORA DO PRAZO"),IF(TODAY()&gt;$F322,"VENCIDO",IF($F322-TODAY()&lt;='01. CONFIGURAÇÕES'!$C$23,"VENCE EM BREVE","EM DIA"))))</f>
        <v/>
      </c>
      <c r="V322" s="55" t="str">
        <f t="shared" si="34"/>
        <v/>
      </c>
      <c r="W322" s="30"/>
      <c r="X322" s="33"/>
    </row>
    <row r="323" spans="1:24" x14ac:dyDescent="0.25">
      <c r="A323" s="29" t="str">
        <f t="shared" si="29"/>
        <v/>
      </c>
      <c r="B323" s="30"/>
      <c r="C323" s="30"/>
      <c r="D323" s="31"/>
      <c r="E323" s="10"/>
      <c r="F323" s="32" t="str">
        <f>IF($D323="","",$D323+IF($E323="",'01. CONFIGURAÇÕES'!$C$22,$E323))</f>
        <v/>
      </c>
      <c r="G323" s="30"/>
      <c r="H323" s="33"/>
      <c r="I323" s="33"/>
      <c r="J323" s="30"/>
      <c r="K323" s="33"/>
      <c r="L323" s="30"/>
      <c r="M323" s="33"/>
      <c r="N323" s="30"/>
      <c r="O323" s="33"/>
      <c r="P323" s="34" t="str">
        <f t="shared" si="30"/>
        <v/>
      </c>
      <c r="Q323" s="35" t="str">
        <f t="shared" si="31"/>
        <v/>
      </c>
      <c r="R323" s="35" t="str">
        <f t="shared" si="35"/>
        <v/>
      </c>
      <c r="S323" s="29" t="str">
        <f t="shared" si="32"/>
        <v/>
      </c>
      <c r="T323" s="13" t="str">
        <f t="shared" ca="1" si="33"/>
        <v/>
      </c>
      <c r="U323" s="29" t="str">
        <f ca="1">IF(OR($A323="",$F323=""),"",IF($R323&lt;&gt;"",IF($R323&lt;=$F323,"NO PRAZO","FORA DO PRAZO"),IF(TODAY()&gt;$F323,"VENCIDO",IF($F323-TODAY()&lt;='01. CONFIGURAÇÕES'!$C$23,"VENCE EM BREVE","EM DIA"))))</f>
        <v/>
      </c>
      <c r="V323" s="55" t="str">
        <f t="shared" si="34"/>
        <v/>
      </c>
      <c r="W323" s="30"/>
      <c r="X323" s="33"/>
    </row>
    <row r="324" spans="1:24" x14ac:dyDescent="0.25">
      <c r="A324" s="29" t="str">
        <f t="shared" si="29"/>
        <v/>
      </c>
      <c r="B324" s="30"/>
      <c r="C324" s="30"/>
      <c r="D324" s="31"/>
      <c r="E324" s="10"/>
      <c r="F324" s="32" t="str">
        <f>IF($D324="","",$D324+IF($E324="",'01. CONFIGURAÇÕES'!$C$22,$E324))</f>
        <v/>
      </c>
      <c r="G324" s="30"/>
      <c r="H324" s="33"/>
      <c r="I324" s="33"/>
      <c r="J324" s="30"/>
      <c r="K324" s="33"/>
      <c r="L324" s="30"/>
      <c r="M324" s="33"/>
      <c r="N324" s="30"/>
      <c r="O324" s="33"/>
      <c r="P324" s="34" t="str">
        <f t="shared" si="30"/>
        <v/>
      </c>
      <c r="Q324" s="35" t="str">
        <f t="shared" si="31"/>
        <v/>
      </c>
      <c r="R324" s="35" t="str">
        <f t="shared" si="35"/>
        <v/>
      </c>
      <c r="S324" s="29" t="str">
        <f t="shared" si="32"/>
        <v/>
      </c>
      <c r="T324" s="13" t="str">
        <f t="shared" ca="1" si="33"/>
        <v/>
      </c>
      <c r="U324" s="29" t="str">
        <f ca="1">IF(OR($A324="",$F324=""),"",IF($R324&lt;&gt;"",IF($R324&lt;=$F324,"NO PRAZO","FORA DO PRAZO"),IF(TODAY()&gt;$F324,"VENCIDO",IF($F324-TODAY()&lt;='01. CONFIGURAÇÕES'!$C$23,"VENCE EM BREVE","EM DIA"))))</f>
        <v/>
      </c>
      <c r="V324" s="55" t="str">
        <f t="shared" si="34"/>
        <v/>
      </c>
      <c r="W324" s="30"/>
      <c r="X324" s="33"/>
    </row>
    <row r="325" spans="1:24" x14ac:dyDescent="0.25">
      <c r="A325" s="29" t="str">
        <f t="shared" ref="A325:A388" si="36">IF($B325="","",LEFT($B325,3)&amp;"-"&amp;TEXT(ROW()-4,"0000"))</f>
        <v/>
      </c>
      <c r="B325" s="30"/>
      <c r="C325" s="30"/>
      <c r="D325" s="31"/>
      <c r="E325" s="10"/>
      <c r="F325" s="32" t="str">
        <f>IF($D325="","",$D325+IF($E325="",'01. CONFIGURAÇÕES'!$C$22,$E325))</f>
        <v/>
      </c>
      <c r="G325" s="30"/>
      <c r="H325" s="33"/>
      <c r="I325" s="33"/>
      <c r="J325" s="30"/>
      <c r="K325" s="33"/>
      <c r="L325" s="30"/>
      <c r="M325" s="33"/>
      <c r="N325" s="30"/>
      <c r="O325" s="33"/>
      <c r="P325" s="34" t="str">
        <f t="shared" ref="P325:P388" si="37">IFERROR(IF($A325="","",IF(COUNTIFS(OS_ID,$A325)&gt;0,INDEX(OS_EQUIPE,MATCH($A325,OS_ID,0)),IF(COUNTIFS(PROG_ID,$A325)&gt;0,INDEX(PROG_EQUIPE,MATCH($A325,PROG_ID,0)),""))),"")</f>
        <v/>
      </c>
      <c r="Q325" s="35" t="str">
        <f t="shared" ref="Q325:Q388" si="38">IF($A325="","",IFERROR(IF(INDEX(PROG_DATA,MATCH($A325,PROG_ID,0))=0,"",INDEX(PROG_DATA,MATCH($A325,PROG_ID,0))),""))</f>
        <v/>
      </c>
      <c r="R325" s="35" t="str">
        <f t="shared" si="35"/>
        <v/>
      </c>
      <c r="S325" s="29" t="str">
        <f t="shared" ref="S325:S388" si="39">IF($A325="","",IF($W325&lt;&gt;"",$W325,IF($V325&gt;0,"MEDIDO",IF($R325&lt;&gt;"","EXECUTADO",IF(COUNTIFS(OS_ID,$A325)&gt;0,"EM EXECUÇÃO",IF($Q325&lt;&gt;"","PROGRAMADO","CADASTRADO"))))))</f>
        <v/>
      </c>
      <c r="T325" s="13" t="str">
        <f t="shared" ref="T325:T388" ca="1" si="40">IF($A325="","",IF($R325&lt;&gt;"",$R325-$D325,TODAY()-$D325))</f>
        <v/>
      </c>
      <c r="U325" s="29" t="str">
        <f ca="1">IF(OR($A325="",$F325=""),"",IF($R325&lt;&gt;"",IF($R325&lt;=$F325,"NO PRAZO","FORA DO PRAZO"),IF(TODAY()&gt;$F325,"VENCIDO",IF($F325-TODAY()&lt;='01. CONFIGURAÇÕES'!$C$23,"VENCE EM BREVE","EM DIA"))))</f>
        <v/>
      </c>
      <c r="V325" s="55" t="str">
        <f t="shared" ref="V325:V388" si="41">IF($A325="","",SUMIFS(MED_VLR,MED_ID,$A325))</f>
        <v/>
      </c>
      <c r="W325" s="30"/>
      <c r="X325" s="33"/>
    </row>
    <row r="326" spans="1:24" x14ac:dyDescent="0.25">
      <c r="A326" s="29" t="str">
        <f t="shared" si="36"/>
        <v/>
      </c>
      <c r="B326" s="30"/>
      <c r="C326" s="30"/>
      <c r="D326" s="31"/>
      <c r="E326" s="10"/>
      <c r="F326" s="32" t="str">
        <f>IF($D326="","",$D326+IF($E326="",'01. CONFIGURAÇÕES'!$C$22,$E326))</f>
        <v/>
      </c>
      <c r="G326" s="30"/>
      <c r="H326" s="33"/>
      <c r="I326" s="33"/>
      <c r="J326" s="30"/>
      <c r="K326" s="33"/>
      <c r="L326" s="30"/>
      <c r="M326" s="33"/>
      <c r="N326" s="30"/>
      <c r="O326" s="33"/>
      <c r="P326" s="34" t="str">
        <f t="shared" si="37"/>
        <v/>
      </c>
      <c r="Q326" s="35" t="str">
        <f t="shared" si="38"/>
        <v/>
      </c>
      <c r="R326" s="35" t="str">
        <f t="shared" si="35"/>
        <v/>
      </c>
      <c r="S326" s="29" t="str">
        <f t="shared" si="39"/>
        <v/>
      </c>
      <c r="T326" s="13" t="str">
        <f t="shared" ca="1" si="40"/>
        <v/>
      </c>
      <c r="U326" s="29" t="str">
        <f ca="1">IF(OR($A326="",$F326=""),"",IF($R326&lt;&gt;"",IF($R326&lt;=$F326,"NO PRAZO","FORA DO PRAZO"),IF(TODAY()&gt;$F326,"VENCIDO",IF($F326-TODAY()&lt;='01. CONFIGURAÇÕES'!$C$23,"VENCE EM BREVE","EM DIA"))))</f>
        <v/>
      </c>
      <c r="V326" s="55" t="str">
        <f t="shared" si="41"/>
        <v/>
      </c>
      <c r="W326" s="30"/>
      <c r="X326" s="33"/>
    </row>
    <row r="327" spans="1:24" x14ac:dyDescent="0.25">
      <c r="A327" s="29" t="str">
        <f t="shared" si="36"/>
        <v/>
      </c>
      <c r="B327" s="30"/>
      <c r="C327" s="30"/>
      <c r="D327" s="31"/>
      <c r="E327" s="10"/>
      <c r="F327" s="32" t="str">
        <f>IF($D327="","",$D327+IF($E327="",'01. CONFIGURAÇÕES'!$C$22,$E327))</f>
        <v/>
      </c>
      <c r="G327" s="30"/>
      <c r="H327" s="33"/>
      <c r="I327" s="33"/>
      <c r="J327" s="30"/>
      <c r="K327" s="33"/>
      <c r="L327" s="30"/>
      <c r="M327" s="33"/>
      <c r="N327" s="30"/>
      <c r="O327" s="33"/>
      <c r="P327" s="34" t="str">
        <f t="shared" si="37"/>
        <v/>
      </c>
      <c r="Q327" s="35" t="str">
        <f t="shared" si="38"/>
        <v/>
      </c>
      <c r="R327" s="35" t="str">
        <f t="shared" si="35"/>
        <v/>
      </c>
      <c r="S327" s="29" t="str">
        <f t="shared" si="39"/>
        <v/>
      </c>
      <c r="T327" s="13" t="str">
        <f t="shared" ca="1" si="40"/>
        <v/>
      </c>
      <c r="U327" s="29" t="str">
        <f ca="1">IF(OR($A327="",$F327=""),"",IF($R327&lt;&gt;"",IF($R327&lt;=$F327,"NO PRAZO","FORA DO PRAZO"),IF(TODAY()&gt;$F327,"VENCIDO",IF($F327-TODAY()&lt;='01. CONFIGURAÇÕES'!$C$23,"VENCE EM BREVE","EM DIA"))))</f>
        <v/>
      </c>
      <c r="V327" s="55" t="str">
        <f t="shared" si="41"/>
        <v/>
      </c>
      <c r="W327" s="30"/>
      <c r="X327" s="33"/>
    </row>
    <row r="328" spans="1:24" x14ac:dyDescent="0.25">
      <c r="A328" s="29" t="str">
        <f t="shared" si="36"/>
        <v/>
      </c>
      <c r="B328" s="30"/>
      <c r="C328" s="30"/>
      <c r="D328" s="31"/>
      <c r="E328" s="10"/>
      <c r="F328" s="32" t="str">
        <f>IF($D328="","",$D328+IF($E328="",'01. CONFIGURAÇÕES'!$C$22,$E328))</f>
        <v/>
      </c>
      <c r="G328" s="30"/>
      <c r="H328" s="33"/>
      <c r="I328" s="33"/>
      <c r="J328" s="30"/>
      <c r="K328" s="33"/>
      <c r="L328" s="30"/>
      <c r="M328" s="33"/>
      <c r="N328" s="30"/>
      <c r="O328" s="33"/>
      <c r="P328" s="34" t="str">
        <f t="shared" si="37"/>
        <v/>
      </c>
      <c r="Q328" s="35" t="str">
        <f t="shared" si="38"/>
        <v/>
      </c>
      <c r="R328" s="35" t="str">
        <f t="shared" si="35"/>
        <v/>
      </c>
      <c r="S328" s="29" t="str">
        <f t="shared" si="39"/>
        <v/>
      </c>
      <c r="T328" s="13" t="str">
        <f t="shared" ca="1" si="40"/>
        <v/>
      </c>
      <c r="U328" s="29" t="str">
        <f ca="1">IF(OR($A328="",$F328=""),"",IF($R328&lt;&gt;"",IF($R328&lt;=$F328,"NO PRAZO","FORA DO PRAZO"),IF(TODAY()&gt;$F328,"VENCIDO",IF($F328-TODAY()&lt;='01. CONFIGURAÇÕES'!$C$23,"VENCE EM BREVE","EM DIA"))))</f>
        <v/>
      </c>
      <c r="V328" s="55" t="str">
        <f t="shared" si="41"/>
        <v/>
      </c>
      <c r="W328" s="30"/>
      <c r="X328" s="33"/>
    </row>
    <row r="329" spans="1:24" x14ac:dyDescent="0.25">
      <c r="A329" s="29" t="str">
        <f t="shared" si="36"/>
        <v/>
      </c>
      <c r="B329" s="30"/>
      <c r="C329" s="30"/>
      <c r="D329" s="31"/>
      <c r="E329" s="10"/>
      <c r="F329" s="32" t="str">
        <f>IF($D329="","",$D329+IF($E329="",'01. CONFIGURAÇÕES'!$C$22,$E329))</f>
        <v/>
      </c>
      <c r="G329" s="30"/>
      <c r="H329" s="33"/>
      <c r="I329" s="33"/>
      <c r="J329" s="30"/>
      <c r="K329" s="33"/>
      <c r="L329" s="30"/>
      <c r="M329" s="33"/>
      <c r="N329" s="30"/>
      <c r="O329" s="33"/>
      <c r="P329" s="34" t="str">
        <f t="shared" si="37"/>
        <v/>
      </c>
      <c r="Q329" s="35" t="str">
        <f t="shared" si="38"/>
        <v/>
      </c>
      <c r="R329" s="35" t="str">
        <f t="shared" si="35"/>
        <v/>
      </c>
      <c r="S329" s="29" t="str">
        <f t="shared" si="39"/>
        <v/>
      </c>
      <c r="T329" s="13" t="str">
        <f t="shared" ca="1" si="40"/>
        <v/>
      </c>
      <c r="U329" s="29" t="str">
        <f ca="1">IF(OR($A329="",$F329=""),"",IF($R329&lt;&gt;"",IF($R329&lt;=$F329,"NO PRAZO","FORA DO PRAZO"),IF(TODAY()&gt;$F329,"VENCIDO",IF($F329-TODAY()&lt;='01. CONFIGURAÇÕES'!$C$23,"VENCE EM BREVE","EM DIA"))))</f>
        <v/>
      </c>
      <c r="V329" s="55" t="str">
        <f t="shared" si="41"/>
        <v/>
      </c>
      <c r="W329" s="30"/>
      <c r="X329" s="33"/>
    </row>
    <row r="330" spans="1:24" x14ac:dyDescent="0.25">
      <c r="A330" s="29" t="str">
        <f t="shared" si="36"/>
        <v/>
      </c>
      <c r="B330" s="30"/>
      <c r="C330" s="30"/>
      <c r="D330" s="31"/>
      <c r="E330" s="10"/>
      <c r="F330" s="32" t="str">
        <f>IF($D330="","",$D330+IF($E330="",'01. CONFIGURAÇÕES'!$C$22,$E330))</f>
        <v/>
      </c>
      <c r="G330" s="30"/>
      <c r="H330" s="33"/>
      <c r="I330" s="33"/>
      <c r="J330" s="30"/>
      <c r="K330" s="33"/>
      <c r="L330" s="30"/>
      <c r="M330" s="33"/>
      <c r="N330" s="30"/>
      <c r="O330" s="33"/>
      <c r="P330" s="34" t="str">
        <f t="shared" si="37"/>
        <v/>
      </c>
      <c r="Q330" s="35" t="str">
        <f t="shared" si="38"/>
        <v/>
      </c>
      <c r="R330" s="35" t="str">
        <f t="shared" si="35"/>
        <v/>
      </c>
      <c r="S330" s="29" t="str">
        <f t="shared" si="39"/>
        <v/>
      </c>
      <c r="T330" s="13" t="str">
        <f t="shared" ca="1" si="40"/>
        <v/>
      </c>
      <c r="U330" s="29" t="str">
        <f ca="1">IF(OR($A330="",$F330=""),"",IF($R330&lt;&gt;"",IF($R330&lt;=$F330,"NO PRAZO","FORA DO PRAZO"),IF(TODAY()&gt;$F330,"VENCIDO",IF($F330-TODAY()&lt;='01. CONFIGURAÇÕES'!$C$23,"VENCE EM BREVE","EM DIA"))))</f>
        <v/>
      </c>
      <c r="V330" s="55" t="str">
        <f t="shared" si="41"/>
        <v/>
      </c>
      <c r="W330" s="30"/>
      <c r="X330" s="33"/>
    </row>
    <row r="331" spans="1:24" x14ac:dyDescent="0.25">
      <c r="A331" s="29" t="str">
        <f t="shared" si="36"/>
        <v/>
      </c>
      <c r="B331" s="30"/>
      <c r="C331" s="30"/>
      <c r="D331" s="31"/>
      <c r="E331" s="10"/>
      <c r="F331" s="32" t="str">
        <f>IF($D331="","",$D331+IF($E331="",'01. CONFIGURAÇÕES'!$C$22,$E331))</f>
        <v/>
      </c>
      <c r="G331" s="30"/>
      <c r="H331" s="33"/>
      <c r="I331" s="33"/>
      <c r="J331" s="30"/>
      <c r="K331" s="33"/>
      <c r="L331" s="30"/>
      <c r="M331" s="33"/>
      <c r="N331" s="30"/>
      <c r="O331" s="33"/>
      <c r="P331" s="34" t="str">
        <f t="shared" si="37"/>
        <v/>
      </c>
      <c r="Q331" s="35" t="str">
        <f t="shared" si="38"/>
        <v/>
      </c>
      <c r="R331" s="35" t="str">
        <f t="shared" si="35"/>
        <v/>
      </c>
      <c r="S331" s="29" t="str">
        <f t="shared" si="39"/>
        <v/>
      </c>
      <c r="T331" s="13" t="str">
        <f t="shared" ca="1" si="40"/>
        <v/>
      </c>
      <c r="U331" s="29" t="str">
        <f ca="1">IF(OR($A331="",$F331=""),"",IF($R331&lt;&gt;"",IF($R331&lt;=$F331,"NO PRAZO","FORA DO PRAZO"),IF(TODAY()&gt;$F331,"VENCIDO",IF($F331-TODAY()&lt;='01. CONFIGURAÇÕES'!$C$23,"VENCE EM BREVE","EM DIA"))))</f>
        <v/>
      </c>
      <c r="V331" s="55" t="str">
        <f t="shared" si="41"/>
        <v/>
      </c>
      <c r="W331" s="30"/>
      <c r="X331" s="33"/>
    </row>
    <row r="332" spans="1:24" x14ac:dyDescent="0.25">
      <c r="A332" s="29" t="str">
        <f t="shared" si="36"/>
        <v/>
      </c>
      <c r="B332" s="30"/>
      <c r="C332" s="30"/>
      <c r="D332" s="31"/>
      <c r="E332" s="10"/>
      <c r="F332" s="32" t="str">
        <f>IF($D332="","",$D332+IF($E332="",'01. CONFIGURAÇÕES'!$C$22,$E332))</f>
        <v/>
      </c>
      <c r="G332" s="30"/>
      <c r="H332" s="33"/>
      <c r="I332" s="33"/>
      <c r="J332" s="30"/>
      <c r="K332" s="33"/>
      <c r="L332" s="30"/>
      <c r="M332" s="33"/>
      <c r="N332" s="30"/>
      <c r="O332" s="33"/>
      <c r="P332" s="34" t="str">
        <f t="shared" si="37"/>
        <v/>
      </c>
      <c r="Q332" s="35" t="str">
        <f t="shared" si="38"/>
        <v/>
      </c>
      <c r="R332" s="35" t="str">
        <f t="shared" si="35"/>
        <v/>
      </c>
      <c r="S332" s="29" t="str">
        <f t="shared" si="39"/>
        <v/>
      </c>
      <c r="T332" s="13" t="str">
        <f t="shared" ca="1" si="40"/>
        <v/>
      </c>
      <c r="U332" s="29" t="str">
        <f ca="1">IF(OR($A332="",$F332=""),"",IF($R332&lt;&gt;"",IF($R332&lt;=$F332,"NO PRAZO","FORA DO PRAZO"),IF(TODAY()&gt;$F332,"VENCIDO",IF($F332-TODAY()&lt;='01. CONFIGURAÇÕES'!$C$23,"VENCE EM BREVE","EM DIA"))))</f>
        <v/>
      </c>
      <c r="V332" s="55" t="str">
        <f t="shared" si="41"/>
        <v/>
      </c>
      <c r="W332" s="30"/>
      <c r="X332" s="33"/>
    </row>
    <row r="333" spans="1:24" x14ac:dyDescent="0.25">
      <c r="A333" s="29" t="str">
        <f t="shared" si="36"/>
        <v/>
      </c>
      <c r="B333" s="30"/>
      <c r="C333" s="30"/>
      <c r="D333" s="31"/>
      <c r="E333" s="10"/>
      <c r="F333" s="32" t="str">
        <f>IF($D333="","",$D333+IF($E333="",'01. CONFIGURAÇÕES'!$C$22,$E333))</f>
        <v/>
      </c>
      <c r="G333" s="30"/>
      <c r="H333" s="33"/>
      <c r="I333" s="33"/>
      <c r="J333" s="30"/>
      <c r="K333" s="33"/>
      <c r="L333" s="30"/>
      <c r="M333" s="33"/>
      <c r="N333" s="30"/>
      <c r="O333" s="33"/>
      <c r="P333" s="34" t="str">
        <f t="shared" si="37"/>
        <v/>
      </c>
      <c r="Q333" s="35" t="str">
        <f t="shared" si="38"/>
        <v/>
      </c>
      <c r="R333" s="35" t="str">
        <f t="shared" si="35"/>
        <v/>
      </c>
      <c r="S333" s="29" t="str">
        <f t="shared" si="39"/>
        <v/>
      </c>
      <c r="T333" s="13" t="str">
        <f t="shared" ca="1" si="40"/>
        <v/>
      </c>
      <c r="U333" s="29" t="str">
        <f ca="1">IF(OR($A333="",$F333=""),"",IF($R333&lt;&gt;"",IF($R333&lt;=$F333,"NO PRAZO","FORA DO PRAZO"),IF(TODAY()&gt;$F333,"VENCIDO",IF($F333-TODAY()&lt;='01. CONFIGURAÇÕES'!$C$23,"VENCE EM BREVE","EM DIA"))))</f>
        <v/>
      </c>
      <c r="V333" s="55" t="str">
        <f t="shared" si="41"/>
        <v/>
      </c>
      <c r="W333" s="30"/>
      <c r="X333" s="33"/>
    </row>
    <row r="334" spans="1:24" x14ac:dyDescent="0.25">
      <c r="A334" s="29" t="str">
        <f t="shared" si="36"/>
        <v/>
      </c>
      <c r="B334" s="30"/>
      <c r="C334" s="30"/>
      <c r="D334" s="31"/>
      <c r="E334" s="10"/>
      <c r="F334" s="32" t="str">
        <f>IF($D334="","",$D334+IF($E334="",'01. CONFIGURAÇÕES'!$C$22,$E334))</f>
        <v/>
      </c>
      <c r="G334" s="30"/>
      <c r="H334" s="33"/>
      <c r="I334" s="33"/>
      <c r="J334" s="30"/>
      <c r="K334" s="33"/>
      <c r="L334" s="30"/>
      <c r="M334" s="33"/>
      <c r="N334" s="30"/>
      <c r="O334" s="33"/>
      <c r="P334" s="34" t="str">
        <f t="shared" si="37"/>
        <v/>
      </c>
      <c r="Q334" s="35" t="str">
        <f t="shared" si="38"/>
        <v/>
      </c>
      <c r="R334" s="35" t="str">
        <f t="shared" si="35"/>
        <v/>
      </c>
      <c r="S334" s="29" t="str">
        <f t="shared" si="39"/>
        <v/>
      </c>
      <c r="T334" s="13" t="str">
        <f t="shared" ca="1" si="40"/>
        <v/>
      </c>
      <c r="U334" s="29" t="str">
        <f ca="1">IF(OR($A334="",$F334=""),"",IF($R334&lt;&gt;"",IF($R334&lt;=$F334,"NO PRAZO","FORA DO PRAZO"),IF(TODAY()&gt;$F334,"VENCIDO",IF($F334-TODAY()&lt;='01. CONFIGURAÇÕES'!$C$23,"VENCE EM BREVE","EM DIA"))))</f>
        <v/>
      </c>
      <c r="V334" s="55" t="str">
        <f t="shared" si="41"/>
        <v/>
      </c>
      <c r="W334" s="30"/>
      <c r="X334" s="33"/>
    </row>
    <row r="335" spans="1:24" x14ac:dyDescent="0.25">
      <c r="A335" s="29" t="str">
        <f t="shared" si="36"/>
        <v/>
      </c>
      <c r="B335" s="30"/>
      <c r="C335" s="30"/>
      <c r="D335" s="31"/>
      <c r="E335" s="10"/>
      <c r="F335" s="32" t="str">
        <f>IF($D335="","",$D335+IF($E335="",'01. CONFIGURAÇÕES'!$C$22,$E335))</f>
        <v/>
      </c>
      <c r="G335" s="30"/>
      <c r="H335" s="33"/>
      <c r="I335" s="33"/>
      <c r="J335" s="30"/>
      <c r="K335" s="33"/>
      <c r="L335" s="30"/>
      <c r="M335" s="33"/>
      <c r="N335" s="30"/>
      <c r="O335" s="33"/>
      <c r="P335" s="34" t="str">
        <f t="shared" si="37"/>
        <v/>
      </c>
      <c r="Q335" s="35" t="str">
        <f t="shared" si="38"/>
        <v/>
      </c>
      <c r="R335" s="35" t="str">
        <f t="shared" si="35"/>
        <v/>
      </c>
      <c r="S335" s="29" t="str">
        <f t="shared" si="39"/>
        <v/>
      </c>
      <c r="T335" s="13" t="str">
        <f t="shared" ca="1" si="40"/>
        <v/>
      </c>
      <c r="U335" s="29" t="str">
        <f ca="1">IF(OR($A335="",$F335=""),"",IF($R335&lt;&gt;"",IF($R335&lt;=$F335,"NO PRAZO","FORA DO PRAZO"),IF(TODAY()&gt;$F335,"VENCIDO",IF($F335-TODAY()&lt;='01. CONFIGURAÇÕES'!$C$23,"VENCE EM BREVE","EM DIA"))))</f>
        <v/>
      </c>
      <c r="V335" s="55" t="str">
        <f t="shared" si="41"/>
        <v/>
      </c>
      <c r="W335" s="30"/>
      <c r="X335" s="33"/>
    </row>
    <row r="336" spans="1:24" x14ac:dyDescent="0.25">
      <c r="A336" s="29" t="str">
        <f t="shared" si="36"/>
        <v/>
      </c>
      <c r="B336" s="30"/>
      <c r="C336" s="30"/>
      <c r="D336" s="31"/>
      <c r="E336" s="10"/>
      <c r="F336" s="32" t="str">
        <f>IF($D336="","",$D336+IF($E336="",'01. CONFIGURAÇÕES'!$C$22,$E336))</f>
        <v/>
      </c>
      <c r="G336" s="30"/>
      <c r="H336" s="33"/>
      <c r="I336" s="33"/>
      <c r="J336" s="30"/>
      <c r="K336" s="33"/>
      <c r="L336" s="30"/>
      <c r="M336" s="33"/>
      <c r="N336" s="30"/>
      <c r="O336" s="33"/>
      <c r="P336" s="34" t="str">
        <f t="shared" si="37"/>
        <v/>
      </c>
      <c r="Q336" s="35" t="str">
        <f t="shared" si="38"/>
        <v/>
      </c>
      <c r="R336" s="35" t="str">
        <f t="shared" si="35"/>
        <v/>
      </c>
      <c r="S336" s="29" t="str">
        <f t="shared" si="39"/>
        <v/>
      </c>
      <c r="T336" s="13" t="str">
        <f t="shared" ca="1" si="40"/>
        <v/>
      </c>
      <c r="U336" s="29" t="str">
        <f ca="1">IF(OR($A336="",$F336=""),"",IF($R336&lt;&gt;"",IF($R336&lt;=$F336,"NO PRAZO","FORA DO PRAZO"),IF(TODAY()&gt;$F336,"VENCIDO",IF($F336-TODAY()&lt;='01. CONFIGURAÇÕES'!$C$23,"VENCE EM BREVE","EM DIA"))))</f>
        <v/>
      </c>
      <c r="V336" s="55" t="str">
        <f t="shared" si="41"/>
        <v/>
      </c>
      <c r="W336" s="30"/>
      <c r="X336" s="33"/>
    </row>
    <row r="337" spans="1:24" x14ac:dyDescent="0.25">
      <c r="A337" s="29" t="str">
        <f t="shared" si="36"/>
        <v/>
      </c>
      <c r="B337" s="30"/>
      <c r="C337" s="30"/>
      <c r="D337" s="31"/>
      <c r="E337" s="10"/>
      <c r="F337" s="32" t="str">
        <f>IF($D337="","",$D337+IF($E337="",'01. CONFIGURAÇÕES'!$C$22,$E337))</f>
        <v/>
      </c>
      <c r="G337" s="30"/>
      <c r="H337" s="33"/>
      <c r="I337" s="33"/>
      <c r="J337" s="30"/>
      <c r="K337" s="33"/>
      <c r="L337" s="30"/>
      <c r="M337" s="33"/>
      <c r="N337" s="30"/>
      <c r="O337" s="33"/>
      <c r="P337" s="34" t="str">
        <f t="shared" si="37"/>
        <v/>
      </c>
      <c r="Q337" s="35" t="str">
        <f t="shared" si="38"/>
        <v/>
      </c>
      <c r="R337" s="35" t="str">
        <f t="shared" si="35"/>
        <v/>
      </c>
      <c r="S337" s="29" t="str">
        <f t="shared" si="39"/>
        <v/>
      </c>
      <c r="T337" s="13" t="str">
        <f t="shared" ca="1" si="40"/>
        <v/>
      </c>
      <c r="U337" s="29" t="str">
        <f ca="1">IF(OR($A337="",$F337=""),"",IF($R337&lt;&gt;"",IF($R337&lt;=$F337,"NO PRAZO","FORA DO PRAZO"),IF(TODAY()&gt;$F337,"VENCIDO",IF($F337-TODAY()&lt;='01. CONFIGURAÇÕES'!$C$23,"VENCE EM BREVE","EM DIA"))))</f>
        <v/>
      </c>
      <c r="V337" s="55" t="str">
        <f t="shared" si="41"/>
        <v/>
      </c>
      <c r="W337" s="30"/>
      <c r="X337" s="33"/>
    </row>
    <row r="338" spans="1:24" x14ac:dyDescent="0.25">
      <c r="A338" s="29" t="str">
        <f t="shared" si="36"/>
        <v/>
      </c>
      <c r="B338" s="30"/>
      <c r="C338" s="30"/>
      <c r="D338" s="31"/>
      <c r="E338" s="10"/>
      <c r="F338" s="32" t="str">
        <f>IF($D338="","",$D338+IF($E338="",'01. CONFIGURAÇÕES'!$C$22,$E338))</f>
        <v/>
      </c>
      <c r="G338" s="30"/>
      <c r="H338" s="33"/>
      <c r="I338" s="33"/>
      <c r="J338" s="30"/>
      <c r="K338" s="33"/>
      <c r="L338" s="30"/>
      <c r="M338" s="33"/>
      <c r="N338" s="30"/>
      <c r="O338" s="33"/>
      <c r="P338" s="34" t="str">
        <f t="shared" si="37"/>
        <v/>
      </c>
      <c r="Q338" s="35" t="str">
        <f t="shared" si="38"/>
        <v/>
      </c>
      <c r="R338" s="35" t="str">
        <f t="shared" si="35"/>
        <v/>
      </c>
      <c r="S338" s="29" t="str">
        <f t="shared" si="39"/>
        <v/>
      </c>
      <c r="T338" s="13" t="str">
        <f t="shared" ca="1" si="40"/>
        <v/>
      </c>
      <c r="U338" s="29" t="str">
        <f ca="1">IF(OR($A338="",$F338=""),"",IF($R338&lt;&gt;"",IF($R338&lt;=$F338,"NO PRAZO","FORA DO PRAZO"),IF(TODAY()&gt;$F338,"VENCIDO",IF($F338-TODAY()&lt;='01. CONFIGURAÇÕES'!$C$23,"VENCE EM BREVE","EM DIA"))))</f>
        <v/>
      </c>
      <c r="V338" s="55" t="str">
        <f t="shared" si="41"/>
        <v/>
      </c>
      <c r="W338" s="30"/>
      <c r="X338" s="33"/>
    </row>
    <row r="339" spans="1:24" x14ac:dyDescent="0.25">
      <c r="A339" s="29" t="str">
        <f t="shared" si="36"/>
        <v/>
      </c>
      <c r="B339" s="30"/>
      <c r="C339" s="30"/>
      <c r="D339" s="31"/>
      <c r="E339" s="10"/>
      <c r="F339" s="32" t="str">
        <f>IF($D339="","",$D339+IF($E339="",'01. CONFIGURAÇÕES'!$C$22,$E339))</f>
        <v/>
      </c>
      <c r="G339" s="30"/>
      <c r="H339" s="33"/>
      <c r="I339" s="33"/>
      <c r="J339" s="30"/>
      <c r="K339" s="33"/>
      <c r="L339" s="30"/>
      <c r="M339" s="33"/>
      <c r="N339" s="30"/>
      <c r="O339" s="33"/>
      <c r="P339" s="34" t="str">
        <f t="shared" si="37"/>
        <v/>
      </c>
      <c r="Q339" s="35" t="str">
        <f t="shared" si="38"/>
        <v/>
      </c>
      <c r="R339" s="35" t="str">
        <f t="shared" si="35"/>
        <v/>
      </c>
      <c r="S339" s="29" t="str">
        <f t="shared" si="39"/>
        <v/>
      </c>
      <c r="T339" s="13" t="str">
        <f t="shared" ca="1" si="40"/>
        <v/>
      </c>
      <c r="U339" s="29" t="str">
        <f ca="1">IF(OR($A339="",$F339=""),"",IF($R339&lt;&gt;"",IF($R339&lt;=$F339,"NO PRAZO","FORA DO PRAZO"),IF(TODAY()&gt;$F339,"VENCIDO",IF($F339-TODAY()&lt;='01. CONFIGURAÇÕES'!$C$23,"VENCE EM BREVE","EM DIA"))))</f>
        <v/>
      </c>
      <c r="V339" s="55" t="str">
        <f t="shared" si="41"/>
        <v/>
      </c>
      <c r="W339" s="30"/>
      <c r="X339" s="33"/>
    </row>
    <row r="340" spans="1:24" x14ac:dyDescent="0.25">
      <c r="A340" s="29" t="str">
        <f t="shared" si="36"/>
        <v/>
      </c>
      <c r="B340" s="30"/>
      <c r="C340" s="30"/>
      <c r="D340" s="31"/>
      <c r="E340" s="10"/>
      <c r="F340" s="32" t="str">
        <f>IF($D340="","",$D340+IF($E340="",'01. CONFIGURAÇÕES'!$C$22,$E340))</f>
        <v/>
      </c>
      <c r="G340" s="30"/>
      <c r="H340" s="33"/>
      <c r="I340" s="33"/>
      <c r="J340" s="30"/>
      <c r="K340" s="33"/>
      <c r="L340" s="30"/>
      <c r="M340" s="33"/>
      <c r="N340" s="30"/>
      <c r="O340" s="33"/>
      <c r="P340" s="34" t="str">
        <f t="shared" si="37"/>
        <v/>
      </c>
      <c r="Q340" s="35" t="str">
        <f t="shared" si="38"/>
        <v/>
      </c>
      <c r="R340" s="35" t="str">
        <f t="shared" si="35"/>
        <v/>
      </c>
      <c r="S340" s="29" t="str">
        <f t="shared" si="39"/>
        <v/>
      </c>
      <c r="T340" s="13" t="str">
        <f t="shared" ca="1" si="40"/>
        <v/>
      </c>
      <c r="U340" s="29" t="str">
        <f ca="1">IF(OR($A340="",$F340=""),"",IF($R340&lt;&gt;"",IF($R340&lt;=$F340,"NO PRAZO","FORA DO PRAZO"),IF(TODAY()&gt;$F340,"VENCIDO",IF($F340-TODAY()&lt;='01. CONFIGURAÇÕES'!$C$23,"VENCE EM BREVE","EM DIA"))))</f>
        <v/>
      </c>
      <c r="V340" s="55" t="str">
        <f t="shared" si="41"/>
        <v/>
      </c>
      <c r="W340" s="30"/>
      <c r="X340" s="33"/>
    </row>
    <row r="341" spans="1:24" x14ac:dyDescent="0.25">
      <c r="A341" s="29" t="str">
        <f t="shared" si="36"/>
        <v/>
      </c>
      <c r="B341" s="30"/>
      <c r="C341" s="30"/>
      <c r="D341" s="31"/>
      <c r="E341" s="10"/>
      <c r="F341" s="32" t="str">
        <f>IF($D341="","",$D341+IF($E341="",'01. CONFIGURAÇÕES'!$C$22,$E341))</f>
        <v/>
      </c>
      <c r="G341" s="30"/>
      <c r="H341" s="33"/>
      <c r="I341" s="33"/>
      <c r="J341" s="30"/>
      <c r="K341" s="33"/>
      <c r="L341" s="30"/>
      <c r="M341" s="33"/>
      <c r="N341" s="30"/>
      <c r="O341" s="33"/>
      <c r="P341" s="34" t="str">
        <f t="shared" si="37"/>
        <v/>
      </c>
      <c r="Q341" s="35" t="str">
        <f t="shared" si="38"/>
        <v/>
      </c>
      <c r="R341" s="35" t="str">
        <f t="shared" si="35"/>
        <v/>
      </c>
      <c r="S341" s="29" t="str">
        <f t="shared" si="39"/>
        <v/>
      </c>
      <c r="T341" s="13" t="str">
        <f t="shared" ca="1" si="40"/>
        <v/>
      </c>
      <c r="U341" s="29" t="str">
        <f ca="1">IF(OR($A341="",$F341=""),"",IF($R341&lt;&gt;"",IF($R341&lt;=$F341,"NO PRAZO","FORA DO PRAZO"),IF(TODAY()&gt;$F341,"VENCIDO",IF($F341-TODAY()&lt;='01. CONFIGURAÇÕES'!$C$23,"VENCE EM BREVE","EM DIA"))))</f>
        <v/>
      </c>
      <c r="V341" s="55" t="str">
        <f t="shared" si="41"/>
        <v/>
      </c>
      <c r="W341" s="30"/>
      <c r="X341" s="33"/>
    </row>
    <row r="342" spans="1:24" x14ac:dyDescent="0.25">
      <c r="A342" s="29" t="str">
        <f t="shared" si="36"/>
        <v/>
      </c>
      <c r="B342" s="30"/>
      <c r="C342" s="30"/>
      <c r="D342" s="31"/>
      <c r="E342" s="10"/>
      <c r="F342" s="32" t="str">
        <f>IF($D342="","",$D342+IF($E342="",'01. CONFIGURAÇÕES'!$C$22,$E342))</f>
        <v/>
      </c>
      <c r="G342" s="30"/>
      <c r="H342" s="33"/>
      <c r="I342" s="33"/>
      <c r="J342" s="30"/>
      <c r="K342" s="33"/>
      <c r="L342" s="30"/>
      <c r="M342" s="33"/>
      <c r="N342" s="30"/>
      <c r="O342" s="33"/>
      <c r="P342" s="34" t="str">
        <f t="shared" si="37"/>
        <v/>
      </c>
      <c r="Q342" s="35" t="str">
        <f t="shared" si="38"/>
        <v/>
      </c>
      <c r="R342" s="35" t="str">
        <f t="shared" si="35"/>
        <v/>
      </c>
      <c r="S342" s="29" t="str">
        <f t="shared" si="39"/>
        <v/>
      </c>
      <c r="T342" s="13" t="str">
        <f t="shared" ca="1" si="40"/>
        <v/>
      </c>
      <c r="U342" s="29" t="str">
        <f ca="1">IF(OR($A342="",$F342=""),"",IF($R342&lt;&gt;"",IF($R342&lt;=$F342,"NO PRAZO","FORA DO PRAZO"),IF(TODAY()&gt;$F342,"VENCIDO",IF($F342-TODAY()&lt;='01. CONFIGURAÇÕES'!$C$23,"VENCE EM BREVE","EM DIA"))))</f>
        <v/>
      </c>
      <c r="V342" s="55" t="str">
        <f t="shared" si="41"/>
        <v/>
      </c>
      <c r="W342" s="30"/>
      <c r="X342" s="33"/>
    </row>
    <row r="343" spans="1:24" x14ac:dyDescent="0.25">
      <c r="A343" s="29" t="str">
        <f t="shared" si="36"/>
        <v/>
      </c>
      <c r="B343" s="30"/>
      <c r="C343" s="30"/>
      <c r="D343" s="31"/>
      <c r="E343" s="10"/>
      <c r="F343" s="32" t="str">
        <f>IF($D343="","",$D343+IF($E343="",'01. CONFIGURAÇÕES'!$C$22,$E343))</f>
        <v/>
      </c>
      <c r="G343" s="30"/>
      <c r="H343" s="33"/>
      <c r="I343" s="33"/>
      <c r="J343" s="30"/>
      <c r="K343" s="33"/>
      <c r="L343" s="30"/>
      <c r="M343" s="33"/>
      <c r="N343" s="30"/>
      <c r="O343" s="33"/>
      <c r="P343" s="34" t="str">
        <f t="shared" si="37"/>
        <v/>
      </c>
      <c r="Q343" s="35" t="str">
        <f t="shared" si="38"/>
        <v/>
      </c>
      <c r="R343" s="35" t="str">
        <f t="shared" si="35"/>
        <v/>
      </c>
      <c r="S343" s="29" t="str">
        <f t="shared" si="39"/>
        <v/>
      </c>
      <c r="T343" s="13" t="str">
        <f t="shared" ca="1" si="40"/>
        <v/>
      </c>
      <c r="U343" s="29" t="str">
        <f ca="1">IF(OR($A343="",$F343=""),"",IF($R343&lt;&gt;"",IF($R343&lt;=$F343,"NO PRAZO","FORA DO PRAZO"),IF(TODAY()&gt;$F343,"VENCIDO",IF($F343-TODAY()&lt;='01. CONFIGURAÇÕES'!$C$23,"VENCE EM BREVE","EM DIA"))))</f>
        <v/>
      </c>
      <c r="V343" s="55" t="str">
        <f t="shared" si="41"/>
        <v/>
      </c>
      <c r="W343" s="30"/>
      <c r="X343" s="33"/>
    </row>
    <row r="344" spans="1:24" x14ac:dyDescent="0.25">
      <c r="A344" s="29" t="str">
        <f t="shared" si="36"/>
        <v/>
      </c>
      <c r="B344" s="30"/>
      <c r="C344" s="30"/>
      <c r="D344" s="31"/>
      <c r="E344" s="10"/>
      <c r="F344" s="32" t="str">
        <f>IF($D344="","",$D344+IF($E344="",'01. CONFIGURAÇÕES'!$C$22,$E344))</f>
        <v/>
      </c>
      <c r="G344" s="30"/>
      <c r="H344" s="33"/>
      <c r="I344" s="33"/>
      <c r="J344" s="30"/>
      <c r="K344" s="33"/>
      <c r="L344" s="30"/>
      <c r="M344" s="33"/>
      <c r="N344" s="30"/>
      <c r="O344" s="33"/>
      <c r="P344" s="34" t="str">
        <f t="shared" si="37"/>
        <v/>
      </c>
      <c r="Q344" s="35" t="str">
        <f t="shared" si="38"/>
        <v/>
      </c>
      <c r="R344" s="35" t="str">
        <f t="shared" si="35"/>
        <v/>
      </c>
      <c r="S344" s="29" t="str">
        <f t="shared" si="39"/>
        <v/>
      </c>
      <c r="T344" s="13" t="str">
        <f t="shared" ca="1" si="40"/>
        <v/>
      </c>
      <c r="U344" s="29" t="str">
        <f ca="1">IF(OR($A344="",$F344=""),"",IF($R344&lt;&gt;"",IF($R344&lt;=$F344,"NO PRAZO","FORA DO PRAZO"),IF(TODAY()&gt;$F344,"VENCIDO",IF($F344-TODAY()&lt;='01. CONFIGURAÇÕES'!$C$23,"VENCE EM BREVE","EM DIA"))))</f>
        <v/>
      </c>
      <c r="V344" s="55" t="str">
        <f t="shared" si="41"/>
        <v/>
      </c>
      <c r="W344" s="30"/>
      <c r="X344" s="33"/>
    </row>
    <row r="345" spans="1:24" x14ac:dyDescent="0.25">
      <c r="A345" s="29" t="str">
        <f t="shared" si="36"/>
        <v/>
      </c>
      <c r="B345" s="30"/>
      <c r="C345" s="30"/>
      <c r="D345" s="31"/>
      <c r="E345" s="10"/>
      <c r="F345" s="32" t="str">
        <f>IF($D345="","",$D345+IF($E345="",'01. CONFIGURAÇÕES'!$C$22,$E345))</f>
        <v/>
      </c>
      <c r="G345" s="30"/>
      <c r="H345" s="33"/>
      <c r="I345" s="33"/>
      <c r="J345" s="30"/>
      <c r="K345" s="33"/>
      <c r="L345" s="30"/>
      <c r="M345" s="33"/>
      <c r="N345" s="30"/>
      <c r="O345" s="33"/>
      <c r="P345" s="34" t="str">
        <f t="shared" si="37"/>
        <v/>
      </c>
      <c r="Q345" s="35" t="str">
        <f t="shared" si="38"/>
        <v/>
      </c>
      <c r="R345" s="35" t="str">
        <f t="shared" si="35"/>
        <v/>
      </c>
      <c r="S345" s="29" t="str">
        <f t="shared" si="39"/>
        <v/>
      </c>
      <c r="T345" s="13" t="str">
        <f t="shared" ca="1" si="40"/>
        <v/>
      </c>
      <c r="U345" s="29" t="str">
        <f ca="1">IF(OR($A345="",$F345=""),"",IF($R345&lt;&gt;"",IF($R345&lt;=$F345,"NO PRAZO","FORA DO PRAZO"),IF(TODAY()&gt;$F345,"VENCIDO",IF($F345-TODAY()&lt;='01. CONFIGURAÇÕES'!$C$23,"VENCE EM BREVE","EM DIA"))))</f>
        <v/>
      </c>
      <c r="V345" s="55" t="str">
        <f t="shared" si="41"/>
        <v/>
      </c>
      <c r="W345" s="30"/>
      <c r="X345" s="33"/>
    </row>
    <row r="346" spans="1:24" x14ac:dyDescent="0.25">
      <c r="A346" s="29" t="str">
        <f t="shared" si="36"/>
        <v/>
      </c>
      <c r="B346" s="30"/>
      <c r="C346" s="30"/>
      <c r="D346" s="31"/>
      <c r="E346" s="10"/>
      <c r="F346" s="32" t="str">
        <f>IF($D346="","",$D346+IF($E346="",'01. CONFIGURAÇÕES'!$C$22,$E346))</f>
        <v/>
      </c>
      <c r="G346" s="30"/>
      <c r="H346" s="33"/>
      <c r="I346" s="33"/>
      <c r="J346" s="30"/>
      <c r="K346" s="33"/>
      <c r="L346" s="30"/>
      <c r="M346" s="33"/>
      <c r="N346" s="30"/>
      <c r="O346" s="33"/>
      <c r="P346" s="34" t="str">
        <f t="shared" si="37"/>
        <v/>
      </c>
      <c r="Q346" s="35" t="str">
        <f t="shared" si="38"/>
        <v/>
      </c>
      <c r="R346" s="35" t="str">
        <f t="shared" si="35"/>
        <v/>
      </c>
      <c r="S346" s="29" t="str">
        <f t="shared" si="39"/>
        <v/>
      </c>
      <c r="T346" s="13" t="str">
        <f t="shared" ca="1" si="40"/>
        <v/>
      </c>
      <c r="U346" s="29" t="str">
        <f ca="1">IF(OR($A346="",$F346=""),"",IF($R346&lt;&gt;"",IF($R346&lt;=$F346,"NO PRAZO","FORA DO PRAZO"),IF(TODAY()&gt;$F346,"VENCIDO",IF($F346-TODAY()&lt;='01. CONFIGURAÇÕES'!$C$23,"VENCE EM BREVE","EM DIA"))))</f>
        <v/>
      </c>
      <c r="V346" s="55" t="str">
        <f t="shared" si="41"/>
        <v/>
      </c>
      <c r="W346" s="30"/>
      <c r="X346" s="33"/>
    </row>
    <row r="347" spans="1:24" x14ac:dyDescent="0.25">
      <c r="A347" s="29" t="str">
        <f t="shared" si="36"/>
        <v/>
      </c>
      <c r="B347" s="30"/>
      <c r="C347" s="30"/>
      <c r="D347" s="31"/>
      <c r="E347" s="10"/>
      <c r="F347" s="32" t="str">
        <f>IF($D347="","",$D347+IF($E347="",'01. CONFIGURAÇÕES'!$C$22,$E347))</f>
        <v/>
      </c>
      <c r="G347" s="30"/>
      <c r="H347" s="33"/>
      <c r="I347" s="33"/>
      <c r="J347" s="30"/>
      <c r="K347" s="33"/>
      <c r="L347" s="30"/>
      <c r="M347" s="33"/>
      <c r="N347" s="30"/>
      <c r="O347" s="33"/>
      <c r="P347" s="34" t="str">
        <f t="shared" si="37"/>
        <v/>
      </c>
      <c r="Q347" s="35" t="str">
        <f t="shared" si="38"/>
        <v/>
      </c>
      <c r="R347" s="35" t="str">
        <f t="shared" si="35"/>
        <v/>
      </c>
      <c r="S347" s="29" t="str">
        <f t="shared" si="39"/>
        <v/>
      </c>
      <c r="T347" s="13" t="str">
        <f t="shared" ca="1" si="40"/>
        <v/>
      </c>
      <c r="U347" s="29" t="str">
        <f ca="1">IF(OR($A347="",$F347=""),"",IF($R347&lt;&gt;"",IF($R347&lt;=$F347,"NO PRAZO","FORA DO PRAZO"),IF(TODAY()&gt;$F347,"VENCIDO",IF($F347-TODAY()&lt;='01. CONFIGURAÇÕES'!$C$23,"VENCE EM BREVE","EM DIA"))))</f>
        <v/>
      </c>
      <c r="V347" s="55" t="str">
        <f t="shared" si="41"/>
        <v/>
      </c>
      <c r="W347" s="30"/>
      <c r="X347" s="33"/>
    </row>
    <row r="348" spans="1:24" x14ac:dyDescent="0.25">
      <c r="A348" s="29" t="str">
        <f t="shared" si="36"/>
        <v/>
      </c>
      <c r="B348" s="30"/>
      <c r="C348" s="30"/>
      <c r="D348" s="31"/>
      <c r="E348" s="10"/>
      <c r="F348" s="32" t="str">
        <f>IF($D348="","",$D348+IF($E348="",'01. CONFIGURAÇÕES'!$C$22,$E348))</f>
        <v/>
      </c>
      <c r="G348" s="30"/>
      <c r="H348" s="33"/>
      <c r="I348" s="33"/>
      <c r="J348" s="30"/>
      <c r="K348" s="33"/>
      <c r="L348" s="30"/>
      <c r="M348" s="33"/>
      <c r="N348" s="30"/>
      <c r="O348" s="33"/>
      <c r="P348" s="34" t="str">
        <f t="shared" si="37"/>
        <v/>
      </c>
      <c r="Q348" s="35" t="str">
        <f t="shared" si="38"/>
        <v/>
      </c>
      <c r="R348" s="35" t="str">
        <f t="shared" si="35"/>
        <v/>
      </c>
      <c r="S348" s="29" t="str">
        <f t="shared" si="39"/>
        <v/>
      </c>
      <c r="T348" s="13" t="str">
        <f t="shared" ca="1" si="40"/>
        <v/>
      </c>
      <c r="U348" s="29" t="str">
        <f ca="1">IF(OR($A348="",$F348=""),"",IF($R348&lt;&gt;"",IF($R348&lt;=$F348,"NO PRAZO","FORA DO PRAZO"),IF(TODAY()&gt;$F348,"VENCIDO",IF($F348-TODAY()&lt;='01. CONFIGURAÇÕES'!$C$23,"VENCE EM BREVE","EM DIA"))))</f>
        <v/>
      </c>
      <c r="V348" s="55" t="str">
        <f t="shared" si="41"/>
        <v/>
      </c>
      <c r="W348" s="30"/>
      <c r="X348" s="33"/>
    </row>
    <row r="349" spans="1:24" x14ac:dyDescent="0.25">
      <c r="A349" s="29" t="str">
        <f t="shared" si="36"/>
        <v/>
      </c>
      <c r="B349" s="30"/>
      <c r="C349" s="30"/>
      <c r="D349" s="31"/>
      <c r="E349" s="10"/>
      <c r="F349" s="32" t="str">
        <f>IF($D349="","",$D349+IF($E349="",'01. CONFIGURAÇÕES'!$C$22,$E349))</f>
        <v/>
      </c>
      <c r="G349" s="30"/>
      <c r="H349" s="33"/>
      <c r="I349" s="33"/>
      <c r="J349" s="30"/>
      <c r="K349" s="33"/>
      <c r="L349" s="30"/>
      <c r="M349" s="33"/>
      <c r="N349" s="30"/>
      <c r="O349" s="33"/>
      <c r="P349" s="34" t="str">
        <f t="shared" si="37"/>
        <v/>
      </c>
      <c r="Q349" s="35" t="str">
        <f t="shared" si="38"/>
        <v/>
      </c>
      <c r="R349" s="35" t="str">
        <f t="shared" si="35"/>
        <v/>
      </c>
      <c r="S349" s="29" t="str">
        <f t="shared" si="39"/>
        <v/>
      </c>
      <c r="T349" s="13" t="str">
        <f t="shared" ca="1" si="40"/>
        <v/>
      </c>
      <c r="U349" s="29" t="str">
        <f ca="1">IF(OR($A349="",$F349=""),"",IF($R349&lt;&gt;"",IF($R349&lt;=$F349,"NO PRAZO","FORA DO PRAZO"),IF(TODAY()&gt;$F349,"VENCIDO",IF($F349-TODAY()&lt;='01. CONFIGURAÇÕES'!$C$23,"VENCE EM BREVE","EM DIA"))))</f>
        <v/>
      </c>
      <c r="V349" s="55" t="str">
        <f t="shared" si="41"/>
        <v/>
      </c>
      <c r="W349" s="30"/>
      <c r="X349" s="33"/>
    </row>
    <row r="350" spans="1:24" x14ac:dyDescent="0.25">
      <c r="A350" s="29" t="str">
        <f t="shared" si="36"/>
        <v/>
      </c>
      <c r="B350" s="30"/>
      <c r="C350" s="30"/>
      <c r="D350" s="31"/>
      <c r="E350" s="10"/>
      <c r="F350" s="32" t="str">
        <f>IF($D350="","",$D350+IF($E350="",'01. CONFIGURAÇÕES'!$C$22,$E350))</f>
        <v/>
      </c>
      <c r="G350" s="30"/>
      <c r="H350" s="33"/>
      <c r="I350" s="33"/>
      <c r="J350" s="30"/>
      <c r="K350" s="33"/>
      <c r="L350" s="30"/>
      <c r="M350" s="33"/>
      <c r="N350" s="30"/>
      <c r="O350" s="33"/>
      <c r="P350" s="34" t="str">
        <f t="shared" si="37"/>
        <v/>
      </c>
      <c r="Q350" s="35" t="str">
        <f t="shared" si="38"/>
        <v/>
      </c>
      <c r="R350" s="35" t="str">
        <f t="shared" si="35"/>
        <v/>
      </c>
      <c r="S350" s="29" t="str">
        <f t="shared" si="39"/>
        <v/>
      </c>
      <c r="T350" s="13" t="str">
        <f t="shared" ca="1" si="40"/>
        <v/>
      </c>
      <c r="U350" s="29" t="str">
        <f ca="1">IF(OR($A350="",$F350=""),"",IF($R350&lt;&gt;"",IF($R350&lt;=$F350,"NO PRAZO","FORA DO PRAZO"),IF(TODAY()&gt;$F350,"VENCIDO",IF($F350-TODAY()&lt;='01. CONFIGURAÇÕES'!$C$23,"VENCE EM BREVE","EM DIA"))))</f>
        <v/>
      </c>
      <c r="V350" s="55" t="str">
        <f t="shared" si="41"/>
        <v/>
      </c>
      <c r="W350" s="30"/>
      <c r="X350" s="33"/>
    </row>
    <row r="351" spans="1:24" x14ac:dyDescent="0.25">
      <c r="A351" s="29" t="str">
        <f t="shared" si="36"/>
        <v/>
      </c>
      <c r="B351" s="30"/>
      <c r="C351" s="30"/>
      <c r="D351" s="31"/>
      <c r="E351" s="10"/>
      <c r="F351" s="32" t="str">
        <f>IF($D351="","",$D351+IF($E351="",'01. CONFIGURAÇÕES'!$C$22,$E351))</f>
        <v/>
      </c>
      <c r="G351" s="30"/>
      <c r="H351" s="33"/>
      <c r="I351" s="33"/>
      <c r="J351" s="30"/>
      <c r="K351" s="33"/>
      <c r="L351" s="30"/>
      <c r="M351" s="33"/>
      <c r="N351" s="30"/>
      <c r="O351" s="33"/>
      <c r="P351" s="34" t="str">
        <f t="shared" si="37"/>
        <v/>
      </c>
      <c r="Q351" s="35" t="str">
        <f t="shared" si="38"/>
        <v/>
      </c>
      <c r="R351" s="35" t="str">
        <f t="shared" ref="R351:R414" si="42">IF($A351="","",IFERROR(IF(INDEX(OS_FIM,MATCH($A351,OS_ID,0))=0,"",INDEX(OS_FIM,MATCH($A351,OS_ID,0))),""))</f>
        <v/>
      </c>
      <c r="S351" s="29" t="str">
        <f t="shared" si="39"/>
        <v/>
      </c>
      <c r="T351" s="13" t="str">
        <f t="shared" ca="1" si="40"/>
        <v/>
      </c>
      <c r="U351" s="29" t="str">
        <f ca="1">IF(OR($A351="",$F351=""),"",IF($R351&lt;&gt;"",IF($R351&lt;=$F351,"NO PRAZO","FORA DO PRAZO"),IF(TODAY()&gt;$F351,"VENCIDO",IF($F351-TODAY()&lt;='01. CONFIGURAÇÕES'!$C$23,"VENCE EM BREVE","EM DIA"))))</f>
        <v/>
      </c>
      <c r="V351" s="55" t="str">
        <f t="shared" si="41"/>
        <v/>
      </c>
      <c r="W351" s="30"/>
      <c r="X351" s="33"/>
    </row>
    <row r="352" spans="1:24" x14ac:dyDescent="0.25">
      <c r="A352" s="29" t="str">
        <f t="shared" si="36"/>
        <v/>
      </c>
      <c r="B352" s="30"/>
      <c r="C352" s="30"/>
      <c r="D352" s="31"/>
      <c r="E352" s="10"/>
      <c r="F352" s="32" t="str">
        <f>IF($D352="","",$D352+IF($E352="",'01. CONFIGURAÇÕES'!$C$22,$E352))</f>
        <v/>
      </c>
      <c r="G352" s="30"/>
      <c r="H352" s="33"/>
      <c r="I352" s="33"/>
      <c r="J352" s="30"/>
      <c r="K352" s="33"/>
      <c r="L352" s="30"/>
      <c r="M352" s="33"/>
      <c r="N352" s="30"/>
      <c r="O352" s="33"/>
      <c r="P352" s="34" t="str">
        <f t="shared" si="37"/>
        <v/>
      </c>
      <c r="Q352" s="35" t="str">
        <f t="shared" si="38"/>
        <v/>
      </c>
      <c r="R352" s="35" t="str">
        <f t="shared" si="42"/>
        <v/>
      </c>
      <c r="S352" s="29" t="str">
        <f t="shared" si="39"/>
        <v/>
      </c>
      <c r="T352" s="13" t="str">
        <f t="shared" ca="1" si="40"/>
        <v/>
      </c>
      <c r="U352" s="29" t="str">
        <f ca="1">IF(OR($A352="",$F352=""),"",IF($R352&lt;&gt;"",IF($R352&lt;=$F352,"NO PRAZO","FORA DO PRAZO"),IF(TODAY()&gt;$F352,"VENCIDO",IF($F352-TODAY()&lt;='01. CONFIGURAÇÕES'!$C$23,"VENCE EM BREVE","EM DIA"))))</f>
        <v/>
      </c>
      <c r="V352" s="55" t="str">
        <f t="shared" si="41"/>
        <v/>
      </c>
      <c r="W352" s="30"/>
      <c r="X352" s="33"/>
    </row>
    <row r="353" spans="1:24" x14ac:dyDescent="0.25">
      <c r="A353" s="29" t="str">
        <f t="shared" si="36"/>
        <v/>
      </c>
      <c r="B353" s="30"/>
      <c r="C353" s="30"/>
      <c r="D353" s="31"/>
      <c r="E353" s="10"/>
      <c r="F353" s="32" t="str">
        <f>IF($D353="","",$D353+IF($E353="",'01. CONFIGURAÇÕES'!$C$22,$E353))</f>
        <v/>
      </c>
      <c r="G353" s="30"/>
      <c r="H353" s="33"/>
      <c r="I353" s="33"/>
      <c r="J353" s="30"/>
      <c r="K353" s="33"/>
      <c r="L353" s="30"/>
      <c r="M353" s="33"/>
      <c r="N353" s="30"/>
      <c r="O353" s="33"/>
      <c r="P353" s="34" t="str">
        <f t="shared" si="37"/>
        <v/>
      </c>
      <c r="Q353" s="35" t="str">
        <f t="shared" si="38"/>
        <v/>
      </c>
      <c r="R353" s="35" t="str">
        <f t="shared" si="42"/>
        <v/>
      </c>
      <c r="S353" s="29" t="str">
        <f t="shared" si="39"/>
        <v/>
      </c>
      <c r="T353" s="13" t="str">
        <f t="shared" ca="1" si="40"/>
        <v/>
      </c>
      <c r="U353" s="29" t="str">
        <f ca="1">IF(OR($A353="",$F353=""),"",IF($R353&lt;&gt;"",IF($R353&lt;=$F353,"NO PRAZO","FORA DO PRAZO"),IF(TODAY()&gt;$F353,"VENCIDO",IF($F353-TODAY()&lt;='01. CONFIGURAÇÕES'!$C$23,"VENCE EM BREVE","EM DIA"))))</f>
        <v/>
      </c>
      <c r="V353" s="55" t="str">
        <f t="shared" si="41"/>
        <v/>
      </c>
      <c r="W353" s="30"/>
      <c r="X353" s="33"/>
    </row>
    <row r="354" spans="1:24" x14ac:dyDescent="0.25">
      <c r="A354" s="29" t="str">
        <f t="shared" si="36"/>
        <v/>
      </c>
      <c r="B354" s="30"/>
      <c r="C354" s="30"/>
      <c r="D354" s="31"/>
      <c r="E354" s="10"/>
      <c r="F354" s="32" t="str">
        <f>IF($D354="","",$D354+IF($E354="",'01. CONFIGURAÇÕES'!$C$22,$E354))</f>
        <v/>
      </c>
      <c r="G354" s="30"/>
      <c r="H354" s="33"/>
      <c r="I354" s="33"/>
      <c r="J354" s="30"/>
      <c r="K354" s="33"/>
      <c r="L354" s="30"/>
      <c r="M354" s="33"/>
      <c r="N354" s="30"/>
      <c r="O354" s="33"/>
      <c r="P354" s="34" t="str">
        <f t="shared" si="37"/>
        <v/>
      </c>
      <c r="Q354" s="35" t="str">
        <f t="shared" si="38"/>
        <v/>
      </c>
      <c r="R354" s="35" t="str">
        <f t="shared" si="42"/>
        <v/>
      </c>
      <c r="S354" s="29" t="str">
        <f t="shared" si="39"/>
        <v/>
      </c>
      <c r="T354" s="13" t="str">
        <f t="shared" ca="1" si="40"/>
        <v/>
      </c>
      <c r="U354" s="29" t="str">
        <f ca="1">IF(OR($A354="",$F354=""),"",IF($R354&lt;&gt;"",IF($R354&lt;=$F354,"NO PRAZO","FORA DO PRAZO"),IF(TODAY()&gt;$F354,"VENCIDO",IF($F354-TODAY()&lt;='01. CONFIGURAÇÕES'!$C$23,"VENCE EM BREVE","EM DIA"))))</f>
        <v/>
      </c>
      <c r="V354" s="55" t="str">
        <f t="shared" si="41"/>
        <v/>
      </c>
      <c r="W354" s="30"/>
      <c r="X354" s="33"/>
    </row>
    <row r="355" spans="1:24" x14ac:dyDescent="0.25">
      <c r="A355" s="29" t="str">
        <f t="shared" si="36"/>
        <v/>
      </c>
      <c r="B355" s="30"/>
      <c r="C355" s="30"/>
      <c r="D355" s="31"/>
      <c r="E355" s="10"/>
      <c r="F355" s="32" t="str">
        <f>IF($D355="","",$D355+IF($E355="",'01. CONFIGURAÇÕES'!$C$22,$E355))</f>
        <v/>
      </c>
      <c r="G355" s="30"/>
      <c r="H355" s="33"/>
      <c r="I355" s="33"/>
      <c r="J355" s="30"/>
      <c r="K355" s="33"/>
      <c r="L355" s="30"/>
      <c r="M355" s="33"/>
      <c r="N355" s="30"/>
      <c r="O355" s="33"/>
      <c r="P355" s="34" t="str">
        <f t="shared" si="37"/>
        <v/>
      </c>
      <c r="Q355" s="35" t="str">
        <f t="shared" si="38"/>
        <v/>
      </c>
      <c r="R355" s="35" t="str">
        <f t="shared" si="42"/>
        <v/>
      </c>
      <c r="S355" s="29" t="str">
        <f t="shared" si="39"/>
        <v/>
      </c>
      <c r="T355" s="13" t="str">
        <f t="shared" ca="1" si="40"/>
        <v/>
      </c>
      <c r="U355" s="29" t="str">
        <f ca="1">IF(OR($A355="",$F355=""),"",IF($R355&lt;&gt;"",IF($R355&lt;=$F355,"NO PRAZO","FORA DO PRAZO"),IF(TODAY()&gt;$F355,"VENCIDO",IF($F355-TODAY()&lt;='01. CONFIGURAÇÕES'!$C$23,"VENCE EM BREVE","EM DIA"))))</f>
        <v/>
      </c>
      <c r="V355" s="55" t="str">
        <f t="shared" si="41"/>
        <v/>
      </c>
      <c r="W355" s="30"/>
      <c r="X355" s="33"/>
    </row>
    <row r="356" spans="1:24" x14ac:dyDescent="0.25">
      <c r="A356" s="29" t="str">
        <f t="shared" si="36"/>
        <v/>
      </c>
      <c r="B356" s="30"/>
      <c r="C356" s="30"/>
      <c r="D356" s="31"/>
      <c r="E356" s="10"/>
      <c r="F356" s="32" t="str">
        <f>IF($D356="","",$D356+IF($E356="",'01. CONFIGURAÇÕES'!$C$22,$E356))</f>
        <v/>
      </c>
      <c r="G356" s="30"/>
      <c r="H356" s="33"/>
      <c r="I356" s="33"/>
      <c r="J356" s="30"/>
      <c r="K356" s="33"/>
      <c r="L356" s="30"/>
      <c r="M356" s="33"/>
      <c r="N356" s="30"/>
      <c r="O356" s="33"/>
      <c r="P356" s="34" t="str">
        <f t="shared" si="37"/>
        <v/>
      </c>
      <c r="Q356" s="35" t="str">
        <f t="shared" si="38"/>
        <v/>
      </c>
      <c r="R356" s="35" t="str">
        <f t="shared" si="42"/>
        <v/>
      </c>
      <c r="S356" s="29" t="str">
        <f t="shared" si="39"/>
        <v/>
      </c>
      <c r="T356" s="13" t="str">
        <f t="shared" ca="1" si="40"/>
        <v/>
      </c>
      <c r="U356" s="29" t="str">
        <f ca="1">IF(OR($A356="",$F356=""),"",IF($R356&lt;&gt;"",IF($R356&lt;=$F356,"NO PRAZO","FORA DO PRAZO"),IF(TODAY()&gt;$F356,"VENCIDO",IF($F356-TODAY()&lt;='01. CONFIGURAÇÕES'!$C$23,"VENCE EM BREVE","EM DIA"))))</f>
        <v/>
      </c>
      <c r="V356" s="55" t="str">
        <f t="shared" si="41"/>
        <v/>
      </c>
      <c r="W356" s="30"/>
      <c r="X356" s="33"/>
    </row>
    <row r="357" spans="1:24" x14ac:dyDescent="0.25">
      <c r="A357" s="29" t="str">
        <f t="shared" si="36"/>
        <v/>
      </c>
      <c r="B357" s="30"/>
      <c r="C357" s="30"/>
      <c r="D357" s="31"/>
      <c r="E357" s="10"/>
      <c r="F357" s="32" t="str">
        <f>IF($D357="","",$D357+IF($E357="",'01. CONFIGURAÇÕES'!$C$22,$E357))</f>
        <v/>
      </c>
      <c r="G357" s="30"/>
      <c r="H357" s="33"/>
      <c r="I357" s="33"/>
      <c r="J357" s="30"/>
      <c r="K357" s="33"/>
      <c r="L357" s="30"/>
      <c r="M357" s="33"/>
      <c r="N357" s="30"/>
      <c r="O357" s="33"/>
      <c r="P357" s="34" t="str">
        <f t="shared" si="37"/>
        <v/>
      </c>
      <c r="Q357" s="35" t="str">
        <f t="shared" si="38"/>
        <v/>
      </c>
      <c r="R357" s="35" t="str">
        <f t="shared" si="42"/>
        <v/>
      </c>
      <c r="S357" s="29" t="str">
        <f t="shared" si="39"/>
        <v/>
      </c>
      <c r="T357" s="13" t="str">
        <f t="shared" ca="1" si="40"/>
        <v/>
      </c>
      <c r="U357" s="29" t="str">
        <f ca="1">IF(OR($A357="",$F357=""),"",IF($R357&lt;&gt;"",IF($R357&lt;=$F357,"NO PRAZO","FORA DO PRAZO"),IF(TODAY()&gt;$F357,"VENCIDO",IF($F357-TODAY()&lt;='01. CONFIGURAÇÕES'!$C$23,"VENCE EM BREVE","EM DIA"))))</f>
        <v/>
      </c>
      <c r="V357" s="55" t="str">
        <f t="shared" si="41"/>
        <v/>
      </c>
      <c r="W357" s="30"/>
      <c r="X357" s="33"/>
    </row>
    <row r="358" spans="1:24" x14ac:dyDescent="0.25">
      <c r="A358" s="29" t="str">
        <f t="shared" si="36"/>
        <v/>
      </c>
      <c r="B358" s="30"/>
      <c r="C358" s="30"/>
      <c r="D358" s="31"/>
      <c r="E358" s="10"/>
      <c r="F358" s="32" t="str">
        <f>IF($D358="","",$D358+IF($E358="",'01. CONFIGURAÇÕES'!$C$22,$E358))</f>
        <v/>
      </c>
      <c r="G358" s="30"/>
      <c r="H358" s="33"/>
      <c r="I358" s="33"/>
      <c r="J358" s="30"/>
      <c r="K358" s="33"/>
      <c r="L358" s="30"/>
      <c r="M358" s="33"/>
      <c r="N358" s="30"/>
      <c r="O358" s="33"/>
      <c r="P358" s="34" t="str">
        <f t="shared" si="37"/>
        <v/>
      </c>
      <c r="Q358" s="35" t="str">
        <f t="shared" si="38"/>
        <v/>
      </c>
      <c r="R358" s="35" t="str">
        <f t="shared" si="42"/>
        <v/>
      </c>
      <c r="S358" s="29" t="str">
        <f t="shared" si="39"/>
        <v/>
      </c>
      <c r="T358" s="13" t="str">
        <f t="shared" ca="1" si="40"/>
        <v/>
      </c>
      <c r="U358" s="29" t="str">
        <f ca="1">IF(OR($A358="",$F358=""),"",IF($R358&lt;&gt;"",IF($R358&lt;=$F358,"NO PRAZO","FORA DO PRAZO"),IF(TODAY()&gt;$F358,"VENCIDO",IF($F358-TODAY()&lt;='01. CONFIGURAÇÕES'!$C$23,"VENCE EM BREVE","EM DIA"))))</f>
        <v/>
      </c>
      <c r="V358" s="55" t="str">
        <f t="shared" si="41"/>
        <v/>
      </c>
      <c r="W358" s="30"/>
      <c r="X358" s="33"/>
    </row>
    <row r="359" spans="1:24" x14ac:dyDescent="0.25">
      <c r="A359" s="29" t="str">
        <f t="shared" si="36"/>
        <v/>
      </c>
      <c r="B359" s="30"/>
      <c r="C359" s="30"/>
      <c r="D359" s="31"/>
      <c r="E359" s="10"/>
      <c r="F359" s="32" t="str">
        <f>IF($D359="","",$D359+IF($E359="",'01. CONFIGURAÇÕES'!$C$22,$E359))</f>
        <v/>
      </c>
      <c r="G359" s="30"/>
      <c r="H359" s="33"/>
      <c r="I359" s="33"/>
      <c r="J359" s="30"/>
      <c r="K359" s="33"/>
      <c r="L359" s="30"/>
      <c r="M359" s="33"/>
      <c r="N359" s="30"/>
      <c r="O359" s="33"/>
      <c r="P359" s="34" t="str">
        <f t="shared" si="37"/>
        <v/>
      </c>
      <c r="Q359" s="35" t="str">
        <f t="shared" si="38"/>
        <v/>
      </c>
      <c r="R359" s="35" t="str">
        <f t="shared" si="42"/>
        <v/>
      </c>
      <c r="S359" s="29" t="str">
        <f t="shared" si="39"/>
        <v/>
      </c>
      <c r="T359" s="13" t="str">
        <f t="shared" ca="1" si="40"/>
        <v/>
      </c>
      <c r="U359" s="29" t="str">
        <f ca="1">IF(OR($A359="",$F359=""),"",IF($R359&lt;&gt;"",IF($R359&lt;=$F359,"NO PRAZO","FORA DO PRAZO"),IF(TODAY()&gt;$F359,"VENCIDO",IF($F359-TODAY()&lt;='01. CONFIGURAÇÕES'!$C$23,"VENCE EM BREVE","EM DIA"))))</f>
        <v/>
      </c>
      <c r="V359" s="55" t="str">
        <f t="shared" si="41"/>
        <v/>
      </c>
      <c r="W359" s="30"/>
      <c r="X359" s="33"/>
    </row>
    <row r="360" spans="1:24" x14ac:dyDescent="0.25">
      <c r="A360" s="29" t="str">
        <f t="shared" si="36"/>
        <v/>
      </c>
      <c r="B360" s="30"/>
      <c r="C360" s="30"/>
      <c r="D360" s="31"/>
      <c r="E360" s="10"/>
      <c r="F360" s="32" t="str">
        <f>IF($D360="","",$D360+IF($E360="",'01. CONFIGURAÇÕES'!$C$22,$E360))</f>
        <v/>
      </c>
      <c r="G360" s="30"/>
      <c r="H360" s="33"/>
      <c r="I360" s="33"/>
      <c r="J360" s="30"/>
      <c r="K360" s="33"/>
      <c r="L360" s="30"/>
      <c r="M360" s="33"/>
      <c r="N360" s="30"/>
      <c r="O360" s="33"/>
      <c r="P360" s="34" t="str">
        <f t="shared" si="37"/>
        <v/>
      </c>
      <c r="Q360" s="35" t="str">
        <f t="shared" si="38"/>
        <v/>
      </c>
      <c r="R360" s="35" t="str">
        <f t="shared" si="42"/>
        <v/>
      </c>
      <c r="S360" s="29" t="str">
        <f t="shared" si="39"/>
        <v/>
      </c>
      <c r="T360" s="13" t="str">
        <f t="shared" ca="1" si="40"/>
        <v/>
      </c>
      <c r="U360" s="29" t="str">
        <f ca="1">IF(OR($A360="",$F360=""),"",IF($R360&lt;&gt;"",IF($R360&lt;=$F360,"NO PRAZO","FORA DO PRAZO"),IF(TODAY()&gt;$F360,"VENCIDO",IF($F360-TODAY()&lt;='01. CONFIGURAÇÕES'!$C$23,"VENCE EM BREVE","EM DIA"))))</f>
        <v/>
      </c>
      <c r="V360" s="55" t="str">
        <f t="shared" si="41"/>
        <v/>
      </c>
      <c r="W360" s="30"/>
      <c r="X360" s="33"/>
    </row>
    <row r="361" spans="1:24" x14ac:dyDescent="0.25">
      <c r="A361" s="29" t="str">
        <f t="shared" si="36"/>
        <v/>
      </c>
      <c r="B361" s="30"/>
      <c r="C361" s="30"/>
      <c r="D361" s="31"/>
      <c r="E361" s="10"/>
      <c r="F361" s="32" t="str">
        <f>IF($D361="","",$D361+IF($E361="",'01. CONFIGURAÇÕES'!$C$22,$E361))</f>
        <v/>
      </c>
      <c r="G361" s="30"/>
      <c r="H361" s="33"/>
      <c r="I361" s="33"/>
      <c r="J361" s="30"/>
      <c r="K361" s="33"/>
      <c r="L361" s="30"/>
      <c r="M361" s="33"/>
      <c r="N361" s="30"/>
      <c r="O361" s="33"/>
      <c r="P361" s="34" t="str">
        <f t="shared" si="37"/>
        <v/>
      </c>
      <c r="Q361" s="35" t="str">
        <f t="shared" si="38"/>
        <v/>
      </c>
      <c r="R361" s="35" t="str">
        <f t="shared" si="42"/>
        <v/>
      </c>
      <c r="S361" s="29" t="str">
        <f t="shared" si="39"/>
        <v/>
      </c>
      <c r="T361" s="13" t="str">
        <f t="shared" ca="1" si="40"/>
        <v/>
      </c>
      <c r="U361" s="29" t="str">
        <f ca="1">IF(OR($A361="",$F361=""),"",IF($R361&lt;&gt;"",IF($R361&lt;=$F361,"NO PRAZO","FORA DO PRAZO"),IF(TODAY()&gt;$F361,"VENCIDO",IF($F361-TODAY()&lt;='01. CONFIGURAÇÕES'!$C$23,"VENCE EM BREVE","EM DIA"))))</f>
        <v/>
      </c>
      <c r="V361" s="55" t="str">
        <f t="shared" si="41"/>
        <v/>
      </c>
      <c r="W361" s="30"/>
      <c r="X361" s="33"/>
    </row>
    <row r="362" spans="1:24" x14ac:dyDescent="0.25">
      <c r="A362" s="29" t="str">
        <f t="shared" si="36"/>
        <v/>
      </c>
      <c r="B362" s="30"/>
      <c r="C362" s="30"/>
      <c r="D362" s="31"/>
      <c r="E362" s="10"/>
      <c r="F362" s="32" t="str">
        <f>IF($D362="","",$D362+IF($E362="",'01. CONFIGURAÇÕES'!$C$22,$E362))</f>
        <v/>
      </c>
      <c r="G362" s="30"/>
      <c r="H362" s="33"/>
      <c r="I362" s="33"/>
      <c r="J362" s="30"/>
      <c r="K362" s="33"/>
      <c r="L362" s="30"/>
      <c r="M362" s="33"/>
      <c r="N362" s="30"/>
      <c r="O362" s="33"/>
      <c r="P362" s="34" t="str">
        <f t="shared" si="37"/>
        <v/>
      </c>
      <c r="Q362" s="35" t="str">
        <f t="shared" si="38"/>
        <v/>
      </c>
      <c r="R362" s="35" t="str">
        <f t="shared" si="42"/>
        <v/>
      </c>
      <c r="S362" s="29" t="str">
        <f t="shared" si="39"/>
        <v/>
      </c>
      <c r="T362" s="13" t="str">
        <f t="shared" ca="1" si="40"/>
        <v/>
      </c>
      <c r="U362" s="29" t="str">
        <f ca="1">IF(OR($A362="",$F362=""),"",IF($R362&lt;&gt;"",IF($R362&lt;=$F362,"NO PRAZO","FORA DO PRAZO"),IF(TODAY()&gt;$F362,"VENCIDO",IF($F362-TODAY()&lt;='01. CONFIGURAÇÕES'!$C$23,"VENCE EM BREVE","EM DIA"))))</f>
        <v/>
      </c>
      <c r="V362" s="55" t="str">
        <f t="shared" si="41"/>
        <v/>
      </c>
      <c r="W362" s="30"/>
      <c r="X362" s="33"/>
    </row>
    <row r="363" spans="1:24" x14ac:dyDescent="0.25">
      <c r="A363" s="29" t="str">
        <f t="shared" si="36"/>
        <v/>
      </c>
      <c r="B363" s="30"/>
      <c r="C363" s="30"/>
      <c r="D363" s="31"/>
      <c r="E363" s="10"/>
      <c r="F363" s="32" t="str">
        <f>IF($D363="","",$D363+IF($E363="",'01. CONFIGURAÇÕES'!$C$22,$E363))</f>
        <v/>
      </c>
      <c r="G363" s="30"/>
      <c r="H363" s="33"/>
      <c r="I363" s="33"/>
      <c r="J363" s="30"/>
      <c r="K363" s="33"/>
      <c r="L363" s="30"/>
      <c r="M363" s="33"/>
      <c r="N363" s="30"/>
      <c r="O363" s="33"/>
      <c r="P363" s="34" t="str">
        <f t="shared" si="37"/>
        <v/>
      </c>
      <c r="Q363" s="35" t="str">
        <f t="shared" si="38"/>
        <v/>
      </c>
      <c r="R363" s="35" t="str">
        <f t="shared" si="42"/>
        <v/>
      </c>
      <c r="S363" s="29" t="str">
        <f t="shared" si="39"/>
        <v/>
      </c>
      <c r="T363" s="13" t="str">
        <f t="shared" ca="1" si="40"/>
        <v/>
      </c>
      <c r="U363" s="29" t="str">
        <f ca="1">IF(OR($A363="",$F363=""),"",IF($R363&lt;&gt;"",IF($R363&lt;=$F363,"NO PRAZO","FORA DO PRAZO"),IF(TODAY()&gt;$F363,"VENCIDO",IF($F363-TODAY()&lt;='01. CONFIGURAÇÕES'!$C$23,"VENCE EM BREVE","EM DIA"))))</f>
        <v/>
      </c>
      <c r="V363" s="55" t="str">
        <f t="shared" si="41"/>
        <v/>
      </c>
      <c r="W363" s="30"/>
      <c r="X363" s="33"/>
    </row>
    <row r="364" spans="1:24" x14ac:dyDescent="0.25">
      <c r="A364" s="29" t="str">
        <f t="shared" si="36"/>
        <v/>
      </c>
      <c r="B364" s="30"/>
      <c r="C364" s="30"/>
      <c r="D364" s="31"/>
      <c r="E364" s="10"/>
      <c r="F364" s="32" t="str">
        <f>IF($D364="","",$D364+IF($E364="",'01. CONFIGURAÇÕES'!$C$22,$E364))</f>
        <v/>
      </c>
      <c r="G364" s="30"/>
      <c r="H364" s="33"/>
      <c r="I364" s="33"/>
      <c r="J364" s="30"/>
      <c r="K364" s="33"/>
      <c r="L364" s="30"/>
      <c r="M364" s="33"/>
      <c r="N364" s="30"/>
      <c r="O364" s="33"/>
      <c r="P364" s="34" t="str">
        <f t="shared" si="37"/>
        <v/>
      </c>
      <c r="Q364" s="35" t="str">
        <f t="shared" si="38"/>
        <v/>
      </c>
      <c r="R364" s="35" t="str">
        <f t="shared" si="42"/>
        <v/>
      </c>
      <c r="S364" s="29" t="str">
        <f t="shared" si="39"/>
        <v/>
      </c>
      <c r="T364" s="13" t="str">
        <f t="shared" ca="1" si="40"/>
        <v/>
      </c>
      <c r="U364" s="29" t="str">
        <f ca="1">IF(OR($A364="",$F364=""),"",IF($R364&lt;&gt;"",IF($R364&lt;=$F364,"NO PRAZO","FORA DO PRAZO"),IF(TODAY()&gt;$F364,"VENCIDO",IF($F364-TODAY()&lt;='01. CONFIGURAÇÕES'!$C$23,"VENCE EM BREVE","EM DIA"))))</f>
        <v/>
      </c>
      <c r="V364" s="55" t="str">
        <f t="shared" si="41"/>
        <v/>
      </c>
      <c r="W364" s="30"/>
      <c r="X364" s="33"/>
    </row>
    <row r="365" spans="1:24" x14ac:dyDescent="0.25">
      <c r="A365" s="29" t="str">
        <f t="shared" si="36"/>
        <v/>
      </c>
      <c r="B365" s="30"/>
      <c r="C365" s="30"/>
      <c r="D365" s="31"/>
      <c r="E365" s="10"/>
      <c r="F365" s="32" t="str">
        <f>IF($D365="","",$D365+IF($E365="",'01. CONFIGURAÇÕES'!$C$22,$E365))</f>
        <v/>
      </c>
      <c r="G365" s="30"/>
      <c r="H365" s="33"/>
      <c r="I365" s="33"/>
      <c r="J365" s="30"/>
      <c r="K365" s="33"/>
      <c r="L365" s="30"/>
      <c r="M365" s="33"/>
      <c r="N365" s="30"/>
      <c r="O365" s="33"/>
      <c r="P365" s="34" t="str">
        <f t="shared" si="37"/>
        <v/>
      </c>
      <c r="Q365" s="35" t="str">
        <f t="shared" si="38"/>
        <v/>
      </c>
      <c r="R365" s="35" t="str">
        <f t="shared" si="42"/>
        <v/>
      </c>
      <c r="S365" s="29" t="str">
        <f t="shared" si="39"/>
        <v/>
      </c>
      <c r="T365" s="13" t="str">
        <f t="shared" ca="1" si="40"/>
        <v/>
      </c>
      <c r="U365" s="29" t="str">
        <f ca="1">IF(OR($A365="",$F365=""),"",IF($R365&lt;&gt;"",IF($R365&lt;=$F365,"NO PRAZO","FORA DO PRAZO"),IF(TODAY()&gt;$F365,"VENCIDO",IF($F365-TODAY()&lt;='01. CONFIGURAÇÕES'!$C$23,"VENCE EM BREVE","EM DIA"))))</f>
        <v/>
      </c>
      <c r="V365" s="55" t="str">
        <f t="shared" si="41"/>
        <v/>
      </c>
      <c r="W365" s="30"/>
      <c r="X365" s="33"/>
    </row>
    <row r="366" spans="1:24" x14ac:dyDescent="0.25">
      <c r="A366" s="29" t="str">
        <f t="shared" si="36"/>
        <v/>
      </c>
      <c r="B366" s="30"/>
      <c r="C366" s="30"/>
      <c r="D366" s="31"/>
      <c r="E366" s="10"/>
      <c r="F366" s="32" t="str">
        <f>IF($D366="","",$D366+IF($E366="",'01. CONFIGURAÇÕES'!$C$22,$E366))</f>
        <v/>
      </c>
      <c r="G366" s="30"/>
      <c r="H366" s="33"/>
      <c r="I366" s="33"/>
      <c r="J366" s="30"/>
      <c r="K366" s="33"/>
      <c r="L366" s="30"/>
      <c r="M366" s="33"/>
      <c r="N366" s="30"/>
      <c r="O366" s="33"/>
      <c r="P366" s="34" t="str">
        <f t="shared" si="37"/>
        <v/>
      </c>
      <c r="Q366" s="35" t="str">
        <f t="shared" si="38"/>
        <v/>
      </c>
      <c r="R366" s="35" t="str">
        <f t="shared" si="42"/>
        <v/>
      </c>
      <c r="S366" s="29" t="str">
        <f t="shared" si="39"/>
        <v/>
      </c>
      <c r="T366" s="13" t="str">
        <f t="shared" ca="1" si="40"/>
        <v/>
      </c>
      <c r="U366" s="29" t="str">
        <f ca="1">IF(OR($A366="",$F366=""),"",IF($R366&lt;&gt;"",IF($R366&lt;=$F366,"NO PRAZO","FORA DO PRAZO"),IF(TODAY()&gt;$F366,"VENCIDO",IF($F366-TODAY()&lt;='01. CONFIGURAÇÕES'!$C$23,"VENCE EM BREVE","EM DIA"))))</f>
        <v/>
      </c>
      <c r="V366" s="55" t="str">
        <f t="shared" si="41"/>
        <v/>
      </c>
      <c r="W366" s="30"/>
      <c r="X366" s="33"/>
    </row>
    <row r="367" spans="1:24" x14ac:dyDescent="0.25">
      <c r="A367" s="29" t="str">
        <f t="shared" si="36"/>
        <v/>
      </c>
      <c r="B367" s="30"/>
      <c r="C367" s="30"/>
      <c r="D367" s="31"/>
      <c r="E367" s="10"/>
      <c r="F367" s="32" t="str">
        <f>IF($D367="","",$D367+IF($E367="",'01. CONFIGURAÇÕES'!$C$22,$E367))</f>
        <v/>
      </c>
      <c r="G367" s="30"/>
      <c r="H367" s="33"/>
      <c r="I367" s="33"/>
      <c r="J367" s="30"/>
      <c r="K367" s="33"/>
      <c r="L367" s="30"/>
      <c r="M367" s="33"/>
      <c r="N367" s="30"/>
      <c r="O367" s="33"/>
      <c r="P367" s="34" t="str">
        <f t="shared" si="37"/>
        <v/>
      </c>
      <c r="Q367" s="35" t="str">
        <f t="shared" si="38"/>
        <v/>
      </c>
      <c r="R367" s="35" t="str">
        <f t="shared" si="42"/>
        <v/>
      </c>
      <c r="S367" s="29" t="str">
        <f t="shared" si="39"/>
        <v/>
      </c>
      <c r="T367" s="13" t="str">
        <f t="shared" ca="1" si="40"/>
        <v/>
      </c>
      <c r="U367" s="29" t="str">
        <f ca="1">IF(OR($A367="",$F367=""),"",IF($R367&lt;&gt;"",IF($R367&lt;=$F367,"NO PRAZO","FORA DO PRAZO"),IF(TODAY()&gt;$F367,"VENCIDO",IF($F367-TODAY()&lt;='01. CONFIGURAÇÕES'!$C$23,"VENCE EM BREVE","EM DIA"))))</f>
        <v/>
      </c>
      <c r="V367" s="55" t="str">
        <f t="shared" si="41"/>
        <v/>
      </c>
      <c r="W367" s="30"/>
      <c r="X367" s="33"/>
    </row>
    <row r="368" spans="1:24" x14ac:dyDescent="0.25">
      <c r="A368" s="29" t="str">
        <f t="shared" si="36"/>
        <v/>
      </c>
      <c r="B368" s="30"/>
      <c r="C368" s="30"/>
      <c r="D368" s="31"/>
      <c r="E368" s="10"/>
      <c r="F368" s="32" t="str">
        <f>IF($D368="","",$D368+IF($E368="",'01. CONFIGURAÇÕES'!$C$22,$E368))</f>
        <v/>
      </c>
      <c r="G368" s="30"/>
      <c r="H368" s="33"/>
      <c r="I368" s="33"/>
      <c r="J368" s="30"/>
      <c r="K368" s="33"/>
      <c r="L368" s="30"/>
      <c r="M368" s="33"/>
      <c r="N368" s="30"/>
      <c r="O368" s="33"/>
      <c r="P368" s="34" t="str">
        <f t="shared" si="37"/>
        <v/>
      </c>
      <c r="Q368" s="35" t="str">
        <f t="shared" si="38"/>
        <v/>
      </c>
      <c r="R368" s="35" t="str">
        <f t="shared" si="42"/>
        <v/>
      </c>
      <c r="S368" s="29" t="str">
        <f t="shared" si="39"/>
        <v/>
      </c>
      <c r="T368" s="13" t="str">
        <f t="shared" ca="1" si="40"/>
        <v/>
      </c>
      <c r="U368" s="29" t="str">
        <f ca="1">IF(OR($A368="",$F368=""),"",IF($R368&lt;&gt;"",IF($R368&lt;=$F368,"NO PRAZO","FORA DO PRAZO"),IF(TODAY()&gt;$F368,"VENCIDO",IF($F368-TODAY()&lt;='01. CONFIGURAÇÕES'!$C$23,"VENCE EM BREVE","EM DIA"))))</f>
        <v/>
      </c>
      <c r="V368" s="55" t="str">
        <f t="shared" si="41"/>
        <v/>
      </c>
      <c r="W368" s="30"/>
      <c r="X368" s="33"/>
    </row>
    <row r="369" spans="1:24" x14ac:dyDescent="0.25">
      <c r="A369" s="29" t="str">
        <f t="shared" si="36"/>
        <v/>
      </c>
      <c r="B369" s="30"/>
      <c r="C369" s="30"/>
      <c r="D369" s="31"/>
      <c r="E369" s="10"/>
      <c r="F369" s="32" t="str">
        <f>IF($D369="","",$D369+IF($E369="",'01. CONFIGURAÇÕES'!$C$22,$E369))</f>
        <v/>
      </c>
      <c r="G369" s="30"/>
      <c r="H369" s="33"/>
      <c r="I369" s="33"/>
      <c r="J369" s="30"/>
      <c r="K369" s="33"/>
      <c r="L369" s="30"/>
      <c r="M369" s="33"/>
      <c r="N369" s="30"/>
      <c r="O369" s="33"/>
      <c r="P369" s="34" t="str">
        <f t="shared" si="37"/>
        <v/>
      </c>
      <c r="Q369" s="35" t="str">
        <f t="shared" si="38"/>
        <v/>
      </c>
      <c r="R369" s="35" t="str">
        <f t="shared" si="42"/>
        <v/>
      </c>
      <c r="S369" s="29" t="str">
        <f t="shared" si="39"/>
        <v/>
      </c>
      <c r="T369" s="13" t="str">
        <f t="shared" ca="1" si="40"/>
        <v/>
      </c>
      <c r="U369" s="29" t="str">
        <f ca="1">IF(OR($A369="",$F369=""),"",IF($R369&lt;&gt;"",IF($R369&lt;=$F369,"NO PRAZO","FORA DO PRAZO"),IF(TODAY()&gt;$F369,"VENCIDO",IF($F369-TODAY()&lt;='01. CONFIGURAÇÕES'!$C$23,"VENCE EM BREVE","EM DIA"))))</f>
        <v/>
      </c>
      <c r="V369" s="55" t="str">
        <f t="shared" si="41"/>
        <v/>
      </c>
      <c r="W369" s="30"/>
      <c r="X369" s="33"/>
    </row>
    <row r="370" spans="1:24" x14ac:dyDescent="0.25">
      <c r="A370" s="29" t="str">
        <f t="shared" si="36"/>
        <v/>
      </c>
      <c r="B370" s="30"/>
      <c r="C370" s="30"/>
      <c r="D370" s="31"/>
      <c r="E370" s="10"/>
      <c r="F370" s="32" t="str">
        <f>IF($D370="","",$D370+IF($E370="",'01. CONFIGURAÇÕES'!$C$22,$E370))</f>
        <v/>
      </c>
      <c r="G370" s="30"/>
      <c r="H370" s="33"/>
      <c r="I370" s="33"/>
      <c r="J370" s="30"/>
      <c r="K370" s="33"/>
      <c r="L370" s="30"/>
      <c r="M370" s="33"/>
      <c r="N370" s="30"/>
      <c r="O370" s="33"/>
      <c r="P370" s="34" t="str">
        <f t="shared" si="37"/>
        <v/>
      </c>
      <c r="Q370" s="35" t="str">
        <f t="shared" si="38"/>
        <v/>
      </c>
      <c r="R370" s="35" t="str">
        <f t="shared" si="42"/>
        <v/>
      </c>
      <c r="S370" s="29" t="str">
        <f t="shared" si="39"/>
        <v/>
      </c>
      <c r="T370" s="13" t="str">
        <f t="shared" ca="1" si="40"/>
        <v/>
      </c>
      <c r="U370" s="29" t="str">
        <f ca="1">IF(OR($A370="",$F370=""),"",IF($R370&lt;&gt;"",IF($R370&lt;=$F370,"NO PRAZO","FORA DO PRAZO"),IF(TODAY()&gt;$F370,"VENCIDO",IF($F370-TODAY()&lt;='01. CONFIGURAÇÕES'!$C$23,"VENCE EM BREVE","EM DIA"))))</f>
        <v/>
      </c>
      <c r="V370" s="55" t="str">
        <f t="shared" si="41"/>
        <v/>
      </c>
      <c r="W370" s="30"/>
      <c r="X370" s="33"/>
    </row>
    <row r="371" spans="1:24" x14ac:dyDescent="0.25">
      <c r="A371" s="29" t="str">
        <f t="shared" si="36"/>
        <v/>
      </c>
      <c r="B371" s="30"/>
      <c r="C371" s="30"/>
      <c r="D371" s="31"/>
      <c r="E371" s="10"/>
      <c r="F371" s="32" t="str">
        <f>IF($D371="","",$D371+IF($E371="",'01. CONFIGURAÇÕES'!$C$22,$E371))</f>
        <v/>
      </c>
      <c r="G371" s="30"/>
      <c r="H371" s="33"/>
      <c r="I371" s="33"/>
      <c r="J371" s="30"/>
      <c r="K371" s="33"/>
      <c r="L371" s="30"/>
      <c r="M371" s="33"/>
      <c r="N371" s="30"/>
      <c r="O371" s="33"/>
      <c r="P371" s="34" t="str">
        <f t="shared" si="37"/>
        <v/>
      </c>
      <c r="Q371" s="35" t="str">
        <f t="shared" si="38"/>
        <v/>
      </c>
      <c r="R371" s="35" t="str">
        <f t="shared" si="42"/>
        <v/>
      </c>
      <c r="S371" s="29" t="str">
        <f t="shared" si="39"/>
        <v/>
      </c>
      <c r="T371" s="13" t="str">
        <f t="shared" ca="1" si="40"/>
        <v/>
      </c>
      <c r="U371" s="29" t="str">
        <f ca="1">IF(OR($A371="",$F371=""),"",IF($R371&lt;&gt;"",IF($R371&lt;=$F371,"NO PRAZO","FORA DO PRAZO"),IF(TODAY()&gt;$F371,"VENCIDO",IF($F371-TODAY()&lt;='01. CONFIGURAÇÕES'!$C$23,"VENCE EM BREVE","EM DIA"))))</f>
        <v/>
      </c>
      <c r="V371" s="55" t="str">
        <f t="shared" si="41"/>
        <v/>
      </c>
      <c r="W371" s="30"/>
      <c r="X371" s="33"/>
    </row>
    <row r="372" spans="1:24" x14ac:dyDescent="0.25">
      <c r="A372" s="29" t="str">
        <f t="shared" si="36"/>
        <v/>
      </c>
      <c r="B372" s="30"/>
      <c r="C372" s="30"/>
      <c r="D372" s="31"/>
      <c r="E372" s="10"/>
      <c r="F372" s="32" t="str">
        <f>IF($D372="","",$D372+IF($E372="",'01. CONFIGURAÇÕES'!$C$22,$E372))</f>
        <v/>
      </c>
      <c r="G372" s="30"/>
      <c r="H372" s="33"/>
      <c r="I372" s="33"/>
      <c r="J372" s="30"/>
      <c r="K372" s="33"/>
      <c r="L372" s="30"/>
      <c r="M372" s="33"/>
      <c r="N372" s="30"/>
      <c r="O372" s="33"/>
      <c r="P372" s="34" t="str">
        <f t="shared" si="37"/>
        <v/>
      </c>
      <c r="Q372" s="35" t="str">
        <f t="shared" si="38"/>
        <v/>
      </c>
      <c r="R372" s="35" t="str">
        <f t="shared" si="42"/>
        <v/>
      </c>
      <c r="S372" s="29" t="str">
        <f t="shared" si="39"/>
        <v/>
      </c>
      <c r="T372" s="13" t="str">
        <f t="shared" ca="1" si="40"/>
        <v/>
      </c>
      <c r="U372" s="29" t="str">
        <f ca="1">IF(OR($A372="",$F372=""),"",IF($R372&lt;&gt;"",IF($R372&lt;=$F372,"NO PRAZO","FORA DO PRAZO"),IF(TODAY()&gt;$F372,"VENCIDO",IF($F372-TODAY()&lt;='01. CONFIGURAÇÕES'!$C$23,"VENCE EM BREVE","EM DIA"))))</f>
        <v/>
      </c>
      <c r="V372" s="55" t="str">
        <f t="shared" si="41"/>
        <v/>
      </c>
      <c r="W372" s="30"/>
      <c r="X372" s="33"/>
    </row>
    <row r="373" spans="1:24" x14ac:dyDescent="0.25">
      <c r="A373" s="29" t="str">
        <f t="shared" si="36"/>
        <v/>
      </c>
      <c r="B373" s="30"/>
      <c r="C373" s="30"/>
      <c r="D373" s="31"/>
      <c r="E373" s="10"/>
      <c r="F373" s="32" t="str">
        <f>IF($D373="","",$D373+IF($E373="",'01. CONFIGURAÇÕES'!$C$22,$E373))</f>
        <v/>
      </c>
      <c r="G373" s="30"/>
      <c r="H373" s="33"/>
      <c r="I373" s="33"/>
      <c r="J373" s="30"/>
      <c r="K373" s="33"/>
      <c r="L373" s="30"/>
      <c r="M373" s="33"/>
      <c r="N373" s="30"/>
      <c r="O373" s="33"/>
      <c r="P373" s="34" t="str">
        <f t="shared" si="37"/>
        <v/>
      </c>
      <c r="Q373" s="35" t="str">
        <f t="shared" si="38"/>
        <v/>
      </c>
      <c r="R373" s="35" t="str">
        <f t="shared" si="42"/>
        <v/>
      </c>
      <c r="S373" s="29" t="str">
        <f t="shared" si="39"/>
        <v/>
      </c>
      <c r="T373" s="13" t="str">
        <f t="shared" ca="1" si="40"/>
        <v/>
      </c>
      <c r="U373" s="29" t="str">
        <f ca="1">IF(OR($A373="",$F373=""),"",IF($R373&lt;&gt;"",IF($R373&lt;=$F373,"NO PRAZO","FORA DO PRAZO"),IF(TODAY()&gt;$F373,"VENCIDO",IF($F373-TODAY()&lt;='01. CONFIGURAÇÕES'!$C$23,"VENCE EM BREVE","EM DIA"))))</f>
        <v/>
      </c>
      <c r="V373" s="55" t="str">
        <f t="shared" si="41"/>
        <v/>
      </c>
      <c r="W373" s="30"/>
      <c r="X373" s="33"/>
    </row>
    <row r="374" spans="1:24" x14ac:dyDescent="0.25">
      <c r="A374" s="29" t="str">
        <f t="shared" si="36"/>
        <v/>
      </c>
      <c r="B374" s="30"/>
      <c r="C374" s="30"/>
      <c r="D374" s="31"/>
      <c r="E374" s="10"/>
      <c r="F374" s="32" t="str">
        <f>IF($D374="","",$D374+IF($E374="",'01. CONFIGURAÇÕES'!$C$22,$E374))</f>
        <v/>
      </c>
      <c r="G374" s="30"/>
      <c r="H374" s="33"/>
      <c r="I374" s="33"/>
      <c r="J374" s="30"/>
      <c r="K374" s="33"/>
      <c r="L374" s="30"/>
      <c r="M374" s="33"/>
      <c r="N374" s="30"/>
      <c r="O374" s="33"/>
      <c r="P374" s="34" t="str">
        <f t="shared" si="37"/>
        <v/>
      </c>
      <c r="Q374" s="35" t="str">
        <f t="shared" si="38"/>
        <v/>
      </c>
      <c r="R374" s="35" t="str">
        <f t="shared" si="42"/>
        <v/>
      </c>
      <c r="S374" s="29" t="str">
        <f t="shared" si="39"/>
        <v/>
      </c>
      <c r="T374" s="13" t="str">
        <f t="shared" ca="1" si="40"/>
        <v/>
      </c>
      <c r="U374" s="29" t="str">
        <f ca="1">IF(OR($A374="",$F374=""),"",IF($R374&lt;&gt;"",IF($R374&lt;=$F374,"NO PRAZO","FORA DO PRAZO"),IF(TODAY()&gt;$F374,"VENCIDO",IF($F374-TODAY()&lt;='01. CONFIGURAÇÕES'!$C$23,"VENCE EM BREVE","EM DIA"))))</f>
        <v/>
      </c>
      <c r="V374" s="55" t="str">
        <f t="shared" si="41"/>
        <v/>
      </c>
      <c r="W374" s="30"/>
      <c r="X374" s="33"/>
    </row>
    <row r="375" spans="1:24" x14ac:dyDescent="0.25">
      <c r="A375" s="29" t="str">
        <f t="shared" si="36"/>
        <v/>
      </c>
      <c r="B375" s="30"/>
      <c r="C375" s="30"/>
      <c r="D375" s="31"/>
      <c r="E375" s="10"/>
      <c r="F375" s="32" t="str">
        <f>IF($D375="","",$D375+IF($E375="",'01. CONFIGURAÇÕES'!$C$22,$E375))</f>
        <v/>
      </c>
      <c r="G375" s="30"/>
      <c r="H375" s="33"/>
      <c r="I375" s="33"/>
      <c r="J375" s="30"/>
      <c r="K375" s="33"/>
      <c r="L375" s="30"/>
      <c r="M375" s="33"/>
      <c r="N375" s="30"/>
      <c r="O375" s="33"/>
      <c r="P375" s="34" t="str">
        <f t="shared" si="37"/>
        <v/>
      </c>
      <c r="Q375" s="35" t="str">
        <f t="shared" si="38"/>
        <v/>
      </c>
      <c r="R375" s="35" t="str">
        <f t="shared" si="42"/>
        <v/>
      </c>
      <c r="S375" s="29" t="str">
        <f t="shared" si="39"/>
        <v/>
      </c>
      <c r="T375" s="13" t="str">
        <f t="shared" ca="1" si="40"/>
        <v/>
      </c>
      <c r="U375" s="29" t="str">
        <f ca="1">IF(OR($A375="",$F375=""),"",IF($R375&lt;&gt;"",IF($R375&lt;=$F375,"NO PRAZO","FORA DO PRAZO"),IF(TODAY()&gt;$F375,"VENCIDO",IF($F375-TODAY()&lt;='01. CONFIGURAÇÕES'!$C$23,"VENCE EM BREVE","EM DIA"))))</f>
        <v/>
      </c>
      <c r="V375" s="55" t="str">
        <f t="shared" si="41"/>
        <v/>
      </c>
      <c r="W375" s="30"/>
      <c r="X375" s="33"/>
    </row>
    <row r="376" spans="1:24" x14ac:dyDescent="0.25">
      <c r="A376" s="29" t="str">
        <f t="shared" si="36"/>
        <v/>
      </c>
      <c r="B376" s="30"/>
      <c r="C376" s="30"/>
      <c r="D376" s="31"/>
      <c r="E376" s="10"/>
      <c r="F376" s="32" t="str">
        <f>IF($D376="","",$D376+IF($E376="",'01. CONFIGURAÇÕES'!$C$22,$E376))</f>
        <v/>
      </c>
      <c r="G376" s="30"/>
      <c r="H376" s="33"/>
      <c r="I376" s="33"/>
      <c r="J376" s="30"/>
      <c r="K376" s="33"/>
      <c r="L376" s="30"/>
      <c r="M376" s="33"/>
      <c r="N376" s="30"/>
      <c r="O376" s="33"/>
      <c r="P376" s="34" t="str">
        <f t="shared" si="37"/>
        <v/>
      </c>
      <c r="Q376" s="35" t="str">
        <f t="shared" si="38"/>
        <v/>
      </c>
      <c r="R376" s="35" t="str">
        <f t="shared" si="42"/>
        <v/>
      </c>
      <c r="S376" s="29" t="str">
        <f t="shared" si="39"/>
        <v/>
      </c>
      <c r="T376" s="13" t="str">
        <f t="shared" ca="1" si="40"/>
        <v/>
      </c>
      <c r="U376" s="29" t="str">
        <f ca="1">IF(OR($A376="",$F376=""),"",IF($R376&lt;&gt;"",IF($R376&lt;=$F376,"NO PRAZO","FORA DO PRAZO"),IF(TODAY()&gt;$F376,"VENCIDO",IF($F376-TODAY()&lt;='01. CONFIGURAÇÕES'!$C$23,"VENCE EM BREVE","EM DIA"))))</f>
        <v/>
      </c>
      <c r="V376" s="55" t="str">
        <f t="shared" si="41"/>
        <v/>
      </c>
      <c r="W376" s="30"/>
      <c r="X376" s="33"/>
    </row>
    <row r="377" spans="1:24" x14ac:dyDescent="0.25">
      <c r="A377" s="29" t="str">
        <f t="shared" si="36"/>
        <v/>
      </c>
      <c r="B377" s="30"/>
      <c r="C377" s="30"/>
      <c r="D377" s="31"/>
      <c r="E377" s="10"/>
      <c r="F377" s="32" t="str">
        <f>IF($D377="","",$D377+IF($E377="",'01. CONFIGURAÇÕES'!$C$22,$E377))</f>
        <v/>
      </c>
      <c r="G377" s="30"/>
      <c r="H377" s="33"/>
      <c r="I377" s="33"/>
      <c r="J377" s="30"/>
      <c r="K377" s="33"/>
      <c r="L377" s="30"/>
      <c r="M377" s="33"/>
      <c r="N377" s="30"/>
      <c r="O377" s="33"/>
      <c r="P377" s="34" t="str">
        <f t="shared" si="37"/>
        <v/>
      </c>
      <c r="Q377" s="35" t="str">
        <f t="shared" si="38"/>
        <v/>
      </c>
      <c r="R377" s="35" t="str">
        <f t="shared" si="42"/>
        <v/>
      </c>
      <c r="S377" s="29" t="str">
        <f t="shared" si="39"/>
        <v/>
      </c>
      <c r="T377" s="13" t="str">
        <f t="shared" ca="1" si="40"/>
        <v/>
      </c>
      <c r="U377" s="29" t="str">
        <f ca="1">IF(OR($A377="",$F377=""),"",IF($R377&lt;&gt;"",IF($R377&lt;=$F377,"NO PRAZO","FORA DO PRAZO"),IF(TODAY()&gt;$F377,"VENCIDO",IF($F377-TODAY()&lt;='01. CONFIGURAÇÕES'!$C$23,"VENCE EM BREVE","EM DIA"))))</f>
        <v/>
      </c>
      <c r="V377" s="55" t="str">
        <f t="shared" si="41"/>
        <v/>
      </c>
      <c r="W377" s="30"/>
      <c r="X377" s="33"/>
    </row>
    <row r="378" spans="1:24" x14ac:dyDescent="0.25">
      <c r="A378" s="29" t="str">
        <f t="shared" si="36"/>
        <v/>
      </c>
      <c r="B378" s="30"/>
      <c r="C378" s="30"/>
      <c r="D378" s="31"/>
      <c r="E378" s="10"/>
      <c r="F378" s="32" t="str">
        <f>IF($D378="","",$D378+IF($E378="",'01. CONFIGURAÇÕES'!$C$22,$E378))</f>
        <v/>
      </c>
      <c r="G378" s="30"/>
      <c r="H378" s="33"/>
      <c r="I378" s="33"/>
      <c r="J378" s="30"/>
      <c r="K378" s="33"/>
      <c r="L378" s="30"/>
      <c r="M378" s="33"/>
      <c r="N378" s="30"/>
      <c r="O378" s="33"/>
      <c r="P378" s="34" t="str">
        <f t="shared" si="37"/>
        <v/>
      </c>
      <c r="Q378" s="35" t="str">
        <f t="shared" si="38"/>
        <v/>
      </c>
      <c r="R378" s="35" t="str">
        <f t="shared" si="42"/>
        <v/>
      </c>
      <c r="S378" s="29" t="str">
        <f t="shared" si="39"/>
        <v/>
      </c>
      <c r="T378" s="13" t="str">
        <f t="shared" ca="1" si="40"/>
        <v/>
      </c>
      <c r="U378" s="29" t="str">
        <f ca="1">IF(OR($A378="",$F378=""),"",IF($R378&lt;&gt;"",IF($R378&lt;=$F378,"NO PRAZO","FORA DO PRAZO"),IF(TODAY()&gt;$F378,"VENCIDO",IF($F378-TODAY()&lt;='01. CONFIGURAÇÕES'!$C$23,"VENCE EM BREVE","EM DIA"))))</f>
        <v/>
      </c>
      <c r="V378" s="55" t="str">
        <f t="shared" si="41"/>
        <v/>
      </c>
      <c r="W378" s="30"/>
      <c r="X378" s="33"/>
    </row>
    <row r="379" spans="1:24" x14ac:dyDescent="0.25">
      <c r="A379" s="29" t="str">
        <f t="shared" si="36"/>
        <v/>
      </c>
      <c r="B379" s="30"/>
      <c r="C379" s="30"/>
      <c r="D379" s="31"/>
      <c r="E379" s="10"/>
      <c r="F379" s="32" t="str">
        <f>IF($D379="","",$D379+IF($E379="",'01. CONFIGURAÇÕES'!$C$22,$E379))</f>
        <v/>
      </c>
      <c r="G379" s="30"/>
      <c r="H379" s="33"/>
      <c r="I379" s="33"/>
      <c r="J379" s="30"/>
      <c r="K379" s="33"/>
      <c r="L379" s="30"/>
      <c r="M379" s="33"/>
      <c r="N379" s="30"/>
      <c r="O379" s="33"/>
      <c r="P379" s="34" t="str">
        <f t="shared" si="37"/>
        <v/>
      </c>
      <c r="Q379" s="35" t="str">
        <f t="shared" si="38"/>
        <v/>
      </c>
      <c r="R379" s="35" t="str">
        <f t="shared" si="42"/>
        <v/>
      </c>
      <c r="S379" s="29" t="str">
        <f t="shared" si="39"/>
        <v/>
      </c>
      <c r="T379" s="13" t="str">
        <f t="shared" ca="1" si="40"/>
        <v/>
      </c>
      <c r="U379" s="29" t="str">
        <f ca="1">IF(OR($A379="",$F379=""),"",IF($R379&lt;&gt;"",IF($R379&lt;=$F379,"NO PRAZO","FORA DO PRAZO"),IF(TODAY()&gt;$F379,"VENCIDO",IF($F379-TODAY()&lt;='01. CONFIGURAÇÕES'!$C$23,"VENCE EM BREVE","EM DIA"))))</f>
        <v/>
      </c>
      <c r="V379" s="55" t="str">
        <f t="shared" si="41"/>
        <v/>
      </c>
      <c r="W379" s="30"/>
      <c r="X379" s="33"/>
    </row>
    <row r="380" spans="1:24" x14ac:dyDescent="0.25">
      <c r="A380" s="29" t="str">
        <f t="shared" si="36"/>
        <v/>
      </c>
      <c r="B380" s="30"/>
      <c r="C380" s="30"/>
      <c r="D380" s="31"/>
      <c r="E380" s="10"/>
      <c r="F380" s="32" t="str">
        <f>IF($D380="","",$D380+IF($E380="",'01. CONFIGURAÇÕES'!$C$22,$E380))</f>
        <v/>
      </c>
      <c r="G380" s="30"/>
      <c r="H380" s="33"/>
      <c r="I380" s="33"/>
      <c r="J380" s="30"/>
      <c r="K380" s="33"/>
      <c r="L380" s="30"/>
      <c r="M380" s="33"/>
      <c r="N380" s="30"/>
      <c r="O380" s="33"/>
      <c r="P380" s="34" t="str">
        <f t="shared" si="37"/>
        <v/>
      </c>
      <c r="Q380" s="35" t="str">
        <f t="shared" si="38"/>
        <v/>
      </c>
      <c r="R380" s="35" t="str">
        <f t="shared" si="42"/>
        <v/>
      </c>
      <c r="S380" s="29" t="str">
        <f t="shared" si="39"/>
        <v/>
      </c>
      <c r="T380" s="13" t="str">
        <f t="shared" ca="1" si="40"/>
        <v/>
      </c>
      <c r="U380" s="29" t="str">
        <f ca="1">IF(OR($A380="",$F380=""),"",IF($R380&lt;&gt;"",IF($R380&lt;=$F380,"NO PRAZO","FORA DO PRAZO"),IF(TODAY()&gt;$F380,"VENCIDO",IF($F380-TODAY()&lt;='01. CONFIGURAÇÕES'!$C$23,"VENCE EM BREVE","EM DIA"))))</f>
        <v/>
      </c>
      <c r="V380" s="55" t="str">
        <f t="shared" si="41"/>
        <v/>
      </c>
      <c r="W380" s="30"/>
      <c r="X380" s="33"/>
    </row>
    <row r="381" spans="1:24" x14ac:dyDescent="0.25">
      <c r="A381" s="29" t="str">
        <f t="shared" si="36"/>
        <v/>
      </c>
      <c r="B381" s="30"/>
      <c r="C381" s="30"/>
      <c r="D381" s="31"/>
      <c r="E381" s="10"/>
      <c r="F381" s="32" t="str">
        <f>IF($D381="","",$D381+IF($E381="",'01. CONFIGURAÇÕES'!$C$22,$E381))</f>
        <v/>
      </c>
      <c r="G381" s="30"/>
      <c r="H381" s="33"/>
      <c r="I381" s="33"/>
      <c r="J381" s="30"/>
      <c r="K381" s="33"/>
      <c r="L381" s="30"/>
      <c r="M381" s="33"/>
      <c r="N381" s="30"/>
      <c r="O381" s="33"/>
      <c r="P381" s="34" t="str">
        <f t="shared" si="37"/>
        <v/>
      </c>
      <c r="Q381" s="35" t="str">
        <f t="shared" si="38"/>
        <v/>
      </c>
      <c r="R381" s="35" t="str">
        <f t="shared" si="42"/>
        <v/>
      </c>
      <c r="S381" s="29" t="str">
        <f t="shared" si="39"/>
        <v/>
      </c>
      <c r="T381" s="13" t="str">
        <f t="shared" ca="1" si="40"/>
        <v/>
      </c>
      <c r="U381" s="29" t="str">
        <f ca="1">IF(OR($A381="",$F381=""),"",IF($R381&lt;&gt;"",IF($R381&lt;=$F381,"NO PRAZO","FORA DO PRAZO"),IF(TODAY()&gt;$F381,"VENCIDO",IF($F381-TODAY()&lt;='01. CONFIGURAÇÕES'!$C$23,"VENCE EM BREVE","EM DIA"))))</f>
        <v/>
      </c>
      <c r="V381" s="55" t="str">
        <f t="shared" si="41"/>
        <v/>
      </c>
      <c r="W381" s="30"/>
      <c r="X381" s="33"/>
    </row>
    <row r="382" spans="1:24" x14ac:dyDescent="0.25">
      <c r="A382" s="29" t="str">
        <f t="shared" si="36"/>
        <v/>
      </c>
      <c r="B382" s="30"/>
      <c r="C382" s="30"/>
      <c r="D382" s="31"/>
      <c r="E382" s="10"/>
      <c r="F382" s="32" t="str">
        <f>IF($D382="","",$D382+IF($E382="",'01. CONFIGURAÇÕES'!$C$22,$E382))</f>
        <v/>
      </c>
      <c r="G382" s="30"/>
      <c r="H382" s="33"/>
      <c r="I382" s="33"/>
      <c r="J382" s="30"/>
      <c r="K382" s="33"/>
      <c r="L382" s="30"/>
      <c r="M382" s="33"/>
      <c r="N382" s="30"/>
      <c r="O382" s="33"/>
      <c r="P382" s="34" t="str">
        <f t="shared" si="37"/>
        <v/>
      </c>
      <c r="Q382" s="35" t="str">
        <f t="shared" si="38"/>
        <v/>
      </c>
      <c r="R382" s="35" t="str">
        <f t="shared" si="42"/>
        <v/>
      </c>
      <c r="S382" s="29" t="str">
        <f t="shared" si="39"/>
        <v/>
      </c>
      <c r="T382" s="13" t="str">
        <f t="shared" ca="1" si="40"/>
        <v/>
      </c>
      <c r="U382" s="29" t="str">
        <f ca="1">IF(OR($A382="",$F382=""),"",IF($R382&lt;&gt;"",IF($R382&lt;=$F382,"NO PRAZO","FORA DO PRAZO"),IF(TODAY()&gt;$F382,"VENCIDO",IF($F382-TODAY()&lt;='01. CONFIGURAÇÕES'!$C$23,"VENCE EM BREVE","EM DIA"))))</f>
        <v/>
      </c>
      <c r="V382" s="55" t="str">
        <f t="shared" si="41"/>
        <v/>
      </c>
      <c r="W382" s="30"/>
      <c r="X382" s="33"/>
    </row>
    <row r="383" spans="1:24" x14ac:dyDescent="0.25">
      <c r="A383" s="29" t="str">
        <f t="shared" si="36"/>
        <v/>
      </c>
      <c r="B383" s="30"/>
      <c r="C383" s="30"/>
      <c r="D383" s="31"/>
      <c r="E383" s="10"/>
      <c r="F383" s="32" t="str">
        <f>IF($D383="","",$D383+IF($E383="",'01. CONFIGURAÇÕES'!$C$22,$E383))</f>
        <v/>
      </c>
      <c r="G383" s="30"/>
      <c r="H383" s="33"/>
      <c r="I383" s="33"/>
      <c r="J383" s="30"/>
      <c r="K383" s="33"/>
      <c r="L383" s="30"/>
      <c r="M383" s="33"/>
      <c r="N383" s="30"/>
      <c r="O383" s="33"/>
      <c r="P383" s="34" t="str">
        <f t="shared" si="37"/>
        <v/>
      </c>
      <c r="Q383" s="35" t="str">
        <f t="shared" si="38"/>
        <v/>
      </c>
      <c r="R383" s="35" t="str">
        <f t="shared" si="42"/>
        <v/>
      </c>
      <c r="S383" s="29" t="str">
        <f t="shared" si="39"/>
        <v/>
      </c>
      <c r="T383" s="13" t="str">
        <f t="shared" ca="1" si="40"/>
        <v/>
      </c>
      <c r="U383" s="29" t="str">
        <f ca="1">IF(OR($A383="",$F383=""),"",IF($R383&lt;&gt;"",IF($R383&lt;=$F383,"NO PRAZO","FORA DO PRAZO"),IF(TODAY()&gt;$F383,"VENCIDO",IF($F383-TODAY()&lt;='01. CONFIGURAÇÕES'!$C$23,"VENCE EM BREVE","EM DIA"))))</f>
        <v/>
      </c>
      <c r="V383" s="55" t="str">
        <f t="shared" si="41"/>
        <v/>
      </c>
      <c r="W383" s="30"/>
      <c r="X383" s="33"/>
    </row>
    <row r="384" spans="1:24" x14ac:dyDescent="0.25">
      <c r="A384" s="29" t="str">
        <f t="shared" si="36"/>
        <v/>
      </c>
      <c r="B384" s="30"/>
      <c r="C384" s="30"/>
      <c r="D384" s="31"/>
      <c r="E384" s="10"/>
      <c r="F384" s="32" t="str">
        <f>IF($D384="","",$D384+IF($E384="",'01. CONFIGURAÇÕES'!$C$22,$E384))</f>
        <v/>
      </c>
      <c r="G384" s="30"/>
      <c r="H384" s="33"/>
      <c r="I384" s="33"/>
      <c r="J384" s="30"/>
      <c r="K384" s="33"/>
      <c r="L384" s="30"/>
      <c r="M384" s="33"/>
      <c r="N384" s="30"/>
      <c r="O384" s="33"/>
      <c r="P384" s="34" t="str">
        <f t="shared" si="37"/>
        <v/>
      </c>
      <c r="Q384" s="35" t="str">
        <f t="shared" si="38"/>
        <v/>
      </c>
      <c r="R384" s="35" t="str">
        <f t="shared" si="42"/>
        <v/>
      </c>
      <c r="S384" s="29" t="str">
        <f t="shared" si="39"/>
        <v/>
      </c>
      <c r="T384" s="13" t="str">
        <f t="shared" ca="1" si="40"/>
        <v/>
      </c>
      <c r="U384" s="29" t="str">
        <f ca="1">IF(OR($A384="",$F384=""),"",IF($R384&lt;&gt;"",IF($R384&lt;=$F384,"NO PRAZO","FORA DO PRAZO"),IF(TODAY()&gt;$F384,"VENCIDO",IF($F384-TODAY()&lt;='01. CONFIGURAÇÕES'!$C$23,"VENCE EM BREVE","EM DIA"))))</f>
        <v/>
      </c>
      <c r="V384" s="55" t="str">
        <f t="shared" si="41"/>
        <v/>
      </c>
      <c r="W384" s="30"/>
      <c r="X384" s="33"/>
    </row>
    <row r="385" spans="1:24" x14ac:dyDescent="0.25">
      <c r="A385" s="29" t="str">
        <f t="shared" si="36"/>
        <v/>
      </c>
      <c r="B385" s="30"/>
      <c r="C385" s="30"/>
      <c r="D385" s="31"/>
      <c r="E385" s="10"/>
      <c r="F385" s="32" t="str">
        <f>IF($D385="","",$D385+IF($E385="",'01. CONFIGURAÇÕES'!$C$22,$E385))</f>
        <v/>
      </c>
      <c r="G385" s="30"/>
      <c r="H385" s="33"/>
      <c r="I385" s="33"/>
      <c r="J385" s="30"/>
      <c r="K385" s="33"/>
      <c r="L385" s="30"/>
      <c r="M385" s="33"/>
      <c r="N385" s="30"/>
      <c r="O385" s="33"/>
      <c r="P385" s="34" t="str">
        <f t="shared" si="37"/>
        <v/>
      </c>
      <c r="Q385" s="35" t="str">
        <f t="shared" si="38"/>
        <v/>
      </c>
      <c r="R385" s="35" t="str">
        <f t="shared" si="42"/>
        <v/>
      </c>
      <c r="S385" s="29" t="str">
        <f t="shared" si="39"/>
        <v/>
      </c>
      <c r="T385" s="13" t="str">
        <f t="shared" ca="1" si="40"/>
        <v/>
      </c>
      <c r="U385" s="29" t="str">
        <f ca="1">IF(OR($A385="",$F385=""),"",IF($R385&lt;&gt;"",IF($R385&lt;=$F385,"NO PRAZO","FORA DO PRAZO"),IF(TODAY()&gt;$F385,"VENCIDO",IF($F385-TODAY()&lt;='01. CONFIGURAÇÕES'!$C$23,"VENCE EM BREVE","EM DIA"))))</f>
        <v/>
      </c>
      <c r="V385" s="55" t="str">
        <f t="shared" si="41"/>
        <v/>
      </c>
      <c r="W385" s="30"/>
      <c r="X385" s="33"/>
    </row>
    <row r="386" spans="1:24" x14ac:dyDescent="0.25">
      <c r="A386" s="29" t="str">
        <f t="shared" si="36"/>
        <v/>
      </c>
      <c r="B386" s="30"/>
      <c r="C386" s="30"/>
      <c r="D386" s="31"/>
      <c r="E386" s="10"/>
      <c r="F386" s="32" t="str">
        <f>IF($D386="","",$D386+IF($E386="",'01. CONFIGURAÇÕES'!$C$22,$E386))</f>
        <v/>
      </c>
      <c r="G386" s="30"/>
      <c r="H386" s="33"/>
      <c r="I386" s="33"/>
      <c r="J386" s="30"/>
      <c r="K386" s="33"/>
      <c r="L386" s="30"/>
      <c r="M386" s="33"/>
      <c r="N386" s="30"/>
      <c r="O386" s="33"/>
      <c r="P386" s="34" t="str">
        <f t="shared" si="37"/>
        <v/>
      </c>
      <c r="Q386" s="35" t="str">
        <f t="shared" si="38"/>
        <v/>
      </c>
      <c r="R386" s="35" t="str">
        <f t="shared" si="42"/>
        <v/>
      </c>
      <c r="S386" s="29" t="str">
        <f t="shared" si="39"/>
        <v/>
      </c>
      <c r="T386" s="13" t="str">
        <f t="shared" ca="1" si="40"/>
        <v/>
      </c>
      <c r="U386" s="29" t="str">
        <f ca="1">IF(OR($A386="",$F386=""),"",IF($R386&lt;&gt;"",IF($R386&lt;=$F386,"NO PRAZO","FORA DO PRAZO"),IF(TODAY()&gt;$F386,"VENCIDO",IF($F386-TODAY()&lt;='01. CONFIGURAÇÕES'!$C$23,"VENCE EM BREVE","EM DIA"))))</f>
        <v/>
      </c>
      <c r="V386" s="55" t="str">
        <f t="shared" si="41"/>
        <v/>
      </c>
      <c r="W386" s="30"/>
      <c r="X386" s="33"/>
    </row>
    <row r="387" spans="1:24" x14ac:dyDescent="0.25">
      <c r="A387" s="29" t="str">
        <f t="shared" si="36"/>
        <v/>
      </c>
      <c r="B387" s="30"/>
      <c r="C387" s="30"/>
      <c r="D387" s="31"/>
      <c r="E387" s="10"/>
      <c r="F387" s="32" t="str">
        <f>IF($D387="","",$D387+IF($E387="",'01. CONFIGURAÇÕES'!$C$22,$E387))</f>
        <v/>
      </c>
      <c r="G387" s="30"/>
      <c r="H387" s="33"/>
      <c r="I387" s="33"/>
      <c r="J387" s="30"/>
      <c r="K387" s="33"/>
      <c r="L387" s="30"/>
      <c r="M387" s="33"/>
      <c r="N387" s="30"/>
      <c r="O387" s="33"/>
      <c r="P387" s="34" t="str">
        <f t="shared" si="37"/>
        <v/>
      </c>
      <c r="Q387" s="35" t="str">
        <f t="shared" si="38"/>
        <v/>
      </c>
      <c r="R387" s="35" t="str">
        <f t="shared" si="42"/>
        <v/>
      </c>
      <c r="S387" s="29" t="str">
        <f t="shared" si="39"/>
        <v/>
      </c>
      <c r="T387" s="13" t="str">
        <f t="shared" ca="1" si="40"/>
        <v/>
      </c>
      <c r="U387" s="29" t="str">
        <f ca="1">IF(OR($A387="",$F387=""),"",IF($R387&lt;&gt;"",IF($R387&lt;=$F387,"NO PRAZO","FORA DO PRAZO"),IF(TODAY()&gt;$F387,"VENCIDO",IF($F387-TODAY()&lt;='01. CONFIGURAÇÕES'!$C$23,"VENCE EM BREVE","EM DIA"))))</f>
        <v/>
      </c>
      <c r="V387" s="55" t="str">
        <f t="shared" si="41"/>
        <v/>
      </c>
      <c r="W387" s="30"/>
      <c r="X387" s="33"/>
    </row>
    <row r="388" spans="1:24" x14ac:dyDescent="0.25">
      <c r="A388" s="29" t="str">
        <f t="shared" si="36"/>
        <v/>
      </c>
      <c r="B388" s="30"/>
      <c r="C388" s="30"/>
      <c r="D388" s="31"/>
      <c r="E388" s="10"/>
      <c r="F388" s="32" t="str">
        <f>IF($D388="","",$D388+IF($E388="",'01. CONFIGURAÇÕES'!$C$22,$E388))</f>
        <v/>
      </c>
      <c r="G388" s="30"/>
      <c r="H388" s="33"/>
      <c r="I388" s="33"/>
      <c r="J388" s="30"/>
      <c r="K388" s="33"/>
      <c r="L388" s="30"/>
      <c r="M388" s="33"/>
      <c r="N388" s="30"/>
      <c r="O388" s="33"/>
      <c r="P388" s="34" t="str">
        <f t="shared" si="37"/>
        <v/>
      </c>
      <c r="Q388" s="35" t="str">
        <f t="shared" si="38"/>
        <v/>
      </c>
      <c r="R388" s="35" t="str">
        <f t="shared" si="42"/>
        <v/>
      </c>
      <c r="S388" s="29" t="str">
        <f t="shared" si="39"/>
        <v/>
      </c>
      <c r="T388" s="13" t="str">
        <f t="shared" ca="1" si="40"/>
        <v/>
      </c>
      <c r="U388" s="29" t="str">
        <f ca="1">IF(OR($A388="",$F388=""),"",IF($R388&lt;&gt;"",IF($R388&lt;=$F388,"NO PRAZO","FORA DO PRAZO"),IF(TODAY()&gt;$F388,"VENCIDO",IF($F388-TODAY()&lt;='01. CONFIGURAÇÕES'!$C$23,"VENCE EM BREVE","EM DIA"))))</f>
        <v/>
      </c>
      <c r="V388" s="55" t="str">
        <f t="shared" si="41"/>
        <v/>
      </c>
      <c r="W388" s="30"/>
      <c r="X388" s="33"/>
    </row>
    <row r="389" spans="1:24" x14ac:dyDescent="0.25">
      <c r="A389" s="29" t="str">
        <f t="shared" ref="A389:A452" si="43">IF($B389="","",LEFT($B389,3)&amp;"-"&amp;TEXT(ROW()-4,"0000"))</f>
        <v/>
      </c>
      <c r="B389" s="30"/>
      <c r="C389" s="30"/>
      <c r="D389" s="31"/>
      <c r="E389" s="10"/>
      <c r="F389" s="32" t="str">
        <f>IF($D389="","",$D389+IF($E389="",'01. CONFIGURAÇÕES'!$C$22,$E389))</f>
        <v/>
      </c>
      <c r="G389" s="30"/>
      <c r="H389" s="33"/>
      <c r="I389" s="33"/>
      <c r="J389" s="30"/>
      <c r="K389" s="33"/>
      <c r="L389" s="30"/>
      <c r="M389" s="33"/>
      <c r="N389" s="30"/>
      <c r="O389" s="33"/>
      <c r="P389" s="34" t="str">
        <f t="shared" ref="P389:P452" si="44">IFERROR(IF($A389="","",IF(COUNTIFS(OS_ID,$A389)&gt;0,INDEX(OS_EQUIPE,MATCH($A389,OS_ID,0)),IF(COUNTIFS(PROG_ID,$A389)&gt;0,INDEX(PROG_EQUIPE,MATCH($A389,PROG_ID,0)),""))),"")</f>
        <v/>
      </c>
      <c r="Q389" s="35" t="str">
        <f t="shared" ref="Q389:Q452" si="45">IF($A389="","",IFERROR(IF(INDEX(PROG_DATA,MATCH($A389,PROG_ID,0))=0,"",INDEX(PROG_DATA,MATCH($A389,PROG_ID,0))),""))</f>
        <v/>
      </c>
      <c r="R389" s="35" t="str">
        <f t="shared" si="42"/>
        <v/>
      </c>
      <c r="S389" s="29" t="str">
        <f t="shared" ref="S389:S452" si="46">IF($A389="","",IF($W389&lt;&gt;"",$W389,IF($V389&gt;0,"MEDIDO",IF($R389&lt;&gt;"","EXECUTADO",IF(COUNTIFS(OS_ID,$A389)&gt;0,"EM EXECUÇÃO",IF($Q389&lt;&gt;"","PROGRAMADO","CADASTRADO"))))))</f>
        <v/>
      </c>
      <c r="T389" s="13" t="str">
        <f t="shared" ref="T389:T452" ca="1" si="47">IF($A389="","",IF($R389&lt;&gt;"",$R389-$D389,TODAY()-$D389))</f>
        <v/>
      </c>
      <c r="U389" s="29" t="str">
        <f ca="1">IF(OR($A389="",$F389=""),"",IF($R389&lt;&gt;"",IF($R389&lt;=$F389,"NO PRAZO","FORA DO PRAZO"),IF(TODAY()&gt;$F389,"VENCIDO",IF($F389-TODAY()&lt;='01. CONFIGURAÇÕES'!$C$23,"VENCE EM BREVE","EM DIA"))))</f>
        <v/>
      </c>
      <c r="V389" s="55" t="str">
        <f t="shared" ref="V389:V452" si="48">IF($A389="","",SUMIFS(MED_VLR,MED_ID,$A389))</f>
        <v/>
      </c>
      <c r="W389" s="30"/>
      <c r="X389" s="33"/>
    </row>
    <row r="390" spans="1:24" x14ac:dyDescent="0.25">
      <c r="A390" s="29" t="str">
        <f t="shared" si="43"/>
        <v/>
      </c>
      <c r="B390" s="30"/>
      <c r="C390" s="30"/>
      <c r="D390" s="31"/>
      <c r="E390" s="10"/>
      <c r="F390" s="32" t="str">
        <f>IF($D390="","",$D390+IF($E390="",'01. CONFIGURAÇÕES'!$C$22,$E390))</f>
        <v/>
      </c>
      <c r="G390" s="30"/>
      <c r="H390" s="33"/>
      <c r="I390" s="33"/>
      <c r="J390" s="30"/>
      <c r="K390" s="33"/>
      <c r="L390" s="30"/>
      <c r="M390" s="33"/>
      <c r="N390" s="30"/>
      <c r="O390" s="33"/>
      <c r="P390" s="34" t="str">
        <f t="shared" si="44"/>
        <v/>
      </c>
      <c r="Q390" s="35" t="str">
        <f t="shared" si="45"/>
        <v/>
      </c>
      <c r="R390" s="35" t="str">
        <f t="shared" si="42"/>
        <v/>
      </c>
      <c r="S390" s="29" t="str">
        <f t="shared" si="46"/>
        <v/>
      </c>
      <c r="T390" s="13" t="str">
        <f t="shared" ca="1" si="47"/>
        <v/>
      </c>
      <c r="U390" s="29" t="str">
        <f ca="1">IF(OR($A390="",$F390=""),"",IF($R390&lt;&gt;"",IF($R390&lt;=$F390,"NO PRAZO","FORA DO PRAZO"),IF(TODAY()&gt;$F390,"VENCIDO",IF($F390-TODAY()&lt;='01. CONFIGURAÇÕES'!$C$23,"VENCE EM BREVE","EM DIA"))))</f>
        <v/>
      </c>
      <c r="V390" s="55" t="str">
        <f t="shared" si="48"/>
        <v/>
      </c>
      <c r="W390" s="30"/>
      <c r="X390" s="33"/>
    </row>
    <row r="391" spans="1:24" x14ac:dyDescent="0.25">
      <c r="A391" s="29" t="str">
        <f t="shared" si="43"/>
        <v/>
      </c>
      <c r="B391" s="30"/>
      <c r="C391" s="30"/>
      <c r="D391" s="31"/>
      <c r="E391" s="10"/>
      <c r="F391" s="32" t="str">
        <f>IF($D391="","",$D391+IF($E391="",'01. CONFIGURAÇÕES'!$C$22,$E391))</f>
        <v/>
      </c>
      <c r="G391" s="30"/>
      <c r="H391" s="33"/>
      <c r="I391" s="33"/>
      <c r="J391" s="30"/>
      <c r="K391" s="33"/>
      <c r="L391" s="30"/>
      <c r="M391" s="33"/>
      <c r="N391" s="30"/>
      <c r="O391" s="33"/>
      <c r="P391" s="34" t="str">
        <f t="shared" si="44"/>
        <v/>
      </c>
      <c r="Q391" s="35" t="str">
        <f t="shared" si="45"/>
        <v/>
      </c>
      <c r="R391" s="35" t="str">
        <f t="shared" si="42"/>
        <v/>
      </c>
      <c r="S391" s="29" t="str">
        <f t="shared" si="46"/>
        <v/>
      </c>
      <c r="T391" s="13" t="str">
        <f t="shared" ca="1" si="47"/>
        <v/>
      </c>
      <c r="U391" s="29" t="str">
        <f ca="1">IF(OR($A391="",$F391=""),"",IF($R391&lt;&gt;"",IF($R391&lt;=$F391,"NO PRAZO","FORA DO PRAZO"),IF(TODAY()&gt;$F391,"VENCIDO",IF($F391-TODAY()&lt;='01. CONFIGURAÇÕES'!$C$23,"VENCE EM BREVE","EM DIA"))))</f>
        <v/>
      </c>
      <c r="V391" s="55" t="str">
        <f t="shared" si="48"/>
        <v/>
      </c>
      <c r="W391" s="30"/>
      <c r="X391" s="33"/>
    </row>
    <row r="392" spans="1:24" x14ac:dyDescent="0.25">
      <c r="A392" s="29" t="str">
        <f t="shared" si="43"/>
        <v/>
      </c>
      <c r="B392" s="30"/>
      <c r="C392" s="30"/>
      <c r="D392" s="31"/>
      <c r="E392" s="10"/>
      <c r="F392" s="32" t="str">
        <f>IF($D392="","",$D392+IF($E392="",'01. CONFIGURAÇÕES'!$C$22,$E392))</f>
        <v/>
      </c>
      <c r="G392" s="30"/>
      <c r="H392" s="33"/>
      <c r="I392" s="33"/>
      <c r="J392" s="30"/>
      <c r="K392" s="33"/>
      <c r="L392" s="30"/>
      <c r="M392" s="33"/>
      <c r="N392" s="30"/>
      <c r="O392" s="33"/>
      <c r="P392" s="34" t="str">
        <f t="shared" si="44"/>
        <v/>
      </c>
      <c r="Q392" s="35" t="str">
        <f t="shared" si="45"/>
        <v/>
      </c>
      <c r="R392" s="35" t="str">
        <f t="shared" si="42"/>
        <v/>
      </c>
      <c r="S392" s="29" t="str">
        <f t="shared" si="46"/>
        <v/>
      </c>
      <c r="T392" s="13" t="str">
        <f t="shared" ca="1" si="47"/>
        <v/>
      </c>
      <c r="U392" s="29" t="str">
        <f ca="1">IF(OR($A392="",$F392=""),"",IF($R392&lt;&gt;"",IF($R392&lt;=$F392,"NO PRAZO","FORA DO PRAZO"),IF(TODAY()&gt;$F392,"VENCIDO",IF($F392-TODAY()&lt;='01. CONFIGURAÇÕES'!$C$23,"VENCE EM BREVE","EM DIA"))))</f>
        <v/>
      </c>
      <c r="V392" s="55" t="str">
        <f t="shared" si="48"/>
        <v/>
      </c>
      <c r="W392" s="30"/>
      <c r="X392" s="33"/>
    </row>
    <row r="393" spans="1:24" x14ac:dyDescent="0.25">
      <c r="A393" s="29" t="str">
        <f t="shared" si="43"/>
        <v/>
      </c>
      <c r="B393" s="30"/>
      <c r="C393" s="30"/>
      <c r="D393" s="31"/>
      <c r="E393" s="10"/>
      <c r="F393" s="32" t="str">
        <f>IF($D393="","",$D393+IF($E393="",'01. CONFIGURAÇÕES'!$C$22,$E393))</f>
        <v/>
      </c>
      <c r="G393" s="30"/>
      <c r="H393" s="33"/>
      <c r="I393" s="33"/>
      <c r="J393" s="30"/>
      <c r="K393" s="33"/>
      <c r="L393" s="30"/>
      <c r="M393" s="33"/>
      <c r="N393" s="30"/>
      <c r="O393" s="33"/>
      <c r="P393" s="34" t="str">
        <f t="shared" si="44"/>
        <v/>
      </c>
      <c r="Q393" s="35" t="str">
        <f t="shared" si="45"/>
        <v/>
      </c>
      <c r="R393" s="35" t="str">
        <f t="shared" si="42"/>
        <v/>
      </c>
      <c r="S393" s="29" t="str">
        <f t="shared" si="46"/>
        <v/>
      </c>
      <c r="T393" s="13" t="str">
        <f t="shared" ca="1" si="47"/>
        <v/>
      </c>
      <c r="U393" s="29" t="str">
        <f ca="1">IF(OR($A393="",$F393=""),"",IF($R393&lt;&gt;"",IF($R393&lt;=$F393,"NO PRAZO","FORA DO PRAZO"),IF(TODAY()&gt;$F393,"VENCIDO",IF($F393-TODAY()&lt;='01. CONFIGURAÇÕES'!$C$23,"VENCE EM BREVE","EM DIA"))))</f>
        <v/>
      </c>
      <c r="V393" s="55" t="str">
        <f t="shared" si="48"/>
        <v/>
      </c>
      <c r="W393" s="30"/>
      <c r="X393" s="33"/>
    </row>
    <row r="394" spans="1:24" x14ac:dyDescent="0.25">
      <c r="A394" s="29" t="str">
        <f t="shared" si="43"/>
        <v/>
      </c>
      <c r="B394" s="30"/>
      <c r="C394" s="30"/>
      <c r="D394" s="31"/>
      <c r="E394" s="10"/>
      <c r="F394" s="32" t="str">
        <f>IF($D394="","",$D394+IF($E394="",'01. CONFIGURAÇÕES'!$C$22,$E394))</f>
        <v/>
      </c>
      <c r="G394" s="30"/>
      <c r="H394" s="33"/>
      <c r="I394" s="33"/>
      <c r="J394" s="30"/>
      <c r="K394" s="33"/>
      <c r="L394" s="30"/>
      <c r="M394" s="33"/>
      <c r="N394" s="30"/>
      <c r="O394" s="33"/>
      <c r="P394" s="34" t="str">
        <f t="shared" si="44"/>
        <v/>
      </c>
      <c r="Q394" s="35" t="str">
        <f t="shared" si="45"/>
        <v/>
      </c>
      <c r="R394" s="35" t="str">
        <f t="shared" si="42"/>
        <v/>
      </c>
      <c r="S394" s="29" t="str">
        <f t="shared" si="46"/>
        <v/>
      </c>
      <c r="T394" s="13" t="str">
        <f t="shared" ca="1" si="47"/>
        <v/>
      </c>
      <c r="U394" s="29" t="str">
        <f ca="1">IF(OR($A394="",$F394=""),"",IF($R394&lt;&gt;"",IF($R394&lt;=$F394,"NO PRAZO","FORA DO PRAZO"),IF(TODAY()&gt;$F394,"VENCIDO",IF($F394-TODAY()&lt;='01. CONFIGURAÇÕES'!$C$23,"VENCE EM BREVE","EM DIA"))))</f>
        <v/>
      </c>
      <c r="V394" s="55" t="str">
        <f t="shared" si="48"/>
        <v/>
      </c>
      <c r="W394" s="30"/>
      <c r="X394" s="33"/>
    </row>
    <row r="395" spans="1:24" x14ac:dyDescent="0.25">
      <c r="A395" s="29" t="str">
        <f t="shared" si="43"/>
        <v/>
      </c>
      <c r="B395" s="30"/>
      <c r="C395" s="30"/>
      <c r="D395" s="31"/>
      <c r="E395" s="10"/>
      <c r="F395" s="32" t="str">
        <f>IF($D395="","",$D395+IF($E395="",'01. CONFIGURAÇÕES'!$C$22,$E395))</f>
        <v/>
      </c>
      <c r="G395" s="30"/>
      <c r="H395" s="33"/>
      <c r="I395" s="33"/>
      <c r="J395" s="30"/>
      <c r="K395" s="33"/>
      <c r="L395" s="30"/>
      <c r="M395" s="33"/>
      <c r="N395" s="30"/>
      <c r="O395" s="33"/>
      <c r="P395" s="34" t="str">
        <f t="shared" si="44"/>
        <v/>
      </c>
      <c r="Q395" s="35" t="str">
        <f t="shared" si="45"/>
        <v/>
      </c>
      <c r="R395" s="35" t="str">
        <f t="shared" si="42"/>
        <v/>
      </c>
      <c r="S395" s="29" t="str">
        <f t="shared" si="46"/>
        <v/>
      </c>
      <c r="T395" s="13" t="str">
        <f t="shared" ca="1" si="47"/>
        <v/>
      </c>
      <c r="U395" s="29" t="str">
        <f ca="1">IF(OR($A395="",$F395=""),"",IF($R395&lt;&gt;"",IF($R395&lt;=$F395,"NO PRAZO","FORA DO PRAZO"),IF(TODAY()&gt;$F395,"VENCIDO",IF($F395-TODAY()&lt;='01. CONFIGURAÇÕES'!$C$23,"VENCE EM BREVE","EM DIA"))))</f>
        <v/>
      </c>
      <c r="V395" s="55" t="str">
        <f t="shared" si="48"/>
        <v/>
      </c>
      <c r="W395" s="30"/>
      <c r="X395" s="33"/>
    </row>
    <row r="396" spans="1:24" x14ac:dyDescent="0.25">
      <c r="A396" s="29" t="str">
        <f t="shared" si="43"/>
        <v/>
      </c>
      <c r="B396" s="30"/>
      <c r="C396" s="30"/>
      <c r="D396" s="31"/>
      <c r="E396" s="10"/>
      <c r="F396" s="32" t="str">
        <f>IF($D396="","",$D396+IF($E396="",'01. CONFIGURAÇÕES'!$C$22,$E396))</f>
        <v/>
      </c>
      <c r="G396" s="30"/>
      <c r="H396" s="33"/>
      <c r="I396" s="33"/>
      <c r="J396" s="30"/>
      <c r="K396" s="33"/>
      <c r="L396" s="30"/>
      <c r="M396" s="33"/>
      <c r="N396" s="30"/>
      <c r="O396" s="33"/>
      <c r="P396" s="34" t="str">
        <f t="shared" si="44"/>
        <v/>
      </c>
      <c r="Q396" s="35" t="str">
        <f t="shared" si="45"/>
        <v/>
      </c>
      <c r="R396" s="35" t="str">
        <f t="shared" si="42"/>
        <v/>
      </c>
      <c r="S396" s="29" t="str">
        <f t="shared" si="46"/>
        <v/>
      </c>
      <c r="T396" s="13" t="str">
        <f t="shared" ca="1" si="47"/>
        <v/>
      </c>
      <c r="U396" s="29" t="str">
        <f ca="1">IF(OR($A396="",$F396=""),"",IF($R396&lt;&gt;"",IF($R396&lt;=$F396,"NO PRAZO","FORA DO PRAZO"),IF(TODAY()&gt;$F396,"VENCIDO",IF($F396-TODAY()&lt;='01. CONFIGURAÇÕES'!$C$23,"VENCE EM BREVE","EM DIA"))))</f>
        <v/>
      </c>
      <c r="V396" s="55" t="str">
        <f t="shared" si="48"/>
        <v/>
      </c>
      <c r="W396" s="30"/>
      <c r="X396" s="33"/>
    </row>
    <row r="397" spans="1:24" x14ac:dyDescent="0.25">
      <c r="A397" s="29" t="str">
        <f t="shared" si="43"/>
        <v/>
      </c>
      <c r="B397" s="30"/>
      <c r="C397" s="30"/>
      <c r="D397" s="31"/>
      <c r="E397" s="10"/>
      <c r="F397" s="32" t="str">
        <f>IF($D397="","",$D397+IF($E397="",'01. CONFIGURAÇÕES'!$C$22,$E397))</f>
        <v/>
      </c>
      <c r="G397" s="30"/>
      <c r="H397" s="33"/>
      <c r="I397" s="33"/>
      <c r="J397" s="30"/>
      <c r="K397" s="33"/>
      <c r="L397" s="30"/>
      <c r="M397" s="33"/>
      <c r="N397" s="30"/>
      <c r="O397" s="33"/>
      <c r="P397" s="34" t="str">
        <f t="shared" si="44"/>
        <v/>
      </c>
      <c r="Q397" s="35" t="str">
        <f t="shared" si="45"/>
        <v/>
      </c>
      <c r="R397" s="35" t="str">
        <f t="shared" si="42"/>
        <v/>
      </c>
      <c r="S397" s="29" t="str">
        <f t="shared" si="46"/>
        <v/>
      </c>
      <c r="T397" s="13" t="str">
        <f t="shared" ca="1" si="47"/>
        <v/>
      </c>
      <c r="U397" s="29" t="str">
        <f ca="1">IF(OR($A397="",$F397=""),"",IF($R397&lt;&gt;"",IF($R397&lt;=$F397,"NO PRAZO","FORA DO PRAZO"),IF(TODAY()&gt;$F397,"VENCIDO",IF($F397-TODAY()&lt;='01. CONFIGURAÇÕES'!$C$23,"VENCE EM BREVE","EM DIA"))))</f>
        <v/>
      </c>
      <c r="V397" s="55" t="str">
        <f t="shared" si="48"/>
        <v/>
      </c>
      <c r="W397" s="30"/>
      <c r="X397" s="33"/>
    </row>
    <row r="398" spans="1:24" x14ac:dyDescent="0.25">
      <c r="A398" s="29" t="str">
        <f t="shared" si="43"/>
        <v/>
      </c>
      <c r="B398" s="30"/>
      <c r="C398" s="30"/>
      <c r="D398" s="31"/>
      <c r="E398" s="10"/>
      <c r="F398" s="32" t="str">
        <f>IF($D398="","",$D398+IF($E398="",'01. CONFIGURAÇÕES'!$C$22,$E398))</f>
        <v/>
      </c>
      <c r="G398" s="30"/>
      <c r="H398" s="33"/>
      <c r="I398" s="33"/>
      <c r="J398" s="30"/>
      <c r="K398" s="33"/>
      <c r="L398" s="30"/>
      <c r="M398" s="33"/>
      <c r="N398" s="30"/>
      <c r="O398" s="33"/>
      <c r="P398" s="34" t="str">
        <f t="shared" si="44"/>
        <v/>
      </c>
      <c r="Q398" s="35" t="str">
        <f t="shared" si="45"/>
        <v/>
      </c>
      <c r="R398" s="35" t="str">
        <f t="shared" si="42"/>
        <v/>
      </c>
      <c r="S398" s="29" t="str">
        <f t="shared" si="46"/>
        <v/>
      </c>
      <c r="T398" s="13" t="str">
        <f t="shared" ca="1" si="47"/>
        <v/>
      </c>
      <c r="U398" s="29" t="str">
        <f ca="1">IF(OR($A398="",$F398=""),"",IF($R398&lt;&gt;"",IF($R398&lt;=$F398,"NO PRAZO","FORA DO PRAZO"),IF(TODAY()&gt;$F398,"VENCIDO",IF($F398-TODAY()&lt;='01. CONFIGURAÇÕES'!$C$23,"VENCE EM BREVE","EM DIA"))))</f>
        <v/>
      </c>
      <c r="V398" s="55" t="str">
        <f t="shared" si="48"/>
        <v/>
      </c>
      <c r="W398" s="30"/>
      <c r="X398" s="33"/>
    </row>
    <row r="399" spans="1:24" x14ac:dyDescent="0.25">
      <c r="A399" s="29" t="str">
        <f t="shared" si="43"/>
        <v/>
      </c>
      <c r="B399" s="30"/>
      <c r="C399" s="30"/>
      <c r="D399" s="31"/>
      <c r="E399" s="10"/>
      <c r="F399" s="32" t="str">
        <f>IF($D399="","",$D399+IF($E399="",'01. CONFIGURAÇÕES'!$C$22,$E399))</f>
        <v/>
      </c>
      <c r="G399" s="30"/>
      <c r="H399" s="33"/>
      <c r="I399" s="33"/>
      <c r="J399" s="30"/>
      <c r="K399" s="33"/>
      <c r="L399" s="30"/>
      <c r="M399" s="33"/>
      <c r="N399" s="30"/>
      <c r="O399" s="33"/>
      <c r="P399" s="34" t="str">
        <f t="shared" si="44"/>
        <v/>
      </c>
      <c r="Q399" s="35" t="str">
        <f t="shared" si="45"/>
        <v/>
      </c>
      <c r="R399" s="35" t="str">
        <f t="shared" si="42"/>
        <v/>
      </c>
      <c r="S399" s="29" t="str">
        <f t="shared" si="46"/>
        <v/>
      </c>
      <c r="T399" s="13" t="str">
        <f t="shared" ca="1" si="47"/>
        <v/>
      </c>
      <c r="U399" s="29" t="str">
        <f ca="1">IF(OR($A399="",$F399=""),"",IF($R399&lt;&gt;"",IF($R399&lt;=$F399,"NO PRAZO","FORA DO PRAZO"),IF(TODAY()&gt;$F399,"VENCIDO",IF($F399-TODAY()&lt;='01. CONFIGURAÇÕES'!$C$23,"VENCE EM BREVE","EM DIA"))))</f>
        <v/>
      </c>
      <c r="V399" s="55" t="str">
        <f t="shared" si="48"/>
        <v/>
      </c>
      <c r="W399" s="30"/>
      <c r="X399" s="33"/>
    </row>
    <row r="400" spans="1:24" x14ac:dyDescent="0.25">
      <c r="A400" s="29" t="str">
        <f t="shared" si="43"/>
        <v/>
      </c>
      <c r="B400" s="30"/>
      <c r="C400" s="30"/>
      <c r="D400" s="31"/>
      <c r="E400" s="10"/>
      <c r="F400" s="32" t="str">
        <f>IF($D400="","",$D400+IF($E400="",'01. CONFIGURAÇÕES'!$C$22,$E400))</f>
        <v/>
      </c>
      <c r="G400" s="30"/>
      <c r="H400" s="33"/>
      <c r="I400" s="33"/>
      <c r="J400" s="30"/>
      <c r="K400" s="33"/>
      <c r="L400" s="30"/>
      <c r="M400" s="33"/>
      <c r="N400" s="30"/>
      <c r="O400" s="33"/>
      <c r="P400" s="34" t="str">
        <f t="shared" si="44"/>
        <v/>
      </c>
      <c r="Q400" s="35" t="str">
        <f t="shared" si="45"/>
        <v/>
      </c>
      <c r="R400" s="35" t="str">
        <f t="shared" si="42"/>
        <v/>
      </c>
      <c r="S400" s="29" t="str">
        <f t="shared" si="46"/>
        <v/>
      </c>
      <c r="T400" s="13" t="str">
        <f t="shared" ca="1" si="47"/>
        <v/>
      </c>
      <c r="U400" s="29" t="str">
        <f ca="1">IF(OR($A400="",$F400=""),"",IF($R400&lt;&gt;"",IF($R400&lt;=$F400,"NO PRAZO","FORA DO PRAZO"),IF(TODAY()&gt;$F400,"VENCIDO",IF($F400-TODAY()&lt;='01. CONFIGURAÇÕES'!$C$23,"VENCE EM BREVE","EM DIA"))))</f>
        <v/>
      </c>
      <c r="V400" s="55" t="str">
        <f t="shared" si="48"/>
        <v/>
      </c>
      <c r="W400" s="30"/>
      <c r="X400" s="33"/>
    </row>
    <row r="401" spans="1:24" x14ac:dyDescent="0.25">
      <c r="A401" s="29" t="str">
        <f t="shared" si="43"/>
        <v/>
      </c>
      <c r="B401" s="30"/>
      <c r="C401" s="30"/>
      <c r="D401" s="31"/>
      <c r="E401" s="10"/>
      <c r="F401" s="32" t="str">
        <f>IF($D401="","",$D401+IF($E401="",'01. CONFIGURAÇÕES'!$C$22,$E401))</f>
        <v/>
      </c>
      <c r="G401" s="30"/>
      <c r="H401" s="33"/>
      <c r="I401" s="33"/>
      <c r="J401" s="30"/>
      <c r="K401" s="33"/>
      <c r="L401" s="30"/>
      <c r="M401" s="33"/>
      <c r="N401" s="30"/>
      <c r="O401" s="33"/>
      <c r="P401" s="34" t="str">
        <f t="shared" si="44"/>
        <v/>
      </c>
      <c r="Q401" s="35" t="str">
        <f t="shared" si="45"/>
        <v/>
      </c>
      <c r="R401" s="35" t="str">
        <f t="shared" si="42"/>
        <v/>
      </c>
      <c r="S401" s="29" t="str">
        <f t="shared" si="46"/>
        <v/>
      </c>
      <c r="T401" s="13" t="str">
        <f t="shared" ca="1" si="47"/>
        <v/>
      </c>
      <c r="U401" s="29" t="str">
        <f ca="1">IF(OR($A401="",$F401=""),"",IF($R401&lt;&gt;"",IF($R401&lt;=$F401,"NO PRAZO","FORA DO PRAZO"),IF(TODAY()&gt;$F401,"VENCIDO",IF($F401-TODAY()&lt;='01. CONFIGURAÇÕES'!$C$23,"VENCE EM BREVE","EM DIA"))))</f>
        <v/>
      </c>
      <c r="V401" s="55" t="str">
        <f t="shared" si="48"/>
        <v/>
      </c>
      <c r="W401" s="30"/>
      <c r="X401" s="33"/>
    </row>
    <row r="402" spans="1:24" x14ac:dyDescent="0.25">
      <c r="A402" s="29" t="str">
        <f t="shared" si="43"/>
        <v/>
      </c>
      <c r="B402" s="30"/>
      <c r="C402" s="30"/>
      <c r="D402" s="31"/>
      <c r="E402" s="10"/>
      <c r="F402" s="32" t="str">
        <f>IF($D402="","",$D402+IF($E402="",'01. CONFIGURAÇÕES'!$C$22,$E402))</f>
        <v/>
      </c>
      <c r="G402" s="30"/>
      <c r="H402" s="33"/>
      <c r="I402" s="33"/>
      <c r="J402" s="30"/>
      <c r="K402" s="33"/>
      <c r="L402" s="30"/>
      <c r="M402" s="33"/>
      <c r="N402" s="30"/>
      <c r="O402" s="33"/>
      <c r="P402" s="34" t="str">
        <f t="shared" si="44"/>
        <v/>
      </c>
      <c r="Q402" s="35" t="str">
        <f t="shared" si="45"/>
        <v/>
      </c>
      <c r="R402" s="35" t="str">
        <f t="shared" si="42"/>
        <v/>
      </c>
      <c r="S402" s="29" t="str">
        <f t="shared" si="46"/>
        <v/>
      </c>
      <c r="T402" s="13" t="str">
        <f t="shared" ca="1" si="47"/>
        <v/>
      </c>
      <c r="U402" s="29" t="str">
        <f ca="1">IF(OR($A402="",$F402=""),"",IF($R402&lt;&gt;"",IF($R402&lt;=$F402,"NO PRAZO","FORA DO PRAZO"),IF(TODAY()&gt;$F402,"VENCIDO",IF($F402-TODAY()&lt;='01. CONFIGURAÇÕES'!$C$23,"VENCE EM BREVE","EM DIA"))))</f>
        <v/>
      </c>
      <c r="V402" s="55" t="str">
        <f t="shared" si="48"/>
        <v/>
      </c>
      <c r="W402" s="30"/>
      <c r="X402" s="33"/>
    </row>
    <row r="403" spans="1:24" x14ac:dyDescent="0.25">
      <c r="A403" s="29" t="str">
        <f t="shared" si="43"/>
        <v/>
      </c>
      <c r="B403" s="30"/>
      <c r="C403" s="30"/>
      <c r="D403" s="31"/>
      <c r="E403" s="10"/>
      <c r="F403" s="32" t="str">
        <f>IF($D403="","",$D403+IF($E403="",'01. CONFIGURAÇÕES'!$C$22,$E403))</f>
        <v/>
      </c>
      <c r="G403" s="30"/>
      <c r="H403" s="33"/>
      <c r="I403" s="33"/>
      <c r="J403" s="30"/>
      <c r="K403" s="33"/>
      <c r="L403" s="30"/>
      <c r="M403" s="33"/>
      <c r="N403" s="30"/>
      <c r="O403" s="33"/>
      <c r="P403" s="34" t="str">
        <f t="shared" si="44"/>
        <v/>
      </c>
      <c r="Q403" s="35" t="str">
        <f t="shared" si="45"/>
        <v/>
      </c>
      <c r="R403" s="35" t="str">
        <f t="shared" si="42"/>
        <v/>
      </c>
      <c r="S403" s="29" t="str">
        <f t="shared" si="46"/>
        <v/>
      </c>
      <c r="T403" s="13" t="str">
        <f t="shared" ca="1" si="47"/>
        <v/>
      </c>
      <c r="U403" s="29" t="str">
        <f ca="1">IF(OR($A403="",$F403=""),"",IF($R403&lt;&gt;"",IF($R403&lt;=$F403,"NO PRAZO","FORA DO PRAZO"),IF(TODAY()&gt;$F403,"VENCIDO",IF($F403-TODAY()&lt;='01. CONFIGURAÇÕES'!$C$23,"VENCE EM BREVE","EM DIA"))))</f>
        <v/>
      </c>
      <c r="V403" s="55" t="str">
        <f t="shared" si="48"/>
        <v/>
      </c>
      <c r="W403" s="30"/>
      <c r="X403" s="33"/>
    </row>
    <row r="404" spans="1:24" x14ac:dyDescent="0.25">
      <c r="A404" s="29" t="str">
        <f t="shared" si="43"/>
        <v/>
      </c>
      <c r="B404" s="30"/>
      <c r="C404" s="30"/>
      <c r="D404" s="31"/>
      <c r="E404" s="10"/>
      <c r="F404" s="32" t="str">
        <f>IF($D404="","",$D404+IF($E404="",'01. CONFIGURAÇÕES'!$C$22,$E404))</f>
        <v/>
      </c>
      <c r="G404" s="30"/>
      <c r="H404" s="33"/>
      <c r="I404" s="33"/>
      <c r="J404" s="30"/>
      <c r="K404" s="33"/>
      <c r="L404" s="30"/>
      <c r="M404" s="33"/>
      <c r="N404" s="30"/>
      <c r="O404" s="33"/>
      <c r="P404" s="34" t="str">
        <f t="shared" si="44"/>
        <v/>
      </c>
      <c r="Q404" s="35" t="str">
        <f t="shared" si="45"/>
        <v/>
      </c>
      <c r="R404" s="35" t="str">
        <f t="shared" si="42"/>
        <v/>
      </c>
      <c r="S404" s="29" t="str">
        <f t="shared" si="46"/>
        <v/>
      </c>
      <c r="T404" s="13" t="str">
        <f t="shared" ca="1" si="47"/>
        <v/>
      </c>
      <c r="U404" s="29" t="str">
        <f ca="1">IF(OR($A404="",$F404=""),"",IF($R404&lt;&gt;"",IF($R404&lt;=$F404,"NO PRAZO","FORA DO PRAZO"),IF(TODAY()&gt;$F404,"VENCIDO",IF($F404-TODAY()&lt;='01. CONFIGURAÇÕES'!$C$23,"VENCE EM BREVE","EM DIA"))))</f>
        <v/>
      </c>
      <c r="V404" s="55" t="str">
        <f t="shared" si="48"/>
        <v/>
      </c>
      <c r="W404" s="30"/>
      <c r="X404" s="33"/>
    </row>
    <row r="405" spans="1:24" x14ac:dyDescent="0.25">
      <c r="A405" s="29" t="str">
        <f t="shared" si="43"/>
        <v/>
      </c>
      <c r="B405" s="30"/>
      <c r="C405" s="30"/>
      <c r="D405" s="31"/>
      <c r="E405" s="10"/>
      <c r="F405" s="32" t="str">
        <f>IF($D405="","",$D405+IF($E405="",'01. CONFIGURAÇÕES'!$C$22,$E405))</f>
        <v/>
      </c>
      <c r="G405" s="30"/>
      <c r="H405" s="33"/>
      <c r="I405" s="33"/>
      <c r="J405" s="30"/>
      <c r="K405" s="33"/>
      <c r="L405" s="30"/>
      <c r="M405" s="33"/>
      <c r="N405" s="30"/>
      <c r="O405" s="33"/>
      <c r="P405" s="34" t="str">
        <f t="shared" si="44"/>
        <v/>
      </c>
      <c r="Q405" s="35" t="str">
        <f t="shared" si="45"/>
        <v/>
      </c>
      <c r="R405" s="35" t="str">
        <f t="shared" si="42"/>
        <v/>
      </c>
      <c r="S405" s="29" t="str">
        <f t="shared" si="46"/>
        <v/>
      </c>
      <c r="T405" s="13" t="str">
        <f t="shared" ca="1" si="47"/>
        <v/>
      </c>
      <c r="U405" s="29" t="str">
        <f ca="1">IF(OR($A405="",$F405=""),"",IF($R405&lt;&gt;"",IF($R405&lt;=$F405,"NO PRAZO","FORA DO PRAZO"),IF(TODAY()&gt;$F405,"VENCIDO",IF($F405-TODAY()&lt;='01. CONFIGURAÇÕES'!$C$23,"VENCE EM BREVE","EM DIA"))))</f>
        <v/>
      </c>
      <c r="V405" s="55" t="str">
        <f t="shared" si="48"/>
        <v/>
      </c>
      <c r="W405" s="30"/>
      <c r="X405" s="33"/>
    </row>
    <row r="406" spans="1:24" x14ac:dyDescent="0.25">
      <c r="A406" s="29" t="str">
        <f t="shared" si="43"/>
        <v/>
      </c>
      <c r="B406" s="30"/>
      <c r="C406" s="30"/>
      <c r="D406" s="31"/>
      <c r="E406" s="10"/>
      <c r="F406" s="32" t="str">
        <f>IF($D406="","",$D406+IF($E406="",'01. CONFIGURAÇÕES'!$C$22,$E406))</f>
        <v/>
      </c>
      <c r="G406" s="30"/>
      <c r="H406" s="33"/>
      <c r="I406" s="33"/>
      <c r="J406" s="30"/>
      <c r="K406" s="33"/>
      <c r="L406" s="30"/>
      <c r="M406" s="33"/>
      <c r="N406" s="30"/>
      <c r="O406" s="33"/>
      <c r="P406" s="34" t="str">
        <f t="shared" si="44"/>
        <v/>
      </c>
      <c r="Q406" s="35" t="str">
        <f t="shared" si="45"/>
        <v/>
      </c>
      <c r="R406" s="35" t="str">
        <f t="shared" si="42"/>
        <v/>
      </c>
      <c r="S406" s="29" t="str">
        <f t="shared" si="46"/>
        <v/>
      </c>
      <c r="T406" s="13" t="str">
        <f t="shared" ca="1" si="47"/>
        <v/>
      </c>
      <c r="U406" s="29" t="str">
        <f ca="1">IF(OR($A406="",$F406=""),"",IF($R406&lt;&gt;"",IF($R406&lt;=$F406,"NO PRAZO","FORA DO PRAZO"),IF(TODAY()&gt;$F406,"VENCIDO",IF($F406-TODAY()&lt;='01. CONFIGURAÇÕES'!$C$23,"VENCE EM BREVE","EM DIA"))))</f>
        <v/>
      </c>
      <c r="V406" s="55" t="str">
        <f t="shared" si="48"/>
        <v/>
      </c>
      <c r="W406" s="30"/>
      <c r="X406" s="33"/>
    </row>
    <row r="407" spans="1:24" x14ac:dyDescent="0.25">
      <c r="A407" s="29" t="str">
        <f t="shared" si="43"/>
        <v/>
      </c>
      <c r="B407" s="30"/>
      <c r="C407" s="30"/>
      <c r="D407" s="31"/>
      <c r="E407" s="10"/>
      <c r="F407" s="32" t="str">
        <f>IF($D407="","",$D407+IF($E407="",'01. CONFIGURAÇÕES'!$C$22,$E407))</f>
        <v/>
      </c>
      <c r="G407" s="30"/>
      <c r="H407" s="33"/>
      <c r="I407" s="33"/>
      <c r="J407" s="30"/>
      <c r="K407" s="33"/>
      <c r="L407" s="30"/>
      <c r="M407" s="33"/>
      <c r="N407" s="30"/>
      <c r="O407" s="33"/>
      <c r="P407" s="34" t="str">
        <f t="shared" si="44"/>
        <v/>
      </c>
      <c r="Q407" s="35" t="str">
        <f t="shared" si="45"/>
        <v/>
      </c>
      <c r="R407" s="35" t="str">
        <f t="shared" si="42"/>
        <v/>
      </c>
      <c r="S407" s="29" t="str">
        <f t="shared" si="46"/>
        <v/>
      </c>
      <c r="T407" s="13" t="str">
        <f t="shared" ca="1" si="47"/>
        <v/>
      </c>
      <c r="U407" s="29" t="str">
        <f ca="1">IF(OR($A407="",$F407=""),"",IF($R407&lt;&gt;"",IF($R407&lt;=$F407,"NO PRAZO","FORA DO PRAZO"),IF(TODAY()&gt;$F407,"VENCIDO",IF($F407-TODAY()&lt;='01. CONFIGURAÇÕES'!$C$23,"VENCE EM BREVE","EM DIA"))))</f>
        <v/>
      </c>
      <c r="V407" s="55" t="str">
        <f t="shared" si="48"/>
        <v/>
      </c>
      <c r="W407" s="30"/>
      <c r="X407" s="33"/>
    </row>
    <row r="408" spans="1:24" x14ac:dyDescent="0.25">
      <c r="A408" s="29" t="str">
        <f t="shared" si="43"/>
        <v/>
      </c>
      <c r="B408" s="30"/>
      <c r="C408" s="30"/>
      <c r="D408" s="31"/>
      <c r="E408" s="10"/>
      <c r="F408" s="32" t="str">
        <f>IF($D408="","",$D408+IF($E408="",'01. CONFIGURAÇÕES'!$C$22,$E408))</f>
        <v/>
      </c>
      <c r="G408" s="30"/>
      <c r="H408" s="33"/>
      <c r="I408" s="33"/>
      <c r="J408" s="30"/>
      <c r="K408" s="33"/>
      <c r="L408" s="30"/>
      <c r="M408" s="33"/>
      <c r="N408" s="30"/>
      <c r="O408" s="33"/>
      <c r="P408" s="34" t="str">
        <f t="shared" si="44"/>
        <v/>
      </c>
      <c r="Q408" s="35" t="str">
        <f t="shared" si="45"/>
        <v/>
      </c>
      <c r="R408" s="35" t="str">
        <f t="shared" si="42"/>
        <v/>
      </c>
      <c r="S408" s="29" t="str">
        <f t="shared" si="46"/>
        <v/>
      </c>
      <c r="T408" s="13" t="str">
        <f t="shared" ca="1" si="47"/>
        <v/>
      </c>
      <c r="U408" s="29" t="str">
        <f ca="1">IF(OR($A408="",$F408=""),"",IF($R408&lt;&gt;"",IF($R408&lt;=$F408,"NO PRAZO","FORA DO PRAZO"),IF(TODAY()&gt;$F408,"VENCIDO",IF($F408-TODAY()&lt;='01. CONFIGURAÇÕES'!$C$23,"VENCE EM BREVE","EM DIA"))))</f>
        <v/>
      </c>
      <c r="V408" s="55" t="str">
        <f t="shared" si="48"/>
        <v/>
      </c>
      <c r="W408" s="30"/>
      <c r="X408" s="33"/>
    </row>
    <row r="409" spans="1:24" x14ac:dyDescent="0.25">
      <c r="A409" s="29" t="str">
        <f t="shared" si="43"/>
        <v/>
      </c>
      <c r="B409" s="30"/>
      <c r="C409" s="30"/>
      <c r="D409" s="31"/>
      <c r="E409" s="10"/>
      <c r="F409" s="32" t="str">
        <f>IF($D409="","",$D409+IF($E409="",'01. CONFIGURAÇÕES'!$C$22,$E409))</f>
        <v/>
      </c>
      <c r="G409" s="30"/>
      <c r="H409" s="33"/>
      <c r="I409" s="33"/>
      <c r="J409" s="30"/>
      <c r="K409" s="33"/>
      <c r="L409" s="30"/>
      <c r="M409" s="33"/>
      <c r="N409" s="30"/>
      <c r="O409" s="33"/>
      <c r="P409" s="34" t="str">
        <f t="shared" si="44"/>
        <v/>
      </c>
      <c r="Q409" s="35" t="str">
        <f t="shared" si="45"/>
        <v/>
      </c>
      <c r="R409" s="35" t="str">
        <f t="shared" si="42"/>
        <v/>
      </c>
      <c r="S409" s="29" t="str">
        <f t="shared" si="46"/>
        <v/>
      </c>
      <c r="T409" s="13" t="str">
        <f t="shared" ca="1" si="47"/>
        <v/>
      </c>
      <c r="U409" s="29" t="str">
        <f ca="1">IF(OR($A409="",$F409=""),"",IF($R409&lt;&gt;"",IF($R409&lt;=$F409,"NO PRAZO","FORA DO PRAZO"),IF(TODAY()&gt;$F409,"VENCIDO",IF($F409-TODAY()&lt;='01. CONFIGURAÇÕES'!$C$23,"VENCE EM BREVE","EM DIA"))))</f>
        <v/>
      </c>
      <c r="V409" s="55" t="str">
        <f t="shared" si="48"/>
        <v/>
      </c>
      <c r="W409" s="30"/>
      <c r="X409" s="33"/>
    </row>
    <row r="410" spans="1:24" x14ac:dyDescent="0.25">
      <c r="A410" s="29" t="str">
        <f t="shared" si="43"/>
        <v/>
      </c>
      <c r="B410" s="30"/>
      <c r="C410" s="30"/>
      <c r="D410" s="31"/>
      <c r="E410" s="10"/>
      <c r="F410" s="32" t="str">
        <f>IF($D410="","",$D410+IF($E410="",'01. CONFIGURAÇÕES'!$C$22,$E410))</f>
        <v/>
      </c>
      <c r="G410" s="30"/>
      <c r="H410" s="33"/>
      <c r="I410" s="33"/>
      <c r="J410" s="30"/>
      <c r="K410" s="33"/>
      <c r="L410" s="30"/>
      <c r="M410" s="33"/>
      <c r="N410" s="30"/>
      <c r="O410" s="33"/>
      <c r="P410" s="34" t="str">
        <f t="shared" si="44"/>
        <v/>
      </c>
      <c r="Q410" s="35" t="str">
        <f t="shared" si="45"/>
        <v/>
      </c>
      <c r="R410" s="35" t="str">
        <f t="shared" si="42"/>
        <v/>
      </c>
      <c r="S410" s="29" t="str">
        <f t="shared" si="46"/>
        <v/>
      </c>
      <c r="T410" s="13" t="str">
        <f t="shared" ca="1" si="47"/>
        <v/>
      </c>
      <c r="U410" s="29" t="str">
        <f ca="1">IF(OR($A410="",$F410=""),"",IF($R410&lt;&gt;"",IF($R410&lt;=$F410,"NO PRAZO","FORA DO PRAZO"),IF(TODAY()&gt;$F410,"VENCIDO",IF($F410-TODAY()&lt;='01. CONFIGURAÇÕES'!$C$23,"VENCE EM BREVE","EM DIA"))))</f>
        <v/>
      </c>
      <c r="V410" s="55" t="str">
        <f t="shared" si="48"/>
        <v/>
      </c>
      <c r="W410" s="30"/>
      <c r="X410" s="33"/>
    </row>
    <row r="411" spans="1:24" x14ac:dyDescent="0.25">
      <c r="A411" s="29" t="str">
        <f t="shared" si="43"/>
        <v/>
      </c>
      <c r="B411" s="30"/>
      <c r="C411" s="30"/>
      <c r="D411" s="31"/>
      <c r="E411" s="10"/>
      <c r="F411" s="32" t="str">
        <f>IF($D411="","",$D411+IF($E411="",'01. CONFIGURAÇÕES'!$C$22,$E411))</f>
        <v/>
      </c>
      <c r="G411" s="30"/>
      <c r="H411" s="33"/>
      <c r="I411" s="33"/>
      <c r="J411" s="30"/>
      <c r="K411" s="33"/>
      <c r="L411" s="30"/>
      <c r="M411" s="33"/>
      <c r="N411" s="30"/>
      <c r="O411" s="33"/>
      <c r="P411" s="34" t="str">
        <f t="shared" si="44"/>
        <v/>
      </c>
      <c r="Q411" s="35" t="str">
        <f t="shared" si="45"/>
        <v/>
      </c>
      <c r="R411" s="35" t="str">
        <f t="shared" si="42"/>
        <v/>
      </c>
      <c r="S411" s="29" t="str">
        <f t="shared" si="46"/>
        <v/>
      </c>
      <c r="T411" s="13" t="str">
        <f t="shared" ca="1" si="47"/>
        <v/>
      </c>
      <c r="U411" s="29" t="str">
        <f ca="1">IF(OR($A411="",$F411=""),"",IF($R411&lt;&gt;"",IF($R411&lt;=$F411,"NO PRAZO","FORA DO PRAZO"),IF(TODAY()&gt;$F411,"VENCIDO",IF($F411-TODAY()&lt;='01. CONFIGURAÇÕES'!$C$23,"VENCE EM BREVE","EM DIA"))))</f>
        <v/>
      </c>
      <c r="V411" s="55" t="str">
        <f t="shared" si="48"/>
        <v/>
      </c>
      <c r="W411" s="30"/>
      <c r="X411" s="33"/>
    </row>
    <row r="412" spans="1:24" x14ac:dyDescent="0.25">
      <c r="A412" s="29" t="str">
        <f t="shared" si="43"/>
        <v/>
      </c>
      <c r="B412" s="30"/>
      <c r="C412" s="30"/>
      <c r="D412" s="31"/>
      <c r="E412" s="10"/>
      <c r="F412" s="32" t="str">
        <f>IF($D412="","",$D412+IF($E412="",'01. CONFIGURAÇÕES'!$C$22,$E412))</f>
        <v/>
      </c>
      <c r="G412" s="30"/>
      <c r="H412" s="33"/>
      <c r="I412" s="33"/>
      <c r="J412" s="30"/>
      <c r="K412" s="33"/>
      <c r="L412" s="30"/>
      <c r="M412" s="33"/>
      <c r="N412" s="30"/>
      <c r="O412" s="33"/>
      <c r="P412" s="34" t="str">
        <f t="shared" si="44"/>
        <v/>
      </c>
      <c r="Q412" s="35" t="str">
        <f t="shared" si="45"/>
        <v/>
      </c>
      <c r="R412" s="35" t="str">
        <f t="shared" si="42"/>
        <v/>
      </c>
      <c r="S412" s="29" t="str">
        <f t="shared" si="46"/>
        <v/>
      </c>
      <c r="T412" s="13" t="str">
        <f t="shared" ca="1" si="47"/>
        <v/>
      </c>
      <c r="U412" s="29" t="str">
        <f ca="1">IF(OR($A412="",$F412=""),"",IF($R412&lt;&gt;"",IF($R412&lt;=$F412,"NO PRAZO","FORA DO PRAZO"),IF(TODAY()&gt;$F412,"VENCIDO",IF($F412-TODAY()&lt;='01. CONFIGURAÇÕES'!$C$23,"VENCE EM BREVE","EM DIA"))))</f>
        <v/>
      </c>
      <c r="V412" s="55" t="str">
        <f t="shared" si="48"/>
        <v/>
      </c>
      <c r="W412" s="30"/>
      <c r="X412" s="33"/>
    </row>
    <row r="413" spans="1:24" x14ac:dyDescent="0.25">
      <c r="A413" s="29" t="str">
        <f t="shared" si="43"/>
        <v/>
      </c>
      <c r="B413" s="30"/>
      <c r="C413" s="30"/>
      <c r="D413" s="31"/>
      <c r="E413" s="10"/>
      <c r="F413" s="32" t="str">
        <f>IF($D413="","",$D413+IF($E413="",'01. CONFIGURAÇÕES'!$C$22,$E413))</f>
        <v/>
      </c>
      <c r="G413" s="30"/>
      <c r="H413" s="33"/>
      <c r="I413" s="33"/>
      <c r="J413" s="30"/>
      <c r="K413" s="33"/>
      <c r="L413" s="30"/>
      <c r="M413" s="33"/>
      <c r="N413" s="30"/>
      <c r="O413" s="33"/>
      <c r="P413" s="34" t="str">
        <f t="shared" si="44"/>
        <v/>
      </c>
      <c r="Q413" s="35" t="str">
        <f t="shared" si="45"/>
        <v/>
      </c>
      <c r="R413" s="35" t="str">
        <f t="shared" si="42"/>
        <v/>
      </c>
      <c r="S413" s="29" t="str">
        <f t="shared" si="46"/>
        <v/>
      </c>
      <c r="T413" s="13" t="str">
        <f t="shared" ca="1" si="47"/>
        <v/>
      </c>
      <c r="U413" s="29" t="str">
        <f ca="1">IF(OR($A413="",$F413=""),"",IF($R413&lt;&gt;"",IF($R413&lt;=$F413,"NO PRAZO","FORA DO PRAZO"),IF(TODAY()&gt;$F413,"VENCIDO",IF($F413-TODAY()&lt;='01. CONFIGURAÇÕES'!$C$23,"VENCE EM BREVE","EM DIA"))))</f>
        <v/>
      </c>
      <c r="V413" s="55" t="str">
        <f t="shared" si="48"/>
        <v/>
      </c>
      <c r="W413" s="30"/>
      <c r="X413" s="33"/>
    </row>
    <row r="414" spans="1:24" x14ac:dyDescent="0.25">
      <c r="A414" s="29" t="str">
        <f t="shared" si="43"/>
        <v/>
      </c>
      <c r="B414" s="30"/>
      <c r="C414" s="30"/>
      <c r="D414" s="31"/>
      <c r="E414" s="10"/>
      <c r="F414" s="32" t="str">
        <f>IF($D414="","",$D414+IF($E414="",'01. CONFIGURAÇÕES'!$C$22,$E414))</f>
        <v/>
      </c>
      <c r="G414" s="30"/>
      <c r="H414" s="33"/>
      <c r="I414" s="33"/>
      <c r="J414" s="30"/>
      <c r="K414" s="33"/>
      <c r="L414" s="30"/>
      <c r="M414" s="33"/>
      <c r="N414" s="30"/>
      <c r="O414" s="33"/>
      <c r="P414" s="34" t="str">
        <f t="shared" si="44"/>
        <v/>
      </c>
      <c r="Q414" s="35" t="str">
        <f t="shared" si="45"/>
        <v/>
      </c>
      <c r="R414" s="35" t="str">
        <f t="shared" si="42"/>
        <v/>
      </c>
      <c r="S414" s="29" t="str">
        <f t="shared" si="46"/>
        <v/>
      </c>
      <c r="T414" s="13" t="str">
        <f t="shared" ca="1" si="47"/>
        <v/>
      </c>
      <c r="U414" s="29" t="str">
        <f ca="1">IF(OR($A414="",$F414=""),"",IF($R414&lt;&gt;"",IF($R414&lt;=$F414,"NO PRAZO","FORA DO PRAZO"),IF(TODAY()&gt;$F414,"VENCIDO",IF($F414-TODAY()&lt;='01. CONFIGURAÇÕES'!$C$23,"VENCE EM BREVE","EM DIA"))))</f>
        <v/>
      </c>
      <c r="V414" s="55" t="str">
        <f t="shared" si="48"/>
        <v/>
      </c>
      <c r="W414" s="30"/>
      <c r="X414" s="33"/>
    </row>
    <row r="415" spans="1:24" x14ac:dyDescent="0.25">
      <c r="A415" s="29" t="str">
        <f t="shared" si="43"/>
        <v/>
      </c>
      <c r="B415" s="30"/>
      <c r="C415" s="30"/>
      <c r="D415" s="31"/>
      <c r="E415" s="10"/>
      <c r="F415" s="32" t="str">
        <f>IF($D415="","",$D415+IF($E415="",'01. CONFIGURAÇÕES'!$C$22,$E415))</f>
        <v/>
      </c>
      <c r="G415" s="30"/>
      <c r="H415" s="33"/>
      <c r="I415" s="33"/>
      <c r="J415" s="30"/>
      <c r="K415" s="33"/>
      <c r="L415" s="30"/>
      <c r="M415" s="33"/>
      <c r="N415" s="30"/>
      <c r="O415" s="33"/>
      <c r="P415" s="34" t="str">
        <f t="shared" si="44"/>
        <v/>
      </c>
      <c r="Q415" s="35" t="str">
        <f t="shared" si="45"/>
        <v/>
      </c>
      <c r="R415" s="35" t="str">
        <f t="shared" ref="R415:R478" si="49">IF($A415="","",IFERROR(IF(INDEX(OS_FIM,MATCH($A415,OS_ID,0))=0,"",INDEX(OS_FIM,MATCH($A415,OS_ID,0))),""))</f>
        <v/>
      </c>
      <c r="S415" s="29" t="str">
        <f t="shared" si="46"/>
        <v/>
      </c>
      <c r="T415" s="13" t="str">
        <f t="shared" ca="1" si="47"/>
        <v/>
      </c>
      <c r="U415" s="29" t="str">
        <f ca="1">IF(OR($A415="",$F415=""),"",IF($R415&lt;&gt;"",IF($R415&lt;=$F415,"NO PRAZO","FORA DO PRAZO"),IF(TODAY()&gt;$F415,"VENCIDO",IF($F415-TODAY()&lt;='01. CONFIGURAÇÕES'!$C$23,"VENCE EM BREVE","EM DIA"))))</f>
        <v/>
      </c>
      <c r="V415" s="55" t="str">
        <f t="shared" si="48"/>
        <v/>
      </c>
      <c r="W415" s="30"/>
      <c r="X415" s="33"/>
    </row>
    <row r="416" spans="1:24" x14ac:dyDescent="0.25">
      <c r="A416" s="29" t="str">
        <f t="shared" si="43"/>
        <v/>
      </c>
      <c r="B416" s="30"/>
      <c r="C416" s="30"/>
      <c r="D416" s="31"/>
      <c r="E416" s="10"/>
      <c r="F416" s="32" t="str">
        <f>IF($D416="","",$D416+IF($E416="",'01. CONFIGURAÇÕES'!$C$22,$E416))</f>
        <v/>
      </c>
      <c r="G416" s="30"/>
      <c r="H416" s="33"/>
      <c r="I416" s="33"/>
      <c r="J416" s="30"/>
      <c r="K416" s="33"/>
      <c r="L416" s="30"/>
      <c r="M416" s="33"/>
      <c r="N416" s="30"/>
      <c r="O416" s="33"/>
      <c r="P416" s="34" t="str">
        <f t="shared" si="44"/>
        <v/>
      </c>
      <c r="Q416" s="35" t="str">
        <f t="shared" si="45"/>
        <v/>
      </c>
      <c r="R416" s="35" t="str">
        <f t="shared" si="49"/>
        <v/>
      </c>
      <c r="S416" s="29" t="str">
        <f t="shared" si="46"/>
        <v/>
      </c>
      <c r="T416" s="13" t="str">
        <f t="shared" ca="1" si="47"/>
        <v/>
      </c>
      <c r="U416" s="29" t="str">
        <f ca="1">IF(OR($A416="",$F416=""),"",IF($R416&lt;&gt;"",IF($R416&lt;=$F416,"NO PRAZO","FORA DO PRAZO"),IF(TODAY()&gt;$F416,"VENCIDO",IF($F416-TODAY()&lt;='01. CONFIGURAÇÕES'!$C$23,"VENCE EM BREVE","EM DIA"))))</f>
        <v/>
      </c>
      <c r="V416" s="55" t="str">
        <f t="shared" si="48"/>
        <v/>
      </c>
      <c r="W416" s="30"/>
      <c r="X416" s="33"/>
    </row>
    <row r="417" spans="1:24" x14ac:dyDescent="0.25">
      <c r="A417" s="29" t="str">
        <f t="shared" si="43"/>
        <v/>
      </c>
      <c r="B417" s="30"/>
      <c r="C417" s="30"/>
      <c r="D417" s="31"/>
      <c r="E417" s="10"/>
      <c r="F417" s="32" t="str">
        <f>IF($D417="","",$D417+IF($E417="",'01. CONFIGURAÇÕES'!$C$22,$E417))</f>
        <v/>
      </c>
      <c r="G417" s="30"/>
      <c r="H417" s="33"/>
      <c r="I417" s="33"/>
      <c r="J417" s="30"/>
      <c r="K417" s="33"/>
      <c r="L417" s="30"/>
      <c r="M417" s="33"/>
      <c r="N417" s="30"/>
      <c r="O417" s="33"/>
      <c r="P417" s="34" t="str">
        <f t="shared" si="44"/>
        <v/>
      </c>
      <c r="Q417" s="35" t="str">
        <f t="shared" si="45"/>
        <v/>
      </c>
      <c r="R417" s="35" t="str">
        <f t="shared" si="49"/>
        <v/>
      </c>
      <c r="S417" s="29" t="str">
        <f t="shared" si="46"/>
        <v/>
      </c>
      <c r="T417" s="13" t="str">
        <f t="shared" ca="1" si="47"/>
        <v/>
      </c>
      <c r="U417" s="29" t="str">
        <f ca="1">IF(OR($A417="",$F417=""),"",IF($R417&lt;&gt;"",IF($R417&lt;=$F417,"NO PRAZO","FORA DO PRAZO"),IF(TODAY()&gt;$F417,"VENCIDO",IF($F417-TODAY()&lt;='01. CONFIGURAÇÕES'!$C$23,"VENCE EM BREVE","EM DIA"))))</f>
        <v/>
      </c>
      <c r="V417" s="55" t="str">
        <f t="shared" si="48"/>
        <v/>
      </c>
      <c r="W417" s="30"/>
      <c r="X417" s="33"/>
    </row>
    <row r="418" spans="1:24" x14ac:dyDescent="0.25">
      <c r="A418" s="29" t="str">
        <f t="shared" si="43"/>
        <v/>
      </c>
      <c r="B418" s="30"/>
      <c r="C418" s="30"/>
      <c r="D418" s="31"/>
      <c r="E418" s="10"/>
      <c r="F418" s="32" t="str">
        <f>IF($D418="","",$D418+IF($E418="",'01. CONFIGURAÇÕES'!$C$22,$E418))</f>
        <v/>
      </c>
      <c r="G418" s="30"/>
      <c r="H418" s="33"/>
      <c r="I418" s="33"/>
      <c r="J418" s="30"/>
      <c r="K418" s="33"/>
      <c r="L418" s="30"/>
      <c r="M418" s="33"/>
      <c r="N418" s="30"/>
      <c r="O418" s="33"/>
      <c r="P418" s="34" t="str">
        <f t="shared" si="44"/>
        <v/>
      </c>
      <c r="Q418" s="35" t="str">
        <f t="shared" si="45"/>
        <v/>
      </c>
      <c r="R418" s="35" t="str">
        <f t="shared" si="49"/>
        <v/>
      </c>
      <c r="S418" s="29" t="str">
        <f t="shared" si="46"/>
        <v/>
      </c>
      <c r="T418" s="13" t="str">
        <f t="shared" ca="1" si="47"/>
        <v/>
      </c>
      <c r="U418" s="29" t="str">
        <f ca="1">IF(OR($A418="",$F418=""),"",IF($R418&lt;&gt;"",IF($R418&lt;=$F418,"NO PRAZO","FORA DO PRAZO"),IF(TODAY()&gt;$F418,"VENCIDO",IF($F418-TODAY()&lt;='01. CONFIGURAÇÕES'!$C$23,"VENCE EM BREVE","EM DIA"))))</f>
        <v/>
      </c>
      <c r="V418" s="55" t="str">
        <f t="shared" si="48"/>
        <v/>
      </c>
      <c r="W418" s="30"/>
      <c r="X418" s="33"/>
    </row>
    <row r="419" spans="1:24" x14ac:dyDescent="0.25">
      <c r="A419" s="29" t="str">
        <f t="shared" si="43"/>
        <v/>
      </c>
      <c r="B419" s="30"/>
      <c r="C419" s="30"/>
      <c r="D419" s="31"/>
      <c r="E419" s="10"/>
      <c r="F419" s="32" t="str">
        <f>IF($D419="","",$D419+IF($E419="",'01. CONFIGURAÇÕES'!$C$22,$E419))</f>
        <v/>
      </c>
      <c r="G419" s="30"/>
      <c r="H419" s="33"/>
      <c r="I419" s="33"/>
      <c r="J419" s="30"/>
      <c r="K419" s="33"/>
      <c r="L419" s="30"/>
      <c r="M419" s="33"/>
      <c r="N419" s="30"/>
      <c r="O419" s="33"/>
      <c r="P419" s="34" t="str">
        <f t="shared" si="44"/>
        <v/>
      </c>
      <c r="Q419" s="35" t="str">
        <f t="shared" si="45"/>
        <v/>
      </c>
      <c r="R419" s="35" t="str">
        <f t="shared" si="49"/>
        <v/>
      </c>
      <c r="S419" s="29" t="str">
        <f t="shared" si="46"/>
        <v/>
      </c>
      <c r="T419" s="13" t="str">
        <f t="shared" ca="1" si="47"/>
        <v/>
      </c>
      <c r="U419" s="29" t="str">
        <f ca="1">IF(OR($A419="",$F419=""),"",IF($R419&lt;&gt;"",IF($R419&lt;=$F419,"NO PRAZO","FORA DO PRAZO"),IF(TODAY()&gt;$F419,"VENCIDO",IF($F419-TODAY()&lt;='01. CONFIGURAÇÕES'!$C$23,"VENCE EM BREVE","EM DIA"))))</f>
        <v/>
      </c>
      <c r="V419" s="55" t="str">
        <f t="shared" si="48"/>
        <v/>
      </c>
      <c r="W419" s="30"/>
      <c r="X419" s="33"/>
    </row>
    <row r="420" spans="1:24" x14ac:dyDescent="0.25">
      <c r="A420" s="29" t="str">
        <f t="shared" si="43"/>
        <v/>
      </c>
      <c r="B420" s="30"/>
      <c r="C420" s="30"/>
      <c r="D420" s="31"/>
      <c r="E420" s="10"/>
      <c r="F420" s="32" t="str">
        <f>IF($D420="","",$D420+IF($E420="",'01. CONFIGURAÇÕES'!$C$22,$E420))</f>
        <v/>
      </c>
      <c r="G420" s="30"/>
      <c r="H420" s="33"/>
      <c r="I420" s="33"/>
      <c r="J420" s="30"/>
      <c r="K420" s="33"/>
      <c r="L420" s="30"/>
      <c r="M420" s="33"/>
      <c r="N420" s="30"/>
      <c r="O420" s="33"/>
      <c r="P420" s="34" t="str">
        <f t="shared" si="44"/>
        <v/>
      </c>
      <c r="Q420" s="35" t="str">
        <f t="shared" si="45"/>
        <v/>
      </c>
      <c r="R420" s="35" t="str">
        <f t="shared" si="49"/>
        <v/>
      </c>
      <c r="S420" s="29" t="str">
        <f t="shared" si="46"/>
        <v/>
      </c>
      <c r="T420" s="13" t="str">
        <f t="shared" ca="1" si="47"/>
        <v/>
      </c>
      <c r="U420" s="29" t="str">
        <f ca="1">IF(OR($A420="",$F420=""),"",IF($R420&lt;&gt;"",IF($R420&lt;=$F420,"NO PRAZO","FORA DO PRAZO"),IF(TODAY()&gt;$F420,"VENCIDO",IF($F420-TODAY()&lt;='01. CONFIGURAÇÕES'!$C$23,"VENCE EM BREVE","EM DIA"))))</f>
        <v/>
      </c>
      <c r="V420" s="55" t="str">
        <f t="shared" si="48"/>
        <v/>
      </c>
      <c r="W420" s="30"/>
      <c r="X420" s="33"/>
    </row>
    <row r="421" spans="1:24" x14ac:dyDescent="0.25">
      <c r="A421" s="29" t="str">
        <f t="shared" si="43"/>
        <v/>
      </c>
      <c r="B421" s="30"/>
      <c r="C421" s="30"/>
      <c r="D421" s="31"/>
      <c r="E421" s="10"/>
      <c r="F421" s="32" t="str">
        <f>IF($D421="","",$D421+IF($E421="",'01. CONFIGURAÇÕES'!$C$22,$E421))</f>
        <v/>
      </c>
      <c r="G421" s="30"/>
      <c r="H421" s="33"/>
      <c r="I421" s="33"/>
      <c r="J421" s="30"/>
      <c r="K421" s="33"/>
      <c r="L421" s="30"/>
      <c r="M421" s="33"/>
      <c r="N421" s="30"/>
      <c r="O421" s="33"/>
      <c r="P421" s="34" t="str">
        <f t="shared" si="44"/>
        <v/>
      </c>
      <c r="Q421" s="35" t="str">
        <f t="shared" si="45"/>
        <v/>
      </c>
      <c r="R421" s="35" t="str">
        <f t="shared" si="49"/>
        <v/>
      </c>
      <c r="S421" s="29" t="str">
        <f t="shared" si="46"/>
        <v/>
      </c>
      <c r="T421" s="13" t="str">
        <f t="shared" ca="1" si="47"/>
        <v/>
      </c>
      <c r="U421" s="29" t="str">
        <f ca="1">IF(OR($A421="",$F421=""),"",IF($R421&lt;&gt;"",IF($R421&lt;=$F421,"NO PRAZO","FORA DO PRAZO"),IF(TODAY()&gt;$F421,"VENCIDO",IF($F421-TODAY()&lt;='01. CONFIGURAÇÕES'!$C$23,"VENCE EM BREVE","EM DIA"))))</f>
        <v/>
      </c>
      <c r="V421" s="55" t="str">
        <f t="shared" si="48"/>
        <v/>
      </c>
      <c r="W421" s="30"/>
      <c r="X421" s="33"/>
    </row>
    <row r="422" spans="1:24" x14ac:dyDescent="0.25">
      <c r="A422" s="29" t="str">
        <f t="shared" si="43"/>
        <v/>
      </c>
      <c r="B422" s="30"/>
      <c r="C422" s="30"/>
      <c r="D422" s="31"/>
      <c r="E422" s="10"/>
      <c r="F422" s="32" t="str">
        <f>IF($D422="","",$D422+IF($E422="",'01. CONFIGURAÇÕES'!$C$22,$E422))</f>
        <v/>
      </c>
      <c r="G422" s="30"/>
      <c r="H422" s="33"/>
      <c r="I422" s="33"/>
      <c r="J422" s="30"/>
      <c r="K422" s="33"/>
      <c r="L422" s="30"/>
      <c r="M422" s="33"/>
      <c r="N422" s="30"/>
      <c r="O422" s="33"/>
      <c r="P422" s="34" t="str">
        <f t="shared" si="44"/>
        <v/>
      </c>
      <c r="Q422" s="35" t="str">
        <f t="shared" si="45"/>
        <v/>
      </c>
      <c r="R422" s="35" t="str">
        <f t="shared" si="49"/>
        <v/>
      </c>
      <c r="S422" s="29" t="str">
        <f t="shared" si="46"/>
        <v/>
      </c>
      <c r="T422" s="13" t="str">
        <f t="shared" ca="1" si="47"/>
        <v/>
      </c>
      <c r="U422" s="29" t="str">
        <f ca="1">IF(OR($A422="",$F422=""),"",IF($R422&lt;&gt;"",IF($R422&lt;=$F422,"NO PRAZO","FORA DO PRAZO"),IF(TODAY()&gt;$F422,"VENCIDO",IF($F422-TODAY()&lt;='01. CONFIGURAÇÕES'!$C$23,"VENCE EM BREVE","EM DIA"))))</f>
        <v/>
      </c>
      <c r="V422" s="55" t="str">
        <f t="shared" si="48"/>
        <v/>
      </c>
      <c r="W422" s="30"/>
      <c r="X422" s="33"/>
    </row>
    <row r="423" spans="1:24" x14ac:dyDescent="0.25">
      <c r="A423" s="29" t="str">
        <f t="shared" si="43"/>
        <v/>
      </c>
      <c r="B423" s="30"/>
      <c r="C423" s="30"/>
      <c r="D423" s="31"/>
      <c r="E423" s="10"/>
      <c r="F423" s="32" t="str">
        <f>IF($D423="","",$D423+IF($E423="",'01. CONFIGURAÇÕES'!$C$22,$E423))</f>
        <v/>
      </c>
      <c r="G423" s="30"/>
      <c r="H423" s="33"/>
      <c r="I423" s="33"/>
      <c r="J423" s="30"/>
      <c r="K423" s="33"/>
      <c r="L423" s="30"/>
      <c r="M423" s="33"/>
      <c r="N423" s="30"/>
      <c r="O423" s="33"/>
      <c r="P423" s="34" t="str">
        <f t="shared" si="44"/>
        <v/>
      </c>
      <c r="Q423" s="35" t="str">
        <f t="shared" si="45"/>
        <v/>
      </c>
      <c r="R423" s="35" t="str">
        <f t="shared" si="49"/>
        <v/>
      </c>
      <c r="S423" s="29" t="str">
        <f t="shared" si="46"/>
        <v/>
      </c>
      <c r="T423" s="13" t="str">
        <f t="shared" ca="1" si="47"/>
        <v/>
      </c>
      <c r="U423" s="29" t="str">
        <f ca="1">IF(OR($A423="",$F423=""),"",IF($R423&lt;&gt;"",IF($R423&lt;=$F423,"NO PRAZO","FORA DO PRAZO"),IF(TODAY()&gt;$F423,"VENCIDO",IF($F423-TODAY()&lt;='01. CONFIGURAÇÕES'!$C$23,"VENCE EM BREVE","EM DIA"))))</f>
        <v/>
      </c>
      <c r="V423" s="55" t="str">
        <f t="shared" si="48"/>
        <v/>
      </c>
      <c r="W423" s="30"/>
      <c r="X423" s="33"/>
    </row>
    <row r="424" spans="1:24" x14ac:dyDescent="0.25">
      <c r="A424" s="29" t="str">
        <f t="shared" si="43"/>
        <v/>
      </c>
      <c r="B424" s="30"/>
      <c r="C424" s="30"/>
      <c r="D424" s="31"/>
      <c r="E424" s="10"/>
      <c r="F424" s="32" t="str">
        <f>IF($D424="","",$D424+IF($E424="",'01. CONFIGURAÇÕES'!$C$22,$E424))</f>
        <v/>
      </c>
      <c r="G424" s="30"/>
      <c r="H424" s="33"/>
      <c r="I424" s="33"/>
      <c r="J424" s="30"/>
      <c r="K424" s="33"/>
      <c r="L424" s="30"/>
      <c r="M424" s="33"/>
      <c r="N424" s="30"/>
      <c r="O424" s="33"/>
      <c r="P424" s="34" t="str">
        <f t="shared" si="44"/>
        <v/>
      </c>
      <c r="Q424" s="35" t="str">
        <f t="shared" si="45"/>
        <v/>
      </c>
      <c r="R424" s="35" t="str">
        <f t="shared" si="49"/>
        <v/>
      </c>
      <c r="S424" s="29" t="str">
        <f t="shared" si="46"/>
        <v/>
      </c>
      <c r="T424" s="13" t="str">
        <f t="shared" ca="1" si="47"/>
        <v/>
      </c>
      <c r="U424" s="29" t="str">
        <f ca="1">IF(OR($A424="",$F424=""),"",IF($R424&lt;&gt;"",IF($R424&lt;=$F424,"NO PRAZO","FORA DO PRAZO"),IF(TODAY()&gt;$F424,"VENCIDO",IF($F424-TODAY()&lt;='01. CONFIGURAÇÕES'!$C$23,"VENCE EM BREVE","EM DIA"))))</f>
        <v/>
      </c>
      <c r="V424" s="55" t="str">
        <f t="shared" si="48"/>
        <v/>
      </c>
      <c r="W424" s="30"/>
      <c r="X424" s="33"/>
    </row>
    <row r="425" spans="1:24" x14ac:dyDescent="0.25">
      <c r="A425" s="29" t="str">
        <f t="shared" si="43"/>
        <v/>
      </c>
      <c r="B425" s="30"/>
      <c r="C425" s="30"/>
      <c r="D425" s="31"/>
      <c r="E425" s="10"/>
      <c r="F425" s="32" t="str">
        <f>IF($D425="","",$D425+IF($E425="",'01. CONFIGURAÇÕES'!$C$22,$E425))</f>
        <v/>
      </c>
      <c r="G425" s="30"/>
      <c r="H425" s="33"/>
      <c r="I425" s="33"/>
      <c r="J425" s="30"/>
      <c r="K425" s="33"/>
      <c r="L425" s="30"/>
      <c r="M425" s="33"/>
      <c r="N425" s="30"/>
      <c r="O425" s="33"/>
      <c r="P425" s="34" t="str">
        <f t="shared" si="44"/>
        <v/>
      </c>
      <c r="Q425" s="35" t="str">
        <f t="shared" si="45"/>
        <v/>
      </c>
      <c r="R425" s="35" t="str">
        <f t="shared" si="49"/>
        <v/>
      </c>
      <c r="S425" s="29" t="str">
        <f t="shared" si="46"/>
        <v/>
      </c>
      <c r="T425" s="13" t="str">
        <f t="shared" ca="1" si="47"/>
        <v/>
      </c>
      <c r="U425" s="29" t="str">
        <f ca="1">IF(OR($A425="",$F425=""),"",IF($R425&lt;&gt;"",IF($R425&lt;=$F425,"NO PRAZO","FORA DO PRAZO"),IF(TODAY()&gt;$F425,"VENCIDO",IF($F425-TODAY()&lt;='01. CONFIGURAÇÕES'!$C$23,"VENCE EM BREVE","EM DIA"))))</f>
        <v/>
      </c>
      <c r="V425" s="55" t="str">
        <f t="shared" si="48"/>
        <v/>
      </c>
      <c r="W425" s="30"/>
      <c r="X425" s="33"/>
    </row>
    <row r="426" spans="1:24" x14ac:dyDescent="0.25">
      <c r="A426" s="29" t="str">
        <f t="shared" si="43"/>
        <v/>
      </c>
      <c r="B426" s="30"/>
      <c r="C426" s="30"/>
      <c r="D426" s="31"/>
      <c r="E426" s="10"/>
      <c r="F426" s="32" t="str">
        <f>IF($D426="","",$D426+IF($E426="",'01. CONFIGURAÇÕES'!$C$22,$E426))</f>
        <v/>
      </c>
      <c r="G426" s="30"/>
      <c r="H426" s="33"/>
      <c r="I426" s="33"/>
      <c r="J426" s="30"/>
      <c r="K426" s="33"/>
      <c r="L426" s="30"/>
      <c r="M426" s="33"/>
      <c r="N426" s="30"/>
      <c r="O426" s="33"/>
      <c r="P426" s="34" t="str">
        <f t="shared" si="44"/>
        <v/>
      </c>
      <c r="Q426" s="35" t="str">
        <f t="shared" si="45"/>
        <v/>
      </c>
      <c r="R426" s="35" t="str">
        <f t="shared" si="49"/>
        <v/>
      </c>
      <c r="S426" s="29" t="str">
        <f t="shared" si="46"/>
        <v/>
      </c>
      <c r="T426" s="13" t="str">
        <f t="shared" ca="1" si="47"/>
        <v/>
      </c>
      <c r="U426" s="29" t="str">
        <f ca="1">IF(OR($A426="",$F426=""),"",IF($R426&lt;&gt;"",IF($R426&lt;=$F426,"NO PRAZO","FORA DO PRAZO"),IF(TODAY()&gt;$F426,"VENCIDO",IF($F426-TODAY()&lt;='01. CONFIGURAÇÕES'!$C$23,"VENCE EM BREVE","EM DIA"))))</f>
        <v/>
      </c>
      <c r="V426" s="55" t="str">
        <f t="shared" si="48"/>
        <v/>
      </c>
      <c r="W426" s="30"/>
      <c r="X426" s="33"/>
    </row>
    <row r="427" spans="1:24" x14ac:dyDescent="0.25">
      <c r="A427" s="29" t="str">
        <f t="shared" si="43"/>
        <v/>
      </c>
      <c r="B427" s="30"/>
      <c r="C427" s="30"/>
      <c r="D427" s="31"/>
      <c r="E427" s="10"/>
      <c r="F427" s="32" t="str">
        <f>IF($D427="","",$D427+IF($E427="",'01. CONFIGURAÇÕES'!$C$22,$E427))</f>
        <v/>
      </c>
      <c r="G427" s="30"/>
      <c r="H427" s="33"/>
      <c r="I427" s="33"/>
      <c r="J427" s="30"/>
      <c r="K427" s="33"/>
      <c r="L427" s="30"/>
      <c r="M427" s="33"/>
      <c r="N427" s="30"/>
      <c r="O427" s="33"/>
      <c r="P427" s="34" t="str">
        <f t="shared" si="44"/>
        <v/>
      </c>
      <c r="Q427" s="35" t="str">
        <f t="shared" si="45"/>
        <v/>
      </c>
      <c r="R427" s="35" t="str">
        <f t="shared" si="49"/>
        <v/>
      </c>
      <c r="S427" s="29" t="str">
        <f t="shared" si="46"/>
        <v/>
      </c>
      <c r="T427" s="13" t="str">
        <f t="shared" ca="1" si="47"/>
        <v/>
      </c>
      <c r="U427" s="29" t="str">
        <f ca="1">IF(OR($A427="",$F427=""),"",IF($R427&lt;&gt;"",IF($R427&lt;=$F427,"NO PRAZO","FORA DO PRAZO"),IF(TODAY()&gt;$F427,"VENCIDO",IF($F427-TODAY()&lt;='01. CONFIGURAÇÕES'!$C$23,"VENCE EM BREVE","EM DIA"))))</f>
        <v/>
      </c>
      <c r="V427" s="55" t="str">
        <f t="shared" si="48"/>
        <v/>
      </c>
      <c r="W427" s="30"/>
      <c r="X427" s="33"/>
    </row>
    <row r="428" spans="1:24" x14ac:dyDescent="0.25">
      <c r="A428" s="29" t="str">
        <f t="shared" si="43"/>
        <v/>
      </c>
      <c r="B428" s="30"/>
      <c r="C428" s="30"/>
      <c r="D428" s="31"/>
      <c r="E428" s="10"/>
      <c r="F428" s="32" t="str">
        <f>IF($D428="","",$D428+IF($E428="",'01. CONFIGURAÇÕES'!$C$22,$E428))</f>
        <v/>
      </c>
      <c r="G428" s="30"/>
      <c r="H428" s="33"/>
      <c r="I428" s="33"/>
      <c r="J428" s="30"/>
      <c r="K428" s="33"/>
      <c r="L428" s="30"/>
      <c r="M428" s="33"/>
      <c r="N428" s="30"/>
      <c r="O428" s="33"/>
      <c r="P428" s="34" t="str">
        <f t="shared" si="44"/>
        <v/>
      </c>
      <c r="Q428" s="35" t="str">
        <f t="shared" si="45"/>
        <v/>
      </c>
      <c r="R428" s="35" t="str">
        <f t="shared" si="49"/>
        <v/>
      </c>
      <c r="S428" s="29" t="str">
        <f t="shared" si="46"/>
        <v/>
      </c>
      <c r="T428" s="13" t="str">
        <f t="shared" ca="1" si="47"/>
        <v/>
      </c>
      <c r="U428" s="29" t="str">
        <f ca="1">IF(OR($A428="",$F428=""),"",IF($R428&lt;&gt;"",IF($R428&lt;=$F428,"NO PRAZO","FORA DO PRAZO"),IF(TODAY()&gt;$F428,"VENCIDO",IF($F428-TODAY()&lt;='01. CONFIGURAÇÕES'!$C$23,"VENCE EM BREVE","EM DIA"))))</f>
        <v/>
      </c>
      <c r="V428" s="55" t="str">
        <f t="shared" si="48"/>
        <v/>
      </c>
      <c r="W428" s="30"/>
      <c r="X428" s="33"/>
    </row>
    <row r="429" spans="1:24" x14ac:dyDescent="0.25">
      <c r="A429" s="29" t="str">
        <f t="shared" si="43"/>
        <v/>
      </c>
      <c r="B429" s="30"/>
      <c r="C429" s="30"/>
      <c r="D429" s="31"/>
      <c r="E429" s="10"/>
      <c r="F429" s="32" t="str">
        <f>IF($D429="","",$D429+IF($E429="",'01. CONFIGURAÇÕES'!$C$22,$E429))</f>
        <v/>
      </c>
      <c r="G429" s="30"/>
      <c r="H429" s="33"/>
      <c r="I429" s="33"/>
      <c r="J429" s="30"/>
      <c r="K429" s="33"/>
      <c r="L429" s="30"/>
      <c r="M429" s="33"/>
      <c r="N429" s="30"/>
      <c r="O429" s="33"/>
      <c r="P429" s="34" t="str">
        <f t="shared" si="44"/>
        <v/>
      </c>
      <c r="Q429" s="35" t="str">
        <f t="shared" si="45"/>
        <v/>
      </c>
      <c r="R429" s="35" t="str">
        <f t="shared" si="49"/>
        <v/>
      </c>
      <c r="S429" s="29" t="str">
        <f t="shared" si="46"/>
        <v/>
      </c>
      <c r="T429" s="13" t="str">
        <f t="shared" ca="1" si="47"/>
        <v/>
      </c>
      <c r="U429" s="29" t="str">
        <f ca="1">IF(OR($A429="",$F429=""),"",IF($R429&lt;&gt;"",IF($R429&lt;=$F429,"NO PRAZO","FORA DO PRAZO"),IF(TODAY()&gt;$F429,"VENCIDO",IF($F429-TODAY()&lt;='01. CONFIGURAÇÕES'!$C$23,"VENCE EM BREVE","EM DIA"))))</f>
        <v/>
      </c>
      <c r="V429" s="55" t="str">
        <f t="shared" si="48"/>
        <v/>
      </c>
      <c r="W429" s="30"/>
      <c r="X429" s="33"/>
    </row>
    <row r="430" spans="1:24" x14ac:dyDescent="0.25">
      <c r="A430" s="29" t="str">
        <f t="shared" si="43"/>
        <v/>
      </c>
      <c r="B430" s="30"/>
      <c r="C430" s="30"/>
      <c r="D430" s="31"/>
      <c r="E430" s="10"/>
      <c r="F430" s="32" t="str">
        <f>IF($D430="","",$D430+IF($E430="",'01. CONFIGURAÇÕES'!$C$22,$E430))</f>
        <v/>
      </c>
      <c r="G430" s="30"/>
      <c r="H430" s="33"/>
      <c r="I430" s="33"/>
      <c r="J430" s="30"/>
      <c r="K430" s="33"/>
      <c r="L430" s="30"/>
      <c r="M430" s="33"/>
      <c r="N430" s="30"/>
      <c r="O430" s="33"/>
      <c r="P430" s="34" t="str">
        <f t="shared" si="44"/>
        <v/>
      </c>
      <c r="Q430" s="35" t="str">
        <f t="shared" si="45"/>
        <v/>
      </c>
      <c r="R430" s="35" t="str">
        <f t="shared" si="49"/>
        <v/>
      </c>
      <c r="S430" s="29" t="str">
        <f t="shared" si="46"/>
        <v/>
      </c>
      <c r="T430" s="13" t="str">
        <f t="shared" ca="1" si="47"/>
        <v/>
      </c>
      <c r="U430" s="29" t="str">
        <f ca="1">IF(OR($A430="",$F430=""),"",IF($R430&lt;&gt;"",IF($R430&lt;=$F430,"NO PRAZO","FORA DO PRAZO"),IF(TODAY()&gt;$F430,"VENCIDO",IF($F430-TODAY()&lt;='01. CONFIGURAÇÕES'!$C$23,"VENCE EM BREVE","EM DIA"))))</f>
        <v/>
      </c>
      <c r="V430" s="55" t="str">
        <f t="shared" si="48"/>
        <v/>
      </c>
      <c r="W430" s="30"/>
      <c r="X430" s="33"/>
    </row>
    <row r="431" spans="1:24" x14ac:dyDescent="0.25">
      <c r="A431" s="29" t="str">
        <f t="shared" si="43"/>
        <v/>
      </c>
      <c r="B431" s="30"/>
      <c r="C431" s="30"/>
      <c r="D431" s="31"/>
      <c r="E431" s="10"/>
      <c r="F431" s="32" t="str">
        <f>IF($D431="","",$D431+IF($E431="",'01. CONFIGURAÇÕES'!$C$22,$E431))</f>
        <v/>
      </c>
      <c r="G431" s="30"/>
      <c r="H431" s="33"/>
      <c r="I431" s="33"/>
      <c r="J431" s="30"/>
      <c r="K431" s="33"/>
      <c r="L431" s="30"/>
      <c r="M431" s="33"/>
      <c r="N431" s="30"/>
      <c r="O431" s="33"/>
      <c r="P431" s="34" t="str">
        <f t="shared" si="44"/>
        <v/>
      </c>
      <c r="Q431" s="35" t="str">
        <f t="shared" si="45"/>
        <v/>
      </c>
      <c r="R431" s="35" t="str">
        <f t="shared" si="49"/>
        <v/>
      </c>
      <c r="S431" s="29" t="str">
        <f t="shared" si="46"/>
        <v/>
      </c>
      <c r="T431" s="13" t="str">
        <f t="shared" ca="1" si="47"/>
        <v/>
      </c>
      <c r="U431" s="29" t="str">
        <f ca="1">IF(OR($A431="",$F431=""),"",IF($R431&lt;&gt;"",IF($R431&lt;=$F431,"NO PRAZO","FORA DO PRAZO"),IF(TODAY()&gt;$F431,"VENCIDO",IF($F431-TODAY()&lt;='01. CONFIGURAÇÕES'!$C$23,"VENCE EM BREVE","EM DIA"))))</f>
        <v/>
      </c>
      <c r="V431" s="55" t="str">
        <f t="shared" si="48"/>
        <v/>
      </c>
      <c r="W431" s="30"/>
      <c r="X431" s="33"/>
    </row>
    <row r="432" spans="1:24" x14ac:dyDescent="0.25">
      <c r="A432" s="29" t="str">
        <f t="shared" si="43"/>
        <v/>
      </c>
      <c r="B432" s="30"/>
      <c r="C432" s="30"/>
      <c r="D432" s="31"/>
      <c r="E432" s="10"/>
      <c r="F432" s="32" t="str">
        <f>IF($D432="","",$D432+IF($E432="",'01. CONFIGURAÇÕES'!$C$22,$E432))</f>
        <v/>
      </c>
      <c r="G432" s="30"/>
      <c r="H432" s="33"/>
      <c r="I432" s="33"/>
      <c r="J432" s="30"/>
      <c r="K432" s="33"/>
      <c r="L432" s="30"/>
      <c r="M432" s="33"/>
      <c r="N432" s="30"/>
      <c r="O432" s="33"/>
      <c r="P432" s="34" t="str">
        <f t="shared" si="44"/>
        <v/>
      </c>
      <c r="Q432" s="35" t="str">
        <f t="shared" si="45"/>
        <v/>
      </c>
      <c r="R432" s="35" t="str">
        <f t="shared" si="49"/>
        <v/>
      </c>
      <c r="S432" s="29" t="str">
        <f t="shared" si="46"/>
        <v/>
      </c>
      <c r="T432" s="13" t="str">
        <f t="shared" ca="1" si="47"/>
        <v/>
      </c>
      <c r="U432" s="29" t="str">
        <f ca="1">IF(OR($A432="",$F432=""),"",IF($R432&lt;&gt;"",IF($R432&lt;=$F432,"NO PRAZO","FORA DO PRAZO"),IF(TODAY()&gt;$F432,"VENCIDO",IF($F432-TODAY()&lt;='01. CONFIGURAÇÕES'!$C$23,"VENCE EM BREVE","EM DIA"))))</f>
        <v/>
      </c>
      <c r="V432" s="55" t="str">
        <f t="shared" si="48"/>
        <v/>
      </c>
      <c r="W432" s="30"/>
      <c r="X432" s="33"/>
    </row>
    <row r="433" spans="1:24" x14ac:dyDescent="0.25">
      <c r="A433" s="29" t="str">
        <f t="shared" si="43"/>
        <v/>
      </c>
      <c r="B433" s="30"/>
      <c r="C433" s="30"/>
      <c r="D433" s="31"/>
      <c r="E433" s="10"/>
      <c r="F433" s="32" t="str">
        <f>IF($D433="","",$D433+IF($E433="",'01. CONFIGURAÇÕES'!$C$22,$E433))</f>
        <v/>
      </c>
      <c r="G433" s="30"/>
      <c r="H433" s="33"/>
      <c r="I433" s="33"/>
      <c r="J433" s="30"/>
      <c r="K433" s="33"/>
      <c r="L433" s="30"/>
      <c r="M433" s="33"/>
      <c r="N433" s="30"/>
      <c r="O433" s="33"/>
      <c r="P433" s="34" t="str">
        <f t="shared" si="44"/>
        <v/>
      </c>
      <c r="Q433" s="35" t="str">
        <f t="shared" si="45"/>
        <v/>
      </c>
      <c r="R433" s="35" t="str">
        <f t="shared" si="49"/>
        <v/>
      </c>
      <c r="S433" s="29" t="str">
        <f t="shared" si="46"/>
        <v/>
      </c>
      <c r="T433" s="13" t="str">
        <f t="shared" ca="1" si="47"/>
        <v/>
      </c>
      <c r="U433" s="29" t="str">
        <f ca="1">IF(OR($A433="",$F433=""),"",IF($R433&lt;&gt;"",IF($R433&lt;=$F433,"NO PRAZO","FORA DO PRAZO"),IF(TODAY()&gt;$F433,"VENCIDO",IF($F433-TODAY()&lt;='01. CONFIGURAÇÕES'!$C$23,"VENCE EM BREVE","EM DIA"))))</f>
        <v/>
      </c>
      <c r="V433" s="55" t="str">
        <f t="shared" si="48"/>
        <v/>
      </c>
      <c r="W433" s="30"/>
      <c r="X433" s="33"/>
    </row>
    <row r="434" spans="1:24" x14ac:dyDescent="0.25">
      <c r="A434" s="29" t="str">
        <f t="shared" si="43"/>
        <v/>
      </c>
      <c r="B434" s="30"/>
      <c r="C434" s="30"/>
      <c r="D434" s="31"/>
      <c r="E434" s="10"/>
      <c r="F434" s="32" t="str">
        <f>IF($D434="","",$D434+IF($E434="",'01. CONFIGURAÇÕES'!$C$22,$E434))</f>
        <v/>
      </c>
      <c r="G434" s="30"/>
      <c r="H434" s="33"/>
      <c r="I434" s="33"/>
      <c r="J434" s="30"/>
      <c r="K434" s="33"/>
      <c r="L434" s="30"/>
      <c r="M434" s="33"/>
      <c r="N434" s="30"/>
      <c r="O434" s="33"/>
      <c r="P434" s="34" t="str">
        <f t="shared" si="44"/>
        <v/>
      </c>
      <c r="Q434" s="35" t="str">
        <f t="shared" si="45"/>
        <v/>
      </c>
      <c r="R434" s="35" t="str">
        <f t="shared" si="49"/>
        <v/>
      </c>
      <c r="S434" s="29" t="str">
        <f t="shared" si="46"/>
        <v/>
      </c>
      <c r="T434" s="13" t="str">
        <f t="shared" ca="1" si="47"/>
        <v/>
      </c>
      <c r="U434" s="29" t="str">
        <f ca="1">IF(OR($A434="",$F434=""),"",IF($R434&lt;&gt;"",IF($R434&lt;=$F434,"NO PRAZO","FORA DO PRAZO"),IF(TODAY()&gt;$F434,"VENCIDO",IF($F434-TODAY()&lt;='01. CONFIGURAÇÕES'!$C$23,"VENCE EM BREVE","EM DIA"))))</f>
        <v/>
      </c>
      <c r="V434" s="55" t="str">
        <f t="shared" si="48"/>
        <v/>
      </c>
      <c r="W434" s="30"/>
      <c r="X434" s="33"/>
    </row>
    <row r="435" spans="1:24" x14ac:dyDescent="0.25">
      <c r="A435" s="29" t="str">
        <f t="shared" si="43"/>
        <v/>
      </c>
      <c r="B435" s="30"/>
      <c r="C435" s="30"/>
      <c r="D435" s="31"/>
      <c r="E435" s="10"/>
      <c r="F435" s="32" t="str">
        <f>IF($D435="","",$D435+IF($E435="",'01. CONFIGURAÇÕES'!$C$22,$E435))</f>
        <v/>
      </c>
      <c r="G435" s="30"/>
      <c r="H435" s="33"/>
      <c r="I435" s="33"/>
      <c r="J435" s="30"/>
      <c r="K435" s="33"/>
      <c r="L435" s="30"/>
      <c r="M435" s="33"/>
      <c r="N435" s="30"/>
      <c r="O435" s="33"/>
      <c r="P435" s="34" t="str">
        <f t="shared" si="44"/>
        <v/>
      </c>
      <c r="Q435" s="35" t="str">
        <f t="shared" si="45"/>
        <v/>
      </c>
      <c r="R435" s="35" t="str">
        <f t="shared" si="49"/>
        <v/>
      </c>
      <c r="S435" s="29" t="str">
        <f t="shared" si="46"/>
        <v/>
      </c>
      <c r="T435" s="13" t="str">
        <f t="shared" ca="1" si="47"/>
        <v/>
      </c>
      <c r="U435" s="29" t="str">
        <f ca="1">IF(OR($A435="",$F435=""),"",IF($R435&lt;&gt;"",IF($R435&lt;=$F435,"NO PRAZO","FORA DO PRAZO"),IF(TODAY()&gt;$F435,"VENCIDO",IF($F435-TODAY()&lt;='01. CONFIGURAÇÕES'!$C$23,"VENCE EM BREVE","EM DIA"))))</f>
        <v/>
      </c>
      <c r="V435" s="55" t="str">
        <f t="shared" si="48"/>
        <v/>
      </c>
      <c r="W435" s="30"/>
      <c r="X435" s="33"/>
    </row>
    <row r="436" spans="1:24" x14ac:dyDescent="0.25">
      <c r="A436" s="29" t="str">
        <f t="shared" si="43"/>
        <v/>
      </c>
      <c r="B436" s="30"/>
      <c r="C436" s="30"/>
      <c r="D436" s="31"/>
      <c r="E436" s="10"/>
      <c r="F436" s="32" t="str">
        <f>IF($D436="","",$D436+IF($E436="",'01. CONFIGURAÇÕES'!$C$22,$E436))</f>
        <v/>
      </c>
      <c r="G436" s="30"/>
      <c r="H436" s="33"/>
      <c r="I436" s="33"/>
      <c r="J436" s="30"/>
      <c r="K436" s="33"/>
      <c r="L436" s="30"/>
      <c r="M436" s="33"/>
      <c r="N436" s="30"/>
      <c r="O436" s="33"/>
      <c r="P436" s="34" t="str">
        <f t="shared" si="44"/>
        <v/>
      </c>
      <c r="Q436" s="35" t="str">
        <f t="shared" si="45"/>
        <v/>
      </c>
      <c r="R436" s="35" t="str">
        <f t="shared" si="49"/>
        <v/>
      </c>
      <c r="S436" s="29" t="str">
        <f t="shared" si="46"/>
        <v/>
      </c>
      <c r="T436" s="13" t="str">
        <f t="shared" ca="1" si="47"/>
        <v/>
      </c>
      <c r="U436" s="29" t="str">
        <f ca="1">IF(OR($A436="",$F436=""),"",IF($R436&lt;&gt;"",IF($R436&lt;=$F436,"NO PRAZO","FORA DO PRAZO"),IF(TODAY()&gt;$F436,"VENCIDO",IF($F436-TODAY()&lt;='01. CONFIGURAÇÕES'!$C$23,"VENCE EM BREVE","EM DIA"))))</f>
        <v/>
      </c>
      <c r="V436" s="55" t="str">
        <f t="shared" si="48"/>
        <v/>
      </c>
      <c r="W436" s="30"/>
      <c r="X436" s="33"/>
    </row>
    <row r="437" spans="1:24" x14ac:dyDescent="0.25">
      <c r="A437" s="29" t="str">
        <f t="shared" si="43"/>
        <v/>
      </c>
      <c r="B437" s="30"/>
      <c r="C437" s="30"/>
      <c r="D437" s="31"/>
      <c r="E437" s="10"/>
      <c r="F437" s="32" t="str">
        <f>IF($D437="","",$D437+IF($E437="",'01. CONFIGURAÇÕES'!$C$22,$E437))</f>
        <v/>
      </c>
      <c r="G437" s="30"/>
      <c r="H437" s="33"/>
      <c r="I437" s="33"/>
      <c r="J437" s="30"/>
      <c r="K437" s="33"/>
      <c r="L437" s="30"/>
      <c r="M437" s="33"/>
      <c r="N437" s="30"/>
      <c r="O437" s="33"/>
      <c r="P437" s="34" t="str">
        <f t="shared" si="44"/>
        <v/>
      </c>
      <c r="Q437" s="35" t="str">
        <f t="shared" si="45"/>
        <v/>
      </c>
      <c r="R437" s="35" t="str">
        <f t="shared" si="49"/>
        <v/>
      </c>
      <c r="S437" s="29" t="str">
        <f t="shared" si="46"/>
        <v/>
      </c>
      <c r="T437" s="13" t="str">
        <f t="shared" ca="1" si="47"/>
        <v/>
      </c>
      <c r="U437" s="29" t="str">
        <f ca="1">IF(OR($A437="",$F437=""),"",IF($R437&lt;&gt;"",IF($R437&lt;=$F437,"NO PRAZO","FORA DO PRAZO"),IF(TODAY()&gt;$F437,"VENCIDO",IF($F437-TODAY()&lt;='01. CONFIGURAÇÕES'!$C$23,"VENCE EM BREVE","EM DIA"))))</f>
        <v/>
      </c>
      <c r="V437" s="55" t="str">
        <f t="shared" si="48"/>
        <v/>
      </c>
      <c r="W437" s="30"/>
      <c r="X437" s="33"/>
    </row>
    <row r="438" spans="1:24" x14ac:dyDescent="0.25">
      <c r="A438" s="29" t="str">
        <f t="shared" si="43"/>
        <v/>
      </c>
      <c r="B438" s="30"/>
      <c r="C438" s="30"/>
      <c r="D438" s="31"/>
      <c r="E438" s="10"/>
      <c r="F438" s="32" t="str">
        <f>IF($D438="","",$D438+IF($E438="",'01. CONFIGURAÇÕES'!$C$22,$E438))</f>
        <v/>
      </c>
      <c r="G438" s="30"/>
      <c r="H438" s="33"/>
      <c r="I438" s="33"/>
      <c r="J438" s="30"/>
      <c r="K438" s="33"/>
      <c r="L438" s="30"/>
      <c r="M438" s="33"/>
      <c r="N438" s="30"/>
      <c r="O438" s="33"/>
      <c r="P438" s="34" t="str">
        <f t="shared" si="44"/>
        <v/>
      </c>
      <c r="Q438" s="35" t="str">
        <f t="shared" si="45"/>
        <v/>
      </c>
      <c r="R438" s="35" t="str">
        <f t="shared" si="49"/>
        <v/>
      </c>
      <c r="S438" s="29" t="str">
        <f t="shared" si="46"/>
        <v/>
      </c>
      <c r="T438" s="13" t="str">
        <f t="shared" ca="1" si="47"/>
        <v/>
      </c>
      <c r="U438" s="29" t="str">
        <f ca="1">IF(OR($A438="",$F438=""),"",IF($R438&lt;&gt;"",IF($R438&lt;=$F438,"NO PRAZO","FORA DO PRAZO"),IF(TODAY()&gt;$F438,"VENCIDO",IF($F438-TODAY()&lt;='01. CONFIGURAÇÕES'!$C$23,"VENCE EM BREVE","EM DIA"))))</f>
        <v/>
      </c>
      <c r="V438" s="55" t="str">
        <f t="shared" si="48"/>
        <v/>
      </c>
      <c r="W438" s="30"/>
      <c r="X438" s="33"/>
    </row>
    <row r="439" spans="1:24" x14ac:dyDescent="0.25">
      <c r="A439" s="29" t="str">
        <f t="shared" si="43"/>
        <v/>
      </c>
      <c r="B439" s="30"/>
      <c r="C439" s="30"/>
      <c r="D439" s="31"/>
      <c r="E439" s="10"/>
      <c r="F439" s="32" t="str">
        <f>IF($D439="","",$D439+IF($E439="",'01. CONFIGURAÇÕES'!$C$22,$E439))</f>
        <v/>
      </c>
      <c r="G439" s="30"/>
      <c r="H439" s="33"/>
      <c r="I439" s="33"/>
      <c r="J439" s="30"/>
      <c r="K439" s="33"/>
      <c r="L439" s="30"/>
      <c r="M439" s="33"/>
      <c r="N439" s="30"/>
      <c r="O439" s="33"/>
      <c r="P439" s="34" t="str">
        <f t="shared" si="44"/>
        <v/>
      </c>
      <c r="Q439" s="35" t="str">
        <f t="shared" si="45"/>
        <v/>
      </c>
      <c r="R439" s="35" t="str">
        <f t="shared" si="49"/>
        <v/>
      </c>
      <c r="S439" s="29" t="str">
        <f t="shared" si="46"/>
        <v/>
      </c>
      <c r="T439" s="13" t="str">
        <f t="shared" ca="1" si="47"/>
        <v/>
      </c>
      <c r="U439" s="29" t="str">
        <f ca="1">IF(OR($A439="",$F439=""),"",IF($R439&lt;&gt;"",IF($R439&lt;=$F439,"NO PRAZO","FORA DO PRAZO"),IF(TODAY()&gt;$F439,"VENCIDO",IF($F439-TODAY()&lt;='01. CONFIGURAÇÕES'!$C$23,"VENCE EM BREVE","EM DIA"))))</f>
        <v/>
      </c>
      <c r="V439" s="55" t="str">
        <f t="shared" si="48"/>
        <v/>
      </c>
      <c r="W439" s="30"/>
      <c r="X439" s="33"/>
    </row>
    <row r="440" spans="1:24" x14ac:dyDescent="0.25">
      <c r="A440" s="29" t="str">
        <f t="shared" si="43"/>
        <v/>
      </c>
      <c r="B440" s="30"/>
      <c r="C440" s="30"/>
      <c r="D440" s="31"/>
      <c r="E440" s="10"/>
      <c r="F440" s="32" t="str">
        <f>IF($D440="","",$D440+IF($E440="",'01. CONFIGURAÇÕES'!$C$22,$E440))</f>
        <v/>
      </c>
      <c r="G440" s="30"/>
      <c r="H440" s="33"/>
      <c r="I440" s="33"/>
      <c r="J440" s="30"/>
      <c r="K440" s="33"/>
      <c r="L440" s="30"/>
      <c r="M440" s="33"/>
      <c r="N440" s="30"/>
      <c r="O440" s="33"/>
      <c r="P440" s="34" t="str">
        <f t="shared" si="44"/>
        <v/>
      </c>
      <c r="Q440" s="35" t="str">
        <f t="shared" si="45"/>
        <v/>
      </c>
      <c r="R440" s="35" t="str">
        <f t="shared" si="49"/>
        <v/>
      </c>
      <c r="S440" s="29" t="str">
        <f t="shared" si="46"/>
        <v/>
      </c>
      <c r="T440" s="13" t="str">
        <f t="shared" ca="1" si="47"/>
        <v/>
      </c>
      <c r="U440" s="29" t="str">
        <f ca="1">IF(OR($A440="",$F440=""),"",IF($R440&lt;&gt;"",IF($R440&lt;=$F440,"NO PRAZO","FORA DO PRAZO"),IF(TODAY()&gt;$F440,"VENCIDO",IF($F440-TODAY()&lt;='01. CONFIGURAÇÕES'!$C$23,"VENCE EM BREVE","EM DIA"))))</f>
        <v/>
      </c>
      <c r="V440" s="55" t="str">
        <f t="shared" si="48"/>
        <v/>
      </c>
      <c r="W440" s="30"/>
      <c r="X440" s="33"/>
    </row>
    <row r="441" spans="1:24" x14ac:dyDescent="0.25">
      <c r="A441" s="29" t="str">
        <f t="shared" si="43"/>
        <v/>
      </c>
      <c r="B441" s="30"/>
      <c r="C441" s="30"/>
      <c r="D441" s="31"/>
      <c r="E441" s="10"/>
      <c r="F441" s="32" t="str">
        <f>IF($D441="","",$D441+IF($E441="",'01. CONFIGURAÇÕES'!$C$22,$E441))</f>
        <v/>
      </c>
      <c r="G441" s="30"/>
      <c r="H441" s="33"/>
      <c r="I441" s="33"/>
      <c r="J441" s="30"/>
      <c r="K441" s="33"/>
      <c r="L441" s="30"/>
      <c r="M441" s="33"/>
      <c r="N441" s="30"/>
      <c r="O441" s="33"/>
      <c r="P441" s="34" t="str">
        <f t="shared" si="44"/>
        <v/>
      </c>
      <c r="Q441" s="35" t="str">
        <f t="shared" si="45"/>
        <v/>
      </c>
      <c r="R441" s="35" t="str">
        <f t="shared" si="49"/>
        <v/>
      </c>
      <c r="S441" s="29" t="str">
        <f t="shared" si="46"/>
        <v/>
      </c>
      <c r="T441" s="13" t="str">
        <f t="shared" ca="1" si="47"/>
        <v/>
      </c>
      <c r="U441" s="29" t="str">
        <f ca="1">IF(OR($A441="",$F441=""),"",IF($R441&lt;&gt;"",IF($R441&lt;=$F441,"NO PRAZO","FORA DO PRAZO"),IF(TODAY()&gt;$F441,"VENCIDO",IF($F441-TODAY()&lt;='01. CONFIGURAÇÕES'!$C$23,"VENCE EM BREVE","EM DIA"))))</f>
        <v/>
      </c>
      <c r="V441" s="55" t="str">
        <f t="shared" si="48"/>
        <v/>
      </c>
      <c r="W441" s="30"/>
      <c r="X441" s="33"/>
    </row>
    <row r="442" spans="1:24" x14ac:dyDescent="0.25">
      <c r="A442" s="29" t="str">
        <f t="shared" si="43"/>
        <v/>
      </c>
      <c r="B442" s="30"/>
      <c r="C442" s="30"/>
      <c r="D442" s="31"/>
      <c r="E442" s="10"/>
      <c r="F442" s="32" t="str">
        <f>IF($D442="","",$D442+IF($E442="",'01. CONFIGURAÇÕES'!$C$22,$E442))</f>
        <v/>
      </c>
      <c r="G442" s="30"/>
      <c r="H442" s="33"/>
      <c r="I442" s="33"/>
      <c r="J442" s="30"/>
      <c r="K442" s="33"/>
      <c r="L442" s="30"/>
      <c r="M442" s="33"/>
      <c r="N442" s="30"/>
      <c r="O442" s="33"/>
      <c r="P442" s="34" t="str">
        <f t="shared" si="44"/>
        <v/>
      </c>
      <c r="Q442" s="35" t="str">
        <f t="shared" si="45"/>
        <v/>
      </c>
      <c r="R442" s="35" t="str">
        <f t="shared" si="49"/>
        <v/>
      </c>
      <c r="S442" s="29" t="str">
        <f t="shared" si="46"/>
        <v/>
      </c>
      <c r="T442" s="13" t="str">
        <f t="shared" ca="1" si="47"/>
        <v/>
      </c>
      <c r="U442" s="29" t="str">
        <f ca="1">IF(OR($A442="",$F442=""),"",IF($R442&lt;&gt;"",IF($R442&lt;=$F442,"NO PRAZO","FORA DO PRAZO"),IF(TODAY()&gt;$F442,"VENCIDO",IF($F442-TODAY()&lt;='01. CONFIGURAÇÕES'!$C$23,"VENCE EM BREVE","EM DIA"))))</f>
        <v/>
      </c>
      <c r="V442" s="55" t="str">
        <f t="shared" si="48"/>
        <v/>
      </c>
      <c r="W442" s="30"/>
      <c r="X442" s="33"/>
    </row>
    <row r="443" spans="1:24" x14ac:dyDescent="0.25">
      <c r="A443" s="29" t="str">
        <f t="shared" si="43"/>
        <v/>
      </c>
      <c r="B443" s="30"/>
      <c r="C443" s="30"/>
      <c r="D443" s="31"/>
      <c r="E443" s="10"/>
      <c r="F443" s="32" t="str">
        <f>IF($D443="","",$D443+IF($E443="",'01. CONFIGURAÇÕES'!$C$22,$E443))</f>
        <v/>
      </c>
      <c r="G443" s="30"/>
      <c r="H443" s="33"/>
      <c r="I443" s="33"/>
      <c r="J443" s="30"/>
      <c r="K443" s="33"/>
      <c r="L443" s="30"/>
      <c r="M443" s="33"/>
      <c r="N443" s="30"/>
      <c r="O443" s="33"/>
      <c r="P443" s="34" t="str">
        <f t="shared" si="44"/>
        <v/>
      </c>
      <c r="Q443" s="35" t="str">
        <f t="shared" si="45"/>
        <v/>
      </c>
      <c r="R443" s="35" t="str">
        <f t="shared" si="49"/>
        <v/>
      </c>
      <c r="S443" s="29" t="str">
        <f t="shared" si="46"/>
        <v/>
      </c>
      <c r="T443" s="13" t="str">
        <f t="shared" ca="1" si="47"/>
        <v/>
      </c>
      <c r="U443" s="29" t="str">
        <f ca="1">IF(OR($A443="",$F443=""),"",IF($R443&lt;&gt;"",IF($R443&lt;=$F443,"NO PRAZO","FORA DO PRAZO"),IF(TODAY()&gt;$F443,"VENCIDO",IF($F443-TODAY()&lt;='01. CONFIGURAÇÕES'!$C$23,"VENCE EM BREVE","EM DIA"))))</f>
        <v/>
      </c>
      <c r="V443" s="55" t="str">
        <f t="shared" si="48"/>
        <v/>
      </c>
      <c r="W443" s="30"/>
      <c r="X443" s="33"/>
    </row>
    <row r="444" spans="1:24" x14ac:dyDescent="0.25">
      <c r="A444" s="29" t="str">
        <f t="shared" si="43"/>
        <v/>
      </c>
      <c r="B444" s="30"/>
      <c r="C444" s="30"/>
      <c r="D444" s="31"/>
      <c r="E444" s="10"/>
      <c r="F444" s="32" t="str">
        <f>IF($D444="","",$D444+IF($E444="",'01. CONFIGURAÇÕES'!$C$22,$E444))</f>
        <v/>
      </c>
      <c r="G444" s="30"/>
      <c r="H444" s="33"/>
      <c r="I444" s="33"/>
      <c r="J444" s="30"/>
      <c r="K444" s="33"/>
      <c r="L444" s="30"/>
      <c r="M444" s="33"/>
      <c r="N444" s="30"/>
      <c r="O444" s="33"/>
      <c r="P444" s="34" t="str">
        <f t="shared" si="44"/>
        <v/>
      </c>
      <c r="Q444" s="35" t="str">
        <f t="shared" si="45"/>
        <v/>
      </c>
      <c r="R444" s="35" t="str">
        <f t="shared" si="49"/>
        <v/>
      </c>
      <c r="S444" s="29" t="str">
        <f t="shared" si="46"/>
        <v/>
      </c>
      <c r="T444" s="13" t="str">
        <f t="shared" ca="1" si="47"/>
        <v/>
      </c>
      <c r="U444" s="29" t="str">
        <f ca="1">IF(OR($A444="",$F444=""),"",IF($R444&lt;&gt;"",IF($R444&lt;=$F444,"NO PRAZO","FORA DO PRAZO"),IF(TODAY()&gt;$F444,"VENCIDO",IF($F444-TODAY()&lt;='01. CONFIGURAÇÕES'!$C$23,"VENCE EM BREVE","EM DIA"))))</f>
        <v/>
      </c>
      <c r="V444" s="55" t="str">
        <f t="shared" si="48"/>
        <v/>
      </c>
      <c r="W444" s="30"/>
      <c r="X444" s="33"/>
    </row>
    <row r="445" spans="1:24" x14ac:dyDescent="0.25">
      <c r="A445" s="29" t="str">
        <f t="shared" si="43"/>
        <v/>
      </c>
      <c r="B445" s="30"/>
      <c r="C445" s="30"/>
      <c r="D445" s="31"/>
      <c r="E445" s="10"/>
      <c r="F445" s="32" t="str">
        <f>IF($D445="","",$D445+IF($E445="",'01. CONFIGURAÇÕES'!$C$22,$E445))</f>
        <v/>
      </c>
      <c r="G445" s="30"/>
      <c r="H445" s="33"/>
      <c r="I445" s="33"/>
      <c r="J445" s="30"/>
      <c r="K445" s="33"/>
      <c r="L445" s="30"/>
      <c r="M445" s="33"/>
      <c r="N445" s="30"/>
      <c r="O445" s="33"/>
      <c r="P445" s="34" t="str">
        <f t="shared" si="44"/>
        <v/>
      </c>
      <c r="Q445" s="35" t="str">
        <f t="shared" si="45"/>
        <v/>
      </c>
      <c r="R445" s="35" t="str">
        <f t="shared" si="49"/>
        <v/>
      </c>
      <c r="S445" s="29" t="str">
        <f t="shared" si="46"/>
        <v/>
      </c>
      <c r="T445" s="13" t="str">
        <f t="shared" ca="1" si="47"/>
        <v/>
      </c>
      <c r="U445" s="29" t="str">
        <f ca="1">IF(OR($A445="",$F445=""),"",IF($R445&lt;&gt;"",IF($R445&lt;=$F445,"NO PRAZO","FORA DO PRAZO"),IF(TODAY()&gt;$F445,"VENCIDO",IF($F445-TODAY()&lt;='01. CONFIGURAÇÕES'!$C$23,"VENCE EM BREVE","EM DIA"))))</f>
        <v/>
      </c>
      <c r="V445" s="55" t="str">
        <f t="shared" si="48"/>
        <v/>
      </c>
      <c r="W445" s="30"/>
      <c r="X445" s="33"/>
    </row>
    <row r="446" spans="1:24" x14ac:dyDescent="0.25">
      <c r="A446" s="29" t="str">
        <f t="shared" si="43"/>
        <v/>
      </c>
      <c r="B446" s="30"/>
      <c r="C446" s="30"/>
      <c r="D446" s="31"/>
      <c r="E446" s="10"/>
      <c r="F446" s="32" t="str">
        <f>IF($D446="","",$D446+IF($E446="",'01. CONFIGURAÇÕES'!$C$22,$E446))</f>
        <v/>
      </c>
      <c r="G446" s="30"/>
      <c r="H446" s="33"/>
      <c r="I446" s="33"/>
      <c r="J446" s="30"/>
      <c r="K446" s="33"/>
      <c r="L446" s="30"/>
      <c r="M446" s="33"/>
      <c r="N446" s="30"/>
      <c r="O446" s="33"/>
      <c r="P446" s="34" t="str">
        <f t="shared" si="44"/>
        <v/>
      </c>
      <c r="Q446" s="35" t="str">
        <f t="shared" si="45"/>
        <v/>
      </c>
      <c r="R446" s="35" t="str">
        <f t="shared" si="49"/>
        <v/>
      </c>
      <c r="S446" s="29" t="str">
        <f t="shared" si="46"/>
        <v/>
      </c>
      <c r="T446" s="13" t="str">
        <f t="shared" ca="1" si="47"/>
        <v/>
      </c>
      <c r="U446" s="29" t="str">
        <f ca="1">IF(OR($A446="",$F446=""),"",IF($R446&lt;&gt;"",IF($R446&lt;=$F446,"NO PRAZO","FORA DO PRAZO"),IF(TODAY()&gt;$F446,"VENCIDO",IF($F446-TODAY()&lt;='01. CONFIGURAÇÕES'!$C$23,"VENCE EM BREVE","EM DIA"))))</f>
        <v/>
      </c>
      <c r="V446" s="55" t="str">
        <f t="shared" si="48"/>
        <v/>
      </c>
      <c r="W446" s="30"/>
      <c r="X446" s="33"/>
    </row>
    <row r="447" spans="1:24" x14ac:dyDescent="0.25">
      <c r="A447" s="29" t="str">
        <f t="shared" si="43"/>
        <v/>
      </c>
      <c r="B447" s="30"/>
      <c r="C447" s="30"/>
      <c r="D447" s="31"/>
      <c r="E447" s="10"/>
      <c r="F447" s="32" t="str">
        <f>IF($D447="","",$D447+IF($E447="",'01. CONFIGURAÇÕES'!$C$22,$E447))</f>
        <v/>
      </c>
      <c r="G447" s="30"/>
      <c r="H447" s="33"/>
      <c r="I447" s="33"/>
      <c r="J447" s="30"/>
      <c r="K447" s="33"/>
      <c r="L447" s="30"/>
      <c r="M447" s="33"/>
      <c r="N447" s="30"/>
      <c r="O447" s="33"/>
      <c r="P447" s="34" t="str">
        <f t="shared" si="44"/>
        <v/>
      </c>
      <c r="Q447" s="35" t="str">
        <f t="shared" si="45"/>
        <v/>
      </c>
      <c r="R447" s="35" t="str">
        <f t="shared" si="49"/>
        <v/>
      </c>
      <c r="S447" s="29" t="str">
        <f t="shared" si="46"/>
        <v/>
      </c>
      <c r="T447" s="13" t="str">
        <f t="shared" ca="1" si="47"/>
        <v/>
      </c>
      <c r="U447" s="29" t="str">
        <f ca="1">IF(OR($A447="",$F447=""),"",IF($R447&lt;&gt;"",IF($R447&lt;=$F447,"NO PRAZO","FORA DO PRAZO"),IF(TODAY()&gt;$F447,"VENCIDO",IF($F447-TODAY()&lt;='01. CONFIGURAÇÕES'!$C$23,"VENCE EM BREVE","EM DIA"))))</f>
        <v/>
      </c>
      <c r="V447" s="55" t="str">
        <f t="shared" si="48"/>
        <v/>
      </c>
      <c r="W447" s="30"/>
      <c r="X447" s="33"/>
    </row>
    <row r="448" spans="1:24" x14ac:dyDescent="0.25">
      <c r="A448" s="29" t="str">
        <f t="shared" si="43"/>
        <v/>
      </c>
      <c r="B448" s="30"/>
      <c r="C448" s="30"/>
      <c r="D448" s="31"/>
      <c r="E448" s="10"/>
      <c r="F448" s="32" t="str">
        <f>IF($D448="","",$D448+IF($E448="",'01. CONFIGURAÇÕES'!$C$22,$E448))</f>
        <v/>
      </c>
      <c r="G448" s="30"/>
      <c r="H448" s="33"/>
      <c r="I448" s="33"/>
      <c r="J448" s="30"/>
      <c r="K448" s="33"/>
      <c r="L448" s="30"/>
      <c r="M448" s="33"/>
      <c r="N448" s="30"/>
      <c r="O448" s="33"/>
      <c r="P448" s="34" t="str">
        <f t="shared" si="44"/>
        <v/>
      </c>
      <c r="Q448" s="35" t="str">
        <f t="shared" si="45"/>
        <v/>
      </c>
      <c r="R448" s="35" t="str">
        <f t="shared" si="49"/>
        <v/>
      </c>
      <c r="S448" s="29" t="str">
        <f t="shared" si="46"/>
        <v/>
      </c>
      <c r="T448" s="13" t="str">
        <f t="shared" ca="1" si="47"/>
        <v/>
      </c>
      <c r="U448" s="29" t="str">
        <f ca="1">IF(OR($A448="",$F448=""),"",IF($R448&lt;&gt;"",IF($R448&lt;=$F448,"NO PRAZO","FORA DO PRAZO"),IF(TODAY()&gt;$F448,"VENCIDO",IF($F448-TODAY()&lt;='01. CONFIGURAÇÕES'!$C$23,"VENCE EM BREVE","EM DIA"))))</f>
        <v/>
      </c>
      <c r="V448" s="55" t="str">
        <f t="shared" si="48"/>
        <v/>
      </c>
      <c r="W448" s="30"/>
      <c r="X448" s="33"/>
    </row>
    <row r="449" spans="1:24" x14ac:dyDescent="0.25">
      <c r="A449" s="29" t="str">
        <f t="shared" si="43"/>
        <v/>
      </c>
      <c r="B449" s="30"/>
      <c r="C449" s="30"/>
      <c r="D449" s="31"/>
      <c r="E449" s="10"/>
      <c r="F449" s="32" t="str">
        <f>IF($D449="","",$D449+IF($E449="",'01. CONFIGURAÇÕES'!$C$22,$E449))</f>
        <v/>
      </c>
      <c r="G449" s="30"/>
      <c r="H449" s="33"/>
      <c r="I449" s="33"/>
      <c r="J449" s="30"/>
      <c r="K449" s="33"/>
      <c r="L449" s="30"/>
      <c r="M449" s="33"/>
      <c r="N449" s="30"/>
      <c r="O449" s="33"/>
      <c r="P449" s="34" t="str">
        <f t="shared" si="44"/>
        <v/>
      </c>
      <c r="Q449" s="35" t="str">
        <f t="shared" si="45"/>
        <v/>
      </c>
      <c r="R449" s="35" t="str">
        <f t="shared" si="49"/>
        <v/>
      </c>
      <c r="S449" s="29" t="str">
        <f t="shared" si="46"/>
        <v/>
      </c>
      <c r="T449" s="13" t="str">
        <f t="shared" ca="1" si="47"/>
        <v/>
      </c>
      <c r="U449" s="29" t="str">
        <f ca="1">IF(OR($A449="",$F449=""),"",IF($R449&lt;&gt;"",IF($R449&lt;=$F449,"NO PRAZO","FORA DO PRAZO"),IF(TODAY()&gt;$F449,"VENCIDO",IF($F449-TODAY()&lt;='01. CONFIGURAÇÕES'!$C$23,"VENCE EM BREVE","EM DIA"))))</f>
        <v/>
      </c>
      <c r="V449" s="55" t="str">
        <f t="shared" si="48"/>
        <v/>
      </c>
      <c r="W449" s="30"/>
      <c r="X449" s="33"/>
    </row>
    <row r="450" spans="1:24" x14ac:dyDescent="0.25">
      <c r="A450" s="29" t="str">
        <f t="shared" si="43"/>
        <v/>
      </c>
      <c r="B450" s="30"/>
      <c r="C450" s="30"/>
      <c r="D450" s="31"/>
      <c r="E450" s="10"/>
      <c r="F450" s="32" t="str">
        <f>IF($D450="","",$D450+IF($E450="",'01. CONFIGURAÇÕES'!$C$22,$E450))</f>
        <v/>
      </c>
      <c r="G450" s="30"/>
      <c r="H450" s="33"/>
      <c r="I450" s="33"/>
      <c r="J450" s="30"/>
      <c r="K450" s="33"/>
      <c r="L450" s="30"/>
      <c r="M450" s="33"/>
      <c r="N450" s="30"/>
      <c r="O450" s="33"/>
      <c r="P450" s="34" t="str">
        <f t="shared" si="44"/>
        <v/>
      </c>
      <c r="Q450" s="35" t="str">
        <f t="shared" si="45"/>
        <v/>
      </c>
      <c r="R450" s="35" t="str">
        <f t="shared" si="49"/>
        <v/>
      </c>
      <c r="S450" s="29" t="str">
        <f t="shared" si="46"/>
        <v/>
      </c>
      <c r="T450" s="13" t="str">
        <f t="shared" ca="1" si="47"/>
        <v/>
      </c>
      <c r="U450" s="29" t="str">
        <f ca="1">IF(OR($A450="",$F450=""),"",IF($R450&lt;&gt;"",IF($R450&lt;=$F450,"NO PRAZO","FORA DO PRAZO"),IF(TODAY()&gt;$F450,"VENCIDO",IF($F450-TODAY()&lt;='01. CONFIGURAÇÕES'!$C$23,"VENCE EM BREVE","EM DIA"))))</f>
        <v/>
      </c>
      <c r="V450" s="55" t="str">
        <f t="shared" si="48"/>
        <v/>
      </c>
      <c r="W450" s="30"/>
      <c r="X450" s="33"/>
    </row>
    <row r="451" spans="1:24" x14ac:dyDescent="0.25">
      <c r="A451" s="29" t="str">
        <f t="shared" si="43"/>
        <v/>
      </c>
      <c r="B451" s="30"/>
      <c r="C451" s="30"/>
      <c r="D451" s="31"/>
      <c r="E451" s="10"/>
      <c r="F451" s="32" t="str">
        <f>IF($D451="","",$D451+IF($E451="",'01. CONFIGURAÇÕES'!$C$22,$E451))</f>
        <v/>
      </c>
      <c r="G451" s="30"/>
      <c r="H451" s="33"/>
      <c r="I451" s="33"/>
      <c r="J451" s="30"/>
      <c r="K451" s="33"/>
      <c r="L451" s="30"/>
      <c r="M451" s="33"/>
      <c r="N451" s="30"/>
      <c r="O451" s="33"/>
      <c r="P451" s="34" t="str">
        <f t="shared" si="44"/>
        <v/>
      </c>
      <c r="Q451" s="35" t="str">
        <f t="shared" si="45"/>
        <v/>
      </c>
      <c r="R451" s="35" t="str">
        <f t="shared" si="49"/>
        <v/>
      </c>
      <c r="S451" s="29" t="str">
        <f t="shared" si="46"/>
        <v/>
      </c>
      <c r="T451" s="13" t="str">
        <f t="shared" ca="1" si="47"/>
        <v/>
      </c>
      <c r="U451" s="29" t="str">
        <f ca="1">IF(OR($A451="",$F451=""),"",IF($R451&lt;&gt;"",IF($R451&lt;=$F451,"NO PRAZO","FORA DO PRAZO"),IF(TODAY()&gt;$F451,"VENCIDO",IF($F451-TODAY()&lt;='01. CONFIGURAÇÕES'!$C$23,"VENCE EM BREVE","EM DIA"))))</f>
        <v/>
      </c>
      <c r="V451" s="55" t="str">
        <f t="shared" si="48"/>
        <v/>
      </c>
      <c r="W451" s="30"/>
      <c r="X451" s="33"/>
    </row>
    <row r="452" spans="1:24" x14ac:dyDescent="0.25">
      <c r="A452" s="29" t="str">
        <f t="shared" si="43"/>
        <v/>
      </c>
      <c r="B452" s="30"/>
      <c r="C452" s="30"/>
      <c r="D452" s="31"/>
      <c r="E452" s="10"/>
      <c r="F452" s="32" t="str">
        <f>IF($D452="","",$D452+IF($E452="",'01. CONFIGURAÇÕES'!$C$22,$E452))</f>
        <v/>
      </c>
      <c r="G452" s="30"/>
      <c r="H452" s="33"/>
      <c r="I452" s="33"/>
      <c r="J452" s="30"/>
      <c r="K452" s="33"/>
      <c r="L452" s="30"/>
      <c r="M452" s="33"/>
      <c r="N452" s="30"/>
      <c r="O452" s="33"/>
      <c r="P452" s="34" t="str">
        <f t="shared" si="44"/>
        <v/>
      </c>
      <c r="Q452" s="35" t="str">
        <f t="shared" si="45"/>
        <v/>
      </c>
      <c r="R452" s="35" t="str">
        <f t="shared" si="49"/>
        <v/>
      </c>
      <c r="S452" s="29" t="str">
        <f t="shared" si="46"/>
        <v/>
      </c>
      <c r="T452" s="13" t="str">
        <f t="shared" ca="1" si="47"/>
        <v/>
      </c>
      <c r="U452" s="29" t="str">
        <f ca="1">IF(OR($A452="",$F452=""),"",IF($R452&lt;&gt;"",IF($R452&lt;=$F452,"NO PRAZO","FORA DO PRAZO"),IF(TODAY()&gt;$F452,"VENCIDO",IF($F452-TODAY()&lt;='01. CONFIGURAÇÕES'!$C$23,"VENCE EM BREVE","EM DIA"))))</f>
        <v/>
      </c>
      <c r="V452" s="55" t="str">
        <f t="shared" si="48"/>
        <v/>
      </c>
      <c r="W452" s="30"/>
      <c r="X452" s="33"/>
    </row>
    <row r="453" spans="1:24" x14ac:dyDescent="0.25">
      <c r="A453" s="29" t="str">
        <f t="shared" ref="A453:A516" si="50">IF($B453="","",LEFT($B453,3)&amp;"-"&amp;TEXT(ROW()-4,"0000"))</f>
        <v/>
      </c>
      <c r="B453" s="30"/>
      <c r="C453" s="30"/>
      <c r="D453" s="31"/>
      <c r="E453" s="10"/>
      <c r="F453" s="32" t="str">
        <f>IF($D453="","",$D453+IF($E453="",'01. CONFIGURAÇÕES'!$C$22,$E453))</f>
        <v/>
      </c>
      <c r="G453" s="30"/>
      <c r="H453" s="33"/>
      <c r="I453" s="33"/>
      <c r="J453" s="30"/>
      <c r="K453" s="33"/>
      <c r="L453" s="30"/>
      <c r="M453" s="33"/>
      <c r="N453" s="30"/>
      <c r="O453" s="33"/>
      <c r="P453" s="34" t="str">
        <f t="shared" ref="P453:P516" si="51">IFERROR(IF($A453="","",IF(COUNTIFS(OS_ID,$A453)&gt;0,INDEX(OS_EQUIPE,MATCH($A453,OS_ID,0)),IF(COUNTIFS(PROG_ID,$A453)&gt;0,INDEX(PROG_EQUIPE,MATCH($A453,PROG_ID,0)),""))),"")</f>
        <v/>
      </c>
      <c r="Q453" s="35" t="str">
        <f t="shared" ref="Q453:Q516" si="52">IF($A453="","",IFERROR(IF(INDEX(PROG_DATA,MATCH($A453,PROG_ID,0))=0,"",INDEX(PROG_DATA,MATCH($A453,PROG_ID,0))),""))</f>
        <v/>
      </c>
      <c r="R453" s="35" t="str">
        <f t="shared" si="49"/>
        <v/>
      </c>
      <c r="S453" s="29" t="str">
        <f t="shared" ref="S453:S516" si="53">IF($A453="","",IF($W453&lt;&gt;"",$W453,IF($V453&gt;0,"MEDIDO",IF($R453&lt;&gt;"","EXECUTADO",IF(COUNTIFS(OS_ID,$A453)&gt;0,"EM EXECUÇÃO",IF($Q453&lt;&gt;"","PROGRAMADO","CADASTRADO"))))))</f>
        <v/>
      </c>
      <c r="T453" s="13" t="str">
        <f t="shared" ref="T453:T516" ca="1" si="54">IF($A453="","",IF($R453&lt;&gt;"",$R453-$D453,TODAY()-$D453))</f>
        <v/>
      </c>
      <c r="U453" s="29" t="str">
        <f ca="1">IF(OR($A453="",$F453=""),"",IF($R453&lt;&gt;"",IF($R453&lt;=$F453,"NO PRAZO","FORA DO PRAZO"),IF(TODAY()&gt;$F453,"VENCIDO",IF($F453-TODAY()&lt;='01. CONFIGURAÇÕES'!$C$23,"VENCE EM BREVE","EM DIA"))))</f>
        <v/>
      </c>
      <c r="V453" s="55" t="str">
        <f t="shared" ref="V453:V516" si="55">IF($A453="","",SUMIFS(MED_VLR,MED_ID,$A453))</f>
        <v/>
      </c>
      <c r="W453" s="30"/>
      <c r="X453" s="33"/>
    </row>
    <row r="454" spans="1:24" x14ac:dyDescent="0.25">
      <c r="A454" s="29" t="str">
        <f t="shared" si="50"/>
        <v/>
      </c>
      <c r="B454" s="30"/>
      <c r="C454" s="30"/>
      <c r="D454" s="31"/>
      <c r="E454" s="10"/>
      <c r="F454" s="32" t="str">
        <f>IF($D454="","",$D454+IF($E454="",'01. CONFIGURAÇÕES'!$C$22,$E454))</f>
        <v/>
      </c>
      <c r="G454" s="30"/>
      <c r="H454" s="33"/>
      <c r="I454" s="33"/>
      <c r="J454" s="30"/>
      <c r="K454" s="33"/>
      <c r="L454" s="30"/>
      <c r="M454" s="33"/>
      <c r="N454" s="30"/>
      <c r="O454" s="33"/>
      <c r="P454" s="34" t="str">
        <f t="shared" si="51"/>
        <v/>
      </c>
      <c r="Q454" s="35" t="str">
        <f t="shared" si="52"/>
        <v/>
      </c>
      <c r="R454" s="35" t="str">
        <f t="shared" si="49"/>
        <v/>
      </c>
      <c r="S454" s="29" t="str">
        <f t="shared" si="53"/>
        <v/>
      </c>
      <c r="T454" s="13" t="str">
        <f t="shared" ca="1" si="54"/>
        <v/>
      </c>
      <c r="U454" s="29" t="str">
        <f ca="1">IF(OR($A454="",$F454=""),"",IF($R454&lt;&gt;"",IF($R454&lt;=$F454,"NO PRAZO","FORA DO PRAZO"),IF(TODAY()&gt;$F454,"VENCIDO",IF($F454-TODAY()&lt;='01. CONFIGURAÇÕES'!$C$23,"VENCE EM BREVE","EM DIA"))))</f>
        <v/>
      </c>
      <c r="V454" s="55" t="str">
        <f t="shared" si="55"/>
        <v/>
      </c>
      <c r="W454" s="30"/>
      <c r="X454" s="33"/>
    </row>
    <row r="455" spans="1:24" x14ac:dyDescent="0.25">
      <c r="A455" s="29" t="str">
        <f t="shared" si="50"/>
        <v/>
      </c>
      <c r="B455" s="30"/>
      <c r="C455" s="30"/>
      <c r="D455" s="31"/>
      <c r="E455" s="10"/>
      <c r="F455" s="32" t="str">
        <f>IF($D455="","",$D455+IF($E455="",'01. CONFIGURAÇÕES'!$C$22,$E455))</f>
        <v/>
      </c>
      <c r="G455" s="30"/>
      <c r="H455" s="33"/>
      <c r="I455" s="33"/>
      <c r="J455" s="30"/>
      <c r="K455" s="33"/>
      <c r="L455" s="30"/>
      <c r="M455" s="33"/>
      <c r="N455" s="30"/>
      <c r="O455" s="33"/>
      <c r="P455" s="34" t="str">
        <f t="shared" si="51"/>
        <v/>
      </c>
      <c r="Q455" s="35" t="str">
        <f t="shared" si="52"/>
        <v/>
      </c>
      <c r="R455" s="35" t="str">
        <f t="shared" si="49"/>
        <v/>
      </c>
      <c r="S455" s="29" t="str">
        <f t="shared" si="53"/>
        <v/>
      </c>
      <c r="T455" s="13" t="str">
        <f t="shared" ca="1" si="54"/>
        <v/>
      </c>
      <c r="U455" s="29" t="str">
        <f ca="1">IF(OR($A455="",$F455=""),"",IF($R455&lt;&gt;"",IF($R455&lt;=$F455,"NO PRAZO","FORA DO PRAZO"),IF(TODAY()&gt;$F455,"VENCIDO",IF($F455-TODAY()&lt;='01. CONFIGURAÇÕES'!$C$23,"VENCE EM BREVE","EM DIA"))))</f>
        <v/>
      </c>
      <c r="V455" s="55" t="str">
        <f t="shared" si="55"/>
        <v/>
      </c>
      <c r="W455" s="30"/>
      <c r="X455" s="33"/>
    </row>
    <row r="456" spans="1:24" x14ac:dyDescent="0.25">
      <c r="A456" s="29" t="str">
        <f t="shared" si="50"/>
        <v/>
      </c>
      <c r="B456" s="30"/>
      <c r="C456" s="30"/>
      <c r="D456" s="31"/>
      <c r="E456" s="10"/>
      <c r="F456" s="32" t="str">
        <f>IF($D456="","",$D456+IF($E456="",'01. CONFIGURAÇÕES'!$C$22,$E456))</f>
        <v/>
      </c>
      <c r="G456" s="30"/>
      <c r="H456" s="33"/>
      <c r="I456" s="33"/>
      <c r="J456" s="30"/>
      <c r="K456" s="33"/>
      <c r="L456" s="30"/>
      <c r="M456" s="33"/>
      <c r="N456" s="30"/>
      <c r="O456" s="33"/>
      <c r="P456" s="34" t="str">
        <f t="shared" si="51"/>
        <v/>
      </c>
      <c r="Q456" s="35" t="str">
        <f t="shared" si="52"/>
        <v/>
      </c>
      <c r="R456" s="35" t="str">
        <f t="shared" si="49"/>
        <v/>
      </c>
      <c r="S456" s="29" t="str">
        <f t="shared" si="53"/>
        <v/>
      </c>
      <c r="T456" s="13" t="str">
        <f t="shared" ca="1" si="54"/>
        <v/>
      </c>
      <c r="U456" s="29" t="str">
        <f ca="1">IF(OR($A456="",$F456=""),"",IF($R456&lt;&gt;"",IF($R456&lt;=$F456,"NO PRAZO","FORA DO PRAZO"),IF(TODAY()&gt;$F456,"VENCIDO",IF($F456-TODAY()&lt;='01. CONFIGURAÇÕES'!$C$23,"VENCE EM BREVE","EM DIA"))))</f>
        <v/>
      </c>
      <c r="V456" s="55" t="str">
        <f t="shared" si="55"/>
        <v/>
      </c>
      <c r="W456" s="30"/>
      <c r="X456" s="33"/>
    </row>
    <row r="457" spans="1:24" x14ac:dyDescent="0.25">
      <c r="A457" s="29" t="str">
        <f t="shared" si="50"/>
        <v/>
      </c>
      <c r="B457" s="30"/>
      <c r="C457" s="30"/>
      <c r="D457" s="31"/>
      <c r="E457" s="10"/>
      <c r="F457" s="32" t="str">
        <f>IF($D457="","",$D457+IF($E457="",'01. CONFIGURAÇÕES'!$C$22,$E457))</f>
        <v/>
      </c>
      <c r="G457" s="30"/>
      <c r="H457" s="33"/>
      <c r="I457" s="33"/>
      <c r="J457" s="30"/>
      <c r="K457" s="33"/>
      <c r="L457" s="30"/>
      <c r="M457" s="33"/>
      <c r="N457" s="30"/>
      <c r="O457" s="33"/>
      <c r="P457" s="34" t="str">
        <f t="shared" si="51"/>
        <v/>
      </c>
      <c r="Q457" s="35" t="str">
        <f t="shared" si="52"/>
        <v/>
      </c>
      <c r="R457" s="35" t="str">
        <f t="shared" si="49"/>
        <v/>
      </c>
      <c r="S457" s="29" t="str">
        <f t="shared" si="53"/>
        <v/>
      </c>
      <c r="T457" s="13" t="str">
        <f t="shared" ca="1" si="54"/>
        <v/>
      </c>
      <c r="U457" s="29" t="str">
        <f ca="1">IF(OR($A457="",$F457=""),"",IF($R457&lt;&gt;"",IF($R457&lt;=$F457,"NO PRAZO","FORA DO PRAZO"),IF(TODAY()&gt;$F457,"VENCIDO",IF($F457-TODAY()&lt;='01. CONFIGURAÇÕES'!$C$23,"VENCE EM BREVE","EM DIA"))))</f>
        <v/>
      </c>
      <c r="V457" s="55" t="str">
        <f t="shared" si="55"/>
        <v/>
      </c>
      <c r="W457" s="30"/>
      <c r="X457" s="33"/>
    </row>
    <row r="458" spans="1:24" x14ac:dyDescent="0.25">
      <c r="A458" s="29" t="str">
        <f t="shared" si="50"/>
        <v/>
      </c>
      <c r="B458" s="30"/>
      <c r="C458" s="30"/>
      <c r="D458" s="31"/>
      <c r="E458" s="10"/>
      <c r="F458" s="32" t="str">
        <f>IF($D458="","",$D458+IF($E458="",'01. CONFIGURAÇÕES'!$C$22,$E458))</f>
        <v/>
      </c>
      <c r="G458" s="30"/>
      <c r="H458" s="33"/>
      <c r="I458" s="33"/>
      <c r="J458" s="30"/>
      <c r="K458" s="33"/>
      <c r="L458" s="30"/>
      <c r="M458" s="33"/>
      <c r="N458" s="30"/>
      <c r="O458" s="33"/>
      <c r="P458" s="34" t="str">
        <f t="shared" si="51"/>
        <v/>
      </c>
      <c r="Q458" s="35" t="str">
        <f t="shared" si="52"/>
        <v/>
      </c>
      <c r="R458" s="35" t="str">
        <f t="shared" si="49"/>
        <v/>
      </c>
      <c r="S458" s="29" t="str">
        <f t="shared" si="53"/>
        <v/>
      </c>
      <c r="T458" s="13" t="str">
        <f t="shared" ca="1" si="54"/>
        <v/>
      </c>
      <c r="U458" s="29" t="str">
        <f ca="1">IF(OR($A458="",$F458=""),"",IF($R458&lt;&gt;"",IF($R458&lt;=$F458,"NO PRAZO","FORA DO PRAZO"),IF(TODAY()&gt;$F458,"VENCIDO",IF($F458-TODAY()&lt;='01. CONFIGURAÇÕES'!$C$23,"VENCE EM BREVE","EM DIA"))))</f>
        <v/>
      </c>
      <c r="V458" s="55" t="str">
        <f t="shared" si="55"/>
        <v/>
      </c>
      <c r="W458" s="30"/>
      <c r="X458" s="33"/>
    </row>
    <row r="459" spans="1:24" x14ac:dyDescent="0.25">
      <c r="A459" s="29" t="str">
        <f t="shared" si="50"/>
        <v/>
      </c>
      <c r="B459" s="30"/>
      <c r="C459" s="30"/>
      <c r="D459" s="31"/>
      <c r="E459" s="10"/>
      <c r="F459" s="32" t="str">
        <f>IF($D459="","",$D459+IF($E459="",'01. CONFIGURAÇÕES'!$C$22,$E459))</f>
        <v/>
      </c>
      <c r="G459" s="30"/>
      <c r="H459" s="33"/>
      <c r="I459" s="33"/>
      <c r="J459" s="30"/>
      <c r="K459" s="33"/>
      <c r="L459" s="30"/>
      <c r="M459" s="33"/>
      <c r="N459" s="30"/>
      <c r="O459" s="33"/>
      <c r="P459" s="34" t="str">
        <f t="shared" si="51"/>
        <v/>
      </c>
      <c r="Q459" s="35" t="str">
        <f t="shared" si="52"/>
        <v/>
      </c>
      <c r="R459" s="35" t="str">
        <f t="shared" si="49"/>
        <v/>
      </c>
      <c r="S459" s="29" t="str">
        <f t="shared" si="53"/>
        <v/>
      </c>
      <c r="T459" s="13" t="str">
        <f t="shared" ca="1" si="54"/>
        <v/>
      </c>
      <c r="U459" s="29" t="str">
        <f ca="1">IF(OR($A459="",$F459=""),"",IF($R459&lt;&gt;"",IF($R459&lt;=$F459,"NO PRAZO","FORA DO PRAZO"),IF(TODAY()&gt;$F459,"VENCIDO",IF($F459-TODAY()&lt;='01. CONFIGURAÇÕES'!$C$23,"VENCE EM BREVE","EM DIA"))))</f>
        <v/>
      </c>
      <c r="V459" s="55" t="str">
        <f t="shared" si="55"/>
        <v/>
      </c>
      <c r="W459" s="30"/>
      <c r="X459" s="33"/>
    </row>
    <row r="460" spans="1:24" x14ac:dyDescent="0.25">
      <c r="A460" s="29" t="str">
        <f t="shared" si="50"/>
        <v/>
      </c>
      <c r="B460" s="30"/>
      <c r="C460" s="30"/>
      <c r="D460" s="31"/>
      <c r="E460" s="10"/>
      <c r="F460" s="32" t="str">
        <f>IF($D460="","",$D460+IF($E460="",'01. CONFIGURAÇÕES'!$C$22,$E460))</f>
        <v/>
      </c>
      <c r="G460" s="30"/>
      <c r="H460" s="33"/>
      <c r="I460" s="33"/>
      <c r="J460" s="30"/>
      <c r="K460" s="33"/>
      <c r="L460" s="30"/>
      <c r="M460" s="33"/>
      <c r="N460" s="30"/>
      <c r="O460" s="33"/>
      <c r="P460" s="34" t="str">
        <f t="shared" si="51"/>
        <v/>
      </c>
      <c r="Q460" s="35" t="str">
        <f t="shared" si="52"/>
        <v/>
      </c>
      <c r="R460" s="35" t="str">
        <f t="shared" si="49"/>
        <v/>
      </c>
      <c r="S460" s="29" t="str">
        <f t="shared" si="53"/>
        <v/>
      </c>
      <c r="T460" s="13" t="str">
        <f t="shared" ca="1" si="54"/>
        <v/>
      </c>
      <c r="U460" s="29" t="str">
        <f ca="1">IF(OR($A460="",$F460=""),"",IF($R460&lt;&gt;"",IF($R460&lt;=$F460,"NO PRAZO","FORA DO PRAZO"),IF(TODAY()&gt;$F460,"VENCIDO",IF($F460-TODAY()&lt;='01. CONFIGURAÇÕES'!$C$23,"VENCE EM BREVE","EM DIA"))))</f>
        <v/>
      </c>
      <c r="V460" s="55" t="str">
        <f t="shared" si="55"/>
        <v/>
      </c>
      <c r="W460" s="30"/>
      <c r="X460" s="33"/>
    </row>
    <row r="461" spans="1:24" x14ac:dyDescent="0.25">
      <c r="A461" s="29" t="str">
        <f t="shared" si="50"/>
        <v/>
      </c>
      <c r="B461" s="30"/>
      <c r="C461" s="30"/>
      <c r="D461" s="31"/>
      <c r="E461" s="10"/>
      <c r="F461" s="32" t="str">
        <f>IF($D461="","",$D461+IF($E461="",'01. CONFIGURAÇÕES'!$C$22,$E461))</f>
        <v/>
      </c>
      <c r="G461" s="30"/>
      <c r="H461" s="33"/>
      <c r="I461" s="33"/>
      <c r="J461" s="30"/>
      <c r="K461" s="33"/>
      <c r="L461" s="30"/>
      <c r="M461" s="33"/>
      <c r="N461" s="30"/>
      <c r="O461" s="33"/>
      <c r="P461" s="34" t="str">
        <f t="shared" si="51"/>
        <v/>
      </c>
      <c r="Q461" s="35" t="str">
        <f t="shared" si="52"/>
        <v/>
      </c>
      <c r="R461" s="35" t="str">
        <f t="shared" si="49"/>
        <v/>
      </c>
      <c r="S461" s="29" t="str">
        <f t="shared" si="53"/>
        <v/>
      </c>
      <c r="T461" s="13" t="str">
        <f t="shared" ca="1" si="54"/>
        <v/>
      </c>
      <c r="U461" s="29" t="str">
        <f ca="1">IF(OR($A461="",$F461=""),"",IF($R461&lt;&gt;"",IF($R461&lt;=$F461,"NO PRAZO","FORA DO PRAZO"),IF(TODAY()&gt;$F461,"VENCIDO",IF($F461-TODAY()&lt;='01. CONFIGURAÇÕES'!$C$23,"VENCE EM BREVE","EM DIA"))))</f>
        <v/>
      </c>
      <c r="V461" s="55" t="str">
        <f t="shared" si="55"/>
        <v/>
      </c>
      <c r="W461" s="30"/>
      <c r="X461" s="33"/>
    </row>
    <row r="462" spans="1:24" x14ac:dyDescent="0.25">
      <c r="A462" s="29" t="str">
        <f t="shared" si="50"/>
        <v/>
      </c>
      <c r="B462" s="30"/>
      <c r="C462" s="30"/>
      <c r="D462" s="31"/>
      <c r="E462" s="10"/>
      <c r="F462" s="32" t="str">
        <f>IF($D462="","",$D462+IF($E462="",'01. CONFIGURAÇÕES'!$C$22,$E462))</f>
        <v/>
      </c>
      <c r="G462" s="30"/>
      <c r="H462" s="33"/>
      <c r="I462" s="33"/>
      <c r="J462" s="30"/>
      <c r="K462" s="33"/>
      <c r="L462" s="30"/>
      <c r="M462" s="33"/>
      <c r="N462" s="30"/>
      <c r="O462" s="33"/>
      <c r="P462" s="34" t="str">
        <f t="shared" si="51"/>
        <v/>
      </c>
      <c r="Q462" s="35" t="str">
        <f t="shared" si="52"/>
        <v/>
      </c>
      <c r="R462" s="35" t="str">
        <f t="shared" si="49"/>
        <v/>
      </c>
      <c r="S462" s="29" t="str">
        <f t="shared" si="53"/>
        <v/>
      </c>
      <c r="T462" s="13" t="str">
        <f t="shared" ca="1" si="54"/>
        <v/>
      </c>
      <c r="U462" s="29" t="str">
        <f ca="1">IF(OR($A462="",$F462=""),"",IF($R462&lt;&gt;"",IF($R462&lt;=$F462,"NO PRAZO","FORA DO PRAZO"),IF(TODAY()&gt;$F462,"VENCIDO",IF($F462-TODAY()&lt;='01. CONFIGURAÇÕES'!$C$23,"VENCE EM BREVE","EM DIA"))))</f>
        <v/>
      </c>
      <c r="V462" s="55" t="str">
        <f t="shared" si="55"/>
        <v/>
      </c>
      <c r="W462" s="30"/>
      <c r="X462" s="33"/>
    </row>
    <row r="463" spans="1:24" x14ac:dyDescent="0.25">
      <c r="A463" s="29" t="str">
        <f t="shared" si="50"/>
        <v/>
      </c>
      <c r="B463" s="30"/>
      <c r="C463" s="30"/>
      <c r="D463" s="31"/>
      <c r="E463" s="10"/>
      <c r="F463" s="32" t="str">
        <f>IF($D463="","",$D463+IF($E463="",'01. CONFIGURAÇÕES'!$C$22,$E463))</f>
        <v/>
      </c>
      <c r="G463" s="30"/>
      <c r="H463" s="33"/>
      <c r="I463" s="33"/>
      <c r="J463" s="30"/>
      <c r="K463" s="33"/>
      <c r="L463" s="30"/>
      <c r="M463" s="33"/>
      <c r="N463" s="30"/>
      <c r="O463" s="33"/>
      <c r="P463" s="34" t="str">
        <f t="shared" si="51"/>
        <v/>
      </c>
      <c r="Q463" s="35" t="str">
        <f t="shared" si="52"/>
        <v/>
      </c>
      <c r="R463" s="35" t="str">
        <f t="shared" si="49"/>
        <v/>
      </c>
      <c r="S463" s="29" t="str">
        <f t="shared" si="53"/>
        <v/>
      </c>
      <c r="T463" s="13" t="str">
        <f t="shared" ca="1" si="54"/>
        <v/>
      </c>
      <c r="U463" s="29" t="str">
        <f ca="1">IF(OR($A463="",$F463=""),"",IF($R463&lt;&gt;"",IF($R463&lt;=$F463,"NO PRAZO","FORA DO PRAZO"),IF(TODAY()&gt;$F463,"VENCIDO",IF($F463-TODAY()&lt;='01. CONFIGURAÇÕES'!$C$23,"VENCE EM BREVE","EM DIA"))))</f>
        <v/>
      </c>
      <c r="V463" s="55" t="str">
        <f t="shared" si="55"/>
        <v/>
      </c>
      <c r="W463" s="30"/>
      <c r="X463" s="33"/>
    </row>
    <row r="464" spans="1:24" x14ac:dyDescent="0.25">
      <c r="A464" s="29" t="str">
        <f t="shared" si="50"/>
        <v/>
      </c>
      <c r="B464" s="30"/>
      <c r="C464" s="30"/>
      <c r="D464" s="31"/>
      <c r="E464" s="10"/>
      <c r="F464" s="32" t="str">
        <f>IF($D464="","",$D464+IF($E464="",'01. CONFIGURAÇÕES'!$C$22,$E464))</f>
        <v/>
      </c>
      <c r="G464" s="30"/>
      <c r="H464" s="33"/>
      <c r="I464" s="33"/>
      <c r="J464" s="30"/>
      <c r="K464" s="33"/>
      <c r="L464" s="30"/>
      <c r="M464" s="33"/>
      <c r="N464" s="30"/>
      <c r="O464" s="33"/>
      <c r="P464" s="34" t="str">
        <f t="shared" si="51"/>
        <v/>
      </c>
      <c r="Q464" s="35" t="str">
        <f t="shared" si="52"/>
        <v/>
      </c>
      <c r="R464" s="35" t="str">
        <f t="shared" si="49"/>
        <v/>
      </c>
      <c r="S464" s="29" t="str">
        <f t="shared" si="53"/>
        <v/>
      </c>
      <c r="T464" s="13" t="str">
        <f t="shared" ca="1" si="54"/>
        <v/>
      </c>
      <c r="U464" s="29" t="str">
        <f ca="1">IF(OR($A464="",$F464=""),"",IF($R464&lt;&gt;"",IF($R464&lt;=$F464,"NO PRAZO","FORA DO PRAZO"),IF(TODAY()&gt;$F464,"VENCIDO",IF($F464-TODAY()&lt;='01. CONFIGURAÇÕES'!$C$23,"VENCE EM BREVE","EM DIA"))))</f>
        <v/>
      </c>
      <c r="V464" s="55" t="str">
        <f t="shared" si="55"/>
        <v/>
      </c>
      <c r="W464" s="30"/>
      <c r="X464" s="33"/>
    </row>
    <row r="465" spans="1:24" x14ac:dyDescent="0.25">
      <c r="A465" s="29" t="str">
        <f t="shared" si="50"/>
        <v/>
      </c>
      <c r="B465" s="30"/>
      <c r="C465" s="30"/>
      <c r="D465" s="31"/>
      <c r="E465" s="10"/>
      <c r="F465" s="32" t="str">
        <f>IF($D465="","",$D465+IF($E465="",'01. CONFIGURAÇÕES'!$C$22,$E465))</f>
        <v/>
      </c>
      <c r="G465" s="30"/>
      <c r="H465" s="33"/>
      <c r="I465" s="33"/>
      <c r="J465" s="30"/>
      <c r="K465" s="33"/>
      <c r="L465" s="30"/>
      <c r="M465" s="33"/>
      <c r="N465" s="30"/>
      <c r="O465" s="33"/>
      <c r="P465" s="34" t="str">
        <f t="shared" si="51"/>
        <v/>
      </c>
      <c r="Q465" s="35" t="str">
        <f t="shared" si="52"/>
        <v/>
      </c>
      <c r="R465" s="35" t="str">
        <f t="shared" si="49"/>
        <v/>
      </c>
      <c r="S465" s="29" t="str">
        <f t="shared" si="53"/>
        <v/>
      </c>
      <c r="T465" s="13" t="str">
        <f t="shared" ca="1" si="54"/>
        <v/>
      </c>
      <c r="U465" s="29" t="str">
        <f ca="1">IF(OR($A465="",$F465=""),"",IF($R465&lt;&gt;"",IF($R465&lt;=$F465,"NO PRAZO","FORA DO PRAZO"),IF(TODAY()&gt;$F465,"VENCIDO",IF($F465-TODAY()&lt;='01. CONFIGURAÇÕES'!$C$23,"VENCE EM BREVE","EM DIA"))))</f>
        <v/>
      </c>
      <c r="V465" s="55" t="str">
        <f t="shared" si="55"/>
        <v/>
      </c>
      <c r="W465" s="30"/>
      <c r="X465" s="33"/>
    </row>
    <row r="466" spans="1:24" x14ac:dyDescent="0.25">
      <c r="A466" s="29" t="str">
        <f t="shared" si="50"/>
        <v/>
      </c>
      <c r="B466" s="30"/>
      <c r="C466" s="30"/>
      <c r="D466" s="31"/>
      <c r="E466" s="10"/>
      <c r="F466" s="32" t="str">
        <f>IF($D466="","",$D466+IF($E466="",'01. CONFIGURAÇÕES'!$C$22,$E466))</f>
        <v/>
      </c>
      <c r="G466" s="30"/>
      <c r="H466" s="33"/>
      <c r="I466" s="33"/>
      <c r="J466" s="30"/>
      <c r="K466" s="33"/>
      <c r="L466" s="30"/>
      <c r="M466" s="33"/>
      <c r="N466" s="30"/>
      <c r="O466" s="33"/>
      <c r="P466" s="34" t="str">
        <f t="shared" si="51"/>
        <v/>
      </c>
      <c r="Q466" s="35" t="str">
        <f t="shared" si="52"/>
        <v/>
      </c>
      <c r="R466" s="35" t="str">
        <f t="shared" si="49"/>
        <v/>
      </c>
      <c r="S466" s="29" t="str">
        <f t="shared" si="53"/>
        <v/>
      </c>
      <c r="T466" s="13" t="str">
        <f t="shared" ca="1" si="54"/>
        <v/>
      </c>
      <c r="U466" s="29" t="str">
        <f ca="1">IF(OR($A466="",$F466=""),"",IF($R466&lt;&gt;"",IF($R466&lt;=$F466,"NO PRAZO","FORA DO PRAZO"),IF(TODAY()&gt;$F466,"VENCIDO",IF($F466-TODAY()&lt;='01. CONFIGURAÇÕES'!$C$23,"VENCE EM BREVE","EM DIA"))))</f>
        <v/>
      </c>
      <c r="V466" s="55" t="str">
        <f t="shared" si="55"/>
        <v/>
      </c>
      <c r="W466" s="30"/>
      <c r="X466" s="33"/>
    </row>
    <row r="467" spans="1:24" x14ac:dyDescent="0.25">
      <c r="A467" s="29" t="str">
        <f t="shared" si="50"/>
        <v/>
      </c>
      <c r="B467" s="30"/>
      <c r="C467" s="30"/>
      <c r="D467" s="31"/>
      <c r="E467" s="10"/>
      <c r="F467" s="32" t="str">
        <f>IF($D467="","",$D467+IF($E467="",'01. CONFIGURAÇÕES'!$C$22,$E467))</f>
        <v/>
      </c>
      <c r="G467" s="30"/>
      <c r="H467" s="33"/>
      <c r="I467" s="33"/>
      <c r="J467" s="30"/>
      <c r="K467" s="33"/>
      <c r="L467" s="30"/>
      <c r="M467" s="33"/>
      <c r="N467" s="30"/>
      <c r="O467" s="33"/>
      <c r="P467" s="34" t="str">
        <f t="shared" si="51"/>
        <v/>
      </c>
      <c r="Q467" s="35" t="str">
        <f t="shared" si="52"/>
        <v/>
      </c>
      <c r="R467" s="35" t="str">
        <f t="shared" si="49"/>
        <v/>
      </c>
      <c r="S467" s="29" t="str">
        <f t="shared" si="53"/>
        <v/>
      </c>
      <c r="T467" s="13" t="str">
        <f t="shared" ca="1" si="54"/>
        <v/>
      </c>
      <c r="U467" s="29" t="str">
        <f ca="1">IF(OR($A467="",$F467=""),"",IF($R467&lt;&gt;"",IF($R467&lt;=$F467,"NO PRAZO","FORA DO PRAZO"),IF(TODAY()&gt;$F467,"VENCIDO",IF($F467-TODAY()&lt;='01. CONFIGURAÇÕES'!$C$23,"VENCE EM BREVE","EM DIA"))))</f>
        <v/>
      </c>
      <c r="V467" s="55" t="str">
        <f t="shared" si="55"/>
        <v/>
      </c>
      <c r="W467" s="30"/>
      <c r="X467" s="33"/>
    </row>
    <row r="468" spans="1:24" x14ac:dyDescent="0.25">
      <c r="A468" s="29" t="str">
        <f t="shared" si="50"/>
        <v/>
      </c>
      <c r="B468" s="30"/>
      <c r="C468" s="30"/>
      <c r="D468" s="31"/>
      <c r="E468" s="10"/>
      <c r="F468" s="32" t="str">
        <f>IF($D468="","",$D468+IF($E468="",'01. CONFIGURAÇÕES'!$C$22,$E468))</f>
        <v/>
      </c>
      <c r="G468" s="30"/>
      <c r="H468" s="33"/>
      <c r="I468" s="33"/>
      <c r="J468" s="30"/>
      <c r="K468" s="33"/>
      <c r="L468" s="30"/>
      <c r="M468" s="33"/>
      <c r="N468" s="30"/>
      <c r="O468" s="33"/>
      <c r="P468" s="34" t="str">
        <f t="shared" si="51"/>
        <v/>
      </c>
      <c r="Q468" s="35" t="str">
        <f t="shared" si="52"/>
        <v/>
      </c>
      <c r="R468" s="35" t="str">
        <f t="shared" si="49"/>
        <v/>
      </c>
      <c r="S468" s="29" t="str">
        <f t="shared" si="53"/>
        <v/>
      </c>
      <c r="T468" s="13" t="str">
        <f t="shared" ca="1" si="54"/>
        <v/>
      </c>
      <c r="U468" s="29" t="str">
        <f ca="1">IF(OR($A468="",$F468=""),"",IF($R468&lt;&gt;"",IF($R468&lt;=$F468,"NO PRAZO","FORA DO PRAZO"),IF(TODAY()&gt;$F468,"VENCIDO",IF($F468-TODAY()&lt;='01. CONFIGURAÇÕES'!$C$23,"VENCE EM BREVE","EM DIA"))))</f>
        <v/>
      </c>
      <c r="V468" s="55" t="str">
        <f t="shared" si="55"/>
        <v/>
      </c>
      <c r="W468" s="30"/>
      <c r="X468" s="33"/>
    </row>
    <row r="469" spans="1:24" x14ac:dyDescent="0.25">
      <c r="A469" s="29" t="str">
        <f t="shared" si="50"/>
        <v/>
      </c>
      <c r="B469" s="30"/>
      <c r="C469" s="30"/>
      <c r="D469" s="31"/>
      <c r="E469" s="10"/>
      <c r="F469" s="32" t="str">
        <f>IF($D469="","",$D469+IF($E469="",'01. CONFIGURAÇÕES'!$C$22,$E469))</f>
        <v/>
      </c>
      <c r="G469" s="30"/>
      <c r="H469" s="33"/>
      <c r="I469" s="33"/>
      <c r="J469" s="30"/>
      <c r="K469" s="33"/>
      <c r="L469" s="30"/>
      <c r="M469" s="33"/>
      <c r="N469" s="30"/>
      <c r="O469" s="33"/>
      <c r="P469" s="34" t="str">
        <f t="shared" si="51"/>
        <v/>
      </c>
      <c r="Q469" s="35" t="str">
        <f t="shared" si="52"/>
        <v/>
      </c>
      <c r="R469" s="35" t="str">
        <f t="shared" si="49"/>
        <v/>
      </c>
      <c r="S469" s="29" t="str">
        <f t="shared" si="53"/>
        <v/>
      </c>
      <c r="T469" s="13" t="str">
        <f t="shared" ca="1" si="54"/>
        <v/>
      </c>
      <c r="U469" s="29" t="str">
        <f ca="1">IF(OR($A469="",$F469=""),"",IF($R469&lt;&gt;"",IF($R469&lt;=$F469,"NO PRAZO","FORA DO PRAZO"),IF(TODAY()&gt;$F469,"VENCIDO",IF($F469-TODAY()&lt;='01. CONFIGURAÇÕES'!$C$23,"VENCE EM BREVE","EM DIA"))))</f>
        <v/>
      </c>
      <c r="V469" s="55" t="str">
        <f t="shared" si="55"/>
        <v/>
      </c>
      <c r="W469" s="30"/>
      <c r="X469" s="33"/>
    </row>
    <row r="470" spans="1:24" x14ac:dyDescent="0.25">
      <c r="A470" s="29" t="str">
        <f t="shared" si="50"/>
        <v/>
      </c>
      <c r="B470" s="30"/>
      <c r="C470" s="30"/>
      <c r="D470" s="31"/>
      <c r="E470" s="10"/>
      <c r="F470" s="32" t="str">
        <f>IF($D470="","",$D470+IF($E470="",'01. CONFIGURAÇÕES'!$C$22,$E470))</f>
        <v/>
      </c>
      <c r="G470" s="30"/>
      <c r="H470" s="33"/>
      <c r="I470" s="33"/>
      <c r="J470" s="30"/>
      <c r="K470" s="33"/>
      <c r="L470" s="30"/>
      <c r="M470" s="33"/>
      <c r="N470" s="30"/>
      <c r="O470" s="33"/>
      <c r="P470" s="34" t="str">
        <f t="shared" si="51"/>
        <v/>
      </c>
      <c r="Q470" s="35" t="str">
        <f t="shared" si="52"/>
        <v/>
      </c>
      <c r="R470" s="35" t="str">
        <f t="shared" si="49"/>
        <v/>
      </c>
      <c r="S470" s="29" t="str">
        <f t="shared" si="53"/>
        <v/>
      </c>
      <c r="T470" s="13" t="str">
        <f t="shared" ca="1" si="54"/>
        <v/>
      </c>
      <c r="U470" s="29" t="str">
        <f ca="1">IF(OR($A470="",$F470=""),"",IF($R470&lt;&gt;"",IF($R470&lt;=$F470,"NO PRAZO","FORA DO PRAZO"),IF(TODAY()&gt;$F470,"VENCIDO",IF($F470-TODAY()&lt;='01. CONFIGURAÇÕES'!$C$23,"VENCE EM BREVE","EM DIA"))))</f>
        <v/>
      </c>
      <c r="V470" s="55" t="str">
        <f t="shared" si="55"/>
        <v/>
      </c>
      <c r="W470" s="30"/>
      <c r="X470" s="33"/>
    </row>
    <row r="471" spans="1:24" x14ac:dyDescent="0.25">
      <c r="A471" s="29" t="str">
        <f t="shared" si="50"/>
        <v/>
      </c>
      <c r="B471" s="30"/>
      <c r="C471" s="30"/>
      <c r="D471" s="31"/>
      <c r="E471" s="10"/>
      <c r="F471" s="32" t="str">
        <f>IF($D471="","",$D471+IF($E471="",'01. CONFIGURAÇÕES'!$C$22,$E471))</f>
        <v/>
      </c>
      <c r="G471" s="30"/>
      <c r="H471" s="33"/>
      <c r="I471" s="33"/>
      <c r="J471" s="30"/>
      <c r="K471" s="33"/>
      <c r="L471" s="30"/>
      <c r="M471" s="33"/>
      <c r="N471" s="30"/>
      <c r="O471" s="33"/>
      <c r="P471" s="34" t="str">
        <f t="shared" si="51"/>
        <v/>
      </c>
      <c r="Q471" s="35" t="str">
        <f t="shared" si="52"/>
        <v/>
      </c>
      <c r="R471" s="35" t="str">
        <f t="shared" si="49"/>
        <v/>
      </c>
      <c r="S471" s="29" t="str">
        <f t="shared" si="53"/>
        <v/>
      </c>
      <c r="T471" s="13" t="str">
        <f t="shared" ca="1" si="54"/>
        <v/>
      </c>
      <c r="U471" s="29" t="str">
        <f ca="1">IF(OR($A471="",$F471=""),"",IF($R471&lt;&gt;"",IF($R471&lt;=$F471,"NO PRAZO","FORA DO PRAZO"),IF(TODAY()&gt;$F471,"VENCIDO",IF($F471-TODAY()&lt;='01. CONFIGURAÇÕES'!$C$23,"VENCE EM BREVE","EM DIA"))))</f>
        <v/>
      </c>
      <c r="V471" s="55" t="str">
        <f t="shared" si="55"/>
        <v/>
      </c>
      <c r="W471" s="30"/>
      <c r="X471" s="33"/>
    </row>
    <row r="472" spans="1:24" x14ac:dyDescent="0.25">
      <c r="A472" s="29" t="str">
        <f t="shared" si="50"/>
        <v/>
      </c>
      <c r="B472" s="30"/>
      <c r="C472" s="30"/>
      <c r="D472" s="31"/>
      <c r="E472" s="10"/>
      <c r="F472" s="32" t="str">
        <f>IF($D472="","",$D472+IF($E472="",'01. CONFIGURAÇÕES'!$C$22,$E472))</f>
        <v/>
      </c>
      <c r="G472" s="30"/>
      <c r="H472" s="33"/>
      <c r="I472" s="33"/>
      <c r="J472" s="30"/>
      <c r="K472" s="33"/>
      <c r="L472" s="30"/>
      <c r="M472" s="33"/>
      <c r="N472" s="30"/>
      <c r="O472" s="33"/>
      <c r="P472" s="34" t="str">
        <f t="shared" si="51"/>
        <v/>
      </c>
      <c r="Q472" s="35" t="str">
        <f t="shared" si="52"/>
        <v/>
      </c>
      <c r="R472" s="35" t="str">
        <f t="shared" si="49"/>
        <v/>
      </c>
      <c r="S472" s="29" t="str">
        <f t="shared" si="53"/>
        <v/>
      </c>
      <c r="T472" s="13" t="str">
        <f t="shared" ca="1" si="54"/>
        <v/>
      </c>
      <c r="U472" s="29" t="str">
        <f ca="1">IF(OR($A472="",$F472=""),"",IF($R472&lt;&gt;"",IF($R472&lt;=$F472,"NO PRAZO","FORA DO PRAZO"),IF(TODAY()&gt;$F472,"VENCIDO",IF($F472-TODAY()&lt;='01. CONFIGURAÇÕES'!$C$23,"VENCE EM BREVE","EM DIA"))))</f>
        <v/>
      </c>
      <c r="V472" s="55" t="str">
        <f t="shared" si="55"/>
        <v/>
      </c>
      <c r="W472" s="30"/>
      <c r="X472" s="33"/>
    </row>
    <row r="473" spans="1:24" x14ac:dyDescent="0.25">
      <c r="A473" s="29" t="str">
        <f t="shared" si="50"/>
        <v/>
      </c>
      <c r="B473" s="30"/>
      <c r="C473" s="30"/>
      <c r="D473" s="31"/>
      <c r="E473" s="10"/>
      <c r="F473" s="32" t="str">
        <f>IF($D473="","",$D473+IF($E473="",'01. CONFIGURAÇÕES'!$C$22,$E473))</f>
        <v/>
      </c>
      <c r="G473" s="30"/>
      <c r="H473" s="33"/>
      <c r="I473" s="33"/>
      <c r="J473" s="30"/>
      <c r="K473" s="33"/>
      <c r="L473" s="30"/>
      <c r="M473" s="33"/>
      <c r="N473" s="30"/>
      <c r="O473" s="33"/>
      <c r="P473" s="34" t="str">
        <f t="shared" si="51"/>
        <v/>
      </c>
      <c r="Q473" s="35" t="str">
        <f t="shared" si="52"/>
        <v/>
      </c>
      <c r="R473" s="35" t="str">
        <f t="shared" si="49"/>
        <v/>
      </c>
      <c r="S473" s="29" t="str">
        <f t="shared" si="53"/>
        <v/>
      </c>
      <c r="T473" s="13" t="str">
        <f t="shared" ca="1" si="54"/>
        <v/>
      </c>
      <c r="U473" s="29" t="str">
        <f ca="1">IF(OR($A473="",$F473=""),"",IF($R473&lt;&gt;"",IF($R473&lt;=$F473,"NO PRAZO","FORA DO PRAZO"),IF(TODAY()&gt;$F473,"VENCIDO",IF($F473-TODAY()&lt;='01. CONFIGURAÇÕES'!$C$23,"VENCE EM BREVE","EM DIA"))))</f>
        <v/>
      </c>
      <c r="V473" s="55" t="str">
        <f t="shared" si="55"/>
        <v/>
      </c>
      <c r="W473" s="30"/>
      <c r="X473" s="33"/>
    </row>
    <row r="474" spans="1:24" x14ac:dyDescent="0.25">
      <c r="A474" s="29" t="str">
        <f t="shared" si="50"/>
        <v/>
      </c>
      <c r="B474" s="30"/>
      <c r="C474" s="30"/>
      <c r="D474" s="31"/>
      <c r="E474" s="10"/>
      <c r="F474" s="32" t="str">
        <f>IF($D474="","",$D474+IF($E474="",'01. CONFIGURAÇÕES'!$C$22,$E474))</f>
        <v/>
      </c>
      <c r="G474" s="30"/>
      <c r="H474" s="33"/>
      <c r="I474" s="33"/>
      <c r="J474" s="30"/>
      <c r="K474" s="33"/>
      <c r="L474" s="30"/>
      <c r="M474" s="33"/>
      <c r="N474" s="30"/>
      <c r="O474" s="33"/>
      <c r="P474" s="34" t="str">
        <f t="shared" si="51"/>
        <v/>
      </c>
      <c r="Q474" s="35" t="str">
        <f t="shared" si="52"/>
        <v/>
      </c>
      <c r="R474" s="35" t="str">
        <f t="shared" si="49"/>
        <v/>
      </c>
      <c r="S474" s="29" t="str">
        <f t="shared" si="53"/>
        <v/>
      </c>
      <c r="T474" s="13" t="str">
        <f t="shared" ca="1" si="54"/>
        <v/>
      </c>
      <c r="U474" s="29" t="str">
        <f ca="1">IF(OR($A474="",$F474=""),"",IF($R474&lt;&gt;"",IF($R474&lt;=$F474,"NO PRAZO","FORA DO PRAZO"),IF(TODAY()&gt;$F474,"VENCIDO",IF($F474-TODAY()&lt;='01. CONFIGURAÇÕES'!$C$23,"VENCE EM BREVE","EM DIA"))))</f>
        <v/>
      </c>
      <c r="V474" s="55" t="str">
        <f t="shared" si="55"/>
        <v/>
      </c>
      <c r="W474" s="30"/>
      <c r="X474" s="33"/>
    </row>
    <row r="475" spans="1:24" x14ac:dyDescent="0.25">
      <c r="A475" s="29" t="str">
        <f t="shared" si="50"/>
        <v/>
      </c>
      <c r="B475" s="30"/>
      <c r="C475" s="30"/>
      <c r="D475" s="31"/>
      <c r="E475" s="10"/>
      <c r="F475" s="32" t="str">
        <f>IF($D475="","",$D475+IF($E475="",'01. CONFIGURAÇÕES'!$C$22,$E475))</f>
        <v/>
      </c>
      <c r="G475" s="30"/>
      <c r="H475" s="33"/>
      <c r="I475" s="33"/>
      <c r="J475" s="30"/>
      <c r="K475" s="33"/>
      <c r="L475" s="30"/>
      <c r="M475" s="33"/>
      <c r="N475" s="30"/>
      <c r="O475" s="33"/>
      <c r="P475" s="34" t="str">
        <f t="shared" si="51"/>
        <v/>
      </c>
      <c r="Q475" s="35" t="str">
        <f t="shared" si="52"/>
        <v/>
      </c>
      <c r="R475" s="35" t="str">
        <f t="shared" si="49"/>
        <v/>
      </c>
      <c r="S475" s="29" t="str">
        <f t="shared" si="53"/>
        <v/>
      </c>
      <c r="T475" s="13" t="str">
        <f t="shared" ca="1" si="54"/>
        <v/>
      </c>
      <c r="U475" s="29" t="str">
        <f ca="1">IF(OR($A475="",$F475=""),"",IF($R475&lt;&gt;"",IF($R475&lt;=$F475,"NO PRAZO","FORA DO PRAZO"),IF(TODAY()&gt;$F475,"VENCIDO",IF($F475-TODAY()&lt;='01. CONFIGURAÇÕES'!$C$23,"VENCE EM BREVE","EM DIA"))))</f>
        <v/>
      </c>
      <c r="V475" s="55" t="str">
        <f t="shared" si="55"/>
        <v/>
      </c>
      <c r="W475" s="30"/>
      <c r="X475" s="33"/>
    </row>
    <row r="476" spans="1:24" x14ac:dyDescent="0.25">
      <c r="A476" s="29" t="str">
        <f t="shared" si="50"/>
        <v/>
      </c>
      <c r="B476" s="30"/>
      <c r="C476" s="30"/>
      <c r="D476" s="31"/>
      <c r="E476" s="10"/>
      <c r="F476" s="32" t="str">
        <f>IF($D476="","",$D476+IF($E476="",'01. CONFIGURAÇÕES'!$C$22,$E476))</f>
        <v/>
      </c>
      <c r="G476" s="30"/>
      <c r="H476" s="33"/>
      <c r="I476" s="33"/>
      <c r="J476" s="30"/>
      <c r="K476" s="33"/>
      <c r="L476" s="30"/>
      <c r="M476" s="33"/>
      <c r="N476" s="30"/>
      <c r="O476" s="33"/>
      <c r="P476" s="34" t="str">
        <f t="shared" si="51"/>
        <v/>
      </c>
      <c r="Q476" s="35" t="str">
        <f t="shared" si="52"/>
        <v/>
      </c>
      <c r="R476" s="35" t="str">
        <f t="shared" si="49"/>
        <v/>
      </c>
      <c r="S476" s="29" t="str">
        <f t="shared" si="53"/>
        <v/>
      </c>
      <c r="T476" s="13" t="str">
        <f t="shared" ca="1" si="54"/>
        <v/>
      </c>
      <c r="U476" s="29" t="str">
        <f ca="1">IF(OR($A476="",$F476=""),"",IF($R476&lt;&gt;"",IF($R476&lt;=$F476,"NO PRAZO","FORA DO PRAZO"),IF(TODAY()&gt;$F476,"VENCIDO",IF($F476-TODAY()&lt;='01. CONFIGURAÇÕES'!$C$23,"VENCE EM BREVE","EM DIA"))))</f>
        <v/>
      </c>
      <c r="V476" s="55" t="str">
        <f t="shared" si="55"/>
        <v/>
      </c>
      <c r="W476" s="30"/>
      <c r="X476" s="33"/>
    </row>
    <row r="477" spans="1:24" x14ac:dyDescent="0.25">
      <c r="A477" s="29" t="str">
        <f t="shared" si="50"/>
        <v/>
      </c>
      <c r="B477" s="30"/>
      <c r="C477" s="30"/>
      <c r="D477" s="31"/>
      <c r="E477" s="10"/>
      <c r="F477" s="32" t="str">
        <f>IF($D477="","",$D477+IF($E477="",'01. CONFIGURAÇÕES'!$C$22,$E477))</f>
        <v/>
      </c>
      <c r="G477" s="30"/>
      <c r="H477" s="33"/>
      <c r="I477" s="33"/>
      <c r="J477" s="30"/>
      <c r="K477" s="33"/>
      <c r="L477" s="30"/>
      <c r="M477" s="33"/>
      <c r="N477" s="30"/>
      <c r="O477" s="33"/>
      <c r="P477" s="34" t="str">
        <f t="shared" si="51"/>
        <v/>
      </c>
      <c r="Q477" s="35" t="str">
        <f t="shared" si="52"/>
        <v/>
      </c>
      <c r="R477" s="35" t="str">
        <f t="shared" si="49"/>
        <v/>
      </c>
      <c r="S477" s="29" t="str">
        <f t="shared" si="53"/>
        <v/>
      </c>
      <c r="T477" s="13" t="str">
        <f t="shared" ca="1" si="54"/>
        <v/>
      </c>
      <c r="U477" s="29" t="str">
        <f ca="1">IF(OR($A477="",$F477=""),"",IF($R477&lt;&gt;"",IF($R477&lt;=$F477,"NO PRAZO","FORA DO PRAZO"),IF(TODAY()&gt;$F477,"VENCIDO",IF($F477-TODAY()&lt;='01. CONFIGURAÇÕES'!$C$23,"VENCE EM BREVE","EM DIA"))))</f>
        <v/>
      </c>
      <c r="V477" s="55" t="str">
        <f t="shared" si="55"/>
        <v/>
      </c>
      <c r="W477" s="30"/>
      <c r="X477" s="33"/>
    </row>
    <row r="478" spans="1:24" x14ac:dyDescent="0.25">
      <c r="A478" s="29" t="str">
        <f t="shared" si="50"/>
        <v/>
      </c>
      <c r="B478" s="30"/>
      <c r="C478" s="30"/>
      <c r="D478" s="31"/>
      <c r="E478" s="10"/>
      <c r="F478" s="32" t="str">
        <f>IF($D478="","",$D478+IF($E478="",'01. CONFIGURAÇÕES'!$C$22,$E478))</f>
        <v/>
      </c>
      <c r="G478" s="30"/>
      <c r="H478" s="33"/>
      <c r="I478" s="33"/>
      <c r="J478" s="30"/>
      <c r="K478" s="33"/>
      <c r="L478" s="30"/>
      <c r="M478" s="33"/>
      <c r="N478" s="30"/>
      <c r="O478" s="33"/>
      <c r="P478" s="34" t="str">
        <f t="shared" si="51"/>
        <v/>
      </c>
      <c r="Q478" s="35" t="str">
        <f t="shared" si="52"/>
        <v/>
      </c>
      <c r="R478" s="35" t="str">
        <f t="shared" si="49"/>
        <v/>
      </c>
      <c r="S478" s="29" t="str">
        <f t="shared" si="53"/>
        <v/>
      </c>
      <c r="T478" s="13" t="str">
        <f t="shared" ca="1" si="54"/>
        <v/>
      </c>
      <c r="U478" s="29" t="str">
        <f ca="1">IF(OR($A478="",$F478=""),"",IF($R478&lt;&gt;"",IF($R478&lt;=$F478,"NO PRAZO","FORA DO PRAZO"),IF(TODAY()&gt;$F478,"VENCIDO",IF($F478-TODAY()&lt;='01. CONFIGURAÇÕES'!$C$23,"VENCE EM BREVE","EM DIA"))))</f>
        <v/>
      </c>
      <c r="V478" s="55" t="str">
        <f t="shared" si="55"/>
        <v/>
      </c>
      <c r="W478" s="30"/>
      <c r="X478" s="33"/>
    </row>
    <row r="479" spans="1:24" x14ac:dyDescent="0.25">
      <c r="A479" s="29" t="str">
        <f t="shared" si="50"/>
        <v/>
      </c>
      <c r="B479" s="30"/>
      <c r="C479" s="30"/>
      <c r="D479" s="31"/>
      <c r="E479" s="10"/>
      <c r="F479" s="32" t="str">
        <f>IF($D479="","",$D479+IF($E479="",'01. CONFIGURAÇÕES'!$C$22,$E479))</f>
        <v/>
      </c>
      <c r="G479" s="30"/>
      <c r="H479" s="33"/>
      <c r="I479" s="33"/>
      <c r="J479" s="30"/>
      <c r="K479" s="33"/>
      <c r="L479" s="30"/>
      <c r="M479" s="33"/>
      <c r="N479" s="30"/>
      <c r="O479" s="33"/>
      <c r="P479" s="34" t="str">
        <f t="shared" si="51"/>
        <v/>
      </c>
      <c r="Q479" s="35" t="str">
        <f t="shared" si="52"/>
        <v/>
      </c>
      <c r="R479" s="35" t="str">
        <f t="shared" ref="R479:R542" si="56">IF($A479="","",IFERROR(IF(INDEX(OS_FIM,MATCH($A479,OS_ID,0))=0,"",INDEX(OS_FIM,MATCH($A479,OS_ID,0))),""))</f>
        <v/>
      </c>
      <c r="S479" s="29" t="str">
        <f t="shared" si="53"/>
        <v/>
      </c>
      <c r="T479" s="13" t="str">
        <f t="shared" ca="1" si="54"/>
        <v/>
      </c>
      <c r="U479" s="29" t="str">
        <f ca="1">IF(OR($A479="",$F479=""),"",IF($R479&lt;&gt;"",IF($R479&lt;=$F479,"NO PRAZO","FORA DO PRAZO"),IF(TODAY()&gt;$F479,"VENCIDO",IF($F479-TODAY()&lt;='01. CONFIGURAÇÕES'!$C$23,"VENCE EM BREVE","EM DIA"))))</f>
        <v/>
      </c>
      <c r="V479" s="55" t="str">
        <f t="shared" si="55"/>
        <v/>
      </c>
      <c r="W479" s="30"/>
      <c r="X479" s="33"/>
    </row>
    <row r="480" spans="1:24" x14ac:dyDescent="0.25">
      <c r="A480" s="29" t="str">
        <f t="shared" si="50"/>
        <v/>
      </c>
      <c r="B480" s="30"/>
      <c r="C480" s="30"/>
      <c r="D480" s="31"/>
      <c r="E480" s="10"/>
      <c r="F480" s="32" t="str">
        <f>IF($D480="","",$D480+IF($E480="",'01. CONFIGURAÇÕES'!$C$22,$E480))</f>
        <v/>
      </c>
      <c r="G480" s="30"/>
      <c r="H480" s="33"/>
      <c r="I480" s="33"/>
      <c r="J480" s="30"/>
      <c r="K480" s="33"/>
      <c r="L480" s="30"/>
      <c r="M480" s="33"/>
      <c r="N480" s="30"/>
      <c r="O480" s="33"/>
      <c r="P480" s="34" t="str">
        <f t="shared" si="51"/>
        <v/>
      </c>
      <c r="Q480" s="35" t="str">
        <f t="shared" si="52"/>
        <v/>
      </c>
      <c r="R480" s="35" t="str">
        <f t="shared" si="56"/>
        <v/>
      </c>
      <c r="S480" s="29" t="str">
        <f t="shared" si="53"/>
        <v/>
      </c>
      <c r="T480" s="13" t="str">
        <f t="shared" ca="1" si="54"/>
        <v/>
      </c>
      <c r="U480" s="29" t="str">
        <f ca="1">IF(OR($A480="",$F480=""),"",IF($R480&lt;&gt;"",IF($R480&lt;=$F480,"NO PRAZO","FORA DO PRAZO"),IF(TODAY()&gt;$F480,"VENCIDO",IF($F480-TODAY()&lt;='01. CONFIGURAÇÕES'!$C$23,"VENCE EM BREVE","EM DIA"))))</f>
        <v/>
      </c>
      <c r="V480" s="55" t="str">
        <f t="shared" si="55"/>
        <v/>
      </c>
      <c r="W480" s="30"/>
      <c r="X480" s="33"/>
    </row>
    <row r="481" spans="1:24" x14ac:dyDescent="0.25">
      <c r="A481" s="29" t="str">
        <f t="shared" si="50"/>
        <v/>
      </c>
      <c r="B481" s="30"/>
      <c r="C481" s="30"/>
      <c r="D481" s="31"/>
      <c r="E481" s="10"/>
      <c r="F481" s="32" t="str">
        <f>IF($D481="","",$D481+IF($E481="",'01. CONFIGURAÇÕES'!$C$22,$E481))</f>
        <v/>
      </c>
      <c r="G481" s="30"/>
      <c r="H481" s="33"/>
      <c r="I481" s="33"/>
      <c r="J481" s="30"/>
      <c r="K481" s="33"/>
      <c r="L481" s="30"/>
      <c r="M481" s="33"/>
      <c r="N481" s="30"/>
      <c r="O481" s="33"/>
      <c r="P481" s="34" t="str">
        <f t="shared" si="51"/>
        <v/>
      </c>
      <c r="Q481" s="35" t="str">
        <f t="shared" si="52"/>
        <v/>
      </c>
      <c r="R481" s="35" t="str">
        <f t="shared" si="56"/>
        <v/>
      </c>
      <c r="S481" s="29" t="str">
        <f t="shared" si="53"/>
        <v/>
      </c>
      <c r="T481" s="13" t="str">
        <f t="shared" ca="1" si="54"/>
        <v/>
      </c>
      <c r="U481" s="29" t="str">
        <f ca="1">IF(OR($A481="",$F481=""),"",IF($R481&lt;&gt;"",IF($R481&lt;=$F481,"NO PRAZO","FORA DO PRAZO"),IF(TODAY()&gt;$F481,"VENCIDO",IF($F481-TODAY()&lt;='01. CONFIGURAÇÕES'!$C$23,"VENCE EM BREVE","EM DIA"))))</f>
        <v/>
      </c>
      <c r="V481" s="55" t="str">
        <f t="shared" si="55"/>
        <v/>
      </c>
      <c r="W481" s="30"/>
      <c r="X481" s="33"/>
    </row>
    <row r="482" spans="1:24" x14ac:dyDescent="0.25">
      <c r="A482" s="29" t="str">
        <f t="shared" si="50"/>
        <v/>
      </c>
      <c r="B482" s="30"/>
      <c r="C482" s="30"/>
      <c r="D482" s="31"/>
      <c r="E482" s="10"/>
      <c r="F482" s="32" t="str">
        <f>IF($D482="","",$D482+IF($E482="",'01. CONFIGURAÇÕES'!$C$22,$E482))</f>
        <v/>
      </c>
      <c r="G482" s="30"/>
      <c r="H482" s="33"/>
      <c r="I482" s="33"/>
      <c r="J482" s="30"/>
      <c r="K482" s="33"/>
      <c r="L482" s="30"/>
      <c r="M482" s="33"/>
      <c r="N482" s="30"/>
      <c r="O482" s="33"/>
      <c r="P482" s="34" t="str">
        <f t="shared" si="51"/>
        <v/>
      </c>
      <c r="Q482" s="35" t="str">
        <f t="shared" si="52"/>
        <v/>
      </c>
      <c r="R482" s="35" t="str">
        <f t="shared" si="56"/>
        <v/>
      </c>
      <c r="S482" s="29" t="str">
        <f t="shared" si="53"/>
        <v/>
      </c>
      <c r="T482" s="13" t="str">
        <f t="shared" ca="1" si="54"/>
        <v/>
      </c>
      <c r="U482" s="29" t="str">
        <f ca="1">IF(OR($A482="",$F482=""),"",IF($R482&lt;&gt;"",IF($R482&lt;=$F482,"NO PRAZO","FORA DO PRAZO"),IF(TODAY()&gt;$F482,"VENCIDO",IF($F482-TODAY()&lt;='01. CONFIGURAÇÕES'!$C$23,"VENCE EM BREVE","EM DIA"))))</f>
        <v/>
      </c>
      <c r="V482" s="55" t="str">
        <f t="shared" si="55"/>
        <v/>
      </c>
      <c r="W482" s="30"/>
      <c r="X482" s="33"/>
    </row>
    <row r="483" spans="1:24" x14ac:dyDescent="0.25">
      <c r="A483" s="29" t="str">
        <f t="shared" si="50"/>
        <v/>
      </c>
      <c r="B483" s="30"/>
      <c r="C483" s="30"/>
      <c r="D483" s="31"/>
      <c r="E483" s="10"/>
      <c r="F483" s="32" t="str">
        <f>IF($D483="","",$D483+IF($E483="",'01. CONFIGURAÇÕES'!$C$22,$E483))</f>
        <v/>
      </c>
      <c r="G483" s="30"/>
      <c r="H483" s="33"/>
      <c r="I483" s="33"/>
      <c r="J483" s="30"/>
      <c r="K483" s="33"/>
      <c r="L483" s="30"/>
      <c r="M483" s="33"/>
      <c r="N483" s="30"/>
      <c r="O483" s="33"/>
      <c r="P483" s="34" t="str">
        <f t="shared" si="51"/>
        <v/>
      </c>
      <c r="Q483" s="35" t="str">
        <f t="shared" si="52"/>
        <v/>
      </c>
      <c r="R483" s="35" t="str">
        <f t="shared" si="56"/>
        <v/>
      </c>
      <c r="S483" s="29" t="str">
        <f t="shared" si="53"/>
        <v/>
      </c>
      <c r="T483" s="13" t="str">
        <f t="shared" ca="1" si="54"/>
        <v/>
      </c>
      <c r="U483" s="29" t="str">
        <f ca="1">IF(OR($A483="",$F483=""),"",IF($R483&lt;&gt;"",IF($R483&lt;=$F483,"NO PRAZO","FORA DO PRAZO"),IF(TODAY()&gt;$F483,"VENCIDO",IF($F483-TODAY()&lt;='01. CONFIGURAÇÕES'!$C$23,"VENCE EM BREVE","EM DIA"))))</f>
        <v/>
      </c>
      <c r="V483" s="55" t="str">
        <f t="shared" si="55"/>
        <v/>
      </c>
      <c r="W483" s="30"/>
      <c r="X483" s="33"/>
    </row>
    <row r="484" spans="1:24" x14ac:dyDescent="0.25">
      <c r="A484" s="29" t="str">
        <f t="shared" si="50"/>
        <v/>
      </c>
      <c r="B484" s="30"/>
      <c r="C484" s="30"/>
      <c r="D484" s="31"/>
      <c r="E484" s="10"/>
      <c r="F484" s="32" t="str">
        <f>IF($D484="","",$D484+IF($E484="",'01. CONFIGURAÇÕES'!$C$22,$E484))</f>
        <v/>
      </c>
      <c r="G484" s="30"/>
      <c r="H484" s="33"/>
      <c r="I484" s="33"/>
      <c r="J484" s="30"/>
      <c r="K484" s="33"/>
      <c r="L484" s="30"/>
      <c r="M484" s="33"/>
      <c r="N484" s="30"/>
      <c r="O484" s="33"/>
      <c r="P484" s="34" t="str">
        <f t="shared" si="51"/>
        <v/>
      </c>
      <c r="Q484" s="35" t="str">
        <f t="shared" si="52"/>
        <v/>
      </c>
      <c r="R484" s="35" t="str">
        <f t="shared" si="56"/>
        <v/>
      </c>
      <c r="S484" s="29" t="str">
        <f t="shared" si="53"/>
        <v/>
      </c>
      <c r="T484" s="13" t="str">
        <f t="shared" ca="1" si="54"/>
        <v/>
      </c>
      <c r="U484" s="29" t="str">
        <f ca="1">IF(OR($A484="",$F484=""),"",IF($R484&lt;&gt;"",IF($R484&lt;=$F484,"NO PRAZO","FORA DO PRAZO"),IF(TODAY()&gt;$F484,"VENCIDO",IF($F484-TODAY()&lt;='01. CONFIGURAÇÕES'!$C$23,"VENCE EM BREVE","EM DIA"))))</f>
        <v/>
      </c>
      <c r="V484" s="55" t="str">
        <f t="shared" si="55"/>
        <v/>
      </c>
      <c r="W484" s="30"/>
      <c r="X484" s="33"/>
    </row>
    <row r="485" spans="1:24" x14ac:dyDescent="0.25">
      <c r="A485" s="29" t="str">
        <f t="shared" si="50"/>
        <v/>
      </c>
      <c r="B485" s="30"/>
      <c r="C485" s="30"/>
      <c r="D485" s="31"/>
      <c r="E485" s="10"/>
      <c r="F485" s="32" t="str">
        <f>IF($D485="","",$D485+IF($E485="",'01. CONFIGURAÇÕES'!$C$22,$E485))</f>
        <v/>
      </c>
      <c r="G485" s="30"/>
      <c r="H485" s="33"/>
      <c r="I485" s="33"/>
      <c r="J485" s="30"/>
      <c r="K485" s="33"/>
      <c r="L485" s="30"/>
      <c r="M485" s="33"/>
      <c r="N485" s="30"/>
      <c r="O485" s="33"/>
      <c r="P485" s="34" t="str">
        <f t="shared" si="51"/>
        <v/>
      </c>
      <c r="Q485" s="35" t="str">
        <f t="shared" si="52"/>
        <v/>
      </c>
      <c r="R485" s="35" t="str">
        <f t="shared" si="56"/>
        <v/>
      </c>
      <c r="S485" s="29" t="str">
        <f t="shared" si="53"/>
        <v/>
      </c>
      <c r="T485" s="13" t="str">
        <f t="shared" ca="1" si="54"/>
        <v/>
      </c>
      <c r="U485" s="29" t="str">
        <f ca="1">IF(OR($A485="",$F485=""),"",IF($R485&lt;&gt;"",IF($R485&lt;=$F485,"NO PRAZO","FORA DO PRAZO"),IF(TODAY()&gt;$F485,"VENCIDO",IF($F485-TODAY()&lt;='01. CONFIGURAÇÕES'!$C$23,"VENCE EM BREVE","EM DIA"))))</f>
        <v/>
      </c>
      <c r="V485" s="55" t="str">
        <f t="shared" si="55"/>
        <v/>
      </c>
      <c r="W485" s="30"/>
      <c r="X485" s="33"/>
    </row>
    <row r="486" spans="1:24" x14ac:dyDescent="0.25">
      <c r="A486" s="29" t="str">
        <f t="shared" si="50"/>
        <v/>
      </c>
      <c r="B486" s="30"/>
      <c r="C486" s="30"/>
      <c r="D486" s="31"/>
      <c r="E486" s="10"/>
      <c r="F486" s="32" t="str">
        <f>IF($D486="","",$D486+IF($E486="",'01. CONFIGURAÇÕES'!$C$22,$E486))</f>
        <v/>
      </c>
      <c r="G486" s="30"/>
      <c r="H486" s="33"/>
      <c r="I486" s="33"/>
      <c r="J486" s="30"/>
      <c r="K486" s="33"/>
      <c r="L486" s="30"/>
      <c r="M486" s="33"/>
      <c r="N486" s="30"/>
      <c r="O486" s="33"/>
      <c r="P486" s="34" t="str">
        <f t="shared" si="51"/>
        <v/>
      </c>
      <c r="Q486" s="35" t="str">
        <f t="shared" si="52"/>
        <v/>
      </c>
      <c r="R486" s="35" t="str">
        <f t="shared" si="56"/>
        <v/>
      </c>
      <c r="S486" s="29" t="str">
        <f t="shared" si="53"/>
        <v/>
      </c>
      <c r="T486" s="13" t="str">
        <f t="shared" ca="1" si="54"/>
        <v/>
      </c>
      <c r="U486" s="29" t="str">
        <f ca="1">IF(OR($A486="",$F486=""),"",IF($R486&lt;&gt;"",IF($R486&lt;=$F486,"NO PRAZO","FORA DO PRAZO"),IF(TODAY()&gt;$F486,"VENCIDO",IF($F486-TODAY()&lt;='01. CONFIGURAÇÕES'!$C$23,"VENCE EM BREVE","EM DIA"))))</f>
        <v/>
      </c>
      <c r="V486" s="55" t="str">
        <f t="shared" si="55"/>
        <v/>
      </c>
      <c r="W486" s="30"/>
      <c r="X486" s="33"/>
    </row>
    <row r="487" spans="1:24" x14ac:dyDescent="0.25">
      <c r="A487" s="29" t="str">
        <f t="shared" si="50"/>
        <v/>
      </c>
      <c r="B487" s="30"/>
      <c r="C487" s="30"/>
      <c r="D487" s="31"/>
      <c r="E487" s="10"/>
      <c r="F487" s="32" t="str">
        <f>IF($D487="","",$D487+IF($E487="",'01. CONFIGURAÇÕES'!$C$22,$E487))</f>
        <v/>
      </c>
      <c r="G487" s="30"/>
      <c r="H487" s="33"/>
      <c r="I487" s="33"/>
      <c r="J487" s="30"/>
      <c r="K487" s="33"/>
      <c r="L487" s="30"/>
      <c r="M487" s="33"/>
      <c r="N487" s="30"/>
      <c r="O487" s="33"/>
      <c r="P487" s="34" t="str">
        <f t="shared" si="51"/>
        <v/>
      </c>
      <c r="Q487" s="35" t="str">
        <f t="shared" si="52"/>
        <v/>
      </c>
      <c r="R487" s="35" t="str">
        <f t="shared" si="56"/>
        <v/>
      </c>
      <c r="S487" s="29" t="str">
        <f t="shared" si="53"/>
        <v/>
      </c>
      <c r="T487" s="13" t="str">
        <f t="shared" ca="1" si="54"/>
        <v/>
      </c>
      <c r="U487" s="29" t="str">
        <f ca="1">IF(OR($A487="",$F487=""),"",IF($R487&lt;&gt;"",IF($R487&lt;=$F487,"NO PRAZO","FORA DO PRAZO"),IF(TODAY()&gt;$F487,"VENCIDO",IF($F487-TODAY()&lt;='01. CONFIGURAÇÕES'!$C$23,"VENCE EM BREVE","EM DIA"))))</f>
        <v/>
      </c>
      <c r="V487" s="55" t="str">
        <f t="shared" si="55"/>
        <v/>
      </c>
      <c r="W487" s="30"/>
      <c r="X487" s="33"/>
    </row>
    <row r="488" spans="1:24" x14ac:dyDescent="0.25">
      <c r="A488" s="29" t="str">
        <f t="shared" si="50"/>
        <v/>
      </c>
      <c r="B488" s="30"/>
      <c r="C488" s="30"/>
      <c r="D488" s="31"/>
      <c r="E488" s="10"/>
      <c r="F488" s="32" t="str">
        <f>IF($D488="","",$D488+IF($E488="",'01. CONFIGURAÇÕES'!$C$22,$E488))</f>
        <v/>
      </c>
      <c r="G488" s="30"/>
      <c r="H488" s="33"/>
      <c r="I488" s="33"/>
      <c r="J488" s="30"/>
      <c r="K488" s="33"/>
      <c r="L488" s="30"/>
      <c r="M488" s="33"/>
      <c r="N488" s="30"/>
      <c r="O488" s="33"/>
      <c r="P488" s="34" t="str">
        <f t="shared" si="51"/>
        <v/>
      </c>
      <c r="Q488" s="35" t="str">
        <f t="shared" si="52"/>
        <v/>
      </c>
      <c r="R488" s="35" t="str">
        <f t="shared" si="56"/>
        <v/>
      </c>
      <c r="S488" s="29" t="str">
        <f t="shared" si="53"/>
        <v/>
      </c>
      <c r="T488" s="13" t="str">
        <f t="shared" ca="1" si="54"/>
        <v/>
      </c>
      <c r="U488" s="29" t="str">
        <f ca="1">IF(OR($A488="",$F488=""),"",IF($R488&lt;&gt;"",IF($R488&lt;=$F488,"NO PRAZO","FORA DO PRAZO"),IF(TODAY()&gt;$F488,"VENCIDO",IF($F488-TODAY()&lt;='01. CONFIGURAÇÕES'!$C$23,"VENCE EM BREVE","EM DIA"))))</f>
        <v/>
      </c>
      <c r="V488" s="55" t="str">
        <f t="shared" si="55"/>
        <v/>
      </c>
      <c r="W488" s="30"/>
      <c r="X488" s="33"/>
    </row>
    <row r="489" spans="1:24" x14ac:dyDescent="0.25">
      <c r="A489" s="29" t="str">
        <f t="shared" si="50"/>
        <v/>
      </c>
      <c r="B489" s="30"/>
      <c r="C489" s="30"/>
      <c r="D489" s="31"/>
      <c r="E489" s="10"/>
      <c r="F489" s="32" t="str">
        <f>IF($D489="","",$D489+IF($E489="",'01. CONFIGURAÇÕES'!$C$22,$E489))</f>
        <v/>
      </c>
      <c r="G489" s="30"/>
      <c r="H489" s="33"/>
      <c r="I489" s="33"/>
      <c r="J489" s="30"/>
      <c r="K489" s="33"/>
      <c r="L489" s="30"/>
      <c r="M489" s="33"/>
      <c r="N489" s="30"/>
      <c r="O489" s="33"/>
      <c r="P489" s="34" t="str">
        <f t="shared" si="51"/>
        <v/>
      </c>
      <c r="Q489" s="35" t="str">
        <f t="shared" si="52"/>
        <v/>
      </c>
      <c r="R489" s="35" t="str">
        <f t="shared" si="56"/>
        <v/>
      </c>
      <c r="S489" s="29" t="str">
        <f t="shared" si="53"/>
        <v/>
      </c>
      <c r="T489" s="13" t="str">
        <f t="shared" ca="1" si="54"/>
        <v/>
      </c>
      <c r="U489" s="29" t="str">
        <f ca="1">IF(OR($A489="",$F489=""),"",IF($R489&lt;&gt;"",IF($R489&lt;=$F489,"NO PRAZO","FORA DO PRAZO"),IF(TODAY()&gt;$F489,"VENCIDO",IF($F489-TODAY()&lt;='01. CONFIGURAÇÕES'!$C$23,"VENCE EM BREVE","EM DIA"))))</f>
        <v/>
      </c>
      <c r="V489" s="55" t="str">
        <f t="shared" si="55"/>
        <v/>
      </c>
      <c r="W489" s="30"/>
      <c r="X489" s="33"/>
    </row>
    <row r="490" spans="1:24" x14ac:dyDescent="0.25">
      <c r="A490" s="29" t="str">
        <f t="shared" si="50"/>
        <v/>
      </c>
      <c r="B490" s="30"/>
      <c r="C490" s="30"/>
      <c r="D490" s="31"/>
      <c r="E490" s="10"/>
      <c r="F490" s="32" t="str">
        <f>IF($D490="","",$D490+IF($E490="",'01. CONFIGURAÇÕES'!$C$22,$E490))</f>
        <v/>
      </c>
      <c r="G490" s="30"/>
      <c r="H490" s="33"/>
      <c r="I490" s="33"/>
      <c r="J490" s="30"/>
      <c r="K490" s="33"/>
      <c r="L490" s="30"/>
      <c r="M490" s="33"/>
      <c r="N490" s="30"/>
      <c r="O490" s="33"/>
      <c r="P490" s="34" t="str">
        <f t="shared" si="51"/>
        <v/>
      </c>
      <c r="Q490" s="35" t="str">
        <f t="shared" si="52"/>
        <v/>
      </c>
      <c r="R490" s="35" t="str">
        <f t="shared" si="56"/>
        <v/>
      </c>
      <c r="S490" s="29" t="str">
        <f t="shared" si="53"/>
        <v/>
      </c>
      <c r="T490" s="13" t="str">
        <f t="shared" ca="1" si="54"/>
        <v/>
      </c>
      <c r="U490" s="29" t="str">
        <f ca="1">IF(OR($A490="",$F490=""),"",IF($R490&lt;&gt;"",IF($R490&lt;=$F490,"NO PRAZO","FORA DO PRAZO"),IF(TODAY()&gt;$F490,"VENCIDO",IF($F490-TODAY()&lt;='01. CONFIGURAÇÕES'!$C$23,"VENCE EM BREVE","EM DIA"))))</f>
        <v/>
      </c>
      <c r="V490" s="55" t="str">
        <f t="shared" si="55"/>
        <v/>
      </c>
      <c r="W490" s="30"/>
      <c r="X490" s="33"/>
    </row>
    <row r="491" spans="1:24" x14ac:dyDescent="0.25">
      <c r="A491" s="29" t="str">
        <f t="shared" si="50"/>
        <v/>
      </c>
      <c r="B491" s="30"/>
      <c r="C491" s="30"/>
      <c r="D491" s="31"/>
      <c r="E491" s="10"/>
      <c r="F491" s="32" t="str">
        <f>IF($D491="","",$D491+IF($E491="",'01. CONFIGURAÇÕES'!$C$22,$E491))</f>
        <v/>
      </c>
      <c r="G491" s="30"/>
      <c r="H491" s="33"/>
      <c r="I491" s="33"/>
      <c r="J491" s="30"/>
      <c r="K491" s="33"/>
      <c r="L491" s="30"/>
      <c r="M491" s="33"/>
      <c r="N491" s="30"/>
      <c r="O491" s="33"/>
      <c r="P491" s="34" t="str">
        <f t="shared" si="51"/>
        <v/>
      </c>
      <c r="Q491" s="35" t="str">
        <f t="shared" si="52"/>
        <v/>
      </c>
      <c r="R491" s="35" t="str">
        <f t="shared" si="56"/>
        <v/>
      </c>
      <c r="S491" s="29" t="str">
        <f t="shared" si="53"/>
        <v/>
      </c>
      <c r="T491" s="13" t="str">
        <f t="shared" ca="1" si="54"/>
        <v/>
      </c>
      <c r="U491" s="29" t="str">
        <f ca="1">IF(OR($A491="",$F491=""),"",IF($R491&lt;&gt;"",IF($R491&lt;=$F491,"NO PRAZO","FORA DO PRAZO"),IF(TODAY()&gt;$F491,"VENCIDO",IF($F491-TODAY()&lt;='01. CONFIGURAÇÕES'!$C$23,"VENCE EM BREVE","EM DIA"))))</f>
        <v/>
      </c>
      <c r="V491" s="55" t="str">
        <f t="shared" si="55"/>
        <v/>
      </c>
      <c r="W491" s="30"/>
      <c r="X491" s="33"/>
    </row>
    <row r="492" spans="1:24" x14ac:dyDescent="0.25">
      <c r="A492" s="29" t="str">
        <f t="shared" si="50"/>
        <v/>
      </c>
      <c r="B492" s="30"/>
      <c r="C492" s="30"/>
      <c r="D492" s="31"/>
      <c r="E492" s="10"/>
      <c r="F492" s="32" t="str">
        <f>IF($D492="","",$D492+IF($E492="",'01. CONFIGURAÇÕES'!$C$22,$E492))</f>
        <v/>
      </c>
      <c r="G492" s="30"/>
      <c r="H492" s="33"/>
      <c r="I492" s="33"/>
      <c r="J492" s="30"/>
      <c r="K492" s="33"/>
      <c r="L492" s="30"/>
      <c r="M492" s="33"/>
      <c r="N492" s="30"/>
      <c r="O492" s="33"/>
      <c r="P492" s="34" t="str">
        <f t="shared" si="51"/>
        <v/>
      </c>
      <c r="Q492" s="35" t="str">
        <f t="shared" si="52"/>
        <v/>
      </c>
      <c r="R492" s="35" t="str">
        <f t="shared" si="56"/>
        <v/>
      </c>
      <c r="S492" s="29" t="str">
        <f t="shared" si="53"/>
        <v/>
      </c>
      <c r="T492" s="13" t="str">
        <f t="shared" ca="1" si="54"/>
        <v/>
      </c>
      <c r="U492" s="29" t="str">
        <f ca="1">IF(OR($A492="",$F492=""),"",IF($R492&lt;&gt;"",IF($R492&lt;=$F492,"NO PRAZO","FORA DO PRAZO"),IF(TODAY()&gt;$F492,"VENCIDO",IF($F492-TODAY()&lt;='01. CONFIGURAÇÕES'!$C$23,"VENCE EM BREVE","EM DIA"))))</f>
        <v/>
      </c>
      <c r="V492" s="55" t="str">
        <f t="shared" si="55"/>
        <v/>
      </c>
      <c r="W492" s="30"/>
      <c r="X492" s="33"/>
    </row>
    <row r="493" spans="1:24" x14ac:dyDescent="0.25">
      <c r="A493" s="29" t="str">
        <f t="shared" si="50"/>
        <v/>
      </c>
      <c r="B493" s="30"/>
      <c r="C493" s="30"/>
      <c r="D493" s="31"/>
      <c r="E493" s="10"/>
      <c r="F493" s="32" t="str">
        <f>IF($D493="","",$D493+IF($E493="",'01. CONFIGURAÇÕES'!$C$22,$E493))</f>
        <v/>
      </c>
      <c r="G493" s="30"/>
      <c r="H493" s="33"/>
      <c r="I493" s="33"/>
      <c r="J493" s="30"/>
      <c r="K493" s="33"/>
      <c r="L493" s="30"/>
      <c r="M493" s="33"/>
      <c r="N493" s="30"/>
      <c r="O493" s="33"/>
      <c r="P493" s="34" t="str">
        <f t="shared" si="51"/>
        <v/>
      </c>
      <c r="Q493" s="35" t="str">
        <f t="shared" si="52"/>
        <v/>
      </c>
      <c r="R493" s="35" t="str">
        <f t="shared" si="56"/>
        <v/>
      </c>
      <c r="S493" s="29" t="str">
        <f t="shared" si="53"/>
        <v/>
      </c>
      <c r="T493" s="13" t="str">
        <f t="shared" ca="1" si="54"/>
        <v/>
      </c>
      <c r="U493" s="29" t="str">
        <f ca="1">IF(OR($A493="",$F493=""),"",IF($R493&lt;&gt;"",IF($R493&lt;=$F493,"NO PRAZO","FORA DO PRAZO"),IF(TODAY()&gt;$F493,"VENCIDO",IF($F493-TODAY()&lt;='01. CONFIGURAÇÕES'!$C$23,"VENCE EM BREVE","EM DIA"))))</f>
        <v/>
      </c>
      <c r="V493" s="55" t="str">
        <f t="shared" si="55"/>
        <v/>
      </c>
      <c r="W493" s="30"/>
      <c r="X493" s="33"/>
    </row>
    <row r="494" spans="1:24" x14ac:dyDescent="0.25">
      <c r="A494" s="29" t="str">
        <f t="shared" si="50"/>
        <v/>
      </c>
      <c r="B494" s="30"/>
      <c r="C494" s="30"/>
      <c r="D494" s="31"/>
      <c r="E494" s="10"/>
      <c r="F494" s="32" t="str">
        <f>IF($D494="","",$D494+IF($E494="",'01. CONFIGURAÇÕES'!$C$22,$E494))</f>
        <v/>
      </c>
      <c r="G494" s="30"/>
      <c r="H494" s="33"/>
      <c r="I494" s="33"/>
      <c r="J494" s="30"/>
      <c r="K494" s="33"/>
      <c r="L494" s="30"/>
      <c r="M494" s="33"/>
      <c r="N494" s="30"/>
      <c r="O494" s="33"/>
      <c r="P494" s="34" t="str">
        <f t="shared" si="51"/>
        <v/>
      </c>
      <c r="Q494" s="35" t="str">
        <f t="shared" si="52"/>
        <v/>
      </c>
      <c r="R494" s="35" t="str">
        <f t="shared" si="56"/>
        <v/>
      </c>
      <c r="S494" s="29" t="str">
        <f t="shared" si="53"/>
        <v/>
      </c>
      <c r="T494" s="13" t="str">
        <f t="shared" ca="1" si="54"/>
        <v/>
      </c>
      <c r="U494" s="29" t="str">
        <f ca="1">IF(OR($A494="",$F494=""),"",IF($R494&lt;&gt;"",IF($R494&lt;=$F494,"NO PRAZO","FORA DO PRAZO"),IF(TODAY()&gt;$F494,"VENCIDO",IF($F494-TODAY()&lt;='01. CONFIGURAÇÕES'!$C$23,"VENCE EM BREVE","EM DIA"))))</f>
        <v/>
      </c>
      <c r="V494" s="55" t="str">
        <f t="shared" si="55"/>
        <v/>
      </c>
      <c r="W494" s="30"/>
      <c r="X494" s="33"/>
    </row>
    <row r="495" spans="1:24" x14ac:dyDescent="0.25">
      <c r="A495" s="29" t="str">
        <f t="shared" si="50"/>
        <v/>
      </c>
      <c r="B495" s="30"/>
      <c r="C495" s="30"/>
      <c r="D495" s="31"/>
      <c r="E495" s="10"/>
      <c r="F495" s="32" t="str">
        <f>IF($D495="","",$D495+IF($E495="",'01. CONFIGURAÇÕES'!$C$22,$E495))</f>
        <v/>
      </c>
      <c r="G495" s="30"/>
      <c r="H495" s="33"/>
      <c r="I495" s="33"/>
      <c r="J495" s="30"/>
      <c r="K495" s="33"/>
      <c r="L495" s="30"/>
      <c r="M495" s="33"/>
      <c r="N495" s="30"/>
      <c r="O495" s="33"/>
      <c r="P495" s="34" t="str">
        <f t="shared" si="51"/>
        <v/>
      </c>
      <c r="Q495" s="35" t="str">
        <f t="shared" si="52"/>
        <v/>
      </c>
      <c r="R495" s="35" t="str">
        <f t="shared" si="56"/>
        <v/>
      </c>
      <c r="S495" s="29" t="str">
        <f t="shared" si="53"/>
        <v/>
      </c>
      <c r="T495" s="13" t="str">
        <f t="shared" ca="1" si="54"/>
        <v/>
      </c>
      <c r="U495" s="29" t="str">
        <f ca="1">IF(OR($A495="",$F495=""),"",IF($R495&lt;&gt;"",IF($R495&lt;=$F495,"NO PRAZO","FORA DO PRAZO"),IF(TODAY()&gt;$F495,"VENCIDO",IF($F495-TODAY()&lt;='01. CONFIGURAÇÕES'!$C$23,"VENCE EM BREVE","EM DIA"))))</f>
        <v/>
      </c>
      <c r="V495" s="55" t="str">
        <f t="shared" si="55"/>
        <v/>
      </c>
      <c r="W495" s="30"/>
      <c r="X495" s="33"/>
    </row>
    <row r="496" spans="1:24" x14ac:dyDescent="0.25">
      <c r="A496" s="29" t="str">
        <f t="shared" si="50"/>
        <v/>
      </c>
      <c r="B496" s="30"/>
      <c r="C496" s="30"/>
      <c r="D496" s="31"/>
      <c r="E496" s="10"/>
      <c r="F496" s="32" t="str">
        <f>IF($D496="","",$D496+IF($E496="",'01. CONFIGURAÇÕES'!$C$22,$E496))</f>
        <v/>
      </c>
      <c r="G496" s="30"/>
      <c r="H496" s="33"/>
      <c r="I496" s="33"/>
      <c r="J496" s="30"/>
      <c r="K496" s="33"/>
      <c r="L496" s="30"/>
      <c r="M496" s="33"/>
      <c r="N496" s="30"/>
      <c r="O496" s="33"/>
      <c r="P496" s="34" t="str">
        <f t="shared" si="51"/>
        <v/>
      </c>
      <c r="Q496" s="35" t="str">
        <f t="shared" si="52"/>
        <v/>
      </c>
      <c r="R496" s="35" t="str">
        <f t="shared" si="56"/>
        <v/>
      </c>
      <c r="S496" s="29" t="str">
        <f t="shared" si="53"/>
        <v/>
      </c>
      <c r="T496" s="13" t="str">
        <f t="shared" ca="1" si="54"/>
        <v/>
      </c>
      <c r="U496" s="29" t="str">
        <f ca="1">IF(OR($A496="",$F496=""),"",IF($R496&lt;&gt;"",IF($R496&lt;=$F496,"NO PRAZO","FORA DO PRAZO"),IF(TODAY()&gt;$F496,"VENCIDO",IF($F496-TODAY()&lt;='01. CONFIGURAÇÕES'!$C$23,"VENCE EM BREVE","EM DIA"))))</f>
        <v/>
      </c>
      <c r="V496" s="55" t="str">
        <f t="shared" si="55"/>
        <v/>
      </c>
      <c r="W496" s="30"/>
      <c r="X496" s="33"/>
    </row>
    <row r="497" spans="1:24" x14ac:dyDescent="0.25">
      <c r="A497" s="29" t="str">
        <f t="shared" si="50"/>
        <v/>
      </c>
      <c r="B497" s="30"/>
      <c r="C497" s="30"/>
      <c r="D497" s="31"/>
      <c r="E497" s="10"/>
      <c r="F497" s="32" t="str">
        <f>IF($D497="","",$D497+IF($E497="",'01. CONFIGURAÇÕES'!$C$22,$E497))</f>
        <v/>
      </c>
      <c r="G497" s="30"/>
      <c r="H497" s="33"/>
      <c r="I497" s="33"/>
      <c r="J497" s="30"/>
      <c r="K497" s="33"/>
      <c r="L497" s="30"/>
      <c r="M497" s="33"/>
      <c r="N497" s="30"/>
      <c r="O497" s="33"/>
      <c r="P497" s="34" t="str">
        <f t="shared" si="51"/>
        <v/>
      </c>
      <c r="Q497" s="35" t="str">
        <f t="shared" si="52"/>
        <v/>
      </c>
      <c r="R497" s="35" t="str">
        <f t="shared" si="56"/>
        <v/>
      </c>
      <c r="S497" s="29" t="str">
        <f t="shared" si="53"/>
        <v/>
      </c>
      <c r="T497" s="13" t="str">
        <f t="shared" ca="1" si="54"/>
        <v/>
      </c>
      <c r="U497" s="29" t="str">
        <f ca="1">IF(OR($A497="",$F497=""),"",IF($R497&lt;&gt;"",IF($R497&lt;=$F497,"NO PRAZO","FORA DO PRAZO"),IF(TODAY()&gt;$F497,"VENCIDO",IF($F497-TODAY()&lt;='01. CONFIGURAÇÕES'!$C$23,"VENCE EM BREVE","EM DIA"))))</f>
        <v/>
      </c>
      <c r="V497" s="55" t="str">
        <f t="shared" si="55"/>
        <v/>
      </c>
      <c r="W497" s="30"/>
      <c r="X497" s="33"/>
    </row>
    <row r="498" spans="1:24" x14ac:dyDescent="0.25">
      <c r="A498" s="29" t="str">
        <f t="shared" si="50"/>
        <v/>
      </c>
      <c r="B498" s="30"/>
      <c r="C498" s="30"/>
      <c r="D498" s="31"/>
      <c r="E498" s="10"/>
      <c r="F498" s="32" t="str">
        <f>IF($D498="","",$D498+IF($E498="",'01. CONFIGURAÇÕES'!$C$22,$E498))</f>
        <v/>
      </c>
      <c r="G498" s="30"/>
      <c r="H498" s="33"/>
      <c r="I498" s="33"/>
      <c r="J498" s="30"/>
      <c r="K498" s="33"/>
      <c r="L498" s="30"/>
      <c r="M498" s="33"/>
      <c r="N498" s="30"/>
      <c r="O498" s="33"/>
      <c r="P498" s="34" t="str">
        <f t="shared" si="51"/>
        <v/>
      </c>
      <c r="Q498" s="35" t="str">
        <f t="shared" si="52"/>
        <v/>
      </c>
      <c r="R498" s="35" t="str">
        <f t="shared" si="56"/>
        <v/>
      </c>
      <c r="S498" s="29" t="str">
        <f t="shared" si="53"/>
        <v/>
      </c>
      <c r="T498" s="13" t="str">
        <f t="shared" ca="1" si="54"/>
        <v/>
      </c>
      <c r="U498" s="29" t="str">
        <f ca="1">IF(OR($A498="",$F498=""),"",IF($R498&lt;&gt;"",IF($R498&lt;=$F498,"NO PRAZO","FORA DO PRAZO"),IF(TODAY()&gt;$F498,"VENCIDO",IF($F498-TODAY()&lt;='01. CONFIGURAÇÕES'!$C$23,"VENCE EM BREVE","EM DIA"))))</f>
        <v/>
      </c>
      <c r="V498" s="55" t="str">
        <f t="shared" si="55"/>
        <v/>
      </c>
      <c r="W498" s="30"/>
      <c r="X498" s="33"/>
    </row>
    <row r="499" spans="1:24" x14ac:dyDescent="0.25">
      <c r="A499" s="29" t="str">
        <f t="shared" si="50"/>
        <v/>
      </c>
      <c r="B499" s="30"/>
      <c r="C499" s="30"/>
      <c r="D499" s="31"/>
      <c r="E499" s="10"/>
      <c r="F499" s="32" t="str">
        <f>IF($D499="","",$D499+IF($E499="",'01. CONFIGURAÇÕES'!$C$22,$E499))</f>
        <v/>
      </c>
      <c r="G499" s="30"/>
      <c r="H499" s="33"/>
      <c r="I499" s="33"/>
      <c r="J499" s="30"/>
      <c r="K499" s="33"/>
      <c r="L499" s="30"/>
      <c r="M499" s="33"/>
      <c r="N499" s="30"/>
      <c r="O499" s="33"/>
      <c r="P499" s="34" t="str">
        <f t="shared" si="51"/>
        <v/>
      </c>
      <c r="Q499" s="35" t="str">
        <f t="shared" si="52"/>
        <v/>
      </c>
      <c r="R499" s="35" t="str">
        <f t="shared" si="56"/>
        <v/>
      </c>
      <c r="S499" s="29" t="str">
        <f t="shared" si="53"/>
        <v/>
      </c>
      <c r="T499" s="13" t="str">
        <f t="shared" ca="1" si="54"/>
        <v/>
      </c>
      <c r="U499" s="29" t="str">
        <f ca="1">IF(OR($A499="",$F499=""),"",IF($R499&lt;&gt;"",IF($R499&lt;=$F499,"NO PRAZO","FORA DO PRAZO"),IF(TODAY()&gt;$F499,"VENCIDO",IF($F499-TODAY()&lt;='01. CONFIGURAÇÕES'!$C$23,"VENCE EM BREVE","EM DIA"))))</f>
        <v/>
      </c>
      <c r="V499" s="55" t="str">
        <f t="shared" si="55"/>
        <v/>
      </c>
      <c r="W499" s="30"/>
      <c r="X499" s="33"/>
    </row>
    <row r="500" spans="1:24" x14ac:dyDescent="0.25">
      <c r="A500" s="29" t="str">
        <f t="shared" si="50"/>
        <v/>
      </c>
      <c r="B500" s="30"/>
      <c r="C500" s="30"/>
      <c r="D500" s="31"/>
      <c r="E500" s="10"/>
      <c r="F500" s="32" t="str">
        <f>IF($D500="","",$D500+IF($E500="",'01. CONFIGURAÇÕES'!$C$22,$E500))</f>
        <v/>
      </c>
      <c r="G500" s="30"/>
      <c r="H500" s="33"/>
      <c r="I500" s="33"/>
      <c r="J500" s="30"/>
      <c r="K500" s="33"/>
      <c r="L500" s="30"/>
      <c r="M500" s="33"/>
      <c r="N500" s="30"/>
      <c r="O500" s="33"/>
      <c r="P500" s="34" t="str">
        <f t="shared" si="51"/>
        <v/>
      </c>
      <c r="Q500" s="35" t="str">
        <f t="shared" si="52"/>
        <v/>
      </c>
      <c r="R500" s="35" t="str">
        <f t="shared" si="56"/>
        <v/>
      </c>
      <c r="S500" s="29" t="str">
        <f t="shared" si="53"/>
        <v/>
      </c>
      <c r="T500" s="13" t="str">
        <f t="shared" ca="1" si="54"/>
        <v/>
      </c>
      <c r="U500" s="29" t="str">
        <f ca="1">IF(OR($A500="",$F500=""),"",IF($R500&lt;&gt;"",IF($R500&lt;=$F500,"NO PRAZO","FORA DO PRAZO"),IF(TODAY()&gt;$F500,"VENCIDO",IF($F500-TODAY()&lt;='01. CONFIGURAÇÕES'!$C$23,"VENCE EM BREVE","EM DIA"))))</f>
        <v/>
      </c>
      <c r="V500" s="55" t="str">
        <f t="shared" si="55"/>
        <v/>
      </c>
      <c r="W500" s="30"/>
      <c r="X500" s="33"/>
    </row>
    <row r="501" spans="1:24" x14ac:dyDescent="0.25">
      <c r="A501" s="29" t="str">
        <f t="shared" si="50"/>
        <v/>
      </c>
      <c r="B501" s="30"/>
      <c r="C501" s="30"/>
      <c r="D501" s="31"/>
      <c r="E501" s="10"/>
      <c r="F501" s="32" t="str">
        <f>IF($D501="","",$D501+IF($E501="",'01. CONFIGURAÇÕES'!$C$22,$E501))</f>
        <v/>
      </c>
      <c r="G501" s="30"/>
      <c r="H501" s="33"/>
      <c r="I501" s="33"/>
      <c r="J501" s="30"/>
      <c r="K501" s="33"/>
      <c r="L501" s="30"/>
      <c r="M501" s="33"/>
      <c r="N501" s="30"/>
      <c r="O501" s="33"/>
      <c r="P501" s="34" t="str">
        <f t="shared" si="51"/>
        <v/>
      </c>
      <c r="Q501" s="35" t="str">
        <f t="shared" si="52"/>
        <v/>
      </c>
      <c r="R501" s="35" t="str">
        <f t="shared" si="56"/>
        <v/>
      </c>
      <c r="S501" s="29" t="str">
        <f t="shared" si="53"/>
        <v/>
      </c>
      <c r="T501" s="13" t="str">
        <f t="shared" ca="1" si="54"/>
        <v/>
      </c>
      <c r="U501" s="29" t="str">
        <f ca="1">IF(OR($A501="",$F501=""),"",IF($R501&lt;&gt;"",IF($R501&lt;=$F501,"NO PRAZO","FORA DO PRAZO"),IF(TODAY()&gt;$F501,"VENCIDO",IF($F501-TODAY()&lt;='01. CONFIGURAÇÕES'!$C$23,"VENCE EM BREVE","EM DIA"))))</f>
        <v/>
      </c>
      <c r="V501" s="55" t="str">
        <f t="shared" si="55"/>
        <v/>
      </c>
      <c r="W501" s="30"/>
      <c r="X501" s="33"/>
    </row>
    <row r="502" spans="1:24" x14ac:dyDescent="0.25">
      <c r="A502" s="29" t="str">
        <f t="shared" si="50"/>
        <v/>
      </c>
      <c r="B502" s="30"/>
      <c r="C502" s="30"/>
      <c r="D502" s="31"/>
      <c r="E502" s="10"/>
      <c r="F502" s="32" t="str">
        <f>IF($D502="","",$D502+IF($E502="",'01. CONFIGURAÇÕES'!$C$22,$E502))</f>
        <v/>
      </c>
      <c r="G502" s="30"/>
      <c r="H502" s="33"/>
      <c r="I502" s="33"/>
      <c r="J502" s="30"/>
      <c r="K502" s="33"/>
      <c r="L502" s="30"/>
      <c r="M502" s="33"/>
      <c r="N502" s="30"/>
      <c r="O502" s="33"/>
      <c r="P502" s="34" t="str">
        <f t="shared" si="51"/>
        <v/>
      </c>
      <c r="Q502" s="35" t="str">
        <f t="shared" si="52"/>
        <v/>
      </c>
      <c r="R502" s="35" t="str">
        <f t="shared" si="56"/>
        <v/>
      </c>
      <c r="S502" s="29" t="str">
        <f t="shared" si="53"/>
        <v/>
      </c>
      <c r="T502" s="13" t="str">
        <f t="shared" ca="1" si="54"/>
        <v/>
      </c>
      <c r="U502" s="29" t="str">
        <f ca="1">IF(OR($A502="",$F502=""),"",IF($R502&lt;&gt;"",IF($R502&lt;=$F502,"NO PRAZO","FORA DO PRAZO"),IF(TODAY()&gt;$F502,"VENCIDO",IF($F502-TODAY()&lt;='01. CONFIGURAÇÕES'!$C$23,"VENCE EM BREVE","EM DIA"))))</f>
        <v/>
      </c>
      <c r="V502" s="55" t="str">
        <f t="shared" si="55"/>
        <v/>
      </c>
      <c r="W502" s="30"/>
      <c r="X502" s="33"/>
    </row>
    <row r="503" spans="1:24" x14ac:dyDescent="0.25">
      <c r="A503" s="29" t="str">
        <f t="shared" si="50"/>
        <v/>
      </c>
      <c r="B503" s="30"/>
      <c r="C503" s="30"/>
      <c r="D503" s="31"/>
      <c r="E503" s="10"/>
      <c r="F503" s="32" t="str">
        <f>IF($D503="","",$D503+IF($E503="",'01. CONFIGURAÇÕES'!$C$22,$E503))</f>
        <v/>
      </c>
      <c r="G503" s="30"/>
      <c r="H503" s="33"/>
      <c r="I503" s="33"/>
      <c r="J503" s="30"/>
      <c r="K503" s="33"/>
      <c r="L503" s="30"/>
      <c r="M503" s="33"/>
      <c r="N503" s="30"/>
      <c r="O503" s="33"/>
      <c r="P503" s="34" t="str">
        <f t="shared" si="51"/>
        <v/>
      </c>
      <c r="Q503" s="35" t="str">
        <f t="shared" si="52"/>
        <v/>
      </c>
      <c r="R503" s="35" t="str">
        <f t="shared" si="56"/>
        <v/>
      </c>
      <c r="S503" s="29" t="str">
        <f t="shared" si="53"/>
        <v/>
      </c>
      <c r="T503" s="13" t="str">
        <f t="shared" ca="1" si="54"/>
        <v/>
      </c>
      <c r="U503" s="29" t="str">
        <f ca="1">IF(OR($A503="",$F503=""),"",IF($R503&lt;&gt;"",IF($R503&lt;=$F503,"NO PRAZO","FORA DO PRAZO"),IF(TODAY()&gt;$F503,"VENCIDO",IF($F503-TODAY()&lt;='01. CONFIGURAÇÕES'!$C$23,"VENCE EM BREVE","EM DIA"))))</f>
        <v/>
      </c>
      <c r="V503" s="55" t="str">
        <f t="shared" si="55"/>
        <v/>
      </c>
      <c r="W503" s="30"/>
      <c r="X503" s="33"/>
    </row>
    <row r="504" spans="1:24" x14ac:dyDescent="0.25">
      <c r="A504" s="29" t="str">
        <f t="shared" si="50"/>
        <v/>
      </c>
      <c r="B504" s="30"/>
      <c r="C504" s="30"/>
      <c r="D504" s="31"/>
      <c r="E504" s="10"/>
      <c r="F504" s="32" t="str">
        <f>IF($D504="","",$D504+IF($E504="",'01. CONFIGURAÇÕES'!$C$22,$E504))</f>
        <v/>
      </c>
      <c r="G504" s="30"/>
      <c r="H504" s="33"/>
      <c r="I504" s="33"/>
      <c r="J504" s="30"/>
      <c r="K504" s="33"/>
      <c r="L504" s="30"/>
      <c r="M504" s="33"/>
      <c r="N504" s="30"/>
      <c r="O504" s="33"/>
      <c r="P504" s="34" t="str">
        <f t="shared" si="51"/>
        <v/>
      </c>
      <c r="Q504" s="35" t="str">
        <f t="shared" si="52"/>
        <v/>
      </c>
      <c r="R504" s="35" t="str">
        <f t="shared" si="56"/>
        <v/>
      </c>
      <c r="S504" s="29" t="str">
        <f t="shared" si="53"/>
        <v/>
      </c>
      <c r="T504" s="13" t="str">
        <f t="shared" ca="1" si="54"/>
        <v/>
      </c>
      <c r="U504" s="29" t="str">
        <f ca="1">IF(OR($A504="",$F504=""),"",IF($R504&lt;&gt;"",IF($R504&lt;=$F504,"NO PRAZO","FORA DO PRAZO"),IF(TODAY()&gt;$F504,"VENCIDO",IF($F504-TODAY()&lt;='01. CONFIGURAÇÕES'!$C$23,"VENCE EM BREVE","EM DIA"))))</f>
        <v/>
      </c>
      <c r="V504" s="55" t="str">
        <f t="shared" si="55"/>
        <v/>
      </c>
      <c r="W504" s="30"/>
      <c r="X504" s="33"/>
    </row>
    <row r="505" spans="1:24" x14ac:dyDescent="0.25">
      <c r="A505" s="29" t="str">
        <f t="shared" si="50"/>
        <v/>
      </c>
      <c r="B505" s="30"/>
      <c r="C505" s="30"/>
      <c r="D505" s="31"/>
      <c r="E505" s="10"/>
      <c r="F505" s="32" t="str">
        <f>IF($D505="","",$D505+IF($E505="",'01. CONFIGURAÇÕES'!$C$22,$E505))</f>
        <v/>
      </c>
      <c r="G505" s="30"/>
      <c r="H505" s="33"/>
      <c r="I505" s="33"/>
      <c r="J505" s="30"/>
      <c r="K505" s="33"/>
      <c r="L505" s="30"/>
      <c r="M505" s="33"/>
      <c r="N505" s="30"/>
      <c r="O505" s="33"/>
      <c r="P505" s="34" t="str">
        <f t="shared" si="51"/>
        <v/>
      </c>
      <c r="Q505" s="35" t="str">
        <f t="shared" si="52"/>
        <v/>
      </c>
      <c r="R505" s="35" t="str">
        <f t="shared" si="56"/>
        <v/>
      </c>
      <c r="S505" s="29" t="str">
        <f t="shared" si="53"/>
        <v/>
      </c>
      <c r="T505" s="13" t="str">
        <f t="shared" ca="1" si="54"/>
        <v/>
      </c>
      <c r="U505" s="29" t="str">
        <f ca="1">IF(OR($A505="",$F505=""),"",IF($R505&lt;&gt;"",IF($R505&lt;=$F505,"NO PRAZO","FORA DO PRAZO"),IF(TODAY()&gt;$F505,"VENCIDO",IF($F505-TODAY()&lt;='01. CONFIGURAÇÕES'!$C$23,"VENCE EM BREVE","EM DIA"))))</f>
        <v/>
      </c>
      <c r="V505" s="55" t="str">
        <f t="shared" si="55"/>
        <v/>
      </c>
      <c r="W505" s="30"/>
      <c r="X505" s="33"/>
    </row>
    <row r="506" spans="1:24" x14ac:dyDescent="0.25">
      <c r="A506" s="29" t="str">
        <f t="shared" si="50"/>
        <v/>
      </c>
      <c r="B506" s="30"/>
      <c r="C506" s="30"/>
      <c r="D506" s="31"/>
      <c r="E506" s="10"/>
      <c r="F506" s="32" t="str">
        <f>IF($D506="","",$D506+IF($E506="",'01. CONFIGURAÇÕES'!$C$22,$E506))</f>
        <v/>
      </c>
      <c r="G506" s="30"/>
      <c r="H506" s="33"/>
      <c r="I506" s="33"/>
      <c r="J506" s="30"/>
      <c r="K506" s="33"/>
      <c r="L506" s="30"/>
      <c r="M506" s="33"/>
      <c r="N506" s="30"/>
      <c r="O506" s="33"/>
      <c r="P506" s="34" t="str">
        <f t="shared" si="51"/>
        <v/>
      </c>
      <c r="Q506" s="35" t="str">
        <f t="shared" si="52"/>
        <v/>
      </c>
      <c r="R506" s="35" t="str">
        <f t="shared" si="56"/>
        <v/>
      </c>
      <c r="S506" s="29" t="str">
        <f t="shared" si="53"/>
        <v/>
      </c>
      <c r="T506" s="13" t="str">
        <f t="shared" ca="1" si="54"/>
        <v/>
      </c>
      <c r="U506" s="29" t="str">
        <f ca="1">IF(OR($A506="",$F506=""),"",IF($R506&lt;&gt;"",IF($R506&lt;=$F506,"NO PRAZO","FORA DO PRAZO"),IF(TODAY()&gt;$F506,"VENCIDO",IF($F506-TODAY()&lt;='01. CONFIGURAÇÕES'!$C$23,"VENCE EM BREVE","EM DIA"))))</f>
        <v/>
      </c>
      <c r="V506" s="55" t="str">
        <f t="shared" si="55"/>
        <v/>
      </c>
      <c r="W506" s="30"/>
      <c r="X506" s="33"/>
    </row>
    <row r="507" spans="1:24" x14ac:dyDescent="0.25">
      <c r="A507" s="29" t="str">
        <f t="shared" si="50"/>
        <v/>
      </c>
      <c r="B507" s="30"/>
      <c r="C507" s="30"/>
      <c r="D507" s="31"/>
      <c r="E507" s="10"/>
      <c r="F507" s="32" t="str">
        <f>IF($D507="","",$D507+IF($E507="",'01. CONFIGURAÇÕES'!$C$22,$E507))</f>
        <v/>
      </c>
      <c r="G507" s="30"/>
      <c r="H507" s="33"/>
      <c r="I507" s="33"/>
      <c r="J507" s="30"/>
      <c r="K507" s="33"/>
      <c r="L507" s="30"/>
      <c r="M507" s="33"/>
      <c r="N507" s="30"/>
      <c r="O507" s="33"/>
      <c r="P507" s="34" t="str">
        <f t="shared" si="51"/>
        <v/>
      </c>
      <c r="Q507" s="35" t="str">
        <f t="shared" si="52"/>
        <v/>
      </c>
      <c r="R507" s="35" t="str">
        <f t="shared" si="56"/>
        <v/>
      </c>
      <c r="S507" s="29" t="str">
        <f t="shared" si="53"/>
        <v/>
      </c>
      <c r="T507" s="13" t="str">
        <f t="shared" ca="1" si="54"/>
        <v/>
      </c>
      <c r="U507" s="29" t="str">
        <f ca="1">IF(OR($A507="",$F507=""),"",IF($R507&lt;&gt;"",IF($R507&lt;=$F507,"NO PRAZO","FORA DO PRAZO"),IF(TODAY()&gt;$F507,"VENCIDO",IF($F507-TODAY()&lt;='01. CONFIGURAÇÕES'!$C$23,"VENCE EM BREVE","EM DIA"))))</f>
        <v/>
      </c>
      <c r="V507" s="55" t="str">
        <f t="shared" si="55"/>
        <v/>
      </c>
      <c r="W507" s="30"/>
      <c r="X507" s="33"/>
    </row>
    <row r="508" spans="1:24" x14ac:dyDescent="0.25">
      <c r="A508" s="29" t="str">
        <f t="shared" si="50"/>
        <v/>
      </c>
      <c r="B508" s="30"/>
      <c r="C508" s="30"/>
      <c r="D508" s="31"/>
      <c r="E508" s="10"/>
      <c r="F508" s="32" t="str">
        <f>IF($D508="","",$D508+IF($E508="",'01. CONFIGURAÇÕES'!$C$22,$E508))</f>
        <v/>
      </c>
      <c r="G508" s="30"/>
      <c r="H508" s="33"/>
      <c r="I508" s="33"/>
      <c r="J508" s="30"/>
      <c r="K508" s="33"/>
      <c r="L508" s="30"/>
      <c r="M508" s="33"/>
      <c r="N508" s="30"/>
      <c r="O508" s="33"/>
      <c r="P508" s="34" t="str">
        <f t="shared" si="51"/>
        <v/>
      </c>
      <c r="Q508" s="35" t="str">
        <f t="shared" si="52"/>
        <v/>
      </c>
      <c r="R508" s="35" t="str">
        <f t="shared" si="56"/>
        <v/>
      </c>
      <c r="S508" s="29" t="str">
        <f t="shared" si="53"/>
        <v/>
      </c>
      <c r="T508" s="13" t="str">
        <f t="shared" ca="1" si="54"/>
        <v/>
      </c>
      <c r="U508" s="29" t="str">
        <f ca="1">IF(OR($A508="",$F508=""),"",IF($R508&lt;&gt;"",IF($R508&lt;=$F508,"NO PRAZO","FORA DO PRAZO"),IF(TODAY()&gt;$F508,"VENCIDO",IF($F508-TODAY()&lt;='01. CONFIGURAÇÕES'!$C$23,"VENCE EM BREVE","EM DIA"))))</f>
        <v/>
      </c>
      <c r="V508" s="55" t="str">
        <f t="shared" si="55"/>
        <v/>
      </c>
      <c r="W508" s="30"/>
      <c r="X508" s="33"/>
    </row>
    <row r="509" spans="1:24" x14ac:dyDescent="0.25">
      <c r="A509" s="29" t="str">
        <f t="shared" si="50"/>
        <v/>
      </c>
      <c r="B509" s="30"/>
      <c r="C509" s="30"/>
      <c r="D509" s="31"/>
      <c r="E509" s="10"/>
      <c r="F509" s="32" t="str">
        <f>IF($D509="","",$D509+IF($E509="",'01. CONFIGURAÇÕES'!$C$22,$E509))</f>
        <v/>
      </c>
      <c r="G509" s="30"/>
      <c r="H509" s="33"/>
      <c r="I509" s="33"/>
      <c r="J509" s="30"/>
      <c r="K509" s="33"/>
      <c r="L509" s="30"/>
      <c r="M509" s="33"/>
      <c r="N509" s="30"/>
      <c r="O509" s="33"/>
      <c r="P509" s="34" t="str">
        <f t="shared" si="51"/>
        <v/>
      </c>
      <c r="Q509" s="35" t="str">
        <f t="shared" si="52"/>
        <v/>
      </c>
      <c r="R509" s="35" t="str">
        <f t="shared" si="56"/>
        <v/>
      </c>
      <c r="S509" s="29" t="str">
        <f t="shared" si="53"/>
        <v/>
      </c>
      <c r="T509" s="13" t="str">
        <f t="shared" ca="1" si="54"/>
        <v/>
      </c>
      <c r="U509" s="29" t="str">
        <f ca="1">IF(OR($A509="",$F509=""),"",IF($R509&lt;&gt;"",IF($R509&lt;=$F509,"NO PRAZO","FORA DO PRAZO"),IF(TODAY()&gt;$F509,"VENCIDO",IF($F509-TODAY()&lt;='01. CONFIGURAÇÕES'!$C$23,"VENCE EM BREVE","EM DIA"))))</f>
        <v/>
      </c>
      <c r="V509" s="55" t="str">
        <f t="shared" si="55"/>
        <v/>
      </c>
      <c r="W509" s="30"/>
      <c r="X509" s="33"/>
    </row>
    <row r="510" spans="1:24" x14ac:dyDescent="0.25">
      <c r="A510" s="29" t="str">
        <f t="shared" si="50"/>
        <v/>
      </c>
      <c r="B510" s="30"/>
      <c r="C510" s="30"/>
      <c r="D510" s="31"/>
      <c r="E510" s="10"/>
      <c r="F510" s="32" t="str">
        <f>IF($D510="","",$D510+IF($E510="",'01. CONFIGURAÇÕES'!$C$22,$E510))</f>
        <v/>
      </c>
      <c r="G510" s="30"/>
      <c r="H510" s="33"/>
      <c r="I510" s="33"/>
      <c r="J510" s="30"/>
      <c r="K510" s="33"/>
      <c r="L510" s="30"/>
      <c r="M510" s="33"/>
      <c r="N510" s="30"/>
      <c r="O510" s="33"/>
      <c r="P510" s="34" t="str">
        <f t="shared" si="51"/>
        <v/>
      </c>
      <c r="Q510" s="35" t="str">
        <f t="shared" si="52"/>
        <v/>
      </c>
      <c r="R510" s="35" t="str">
        <f t="shared" si="56"/>
        <v/>
      </c>
      <c r="S510" s="29" t="str">
        <f t="shared" si="53"/>
        <v/>
      </c>
      <c r="T510" s="13" t="str">
        <f t="shared" ca="1" si="54"/>
        <v/>
      </c>
      <c r="U510" s="29" t="str">
        <f ca="1">IF(OR($A510="",$F510=""),"",IF($R510&lt;&gt;"",IF($R510&lt;=$F510,"NO PRAZO","FORA DO PRAZO"),IF(TODAY()&gt;$F510,"VENCIDO",IF($F510-TODAY()&lt;='01. CONFIGURAÇÕES'!$C$23,"VENCE EM BREVE","EM DIA"))))</f>
        <v/>
      </c>
      <c r="V510" s="55" t="str">
        <f t="shared" si="55"/>
        <v/>
      </c>
      <c r="W510" s="30"/>
      <c r="X510" s="33"/>
    </row>
    <row r="511" spans="1:24" x14ac:dyDescent="0.25">
      <c r="A511" s="29" t="str">
        <f t="shared" si="50"/>
        <v/>
      </c>
      <c r="B511" s="30"/>
      <c r="C511" s="30"/>
      <c r="D511" s="31"/>
      <c r="E511" s="10"/>
      <c r="F511" s="32" t="str">
        <f>IF($D511="","",$D511+IF($E511="",'01. CONFIGURAÇÕES'!$C$22,$E511))</f>
        <v/>
      </c>
      <c r="G511" s="30"/>
      <c r="H511" s="33"/>
      <c r="I511" s="33"/>
      <c r="J511" s="30"/>
      <c r="K511" s="33"/>
      <c r="L511" s="30"/>
      <c r="M511" s="33"/>
      <c r="N511" s="30"/>
      <c r="O511" s="33"/>
      <c r="P511" s="34" t="str">
        <f t="shared" si="51"/>
        <v/>
      </c>
      <c r="Q511" s="35" t="str">
        <f t="shared" si="52"/>
        <v/>
      </c>
      <c r="R511" s="35" t="str">
        <f t="shared" si="56"/>
        <v/>
      </c>
      <c r="S511" s="29" t="str">
        <f t="shared" si="53"/>
        <v/>
      </c>
      <c r="T511" s="13" t="str">
        <f t="shared" ca="1" si="54"/>
        <v/>
      </c>
      <c r="U511" s="29" t="str">
        <f ca="1">IF(OR($A511="",$F511=""),"",IF($R511&lt;&gt;"",IF($R511&lt;=$F511,"NO PRAZO","FORA DO PRAZO"),IF(TODAY()&gt;$F511,"VENCIDO",IF($F511-TODAY()&lt;='01. CONFIGURAÇÕES'!$C$23,"VENCE EM BREVE","EM DIA"))))</f>
        <v/>
      </c>
      <c r="V511" s="55" t="str">
        <f t="shared" si="55"/>
        <v/>
      </c>
      <c r="W511" s="30"/>
      <c r="X511" s="33"/>
    </row>
    <row r="512" spans="1:24" x14ac:dyDescent="0.25">
      <c r="A512" s="29" t="str">
        <f t="shared" si="50"/>
        <v/>
      </c>
      <c r="B512" s="30"/>
      <c r="C512" s="30"/>
      <c r="D512" s="31"/>
      <c r="E512" s="10"/>
      <c r="F512" s="32" t="str">
        <f>IF($D512="","",$D512+IF($E512="",'01. CONFIGURAÇÕES'!$C$22,$E512))</f>
        <v/>
      </c>
      <c r="G512" s="30"/>
      <c r="H512" s="33"/>
      <c r="I512" s="33"/>
      <c r="J512" s="30"/>
      <c r="K512" s="33"/>
      <c r="L512" s="30"/>
      <c r="M512" s="33"/>
      <c r="N512" s="30"/>
      <c r="O512" s="33"/>
      <c r="P512" s="34" t="str">
        <f t="shared" si="51"/>
        <v/>
      </c>
      <c r="Q512" s="35" t="str">
        <f t="shared" si="52"/>
        <v/>
      </c>
      <c r="R512" s="35" t="str">
        <f t="shared" si="56"/>
        <v/>
      </c>
      <c r="S512" s="29" t="str">
        <f t="shared" si="53"/>
        <v/>
      </c>
      <c r="T512" s="13" t="str">
        <f t="shared" ca="1" si="54"/>
        <v/>
      </c>
      <c r="U512" s="29" t="str">
        <f ca="1">IF(OR($A512="",$F512=""),"",IF($R512&lt;&gt;"",IF($R512&lt;=$F512,"NO PRAZO","FORA DO PRAZO"),IF(TODAY()&gt;$F512,"VENCIDO",IF($F512-TODAY()&lt;='01. CONFIGURAÇÕES'!$C$23,"VENCE EM BREVE","EM DIA"))))</f>
        <v/>
      </c>
      <c r="V512" s="55" t="str">
        <f t="shared" si="55"/>
        <v/>
      </c>
      <c r="W512" s="30"/>
      <c r="X512" s="33"/>
    </row>
    <row r="513" spans="1:24" x14ac:dyDescent="0.25">
      <c r="A513" s="29" t="str">
        <f t="shared" si="50"/>
        <v/>
      </c>
      <c r="B513" s="30"/>
      <c r="C513" s="30"/>
      <c r="D513" s="31"/>
      <c r="E513" s="10"/>
      <c r="F513" s="32" t="str">
        <f>IF($D513="","",$D513+IF($E513="",'01. CONFIGURAÇÕES'!$C$22,$E513))</f>
        <v/>
      </c>
      <c r="G513" s="30"/>
      <c r="H513" s="33"/>
      <c r="I513" s="33"/>
      <c r="J513" s="30"/>
      <c r="K513" s="33"/>
      <c r="L513" s="30"/>
      <c r="M513" s="33"/>
      <c r="N513" s="30"/>
      <c r="O513" s="33"/>
      <c r="P513" s="34" t="str">
        <f t="shared" si="51"/>
        <v/>
      </c>
      <c r="Q513" s="35" t="str">
        <f t="shared" si="52"/>
        <v/>
      </c>
      <c r="R513" s="35" t="str">
        <f t="shared" si="56"/>
        <v/>
      </c>
      <c r="S513" s="29" t="str">
        <f t="shared" si="53"/>
        <v/>
      </c>
      <c r="T513" s="13" t="str">
        <f t="shared" ca="1" si="54"/>
        <v/>
      </c>
      <c r="U513" s="29" t="str">
        <f ca="1">IF(OR($A513="",$F513=""),"",IF($R513&lt;&gt;"",IF($R513&lt;=$F513,"NO PRAZO","FORA DO PRAZO"),IF(TODAY()&gt;$F513,"VENCIDO",IF($F513-TODAY()&lt;='01. CONFIGURAÇÕES'!$C$23,"VENCE EM BREVE","EM DIA"))))</f>
        <v/>
      </c>
      <c r="V513" s="55" t="str">
        <f t="shared" si="55"/>
        <v/>
      </c>
      <c r="W513" s="30"/>
      <c r="X513" s="33"/>
    </row>
    <row r="514" spans="1:24" x14ac:dyDescent="0.25">
      <c r="A514" s="29" t="str">
        <f t="shared" si="50"/>
        <v/>
      </c>
      <c r="B514" s="30"/>
      <c r="C514" s="30"/>
      <c r="D514" s="31"/>
      <c r="E514" s="10"/>
      <c r="F514" s="32" t="str">
        <f>IF($D514="","",$D514+IF($E514="",'01. CONFIGURAÇÕES'!$C$22,$E514))</f>
        <v/>
      </c>
      <c r="G514" s="30"/>
      <c r="H514" s="33"/>
      <c r="I514" s="33"/>
      <c r="J514" s="30"/>
      <c r="K514" s="33"/>
      <c r="L514" s="30"/>
      <c r="M514" s="33"/>
      <c r="N514" s="30"/>
      <c r="O514" s="33"/>
      <c r="P514" s="34" t="str">
        <f t="shared" si="51"/>
        <v/>
      </c>
      <c r="Q514" s="35" t="str">
        <f t="shared" si="52"/>
        <v/>
      </c>
      <c r="R514" s="35" t="str">
        <f t="shared" si="56"/>
        <v/>
      </c>
      <c r="S514" s="29" t="str">
        <f t="shared" si="53"/>
        <v/>
      </c>
      <c r="T514" s="13" t="str">
        <f t="shared" ca="1" si="54"/>
        <v/>
      </c>
      <c r="U514" s="29" t="str">
        <f ca="1">IF(OR($A514="",$F514=""),"",IF($R514&lt;&gt;"",IF($R514&lt;=$F514,"NO PRAZO","FORA DO PRAZO"),IF(TODAY()&gt;$F514,"VENCIDO",IF($F514-TODAY()&lt;='01. CONFIGURAÇÕES'!$C$23,"VENCE EM BREVE","EM DIA"))))</f>
        <v/>
      </c>
      <c r="V514" s="55" t="str">
        <f t="shared" si="55"/>
        <v/>
      </c>
      <c r="W514" s="30"/>
      <c r="X514" s="33"/>
    </row>
    <row r="515" spans="1:24" x14ac:dyDescent="0.25">
      <c r="A515" s="29" t="str">
        <f t="shared" si="50"/>
        <v/>
      </c>
      <c r="B515" s="30"/>
      <c r="C515" s="30"/>
      <c r="D515" s="31"/>
      <c r="E515" s="10"/>
      <c r="F515" s="32" t="str">
        <f>IF($D515="","",$D515+IF($E515="",'01. CONFIGURAÇÕES'!$C$22,$E515))</f>
        <v/>
      </c>
      <c r="G515" s="30"/>
      <c r="H515" s="33"/>
      <c r="I515" s="33"/>
      <c r="J515" s="30"/>
      <c r="K515" s="33"/>
      <c r="L515" s="30"/>
      <c r="M515" s="33"/>
      <c r="N515" s="30"/>
      <c r="O515" s="33"/>
      <c r="P515" s="34" t="str">
        <f t="shared" si="51"/>
        <v/>
      </c>
      <c r="Q515" s="35" t="str">
        <f t="shared" si="52"/>
        <v/>
      </c>
      <c r="R515" s="35" t="str">
        <f t="shared" si="56"/>
        <v/>
      </c>
      <c r="S515" s="29" t="str">
        <f t="shared" si="53"/>
        <v/>
      </c>
      <c r="T515" s="13" t="str">
        <f t="shared" ca="1" si="54"/>
        <v/>
      </c>
      <c r="U515" s="29" t="str">
        <f ca="1">IF(OR($A515="",$F515=""),"",IF($R515&lt;&gt;"",IF($R515&lt;=$F515,"NO PRAZO","FORA DO PRAZO"),IF(TODAY()&gt;$F515,"VENCIDO",IF($F515-TODAY()&lt;='01. CONFIGURAÇÕES'!$C$23,"VENCE EM BREVE","EM DIA"))))</f>
        <v/>
      </c>
      <c r="V515" s="55" t="str">
        <f t="shared" si="55"/>
        <v/>
      </c>
      <c r="W515" s="30"/>
      <c r="X515" s="33"/>
    </row>
    <row r="516" spans="1:24" x14ac:dyDescent="0.25">
      <c r="A516" s="29" t="str">
        <f t="shared" si="50"/>
        <v/>
      </c>
      <c r="B516" s="30"/>
      <c r="C516" s="30"/>
      <c r="D516" s="31"/>
      <c r="E516" s="10"/>
      <c r="F516" s="32" t="str">
        <f>IF($D516="","",$D516+IF($E516="",'01. CONFIGURAÇÕES'!$C$22,$E516))</f>
        <v/>
      </c>
      <c r="G516" s="30"/>
      <c r="H516" s="33"/>
      <c r="I516" s="33"/>
      <c r="J516" s="30"/>
      <c r="K516" s="33"/>
      <c r="L516" s="30"/>
      <c r="M516" s="33"/>
      <c r="N516" s="30"/>
      <c r="O516" s="33"/>
      <c r="P516" s="34" t="str">
        <f t="shared" si="51"/>
        <v/>
      </c>
      <c r="Q516" s="35" t="str">
        <f t="shared" si="52"/>
        <v/>
      </c>
      <c r="R516" s="35" t="str">
        <f t="shared" si="56"/>
        <v/>
      </c>
      <c r="S516" s="29" t="str">
        <f t="shared" si="53"/>
        <v/>
      </c>
      <c r="T516" s="13" t="str">
        <f t="shared" ca="1" si="54"/>
        <v/>
      </c>
      <c r="U516" s="29" t="str">
        <f ca="1">IF(OR($A516="",$F516=""),"",IF($R516&lt;&gt;"",IF($R516&lt;=$F516,"NO PRAZO","FORA DO PRAZO"),IF(TODAY()&gt;$F516,"VENCIDO",IF($F516-TODAY()&lt;='01. CONFIGURAÇÕES'!$C$23,"VENCE EM BREVE","EM DIA"))))</f>
        <v/>
      </c>
      <c r="V516" s="55" t="str">
        <f t="shared" si="55"/>
        <v/>
      </c>
      <c r="W516" s="30"/>
      <c r="X516" s="33"/>
    </row>
    <row r="517" spans="1:24" x14ac:dyDescent="0.25">
      <c r="A517" s="29" t="str">
        <f t="shared" ref="A517:A580" si="57">IF($B517="","",LEFT($B517,3)&amp;"-"&amp;TEXT(ROW()-4,"0000"))</f>
        <v/>
      </c>
      <c r="B517" s="30"/>
      <c r="C517" s="30"/>
      <c r="D517" s="31"/>
      <c r="E517" s="10"/>
      <c r="F517" s="32" t="str">
        <f>IF($D517="","",$D517+IF($E517="",'01. CONFIGURAÇÕES'!$C$22,$E517))</f>
        <v/>
      </c>
      <c r="G517" s="30"/>
      <c r="H517" s="33"/>
      <c r="I517" s="33"/>
      <c r="J517" s="30"/>
      <c r="K517" s="33"/>
      <c r="L517" s="30"/>
      <c r="M517" s="33"/>
      <c r="N517" s="30"/>
      <c r="O517" s="33"/>
      <c r="P517" s="34" t="str">
        <f t="shared" ref="P517:P580" si="58">IFERROR(IF($A517="","",IF(COUNTIFS(OS_ID,$A517)&gt;0,INDEX(OS_EQUIPE,MATCH($A517,OS_ID,0)),IF(COUNTIFS(PROG_ID,$A517)&gt;0,INDEX(PROG_EQUIPE,MATCH($A517,PROG_ID,0)),""))),"")</f>
        <v/>
      </c>
      <c r="Q517" s="35" t="str">
        <f t="shared" ref="Q517:Q580" si="59">IF($A517="","",IFERROR(IF(INDEX(PROG_DATA,MATCH($A517,PROG_ID,0))=0,"",INDEX(PROG_DATA,MATCH($A517,PROG_ID,0))),""))</f>
        <v/>
      </c>
      <c r="R517" s="35" t="str">
        <f t="shared" si="56"/>
        <v/>
      </c>
      <c r="S517" s="29" t="str">
        <f t="shared" ref="S517:S580" si="60">IF($A517="","",IF($W517&lt;&gt;"",$W517,IF($V517&gt;0,"MEDIDO",IF($R517&lt;&gt;"","EXECUTADO",IF(COUNTIFS(OS_ID,$A517)&gt;0,"EM EXECUÇÃO",IF($Q517&lt;&gt;"","PROGRAMADO","CADASTRADO"))))))</f>
        <v/>
      </c>
      <c r="T517" s="13" t="str">
        <f t="shared" ref="T517:T580" ca="1" si="61">IF($A517="","",IF($R517&lt;&gt;"",$R517-$D517,TODAY()-$D517))</f>
        <v/>
      </c>
      <c r="U517" s="29" t="str">
        <f ca="1">IF(OR($A517="",$F517=""),"",IF($R517&lt;&gt;"",IF($R517&lt;=$F517,"NO PRAZO","FORA DO PRAZO"),IF(TODAY()&gt;$F517,"VENCIDO",IF($F517-TODAY()&lt;='01. CONFIGURAÇÕES'!$C$23,"VENCE EM BREVE","EM DIA"))))</f>
        <v/>
      </c>
      <c r="V517" s="55" t="str">
        <f t="shared" ref="V517:V580" si="62">IF($A517="","",SUMIFS(MED_VLR,MED_ID,$A517))</f>
        <v/>
      </c>
      <c r="W517" s="30"/>
      <c r="X517" s="33"/>
    </row>
    <row r="518" spans="1:24" x14ac:dyDescent="0.25">
      <c r="A518" s="29" t="str">
        <f t="shared" si="57"/>
        <v/>
      </c>
      <c r="B518" s="30"/>
      <c r="C518" s="30"/>
      <c r="D518" s="31"/>
      <c r="E518" s="10"/>
      <c r="F518" s="32" t="str">
        <f>IF($D518="","",$D518+IF($E518="",'01. CONFIGURAÇÕES'!$C$22,$E518))</f>
        <v/>
      </c>
      <c r="G518" s="30"/>
      <c r="H518" s="33"/>
      <c r="I518" s="33"/>
      <c r="J518" s="30"/>
      <c r="K518" s="33"/>
      <c r="L518" s="30"/>
      <c r="M518" s="33"/>
      <c r="N518" s="30"/>
      <c r="O518" s="33"/>
      <c r="P518" s="34" t="str">
        <f t="shared" si="58"/>
        <v/>
      </c>
      <c r="Q518" s="35" t="str">
        <f t="shared" si="59"/>
        <v/>
      </c>
      <c r="R518" s="35" t="str">
        <f t="shared" si="56"/>
        <v/>
      </c>
      <c r="S518" s="29" t="str">
        <f t="shared" si="60"/>
        <v/>
      </c>
      <c r="T518" s="13" t="str">
        <f t="shared" ca="1" si="61"/>
        <v/>
      </c>
      <c r="U518" s="29" t="str">
        <f ca="1">IF(OR($A518="",$F518=""),"",IF($R518&lt;&gt;"",IF($R518&lt;=$F518,"NO PRAZO","FORA DO PRAZO"),IF(TODAY()&gt;$F518,"VENCIDO",IF($F518-TODAY()&lt;='01. CONFIGURAÇÕES'!$C$23,"VENCE EM BREVE","EM DIA"))))</f>
        <v/>
      </c>
      <c r="V518" s="55" t="str">
        <f t="shared" si="62"/>
        <v/>
      </c>
      <c r="W518" s="30"/>
      <c r="X518" s="33"/>
    </row>
    <row r="519" spans="1:24" x14ac:dyDescent="0.25">
      <c r="A519" s="29" t="str">
        <f t="shared" si="57"/>
        <v/>
      </c>
      <c r="B519" s="30"/>
      <c r="C519" s="30"/>
      <c r="D519" s="31"/>
      <c r="E519" s="10"/>
      <c r="F519" s="32" t="str">
        <f>IF($D519="","",$D519+IF($E519="",'01. CONFIGURAÇÕES'!$C$22,$E519))</f>
        <v/>
      </c>
      <c r="G519" s="30"/>
      <c r="H519" s="33"/>
      <c r="I519" s="33"/>
      <c r="J519" s="30"/>
      <c r="K519" s="33"/>
      <c r="L519" s="30"/>
      <c r="M519" s="33"/>
      <c r="N519" s="30"/>
      <c r="O519" s="33"/>
      <c r="P519" s="34" t="str">
        <f t="shared" si="58"/>
        <v/>
      </c>
      <c r="Q519" s="35" t="str">
        <f t="shared" si="59"/>
        <v/>
      </c>
      <c r="R519" s="35" t="str">
        <f t="shared" si="56"/>
        <v/>
      </c>
      <c r="S519" s="29" t="str">
        <f t="shared" si="60"/>
        <v/>
      </c>
      <c r="T519" s="13" t="str">
        <f t="shared" ca="1" si="61"/>
        <v/>
      </c>
      <c r="U519" s="29" t="str">
        <f ca="1">IF(OR($A519="",$F519=""),"",IF($R519&lt;&gt;"",IF($R519&lt;=$F519,"NO PRAZO","FORA DO PRAZO"),IF(TODAY()&gt;$F519,"VENCIDO",IF($F519-TODAY()&lt;='01. CONFIGURAÇÕES'!$C$23,"VENCE EM BREVE","EM DIA"))))</f>
        <v/>
      </c>
      <c r="V519" s="55" t="str">
        <f t="shared" si="62"/>
        <v/>
      </c>
      <c r="W519" s="30"/>
      <c r="X519" s="33"/>
    </row>
    <row r="520" spans="1:24" x14ac:dyDescent="0.25">
      <c r="A520" s="29" t="str">
        <f t="shared" si="57"/>
        <v/>
      </c>
      <c r="B520" s="30"/>
      <c r="C520" s="30"/>
      <c r="D520" s="31"/>
      <c r="E520" s="10"/>
      <c r="F520" s="32" t="str">
        <f>IF($D520="","",$D520+IF($E520="",'01. CONFIGURAÇÕES'!$C$22,$E520))</f>
        <v/>
      </c>
      <c r="G520" s="30"/>
      <c r="H520" s="33"/>
      <c r="I520" s="33"/>
      <c r="J520" s="30"/>
      <c r="K520" s="33"/>
      <c r="L520" s="30"/>
      <c r="M520" s="33"/>
      <c r="N520" s="30"/>
      <c r="O520" s="33"/>
      <c r="P520" s="34" t="str">
        <f t="shared" si="58"/>
        <v/>
      </c>
      <c r="Q520" s="35" t="str">
        <f t="shared" si="59"/>
        <v/>
      </c>
      <c r="R520" s="35" t="str">
        <f t="shared" si="56"/>
        <v/>
      </c>
      <c r="S520" s="29" t="str">
        <f t="shared" si="60"/>
        <v/>
      </c>
      <c r="T520" s="13" t="str">
        <f t="shared" ca="1" si="61"/>
        <v/>
      </c>
      <c r="U520" s="29" t="str">
        <f ca="1">IF(OR($A520="",$F520=""),"",IF($R520&lt;&gt;"",IF($R520&lt;=$F520,"NO PRAZO","FORA DO PRAZO"),IF(TODAY()&gt;$F520,"VENCIDO",IF($F520-TODAY()&lt;='01. CONFIGURAÇÕES'!$C$23,"VENCE EM BREVE","EM DIA"))))</f>
        <v/>
      </c>
      <c r="V520" s="55" t="str">
        <f t="shared" si="62"/>
        <v/>
      </c>
      <c r="W520" s="30"/>
      <c r="X520" s="33"/>
    </row>
    <row r="521" spans="1:24" x14ac:dyDescent="0.25">
      <c r="A521" s="29" t="str">
        <f t="shared" si="57"/>
        <v/>
      </c>
      <c r="B521" s="30"/>
      <c r="C521" s="30"/>
      <c r="D521" s="31"/>
      <c r="E521" s="10"/>
      <c r="F521" s="32" t="str">
        <f>IF($D521="","",$D521+IF($E521="",'01. CONFIGURAÇÕES'!$C$22,$E521))</f>
        <v/>
      </c>
      <c r="G521" s="30"/>
      <c r="H521" s="33"/>
      <c r="I521" s="33"/>
      <c r="J521" s="30"/>
      <c r="K521" s="33"/>
      <c r="L521" s="30"/>
      <c r="M521" s="33"/>
      <c r="N521" s="30"/>
      <c r="O521" s="33"/>
      <c r="P521" s="34" t="str">
        <f t="shared" si="58"/>
        <v/>
      </c>
      <c r="Q521" s="35" t="str">
        <f t="shared" si="59"/>
        <v/>
      </c>
      <c r="R521" s="35" t="str">
        <f t="shared" si="56"/>
        <v/>
      </c>
      <c r="S521" s="29" t="str">
        <f t="shared" si="60"/>
        <v/>
      </c>
      <c r="T521" s="13" t="str">
        <f t="shared" ca="1" si="61"/>
        <v/>
      </c>
      <c r="U521" s="29" t="str">
        <f ca="1">IF(OR($A521="",$F521=""),"",IF($R521&lt;&gt;"",IF($R521&lt;=$F521,"NO PRAZO","FORA DO PRAZO"),IF(TODAY()&gt;$F521,"VENCIDO",IF($F521-TODAY()&lt;='01. CONFIGURAÇÕES'!$C$23,"VENCE EM BREVE","EM DIA"))))</f>
        <v/>
      </c>
      <c r="V521" s="55" t="str">
        <f t="shared" si="62"/>
        <v/>
      </c>
      <c r="W521" s="30"/>
      <c r="X521" s="33"/>
    </row>
    <row r="522" spans="1:24" x14ac:dyDescent="0.25">
      <c r="A522" s="29" t="str">
        <f t="shared" si="57"/>
        <v/>
      </c>
      <c r="B522" s="30"/>
      <c r="C522" s="30"/>
      <c r="D522" s="31"/>
      <c r="E522" s="10"/>
      <c r="F522" s="32" t="str">
        <f>IF($D522="","",$D522+IF($E522="",'01. CONFIGURAÇÕES'!$C$22,$E522))</f>
        <v/>
      </c>
      <c r="G522" s="30"/>
      <c r="H522" s="33"/>
      <c r="I522" s="33"/>
      <c r="J522" s="30"/>
      <c r="K522" s="33"/>
      <c r="L522" s="30"/>
      <c r="M522" s="33"/>
      <c r="N522" s="30"/>
      <c r="O522" s="33"/>
      <c r="P522" s="34" t="str">
        <f t="shared" si="58"/>
        <v/>
      </c>
      <c r="Q522" s="35" t="str">
        <f t="shared" si="59"/>
        <v/>
      </c>
      <c r="R522" s="35" t="str">
        <f t="shared" si="56"/>
        <v/>
      </c>
      <c r="S522" s="29" t="str">
        <f t="shared" si="60"/>
        <v/>
      </c>
      <c r="T522" s="13" t="str">
        <f t="shared" ca="1" si="61"/>
        <v/>
      </c>
      <c r="U522" s="29" t="str">
        <f ca="1">IF(OR($A522="",$F522=""),"",IF($R522&lt;&gt;"",IF($R522&lt;=$F522,"NO PRAZO","FORA DO PRAZO"),IF(TODAY()&gt;$F522,"VENCIDO",IF($F522-TODAY()&lt;='01. CONFIGURAÇÕES'!$C$23,"VENCE EM BREVE","EM DIA"))))</f>
        <v/>
      </c>
      <c r="V522" s="55" t="str">
        <f t="shared" si="62"/>
        <v/>
      </c>
      <c r="W522" s="30"/>
      <c r="X522" s="33"/>
    </row>
    <row r="523" spans="1:24" x14ac:dyDescent="0.25">
      <c r="A523" s="29" t="str">
        <f t="shared" si="57"/>
        <v/>
      </c>
      <c r="B523" s="30"/>
      <c r="C523" s="30"/>
      <c r="D523" s="31"/>
      <c r="E523" s="10"/>
      <c r="F523" s="32" t="str">
        <f>IF($D523="","",$D523+IF($E523="",'01. CONFIGURAÇÕES'!$C$22,$E523))</f>
        <v/>
      </c>
      <c r="G523" s="30"/>
      <c r="H523" s="33"/>
      <c r="I523" s="33"/>
      <c r="J523" s="30"/>
      <c r="K523" s="33"/>
      <c r="L523" s="30"/>
      <c r="M523" s="33"/>
      <c r="N523" s="30"/>
      <c r="O523" s="33"/>
      <c r="P523" s="34" t="str">
        <f t="shared" si="58"/>
        <v/>
      </c>
      <c r="Q523" s="35" t="str">
        <f t="shared" si="59"/>
        <v/>
      </c>
      <c r="R523" s="35" t="str">
        <f t="shared" si="56"/>
        <v/>
      </c>
      <c r="S523" s="29" t="str">
        <f t="shared" si="60"/>
        <v/>
      </c>
      <c r="T523" s="13" t="str">
        <f t="shared" ca="1" si="61"/>
        <v/>
      </c>
      <c r="U523" s="29" t="str">
        <f ca="1">IF(OR($A523="",$F523=""),"",IF($R523&lt;&gt;"",IF($R523&lt;=$F523,"NO PRAZO","FORA DO PRAZO"),IF(TODAY()&gt;$F523,"VENCIDO",IF($F523-TODAY()&lt;='01. CONFIGURAÇÕES'!$C$23,"VENCE EM BREVE","EM DIA"))))</f>
        <v/>
      </c>
      <c r="V523" s="55" t="str">
        <f t="shared" si="62"/>
        <v/>
      </c>
      <c r="W523" s="30"/>
      <c r="X523" s="33"/>
    </row>
    <row r="524" spans="1:24" x14ac:dyDescent="0.25">
      <c r="A524" s="29" t="str">
        <f t="shared" si="57"/>
        <v/>
      </c>
      <c r="B524" s="30"/>
      <c r="C524" s="30"/>
      <c r="D524" s="31"/>
      <c r="E524" s="10"/>
      <c r="F524" s="32" t="str">
        <f>IF($D524="","",$D524+IF($E524="",'01. CONFIGURAÇÕES'!$C$22,$E524))</f>
        <v/>
      </c>
      <c r="G524" s="30"/>
      <c r="H524" s="33"/>
      <c r="I524" s="33"/>
      <c r="J524" s="30"/>
      <c r="K524" s="33"/>
      <c r="L524" s="30"/>
      <c r="M524" s="33"/>
      <c r="N524" s="30"/>
      <c r="O524" s="33"/>
      <c r="P524" s="34" t="str">
        <f t="shared" si="58"/>
        <v/>
      </c>
      <c r="Q524" s="35" t="str">
        <f t="shared" si="59"/>
        <v/>
      </c>
      <c r="R524" s="35" t="str">
        <f t="shared" si="56"/>
        <v/>
      </c>
      <c r="S524" s="29" t="str">
        <f t="shared" si="60"/>
        <v/>
      </c>
      <c r="T524" s="13" t="str">
        <f t="shared" ca="1" si="61"/>
        <v/>
      </c>
      <c r="U524" s="29" t="str">
        <f ca="1">IF(OR($A524="",$F524=""),"",IF($R524&lt;&gt;"",IF($R524&lt;=$F524,"NO PRAZO","FORA DO PRAZO"),IF(TODAY()&gt;$F524,"VENCIDO",IF($F524-TODAY()&lt;='01. CONFIGURAÇÕES'!$C$23,"VENCE EM BREVE","EM DIA"))))</f>
        <v/>
      </c>
      <c r="V524" s="55" t="str">
        <f t="shared" si="62"/>
        <v/>
      </c>
      <c r="W524" s="30"/>
      <c r="X524" s="33"/>
    </row>
    <row r="525" spans="1:24" x14ac:dyDescent="0.25">
      <c r="A525" s="29" t="str">
        <f t="shared" si="57"/>
        <v/>
      </c>
      <c r="B525" s="30"/>
      <c r="C525" s="30"/>
      <c r="D525" s="31"/>
      <c r="E525" s="10"/>
      <c r="F525" s="32" t="str">
        <f>IF($D525="","",$D525+IF($E525="",'01. CONFIGURAÇÕES'!$C$22,$E525))</f>
        <v/>
      </c>
      <c r="G525" s="30"/>
      <c r="H525" s="33"/>
      <c r="I525" s="33"/>
      <c r="J525" s="30"/>
      <c r="K525" s="33"/>
      <c r="L525" s="30"/>
      <c r="M525" s="33"/>
      <c r="N525" s="30"/>
      <c r="O525" s="33"/>
      <c r="P525" s="34" t="str">
        <f t="shared" si="58"/>
        <v/>
      </c>
      <c r="Q525" s="35" t="str">
        <f t="shared" si="59"/>
        <v/>
      </c>
      <c r="R525" s="35" t="str">
        <f t="shared" si="56"/>
        <v/>
      </c>
      <c r="S525" s="29" t="str">
        <f t="shared" si="60"/>
        <v/>
      </c>
      <c r="T525" s="13" t="str">
        <f t="shared" ca="1" si="61"/>
        <v/>
      </c>
      <c r="U525" s="29" t="str">
        <f ca="1">IF(OR($A525="",$F525=""),"",IF($R525&lt;&gt;"",IF($R525&lt;=$F525,"NO PRAZO","FORA DO PRAZO"),IF(TODAY()&gt;$F525,"VENCIDO",IF($F525-TODAY()&lt;='01. CONFIGURAÇÕES'!$C$23,"VENCE EM BREVE","EM DIA"))))</f>
        <v/>
      </c>
      <c r="V525" s="55" t="str">
        <f t="shared" si="62"/>
        <v/>
      </c>
      <c r="W525" s="30"/>
      <c r="X525" s="33"/>
    </row>
    <row r="526" spans="1:24" x14ac:dyDescent="0.25">
      <c r="A526" s="29" t="str">
        <f t="shared" si="57"/>
        <v/>
      </c>
      <c r="B526" s="30"/>
      <c r="C526" s="30"/>
      <c r="D526" s="31"/>
      <c r="E526" s="10"/>
      <c r="F526" s="32" t="str">
        <f>IF($D526="","",$D526+IF($E526="",'01. CONFIGURAÇÕES'!$C$22,$E526))</f>
        <v/>
      </c>
      <c r="G526" s="30"/>
      <c r="H526" s="33"/>
      <c r="I526" s="33"/>
      <c r="J526" s="30"/>
      <c r="K526" s="33"/>
      <c r="L526" s="30"/>
      <c r="M526" s="33"/>
      <c r="N526" s="30"/>
      <c r="O526" s="33"/>
      <c r="P526" s="34" t="str">
        <f t="shared" si="58"/>
        <v/>
      </c>
      <c r="Q526" s="35" t="str">
        <f t="shared" si="59"/>
        <v/>
      </c>
      <c r="R526" s="35" t="str">
        <f t="shared" si="56"/>
        <v/>
      </c>
      <c r="S526" s="29" t="str">
        <f t="shared" si="60"/>
        <v/>
      </c>
      <c r="T526" s="13" t="str">
        <f t="shared" ca="1" si="61"/>
        <v/>
      </c>
      <c r="U526" s="29" t="str">
        <f ca="1">IF(OR($A526="",$F526=""),"",IF($R526&lt;&gt;"",IF($R526&lt;=$F526,"NO PRAZO","FORA DO PRAZO"),IF(TODAY()&gt;$F526,"VENCIDO",IF($F526-TODAY()&lt;='01. CONFIGURAÇÕES'!$C$23,"VENCE EM BREVE","EM DIA"))))</f>
        <v/>
      </c>
      <c r="V526" s="55" t="str">
        <f t="shared" si="62"/>
        <v/>
      </c>
      <c r="W526" s="30"/>
      <c r="X526" s="33"/>
    </row>
    <row r="527" spans="1:24" x14ac:dyDescent="0.25">
      <c r="A527" s="29" t="str">
        <f t="shared" si="57"/>
        <v/>
      </c>
      <c r="B527" s="30"/>
      <c r="C527" s="30"/>
      <c r="D527" s="31"/>
      <c r="E527" s="10"/>
      <c r="F527" s="32" t="str">
        <f>IF($D527="","",$D527+IF($E527="",'01. CONFIGURAÇÕES'!$C$22,$E527))</f>
        <v/>
      </c>
      <c r="G527" s="30"/>
      <c r="H527" s="33"/>
      <c r="I527" s="33"/>
      <c r="J527" s="30"/>
      <c r="K527" s="33"/>
      <c r="L527" s="30"/>
      <c r="M527" s="33"/>
      <c r="N527" s="30"/>
      <c r="O527" s="33"/>
      <c r="P527" s="34" t="str">
        <f t="shared" si="58"/>
        <v/>
      </c>
      <c r="Q527" s="35" t="str">
        <f t="shared" si="59"/>
        <v/>
      </c>
      <c r="R527" s="35" t="str">
        <f t="shared" si="56"/>
        <v/>
      </c>
      <c r="S527" s="29" t="str">
        <f t="shared" si="60"/>
        <v/>
      </c>
      <c r="T527" s="13" t="str">
        <f t="shared" ca="1" si="61"/>
        <v/>
      </c>
      <c r="U527" s="29" t="str">
        <f ca="1">IF(OR($A527="",$F527=""),"",IF($R527&lt;&gt;"",IF($R527&lt;=$F527,"NO PRAZO","FORA DO PRAZO"),IF(TODAY()&gt;$F527,"VENCIDO",IF($F527-TODAY()&lt;='01. CONFIGURAÇÕES'!$C$23,"VENCE EM BREVE","EM DIA"))))</f>
        <v/>
      </c>
      <c r="V527" s="55" t="str">
        <f t="shared" si="62"/>
        <v/>
      </c>
      <c r="W527" s="30"/>
      <c r="X527" s="33"/>
    </row>
    <row r="528" spans="1:24" x14ac:dyDescent="0.25">
      <c r="A528" s="29" t="str">
        <f t="shared" si="57"/>
        <v/>
      </c>
      <c r="B528" s="30"/>
      <c r="C528" s="30"/>
      <c r="D528" s="31"/>
      <c r="E528" s="10"/>
      <c r="F528" s="32" t="str">
        <f>IF($D528="","",$D528+IF($E528="",'01. CONFIGURAÇÕES'!$C$22,$E528))</f>
        <v/>
      </c>
      <c r="G528" s="30"/>
      <c r="H528" s="33"/>
      <c r="I528" s="33"/>
      <c r="J528" s="30"/>
      <c r="K528" s="33"/>
      <c r="L528" s="30"/>
      <c r="M528" s="33"/>
      <c r="N528" s="30"/>
      <c r="O528" s="33"/>
      <c r="P528" s="34" t="str">
        <f t="shared" si="58"/>
        <v/>
      </c>
      <c r="Q528" s="35" t="str">
        <f t="shared" si="59"/>
        <v/>
      </c>
      <c r="R528" s="35" t="str">
        <f t="shared" si="56"/>
        <v/>
      </c>
      <c r="S528" s="29" t="str">
        <f t="shared" si="60"/>
        <v/>
      </c>
      <c r="T528" s="13" t="str">
        <f t="shared" ca="1" si="61"/>
        <v/>
      </c>
      <c r="U528" s="29" t="str">
        <f ca="1">IF(OR($A528="",$F528=""),"",IF($R528&lt;&gt;"",IF($R528&lt;=$F528,"NO PRAZO","FORA DO PRAZO"),IF(TODAY()&gt;$F528,"VENCIDO",IF($F528-TODAY()&lt;='01. CONFIGURAÇÕES'!$C$23,"VENCE EM BREVE","EM DIA"))))</f>
        <v/>
      </c>
      <c r="V528" s="55" t="str">
        <f t="shared" si="62"/>
        <v/>
      </c>
      <c r="W528" s="30"/>
      <c r="X528" s="33"/>
    </row>
    <row r="529" spans="1:24" x14ac:dyDescent="0.25">
      <c r="A529" s="29" t="str">
        <f t="shared" si="57"/>
        <v/>
      </c>
      <c r="B529" s="30"/>
      <c r="C529" s="30"/>
      <c r="D529" s="31"/>
      <c r="E529" s="10"/>
      <c r="F529" s="32" t="str">
        <f>IF($D529="","",$D529+IF($E529="",'01. CONFIGURAÇÕES'!$C$22,$E529))</f>
        <v/>
      </c>
      <c r="G529" s="30"/>
      <c r="H529" s="33"/>
      <c r="I529" s="33"/>
      <c r="J529" s="30"/>
      <c r="K529" s="33"/>
      <c r="L529" s="30"/>
      <c r="M529" s="33"/>
      <c r="N529" s="30"/>
      <c r="O529" s="33"/>
      <c r="P529" s="34" t="str">
        <f t="shared" si="58"/>
        <v/>
      </c>
      <c r="Q529" s="35" t="str">
        <f t="shared" si="59"/>
        <v/>
      </c>
      <c r="R529" s="35" t="str">
        <f t="shared" si="56"/>
        <v/>
      </c>
      <c r="S529" s="29" t="str">
        <f t="shared" si="60"/>
        <v/>
      </c>
      <c r="T529" s="13" t="str">
        <f t="shared" ca="1" si="61"/>
        <v/>
      </c>
      <c r="U529" s="29" t="str">
        <f ca="1">IF(OR($A529="",$F529=""),"",IF($R529&lt;&gt;"",IF($R529&lt;=$F529,"NO PRAZO","FORA DO PRAZO"),IF(TODAY()&gt;$F529,"VENCIDO",IF($F529-TODAY()&lt;='01. CONFIGURAÇÕES'!$C$23,"VENCE EM BREVE","EM DIA"))))</f>
        <v/>
      </c>
      <c r="V529" s="55" t="str">
        <f t="shared" si="62"/>
        <v/>
      </c>
      <c r="W529" s="30"/>
      <c r="X529" s="33"/>
    </row>
    <row r="530" spans="1:24" x14ac:dyDescent="0.25">
      <c r="A530" s="29" t="str">
        <f t="shared" si="57"/>
        <v/>
      </c>
      <c r="B530" s="30"/>
      <c r="C530" s="30"/>
      <c r="D530" s="31"/>
      <c r="E530" s="10"/>
      <c r="F530" s="32" t="str">
        <f>IF($D530="","",$D530+IF($E530="",'01. CONFIGURAÇÕES'!$C$22,$E530))</f>
        <v/>
      </c>
      <c r="G530" s="30"/>
      <c r="H530" s="33"/>
      <c r="I530" s="33"/>
      <c r="J530" s="30"/>
      <c r="K530" s="33"/>
      <c r="L530" s="30"/>
      <c r="M530" s="33"/>
      <c r="N530" s="30"/>
      <c r="O530" s="33"/>
      <c r="P530" s="34" t="str">
        <f t="shared" si="58"/>
        <v/>
      </c>
      <c r="Q530" s="35" t="str">
        <f t="shared" si="59"/>
        <v/>
      </c>
      <c r="R530" s="35" t="str">
        <f t="shared" si="56"/>
        <v/>
      </c>
      <c r="S530" s="29" t="str">
        <f t="shared" si="60"/>
        <v/>
      </c>
      <c r="T530" s="13" t="str">
        <f t="shared" ca="1" si="61"/>
        <v/>
      </c>
      <c r="U530" s="29" t="str">
        <f ca="1">IF(OR($A530="",$F530=""),"",IF($R530&lt;&gt;"",IF($R530&lt;=$F530,"NO PRAZO","FORA DO PRAZO"),IF(TODAY()&gt;$F530,"VENCIDO",IF($F530-TODAY()&lt;='01. CONFIGURAÇÕES'!$C$23,"VENCE EM BREVE","EM DIA"))))</f>
        <v/>
      </c>
      <c r="V530" s="55" t="str">
        <f t="shared" si="62"/>
        <v/>
      </c>
      <c r="W530" s="30"/>
      <c r="X530" s="33"/>
    </row>
    <row r="531" spans="1:24" x14ac:dyDescent="0.25">
      <c r="A531" s="29" t="str">
        <f t="shared" si="57"/>
        <v/>
      </c>
      <c r="B531" s="30"/>
      <c r="C531" s="30"/>
      <c r="D531" s="31"/>
      <c r="E531" s="10"/>
      <c r="F531" s="32" t="str">
        <f>IF($D531="","",$D531+IF($E531="",'01. CONFIGURAÇÕES'!$C$22,$E531))</f>
        <v/>
      </c>
      <c r="G531" s="30"/>
      <c r="H531" s="33"/>
      <c r="I531" s="33"/>
      <c r="J531" s="30"/>
      <c r="K531" s="33"/>
      <c r="L531" s="30"/>
      <c r="M531" s="33"/>
      <c r="N531" s="30"/>
      <c r="O531" s="33"/>
      <c r="P531" s="34" t="str">
        <f t="shared" si="58"/>
        <v/>
      </c>
      <c r="Q531" s="35" t="str">
        <f t="shared" si="59"/>
        <v/>
      </c>
      <c r="R531" s="35" t="str">
        <f t="shared" si="56"/>
        <v/>
      </c>
      <c r="S531" s="29" t="str">
        <f t="shared" si="60"/>
        <v/>
      </c>
      <c r="T531" s="13" t="str">
        <f t="shared" ca="1" si="61"/>
        <v/>
      </c>
      <c r="U531" s="29" t="str">
        <f ca="1">IF(OR($A531="",$F531=""),"",IF($R531&lt;&gt;"",IF($R531&lt;=$F531,"NO PRAZO","FORA DO PRAZO"),IF(TODAY()&gt;$F531,"VENCIDO",IF($F531-TODAY()&lt;='01. CONFIGURAÇÕES'!$C$23,"VENCE EM BREVE","EM DIA"))))</f>
        <v/>
      </c>
      <c r="V531" s="55" t="str">
        <f t="shared" si="62"/>
        <v/>
      </c>
      <c r="W531" s="30"/>
      <c r="X531" s="33"/>
    </row>
    <row r="532" spans="1:24" x14ac:dyDescent="0.25">
      <c r="A532" s="29" t="str">
        <f t="shared" si="57"/>
        <v/>
      </c>
      <c r="B532" s="30"/>
      <c r="C532" s="30"/>
      <c r="D532" s="31"/>
      <c r="E532" s="10"/>
      <c r="F532" s="32" t="str">
        <f>IF($D532="","",$D532+IF($E532="",'01. CONFIGURAÇÕES'!$C$22,$E532))</f>
        <v/>
      </c>
      <c r="G532" s="30"/>
      <c r="H532" s="33"/>
      <c r="I532" s="33"/>
      <c r="J532" s="30"/>
      <c r="K532" s="33"/>
      <c r="L532" s="30"/>
      <c r="M532" s="33"/>
      <c r="N532" s="30"/>
      <c r="O532" s="33"/>
      <c r="P532" s="34" t="str">
        <f t="shared" si="58"/>
        <v/>
      </c>
      <c r="Q532" s="35" t="str">
        <f t="shared" si="59"/>
        <v/>
      </c>
      <c r="R532" s="35" t="str">
        <f t="shared" si="56"/>
        <v/>
      </c>
      <c r="S532" s="29" t="str">
        <f t="shared" si="60"/>
        <v/>
      </c>
      <c r="T532" s="13" t="str">
        <f t="shared" ca="1" si="61"/>
        <v/>
      </c>
      <c r="U532" s="29" t="str">
        <f ca="1">IF(OR($A532="",$F532=""),"",IF($R532&lt;&gt;"",IF($R532&lt;=$F532,"NO PRAZO","FORA DO PRAZO"),IF(TODAY()&gt;$F532,"VENCIDO",IF($F532-TODAY()&lt;='01. CONFIGURAÇÕES'!$C$23,"VENCE EM BREVE","EM DIA"))))</f>
        <v/>
      </c>
      <c r="V532" s="55" t="str">
        <f t="shared" si="62"/>
        <v/>
      </c>
      <c r="W532" s="30"/>
      <c r="X532" s="33"/>
    </row>
    <row r="533" spans="1:24" x14ac:dyDescent="0.25">
      <c r="A533" s="29" t="str">
        <f t="shared" si="57"/>
        <v/>
      </c>
      <c r="B533" s="30"/>
      <c r="C533" s="30"/>
      <c r="D533" s="31"/>
      <c r="E533" s="10"/>
      <c r="F533" s="32" t="str">
        <f>IF($D533="","",$D533+IF($E533="",'01. CONFIGURAÇÕES'!$C$22,$E533))</f>
        <v/>
      </c>
      <c r="G533" s="30"/>
      <c r="H533" s="33"/>
      <c r="I533" s="33"/>
      <c r="J533" s="30"/>
      <c r="K533" s="33"/>
      <c r="L533" s="30"/>
      <c r="M533" s="33"/>
      <c r="N533" s="30"/>
      <c r="O533" s="33"/>
      <c r="P533" s="34" t="str">
        <f t="shared" si="58"/>
        <v/>
      </c>
      <c r="Q533" s="35" t="str">
        <f t="shared" si="59"/>
        <v/>
      </c>
      <c r="R533" s="35" t="str">
        <f t="shared" si="56"/>
        <v/>
      </c>
      <c r="S533" s="29" t="str">
        <f t="shared" si="60"/>
        <v/>
      </c>
      <c r="T533" s="13" t="str">
        <f t="shared" ca="1" si="61"/>
        <v/>
      </c>
      <c r="U533" s="29" t="str">
        <f ca="1">IF(OR($A533="",$F533=""),"",IF($R533&lt;&gt;"",IF($R533&lt;=$F533,"NO PRAZO","FORA DO PRAZO"),IF(TODAY()&gt;$F533,"VENCIDO",IF($F533-TODAY()&lt;='01. CONFIGURAÇÕES'!$C$23,"VENCE EM BREVE","EM DIA"))))</f>
        <v/>
      </c>
      <c r="V533" s="55" t="str">
        <f t="shared" si="62"/>
        <v/>
      </c>
      <c r="W533" s="30"/>
      <c r="X533" s="33"/>
    </row>
    <row r="534" spans="1:24" x14ac:dyDescent="0.25">
      <c r="A534" s="29" t="str">
        <f t="shared" si="57"/>
        <v/>
      </c>
      <c r="B534" s="30"/>
      <c r="C534" s="30"/>
      <c r="D534" s="31"/>
      <c r="E534" s="10"/>
      <c r="F534" s="32" t="str">
        <f>IF($D534="","",$D534+IF($E534="",'01. CONFIGURAÇÕES'!$C$22,$E534))</f>
        <v/>
      </c>
      <c r="G534" s="30"/>
      <c r="H534" s="33"/>
      <c r="I534" s="33"/>
      <c r="J534" s="30"/>
      <c r="K534" s="33"/>
      <c r="L534" s="30"/>
      <c r="M534" s="33"/>
      <c r="N534" s="30"/>
      <c r="O534" s="33"/>
      <c r="P534" s="34" t="str">
        <f t="shared" si="58"/>
        <v/>
      </c>
      <c r="Q534" s="35" t="str">
        <f t="shared" si="59"/>
        <v/>
      </c>
      <c r="R534" s="35" t="str">
        <f t="shared" si="56"/>
        <v/>
      </c>
      <c r="S534" s="29" t="str">
        <f t="shared" si="60"/>
        <v/>
      </c>
      <c r="T534" s="13" t="str">
        <f t="shared" ca="1" si="61"/>
        <v/>
      </c>
      <c r="U534" s="29" t="str">
        <f ca="1">IF(OR($A534="",$F534=""),"",IF($R534&lt;&gt;"",IF($R534&lt;=$F534,"NO PRAZO","FORA DO PRAZO"),IF(TODAY()&gt;$F534,"VENCIDO",IF($F534-TODAY()&lt;='01. CONFIGURAÇÕES'!$C$23,"VENCE EM BREVE","EM DIA"))))</f>
        <v/>
      </c>
      <c r="V534" s="55" t="str">
        <f t="shared" si="62"/>
        <v/>
      </c>
      <c r="W534" s="30"/>
      <c r="X534" s="33"/>
    </row>
    <row r="535" spans="1:24" x14ac:dyDescent="0.25">
      <c r="A535" s="29" t="str">
        <f t="shared" si="57"/>
        <v/>
      </c>
      <c r="B535" s="30"/>
      <c r="C535" s="30"/>
      <c r="D535" s="31"/>
      <c r="E535" s="10"/>
      <c r="F535" s="32" t="str">
        <f>IF($D535="","",$D535+IF($E535="",'01. CONFIGURAÇÕES'!$C$22,$E535))</f>
        <v/>
      </c>
      <c r="G535" s="30"/>
      <c r="H535" s="33"/>
      <c r="I535" s="33"/>
      <c r="J535" s="30"/>
      <c r="K535" s="33"/>
      <c r="L535" s="30"/>
      <c r="M535" s="33"/>
      <c r="N535" s="30"/>
      <c r="O535" s="33"/>
      <c r="P535" s="34" t="str">
        <f t="shared" si="58"/>
        <v/>
      </c>
      <c r="Q535" s="35" t="str">
        <f t="shared" si="59"/>
        <v/>
      </c>
      <c r="R535" s="35" t="str">
        <f t="shared" si="56"/>
        <v/>
      </c>
      <c r="S535" s="29" t="str">
        <f t="shared" si="60"/>
        <v/>
      </c>
      <c r="T535" s="13" t="str">
        <f t="shared" ca="1" si="61"/>
        <v/>
      </c>
      <c r="U535" s="29" t="str">
        <f ca="1">IF(OR($A535="",$F535=""),"",IF($R535&lt;&gt;"",IF($R535&lt;=$F535,"NO PRAZO","FORA DO PRAZO"),IF(TODAY()&gt;$F535,"VENCIDO",IF($F535-TODAY()&lt;='01. CONFIGURAÇÕES'!$C$23,"VENCE EM BREVE","EM DIA"))))</f>
        <v/>
      </c>
      <c r="V535" s="55" t="str">
        <f t="shared" si="62"/>
        <v/>
      </c>
      <c r="W535" s="30"/>
      <c r="X535" s="33"/>
    </row>
    <row r="536" spans="1:24" x14ac:dyDescent="0.25">
      <c r="A536" s="29" t="str">
        <f t="shared" si="57"/>
        <v/>
      </c>
      <c r="B536" s="30"/>
      <c r="C536" s="30"/>
      <c r="D536" s="31"/>
      <c r="E536" s="10"/>
      <c r="F536" s="32" t="str">
        <f>IF($D536="","",$D536+IF($E536="",'01. CONFIGURAÇÕES'!$C$22,$E536))</f>
        <v/>
      </c>
      <c r="G536" s="30"/>
      <c r="H536" s="33"/>
      <c r="I536" s="33"/>
      <c r="J536" s="30"/>
      <c r="K536" s="33"/>
      <c r="L536" s="30"/>
      <c r="M536" s="33"/>
      <c r="N536" s="30"/>
      <c r="O536" s="33"/>
      <c r="P536" s="34" t="str">
        <f t="shared" si="58"/>
        <v/>
      </c>
      <c r="Q536" s="35" t="str">
        <f t="shared" si="59"/>
        <v/>
      </c>
      <c r="R536" s="35" t="str">
        <f t="shared" si="56"/>
        <v/>
      </c>
      <c r="S536" s="29" t="str">
        <f t="shared" si="60"/>
        <v/>
      </c>
      <c r="T536" s="13" t="str">
        <f t="shared" ca="1" si="61"/>
        <v/>
      </c>
      <c r="U536" s="29" t="str">
        <f ca="1">IF(OR($A536="",$F536=""),"",IF($R536&lt;&gt;"",IF($R536&lt;=$F536,"NO PRAZO","FORA DO PRAZO"),IF(TODAY()&gt;$F536,"VENCIDO",IF($F536-TODAY()&lt;='01. CONFIGURAÇÕES'!$C$23,"VENCE EM BREVE","EM DIA"))))</f>
        <v/>
      </c>
      <c r="V536" s="55" t="str">
        <f t="shared" si="62"/>
        <v/>
      </c>
      <c r="W536" s="30"/>
      <c r="X536" s="33"/>
    </row>
    <row r="537" spans="1:24" x14ac:dyDescent="0.25">
      <c r="A537" s="29" t="str">
        <f t="shared" si="57"/>
        <v/>
      </c>
      <c r="B537" s="30"/>
      <c r="C537" s="30"/>
      <c r="D537" s="31"/>
      <c r="E537" s="10"/>
      <c r="F537" s="32" t="str">
        <f>IF($D537="","",$D537+IF($E537="",'01. CONFIGURAÇÕES'!$C$22,$E537))</f>
        <v/>
      </c>
      <c r="G537" s="30"/>
      <c r="H537" s="33"/>
      <c r="I537" s="33"/>
      <c r="J537" s="30"/>
      <c r="K537" s="33"/>
      <c r="L537" s="30"/>
      <c r="M537" s="33"/>
      <c r="N537" s="30"/>
      <c r="O537" s="33"/>
      <c r="P537" s="34" t="str">
        <f t="shared" si="58"/>
        <v/>
      </c>
      <c r="Q537" s="35" t="str">
        <f t="shared" si="59"/>
        <v/>
      </c>
      <c r="R537" s="35" t="str">
        <f t="shared" si="56"/>
        <v/>
      </c>
      <c r="S537" s="29" t="str">
        <f t="shared" si="60"/>
        <v/>
      </c>
      <c r="T537" s="13" t="str">
        <f t="shared" ca="1" si="61"/>
        <v/>
      </c>
      <c r="U537" s="29" t="str">
        <f ca="1">IF(OR($A537="",$F537=""),"",IF($R537&lt;&gt;"",IF($R537&lt;=$F537,"NO PRAZO","FORA DO PRAZO"),IF(TODAY()&gt;$F537,"VENCIDO",IF($F537-TODAY()&lt;='01. CONFIGURAÇÕES'!$C$23,"VENCE EM BREVE","EM DIA"))))</f>
        <v/>
      </c>
      <c r="V537" s="55" t="str">
        <f t="shared" si="62"/>
        <v/>
      </c>
      <c r="W537" s="30"/>
      <c r="X537" s="33"/>
    </row>
    <row r="538" spans="1:24" x14ac:dyDescent="0.25">
      <c r="A538" s="29" t="str">
        <f t="shared" si="57"/>
        <v/>
      </c>
      <c r="B538" s="30"/>
      <c r="C538" s="30"/>
      <c r="D538" s="31"/>
      <c r="E538" s="10"/>
      <c r="F538" s="32" t="str">
        <f>IF($D538="","",$D538+IF($E538="",'01. CONFIGURAÇÕES'!$C$22,$E538))</f>
        <v/>
      </c>
      <c r="G538" s="30"/>
      <c r="H538" s="33"/>
      <c r="I538" s="33"/>
      <c r="J538" s="30"/>
      <c r="K538" s="33"/>
      <c r="L538" s="30"/>
      <c r="M538" s="33"/>
      <c r="N538" s="30"/>
      <c r="O538" s="33"/>
      <c r="P538" s="34" t="str">
        <f t="shared" si="58"/>
        <v/>
      </c>
      <c r="Q538" s="35" t="str">
        <f t="shared" si="59"/>
        <v/>
      </c>
      <c r="R538" s="35" t="str">
        <f t="shared" si="56"/>
        <v/>
      </c>
      <c r="S538" s="29" t="str">
        <f t="shared" si="60"/>
        <v/>
      </c>
      <c r="T538" s="13" t="str">
        <f t="shared" ca="1" si="61"/>
        <v/>
      </c>
      <c r="U538" s="29" t="str">
        <f ca="1">IF(OR($A538="",$F538=""),"",IF($R538&lt;&gt;"",IF($R538&lt;=$F538,"NO PRAZO","FORA DO PRAZO"),IF(TODAY()&gt;$F538,"VENCIDO",IF($F538-TODAY()&lt;='01. CONFIGURAÇÕES'!$C$23,"VENCE EM BREVE","EM DIA"))))</f>
        <v/>
      </c>
      <c r="V538" s="55" t="str">
        <f t="shared" si="62"/>
        <v/>
      </c>
      <c r="W538" s="30"/>
      <c r="X538" s="33"/>
    </row>
    <row r="539" spans="1:24" x14ac:dyDescent="0.25">
      <c r="A539" s="29" t="str">
        <f t="shared" si="57"/>
        <v/>
      </c>
      <c r="B539" s="30"/>
      <c r="C539" s="30"/>
      <c r="D539" s="31"/>
      <c r="E539" s="10"/>
      <c r="F539" s="32" t="str">
        <f>IF($D539="","",$D539+IF($E539="",'01. CONFIGURAÇÕES'!$C$22,$E539))</f>
        <v/>
      </c>
      <c r="G539" s="30"/>
      <c r="H539" s="33"/>
      <c r="I539" s="33"/>
      <c r="J539" s="30"/>
      <c r="K539" s="33"/>
      <c r="L539" s="30"/>
      <c r="M539" s="33"/>
      <c r="N539" s="30"/>
      <c r="O539" s="33"/>
      <c r="P539" s="34" t="str">
        <f t="shared" si="58"/>
        <v/>
      </c>
      <c r="Q539" s="35" t="str">
        <f t="shared" si="59"/>
        <v/>
      </c>
      <c r="R539" s="35" t="str">
        <f t="shared" si="56"/>
        <v/>
      </c>
      <c r="S539" s="29" t="str">
        <f t="shared" si="60"/>
        <v/>
      </c>
      <c r="T539" s="13" t="str">
        <f t="shared" ca="1" si="61"/>
        <v/>
      </c>
      <c r="U539" s="29" t="str">
        <f ca="1">IF(OR($A539="",$F539=""),"",IF($R539&lt;&gt;"",IF($R539&lt;=$F539,"NO PRAZO","FORA DO PRAZO"),IF(TODAY()&gt;$F539,"VENCIDO",IF($F539-TODAY()&lt;='01. CONFIGURAÇÕES'!$C$23,"VENCE EM BREVE","EM DIA"))))</f>
        <v/>
      </c>
      <c r="V539" s="55" t="str">
        <f t="shared" si="62"/>
        <v/>
      </c>
      <c r="W539" s="30"/>
      <c r="X539" s="33"/>
    </row>
    <row r="540" spans="1:24" x14ac:dyDescent="0.25">
      <c r="A540" s="29" t="str">
        <f t="shared" si="57"/>
        <v/>
      </c>
      <c r="B540" s="30"/>
      <c r="C540" s="30"/>
      <c r="D540" s="31"/>
      <c r="E540" s="10"/>
      <c r="F540" s="32" t="str">
        <f>IF($D540="","",$D540+IF($E540="",'01. CONFIGURAÇÕES'!$C$22,$E540))</f>
        <v/>
      </c>
      <c r="G540" s="30"/>
      <c r="H540" s="33"/>
      <c r="I540" s="33"/>
      <c r="J540" s="30"/>
      <c r="K540" s="33"/>
      <c r="L540" s="30"/>
      <c r="M540" s="33"/>
      <c r="N540" s="30"/>
      <c r="O540" s="33"/>
      <c r="P540" s="34" t="str">
        <f t="shared" si="58"/>
        <v/>
      </c>
      <c r="Q540" s="35" t="str">
        <f t="shared" si="59"/>
        <v/>
      </c>
      <c r="R540" s="35" t="str">
        <f t="shared" si="56"/>
        <v/>
      </c>
      <c r="S540" s="29" t="str">
        <f t="shared" si="60"/>
        <v/>
      </c>
      <c r="T540" s="13" t="str">
        <f t="shared" ca="1" si="61"/>
        <v/>
      </c>
      <c r="U540" s="29" t="str">
        <f ca="1">IF(OR($A540="",$F540=""),"",IF($R540&lt;&gt;"",IF($R540&lt;=$F540,"NO PRAZO","FORA DO PRAZO"),IF(TODAY()&gt;$F540,"VENCIDO",IF($F540-TODAY()&lt;='01. CONFIGURAÇÕES'!$C$23,"VENCE EM BREVE","EM DIA"))))</f>
        <v/>
      </c>
      <c r="V540" s="55" t="str">
        <f t="shared" si="62"/>
        <v/>
      </c>
      <c r="W540" s="30"/>
      <c r="X540" s="33"/>
    </row>
    <row r="541" spans="1:24" x14ac:dyDescent="0.25">
      <c r="A541" s="29" t="str">
        <f t="shared" si="57"/>
        <v/>
      </c>
      <c r="B541" s="30"/>
      <c r="C541" s="30"/>
      <c r="D541" s="31"/>
      <c r="E541" s="10"/>
      <c r="F541" s="32" t="str">
        <f>IF($D541="","",$D541+IF($E541="",'01. CONFIGURAÇÕES'!$C$22,$E541))</f>
        <v/>
      </c>
      <c r="G541" s="30"/>
      <c r="H541" s="33"/>
      <c r="I541" s="33"/>
      <c r="J541" s="30"/>
      <c r="K541" s="33"/>
      <c r="L541" s="30"/>
      <c r="M541" s="33"/>
      <c r="N541" s="30"/>
      <c r="O541" s="33"/>
      <c r="P541" s="34" t="str">
        <f t="shared" si="58"/>
        <v/>
      </c>
      <c r="Q541" s="35" t="str">
        <f t="shared" si="59"/>
        <v/>
      </c>
      <c r="R541" s="35" t="str">
        <f t="shared" si="56"/>
        <v/>
      </c>
      <c r="S541" s="29" t="str">
        <f t="shared" si="60"/>
        <v/>
      </c>
      <c r="T541" s="13" t="str">
        <f t="shared" ca="1" si="61"/>
        <v/>
      </c>
      <c r="U541" s="29" t="str">
        <f ca="1">IF(OR($A541="",$F541=""),"",IF($R541&lt;&gt;"",IF($R541&lt;=$F541,"NO PRAZO","FORA DO PRAZO"),IF(TODAY()&gt;$F541,"VENCIDO",IF($F541-TODAY()&lt;='01. CONFIGURAÇÕES'!$C$23,"VENCE EM BREVE","EM DIA"))))</f>
        <v/>
      </c>
      <c r="V541" s="55" t="str">
        <f t="shared" si="62"/>
        <v/>
      </c>
      <c r="W541" s="30"/>
      <c r="X541" s="33"/>
    </row>
    <row r="542" spans="1:24" x14ac:dyDescent="0.25">
      <c r="A542" s="29" t="str">
        <f t="shared" si="57"/>
        <v/>
      </c>
      <c r="B542" s="30"/>
      <c r="C542" s="30"/>
      <c r="D542" s="31"/>
      <c r="E542" s="10"/>
      <c r="F542" s="32" t="str">
        <f>IF($D542="","",$D542+IF($E542="",'01. CONFIGURAÇÕES'!$C$22,$E542))</f>
        <v/>
      </c>
      <c r="G542" s="30"/>
      <c r="H542" s="33"/>
      <c r="I542" s="33"/>
      <c r="J542" s="30"/>
      <c r="K542" s="33"/>
      <c r="L542" s="30"/>
      <c r="M542" s="33"/>
      <c r="N542" s="30"/>
      <c r="O542" s="33"/>
      <c r="P542" s="34" t="str">
        <f t="shared" si="58"/>
        <v/>
      </c>
      <c r="Q542" s="35" t="str">
        <f t="shared" si="59"/>
        <v/>
      </c>
      <c r="R542" s="35" t="str">
        <f t="shared" si="56"/>
        <v/>
      </c>
      <c r="S542" s="29" t="str">
        <f t="shared" si="60"/>
        <v/>
      </c>
      <c r="T542" s="13" t="str">
        <f t="shared" ca="1" si="61"/>
        <v/>
      </c>
      <c r="U542" s="29" t="str">
        <f ca="1">IF(OR($A542="",$F542=""),"",IF($R542&lt;&gt;"",IF($R542&lt;=$F542,"NO PRAZO","FORA DO PRAZO"),IF(TODAY()&gt;$F542,"VENCIDO",IF($F542-TODAY()&lt;='01. CONFIGURAÇÕES'!$C$23,"VENCE EM BREVE","EM DIA"))))</f>
        <v/>
      </c>
      <c r="V542" s="55" t="str">
        <f t="shared" si="62"/>
        <v/>
      </c>
      <c r="W542" s="30"/>
      <c r="X542" s="33"/>
    </row>
    <row r="543" spans="1:24" x14ac:dyDescent="0.25">
      <c r="A543" s="29" t="str">
        <f t="shared" si="57"/>
        <v/>
      </c>
      <c r="B543" s="30"/>
      <c r="C543" s="30"/>
      <c r="D543" s="31"/>
      <c r="E543" s="10"/>
      <c r="F543" s="32" t="str">
        <f>IF($D543="","",$D543+IF($E543="",'01. CONFIGURAÇÕES'!$C$22,$E543))</f>
        <v/>
      </c>
      <c r="G543" s="30"/>
      <c r="H543" s="33"/>
      <c r="I543" s="33"/>
      <c r="J543" s="30"/>
      <c r="K543" s="33"/>
      <c r="L543" s="30"/>
      <c r="M543" s="33"/>
      <c r="N543" s="30"/>
      <c r="O543" s="33"/>
      <c r="P543" s="34" t="str">
        <f t="shared" si="58"/>
        <v/>
      </c>
      <c r="Q543" s="35" t="str">
        <f t="shared" si="59"/>
        <v/>
      </c>
      <c r="R543" s="35" t="str">
        <f t="shared" ref="R543:R604" si="63">IF($A543="","",IFERROR(IF(INDEX(OS_FIM,MATCH($A543,OS_ID,0))=0,"",INDEX(OS_FIM,MATCH($A543,OS_ID,0))),""))</f>
        <v/>
      </c>
      <c r="S543" s="29" t="str">
        <f t="shared" si="60"/>
        <v/>
      </c>
      <c r="T543" s="13" t="str">
        <f t="shared" ca="1" si="61"/>
        <v/>
      </c>
      <c r="U543" s="29" t="str">
        <f ca="1">IF(OR($A543="",$F543=""),"",IF($R543&lt;&gt;"",IF($R543&lt;=$F543,"NO PRAZO","FORA DO PRAZO"),IF(TODAY()&gt;$F543,"VENCIDO",IF($F543-TODAY()&lt;='01. CONFIGURAÇÕES'!$C$23,"VENCE EM BREVE","EM DIA"))))</f>
        <v/>
      </c>
      <c r="V543" s="55" t="str">
        <f t="shared" si="62"/>
        <v/>
      </c>
      <c r="W543" s="30"/>
      <c r="X543" s="33"/>
    </row>
    <row r="544" spans="1:24" x14ac:dyDescent="0.25">
      <c r="A544" s="29" t="str">
        <f t="shared" si="57"/>
        <v/>
      </c>
      <c r="B544" s="30"/>
      <c r="C544" s="30"/>
      <c r="D544" s="31"/>
      <c r="E544" s="10"/>
      <c r="F544" s="32" t="str">
        <f>IF($D544="","",$D544+IF($E544="",'01. CONFIGURAÇÕES'!$C$22,$E544))</f>
        <v/>
      </c>
      <c r="G544" s="30"/>
      <c r="H544" s="33"/>
      <c r="I544" s="33"/>
      <c r="J544" s="30"/>
      <c r="K544" s="33"/>
      <c r="L544" s="30"/>
      <c r="M544" s="33"/>
      <c r="N544" s="30"/>
      <c r="O544" s="33"/>
      <c r="P544" s="34" t="str">
        <f t="shared" si="58"/>
        <v/>
      </c>
      <c r="Q544" s="35" t="str">
        <f t="shared" si="59"/>
        <v/>
      </c>
      <c r="R544" s="35" t="str">
        <f t="shared" si="63"/>
        <v/>
      </c>
      <c r="S544" s="29" t="str">
        <f t="shared" si="60"/>
        <v/>
      </c>
      <c r="T544" s="13" t="str">
        <f t="shared" ca="1" si="61"/>
        <v/>
      </c>
      <c r="U544" s="29" t="str">
        <f ca="1">IF(OR($A544="",$F544=""),"",IF($R544&lt;&gt;"",IF($R544&lt;=$F544,"NO PRAZO","FORA DO PRAZO"),IF(TODAY()&gt;$F544,"VENCIDO",IF($F544-TODAY()&lt;='01. CONFIGURAÇÕES'!$C$23,"VENCE EM BREVE","EM DIA"))))</f>
        <v/>
      </c>
      <c r="V544" s="55" t="str">
        <f t="shared" si="62"/>
        <v/>
      </c>
      <c r="W544" s="30"/>
      <c r="X544" s="33"/>
    </row>
    <row r="545" spans="1:24" x14ac:dyDescent="0.25">
      <c r="A545" s="29" t="str">
        <f t="shared" si="57"/>
        <v/>
      </c>
      <c r="B545" s="30"/>
      <c r="C545" s="30"/>
      <c r="D545" s="31"/>
      <c r="E545" s="10"/>
      <c r="F545" s="32" t="str">
        <f>IF($D545="","",$D545+IF($E545="",'01. CONFIGURAÇÕES'!$C$22,$E545))</f>
        <v/>
      </c>
      <c r="G545" s="30"/>
      <c r="H545" s="33"/>
      <c r="I545" s="33"/>
      <c r="J545" s="30"/>
      <c r="K545" s="33"/>
      <c r="L545" s="30"/>
      <c r="M545" s="33"/>
      <c r="N545" s="30"/>
      <c r="O545" s="33"/>
      <c r="P545" s="34" t="str">
        <f t="shared" si="58"/>
        <v/>
      </c>
      <c r="Q545" s="35" t="str">
        <f t="shared" si="59"/>
        <v/>
      </c>
      <c r="R545" s="35" t="str">
        <f t="shared" si="63"/>
        <v/>
      </c>
      <c r="S545" s="29" t="str">
        <f t="shared" si="60"/>
        <v/>
      </c>
      <c r="T545" s="13" t="str">
        <f t="shared" ca="1" si="61"/>
        <v/>
      </c>
      <c r="U545" s="29" t="str">
        <f ca="1">IF(OR($A545="",$F545=""),"",IF($R545&lt;&gt;"",IF($R545&lt;=$F545,"NO PRAZO","FORA DO PRAZO"),IF(TODAY()&gt;$F545,"VENCIDO",IF($F545-TODAY()&lt;='01. CONFIGURAÇÕES'!$C$23,"VENCE EM BREVE","EM DIA"))))</f>
        <v/>
      </c>
      <c r="V545" s="55" t="str">
        <f t="shared" si="62"/>
        <v/>
      </c>
      <c r="W545" s="30"/>
      <c r="X545" s="33"/>
    </row>
    <row r="546" spans="1:24" x14ac:dyDescent="0.25">
      <c r="A546" s="29" t="str">
        <f t="shared" si="57"/>
        <v/>
      </c>
      <c r="B546" s="30"/>
      <c r="C546" s="30"/>
      <c r="D546" s="31"/>
      <c r="E546" s="10"/>
      <c r="F546" s="32" t="str">
        <f>IF($D546="","",$D546+IF($E546="",'01. CONFIGURAÇÕES'!$C$22,$E546))</f>
        <v/>
      </c>
      <c r="G546" s="30"/>
      <c r="H546" s="33"/>
      <c r="I546" s="33"/>
      <c r="J546" s="30"/>
      <c r="K546" s="33"/>
      <c r="L546" s="30"/>
      <c r="M546" s="33"/>
      <c r="N546" s="30"/>
      <c r="O546" s="33"/>
      <c r="P546" s="34" t="str">
        <f t="shared" si="58"/>
        <v/>
      </c>
      <c r="Q546" s="35" t="str">
        <f t="shared" si="59"/>
        <v/>
      </c>
      <c r="R546" s="35" t="str">
        <f t="shared" si="63"/>
        <v/>
      </c>
      <c r="S546" s="29" t="str">
        <f t="shared" si="60"/>
        <v/>
      </c>
      <c r="T546" s="13" t="str">
        <f t="shared" ca="1" si="61"/>
        <v/>
      </c>
      <c r="U546" s="29" t="str">
        <f ca="1">IF(OR($A546="",$F546=""),"",IF($R546&lt;&gt;"",IF($R546&lt;=$F546,"NO PRAZO","FORA DO PRAZO"),IF(TODAY()&gt;$F546,"VENCIDO",IF($F546-TODAY()&lt;='01. CONFIGURAÇÕES'!$C$23,"VENCE EM BREVE","EM DIA"))))</f>
        <v/>
      </c>
      <c r="V546" s="55" t="str">
        <f t="shared" si="62"/>
        <v/>
      </c>
      <c r="W546" s="30"/>
      <c r="X546" s="33"/>
    </row>
    <row r="547" spans="1:24" x14ac:dyDescent="0.25">
      <c r="A547" s="29" t="str">
        <f t="shared" si="57"/>
        <v/>
      </c>
      <c r="B547" s="30"/>
      <c r="C547" s="30"/>
      <c r="D547" s="31"/>
      <c r="E547" s="10"/>
      <c r="F547" s="32" t="str">
        <f>IF($D547="","",$D547+IF($E547="",'01. CONFIGURAÇÕES'!$C$22,$E547))</f>
        <v/>
      </c>
      <c r="G547" s="30"/>
      <c r="H547" s="33"/>
      <c r="I547" s="33"/>
      <c r="J547" s="30"/>
      <c r="K547" s="33"/>
      <c r="L547" s="30"/>
      <c r="M547" s="33"/>
      <c r="N547" s="30"/>
      <c r="O547" s="33"/>
      <c r="P547" s="34" t="str">
        <f t="shared" si="58"/>
        <v/>
      </c>
      <c r="Q547" s="35" t="str">
        <f t="shared" si="59"/>
        <v/>
      </c>
      <c r="R547" s="35" t="str">
        <f t="shared" si="63"/>
        <v/>
      </c>
      <c r="S547" s="29" t="str">
        <f t="shared" si="60"/>
        <v/>
      </c>
      <c r="T547" s="13" t="str">
        <f t="shared" ca="1" si="61"/>
        <v/>
      </c>
      <c r="U547" s="29" t="str">
        <f ca="1">IF(OR($A547="",$F547=""),"",IF($R547&lt;&gt;"",IF($R547&lt;=$F547,"NO PRAZO","FORA DO PRAZO"),IF(TODAY()&gt;$F547,"VENCIDO",IF($F547-TODAY()&lt;='01. CONFIGURAÇÕES'!$C$23,"VENCE EM BREVE","EM DIA"))))</f>
        <v/>
      </c>
      <c r="V547" s="55" t="str">
        <f t="shared" si="62"/>
        <v/>
      </c>
      <c r="W547" s="30"/>
      <c r="X547" s="33"/>
    </row>
    <row r="548" spans="1:24" x14ac:dyDescent="0.25">
      <c r="A548" s="29" t="str">
        <f t="shared" si="57"/>
        <v/>
      </c>
      <c r="B548" s="30"/>
      <c r="C548" s="30"/>
      <c r="D548" s="31"/>
      <c r="E548" s="10"/>
      <c r="F548" s="32" t="str">
        <f>IF($D548="","",$D548+IF($E548="",'01. CONFIGURAÇÕES'!$C$22,$E548))</f>
        <v/>
      </c>
      <c r="G548" s="30"/>
      <c r="H548" s="33"/>
      <c r="I548" s="33"/>
      <c r="J548" s="30"/>
      <c r="K548" s="33"/>
      <c r="L548" s="30"/>
      <c r="M548" s="33"/>
      <c r="N548" s="30"/>
      <c r="O548" s="33"/>
      <c r="P548" s="34" t="str">
        <f t="shared" si="58"/>
        <v/>
      </c>
      <c r="Q548" s="35" t="str">
        <f t="shared" si="59"/>
        <v/>
      </c>
      <c r="R548" s="35" t="str">
        <f t="shared" si="63"/>
        <v/>
      </c>
      <c r="S548" s="29" t="str">
        <f t="shared" si="60"/>
        <v/>
      </c>
      <c r="T548" s="13" t="str">
        <f t="shared" ca="1" si="61"/>
        <v/>
      </c>
      <c r="U548" s="29" t="str">
        <f ca="1">IF(OR($A548="",$F548=""),"",IF($R548&lt;&gt;"",IF($R548&lt;=$F548,"NO PRAZO","FORA DO PRAZO"),IF(TODAY()&gt;$F548,"VENCIDO",IF($F548-TODAY()&lt;='01. CONFIGURAÇÕES'!$C$23,"VENCE EM BREVE","EM DIA"))))</f>
        <v/>
      </c>
      <c r="V548" s="55" t="str">
        <f t="shared" si="62"/>
        <v/>
      </c>
      <c r="W548" s="30"/>
      <c r="X548" s="33"/>
    </row>
    <row r="549" spans="1:24" x14ac:dyDescent="0.25">
      <c r="A549" s="29" t="str">
        <f t="shared" si="57"/>
        <v/>
      </c>
      <c r="B549" s="30"/>
      <c r="C549" s="30"/>
      <c r="D549" s="31"/>
      <c r="E549" s="10"/>
      <c r="F549" s="32" t="str">
        <f>IF($D549="","",$D549+IF($E549="",'01. CONFIGURAÇÕES'!$C$22,$E549))</f>
        <v/>
      </c>
      <c r="G549" s="30"/>
      <c r="H549" s="33"/>
      <c r="I549" s="33"/>
      <c r="J549" s="30"/>
      <c r="K549" s="33"/>
      <c r="L549" s="30"/>
      <c r="M549" s="33"/>
      <c r="N549" s="30"/>
      <c r="O549" s="33"/>
      <c r="P549" s="34" t="str">
        <f t="shared" si="58"/>
        <v/>
      </c>
      <c r="Q549" s="35" t="str">
        <f t="shared" si="59"/>
        <v/>
      </c>
      <c r="R549" s="35" t="str">
        <f t="shared" si="63"/>
        <v/>
      </c>
      <c r="S549" s="29" t="str">
        <f t="shared" si="60"/>
        <v/>
      </c>
      <c r="T549" s="13" t="str">
        <f t="shared" ca="1" si="61"/>
        <v/>
      </c>
      <c r="U549" s="29" t="str">
        <f ca="1">IF(OR($A549="",$F549=""),"",IF($R549&lt;&gt;"",IF($R549&lt;=$F549,"NO PRAZO","FORA DO PRAZO"),IF(TODAY()&gt;$F549,"VENCIDO",IF($F549-TODAY()&lt;='01. CONFIGURAÇÕES'!$C$23,"VENCE EM BREVE","EM DIA"))))</f>
        <v/>
      </c>
      <c r="V549" s="55" t="str">
        <f t="shared" si="62"/>
        <v/>
      </c>
      <c r="W549" s="30"/>
      <c r="X549" s="33"/>
    </row>
    <row r="550" spans="1:24" x14ac:dyDescent="0.25">
      <c r="A550" s="29" t="str">
        <f t="shared" si="57"/>
        <v/>
      </c>
      <c r="B550" s="30"/>
      <c r="C550" s="30"/>
      <c r="D550" s="31"/>
      <c r="E550" s="10"/>
      <c r="F550" s="32" t="str">
        <f>IF($D550="","",$D550+IF($E550="",'01. CONFIGURAÇÕES'!$C$22,$E550))</f>
        <v/>
      </c>
      <c r="G550" s="30"/>
      <c r="H550" s="33"/>
      <c r="I550" s="33"/>
      <c r="J550" s="30"/>
      <c r="K550" s="33"/>
      <c r="L550" s="30"/>
      <c r="M550" s="33"/>
      <c r="N550" s="30"/>
      <c r="O550" s="33"/>
      <c r="P550" s="34" t="str">
        <f t="shared" si="58"/>
        <v/>
      </c>
      <c r="Q550" s="35" t="str">
        <f t="shared" si="59"/>
        <v/>
      </c>
      <c r="R550" s="35" t="str">
        <f t="shared" si="63"/>
        <v/>
      </c>
      <c r="S550" s="29" t="str">
        <f t="shared" si="60"/>
        <v/>
      </c>
      <c r="T550" s="13" t="str">
        <f t="shared" ca="1" si="61"/>
        <v/>
      </c>
      <c r="U550" s="29" t="str">
        <f ca="1">IF(OR($A550="",$F550=""),"",IF($R550&lt;&gt;"",IF($R550&lt;=$F550,"NO PRAZO","FORA DO PRAZO"),IF(TODAY()&gt;$F550,"VENCIDO",IF($F550-TODAY()&lt;='01. CONFIGURAÇÕES'!$C$23,"VENCE EM BREVE","EM DIA"))))</f>
        <v/>
      </c>
      <c r="V550" s="55" t="str">
        <f t="shared" si="62"/>
        <v/>
      </c>
      <c r="W550" s="30"/>
      <c r="X550" s="33"/>
    </row>
    <row r="551" spans="1:24" x14ac:dyDescent="0.25">
      <c r="A551" s="29" t="str">
        <f t="shared" si="57"/>
        <v/>
      </c>
      <c r="B551" s="30"/>
      <c r="C551" s="30"/>
      <c r="D551" s="31"/>
      <c r="E551" s="10"/>
      <c r="F551" s="32" t="str">
        <f>IF($D551="","",$D551+IF($E551="",'01. CONFIGURAÇÕES'!$C$22,$E551))</f>
        <v/>
      </c>
      <c r="G551" s="30"/>
      <c r="H551" s="33"/>
      <c r="I551" s="33"/>
      <c r="J551" s="30"/>
      <c r="K551" s="33"/>
      <c r="L551" s="30"/>
      <c r="M551" s="33"/>
      <c r="N551" s="30"/>
      <c r="O551" s="33"/>
      <c r="P551" s="34" t="str">
        <f t="shared" si="58"/>
        <v/>
      </c>
      <c r="Q551" s="35" t="str">
        <f t="shared" si="59"/>
        <v/>
      </c>
      <c r="R551" s="35" t="str">
        <f t="shared" si="63"/>
        <v/>
      </c>
      <c r="S551" s="29" t="str">
        <f t="shared" si="60"/>
        <v/>
      </c>
      <c r="T551" s="13" t="str">
        <f t="shared" ca="1" si="61"/>
        <v/>
      </c>
      <c r="U551" s="29" t="str">
        <f ca="1">IF(OR($A551="",$F551=""),"",IF($R551&lt;&gt;"",IF($R551&lt;=$F551,"NO PRAZO","FORA DO PRAZO"),IF(TODAY()&gt;$F551,"VENCIDO",IF($F551-TODAY()&lt;='01. CONFIGURAÇÕES'!$C$23,"VENCE EM BREVE","EM DIA"))))</f>
        <v/>
      </c>
      <c r="V551" s="55" t="str">
        <f t="shared" si="62"/>
        <v/>
      </c>
      <c r="W551" s="30"/>
      <c r="X551" s="33"/>
    </row>
    <row r="552" spans="1:24" x14ac:dyDescent="0.25">
      <c r="A552" s="29" t="str">
        <f t="shared" si="57"/>
        <v/>
      </c>
      <c r="B552" s="30"/>
      <c r="C552" s="30"/>
      <c r="D552" s="31"/>
      <c r="E552" s="10"/>
      <c r="F552" s="32" t="str">
        <f>IF($D552="","",$D552+IF($E552="",'01. CONFIGURAÇÕES'!$C$22,$E552))</f>
        <v/>
      </c>
      <c r="G552" s="30"/>
      <c r="H552" s="33"/>
      <c r="I552" s="33"/>
      <c r="J552" s="30"/>
      <c r="K552" s="33"/>
      <c r="L552" s="30"/>
      <c r="M552" s="33"/>
      <c r="N552" s="30"/>
      <c r="O552" s="33"/>
      <c r="P552" s="34" t="str">
        <f t="shared" si="58"/>
        <v/>
      </c>
      <c r="Q552" s="35" t="str">
        <f t="shared" si="59"/>
        <v/>
      </c>
      <c r="R552" s="35" t="str">
        <f t="shared" si="63"/>
        <v/>
      </c>
      <c r="S552" s="29" t="str">
        <f t="shared" si="60"/>
        <v/>
      </c>
      <c r="T552" s="13" t="str">
        <f t="shared" ca="1" si="61"/>
        <v/>
      </c>
      <c r="U552" s="29" t="str">
        <f ca="1">IF(OR($A552="",$F552=""),"",IF($R552&lt;&gt;"",IF($R552&lt;=$F552,"NO PRAZO","FORA DO PRAZO"),IF(TODAY()&gt;$F552,"VENCIDO",IF($F552-TODAY()&lt;='01. CONFIGURAÇÕES'!$C$23,"VENCE EM BREVE","EM DIA"))))</f>
        <v/>
      </c>
      <c r="V552" s="55" t="str">
        <f t="shared" si="62"/>
        <v/>
      </c>
      <c r="W552" s="30"/>
      <c r="X552" s="33"/>
    </row>
    <row r="553" spans="1:24" x14ac:dyDescent="0.25">
      <c r="A553" s="29" t="str">
        <f t="shared" si="57"/>
        <v/>
      </c>
      <c r="B553" s="30"/>
      <c r="C553" s="30"/>
      <c r="D553" s="31"/>
      <c r="E553" s="10"/>
      <c r="F553" s="32" t="str">
        <f>IF($D553="","",$D553+IF($E553="",'01. CONFIGURAÇÕES'!$C$22,$E553))</f>
        <v/>
      </c>
      <c r="G553" s="30"/>
      <c r="H553" s="33"/>
      <c r="I553" s="33"/>
      <c r="J553" s="30"/>
      <c r="K553" s="33"/>
      <c r="L553" s="30"/>
      <c r="M553" s="33"/>
      <c r="N553" s="30"/>
      <c r="O553" s="33"/>
      <c r="P553" s="34" t="str">
        <f t="shared" si="58"/>
        <v/>
      </c>
      <c r="Q553" s="35" t="str">
        <f t="shared" si="59"/>
        <v/>
      </c>
      <c r="R553" s="35" t="str">
        <f t="shared" si="63"/>
        <v/>
      </c>
      <c r="S553" s="29" t="str">
        <f t="shared" si="60"/>
        <v/>
      </c>
      <c r="T553" s="13" t="str">
        <f t="shared" ca="1" si="61"/>
        <v/>
      </c>
      <c r="U553" s="29" t="str">
        <f ca="1">IF(OR($A553="",$F553=""),"",IF($R553&lt;&gt;"",IF($R553&lt;=$F553,"NO PRAZO","FORA DO PRAZO"),IF(TODAY()&gt;$F553,"VENCIDO",IF($F553-TODAY()&lt;='01. CONFIGURAÇÕES'!$C$23,"VENCE EM BREVE","EM DIA"))))</f>
        <v/>
      </c>
      <c r="V553" s="55" t="str">
        <f t="shared" si="62"/>
        <v/>
      </c>
      <c r="W553" s="30"/>
      <c r="X553" s="33"/>
    </row>
    <row r="554" spans="1:24" x14ac:dyDescent="0.25">
      <c r="A554" s="29" t="str">
        <f t="shared" si="57"/>
        <v/>
      </c>
      <c r="B554" s="30"/>
      <c r="C554" s="30"/>
      <c r="D554" s="31"/>
      <c r="E554" s="10"/>
      <c r="F554" s="32" t="str">
        <f>IF($D554="","",$D554+IF($E554="",'01. CONFIGURAÇÕES'!$C$22,$E554))</f>
        <v/>
      </c>
      <c r="G554" s="30"/>
      <c r="H554" s="33"/>
      <c r="I554" s="33"/>
      <c r="J554" s="30"/>
      <c r="K554" s="33"/>
      <c r="L554" s="30"/>
      <c r="M554" s="33"/>
      <c r="N554" s="30"/>
      <c r="O554" s="33"/>
      <c r="P554" s="34" t="str">
        <f t="shared" si="58"/>
        <v/>
      </c>
      <c r="Q554" s="35" t="str">
        <f t="shared" si="59"/>
        <v/>
      </c>
      <c r="R554" s="35" t="str">
        <f t="shared" si="63"/>
        <v/>
      </c>
      <c r="S554" s="29" t="str">
        <f t="shared" si="60"/>
        <v/>
      </c>
      <c r="T554" s="13" t="str">
        <f t="shared" ca="1" si="61"/>
        <v/>
      </c>
      <c r="U554" s="29" t="str">
        <f ca="1">IF(OR($A554="",$F554=""),"",IF($R554&lt;&gt;"",IF($R554&lt;=$F554,"NO PRAZO","FORA DO PRAZO"),IF(TODAY()&gt;$F554,"VENCIDO",IF($F554-TODAY()&lt;='01. CONFIGURAÇÕES'!$C$23,"VENCE EM BREVE","EM DIA"))))</f>
        <v/>
      </c>
      <c r="V554" s="55" t="str">
        <f t="shared" si="62"/>
        <v/>
      </c>
      <c r="W554" s="30"/>
      <c r="X554" s="33"/>
    </row>
    <row r="555" spans="1:24" x14ac:dyDescent="0.25">
      <c r="A555" s="29" t="str">
        <f t="shared" si="57"/>
        <v/>
      </c>
      <c r="B555" s="30"/>
      <c r="C555" s="30"/>
      <c r="D555" s="31"/>
      <c r="E555" s="10"/>
      <c r="F555" s="32" t="str">
        <f>IF($D555="","",$D555+IF($E555="",'01. CONFIGURAÇÕES'!$C$22,$E555))</f>
        <v/>
      </c>
      <c r="G555" s="30"/>
      <c r="H555" s="33"/>
      <c r="I555" s="33"/>
      <c r="J555" s="30"/>
      <c r="K555" s="33"/>
      <c r="L555" s="30"/>
      <c r="M555" s="33"/>
      <c r="N555" s="30"/>
      <c r="O555" s="33"/>
      <c r="P555" s="34" t="str">
        <f t="shared" si="58"/>
        <v/>
      </c>
      <c r="Q555" s="35" t="str">
        <f t="shared" si="59"/>
        <v/>
      </c>
      <c r="R555" s="35" t="str">
        <f t="shared" si="63"/>
        <v/>
      </c>
      <c r="S555" s="29" t="str">
        <f t="shared" si="60"/>
        <v/>
      </c>
      <c r="T555" s="13" t="str">
        <f t="shared" ca="1" si="61"/>
        <v/>
      </c>
      <c r="U555" s="29" t="str">
        <f ca="1">IF(OR($A555="",$F555=""),"",IF($R555&lt;&gt;"",IF($R555&lt;=$F555,"NO PRAZO","FORA DO PRAZO"),IF(TODAY()&gt;$F555,"VENCIDO",IF($F555-TODAY()&lt;='01. CONFIGURAÇÕES'!$C$23,"VENCE EM BREVE","EM DIA"))))</f>
        <v/>
      </c>
      <c r="V555" s="55" t="str">
        <f t="shared" si="62"/>
        <v/>
      </c>
      <c r="W555" s="30"/>
      <c r="X555" s="33"/>
    </row>
    <row r="556" spans="1:24" x14ac:dyDescent="0.25">
      <c r="A556" s="29" t="str">
        <f t="shared" si="57"/>
        <v/>
      </c>
      <c r="B556" s="30"/>
      <c r="C556" s="30"/>
      <c r="D556" s="31"/>
      <c r="E556" s="10"/>
      <c r="F556" s="32" t="str">
        <f>IF($D556="","",$D556+IF($E556="",'01. CONFIGURAÇÕES'!$C$22,$E556))</f>
        <v/>
      </c>
      <c r="G556" s="30"/>
      <c r="H556" s="33"/>
      <c r="I556" s="33"/>
      <c r="J556" s="30"/>
      <c r="K556" s="33"/>
      <c r="L556" s="30"/>
      <c r="M556" s="33"/>
      <c r="N556" s="30"/>
      <c r="O556" s="33"/>
      <c r="P556" s="34" t="str">
        <f t="shared" si="58"/>
        <v/>
      </c>
      <c r="Q556" s="35" t="str">
        <f t="shared" si="59"/>
        <v/>
      </c>
      <c r="R556" s="35" t="str">
        <f t="shared" si="63"/>
        <v/>
      </c>
      <c r="S556" s="29" t="str">
        <f t="shared" si="60"/>
        <v/>
      </c>
      <c r="T556" s="13" t="str">
        <f t="shared" ca="1" si="61"/>
        <v/>
      </c>
      <c r="U556" s="29" t="str">
        <f ca="1">IF(OR($A556="",$F556=""),"",IF($R556&lt;&gt;"",IF($R556&lt;=$F556,"NO PRAZO","FORA DO PRAZO"),IF(TODAY()&gt;$F556,"VENCIDO",IF($F556-TODAY()&lt;='01. CONFIGURAÇÕES'!$C$23,"VENCE EM BREVE","EM DIA"))))</f>
        <v/>
      </c>
      <c r="V556" s="55" t="str">
        <f t="shared" si="62"/>
        <v/>
      </c>
      <c r="W556" s="30"/>
      <c r="X556" s="33"/>
    </row>
    <row r="557" spans="1:24" x14ac:dyDescent="0.25">
      <c r="A557" s="29" t="str">
        <f t="shared" si="57"/>
        <v/>
      </c>
      <c r="B557" s="30"/>
      <c r="C557" s="30"/>
      <c r="D557" s="31"/>
      <c r="E557" s="10"/>
      <c r="F557" s="32" t="str">
        <f>IF($D557="","",$D557+IF($E557="",'01. CONFIGURAÇÕES'!$C$22,$E557))</f>
        <v/>
      </c>
      <c r="G557" s="30"/>
      <c r="H557" s="33"/>
      <c r="I557" s="33"/>
      <c r="J557" s="30"/>
      <c r="K557" s="33"/>
      <c r="L557" s="30"/>
      <c r="M557" s="33"/>
      <c r="N557" s="30"/>
      <c r="O557" s="33"/>
      <c r="P557" s="34" t="str">
        <f t="shared" si="58"/>
        <v/>
      </c>
      <c r="Q557" s="35" t="str">
        <f t="shared" si="59"/>
        <v/>
      </c>
      <c r="R557" s="35" t="str">
        <f t="shared" si="63"/>
        <v/>
      </c>
      <c r="S557" s="29" t="str">
        <f t="shared" si="60"/>
        <v/>
      </c>
      <c r="T557" s="13" t="str">
        <f t="shared" ca="1" si="61"/>
        <v/>
      </c>
      <c r="U557" s="29" t="str">
        <f ca="1">IF(OR($A557="",$F557=""),"",IF($R557&lt;&gt;"",IF($R557&lt;=$F557,"NO PRAZO","FORA DO PRAZO"),IF(TODAY()&gt;$F557,"VENCIDO",IF($F557-TODAY()&lt;='01. CONFIGURAÇÕES'!$C$23,"VENCE EM BREVE","EM DIA"))))</f>
        <v/>
      </c>
      <c r="V557" s="55" t="str">
        <f t="shared" si="62"/>
        <v/>
      </c>
      <c r="W557" s="30"/>
      <c r="X557" s="33"/>
    </row>
    <row r="558" spans="1:24" x14ac:dyDescent="0.25">
      <c r="A558" s="29" t="str">
        <f t="shared" si="57"/>
        <v/>
      </c>
      <c r="B558" s="30"/>
      <c r="C558" s="30"/>
      <c r="D558" s="31"/>
      <c r="E558" s="10"/>
      <c r="F558" s="32" t="str">
        <f>IF($D558="","",$D558+IF($E558="",'01. CONFIGURAÇÕES'!$C$22,$E558))</f>
        <v/>
      </c>
      <c r="G558" s="30"/>
      <c r="H558" s="33"/>
      <c r="I558" s="33"/>
      <c r="J558" s="30"/>
      <c r="K558" s="33"/>
      <c r="L558" s="30"/>
      <c r="M558" s="33"/>
      <c r="N558" s="30"/>
      <c r="O558" s="33"/>
      <c r="P558" s="34" t="str">
        <f t="shared" si="58"/>
        <v/>
      </c>
      <c r="Q558" s="35" t="str">
        <f t="shared" si="59"/>
        <v/>
      </c>
      <c r="R558" s="35" t="str">
        <f t="shared" si="63"/>
        <v/>
      </c>
      <c r="S558" s="29" t="str">
        <f t="shared" si="60"/>
        <v/>
      </c>
      <c r="T558" s="13" t="str">
        <f t="shared" ca="1" si="61"/>
        <v/>
      </c>
      <c r="U558" s="29" t="str">
        <f ca="1">IF(OR($A558="",$F558=""),"",IF($R558&lt;&gt;"",IF($R558&lt;=$F558,"NO PRAZO","FORA DO PRAZO"),IF(TODAY()&gt;$F558,"VENCIDO",IF($F558-TODAY()&lt;='01. CONFIGURAÇÕES'!$C$23,"VENCE EM BREVE","EM DIA"))))</f>
        <v/>
      </c>
      <c r="V558" s="55" t="str">
        <f t="shared" si="62"/>
        <v/>
      </c>
      <c r="W558" s="30"/>
      <c r="X558" s="33"/>
    </row>
    <row r="559" spans="1:24" x14ac:dyDescent="0.25">
      <c r="A559" s="29" t="str">
        <f t="shared" si="57"/>
        <v/>
      </c>
      <c r="B559" s="30"/>
      <c r="C559" s="30"/>
      <c r="D559" s="31"/>
      <c r="E559" s="10"/>
      <c r="F559" s="32" t="str">
        <f>IF($D559="","",$D559+IF($E559="",'01. CONFIGURAÇÕES'!$C$22,$E559))</f>
        <v/>
      </c>
      <c r="G559" s="30"/>
      <c r="H559" s="33"/>
      <c r="I559" s="33"/>
      <c r="J559" s="30"/>
      <c r="K559" s="33"/>
      <c r="L559" s="30"/>
      <c r="M559" s="33"/>
      <c r="N559" s="30"/>
      <c r="O559" s="33"/>
      <c r="P559" s="34" t="str">
        <f t="shared" si="58"/>
        <v/>
      </c>
      <c r="Q559" s="35" t="str">
        <f t="shared" si="59"/>
        <v/>
      </c>
      <c r="R559" s="35" t="str">
        <f t="shared" si="63"/>
        <v/>
      </c>
      <c r="S559" s="29" t="str">
        <f t="shared" si="60"/>
        <v/>
      </c>
      <c r="T559" s="13" t="str">
        <f t="shared" ca="1" si="61"/>
        <v/>
      </c>
      <c r="U559" s="29" t="str">
        <f ca="1">IF(OR($A559="",$F559=""),"",IF($R559&lt;&gt;"",IF($R559&lt;=$F559,"NO PRAZO","FORA DO PRAZO"),IF(TODAY()&gt;$F559,"VENCIDO",IF($F559-TODAY()&lt;='01. CONFIGURAÇÕES'!$C$23,"VENCE EM BREVE","EM DIA"))))</f>
        <v/>
      </c>
      <c r="V559" s="55" t="str">
        <f t="shared" si="62"/>
        <v/>
      </c>
      <c r="W559" s="30"/>
      <c r="X559" s="33"/>
    </row>
    <row r="560" spans="1:24" x14ac:dyDescent="0.25">
      <c r="A560" s="29" t="str">
        <f t="shared" si="57"/>
        <v/>
      </c>
      <c r="B560" s="30"/>
      <c r="C560" s="30"/>
      <c r="D560" s="31"/>
      <c r="E560" s="10"/>
      <c r="F560" s="32" t="str">
        <f>IF($D560="","",$D560+IF($E560="",'01. CONFIGURAÇÕES'!$C$22,$E560))</f>
        <v/>
      </c>
      <c r="G560" s="30"/>
      <c r="H560" s="33"/>
      <c r="I560" s="33"/>
      <c r="J560" s="30"/>
      <c r="K560" s="33"/>
      <c r="L560" s="30"/>
      <c r="M560" s="33"/>
      <c r="N560" s="30"/>
      <c r="O560" s="33"/>
      <c r="P560" s="34" t="str">
        <f t="shared" si="58"/>
        <v/>
      </c>
      <c r="Q560" s="35" t="str">
        <f t="shared" si="59"/>
        <v/>
      </c>
      <c r="R560" s="35" t="str">
        <f t="shared" si="63"/>
        <v/>
      </c>
      <c r="S560" s="29" t="str">
        <f t="shared" si="60"/>
        <v/>
      </c>
      <c r="T560" s="13" t="str">
        <f t="shared" ca="1" si="61"/>
        <v/>
      </c>
      <c r="U560" s="29" t="str">
        <f ca="1">IF(OR($A560="",$F560=""),"",IF($R560&lt;&gt;"",IF($R560&lt;=$F560,"NO PRAZO","FORA DO PRAZO"),IF(TODAY()&gt;$F560,"VENCIDO",IF($F560-TODAY()&lt;='01. CONFIGURAÇÕES'!$C$23,"VENCE EM BREVE","EM DIA"))))</f>
        <v/>
      </c>
      <c r="V560" s="55" t="str">
        <f t="shared" si="62"/>
        <v/>
      </c>
      <c r="W560" s="30"/>
      <c r="X560" s="33"/>
    </row>
    <row r="561" spans="1:24" x14ac:dyDescent="0.25">
      <c r="A561" s="29" t="str">
        <f t="shared" si="57"/>
        <v/>
      </c>
      <c r="B561" s="30"/>
      <c r="C561" s="30"/>
      <c r="D561" s="31"/>
      <c r="E561" s="10"/>
      <c r="F561" s="32" t="str">
        <f>IF($D561="","",$D561+IF($E561="",'01. CONFIGURAÇÕES'!$C$22,$E561))</f>
        <v/>
      </c>
      <c r="G561" s="30"/>
      <c r="H561" s="33"/>
      <c r="I561" s="33"/>
      <c r="J561" s="30"/>
      <c r="K561" s="33"/>
      <c r="L561" s="30"/>
      <c r="M561" s="33"/>
      <c r="N561" s="30"/>
      <c r="O561" s="33"/>
      <c r="P561" s="34" t="str">
        <f t="shared" si="58"/>
        <v/>
      </c>
      <c r="Q561" s="35" t="str">
        <f t="shared" si="59"/>
        <v/>
      </c>
      <c r="R561" s="35" t="str">
        <f t="shared" si="63"/>
        <v/>
      </c>
      <c r="S561" s="29" t="str">
        <f t="shared" si="60"/>
        <v/>
      </c>
      <c r="T561" s="13" t="str">
        <f t="shared" ca="1" si="61"/>
        <v/>
      </c>
      <c r="U561" s="29" t="str">
        <f ca="1">IF(OR($A561="",$F561=""),"",IF($R561&lt;&gt;"",IF($R561&lt;=$F561,"NO PRAZO","FORA DO PRAZO"),IF(TODAY()&gt;$F561,"VENCIDO",IF($F561-TODAY()&lt;='01. CONFIGURAÇÕES'!$C$23,"VENCE EM BREVE","EM DIA"))))</f>
        <v/>
      </c>
      <c r="V561" s="55" t="str">
        <f t="shared" si="62"/>
        <v/>
      </c>
      <c r="W561" s="30"/>
      <c r="X561" s="33"/>
    </row>
    <row r="562" spans="1:24" x14ac:dyDescent="0.25">
      <c r="A562" s="29" t="str">
        <f t="shared" si="57"/>
        <v/>
      </c>
      <c r="B562" s="30"/>
      <c r="C562" s="30"/>
      <c r="D562" s="31"/>
      <c r="E562" s="10"/>
      <c r="F562" s="32" t="str">
        <f>IF($D562="","",$D562+IF($E562="",'01. CONFIGURAÇÕES'!$C$22,$E562))</f>
        <v/>
      </c>
      <c r="G562" s="30"/>
      <c r="H562" s="33"/>
      <c r="I562" s="33"/>
      <c r="J562" s="30"/>
      <c r="K562" s="33"/>
      <c r="L562" s="30"/>
      <c r="M562" s="33"/>
      <c r="N562" s="30"/>
      <c r="O562" s="33"/>
      <c r="P562" s="34" t="str">
        <f t="shared" si="58"/>
        <v/>
      </c>
      <c r="Q562" s="35" t="str">
        <f t="shared" si="59"/>
        <v/>
      </c>
      <c r="R562" s="35" t="str">
        <f t="shared" si="63"/>
        <v/>
      </c>
      <c r="S562" s="29" t="str">
        <f t="shared" si="60"/>
        <v/>
      </c>
      <c r="T562" s="13" t="str">
        <f t="shared" ca="1" si="61"/>
        <v/>
      </c>
      <c r="U562" s="29" t="str">
        <f ca="1">IF(OR($A562="",$F562=""),"",IF($R562&lt;&gt;"",IF($R562&lt;=$F562,"NO PRAZO","FORA DO PRAZO"),IF(TODAY()&gt;$F562,"VENCIDO",IF($F562-TODAY()&lt;='01. CONFIGURAÇÕES'!$C$23,"VENCE EM BREVE","EM DIA"))))</f>
        <v/>
      </c>
      <c r="V562" s="55" t="str">
        <f t="shared" si="62"/>
        <v/>
      </c>
      <c r="W562" s="30"/>
      <c r="X562" s="33"/>
    </row>
    <row r="563" spans="1:24" x14ac:dyDescent="0.25">
      <c r="A563" s="29" t="str">
        <f t="shared" si="57"/>
        <v/>
      </c>
      <c r="B563" s="30"/>
      <c r="C563" s="30"/>
      <c r="D563" s="31"/>
      <c r="E563" s="10"/>
      <c r="F563" s="32" t="str">
        <f>IF($D563="","",$D563+IF($E563="",'01. CONFIGURAÇÕES'!$C$22,$E563))</f>
        <v/>
      </c>
      <c r="G563" s="30"/>
      <c r="H563" s="33"/>
      <c r="I563" s="33"/>
      <c r="J563" s="30"/>
      <c r="K563" s="33"/>
      <c r="L563" s="30"/>
      <c r="M563" s="33"/>
      <c r="N563" s="30"/>
      <c r="O563" s="33"/>
      <c r="P563" s="34" t="str">
        <f t="shared" si="58"/>
        <v/>
      </c>
      <c r="Q563" s="35" t="str">
        <f t="shared" si="59"/>
        <v/>
      </c>
      <c r="R563" s="35" t="str">
        <f t="shared" si="63"/>
        <v/>
      </c>
      <c r="S563" s="29" t="str">
        <f t="shared" si="60"/>
        <v/>
      </c>
      <c r="T563" s="13" t="str">
        <f t="shared" ca="1" si="61"/>
        <v/>
      </c>
      <c r="U563" s="29" t="str">
        <f ca="1">IF(OR($A563="",$F563=""),"",IF($R563&lt;&gt;"",IF($R563&lt;=$F563,"NO PRAZO","FORA DO PRAZO"),IF(TODAY()&gt;$F563,"VENCIDO",IF($F563-TODAY()&lt;='01. CONFIGURAÇÕES'!$C$23,"VENCE EM BREVE","EM DIA"))))</f>
        <v/>
      </c>
      <c r="V563" s="55" t="str">
        <f t="shared" si="62"/>
        <v/>
      </c>
      <c r="W563" s="30"/>
      <c r="X563" s="33"/>
    </row>
    <row r="564" spans="1:24" x14ac:dyDescent="0.25">
      <c r="A564" s="29" t="str">
        <f t="shared" si="57"/>
        <v/>
      </c>
      <c r="B564" s="30"/>
      <c r="C564" s="30"/>
      <c r="D564" s="31"/>
      <c r="E564" s="10"/>
      <c r="F564" s="32" t="str">
        <f>IF($D564="","",$D564+IF($E564="",'01. CONFIGURAÇÕES'!$C$22,$E564))</f>
        <v/>
      </c>
      <c r="G564" s="30"/>
      <c r="H564" s="33"/>
      <c r="I564" s="33"/>
      <c r="J564" s="30"/>
      <c r="K564" s="33"/>
      <c r="L564" s="30"/>
      <c r="M564" s="33"/>
      <c r="N564" s="30"/>
      <c r="O564" s="33"/>
      <c r="P564" s="34" t="str">
        <f t="shared" si="58"/>
        <v/>
      </c>
      <c r="Q564" s="35" t="str">
        <f t="shared" si="59"/>
        <v/>
      </c>
      <c r="R564" s="35" t="str">
        <f t="shared" si="63"/>
        <v/>
      </c>
      <c r="S564" s="29" t="str">
        <f t="shared" si="60"/>
        <v/>
      </c>
      <c r="T564" s="13" t="str">
        <f t="shared" ca="1" si="61"/>
        <v/>
      </c>
      <c r="U564" s="29" t="str">
        <f ca="1">IF(OR($A564="",$F564=""),"",IF($R564&lt;&gt;"",IF($R564&lt;=$F564,"NO PRAZO","FORA DO PRAZO"),IF(TODAY()&gt;$F564,"VENCIDO",IF($F564-TODAY()&lt;='01. CONFIGURAÇÕES'!$C$23,"VENCE EM BREVE","EM DIA"))))</f>
        <v/>
      </c>
      <c r="V564" s="55" t="str">
        <f t="shared" si="62"/>
        <v/>
      </c>
      <c r="W564" s="30"/>
      <c r="X564" s="33"/>
    </row>
    <row r="565" spans="1:24" x14ac:dyDescent="0.25">
      <c r="A565" s="29" t="str">
        <f t="shared" si="57"/>
        <v/>
      </c>
      <c r="B565" s="30"/>
      <c r="C565" s="30"/>
      <c r="D565" s="31"/>
      <c r="E565" s="10"/>
      <c r="F565" s="32" t="str">
        <f>IF($D565="","",$D565+IF($E565="",'01. CONFIGURAÇÕES'!$C$22,$E565))</f>
        <v/>
      </c>
      <c r="G565" s="30"/>
      <c r="H565" s="33"/>
      <c r="I565" s="33"/>
      <c r="J565" s="30"/>
      <c r="K565" s="33"/>
      <c r="L565" s="30"/>
      <c r="M565" s="33"/>
      <c r="N565" s="30"/>
      <c r="O565" s="33"/>
      <c r="P565" s="34" t="str">
        <f t="shared" si="58"/>
        <v/>
      </c>
      <c r="Q565" s="35" t="str">
        <f t="shared" si="59"/>
        <v/>
      </c>
      <c r="R565" s="35" t="str">
        <f t="shared" si="63"/>
        <v/>
      </c>
      <c r="S565" s="29" t="str">
        <f t="shared" si="60"/>
        <v/>
      </c>
      <c r="T565" s="13" t="str">
        <f t="shared" ca="1" si="61"/>
        <v/>
      </c>
      <c r="U565" s="29" t="str">
        <f ca="1">IF(OR($A565="",$F565=""),"",IF($R565&lt;&gt;"",IF($R565&lt;=$F565,"NO PRAZO","FORA DO PRAZO"),IF(TODAY()&gt;$F565,"VENCIDO",IF($F565-TODAY()&lt;='01. CONFIGURAÇÕES'!$C$23,"VENCE EM BREVE","EM DIA"))))</f>
        <v/>
      </c>
      <c r="V565" s="55" t="str">
        <f t="shared" si="62"/>
        <v/>
      </c>
      <c r="W565" s="30"/>
      <c r="X565" s="33"/>
    </row>
    <row r="566" spans="1:24" x14ac:dyDescent="0.25">
      <c r="A566" s="29" t="str">
        <f t="shared" si="57"/>
        <v/>
      </c>
      <c r="B566" s="30"/>
      <c r="C566" s="30"/>
      <c r="D566" s="31"/>
      <c r="E566" s="10"/>
      <c r="F566" s="32" t="str">
        <f>IF($D566="","",$D566+IF($E566="",'01. CONFIGURAÇÕES'!$C$22,$E566))</f>
        <v/>
      </c>
      <c r="G566" s="30"/>
      <c r="H566" s="33"/>
      <c r="I566" s="33"/>
      <c r="J566" s="30"/>
      <c r="K566" s="33"/>
      <c r="L566" s="30"/>
      <c r="M566" s="33"/>
      <c r="N566" s="30"/>
      <c r="O566" s="33"/>
      <c r="P566" s="34" t="str">
        <f t="shared" si="58"/>
        <v/>
      </c>
      <c r="Q566" s="35" t="str">
        <f t="shared" si="59"/>
        <v/>
      </c>
      <c r="R566" s="35" t="str">
        <f t="shared" si="63"/>
        <v/>
      </c>
      <c r="S566" s="29" t="str">
        <f t="shared" si="60"/>
        <v/>
      </c>
      <c r="T566" s="13" t="str">
        <f t="shared" ca="1" si="61"/>
        <v/>
      </c>
      <c r="U566" s="29" t="str">
        <f ca="1">IF(OR($A566="",$F566=""),"",IF($R566&lt;&gt;"",IF($R566&lt;=$F566,"NO PRAZO","FORA DO PRAZO"),IF(TODAY()&gt;$F566,"VENCIDO",IF($F566-TODAY()&lt;='01. CONFIGURAÇÕES'!$C$23,"VENCE EM BREVE","EM DIA"))))</f>
        <v/>
      </c>
      <c r="V566" s="55" t="str">
        <f t="shared" si="62"/>
        <v/>
      </c>
      <c r="W566" s="30"/>
      <c r="X566" s="33"/>
    </row>
    <row r="567" spans="1:24" x14ac:dyDescent="0.25">
      <c r="A567" s="29" t="str">
        <f t="shared" si="57"/>
        <v/>
      </c>
      <c r="B567" s="30"/>
      <c r="C567" s="30"/>
      <c r="D567" s="31"/>
      <c r="E567" s="10"/>
      <c r="F567" s="32" t="str">
        <f>IF($D567="","",$D567+IF($E567="",'01. CONFIGURAÇÕES'!$C$22,$E567))</f>
        <v/>
      </c>
      <c r="G567" s="30"/>
      <c r="H567" s="33"/>
      <c r="I567" s="33"/>
      <c r="J567" s="30"/>
      <c r="K567" s="33"/>
      <c r="L567" s="30"/>
      <c r="M567" s="33"/>
      <c r="N567" s="30"/>
      <c r="O567" s="33"/>
      <c r="P567" s="34" t="str">
        <f t="shared" si="58"/>
        <v/>
      </c>
      <c r="Q567" s="35" t="str">
        <f t="shared" si="59"/>
        <v/>
      </c>
      <c r="R567" s="35" t="str">
        <f t="shared" si="63"/>
        <v/>
      </c>
      <c r="S567" s="29" t="str">
        <f t="shared" si="60"/>
        <v/>
      </c>
      <c r="T567" s="13" t="str">
        <f t="shared" ca="1" si="61"/>
        <v/>
      </c>
      <c r="U567" s="29" t="str">
        <f ca="1">IF(OR($A567="",$F567=""),"",IF($R567&lt;&gt;"",IF($R567&lt;=$F567,"NO PRAZO","FORA DO PRAZO"),IF(TODAY()&gt;$F567,"VENCIDO",IF($F567-TODAY()&lt;='01. CONFIGURAÇÕES'!$C$23,"VENCE EM BREVE","EM DIA"))))</f>
        <v/>
      </c>
      <c r="V567" s="55" t="str">
        <f t="shared" si="62"/>
        <v/>
      </c>
      <c r="W567" s="30"/>
      <c r="X567" s="33"/>
    </row>
    <row r="568" spans="1:24" x14ac:dyDescent="0.25">
      <c r="A568" s="29" t="str">
        <f t="shared" si="57"/>
        <v/>
      </c>
      <c r="B568" s="30"/>
      <c r="C568" s="30"/>
      <c r="D568" s="31"/>
      <c r="E568" s="10"/>
      <c r="F568" s="32" t="str">
        <f>IF($D568="","",$D568+IF($E568="",'01. CONFIGURAÇÕES'!$C$22,$E568))</f>
        <v/>
      </c>
      <c r="G568" s="30"/>
      <c r="H568" s="33"/>
      <c r="I568" s="33"/>
      <c r="J568" s="30"/>
      <c r="K568" s="33"/>
      <c r="L568" s="30"/>
      <c r="M568" s="33"/>
      <c r="N568" s="30"/>
      <c r="O568" s="33"/>
      <c r="P568" s="34" t="str">
        <f t="shared" si="58"/>
        <v/>
      </c>
      <c r="Q568" s="35" t="str">
        <f t="shared" si="59"/>
        <v/>
      </c>
      <c r="R568" s="35" t="str">
        <f t="shared" si="63"/>
        <v/>
      </c>
      <c r="S568" s="29" t="str">
        <f t="shared" si="60"/>
        <v/>
      </c>
      <c r="T568" s="13" t="str">
        <f t="shared" ca="1" si="61"/>
        <v/>
      </c>
      <c r="U568" s="29" t="str">
        <f ca="1">IF(OR($A568="",$F568=""),"",IF($R568&lt;&gt;"",IF($R568&lt;=$F568,"NO PRAZO","FORA DO PRAZO"),IF(TODAY()&gt;$F568,"VENCIDO",IF($F568-TODAY()&lt;='01. CONFIGURAÇÕES'!$C$23,"VENCE EM BREVE","EM DIA"))))</f>
        <v/>
      </c>
      <c r="V568" s="55" t="str">
        <f t="shared" si="62"/>
        <v/>
      </c>
      <c r="W568" s="30"/>
      <c r="X568" s="33"/>
    </row>
    <row r="569" spans="1:24" x14ac:dyDescent="0.25">
      <c r="A569" s="29" t="str">
        <f t="shared" si="57"/>
        <v/>
      </c>
      <c r="B569" s="30"/>
      <c r="C569" s="30"/>
      <c r="D569" s="31"/>
      <c r="E569" s="10"/>
      <c r="F569" s="32" t="str">
        <f>IF($D569="","",$D569+IF($E569="",'01. CONFIGURAÇÕES'!$C$22,$E569))</f>
        <v/>
      </c>
      <c r="G569" s="30"/>
      <c r="H569" s="33"/>
      <c r="I569" s="33"/>
      <c r="J569" s="30"/>
      <c r="K569" s="33"/>
      <c r="L569" s="30"/>
      <c r="M569" s="33"/>
      <c r="N569" s="30"/>
      <c r="O569" s="33"/>
      <c r="P569" s="34" t="str">
        <f t="shared" si="58"/>
        <v/>
      </c>
      <c r="Q569" s="35" t="str">
        <f t="shared" si="59"/>
        <v/>
      </c>
      <c r="R569" s="35" t="str">
        <f t="shared" si="63"/>
        <v/>
      </c>
      <c r="S569" s="29" t="str">
        <f t="shared" si="60"/>
        <v/>
      </c>
      <c r="T569" s="13" t="str">
        <f t="shared" ca="1" si="61"/>
        <v/>
      </c>
      <c r="U569" s="29" t="str">
        <f ca="1">IF(OR($A569="",$F569=""),"",IF($R569&lt;&gt;"",IF($R569&lt;=$F569,"NO PRAZO","FORA DO PRAZO"),IF(TODAY()&gt;$F569,"VENCIDO",IF($F569-TODAY()&lt;='01. CONFIGURAÇÕES'!$C$23,"VENCE EM BREVE","EM DIA"))))</f>
        <v/>
      </c>
      <c r="V569" s="55" t="str">
        <f t="shared" si="62"/>
        <v/>
      </c>
      <c r="W569" s="30"/>
      <c r="X569" s="33"/>
    </row>
    <row r="570" spans="1:24" x14ac:dyDescent="0.25">
      <c r="A570" s="29" t="str">
        <f t="shared" si="57"/>
        <v/>
      </c>
      <c r="B570" s="30"/>
      <c r="C570" s="30"/>
      <c r="D570" s="31"/>
      <c r="E570" s="10"/>
      <c r="F570" s="32" t="str">
        <f>IF($D570="","",$D570+IF($E570="",'01. CONFIGURAÇÕES'!$C$22,$E570))</f>
        <v/>
      </c>
      <c r="G570" s="30"/>
      <c r="H570" s="33"/>
      <c r="I570" s="33"/>
      <c r="J570" s="30"/>
      <c r="K570" s="33"/>
      <c r="L570" s="30"/>
      <c r="M570" s="33"/>
      <c r="N570" s="30"/>
      <c r="O570" s="33"/>
      <c r="P570" s="34" t="str">
        <f t="shared" si="58"/>
        <v/>
      </c>
      <c r="Q570" s="35" t="str">
        <f t="shared" si="59"/>
        <v/>
      </c>
      <c r="R570" s="35" t="str">
        <f t="shared" si="63"/>
        <v/>
      </c>
      <c r="S570" s="29" t="str">
        <f t="shared" si="60"/>
        <v/>
      </c>
      <c r="T570" s="13" t="str">
        <f t="shared" ca="1" si="61"/>
        <v/>
      </c>
      <c r="U570" s="29" t="str">
        <f ca="1">IF(OR($A570="",$F570=""),"",IF($R570&lt;&gt;"",IF($R570&lt;=$F570,"NO PRAZO","FORA DO PRAZO"),IF(TODAY()&gt;$F570,"VENCIDO",IF($F570-TODAY()&lt;='01. CONFIGURAÇÕES'!$C$23,"VENCE EM BREVE","EM DIA"))))</f>
        <v/>
      </c>
      <c r="V570" s="55" t="str">
        <f t="shared" si="62"/>
        <v/>
      </c>
      <c r="W570" s="30"/>
      <c r="X570" s="33"/>
    </row>
    <row r="571" spans="1:24" x14ac:dyDescent="0.25">
      <c r="A571" s="29" t="str">
        <f t="shared" si="57"/>
        <v/>
      </c>
      <c r="B571" s="30"/>
      <c r="C571" s="30"/>
      <c r="D571" s="31"/>
      <c r="E571" s="10"/>
      <c r="F571" s="32" t="str">
        <f>IF($D571="","",$D571+IF($E571="",'01. CONFIGURAÇÕES'!$C$22,$E571))</f>
        <v/>
      </c>
      <c r="G571" s="30"/>
      <c r="H571" s="33"/>
      <c r="I571" s="33"/>
      <c r="J571" s="30"/>
      <c r="K571" s="33"/>
      <c r="L571" s="30"/>
      <c r="M571" s="33"/>
      <c r="N571" s="30"/>
      <c r="O571" s="33"/>
      <c r="P571" s="34" t="str">
        <f t="shared" si="58"/>
        <v/>
      </c>
      <c r="Q571" s="35" t="str">
        <f t="shared" si="59"/>
        <v/>
      </c>
      <c r="R571" s="35" t="str">
        <f t="shared" si="63"/>
        <v/>
      </c>
      <c r="S571" s="29" t="str">
        <f t="shared" si="60"/>
        <v/>
      </c>
      <c r="T571" s="13" t="str">
        <f t="shared" ca="1" si="61"/>
        <v/>
      </c>
      <c r="U571" s="29" t="str">
        <f ca="1">IF(OR($A571="",$F571=""),"",IF($R571&lt;&gt;"",IF($R571&lt;=$F571,"NO PRAZO","FORA DO PRAZO"),IF(TODAY()&gt;$F571,"VENCIDO",IF($F571-TODAY()&lt;='01. CONFIGURAÇÕES'!$C$23,"VENCE EM BREVE","EM DIA"))))</f>
        <v/>
      </c>
      <c r="V571" s="55" t="str">
        <f t="shared" si="62"/>
        <v/>
      </c>
      <c r="W571" s="30"/>
      <c r="X571" s="33"/>
    </row>
    <row r="572" spans="1:24" x14ac:dyDescent="0.25">
      <c r="A572" s="29" t="str">
        <f t="shared" si="57"/>
        <v/>
      </c>
      <c r="B572" s="30"/>
      <c r="C572" s="30"/>
      <c r="D572" s="31"/>
      <c r="E572" s="10"/>
      <c r="F572" s="32" t="str">
        <f>IF($D572="","",$D572+IF($E572="",'01. CONFIGURAÇÕES'!$C$22,$E572))</f>
        <v/>
      </c>
      <c r="G572" s="30"/>
      <c r="H572" s="33"/>
      <c r="I572" s="33"/>
      <c r="J572" s="30"/>
      <c r="K572" s="33"/>
      <c r="L572" s="30"/>
      <c r="M572" s="33"/>
      <c r="N572" s="30"/>
      <c r="O572" s="33"/>
      <c r="P572" s="34" t="str">
        <f t="shared" si="58"/>
        <v/>
      </c>
      <c r="Q572" s="35" t="str">
        <f t="shared" si="59"/>
        <v/>
      </c>
      <c r="R572" s="35" t="str">
        <f t="shared" si="63"/>
        <v/>
      </c>
      <c r="S572" s="29" t="str">
        <f t="shared" si="60"/>
        <v/>
      </c>
      <c r="T572" s="13" t="str">
        <f t="shared" ca="1" si="61"/>
        <v/>
      </c>
      <c r="U572" s="29" t="str">
        <f ca="1">IF(OR($A572="",$F572=""),"",IF($R572&lt;&gt;"",IF($R572&lt;=$F572,"NO PRAZO","FORA DO PRAZO"),IF(TODAY()&gt;$F572,"VENCIDO",IF($F572-TODAY()&lt;='01. CONFIGURAÇÕES'!$C$23,"VENCE EM BREVE","EM DIA"))))</f>
        <v/>
      </c>
      <c r="V572" s="55" t="str">
        <f t="shared" si="62"/>
        <v/>
      </c>
      <c r="W572" s="30"/>
      <c r="X572" s="33"/>
    </row>
    <row r="573" spans="1:24" x14ac:dyDescent="0.25">
      <c r="A573" s="29" t="str">
        <f t="shared" si="57"/>
        <v/>
      </c>
      <c r="B573" s="30"/>
      <c r="C573" s="30"/>
      <c r="D573" s="31"/>
      <c r="E573" s="10"/>
      <c r="F573" s="32" t="str">
        <f>IF($D573="","",$D573+IF($E573="",'01. CONFIGURAÇÕES'!$C$22,$E573))</f>
        <v/>
      </c>
      <c r="G573" s="30"/>
      <c r="H573" s="33"/>
      <c r="I573" s="33"/>
      <c r="J573" s="30"/>
      <c r="K573" s="33"/>
      <c r="L573" s="30"/>
      <c r="M573" s="33"/>
      <c r="N573" s="30"/>
      <c r="O573" s="33"/>
      <c r="P573" s="34" t="str">
        <f t="shared" si="58"/>
        <v/>
      </c>
      <c r="Q573" s="35" t="str">
        <f t="shared" si="59"/>
        <v/>
      </c>
      <c r="R573" s="35" t="str">
        <f t="shared" si="63"/>
        <v/>
      </c>
      <c r="S573" s="29" t="str">
        <f t="shared" si="60"/>
        <v/>
      </c>
      <c r="T573" s="13" t="str">
        <f t="shared" ca="1" si="61"/>
        <v/>
      </c>
      <c r="U573" s="29" t="str">
        <f ca="1">IF(OR($A573="",$F573=""),"",IF($R573&lt;&gt;"",IF($R573&lt;=$F573,"NO PRAZO","FORA DO PRAZO"),IF(TODAY()&gt;$F573,"VENCIDO",IF($F573-TODAY()&lt;='01. CONFIGURAÇÕES'!$C$23,"VENCE EM BREVE","EM DIA"))))</f>
        <v/>
      </c>
      <c r="V573" s="55" t="str">
        <f t="shared" si="62"/>
        <v/>
      </c>
      <c r="W573" s="30"/>
      <c r="X573" s="33"/>
    </row>
    <row r="574" spans="1:24" x14ac:dyDescent="0.25">
      <c r="A574" s="29" t="str">
        <f t="shared" si="57"/>
        <v/>
      </c>
      <c r="B574" s="30"/>
      <c r="C574" s="30"/>
      <c r="D574" s="31"/>
      <c r="E574" s="10"/>
      <c r="F574" s="32" t="str">
        <f>IF($D574="","",$D574+IF($E574="",'01. CONFIGURAÇÕES'!$C$22,$E574))</f>
        <v/>
      </c>
      <c r="G574" s="30"/>
      <c r="H574" s="33"/>
      <c r="I574" s="33"/>
      <c r="J574" s="30"/>
      <c r="K574" s="33"/>
      <c r="L574" s="30"/>
      <c r="M574" s="33"/>
      <c r="N574" s="30"/>
      <c r="O574" s="33"/>
      <c r="P574" s="34" t="str">
        <f t="shared" si="58"/>
        <v/>
      </c>
      <c r="Q574" s="35" t="str">
        <f t="shared" si="59"/>
        <v/>
      </c>
      <c r="R574" s="35" t="str">
        <f t="shared" si="63"/>
        <v/>
      </c>
      <c r="S574" s="29" t="str">
        <f t="shared" si="60"/>
        <v/>
      </c>
      <c r="T574" s="13" t="str">
        <f t="shared" ca="1" si="61"/>
        <v/>
      </c>
      <c r="U574" s="29" t="str">
        <f ca="1">IF(OR($A574="",$F574=""),"",IF($R574&lt;&gt;"",IF($R574&lt;=$F574,"NO PRAZO","FORA DO PRAZO"),IF(TODAY()&gt;$F574,"VENCIDO",IF($F574-TODAY()&lt;='01. CONFIGURAÇÕES'!$C$23,"VENCE EM BREVE","EM DIA"))))</f>
        <v/>
      </c>
      <c r="V574" s="55" t="str">
        <f t="shared" si="62"/>
        <v/>
      </c>
      <c r="W574" s="30"/>
      <c r="X574" s="33"/>
    </row>
    <row r="575" spans="1:24" x14ac:dyDescent="0.25">
      <c r="A575" s="29" t="str">
        <f t="shared" si="57"/>
        <v/>
      </c>
      <c r="B575" s="30"/>
      <c r="C575" s="30"/>
      <c r="D575" s="31"/>
      <c r="E575" s="10"/>
      <c r="F575" s="32" t="str">
        <f>IF($D575="","",$D575+IF($E575="",'01. CONFIGURAÇÕES'!$C$22,$E575))</f>
        <v/>
      </c>
      <c r="G575" s="30"/>
      <c r="H575" s="33"/>
      <c r="I575" s="33"/>
      <c r="J575" s="30"/>
      <c r="K575" s="33"/>
      <c r="L575" s="30"/>
      <c r="M575" s="33"/>
      <c r="N575" s="30"/>
      <c r="O575" s="33"/>
      <c r="P575" s="34" t="str">
        <f t="shared" si="58"/>
        <v/>
      </c>
      <c r="Q575" s="35" t="str">
        <f t="shared" si="59"/>
        <v/>
      </c>
      <c r="R575" s="35" t="str">
        <f t="shared" si="63"/>
        <v/>
      </c>
      <c r="S575" s="29" t="str">
        <f t="shared" si="60"/>
        <v/>
      </c>
      <c r="T575" s="13" t="str">
        <f t="shared" ca="1" si="61"/>
        <v/>
      </c>
      <c r="U575" s="29" t="str">
        <f ca="1">IF(OR($A575="",$F575=""),"",IF($R575&lt;&gt;"",IF($R575&lt;=$F575,"NO PRAZO","FORA DO PRAZO"),IF(TODAY()&gt;$F575,"VENCIDO",IF($F575-TODAY()&lt;='01. CONFIGURAÇÕES'!$C$23,"VENCE EM BREVE","EM DIA"))))</f>
        <v/>
      </c>
      <c r="V575" s="55" t="str">
        <f t="shared" si="62"/>
        <v/>
      </c>
      <c r="W575" s="30"/>
      <c r="X575" s="33"/>
    </row>
    <row r="576" spans="1:24" x14ac:dyDescent="0.25">
      <c r="A576" s="29" t="str">
        <f t="shared" si="57"/>
        <v/>
      </c>
      <c r="B576" s="30"/>
      <c r="C576" s="30"/>
      <c r="D576" s="31"/>
      <c r="E576" s="10"/>
      <c r="F576" s="32" t="str">
        <f>IF($D576="","",$D576+IF($E576="",'01. CONFIGURAÇÕES'!$C$22,$E576))</f>
        <v/>
      </c>
      <c r="G576" s="30"/>
      <c r="H576" s="33"/>
      <c r="I576" s="33"/>
      <c r="J576" s="30"/>
      <c r="K576" s="33"/>
      <c r="L576" s="30"/>
      <c r="M576" s="33"/>
      <c r="N576" s="30"/>
      <c r="O576" s="33"/>
      <c r="P576" s="34" t="str">
        <f t="shared" si="58"/>
        <v/>
      </c>
      <c r="Q576" s="35" t="str">
        <f t="shared" si="59"/>
        <v/>
      </c>
      <c r="R576" s="35" t="str">
        <f t="shared" si="63"/>
        <v/>
      </c>
      <c r="S576" s="29" t="str">
        <f t="shared" si="60"/>
        <v/>
      </c>
      <c r="T576" s="13" t="str">
        <f t="shared" ca="1" si="61"/>
        <v/>
      </c>
      <c r="U576" s="29" t="str">
        <f ca="1">IF(OR($A576="",$F576=""),"",IF($R576&lt;&gt;"",IF($R576&lt;=$F576,"NO PRAZO","FORA DO PRAZO"),IF(TODAY()&gt;$F576,"VENCIDO",IF($F576-TODAY()&lt;='01. CONFIGURAÇÕES'!$C$23,"VENCE EM BREVE","EM DIA"))))</f>
        <v/>
      </c>
      <c r="V576" s="55" t="str">
        <f t="shared" si="62"/>
        <v/>
      </c>
      <c r="W576" s="30"/>
      <c r="X576" s="33"/>
    </row>
    <row r="577" spans="1:24" x14ac:dyDescent="0.25">
      <c r="A577" s="29" t="str">
        <f t="shared" si="57"/>
        <v/>
      </c>
      <c r="B577" s="30"/>
      <c r="C577" s="30"/>
      <c r="D577" s="31"/>
      <c r="E577" s="10"/>
      <c r="F577" s="32" t="str">
        <f>IF($D577="","",$D577+IF($E577="",'01. CONFIGURAÇÕES'!$C$22,$E577))</f>
        <v/>
      </c>
      <c r="G577" s="30"/>
      <c r="H577" s="33"/>
      <c r="I577" s="33"/>
      <c r="J577" s="30"/>
      <c r="K577" s="33"/>
      <c r="L577" s="30"/>
      <c r="M577" s="33"/>
      <c r="N577" s="30"/>
      <c r="O577" s="33"/>
      <c r="P577" s="34" t="str">
        <f t="shared" si="58"/>
        <v/>
      </c>
      <c r="Q577" s="35" t="str">
        <f t="shared" si="59"/>
        <v/>
      </c>
      <c r="R577" s="35" t="str">
        <f t="shared" si="63"/>
        <v/>
      </c>
      <c r="S577" s="29" t="str">
        <f t="shared" si="60"/>
        <v/>
      </c>
      <c r="T577" s="13" t="str">
        <f t="shared" ca="1" si="61"/>
        <v/>
      </c>
      <c r="U577" s="29" t="str">
        <f ca="1">IF(OR($A577="",$F577=""),"",IF($R577&lt;&gt;"",IF($R577&lt;=$F577,"NO PRAZO","FORA DO PRAZO"),IF(TODAY()&gt;$F577,"VENCIDO",IF($F577-TODAY()&lt;='01. CONFIGURAÇÕES'!$C$23,"VENCE EM BREVE","EM DIA"))))</f>
        <v/>
      </c>
      <c r="V577" s="55" t="str">
        <f t="shared" si="62"/>
        <v/>
      </c>
      <c r="W577" s="30"/>
      <c r="X577" s="33"/>
    </row>
    <row r="578" spans="1:24" x14ac:dyDescent="0.25">
      <c r="A578" s="29" t="str">
        <f t="shared" si="57"/>
        <v/>
      </c>
      <c r="B578" s="30"/>
      <c r="C578" s="30"/>
      <c r="D578" s="31"/>
      <c r="E578" s="10"/>
      <c r="F578" s="32" t="str">
        <f>IF($D578="","",$D578+IF($E578="",'01. CONFIGURAÇÕES'!$C$22,$E578))</f>
        <v/>
      </c>
      <c r="G578" s="30"/>
      <c r="H578" s="33"/>
      <c r="I578" s="33"/>
      <c r="J578" s="30"/>
      <c r="K578" s="33"/>
      <c r="L578" s="30"/>
      <c r="M578" s="33"/>
      <c r="N578" s="30"/>
      <c r="O578" s="33"/>
      <c r="P578" s="34" t="str">
        <f t="shared" si="58"/>
        <v/>
      </c>
      <c r="Q578" s="35" t="str">
        <f t="shared" si="59"/>
        <v/>
      </c>
      <c r="R578" s="35" t="str">
        <f t="shared" si="63"/>
        <v/>
      </c>
      <c r="S578" s="29" t="str">
        <f t="shared" si="60"/>
        <v/>
      </c>
      <c r="T578" s="13" t="str">
        <f t="shared" ca="1" si="61"/>
        <v/>
      </c>
      <c r="U578" s="29" t="str">
        <f ca="1">IF(OR($A578="",$F578=""),"",IF($R578&lt;&gt;"",IF($R578&lt;=$F578,"NO PRAZO","FORA DO PRAZO"),IF(TODAY()&gt;$F578,"VENCIDO",IF($F578-TODAY()&lt;='01. CONFIGURAÇÕES'!$C$23,"VENCE EM BREVE","EM DIA"))))</f>
        <v/>
      </c>
      <c r="V578" s="55" t="str">
        <f t="shared" si="62"/>
        <v/>
      </c>
      <c r="W578" s="30"/>
      <c r="X578" s="33"/>
    </row>
    <row r="579" spans="1:24" x14ac:dyDescent="0.25">
      <c r="A579" s="29" t="str">
        <f t="shared" si="57"/>
        <v/>
      </c>
      <c r="B579" s="30"/>
      <c r="C579" s="30"/>
      <c r="D579" s="31"/>
      <c r="E579" s="10"/>
      <c r="F579" s="32" t="str">
        <f>IF($D579="","",$D579+IF($E579="",'01. CONFIGURAÇÕES'!$C$22,$E579))</f>
        <v/>
      </c>
      <c r="G579" s="30"/>
      <c r="H579" s="33"/>
      <c r="I579" s="33"/>
      <c r="J579" s="30"/>
      <c r="K579" s="33"/>
      <c r="L579" s="30"/>
      <c r="M579" s="33"/>
      <c r="N579" s="30"/>
      <c r="O579" s="33"/>
      <c r="P579" s="34" t="str">
        <f t="shared" si="58"/>
        <v/>
      </c>
      <c r="Q579" s="35" t="str">
        <f t="shared" si="59"/>
        <v/>
      </c>
      <c r="R579" s="35" t="str">
        <f t="shared" si="63"/>
        <v/>
      </c>
      <c r="S579" s="29" t="str">
        <f t="shared" si="60"/>
        <v/>
      </c>
      <c r="T579" s="13" t="str">
        <f t="shared" ca="1" si="61"/>
        <v/>
      </c>
      <c r="U579" s="29" t="str">
        <f ca="1">IF(OR($A579="",$F579=""),"",IF($R579&lt;&gt;"",IF($R579&lt;=$F579,"NO PRAZO","FORA DO PRAZO"),IF(TODAY()&gt;$F579,"VENCIDO",IF($F579-TODAY()&lt;='01. CONFIGURAÇÕES'!$C$23,"VENCE EM BREVE","EM DIA"))))</f>
        <v/>
      </c>
      <c r="V579" s="55" t="str">
        <f t="shared" si="62"/>
        <v/>
      </c>
      <c r="W579" s="30"/>
      <c r="X579" s="33"/>
    </row>
    <row r="580" spans="1:24" x14ac:dyDescent="0.25">
      <c r="A580" s="29" t="str">
        <f t="shared" si="57"/>
        <v/>
      </c>
      <c r="B580" s="30"/>
      <c r="C580" s="30"/>
      <c r="D580" s="31"/>
      <c r="E580" s="10"/>
      <c r="F580" s="32" t="str">
        <f>IF($D580="","",$D580+IF($E580="",'01. CONFIGURAÇÕES'!$C$22,$E580))</f>
        <v/>
      </c>
      <c r="G580" s="30"/>
      <c r="H580" s="33"/>
      <c r="I580" s="33"/>
      <c r="J580" s="30"/>
      <c r="K580" s="33"/>
      <c r="L580" s="30"/>
      <c r="M580" s="33"/>
      <c r="N580" s="30"/>
      <c r="O580" s="33"/>
      <c r="P580" s="34" t="str">
        <f t="shared" si="58"/>
        <v/>
      </c>
      <c r="Q580" s="35" t="str">
        <f t="shared" si="59"/>
        <v/>
      </c>
      <c r="R580" s="35" t="str">
        <f t="shared" si="63"/>
        <v/>
      </c>
      <c r="S580" s="29" t="str">
        <f t="shared" si="60"/>
        <v/>
      </c>
      <c r="T580" s="13" t="str">
        <f t="shared" ca="1" si="61"/>
        <v/>
      </c>
      <c r="U580" s="29" t="str">
        <f ca="1">IF(OR($A580="",$F580=""),"",IF($R580&lt;&gt;"",IF($R580&lt;=$F580,"NO PRAZO","FORA DO PRAZO"),IF(TODAY()&gt;$F580,"VENCIDO",IF($F580-TODAY()&lt;='01. CONFIGURAÇÕES'!$C$23,"VENCE EM BREVE","EM DIA"))))</f>
        <v/>
      </c>
      <c r="V580" s="55" t="str">
        <f t="shared" si="62"/>
        <v/>
      </c>
      <c r="W580" s="30"/>
      <c r="X580" s="33"/>
    </row>
    <row r="581" spans="1:24" x14ac:dyDescent="0.25">
      <c r="A581" s="29" t="str">
        <f t="shared" ref="A581:A604" si="64">IF($B581="","",LEFT($B581,3)&amp;"-"&amp;TEXT(ROW()-4,"0000"))</f>
        <v/>
      </c>
      <c r="B581" s="30"/>
      <c r="C581" s="30"/>
      <c r="D581" s="31"/>
      <c r="E581" s="10"/>
      <c r="F581" s="32" t="str">
        <f>IF($D581="","",$D581+IF($E581="",'01. CONFIGURAÇÕES'!$C$22,$E581))</f>
        <v/>
      </c>
      <c r="G581" s="30"/>
      <c r="H581" s="33"/>
      <c r="I581" s="33"/>
      <c r="J581" s="30"/>
      <c r="K581" s="33"/>
      <c r="L581" s="30"/>
      <c r="M581" s="33"/>
      <c r="N581" s="30"/>
      <c r="O581" s="33"/>
      <c r="P581" s="34" t="str">
        <f t="shared" ref="P581:P604" si="65">IFERROR(IF($A581="","",IF(COUNTIFS(OS_ID,$A581)&gt;0,INDEX(OS_EQUIPE,MATCH($A581,OS_ID,0)),IF(COUNTIFS(PROG_ID,$A581)&gt;0,INDEX(PROG_EQUIPE,MATCH($A581,PROG_ID,0)),""))),"")</f>
        <v/>
      </c>
      <c r="Q581" s="35" t="str">
        <f t="shared" ref="Q581:Q604" si="66">IF($A581="","",IFERROR(IF(INDEX(PROG_DATA,MATCH($A581,PROG_ID,0))=0,"",INDEX(PROG_DATA,MATCH($A581,PROG_ID,0))),""))</f>
        <v/>
      </c>
      <c r="R581" s="35" t="str">
        <f t="shared" si="63"/>
        <v/>
      </c>
      <c r="S581" s="29" t="str">
        <f t="shared" ref="S581:S604" si="67">IF($A581="","",IF($W581&lt;&gt;"",$W581,IF($V581&gt;0,"MEDIDO",IF($R581&lt;&gt;"","EXECUTADO",IF(COUNTIFS(OS_ID,$A581)&gt;0,"EM EXECUÇÃO",IF($Q581&lt;&gt;"","PROGRAMADO","CADASTRADO"))))))</f>
        <v/>
      </c>
      <c r="T581" s="13" t="str">
        <f t="shared" ref="T581:T604" ca="1" si="68">IF($A581="","",IF($R581&lt;&gt;"",$R581-$D581,TODAY()-$D581))</f>
        <v/>
      </c>
      <c r="U581" s="29" t="str">
        <f ca="1">IF(OR($A581="",$F581=""),"",IF($R581&lt;&gt;"",IF($R581&lt;=$F581,"NO PRAZO","FORA DO PRAZO"),IF(TODAY()&gt;$F581,"VENCIDO",IF($F581-TODAY()&lt;='01. CONFIGURAÇÕES'!$C$23,"VENCE EM BREVE","EM DIA"))))</f>
        <v/>
      </c>
      <c r="V581" s="55" t="str">
        <f t="shared" ref="V581:V604" si="69">IF($A581="","",SUMIFS(MED_VLR,MED_ID,$A581))</f>
        <v/>
      </c>
      <c r="W581" s="30"/>
      <c r="X581" s="33"/>
    </row>
    <row r="582" spans="1:24" x14ac:dyDescent="0.25">
      <c r="A582" s="29" t="str">
        <f t="shared" si="64"/>
        <v/>
      </c>
      <c r="B582" s="30"/>
      <c r="C582" s="30"/>
      <c r="D582" s="31"/>
      <c r="E582" s="10"/>
      <c r="F582" s="32" t="str">
        <f>IF($D582="","",$D582+IF($E582="",'01. CONFIGURAÇÕES'!$C$22,$E582))</f>
        <v/>
      </c>
      <c r="G582" s="30"/>
      <c r="H582" s="33"/>
      <c r="I582" s="33"/>
      <c r="J582" s="30"/>
      <c r="K582" s="33"/>
      <c r="L582" s="30"/>
      <c r="M582" s="33"/>
      <c r="N582" s="30"/>
      <c r="O582" s="33"/>
      <c r="P582" s="34" t="str">
        <f t="shared" si="65"/>
        <v/>
      </c>
      <c r="Q582" s="35" t="str">
        <f t="shared" si="66"/>
        <v/>
      </c>
      <c r="R582" s="35" t="str">
        <f t="shared" si="63"/>
        <v/>
      </c>
      <c r="S582" s="29" t="str">
        <f t="shared" si="67"/>
        <v/>
      </c>
      <c r="T582" s="13" t="str">
        <f t="shared" ca="1" si="68"/>
        <v/>
      </c>
      <c r="U582" s="29" t="str">
        <f ca="1">IF(OR($A582="",$F582=""),"",IF($R582&lt;&gt;"",IF($R582&lt;=$F582,"NO PRAZO","FORA DO PRAZO"),IF(TODAY()&gt;$F582,"VENCIDO",IF($F582-TODAY()&lt;='01. CONFIGURAÇÕES'!$C$23,"VENCE EM BREVE","EM DIA"))))</f>
        <v/>
      </c>
      <c r="V582" s="55" t="str">
        <f t="shared" si="69"/>
        <v/>
      </c>
      <c r="W582" s="30"/>
      <c r="X582" s="33"/>
    </row>
    <row r="583" spans="1:24" x14ac:dyDescent="0.25">
      <c r="A583" s="29" t="str">
        <f t="shared" si="64"/>
        <v/>
      </c>
      <c r="B583" s="30"/>
      <c r="C583" s="30"/>
      <c r="D583" s="31"/>
      <c r="E583" s="10"/>
      <c r="F583" s="32" t="str">
        <f>IF($D583="","",$D583+IF($E583="",'01. CONFIGURAÇÕES'!$C$22,$E583))</f>
        <v/>
      </c>
      <c r="G583" s="30"/>
      <c r="H583" s="33"/>
      <c r="I583" s="33"/>
      <c r="J583" s="30"/>
      <c r="K583" s="33"/>
      <c r="L583" s="30"/>
      <c r="M583" s="33"/>
      <c r="N583" s="30"/>
      <c r="O583" s="33"/>
      <c r="P583" s="34" t="str">
        <f t="shared" si="65"/>
        <v/>
      </c>
      <c r="Q583" s="35" t="str">
        <f t="shared" si="66"/>
        <v/>
      </c>
      <c r="R583" s="35" t="str">
        <f t="shared" si="63"/>
        <v/>
      </c>
      <c r="S583" s="29" t="str">
        <f t="shared" si="67"/>
        <v/>
      </c>
      <c r="T583" s="13" t="str">
        <f t="shared" ca="1" si="68"/>
        <v/>
      </c>
      <c r="U583" s="29" t="str">
        <f ca="1">IF(OR($A583="",$F583=""),"",IF($R583&lt;&gt;"",IF($R583&lt;=$F583,"NO PRAZO","FORA DO PRAZO"),IF(TODAY()&gt;$F583,"VENCIDO",IF($F583-TODAY()&lt;='01. CONFIGURAÇÕES'!$C$23,"VENCE EM BREVE","EM DIA"))))</f>
        <v/>
      </c>
      <c r="V583" s="55" t="str">
        <f t="shared" si="69"/>
        <v/>
      </c>
      <c r="W583" s="30"/>
      <c r="X583" s="33"/>
    </row>
    <row r="584" spans="1:24" x14ac:dyDescent="0.25">
      <c r="A584" s="29" t="str">
        <f t="shared" si="64"/>
        <v/>
      </c>
      <c r="B584" s="30"/>
      <c r="C584" s="30"/>
      <c r="D584" s="31"/>
      <c r="E584" s="10"/>
      <c r="F584" s="32" t="str">
        <f>IF($D584="","",$D584+IF($E584="",'01. CONFIGURAÇÕES'!$C$22,$E584))</f>
        <v/>
      </c>
      <c r="G584" s="30"/>
      <c r="H584" s="33"/>
      <c r="I584" s="33"/>
      <c r="J584" s="30"/>
      <c r="K584" s="33"/>
      <c r="L584" s="30"/>
      <c r="M584" s="33"/>
      <c r="N584" s="30"/>
      <c r="O584" s="33"/>
      <c r="P584" s="34" t="str">
        <f t="shared" si="65"/>
        <v/>
      </c>
      <c r="Q584" s="35" t="str">
        <f t="shared" si="66"/>
        <v/>
      </c>
      <c r="R584" s="35" t="str">
        <f t="shared" si="63"/>
        <v/>
      </c>
      <c r="S584" s="29" t="str">
        <f t="shared" si="67"/>
        <v/>
      </c>
      <c r="T584" s="13" t="str">
        <f t="shared" ca="1" si="68"/>
        <v/>
      </c>
      <c r="U584" s="29" t="str">
        <f ca="1">IF(OR($A584="",$F584=""),"",IF($R584&lt;&gt;"",IF($R584&lt;=$F584,"NO PRAZO","FORA DO PRAZO"),IF(TODAY()&gt;$F584,"VENCIDO",IF($F584-TODAY()&lt;='01. CONFIGURAÇÕES'!$C$23,"VENCE EM BREVE","EM DIA"))))</f>
        <v/>
      </c>
      <c r="V584" s="55" t="str">
        <f t="shared" si="69"/>
        <v/>
      </c>
      <c r="W584" s="30"/>
      <c r="X584" s="33"/>
    </row>
    <row r="585" spans="1:24" x14ac:dyDescent="0.25">
      <c r="A585" s="29" t="str">
        <f t="shared" si="64"/>
        <v/>
      </c>
      <c r="B585" s="30"/>
      <c r="C585" s="30"/>
      <c r="D585" s="31"/>
      <c r="E585" s="10"/>
      <c r="F585" s="32" t="str">
        <f>IF($D585="","",$D585+IF($E585="",'01. CONFIGURAÇÕES'!$C$22,$E585))</f>
        <v/>
      </c>
      <c r="G585" s="30"/>
      <c r="H585" s="33"/>
      <c r="I585" s="33"/>
      <c r="J585" s="30"/>
      <c r="K585" s="33"/>
      <c r="L585" s="30"/>
      <c r="M585" s="33"/>
      <c r="N585" s="30"/>
      <c r="O585" s="33"/>
      <c r="P585" s="34" t="str">
        <f t="shared" si="65"/>
        <v/>
      </c>
      <c r="Q585" s="35" t="str">
        <f t="shared" si="66"/>
        <v/>
      </c>
      <c r="R585" s="35" t="str">
        <f t="shared" si="63"/>
        <v/>
      </c>
      <c r="S585" s="29" t="str">
        <f t="shared" si="67"/>
        <v/>
      </c>
      <c r="T585" s="13" t="str">
        <f t="shared" ca="1" si="68"/>
        <v/>
      </c>
      <c r="U585" s="29" t="str">
        <f ca="1">IF(OR($A585="",$F585=""),"",IF($R585&lt;&gt;"",IF($R585&lt;=$F585,"NO PRAZO","FORA DO PRAZO"),IF(TODAY()&gt;$F585,"VENCIDO",IF($F585-TODAY()&lt;='01. CONFIGURAÇÕES'!$C$23,"VENCE EM BREVE","EM DIA"))))</f>
        <v/>
      </c>
      <c r="V585" s="55" t="str">
        <f t="shared" si="69"/>
        <v/>
      </c>
      <c r="W585" s="30"/>
      <c r="X585" s="33"/>
    </row>
    <row r="586" spans="1:24" x14ac:dyDescent="0.25">
      <c r="A586" s="29" t="str">
        <f t="shared" si="64"/>
        <v/>
      </c>
      <c r="B586" s="30"/>
      <c r="C586" s="30"/>
      <c r="D586" s="31"/>
      <c r="E586" s="10"/>
      <c r="F586" s="32" t="str">
        <f>IF($D586="","",$D586+IF($E586="",'01. CONFIGURAÇÕES'!$C$22,$E586))</f>
        <v/>
      </c>
      <c r="G586" s="30"/>
      <c r="H586" s="33"/>
      <c r="I586" s="33"/>
      <c r="J586" s="30"/>
      <c r="K586" s="33"/>
      <c r="L586" s="30"/>
      <c r="M586" s="33"/>
      <c r="N586" s="30"/>
      <c r="O586" s="33"/>
      <c r="P586" s="34" t="str">
        <f t="shared" si="65"/>
        <v/>
      </c>
      <c r="Q586" s="35" t="str">
        <f t="shared" si="66"/>
        <v/>
      </c>
      <c r="R586" s="35" t="str">
        <f t="shared" si="63"/>
        <v/>
      </c>
      <c r="S586" s="29" t="str">
        <f t="shared" si="67"/>
        <v/>
      </c>
      <c r="T586" s="13" t="str">
        <f t="shared" ca="1" si="68"/>
        <v/>
      </c>
      <c r="U586" s="29" t="str">
        <f ca="1">IF(OR($A586="",$F586=""),"",IF($R586&lt;&gt;"",IF($R586&lt;=$F586,"NO PRAZO","FORA DO PRAZO"),IF(TODAY()&gt;$F586,"VENCIDO",IF($F586-TODAY()&lt;='01. CONFIGURAÇÕES'!$C$23,"VENCE EM BREVE","EM DIA"))))</f>
        <v/>
      </c>
      <c r="V586" s="55" t="str">
        <f t="shared" si="69"/>
        <v/>
      </c>
      <c r="W586" s="30"/>
      <c r="X586" s="33"/>
    </row>
    <row r="587" spans="1:24" x14ac:dyDescent="0.25">
      <c r="A587" s="29" t="str">
        <f t="shared" si="64"/>
        <v/>
      </c>
      <c r="B587" s="30"/>
      <c r="C587" s="30"/>
      <c r="D587" s="31"/>
      <c r="E587" s="10"/>
      <c r="F587" s="32" t="str">
        <f>IF($D587="","",$D587+IF($E587="",'01. CONFIGURAÇÕES'!$C$22,$E587))</f>
        <v/>
      </c>
      <c r="G587" s="30"/>
      <c r="H587" s="33"/>
      <c r="I587" s="33"/>
      <c r="J587" s="30"/>
      <c r="K587" s="33"/>
      <c r="L587" s="30"/>
      <c r="M587" s="33"/>
      <c r="N587" s="30"/>
      <c r="O587" s="33"/>
      <c r="P587" s="34" t="str">
        <f t="shared" si="65"/>
        <v/>
      </c>
      <c r="Q587" s="35" t="str">
        <f t="shared" si="66"/>
        <v/>
      </c>
      <c r="R587" s="35" t="str">
        <f t="shared" si="63"/>
        <v/>
      </c>
      <c r="S587" s="29" t="str">
        <f t="shared" si="67"/>
        <v/>
      </c>
      <c r="T587" s="13" t="str">
        <f t="shared" ca="1" si="68"/>
        <v/>
      </c>
      <c r="U587" s="29" t="str">
        <f ca="1">IF(OR($A587="",$F587=""),"",IF($R587&lt;&gt;"",IF($R587&lt;=$F587,"NO PRAZO","FORA DO PRAZO"),IF(TODAY()&gt;$F587,"VENCIDO",IF($F587-TODAY()&lt;='01. CONFIGURAÇÕES'!$C$23,"VENCE EM BREVE","EM DIA"))))</f>
        <v/>
      </c>
      <c r="V587" s="55" t="str">
        <f t="shared" si="69"/>
        <v/>
      </c>
      <c r="W587" s="30"/>
      <c r="X587" s="33"/>
    </row>
    <row r="588" spans="1:24" x14ac:dyDescent="0.25">
      <c r="A588" s="29" t="str">
        <f t="shared" si="64"/>
        <v/>
      </c>
      <c r="B588" s="30"/>
      <c r="C588" s="30"/>
      <c r="D588" s="31"/>
      <c r="E588" s="10"/>
      <c r="F588" s="32" t="str">
        <f>IF($D588="","",$D588+IF($E588="",'01. CONFIGURAÇÕES'!$C$22,$E588))</f>
        <v/>
      </c>
      <c r="G588" s="30"/>
      <c r="H588" s="33"/>
      <c r="I588" s="33"/>
      <c r="J588" s="30"/>
      <c r="K588" s="33"/>
      <c r="L588" s="30"/>
      <c r="M588" s="33"/>
      <c r="N588" s="30"/>
      <c r="O588" s="33"/>
      <c r="P588" s="34" t="str">
        <f t="shared" si="65"/>
        <v/>
      </c>
      <c r="Q588" s="35" t="str">
        <f t="shared" si="66"/>
        <v/>
      </c>
      <c r="R588" s="35" t="str">
        <f t="shared" si="63"/>
        <v/>
      </c>
      <c r="S588" s="29" t="str">
        <f t="shared" si="67"/>
        <v/>
      </c>
      <c r="T588" s="13" t="str">
        <f t="shared" ca="1" si="68"/>
        <v/>
      </c>
      <c r="U588" s="29" t="str">
        <f ca="1">IF(OR($A588="",$F588=""),"",IF($R588&lt;&gt;"",IF($R588&lt;=$F588,"NO PRAZO","FORA DO PRAZO"),IF(TODAY()&gt;$F588,"VENCIDO",IF($F588-TODAY()&lt;='01. CONFIGURAÇÕES'!$C$23,"VENCE EM BREVE","EM DIA"))))</f>
        <v/>
      </c>
      <c r="V588" s="55" t="str">
        <f t="shared" si="69"/>
        <v/>
      </c>
      <c r="W588" s="30"/>
      <c r="X588" s="33"/>
    </row>
    <row r="589" spans="1:24" x14ac:dyDescent="0.25">
      <c r="A589" s="29" t="str">
        <f t="shared" si="64"/>
        <v/>
      </c>
      <c r="B589" s="30"/>
      <c r="C589" s="30"/>
      <c r="D589" s="31"/>
      <c r="E589" s="10"/>
      <c r="F589" s="32" t="str">
        <f>IF($D589="","",$D589+IF($E589="",'01. CONFIGURAÇÕES'!$C$22,$E589))</f>
        <v/>
      </c>
      <c r="G589" s="30"/>
      <c r="H589" s="33"/>
      <c r="I589" s="33"/>
      <c r="J589" s="30"/>
      <c r="K589" s="33"/>
      <c r="L589" s="30"/>
      <c r="M589" s="33"/>
      <c r="N589" s="30"/>
      <c r="O589" s="33"/>
      <c r="P589" s="34" t="str">
        <f t="shared" si="65"/>
        <v/>
      </c>
      <c r="Q589" s="35" t="str">
        <f t="shared" si="66"/>
        <v/>
      </c>
      <c r="R589" s="35" t="str">
        <f t="shared" si="63"/>
        <v/>
      </c>
      <c r="S589" s="29" t="str">
        <f t="shared" si="67"/>
        <v/>
      </c>
      <c r="T589" s="13" t="str">
        <f t="shared" ca="1" si="68"/>
        <v/>
      </c>
      <c r="U589" s="29" t="str">
        <f ca="1">IF(OR($A589="",$F589=""),"",IF($R589&lt;&gt;"",IF($R589&lt;=$F589,"NO PRAZO","FORA DO PRAZO"),IF(TODAY()&gt;$F589,"VENCIDO",IF($F589-TODAY()&lt;='01. CONFIGURAÇÕES'!$C$23,"VENCE EM BREVE","EM DIA"))))</f>
        <v/>
      </c>
      <c r="V589" s="55" t="str">
        <f t="shared" si="69"/>
        <v/>
      </c>
      <c r="W589" s="30"/>
      <c r="X589" s="33"/>
    </row>
    <row r="590" spans="1:24" x14ac:dyDescent="0.25">
      <c r="A590" s="29" t="str">
        <f t="shared" si="64"/>
        <v/>
      </c>
      <c r="B590" s="30"/>
      <c r="C590" s="30"/>
      <c r="D590" s="31"/>
      <c r="E590" s="10"/>
      <c r="F590" s="32" t="str">
        <f>IF($D590="","",$D590+IF($E590="",'01. CONFIGURAÇÕES'!$C$22,$E590))</f>
        <v/>
      </c>
      <c r="G590" s="30"/>
      <c r="H590" s="33"/>
      <c r="I590" s="33"/>
      <c r="J590" s="30"/>
      <c r="K590" s="33"/>
      <c r="L590" s="30"/>
      <c r="M590" s="33"/>
      <c r="N590" s="30"/>
      <c r="O590" s="33"/>
      <c r="P590" s="34" t="str">
        <f t="shared" si="65"/>
        <v/>
      </c>
      <c r="Q590" s="35" t="str">
        <f t="shared" si="66"/>
        <v/>
      </c>
      <c r="R590" s="35" t="str">
        <f t="shared" si="63"/>
        <v/>
      </c>
      <c r="S590" s="29" t="str">
        <f t="shared" si="67"/>
        <v/>
      </c>
      <c r="T590" s="13" t="str">
        <f t="shared" ca="1" si="68"/>
        <v/>
      </c>
      <c r="U590" s="29" t="str">
        <f ca="1">IF(OR($A590="",$F590=""),"",IF($R590&lt;&gt;"",IF($R590&lt;=$F590,"NO PRAZO","FORA DO PRAZO"),IF(TODAY()&gt;$F590,"VENCIDO",IF($F590-TODAY()&lt;='01. CONFIGURAÇÕES'!$C$23,"VENCE EM BREVE","EM DIA"))))</f>
        <v/>
      </c>
      <c r="V590" s="55" t="str">
        <f t="shared" si="69"/>
        <v/>
      </c>
      <c r="W590" s="30"/>
      <c r="X590" s="33"/>
    </row>
    <row r="591" spans="1:24" x14ac:dyDescent="0.25">
      <c r="A591" s="29" t="str">
        <f t="shared" si="64"/>
        <v/>
      </c>
      <c r="B591" s="30"/>
      <c r="C591" s="30"/>
      <c r="D591" s="31"/>
      <c r="E591" s="10"/>
      <c r="F591" s="32" t="str">
        <f>IF($D591="","",$D591+IF($E591="",'01. CONFIGURAÇÕES'!$C$22,$E591))</f>
        <v/>
      </c>
      <c r="G591" s="30"/>
      <c r="H591" s="33"/>
      <c r="I591" s="33"/>
      <c r="J591" s="30"/>
      <c r="K591" s="33"/>
      <c r="L591" s="30"/>
      <c r="M591" s="33"/>
      <c r="N591" s="30"/>
      <c r="O591" s="33"/>
      <c r="P591" s="34" t="str">
        <f t="shared" si="65"/>
        <v/>
      </c>
      <c r="Q591" s="35" t="str">
        <f t="shared" si="66"/>
        <v/>
      </c>
      <c r="R591" s="35" t="str">
        <f t="shared" si="63"/>
        <v/>
      </c>
      <c r="S591" s="29" t="str">
        <f t="shared" si="67"/>
        <v/>
      </c>
      <c r="T591" s="13" t="str">
        <f t="shared" ca="1" si="68"/>
        <v/>
      </c>
      <c r="U591" s="29" t="str">
        <f ca="1">IF(OR($A591="",$F591=""),"",IF($R591&lt;&gt;"",IF($R591&lt;=$F591,"NO PRAZO","FORA DO PRAZO"),IF(TODAY()&gt;$F591,"VENCIDO",IF($F591-TODAY()&lt;='01. CONFIGURAÇÕES'!$C$23,"VENCE EM BREVE","EM DIA"))))</f>
        <v/>
      </c>
      <c r="V591" s="55" t="str">
        <f t="shared" si="69"/>
        <v/>
      </c>
      <c r="W591" s="30"/>
      <c r="X591" s="33"/>
    </row>
    <row r="592" spans="1:24" x14ac:dyDescent="0.25">
      <c r="A592" s="29" t="str">
        <f t="shared" si="64"/>
        <v/>
      </c>
      <c r="B592" s="30"/>
      <c r="C592" s="30"/>
      <c r="D592" s="31"/>
      <c r="E592" s="10"/>
      <c r="F592" s="32" t="str">
        <f>IF($D592="","",$D592+IF($E592="",'01. CONFIGURAÇÕES'!$C$22,$E592))</f>
        <v/>
      </c>
      <c r="G592" s="30"/>
      <c r="H592" s="33"/>
      <c r="I592" s="33"/>
      <c r="J592" s="30"/>
      <c r="K592" s="33"/>
      <c r="L592" s="30"/>
      <c r="M592" s="33"/>
      <c r="N592" s="30"/>
      <c r="O592" s="33"/>
      <c r="P592" s="34" t="str">
        <f t="shared" si="65"/>
        <v/>
      </c>
      <c r="Q592" s="35" t="str">
        <f t="shared" si="66"/>
        <v/>
      </c>
      <c r="R592" s="35" t="str">
        <f t="shared" si="63"/>
        <v/>
      </c>
      <c r="S592" s="29" t="str">
        <f t="shared" si="67"/>
        <v/>
      </c>
      <c r="T592" s="13" t="str">
        <f t="shared" ca="1" si="68"/>
        <v/>
      </c>
      <c r="U592" s="29" t="str">
        <f ca="1">IF(OR($A592="",$F592=""),"",IF($R592&lt;&gt;"",IF($R592&lt;=$F592,"NO PRAZO","FORA DO PRAZO"),IF(TODAY()&gt;$F592,"VENCIDO",IF($F592-TODAY()&lt;='01. CONFIGURAÇÕES'!$C$23,"VENCE EM BREVE","EM DIA"))))</f>
        <v/>
      </c>
      <c r="V592" s="55" t="str">
        <f t="shared" si="69"/>
        <v/>
      </c>
      <c r="W592" s="30"/>
      <c r="X592" s="33"/>
    </row>
    <row r="593" spans="1:24" x14ac:dyDescent="0.25">
      <c r="A593" s="29" t="str">
        <f t="shared" si="64"/>
        <v/>
      </c>
      <c r="B593" s="30"/>
      <c r="C593" s="30"/>
      <c r="D593" s="31"/>
      <c r="E593" s="10"/>
      <c r="F593" s="32" t="str">
        <f>IF($D593="","",$D593+IF($E593="",'01. CONFIGURAÇÕES'!$C$22,$E593))</f>
        <v/>
      </c>
      <c r="G593" s="30"/>
      <c r="H593" s="33"/>
      <c r="I593" s="33"/>
      <c r="J593" s="30"/>
      <c r="K593" s="33"/>
      <c r="L593" s="30"/>
      <c r="M593" s="33"/>
      <c r="N593" s="30"/>
      <c r="O593" s="33"/>
      <c r="P593" s="34" t="str">
        <f t="shared" si="65"/>
        <v/>
      </c>
      <c r="Q593" s="35" t="str">
        <f t="shared" si="66"/>
        <v/>
      </c>
      <c r="R593" s="35" t="str">
        <f t="shared" si="63"/>
        <v/>
      </c>
      <c r="S593" s="29" t="str">
        <f t="shared" si="67"/>
        <v/>
      </c>
      <c r="T593" s="13" t="str">
        <f t="shared" ca="1" si="68"/>
        <v/>
      </c>
      <c r="U593" s="29" t="str">
        <f ca="1">IF(OR($A593="",$F593=""),"",IF($R593&lt;&gt;"",IF($R593&lt;=$F593,"NO PRAZO","FORA DO PRAZO"),IF(TODAY()&gt;$F593,"VENCIDO",IF($F593-TODAY()&lt;='01. CONFIGURAÇÕES'!$C$23,"VENCE EM BREVE","EM DIA"))))</f>
        <v/>
      </c>
      <c r="V593" s="55" t="str">
        <f t="shared" si="69"/>
        <v/>
      </c>
      <c r="W593" s="30"/>
      <c r="X593" s="33"/>
    </row>
    <row r="594" spans="1:24" x14ac:dyDescent="0.25">
      <c r="A594" s="29" t="str">
        <f t="shared" si="64"/>
        <v/>
      </c>
      <c r="B594" s="30"/>
      <c r="C594" s="30"/>
      <c r="D594" s="31"/>
      <c r="E594" s="10"/>
      <c r="F594" s="32" t="str">
        <f>IF($D594="","",$D594+IF($E594="",'01. CONFIGURAÇÕES'!$C$22,$E594))</f>
        <v/>
      </c>
      <c r="G594" s="30"/>
      <c r="H594" s="33"/>
      <c r="I594" s="33"/>
      <c r="J594" s="30"/>
      <c r="K594" s="33"/>
      <c r="L594" s="30"/>
      <c r="M594" s="33"/>
      <c r="N594" s="30"/>
      <c r="O594" s="33"/>
      <c r="P594" s="34" t="str">
        <f t="shared" si="65"/>
        <v/>
      </c>
      <c r="Q594" s="35" t="str">
        <f t="shared" si="66"/>
        <v/>
      </c>
      <c r="R594" s="35" t="str">
        <f t="shared" si="63"/>
        <v/>
      </c>
      <c r="S594" s="29" t="str">
        <f t="shared" si="67"/>
        <v/>
      </c>
      <c r="T594" s="13" t="str">
        <f t="shared" ca="1" si="68"/>
        <v/>
      </c>
      <c r="U594" s="29" t="str">
        <f ca="1">IF(OR($A594="",$F594=""),"",IF($R594&lt;&gt;"",IF($R594&lt;=$F594,"NO PRAZO","FORA DO PRAZO"),IF(TODAY()&gt;$F594,"VENCIDO",IF($F594-TODAY()&lt;='01. CONFIGURAÇÕES'!$C$23,"VENCE EM BREVE","EM DIA"))))</f>
        <v/>
      </c>
      <c r="V594" s="55" t="str">
        <f t="shared" si="69"/>
        <v/>
      </c>
      <c r="W594" s="30"/>
      <c r="X594" s="33"/>
    </row>
    <row r="595" spans="1:24" x14ac:dyDescent="0.25">
      <c r="A595" s="29" t="str">
        <f t="shared" si="64"/>
        <v/>
      </c>
      <c r="B595" s="30"/>
      <c r="C595" s="30"/>
      <c r="D595" s="31"/>
      <c r="E595" s="10"/>
      <c r="F595" s="32" t="str">
        <f>IF($D595="","",$D595+IF($E595="",'01. CONFIGURAÇÕES'!$C$22,$E595))</f>
        <v/>
      </c>
      <c r="G595" s="30"/>
      <c r="H595" s="33"/>
      <c r="I595" s="33"/>
      <c r="J595" s="30"/>
      <c r="K595" s="33"/>
      <c r="L595" s="30"/>
      <c r="M595" s="33"/>
      <c r="N595" s="30"/>
      <c r="O595" s="33"/>
      <c r="P595" s="34" t="str">
        <f t="shared" si="65"/>
        <v/>
      </c>
      <c r="Q595" s="35" t="str">
        <f t="shared" si="66"/>
        <v/>
      </c>
      <c r="R595" s="35" t="str">
        <f t="shared" si="63"/>
        <v/>
      </c>
      <c r="S595" s="29" t="str">
        <f t="shared" si="67"/>
        <v/>
      </c>
      <c r="T595" s="13" t="str">
        <f t="shared" ca="1" si="68"/>
        <v/>
      </c>
      <c r="U595" s="29" t="str">
        <f ca="1">IF(OR($A595="",$F595=""),"",IF($R595&lt;&gt;"",IF($R595&lt;=$F595,"NO PRAZO","FORA DO PRAZO"),IF(TODAY()&gt;$F595,"VENCIDO",IF($F595-TODAY()&lt;='01. CONFIGURAÇÕES'!$C$23,"VENCE EM BREVE","EM DIA"))))</f>
        <v/>
      </c>
      <c r="V595" s="55" t="str">
        <f t="shared" si="69"/>
        <v/>
      </c>
      <c r="W595" s="30"/>
      <c r="X595" s="33"/>
    </row>
    <row r="596" spans="1:24" x14ac:dyDescent="0.25">
      <c r="A596" s="29" t="str">
        <f t="shared" si="64"/>
        <v/>
      </c>
      <c r="B596" s="30"/>
      <c r="C596" s="30"/>
      <c r="D596" s="31"/>
      <c r="E596" s="10"/>
      <c r="F596" s="32" t="str">
        <f>IF($D596="","",$D596+IF($E596="",'01. CONFIGURAÇÕES'!$C$22,$E596))</f>
        <v/>
      </c>
      <c r="G596" s="30"/>
      <c r="H596" s="33"/>
      <c r="I596" s="33"/>
      <c r="J596" s="30"/>
      <c r="K596" s="33"/>
      <c r="L596" s="30"/>
      <c r="M596" s="33"/>
      <c r="N596" s="30"/>
      <c r="O596" s="33"/>
      <c r="P596" s="34" t="str">
        <f t="shared" si="65"/>
        <v/>
      </c>
      <c r="Q596" s="35" t="str">
        <f t="shared" si="66"/>
        <v/>
      </c>
      <c r="R596" s="35" t="str">
        <f t="shared" si="63"/>
        <v/>
      </c>
      <c r="S596" s="29" t="str">
        <f t="shared" si="67"/>
        <v/>
      </c>
      <c r="T596" s="13" t="str">
        <f t="shared" ca="1" si="68"/>
        <v/>
      </c>
      <c r="U596" s="29" t="str">
        <f ca="1">IF(OR($A596="",$F596=""),"",IF($R596&lt;&gt;"",IF($R596&lt;=$F596,"NO PRAZO","FORA DO PRAZO"),IF(TODAY()&gt;$F596,"VENCIDO",IF($F596-TODAY()&lt;='01. CONFIGURAÇÕES'!$C$23,"VENCE EM BREVE","EM DIA"))))</f>
        <v/>
      </c>
      <c r="V596" s="55" t="str">
        <f t="shared" si="69"/>
        <v/>
      </c>
      <c r="W596" s="30"/>
      <c r="X596" s="33"/>
    </row>
    <row r="597" spans="1:24" x14ac:dyDescent="0.25">
      <c r="A597" s="29" t="str">
        <f t="shared" si="64"/>
        <v/>
      </c>
      <c r="B597" s="30"/>
      <c r="C597" s="30"/>
      <c r="D597" s="31"/>
      <c r="E597" s="10"/>
      <c r="F597" s="32" t="str">
        <f>IF($D597="","",$D597+IF($E597="",'01. CONFIGURAÇÕES'!$C$22,$E597))</f>
        <v/>
      </c>
      <c r="G597" s="30"/>
      <c r="H597" s="33"/>
      <c r="I597" s="33"/>
      <c r="J597" s="30"/>
      <c r="K597" s="33"/>
      <c r="L597" s="30"/>
      <c r="M597" s="33"/>
      <c r="N597" s="30"/>
      <c r="O597" s="33"/>
      <c r="P597" s="34" t="str">
        <f t="shared" si="65"/>
        <v/>
      </c>
      <c r="Q597" s="35" t="str">
        <f t="shared" si="66"/>
        <v/>
      </c>
      <c r="R597" s="35" t="str">
        <f t="shared" si="63"/>
        <v/>
      </c>
      <c r="S597" s="29" t="str">
        <f t="shared" si="67"/>
        <v/>
      </c>
      <c r="T597" s="13" t="str">
        <f t="shared" ca="1" si="68"/>
        <v/>
      </c>
      <c r="U597" s="29" t="str">
        <f ca="1">IF(OR($A597="",$F597=""),"",IF($R597&lt;&gt;"",IF($R597&lt;=$F597,"NO PRAZO","FORA DO PRAZO"),IF(TODAY()&gt;$F597,"VENCIDO",IF($F597-TODAY()&lt;='01. CONFIGURAÇÕES'!$C$23,"VENCE EM BREVE","EM DIA"))))</f>
        <v/>
      </c>
      <c r="V597" s="55" t="str">
        <f t="shared" si="69"/>
        <v/>
      </c>
      <c r="W597" s="30"/>
      <c r="X597" s="33"/>
    </row>
    <row r="598" spans="1:24" x14ac:dyDescent="0.25">
      <c r="A598" s="29" t="str">
        <f t="shared" si="64"/>
        <v/>
      </c>
      <c r="B598" s="30"/>
      <c r="C598" s="30"/>
      <c r="D598" s="31"/>
      <c r="E598" s="10"/>
      <c r="F598" s="32" t="str">
        <f>IF($D598="","",$D598+IF($E598="",'01. CONFIGURAÇÕES'!$C$22,$E598))</f>
        <v/>
      </c>
      <c r="G598" s="30"/>
      <c r="H598" s="33"/>
      <c r="I598" s="33"/>
      <c r="J598" s="30"/>
      <c r="K598" s="33"/>
      <c r="L598" s="30"/>
      <c r="M598" s="33"/>
      <c r="N598" s="30"/>
      <c r="O598" s="33"/>
      <c r="P598" s="34" t="str">
        <f t="shared" si="65"/>
        <v/>
      </c>
      <c r="Q598" s="35" t="str">
        <f t="shared" si="66"/>
        <v/>
      </c>
      <c r="R598" s="35" t="str">
        <f t="shared" si="63"/>
        <v/>
      </c>
      <c r="S598" s="29" t="str">
        <f t="shared" si="67"/>
        <v/>
      </c>
      <c r="T598" s="13" t="str">
        <f t="shared" ca="1" si="68"/>
        <v/>
      </c>
      <c r="U598" s="29" t="str">
        <f ca="1">IF(OR($A598="",$F598=""),"",IF($R598&lt;&gt;"",IF($R598&lt;=$F598,"NO PRAZO","FORA DO PRAZO"),IF(TODAY()&gt;$F598,"VENCIDO",IF($F598-TODAY()&lt;='01. CONFIGURAÇÕES'!$C$23,"VENCE EM BREVE","EM DIA"))))</f>
        <v/>
      </c>
      <c r="V598" s="55" t="str">
        <f t="shared" si="69"/>
        <v/>
      </c>
      <c r="W598" s="30"/>
      <c r="X598" s="33"/>
    </row>
    <row r="599" spans="1:24" x14ac:dyDescent="0.25">
      <c r="A599" s="29" t="str">
        <f t="shared" si="64"/>
        <v/>
      </c>
      <c r="B599" s="30"/>
      <c r="C599" s="30"/>
      <c r="D599" s="31"/>
      <c r="E599" s="10"/>
      <c r="F599" s="32" t="str">
        <f>IF($D599="","",$D599+IF($E599="",'01. CONFIGURAÇÕES'!$C$22,$E599))</f>
        <v/>
      </c>
      <c r="G599" s="30"/>
      <c r="H599" s="33"/>
      <c r="I599" s="33"/>
      <c r="J599" s="30"/>
      <c r="K599" s="33"/>
      <c r="L599" s="30"/>
      <c r="M599" s="33"/>
      <c r="N599" s="30"/>
      <c r="O599" s="33"/>
      <c r="P599" s="34" t="str">
        <f t="shared" si="65"/>
        <v/>
      </c>
      <c r="Q599" s="35" t="str">
        <f t="shared" si="66"/>
        <v/>
      </c>
      <c r="R599" s="35" t="str">
        <f t="shared" si="63"/>
        <v/>
      </c>
      <c r="S599" s="29" t="str">
        <f t="shared" si="67"/>
        <v/>
      </c>
      <c r="T599" s="13" t="str">
        <f t="shared" ca="1" si="68"/>
        <v/>
      </c>
      <c r="U599" s="29" t="str">
        <f ca="1">IF(OR($A599="",$F599=""),"",IF($R599&lt;&gt;"",IF($R599&lt;=$F599,"NO PRAZO","FORA DO PRAZO"),IF(TODAY()&gt;$F599,"VENCIDO",IF($F599-TODAY()&lt;='01. CONFIGURAÇÕES'!$C$23,"VENCE EM BREVE","EM DIA"))))</f>
        <v/>
      </c>
      <c r="V599" s="55" t="str">
        <f t="shared" si="69"/>
        <v/>
      </c>
      <c r="W599" s="30"/>
      <c r="X599" s="33"/>
    </row>
    <row r="600" spans="1:24" x14ac:dyDescent="0.25">
      <c r="A600" s="29" t="str">
        <f t="shared" si="64"/>
        <v/>
      </c>
      <c r="B600" s="30"/>
      <c r="C600" s="30"/>
      <c r="D600" s="31"/>
      <c r="E600" s="10"/>
      <c r="F600" s="32" t="str">
        <f>IF($D600="","",$D600+IF($E600="",'01. CONFIGURAÇÕES'!$C$22,$E600))</f>
        <v/>
      </c>
      <c r="G600" s="30"/>
      <c r="H600" s="33"/>
      <c r="I600" s="33"/>
      <c r="J600" s="30"/>
      <c r="K600" s="33"/>
      <c r="L600" s="30"/>
      <c r="M600" s="33"/>
      <c r="N600" s="30"/>
      <c r="O600" s="33"/>
      <c r="P600" s="34" t="str">
        <f t="shared" si="65"/>
        <v/>
      </c>
      <c r="Q600" s="35" t="str">
        <f t="shared" si="66"/>
        <v/>
      </c>
      <c r="R600" s="35" t="str">
        <f t="shared" si="63"/>
        <v/>
      </c>
      <c r="S600" s="29" t="str">
        <f t="shared" si="67"/>
        <v/>
      </c>
      <c r="T600" s="13" t="str">
        <f t="shared" ca="1" si="68"/>
        <v/>
      </c>
      <c r="U600" s="29" t="str">
        <f ca="1">IF(OR($A600="",$F600=""),"",IF($R600&lt;&gt;"",IF($R600&lt;=$F600,"NO PRAZO","FORA DO PRAZO"),IF(TODAY()&gt;$F600,"VENCIDO",IF($F600-TODAY()&lt;='01. CONFIGURAÇÕES'!$C$23,"VENCE EM BREVE","EM DIA"))))</f>
        <v/>
      </c>
      <c r="V600" s="55" t="str">
        <f t="shared" si="69"/>
        <v/>
      </c>
      <c r="W600" s="30"/>
      <c r="X600" s="33"/>
    </row>
    <row r="601" spans="1:24" x14ac:dyDescent="0.25">
      <c r="A601" s="29" t="str">
        <f t="shared" si="64"/>
        <v/>
      </c>
      <c r="B601" s="30"/>
      <c r="C601" s="30"/>
      <c r="D601" s="31"/>
      <c r="E601" s="10"/>
      <c r="F601" s="32" t="str">
        <f>IF($D601="","",$D601+IF($E601="",'01. CONFIGURAÇÕES'!$C$22,$E601))</f>
        <v/>
      </c>
      <c r="G601" s="30"/>
      <c r="H601" s="33"/>
      <c r="I601" s="33"/>
      <c r="J601" s="30"/>
      <c r="K601" s="33"/>
      <c r="L601" s="30"/>
      <c r="M601" s="33"/>
      <c r="N601" s="30"/>
      <c r="O601" s="33"/>
      <c r="P601" s="34" t="str">
        <f t="shared" si="65"/>
        <v/>
      </c>
      <c r="Q601" s="35" t="str">
        <f t="shared" si="66"/>
        <v/>
      </c>
      <c r="R601" s="35" t="str">
        <f t="shared" si="63"/>
        <v/>
      </c>
      <c r="S601" s="29" t="str">
        <f t="shared" si="67"/>
        <v/>
      </c>
      <c r="T601" s="13" t="str">
        <f t="shared" ca="1" si="68"/>
        <v/>
      </c>
      <c r="U601" s="29" t="str">
        <f ca="1">IF(OR($A601="",$F601=""),"",IF($R601&lt;&gt;"",IF($R601&lt;=$F601,"NO PRAZO","FORA DO PRAZO"),IF(TODAY()&gt;$F601,"VENCIDO",IF($F601-TODAY()&lt;='01. CONFIGURAÇÕES'!$C$23,"VENCE EM BREVE","EM DIA"))))</f>
        <v/>
      </c>
      <c r="V601" s="55" t="str">
        <f t="shared" si="69"/>
        <v/>
      </c>
      <c r="W601" s="30"/>
      <c r="X601" s="33"/>
    </row>
    <row r="602" spans="1:24" x14ac:dyDescent="0.25">
      <c r="A602" s="29" t="str">
        <f t="shared" si="64"/>
        <v/>
      </c>
      <c r="B602" s="30"/>
      <c r="C602" s="30"/>
      <c r="D602" s="31"/>
      <c r="E602" s="10"/>
      <c r="F602" s="32" t="str">
        <f>IF($D602="","",$D602+IF($E602="",'01. CONFIGURAÇÕES'!$C$22,$E602))</f>
        <v/>
      </c>
      <c r="G602" s="30"/>
      <c r="H602" s="33"/>
      <c r="I602" s="33"/>
      <c r="J602" s="30"/>
      <c r="K602" s="33"/>
      <c r="L602" s="30"/>
      <c r="M602" s="33"/>
      <c r="N602" s="30"/>
      <c r="O602" s="33"/>
      <c r="P602" s="34" t="str">
        <f t="shared" si="65"/>
        <v/>
      </c>
      <c r="Q602" s="35" t="str">
        <f t="shared" si="66"/>
        <v/>
      </c>
      <c r="R602" s="35" t="str">
        <f t="shared" si="63"/>
        <v/>
      </c>
      <c r="S602" s="29" t="str">
        <f t="shared" si="67"/>
        <v/>
      </c>
      <c r="T602" s="13" t="str">
        <f t="shared" ca="1" si="68"/>
        <v/>
      </c>
      <c r="U602" s="29" t="str">
        <f ca="1">IF(OR($A602="",$F602=""),"",IF($R602&lt;&gt;"",IF($R602&lt;=$F602,"NO PRAZO","FORA DO PRAZO"),IF(TODAY()&gt;$F602,"VENCIDO",IF($F602-TODAY()&lt;='01. CONFIGURAÇÕES'!$C$23,"VENCE EM BREVE","EM DIA"))))</f>
        <v/>
      </c>
      <c r="V602" s="55" t="str">
        <f t="shared" si="69"/>
        <v/>
      </c>
      <c r="W602" s="30"/>
      <c r="X602" s="33"/>
    </row>
    <row r="603" spans="1:24" x14ac:dyDescent="0.25">
      <c r="A603" s="29" t="str">
        <f t="shared" si="64"/>
        <v/>
      </c>
      <c r="B603" s="30"/>
      <c r="C603" s="30"/>
      <c r="D603" s="31"/>
      <c r="E603" s="10"/>
      <c r="F603" s="32" t="str">
        <f>IF($D603="","",$D603+IF($E603="",'01. CONFIGURAÇÕES'!$C$22,$E603))</f>
        <v/>
      </c>
      <c r="G603" s="30"/>
      <c r="H603" s="33"/>
      <c r="I603" s="33"/>
      <c r="J603" s="30"/>
      <c r="K603" s="33"/>
      <c r="L603" s="30"/>
      <c r="M603" s="33"/>
      <c r="N603" s="30"/>
      <c r="O603" s="33"/>
      <c r="P603" s="34" t="str">
        <f t="shared" si="65"/>
        <v/>
      </c>
      <c r="Q603" s="35" t="str">
        <f t="shared" si="66"/>
        <v/>
      </c>
      <c r="R603" s="35" t="str">
        <f t="shared" si="63"/>
        <v/>
      </c>
      <c r="S603" s="29" t="str">
        <f t="shared" si="67"/>
        <v/>
      </c>
      <c r="T603" s="13" t="str">
        <f t="shared" ca="1" si="68"/>
        <v/>
      </c>
      <c r="U603" s="29" t="str">
        <f ca="1">IF(OR($A603="",$F603=""),"",IF($R603&lt;&gt;"",IF($R603&lt;=$F603,"NO PRAZO","FORA DO PRAZO"),IF(TODAY()&gt;$F603,"VENCIDO",IF($F603-TODAY()&lt;='01. CONFIGURAÇÕES'!$C$23,"VENCE EM BREVE","EM DIA"))))</f>
        <v/>
      </c>
      <c r="V603" s="55" t="str">
        <f t="shared" si="69"/>
        <v/>
      </c>
      <c r="W603" s="30"/>
      <c r="X603" s="33"/>
    </row>
    <row r="604" spans="1:24" x14ac:dyDescent="0.25">
      <c r="A604" s="29" t="str">
        <f t="shared" si="64"/>
        <v/>
      </c>
      <c r="B604" s="30"/>
      <c r="C604" s="30"/>
      <c r="D604" s="31"/>
      <c r="E604" s="10"/>
      <c r="F604" s="32" t="str">
        <f>IF($D604="","",$D604+IF($E604="",'01. CONFIGURAÇÕES'!$C$22,$E604))</f>
        <v/>
      </c>
      <c r="G604" s="30"/>
      <c r="H604" s="33"/>
      <c r="I604" s="33"/>
      <c r="J604" s="30"/>
      <c r="K604" s="33"/>
      <c r="L604" s="30"/>
      <c r="M604" s="33"/>
      <c r="N604" s="30"/>
      <c r="O604" s="33"/>
      <c r="P604" s="34" t="str">
        <f t="shared" si="65"/>
        <v/>
      </c>
      <c r="Q604" s="35" t="str">
        <f t="shared" si="66"/>
        <v/>
      </c>
      <c r="R604" s="35" t="str">
        <f t="shared" si="63"/>
        <v/>
      </c>
      <c r="S604" s="29" t="str">
        <f t="shared" si="67"/>
        <v/>
      </c>
      <c r="T604" s="13" t="str">
        <f t="shared" ca="1" si="68"/>
        <v/>
      </c>
      <c r="U604" s="29" t="str">
        <f ca="1">IF(OR($A604="",$F604=""),"",IF($R604&lt;&gt;"",IF($R604&lt;=$F604,"NO PRAZO","FORA DO PRAZO"),IF(TODAY()&gt;$F604,"VENCIDO",IF($F604-TODAY()&lt;='01. CONFIGURAÇÕES'!$C$23,"VENCE EM BREVE","EM DIA"))))</f>
        <v/>
      </c>
      <c r="V604" s="55" t="str">
        <f t="shared" si="69"/>
        <v/>
      </c>
      <c r="W604" s="30"/>
      <c r="X604" s="33"/>
    </row>
  </sheetData>
  <autoFilter ref="A4:X4"/>
  <mergeCells count="18">
    <mergeCell ref="AA1:AF1"/>
    <mergeCell ref="AA5:AF5"/>
    <mergeCell ref="AA10:AF10"/>
    <mergeCell ref="A2:X2"/>
    <mergeCell ref="AA13:AF13"/>
    <mergeCell ref="AA9:AF9"/>
    <mergeCell ref="A1:X1"/>
    <mergeCell ref="AA8:AF8"/>
    <mergeCell ref="AA3:AF3"/>
    <mergeCell ref="AA4:AF4"/>
    <mergeCell ref="AA12:AF12"/>
    <mergeCell ref="AA6:AF6"/>
    <mergeCell ref="AA2:AF2"/>
    <mergeCell ref="AA16:AF16"/>
    <mergeCell ref="AA15:AF15"/>
    <mergeCell ref="AA7:AF7"/>
    <mergeCell ref="AA11:AF11"/>
    <mergeCell ref="AA14:AF14"/>
  </mergeCells>
  <conditionalFormatting sqref="S5:S604">
    <cfRule type="cellIs" dxfId="69" priority="5" operator="equal">
      <formula>"MEDIDO"</formula>
    </cfRule>
    <cfRule type="cellIs" dxfId="68" priority="6" operator="equal">
      <formula>"CADASTRADO"</formula>
    </cfRule>
  </conditionalFormatting>
  <conditionalFormatting sqref="U5:U604">
    <cfRule type="cellIs" dxfId="67" priority="1" operator="equal">
      <formula>"VENCIDO"</formula>
    </cfRule>
    <cfRule type="cellIs" dxfId="66" priority="2" operator="equal">
      <formula>"VENCE EM BREVE"</formula>
    </cfRule>
    <cfRule type="cellIs" dxfId="65" priority="3" operator="equal">
      <formula>"FORA DO PRAZO"</formula>
    </cfRule>
    <cfRule type="cellIs" dxfId="64" priority="4" operator="equal">
      <formula>"NO PRAZO"</formula>
    </cfRule>
  </conditionalFormatting>
  <dataValidations count="8">
    <dataValidation type="list" allowBlank="1" showInputMessage="1" errorTitle="Entrada invalida" error="Valor fora da lista padronizada. Use a seta para escolher." promptTitle="Contrato" prompt="BERTIOGA ou SANTOS." sqref="B5:B604">
      <formula1>LST_CONTRATO</formula1>
    </dataValidation>
    <dataValidation type="list" allowBlank="1" errorTitle="Entrada invalida" error="Valor fora da lista padronizada. Use a seta para escolher." sqref="G5:G604">
      <formula1>LST_PRIORIDADE</formula1>
    </dataValidation>
    <dataValidation type="list" allowBlank="1" showInputMessage="1" errorTitle="Entrada invalida" error="Valor fora da lista padronizada. Use a seta para escolher." promptTitle="Tipo de serviço" prompt="Escolha na lista. Se faltar, inclua em 01. CONFIGURAÇÕES." sqref="O28:O33 H5:H604">
      <formula1>LST_TIPO</formula1>
    </dataValidation>
    <dataValidation type="list" allowBlank="1" errorTitle="Entrada invalida" error="Valor fora da lista padronizada. Use a seta para escolher." sqref="K5:K604">
      <formula1>LST_BAIRRO</formula1>
    </dataValidation>
    <dataValidation type="list" allowBlank="1" errorTitle="Entrada invalida" error="Valor fora da lista padronizada. Use a seta para escolher." sqref="N5:N604">
      <formula1>LST_PAVIMENTO</formula1>
    </dataValidation>
    <dataValidation type="list" allowBlank="1" showInputMessage="1" errorTitle="Entrada invalida" error="Valor fora da lista padronizada. Use a seta para escolher." promptTitle="Tratativa manual" prompt="Use só para CANCELADO / DEVOLVIDO À SABESP. Nos demais casos deixe vazio — o STATUS se calcula sozinho." sqref="W5:W604">
      <formula1>LST_STATUS_CAD</formula1>
    </dataValidation>
    <dataValidation type="date" allowBlank="1" errorTitle="Data invalida" error="Informe uma data valida (dd/mm/aaaa) entre 2026 e 2030." sqref="D5:D604">
      <formula1>DATE(2026,1,1)</formula1>
      <formula2>DATE(2030,12,31)</formula2>
    </dataValidation>
    <dataValidation type="decimal" allowBlank="1" errorTitle="Valor invalido" error="Informe um numero entre 0 e 365." sqref="E5:E604">
      <formula1>0</formula1>
      <formula2>365</formula2>
    </dataValidation>
  </dataValidations>
  <printOptions horizontalCentered="1"/>
  <pageMargins left="0.3" right="0.3" top="0.5" bottom="0.5" header="0.5" footer="0.5"/>
  <pageSetup paperSize="9" fitToHeight="0" orientation="landscape"/>
  <headerFooter>
    <oddFooter>&amp;L&amp;8 WCR Saneamento — Controle Operacional SABESP&amp;R&amp;8 Página &amp;P de &amp;N</oddFoot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2E75B6"/>
    <pageSetUpPr fitToPage="1"/>
  </sheetPr>
  <dimension ref="A1:Z904"/>
  <sheetViews>
    <sheetView showGridLines="0" topLeftCell="I1" workbookViewId="0">
      <pane ySplit="4" topLeftCell="A11" activePane="bottomLeft" state="frozen"/>
      <selection pane="bottomLeft" activeCell="A35" sqref="A35"/>
    </sheetView>
  </sheetViews>
  <sheetFormatPr defaultRowHeight="15" x14ac:dyDescent="0.25"/>
  <cols>
    <col min="1" max="2" width="12" style="109" customWidth="1"/>
    <col min="3" max="3" width="10" style="109" customWidth="1"/>
    <col min="4" max="4" width="6" style="109" customWidth="1"/>
    <col min="5" max="5" width="13" style="109" customWidth="1"/>
    <col min="6" max="6" width="30" style="109" customWidth="1"/>
    <col min="7" max="7" width="34" style="109" customWidth="1"/>
    <col min="8" max="8" width="22" style="109" customWidth="1"/>
    <col min="9" max="9" width="13" style="109" customWidth="1"/>
    <col min="10" max="10" width="12" style="109" customWidth="1"/>
    <col min="11" max="12" width="11" style="109" customWidth="1"/>
    <col min="13" max="13" width="13" style="109" customWidth="1"/>
    <col min="14" max="14" width="30" style="109" customWidth="1"/>
    <col min="15" max="15" width="14" style="109" customWidth="1"/>
    <col min="16" max="16" width="16" style="109" customWidth="1"/>
    <col min="17" max="17" width="13" style="109" customWidth="1"/>
    <col min="18" max="18" width="32" style="109" customWidth="1"/>
    <col min="21" max="26" width="10.42578125" style="109" customWidth="1"/>
  </cols>
  <sheetData>
    <row r="1" spans="1:26" ht="26.1" customHeight="1" x14ac:dyDescent="0.25">
      <c r="A1" s="151" t="s">
        <v>2534</v>
      </c>
      <c r="B1" s="149"/>
      <c r="C1" s="149"/>
      <c r="D1" s="149"/>
      <c r="E1" s="149"/>
      <c r="F1" s="149"/>
      <c r="G1" s="149"/>
      <c r="H1" s="149"/>
      <c r="I1" s="149"/>
      <c r="J1" s="149"/>
      <c r="K1" s="149"/>
      <c r="L1" s="149"/>
      <c r="M1" s="149"/>
      <c r="N1" s="149"/>
      <c r="O1" s="149"/>
      <c r="P1" s="149"/>
      <c r="Q1" s="149"/>
      <c r="R1" s="149"/>
      <c r="U1" s="154" t="s">
        <v>280</v>
      </c>
      <c r="V1" s="155"/>
      <c r="W1" s="155"/>
      <c r="X1" s="155"/>
      <c r="Y1" s="155"/>
      <c r="Z1" s="156"/>
    </row>
    <row r="2" spans="1:26" ht="14.1" customHeight="1" x14ac:dyDescent="0.25">
      <c r="A2" s="153" t="s">
        <v>2535</v>
      </c>
      <c r="B2" s="149"/>
      <c r="C2" s="149"/>
      <c r="D2" s="149"/>
      <c r="E2" s="149"/>
      <c r="F2" s="149"/>
      <c r="G2" s="149"/>
      <c r="H2" s="149"/>
      <c r="I2" s="149"/>
      <c r="J2" s="149"/>
      <c r="K2" s="149"/>
      <c r="L2" s="149"/>
      <c r="M2" s="149"/>
      <c r="N2" s="149"/>
      <c r="O2" s="149"/>
      <c r="P2" s="149"/>
      <c r="Q2" s="149"/>
      <c r="R2" s="149"/>
      <c r="U2" s="158" t="s">
        <v>67</v>
      </c>
      <c r="V2" s="155"/>
      <c r="W2" s="155"/>
      <c r="X2" s="155"/>
      <c r="Y2" s="155"/>
      <c r="Z2" s="156"/>
    </row>
    <row r="3" spans="1:26" x14ac:dyDescent="0.25">
      <c r="U3" s="158" t="s">
        <v>68</v>
      </c>
      <c r="V3" s="155"/>
      <c r="W3" s="155"/>
      <c r="X3" s="155"/>
      <c r="Y3" s="155"/>
      <c r="Z3" s="156"/>
    </row>
    <row r="4" spans="1:26" ht="32.1" customHeight="1" x14ac:dyDescent="0.25">
      <c r="A4" s="46" t="s">
        <v>2536</v>
      </c>
      <c r="B4" s="46" t="s">
        <v>591</v>
      </c>
      <c r="C4" s="46" t="s">
        <v>592</v>
      </c>
      <c r="D4" s="46" t="s">
        <v>2537</v>
      </c>
      <c r="E4" s="46" t="s">
        <v>2538</v>
      </c>
      <c r="F4" s="46" t="s">
        <v>916</v>
      </c>
      <c r="G4" s="46" t="s">
        <v>2422</v>
      </c>
      <c r="H4" s="46" t="s">
        <v>603</v>
      </c>
      <c r="I4" s="46" t="s">
        <v>593</v>
      </c>
      <c r="J4" s="46" t="s">
        <v>2421</v>
      </c>
      <c r="K4" s="46" t="s">
        <v>2539</v>
      </c>
      <c r="L4" s="46" t="s">
        <v>2540</v>
      </c>
      <c r="M4" s="46" t="s">
        <v>2429</v>
      </c>
      <c r="N4" s="46" t="s">
        <v>2541</v>
      </c>
      <c r="O4" s="46" t="s">
        <v>2542</v>
      </c>
      <c r="P4" s="46" t="s">
        <v>2543</v>
      </c>
      <c r="Q4" s="46" t="s">
        <v>2544</v>
      </c>
      <c r="R4" s="46" t="s">
        <v>561</v>
      </c>
      <c r="U4" s="157" t="s">
        <v>69</v>
      </c>
      <c r="V4" s="155"/>
      <c r="W4" s="155"/>
      <c r="X4" s="155"/>
      <c r="Y4" s="155"/>
      <c r="Z4" s="156"/>
    </row>
    <row r="5" spans="1:26" ht="63.75" customHeight="1" x14ac:dyDescent="0.25">
      <c r="A5" s="31">
        <v>46273</v>
      </c>
      <c r="B5" s="34" t="str">
        <f t="shared" ref="B5:B68" si="0">IFERROR(IF($E5="","",VLOOKUP($E5,CAD_TAB,2,FALSE)),"")</f>
        <v>BERTIOGA</v>
      </c>
      <c r="C5" s="30"/>
      <c r="D5" s="10">
        <v>1</v>
      </c>
      <c r="E5" s="30" t="s">
        <v>2545</v>
      </c>
      <c r="F5" s="36" t="str">
        <f t="shared" ref="F5:F68" si="1">IFERROR(IF($E5="","",VLOOKUP($E5,CAD_TAB,8,FALSE)),"")</f>
        <v>Vazamento de água não visível — rede</v>
      </c>
      <c r="G5" s="36" t="str">
        <f t="shared" ref="G5:G68" si="2">IFERROR(IF($E5="","",VLOOKUP($E5,CAD_TAB,9,FALSE)),"")</f>
        <v>Alameda Maua</v>
      </c>
      <c r="H5" s="36" t="str">
        <f t="shared" ref="H5:H68" si="3">IFERROR(IF($E5="","",VLOOKUP($E5,CAD_TAB,11,FALSE)),"")</f>
        <v>Boracéia</v>
      </c>
      <c r="I5" s="34" t="str">
        <f t="shared" ref="I5:I68" si="4">IFERROR(IF($E5="","",VLOOKUP($E5,CAD_TAB,7,FALSE)),"")</f>
        <v>URGENTE</v>
      </c>
      <c r="J5" s="35">
        <f t="shared" ref="J5:J68" si="5">IFERROR(IF($E5="","",VLOOKUP($E5,CAD_TAB,6,FALSE)),"")</f>
        <v>46272</v>
      </c>
      <c r="K5" s="49"/>
      <c r="L5" s="30" t="s">
        <v>634</v>
      </c>
      <c r="M5" s="31">
        <v>46273</v>
      </c>
      <c r="N5" s="33" t="s">
        <v>649</v>
      </c>
      <c r="O5" s="31"/>
      <c r="P5" s="29" t="str">
        <f t="shared" ref="P5:P68" si="6">IF($E5="","",IF($L5="SIM","EXECUTADO",IF($O5&lt;&gt;"","REPROGRAMADO",IF($L5="NÃO","NÃO EXECUTADO","PROGRAMADO"))))</f>
        <v>EXECUTADO</v>
      </c>
      <c r="Q5" s="29" t="str">
        <f t="shared" ref="Q5:Q68" si="7">IF($E5="","",IF($L5="SIM",IF($M5=$A5,"NO DIA","FORA DO DIA"),""))</f>
        <v>NO DIA</v>
      </c>
      <c r="R5" s="33"/>
      <c r="U5" s="157" t="s">
        <v>70</v>
      </c>
      <c r="V5" s="155"/>
      <c r="W5" s="155"/>
      <c r="X5" s="155"/>
      <c r="Y5" s="155"/>
      <c r="Z5" s="156"/>
    </row>
    <row r="6" spans="1:26" x14ac:dyDescent="0.25">
      <c r="A6" s="31">
        <v>46268</v>
      </c>
      <c r="B6" s="34" t="str">
        <f t="shared" si="0"/>
        <v>BERTIOGA</v>
      </c>
      <c r="C6" s="30"/>
      <c r="D6" s="10">
        <v>2</v>
      </c>
      <c r="E6" s="30" t="s">
        <v>2546</v>
      </c>
      <c r="F6" s="36" t="str">
        <f t="shared" si="1"/>
        <v>Vazamento de água não visível — rede</v>
      </c>
      <c r="G6" s="36" t="str">
        <f t="shared" si="2"/>
        <v>Rua Francisco Chaves</v>
      </c>
      <c r="H6" s="36" t="str">
        <f t="shared" si="3"/>
        <v>Jardim Vicente de Carvalho</v>
      </c>
      <c r="I6" s="34" t="str">
        <f t="shared" si="4"/>
        <v>URGENTE</v>
      </c>
      <c r="J6" s="35">
        <f t="shared" si="5"/>
        <v>46272</v>
      </c>
      <c r="K6" s="49"/>
      <c r="L6" s="30" t="s">
        <v>634</v>
      </c>
      <c r="M6" s="31">
        <v>46268</v>
      </c>
      <c r="N6" s="33"/>
      <c r="O6" s="31"/>
      <c r="P6" s="29" t="str">
        <f t="shared" si="6"/>
        <v>EXECUTADO</v>
      </c>
      <c r="Q6" s="29" t="str">
        <f t="shared" si="7"/>
        <v>NO DIA</v>
      </c>
      <c r="R6" s="33"/>
      <c r="U6" s="157" t="s">
        <v>71</v>
      </c>
      <c r="V6" s="155"/>
      <c r="W6" s="155"/>
      <c r="X6" s="155"/>
      <c r="Y6" s="155"/>
      <c r="Z6" s="156"/>
    </row>
    <row r="7" spans="1:26" x14ac:dyDescent="0.25">
      <c r="A7" s="31">
        <v>46268</v>
      </c>
      <c r="B7" s="34" t="str">
        <f t="shared" si="0"/>
        <v>BERTIOGA</v>
      </c>
      <c r="C7" s="30"/>
      <c r="D7" s="10">
        <v>3</v>
      </c>
      <c r="E7" s="30" t="s">
        <v>2547</v>
      </c>
      <c r="F7" s="36" t="str">
        <f t="shared" si="1"/>
        <v>Troca de ramal de água</v>
      </c>
      <c r="G7" s="36" t="str">
        <f t="shared" si="2"/>
        <v>Alameda Agapanthos</v>
      </c>
      <c r="H7" s="36" t="str">
        <f t="shared" si="3"/>
        <v>Boracéia</v>
      </c>
      <c r="I7" s="34" t="str">
        <f t="shared" si="4"/>
        <v>NORMAL</v>
      </c>
      <c r="J7" s="35">
        <f t="shared" si="5"/>
        <v>46272</v>
      </c>
      <c r="K7" s="49"/>
      <c r="L7" s="30" t="s">
        <v>634</v>
      </c>
      <c r="M7" s="31">
        <v>46268</v>
      </c>
      <c r="N7" s="33"/>
      <c r="O7" s="31"/>
      <c r="P7" s="29" t="str">
        <f t="shared" si="6"/>
        <v>EXECUTADO</v>
      </c>
      <c r="Q7" s="29" t="str">
        <f t="shared" si="7"/>
        <v>NO DIA</v>
      </c>
      <c r="R7" s="33"/>
      <c r="U7" s="157" t="s">
        <v>72</v>
      </c>
      <c r="V7" s="155"/>
      <c r="W7" s="155"/>
      <c r="X7" s="155"/>
      <c r="Y7" s="155"/>
      <c r="Z7" s="156"/>
    </row>
    <row r="8" spans="1:26" x14ac:dyDescent="0.25">
      <c r="A8" s="31">
        <v>46268</v>
      </c>
      <c r="B8" s="34" t="str">
        <f t="shared" si="0"/>
        <v>BERTIOGA</v>
      </c>
      <c r="C8" s="30"/>
      <c r="D8" s="10">
        <v>4</v>
      </c>
      <c r="E8" s="30" t="s">
        <v>2548</v>
      </c>
      <c r="F8" s="36" t="str">
        <f t="shared" si="1"/>
        <v>Vazamento de água não visível — ramal</v>
      </c>
      <c r="G8" s="36" t="str">
        <f t="shared" si="2"/>
        <v>Alameda Paranapiacaba</v>
      </c>
      <c r="H8" s="36" t="str">
        <f t="shared" si="3"/>
        <v>Boracéia</v>
      </c>
      <c r="I8" s="34" t="str">
        <f t="shared" si="4"/>
        <v>URGENTE</v>
      </c>
      <c r="J8" s="35">
        <f t="shared" si="5"/>
        <v>46272</v>
      </c>
      <c r="K8" s="49"/>
      <c r="L8" s="30" t="s">
        <v>634</v>
      </c>
      <c r="M8" s="31">
        <v>46268</v>
      </c>
      <c r="N8" s="33"/>
      <c r="O8" s="31"/>
      <c r="P8" s="29" t="str">
        <f t="shared" si="6"/>
        <v>EXECUTADO</v>
      </c>
      <c r="Q8" s="29" t="str">
        <f t="shared" si="7"/>
        <v>NO DIA</v>
      </c>
      <c r="R8" s="33"/>
      <c r="U8" s="157" t="s">
        <v>73</v>
      </c>
      <c r="V8" s="155"/>
      <c r="W8" s="155"/>
      <c r="X8" s="155"/>
      <c r="Y8" s="155"/>
      <c r="Z8" s="156"/>
    </row>
    <row r="9" spans="1:26" x14ac:dyDescent="0.25">
      <c r="A9" s="31">
        <v>46268</v>
      </c>
      <c r="B9" s="34" t="str">
        <f t="shared" si="0"/>
        <v>BERTIOGA</v>
      </c>
      <c r="C9" s="30"/>
      <c r="D9" s="10">
        <v>5</v>
      </c>
      <c r="E9" s="30" t="s">
        <v>2549</v>
      </c>
      <c r="F9" s="36" t="str">
        <f t="shared" si="1"/>
        <v>Vazamento de água não visível — ramal</v>
      </c>
      <c r="G9" s="36" t="str">
        <f t="shared" si="2"/>
        <v>Alameda Rio Grande da Serra</v>
      </c>
      <c r="H9" s="36" t="str">
        <f t="shared" si="3"/>
        <v>Boracéia</v>
      </c>
      <c r="I9" s="34" t="str">
        <f t="shared" si="4"/>
        <v>URGENTE</v>
      </c>
      <c r="J9" s="35">
        <f t="shared" si="5"/>
        <v>46272</v>
      </c>
      <c r="K9" s="49"/>
      <c r="L9" s="30" t="s">
        <v>634</v>
      </c>
      <c r="M9" s="31">
        <v>46268</v>
      </c>
      <c r="N9" s="33"/>
      <c r="O9" s="31"/>
      <c r="P9" s="29" t="str">
        <f t="shared" si="6"/>
        <v>EXECUTADO</v>
      </c>
      <c r="Q9" s="29" t="str">
        <f t="shared" si="7"/>
        <v>NO DIA</v>
      </c>
      <c r="R9" s="33"/>
      <c r="U9" s="157" t="s">
        <v>74</v>
      </c>
      <c r="V9" s="155"/>
      <c r="W9" s="155"/>
      <c r="X9" s="155"/>
      <c r="Y9" s="155"/>
      <c r="Z9" s="156"/>
    </row>
    <row r="10" spans="1:26" x14ac:dyDescent="0.25">
      <c r="A10" s="31">
        <v>46268</v>
      </c>
      <c r="B10" s="34" t="str">
        <f t="shared" si="0"/>
        <v>BERTIOGA</v>
      </c>
      <c r="C10" s="30"/>
      <c r="D10" s="10">
        <v>6</v>
      </c>
      <c r="E10" s="30" t="s">
        <v>2550</v>
      </c>
      <c r="F10" s="36" t="str">
        <f t="shared" si="1"/>
        <v>Troca de ramal de água</v>
      </c>
      <c r="G10" s="36" t="str">
        <f t="shared" si="2"/>
        <v>Rua Prolongada Oswaldo Cruz</v>
      </c>
      <c r="H10" s="36" t="str">
        <f t="shared" si="3"/>
        <v>Jardim Vicente de Carvalho</v>
      </c>
      <c r="I10" s="34" t="str">
        <f t="shared" si="4"/>
        <v>NORMAL</v>
      </c>
      <c r="J10" s="35">
        <f t="shared" si="5"/>
        <v>46272</v>
      </c>
      <c r="K10" s="49"/>
      <c r="L10" s="30" t="s">
        <v>634</v>
      </c>
      <c r="M10" s="31">
        <v>46268</v>
      </c>
      <c r="N10" s="33"/>
      <c r="O10" s="31"/>
      <c r="P10" s="29" t="str">
        <f t="shared" si="6"/>
        <v>EXECUTADO</v>
      </c>
      <c r="Q10" s="29" t="str">
        <f t="shared" si="7"/>
        <v>NO DIA</v>
      </c>
      <c r="R10" s="33"/>
      <c r="U10" s="158" t="s">
        <v>75</v>
      </c>
      <c r="V10" s="155"/>
      <c r="W10" s="155"/>
      <c r="X10" s="155"/>
      <c r="Y10" s="155"/>
      <c r="Z10" s="156"/>
    </row>
    <row r="11" spans="1:26" ht="25.5" customHeight="1" x14ac:dyDescent="0.25">
      <c r="A11" s="31">
        <v>46267</v>
      </c>
      <c r="B11" s="34" t="str">
        <f t="shared" si="0"/>
        <v>BERTIOGA</v>
      </c>
      <c r="C11" s="30"/>
      <c r="D11" s="10">
        <v>7</v>
      </c>
      <c r="E11" s="30" t="s">
        <v>2551</v>
      </c>
      <c r="F11" s="36" t="str">
        <f t="shared" si="1"/>
        <v>Troca de ramal de água</v>
      </c>
      <c r="G11" s="36" t="str">
        <f t="shared" si="2"/>
        <v>Rua Prolongada Oswaldo Cruz</v>
      </c>
      <c r="H11" s="36" t="str">
        <f t="shared" si="3"/>
        <v>Jardim Vicente de Carvalho</v>
      </c>
      <c r="I11" s="34" t="str">
        <f t="shared" si="4"/>
        <v>NORMAL</v>
      </c>
      <c r="J11" s="35">
        <f t="shared" si="5"/>
        <v>46272</v>
      </c>
      <c r="K11" s="49"/>
      <c r="L11" s="30" t="s">
        <v>634</v>
      </c>
      <c r="M11" s="31">
        <v>46276</v>
      </c>
      <c r="N11" s="33"/>
      <c r="O11" s="31"/>
      <c r="P11" s="29" t="str">
        <f t="shared" si="6"/>
        <v>EXECUTADO</v>
      </c>
      <c r="Q11" s="29" t="str">
        <f t="shared" si="7"/>
        <v>FORA DO DIA</v>
      </c>
      <c r="R11" s="33"/>
      <c r="U11" s="157" t="s">
        <v>76</v>
      </c>
      <c r="V11" s="155"/>
      <c r="W11" s="155"/>
      <c r="X11" s="155"/>
      <c r="Y11" s="155"/>
      <c r="Z11" s="156"/>
    </row>
    <row r="12" spans="1:26" ht="25.5" customHeight="1" x14ac:dyDescent="0.25">
      <c r="A12" s="31">
        <v>46267</v>
      </c>
      <c r="B12" s="34" t="str">
        <f t="shared" si="0"/>
        <v>BERTIOGA</v>
      </c>
      <c r="C12" s="30"/>
      <c r="D12" s="10">
        <v>8</v>
      </c>
      <c r="E12" s="30" t="s">
        <v>2552</v>
      </c>
      <c r="F12" s="36" t="str">
        <f t="shared" si="1"/>
        <v>Vazamento de água não visível — ramal</v>
      </c>
      <c r="G12" s="36" t="str">
        <f t="shared" si="2"/>
        <v>Alameda Paranapiacaba</v>
      </c>
      <c r="H12" s="36" t="str">
        <f t="shared" si="3"/>
        <v>Boracéia</v>
      </c>
      <c r="I12" s="34" t="str">
        <f t="shared" si="4"/>
        <v>URGENTE</v>
      </c>
      <c r="J12" s="35">
        <f t="shared" si="5"/>
        <v>46272</v>
      </c>
      <c r="K12" s="49"/>
      <c r="L12" s="30" t="s">
        <v>634</v>
      </c>
      <c r="M12" s="31">
        <v>46269</v>
      </c>
      <c r="N12" s="33"/>
      <c r="O12" s="31"/>
      <c r="P12" s="29" t="str">
        <f t="shared" si="6"/>
        <v>EXECUTADO</v>
      </c>
      <c r="Q12" s="29" t="str">
        <f t="shared" si="7"/>
        <v>FORA DO DIA</v>
      </c>
      <c r="R12" s="33"/>
      <c r="U12" s="157" t="s">
        <v>77</v>
      </c>
      <c r="V12" s="155"/>
      <c r="W12" s="155"/>
      <c r="X12" s="155"/>
      <c r="Y12" s="155"/>
      <c r="Z12" s="156"/>
    </row>
    <row r="13" spans="1:26" x14ac:dyDescent="0.25">
      <c r="A13" s="31">
        <v>46269</v>
      </c>
      <c r="B13" s="34" t="str">
        <f t="shared" si="0"/>
        <v>BERTIOGA</v>
      </c>
      <c r="C13" s="30"/>
      <c r="D13" s="10">
        <v>9</v>
      </c>
      <c r="E13" s="30" t="s">
        <v>2553</v>
      </c>
      <c r="F13" s="36" t="str">
        <f t="shared" si="1"/>
        <v>Vazamento de água não visível — ramal</v>
      </c>
      <c r="G13" s="36" t="str">
        <f t="shared" si="2"/>
        <v>Rua dos Anjos Antiga Projetada 1B</v>
      </c>
      <c r="H13" s="36" t="str">
        <f t="shared" si="3"/>
        <v>Jardim Vicente de Carvalho</v>
      </c>
      <c r="I13" s="34" t="str">
        <f t="shared" si="4"/>
        <v>URGENTE</v>
      </c>
      <c r="J13" s="35">
        <f t="shared" si="5"/>
        <v>46272</v>
      </c>
      <c r="K13" s="49"/>
      <c r="L13" s="30" t="s">
        <v>634</v>
      </c>
      <c r="M13" s="31">
        <v>46269</v>
      </c>
      <c r="N13" s="33"/>
      <c r="O13" s="31"/>
      <c r="P13" s="29" t="str">
        <f t="shared" si="6"/>
        <v>EXECUTADO</v>
      </c>
      <c r="Q13" s="29" t="str">
        <f t="shared" si="7"/>
        <v>NO DIA</v>
      </c>
      <c r="R13" s="33"/>
      <c r="U13" s="157" t="s">
        <v>78</v>
      </c>
      <c r="V13" s="155"/>
      <c r="W13" s="155"/>
      <c r="X13" s="155"/>
      <c r="Y13" s="155"/>
      <c r="Z13" s="156"/>
    </row>
    <row r="14" spans="1:26" x14ac:dyDescent="0.25">
      <c r="A14" s="31">
        <v>46269</v>
      </c>
      <c r="B14" s="34" t="str">
        <f t="shared" si="0"/>
        <v>BERTIOGA</v>
      </c>
      <c r="C14" s="30"/>
      <c r="D14" s="10">
        <v>10</v>
      </c>
      <c r="E14" s="30" t="s">
        <v>2554</v>
      </c>
      <c r="F14" s="36" t="str">
        <f t="shared" si="1"/>
        <v>Troca de ramal de água</v>
      </c>
      <c r="G14" s="36" t="str">
        <f t="shared" si="2"/>
        <v>Alameda Paranapiacaba</v>
      </c>
      <c r="H14" s="36" t="str">
        <f t="shared" si="3"/>
        <v>Boracéia</v>
      </c>
      <c r="I14" s="34" t="str">
        <f t="shared" si="4"/>
        <v>NORMAL</v>
      </c>
      <c r="J14" s="35">
        <f t="shared" si="5"/>
        <v>46273</v>
      </c>
      <c r="K14" s="49"/>
      <c r="L14" s="30" t="s">
        <v>634</v>
      </c>
      <c r="M14" s="31">
        <v>46269</v>
      </c>
      <c r="N14" s="33"/>
      <c r="O14" s="31"/>
      <c r="P14" s="29" t="str">
        <f t="shared" si="6"/>
        <v>EXECUTADO</v>
      </c>
      <c r="Q14" s="29" t="str">
        <f t="shared" si="7"/>
        <v>NO DIA</v>
      </c>
      <c r="R14" s="33"/>
      <c r="U14" s="157" t="s">
        <v>79</v>
      </c>
      <c r="V14" s="155"/>
      <c r="W14" s="155"/>
      <c r="X14" s="155"/>
      <c r="Y14" s="155"/>
      <c r="Z14" s="156"/>
    </row>
    <row r="15" spans="1:26" x14ac:dyDescent="0.25">
      <c r="A15" s="31">
        <v>46269</v>
      </c>
      <c r="B15" s="34" t="str">
        <f t="shared" si="0"/>
        <v>BERTIOGA</v>
      </c>
      <c r="C15" s="30"/>
      <c r="D15" s="10">
        <v>11</v>
      </c>
      <c r="E15" s="30" t="s">
        <v>2555</v>
      </c>
      <c r="F15" s="36" t="str">
        <f t="shared" si="1"/>
        <v>Troca de ramal de água</v>
      </c>
      <c r="G15" s="36" t="str">
        <f t="shared" si="2"/>
        <v>Alameda Paranapiacaba</v>
      </c>
      <c r="H15" s="36" t="str">
        <f t="shared" si="3"/>
        <v>Boracéia</v>
      </c>
      <c r="I15" s="34" t="str">
        <f t="shared" si="4"/>
        <v>NORMAL</v>
      </c>
      <c r="J15" s="35">
        <f t="shared" si="5"/>
        <v>46273</v>
      </c>
      <c r="K15" s="49"/>
      <c r="L15" s="30" t="s">
        <v>634</v>
      </c>
      <c r="M15" s="31">
        <v>46269</v>
      </c>
      <c r="N15" s="33"/>
      <c r="O15" s="31"/>
      <c r="P15" s="29" t="str">
        <f t="shared" si="6"/>
        <v>EXECUTADO</v>
      </c>
      <c r="Q15" s="29" t="str">
        <f t="shared" si="7"/>
        <v>NO DIA</v>
      </c>
      <c r="R15" s="33"/>
      <c r="U15" s="157" t="s">
        <v>80</v>
      </c>
      <c r="V15" s="155"/>
      <c r="W15" s="155"/>
      <c r="X15" s="155"/>
      <c r="Y15" s="155"/>
      <c r="Z15" s="156"/>
    </row>
    <row r="16" spans="1:26" x14ac:dyDescent="0.25">
      <c r="A16" s="31">
        <v>46269</v>
      </c>
      <c r="B16" s="34" t="str">
        <f t="shared" si="0"/>
        <v>BERTIOGA</v>
      </c>
      <c r="C16" s="30"/>
      <c r="D16" s="10">
        <v>12</v>
      </c>
      <c r="E16" s="30" t="s">
        <v>2556</v>
      </c>
      <c r="F16" s="36" t="str">
        <f t="shared" si="1"/>
        <v>Vazamento de água não visível — rede</v>
      </c>
      <c r="G16" s="36" t="str">
        <f t="shared" si="2"/>
        <v>Avenida Tupi Guarani</v>
      </c>
      <c r="H16" s="36" t="str">
        <f t="shared" si="3"/>
        <v>Boracéia</v>
      </c>
      <c r="I16" s="34" t="str">
        <f t="shared" si="4"/>
        <v>URGENTE</v>
      </c>
      <c r="J16" s="35">
        <f t="shared" si="5"/>
        <v>46273</v>
      </c>
      <c r="K16" s="49"/>
      <c r="L16" s="30" t="s">
        <v>634</v>
      </c>
      <c r="M16" s="31">
        <v>46269</v>
      </c>
      <c r="N16" s="33"/>
      <c r="O16" s="31"/>
      <c r="P16" s="29" t="str">
        <f t="shared" si="6"/>
        <v>EXECUTADO</v>
      </c>
      <c r="Q16" s="29" t="str">
        <f t="shared" si="7"/>
        <v>NO DIA</v>
      </c>
      <c r="R16" s="33"/>
    </row>
    <row r="17" spans="1:18" x14ac:dyDescent="0.25">
      <c r="A17" s="31">
        <v>46273</v>
      </c>
      <c r="B17" s="34" t="str">
        <f t="shared" si="0"/>
        <v>BERTIOGA</v>
      </c>
      <c r="C17" s="30"/>
      <c r="D17" s="10">
        <v>13</v>
      </c>
      <c r="E17" s="30" t="s">
        <v>2557</v>
      </c>
      <c r="F17" s="36" t="str">
        <f t="shared" si="1"/>
        <v>Troca de ramal de água</v>
      </c>
      <c r="G17" s="36" t="str">
        <f t="shared" si="2"/>
        <v>Rua Seis</v>
      </c>
      <c r="H17" s="36" t="str">
        <f t="shared" si="3"/>
        <v>Albatroz II</v>
      </c>
      <c r="I17" s="34" t="str">
        <f t="shared" si="4"/>
        <v>NORMAL</v>
      </c>
      <c r="J17" s="35">
        <f t="shared" si="5"/>
        <v>46278</v>
      </c>
      <c r="K17" s="49"/>
      <c r="L17" s="30" t="s">
        <v>634</v>
      </c>
      <c r="M17" s="31">
        <v>46273</v>
      </c>
      <c r="N17" s="33"/>
      <c r="O17" s="31"/>
      <c r="P17" s="29" t="str">
        <f t="shared" si="6"/>
        <v>EXECUTADO</v>
      </c>
      <c r="Q17" s="29" t="str">
        <f t="shared" si="7"/>
        <v>NO DIA</v>
      </c>
      <c r="R17" s="33"/>
    </row>
    <row r="18" spans="1:18" x14ac:dyDescent="0.25">
      <c r="A18" s="31">
        <v>46273</v>
      </c>
      <c r="B18" s="34" t="str">
        <f t="shared" si="0"/>
        <v>BERTIOGA</v>
      </c>
      <c r="C18" s="30"/>
      <c r="D18" s="10">
        <v>14</v>
      </c>
      <c r="E18" s="30" t="s">
        <v>2558</v>
      </c>
      <c r="F18" s="36" t="str">
        <f t="shared" si="1"/>
        <v>Vazamento pé do cavalete</v>
      </c>
      <c r="G18" s="36" t="str">
        <f t="shared" si="2"/>
        <v>Rua Seis</v>
      </c>
      <c r="H18" s="36" t="str">
        <f t="shared" si="3"/>
        <v>Albatroz II</v>
      </c>
      <c r="I18" s="34" t="str">
        <f t="shared" si="4"/>
        <v>URGENTE</v>
      </c>
      <c r="J18" s="35">
        <f t="shared" si="5"/>
        <v>46278</v>
      </c>
      <c r="K18" s="49"/>
      <c r="L18" s="30" t="s">
        <v>634</v>
      </c>
      <c r="M18" s="31">
        <v>46273</v>
      </c>
      <c r="N18" s="33"/>
      <c r="O18" s="31"/>
      <c r="P18" s="29" t="str">
        <f t="shared" si="6"/>
        <v>EXECUTADO</v>
      </c>
      <c r="Q18" s="29" t="str">
        <f t="shared" si="7"/>
        <v>NO DIA</v>
      </c>
      <c r="R18" s="33"/>
    </row>
    <row r="19" spans="1:18" x14ac:dyDescent="0.25">
      <c r="A19" s="31">
        <v>46273</v>
      </c>
      <c r="B19" s="34" t="str">
        <f t="shared" si="0"/>
        <v>BERTIOGA</v>
      </c>
      <c r="C19" s="30"/>
      <c r="D19" s="10">
        <v>15</v>
      </c>
      <c r="E19" s="30" t="s">
        <v>2559</v>
      </c>
      <c r="F19" s="36" t="str">
        <f t="shared" si="1"/>
        <v>Vazamento no ferrule</v>
      </c>
      <c r="G19" s="36" t="str">
        <f t="shared" si="2"/>
        <v>Rua C</v>
      </c>
      <c r="H19" s="36" t="str">
        <f t="shared" si="3"/>
        <v>Ana Paula</v>
      </c>
      <c r="I19" s="34" t="str">
        <f t="shared" si="4"/>
        <v>URGENTE</v>
      </c>
      <c r="J19" s="35">
        <f t="shared" si="5"/>
        <v>46278</v>
      </c>
      <c r="K19" s="49"/>
      <c r="L19" s="30" t="s">
        <v>634</v>
      </c>
      <c r="M19" s="31">
        <v>46273</v>
      </c>
      <c r="N19" s="33"/>
      <c r="O19" s="31"/>
      <c r="P19" s="29" t="str">
        <f t="shared" si="6"/>
        <v>EXECUTADO</v>
      </c>
      <c r="Q19" s="29" t="str">
        <f t="shared" si="7"/>
        <v>NO DIA</v>
      </c>
      <c r="R19" s="33"/>
    </row>
    <row r="20" spans="1:18" ht="25.5" customHeight="1" x14ac:dyDescent="0.25">
      <c r="A20" s="31">
        <v>46273</v>
      </c>
      <c r="B20" s="34" t="str">
        <f t="shared" si="0"/>
        <v>BERTIOGA</v>
      </c>
      <c r="C20" s="30"/>
      <c r="D20" s="10">
        <v>16</v>
      </c>
      <c r="E20" s="30" t="s">
        <v>2560</v>
      </c>
      <c r="F20" s="36" t="str">
        <f t="shared" si="1"/>
        <v>Vazamento de água não visível — ramal</v>
      </c>
      <c r="G20" s="36" t="str">
        <f t="shared" si="2"/>
        <v>Rua Aprovada 101</v>
      </c>
      <c r="H20" s="36" t="str">
        <f t="shared" si="3"/>
        <v>Ana Paula</v>
      </c>
      <c r="I20" s="34" t="str">
        <f t="shared" si="4"/>
        <v>URGENTE</v>
      </c>
      <c r="J20" s="35">
        <f t="shared" si="5"/>
        <v>46278</v>
      </c>
      <c r="K20" s="49"/>
      <c r="L20" s="30" t="s">
        <v>634</v>
      </c>
      <c r="M20" s="31">
        <v>46276</v>
      </c>
      <c r="N20" s="33"/>
      <c r="O20" s="31"/>
      <c r="P20" s="29" t="str">
        <f t="shared" si="6"/>
        <v>EXECUTADO</v>
      </c>
      <c r="Q20" s="29" t="str">
        <f t="shared" si="7"/>
        <v>FORA DO DIA</v>
      </c>
      <c r="R20" s="33"/>
    </row>
    <row r="21" spans="1:18" x14ac:dyDescent="0.25">
      <c r="A21" s="31">
        <v>46274</v>
      </c>
      <c r="B21" s="34" t="str">
        <f t="shared" si="0"/>
        <v>BERTIOGA</v>
      </c>
      <c r="C21" s="30"/>
      <c r="D21" s="10">
        <v>17</v>
      </c>
      <c r="E21" s="30" t="s">
        <v>2561</v>
      </c>
      <c r="F21" s="36" t="str">
        <f t="shared" si="1"/>
        <v>Vazamento pé do cavalete</v>
      </c>
      <c r="G21" s="36" t="str">
        <f t="shared" si="2"/>
        <v>Rua Manoel Gajo</v>
      </c>
      <c r="H21" s="36" t="str">
        <f t="shared" si="3"/>
        <v>Centro</v>
      </c>
      <c r="I21" s="34" t="str">
        <f t="shared" si="4"/>
        <v>URGENTE</v>
      </c>
      <c r="J21" s="35">
        <f t="shared" si="5"/>
        <v>46278</v>
      </c>
      <c r="K21" s="49"/>
      <c r="L21" s="30" t="s">
        <v>634</v>
      </c>
      <c r="M21" s="31">
        <v>46274</v>
      </c>
      <c r="N21" s="33"/>
      <c r="O21" s="31"/>
      <c r="P21" s="29" t="str">
        <f t="shared" si="6"/>
        <v>EXECUTADO</v>
      </c>
      <c r="Q21" s="29" t="str">
        <f t="shared" si="7"/>
        <v>NO DIA</v>
      </c>
      <c r="R21" s="33"/>
    </row>
    <row r="22" spans="1:18" x14ac:dyDescent="0.25">
      <c r="A22" s="31">
        <v>46274</v>
      </c>
      <c r="B22" s="34" t="str">
        <f t="shared" si="0"/>
        <v>BERTIOGA</v>
      </c>
      <c r="C22" s="30"/>
      <c r="D22" s="10">
        <v>18</v>
      </c>
      <c r="E22" s="30" t="s">
        <v>2562</v>
      </c>
      <c r="F22" s="36" t="str">
        <f t="shared" si="1"/>
        <v>Vazamento pé do cavalete</v>
      </c>
      <c r="G22" s="36" t="str">
        <f t="shared" si="2"/>
        <v>Rua Oswaldo de Salles Pereira</v>
      </c>
      <c r="H22" s="36" t="str">
        <f t="shared" si="3"/>
        <v>Centro</v>
      </c>
      <c r="I22" s="34" t="str">
        <f t="shared" si="4"/>
        <v>URGENTE</v>
      </c>
      <c r="J22" s="35">
        <f t="shared" si="5"/>
        <v>46278</v>
      </c>
      <c r="K22" s="49"/>
      <c r="L22" s="30" t="s">
        <v>634</v>
      </c>
      <c r="M22" s="31">
        <v>46274</v>
      </c>
      <c r="N22" s="33"/>
      <c r="O22" s="31"/>
      <c r="P22" s="29" t="str">
        <f t="shared" si="6"/>
        <v>EXECUTADO</v>
      </c>
      <c r="Q22" s="29" t="str">
        <f t="shared" si="7"/>
        <v>NO DIA</v>
      </c>
      <c r="R22" s="33"/>
    </row>
    <row r="23" spans="1:18" x14ac:dyDescent="0.25">
      <c r="A23" s="31">
        <v>46273</v>
      </c>
      <c r="B23" s="34" t="str">
        <f t="shared" si="0"/>
        <v>BERTIOGA</v>
      </c>
      <c r="C23" s="30"/>
      <c r="D23" s="10">
        <v>19</v>
      </c>
      <c r="E23" s="30" t="s">
        <v>2563</v>
      </c>
      <c r="F23" s="36" t="str">
        <f t="shared" si="1"/>
        <v>Vazamento no ferrule</v>
      </c>
      <c r="G23" s="36" t="str">
        <f t="shared" si="2"/>
        <v>Rua Samuel Alves Levino</v>
      </c>
      <c r="H23" s="36" t="str">
        <f t="shared" si="3"/>
        <v>Rio da Praia</v>
      </c>
      <c r="I23" s="34" t="str">
        <f t="shared" si="4"/>
        <v>URGENTE</v>
      </c>
      <c r="J23" s="35">
        <f t="shared" si="5"/>
        <v>46278</v>
      </c>
      <c r="K23" s="49"/>
      <c r="L23" s="30" t="s">
        <v>634</v>
      </c>
      <c r="M23" s="31">
        <v>46276</v>
      </c>
      <c r="N23" s="33"/>
      <c r="O23" s="31"/>
      <c r="P23" s="29" t="str">
        <f t="shared" si="6"/>
        <v>EXECUTADO</v>
      </c>
      <c r="Q23" s="29" t="str">
        <f t="shared" si="7"/>
        <v>FORA DO DIA</v>
      </c>
      <c r="R23" s="33"/>
    </row>
    <row r="24" spans="1:18" x14ac:dyDescent="0.25">
      <c r="A24" s="31">
        <v>46273</v>
      </c>
      <c r="B24" s="34" t="str">
        <f t="shared" si="0"/>
        <v>BERTIOGA</v>
      </c>
      <c r="C24" s="30"/>
      <c r="D24" s="10">
        <v>20</v>
      </c>
      <c r="E24" s="30" t="s">
        <v>2564</v>
      </c>
      <c r="F24" s="36" t="str">
        <f t="shared" si="1"/>
        <v>Vazamento pé do cavalete</v>
      </c>
      <c r="G24" s="36" t="str">
        <f t="shared" si="2"/>
        <v>Rua Renata Pereira Costa</v>
      </c>
      <c r="H24" s="36" t="str">
        <f t="shared" si="3"/>
        <v>Rio da Praia</v>
      </c>
      <c r="I24" s="34" t="str">
        <f t="shared" si="4"/>
        <v>URGENTE</v>
      </c>
      <c r="J24" s="35">
        <f t="shared" si="5"/>
        <v>46278</v>
      </c>
      <c r="K24" s="49"/>
      <c r="L24" s="30" t="s">
        <v>634</v>
      </c>
      <c r="M24" s="31">
        <v>46276</v>
      </c>
      <c r="N24" s="33"/>
      <c r="O24" s="31"/>
      <c r="P24" s="29" t="str">
        <f t="shared" si="6"/>
        <v>EXECUTADO</v>
      </c>
      <c r="Q24" s="29" t="str">
        <f t="shared" si="7"/>
        <v>FORA DO DIA</v>
      </c>
      <c r="R24" s="33"/>
    </row>
    <row r="25" spans="1:18" x14ac:dyDescent="0.25">
      <c r="A25" s="31">
        <v>46273</v>
      </c>
      <c r="B25" s="34" t="str">
        <f t="shared" si="0"/>
        <v>BERTIOGA</v>
      </c>
      <c r="C25" s="30"/>
      <c r="D25" s="10">
        <v>21</v>
      </c>
      <c r="E25" s="30" t="s">
        <v>2565</v>
      </c>
      <c r="F25" s="36" t="str">
        <f t="shared" si="1"/>
        <v>Vazamento pé do cavalete</v>
      </c>
      <c r="G25" s="36" t="str">
        <f t="shared" si="2"/>
        <v>Rua Jair Miranda (antiga rua 5)</v>
      </c>
      <c r="H25" s="36" t="str">
        <f t="shared" si="3"/>
        <v>Albatroz II</v>
      </c>
      <c r="I25" s="34" t="str">
        <f t="shared" si="4"/>
        <v>URGENTE</v>
      </c>
      <c r="J25" s="35">
        <f t="shared" si="5"/>
        <v>46278</v>
      </c>
      <c r="K25" s="49"/>
      <c r="L25" s="30" t="s">
        <v>656</v>
      </c>
      <c r="M25" s="31"/>
      <c r="N25" s="33" t="s">
        <v>649</v>
      </c>
      <c r="O25" s="31"/>
      <c r="P25" s="29" t="str">
        <f t="shared" si="6"/>
        <v>NÃO EXECUTADO</v>
      </c>
      <c r="Q25" s="29" t="str">
        <f t="shared" si="7"/>
        <v/>
      </c>
      <c r="R25" s="33"/>
    </row>
    <row r="26" spans="1:18" ht="25.5" customHeight="1" x14ac:dyDescent="0.25">
      <c r="A26" s="31">
        <v>46273</v>
      </c>
      <c r="B26" s="34" t="str">
        <f t="shared" si="0"/>
        <v>BERTIOGA</v>
      </c>
      <c r="C26" s="30"/>
      <c r="D26" s="10">
        <v>22</v>
      </c>
      <c r="E26" s="30" t="s">
        <v>2566</v>
      </c>
      <c r="F26" s="36" t="str">
        <f t="shared" si="1"/>
        <v>Vazamento pé do cavalete</v>
      </c>
      <c r="G26" s="36" t="str">
        <f t="shared" si="2"/>
        <v>Rua Professor José Benevenuto Madureira</v>
      </c>
      <c r="H26" s="36" t="str">
        <f t="shared" si="3"/>
        <v>Rio da Praia</v>
      </c>
      <c r="I26" s="34" t="str">
        <f t="shared" si="4"/>
        <v>URGENTE</v>
      </c>
      <c r="J26" s="35">
        <f t="shared" si="5"/>
        <v>46278</v>
      </c>
      <c r="K26" s="49"/>
      <c r="L26" s="30" t="s">
        <v>656</v>
      </c>
      <c r="M26" s="31"/>
      <c r="N26" s="33" t="s">
        <v>649</v>
      </c>
      <c r="O26" s="31"/>
      <c r="P26" s="29" t="str">
        <f t="shared" si="6"/>
        <v>NÃO EXECUTADO</v>
      </c>
      <c r="Q26" s="29" t="str">
        <f t="shared" si="7"/>
        <v/>
      </c>
      <c r="R26" s="33"/>
    </row>
    <row r="27" spans="1:18" ht="25.5" customHeight="1" x14ac:dyDescent="0.25">
      <c r="A27" s="31">
        <v>46276</v>
      </c>
      <c r="B27" s="34" t="str">
        <f t="shared" si="0"/>
        <v>BERTIOGA</v>
      </c>
      <c r="C27" s="30"/>
      <c r="D27" s="10">
        <v>23</v>
      </c>
      <c r="E27" s="30" t="s">
        <v>2567</v>
      </c>
      <c r="F27" s="36" t="str">
        <f t="shared" si="1"/>
        <v>Vazamento de água não visível — rede</v>
      </c>
      <c r="G27" s="36" t="str">
        <f t="shared" si="2"/>
        <v>Rua aprovada 101</v>
      </c>
      <c r="H27" s="36" t="str">
        <f t="shared" si="3"/>
        <v>Ana Paula</v>
      </c>
      <c r="I27" s="34" t="str">
        <f t="shared" si="4"/>
        <v>NORMAL</v>
      </c>
      <c r="J27" s="35">
        <f t="shared" si="5"/>
        <v>46281</v>
      </c>
      <c r="K27" s="49"/>
      <c r="L27" s="30" t="s">
        <v>634</v>
      </c>
      <c r="M27" s="31">
        <v>46276</v>
      </c>
      <c r="N27" s="33"/>
      <c r="O27" s="31"/>
      <c r="P27" s="29" t="str">
        <f t="shared" si="6"/>
        <v>EXECUTADO</v>
      </c>
      <c r="Q27" s="29" t="str">
        <f t="shared" si="7"/>
        <v>NO DIA</v>
      </c>
      <c r="R27" s="33"/>
    </row>
    <row r="28" spans="1:18" x14ac:dyDescent="0.25">
      <c r="A28" s="31">
        <v>46279</v>
      </c>
      <c r="B28" s="34" t="str">
        <f t="shared" si="0"/>
        <v>BERTIOGA</v>
      </c>
      <c r="C28" s="30"/>
      <c r="D28" s="10">
        <v>24</v>
      </c>
      <c r="E28" s="30" t="s">
        <v>2568</v>
      </c>
      <c r="F28" s="36" t="str">
        <f t="shared" si="1"/>
        <v>Vazamento no ramal não visível</v>
      </c>
      <c r="G28" s="36" t="str">
        <f t="shared" si="2"/>
        <v>Avenida Sabino Abdala</v>
      </c>
      <c r="H28" s="36" t="str">
        <f t="shared" si="3"/>
        <v>Indaia</v>
      </c>
      <c r="I28" s="34" t="str">
        <f t="shared" si="4"/>
        <v>NORMAL</v>
      </c>
      <c r="J28" s="35">
        <f t="shared" si="5"/>
        <v>46284</v>
      </c>
      <c r="K28" s="49"/>
      <c r="L28" s="30" t="s">
        <v>634</v>
      </c>
      <c r="M28" s="31">
        <v>46279</v>
      </c>
      <c r="N28" s="33"/>
      <c r="O28" s="31"/>
      <c r="P28" s="29" t="str">
        <f t="shared" si="6"/>
        <v>EXECUTADO</v>
      </c>
      <c r="Q28" s="29" t="str">
        <f t="shared" si="7"/>
        <v>NO DIA</v>
      </c>
      <c r="R28" s="33"/>
    </row>
    <row r="29" spans="1:18" x14ac:dyDescent="0.25">
      <c r="A29" s="31">
        <v>46279</v>
      </c>
      <c r="B29" s="34" t="str">
        <f t="shared" si="0"/>
        <v>BERTIOGA</v>
      </c>
      <c r="C29" s="30"/>
      <c r="D29" s="10">
        <v>25</v>
      </c>
      <c r="E29" s="30" t="s">
        <v>2569</v>
      </c>
      <c r="F29" s="36" t="str">
        <f t="shared" si="1"/>
        <v>Vazamento pé do cavalete</v>
      </c>
      <c r="G29" s="36" t="str">
        <f t="shared" si="2"/>
        <v>Rua Luiz Alonso Peres</v>
      </c>
      <c r="H29" s="36" t="str">
        <f t="shared" si="3"/>
        <v>Indaia</v>
      </c>
      <c r="I29" s="34" t="str">
        <f t="shared" si="4"/>
        <v>NORMAL</v>
      </c>
      <c r="J29" s="35">
        <f t="shared" si="5"/>
        <v>46284</v>
      </c>
      <c r="K29" s="49"/>
      <c r="L29" s="30" t="s">
        <v>634</v>
      </c>
      <c r="M29" s="31">
        <v>46280</v>
      </c>
      <c r="N29" s="33"/>
      <c r="O29" s="31"/>
      <c r="P29" s="29" t="str">
        <f t="shared" si="6"/>
        <v>EXECUTADO</v>
      </c>
      <c r="Q29" s="29" t="str">
        <f t="shared" si="7"/>
        <v>FORA DO DIA</v>
      </c>
      <c r="R29" s="33"/>
    </row>
    <row r="30" spans="1:18" x14ac:dyDescent="0.25">
      <c r="A30" s="31">
        <v>46279</v>
      </c>
      <c r="B30" s="34" t="str">
        <f t="shared" si="0"/>
        <v>BERTIOGA</v>
      </c>
      <c r="C30" s="30"/>
      <c r="D30" s="10">
        <v>26</v>
      </c>
      <c r="E30" s="30" t="s">
        <v>2570</v>
      </c>
      <c r="F30" s="36" t="str">
        <f t="shared" si="1"/>
        <v>Vazamento no ramal não visível</v>
      </c>
      <c r="G30" s="36" t="str">
        <f t="shared" si="2"/>
        <v>Avenida Sabino Abdala</v>
      </c>
      <c r="H30" s="36" t="str">
        <f t="shared" si="3"/>
        <v>Indaia</v>
      </c>
      <c r="I30" s="34" t="str">
        <f t="shared" si="4"/>
        <v>NORMAL</v>
      </c>
      <c r="J30" s="35">
        <f t="shared" si="5"/>
        <v>46284</v>
      </c>
      <c r="K30" s="49"/>
      <c r="L30" s="30" t="s">
        <v>634</v>
      </c>
      <c r="M30" s="31">
        <v>46280</v>
      </c>
      <c r="N30" s="33"/>
      <c r="O30" s="31"/>
      <c r="P30" s="29" t="str">
        <f t="shared" si="6"/>
        <v>EXECUTADO</v>
      </c>
      <c r="Q30" s="29" t="str">
        <f t="shared" si="7"/>
        <v>FORA DO DIA</v>
      </c>
      <c r="R30" s="33"/>
    </row>
    <row r="31" spans="1:18" x14ac:dyDescent="0.25">
      <c r="A31" s="31">
        <v>46279</v>
      </c>
      <c r="B31" s="34" t="str">
        <f t="shared" si="0"/>
        <v>BERTIOGA</v>
      </c>
      <c r="C31" s="30"/>
      <c r="D31" s="10">
        <v>27</v>
      </c>
      <c r="E31" s="30" t="s">
        <v>2571</v>
      </c>
      <c r="F31" s="36" t="str">
        <f t="shared" si="1"/>
        <v>Vazamento no ramal não visível</v>
      </c>
      <c r="G31" s="36" t="str">
        <f t="shared" si="2"/>
        <v>Avenida Sabino Abdala</v>
      </c>
      <c r="H31" s="36" t="str">
        <f t="shared" si="3"/>
        <v>Indaia</v>
      </c>
      <c r="I31" s="34" t="str">
        <f t="shared" si="4"/>
        <v>NORMAL</v>
      </c>
      <c r="J31" s="35">
        <f t="shared" si="5"/>
        <v>46284</v>
      </c>
      <c r="K31" s="49"/>
      <c r="L31" s="30" t="s">
        <v>634</v>
      </c>
      <c r="M31" s="31">
        <v>46280</v>
      </c>
      <c r="N31" s="33"/>
      <c r="O31" s="31"/>
      <c r="P31" s="29" t="str">
        <f t="shared" si="6"/>
        <v>EXECUTADO</v>
      </c>
      <c r="Q31" s="29" t="str">
        <f t="shared" si="7"/>
        <v>FORA DO DIA</v>
      </c>
      <c r="R31" s="33"/>
    </row>
    <row r="32" spans="1:18" x14ac:dyDescent="0.25">
      <c r="A32" s="31">
        <v>46279</v>
      </c>
      <c r="B32" s="34" t="str">
        <f t="shared" si="0"/>
        <v>BERTIOGA</v>
      </c>
      <c r="C32" s="30"/>
      <c r="D32" s="10">
        <v>28</v>
      </c>
      <c r="E32" s="30" t="s">
        <v>2572</v>
      </c>
      <c r="F32" s="36" t="str">
        <f t="shared" si="1"/>
        <v>Vazamento cavalete não visível</v>
      </c>
      <c r="G32" s="36" t="str">
        <f t="shared" si="2"/>
        <v>Rua Augusto Ribeiro Pacheco</v>
      </c>
      <c r="H32" s="36" t="str">
        <f t="shared" si="3"/>
        <v>Jardim Raphael</v>
      </c>
      <c r="I32" s="34" t="str">
        <f t="shared" si="4"/>
        <v>NORMAL</v>
      </c>
      <c r="J32" s="35">
        <f t="shared" si="5"/>
        <v>46284</v>
      </c>
      <c r="K32" s="49"/>
      <c r="L32" s="30" t="s">
        <v>656</v>
      </c>
      <c r="M32" s="31"/>
      <c r="N32" s="33"/>
      <c r="O32" s="31"/>
      <c r="P32" s="29" t="str">
        <f t="shared" si="6"/>
        <v>NÃO EXECUTADO</v>
      </c>
      <c r="Q32" s="29" t="str">
        <f t="shared" si="7"/>
        <v/>
      </c>
      <c r="R32" s="33"/>
    </row>
    <row r="33" spans="1:18" x14ac:dyDescent="0.25">
      <c r="A33" s="31">
        <v>46279</v>
      </c>
      <c r="B33" s="34" t="str">
        <f t="shared" si="0"/>
        <v>BERTIOGA</v>
      </c>
      <c r="C33" s="30"/>
      <c r="D33" s="10">
        <v>29</v>
      </c>
      <c r="E33" s="30" t="s">
        <v>2573</v>
      </c>
      <c r="F33" s="36" t="str">
        <f t="shared" si="1"/>
        <v>Vazamento no ramal não visível</v>
      </c>
      <c r="G33" s="36" t="str">
        <f t="shared" si="2"/>
        <v>Rua Cardeal Emile Biayenda</v>
      </c>
      <c r="H33" s="36" t="str">
        <f t="shared" si="3"/>
        <v>Rio da Praia</v>
      </c>
      <c r="I33" s="34" t="str">
        <f t="shared" si="4"/>
        <v>NORMAL</v>
      </c>
      <c r="J33" s="35">
        <f t="shared" si="5"/>
        <v>46284</v>
      </c>
      <c r="K33" s="49"/>
      <c r="L33" s="30" t="s">
        <v>634</v>
      </c>
      <c r="M33" s="31">
        <v>46280</v>
      </c>
      <c r="N33" s="33"/>
      <c r="O33" s="31"/>
      <c r="P33" s="29" t="str">
        <f t="shared" si="6"/>
        <v>EXECUTADO</v>
      </c>
      <c r="Q33" s="29" t="str">
        <f t="shared" si="7"/>
        <v>FORA DO DIA</v>
      </c>
      <c r="R33" s="33"/>
    </row>
    <row r="34" spans="1:18" x14ac:dyDescent="0.25">
      <c r="A34" s="31">
        <v>46281</v>
      </c>
      <c r="B34" s="34" t="str">
        <f t="shared" si="0"/>
        <v>BERTIOGA</v>
      </c>
      <c r="C34" s="30"/>
      <c r="D34" s="10">
        <v>30</v>
      </c>
      <c r="E34" s="30" t="s">
        <v>2574</v>
      </c>
      <c r="F34" s="36" t="str">
        <f t="shared" si="1"/>
        <v>Vazamento de água não visível — rede</v>
      </c>
      <c r="G34" s="36" t="str">
        <f t="shared" si="2"/>
        <v>Rua Maria Lídia Rego Lima</v>
      </c>
      <c r="H34" s="36" t="str">
        <f t="shared" si="3"/>
        <v>Vicente de Carvalho</v>
      </c>
      <c r="I34" s="34" t="str">
        <f t="shared" si="4"/>
        <v>URGENTE</v>
      </c>
      <c r="J34" s="35">
        <f t="shared" si="5"/>
        <v>46284</v>
      </c>
      <c r="K34" s="49"/>
      <c r="L34" s="30"/>
      <c r="M34" s="31"/>
      <c r="N34" s="33"/>
      <c r="O34" s="31"/>
      <c r="P34" s="29" t="str">
        <f t="shared" si="6"/>
        <v>PROGRAMADO</v>
      </c>
      <c r="Q34" s="29" t="str">
        <f t="shared" si="7"/>
        <v/>
      </c>
      <c r="R34" s="33"/>
    </row>
    <row r="35" spans="1:18" x14ac:dyDescent="0.25">
      <c r="A35" s="31">
        <v>46281</v>
      </c>
      <c r="B35" s="34" t="str">
        <f t="shared" si="0"/>
        <v>BERTIOGA</v>
      </c>
      <c r="C35" s="30"/>
      <c r="D35" s="10">
        <v>31</v>
      </c>
      <c r="E35" s="30" t="s">
        <v>2575</v>
      </c>
      <c r="F35" s="36" t="str">
        <f t="shared" si="1"/>
        <v>Vazamento no ramal não visível</v>
      </c>
      <c r="G35" s="36" t="str">
        <f t="shared" si="2"/>
        <v>Rua Espírito Santo</v>
      </c>
      <c r="H35" s="36" t="str">
        <f t="shared" si="3"/>
        <v>Vicente de Carvalho</v>
      </c>
      <c r="I35" s="34" t="str">
        <f t="shared" si="4"/>
        <v>URGENTE</v>
      </c>
      <c r="J35" s="35">
        <f t="shared" si="5"/>
        <v>46284</v>
      </c>
      <c r="K35" s="49"/>
      <c r="L35" s="30" t="s">
        <v>634</v>
      </c>
      <c r="M35" s="31">
        <v>46281</v>
      </c>
      <c r="N35" s="33"/>
      <c r="O35" s="31"/>
      <c r="P35" s="29" t="str">
        <f t="shared" si="6"/>
        <v>EXECUTADO</v>
      </c>
      <c r="Q35" s="29" t="str">
        <f t="shared" si="7"/>
        <v>NO DIA</v>
      </c>
      <c r="R35" s="33"/>
    </row>
    <row r="36" spans="1:18" x14ac:dyDescent="0.25">
      <c r="A36" s="31">
        <v>46281</v>
      </c>
      <c r="B36" s="34" t="str">
        <f t="shared" si="0"/>
        <v>BERTIOGA</v>
      </c>
      <c r="C36" s="30"/>
      <c r="D36" s="10">
        <v>32</v>
      </c>
      <c r="E36" s="30" t="s">
        <v>2576</v>
      </c>
      <c r="F36" s="36" t="str">
        <f t="shared" si="1"/>
        <v>Vazamento cavalete não visível</v>
      </c>
      <c r="G36" s="36" t="str">
        <f t="shared" si="2"/>
        <v>Rua Espírito Santo</v>
      </c>
      <c r="H36" s="36" t="str">
        <f t="shared" si="3"/>
        <v>Vicente de Carvalho</v>
      </c>
      <c r="I36" s="34" t="str">
        <f t="shared" si="4"/>
        <v>URGENTE</v>
      </c>
      <c r="J36" s="35">
        <f t="shared" si="5"/>
        <v>46284</v>
      </c>
      <c r="K36" s="49"/>
      <c r="L36" s="30" t="s">
        <v>634</v>
      </c>
      <c r="M36" s="31">
        <v>46281</v>
      </c>
      <c r="N36" s="33"/>
      <c r="O36" s="31"/>
      <c r="P36" s="29" t="str">
        <f t="shared" si="6"/>
        <v>EXECUTADO</v>
      </c>
      <c r="Q36" s="29" t="str">
        <f t="shared" si="7"/>
        <v>NO DIA</v>
      </c>
      <c r="R36" s="33"/>
    </row>
    <row r="37" spans="1:18" x14ac:dyDescent="0.25">
      <c r="A37" s="31">
        <v>46281</v>
      </c>
      <c r="B37" s="34" t="str">
        <f t="shared" si="0"/>
        <v>BERTIOGA</v>
      </c>
      <c r="C37" s="30"/>
      <c r="D37" s="10">
        <v>33</v>
      </c>
      <c r="E37" s="30" t="s">
        <v>2577</v>
      </c>
      <c r="F37" s="36" t="str">
        <f t="shared" si="1"/>
        <v>Vazamento no ramal não visível</v>
      </c>
      <c r="G37" s="36" t="str">
        <f t="shared" si="2"/>
        <v>Rua Mario Silveira</v>
      </c>
      <c r="H37" s="36" t="str">
        <f t="shared" si="3"/>
        <v>Vicente de Carvalho</v>
      </c>
      <c r="I37" s="34" t="str">
        <f t="shared" si="4"/>
        <v>URGENTE</v>
      </c>
      <c r="J37" s="35">
        <f t="shared" si="5"/>
        <v>46284</v>
      </c>
      <c r="K37" s="49"/>
      <c r="L37" s="30"/>
      <c r="M37" s="31"/>
      <c r="N37" s="33"/>
      <c r="O37" s="31"/>
      <c r="P37" s="29" t="str">
        <f t="shared" si="6"/>
        <v>PROGRAMADO</v>
      </c>
      <c r="Q37" s="29" t="str">
        <f t="shared" si="7"/>
        <v/>
      </c>
      <c r="R37" s="33"/>
    </row>
    <row r="38" spans="1:18" x14ac:dyDescent="0.25">
      <c r="A38" s="31">
        <v>46281</v>
      </c>
      <c r="B38" s="34" t="str">
        <f t="shared" si="0"/>
        <v>BERTIOGA</v>
      </c>
      <c r="C38" s="30"/>
      <c r="D38" s="10">
        <v>34</v>
      </c>
      <c r="E38" s="30" t="s">
        <v>2578</v>
      </c>
      <c r="F38" s="36" t="str">
        <f t="shared" si="1"/>
        <v>Vazamento no ramal não visível</v>
      </c>
      <c r="G38" s="36" t="str">
        <f t="shared" si="2"/>
        <v>Rua Mario Silveira</v>
      </c>
      <c r="H38" s="36" t="str">
        <f t="shared" si="3"/>
        <v>Vicente de Carvalho</v>
      </c>
      <c r="I38" s="34" t="str">
        <f t="shared" si="4"/>
        <v>URGENTE</v>
      </c>
      <c r="J38" s="35">
        <f t="shared" si="5"/>
        <v>46284</v>
      </c>
      <c r="K38" s="49"/>
      <c r="L38" s="30"/>
      <c r="M38" s="31"/>
      <c r="N38" s="33"/>
      <c r="O38" s="31"/>
      <c r="P38" s="29" t="str">
        <f t="shared" si="6"/>
        <v>PROGRAMADO</v>
      </c>
      <c r="Q38" s="29" t="str">
        <f t="shared" si="7"/>
        <v/>
      </c>
      <c r="R38" s="33"/>
    </row>
    <row r="39" spans="1:18" x14ac:dyDescent="0.25">
      <c r="A39" s="31">
        <v>46281</v>
      </c>
      <c r="B39" s="34" t="str">
        <f t="shared" si="0"/>
        <v>BERTIOGA</v>
      </c>
      <c r="C39" s="30"/>
      <c r="D39" s="10">
        <v>35</v>
      </c>
      <c r="E39" s="30" t="s">
        <v>2579</v>
      </c>
      <c r="F39" s="36" t="str">
        <f t="shared" si="1"/>
        <v>Vazamento no ramal não visível</v>
      </c>
      <c r="G39" s="36" t="str">
        <f t="shared" si="2"/>
        <v>Rua Tambaú</v>
      </c>
      <c r="H39" s="36" t="str">
        <f t="shared" si="3"/>
        <v>Vicente de Carvalho</v>
      </c>
      <c r="I39" s="34" t="str">
        <f t="shared" si="4"/>
        <v>URGENTE</v>
      </c>
      <c r="J39" s="35">
        <f t="shared" si="5"/>
        <v>46284</v>
      </c>
      <c r="K39" s="49"/>
      <c r="L39" s="30"/>
      <c r="M39" s="31"/>
      <c r="N39" s="33"/>
      <c r="O39" s="31"/>
      <c r="P39" s="29" t="str">
        <f t="shared" si="6"/>
        <v>PROGRAMADO</v>
      </c>
      <c r="Q39" s="29" t="str">
        <f t="shared" si="7"/>
        <v/>
      </c>
      <c r="R39" s="33"/>
    </row>
    <row r="40" spans="1:18" x14ac:dyDescent="0.25">
      <c r="A40" s="31">
        <v>46281</v>
      </c>
      <c r="B40" s="34" t="str">
        <f t="shared" si="0"/>
        <v>BERTIOGA</v>
      </c>
      <c r="C40" s="30"/>
      <c r="D40" s="10">
        <v>36</v>
      </c>
      <c r="E40" s="30" t="s">
        <v>2580</v>
      </c>
      <c r="F40" s="36" t="str">
        <f t="shared" si="1"/>
        <v>Vazamento de água não visível — rede</v>
      </c>
      <c r="G40" s="36" t="str">
        <f t="shared" si="2"/>
        <v>Cazil Frazon</v>
      </c>
      <c r="H40" s="36" t="str">
        <f t="shared" si="3"/>
        <v>Vicente de Carvalho</v>
      </c>
      <c r="I40" s="34" t="str">
        <f t="shared" si="4"/>
        <v>URGENTE</v>
      </c>
      <c r="J40" s="35">
        <f t="shared" si="5"/>
        <v>46284</v>
      </c>
      <c r="K40" s="49"/>
      <c r="L40" s="30"/>
      <c r="M40" s="31"/>
      <c r="N40" s="33"/>
      <c r="O40" s="31"/>
      <c r="P40" s="29" t="str">
        <f t="shared" si="6"/>
        <v>PROGRAMADO</v>
      </c>
      <c r="Q40" s="29" t="str">
        <f t="shared" si="7"/>
        <v/>
      </c>
      <c r="R40" s="33"/>
    </row>
    <row r="41" spans="1:18" x14ac:dyDescent="0.25">
      <c r="A41" s="31">
        <v>46281</v>
      </c>
      <c r="B41" s="34" t="str">
        <f t="shared" si="0"/>
        <v>BERTIOGA</v>
      </c>
      <c r="C41" s="30"/>
      <c r="D41" s="10">
        <v>37</v>
      </c>
      <c r="E41" s="30" t="s">
        <v>2581</v>
      </c>
      <c r="F41" s="36" t="str">
        <f t="shared" si="1"/>
        <v>Vazamento de água não visível — rede</v>
      </c>
      <c r="G41" s="36" t="str">
        <f t="shared" si="2"/>
        <v>Rua Clemente da Mata Amorim</v>
      </c>
      <c r="H41" s="36" t="str">
        <f t="shared" si="3"/>
        <v>Jardim Progresso</v>
      </c>
      <c r="I41" s="34" t="str">
        <f t="shared" si="4"/>
        <v>URGENTE</v>
      </c>
      <c r="J41" s="35">
        <f t="shared" si="5"/>
        <v>46284</v>
      </c>
      <c r="K41" s="49"/>
      <c r="L41" s="30"/>
      <c r="M41" s="31"/>
      <c r="N41" s="33"/>
      <c r="O41" s="31"/>
      <c r="P41" s="29" t="str">
        <f t="shared" si="6"/>
        <v>PROGRAMADO</v>
      </c>
      <c r="Q41" s="29" t="str">
        <f t="shared" si="7"/>
        <v/>
      </c>
      <c r="R41" s="33"/>
    </row>
    <row r="42" spans="1:18" x14ac:dyDescent="0.25">
      <c r="A42" s="31">
        <v>46281</v>
      </c>
      <c r="B42" s="34" t="str">
        <f t="shared" si="0"/>
        <v>BERTIOGA</v>
      </c>
      <c r="C42" s="30"/>
      <c r="D42" s="10">
        <v>38</v>
      </c>
      <c r="E42" s="30" t="s">
        <v>2582</v>
      </c>
      <c r="F42" s="36" t="str">
        <f t="shared" si="1"/>
        <v>Vazamento no ramal não visível</v>
      </c>
      <c r="G42" s="36" t="str">
        <f t="shared" si="2"/>
        <v>Rua Clemente da Mata Amorim</v>
      </c>
      <c r="H42" s="36" t="str">
        <f t="shared" si="3"/>
        <v>Jardim Progresso</v>
      </c>
      <c r="I42" s="34" t="str">
        <f t="shared" si="4"/>
        <v>URGENTE</v>
      </c>
      <c r="J42" s="35">
        <f t="shared" si="5"/>
        <v>46284</v>
      </c>
      <c r="K42" s="49"/>
      <c r="L42" s="30"/>
      <c r="M42" s="31"/>
      <c r="N42" s="33"/>
      <c r="O42" s="31"/>
      <c r="P42" s="29" t="str">
        <f t="shared" si="6"/>
        <v>PROGRAMADO</v>
      </c>
      <c r="Q42" s="29" t="str">
        <f t="shared" si="7"/>
        <v/>
      </c>
      <c r="R42" s="33"/>
    </row>
    <row r="43" spans="1:18" x14ac:dyDescent="0.25">
      <c r="A43" s="31">
        <v>46281</v>
      </c>
      <c r="B43" s="34" t="str">
        <f t="shared" si="0"/>
        <v>BERTIOGA</v>
      </c>
      <c r="C43" s="30"/>
      <c r="D43" s="10">
        <v>39</v>
      </c>
      <c r="E43" s="30" t="s">
        <v>2583</v>
      </c>
      <c r="F43" s="36" t="str">
        <f t="shared" si="1"/>
        <v>Vazamento cavalete não visível</v>
      </c>
      <c r="G43" s="36" t="str">
        <f t="shared" si="2"/>
        <v>Rua Adão Pereira da Silva</v>
      </c>
      <c r="H43" s="36" t="str">
        <f t="shared" si="3"/>
        <v>Jardim Progresso</v>
      </c>
      <c r="I43" s="34" t="str">
        <f t="shared" si="4"/>
        <v>URGENTE</v>
      </c>
      <c r="J43" s="35">
        <f t="shared" si="5"/>
        <v>46284</v>
      </c>
      <c r="K43" s="49"/>
      <c r="L43" s="30"/>
      <c r="M43" s="31"/>
      <c r="N43" s="33"/>
      <c r="O43" s="31"/>
      <c r="P43" s="29" t="str">
        <f t="shared" si="6"/>
        <v>PROGRAMADO</v>
      </c>
      <c r="Q43" s="29" t="str">
        <f t="shared" si="7"/>
        <v/>
      </c>
      <c r="R43" s="33"/>
    </row>
    <row r="44" spans="1:18" x14ac:dyDescent="0.25">
      <c r="A44" s="31">
        <v>46281</v>
      </c>
      <c r="B44" s="34" t="str">
        <f t="shared" si="0"/>
        <v>BERTIOGA</v>
      </c>
      <c r="C44" s="30"/>
      <c r="D44" s="10">
        <v>40</v>
      </c>
      <c r="E44" s="30" t="s">
        <v>2584</v>
      </c>
      <c r="F44" s="36" t="str">
        <f t="shared" si="1"/>
        <v>Vazamento no ramal não visível</v>
      </c>
      <c r="G44" s="36" t="str">
        <f t="shared" si="2"/>
        <v>Rua Manoel Romero Rodrigues</v>
      </c>
      <c r="H44" s="36" t="str">
        <f t="shared" si="3"/>
        <v>Jardim Progresso</v>
      </c>
      <c r="I44" s="34" t="str">
        <f t="shared" si="4"/>
        <v>URGENTE</v>
      </c>
      <c r="J44" s="35">
        <f t="shared" si="5"/>
        <v>46284</v>
      </c>
      <c r="K44" s="49"/>
      <c r="L44" s="30"/>
      <c r="M44" s="31"/>
      <c r="N44" s="33"/>
      <c r="O44" s="31"/>
      <c r="P44" s="29" t="str">
        <f t="shared" si="6"/>
        <v>PROGRAMADO</v>
      </c>
      <c r="Q44" s="29" t="str">
        <f t="shared" si="7"/>
        <v/>
      </c>
      <c r="R44" s="33"/>
    </row>
    <row r="45" spans="1:18" x14ac:dyDescent="0.25">
      <c r="A45" s="31">
        <v>46281</v>
      </c>
      <c r="B45" s="34" t="str">
        <f t="shared" si="0"/>
        <v>BERTIOGA</v>
      </c>
      <c r="C45" s="30"/>
      <c r="D45" s="10">
        <v>41</v>
      </c>
      <c r="E45" s="30" t="s">
        <v>2585</v>
      </c>
      <c r="F45" s="36" t="str">
        <f t="shared" si="1"/>
        <v>Vazamento no ramal não visível</v>
      </c>
      <c r="G45" s="36" t="str">
        <f t="shared" si="2"/>
        <v>Rua Manoel Romero Rodrigues</v>
      </c>
      <c r="H45" s="36" t="str">
        <f t="shared" si="3"/>
        <v>Jardim Progresso</v>
      </c>
      <c r="I45" s="34" t="str">
        <f t="shared" si="4"/>
        <v>URGENTE</v>
      </c>
      <c r="J45" s="35">
        <f t="shared" si="5"/>
        <v>46284</v>
      </c>
      <c r="K45" s="49"/>
      <c r="L45" s="30"/>
      <c r="M45" s="31"/>
      <c r="N45" s="33"/>
      <c r="O45" s="31"/>
      <c r="P45" s="29" t="str">
        <f t="shared" si="6"/>
        <v>PROGRAMADO</v>
      </c>
      <c r="Q45" s="29" t="str">
        <f t="shared" si="7"/>
        <v/>
      </c>
      <c r="R45" s="33"/>
    </row>
    <row r="46" spans="1:18" x14ac:dyDescent="0.25">
      <c r="A46" s="31">
        <v>46281</v>
      </c>
      <c r="B46" s="34" t="str">
        <f t="shared" si="0"/>
        <v>BERTIOGA</v>
      </c>
      <c r="C46" s="30"/>
      <c r="D46" s="10">
        <v>42</v>
      </c>
      <c r="E46" s="30" t="s">
        <v>2586</v>
      </c>
      <c r="F46" s="36" t="str">
        <f t="shared" si="1"/>
        <v>Vazamento de água não visível — rede</v>
      </c>
      <c r="G46" s="36" t="str">
        <f t="shared" si="2"/>
        <v>Rua Dickson Rodrigues</v>
      </c>
      <c r="H46" s="36" t="str">
        <f t="shared" si="3"/>
        <v>Jardim Progresso</v>
      </c>
      <c r="I46" s="34" t="str">
        <f t="shared" si="4"/>
        <v>URGENTE</v>
      </c>
      <c r="J46" s="35">
        <f t="shared" si="5"/>
        <v>46284</v>
      </c>
      <c r="K46" s="49"/>
      <c r="L46" s="30"/>
      <c r="M46" s="31"/>
      <c r="N46" s="33"/>
      <c r="O46" s="31"/>
      <c r="P46" s="29" t="str">
        <f t="shared" si="6"/>
        <v>PROGRAMADO</v>
      </c>
      <c r="Q46" s="29" t="str">
        <f t="shared" si="7"/>
        <v/>
      </c>
      <c r="R46" s="33"/>
    </row>
    <row r="47" spans="1:18" x14ac:dyDescent="0.25">
      <c r="A47" s="31">
        <v>46281</v>
      </c>
      <c r="B47" s="34" t="str">
        <f t="shared" si="0"/>
        <v>BERTIOGA</v>
      </c>
      <c r="C47" s="30"/>
      <c r="D47" s="10">
        <v>43</v>
      </c>
      <c r="E47" s="30" t="s">
        <v>2587</v>
      </c>
      <c r="F47" s="36" t="str">
        <f t="shared" si="1"/>
        <v>Vazamento no ramal não visível</v>
      </c>
      <c r="G47" s="36" t="str">
        <f t="shared" si="2"/>
        <v>Rua Coronel João Akui</v>
      </c>
      <c r="H47" s="36" t="str">
        <f t="shared" si="3"/>
        <v>Jardim Progresso</v>
      </c>
      <c r="I47" s="34" t="str">
        <f t="shared" si="4"/>
        <v>URGENTE</v>
      </c>
      <c r="J47" s="35">
        <f t="shared" si="5"/>
        <v>46284</v>
      </c>
      <c r="K47" s="49"/>
      <c r="L47" s="30"/>
      <c r="M47" s="31"/>
      <c r="N47" s="33"/>
      <c r="O47" s="31"/>
      <c r="P47" s="29" t="str">
        <f t="shared" si="6"/>
        <v>PROGRAMADO</v>
      </c>
      <c r="Q47" s="29" t="str">
        <f t="shared" si="7"/>
        <v/>
      </c>
      <c r="R47" s="33"/>
    </row>
    <row r="48" spans="1:18" x14ac:dyDescent="0.25">
      <c r="A48" s="31">
        <v>46281</v>
      </c>
      <c r="B48" s="34" t="str">
        <f t="shared" si="0"/>
        <v>BERTIOGA</v>
      </c>
      <c r="C48" s="30"/>
      <c r="D48" s="10">
        <v>44</v>
      </c>
      <c r="E48" s="30" t="s">
        <v>3096</v>
      </c>
      <c r="F48" s="36" t="str">
        <f t="shared" si="1"/>
        <v>Vazamento no ramal não visível</v>
      </c>
      <c r="G48" s="36" t="str">
        <f t="shared" si="2"/>
        <v>Rua Miguel Seiad</v>
      </c>
      <c r="H48" s="36">
        <f t="shared" si="3"/>
        <v>0</v>
      </c>
      <c r="I48" s="34" t="str">
        <f t="shared" si="4"/>
        <v>URGENTE</v>
      </c>
      <c r="J48" s="35">
        <f t="shared" si="5"/>
        <v>46284</v>
      </c>
      <c r="K48" s="49"/>
      <c r="L48" s="30" t="s">
        <v>634</v>
      </c>
      <c r="M48" s="31">
        <v>46281</v>
      </c>
      <c r="N48" s="33"/>
      <c r="O48" s="31"/>
      <c r="P48" s="29" t="str">
        <f t="shared" si="6"/>
        <v>EXECUTADO</v>
      </c>
      <c r="Q48" s="29" t="str">
        <f t="shared" si="7"/>
        <v>NO DIA</v>
      </c>
      <c r="R48" s="33"/>
    </row>
    <row r="49" spans="1:18" x14ac:dyDescent="0.25">
      <c r="A49" s="31"/>
      <c r="B49" s="34" t="str">
        <f t="shared" si="0"/>
        <v/>
      </c>
      <c r="C49" s="30"/>
      <c r="D49" s="10"/>
      <c r="E49" s="30"/>
      <c r="F49" s="36" t="str">
        <f t="shared" si="1"/>
        <v/>
      </c>
      <c r="G49" s="36" t="str">
        <f t="shared" si="2"/>
        <v/>
      </c>
      <c r="H49" s="36" t="str">
        <f t="shared" si="3"/>
        <v/>
      </c>
      <c r="I49" s="34" t="str">
        <f t="shared" si="4"/>
        <v/>
      </c>
      <c r="J49" s="35" t="str">
        <f t="shared" si="5"/>
        <v/>
      </c>
      <c r="K49" s="49"/>
      <c r="L49" s="30"/>
      <c r="M49" s="31"/>
      <c r="N49" s="33"/>
      <c r="O49" s="31"/>
      <c r="P49" s="29" t="str">
        <f t="shared" si="6"/>
        <v/>
      </c>
      <c r="Q49" s="29" t="str">
        <f t="shared" si="7"/>
        <v/>
      </c>
      <c r="R49" s="33"/>
    </row>
    <row r="50" spans="1:18" x14ac:dyDescent="0.25">
      <c r="A50" s="31"/>
      <c r="B50" s="34" t="str">
        <f t="shared" si="0"/>
        <v/>
      </c>
      <c r="C50" s="30"/>
      <c r="D50" s="10"/>
      <c r="E50" s="30"/>
      <c r="F50" s="36" t="str">
        <f t="shared" si="1"/>
        <v/>
      </c>
      <c r="G50" s="36" t="str">
        <f t="shared" si="2"/>
        <v/>
      </c>
      <c r="H50" s="36" t="str">
        <f t="shared" si="3"/>
        <v/>
      </c>
      <c r="I50" s="34" t="str">
        <f t="shared" si="4"/>
        <v/>
      </c>
      <c r="J50" s="35" t="str">
        <f t="shared" si="5"/>
        <v/>
      </c>
      <c r="K50" s="49"/>
      <c r="L50" s="30"/>
      <c r="M50" s="31"/>
      <c r="N50" s="33"/>
      <c r="O50" s="31"/>
      <c r="P50" s="29" t="str">
        <f t="shared" si="6"/>
        <v/>
      </c>
      <c r="Q50" s="29" t="str">
        <f t="shared" si="7"/>
        <v/>
      </c>
      <c r="R50" s="33"/>
    </row>
    <row r="51" spans="1:18" x14ac:dyDescent="0.25">
      <c r="A51" s="31"/>
      <c r="B51" s="34" t="str">
        <f t="shared" si="0"/>
        <v/>
      </c>
      <c r="C51" s="30"/>
      <c r="D51" s="10"/>
      <c r="E51" s="30"/>
      <c r="F51" s="36" t="str">
        <f t="shared" si="1"/>
        <v/>
      </c>
      <c r="G51" s="36" t="str">
        <f t="shared" si="2"/>
        <v/>
      </c>
      <c r="H51" s="36" t="str">
        <f t="shared" si="3"/>
        <v/>
      </c>
      <c r="I51" s="34" t="str">
        <f t="shared" si="4"/>
        <v/>
      </c>
      <c r="J51" s="35" t="str">
        <f t="shared" si="5"/>
        <v/>
      </c>
      <c r="K51" s="49"/>
      <c r="L51" s="30"/>
      <c r="M51" s="31"/>
      <c r="N51" s="33"/>
      <c r="O51" s="31"/>
      <c r="P51" s="29" t="str">
        <f t="shared" si="6"/>
        <v/>
      </c>
      <c r="Q51" s="29" t="str">
        <f t="shared" si="7"/>
        <v/>
      </c>
      <c r="R51" s="33"/>
    </row>
    <row r="52" spans="1:18" x14ac:dyDescent="0.25">
      <c r="A52" s="31"/>
      <c r="B52" s="34" t="str">
        <f t="shared" si="0"/>
        <v/>
      </c>
      <c r="C52" s="30"/>
      <c r="D52" s="10"/>
      <c r="E52" s="30"/>
      <c r="F52" s="36" t="str">
        <f t="shared" si="1"/>
        <v/>
      </c>
      <c r="G52" s="36" t="str">
        <f t="shared" si="2"/>
        <v/>
      </c>
      <c r="H52" s="36" t="str">
        <f t="shared" si="3"/>
        <v/>
      </c>
      <c r="I52" s="34" t="str">
        <f t="shared" si="4"/>
        <v/>
      </c>
      <c r="J52" s="35" t="str">
        <f t="shared" si="5"/>
        <v/>
      </c>
      <c r="K52" s="49"/>
      <c r="L52" s="30"/>
      <c r="M52" s="31"/>
      <c r="N52" s="33"/>
      <c r="O52" s="31"/>
      <c r="P52" s="29" t="str">
        <f t="shared" si="6"/>
        <v/>
      </c>
      <c r="Q52" s="29" t="str">
        <f t="shared" si="7"/>
        <v/>
      </c>
      <c r="R52" s="33"/>
    </row>
    <row r="53" spans="1:18" x14ac:dyDescent="0.25">
      <c r="A53" s="31"/>
      <c r="B53" s="34" t="str">
        <f t="shared" si="0"/>
        <v/>
      </c>
      <c r="C53" s="30"/>
      <c r="D53" s="10"/>
      <c r="E53" s="30"/>
      <c r="F53" s="36" t="str">
        <f t="shared" si="1"/>
        <v/>
      </c>
      <c r="G53" s="36" t="str">
        <f t="shared" si="2"/>
        <v/>
      </c>
      <c r="H53" s="36" t="str">
        <f t="shared" si="3"/>
        <v/>
      </c>
      <c r="I53" s="34" t="str">
        <f t="shared" si="4"/>
        <v/>
      </c>
      <c r="J53" s="35" t="str">
        <f t="shared" si="5"/>
        <v/>
      </c>
      <c r="K53" s="49"/>
      <c r="L53" s="30"/>
      <c r="M53" s="31"/>
      <c r="N53" s="33"/>
      <c r="O53" s="31"/>
      <c r="P53" s="29" t="str">
        <f t="shared" si="6"/>
        <v/>
      </c>
      <c r="Q53" s="29" t="str">
        <f t="shared" si="7"/>
        <v/>
      </c>
      <c r="R53" s="33"/>
    </row>
    <row r="54" spans="1:18" x14ac:dyDescent="0.25">
      <c r="A54" s="31"/>
      <c r="B54" s="34" t="str">
        <f t="shared" si="0"/>
        <v/>
      </c>
      <c r="C54" s="30"/>
      <c r="D54" s="10"/>
      <c r="E54" s="30"/>
      <c r="F54" s="36" t="str">
        <f t="shared" si="1"/>
        <v/>
      </c>
      <c r="G54" s="36" t="str">
        <f t="shared" si="2"/>
        <v/>
      </c>
      <c r="H54" s="36" t="str">
        <f t="shared" si="3"/>
        <v/>
      </c>
      <c r="I54" s="34" t="str">
        <f t="shared" si="4"/>
        <v/>
      </c>
      <c r="J54" s="35" t="str">
        <f t="shared" si="5"/>
        <v/>
      </c>
      <c r="K54" s="49"/>
      <c r="L54" s="30"/>
      <c r="M54" s="31"/>
      <c r="N54" s="33"/>
      <c r="O54" s="31"/>
      <c r="P54" s="29" t="str">
        <f t="shared" si="6"/>
        <v/>
      </c>
      <c r="Q54" s="29" t="str">
        <f t="shared" si="7"/>
        <v/>
      </c>
      <c r="R54" s="33"/>
    </row>
    <row r="55" spans="1:18" x14ac:dyDescent="0.25">
      <c r="A55" s="31"/>
      <c r="B55" s="34" t="str">
        <f t="shared" si="0"/>
        <v/>
      </c>
      <c r="C55" s="30"/>
      <c r="D55" s="10"/>
      <c r="E55" s="30"/>
      <c r="F55" s="36" t="str">
        <f t="shared" si="1"/>
        <v/>
      </c>
      <c r="G55" s="36" t="str">
        <f t="shared" si="2"/>
        <v/>
      </c>
      <c r="H55" s="36" t="str">
        <f t="shared" si="3"/>
        <v/>
      </c>
      <c r="I55" s="34" t="str">
        <f t="shared" si="4"/>
        <v/>
      </c>
      <c r="J55" s="35" t="str">
        <f t="shared" si="5"/>
        <v/>
      </c>
      <c r="K55" s="49"/>
      <c r="L55" s="30"/>
      <c r="M55" s="31"/>
      <c r="N55" s="33"/>
      <c r="O55" s="31"/>
      <c r="P55" s="29" t="str">
        <f t="shared" si="6"/>
        <v/>
      </c>
      <c r="Q55" s="29" t="str">
        <f t="shared" si="7"/>
        <v/>
      </c>
      <c r="R55" s="33"/>
    </row>
    <row r="56" spans="1:18" x14ac:dyDescent="0.25">
      <c r="A56" s="31"/>
      <c r="B56" s="34" t="str">
        <f t="shared" si="0"/>
        <v/>
      </c>
      <c r="C56" s="30"/>
      <c r="D56" s="10"/>
      <c r="E56" s="30"/>
      <c r="F56" s="36" t="str">
        <f t="shared" si="1"/>
        <v/>
      </c>
      <c r="G56" s="36" t="str">
        <f t="shared" si="2"/>
        <v/>
      </c>
      <c r="H56" s="36" t="str">
        <f t="shared" si="3"/>
        <v/>
      </c>
      <c r="I56" s="34" t="str">
        <f t="shared" si="4"/>
        <v/>
      </c>
      <c r="J56" s="35" t="str">
        <f t="shared" si="5"/>
        <v/>
      </c>
      <c r="K56" s="49"/>
      <c r="L56" s="30"/>
      <c r="M56" s="31"/>
      <c r="N56" s="33"/>
      <c r="O56" s="31"/>
      <c r="P56" s="29" t="str">
        <f t="shared" si="6"/>
        <v/>
      </c>
      <c r="Q56" s="29" t="str">
        <f t="shared" si="7"/>
        <v/>
      </c>
      <c r="R56" s="33"/>
    </row>
    <row r="57" spans="1:18" x14ac:dyDescent="0.25">
      <c r="A57" s="31"/>
      <c r="B57" s="34" t="str">
        <f t="shared" si="0"/>
        <v/>
      </c>
      <c r="C57" s="30"/>
      <c r="D57" s="10"/>
      <c r="E57" s="30"/>
      <c r="F57" s="36" t="str">
        <f t="shared" si="1"/>
        <v/>
      </c>
      <c r="G57" s="36" t="str">
        <f t="shared" si="2"/>
        <v/>
      </c>
      <c r="H57" s="36" t="str">
        <f t="shared" si="3"/>
        <v/>
      </c>
      <c r="I57" s="34" t="str">
        <f t="shared" si="4"/>
        <v/>
      </c>
      <c r="J57" s="35" t="str">
        <f t="shared" si="5"/>
        <v/>
      </c>
      <c r="K57" s="49"/>
      <c r="L57" s="30"/>
      <c r="M57" s="31"/>
      <c r="N57" s="33"/>
      <c r="O57" s="31"/>
      <c r="P57" s="29" t="str">
        <f t="shared" si="6"/>
        <v/>
      </c>
      <c r="Q57" s="29" t="str">
        <f t="shared" si="7"/>
        <v/>
      </c>
      <c r="R57" s="33"/>
    </row>
    <row r="58" spans="1:18" x14ac:dyDescent="0.25">
      <c r="A58" s="31"/>
      <c r="B58" s="34" t="str">
        <f t="shared" si="0"/>
        <v/>
      </c>
      <c r="C58" s="30"/>
      <c r="D58" s="10"/>
      <c r="E58" s="30"/>
      <c r="F58" s="36" t="str">
        <f t="shared" si="1"/>
        <v/>
      </c>
      <c r="G58" s="36" t="str">
        <f t="shared" si="2"/>
        <v/>
      </c>
      <c r="H58" s="36" t="str">
        <f t="shared" si="3"/>
        <v/>
      </c>
      <c r="I58" s="34" t="str">
        <f t="shared" si="4"/>
        <v/>
      </c>
      <c r="J58" s="35" t="str">
        <f t="shared" si="5"/>
        <v/>
      </c>
      <c r="K58" s="49"/>
      <c r="L58" s="30"/>
      <c r="M58" s="31"/>
      <c r="N58" s="33"/>
      <c r="O58" s="31"/>
      <c r="P58" s="29" t="str">
        <f t="shared" si="6"/>
        <v/>
      </c>
      <c r="Q58" s="29" t="str">
        <f t="shared" si="7"/>
        <v/>
      </c>
      <c r="R58" s="33"/>
    </row>
    <row r="59" spans="1:18" x14ac:dyDescent="0.25">
      <c r="A59" s="31"/>
      <c r="B59" s="34" t="str">
        <f t="shared" si="0"/>
        <v/>
      </c>
      <c r="C59" s="30"/>
      <c r="D59" s="10"/>
      <c r="E59" s="30"/>
      <c r="F59" s="36" t="str">
        <f t="shared" si="1"/>
        <v/>
      </c>
      <c r="G59" s="36" t="str">
        <f t="shared" si="2"/>
        <v/>
      </c>
      <c r="H59" s="36" t="str">
        <f t="shared" si="3"/>
        <v/>
      </c>
      <c r="I59" s="34" t="str">
        <f t="shared" si="4"/>
        <v/>
      </c>
      <c r="J59" s="35" t="str">
        <f t="shared" si="5"/>
        <v/>
      </c>
      <c r="K59" s="49"/>
      <c r="L59" s="30"/>
      <c r="M59" s="31"/>
      <c r="N59" s="33"/>
      <c r="O59" s="31"/>
      <c r="P59" s="29" t="str">
        <f t="shared" si="6"/>
        <v/>
      </c>
      <c r="Q59" s="29" t="str">
        <f t="shared" si="7"/>
        <v/>
      </c>
      <c r="R59" s="33"/>
    </row>
    <row r="60" spans="1:18" x14ac:dyDescent="0.25">
      <c r="A60" s="31"/>
      <c r="B60" s="34" t="str">
        <f t="shared" si="0"/>
        <v/>
      </c>
      <c r="C60" s="30"/>
      <c r="D60" s="10"/>
      <c r="E60" s="30"/>
      <c r="F60" s="36" t="str">
        <f t="shared" si="1"/>
        <v/>
      </c>
      <c r="G60" s="36" t="str">
        <f t="shared" si="2"/>
        <v/>
      </c>
      <c r="H60" s="36" t="str">
        <f t="shared" si="3"/>
        <v/>
      </c>
      <c r="I60" s="34" t="str">
        <f t="shared" si="4"/>
        <v/>
      </c>
      <c r="J60" s="35" t="str">
        <f t="shared" si="5"/>
        <v/>
      </c>
      <c r="K60" s="49"/>
      <c r="L60" s="30"/>
      <c r="M60" s="31"/>
      <c r="N60" s="33"/>
      <c r="O60" s="31"/>
      <c r="P60" s="29" t="str">
        <f t="shared" si="6"/>
        <v/>
      </c>
      <c r="Q60" s="29" t="str">
        <f t="shared" si="7"/>
        <v/>
      </c>
      <c r="R60" s="33"/>
    </row>
    <row r="61" spans="1:18" x14ac:dyDescent="0.25">
      <c r="A61" s="31"/>
      <c r="B61" s="34" t="str">
        <f t="shared" si="0"/>
        <v/>
      </c>
      <c r="C61" s="30"/>
      <c r="D61" s="10"/>
      <c r="E61" s="30"/>
      <c r="F61" s="36" t="str">
        <f t="shared" si="1"/>
        <v/>
      </c>
      <c r="G61" s="36" t="str">
        <f t="shared" si="2"/>
        <v/>
      </c>
      <c r="H61" s="36" t="str">
        <f t="shared" si="3"/>
        <v/>
      </c>
      <c r="I61" s="34" t="str">
        <f t="shared" si="4"/>
        <v/>
      </c>
      <c r="J61" s="35" t="str">
        <f t="shared" si="5"/>
        <v/>
      </c>
      <c r="K61" s="49"/>
      <c r="L61" s="30"/>
      <c r="M61" s="31"/>
      <c r="N61" s="33"/>
      <c r="O61" s="31"/>
      <c r="P61" s="29" t="str">
        <f t="shared" si="6"/>
        <v/>
      </c>
      <c r="Q61" s="29" t="str">
        <f t="shared" si="7"/>
        <v/>
      </c>
      <c r="R61" s="33"/>
    </row>
    <row r="62" spans="1:18" x14ac:dyDescent="0.25">
      <c r="A62" s="31"/>
      <c r="B62" s="34" t="str">
        <f t="shared" si="0"/>
        <v/>
      </c>
      <c r="C62" s="30"/>
      <c r="D62" s="10"/>
      <c r="E62" s="30"/>
      <c r="F62" s="36" t="str">
        <f t="shared" si="1"/>
        <v/>
      </c>
      <c r="G62" s="36" t="str">
        <f t="shared" si="2"/>
        <v/>
      </c>
      <c r="H62" s="36" t="str">
        <f t="shared" si="3"/>
        <v/>
      </c>
      <c r="I62" s="34" t="str">
        <f t="shared" si="4"/>
        <v/>
      </c>
      <c r="J62" s="35" t="str">
        <f t="shared" si="5"/>
        <v/>
      </c>
      <c r="K62" s="49"/>
      <c r="L62" s="30"/>
      <c r="M62" s="31"/>
      <c r="N62" s="33"/>
      <c r="O62" s="31"/>
      <c r="P62" s="29" t="str">
        <f t="shared" si="6"/>
        <v/>
      </c>
      <c r="Q62" s="29" t="str">
        <f t="shared" si="7"/>
        <v/>
      </c>
      <c r="R62" s="33"/>
    </row>
    <row r="63" spans="1:18" x14ac:dyDescent="0.25">
      <c r="A63" s="31"/>
      <c r="B63" s="34" t="str">
        <f t="shared" si="0"/>
        <v/>
      </c>
      <c r="C63" s="30"/>
      <c r="D63" s="10"/>
      <c r="E63" s="30"/>
      <c r="F63" s="36" t="str">
        <f t="shared" si="1"/>
        <v/>
      </c>
      <c r="G63" s="36" t="str">
        <f t="shared" si="2"/>
        <v/>
      </c>
      <c r="H63" s="36" t="str">
        <f t="shared" si="3"/>
        <v/>
      </c>
      <c r="I63" s="34" t="str">
        <f t="shared" si="4"/>
        <v/>
      </c>
      <c r="J63" s="35" t="str">
        <f t="shared" si="5"/>
        <v/>
      </c>
      <c r="K63" s="49"/>
      <c r="L63" s="30"/>
      <c r="M63" s="31"/>
      <c r="N63" s="33"/>
      <c r="O63" s="31"/>
      <c r="P63" s="29" t="str">
        <f t="shared" si="6"/>
        <v/>
      </c>
      <c r="Q63" s="29" t="str">
        <f t="shared" si="7"/>
        <v/>
      </c>
      <c r="R63" s="33"/>
    </row>
    <row r="64" spans="1:18" x14ac:dyDescent="0.25">
      <c r="A64" s="31"/>
      <c r="B64" s="34" t="str">
        <f t="shared" si="0"/>
        <v/>
      </c>
      <c r="C64" s="30"/>
      <c r="D64" s="10"/>
      <c r="E64" s="30"/>
      <c r="F64" s="36" t="str">
        <f t="shared" si="1"/>
        <v/>
      </c>
      <c r="G64" s="36" t="str">
        <f t="shared" si="2"/>
        <v/>
      </c>
      <c r="H64" s="36" t="str">
        <f t="shared" si="3"/>
        <v/>
      </c>
      <c r="I64" s="34" t="str">
        <f t="shared" si="4"/>
        <v/>
      </c>
      <c r="J64" s="35" t="str">
        <f t="shared" si="5"/>
        <v/>
      </c>
      <c r="K64" s="49"/>
      <c r="L64" s="30"/>
      <c r="M64" s="31"/>
      <c r="N64" s="33"/>
      <c r="O64" s="31"/>
      <c r="P64" s="29" t="str">
        <f t="shared" si="6"/>
        <v/>
      </c>
      <c r="Q64" s="29" t="str">
        <f t="shared" si="7"/>
        <v/>
      </c>
      <c r="R64" s="33"/>
    </row>
    <row r="65" spans="1:18" x14ac:dyDescent="0.25">
      <c r="A65" s="31"/>
      <c r="B65" s="34" t="str">
        <f t="shared" si="0"/>
        <v/>
      </c>
      <c r="C65" s="30"/>
      <c r="D65" s="10"/>
      <c r="E65" s="30"/>
      <c r="F65" s="36" t="str">
        <f t="shared" si="1"/>
        <v/>
      </c>
      <c r="G65" s="36" t="str">
        <f t="shared" si="2"/>
        <v/>
      </c>
      <c r="H65" s="36" t="str">
        <f t="shared" si="3"/>
        <v/>
      </c>
      <c r="I65" s="34" t="str">
        <f t="shared" si="4"/>
        <v/>
      </c>
      <c r="J65" s="35" t="str">
        <f t="shared" si="5"/>
        <v/>
      </c>
      <c r="K65" s="49"/>
      <c r="L65" s="30"/>
      <c r="M65" s="31"/>
      <c r="N65" s="33"/>
      <c r="O65" s="31"/>
      <c r="P65" s="29" t="str">
        <f t="shared" si="6"/>
        <v/>
      </c>
      <c r="Q65" s="29" t="str">
        <f t="shared" si="7"/>
        <v/>
      </c>
      <c r="R65" s="33"/>
    </row>
    <row r="66" spans="1:18" x14ac:dyDescent="0.25">
      <c r="A66" s="31"/>
      <c r="B66" s="34" t="str">
        <f t="shared" si="0"/>
        <v/>
      </c>
      <c r="C66" s="30"/>
      <c r="D66" s="10"/>
      <c r="E66" s="30"/>
      <c r="F66" s="36" t="str">
        <f t="shared" si="1"/>
        <v/>
      </c>
      <c r="G66" s="36" t="str">
        <f t="shared" si="2"/>
        <v/>
      </c>
      <c r="H66" s="36" t="str">
        <f t="shared" si="3"/>
        <v/>
      </c>
      <c r="I66" s="34" t="str">
        <f t="shared" si="4"/>
        <v/>
      </c>
      <c r="J66" s="35" t="str">
        <f t="shared" si="5"/>
        <v/>
      </c>
      <c r="K66" s="49"/>
      <c r="L66" s="30"/>
      <c r="M66" s="31"/>
      <c r="N66" s="33"/>
      <c r="O66" s="31"/>
      <c r="P66" s="29" t="str">
        <f t="shared" si="6"/>
        <v/>
      </c>
      <c r="Q66" s="29" t="str">
        <f t="shared" si="7"/>
        <v/>
      </c>
      <c r="R66" s="33"/>
    </row>
    <row r="67" spans="1:18" x14ac:dyDescent="0.25">
      <c r="A67" s="31"/>
      <c r="B67" s="34" t="str">
        <f t="shared" si="0"/>
        <v/>
      </c>
      <c r="C67" s="30"/>
      <c r="D67" s="10"/>
      <c r="E67" s="30"/>
      <c r="F67" s="36" t="str">
        <f t="shared" si="1"/>
        <v/>
      </c>
      <c r="G67" s="36" t="str">
        <f t="shared" si="2"/>
        <v/>
      </c>
      <c r="H67" s="36" t="str">
        <f t="shared" si="3"/>
        <v/>
      </c>
      <c r="I67" s="34" t="str">
        <f t="shared" si="4"/>
        <v/>
      </c>
      <c r="J67" s="35" t="str">
        <f t="shared" si="5"/>
        <v/>
      </c>
      <c r="K67" s="49"/>
      <c r="L67" s="30"/>
      <c r="M67" s="31"/>
      <c r="N67" s="33"/>
      <c r="O67" s="31"/>
      <c r="P67" s="29" t="str">
        <f t="shared" si="6"/>
        <v/>
      </c>
      <c r="Q67" s="29" t="str">
        <f t="shared" si="7"/>
        <v/>
      </c>
      <c r="R67" s="33"/>
    </row>
    <row r="68" spans="1:18" x14ac:dyDescent="0.25">
      <c r="A68" s="31"/>
      <c r="B68" s="34" t="str">
        <f t="shared" si="0"/>
        <v/>
      </c>
      <c r="C68" s="30"/>
      <c r="D68" s="10"/>
      <c r="E68" s="30"/>
      <c r="F68" s="36" t="str">
        <f t="shared" si="1"/>
        <v/>
      </c>
      <c r="G68" s="36" t="str">
        <f t="shared" si="2"/>
        <v/>
      </c>
      <c r="H68" s="36" t="str">
        <f t="shared" si="3"/>
        <v/>
      </c>
      <c r="I68" s="34" t="str">
        <f t="shared" si="4"/>
        <v/>
      </c>
      <c r="J68" s="35" t="str">
        <f t="shared" si="5"/>
        <v/>
      </c>
      <c r="K68" s="49"/>
      <c r="L68" s="30"/>
      <c r="M68" s="31"/>
      <c r="N68" s="33"/>
      <c r="O68" s="31"/>
      <c r="P68" s="29" t="str">
        <f t="shared" si="6"/>
        <v/>
      </c>
      <c r="Q68" s="29" t="str">
        <f t="shared" si="7"/>
        <v/>
      </c>
      <c r="R68" s="33"/>
    </row>
    <row r="69" spans="1:18" x14ac:dyDescent="0.25">
      <c r="A69" s="31"/>
      <c r="B69" s="34" t="str">
        <f t="shared" ref="B69:B132" si="8">IFERROR(IF($E69="","",VLOOKUP($E69,CAD_TAB,2,FALSE)),"")</f>
        <v/>
      </c>
      <c r="C69" s="30"/>
      <c r="D69" s="10"/>
      <c r="E69" s="30"/>
      <c r="F69" s="36" t="str">
        <f t="shared" ref="F69:F132" si="9">IFERROR(IF($E69="","",VLOOKUP($E69,CAD_TAB,8,FALSE)),"")</f>
        <v/>
      </c>
      <c r="G69" s="36" t="str">
        <f t="shared" ref="G69:G132" si="10">IFERROR(IF($E69="","",VLOOKUP($E69,CAD_TAB,9,FALSE)),"")</f>
        <v/>
      </c>
      <c r="H69" s="36" t="str">
        <f t="shared" ref="H69:H132" si="11">IFERROR(IF($E69="","",VLOOKUP($E69,CAD_TAB,11,FALSE)),"")</f>
        <v/>
      </c>
      <c r="I69" s="34" t="str">
        <f t="shared" ref="I69:I132" si="12">IFERROR(IF($E69="","",VLOOKUP($E69,CAD_TAB,7,FALSE)),"")</f>
        <v/>
      </c>
      <c r="J69" s="35" t="str">
        <f t="shared" ref="J69:J132" si="13">IFERROR(IF($E69="","",VLOOKUP($E69,CAD_TAB,6,FALSE)),"")</f>
        <v/>
      </c>
      <c r="K69" s="49"/>
      <c r="L69" s="30"/>
      <c r="M69" s="31"/>
      <c r="N69" s="33"/>
      <c r="O69" s="31"/>
      <c r="P69" s="29" t="str">
        <f t="shared" ref="P69:P132" si="14">IF($E69="","",IF($L69="SIM","EXECUTADO",IF($O69&lt;&gt;"","REPROGRAMADO",IF($L69="NÃO","NÃO EXECUTADO","PROGRAMADO"))))</f>
        <v/>
      </c>
      <c r="Q69" s="29" t="str">
        <f t="shared" ref="Q69:Q132" si="15">IF($E69="","",IF($L69="SIM",IF($M69=$A69,"NO DIA","FORA DO DIA"),""))</f>
        <v/>
      </c>
      <c r="R69" s="33"/>
    </row>
    <row r="70" spans="1:18" x14ac:dyDescent="0.25">
      <c r="A70" s="31"/>
      <c r="B70" s="34" t="str">
        <f t="shared" si="8"/>
        <v/>
      </c>
      <c r="C70" s="30"/>
      <c r="D70" s="10"/>
      <c r="E70" s="30"/>
      <c r="F70" s="36" t="str">
        <f t="shared" si="9"/>
        <v/>
      </c>
      <c r="G70" s="36" t="str">
        <f t="shared" si="10"/>
        <v/>
      </c>
      <c r="H70" s="36" t="str">
        <f t="shared" si="11"/>
        <v/>
      </c>
      <c r="I70" s="34" t="str">
        <f t="shared" si="12"/>
        <v/>
      </c>
      <c r="J70" s="35" t="str">
        <f t="shared" si="13"/>
        <v/>
      </c>
      <c r="K70" s="49"/>
      <c r="L70" s="30"/>
      <c r="M70" s="31"/>
      <c r="N70" s="33"/>
      <c r="O70" s="31"/>
      <c r="P70" s="29" t="str">
        <f t="shared" si="14"/>
        <v/>
      </c>
      <c r="Q70" s="29" t="str">
        <f t="shared" si="15"/>
        <v/>
      </c>
      <c r="R70" s="33"/>
    </row>
    <row r="71" spans="1:18" x14ac:dyDescent="0.25">
      <c r="A71" s="31"/>
      <c r="B71" s="34" t="str">
        <f t="shared" si="8"/>
        <v/>
      </c>
      <c r="C71" s="30"/>
      <c r="D71" s="10"/>
      <c r="E71" s="30"/>
      <c r="F71" s="36" t="str">
        <f t="shared" si="9"/>
        <v/>
      </c>
      <c r="G71" s="36" t="str">
        <f t="shared" si="10"/>
        <v/>
      </c>
      <c r="H71" s="36" t="str">
        <f t="shared" si="11"/>
        <v/>
      </c>
      <c r="I71" s="34" t="str">
        <f t="shared" si="12"/>
        <v/>
      </c>
      <c r="J71" s="35" t="str">
        <f t="shared" si="13"/>
        <v/>
      </c>
      <c r="K71" s="49"/>
      <c r="L71" s="30"/>
      <c r="M71" s="31"/>
      <c r="N71" s="33"/>
      <c r="O71" s="31"/>
      <c r="P71" s="29" t="str">
        <f t="shared" si="14"/>
        <v/>
      </c>
      <c r="Q71" s="29" t="str">
        <f t="shared" si="15"/>
        <v/>
      </c>
      <c r="R71" s="33"/>
    </row>
    <row r="72" spans="1:18" x14ac:dyDescent="0.25">
      <c r="A72" s="31"/>
      <c r="B72" s="34" t="str">
        <f t="shared" si="8"/>
        <v/>
      </c>
      <c r="C72" s="30"/>
      <c r="D72" s="10"/>
      <c r="E72" s="30"/>
      <c r="F72" s="36" t="str">
        <f t="shared" si="9"/>
        <v/>
      </c>
      <c r="G72" s="36" t="str">
        <f t="shared" si="10"/>
        <v/>
      </c>
      <c r="H72" s="36" t="str">
        <f t="shared" si="11"/>
        <v/>
      </c>
      <c r="I72" s="34" t="str">
        <f t="shared" si="12"/>
        <v/>
      </c>
      <c r="J72" s="35" t="str">
        <f t="shared" si="13"/>
        <v/>
      </c>
      <c r="K72" s="49"/>
      <c r="L72" s="30"/>
      <c r="M72" s="31"/>
      <c r="N72" s="33"/>
      <c r="O72" s="31"/>
      <c r="P72" s="29" t="str">
        <f t="shared" si="14"/>
        <v/>
      </c>
      <c r="Q72" s="29" t="str">
        <f t="shared" si="15"/>
        <v/>
      </c>
      <c r="R72" s="33"/>
    </row>
    <row r="73" spans="1:18" x14ac:dyDescent="0.25">
      <c r="A73" s="31"/>
      <c r="B73" s="34" t="str">
        <f t="shared" si="8"/>
        <v/>
      </c>
      <c r="C73" s="30"/>
      <c r="D73" s="10"/>
      <c r="E73" s="30"/>
      <c r="F73" s="36" t="str">
        <f t="shared" si="9"/>
        <v/>
      </c>
      <c r="G73" s="36" t="str">
        <f t="shared" si="10"/>
        <v/>
      </c>
      <c r="H73" s="36" t="str">
        <f t="shared" si="11"/>
        <v/>
      </c>
      <c r="I73" s="34" t="str">
        <f t="shared" si="12"/>
        <v/>
      </c>
      <c r="J73" s="35" t="str">
        <f t="shared" si="13"/>
        <v/>
      </c>
      <c r="K73" s="49"/>
      <c r="L73" s="30"/>
      <c r="M73" s="31"/>
      <c r="N73" s="33"/>
      <c r="O73" s="31"/>
      <c r="P73" s="29" t="str">
        <f t="shared" si="14"/>
        <v/>
      </c>
      <c r="Q73" s="29" t="str">
        <f t="shared" si="15"/>
        <v/>
      </c>
      <c r="R73" s="33"/>
    </row>
    <row r="74" spans="1:18" x14ac:dyDescent="0.25">
      <c r="A74" s="31"/>
      <c r="B74" s="34" t="str">
        <f t="shared" si="8"/>
        <v/>
      </c>
      <c r="C74" s="30"/>
      <c r="D74" s="10"/>
      <c r="E74" s="30"/>
      <c r="F74" s="36" t="str">
        <f t="shared" si="9"/>
        <v/>
      </c>
      <c r="G74" s="36" t="str">
        <f t="shared" si="10"/>
        <v/>
      </c>
      <c r="H74" s="36" t="str">
        <f t="shared" si="11"/>
        <v/>
      </c>
      <c r="I74" s="34" t="str">
        <f t="shared" si="12"/>
        <v/>
      </c>
      <c r="J74" s="35" t="str">
        <f t="shared" si="13"/>
        <v/>
      </c>
      <c r="K74" s="49"/>
      <c r="L74" s="30"/>
      <c r="M74" s="31"/>
      <c r="N74" s="33"/>
      <c r="O74" s="31"/>
      <c r="P74" s="29" t="str">
        <f t="shared" si="14"/>
        <v/>
      </c>
      <c r="Q74" s="29" t="str">
        <f t="shared" si="15"/>
        <v/>
      </c>
      <c r="R74" s="33"/>
    </row>
    <row r="75" spans="1:18" x14ac:dyDescent="0.25">
      <c r="A75" s="31"/>
      <c r="B75" s="34" t="str">
        <f t="shared" si="8"/>
        <v/>
      </c>
      <c r="C75" s="30"/>
      <c r="D75" s="10"/>
      <c r="E75" s="30"/>
      <c r="F75" s="36" t="str">
        <f t="shared" si="9"/>
        <v/>
      </c>
      <c r="G75" s="36" t="str">
        <f t="shared" si="10"/>
        <v/>
      </c>
      <c r="H75" s="36" t="str">
        <f t="shared" si="11"/>
        <v/>
      </c>
      <c r="I75" s="34" t="str">
        <f t="shared" si="12"/>
        <v/>
      </c>
      <c r="J75" s="35" t="str">
        <f t="shared" si="13"/>
        <v/>
      </c>
      <c r="K75" s="49"/>
      <c r="L75" s="30"/>
      <c r="M75" s="31"/>
      <c r="N75" s="33"/>
      <c r="O75" s="31"/>
      <c r="P75" s="29" t="str">
        <f t="shared" si="14"/>
        <v/>
      </c>
      <c r="Q75" s="29" t="str">
        <f t="shared" si="15"/>
        <v/>
      </c>
      <c r="R75" s="33"/>
    </row>
    <row r="76" spans="1:18" x14ac:dyDescent="0.25">
      <c r="A76" s="31"/>
      <c r="B76" s="34" t="str">
        <f t="shared" si="8"/>
        <v/>
      </c>
      <c r="C76" s="30"/>
      <c r="D76" s="10"/>
      <c r="E76" s="30"/>
      <c r="F76" s="36" t="str">
        <f t="shared" si="9"/>
        <v/>
      </c>
      <c r="G76" s="36" t="str">
        <f t="shared" si="10"/>
        <v/>
      </c>
      <c r="H76" s="36" t="str">
        <f t="shared" si="11"/>
        <v/>
      </c>
      <c r="I76" s="34" t="str">
        <f t="shared" si="12"/>
        <v/>
      </c>
      <c r="J76" s="35" t="str">
        <f t="shared" si="13"/>
        <v/>
      </c>
      <c r="K76" s="49"/>
      <c r="L76" s="30"/>
      <c r="M76" s="31"/>
      <c r="N76" s="33"/>
      <c r="O76" s="31"/>
      <c r="P76" s="29" t="str">
        <f t="shared" si="14"/>
        <v/>
      </c>
      <c r="Q76" s="29" t="str">
        <f t="shared" si="15"/>
        <v/>
      </c>
      <c r="R76" s="33"/>
    </row>
    <row r="77" spans="1:18" x14ac:dyDescent="0.25">
      <c r="A77" s="31"/>
      <c r="B77" s="34" t="str">
        <f t="shared" si="8"/>
        <v/>
      </c>
      <c r="C77" s="30"/>
      <c r="D77" s="10"/>
      <c r="E77" s="30"/>
      <c r="F77" s="36" t="str">
        <f t="shared" si="9"/>
        <v/>
      </c>
      <c r="G77" s="36" t="str">
        <f t="shared" si="10"/>
        <v/>
      </c>
      <c r="H77" s="36" t="str">
        <f t="shared" si="11"/>
        <v/>
      </c>
      <c r="I77" s="34" t="str">
        <f t="shared" si="12"/>
        <v/>
      </c>
      <c r="J77" s="35" t="str">
        <f t="shared" si="13"/>
        <v/>
      </c>
      <c r="K77" s="49"/>
      <c r="L77" s="30"/>
      <c r="M77" s="31"/>
      <c r="N77" s="33"/>
      <c r="O77" s="31"/>
      <c r="P77" s="29" t="str">
        <f t="shared" si="14"/>
        <v/>
      </c>
      <c r="Q77" s="29" t="str">
        <f t="shared" si="15"/>
        <v/>
      </c>
      <c r="R77" s="33"/>
    </row>
    <row r="78" spans="1:18" x14ac:dyDescent="0.25">
      <c r="A78" s="31"/>
      <c r="B78" s="34" t="str">
        <f t="shared" si="8"/>
        <v/>
      </c>
      <c r="C78" s="30"/>
      <c r="D78" s="10"/>
      <c r="E78" s="30"/>
      <c r="F78" s="36" t="str">
        <f t="shared" si="9"/>
        <v/>
      </c>
      <c r="G78" s="36" t="str">
        <f t="shared" si="10"/>
        <v/>
      </c>
      <c r="H78" s="36" t="str">
        <f t="shared" si="11"/>
        <v/>
      </c>
      <c r="I78" s="34" t="str">
        <f t="shared" si="12"/>
        <v/>
      </c>
      <c r="J78" s="35" t="str">
        <f t="shared" si="13"/>
        <v/>
      </c>
      <c r="K78" s="49"/>
      <c r="L78" s="30"/>
      <c r="M78" s="31"/>
      <c r="N78" s="33"/>
      <c r="O78" s="31"/>
      <c r="P78" s="29" t="str">
        <f t="shared" si="14"/>
        <v/>
      </c>
      <c r="Q78" s="29" t="str">
        <f t="shared" si="15"/>
        <v/>
      </c>
      <c r="R78" s="33"/>
    </row>
    <row r="79" spans="1:18" x14ac:dyDescent="0.25">
      <c r="A79" s="31"/>
      <c r="B79" s="34" t="str">
        <f t="shared" si="8"/>
        <v/>
      </c>
      <c r="C79" s="30"/>
      <c r="D79" s="10"/>
      <c r="E79" s="30"/>
      <c r="F79" s="36" t="str">
        <f t="shared" si="9"/>
        <v/>
      </c>
      <c r="G79" s="36" t="str">
        <f t="shared" si="10"/>
        <v/>
      </c>
      <c r="H79" s="36" t="str">
        <f t="shared" si="11"/>
        <v/>
      </c>
      <c r="I79" s="34" t="str">
        <f t="shared" si="12"/>
        <v/>
      </c>
      <c r="J79" s="35" t="str">
        <f t="shared" si="13"/>
        <v/>
      </c>
      <c r="K79" s="49"/>
      <c r="L79" s="30"/>
      <c r="M79" s="31"/>
      <c r="N79" s="33"/>
      <c r="O79" s="31"/>
      <c r="P79" s="29" t="str">
        <f t="shared" si="14"/>
        <v/>
      </c>
      <c r="Q79" s="29" t="str">
        <f t="shared" si="15"/>
        <v/>
      </c>
      <c r="R79" s="33"/>
    </row>
    <row r="80" spans="1:18" x14ac:dyDescent="0.25">
      <c r="A80" s="31"/>
      <c r="B80" s="34" t="str">
        <f t="shared" si="8"/>
        <v/>
      </c>
      <c r="C80" s="30"/>
      <c r="D80" s="10"/>
      <c r="E80" s="30"/>
      <c r="F80" s="36" t="str">
        <f t="shared" si="9"/>
        <v/>
      </c>
      <c r="G80" s="36" t="str">
        <f t="shared" si="10"/>
        <v/>
      </c>
      <c r="H80" s="36" t="str">
        <f t="shared" si="11"/>
        <v/>
      </c>
      <c r="I80" s="34" t="str">
        <f t="shared" si="12"/>
        <v/>
      </c>
      <c r="J80" s="35" t="str">
        <f t="shared" si="13"/>
        <v/>
      </c>
      <c r="K80" s="49"/>
      <c r="L80" s="30"/>
      <c r="M80" s="31"/>
      <c r="N80" s="33"/>
      <c r="O80" s="31"/>
      <c r="P80" s="29" t="str">
        <f t="shared" si="14"/>
        <v/>
      </c>
      <c r="Q80" s="29" t="str">
        <f t="shared" si="15"/>
        <v/>
      </c>
      <c r="R80" s="33"/>
    </row>
    <row r="81" spans="1:18" x14ac:dyDescent="0.25">
      <c r="A81" s="31"/>
      <c r="B81" s="34" t="str">
        <f t="shared" si="8"/>
        <v/>
      </c>
      <c r="C81" s="30"/>
      <c r="D81" s="10"/>
      <c r="E81" s="30"/>
      <c r="F81" s="36" t="str">
        <f t="shared" si="9"/>
        <v/>
      </c>
      <c r="G81" s="36" t="str">
        <f t="shared" si="10"/>
        <v/>
      </c>
      <c r="H81" s="36" t="str">
        <f t="shared" si="11"/>
        <v/>
      </c>
      <c r="I81" s="34" t="str">
        <f t="shared" si="12"/>
        <v/>
      </c>
      <c r="J81" s="35" t="str">
        <f t="shared" si="13"/>
        <v/>
      </c>
      <c r="K81" s="49"/>
      <c r="L81" s="30"/>
      <c r="M81" s="31"/>
      <c r="N81" s="33"/>
      <c r="O81" s="31"/>
      <c r="P81" s="29" t="str">
        <f t="shared" si="14"/>
        <v/>
      </c>
      <c r="Q81" s="29" t="str">
        <f t="shared" si="15"/>
        <v/>
      </c>
      <c r="R81" s="33"/>
    </row>
    <row r="82" spans="1:18" x14ac:dyDescent="0.25">
      <c r="A82" s="31"/>
      <c r="B82" s="34" t="str">
        <f t="shared" si="8"/>
        <v/>
      </c>
      <c r="C82" s="30"/>
      <c r="D82" s="10"/>
      <c r="E82" s="30"/>
      <c r="F82" s="36" t="str">
        <f t="shared" si="9"/>
        <v/>
      </c>
      <c r="G82" s="36" t="str">
        <f t="shared" si="10"/>
        <v/>
      </c>
      <c r="H82" s="36" t="str">
        <f t="shared" si="11"/>
        <v/>
      </c>
      <c r="I82" s="34" t="str">
        <f t="shared" si="12"/>
        <v/>
      </c>
      <c r="J82" s="35" t="str">
        <f t="shared" si="13"/>
        <v/>
      </c>
      <c r="K82" s="49"/>
      <c r="L82" s="30"/>
      <c r="M82" s="31"/>
      <c r="N82" s="33"/>
      <c r="O82" s="31"/>
      <c r="P82" s="29" t="str">
        <f t="shared" si="14"/>
        <v/>
      </c>
      <c r="Q82" s="29" t="str">
        <f t="shared" si="15"/>
        <v/>
      </c>
      <c r="R82" s="33"/>
    </row>
    <row r="83" spans="1:18" x14ac:dyDescent="0.25">
      <c r="A83" s="31"/>
      <c r="B83" s="34" t="str">
        <f t="shared" si="8"/>
        <v/>
      </c>
      <c r="C83" s="30"/>
      <c r="D83" s="10"/>
      <c r="E83" s="30"/>
      <c r="F83" s="36" t="str">
        <f t="shared" si="9"/>
        <v/>
      </c>
      <c r="G83" s="36" t="str">
        <f t="shared" si="10"/>
        <v/>
      </c>
      <c r="H83" s="36" t="str">
        <f t="shared" si="11"/>
        <v/>
      </c>
      <c r="I83" s="34" t="str">
        <f t="shared" si="12"/>
        <v/>
      </c>
      <c r="J83" s="35" t="str">
        <f t="shared" si="13"/>
        <v/>
      </c>
      <c r="K83" s="49"/>
      <c r="L83" s="30"/>
      <c r="M83" s="31"/>
      <c r="N83" s="33"/>
      <c r="O83" s="31"/>
      <c r="P83" s="29" t="str">
        <f t="shared" si="14"/>
        <v/>
      </c>
      <c r="Q83" s="29" t="str">
        <f t="shared" si="15"/>
        <v/>
      </c>
      <c r="R83" s="33"/>
    </row>
    <row r="84" spans="1:18" x14ac:dyDescent="0.25">
      <c r="A84" s="31"/>
      <c r="B84" s="34" t="str">
        <f t="shared" si="8"/>
        <v/>
      </c>
      <c r="C84" s="30"/>
      <c r="D84" s="10"/>
      <c r="E84" s="30"/>
      <c r="F84" s="36" t="str">
        <f t="shared" si="9"/>
        <v/>
      </c>
      <c r="G84" s="36" t="str">
        <f t="shared" si="10"/>
        <v/>
      </c>
      <c r="H84" s="36" t="str">
        <f t="shared" si="11"/>
        <v/>
      </c>
      <c r="I84" s="34" t="str">
        <f t="shared" si="12"/>
        <v/>
      </c>
      <c r="J84" s="35" t="str">
        <f t="shared" si="13"/>
        <v/>
      </c>
      <c r="K84" s="49"/>
      <c r="L84" s="30"/>
      <c r="M84" s="31"/>
      <c r="N84" s="33"/>
      <c r="O84" s="31"/>
      <c r="P84" s="29" t="str">
        <f t="shared" si="14"/>
        <v/>
      </c>
      <c r="Q84" s="29" t="str">
        <f t="shared" si="15"/>
        <v/>
      </c>
      <c r="R84" s="33"/>
    </row>
    <row r="85" spans="1:18" x14ac:dyDescent="0.25">
      <c r="A85" s="31"/>
      <c r="B85" s="34" t="str">
        <f t="shared" si="8"/>
        <v/>
      </c>
      <c r="C85" s="30"/>
      <c r="D85" s="10"/>
      <c r="E85" s="30"/>
      <c r="F85" s="36" t="str">
        <f t="shared" si="9"/>
        <v/>
      </c>
      <c r="G85" s="36" t="str">
        <f t="shared" si="10"/>
        <v/>
      </c>
      <c r="H85" s="36" t="str">
        <f t="shared" si="11"/>
        <v/>
      </c>
      <c r="I85" s="34" t="str">
        <f t="shared" si="12"/>
        <v/>
      </c>
      <c r="J85" s="35" t="str">
        <f t="shared" si="13"/>
        <v/>
      </c>
      <c r="K85" s="49"/>
      <c r="L85" s="30"/>
      <c r="M85" s="31"/>
      <c r="N85" s="33"/>
      <c r="O85" s="31"/>
      <c r="P85" s="29" t="str">
        <f t="shared" si="14"/>
        <v/>
      </c>
      <c r="Q85" s="29" t="str">
        <f t="shared" si="15"/>
        <v/>
      </c>
      <c r="R85" s="33"/>
    </row>
    <row r="86" spans="1:18" x14ac:dyDescent="0.25">
      <c r="A86" s="31"/>
      <c r="B86" s="34" t="str">
        <f t="shared" si="8"/>
        <v/>
      </c>
      <c r="C86" s="30"/>
      <c r="D86" s="10"/>
      <c r="E86" s="30"/>
      <c r="F86" s="36" t="str">
        <f t="shared" si="9"/>
        <v/>
      </c>
      <c r="G86" s="36" t="str">
        <f t="shared" si="10"/>
        <v/>
      </c>
      <c r="H86" s="36" t="str">
        <f t="shared" si="11"/>
        <v/>
      </c>
      <c r="I86" s="34" t="str">
        <f t="shared" si="12"/>
        <v/>
      </c>
      <c r="J86" s="35" t="str">
        <f t="shared" si="13"/>
        <v/>
      </c>
      <c r="K86" s="49"/>
      <c r="L86" s="30"/>
      <c r="M86" s="31"/>
      <c r="N86" s="33"/>
      <c r="O86" s="31"/>
      <c r="P86" s="29" t="str">
        <f t="shared" si="14"/>
        <v/>
      </c>
      <c r="Q86" s="29" t="str">
        <f t="shared" si="15"/>
        <v/>
      </c>
      <c r="R86" s="33"/>
    </row>
    <row r="87" spans="1:18" x14ac:dyDescent="0.25">
      <c r="A87" s="31"/>
      <c r="B87" s="34" t="str">
        <f t="shared" si="8"/>
        <v/>
      </c>
      <c r="C87" s="30"/>
      <c r="D87" s="10"/>
      <c r="E87" s="30"/>
      <c r="F87" s="36" t="str">
        <f t="shared" si="9"/>
        <v/>
      </c>
      <c r="G87" s="36" t="str">
        <f t="shared" si="10"/>
        <v/>
      </c>
      <c r="H87" s="36" t="str">
        <f t="shared" si="11"/>
        <v/>
      </c>
      <c r="I87" s="34" t="str">
        <f t="shared" si="12"/>
        <v/>
      </c>
      <c r="J87" s="35" t="str">
        <f t="shared" si="13"/>
        <v/>
      </c>
      <c r="K87" s="49"/>
      <c r="L87" s="30"/>
      <c r="M87" s="31"/>
      <c r="N87" s="33"/>
      <c r="O87" s="31"/>
      <c r="P87" s="29" t="str">
        <f t="shared" si="14"/>
        <v/>
      </c>
      <c r="Q87" s="29" t="str">
        <f t="shared" si="15"/>
        <v/>
      </c>
      <c r="R87" s="33"/>
    </row>
    <row r="88" spans="1:18" x14ac:dyDescent="0.25">
      <c r="A88" s="31"/>
      <c r="B88" s="34" t="str">
        <f t="shared" si="8"/>
        <v/>
      </c>
      <c r="C88" s="30"/>
      <c r="D88" s="10"/>
      <c r="E88" s="30"/>
      <c r="F88" s="36" t="str">
        <f t="shared" si="9"/>
        <v/>
      </c>
      <c r="G88" s="36" t="str">
        <f t="shared" si="10"/>
        <v/>
      </c>
      <c r="H88" s="36" t="str">
        <f t="shared" si="11"/>
        <v/>
      </c>
      <c r="I88" s="34" t="str">
        <f t="shared" si="12"/>
        <v/>
      </c>
      <c r="J88" s="35" t="str">
        <f t="shared" si="13"/>
        <v/>
      </c>
      <c r="K88" s="49"/>
      <c r="L88" s="30"/>
      <c r="M88" s="31"/>
      <c r="N88" s="33"/>
      <c r="O88" s="31"/>
      <c r="P88" s="29" t="str">
        <f t="shared" si="14"/>
        <v/>
      </c>
      <c r="Q88" s="29" t="str">
        <f t="shared" si="15"/>
        <v/>
      </c>
      <c r="R88" s="33"/>
    </row>
    <row r="89" spans="1:18" x14ac:dyDescent="0.25">
      <c r="A89" s="31"/>
      <c r="B89" s="34" t="str">
        <f t="shared" si="8"/>
        <v/>
      </c>
      <c r="C89" s="30"/>
      <c r="D89" s="10"/>
      <c r="E89" s="30"/>
      <c r="F89" s="36" t="str">
        <f t="shared" si="9"/>
        <v/>
      </c>
      <c r="G89" s="36" t="str">
        <f t="shared" si="10"/>
        <v/>
      </c>
      <c r="H89" s="36" t="str">
        <f t="shared" si="11"/>
        <v/>
      </c>
      <c r="I89" s="34" t="str">
        <f t="shared" si="12"/>
        <v/>
      </c>
      <c r="J89" s="35" t="str">
        <f t="shared" si="13"/>
        <v/>
      </c>
      <c r="K89" s="49"/>
      <c r="L89" s="30"/>
      <c r="M89" s="31"/>
      <c r="N89" s="33"/>
      <c r="O89" s="31"/>
      <c r="P89" s="29" t="str">
        <f t="shared" si="14"/>
        <v/>
      </c>
      <c r="Q89" s="29" t="str">
        <f t="shared" si="15"/>
        <v/>
      </c>
      <c r="R89" s="33"/>
    </row>
    <row r="90" spans="1:18" x14ac:dyDescent="0.25">
      <c r="A90" s="31"/>
      <c r="B90" s="34" t="str">
        <f t="shared" si="8"/>
        <v/>
      </c>
      <c r="C90" s="30"/>
      <c r="D90" s="10"/>
      <c r="E90" s="30"/>
      <c r="F90" s="36" t="str">
        <f t="shared" si="9"/>
        <v/>
      </c>
      <c r="G90" s="36" t="str">
        <f t="shared" si="10"/>
        <v/>
      </c>
      <c r="H90" s="36" t="str">
        <f t="shared" si="11"/>
        <v/>
      </c>
      <c r="I90" s="34" t="str">
        <f t="shared" si="12"/>
        <v/>
      </c>
      <c r="J90" s="35" t="str">
        <f t="shared" si="13"/>
        <v/>
      </c>
      <c r="K90" s="49"/>
      <c r="L90" s="30"/>
      <c r="M90" s="31"/>
      <c r="N90" s="33"/>
      <c r="O90" s="31"/>
      <c r="P90" s="29" t="str">
        <f t="shared" si="14"/>
        <v/>
      </c>
      <c r="Q90" s="29" t="str">
        <f t="shared" si="15"/>
        <v/>
      </c>
      <c r="R90" s="33"/>
    </row>
    <row r="91" spans="1:18" x14ac:dyDescent="0.25">
      <c r="A91" s="31"/>
      <c r="B91" s="34" t="str">
        <f t="shared" si="8"/>
        <v/>
      </c>
      <c r="C91" s="30"/>
      <c r="D91" s="10"/>
      <c r="E91" s="30"/>
      <c r="F91" s="36" t="str">
        <f t="shared" si="9"/>
        <v/>
      </c>
      <c r="G91" s="36" t="str">
        <f t="shared" si="10"/>
        <v/>
      </c>
      <c r="H91" s="36" t="str">
        <f t="shared" si="11"/>
        <v/>
      </c>
      <c r="I91" s="34" t="str">
        <f t="shared" si="12"/>
        <v/>
      </c>
      <c r="J91" s="35" t="str">
        <f t="shared" si="13"/>
        <v/>
      </c>
      <c r="K91" s="49"/>
      <c r="L91" s="30"/>
      <c r="M91" s="31"/>
      <c r="N91" s="33"/>
      <c r="O91" s="31"/>
      <c r="P91" s="29" t="str">
        <f t="shared" si="14"/>
        <v/>
      </c>
      <c r="Q91" s="29" t="str">
        <f t="shared" si="15"/>
        <v/>
      </c>
      <c r="R91" s="33"/>
    </row>
    <row r="92" spans="1:18" x14ac:dyDescent="0.25">
      <c r="A92" s="31"/>
      <c r="B92" s="34" t="str">
        <f t="shared" si="8"/>
        <v/>
      </c>
      <c r="C92" s="30"/>
      <c r="D92" s="10"/>
      <c r="E92" s="30"/>
      <c r="F92" s="36" t="str">
        <f t="shared" si="9"/>
        <v/>
      </c>
      <c r="G92" s="36" t="str">
        <f t="shared" si="10"/>
        <v/>
      </c>
      <c r="H92" s="36" t="str">
        <f t="shared" si="11"/>
        <v/>
      </c>
      <c r="I92" s="34" t="str">
        <f t="shared" si="12"/>
        <v/>
      </c>
      <c r="J92" s="35" t="str">
        <f t="shared" si="13"/>
        <v/>
      </c>
      <c r="K92" s="49"/>
      <c r="L92" s="30"/>
      <c r="M92" s="31"/>
      <c r="N92" s="33"/>
      <c r="O92" s="31"/>
      <c r="P92" s="29" t="str">
        <f t="shared" si="14"/>
        <v/>
      </c>
      <c r="Q92" s="29" t="str">
        <f t="shared" si="15"/>
        <v/>
      </c>
      <c r="R92" s="33"/>
    </row>
    <row r="93" spans="1:18" x14ac:dyDescent="0.25">
      <c r="A93" s="31"/>
      <c r="B93" s="34" t="str">
        <f t="shared" si="8"/>
        <v/>
      </c>
      <c r="C93" s="30"/>
      <c r="D93" s="10"/>
      <c r="E93" s="30"/>
      <c r="F93" s="36" t="str">
        <f t="shared" si="9"/>
        <v/>
      </c>
      <c r="G93" s="36" t="str">
        <f t="shared" si="10"/>
        <v/>
      </c>
      <c r="H93" s="36" t="str">
        <f t="shared" si="11"/>
        <v/>
      </c>
      <c r="I93" s="34" t="str">
        <f t="shared" si="12"/>
        <v/>
      </c>
      <c r="J93" s="35" t="str">
        <f t="shared" si="13"/>
        <v/>
      </c>
      <c r="K93" s="49"/>
      <c r="L93" s="30"/>
      <c r="M93" s="31"/>
      <c r="N93" s="33"/>
      <c r="O93" s="31"/>
      <c r="P93" s="29" t="str">
        <f t="shared" si="14"/>
        <v/>
      </c>
      <c r="Q93" s="29" t="str">
        <f t="shared" si="15"/>
        <v/>
      </c>
      <c r="R93" s="33"/>
    </row>
    <row r="94" spans="1:18" x14ac:dyDescent="0.25">
      <c r="A94" s="31"/>
      <c r="B94" s="34" t="str">
        <f t="shared" si="8"/>
        <v/>
      </c>
      <c r="C94" s="30"/>
      <c r="D94" s="10"/>
      <c r="E94" s="30"/>
      <c r="F94" s="36" t="str">
        <f t="shared" si="9"/>
        <v/>
      </c>
      <c r="G94" s="36" t="str">
        <f t="shared" si="10"/>
        <v/>
      </c>
      <c r="H94" s="36" t="str">
        <f t="shared" si="11"/>
        <v/>
      </c>
      <c r="I94" s="34" t="str">
        <f t="shared" si="12"/>
        <v/>
      </c>
      <c r="J94" s="35" t="str">
        <f t="shared" si="13"/>
        <v/>
      </c>
      <c r="K94" s="49"/>
      <c r="L94" s="30"/>
      <c r="M94" s="31"/>
      <c r="N94" s="33"/>
      <c r="O94" s="31"/>
      <c r="P94" s="29" t="str">
        <f t="shared" si="14"/>
        <v/>
      </c>
      <c r="Q94" s="29" t="str">
        <f t="shared" si="15"/>
        <v/>
      </c>
      <c r="R94" s="33"/>
    </row>
    <row r="95" spans="1:18" x14ac:dyDescent="0.25">
      <c r="A95" s="31"/>
      <c r="B95" s="34" t="str">
        <f t="shared" si="8"/>
        <v/>
      </c>
      <c r="C95" s="30"/>
      <c r="D95" s="10"/>
      <c r="E95" s="30"/>
      <c r="F95" s="36" t="str">
        <f t="shared" si="9"/>
        <v/>
      </c>
      <c r="G95" s="36" t="str">
        <f t="shared" si="10"/>
        <v/>
      </c>
      <c r="H95" s="36" t="str">
        <f t="shared" si="11"/>
        <v/>
      </c>
      <c r="I95" s="34" t="str">
        <f t="shared" si="12"/>
        <v/>
      </c>
      <c r="J95" s="35" t="str">
        <f t="shared" si="13"/>
        <v/>
      </c>
      <c r="K95" s="49"/>
      <c r="L95" s="30"/>
      <c r="M95" s="31"/>
      <c r="N95" s="33"/>
      <c r="O95" s="31"/>
      <c r="P95" s="29" t="str">
        <f t="shared" si="14"/>
        <v/>
      </c>
      <c r="Q95" s="29" t="str">
        <f t="shared" si="15"/>
        <v/>
      </c>
      <c r="R95" s="33"/>
    </row>
    <row r="96" spans="1:18" x14ac:dyDescent="0.25">
      <c r="A96" s="31"/>
      <c r="B96" s="34" t="str">
        <f t="shared" si="8"/>
        <v/>
      </c>
      <c r="C96" s="30"/>
      <c r="D96" s="10"/>
      <c r="E96" s="30"/>
      <c r="F96" s="36" t="str">
        <f t="shared" si="9"/>
        <v/>
      </c>
      <c r="G96" s="36" t="str">
        <f t="shared" si="10"/>
        <v/>
      </c>
      <c r="H96" s="36" t="str">
        <f t="shared" si="11"/>
        <v/>
      </c>
      <c r="I96" s="34" t="str">
        <f t="shared" si="12"/>
        <v/>
      </c>
      <c r="J96" s="35" t="str">
        <f t="shared" si="13"/>
        <v/>
      </c>
      <c r="K96" s="49"/>
      <c r="L96" s="30"/>
      <c r="M96" s="31"/>
      <c r="N96" s="33"/>
      <c r="O96" s="31"/>
      <c r="P96" s="29" t="str">
        <f t="shared" si="14"/>
        <v/>
      </c>
      <c r="Q96" s="29" t="str">
        <f t="shared" si="15"/>
        <v/>
      </c>
      <c r="R96" s="33"/>
    </row>
    <row r="97" spans="1:18" x14ac:dyDescent="0.25">
      <c r="A97" s="31"/>
      <c r="B97" s="34" t="str">
        <f t="shared" si="8"/>
        <v/>
      </c>
      <c r="C97" s="30"/>
      <c r="D97" s="10"/>
      <c r="E97" s="30"/>
      <c r="F97" s="36" t="str">
        <f t="shared" si="9"/>
        <v/>
      </c>
      <c r="G97" s="36" t="str">
        <f t="shared" si="10"/>
        <v/>
      </c>
      <c r="H97" s="36" t="str">
        <f t="shared" si="11"/>
        <v/>
      </c>
      <c r="I97" s="34" t="str">
        <f t="shared" si="12"/>
        <v/>
      </c>
      <c r="J97" s="35" t="str">
        <f t="shared" si="13"/>
        <v/>
      </c>
      <c r="K97" s="49"/>
      <c r="L97" s="30"/>
      <c r="M97" s="31"/>
      <c r="N97" s="33"/>
      <c r="O97" s="31"/>
      <c r="P97" s="29" t="str">
        <f t="shared" si="14"/>
        <v/>
      </c>
      <c r="Q97" s="29" t="str">
        <f t="shared" si="15"/>
        <v/>
      </c>
      <c r="R97" s="33"/>
    </row>
    <row r="98" spans="1:18" x14ac:dyDescent="0.25">
      <c r="A98" s="31"/>
      <c r="B98" s="34" t="str">
        <f t="shared" si="8"/>
        <v/>
      </c>
      <c r="C98" s="30"/>
      <c r="D98" s="10"/>
      <c r="E98" s="30"/>
      <c r="F98" s="36" t="str">
        <f t="shared" si="9"/>
        <v/>
      </c>
      <c r="G98" s="36" t="str">
        <f t="shared" si="10"/>
        <v/>
      </c>
      <c r="H98" s="36" t="str">
        <f t="shared" si="11"/>
        <v/>
      </c>
      <c r="I98" s="34" t="str">
        <f t="shared" si="12"/>
        <v/>
      </c>
      <c r="J98" s="35" t="str">
        <f t="shared" si="13"/>
        <v/>
      </c>
      <c r="K98" s="49"/>
      <c r="L98" s="30"/>
      <c r="M98" s="31"/>
      <c r="N98" s="33"/>
      <c r="O98" s="31"/>
      <c r="P98" s="29" t="str">
        <f t="shared" si="14"/>
        <v/>
      </c>
      <c r="Q98" s="29" t="str">
        <f t="shared" si="15"/>
        <v/>
      </c>
      <c r="R98" s="33"/>
    </row>
    <row r="99" spans="1:18" x14ac:dyDescent="0.25">
      <c r="A99" s="31"/>
      <c r="B99" s="34" t="str">
        <f t="shared" si="8"/>
        <v/>
      </c>
      <c r="C99" s="30"/>
      <c r="D99" s="10"/>
      <c r="E99" s="30"/>
      <c r="F99" s="36" t="str">
        <f t="shared" si="9"/>
        <v/>
      </c>
      <c r="G99" s="36" t="str">
        <f t="shared" si="10"/>
        <v/>
      </c>
      <c r="H99" s="36" t="str">
        <f t="shared" si="11"/>
        <v/>
      </c>
      <c r="I99" s="34" t="str">
        <f t="shared" si="12"/>
        <v/>
      </c>
      <c r="J99" s="35" t="str">
        <f t="shared" si="13"/>
        <v/>
      </c>
      <c r="K99" s="49"/>
      <c r="L99" s="30"/>
      <c r="M99" s="31"/>
      <c r="N99" s="33"/>
      <c r="O99" s="31"/>
      <c r="P99" s="29" t="str">
        <f t="shared" si="14"/>
        <v/>
      </c>
      <c r="Q99" s="29" t="str">
        <f t="shared" si="15"/>
        <v/>
      </c>
      <c r="R99" s="33"/>
    </row>
    <row r="100" spans="1:18" x14ac:dyDescent="0.25">
      <c r="A100" s="31"/>
      <c r="B100" s="34" t="str">
        <f t="shared" si="8"/>
        <v/>
      </c>
      <c r="C100" s="30"/>
      <c r="D100" s="10"/>
      <c r="E100" s="30"/>
      <c r="F100" s="36" t="str">
        <f t="shared" si="9"/>
        <v/>
      </c>
      <c r="G100" s="36" t="str">
        <f t="shared" si="10"/>
        <v/>
      </c>
      <c r="H100" s="36" t="str">
        <f t="shared" si="11"/>
        <v/>
      </c>
      <c r="I100" s="34" t="str">
        <f t="shared" si="12"/>
        <v/>
      </c>
      <c r="J100" s="35" t="str">
        <f t="shared" si="13"/>
        <v/>
      </c>
      <c r="K100" s="49"/>
      <c r="L100" s="30"/>
      <c r="M100" s="31"/>
      <c r="N100" s="33"/>
      <c r="O100" s="31"/>
      <c r="P100" s="29" t="str">
        <f t="shared" si="14"/>
        <v/>
      </c>
      <c r="Q100" s="29" t="str">
        <f t="shared" si="15"/>
        <v/>
      </c>
      <c r="R100" s="33"/>
    </row>
    <row r="101" spans="1:18" x14ac:dyDescent="0.25">
      <c r="A101" s="31"/>
      <c r="B101" s="34" t="str">
        <f t="shared" si="8"/>
        <v/>
      </c>
      <c r="C101" s="30"/>
      <c r="D101" s="10"/>
      <c r="E101" s="30"/>
      <c r="F101" s="36" t="str">
        <f t="shared" si="9"/>
        <v/>
      </c>
      <c r="G101" s="36" t="str">
        <f t="shared" si="10"/>
        <v/>
      </c>
      <c r="H101" s="36" t="str">
        <f t="shared" si="11"/>
        <v/>
      </c>
      <c r="I101" s="34" t="str">
        <f t="shared" si="12"/>
        <v/>
      </c>
      <c r="J101" s="35" t="str">
        <f t="shared" si="13"/>
        <v/>
      </c>
      <c r="K101" s="49"/>
      <c r="L101" s="30"/>
      <c r="M101" s="31"/>
      <c r="N101" s="33"/>
      <c r="O101" s="31"/>
      <c r="P101" s="29" t="str">
        <f t="shared" si="14"/>
        <v/>
      </c>
      <c r="Q101" s="29" t="str">
        <f t="shared" si="15"/>
        <v/>
      </c>
      <c r="R101" s="33"/>
    </row>
    <row r="102" spans="1:18" x14ac:dyDescent="0.25">
      <c r="A102" s="31"/>
      <c r="B102" s="34" t="str">
        <f t="shared" si="8"/>
        <v/>
      </c>
      <c r="C102" s="30"/>
      <c r="D102" s="10"/>
      <c r="E102" s="30"/>
      <c r="F102" s="36" t="str">
        <f t="shared" si="9"/>
        <v/>
      </c>
      <c r="G102" s="36" t="str">
        <f t="shared" si="10"/>
        <v/>
      </c>
      <c r="H102" s="36" t="str">
        <f t="shared" si="11"/>
        <v/>
      </c>
      <c r="I102" s="34" t="str">
        <f t="shared" si="12"/>
        <v/>
      </c>
      <c r="J102" s="35" t="str">
        <f t="shared" si="13"/>
        <v/>
      </c>
      <c r="K102" s="49"/>
      <c r="L102" s="30"/>
      <c r="M102" s="31"/>
      <c r="N102" s="33"/>
      <c r="O102" s="31"/>
      <c r="P102" s="29" t="str">
        <f t="shared" si="14"/>
        <v/>
      </c>
      <c r="Q102" s="29" t="str">
        <f t="shared" si="15"/>
        <v/>
      </c>
      <c r="R102" s="33"/>
    </row>
    <row r="103" spans="1:18" x14ac:dyDescent="0.25">
      <c r="A103" s="31"/>
      <c r="B103" s="34" t="str">
        <f t="shared" si="8"/>
        <v/>
      </c>
      <c r="C103" s="30"/>
      <c r="D103" s="10"/>
      <c r="E103" s="30"/>
      <c r="F103" s="36" t="str">
        <f t="shared" si="9"/>
        <v/>
      </c>
      <c r="G103" s="36" t="str">
        <f t="shared" si="10"/>
        <v/>
      </c>
      <c r="H103" s="36" t="str">
        <f t="shared" si="11"/>
        <v/>
      </c>
      <c r="I103" s="34" t="str">
        <f t="shared" si="12"/>
        <v/>
      </c>
      <c r="J103" s="35" t="str">
        <f t="shared" si="13"/>
        <v/>
      </c>
      <c r="K103" s="49"/>
      <c r="L103" s="30"/>
      <c r="M103" s="31"/>
      <c r="N103" s="33"/>
      <c r="O103" s="31"/>
      <c r="P103" s="29" t="str">
        <f t="shared" si="14"/>
        <v/>
      </c>
      <c r="Q103" s="29" t="str">
        <f t="shared" si="15"/>
        <v/>
      </c>
      <c r="R103" s="33"/>
    </row>
    <row r="104" spans="1:18" x14ac:dyDescent="0.25">
      <c r="A104" s="31"/>
      <c r="B104" s="34" t="str">
        <f t="shared" si="8"/>
        <v/>
      </c>
      <c r="C104" s="30"/>
      <c r="D104" s="10"/>
      <c r="E104" s="30"/>
      <c r="F104" s="36" t="str">
        <f t="shared" si="9"/>
        <v/>
      </c>
      <c r="G104" s="36" t="str">
        <f t="shared" si="10"/>
        <v/>
      </c>
      <c r="H104" s="36" t="str">
        <f t="shared" si="11"/>
        <v/>
      </c>
      <c r="I104" s="34" t="str">
        <f t="shared" si="12"/>
        <v/>
      </c>
      <c r="J104" s="35" t="str">
        <f t="shared" si="13"/>
        <v/>
      </c>
      <c r="K104" s="49"/>
      <c r="L104" s="30"/>
      <c r="M104" s="31"/>
      <c r="N104" s="33"/>
      <c r="O104" s="31"/>
      <c r="P104" s="29" t="str">
        <f t="shared" si="14"/>
        <v/>
      </c>
      <c r="Q104" s="29" t="str">
        <f t="shared" si="15"/>
        <v/>
      </c>
      <c r="R104" s="33"/>
    </row>
    <row r="105" spans="1:18" x14ac:dyDescent="0.25">
      <c r="A105" s="31"/>
      <c r="B105" s="34" t="str">
        <f t="shared" si="8"/>
        <v/>
      </c>
      <c r="C105" s="30"/>
      <c r="D105" s="10"/>
      <c r="E105" s="30"/>
      <c r="F105" s="36" t="str">
        <f t="shared" si="9"/>
        <v/>
      </c>
      <c r="G105" s="36" t="str">
        <f t="shared" si="10"/>
        <v/>
      </c>
      <c r="H105" s="36" t="str">
        <f t="shared" si="11"/>
        <v/>
      </c>
      <c r="I105" s="34" t="str">
        <f t="shared" si="12"/>
        <v/>
      </c>
      <c r="J105" s="35" t="str">
        <f t="shared" si="13"/>
        <v/>
      </c>
      <c r="K105" s="49"/>
      <c r="L105" s="30"/>
      <c r="M105" s="31"/>
      <c r="N105" s="33"/>
      <c r="O105" s="31"/>
      <c r="P105" s="29" t="str">
        <f t="shared" si="14"/>
        <v/>
      </c>
      <c r="Q105" s="29" t="str">
        <f t="shared" si="15"/>
        <v/>
      </c>
      <c r="R105" s="33"/>
    </row>
    <row r="106" spans="1:18" x14ac:dyDescent="0.25">
      <c r="A106" s="31"/>
      <c r="B106" s="34" t="str">
        <f t="shared" si="8"/>
        <v/>
      </c>
      <c r="C106" s="30"/>
      <c r="D106" s="10"/>
      <c r="E106" s="30"/>
      <c r="F106" s="36" t="str">
        <f t="shared" si="9"/>
        <v/>
      </c>
      <c r="G106" s="36" t="str">
        <f t="shared" si="10"/>
        <v/>
      </c>
      <c r="H106" s="36" t="str">
        <f t="shared" si="11"/>
        <v/>
      </c>
      <c r="I106" s="34" t="str">
        <f t="shared" si="12"/>
        <v/>
      </c>
      <c r="J106" s="35" t="str">
        <f t="shared" si="13"/>
        <v/>
      </c>
      <c r="K106" s="49"/>
      <c r="L106" s="30"/>
      <c r="M106" s="31"/>
      <c r="N106" s="33"/>
      <c r="O106" s="31"/>
      <c r="P106" s="29" t="str">
        <f t="shared" si="14"/>
        <v/>
      </c>
      <c r="Q106" s="29" t="str">
        <f t="shared" si="15"/>
        <v/>
      </c>
      <c r="R106" s="33"/>
    </row>
    <row r="107" spans="1:18" x14ac:dyDescent="0.25">
      <c r="A107" s="31"/>
      <c r="B107" s="34" t="str">
        <f t="shared" si="8"/>
        <v/>
      </c>
      <c r="C107" s="30"/>
      <c r="D107" s="10"/>
      <c r="E107" s="30"/>
      <c r="F107" s="36" t="str">
        <f t="shared" si="9"/>
        <v/>
      </c>
      <c r="G107" s="36" t="str">
        <f t="shared" si="10"/>
        <v/>
      </c>
      <c r="H107" s="36" t="str">
        <f t="shared" si="11"/>
        <v/>
      </c>
      <c r="I107" s="34" t="str">
        <f t="shared" si="12"/>
        <v/>
      </c>
      <c r="J107" s="35" t="str">
        <f t="shared" si="13"/>
        <v/>
      </c>
      <c r="K107" s="49"/>
      <c r="L107" s="30"/>
      <c r="M107" s="31"/>
      <c r="N107" s="33"/>
      <c r="O107" s="31"/>
      <c r="P107" s="29" t="str">
        <f t="shared" si="14"/>
        <v/>
      </c>
      <c r="Q107" s="29" t="str">
        <f t="shared" si="15"/>
        <v/>
      </c>
      <c r="R107" s="33"/>
    </row>
    <row r="108" spans="1:18" x14ac:dyDescent="0.25">
      <c r="A108" s="31"/>
      <c r="B108" s="34" t="str">
        <f t="shared" si="8"/>
        <v/>
      </c>
      <c r="C108" s="30"/>
      <c r="D108" s="10"/>
      <c r="E108" s="30"/>
      <c r="F108" s="36" t="str">
        <f t="shared" si="9"/>
        <v/>
      </c>
      <c r="G108" s="36" t="str">
        <f t="shared" si="10"/>
        <v/>
      </c>
      <c r="H108" s="36" t="str">
        <f t="shared" si="11"/>
        <v/>
      </c>
      <c r="I108" s="34" t="str">
        <f t="shared" si="12"/>
        <v/>
      </c>
      <c r="J108" s="35" t="str">
        <f t="shared" si="13"/>
        <v/>
      </c>
      <c r="K108" s="49"/>
      <c r="L108" s="30"/>
      <c r="M108" s="31"/>
      <c r="N108" s="33"/>
      <c r="O108" s="31"/>
      <c r="P108" s="29" t="str">
        <f t="shared" si="14"/>
        <v/>
      </c>
      <c r="Q108" s="29" t="str">
        <f t="shared" si="15"/>
        <v/>
      </c>
      <c r="R108" s="33"/>
    </row>
    <row r="109" spans="1:18" x14ac:dyDescent="0.25">
      <c r="A109" s="31"/>
      <c r="B109" s="34" t="str">
        <f t="shared" si="8"/>
        <v/>
      </c>
      <c r="C109" s="30"/>
      <c r="D109" s="10"/>
      <c r="E109" s="30"/>
      <c r="F109" s="36" t="str">
        <f t="shared" si="9"/>
        <v/>
      </c>
      <c r="G109" s="36" t="str">
        <f t="shared" si="10"/>
        <v/>
      </c>
      <c r="H109" s="36" t="str">
        <f t="shared" si="11"/>
        <v/>
      </c>
      <c r="I109" s="34" t="str">
        <f t="shared" si="12"/>
        <v/>
      </c>
      <c r="J109" s="35" t="str">
        <f t="shared" si="13"/>
        <v/>
      </c>
      <c r="K109" s="49"/>
      <c r="L109" s="30"/>
      <c r="M109" s="31"/>
      <c r="N109" s="33"/>
      <c r="O109" s="31"/>
      <c r="P109" s="29" t="str">
        <f t="shared" si="14"/>
        <v/>
      </c>
      <c r="Q109" s="29" t="str">
        <f t="shared" si="15"/>
        <v/>
      </c>
      <c r="R109" s="33"/>
    </row>
    <row r="110" spans="1:18" x14ac:dyDescent="0.25">
      <c r="A110" s="31"/>
      <c r="B110" s="34" t="str">
        <f t="shared" si="8"/>
        <v/>
      </c>
      <c r="C110" s="30"/>
      <c r="D110" s="10"/>
      <c r="E110" s="30"/>
      <c r="F110" s="36" t="str">
        <f t="shared" si="9"/>
        <v/>
      </c>
      <c r="G110" s="36" t="str">
        <f t="shared" si="10"/>
        <v/>
      </c>
      <c r="H110" s="36" t="str">
        <f t="shared" si="11"/>
        <v/>
      </c>
      <c r="I110" s="34" t="str">
        <f t="shared" si="12"/>
        <v/>
      </c>
      <c r="J110" s="35" t="str">
        <f t="shared" si="13"/>
        <v/>
      </c>
      <c r="K110" s="49"/>
      <c r="L110" s="30"/>
      <c r="M110" s="31"/>
      <c r="N110" s="33"/>
      <c r="O110" s="31"/>
      <c r="P110" s="29" t="str">
        <f t="shared" si="14"/>
        <v/>
      </c>
      <c r="Q110" s="29" t="str">
        <f t="shared" si="15"/>
        <v/>
      </c>
      <c r="R110" s="33"/>
    </row>
    <row r="111" spans="1:18" x14ac:dyDescent="0.25">
      <c r="A111" s="31"/>
      <c r="B111" s="34" t="str">
        <f t="shared" si="8"/>
        <v/>
      </c>
      <c r="C111" s="30"/>
      <c r="D111" s="10"/>
      <c r="E111" s="30"/>
      <c r="F111" s="36" t="str">
        <f t="shared" si="9"/>
        <v/>
      </c>
      <c r="G111" s="36" t="str">
        <f t="shared" si="10"/>
        <v/>
      </c>
      <c r="H111" s="36" t="str">
        <f t="shared" si="11"/>
        <v/>
      </c>
      <c r="I111" s="34" t="str">
        <f t="shared" si="12"/>
        <v/>
      </c>
      <c r="J111" s="35" t="str">
        <f t="shared" si="13"/>
        <v/>
      </c>
      <c r="K111" s="49"/>
      <c r="L111" s="30"/>
      <c r="M111" s="31"/>
      <c r="N111" s="33"/>
      <c r="O111" s="31"/>
      <c r="P111" s="29" t="str">
        <f t="shared" si="14"/>
        <v/>
      </c>
      <c r="Q111" s="29" t="str">
        <f t="shared" si="15"/>
        <v/>
      </c>
      <c r="R111" s="33"/>
    </row>
    <row r="112" spans="1:18" x14ac:dyDescent="0.25">
      <c r="A112" s="31"/>
      <c r="B112" s="34" t="str">
        <f t="shared" si="8"/>
        <v/>
      </c>
      <c r="C112" s="30"/>
      <c r="D112" s="10"/>
      <c r="E112" s="30"/>
      <c r="F112" s="36" t="str">
        <f t="shared" si="9"/>
        <v/>
      </c>
      <c r="G112" s="36" t="str">
        <f t="shared" si="10"/>
        <v/>
      </c>
      <c r="H112" s="36" t="str">
        <f t="shared" si="11"/>
        <v/>
      </c>
      <c r="I112" s="34" t="str">
        <f t="shared" si="12"/>
        <v/>
      </c>
      <c r="J112" s="35" t="str">
        <f t="shared" si="13"/>
        <v/>
      </c>
      <c r="K112" s="49"/>
      <c r="L112" s="30"/>
      <c r="M112" s="31"/>
      <c r="N112" s="33"/>
      <c r="O112" s="31"/>
      <c r="P112" s="29" t="str">
        <f t="shared" si="14"/>
        <v/>
      </c>
      <c r="Q112" s="29" t="str">
        <f t="shared" si="15"/>
        <v/>
      </c>
      <c r="R112" s="33"/>
    </row>
    <row r="113" spans="1:18" x14ac:dyDescent="0.25">
      <c r="A113" s="31"/>
      <c r="B113" s="34" t="str">
        <f t="shared" si="8"/>
        <v/>
      </c>
      <c r="C113" s="30"/>
      <c r="D113" s="10"/>
      <c r="E113" s="30"/>
      <c r="F113" s="36" t="str">
        <f t="shared" si="9"/>
        <v/>
      </c>
      <c r="G113" s="36" t="str">
        <f t="shared" si="10"/>
        <v/>
      </c>
      <c r="H113" s="36" t="str">
        <f t="shared" si="11"/>
        <v/>
      </c>
      <c r="I113" s="34" t="str">
        <f t="shared" si="12"/>
        <v/>
      </c>
      <c r="J113" s="35" t="str">
        <f t="shared" si="13"/>
        <v/>
      </c>
      <c r="K113" s="49"/>
      <c r="L113" s="30"/>
      <c r="M113" s="31"/>
      <c r="N113" s="33"/>
      <c r="O113" s="31"/>
      <c r="P113" s="29" t="str">
        <f t="shared" si="14"/>
        <v/>
      </c>
      <c r="Q113" s="29" t="str">
        <f t="shared" si="15"/>
        <v/>
      </c>
      <c r="R113" s="33"/>
    </row>
    <row r="114" spans="1:18" x14ac:dyDescent="0.25">
      <c r="A114" s="31"/>
      <c r="B114" s="34" t="str">
        <f t="shared" si="8"/>
        <v/>
      </c>
      <c r="C114" s="30"/>
      <c r="D114" s="10"/>
      <c r="E114" s="30"/>
      <c r="F114" s="36" t="str">
        <f t="shared" si="9"/>
        <v/>
      </c>
      <c r="G114" s="36" t="str">
        <f t="shared" si="10"/>
        <v/>
      </c>
      <c r="H114" s="36" t="str">
        <f t="shared" si="11"/>
        <v/>
      </c>
      <c r="I114" s="34" t="str">
        <f t="shared" si="12"/>
        <v/>
      </c>
      <c r="J114" s="35" t="str">
        <f t="shared" si="13"/>
        <v/>
      </c>
      <c r="K114" s="49"/>
      <c r="L114" s="30"/>
      <c r="M114" s="31"/>
      <c r="N114" s="33"/>
      <c r="O114" s="31"/>
      <c r="P114" s="29" t="str">
        <f t="shared" si="14"/>
        <v/>
      </c>
      <c r="Q114" s="29" t="str">
        <f t="shared" si="15"/>
        <v/>
      </c>
      <c r="R114" s="33"/>
    </row>
    <row r="115" spans="1:18" x14ac:dyDescent="0.25">
      <c r="A115" s="31"/>
      <c r="B115" s="34" t="str">
        <f t="shared" si="8"/>
        <v/>
      </c>
      <c r="C115" s="30"/>
      <c r="D115" s="10"/>
      <c r="E115" s="30"/>
      <c r="F115" s="36" t="str">
        <f t="shared" si="9"/>
        <v/>
      </c>
      <c r="G115" s="36" t="str">
        <f t="shared" si="10"/>
        <v/>
      </c>
      <c r="H115" s="36" t="str">
        <f t="shared" si="11"/>
        <v/>
      </c>
      <c r="I115" s="34" t="str">
        <f t="shared" si="12"/>
        <v/>
      </c>
      <c r="J115" s="35" t="str">
        <f t="shared" si="13"/>
        <v/>
      </c>
      <c r="K115" s="49"/>
      <c r="L115" s="30"/>
      <c r="M115" s="31"/>
      <c r="N115" s="33"/>
      <c r="O115" s="31"/>
      <c r="P115" s="29" t="str">
        <f t="shared" si="14"/>
        <v/>
      </c>
      <c r="Q115" s="29" t="str">
        <f t="shared" si="15"/>
        <v/>
      </c>
      <c r="R115" s="33"/>
    </row>
    <row r="116" spans="1:18" x14ac:dyDescent="0.25">
      <c r="A116" s="31"/>
      <c r="B116" s="34" t="str">
        <f t="shared" si="8"/>
        <v/>
      </c>
      <c r="C116" s="30"/>
      <c r="D116" s="10"/>
      <c r="E116" s="30"/>
      <c r="F116" s="36" t="str">
        <f t="shared" si="9"/>
        <v/>
      </c>
      <c r="G116" s="36" t="str">
        <f t="shared" si="10"/>
        <v/>
      </c>
      <c r="H116" s="36" t="str">
        <f t="shared" si="11"/>
        <v/>
      </c>
      <c r="I116" s="34" t="str">
        <f t="shared" si="12"/>
        <v/>
      </c>
      <c r="J116" s="35" t="str">
        <f t="shared" si="13"/>
        <v/>
      </c>
      <c r="K116" s="49"/>
      <c r="L116" s="30"/>
      <c r="M116" s="31"/>
      <c r="N116" s="33"/>
      <c r="O116" s="31"/>
      <c r="P116" s="29" t="str">
        <f t="shared" si="14"/>
        <v/>
      </c>
      <c r="Q116" s="29" t="str">
        <f t="shared" si="15"/>
        <v/>
      </c>
      <c r="R116" s="33"/>
    </row>
    <row r="117" spans="1:18" x14ac:dyDescent="0.25">
      <c r="A117" s="31"/>
      <c r="B117" s="34" t="str">
        <f t="shared" si="8"/>
        <v/>
      </c>
      <c r="C117" s="30"/>
      <c r="D117" s="10"/>
      <c r="E117" s="30"/>
      <c r="F117" s="36" t="str">
        <f t="shared" si="9"/>
        <v/>
      </c>
      <c r="G117" s="36" t="str">
        <f t="shared" si="10"/>
        <v/>
      </c>
      <c r="H117" s="36" t="str">
        <f t="shared" si="11"/>
        <v/>
      </c>
      <c r="I117" s="34" t="str">
        <f t="shared" si="12"/>
        <v/>
      </c>
      <c r="J117" s="35" t="str">
        <f t="shared" si="13"/>
        <v/>
      </c>
      <c r="K117" s="49"/>
      <c r="L117" s="30"/>
      <c r="M117" s="31"/>
      <c r="N117" s="33"/>
      <c r="O117" s="31"/>
      <c r="P117" s="29" t="str">
        <f t="shared" si="14"/>
        <v/>
      </c>
      <c r="Q117" s="29" t="str">
        <f t="shared" si="15"/>
        <v/>
      </c>
      <c r="R117" s="33"/>
    </row>
    <row r="118" spans="1:18" x14ac:dyDescent="0.25">
      <c r="A118" s="31"/>
      <c r="B118" s="34" t="str">
        <f t="shared" si="8"/>
        <v/>
      </c>
      <c r="C118" s="30"/>
      <c r="D118" s="10"/>
      <c r="E118" s="30"/>
      <c r="F118" s="36" t="str">
        <f t="shared" si="9"/>
        <v/>
      </c>
      <c r="G118" s="36" t="str">
        <f t="shared" si="10"/>
        <v/>
      </c>
      <c r="H118" s="36" t="str">
        <f t="shared" si="11"/>
        <v/>
      </c>
      <c r="I118" s="34" t="str">
        <f t="shared" si="12"/>
        <v/>
      </c>
      <c r="J118" s="35" t="str">
        <f t="shared" si="13"/>
        <v/>
      </c>
      <c r="K118" s="49"/>
      <c r="L118" s="30"/>
      <c r="M118" s="31"/>
      <c r="N118" s="33"/>
      <c r="O118" s="31"/>
      <c r="P118" s="29" t="str">
        <f t="shared" si="14"/>
        <v/>
      </c>
      <c r="Q118" s="29" t="str">
        <f t="shared" si="15"/>
        <v/>
      </c>
      <c r="R118" s="33"/>
    </row>
    <row r="119" spans="1:18" x14ac:dyDescent="0.25">
      <c r="A119" s="31"/>
      <c r="B119" s="34" t="str">
        <f t="shared" si="8"/>
        <v/>
      </c>
      <c r="C119" s="30"/>
      <c r="D119" s="10"/>
      <c r="E119" s="30"/>
      <c r="F119" s="36" t="str">
        <f t="shared" si="9"/>
        <v/>
      </c>
      <c r="G119" s="36" t="str">
        <f t="shared" si="10"/>
        <v/>
      </c>
      <c r="H119" s="36" t="str">
        <f t="shared" si="11"/>
        <v/>
      </c>
      <c r="I119" s="34" t="str">
        <f t="shared" si="12"/>
        <v/>
      </c>
      <c r="J119" s="35" t="str">
        <f t="shared" si="13"/>
        <v/>
      </c>
      <c r="K119" s="49"/>
      <c r="L119" s="30"/>
      <c r="M119" s="31"/>
      <c r="N119" s="33"/>
      <c r="O119" s="31"/>
      <c r="P119" s="29" t="str">
        <f t="shared" si="14"/>
        <v/>
      </c>
      <c r="Q119" s="29" t="str">
        <f t="shared" si="15"/>
        <v/>
      </c>
      <c r="R119" s="33"/>
    </row>
    <row r="120" spans="1:18" x14ac:dyDescent="0.25">
      <c r="A120" s="31"/>
      <c r="B120" s="34" t="str">
        <f t="shared" si="8"/>
        <v/>
      </c>
      <c r="C120" s="30"/>
      <c r="D120" s="10"/>
      <c r="E120" s="30"/>
      <c r="F120" s="36" t="str">
        <f t="shared" si="9"/>
        <v/>
      </c>
      <c r="G120" s="36" t="str">
        <f t="shared" si="10"/>
        <v/>
      </c>
      <c r="H120" s="36" t="str">
        <f t="shared" si="11"/>
        <v/>
      </c>
      <c r="I120" s="34" t="str">
        <f t="shared" si="12"/>
        <v/>
      </c>
      <c r="J120" s="35" t="str">
        <f t="shared" si="13"/>
        <v/>
      </c>
      <c r="K120" s="49"/>
      <c r="L120" s="30"/>
      <c r="M120" s="31"/>
      <c r="N120" s="33"/>
      <c r="O120" s="31"/>
      <c r="P120" s="29" t="str">
        <f t="shared" si="14"/>
        <v/>
      </c>
      <c r="Q120" s="29" t="str">
        <f t="shared" si="15"/>
        <v/>
      </c>
      <c r="R120" s="33"/>
    </row>
    <row r="121" spans="1:18" x14ac:dyDescent="0.25">
      <c r="A121" s="31"/>
      <c r="B121" s="34" t="str">
        <f t="shared" si="8"/>
        <v/>
      </c>
      <c r="C121" s="30"/>
      <c r="D121" s="10"/>
      <c r="E121" s="30"/>
      <c r="F121" s="36" t="str">
        <f t="shared" si="9"/>
        <v/>
      </c>
      <c r="G121" s="36" t="str">
        <f t="shared" si="10"/>
        <v/>
      </c>
      <c r="H121" s="36" t="str">
        <f t="shared" si="11"/>
        <v/>
      </c>
      <c r="I121" s="34" t="str">
        <f t="shared" si="12"/>
        <v/>
      </c>
      <c r="J121" s="35" t="str">
        <f t="shared" si="13"/>
        <v/>
      </c>
      <c r="K121" s="49"/>
      <c r="L121" s="30"/>
      <c r="M121" s="31"/>
      <c r="N121" s="33"/>
      <c r="O121" s="31"/>
      <c r="P121" s="29" t="str">
        <f t="shared" si="14"/>
        <v/>
      </c>
      <c r="Q121" s="29" t="str">
        <f t="shared" si="15"/>
        <v/>
      </c>
      <c r="R121" s="33"/>
    </row>
    <row r="122" spans="1:18" x14ac:dyDescent="0.25">
      <c r="A122" s="31"/>
      <c r="B122" s="34" t="str">
        <f t="shared" si="8"/>
        <v/>
      </c>
      <c r="C122" s="30"/>
      <c r="D122" s="10"/>
      <c r="E122" s="30"/>
      <c r="F122" s="36" t="str">
        <f t="shared" si="9"/>
        <v/>
      </c>
      <c r="G122" s="36" t="str">
        <f t="shared" si="10"/>
        <v/>
      </c>
      <c r="H122" s="36" t="str">
        <f t="shared" si="11"/>
        <v/>
      </c>
      <c r="I122" s="34" t="str">
        <f t="shared" si="12"/>
        <v/>
      </c>
      <c r="J122" s="35" t="str">
        <f t="shared" si="13"/>
        <v/>
      </c>
      <c r="K122" s="49"/>
      <c r="L122" s="30"/>
      <c r="M122" s="31"/>
      <c r="N122" s="33"/>
      <c r="O122" s="31"/>
      <c r="P122" s="29" t="str">
        <f t="shared" si="14"/>
        <v/>
      </c>
      <c r="Q122" s="29" t="str">
        <f t="shared" si="15"/>
        <v/>
      </c>
      <c r="R122" s="33"/>
    </row>
    <row r="123" spans="1:18" x14ac:dyDescent="0.25">
      <c r="A123" s="31"/>
      <c r="B123" s="34" t="str">
        <f t="shared" si="8"/>
        <v/>
      </c>
      <c r="C123" s="30"/>
      <c r="D123" s="10"/>
      <c r="E123" s="30"/>
      <c r="F123" s="36" t="str">
        <f t="shared" si="9"/>
        <v/>
      </c>
      <c r="G123" s="36" t="str">
        <f t="shared" si="10"/>
        <v/>
      </c>
      <c r="H123" s="36" t="str">
        <f t="shared" si="11"/>
        <v/>
      </c>
      <c r="I123" s="34" t="str">
        <f t="shared" si="12"/>
        <v/>
      </c>
      <c r="J123" s="35" t="str">
        <f t="shared" si="13"/>
        <v/>
      </c>
      <c r="K123" s="49"/>
      <c r="L123" s="30"/>
      <c r="M123" s="31"/>
      <c r="N123" s="33"/>
      <c r="O123" s="31"/>
      <c r="P123" s="29" t="str">
        <f t="shared" si="14"/>
        <v/>
      </c>
      <c r="Q123" s="29" t="str">
        <f t="shared" si="15"/>
        <v/>
      </c>
      <c r="R123" s="33"/>
    </row>
    <row r="124" spans="1:18" x14ac:dyDescent="0.25">
      <c r="A124" s="31"/>
      <c r="B124" s="34" t="str">
        <f t="shared" si="8"/>
        <v/>
      </c>
      <c r="C124" s="30"/>
      <c r="D124" s="10"/>
      <c r="E124" s="30"/>
      <c r="F124" s="36" t="str">
        <f t="shared" si="9"/>
        <v/>
      </c>
      <c r="G124" s="36" t="str">
        <f t="shared" si="10"/>
        <v/>
      </c>
      <c r="H124" s="36" t="str">
        <f t="shared" si="11"/>
        <v/>
      </c>
      <c r="I124" s="34" t="str">
        <f t="shared" si="12"/>
        <v/>
      </c>
      <c r="J124" s="35" t="str">
        <f t="shared" si="13"/>
        <v/>
      </c>
      <c r="K124" s="49"/>
      <c r="L124" s="30"/>
      <c r="M124" s="31"/>
      <c r="N124" s="33"/>
      <c r="O124" s="31"/>
      <c r="P124" s="29" t="str">
        <f t="shared" si="14"/>
        <v/>
      </c>
      <c r="Q124" s="29" t="str">
        <f t="shared" si="15"/>
        <v/>
      </c>
      <c r="R124" s="33"/>
    </row>
    <row r="125" spans="1:18" x14ac:dyDescent="0.25">
      <c r="A125" s="31"/>
      <c r="B125" s="34" t="str">
        <f t="shared" si="8"/>
        <v/>
      </c>
      <c r="C125" s="30"/>
      <c r="D125" s="10"/>
      <c r="E125" s="30"/>
      <c r="F125" s="36" t="str">
        <f t="shared" si="9"/>
        <v/>
      </c>
      <c r="G125" s="36" t="str">
        <f t="shared" si="10"/>
        <v/>
      </c>
      <c r="H125" s="36" t="str">
        <f t="shared" si="11"/>
        <v/>
      </c>
      <c r="I125" s="34" t="str">
        <f t="shared" si="12"/>
        <v/>
      </c>
      <c r="J125" s="35" t="str">
        <f t="shared" si="13"/>
        <v/>
      </c>
      <c r="K125" s="49"/>
      <c r="L125" s="30"/>
      <c r="M125" s="31"/>
      <c r="N125" s="33"/>
      <c r="O125" s="31"/>
      <c r="P125" s="29" t="str">
        <f t="shared" si="14"/>
        <v/>
      </c>
      <c r="Q125" s="29" t="str">
        <f t="shared" si="15"/>
        <v/>
      </c>
      <c r="R125" s="33"/>
    </row>
    <row r="126" spans="1:18" x14ac:dyDescent="0.25">
      <c r="A126" s="31"/>
      <c r="B126" s="34" t="str">
        <f t="shared" si="8"/>
        <v/>
      </c>
      <c r="C126" s="30"/>
      <c r="D126" s="10"/>
      <c r="E126" s="30"/>
      <c r="F126" s="36" t="str">
        <f t="shared" si="9"/>
        <v/>
      </c>
      <c r="G126" s="36" t="str">
        <f t="shared" si="10"/>
        <v/>
      </c>
      <c r="H126" s="36" t="str">
        <f t="shared" si="11"/>
        <v/>
      </c>
      <c r="I126" s="34" t="str">
        <f t="shared" si="12"/>
        <v/>
      </c>
      <c r="J126" s="35" t="str">
        <f t="shared" si="13"/>
        <v/>
      </c>
      <c r="K126" s="49"/>
      <c r="L126" s="30"/>
      <c r="M126" s="31"/>
      <c r="N126" s="33"/>
      <c r="O126" s="31"/>
      <c r="P126" s="29" t="str">
        <f t="shared" si="14"/>
        <v/>
      </c>
      <c r="Q126" s="29" t="str">
        <f t="shared" si="15"/>
        <v/>
      </c>
      <c r="R126" s="33"/>
    </row>
    <row r="127" spans="1:18" x14ac:dyDescent="0.25">
      <c r="A127" s="31"/>
      <c r="B127" s="34" t="str">
        <f t="shared" si="8"/>
        <v/>
      </c>
      <c r="C127" s="30"/>
      <c r="D127" s="10"/>
      <c r="E127" s="30"/>
      <c r="F127" s="36" t="str">
        <f t="shared" si="9"/>
        <v/>
      </c>
      <c r="G127" s="36" t="str">
        <f t="shared" si="10"/>
        <v/>
      </c>
      <c r="H127" s="36" t="str">
        <f t="shared" si="11"/>
        <v/>
      </c>
      <c r="I127" s="34" t="str">
        <f t="shared" si="12"/>
        <v/>
      </c>
      <c r="J127" s="35" t="str">
        <f t="shared" si="13"/>
        <v/>
      </c>
      <c r="K127" s="49"/>
      <c r="L127" s="30"/>
      <c r="M127" s="31"/>
      <c r="N127" s="33"/>
      <c r="O127" s="31"/>
      <c r="P127" s="29" t="str">
        <f t="shared" si="14"/>
        <v/>
      </c>
      <c r="Q127" s="29" t="str">
        <f t="shared" si="15"/>
        <v/>
      </c>
      <c r="R127" s="33"/>
    </row>
    <row r="128" spans="1:18" x14ac:dyDescent="0.25">
      <c r="A128" s="31"/>
      <c r="B128" s="34" t="str">
        <f t="shared" si="8"/>
        <v/>
      </c>
      <c r="C128" s="30"/>
      <c r="D128" s="10"/>
      <c r="E128" s="30"/>
      <c r="F128" s="36" t="str">
        <f t="shared" si="9"/>
        <v/>
      </c>
      <c r="G128" s="36" t="str">
        <f t="shared" si="10"/>
        <v/>
      </c>
      <c r="H128" s="36" t="str">
        <f t="shared" si="11"/>
        <v/>
      </c>
      <c r="I128" s="34" t="str">
        <f t="shared" si="12"/>
        <v/>
      </c>
      <c r="J128" s="35" t="str">
        <f t="shared" si="13"/>
        <v/>
      </c>
      <c r="K128" s="49"/>
      <c r="L128" s="30"/>
      <c r="M128" s="31"/>
      <c r="N128" s="33"/>
      <c r="O128" s="31"/>
      <c r="P128" s="29" t="str">
        <f t="shared" si="14"/>
        <v/>
      </c>
      <c r="Q128" s="29" t="str">
        <f t="shared" si="15"/>
        <v/>
      </c>
      <c r="R128" s="33"/>
    </row>
    <row r="129" spans="1:18" x14ac:dyDescent="0.25">
      <c r="A129" s="31"/>
      <c r="B129" s="34" t="str">
        <f t="shared" si="8"/>
        <v/>
      </c>
      <c r="C129" s="30"/>
      <c r="D129" s="10"/>
      <c r="E129" s="30"/>
      <c r="F129" s="36" t="str">
        <f t="shared" si="9"/>
        <v/>
      </c>
      <c r="G129" s="36" t="str">
        <f t="shared" si="10"/>
        <v/>
      </c>
      <c r="H129" s="36" t="str">
        <f t="shared" si="11"/>
        <v/>
      </c>
      <c r="I129" s="34" t="str">
        <f t="shared" si="12"/>
        <v/>
      </c>
      <c r="J129" s="35" t="str">
        <f t="shared" si="13"/>
        <v/>
      </c>
      <c r="K129" s="49"/>
      <c r="L129" s="30"/>
      <c r="M129" s="31"/>
      <c r="N129" s="33"/>
      <c r="O129" s="31"/>
      <c r="P129" s="29" t="str">
        <f t="shared" si="14"/>
        <v/>
      </c>
      <c r="Q129" s="29" t="str">
        <f t="shared" si="15"/>
        <v/>
      </c>
      <c r="R129" s="33"/>
    </row>
    <row r="130" spans="1:18" x14ac:dyDescent="0.25">
      <c r="A130" s="31"/>
      <c r="B130" s="34" t="str">
        <f t="shared" si="8"/>
        <v/>
      </c>
      <c r="C130" s="30"/>
      <c r="D130" s="10"/>
      <c r="E130" s="30"/>
      <c r="F130" s="36" t="str">
        <f t="shared" si="9"/>
        <v/>
      </c>
      <c r="G130" s="36" t="str">
        <f t="shared" si="10"/>
        <v/>
      </c>
      <c r="H130" s="36" t="str">
        <f t="shared" si="11"/>
        <v/>
      </c>
      <c r="I130" s="34" t="str">
        <f t="shared" si="12"/>
        <v/>
      </c>
      <c r="J130" s="35" t="str">
        <f t="shared" si="13"/>
        <v/>
      </c>
      <c r="K130" s="49"/>
      <c r="L130" s="30"/>
      <c r="M130" s="31"/>
      <c r="N130" s="33"/>
      <c r="O130" s="31"/>
      <c r="P130" s="29" t="str">
        <f t="shared" si="14"/>
        <v/>
      </c>
      <c r="Q130" s="29" t="str">
        <f t="shared" si="15"/>
        <v/>
      </c>
      <c r="R130" s="33"/>
    </row>
    <row r="131" spans="1:18" x14ac:dyDescent="0.25">
      <c r="A131" s="31"/>
      <c r="B131" s="34" t="str">
        <f t="shared" si="8"/>
        <v/>
      </c>
      <c r="C131" s="30"/>
      <c r="D131" s="10"/>
      <c r="E131" s="30"/>
      <c r="F131" s="36" t="str">
        <f t="shared" si="9"/>
        <v/>
      </c>
      <c r="G131" s="36" t="str">
        <f t="shared" si="10"/>
        <v/>
      </c>
      <c r="H131" s="36" t="str">
        <f t="shared" si="11"/>
        <v/>
      </c>
      <c r="I131" s="34" t="str">
        <f t="shared" si="12"/>
        <v/>
      </c>
      <c r="J131" s="35" t="str">
        <f t="shared" si="13"/>
        <v/>
      </c>
      <c r="K131" s="49"/>
      <c r="L131" s="30"/>
      <c r="M131" s="31"/>
      <c r="N131" s="33"/>
      <c r="O131" s="31"/>
      <c r="P131" s="29" t="str">
        <f t="shared" si="14"/>
        <v/>
      </c>
      <c r="Q131" s="29" t="str">
        <f t="shared" si="15"/>
        <v/>
      </c>
      <c r="R131" s="33"/>
    </row>
    <row r="132" spans="1:18" x14ac:dyDescent="0.25">
      <c r="A132" s="31"/>
      <c r="B132" s="34" t="str">
        <f t="shared" si="8"/>
        <v/>
      </c>
      <c r="C132" s="30"/>
      <c r="D132" s="10"/>
      <c r="E132" s="30"/>
      <c r="F132" s="36" t="str">
        <f t="shared" si="9"/>
        <v/>
      </c>
      <c r="G132" s="36" t="str">
        <f t="shared" si="10"/>
        <v/>
      </c>
      <c r="H132" s="36" t="str">
        <f t="shared" si="11"/>
        <v/>
      </c>
      <c r="I132" s="34" t="str">
        <f t="shared" si="12"/>
        <v/>
      </c>
      <c r="J132" s="35" t="str">
        <f t="shared" si="13"/>
        <v/>
      </c>
      <c r="K132" s="49"/>
      <c r="L132" s="30"/>
      <c r="M132" s="31"/>
      <c r="N132" s="33"/>
      <c r="O132" s="31"/>
      <c r="P132" s="29" t="str">
        <f t="shared" si="14"/>
        <v/>
      </c>
      <c r="Q132" s="29" t="str">
        <f t="shared" si="15"/>
        <v/>
      </c>
      <c r="R132" s="33"/>
    </row>
    <row r="133" spans="1:18" x14ac:dyDescent="0.25">
      <c r="A133" s="31"/>
      <c r="B133" s="34" t="str">
        <f t="shared" ref="B133:B196" si="16">IFERROR(IF($E133="","",VLOOKUP($E133,CAD_TAB,2,FALSE)),"")</f>
        <v/>
      </c>
      <c r="C133" s="30"/>
      <c r="D133" s="10"/>
      <c r="E133" s="30"/>
      <c r="F133" s="36" t="str">
        <f t="shared" ref="F133:F196" si="17">IFERROR(IF($E133="","",VLOOKUP($E133,CAD_TAB,8,FALSE)),"")</f>
        <v/>
      </c>
      <c r="G133" s="36" t="str">
        <f t="shared" ref="G133:G196" si="18">IFERROR(IF($E133="","",VLOOKUP($E133,CAD_TAB,9,FALSE)),"")</f>
        <v/>
      </c>
      <c r="H133" s="36" t="str">
        <f t="shared" ref="H133:H196" si="19">IFERROR(IF($E133="","",VLOOKUP($E133,CAD_TAB,11,FALSE)),"")</f>
        <v/>
      </c>
      <c r="I133" s="34" t="str">
        <f t="shared" ref="I133:I196" si="20">IFERROR(IF($E133="","",VLOOKUP($E133,CAD_TAB,7,FALSE)),"")</f>
        <v/>
      </c>
      <c r="J133" s="35" t="str">
        <f t="shared" ref="J133:J196" si="21">IFERROR(IF($E133="","",VLOOKUP($E133,CAD_TAB,6,FALSE)),"")</f>
        <v/>
      </c>
      <c r="K133" s="49"/>
      <c r="L133" s="30"/>
      <c r="M133" s="31"/>
      <c r="N133" s="33"/>
      <c r="O133" s="31"/>
      <c r="P133" s="29" t="str">
        <f t="shared" ref="P133:P196" si="22">IF($E133="","",IF($L133="SIM","EXECUTADO",IF($O133&lt;&gt;"","REPROGRAMADO",IF($L133="NÃO","NÃO EXECUTADO","PROGRAMADO"))))</f>
        <v/>
      </c>
      <c r="Q133" s="29" t="str">
        <f t="shared" ref="Q133:Q196" si="23">IF($E133="","",IF($L133="SIM",IF($M133=$A133,"NO DIA","FORA DO DIA"),""))</f>
        <v/>
      </c>
      <c r="R133" s="33"/>
    </row>
    <row r="134" spans="1:18" x14ac:dyDescent="0.25">
      <c r="A134" s="31"/>
      <c r="B134" s="34" t="str">
        <f t="shared" si="16"/>
        <v/>
      </c>
      <c r="C134" s="30"/>
      <c r="D134" s="10"/>
      <c r="E134" s="30"/>
      <c r="F134" s="36" t="str">
        <f t="shared" si="17"/>
        <v/>
      </c>
      <c r="G134" s="36" t="str">
        <f t="shared" si="18"/>
        <v/>
      </c>
      <c r="H134" s="36" t="str">
        <f t="shared" si="19"/>
        <v/>
      </c>
      <c r="I134" s="34" t="str">
        <f t="shared" si="20"/>
        <v/>
      </c>
      <c r="J134" s="35" t="str">
        <f t="shared" si="21"/>
        <v/>
      </c>
      <c r="K134" s="49"/>
      <c r="L134" s="30"/>
      <c r="M134" s="31"/>
      <c r="N134" s="33"/>
      <c r="O134" s="31"/>
      <c r="P134" s="29" t="str">
        <f t="shared" si="22"/>
        <v/>
      </c>
      <c r="Q134" s="29" t="str">
        <f t="shared" si="23"/>
        <v/>
      </c>
      <c r="R134" s="33"/>
    </row>
    <row r="135" spans="1:18" x14ac:dyDescent="0.25">
      <c r="A135" s="31"/>
      <c r="B135" s="34" t="str">
        <f t="shared" si="16"/>
        <v/>
      </c>
      <c r="C135" s="30"/>
      <c r="D135" s="10"/>
      <c r="E135" s="30"/>
      <c r="F135" s="36" t="str">
        <f t="shared" si="17"/>
        <v/>
      </c>
      <c r="G135" s="36" t="str">
        <f t="shared" si="18"/>
        <v/>
      </c>
      <c r="H135" s="36" t="str">
        <f t="shared" si="19"/>
        <v/>
      </c>
      <c r="I135" s="34" t="str">
        <f t="shared" si="20"/>
        <v/>
      </c>
      <c r="J135" s="35" t="str">
        <f t="shared" si="21"/>
        <v/>
      </c>
      <c r="K135" s="49"/>
      <c r="L135" s="30"/>
      <c r="M135" s="31"/>
      <c r="N135" s="33"/>
      <c r="O135" s="31"/>
      <c r="P135" s="29" t="str">
        <f t="shared" si="22"/>
        <v/>
      </c>
      <c r="Q135" s="29" t="str">
        <f t="shared" si="23"/>
        <v/>
      </c>
      <c r="R135" s="33"/>
    </row>
    <row r="136" spans="1:18" x14ac:dyDescent="0.25">
      <c r="A136" s="31"/>
      <c r="B136" s="34" t="str">
        <f t="shared" si="16"/>
        <v/>
      </c>
      <c r="C136" s="30"/>
      <c r="D136" s="10"/>
      <c r="E136" s="30"/>
      <c r="F136" s="36" t="str">
        <f t="shared" si="17"/>
        <v/>
      </c>
      <c r="G136" s="36" t="str">
        <f t="shared" si="18"/>
        <v/>
      </c>
      <c r="H136" s="36" t="str">
        <f t="shared" si="19"/>
        <v/>
      </c>
      <c r="I136" s="34" t="str">
        <f t="shared" si="20"/>
        <v/>
      </c>
      <c r="J136" s="35" t="str">
        <f t="shared" si="21"/>
        <v/>
      </c>
      <c r="K136" s="49"/>
      <c r="L136" s="30"/>
      <c r="M136" s="31"/>
      <c r="N136" s="33"/>
      <c r="O136" s="31"/>
      <c r="P136" s="29" t="str">
        <f t="shared" si="22"/>
        <v/>
      </c>
      <c r="Q136" s="29" t="str">
        <f t="shared" si="23"/>
        <v/>
      </c>
      <c r="R136" s="33"/>
    </row>
    <row r="137" spans="1:18" x14ac:dyDescent="0.25">
      <c r="A137" s="31"/>
      <c r="B137" s="34" t="str">
        <f t="shared" si="16"/>
        <v/>
      </c>
      <c r="C137" s="30"/>
      <c r="D137" s="10"/>
      <c r="E137" s="30"/>
      <c r="F137" s="36" t="str">
        <f t="shared" si="17"/>
        <v/>
      </c>
      <c r="G137" s="36" t="str">
        <f t="shared" si="18"/>
        <v/>
      </c>
      <c r="H137" s="36" t="str">
        <f t="shared" si="19"/>
        <v/>
      </c>
      <c r="I137" s="34" t="str">
        <f t="shared" si="20"/>
        <v/>
      </c>
      <c r="J137" s="35" t="str">
        <f t="shared" si="21"/>
        <v/>
      </c>
      <c r="K137" s="49"/>
      <c r="L137" s="30"/>
      <c r="M137" s="31"/>
      <c r="N137" s="33"/>
      <c r="O137" s="31"/>
      <c r="P137" s="29" t="str">
        <f t="shared" si="22"/>
        <v/>
      </c>
      <c r="Q137" s="29" t="str">
        <f t="shared" si="23"/>
        <v/>
      </c>
      <c r="R137" s="33"/>
    </row>
    <row r="138" spans="1:18" x14ac:dyDescent="0.25">
      <c r="A138" s="31"/>
      <c r="B138" s="34" t="str">
        <f t="shared" si="16"/>
        <v/>
      </c>
      <c r="C138" s="30"/>
      <c r="D138" s="10"/>
      <c r="E138" s="30"/>
      <c r="F138" s="36" t="str">
        <f t="shared" si="17"/>
        <v/>
      </c>
      <c r="G138" s="36" t="str">
        <f t="shared" si="18"/>
        <v/>
      </c>
      <c r="H138" s="36" t="str">
        <f t="shared" si="19"/>
        <v/>
      </c>
      <c r="I138" s="34" t="str">
        <f t="shared" si="20"/>
        <v/>
      </c>
      <c r="J138" s="35" t="str">
        <f t="shared" si="21"/>
        <v/>
      </c>
      <c r="K138" s="49"/>
      <c r="L138" s="30"/>
      <c r="M138" s="31"/>
      <c r="N138" s="33"/>
      <c r="O138" s="31"/>
      <c r="P138" s="29" t="str">
        <f t="shared" si="22"/>
        <v/>
      </c>
      <c r="Q138" s="29" t="str">
        <f t="shared" si="23"/>
        <v/>
      </c>
      <c r="R138" s="33"/>
    </row>
    <row r="139" spans="1:18" x14ac:dyDescent="0.25">
      <c r="A139" s="31"/>
      <c r="B139" s="34" t="str">
        <f t="shared" si="16"/>
        <v/>
      </c>
      <c r="C139" s="30"/>
      <c r="D139" s="10"/>
      <c r="E139" s="30"/>
      <c r="F139" s="36" t="str">
        <f t="shared" si="17"/>
        <v/>
      </c>
      <c r="G139" s="36" t="str">
        <f t="shared" si="18"/>
        <v/>
      </c>
      <c r="H139" s="36" t="str">
        <f t="shared" si="19"/>
        <v/>
      </c>
      <c r="I139" s="34" t="str">
        <f t="shared" si="20"/>
        <v/>
      </c>
      <c r="J139" s="35" t="str">
        <f t="shared" si="21"/>
        <v/>
      </c>
      <c r="K139" s="49"/>
      <c r="L139" s="30"/>
      <c r="M139" s="31"/>
      <c r="N139" s="33"/>
      <c r="O139" s="31"/>
      <c r="P139" s="29" t="str">
        <f t="shared" si="22"/>
        <v/>
      </c>
      <c r="Q139" s="29" t="str">
        <f t="shared" si="23"/>
        <v/>
      </c>
      <c r="R139" s="33"/>
    </row>
    <row r="140" spans="1:18" x14ac:dyDescent="0.25">
      <c r="A140" s="31"/>
      <c r="B140" s="34" t="str">
        <f t="shared" si="16"/>
        <v/>
      </c>
      <c r="C140" s="30"/>
      <c r="D140" s="10"/>
      <c r="E140" s="30"/>
      <c r="F140" s="36" t="str">
        <f t="shared" si="17"/>
        <v/>
      </c>
      <c r="G140" s="36" t="str">
        <f t="shared" si="18"/>
        <v/>
      </c>
      <c r="H140" s="36" t="str">
        <f t="shared" si="19"/>
        <v/>
      </c>
      <c r="I140" s="34" t="str">
        <f t="shared" si="20"/>
        <v/>
      </c>
      <c r="J140" s="35" t="str">
        <f t="shared" si="21"/>
        <v/>
      </c>
      <c r="K140" s="49"/>
      <c r="L140" s="30"/>
      <c r="M140" s="31"/>
      <c r="N140" s="33"/>
      <c r="O140" s="31"/>
      <c r="P140" s="29" t="str">
        <f t="shared" si="22"/>
        <v/>
      </c>
      <c r="Q140" s="29" t="str">
        <f t="shared" si="23"/>
        <v/>
      </c>
      <c r="R140" s="33"/>
    </row>
    <row r="141" spans="1:18" x14ac:dyDescent="0.25">
      <c r="A141" s="31"/>
      <c r="B141" s="34" t="str">
        <f t="shared" si="16"/>
        <v/>
      </c>
      <c r="C141" s="30"/>
      <c r="D141" s="10"/>
      <c r="E141" s="30"/>
      <c r="F141" s="36" t="str">
        <f t="shared" si="17"/>
        <v/>
      </c>
      <c r="G141" s="36" t="str">
        <f t="shared" si="18"/>
        <v/>
      </c>
      <c r="H141" s="36" t="str">
        <f t="shared" si="19"/>
        <v/>
      </c>
      <c r="I141" s="34" t="str">
        <f t="shared" si="20"/>
        <v/>
      </c>
      <c r="J141" s="35" t="str">
        <f t="shared" si="21"/>
        <v/>
      </c>
      <c r="K141" s="49"/>
      <c r="L141" s="30"/>
      <c r="M141" s="31"/>
      <c r="N141" s="33"/>
      <c r="O141" s="31"/>
      <c r="P141" s="29" t="str">
        <f t="shared" si="22"/>
        <v/>
      </c>
      <c r="Q141" s="29" t="str">
        <f t="shared" si="23"/>
        <v/>
      </c>
      <c r="R141" s="33"/>
    </row>
    <row r="142" spans="1:18" x14ac:dyDescent="0.25">
      <c r="A142" s="31"/>
      <c r="B142" s="34" t="str">
        <f t="shared" si="16"/>
        <v/>
      </c>
      <c r="C142" s="30"/>
      <c r="D142" s="10"/>
      <c r="E142" s="30"/>
      <c r="F142" s="36" t="str">
        <f t="shared" si="17"/>
        <v/>
      </c>
      <c r="G142" s="36" t="str">
        <f t="shared" si="18"/>
        <v/>
      </c>
      <c r="H142" s="36" t="str">
        <f t="shared" si="19"/>
        <v/>
      </c>
      <c r="I142" s="34" t="str">
        <f t="shared" si="20"/>
        <v/>
      </c>
      <c r="J142" s="35" t="str">
        <f t="shared" si="21"/>
        <v/>
      </c>
      <c r="K142" s="49"/>
      <c r="L142" s="30"/>
      <c r="M142" s="31"/>
      <c r="N142" s="33"/>
      <c r="O142" s="31"/>
      <c r="P142" s="29" t="str">
        <f t="shared" si="22"/>
        <v/>
      </c>
      <c r="Q142" s="29" t="str">
        <f t="shared" si="23"/>
        <v/>
      </c>
      <c r="R142" s="33"/>
    </row>
    <row r="143" spans="1:18" x14ac:dyDescent="0.25">
      <c r="A143" s="31"/>
      <c r="B143" s="34" t="str">
        <f t="shared" si="16"/>
        <v/>
      </c>
      <c r="C143" s="30"/>
      <c r="D143" s="10"/>
      <c r="E143" s="30"/>
      <c r="F143" s="36" t="str">
        <f t="shared" si="17"/>
        <v/>
      </c>
      <c r="G143" s="36" t="str">
        <f t="shared" si="18"/>
        <v/>
      </c>
      <c r="H143" s="36" t="str">
        <f t="shared" si="19"/>
        <v/>
      </c>
      <c r="I143" s="34" t="str">
        <f t="shared" si="20"/>
        <v/>
      </c>
      <c r="J143" s="35" t="str">
        <f t="shared" si="21"/>
        <v/>
      </c>
      <c r="K143" s="49"/>
      <c r="L143" s="30"/>
      <c r="M143" s="31"/>
      <c r="N143" s="33"/>
      <c r="O143" s="31"/>
      <c r="P143" s="29" t="str">
        <f t="shared" si="22"/>
        <v/>
      </c>
      <c r="Q143" s="29" t="str">
        <f t="shared" si="23"/>
        <v/>
      </c>
      <c r="R143" s="33"/>
    </row>
    <row r="144" spans="1:18" x14ac:dyDescent="0.25">
      <c r="A144" s="31"/>
      <c r="B144" s="34" t="str">
        <f t="shared" si="16"/>
        <v/>
      </c>
      <c r="C144" s="30"/>
      <c r="D144" s="10"/>
      <c r="E144" s="30"/>
      <c r="F144" s="36" t="str">
        <f t="shared" si="17"/>
        <v/>
      </c>
      <c r="G144" s="36" t="str">
        <f t="shared" si="18"/>
        <v/>
      </c>
      <c r="H144" s="36" t="str">
        <f t="shared" si="19"/>
        <v/>
      </c>
      <c r="I144" s="34" t="str">
        <f t="shared" si="20"/>
        <v/>
      </c>
      <c r="J144" s="35" t="str">
        <f t="shared" si="21"/>
        <v/>
      </c>
      <c r="K144" s="49"/>
      <c r="L144" s="30"/>
      <c r="M144" s="31"/>
      <c r="N144" s="33"/>
      <c r="O144" s="31"/>
      <c r="P144" s="29" t="str">
        <f t="shared" si="22"/>
        <v/>
      </c>
      <c r="Q144" s="29" t="str">
        <f t="shared" si="23"/>
        <v/>
      </c>
      <c r="R144" s="33"/>
    </row>
    <row r="145" spans="1:18" x14ac:dyDescent="0.25">
      <c r="A145" s="31"/>
      <c r="B145" s="34" t="str">
        <f t="shared" si="16"/>
        <v/>
      </c>
      <c r="C145" s="30"/>
      <c r="D145" s="10"/>
      <c r="E145" s="30"/>
      <c r="F145" s="36" t="str">
        <f t="shared" si="17"/>
        <v/>
      </c>
      <c r="G145" s="36" t="str">
        <f t="shared" si="18"/>
        <v/>
      </c>
      <c r="H145" s="36" t="str">
        <f t="shared" si="19"/>
        <v/>
      </c>
      <c r="I145" s="34" t="str">
        <f t="shared" si="20"/>
        <v/>
      </c>
      <c r="J145" s="35" t="str">
        <f t="shared" si="21"/>
        <v/>
      </c>
      <c r="K145" s="49"/>
      <c r="L145" s="30"/>
      <c r="M145" s="31"/>
      <c r="N145" s="33"/>
      <c r="O145" s="31"/>
      <c r="P145" s="29" t="str">
        <f t="shared" si="22"/>
        <v/>
      </c>
      <c r="Q145" s="29" t="str">
        <f t="shared" si="23"/>
        <v/>
      </c>
      <c r="R145" s="33"/>
    </row>
    <row r="146" spans="1:18" x14ac:dyDescent="0.25">
      <c r="A146" s="31"/>
      <c r="B146" s="34" t="str">
        <f t="shared" si="16"/>
        <v/>
      </c>
      <c r="C146" s="30"/>
      <c r="D146" s="10"/>
      <c r="E146" s="30"/>
      <c r="F146" s="36" t="str">
        <f t="shared" si="17"/>
        <v/>
      </c>
      <c r="G146" s="36" t="str">
        <f t="shared" si="18"/>
        <v/>
      </c>
      <c r="H146" s="36" t="str">
        <f t="shared" si="19"/>
        <v/>
      </c>
      <c r="I146" s="34" t="str">
        <f t="shared" si="20"/>
        <v/>
      </c>
      <c r="J146" s="35" t="str">
        <f t="shared" si="21"/>
        <v/>
      </c>
      <c r="K146" s="49"/>
      <c r="L146" s="30"/>
      <c r="M146" s="31"/>
      <c r="N146" s="33"/>
      <c r="O146" s="31"/>
      <c r="P146" s="29" t="str">
        <f t="shared" si="22"/>
        <v/>
      </c>
      <c r="Q146" s="29" t="str">
        <f t="shared" si="23"/>
        <v/>
      </c>
      <c r="R146" s="33"/>
    </row>
    <row r="147" spans="1:18" x14ac:dyDescent="0.25">
      <c r="A147" s="31"/>
      <c r="B147" s="34" t="str">
        <f t="shared" si="16"/>
        <v/>
      </c>
      <c r="C147" s="30"/>
      <c r="D147" s="10"/>
      <c r="E147" s="30"/>
      <c r="F147" s="36" t="str">
        <f t="shared" si="17"/>
        <v/>
      </c>
      <c r="G147" s="36" t="str">
        <f t="shared" si="18"/>
        <v/>
      </c>
      <c r="H147" s="36" t="str">
        <f t="shared" si="19"/>
        <v/>
      </c>
      <c r="I147" s="34" t="str">
        <f t="shared" si="20"/>
        <v/>
      </c>
      <c r="J147" s="35" t="str">
        <f t="shared" si="21"/>
        <v/>
      </c>
      <c r="K147" s="49"/>
      <c r="L147" s="30"/>
      <c r="M147" s="31"/>
      <c r="N147" s="33"/>
      <c r="O147" s="31"/>
      <c r="P147" s="29" t="str">
        <f t="shared" si="22"/>
        <v/>
      </c>
      <c r="Q147" s="29" t="str">
        <f t="shared" si="23"/>
        <v/>
      </c>
      <c r="R147" s="33"/>
    </row>
    <row r="148" spans="1:18" x14ac:dyDescent="0.25">
      <c r="A148" s="31"/>
      <c r="B148" s="34" t="str">
        <f t="shared" si="16"/>
        <v/>
      </c>
      <c r="C148" s="30"/>
      <c r="D148" s="10"/>
      <c r="E148" s="30"/>
      <c r="F148" s="36" t="str">
        <f t="shared" si="17"/>
        <v/>
      </c>
      <c r="G148" s="36" t="str">
        <f t="shared" si="18"/>
        <v/>
      </c>
      <c r="H148" s="36" t="str">
        <f t="shared" si="19"/>
        <v/>
      </c>
      <c r="I148" s="34" t="str">
        <f t="shared" si="20"/>
        <v/>
      </c>
      <c r="J148" s="35" t="str">
        <f t="shared" si="21"/>
        <v/>
      </c>
      <c r="K148" s="49"/>
      <c r="L148" s="30"/>
      <c r="M148" s="31"/>
      <c r="N148" s="33"/>
      <c r="O148" s="31"/>
      <c r="P148" s="29" t="str">
        <f t="shared" si="22"/>
        <v/>
      </c>
      <c r="Q148" s="29" t="str">
        <f t="shared" si="23"/>
        <v/>
      </c>
      <c r="R148" s="33"/>
    </row>
    <row r="149" spans="1:18" x14ac:dyDescent="0.25">
      <c r="A149" s="31"/>
      <c r="B149" s="34" t="str">
        <f t="shared" si="16"/>
        <v/>
      </c>
      <c r="C149" s="30"/>
      <c r="D149" s="10"/>
      <c r="E149" s="30"/>
      <c r="F149" s="36" t="str">
        <f t="shared" si="17"/>
        <v/>
      </c>
      <c r="G149" s="36" t="str">
        <f t="shared" si="18"/>
        <v/>
      </c>
      <c r="H149" s="36" t="str">
        <f t="shared" si="19"/>
        <v/>
      </c>
      <c r="I149" s="34" t="str">
        <f t="shared" si="20"/>
        <v/>
      </c>
      <c r="J149" s="35" t="str">
        <f t="shared" si="21"/>
        <v/>
      </c>
      <c r="K149" s="49"/>
      <c r="L149" s="30"/>
      <c r="M149" s="31"/>
      <c r="N149" s="33"/>
      <c r="O149" s="31"/>
      <c r="P149" s="29" t="str">
        <f t="shared" si="22"/>
        <v/>
      </c>
      <c r="Q149" s="29" t="str">
        <f t="shared" si="23"/>
        <v/>
      </c>
      <c r="R149" s="33"/>
    </row>
    <row r="150" spans="1:18" x14ac:dyDescent="0.25">
      <c r="A150" s="31"/>
      <c r="B150" s="34" t="str">
        <f t="shared" si="16"/>
        <v/>
      </c>
      <c r="C150" s="30"/>
      <c r="D150" s="10"/>
      <c r="E150" s="30"/>
      <c r="F150" s="36" t="str">
        <f t="shared" si="17"/>
        <v/>
      </c>
      <c r="G150" s="36" t="str">
        <f t="shared" si="18"/>
        <v/>
      </c>
      <c r="H150" s="36" t="str">
        <f t="shared" si="19"/>
        <v/>
      </c>
      <c r="I150" s="34" t="str">
        <f t="shared" si="20"/>
        <v/>
      </c>
      <c r="J150" s="35" t="str">
        <f t="shared" si="21"/>
        <v/>
      </c>
      <c r="K150" s="49"/>
      <c r="L150" s="30"/>
      <c r="M150" s="31"/>
      <c r="N150" s="33"/>
      <c r="O150" s="31"/>
      <c r="P150" s="29" t="str">
        <f t="shared" si="22"/>
        <v/>
      </c>
      <c r="Q150" s="29" t="str">
        <f t="shared" si="23"/>
        <v/>
      </c>
      <c r="R150" s="33"/>
    </row>
    <row r="151" spans="1:18" x14ac:dyDescent="0.25">
      <c r="A151" s="31"/>
      <c r="B151" s="34" t="str">
        <f t="shared" si="16"/>
        <v/>
      </c>
      <c r="C151" s="30"/>
      <c r="D151" s="10"/>
      <c r="E151" s="30"/>
      <c r="F151" s="36" t="str">
        <f t="shared" si="17"/>
        <v/>
      </c>
      <c r="G151" s="36" t="str">
        <f t="shared" si="18"/>
        <v/>
      </c>
      <c r="H151" s="36" t="str">
        <f t="shared" si="19"/>
        <v/>
      </c>
      <c r="I151" s="34" t="str">
        <f t="shared" si="20"/>
        <v/>
      </c>
      <c r="J151" s="35" t="str">
        <f t="shared" si="21"/>
        <v/>
      </c>
      <c r="K151" s="49"/>
      <c r="L151" s="30"/>
      <c r="M151" s="31"/>
      <c r="N151" s="33"/>
      <c r="O151" s="31"/>
      <c r="P151" s="29" t="str">
        <f t="shared" si="22"/>
        <v/>
      </c>
      <c r="Q151" s="29" t="str">
        <f t="shared" si="23"/>
        <v/>
      </c>
      <c r="R151" s="33"/>
    </row>
    <row r="152" spans="1:18" x14ac:dyDescent="0.25">
      <c r="A152" s="31"/>
      <c r="B152" s="34" t="str">
        <f t="shared" si="16"/>
        <v/>
      </c>
      <c r="C152" s="30"/>
      <c r="D152" s="10"/>
      <c r="E152" s="30"/>
      <c r="F152" s="36" t="str">
        <f t="shared" si="17"/>
        <v/>
      </c>
      <c r="G152" s="36" t="str">
        <f t="shared" si="18"/>
        <v/>
      </c>
      <c r="H152" s="36" t="str">
        <f t="shared" si="19"/>
        <v/>
      </c>
      <c r="I152" s="34" t="str">
        <f t="shared" si="20"/>
        <v/>
      </c>
      <c r="J152" s="35" t="str">
        <f t="shared" si="21"/>
        <v/>
      </c>
      <c r="K152" s="49"/>
      <c r="L152" s="30"/>
      <c r="M152" s="31"/>
      <c r="N152" s="33"/>
      <c r="O152" s="31"/>
      <c r="P152" s="29" t="str">
        <f t="shared" si="22"/>
        <v/>
      </c>
      <c r="Q152" s="29" t="str">
        <f t="shared" si="23"/>
        <v/>
      </c>
      <c r="R152" s="33"/>
    </row>
    <row r="153" spans="1:18" x14ac:dyDescent="0.25">
      <c r="A153" s="31"/>
      <c r="B153" s="34" t="str">
        <f t="shared" si="16"/>
        <v/>
      </c>
      <c r="C153" s="30"/>
      <c r="D153" s="10"/>
      <c r="E153" s="30"/>
      <c r="F153" s="36" t="str">
        <f t="shared" si="17"/>
        <v/>
      </c>
      <c r="G153" s="36" t="str">
        <f t="shared" si="18"/>
        <v/>
      </c>
      <c r="H153" s="36" t="str">
        <f t="shared" si="19"/>
        <v/>
      </c>
      <c r="I153" s="34" t="str">
        <f t="shared" si="20"/>
        <v/>
      </c>
      <c r="J153" s="35" t="str">
        <f t="shared" si="21"/>
        <v/>
      </c>
      <c r="K153" s="49"/>
      <c r="L153" s="30"/>
      <c r="M153" s="31"/>
      <c r="N153" s="33"/>
      <c r="O153" s="31"/>
      <c r="P153" s="29" t="str">
        <f t="shared" si="22"/>
        <v/>
      </c>
      <c r="Q153" s="29" t="str">
        <f t="shared" si="23"/>
        <v/>
      </c>
      <c r="R153" s="33"/>
    </row>
    <row r="154" spans="1:18" x14ac:dyDescent="0.25">
      <c r="A154" s="31"/>
      <c r="B154" s="34" t="str">
        <f t="shared" si="16"/>
        <v/>
      </c>
      <c r="C154" s="30"/>
      <c r="D154" s="10"/>
      <c r="E154" s="30"/>
      <c r="F154" s="36" t="str">
        <f t="shared" si="17"/>
        <v/>
      </c>
      <c r="G154" s="36" t="str">
        <f t="shared" si="18"/>
        <v/>
      </c>
      <c r="H154" s="36" t="str">
        <f t="shared" si="19"/>
        <v/>
      </c>
      <c r="I154" s="34" t="str">
        <f t="shared" si="20"/>
        <v/>
      </c>
      <c r="J154" s="35" t="str">
        <f t="shared" si="21"/>
        <v/>
      </c>
      <c r="K154" s="49"/>
      <c r="L154" s="30"/>
      <c r="M154" s="31"/>
      <c r="N154" s="33"/>
      <c r="O154" s="31"/>
      <c r="P154" s="29" t="str">
        <f t="shared" si="22"/>
        <v/>
      </c>
      <c r="Q154" s="29" t="str">
        <f t="shared" si="23"/>
        <v/>
      </c>
      <c r="R154" s="33"/>
    </row>
    <row r="155" spans="1:18" x14ac:dyDescent="0.25">
      <c r="A155" s="31"/>
      <c r="B155" s="34" t="str">
        <f t="shared" si="16"/>
        <v/>
      </c>
      <c r="C155" s="30"/>
      <c r="D155" s="10"/>
      <c r="E155" s="30"/>
      <c r="F155" s="36" t="str">
        <f t="shared" si="17"/>
        <v/>
      </c>
      <c r="G155" s="36" t="str">
        <f t="shared" si="18"/>
        <v/>
      </c>
      <c r="H155" s="36" t="str">
        <f t="shared" si="19"/>
        <v/>
      </c>
      <c r="I155" s="34" t="str">
        <f t="shared" si="20"/>
        <v/>
      </c>
      <c r="J155" s="35" t="str">
        <f t="shared" si="21"/>
        <v/>
      </c>
      <c r="K155" s="49"/>
      <c r="L155" s="30"/>
      <c r="M155" s="31"/>
      <c r="N155" s="33"/>
      <c r="O155" s="31"/>
      <c r="P155" s="29" t="str">
        <f t="shared" si="22"/>
        <v/>
      </c>
      <c r="Q155" s="29" t="str">
        <f t="shared" si="23"/>
        <v/>
      </c>
      <c r="R155" s="33"/>
    </row>
    <row r="156" spans="1:18" x14ac:dyDescent="0.25">
      <c r="A156" s="31"/>
      <c r="B156" s="34" t="str">
        <f t="shared" si="16"/>
        <v/>
      </c>
      <c r="C156" s="30"/>
      <c r="D156" s="10"/>
      <c r="E156" s="30"/>
      <c r="F156" s="36" t="str">
        <f t="shared" si="17"/>
        <v/>
      </c>
      <c r="G156" s="36" t="str">
        <f t="shared" si="18"/>
        <v/>
      </c>
      <c r="H156" s="36" t="str">
        <f t="shared" si="19"/>
        <v/>
      </c>
      <c r="I156" s="34" t="str">
        <f t="shared" si="20"/>
        <v/>
      </c>
      <c r="J156" s="35" t="str">
        <f t="shared" si="21"/>
        <v/>
      </c>
      <c r="K156" s="49"/>
      <c r="L156" s="30"/>
      <c r="M156" s="31"/>
      <c r="N156" s="33"/>
      <c r="O156" s="31"/>
      <c r="P156" s="29" t="str">
        <f t="shared" si="22"/>
        <v/>
      </c>
      <c r="Q156" s="29" t="str">
        <f t="shared" si="23"/>
        <v/>
      </c>
      <c r="R156" s="33"/>
    </row>
    <row r="157" spans="1:18" x14ac:dyDescent="0.25">
      <c r="A157" s="31"/>
      <c r="B157" s="34" t="str">
        <f t="shared" si="16"/>
        <v/>
      </c>
      <c r="C157" s="30"/>
      <c r="D157" s="10"/>
      <c r="E157" s="30"/>
      <c r="F157" s="36" t="str">
        <f t="shared" si="17"/>
        <v/>
      </c>
      <c r="G157" s="36" t="str">
        <f t="shared" si="18"/>
        <v/>
      </c>
      <c r="H157" s="36" t="str">
        <f t="shared" si="19"/>
        <v/>
      </c>
      <c r="I157" s="34" t="str">
        <f t="shared" si="20"/>
        <v/>
      </c>
      <c r="J157" s="35" t="str">
        <f t="shared" si="21"/>
        <v/>
      </c>
      <c r="K157" s="49"/>
      <c r="L157" s="30"/>
      <c r="M157" s="31"/>
      <c r="N157" s="33"/>
      <c r="O157" s="31"/>
      <c r="P157" s="29" t="str">
        <f t="shared" si="22"/>
        <v/>
      </c>
      <c r="Q157" s="29" t="str">
        <f t="shared" si="23"/>
        <v/>
      </c>
      <c r="R157" s="33"/>
    </row>
    <row r="158" spans="1:18" x14ac:dyDescent="0.25">
      <c r="A158" s="31"/>
      <c r="B158" s="34" t="str">
        <f t="shared" si="16"/>
        <v/>
      </c>
      <c r="C158" s="30"/>
      <c r="D158" s="10"/>
      <c r="E158" s="30"/>
      <c r="F158" s="36" t="str">
        <f t="shared" si="17"/>
        <v/>
      </c>
      <c r="G158" s="36" t="str">
        <f t="shared" si="18"/>
        <v/>
      </c>
      <c r="H158" s="36" t="str">
        <f t="shared" si="19"/>
        <v/>
      </c>
      <c r="I158" s="34" t="str">
        <f t="shared" si="20"/>
        <v/>
      </c>
      <c r="J158" s="35" t="str">
        <f t="shared" si="21"/>
        <v/>
      </c>
      <c r="K158" s="49"/>
      <c r="L158" s="30"/>
      <c r="M158" s="31"/>
      <c r="N158" s="33"/>
      <c r="O158" s="31"/>
      <c r="P158" s="29" t="str">
        <f t="shared" si="22"/>
        <v/>
      </c>
      <c r="Q158" s="29" t="str">
        <f t="shared" si="23"/>
        <v/>
      </c>
      <c r="R158" s="33"/>
    </row>
    <row r="159" spans="1:18" x14ac:dyDescent="0.25">
      <c r="A159" s="31"/>
      <c r="B159" s="34" t="str">
        <f t="shared" si="16"/>
        <v/>
      </c>
      <c r="C159" s="30"/>
      <c r="D159" s="10"/>
      <c r="E159" s="30"/>
      <c r="F159" s="36" t="str">
        <f t="shared" si="17"/>
        <v/>
      </c>
      <c r="G159" s="36" t="str">
        <f t="shared" si="18"/>
        <v/>
      </c>
      <c r="H159" s="36" t="str">
        <f t="shared" si="19"/>
        <v/>
      </c>
      <c r="I159" s="34" t="str">
        <f t="shared" si="20"/>
        <v/>
      </c>
      <c r="J159" s="35" t="str">
        <f t="shared" si="21"/>
        <v/>
      </c>
      <c r="K159" s="49"/>
      <c r="L159" s="30"/>
      <c r="M159" s="31"/>
      <c r="N159" s="33"/>
      <c r="O159" s="31"/>
      <c r="P159" s="29" t="str">
        <f t="shared" si="22"/>
        <v/>
      </c>
      <c r="Q159" s="29" t="str">
        <f t="shared" si="23"/>
        <v/>
      </c>
      <c r="R159" s="33"/>
    </row>
    <row r="160" spans="1:18" x14ac:dyDescent="0.25">
      <c r="A160" s="31"/>
      <c r="B160" s="34" t="str">
        <f t="shared" si="16"/>
        <v/>
      </c>
      <c r="C160" s="30"/>
      <c r="D160" s="10"/>
      <c r="E160" s="30"/>
      <c r="F160" s="36" t="str">
        <f t="shared" si="17"/>
        <v/>
      </c>
      <c r="G160" s="36" t="str">
        <f t="shared" si="18"/>
        <v/>
      </c>
      <c r="H160" s="36" t="str">
        <f t="shared" si="19"/>
        <v/>
      </c>
      <c r="I160" s="34" t="str">
        <f t="shared" si="20"/>
        <v/>
      </c>
      <c r="J160" s="35" t="str">
        <f t="shared" si="21"/>
        <v/>
      </c>
      <c r="K160" s="49"/>
      <c r="L160" s="30"/>
      <c r="M160" s="31"/>
      <c r="N160" s="33"/>
      <c r="O160" s="31"/>
      <c r="P160" s="29" t="str">
        <f t="shared" si="22"/>
        <v/>
      </c>
      <c r="Q160" s="29" t="str">
        <f t="shared" si="23"/>
        <v/>
      </c>
      <c r="R160" s="33"/>
    </row>
    <row r="161" spans="1:18" x14ac:dyDescent="0.25">
      <c r="A161" s="31"/>
      <c r="B161" s="34" t="str">
        <f t="shared" si="16"/>
        <v/>
      </c>
      <c r="C161" s="30"/>
      <c r="D161" s="10"/>
      <c r="E161" s="30"/>
      <c r="F161" s="36" t="str">
        <f t="shared" si="17"/>
        <v/>
      </c>
      <c r="G161" s="36" t="str">
        <f t="shared" si="18"/>
        <v/>
      </c>
      <c r="H161" s="36" t="str">
        <f t="shared" si="19"/>
        <v/>
      </c>
      <c r="I161" s="34" t="str">
        <f t="shared" si="20"/>
        <v/>
      </c>
      <c r="J161" s="35" t="str">
        <f t="shared" si="21"/>
        <v/>
      </c>
      <c r="K161" s="49"/>
      <c r="L161" s="30"/>
      <c r="M161" s="31"/>
      <c r="N161" s="33"/>
      <c r="O161" s="31"/>
      <c r="P161" s="29" t="str">
        <f t="shared" si="22"/>
        <v/>
      </c>
      <c r="Q161" s="29" t="str">
        <f t="shared" si="23"/>
        <v/>
      </c>
      <c r="R161" s="33"/>
    </row>
    <row r="162" spans="1:18" x14ac:dyDescent="0.25">
      <c r="A162" s="31"/>
      <c r="B162" s="34" t="str">
        <f t="shared" si="16"/>
        <v/>
      </c>
      <c r="C162" s="30"/>
      <c r="D162" s="10"/>
      <c r="E162" s="30"/>
      <c r="F162" s="36" t="str">
        <f t="shared" si="17"/>
        <v/>
      </c>
      <c r="G162" s="36" t="str">
        <f t="shared" si="18"/>
        <v/>
      </c>
      <c r="H162" s="36" t="str">
        <f t="shared" si="19"/>
        <v/>
      </c>
      <c r="I162" s="34" t="str">
        <f t="shared" si="20"/>
        <v/>
      </c>
      <c r="J162" s="35" t="str">
        <f t="shared" si="21"/>
        <v/>
      </c>
      <c r="K162" s="49"/>
      <c r="L162" s="30"/>
      <c r="M162" s="31"/>
      <c r="N162" s="33"/>
      <c r="O162" s="31"/>
      <c r="P162" s="29" t="str">
        <f t="shared" si="22"/>
        <v/>
      </c>
      <c r="Q162" s="29" t="str">
        <f t="shared" si="23"/>
        <v/>
      </c>
      <c r="R162" s="33"/>
    </row>
    <row r="163" spans="1:18" x14ac:dyDescent="0.25">
      <c r="A163" s="31"/>
      <c r="B163" s="34" t="str">
        <f t="shared" si="16"/>
        <v/>
      </c>
      <c r="C163" s="30"/>
      <c r="D163" s="10"/>
      <c r="E163" s="30"/>
      <c r="F163" s="36" t="str">
        <f t="shared" si="17"/>
        <v/>
      </c>
      <c r="G163" s="36" t="str">
        <f t="shared" si="18"/>
        <v/>
      </c>
      <c r="H163" s="36" t="str">
        <f t="shared" si="19"/>
        <v/>
      </c>
      <c r="I163" s="34" t="str">
        <f t="shared" si="20"/>
        <v/>
      </c>
      <c r="J163" s="35" t="str">
        <f t="shared" si="21"/>
        <v/>
      </c>
      <c r="K163" s="49"/>
      <c r="L163" s="30"/>
      <c r="M163" s="31"/>
      <c r="N163" s="33"/>
      <c r="O163" s="31"/>
      <c r="P163" s="29" t="str">
        <f t="shared" si="22"/>
        <v/>
      </c>
      <c r="Q163" s="29" t="str">
        <f t="shared" si="23"/>
        <v/>
      </c>
      <c r="R163" s="33"/>
    </row>
    <row r="164" spans="1:18" x14ac:dyDescent="0.25">
      <c r="A164" s="31"/>
      <c r="B164" s="34" t="str">
        <f t="shared" si="16"/>
        <v/>
      </c>
      <c r="C164" s="30"/>
      <c r="D164" s="10"/>
      <c r="E164" s="30"/>
      <c r="F164" s="36" t="str">
        <f t="shared" si="17"/>
        <v/>
      </c>
      <c r="G164" s="36" t="str">
        <f t="shared" si="18"/>
        <v/>
      </c>
      <c r="H164" s="36" t="str">
        <f t="shared" si="19"/>
        <v/>
      </c>
      <c r="I164" s="34" t="str">
        <f t="shared" si="20"/>
        <v/>
      </c>
      <c r="J164" s="35" t="str">
        <f t="shared" si="21"/>
        <v/>
      </c>
      <c r="K164" s="49"/>
      <c r="L164" s="30"/>
      <c r="M164" s="31"/>
      <c r="N164" s="33"/>
      <c r="O164" s="31"/>
      <c r="P164" s="29" t="str">
        <f t="shared" si="22"/>
        <v/>
      </c>
      <c r="Q164" s="29" t="str">
        <f t="shared" si="23"/>
        <v/>
      </c>
      <c r="R164" s="33"/>
    </row>
    <row r="165" spans="1:18" x14ac:dyDescent="0.25">
      <c r="A165" s="31"/>
      <c r="B165" s="34" t="str">
        <f t="shared" si="16"/>
        <v/>
      </c>
      <c r="C165" s="30"/>
      <c r="D165" s="10"/>
      <c r="E165" s="30"/>
      <c r="F165" s="36" t="str">
        <f t="shared" si="17"/>
        <v/>
      </c>
      <c r="G165" s="36" t="str">
        <f t="shared" si="18"/>
        <v/>
      </c>
      <c r="H165" s="36" t="str">
        <f t="shared" si="19"/>
        <v/>
      </c>
      <c r="I165" s="34" t="str">
        <f t="shared" si="20"/>
        <v/>
      </c>
      <c r="J165" s="35" t="str">
        <f t="shared" si="21"/>
        <v/>
      </c>
      <c r="K165" s="49"/>
      <c r="L165" s="30"/>
      <c r="M165" s="31"/>
      <c r="N165" s="33"/>
      <c r="O165" s="31"/>
      <c r="P165" s="29" t="str">
        <f t="shared" si="22"/>
        <v/>
      </c>
      <c r="Q165" s="29" t="str">
        <f t="shared" si="23"/>
        <v/>
      </c>
      <c r="R165" s="33"/>
    </row>
    <row r="166" spans="1:18" x14ac:dyDescent="0.25">
      <c r="A166" s="31"/>
      <c r="B166" s="34" t="str">
        <f t="shared" si="16"/>
        <v/>
      </c>
      <c r="C166" s="30"/>
      <c r="D166" s="10"/>
      <c r="E166" s="30"/>
      <c r="F166" s="36" t="str">
        <f t="shared" si="17"/>
        <v/>
      </c>
      <c r="G166" s="36" t="str">
        <f t="shared" si="18"/>
        <v/>
      </c>
      <c r="H166" s="36" t="str">
        <f t="shared" si="19"/>
        <v/>
      </c>
      <c r="I166" s="34" t="str">
        <f t="shared" si="20"/>
        <v/>
      </c>
      <c r="J166" s="35" t="str">
        <f t="shared" si="21"/>
        <v/>
      </c>
      <c r="K166" s="49"/>
      <c r="L166" s="30"/>
      <c r="M166" s="31"/>
      <c r="N166" s="33"/>
      <c r="O166" s="31"/>
      <c r="P166" s="29" t="str">
        <f t="shared" si="22"/>
        <v/>
      </c>
      <c r="Q166" s="29" t="str">
        <f t="shared" si="23"/>
        <v/>
      </c>
      <c r="R166" s="33"/>
    </row>
    <row r="167" spans="1:18" x14ac:dyDescent="0.25">
      <c r="A167" s="31"/>
      <c r="B167" s="34" t="str">
        <f t="shared" si="16"/>
        <v/>
      </c>
      <c r="C167" s="30"/>
      <c r="D167" s="10"/>
      <c r="E167" s="30"/>
      <c r="F167" s="36" t="str">
        <f t="shared" si="17"/>
        <v/>
      </c>
      <c r="G167" s="36" t="str">
        <f t="shared" si="18"/>
        <v/>
      </c>
      <c r="H167" s="36" t="str">
        <f t="shared" si="19"/>
        <v/>
      </c>
      <c r="I167" s="34" t="str">
        <f t="shared" si="20"/>
        <v/>
      </c>
      <c r="J167" s="35" t="str">
        <f t="shared" si="21"/>
        <v/>
      </c>
      <c r="K167" s="49"/>
      <c r="L167" s="30"/>
      <c r="M167" s="31"/>
      <c r="N167" s="33"/>
      <c r="O167" s="31"/>
      <c r="P167" s="29" t="str">
        <f t="shared" si="22"/>
        <v/>
      </c>
      <c r="Q167" s="29" t="str">
        <f t="shared" si="23"/>
        <v/>
      </c>
      <c r="R167" s="33"/>
    </row>
    <row r="168" spans="1:18" x14ac:dyDescent="0.25">
      <c r="A168" s="31"/>
      <c r="B168" s="34" t="str">
        <f t="shared" si="16"/>
        <v/>
      </c>
      <c r="C168" s="30"/>
      <c r="D168" s="10"/>
      <c r="E168" s="30"/>
      <c r="F168" s="36" t="str">
        <f t="shared" si="17"/>
        <v/>
      </c>
      <c r="G168" s="36" t="str">
        <f t="shared" si="18"/>
        <v/>
      </c>
      <c r="H168" s="36" t="str">
        <f t="shared" si="19"/>
        <v/>
      </c>
      <c r="I168" s="34" t="str">
        <f t="shared" si="20"/>
        <v/>
      </c>
      <c r="J168" s="35" t="str">
        <f t="shared" si="21"/>
        <v/>
      </c>
      <c r="K168" s="49"/>
      <c r="L168" s="30"/>
      <c r="M168" s="31"/>
      <c r="N168" s="33"/>
      <c r="O168" s="31"/>
      <c r="P168" s="29" t="str">
        <f t="shared" si="22"/>
        <v/>
      </c>
      <c r="Q168" s="29" t="str">
        <f t="shared" si="23"/>
        <v/>
      </c>
      <c r="R168" s="33"/>
    </row>
    <row r="169" spans="1:18" x14ac:dyDescent="0.25">
      <c r="A169" s="31"/>
      <c r="B169" s="34" t="str">
        <f t="shared" si="16"/>
        <v/>
      </c>
      <c r="C169" s="30"/>
      <c r="D169" s="10"/>
      <c r="E169" s="30"/>
      <c r="F169" s="36" t="str">
        <f t="shared" si="17"/>
        <v/>
      </c>
      <c r="G169" s="36" t="str">
        <f t="shared" si="18"/>
        <v/>
      </c>
      <c r="H169" s="36" t="str">
        <f t="shared" si="19"/>
        <v/>
      </c>
      <c r="I169" s="34" t="str">
        <f t="shared" si="20"/>
        <v/>
      </c>
      <c r="J169" s="35" t="str">
        <f t="shared" si="21"/>
        <v/>
      </c>
      <c r="K169" s="49"/>
      <c r="L169" s="30"/>
      <c r="M169" s="31"/>
      <c r="N169" s="33"/>
      <c r="O169" s="31"/>
      <c r="P169" s="29" t="str">
        <f t="shared" si="22"/>
        <v/>
      </c>
      <c r="Q169" s="29" t="str">
        <f t="shared" si="23"/>
        <v/>
      </c>
      <c r="R169" s="33"/>
    </row>
    <row r="170" spans="1:18" x14ac:dyDescent="0.25">
      <c r="A170" s="31"/>
      <c r="B170" s="34" t="str">
        <f t="shared" si="16"/>
        <v/>
      </c>
      <c r="C170" s="30"/>
      <c r="D170" s="10"/>
      <c r="E170" s="30"/>
      <c r="F170" s="36" t="str">
        <f t="shared" si="17"/>
        <v/>
      </c>
      <c r="G170" s="36" t="str">
        <f t="shared" si="18"/>
        <v/>
      </c>
      <c r="H170" s="36" t="str">
        <f t="shared" si="19"/>
        <v/>
      </c>
      <c r="I170" s="34" t="str">
        <f t="shared" si="20"/>
        <v/>
      </c>
      <c r="J170" s="35" t="str">
        <f t="shared" si="21"/>
        <v/>
      </c>
      <c r="K170" s="49"/>
      <c r="L170" s="30"/>
      <c r="M170" s="31"/>
      <c r="N170" s="33"/>
      <c r="O170" s="31"/>
      <c r="P170" s="29" t="str">
        <f t="shared" si="22"/>
        <v/>
      </c>
      <c r="Q170" s="29" t="str">
        <f t="shared" si="23"/>
        <v/>
      </c>
      <c r="R170" s="33"/>
    </row>
    <row r="171" spans="1:18" x14ac:dyDescent="0.25">
      <c r="A171" s="31"/>
      <c r="B171" s="34" t="str">
        <f t="shared" si="16"/>
        <v/>
      </c>
      <c r="C171" s="30"/>
      <c r="D171" s="10"/>
      <c r="E171" s="30"/>
      <c r="F171" s="36" t="str">
        <f t="shared" si="17"/>
        <v/>
      </c>
      <c r="G171" s="36" t="str">
        <f t="shared" si="18"/>
        <v/>
      </c>
      <c r="H171" s="36" t="str">
        <f t="shared" si="19"/>
        <v/>
      </c>
      <c r="I171" s="34" t="str">
        <f t="shared" si="20"/>
        <v/>
      </c>
      <c r="J171" s="35" t="str">
        <f t="shared" si="21"/>
        <v/>
      </c>
      <c r="K171" s="49"/>
      <c r="L171" s="30"/>
      <c r="M171" s="31"/>
      <c r="N171" s="33"/>
      <c r="O171" s="31"/>
      <c r="P171" s="29" t="str">
        <f t="shared" si="22"/>
        <v/>
      </c>
      <c r="Q171" s="29" t="str">
        <f t="shared" si="23"/>
        <v/>
      </c>
      <c r="R171" s="33"/>
    </row>
    <row r="172" spans="1:18" x14ac:dyDescent="0.25">
      <c r="A172" s="31"/>
      <c r="B172" s="34" t="str">
        <f t="shared" si="16"/>
        <v/>
      </c>
      <c r="C172" s="30"/>
      <c r="D172" s="10"/>
      <c r="E172" s="30"/>
      <c r="F172" s="36" t="str">
        <f t="shared" si="17"/>
        <v/>
      </c>
      <c r="G172" s="36" t="str">
        <f t="shared" si="18"/>
        <v/>
      </c>
      <c r="H172" s="36" t="str">
        <f t="shared" si="19"/>
        <v/>
      </c>
      <c r="I172" s="34" t="str">
        <f t="shared" si="20"/>
        <v/>
      </c>
      <c r="J172" s="35" t="str">
        <f t="shared" si="21"/>
        <v/>
      </c>
      <c r="K172" s="49"/>
      <c r="L172" s="30"/>
      <c r="M172" s="31"/>
      <c r="N172" s="33"/>
      <c r="O172" s="31"/>
      <c r="P172" s="29" t="str">
        <f t="shared" si="22"/>
        <v/>
      </c>
      <c r="Q172" s="29" t="str">
        <f t="shared" si="23"/>
        <v/>
      </c>
      <c r="R172" s="33"/>
    </row>
    <row r="173" spans="1:18" x14ac:dyDescent="0.25">
      <c r="A173" s="31"/>
      <c r="B173" s="34" t="str">
        <f t="shared" si="16"/>
        <v/>
      </c>
      <c r="C173" s="30"/>
      <c r="D173" s="10"/>
      <c r="E173" s="30"/>
      <c r="F173" s="36" t="str">
        <f t="shared" si="17"/>
        <v/>
      </c>
      <c r="G173" s="36" t="str">
        <f t="shared" si="18"/>
        <v/>
      </c>
      <c r="H173" s="36" t="str">
        <f t="shared" si="19"/>
        <v/>
      </c>
      <c r="I173" s="34" t="str">
        <f t="shared" si="20"/>
        <v/>
      </c>
      <c r="J173" s="35" t="str">
        <f t="shared" si="21"/>
        <v/>
      </c>
      <c r="K173" s="49"/>
      <c r="L173" s="30"/>
      <c r="M173" s="31"/>
      <c r="N173" s="33"/>
      <c r="O173" s="31"/>
      <c r="P173" s="29" t="str">
        <f t="shared" si="22"/>
        <v/>
      </c>
      <c r="Q173" s="29" t="str">
        <f t="shared" si="23"/>
        <v/>
      </c>
      <c r="R173" s="33"/>
    </row>
    <row r="174" spans="1:18" x14ac:dyDescent="0.25">
      <c r="A174" s="31"/>
      <c r="B174" s="34" t="str">
        <f t="shared" si="16"/>
        <v/>
      </c>
      <c r="C174" s="30"/>
      <c r="D174" s="10"/>
      <c r="E174" s="30"/>
      <c r="F174" s="36" t="str">
        <f t="shared" si="17"/>
        <v/>
      </c>
      <c r="G174" s="36" t="str">
        <f t="shared" si="18"/>
        <v/>
      </c>
      <c r="H174" s="36" t="str">
        <f t="shared" si="19"/>
        <v/>
      </c>
      <c r="I174" s="34" t="str">
        <f t="shared" si="20"/>
        <v/>
      </c>
      <c r="J174" s="35" t="str">
        <f t="shared" si="21"/>
        <v/>
      </c>
      <c r="K174" s="49"/>
      <c r="L174" s="30"/>
      <c r="M174" s="31"/>
      <c r="N174" s="33"/>
      <c r="O174" s="31"/>
      <c r="P174" s="29" t="str">
        <f t="shared" si="22"/>
        <v/>
      </c>
      <c r="Q174" s="29" t="str">
        <f t="shared" si="23"/>
        <v/>
      </c>
      <c r="R174" s="33"/>
    </row>
    <row r="175" spans="1:18" x14ac:dyDescent="0.25">
      <c r="A175" s="31"/>
      <c r="B175" s="34" t="str">
        <f t="shared" si="16"/>
        <v/>
      </c>
      <c r="C175" s="30"/>
      <c r="D175" s="10"/>
      <c r="E175" s="30"/>
      <c r="F175" s="36" t="str">
        <f t="shared" si="17"/>
        <v/>
      </c>
      <c r="G175" s="36" t="str">
        <f t="shared" si="18"/>
        <v/>
      </c>
      <c r="H175" s="36" t="str">
        <f t="shared" si="19"/>
        <v/>
      </c>
      <c r="I175" s="34" t="str">
        <f t="shared" si="20"/>
        <v/>
      </c>
      <c r="J175" s="35" t="str">
        <f t="shared" si="21"/>
        <v/>
      </c>
      <c r="K175" s="49"/>
      <c r="L175" s="30"/>
      <c r="M175" s="31"/>
      <c r="N175" s="33"/>
      <c r="O175" s="31"/>
      <c r="P175" s="29" t="str">
        <f t="shared" si="22"/>
        <v/>
      </c>
      <c r="Q175" s="29" t="str">
        <f t="shared" si="23"/>
        <v/>
      </c>
      <c r="R175" s="33"/>
    </row>
    <row r="176" spans="1:18" x14ac:dyDescent="0.25">
      <c r="A176" s="31"/>
      <c r="B176" s="34" t="str">
        <f t="shared" si="16"/>
        <v/>
      </c>
      <c r="C176" s="30"/>
      <c r="D176" s="10"/>
      <c r="E176" s="30"/>
      <c r="F176" s="36" t="str">
        <f t="shared" si="17"/>
        <v/>
      </c>
      <c r="G176" s="36" t="str">
        <f t="shared" si="18"/>
        <v/>
      </c>
      <c r="H176" s="36" t="str">
        <f t="shared" si="19"/>
        <v/>
      </c>
      <c r="I176" s="34" t="str">
        <f t="shared" si="20"/>
        <v/>
      </c>
      <c r="J176" s="35" t="str">
        <f t="shared" si="21"/>
        <v/>
      </c>
      <c r="K176" s="49"/>
      <c r="L176" s="30"/>
      <c r="M176" s="31"/>
      <c r="N176" s="33"/>
      <c r="O176" s="31"/>
      <c r="P176" s="29" t="str">
        <f t="shared" si="22"/>
        <v/>
      </c>
      <c r="Q176" s="29" t="str">
        <f t="shared" si="23"/>
        <v/>
      </c>
      <c r="R176" s="33"/>
    </row>
    <row r="177" spans="1:18" x14ac:dyDescent="0.25">
      <c r="A177" s="31"/>
      <c r="B177" s="34" t="str">
        <f t="shared" si="16"/>
        <v/>
      </c>
      <c r="C177" s="30"/>
      <c r="D177" s="10"/>
      <c r="E177" s="30"/>
      <c r="F177" s="36" t="str">
        <f t="shared" si="17"/>
        <v/>
      </c>
      <c r="G177" s="36" t="str">
        <f t="shared" si="18"/>
        <v/>
      </c>
      <c r="H177" s="36" t="str">
        <f t="shared" si="19"/>
        <v/>
      </c>
      <c r="I177" s="34" t="str">
        <f t="shared" si="20"/>
        <v/>
      </c>
      <c r="J177" s="35" t="str">
        <f t="shared" si="21"/>
        <v/>
      </c>
      <c r="K177" s="49"/>
      <c r="L177" s="30"/>
      <c r="M177" s="31"/>
      <c r="N177" s="33"/>
      <c r="O177" s="31"/>
      <c r="P177" s="29" t="str">
        <f t="shared" si="22"/>
        <v/>
      </c>
      <c r="Q177" s="29" t="str">
        <f t="shared" si="23"/>
        <v/>
      </c>
      <c r="R177" s="33"/>
    </row>
    <row r="178" spans="1:18" x14ac:dyDescent="0.25">
      <c r="A178" s="31"/>
      <c r="B178" s="34" t="str">
        <f t="shared" si="16"/>
        <v/>
      </c>
      <c r="C178" s="30"/>
      <c r="D178" s="10"/>
      <c r="E178" s="30"/>
      <c r="F178" s="36" t="str">
        <f t="shared" si="17"/>
        <v/>
      </c>
      <c r="G178" s="36" t="str">
        <f t="shared" si="18"/>
        <v/>
      </c>
      <c r="H178" s="36" t="str">
        <f t="shared" si="19"/>
        <v/>
      </c>
      <c r="I178" s="34" t="str">
        <f t="shared" si="20"/>
        <v/>
      </c>
      <c r="J178" s="35" t="str">
        <f t="shared" si="21"/>
        <v/>
      </c>
      <c r="K178" s="49"/>
      <c r="L178" s="30"/>
      <c r="M178" s="31"/>
      <c r="N178" s="33"/>
      <c r="O178" s="31"/>
      <c r="P178" s="29" t="str">
        <f t="shared" si="22"/>
        <v/>
      </c>
      <c r="Q178" s="29" t="str">
        <f t="shared" si="23"/>
        <v/>
      </c>
      <c r="R178" s="33"/>
    </row>
    <row r="179" spans="1:18" x14ac:dyDescent="0.25">
      <c r="A179" s="31"/>
      <c r="B179" s="34" t="str">
        <f t="shared" si="16"/>
        <v/>
      </c>
      <c r="C179" s="30"/>
      <c r="D179" s="10"/>
      <c r="E179" s="30"/>
      <c r="F179" s="36" t="str">
        <f t="shared" si="17"/>
        <v/>
      </c>
      <c r="G179" s="36" t="str">
        <f t="shared" si="18"/>
        <v/>
      </c>
      <c r="H179" s="36" t="str">
        <f t="shared" si="19"/>
        <v/>
      </c>
      <c r="I179" s="34" t="str">
        <f t="shared" si="20"/>
        <v/>
      </c>
      <c r="J179" s="35" t="str">
        <f t="shared" si="21"/>
        <v/>
      </c>
      <c r="K179" s="49"/>
      <c r="L179" s="30"/>
      <c r="M179" s="31"/>
      <c r="N179" s="33"/>
      <c r="O179" s="31"/>
      <c r="P179" s="29" t="str">
        <f t="shared" si="22"/>
        <v/>
      </c>
      <c r="Q179" s="29" t="str">
        <f t="shared" si="23"/>
        <v/>
      </c>
      <c r="R179" s="33"/>
    </row>
    <row r="180" spans="1:18" x14ac:dyDescent="0.25">
      <c r="A180" s="31"/>
      <c r="B180" s="34" t="str">
        <f t="shared" si="16"/>
        <v/>
      </c>
      <c r="C180" s="30"/>
      <c r="D180" s="10"/>
      <c r="E180" s="30"/>
      <c r="F180" s="36" t="str">
        <f t="shared" si="17"/>
        <v/>
      </c>
      <c r="G180" s="36" t="str">
        <f t="shared" si="18"/>
        <v/>
      </c>
      <c r="H180" s="36" t="str">
        <f t="shared" si="19"/>
        <v/>
      </c>
      <c r="I180" s="34" t="str">
        <f t="shared" si="20"/>
        <v/>
      </c>
      <c r="J180" s="35" t="str">
        <f t="shared" si="21"/>
        <v/>
      </c>
      <c r="K180" s="49"/>
      <c r="L180" s="30"/>
      <c r="M180" s="31"/>
      <c r="N180" s="33"/>
      <c r="O180" s="31"/>
      <c r="P180" s="29" t="str">
        <f t="shared" si="22"/>
        <v/>
      </c>
      <c r="Q180" s="29" t="str">
        <f t="shared" si="23"/>
        <v/>
      </c>
      <c r="R180" s="33"/>
    </row>
    <row r="181" spans="1:18" x14ac:dyDescent="0.25">
      <c r="A181" s="31"/>
      <c r="B181" s="34" t="str">
        <f t="shared" si="16"/>
        <v/>
      </c>
      <c r="C181" s="30"/>
      <c r="D181" s="10"/>
      <c r="E181" s="30"/>
      <c r="F181" s="36" t="str">
        <f t="shared" si="17"/>
        <v/>
      </c>
      <c r="G181" s="36" t="str">
        <f t="shared" si="18"/>
        <v/>
      </c>
      <c r="H181" s="36" t="str">
        <f t="shared" si="19"/>
        <v/>
      </c>
      <c r="I181" s="34" t="str">
        <f t="shared" si="20"/>
        <v/>
      </c>
      <c r="J181" s="35" t="str">
        <f t="shared" si="21"/>
        <v/>
      </c>
      <c r="K181" s="49"/>
      <c r="L181" s="30"/>
      <c r="M181" s="31"/>
      <c r="N181" s="33"/>
      <c r="O181" s="31"/>
      <c r="P181" s="29" t="str">
        <f t="shared" si="22"/>
        <v/>
      </c>
      <c r="Q181" s="29" t="str">
        <f t="shared" si="23"/>
        <v/>
      </c>
      <c r="R181" s="33"/>
    </row>
    <row r="182" spans="1:18" x14ac:dyDescent="0.25">
      <c r="A182" s="31"/>
      <c r="B182" s="34" t="str">
        <f t="shared" si="16"/>
        <v/>
      </c>
      <c r="C182" s="30"/>
      <c r="D182" s="10"/>
      <c r="E182" s="30"/>
      <c r="F182" s="36" t="str">
        <f t="shared" si="17"/>
        <v/>
      </c>
      <c r="G182" s="36" t="str">
        <f t="shared" si="18"/>
        <v/>
      </c>
      <c r="H182" s="36" t="str">
        <f t="shared" si="19"/>
        <v/>
      </c>
      <c r="I182" s="34" t="str">
        <f t="shared" si="20"/>
        <v/>
      </c>
      <c r="J182" s="35" t="str">
        <f t="shared" si="21"/>
        <v/>
      </c>
      <c r="K182" s="49"/>
      <c r="L182" s="30"/>
      <c r="M182" s="31"/>
      <c r="N182" s="33"/>
      <c r="O182" s="31"/>
      <c r="P182" s="29" t="str">
        <f t="shared" si="22"/>
        <v/>
      </c>
      <c r="Q182" s="29" t="str">
        <f t="shared" si="23"/>
        <v/>
      </c>
      <c r="R182" s="33"/>
    </row>
    <row r="183" spans="1:18" x14ac:dyDescent="0.25">
      <c r="A183" s="31"/>
      <c r="B183" s="34" t="str">
        <f t="shared" si="16"/>
        <v/>
      </c>
      <c r="C183" s="30"/>
      <c r="D183" s="10"/>
      <c r="E183" s="30"/>
      <c r="F183" s="36" t="str">
        <f t="shared" si="17"/>
        <v/>
      </c>
      <c r="G183" s="36" t="str">
        <f t="shared" si="18"/>
        <v/>
      </c>
      <c r="H183" s="36" t="str">
        <f t="shared" si="19"/>
        <v/>
      </c>
      <c r="I183" s="34" t="str">
        <f t="shared" si="20"/>
        <v/>
      </c>
      <c r="J183" s="35" t="str">
        <f t="shared" si="21"/>
        <v/>
      </c>
      <c r="K183" s="49"/>
      <c r="L183" s="30"/>
      <c r="M183" s="31"/>
      <c r="N183" s="33"/>
      <c r="O183" s="31"/>
      <c r="P183" s="29" t="str">
        <f t="shared" si="22"/>
        <v/>
      </c>
      <c r="Q183" s="29" t="str">
        <f t="shared" si="23"/>
        <v/>
      </c>
      <c r="R183" s="33"/>
    </row>
    <row r="184" spans="1:18" x14ac:dyDescent="0.25">
      <c r="A184" s="31"/>
      <c r="B184" s="34" t="str">
        <f t="shared" si="16"/>
        <v/>
      </c>
      <c r="C184" s="30"/>
      <c r="D184" s="10"/>
      <c r="E184" s="30"/>
      <c r="F184" s="36" t="str">
        <f t="shared" si="17"/>
        <v/>
      </c>
      <c r="G184" s="36" t="str">
        <f t="shared" si="18"/>
        <v/>
      </c>
      <c r="H184" s="36" t="str">
        <f t="shared" si="19"/>
        <v/>
      </c>
      <c r="I184" s="34" t="str">
        <f t="shared" si="20"/>
        <v/>
      </c>
      <c r="J184" s="35" t="str">
        <f t="shared" si="21"/>
        <v/>
      </c>
      <c r="K184" s="49"/>
      <c r="L184" s="30"/>
      <c r="M184" s="31"/>
      <c r="N184" s="33"/>
      <c r="O184" s="31"/>
      <c r="P184" s="29" t="str">
        <f t="shared" si="22"/>
        <v/>
      </c>
      <c r="Q184" s="29" t="str">
        <f t="shared" si="23"/>
        <v/>
      </c>
      <c r="R184" s="33"/>
    </row>
    <row r="185" spans="1:18" x14ac:dyDescent="0.25">
      <c r="A185" s="31"/>
      <c r="B185" s="34" t="str">
        <f t="shared" si="16"/>
        <v/>
      </c>
      <c r="C185" s="30"/>
      <c r="D185" s="10"/>
      <c r="E185" s="30"/>
      <c r="F185" s="36" t="str">
        <f t="shared" si="17"/>
        <v/>
      </c>
      <c r="G185" s="36" t="str">
        <f t="shared" si="18"/>
        <v/>
      </c>
      <c r="H185" s="36" t="str">
        <f t="shared" si="19"/>
        <v/>
      </c>
      <c r="I185" s="34" t="str">
        <f t="shared" si="20"/>
        <v/>
      </c>
      <c r="J185" s="35" t="str">
        <f t="shared" si="21"/>
        <v/>
      </c>
      <c r="K185" s="49"/>
      <c r="L185" s="30"/>
      <c r="M185" s="31"/>
      <c r="N185" s="33"/>
      <c r="O185" s="31"/>
      <c r="P185" s="29" t="str">
        <f t="shared" si="22"/>
        <v/>
      </c>
      <c r="Q185" s="29" t="str">
        <f t="shared" si="23"/>
        <v/>
      </c>
      <c r="R185" s="33"/>
    </row>
    <row r="186" spans="1:18" x14ac:dyDescent="0.25">
      <c r="A186" s="31"/>
      <c r="B186" s="34" t="str">
        <f t="shared" si="16"/>
        <v/>
      </c>
      <c r="C186" s="30"/>
      <c r="D186" s="10"/>
      <c r="E186" s="30"/>
      <c r="F186" s="36" t="str">
        <f t="shared" si="17"/>
        <v/>
      </c>
      <c r="G186" s="36" t="str">
        <f t="shared" si="18"/>
        <v/>
      </c>
      <c r="H186" s="36" t="str">
        <f t="shared" si="19"/>
        <v/>
      </c>
      <c r="I186" s="34" t="str">
        <f t="shared" si="20"/>
        <v/>
      </c>
      <c r="J186" s="35" t="str">
        <f t="shared" si="21"/>
        <v/>
      </c>
      <c r="K186" s="49"/>
      <c r="L186" s="30"/>
      <c r="M186" s="31"/>
      <c r="N186" s="33"/>
      <c r="O186" s="31"/>
      <c r="P186" s="29" t="str">
        <f t="shared" si="22"/>
        <v/>
      </c>
      <c r="Q186" s="29" t="str">
        <f t="shared" si="23"/>
        <v/>
      </c>
      <c r="R186" s="33"/>
    </row>
    <row r="187" spans="1:18" x14ac:dyDescent="0.25">
      <c r="A187" s="31"/>
      <c r="B187" s="34" t="str">
        <f t="shared" si="16"/>
        <v/>
      </c>
      <c r="C187" s="30"/>
      <c r="D187" s="10"/>
      <c r="E187" s="30"/>
      <c r="F187" s="36" t="str">
        <f t="shared" si="17"/>
        <v/>
      </c>
      <c r="G187" s="36" t="str">
        <f t="shared" si="18"/>
        <v/>
      </c>
      <c r="H187" s="36" t="str">
        <f t="shared" si="19"/>
        <v/>
      </c>
      <c r="I187" s="34" t="str">
        <f t="shared" si="20"/>
        <v/>
      </c>
      <c r="J187" s="35" t="str">
        <f t="shared" si="21"/>
        <v/>
      </c>
      <c r="K187" s="49"/>
      <c r="L187" s="30"/>
      <c r="M187" s="31"/>
      <c r="N187" s="33"/>
      <c r="O187" s="31"/>
      <c r="P187" s="29" t="str">
        <f t="shared" si="22"/>
        <v/>
      </c>
      <c r="Q187" s="29" t="str">
        <f t="shared" si="23"/>
        <v/>
      </c>
      <c r="R187" s="33"/>
    </row>
    <row r="188" spans="1:18" x14ac:dyDescent="0.25">
      <c r="A188" s="31"/>
      <c r="B188" s="34" t="str">
        <f t="shared" si="16"/>
        <v/>
      </c>
      <c r="C188" s="30"/>
      <c r="D188" s="10"/>
      <c r="E188" s="30"/>
      <c r="F188" s="36" t="str">
        <f t="shared" si="17"/>
        <v/>
      </c>
      <c r="G188" s="36" t="str">
        <f t="shared" si="18"/>
        <v/>
      </c>
      <c r="H188" s="36" t="str">
        <f t="shared" si="19"/>
        <v/>
      </c>
      <c r="I188" s="34" t="str">
        <f t="shared" si="20"/>
        <v/>
      </c>
      <c r="J188" s="35" t="str">
        <f t="shared" si="21"/>
        <v/>
      </c>
      <c r="K188" s="49"/>
      <c r="L188" s="30"/>
      <c r="M188" s="31"/>
      <c r="N188" s="33"/>
      <c r="O188" s="31"/>
      <c r="P188" s="29" t="str">
        <f t="shared" si="22"/>
        <v/>
      </c>
      <c r="Q188" s="29" t="str">
        <f t="shared" si="23"/>
        <v/>
      </c>
      <c r="R188" s="33"/>
    </row>
    <row r="189" spans="1:18" x14ac:dyDescent="0.25">
      <c r="A189" s="31"/>
      <c r="B189" s="34" t="str">
        <f t="shared" si="16"/>
        <v/>
      </c>
      <c r="C189" s="30"/>
      <c r="D189" s="10"/>
      <c r="E189" s="30"/>
      <c r="F189" s="36" t="str">
        <f t="shared" si="17"/>
        <v/>
      </c>
      <c r="G189" s="36" t="str">
        <f t="shared" si="18"/>
        <v/>
      </c>
      <c r="H189" s="36" t="str">
        <f t="shared" si="19"/>
        <v/>
      </c>
      <c r="I189" s="34" t="str">
        <f t="shared" si="20"/>
        <v/>
      </c>
      <c r="J189" s="35" t="str">
        <f t="shared" si="21"/>
        <v/>
      </c>
      <c r="K189" s="49"/>
      <c r="L189" s="30"/>
      <c r="M189" s="31"/>
      <c r="N189" s="33"/>
      <c r="O189" s="31"/>
      <c r="P189" s="29" t="str">
        <f t="shared" si="22"/>
        <v/>
      </c>
      <c r="Q189" s="29" t="str">
        <f t="shared" si="23"/>
        <v/>
      </c>
      <c r="R189" s="33"/>
    </row>
    <row r="190" spans="1:18" x14ac:dyDescent="0.25">
      <c r="A190" s="31"/>
      <c r="B190" s="34" t="str">
        <f t="shared" si="16"/>
        <v/>
      </c>
      <c r="C190" s="30"/>
      <c r="D190" s="10"/>
      <c r="E190" s="30"/>
      <c r="F190" s="36" t="str">
        <f t="shared" si="17"/>
        <v/>
      </c>
      <c r="G190" s="36" t="str">
        <f t="shared" si="18"/>
        <v/>
      </c>
      <c r="H190" s="36" t="str">
        <f t="shared" si="19"/>
        <v/>
      </c>
      <c r="I190" s="34" t="str">
        <f t="shared" si="20"/>
        <v/>
      </c>
      <c r="J190" s="35" t="str">
        <f t="shared" si="21"/>
        <v/>
      </c>
      <c r="K190" s="49"/>
      <c r="L190" s="30"/>
      <c r="M190" s="31"/>
      <c r="N190" s="33"/>
      <c r="O190" s="31"/>
      <c r="P190" s="29" t="str">
        <f t="shared" si="22"/>
        <v/>
      </c>
      <c r="Q190" s="29" t="str">
        <f t="shared" si="23"/>
        <v/>
      </c>
      <c r="R190" s="33"/>
    </row>
    <row r="191" spans="1:18" x14ac:dyDescent="0.25">
      <c r="A191" s="31"/>
      <c r="B191" s="34" t="str">
        <f t="shared" si="16"/>
        <v/>
      </c>
      <c r="C191" s="30"/>
      <c r="D191" s="10"/>
      <c r="E191" s="30"/>
      <c r="F191" s="36" t="str">
        <f t="shared" si="17"/>
        <v/>
      </c>
      <c r="G191" s="36" t="str">
        <f t="shared" si="18"/>
        <v/>
      </c>
      <c r="H191" s="36" t="str">
        <f t="shared" si="19"/>
        <v/>
      </c>
      <c r="I191" s="34" t="str">
        <f t="shared" si="20"/>
        <v/>
      </c>
      <c r="J191" s="35" t="str">
        <f t="shared" si="21"/>
        <v/>
      </c>
      <c r="K191" s="49"/>
      <c r="L191" s="30"/>
      <c r="M191" s="31"/>
      <c r="N191" s="33"/>
      <c r="O191" s="31"/>
      <c r="P191" s="29" t="str">
        <f t="shared" si="22"/>
        <v/>
      </c>
      <c r="Q191" s="29" t="str">
        <f t="shared" si="23"/>
        <v/>
      </c>
      <c r="R191" s="33"/>
    </row>
    <row r="192" spans="1:18" x14ac:dyDescent="0.25">
      <c r="A192" s="31"/>
      <c r="B192" s="34" t="str">
        <f t="shared" si="16"/>
        <v/>
      </c>
      <c r="C192" s="30"/>
      <c r="D192" s="10"/>
      <c r="E192" s="30"/>
      <c r="F192" s="36" t="str">
        <f t="shared" si="17"/>
        <v/>
      </c>
      <c r="G192" s="36" t="str">
        <f t="shared" si="18"/>
        <v/>
      </c>
      <c r="H192" s="36" t="str">
        <f t="shared" si="19"/>
        <v/>
      </c>
      <c r="I192" s="34" t="str">
        <f t="shared" si="20"/>
        <v/>
      </c>
      <c r="J192" s="35" t="str">
        <f t="shared" si="21"/>
        <v/>
      </c>
      <c r="K192" s="49"/>
      <c r="L192" s="30"/>
      <c r="M192" s="31"/>
      <c r="N192" s="33"/>
      <c r="O192" s="31"/>
      <c r="P192" s="29" t="str">
        <f t="shared" si="22"/>
        <v/>
      </c>
      <c r="Q192" s="29" t="str">
        <f t="shared" si="23"/>
        <v/>
      </c>
      <c r="R192" s="33"/>
    </row>
    <row r="193" spans="1:18" x14ac:dyDescent="0.25">
      <c r="A193" s="31"/>
      <c r="B193" s="34" t="str">
        <f t="shared" si="16"/>
        <v/>
      </c>
      <c r="C193" s="30"/>
      <c r="D193" s="10"/>
      <c r="E193" s="30"/>
      <c r="F193" s="36" t="str">
        <f t="shared" si="17"/>
        <v/>
      </c>
      <c r="G193" s="36" t="str">
        <f t="shared" si="18"/>
        <v/>
      </c>
      <c r="H193" s="36" t="str">
        <f t="shared" si="19"/>
        <v/>
      </c>
      <c r="I193" s="34" t="str">
        <f t="shared" si="20"/>
        <v/>
      </c>
      <c r="J193" s="35" t="str">
        <f t="shared" si="21"/>
        <v/>
      </c>
      <c r="K193" s="49"/>
      <c r="L193" s="30"/>
      <c r="M193" s="31"/>
      <c r="N193" s="33"/>
      <c r="O193" s="31"/>
      <c r="P193" s="29" t="str">
        <f t="shared" si="22"/>
        <v/>
      </c>
      <c r="Q193" s="29" t="str">
        <f t="shared" si="23"/>
        <v/>
      </c>
      <c r="R193" s="33"/>
    </row>
    <row r="194" spans="1:18" x14ac:dyDescent="0.25">
      <c r="A194" s="31"/>
      <c r="B194" s="34" t="str">
        <f t="shared" si="16"/>
        <v/>
      </c>
      <c r="C194" s="30"/>
      <c r="D194" s="10"/>
      <c r="E194" s="30"/>
      <c r="F194" s="36" t="str">
        <f t="shared" si="17"/>
        <v/>
      </c>
      <c r="G194" s="36" t="str">
        <f t="shared" si="18"/>
        <v/>
      </c>
      <c r="H194" s="36" t="str">
        <f t="shared" si="19"/>
        <v/>
      </c>
      <c r="I194" s="34" t="str">
        <f t="shared" si="20"/>
        <v/>
      </c>
      <c r="J194" s="35" t="str">
        <f t="shared" si="21"/>
        <v/>
      </c>
      <c r="K194" s="49"/>
      <c r="L194" s="30"/>
      <c r="M194" s="31"/>
      <c r="N194" s="33"/>
      <c r="O194" s="31"/>
      <c r="P194" s="29" t="str">
        <f t="shared" si="22"/>
        <v/>
      </c>
      <c r="Q194" s="29" t="str">
        <f t="shared" si="23"/>
        <v/>
      </c>
      <c r="R194" s="33"/>
    </row>
    <row r="195" spans="1:18" x14ac:dyDescent="0.25">
      <c r="A195" s="31"/>
      <c r="B195" s="34" t="str">
        <f t="shared" si="16"/>
        <v/>
      </c>
      <c r="C195" s="30"/>
      <c r="D195" s="10"/>
      <c r="E195" s="30"/>
      <c r="F195" s="36" t="str">
        <f t="shared" si="17"/>
        <v/>
      </c>
      <c r="G195" s="36" t="str">
        <f t="shared" si="18"/>
        <v/>
      </c>
      <c r="H195" s="36" t="str">
        <f t="shared" si="19"/>
        <v/>
      </c>
      <c r="I195" s="34" t="str">
        <f t="shared" si="20"/>
        <v/>
      </c>
      <c r="J195" s="35" t="str">
        <f t="shared" si="21"/>
        <v/>
      </c>
      <c r="K195" s="49"/>
      <c r="L195" s="30"/>
      <c r="M195" s="31"/>
      <c r="N195" s="33"/>
      <c r="O195" s="31"/>
      <c r="P195" s="29" t="str">
        <f t="shared" si="22"/>
        <v/>
      </c>
      <c r="Q195" s="29" t="str">
        <f t="shared" si="23"/>
        <v/>
      </c>
      <c r="R195" s="33"/>
    </row>
    <row r="196" spans="1:18" x14ac:dyDescent="0.25">
      <c r="A196" s="31"/>
      <c r="B196" s="34" t="str">
        <f t="shared" si="16"/>
        <v/>
      </c>
      <c r="C196" s="30"/>
      <c r="D196" s="10"/>
      <c r="E196" s="30"/>
      <c r="F196" s="36" t="str">
        <f t="shared" si="17"/>
        <v/>
      </c>
      <c r="G196" s="36" t="str">
        <f t="shared" si="18"/>
        <v/>
      </c>
      <c r="H196" s="36" t="str">
        <f t="shared" si="19"/>
        <v/>
      </c>
      <c r="I196" s="34" t="str">
        <f t="shared" si="20"/>
        <v/>
      </c>
      <c r="J196" s="35" t="str">
        <f t="shared" si="21"/>
        <v/>
      </c>
      <c r="K196" s="49"/>
      <c r="L196" s="30"/>
      <c r="M196" s="31"/>
      <c r="N196" s="33"/>
      <c r="O196" s="31"/>
      <c r="P196" s="29" t="str">
        <f t="shared" si="22"/>
        <v/>
      </c>
      <c r="Q196" s="29" t="str">
        <f t="shared" si="23"/>
        <v/>
      </c>
      <c r="R196" s="33"/>
    </row>
    <row r="197" spans="1:18" x14ac:dyDescent="0.25">
      <c r="A197" s="31"/>
      <c r="B197" s="34" t="str">
        <f t="shared" ref="B197:B260" si="24">IFERROR(IF($E197="","",VLOOKUP($E197,CAD_TAB,2,FALSE)),"")</f>
        <v/>
      </c>
      <c r="C197" s="30"/>
      <c r="D197" s="10"/>
      <c r="E197" s="30"/>
      <c r="F197" s="36" t="str">
        <f t="shared" ref="F197:F260" si="25">IFERROR(IF($E197="","",VLOOKUP($E197,CAD_TAB,8,FALSE)),"")</f>
        <v/>
      </c>
      <c r="G197" s="36" t="str">
        <f t="shared" ref="G197:G260" si="26">IFERROR(IF($E197="","",VLOOKUP($E197,CAD_TAB,9,FALSE)),"")</f>
        <v/>
      </c>
      <c r="H197" s="36" t="str">
        <f t="shared" ref="H197:H260" si="27">IFERROR(IF($E197="","",VLOOKUP($E197,CAD_TAB,11,FALSE)),"")</f>
        <v/>
      </c>
      <c r="I197" s="34" t="str">
        <f t="shared" ref="I197:I260" si="28">IFERROR(IF($E197="","",VLOOKUP($E197,CAD_TAB,7,FALSE)),"")</f>
        <v/>
      </c>
      <c r="J197" s="35" t="str">
        <f t="shared" ref="J197:J260" si="29">IFERROR(IF($E197="","",VLOOKUP($E197,CAD_TAB,6,FALSE)),"")</f>
        <v/>
      </c>
      <c r="K197" s="49"/>
      <c r="L197" s="30"/>
      <c r="M197" s="31"/>
      <c r="N197" s="33"/>
      <c r="O197" s="31"/>
      <c r="P197" s="29" t="str">
        <f t="shared" ref="P197:P260" si="30">IF($E197="","",IF($L197="SIM","EXECUTADO",IF($O197&lt;&gt;"","REPROGRAMADO",IF($L197="NÃO","NÃO EXECUTADO","PROGRAMADO"))))</f>
        <v/>
      </c>
      <c r="Q197" s="29" t="str">
        <f t="shared" ref="Q197:Q260" si="31">IF($E197="","",IF($L197="SIM",IF($M197=$A197,"NO DIA","FORA DO DIA"),""))</f>
        <v/>
      </c>
      <c r="R197" s="33"/>
    </row>
    <row r="198" spans="1:18" x14ac:dyDescent="0.25">
      <c r="A198" s="31"/>
      <c r="B198" s="34" t="str">
        <f t="shared" si="24"/>
        <v/>
      </c>
      <c r="C198" s="30"/>
      <c r="D198" s="10"/>
      <c r="E198" s="30"/>
      <c r="F198" s="36" t="str">
        <f t="shared" si="25"/>
        <v/>
      </c>
      <c r="G198" s="36" t="str">
        <f t="shared" si="26"/>
        <v/>
      </c>
      <c r="H198" s="36" t="str">
        <f t="shared" si="27"/>
        <v/>
      </c>
      <c r="I198" s="34" t="str">
        <f t="shared" si="28"/>
        <v/>
      </c>
      <c r="J198" s="35" t="str">
        <f t="shared" si="29"/>
        <v/>
      </c>
      <c r="K198" s="49"/>
      <c r="L198" s="30"/>
      <c r="M198" s="31"/>
      <c r="N198" s="33"/>
      <c r="O198" s="31"/>
      <c r="P198" s="29" t="str">
        <f t="shared" si="30"/>
        <v/>
      </c>
      <c r="Q198" s="29" t="str">
        <f t="shared" si="31"/>
        <v/>
      </c>
      <c r="R198" s="33"/>
    </row>
    <row r="199" spans="1:18" x14ac:dyDescent="0.25">
      <c r="A199" s="31"/>
      <c r="B199" s="34" t="str">
        <f t="shared" si="24"/>
        <v/>
      </c>
      <c r="C199" s="30"/>
      <c r="D199" s="10"/>
      <c r="E199" s="30"/>
      <c r="F199" s="36" t="str">
        <f t="shared" si="25"/>
        <v/>
      </c>
      <c r="G199" s="36" t="str">
        <f t="shared" si="26"/>
        <v/>
      </c>
      <c r="H199" s="36" t="str">
        <f t="shared" si="27"/>
        <v/>
      </c>
      <c r="I199" s="34" t="str">
        <f t="shared" si="28"/>
        <v/>
      </c>
      <c r="J199" s="35" t="str">
        <f t="shared" si="29"/>
        <v/>
      </c>
      <c r="K199" s="49"/>
      <c r="L199" s="30"/>
      <c r="M199" s="31"/>
      <c r="N199" s="33"/>
      <c r="O199" s="31"/>
      <c r="P199" s="29" t="str">
        <f t="shared" si="30"/>
        <v/>
      </c>
      <c r="Q199" s="29" t="str">
        <f t="shared" si="31"/>
        <v/>
      </c>
      <c r="R199" s="33"/>
    </row>
    <row r="200" spans="1:18" x14ac:dyDescent="0.25">
      <c r="A200" s="31"/>
      <c r="B200" s="34" t="str">
        <f t="shared" si="24"/>
        <v/>
      </c>
      <c r="C200" s="30"/>
      <c r="D200" s="10"/>
      <c r="E200" s="30"/>
      <c r="F200" s="36" t="str">
        <f t="shared" si="25"/>
        <v/>
      </c>
      <c r="G200" s="36" t="str">
        <f t="shared" si="26"/>
        <v/>
      </c>
      <c r="H200" s="36" t="str">
        <f t="shared" si="27"/>
        <v/>
      </c>
      <c r="I200" s="34" t="str">
        <f t="shared" si="28"/>
        <v/>
      </c>
      <c r="J200" s="35" t="str">
        <f t="shared" si="29"/>
        <v/>
      </c>
      <c r="K200" s="49"/>
      <c r="L200" s="30"/>
      <c r="M200" s="31"/>
      <c r="N200" s="33"/>
      <c r="O200" s="31"/>
      <c r="P200" s="29" t="str">
        <f t="shared" si="30"/>
        <v/>
      </c>
      <c r="Q200" s="29" t="str">
        <f t="shared" si="31"/>
        <v/>
      </c>
      <c r="R200" s="33"/>
    </row>
    <row r="201" spans="1:18" x14ac:dyDescent="0.25">
      <c r="A201" s="31"/>
      <c r="B201" s="34" t="str">
        <f t="shared" si="24"/>
        <v/>
      </c>
      <c r="C201" s="30"/>
      <c r="D201" s="10"/>
      <c r="E201" s="30"/>
      <c r="F201" s="36" t="str">
        <f t="shared" si="25"/>
        <v/>
      </c>
      <c r="G201" s="36" t="str">
        <f t="shared" si="26"/>
        <v/>
      </c>
      <c r="H201" s="36" t="str">
        <f t="shared" si="27"/>
        <v/>
      </c>
      <c r="I201" s="34" t="str">
        <f t="shared" si="28"/>
        <v/>
      </c>
      <c r="J201" s="35" t="str">
        <f t="shared" si="29"/>
        <v/>
      </c>
      <c r="K201" s="49"/>
      <c r="L201" s="30"/>
      <c r="M201" s="31"/>
      <c r="N201" s="33"/>
      <c r="O201" s="31"/>
      <c r="P201" s="29" t="str">
        <f t="shared" si="30"/>
        <v/>
      </c>
      <c r="Q201" s="29" t="str">
        <f t="shared" si="31"/>
        <v/>
      </c>
      <c r="R201" s="33"/>
    </row>
    <row r="202" spans="1:18" x14ac:dyDescent="0.25">
      <c r="A202" s="31"/>
      <c r="B202" s="34" t="str">
        <f t="shared" si="24"/>
        <v/>
      </c>
      <c r="C202" s="30"/>
      <c r="D202" s="10"/>
      <c r="E202" s="30"/>
      <c r="F202" s="36" t="str">
        <f t="shared" si="25"/>
        <v/>
      </c>
      <c r="G202" s="36" t="str">
        <f t="shared" si="26"/>
        <v/>
      </c>
      <c r="H202" s="36" t="str">
        <f t="shared" si="27"/>
        <v/>
      </c>
      <c r="I202" s="34" t="str">
        <f t="shared" si="28"/>
        <v/>
      </c>
      <c r="J202" s="35" t="str">
        <f t="shared" si="29"/>
        <v/>
      </c>
      <c r="K202" s="49"/>
      <c r="L202" s="30"/>
      <c r="M202" s="31"/>
      <c r="N202" s="33"/>
      <c r="O202" s="31"/>
      <c r="P202" s="29" t="str">
        <f t="shared" si="30"/>
        <v/>
      </c>
      <c r="Q202" s="29" t="str">
        <f t="shared" si="31"/>
        <v/>
      </c>
      <c r="R202" s="33"/>
    </row>
    <row r="203" spans="1:18" x14ac:dyDescent="0.25">
      <c r="A203" s="31"/>
      <c r="B203" s="34" t="str">
        <f t="shared" si="24"/>
        <v/>
      </c>
      <c r="C203" s="30"/>
      <c r="D203" s="10"/>
      <c r="E203" s="30"/>
      <c r="F203" s="36" t="str">
        <f t="shared" si="25"/>
        <v/>
      </c>
      <c r="G203" s="36" t="str">
        <f t="shared" si="26"/>
        <v/>
      </c>
      <c r="H203" s="36" t="str">
        <f t="shared" si="27"/>
        <v/>
      </c>
      <c r="I203" s="34" t="str">
        <f t="shared" si="28"/>
        <v/>
      </c>
      <c r="J203" s="35" t="str">
        <f t="shared" si="29"/>
        <v/>
      </c>
      <c r="K203" s="49"/>
      <c r="L203" s="30"/>
      <c r="M203" s="31"/>
      <c r="N203" s="33"/>
      <c r="O203" s="31"/>
      <c r="P203" s="29" t="str">
        <f t="shared" si="30"/>
        <v/>
      </c>
      <c r="Q203" s="29" t="str">
        <f t="shared" si="31"/>
        <v/>
      </c>
      <c r="R203" s="33"/>
    </row>
    <row r="204" spans="1:18" x14ac:dyDescent="0.25">
      <c r="A204" s="31"/>
      <c r="B204" s="34" t="str">
        <f t="shared" si="24"/>
        <v/>
      </c>
      <c r="C204" s="30"/>
      <c r="D204" s="10"/>
      <c r="E204" s="30"/>
      <c r="F204" s="36" t="str">
        <f t="shared" si="25"/>
        <v/>
      </c>
      <c r="G204" s="36" t="str">
        <f t="shared" si="26"/>
        <v/>
      </c>
      <c r="H204" s="36" t="str">
        <f t="shared" si="27"/>
        <v/>
      </c>
      <c r="I204" s="34" t="str">
        <f t="shared" si="28"/>
        <v/>
      </c>
      <c r="J204" s="35" t="str">
        <f t="shared" si="29"/>
        <v/>
      </c>
      <c r="K204" s="49"/>
      <c r="L204" s="30"/>
      <c r="M204" s="31"/>
      <c r="N204" s="33"/>
      <c r="O204" s="31"/>
      <c r="P204" s="29" t="str">
        <f t="shared" si="30"/>
        <v/>
      </c>
      <c r="Q204" s="29" t="str">
        <f t="shared" si="31"/>
        <v/>
      </c>
      <c r="R204" s="33"/>
    </row>
    <row r="205" spans="1:18" x14ac:dyDescent="0.25">
      <c r="A205" s="31"/>
      <c r="B205" s="34" t="str">
        <f t="shared" si="24"/>
        <v/>
      </c>
      <c r="C205" s="30"/>
      <c r="D205" s="10"/>
      <c r="E205" s="30"/>
      <c r="F205" s="36" t="str">
        <f t="shared" si="25"/>
        <v/>
      </c>
      <c r="G205" s="36" t="str">
        <f t="shared" si="26"/>
        <v/>
      </c>
      <c r="H205" s="36" t="str">
        <f t="shared" si="27"/>
        <v/>
      </c>
      <c r="I205" s="34" t="str">
        <f t="shared" si="28"/>
        <v/>
      </c>
      <c r="J205" s="35" t="str">
        <f t="shared" si="29"/>
        <v/>
      </c>
      <c r="K205" s="49"/>
      <c r="L205" s="30"/>
      <c r="M205" s="31"/>
      <c r="N205" s="33"/>
      <c r="O205" s="31"/>
      <c r="P205" s="29" t="str">
        <f t="shared" si="30"/>
        <v/>
      </c>
      <c r="Q205" s="29" t="str">
        <f t="shared" si="31"/>
        <v/>
      </c>
      <c r="R205" s="33"/>
    </row>
    <row r="206" spans="1:18" x14ac:dyDescent="0.25">
      <c r="A206" s="31"/>
      <c r="B206" s="34" t="str">
        <f t="shared" si="24"/>
        <v/>
      </c>
      <c r="C206" s="30"/>
      <c r="D206" s="10"/>
      <c r="E206" s="30"/>
      <c r="F206" s="36" t="str">
        <f t="shared" si="25"/>
        <v/>
      </c>
      <c r="G206" s="36" t="str">
        <f t="shared" si="26"/>
        <v/>
      </c>
      <c r="H206" s="36" t="str">
        <f t="shared" si="27"/>
        <v/>
      </c>
      <c r="I206" s="34" t="str">
        <f t="shared" si="28"/>
        <v/>
      </c>
      <c r="J206" s="35" t="str">
        <f t="shared" si="29"/>
        <v/>
      </c>
      <c r="K206" s="49"/>
      <c r="L206" s="30"/>
      <c r="M206" s="31"/>
      <c r="N206" s="33"/>
      <c r="O206" s="31"/>
      <c r="P206" s="29" t="str">
        <f t="shared" si="30"/>
        <v/>
      </c>
      <c r="Q206" s="29" t="str">
        <f t="shared" si="31"/>
        <v/>
      </c>
      <c r="R206" s="33"/>
    </row>
    <row r="207" spans="1:18" x14ac:dyDescent="0.25">
      <c r="A207" s="31"/>
      <c r="B207" s="34" t="str">
        <f t="shared" si="24"/>
        <v/>
      </c>
      <c r="C207" s="30"/>
      <c r="D207" s="10"/>
      <c r="E207" s="30"/>
      <c r="F207" s="36" t="str">
        <f t="shared" si="25"/>
        <v/>
      </c>
      <c r="G207" s="36" t="str">
        <f t="shared" si="26"/>
        <v/>
      </c>
      <c r="H207" s="36" t="str">
        <f t="shared" si="27"/>
        <v/>
      </c>
      <c r="I207" s="34" t="str">
        <f t="shared" si="28"/>
        <v/>
      </c>
      <c r="J207" s="35" t="str">
        <f t="shared" si="29"/>
        <v/>
      </c>
      <c r="K207" s="49"/>
      <c r="L207" s="30"/>
      <c r="M207" s="31"/>
      <c r="N207" s="33"/>
      <c r="O207" s="31"/>
      <c r="P207" s="29" t="str">
        <f t="shared" si="30"/>
        <v/>
      </c>
      <c r="Q207" s="29" t="str">
        <f t="shared" si="31"/>
        <v/>
      </c>
      <c r="R207" s="33"/>
    </row>
    <row r="208" spans="1:18" x14ac:dyDescent="0.25">
      <c r="A208" s="31"/>
      <c r="B208" s="34" t="str">
        <f t="shared" si="24"/>
        <v/>
      </c>
      <c r="C208" s="30"/>
      <c r="D208" s="10"/>
      <c r="E208" s="30"/>
      <c r="F208" s="36" t="str">
        <f t="shared" si="25"/>
        <v/>
      </c>
      <c r="G208" s="36" t="str">
        <f t="shared" si="26"/>
        <v/>
      </c>
      <c r="H208" s="36" t="str">
        <f t="shared" si="27"/>
        <v/>
      </c>
      <c r="I208" s="34" t="str">
        <f t="shared" si="28"/>
        <v/>
      </c>
      <c r="J208" s="35" t="str">
        <f t="shared" si="29"/>
        <v/>
      </c>
      <c r="K208" s="49"/>
      <c r="L208" s="30"/>
      <c r="M208" s="31"/>
      <c r="N208" s="33"/>
      <c r="O208" s="31"/>
      <c r="P208" s="29" t="str">
        <f t="shared" si="30"/>
        <v/>
      </c>
      <c r="Q208" s="29" t="str">
        <f t="shared" si="31"/>
        <v/>
      </c>
      <c r="R208" s="33"/>
    </row>
    <row r="209" spans="1:18" x14ac:dyDescent="0.25">
      <c r="A209" s="31"/>
      <c r="B209" s="34" t="str">
        <f t="shared" si="24"/>
        <v/>
      </c>
      <c r="C209" s="30"/>
      <c r="D209" s="10"/>
      <c r="E209" s="30"/>
      <c r="F209" s="36" t="str">
        <f t="shared" si="25"/>
        <v/>
      </c>
      <c r="G209" s="36" t="str">
        <f t="shared" si="26"/>
        <v/>
      </c>
      <c r="H209" s="36" t="str">
        <f t="shared" si="27"/>
        <v/>
      </c>
      <c r="I209" s="34" t="str">
        <f t="shared" si="28"/>
        <v/>
      </c>
      <c r="J209" s="35" t="str">
        <f t="shared" si="29"/>
        <v/>
      </c>
      <c r="K209" s="49"/>
      <c r="L209" s="30"/>
      <c r="M209" s="31"/>
      <c r="N209" s="33"/>
      <c r="O209" s="31"/>
      <c r="P209" s="29" t="str">
        <f t="shared" si="30"/>
        <v/>
      </c>
      <c r="Q209" s="29" t="str">
        <f t="shared" si="31"/>
        <v/>
      </c>
      <c r="R209" s="33"/>
    </row>
    <row r="210" spans="1:18" x14ac:dyDescent="0.25">
      <c r="A210" s="31"/>
      <c r="B210" s="34" t="str">
        <f t="shared" si="24"/>
        <v/>
      </c>
      <c r="C210" s="30"/>
      <c r="D210" s="10"/>
      <c r="E210" s="30"/>
      <c r="F210" s="36" t="str">
        <f t="shared" si="25"/>
        <v/>
      </c>
      <c r="G210" s="36" t="str">
        <f t="shared" si="26"/>
        <v/>
      </c>
      <c r="H210" s="36" t="str">
        <f t="shared" si="27"/>
        <v/>
      </c>
      <c r="I210" s="34" t="str">
        <f t="shared" si="28"/>
        <v/>
      </c>
      <c r="J210" s="35" t="str">
        <f t="shared" si="29"/>
        <v/>
      </c>
      <c r="K210" s="49"/>
      <c r="L210" s="30"/>
      <c r="M210" s="31"/>
      <c r="N210" s="33"/>
      <c r="O210" s="31"/>
      <c r="P210" s="29" t="str">
        <f t="shared" si="30"/>
        <v/>
      </c>
      <c r="Q210" s="29" t="str">
        <f t="shared" si="31"/>
        <v/>
      </c>
      <c r="R210" s="33"/>
    </row>
    <row r="211" spans="1:18" x14ac:dyDescent="0.25">
      <c r="A211" s="31"/>
      <c r="B211" s="34" t="str">
        <f t="shared" si="24"/>
        <v/>
      </c>
      <c r="C211" s="30"/>
      <c r="D211" s="10"/>
      <c r="E211" s="30"/>
      <c r="F211" s="36" t="str">
        <f t="shared" si="25"/>
        <v/>
      </c>
      <c r="G211" s="36" t="str">
        <f t="shared" si="26"/>
        <v/>
      </c>
      <c r="H211" s="36" t="str">
        <f t="shared" si="27"/>
        <v/>
      </c>
      <c r="I211" s="34" t="str">
        <f t="shared" si="28"/>
        <v/>
      </c>
      <c r="J211" s="35" t="str">
        <f t="shared" si="29"/>
        <v/>
      </c>
      <c r="K211" s="49"/>
      <c r="L211" s="30"/>
      <c r="M211" s="31"/>
      <c r="N211" s="33"/>
      <c r="O211" s="31"/>
      <c r="P211" s="29" t="str">
        <f t="shared" si="30"/>
        <v/>
      </c>
      <c r="Q211" s="29" t="str">
        <f t="shared" si="31"/>
        <v/>
      </c>
      <c r="R211" s="33"/>
    </row>
    <row r="212" spans="1:18" x14ac:dyDescent="0.25">
      <c r="A212" s="31"/>
      <c r="B212" s="34" t="str">
        <f t="shared" si="24"/>
        <v/>
      </c>
      <c r="C212" s="30"/>
      <c r="D212" s="10"/>
      <c r="E212" s="30"/>
      <c r="F212" s="36" t="str">
        <f t="shared" si="25"/>
        <v/>
      </c>
      <c r="G212" s="36" t="str">
        <f t="shared" si="26"/>
        <v/>
      </c>
      <c r="H212" s="36" t="str">
        <f t="shared" si="27"/>
        <v/>
      </c>
      <c r="I212" s="34" t="str">
        <f t="shared" si="28"/>
        <v/>
      </c>
      <c r="J212" s="35" t="str">
        <f t="shared" si="29"/>
        <v/>
      </c>
      <c r="K212" s="49"/>
      <c r="L212" s="30"/>
      <c r="M212" s="31"/>
      <c r="N212" s="33"/>
      <c r="O212" s="31"/>
      <c r="P212" s="29" t="str">
        <f t="shared" si="30"/>
        <v/>
      </c>
      <c r="Q212" s="29" t="str">
        <f t="shared" si="31"/>
        <v/>
      </c>
      <c r="R212" s="33"/>
    </row>
    <row r="213" spans="1:18" x14ac:dyDescent="0.25">
      <c r="A213" s="31"/>
      <c r="B213" s="34" t="str">
        <f t="shared" si="24"/>
        <v/>
      </c>
      <c r="C213" s="30"/>
      <c r="D213" s="10"/>
      <c r="E213" s="30"/>
      <c r="F213" s="36" t="str">
        <f t="shared" si="25"/>
        <v/>
      </c>
      <c r="G213" s="36" t="str">
        <f t="shared" si="26"/>
        <v/>
      </c>
      <c r="H213" s="36" t="str">
        <f t="shared" si="27"/>
        <v/>
      </c>
      <c r="I213" s="34" t="str">
        <f t="shared" si="28"/>
        <v/>
      </c>
      <c r="J213" s="35" t="str">
        <f t="shared" si="29"/>
        <v/>
      </c>
      <c r="K213" s="49"/>
      <c r="L213" s="30"/>
      <c r="M213" s="31"/>
      <c r="N213" s="33"/>
      <c r="O213" s="31"/>
      <c r="P213" s="29" t="str">
        <f t="shared" si="30"/>
        <v/>
      </c>
      <c r="Q213" s="29" t="str">
        <f t="shared" si="31"/>
        <v/>
      </c>
      <c r="R213" s="33"/>
    </row>
    <row r="214" spans="1:18" x14ac:dyDescent="0.25">
      <c r="A214" s="31"/>
      <c r="B214" s="34" t="str">
        <f t="shared" si="24"/>
        <v/>
      </c>
      <c r="C214" s="30"/>
      <c r="D214" s="10"/>
      <c r="E214" s="30"/>
      <c r="F214" s="36" t="str">
        <f t="shared" si="25"/>
        <v/>
      </c>
      <c r="G214" s="36" t="str">
        <f t="shared" si="26"/>
        <v/>
      </c>
      <c r="H214" s="36" t="str">
        <f t="shared" si="27"/>
        <v/>
      </c>
      <c r="I214" s="34" t="str">
        <f t="shared" si="28"/>
        <v/>
      </c>
      <c r="J214" s="35" t="str">
        <f t="shared" si="29"/>
        <v/>
      </c>
      <c r="K214" s="49"/>
      <c r="L214" s="30"/>
      <c r="M214" s="31"/>
      <c r="N214" s="33"/>
      <c r="O214" s="31"/>
      <c r="P214" s="29" t="str">
        <f t="shared" si="30"/>
        <v/>
      </c>
      <c r="Q214" s="29" t="str">
        <f t="shared" si="31"/>
        <v/>
      </c>
      <c r="R214" s="33"/>
    </row>
    <row r="215" spans="1:18" x14ac:dyDescent="0.25">
      <c r="A215" s="31"/>
      <c r="B215" s="34" t="str">
        <f t="shared" si="24"/>
        <v/>
      </c>
      <c r="C215" s="30"/>
      <c r="D215" s="10"/>
      <c r="E215" s="30"/>
      <c r="F215" s="36" t="str">
        <f t="shared" si="25"/>
        <v/>
      </c>
      <c r="G215" s="36" t="str">
        <f t="shared" si="26"/>
        <v/>
      </c>
      <c r="H215" s="36" t="str">
        <f t="shared" si="27"/>
        <v/>
      </c>
      <c r="I215" s="34" t="str">
        <f t="shared" si="28"/>
        <v/>
      </c>
      <c r="J215" s="35" t="str">
        <f t="shared" si="29"/>
        <v/>
      </c>
      <c r="K215" s="49"/>
      <c r="L215" s="30"/>
      <c r="M215" s="31"/>
      <c r="N215" s="33"/>
      <c r="O215" s="31"/>
      <c r="P215" s="29" t="str">
        <f t="shared" si="30"/>
        <v/>
      </c>
      <c r="Q215" s="29" t="str">
        <f t="shared" si="31"/>
        <v/>
      </c>
      <c r="R215" s="33"/>
    </row>
    <row r="216" spans="1:18" x14ac:dyDescent="0.25">
      <c r="A216" s="31"/>
      <c r="B216" s="34" t="str">
        <f t="shared" si="24"/>
        <v/>
      </c>
      <c r="C216" s="30"/>
      <c r="D216" s="10"/>
      <c r="E216" s="30"/>
      <c r="F216" s="36" t="str">
        <f t="shared" si="25"/>
        <v/>
      </c>
      <c r="G216" s="36" t="str">
        <f t="shared" si="26"/>
        <v/>
      </c>
      <c r="H216" s="36" t="str">
        <f t="shared" si="27"/>
        <v/>
      </c>
      <c r="I216" s="34" t="str">
        <f t="shared" si="28"/>
        <v/>
      </c>
      <c r="J216" s="35" t="str">
        <f t="shared" si="29"/>
        <v/>
      </c>
      <c r="K216" s="49"/>
      <c r="L216" s="30"/>
      <c r="M216" s="31"/>
      <c r="N216" s="33"/>
      <c r="O216" s="31"/>
      <c r="P216" s="29" t="str">
        <f t="shared" si="30"/>
        <v/>
      </c>
      <c r="Q216" s="29" t="str">
        <f t="shared" si="31"/>
        <v/>
      </c>
      <c r="R216" s="33"/>
    </row>
    <row r="217" spans="1:18" x14ac:dyDescent="0.25">
      <c r="A217" s="31"/>
      <c r="B217" s="34" t="str">
        <f t="shared" si="24"/>
        <v/>
      </c>
      <c r="C217" s="30"/>
      <c r="D217" s="10"/>
      <c r="E217" s="30"/>
      <c r="F217" s="36" t="str">
        <f t="shared" si="25"/>
        <v/>
      </c>
      <c r="G217" s="36" t="str">
        <f t="shared" si="26"/>
        <v/>
      </c>
      <c r="H217" s="36" t="str">
        <f t="shared" si="27"/>
        <v/>
      </c>
      <c r="I217" s="34" t="str">
        <f t="shared" si="28"/>
        <v/>
      </c>
      <c r="J217" s="35" t="str">
        <f t="shared" si="29"/>
        <v/>
      </c>
      <c r="K217" s="49"/>
      <c r="L217" s="30"/>
      <c r="M217" s="31"/>
      <c r="N217" s="33"/>
      <c r="O217" s="31"/>
      <c r="P217" s="29" t="str">
        <f t="shared" si="30"/>
        <v/>
      </c>
      <c r="Q217" s="29" t="str">
        <f t="shared" si="31"/>
        <v/>
      </c>
      <c r="R217" s="33"/>
    </row>
    <row r="218" spans="1:18" x14ac:dyDescent="0.25">
      <c r="A218" s="31"/>
      <c r="B218" s="34" t="str">
        <f t="shared" si="24"/>
        <v/>
      </c>
      <c r="C218" s="30"/>
      <c r="D218" s="10"/>
      <c r="E218" s="30"/>
      <c r="F218" s="36" t="str">
        <f t="shared" si="25"/>
        <v/>
      </c>
      <c r="G218" s="36" t="str">
        <f t="shared" si="26"/>
        <v/>
      </c>
      <c r="H218" s="36" t="str">
        <f t="shared" si="27"/>
        <v/>
      </c>
      <c r="I218" s="34" t="str">
        <f t="shared" si="28"/>
        <v/>
      </c>
      <c r="J218" s="35" t="str">
        <f t="shared" si="29"/>
        <v/>
      </c>
      <c r="K218" s="49"/>
      <c r="L218" s="30"/>
      <c r="M218" s="31"/>
      <c r="N218" s="33"/>
      <c r="O218" s="31"/>
      <c r="P218" s="29" t="str">
        <f t="shared" si="30"/>
        <v/>
      </c>
      <c r="Q218" s="29" t="str">
        <f t="shared" si="31"/>
        <v/>
      </c>
      <c r="R218" s="33"/>
    </row>
    <row r="219" spans="1:18" x14ac:dyDescent="0.25">
      <c r="A219" s="31"/>
      <c r="B219" s="34" t="str">
        <f t="shared" si="24"/>
        <v/>
      </c>
      <c r="C219" s="30"/>
      <c r="D219" s="10"/>
      <c r="E219" s="30"/>
      <c r="F219" s="36" t="str">
        <f t="shared" si="25"/>
        <v/>
      </c>
      <c r="G219" s="36" t="str">
        <f t="shared" si="26"/>
        <v/>
      </c>
      <c r="H219" s="36" t="str">
        <f t="shared" si="27"/>
        <v/>
      </c>
      <c r="I219" s="34" t="str">
        <f t="shared" si="28"/>
        <v/>
      </c>
      <c r="J219" s="35" t="str">
        <f t="shared" si="29"/>
        <v/>
      </c>
      <c r="K219" s="49"/>
      <c r="L219" s="30"/>
      <c r="M219" s="31"/>
      <c r="N219" s="33"/>
      <c r="O219" s="31"/>
      <c r="P219" s="29" t="str">
        <f t="shared" si="30"/>
        <v/>
      </c>
      <c r="Q219" s="29" t="str">
        <f t="shared" si="31"/>
        <v/>
      </c>
      <c r="R219" s="33"/>
    </row>
    <row r="220" spans="1:18" x14ac:dyDescent="0.25">
      <c r="A220" s="31"/>
      <c r="B220" s="34" t="str">
        <f t="shared" si="24"/>
        <v/>
      </c>
      <c r="C220" s="30"/>
      <c r="D220" s="10"/>
      <c r="E220" s="30"/>
      <c r="F220" s="36" t="str">
        <f t="shared" si="25"/>
        <v/>
      </c>
      <c r="G220" s="36" t="str">
        <f t="shared" si="26"/>
        <v/>
      </c>
      <c r="H220" s="36" t="str">
        <f t="shared" si="27"/>
        <v/>
      </c>
      <c r="I220" s="34" t="str">
        <f t="shared" si="28"/>
        <v/>
      </c>
      <c r="J220" s="35" t="str">
        <f t="shared" si="29"/>
        <v/>
      </c>
      <c r="K220" s="49"/>
      <c r="L220" s="30"/>
      <c r="M220" s="31"/>
      <c r="N220" s="33"/>
      <c r="O220" s="31"/>
      <c r="P220" s="29" t="str">
        <f t="shared" si="30"/>
        <v/>
      </c>
      <c r="Q220" s="29" t="str">
        <f t="shared" si="31"/>
        <v/>
      </c>
      <c r="R220" s="33"/>
    </row>
    <row r="221" spans="1:18" x14ac:dyDescent="0.25">
      <c r="A221" s="31"/>
      <c r="B221" s="34" t="str">
        <f t="shared" si="24"/>
        <v/>
      </c>
      <c r="C221" s="30"/>
      <c r="D221" s="10"/>
      <c r="E221" s="30"/>
      <c r="F221" s="36" t="str">
        <f t="shared" si="25"/>
        <v/>
      </c>
      <c r="G221" s="36" t="str">
        <f t="shared" si="26"/>
        <v/>
      </c>
      <c r="H221" s="36" t="str">
        <f t="shared" si="27"/>
        <v/>
      </c>
      <c r="I221" s="34" t="str">
        <f t="shared" si="28"/>
        <v/>
      </c>
      <c r="J221" s="35" t="str">
        <f t="shared" si="29"/>
        <v/>
      </c>
      <c r="K221" s="49"/>
      <c r="L221" s="30"/>
      <c r="M221" s="31"/>
      <c r="N221" s="33"/>
      <c r="O221" s="31"/>
      <c r="P221" s="29" t="str">
        <f t="shared" si="30"/>
        <v/>
      </c>
      <c r="Q221" s="29" t="str">
        <f t="shared" si="31"/>
        <v/>
      </c>
      <c r="R221" s="33"/>
    </row>
    <row r="222" spans="1:18" x14ac:dyDescent="0.25">
      <c r="A222" s="31"/>
      <c r="B222" s="34" t="str">
        <f t="shared" si="24"/>
        <v/>
      </c>
      <c r="C222" s="30"/>
      <c r="D222" s="10"/>
      <c r="E222" s="30"/>
      <c r="F222" s="36" t="str">
        <f t="shared" si="25"/>
        <v/>
      </c>
      <c r="G222" s="36" t="str">
        <f t="shared" si="26"/>
        <v/>
      </c>
      <c r="H222" s="36" t="str">
        <f t="shared" si="27"/>
        <v/>
      </c>
      <c r="I222" s="34" t="str">
        <f t="shared" si="28"/>
        <v/>
      </c>
      <c r="J222" s="35" t="str">
        <f t="shared" si="29"/>
        <v/>
      </c>
      <c r="K222" s="49"/>
      <c r="L222" s="30"/>
      <c r="M222" s="31"/>
      <c r="N222" s="33"/>
      <c r="O222" s="31"/>
      <c r="P222" s="29" t="str">
        <f t="shared" si="30"/>
        <v/>
      </c>
      <c r="Q222" s="29" t="str">
        <f t="shared" si="31"/>
        <v/>
      </c>
      <c r="R222" s="33"/>
    </row>
    <row r="223" spans="1:18" x14ac:dyDescent="0.25">
      <c r="A223" s="31"/>
      <c r="B223" s="34" t="str">
        <f t="shared" si="24"/>
        <v/>
      </c>
      <c r="C223" s="30"/>
      <c r="D223" s="10"/>
      <c r="E223" s="30"/>
      <c r="F223" s="36" t="str">
        <f t="shared" si="25"/>
        <v/>
      </c>
      <c r="G223" s="36" t="str">
        <f t="shared" si="26"/>
        <v/>
      </c>
      <c r="H223" s="36" t="str">
        <f t="shared" si="27"/>
        <v/>
      </c>
      <c r="I223" s="34" t="str">
        <f t="shared" si="28"/>
        <v/>
      </c>
      <c r="J223" s="35" t="str">
        <f t="shared" si="29"/>
        <v/>
      </c>
      <c r="K223" s="49"/>
      <c r="L223" s="30"/>
      <c r="M223" s="31"/>
      <c r="N223" s="33"/>
      <c r="O223" s="31"/>
      <c r="P223" s="29" t="str">
        <f t="shared" si="30"/>
        <v/>
      </c>
      <c r="Q223" s="29" t="str">
        <f t="shared" si="31"/>
        <v/>
      </c>
      <c r="R223" s="33"/>
    </row>
    <row r="224" spans="1:18" x14ac:dyDescent="0.25">
      <c r="A224" s="31"/>
      <c r="B224" s="34" t="str">
        <f t="shared" si="24"/>
        <v/>
      </c>
      <c r="C224" s="30"/>
      <c r="D224" s="10"/>
      <c r="E224" s="30"/>
      <c r="F224" s="36" t="str">
        <f t="shared" si="25"/>
        <v/>
      </c>
      <c r="G224" s="36" t="str">
        <f t="shared" si="26"/>
        <v/>
      </c>
      <c r="H224" s="36" t="str">
        <f t="shared" si="27"/>
        <v/>
      </c>
      <c r="I224" s="34" t="str">
        <f t="shared" si="28"/>
        <v/>
      </c>
      <c r="J224" s="35" t="str">
        <f t="shared" si="29"/>
        <v/>
      </c>
      <c r="K224" s="49"/>
      <c r="L224" s="30"/>
      <c r="M224" s="31"/>
      <c r="N224" s="33"/>
      <c r="O224" s="31"/>
      <c r="P224" s="29" t="str">
        <f t="shared" si="30"/>
        <v/>
      </c>
      <c r="Q224" s="29" t="str">
        <f t="shared" si="31"/>
        <v/>
      </c>
      <c r="R224" s="33"/>
    </row>
    <row r="225" spans="1:18" x14ac:dyDescent="0.25">
      <c r="A225" s="31"/>
      <c r="B225" s="34" t="str">
        <f t="shared" si="24"/>
        <v/>
      </c>
      <c r="C225" s="30"/>
      <c r="D225" s="10"/>
      <c r="E225" s="30"/>
      <c r="F225" s="36" t="str">
        <f t="shared" si="25"/>
        <v/>
      </c>
      <c r="G225" s="36" t="str">
        <f t="shared" si="26"/>
        <v/>
      </c>
      <c r="H225" s="36" t="str">
        <f t="shared" si="27"/>
        <v/>
      </c>
      <c r="I225" s="34" t="str">
        <f t="shared" si="28"/>
        <v/>
      </c>
      <c r="J225" s="35" t="str">
        <f t="shared" si="29"/>
        <v/>
      </c>
      <c r="K225" s="49"/>
      <c r="L225" s="30"/>
      <c r="M225" s="31"/>
      <c r="N225" s="33"/>
      <c r="O225" s="31"/>
      <c r="P225" s="29" t="str">
        <f t="shared" si="30"/>
        <v/>
      </c>
      <c r="Q225" s="29" t="str">
        <f t="shared" si="31"/>
        <v/>
      </c>
      <c r="R225" s="33"/>
    </row>
    <row r="226" spans="1:18" x14ac:dyDescent="0.25">
      <c r="A226" s="31"/>
      <c r="B226" s="34" t="str">
        <f t="shared" si="24"/>
        <v/>
      </c>
      <c r="C226" s="30"/>
      <c r="D226" s="10"/>
      <c r="E226" s="30"/>
      <c r="F226" s="36" t="str">
        <f t="shared" si="25"/>
        <v/>
      </c>
      <c r="G226" s="36" t="str">
        <f t="shared" si="26"/>
        <v/>
      </c>
      <c r="H226" s="36" t="str">
        <f t="shared" si="27"/>
        <v/>
      </c>
      <c r="I226" s="34" t="str">
        <f t="shared" si="28"/>
        <v/>
      </c>
      <c r="J226" s="35" t="str">
        <f t="shared" si="29"/>
        <v/>
      </c>
      <c r="K226" s="49"/>
      <c r="L226" s="30"/>
      <c r="M226" s="31"/>
      <c r="N226" s="33"/>
      <c r="O226" s="31"/>
      <c r="P226" s="29" t="str">
        <f t="shared" si="30"/>
        <v/>
      </c>
      <c r="Q226" s="29" t="str">
        <f t="shared" si="31"/>
        <v/>
      </c>
      <c r="R226" s="33"/>
    </row>
    <row r="227" spans="1:18" x14ac:dyDescent="0.25">
      <c r="A227" s="31"/>
      <c r="B227" s="34" t="str">
        <f t="shared" si="24"/>
        <v/>
      </c>
      <c r="C227" s="30"/>
      <c r="D227" s="10"/>
      <c r="E227" s="30"/>
      <c r="F227" s="36" t="str">
        <f t="shared" si="25"/>
        <v/>
      </c>
      <c r="G227" s="36" t="str">
        <f t="shared" si="26"/>
        <v/>
      </c>
      <c r="H227" s="36" t="str">
        <f t="shared" si="27"/>
        <v/>
      </c>
      <c r="I227" s="34" t="str">
        <f t="shared" si="28"/>
        <v/>
      </c>
      <c r="J227" s="35" t="str">
        <f t="shared" si="29"/>
        <v/>
      </c>
      <c r="K227" s="49"/>
      <c r="L227" s="30"/>
      <c r="M227" s="31"/>
      <c r="N227" s="33"/>
      <c r="O227" s="31"/>
      <c r="P227" s="29" t="str">
        <f t="shared" si="30"/>
        <v/>
      </c>
      <c r="Q227" s="29" t="str">
        <f t="shared" si="31"/>
        <v/>
      </c>
      <c r="R227" s="33"/>
    </row>
    <row r="228" spans="1:18" x14ac:dyDescent="0.25">
      <c r="A228" s="31"/>
      <c r="B228" s="34" t="str">
        <f t="shared" si="24"/>
        <v/>
      </c>
      <c r="C228" s="30"/>
      <c r="D228" s="10"/>
      <c r="E228" s="30"/>
      <c r="F228" s="36" t="str">
        <f t="shared" si="25"/>
        <v/>
      </c>
      <c r="G228" s="36" t="str">
        <f t="shared" si="26"/>
        <v/>
      </c>
      <c r="H228" s="36" t="str">
        <f t="shared" si="27"/>
        <v/>
      </c>
      <c r="I228" s="34" t="str">
        <f t="shared" si="28"/>
        <v/>
      </c>
      <c r="J228" s="35" t="str">
        <f t="shared" si="29"/>
        <v/>
      </c>
      <c r="K228" s="49"/>
      <c r="L228" s="30"/>
      <c r="M228" s="31"/>
      <c r="N228" s="33"/>
      <c r="O228" s="31"/>
      <c r="P228" s="29" t="str">
        <f t="shared" si="30"/>
        <v/>
      </c>
      <c r="Q228" s="29" t="str">
        <f t="shared" si="31"/>
        <v/>
      </c>
      <c r="R228" s="33"/>
    </row>
    <row r="229" spans="1:18" x14ac:dyDescent="0.25">
      <c r="A229" s="31"/>
      <c r="B229" s="34" t="str">
        <f t="shared" si="24"/>
        <v/>
      </c>
      <c r="C229" s="30"/>
      <c r="D229" s="10"/>
      <c r="E229" s="30"/>
      <c r="F229" s="36" t="str">
        <f t="shared" si="25"/>
        <v/>
      </c>
      <c r="G229" s="36" t="str">
        <f t="shared" si="26"/>
        <v/>
      </c>
      <c r="H229" s="36" t="str">
        <f t="shared" si="27"/>
        <v/>
      </c>
      <c r="I229" s="34" t="str">
        <f t="shared" si="28"/>
        <v/>
      </c>
      <c r="J229" s="35" t="str">
        <f t="shared" si="29"/>
        <v/>
      </c>
      <c r="K229" s="49"/>
      <c r="L229" s="30"/>
      <c r="M229" s="31"/>
      <c r="N229" s="33"/>
      <c r="O229" s="31"/>
      <c r="P229" s="29" t="str">
        <f t="shared" si="30"/>
        <v/>
      </c>
      <c r="Q229" s="29" t="str">
        <f t="shared" si="31"/>
        <v/>
      </c>
      <c r="R229" s="33"/>
    </row>
    <row r="230" spans="1:18" x14ac:dyDescent="0.25">
      <c r="A230" s="31"/>
      <c r="B230" s="34" t="str">
        <f t="shared" si="24"/>
        <v/>
      </c>
      <c r="C230" s="30"/>
      <c r="D230" s="10"/>
      <c r="E230" s="30"/>
      <c r="F230" s="36" t="str">
        <f t="shared" si="25"/>
        <v/>
      </c>
      <c r="G230" s="36" t="str">
        <f t="shared" si="26"/>
        <v/>
      </c>
      <c r="H230" s="36" t="str">
        <f t="shared" si="27"/>
        <v/>
      </c>
      <c r="I230" s="34" t="str">
        <f t="shared" si="28"/>
        <v/>
      </c>
      <c r="J230" s="35" t="str">
        <f t="shared" si="29"/>
        <v/>
      </c>
      <c r="K230" s="49"/>
      <c r="L230" s="30"/>
      <c r="M230" s="31"/>
      <c r="N230" s="33"/>
      <c r="O230" s="31"/>
      <c r="P230" s="29" t="str">
        <f t="shared" si="30"/>
        <v/>
      </c>
      <c r="Q230" s="29" t="str">
        <f t="shared" si="31"/>
        <v/>
      </c>
      <c r="R230" s="33"/>
    </row>
    <row r="231" spans="1:18" x14ac:dyDescent="0.25">
      <c r="A231" s="31"/>
      <c r="B231" s="34" t="str">
        <f t="shared" si="24"/>
        <v/>
      </c>
      <c r="C231" s="30"/>
      <c r="D231" s="10"/>
      <c r="E231" s="30"/>
      <c r="F231" s="36" t="str">
        <f t="shared" si="25"/>
        <v/>
      </c>
      <c r="G231" s="36" t="str">
        <f t="shared" si="26"/>
        <v/>
      </c>
      <c r="H231" s="36" t="str">
        <f t="shared" si="27"/>
        <v/>
      </c>
      <c r="I231" s="34" t="str">
        <f t="shared" si="28"/>
        <v/>
      </c>
      <c r="J231" s="35" t="str">
        <f t="shared" si="29"/>
        <v/>
      </c>
      <c r="K231" s="49"/>
      <c r="L231" s="30"/>
      <c r="M231" s="31"/>
      <c r="N231" s="33"/>
      <c r="O231" s="31"/>
      <c r="P231" s="29" t="str">
        <f t="shared" si="30"/>
        <v/>
      </c>
      <c r="Q231" s="29" t="str">
        <f t="shared" si="31"/>
        <v/>
      </c>
      <c r="R231" s="33"/>
    </row>
    <row r="232" spans="1:18" x14ac:dyDescent="0.25">
      <c r="A232" s="31"/>
      <c r="B232" s="34" t="str">
        <f t="shared" si="24"/>
        <v/>
      </c>
      <c r="C232" s="30"/>
      <c r="D232" s="10"/>
      <c r="E232" s="30"/>
      <c r="F232" s="36" t="str">
        <f t="shared" si="25"/>
        <v/>
      </c>
      <c r="G232" s="36" t="str">
        <f t="shared" si="26"/>
        <v/>
      </c>
      <c r="H232" s="36" t="str">
        <f t="shared" si="27"/>
        <v/>
      </c>
      <c r="I232" s="34" t="str">
        <f t="shared" si="28"/>
        <v/>
      </c>
      <c r="J232" s="35" t="str">
        <f t="shared" si="29"/>
        <v/>
      </c>
      <c r="K232" s="49"/>
      <c r="L232" s="30"/>
      <c r="M232" s="31"/>
      <c r="N232" s="33"/>
      <c r="O232" s="31"/>
      <c r="P232" s="29" t="str">
        <f t="shared" si="30"/>
        <v/>
      </c>
      <c r="Q232" s="29" t="str">
        <f t="shared" si="31"/>
        <v/>
      </c>
      <c r="R232" s="33"/>
    </row>
    <row r="233" spans="1:18" x14ac:dyDescent="0.25">
      <c r="A233" s="31"/>
      <c r="B233" s="34" t="str">
        <f t="shared" si="24"/>
        <v/>
      </c>
      <c r="C233" s="30"/>
      <c r="D233" s="10"/>
      <c r="E233" s="30"/>
      <c r="F233" s="36" t="str">
        <f t="shared" si="25"/>
        <v/>
      </c>
      <c r="G233" s="36" t="str">
        <f t="shared" si="26"/>
        <v/>
      </c>
      <c r="H233" s="36" t="str">
        <f t="shared" si="27"/>
        <v/>
      </c>
      <c r="I233" s="34" t="str">
        <f t="shared" si="28"/>
        <v/>
      </c>
      <c r="J233" s="35" t="str">
        <f t="shared" si="29"/>
        <v/>
      </c>
      <c r="K233" s="49"/>
      <c r="L233" s="30"/>
      <c r="M233" s="31"/>
      <c r="N233" s="33"/>
      <c r="O233" s="31"/>
      <c r="P233" s="29" t="str">
        <f t="shared" si="30"/>
        <v/>
      </c>
      <c r="Q233" s="29" t="str">
        <f t="shared" si="31"/>
        <v/>
      </c>
      <c r="R233" s="33"/>
    </row>
    <row r="234" spans="1:18" x14ac:dyDescent="0.25">
      <c r="A234" s="31"/>
      <c r="B234" s="34" t="str">
        <f t="shared" si="24"/>
        <v/>
      </c>
      <c r="C234" s="30"/>
      <c r="D234" s="10"/>
      <c r="E234" s="30"/>
      <c r="F234" s="36" t="str">
        <f t="shared" si="25"/>
        <v/>
      </c>
      <c r="G234" s="36" t="str">
        <f t="shared" si="26"/>
        <v/>
      </c>
      <c r="H234" s="36" t="str">
        <f t="shared" si="27"/>
        <v/>
      </c>
      <c r="I234" s="34" t="str">
        <f t="shared" si="28"/>
        <v/>
      </c>
      <c r="J234" s="35" t="str">
        <f t="shared" si="29"/>
        <v/>
      </c>
      <c r="K234" s="49"/>
      <c r="L234" s="30"/>
      <c r="M234" s="31"/>
      <c r="N234" s="33"/>
      <c r="O234" s="31"/>
      <c r="P234" s="29" t="str">
        <f t="shared" si="30"/>
        <v/>
      </c>
      <c r="Q234" s="29" t="str">
        <f t="shared" si="31"/>
        <v/>
      </c>
      <c r="R234" s="33"/>
    </row>
    <row r="235" spans="1:18" x14ac:dyDescent="0.25">
      <c r="A235" s="31"/>
      <c r="B235" s="34" t="str">
        <f t="shared" si="24"/>
        <v/>
      </c>
      <c r="C235" s="30"/>
      <c r="D235" s="10"/>
      <c r="E235" s="30"/>
      <c r="F235" s="36" t="str">
        <f t="shared" si="25"/>
        <v/>
      </c>
      <c r="G235" s="36" t="str">
        <f t="shared" si="26"/>
        <v/>
      </c>
      <c r="H235" s="36" t="str">
        <f t="shared" si="27"/>
        <v/>
      </c>
      <c r="I235" s="34" t="str">
        <f t="shared" si="28"/>
        <v/>
      </c>
      <c r="J235" s="35" t="str">
        <f t="shared" si="29"/>
        <v/>
      </c>
      <c r="K235" s="49"/>
      <c r="L235" s="30"/>
      <c r="M235" s="31"/>
      <c r="N235" s="33"/>
      <c r="O235" s="31"/>
      <c r="P235" s="29" t="str">
        <f t="shared" si="30"/>
        <v/>
      </c>
      <c r="Q235" s="29" t="str">
        <f t="shared" si="31"/>
        <v/>
      </c>
      <c r="R235" s="33"/>
    </row>
    <row r="236" spans="1:18" x14ac:dyDescent="0.25">
      <c r="A236" s="31"/>
      <c r="B236" s="34" t="str">
        <f t="shared" si="24"/>
        <v/>
      </c>
      <c r="C236" s="30"/>
      <c r="D236" s="10"/>
      <c r="E236" s="30"/>
      <c r="F236" s="36" t="str">
        <f t="shared" si="25"/>
        <v/>
      </c>
      <c r="G236" s="36" t="str">
        <f t="shared" si="26"/>
        <v/>
      </c>
      <c r="H236" s="36" t="str">
        <f t="shared" si="27"/>
        <v/>
      </c>
      <c r="I236" s="34" t="str">
        <f t="shared" si="28"/>
        <v/>
      </c>
      <c r="J236" s="35" t="str">
        <f t="shared" si="29"/>
        <v/>
      </c>
      <c r="K236" s="49"/>
      <c r="L236" s="30"/>
      <c r="M236" s="31"/>
      <c r="N236" s="33"/>
      <c r="O236" s="31"/>
      <c r="P236" s="29" t="str">
        <f t="shared" si="30"/>
        <v/>
      </c>
      <c r="Q236" s="29" t="str">
        <f t="shared" si="31"/>
        <v/>
      </c>
      <c r="R236" s="33"/>
    </row>
    <row r="237" spans="1:18" x14ac:dyDescent="0.25">
      <c r="A237" s="31"/>
      <c r="B237" s="34" t="str">
        <f t="shared" si="24"/>
        <v/>
      </c>
      <c r="C237" s="30"/>
      <c r="D237" s="10"/>
      <c r="E237" s="30"/>
      <c r="F237" s="36" t="str">
        <f t="shared" si="25"/>
        <v/>
      </c>
      <c r="G237" s="36" t="str">
        <f t="shared" si="26"/>
        <v/>
      </c>
      <c r="H237" s="36" t="str">
        <f t="shared" si="27"/>
        <v/>
      </c>
      <c r="I237" s="34" t="str">
        <f t="shared" si="28"/>
        <v/>
      </c>
      <c r="J237" s="35" t="str">
        <f t="shared" si="29"/>
        <v/>
      </c>
      <c r="K237" s="49"/>
      <c r="L237" s="30"/>
      <c r="M237" s="31"/>
      <c r="N237" s="33"/>
      <c r="O237" s="31"/>
      <c r="P237" s="29" t="str">
        <f t="shared" si="30"/>
        <v/>
      </c>
      <c r="Q237" s="29" t="str">
        <f t="shared" si="31"/>
        <v/>
      </c>
      <c r="R237" s="33"/>
    </row>
    <row r="238" spans="1:18" x14ac:dyDescent="0.25">
      <c r="A238" s="31"/>
      <c r="B238" s="34" t="str">
        <f t="shared" si="24"/>
        <v/>
      </c>
      <c r="C238" s="30"/>
      <c r="D238" s="10"/>
      <c r="E238" s="30"/>
      <c r="F238" s="36" t="str">
        <f t="shared" si="25"/>
        <v/>
      </c>
      <c r="G238" s="36" t="str">
        <f t="shared" si="26"/>
        <v/>
      </c>
      <c r="H238" s="36" t="str">
        <f t="shared" si="27"/>
        <v/>
      </c>
      <c r="I238" s="34" t="str">
        <f t="shared" si="28"/>
        <v/>
      </c>
      <c r="J238" s="35" t="str">
        <f t="shared" si="29"/>
        <v/>
      </c>
      <c r="K238" s="49"/>
      <c r="L238" s="30"/>
      <c r="M238" s="31"/>
      <c r="N238" s="33"/>
      <c r="O238" s="31"/>
      <c r="P238" s="29" t="str">
        <f t="shared" si="30"/>
        <v/>
      </c>
      <c r="Q238" s="29" t="str">
        <f t="shared" si="31"/>
        <v/>
      </c>
      <c r="R238" s="33"/>
    </row>
    <row r="239" spans="1:18" x14ac:dyDescent="0.25">
      <c r="A239" s="31"/>
      <c r="B239" s="34" t="str">
        <f t="shared" si="24"/>
        <v/>
      </c>
      <c r="C239" s="30"/>
      <c r="D239" s="10"/>
      <c r="E239" s="30"/>
      <c r="F239" s="36" t="str">
        <f t="shared" si="25"/>
        <v/>
      </c>
      <c r="G239" s="36" t="str">
        <f t="shared" si="26"/>
        <v/>
      </c>
      <c r="H239" s="36" t="str">
        <f t="shared" si="27"/>
        <v/>
      </c>
      <c r="I239" s="34" t="str">
        <f t="shared" si="28"/>
        <v/>
      </c>
      <c r="J239" s="35" t="str">
        <f t="shared" si="29"/>
        <v/>
      </c>
      <c r="K239" s="49"/>
      <c r="L239" s="30"/>
      <c r="M239" s="31"/>
      <c r="N239" s="33"/>
      <c r="O239" s="31"/>
      <c r="P239" s="29" t="str">
        <f t="shared" si="30"/>
        <v/>
      </c>
      <c r="Q239" s="29" t="str">
        <f t="shared" si="31"/>
        <v/>
      </c>
      <c r="R239" s="33"/>
    </row>
    <row r="240" spans="1:18" x14ac:dyDescent="0.25">
      <c r="A240" s="31"/>
      <c r="B240" s="34" t="str">
        <f t="shared" si="24"/>
        <v/>
      </c>
      <c r="C240" s="30"/>
      <c r="D240" s="10"/>
      <c r="E240" s="30"/>
      <c r="F240" s="36" t="str">
        <f t="shared" si="25"/>
        <v/>
      </c>
      <c r="G240" s="36" t="str">
        <f t="shared" si="26"/>
        <v/>
      </c>
      <c r="H240" s="36" t="str">
        <f t="shared" si="27"/>
        <v/>
      </c>
      <c r="I240" s="34" t="str">
        <f t="shared" si="28"/>
        <v/>
      </c>
      <c r="J240" s="35" t="str">
        <f t="shared" si="29"/>
        <v/>
      </c>
      <c r="K240" s="49"/>
      <c r="L240" s="30"/>
      <c r="M240" s="31"/>
      <c r="N240" s="33"/>
      <c r="O240" s="31"/>
      <c r="P240" s="29" t="str">
        <f t="shared" si="30"/>
        <v/>
      </c>
      <c r="Q240" s="29" t="str">
        <f t="shared" si="31"/>
        <v/>
      </c>
      <c r="R240" s="33"/>
    </row>
    <row r="241" spans="1:18" x14ac:dyDescent="0.25">
      <c r="A241" s="31"/>
      <c r="B241" s="34" t="str">
        <f t="shared" si="24"/>
        <v/>
      </c>
      <c r="C241" s="30"/>
      <c r="D241" s="10"/>
      <c r="E241" s="30"/>
      <c r="F241" s="36" t="str">
        <f t="shared" si="25"/>
        <v/>
      </c>
      <c r="G241" s="36" t="str">
        <f t="shared" si="26"/>
        <v/>
      </c>
      <c r="H241" s="36" t="str">
        <f t="shared" si="27"/>
        <v/>
      </c>
      <c r="I241" s="34" t="str">
        <f t="shared" si="28"/>
        <v/>
      </c>
      <c r="J241" s="35" t="str">
        <f t="shared" si="29"/>
        <v/>
      </c>
      <c r="K241" s="49"/>
      <c r="L241" s="30"/>
      <c r="M241" s="31"/>
      <c r="N241" s="33"/>
      <c r="O241" s="31"/>
      <c r="P241" s="29" t="str">
        <f t="shared" si="30"/>
        <v/>
      </c>
      <c r="Q241" s="29" t="str">
        <f t="shared" si="31"/>
        <v/>
      </c>
      <c r="R241" s="33"/>
    </row>
    <row r="242" spans="1:18" x14ac:dyDescent="0.25">
      <c r="A242" s="31"/>
      <c r="B242" s="34" t="str">
        <f t="shared" si="24"/>
        <v/>
      </c>
      <c r="C242" s="30"/>
      <c r="D242" s="10"/>
      <c r="E242" s="30"/>
      <c r="F242" s="36" t="str">
        <f t="shared" si="25"/>
        <v/>
      </c>
      <c r="G242" s="36" t="str">
        <f t="shared" si="26"/>
        <v/>
      </c>
      <c r="H242" s="36" t="str">
        <f t="shared" si="27"/>
        <v/>
      </c>
      <c r="I242" s="34" t="str">
        <f t="shared" si="28"/>
        <v/>
      </c>
      <c r="J242" s="35" t="str">
        <f t="shared" si="29"/>
        <v/>
      </c>
      <c r="K242" s="49"/>
      <c r="L242" s="30"/>
      <c r="M242" s="31"/>
      <c r="N242" s="33"/>
      <c r="O242" s="31"/>
      <c r="P242" s="29" t="str">
        <f t="shared" si="30"/>
        <v/>
      </c>
      <c r="Q242" s="29" t="str">
        <f t="shared" si="31"/>
        <v/>
      </c>
      <c r="R242" s="33"/>
    </row>
    <row r="243" spans="1:18" x14ac:dyDescent="0.25">
      <c r="A243" s="31"/>
      <c r="B243" s="34" t="str">
        <f t="shared" si="24"/>
        <v/>
      </c>
      <c r="C243" s="30"/>
      <c r="D243" s="10"/>
      <c r="E243" s="30"/>
      <c r="F243" s="36" t="str">
        <f t="shared" si="25"/>
        <v/>
      </c>
      <c r="G243" s="36" t="str">
        <f t="shared" si="26"/>
        <v/>
      </c>
      <c r="H243" s="36" t="str">
        <f t="shared" si="27"/>
        <v/>
      </c>
      <c r="I243" s="34" t="str">
        <f t="shared" si="28"/>
        <v/>
      </c>
      <c r="J243" s="35" t="str">
        <f t="shared" si="29"/>
        <v/>
      </c>
      <c r="K243" s="49"/>
      <c r="L243" s="30"/>
      <c r="M243" s="31"/>
      <c r="N243" s="33"/>
      <c r="O243" s="31"/>
      <c r="P243" s="29" t="str">
        <f t="shared" si="30"/>
        <v/>
      </c>
      <c r="Q243" s="29" t="str">
        <f t="shared" si="31"/>
        <v/>
      </c>
      <c r="R243" s="33"/>
    </row>
    <row r="244" spans="1:18" x14ac:dyDescent="0.25">
      <c r="A244" s="31"/>
      <c r="B244" s="34" t="str">
        <f t="shared" si="24"/>
        <v/>
      </c>
      <c r="C244" s="30"/>
      <c r="D244" s="10"/>
      <c r="E244" s="30"/>
      <c r="F244" s="36" t="str">
        <f t="shared" si="25"/>
        <v/>
      </c>
      <c r="G244" s="36" t="str">
        <f t="shared" si="26"/>
        <v/>
      </c>
      <c r="H244" s="36" t="str">
        <f t="shared" si="27"/>
        <v/>
      </c>
      <c r="I244" s="34" t="str">
        <f t="shared" si="28"/>
        <v/>
      </c>
      <c r="J244" s="35" t="str">
        <f t="shared" si="29"/>
        <v/>
      </c>
      <c r="K244" s="49"/>
      <c r="L244" s="30"/>
      <c r="M244" s="31"/>
      <c r="N244" s="33"/>
      <c r="O244" s="31"/>
      <c r="P244" s="29" t="str">
        <f t="shared" si="30"/>
        <v/>
      </c>
      <c r="Q244" s="29" t="str">
        <f t="shared" si="31"/>
        <v/>
      </c>
      <c r="R244" s="33"/>
    </row>
    <row r="245" spans="1:18" x14ac:dyDescent="0.25">
      <c r="A245" s="31"/>
      <c r="B245" s="34" t="str">
        <f t="shared" si="24"/>
        <v/>
      </c>
      <c r="C245" s="30"/>
      <c r="D245" s="10"/>
      <c r="E245" s="30"/>
      <c r="F245" s="36" t="str">
        <f t="shared" si="25"/>
        <v/>
      </c>
      <c r="G245" s="36" t="str">
        <f t="shared" si="26"/>
        <v/>
      </c>
      <c r="H245" s="36" t="str">
        <f t="shared" si="27"/>
        <v/>
      </c>
      <c r="I245" s="34" t="str">
        <f t="shared" si="28"/>
        <v/>
      </c>
      <c r="J245" s="35" t="str">
        <f t="shared" si="29"/>
        <v/>
      </c>
      <c r="K245" s="49"/>
      <c r="L245" s="30"/>
      <c r="M245" s="31"/>
      <c r="N245" s="33"/>
      <c r="O245" s="31"/>
      <c r="P245" s="29" t="str">
        <f t="shared" si="30"/>
        <v/>
      </c>
      <c r="Q245" s="29" t="str">
        <f t="shared" si="31"/>
        <v/>
      </c>
      <c r="R245" s="33"/>
    </row>
    <row r="246" spans="1:18" x14ac:dyDescent="0.25">
      <c r="A246" s="31"/>
      <c r="B246" s="34" t="str">
        <f t="shared" si="24"/>
        <v/>
      </c>
      <c r="C246" s="30"/>
      <c r="D246" s="10"/>
      <c r="E246" s="30"/>
      <c r="F246" s="36" t="str">
        <f t="shared" si="25"/>
        <v/>
      </c>
      <c r="G246" s="36" t="str">
        <f t="shared" si="26"/>
        <v/>
      </c>
      <c r="H246" s="36" t="str">
        <f t="shared" si="27"/>
        <v/>
      </c>
      <c r="I246" s="34" t="str">
        <f t="shared" si="28"/>
        <v/>
      </c>
      <c r="J246" s="35" t="str">
        <f t="shared" si="29"/>
        <v/>
      </c>
      <c r="K246" s="49"/>
      <c r="L246" s="30"/>
      <c r="M246" s="31"/>
      <c r="N246" s="33"/>
      <c r="O246" s="31"/>
      <c r="P246" s="29" t="str">
        <f t="shared" si="30"/>
        <v/>
      </c>
      <c r="Q246" s="29" t="str">
        <f t="shared" si="31"/>
        <v/>
      </c>
      <c r="R246" s="33"/>
    </row>
    <row r="247" spans="1:18" x14ac:dyDescent="0.25">
      <c r="A247" s="31"/>
      <c r="B247" s="34" t="str">
        <f t="shared" si="24"/>
        <v/>
      </c>
      <c r="C247" s="30"/>
      <c r="D247" s="10"/>
      <c r="E247" s="30"/>
      <c r="F247" s="36" t="str">
        <f t="shared" si="25"/>
        <v/>
      </c>
      <c r="G247" s="36" t="str">
        <f t="shared" si="26"/>
        <v/>
      </c>
      <c r="H247" s="36" t="str">
        <f t="shared" si="27"/>
        <v/>
      </c>
      <c r="I247" s="34" t="str">
        <f t="shared" si="28"/>
        <v/>
      </c>
      <c r="J247" s="35" t="str">
        <f t="shared" si="29"/>
        <v/>
      </c>
      <c r="K247" s="49"/>
      <c r="L247" s="30"/>
      <c r="M247" s="31"/>
      <c r="N247" s="33"/>
      <c r="O247" s="31"/>
      <c r="P247" s="29" t="str">
        <f t="shared" si="30"/>
        <v/>
      </c>
      <c r="Q247" s="29" t="str">
        <f t="shared" si="31"/>
        <v/>
      </c>
      <c r="R247" s="33"/>
    </row>
    <row r="248" spans="1:18" x14ac:dyDescent="0.25">
      <c r="A248" s="31"/>
      <c r="B248" s="34" t="str">
        <f t="shared" si="24"/>
        <v/>
      </c>
      <c r="C248" s="30"/>
      <c r="D248" s="10"/>
      <c r="E248" s="30"/>
      <c r="F248" s="36" t="str">
        <f t="shared" si="25"/>
        <v/>
      </c>
      <c r="G248" s="36" t="str">
        <f t="shared" si="26"/>
        <v/>
      </c>
      <c r="H248" s="36" t="str">
        <f t="shared" si="27"/>
        <v/>
      </c>
      <c r="I248" s="34" t="str">
        <f t="shared" si="28"/>
        <v/>
      </c>
      <c r="J248" s="35" t="str">
        <f t="shared" si="29"/>
        <v/>
      </c>
      <c r="K248" s="49"/>
      <c r="L248" s="30"/>
      <c r="M248" s="31"/>
      <c r="N248" s="33"/>
      <c r="O248" s="31"/>
      <c r="P248" s="29" t="str">
        <f t="shared" si="30"/>
        <v/>
      </c>
      <c r="Q248" s="29" t="str">
        <f t="shared" si="31"/>
        <v/>
      </c>
      <c r="R248" s="33"/>
    </row>
    <row r="249" spans="1:18" x14ac:dyDescent="0.25">
      <c r="A249" s="31"/>
      <c r="B249" s="34" t="str">
        <f t="shared" si="24"/>
        <v/>
      </c>
      <c r="C249" s="30"/>
      <c r="D249" s="10"/>
      <c r="E249" s="30"/>
      <c r="F249" s="36" t="str">
        <f t="shared" si="25"/>
        <v/>
      </c>
      <c r="G249" s="36" t="str">
        <f t="shared" si="26"/>
        <v/>
      </c>
      <c r="H249" s="36" t="str">
        <f t="shared" si="27"/>
        <v/>
      </c>
      <c r="I249" s="34" t="str">
        <f t="shared" si="28"/>
        <v/>
      </c>
      <c r="J249" s="35" t="str">
        <f t="shared" si="29"/>
        <v/>
      </c>
      <c r="K249" s="49"/>
      <c r="L249" s="30"/>
      <c r="M249" s="31"/>
      <c r="N249" s="33"/>
      <c r="O249" s="31"/>
      <c r="P249" s="29" t="str">
        <f t="shared" si="30"/>
        <v/>
      </c>
      <c r="Q249" s="29" t="str">
        <f t="shared" si="31"/>
        <v/>
      </c>
      <c r="R249" s="33"/>
    </row>
    <row r="250" spans="1:18" x14ac:dyDescent="0.25">
      <c r="A250" s="31"/>
      <c r="B250" s="34" t="str">
        <f t="shared" si="24"/>
        <v/>
      </c>
      <c r="C250" s="30"/>
      <c r="D250" s="10"/>
      <c r="E250" s="30"/>
      <c r="F250" s="36" t="str">
        <f t="shared" si="25"/>
        <v/>
      </c>
      <c r="G250" s="36" t="str">
        <f t="shared" si="26"/>
        <v/>
      </c>
      <c r="H250" s="36" t="str">
        <f t="shared" si="27"/>
        <v/>
      </c>
      <c r="I250" s="34" t="str">
        <f t="shared" si="28"/>
        <v/>
      </c>
      <c r="J250" s="35" t="str">
        <f t="shared" si="29"/>
        <v/>
      </c>
      <c r="K250" s="49"/>
      <c r="L250" s="30"/>
      <c r="M250" s="31"/>
      <c r="N250" s="33"/>
      <c r="O250" s="31"/>
      <c r="P250" s="29" t="str">
        <f t="shared" si="30"/>
        <v/>
      </c>
      <c r="Q250" s="29" t="str">
        <f t="shared" si="31"/>
        <v/>
      </c>
      <c r="R250" s="33"/>
    </row>
    <row r="251" spans="1:18" x14ac:dyDescent="0.25">
      <c r="A251" s="31"/>
      <c r="B251" s="34" t="str">
        <f t="shared" si="24"/>
        <v/>
      </c>
      <c r="C251" s="30"/>
      <c r="D251" s="10"/>
      <c r="E251" s="30"/>
      <c r="F251" s="36" t="str">
        <f t="shared" si="25"/>
        <v/>
      </c>
      <c r="G251" s="36" t="str">
        <f t="shared" si="26"/>
        <v/>
      </c>
      <c r="H251" s="36" t="str">
        <f t="shared" si="27"/>
        <v/>
      </c>
      <c r="I251" s="34" t="str">
        <f t="shared" si="28"/>
        <v/>
      </c>
      <c r="J251" s="35" t="str">
        <f t="shared" si="29"/>
        <v/>
      </c>
      <c r="K251" s="49"/>
      <c r="L251" s="30"/>
      <c r="M251" s="31"/>
      <c r="N251" s="33"/>
      <c r="O251" s="31"/>
      <c r="P251" s="29" t="str">
        <f t="shared" si="30"/>
        <v/>
      </c>
      <c r="Q251" s="29" t="str">
        <f t="shared" si="31"/>
        <v/>
      </c>
      <c r="R251" s="33"/>
    </row>
    <row r="252" spans="1:18" x14ac:dyDescent="0.25">
      <c r="A252" s="31"/>
      <c r="B252" s="34" t="str">
        <f t="shared" si="24"/>
        <v/>
      </c>
      <c r="C252" s="30"/>
      <c r="D252" s="10"/>
      <c r="E252" s="30"/>
      <c r="F252" s="36" t="str">
        <f t="shared" si="25"/>
        <v/>
      </c>
      <c r="G252" s="36" t="str">
        <f t="shared" si="26"/>
        <v/>
      </c>
      <c r="H252" s="36" t="str">
        <f t="shared" si="27"/>
        <v/>
      </c>
      <c r="I252" s="34" t="str">
        <f t="shared" si="28"/>
        <v/>
      </c>
      <c r="J252" s="35" t="str">
        <f t="shared" si="29"/>
        <v/>
      </c>
      <c r="K252" s="49"/>
      <c r="L252" s="30"/>
      <c r="M252" s="31"/>
      <c r="N252" s="33"/>
      <c r="O252" s="31"/>
      <c r="P252" s="29" t="str">
        <f t="shared" si="30"/>
        <v/>
      </c>
      <c r="Q252" s="29" t="str">
        <f t="shared" si="31"/>
        <v/>
      </c>
      <c r="R252" s="33"/>
    </row>
    <row r="253" spans="1:18" x14ac:dyDescent="0.25">
      <c r="A253" s="31"/>
      <c r="B253" s="34" t="str">
        <f t="shared" si="24"/>
        <v/>
      </c>
      <c r="C253" s="30"/>
      <c r="D253" s="10"/>
      <c r="E253" s="30"/>
      <c r="F253" s="36" t="str">
        <f t="shared" si="25"/>
        <v/>
      </c>
      <c r="G253" s="36" t="str">
        <f t="shared" si="26"/>
        <v/>
      </c>
      <c r="H253" s="36" t="str">
        <f t="shared" si="27"/>
        <v/>
      </c>
      <c r="I253" s="34" t="str">
        <f t="shared" si="28"/>
        <v/>
      </c>
      <c r="J253" s="35" t="str">
        <f t="shared" si="29"/>
        <v/>
      </c>
      <c r="K253" s="49"/>
      <c r="L253" s="30"/>
      <c r="M253" s="31"/>
      <c r="N253" s="33"/>
      <c r="O253" s="31"/>
      <c r="P253" s="29" t="str">
        <f t="shared" si="30"/>
        <v/>
      </c>
      <c r="Q253" s="29" t="str">
        <f t="shared" si="31"/>
        <v/>
      </c>
      <c r="R253" s="33"/>
    </row>
    <row r="254" spans="1:18" x14ac:dyDescent="0.25">
      <c r="A254" s="31"/>
      <c r="B254" s="34" t="str">
        <f t="shared" si="24"/>
        <v/>
      </c>
      <c r="C254" s="30"/>
      <c r="D254" s="10"/>
      <c r="E254" s="30"/>
      <c r="F254" s="36" t="str">
        <f t="shared" si="25"/>
        <v/>
      </c>
      <c r="G254" s="36" t="str">
        <f t="shared" si="26"/>
        <v/>
      </c>
      <c r="H254" s="36" t="str">
        <f t="shared" si="27"/>
        <v/>
      </c>
      <c r="I254" s="34" t="str">
        <f t="shared" si="28"/>
        <v/>
      </c>
      <c r="J254" s="35" t="str">
        <f t="shared" si="29"/>
        <v/>
      </c>
      <c r="K254" s="49"/>
      <c r="L254" s="30"/>
      <c r="M254" s="31"/>
      <c r="N254" s="33"/>
      <c r="O254" s="31"/>
      <c r="P254" s="29" t="str">
        <f t="shared" si="30"/>
        <v/>
      </c>
      <c r="Q254" s="29" t="str">
        <f t="shared" si="31"/>
        <v/>
      </c>
      <c r="R254" s="33"/>
    </row>
    <row r="255" spans="1:18" x14ac:dyDescent="0.25">
      <c r="A255" s="31"/>
      <c r="B255" s="34" t="str">
        <f t="shared" si="24"/>
        <v/>
      </c>
      <c r="C255" s="30"/>
      <c r="D255" s="10"/>
      <c r="E255" s="30"/>
      <c r="F255" s="36" t="str">
        <f t="shared" si="25"/>
        <v/>
      </c>
      <c r="G255" s="36" t="str">
        <f t="shared" si="26"/>
        <v/>
      </c>
      <c r="H255" s="36" t="str">
        <f t="shared" si="27"/>
        <v/>
      </c>
      <c r="I255" s="34" t="str">
        <f t="shared" si="28"/>
        <v/>
      </c>
      <c r="J255" s="35" t="str">
        <f t="shared" si="29"/>
        <v/>
      </c>
      <c r="K255" s="49"/>
      <c r="L255" s="30"/>
      <c r="M255" s="31"/>
      <c r="N255" s="33"/>
      <c r="O255" s="31"/>
      <c r="P255" s="29" t="str">
        <f t="shared" si="30"/>
        <v/>
      </c>
      <c r="Q255" s="29" t="str">
        <f t="shared" si="31"/>
        <v/>
      </c>
      <c r="R255" s="33"/>
    </row>
    <row r="256" spans="1:18" x14ac:dyDescent="0.25">
      <c r="A256" s="31"/>
      <c r="B256" s="34" t="str">
        <f t="shared" si="24"/>
        <v/>
      </c>
      <c r="C256" s="30"/>
      <c r="D256" s="10"/>
      <c r="E256" s="30"/>
      <c r="F256" s="36" t="str">
        <f t="shared" si="25"/>
        <v/>
      </c>
      <c r="G256" s="36" t="str">
        <f t="shared" si="26"/>
        <v/>
      </c>
      <c r="H256" s="36" t="str">
        <f t="shared" si="27"/>
        <v/>
      </c>
      <c r="I256" s="34" t="str">
        <f t="shared" si="28"/>
        <v/>
      </c>
      <c r="J256" s="35" t="str">
        <f t="shared" si="29"/>
        <v/>
      </c>
      <c r="K256" s="49"/>
      <c r="L256" s="30"/>
      <c r="M256" s="31"/>
      <c r="N256" s="33"/>
      <c r="O256" s="31"/>
      <c r="P256" s="29" t="str">
        <f t="shared" si="30"/>
        <v/>
      </c>
      <c r="Q256" s="29" t="str">
        <f t="shared" si="31"/>
        <v/>
      </c>
      <c r="R256" s="33"/>
    </row>
    <row r="257" spans="1:18" x14ac:dyDescent="0.25">
      <c r="A257" s="31"/>
      <c r="B257" s="34" t="str">
        <f t="shared" si="24"/>
        <v/>
      </c>
      <c r="C257" s="30"/>
      <c r="D257" s="10"/>
      <c r="E257" s="30"/>
      <c r="F257" s="36" t="str">
        <f t="shared" si="25"/>
        <v/>
      </c>
      <c r="G257" s="36" t="str">
        <f t="shared" si="26"/>
        <v/>
      </c>
      <c r="H257" s="36" t="str">
        <f t="shared" si="27"/>
        <v/>
      </c>
      <c r="I257" s="34" t="str">
        <f t="shared" si="28"/>
        <v/>
      </c>
      <c r="J257" s="35" t="str">
        <f t="shared" si="29"/>
        <v/>
      </c>
      <c r="K257" s="49"/>
      <c r="L257" s="30"/>
      <c r="M257" s="31"/>
      <c r="N257" s="33"/>
      <c r="O257" s="31"/>
      <c r="P257" s="29" t="str">
        <f t="shared" si="30"/>
        <v/>
      </c>
      <c r="Q257" s="29" t="str">
        <f t="shared" si="31"/>
        <v/>
      </c>
      <c r="R257" s="33"/>
    </row>
    <row r="258" spans="1:18" x14ac:dyDescent="0.25">
      <c r="A258" s="31"/>
      <c r="B258" s="34" t="str">
        <f t="shared" si="24"/>
        <v/>
      </c>
      <c r="C258" s="30"/>
      <c r="D258" s="10"/>
      <c r="E258" s="30"/>
      <c r="F258" s="36" t="str">
        <f t="shared" si="25"/>
        <v/>
      </c>
      <c r="G258" s="36" t="str">
        <f t="shared" si="26"/>
        <v/>
      </c>
      <c r="H258" s="36" t="str">
        <f t="shared" si="27"/>
        <v/>
      </c>
      <c r="I258" s="34" t="str">
        <f t="shared" si="28"/>
        <v/>
      </c>
      <c r="J258" s="35" t="str">
        <f t="shared" si="29"/>
        <v/>
      </c>
      <c r="K258" s="49"/>
      <c r="L258" s="30"/>
      <c r="M258" s="31"/>
      <c r="N258" s="33"/>
      <c r="O258" s="31"/>
      <c r="P258" s="29" t="str">
        <f t="shared" si="30"/>
        <v/>
      </c>
      <c r="Q258" s="29" t="str">
        <f t="shared" si="31"/>
        <v/>
      </c>
      <c r="R258" s="33"/>
    </row>
    <row r="259" spans="1:18" x14ac:dyDescent="0.25">
      <c r="A259" s="31"/>
      <c r="B259" s="34" t="str">
        <f t="shared" si="24"/>
        <v/>
      </c>
      <c r="C259" s="30"/>
      <c r="D259" s="10"/>
      <c r="E259" s="30"/>
      <c r="F259" s="36" t="str">
        <f t="shared" si="25"/>
        <v/>
      </c>
      <c r="G259" s="36" t="str">
        <f t="shared" si="26"/>
        <v/>
      </c>
      <c r="H259" s="36" t="str">
        <f t="shared" si="27"/>
        <v/>
      </c>
      <c r="I259" s="34" t="str">
        <f t="shared" si="28"/>
        <v/>
      </c>
      <c r="J259" s="35" t="str">
        <f t="shared" si="29"/>
        <v/>
      </c>
      <c r="K259" s="49"/>
      <c r="L259" s="30"/>
      <c r="M259" s="31"/>
      <c r="N259" s="33"/>
      <c r="O259" s="31"/>
      <c r="P259" s="29" t="str">
        <f t="shared" si="30"/>
        <v/>
      </c>
      <c r="Q259" s="29" t="str">
        <f t="shared" si="31"/>
        <v/>
      </c>
      <c r="R259" s="33"/>
    </row>
    <row r="260" spans="1:18" x14ac:dyDescent="0.25">
      <c r="A260" s="31"/>
      <c r="B260" s="34" t="str">
        <f t="shared" si="24"/>
        <v/>
      </c>
      <c r="C260" s="30"/>
      <c r="D260" s="10"/>
      <c r="E260" s="30"/>
      <c r="F260" s="36" t="str">
        <f t="shared" si="25"/>
        <v/>
      </c>
      <c r="G260" s="36" t="str">
        <f t="shared" si="26"/>
        <v/>
      </c>
      <c r="H260" s="36" t="str">
        <f t="shared" si="27"/>
        <v/>
      </c>
      <c r="I260" s="34" t="str">
        <f t="shared" si="28"/>
        <v/>
      </c>
      <c r="J260" s="35" t="str">
        <f t="shared" si="29"/>
        <v/>
      </c>
      <c r="K260" s="49"/>
      <c r="L260" s="30"/>
      <c r="M260" s="31"/>
      <c r="N260" s="33"/>
      <c r="O260" s="31"/>
      <c r="P260" s="29" t="str">
        <f t="shared" si="30"/>
        <v/>
      </c>
      <c r="Q260" s="29" t="str">
        <f t="shared" si="31"/>
        <v/>
      </c>
      <c r="R260" s="33"/>
    </row>
    <row r="261" spans="1:18" x14ac:dyDescent="0.25">
      <c r="A261" s="31"/>
      <c r="B261" s="34" t="str">
        <f t="shared" ref="B261:B324" si="32">IFERROR(IF($E261="","",VLOOKUP($E261,CAD_TAB,2,FALSE)),"")</f>
        <v/>
      </c>
      <c r="C261" s="30"/>
      <c r="D261" s="10"/>
      <c r="E261" s="30"/>
      <c r="F261" s="36" t="str">
        <f t="shared" ref="F261:F324" si="33">IFERROR(IF($E261="","",VLOOKUP($E261,CAD_TAB,8,FALSE)),"")</f>
        <v/>
      </c>
      <c r="G261" s="36" t="str">
        <f t="shared" ref="G261:G324" si="34">IFERROR(IF($E261="","",VLOOKUP($E261,CAD_TAB,9,FALSE)),"")</f>
        <v/>
      </c>
      <c r="H261" s="36" t="str">
        <f t="shared" ref="H261:H324" si="35">IFERROR(IF($E261="","",VLOOKUP($E261,CAD_TAB,11,FALSE)),"")</f>
        <v/>
      </c>
      <c r="I261" s="34" t="str">
        <f t="shared" ref="I261:I324" si="36">IFERROR(IF($E261="","",VLOOKUP($E261,CAD_TAB,7,FALSE)),"")</f>
        <v/>
      </c>
      <c r="J261" s="35" t="str">
        <f t="shared" ref="J261:J324" si="37">IFERROR(IF($E261="","",VLOOKUP($E261,CAD_TAB,6,FALSE)),"")</f>
        <v/>
      </c>
      <c r="K261" s="49"/>
      <c r="L261" s="30"/>
      <c r="M261" s="31"/>
      <c r="N261" s="33"/>
      <c r="O261" s="31"/>
      <c r="P261" s="29" t="str">
        <f t="shared" ref="P261:P324" si="38">IF($E261="","",IF($L261="SIM","EXECUTADO",IF($O261&lt;&gt;"","REPROGRAMADO",IF($L261="NÃO","NÃO EXECUTADO","PROGRAMADO"))))</f>
        <v/>
      </c>
      <c r="Q261" s="29" t="str">
        <f t="shared" ref="Q261:Q324" si="39">IF($E261="","",IF($L261="SIM",IF($M261=$A261,"NO DIA","FORA DO DIA"),""))</f>
        <v/>
      </c>
      <c r="R261" s="33"/>
    </row>
    <row r="262" spans="1:18" x14ac:dyDescent="0.25">
      <c r="A262" s="31"/>
      <c r="B262" s="34" t="str">
        <f t="shared" si="32"/>
        <v/>
      </c>
      <c r="C262" s="30"/>
      <c r="D262" s="10"/>
      <c r="E262" s="30"/>
      <c r="F262" s="36" t="str">
        <f t="shared" si="33"/>
        <v/>
      </c>
      <c r="G262" s="36" t="str">
        <f t="shared" si="34"/>
        <v/>
      </c>
      <c r="H262" s="36" t="str">
        <f t="shared" si="35"/>
        <v/>
      </c>
      <c r="I262" s="34" t="str">
        <f t="shared" si="36"/>
        <v/>
      </c>
      <c r="J262" s="35" t="str">
        <f t="shared" si="37"/>
        <v/>
      </c>
      <c r="K262" s="49"/>
      <c r="L262" s="30"/>
      <c r="M262" s="31"/>
      <c r="N262" s="33"/>
      <c r="O262" s="31"/>
      <c r="P262" s="29" t="str">
        <f t="shared" si="38"/>
        <v/>
      </c>
      <c r="Q262" s="29" t="str">
        <f t="shared" si="39"/>
        <v/>
      </c>
      <c r="R262" s="33"/>
    </row>
    <row r="263" spans="1:18" x14ac:dyDescent="0.25">
      <c r="A263" s="31"/>
      <c r="B263" s="34" t="str">
        <f t="shared" si="32"/>
        <v/>
      </c>
      <c r="C263" s="30"/>
      <c r="D263" s="10"/>
      <c r="E263" s="30"/>
      <c r="F263" s="36" t="str">
        <f t="shared" si="33"/>
        <v/>
      </c>
      <c r="G263" s="36" t="str">
        <f t="shared" si="34"/>
        <v/>
      </c>
      <c r="H263" s="36" t="str">
        <f t="shared" si="35"/>
        <v/>
      </c>
      <c r="I263" s="34" t="str">
        <f t="shared" si="36"/>
        <v/>
      </c>
      <c r="J263" s="35" t="str">
        <f t="shared" si="37"/>
        <v/>
      </c>
      <c r="K263" s="49"/>
      <c r="L263" s="30"/>
      <c r="M263" s="31"/>
      <c r="N263" s="33"/>
      <c r="O263" s="31"/>
      <c r="P263" s="29" t="str">
        <f t="shared" si="38"/>
        <v/>
      </c>
      <c r="Q263" s="29" t="str">
        <f t="shared" si="39"/>
        <v/>
      </c>
      <c r="R263" s="33"/>
    </row>
    <row r="264" spans="1:18" x14ac:dyDescent="0.25">
      <c r="A264" s="31"/>
      <c r="B264" s="34" t="str">
        <f t="shared" si="32"/>
        <v/>
      </c>
      <c r="C264" s="30"/>
      <c r="D264" s="10"/>
      <c r="E264" s="30"/>
      <c r="F264" s="36" t="str">
        <f t="shared" si="33"/>
        <v/>
      </c>
      <c r="G264" s="36" t="str">
        <f t="shared" si="34"/>
        <v/>
      </c>
      <c r="H264" s="36" t="str">
        <f t="shared" si="35"/>
        <v/>
      </c>
      <c r="I264" s="34" t="str">
        <f t="shared" si="36"/>
        <v/>
      </c>
      <c r="J264" s="35" t="str">
        <f t="shared" si="37"/>
        <v/>
      </c>
      <c r="K264" s="49"/>
      <c r="L264" s="30"/>
      <c r="M264" s="31"/>
      <c r="N264" s="33"/>
      <c r="O264" s="31"/>
      <c r="P264" s="29" t="str">
        <f t="shared" si="38"/>
        <v/>
      </c>
      <c r="Q264" s="29" t="str">
        <f t="shared" si="39"/>
        <v/>
      </c>
      <c r="R264" s="33"/>
    </row>
    <row r="265" spans="1:18" x14ac:dyDescent="0.25">
      <c r="A265" s="31"/>
      <c r="B265" s="34" t="str">
        <f t="shared" si="32"/>
        <v/>
      </c>
      <c r="C265" s="30"/>
      <c r="D265" s="10"/>
      <c r="E265" s="30"/>
      <c r="F265" s="36" t="str">
        <f t="shared" si="33"/>
        <v/>
      </c>
      <c r="G265" s="36" t="str">
        <f t="shared" si="34"/>
        <v/>
      </c>
      <c r="H265" s="36" t="str">
        <f t="shared" si="35"/>
        <v/>
      </c>
      <c r="I265" s="34" t="str">
        <f t="shared" si="36"/>
        <v/>
      </c>
      <c r="J265" s="35" t="str">
        <f t="shared" si="37"/>
        <v/>
      </c>
      <c r="K265" s="49"/>
      <c r="L265" s="30"/>
      <c r="M265" s="31"/>
      <c r="N265" s="33"/>
      <c r="O265" s="31"/>
      <c r="P265" s="29" t="str">
        <f t="shared" si="38"/>
        <v/>
      </c>
      <c r="Q265" s="29" t="str">
        <f t="shared" si="39"/>
        <v/>
      </c>
      <c r="R265" s="33"/>
    </row>
    <row r="266" spans="1:18" x14ac:dyDescent="0.25">
      <c r="A266" s="31"/>
      <c r="B266" s="34" t="str">
        <f t="shared" si="32"/>
        <v/>
      </c>
      <c r="C266" s="30"/>
      <c r="D266" s="10"/>
      <c r="E266" s="30"/>
      <c r="F266" s="36" t="str">
        <f t="shared" si="33"/>
        <v/>
      </c>
      <c r="G266" s="36" t="str">
        <f t="shared" si="34"/>
        <v/>
      </c>
      <c r="H266" s="36" t="str">
        <f t="shared" si="35"/>
        <v/>
      </c>
      <c r="I266" s="34" t="str">
        <f t="shared" si="36"/>
        <v/>
      </c>
      <c r="J266" s="35" t="str">
        <f t="shared" si="37"/>
        <v/>
      </c>
      <c r="K266" s="49"/>
      <c r="L266" s="30"/>
      <c r="M266" s="31"/>
      <c r="N266" s="33"/>
      <c r="O266" s="31"/>
      <c r="P266" s="29" t="str">
        <f t="shared" si="38"/>
        <v/>
      </c>
      <c r="Q266" s="29" t="str">
        <f t="shared" si="39"/>
        <v/>
      </c>
      <c r="R266" s="33"/>
    </row>
    <row r="267" spans="1:18" x14ac:dyDescent="0.25">
      <c r="A267" s="31"/>
      <c r="B267" s="34" t="str">
        <f t="shared" si="32"/>
        <v/>
      </c>
      <c r="C267" s="30"/>
      <c r="D267" s="10"/>
      <c r="E267" s="30"/>
      <c r="F267" s="36" t="str">
        <f t="shared" si="33"/>
        <v/>
      </c>
      <c r="G267" s="36" t="str">
        <f t="shared" si="34"/>
        <v/>
      </c>
      <c r="H267" s="36" t="str">
        <f t="shared" si="35"/>
        <v/>
      </c>
      <c r="I267" s="34" t="str">
        <f t="shared" si="36"/>
        <v/>
      </c>
      <c r="J267" s="35" t="str">
        <f t="shared" si="37"/>
        <v/>
      </c>
      <c r="K267" s="49"/>
      <c r="L267" s="30"/>
      <c r="M267" s="31"/>
      <c r="N267" s="33"/>
      <c r="O267" s="31"/>
      <c r="P267" s="29" t="str">
        <f t="shared" si="38"/>
        <v/>
      </c>
      <c r="Q267" s="29" t="str">
        <f t="shared" si="39"/>
        <v/>
      </c>
      <c r="R267" s="33"/>
    </row>
    <row r="268" spans="1:18" x14ac:dyDescent="0.25">
      <c r="A268" s="31"/>
      <c r="B268" s="34" t="str">
        <f t="shared" si="32"/>
        <v/>
      </c>
      <c r="C268" s="30"/>
      <c r="D268" s="10"/>
      <c r="E268" s="30"/>
      <c r="F268" s="36" t="str">
        <f t="shared" si="33"/>
        <v/>
      </c>
      <c r="G268" s="36" t="str">
        <f t="shared" si="34"/>
        <v/>
      </c>
      <c r="H268" s="36" t="str">
        <f t="shared" si="35"/>
        <v/>
      </c>
      <c r="I268" s="34" t="str">
        <f t="shared" si="36"/>
        <v/>
      </c>
      <c r="J268" s="35" t="str">
        <f t="shared" si="37"/>
        <v/>
      </c>
      <c r="K268" s="49"/>
      <c r="L268" s="30"/>
      <c r="M268" s="31"/>
      <c r="N268" s="33"/>
      <c r="O268" s="31"/>
      <c r="P268" s="29" t="str">
        <f t="shared" si="38"/>
        <v/>
      </c>
      <c r="Q268" s="29" t="str">
        <f t="shared" si="39"/>
        <v/>
      </c>
      <c r="R268" s="33"/>
    </row>
    <row r="269" spans="1:18" x14ac:dyDescent="0.25">
      <c r="A269" s="31"/>
      <c r="B269" s="34" t="str">
        <f t="shared" si="32"/>
        <v/>
      </c>
      <c r="C269" s="30"/>
      <c r="D269" s="10"/>
      <c r="E269" s="30"/>
      <c r="F269" s="36" t="str">
        <f t="shared" si="33"/>
        <v/>
      </c>
      <c r="G269" s="36" t="str">
        <f t="shared" si="34"/>
        <v/>
      </c>
      <c r="H269" s="36" t="str">
        <f t="shared" si="35"/>
        <v/>
      </c>
      <c r="I269" s="34" t="str">
        <f t="shared" si="36"/>
        <v/>
      </c>
      <c r="J269" s="35" t="str">
        <f t="shared" si="37"/>
        <v/>
      </c>
      <c r="K269" s="49"/>
      <c r="L269" s="30"/>
      <c r="M269" s="31"/>
      <c r="N269" s="33"/>
      <c r="O269" s="31"/>
      <c r="P269" s="29" t="str">
        <f t="shared" si="38"/>
        <v/>
      </c>
      <c r="Q269" s="29" t="str">
        <f t="shared" si="39"/>
        <v/>
      </c>
      <c r="R269" s="33"/>
    </row>
    <row r="270" spans="1:18" x14ac:dyDescent="0.25">
      <c r="A270" s="31"/>
      <c r="B270" s="34" t="str">
        <f t="shared" si="32"/>
        <v/>
      </c>
      <c r="C270" s="30"/>
      <c r="D270" s="10"/>
      <c r="E270" s="30"/>
      <c r="F270" s="36" t="str">
        <f t="shared" si="33"/>
        <v/>
      </c>
      <c r="G270" s="36" t="str">
        <f t="shared" si="34"/>
        <v/>
      </c>
      <c r="H270" s="36" t="str">
        <f t="shared" si="35"/>
        <v/>
      </c>
      <c r="I270" s="34" t="str">
        <f t="shared" si="36"/>
        <v/>
      </c>
      <c r="J270" s="35" t="str">
        <f t="shared" si="37"/>
        <v/>
      </c>
      <c r="K270" s="49"/>
      <c r="L270" s="30"/>
      <c r="M270" s="31"/>
      <c r="N270" s="33"/>
      <c r="O270" s="31"/>
      <c r="P270" s="29" t="str">
        <f t="shared" si="38"/>
        <v/>
      </c>
      <c r="Q270" s="29" t="str">
        <f t="shared" si="39"/>
        <v/>
      </c>
      <c r="R270" s="33"/>
    </row>
    <row r="271" spans="1:18" x14ac:dyDescent="0.25">
      <c r="A271" s="31"/>
      <c r="B271" s="34" t="str">
        <f t="shared" si="32"/>
        <v/>
      </c>
      <c r="C271" s="30"/>
      <c r="D271" s="10"/>
      <c r="E271" s="30"/>
      <c r="F271" s="36" t="str">
        <f t="shared" si="33"/>
        <v/>
      </c>
      <c r="G271" s="36" t="str">
        <f t="shared" si="34"/>
        <v/>
      </c>
      <c r="H271" s="36" t="str">
        <f t="shared" si="35"/>
        <v/>
      </c>
      <c r="I271" s="34" t="str">
        <f t="shared" si="36"/>
        <v/>
      </c>
      <c r="J271" s="35" t="str">
        <f t="shared" si="37"/>
        <v/>
      </c>
      <c r="K271" s="49"/>
      <c r="L271" s="30"/>
      <c r="M271" s="31"/>
      <c r="N271" s="33"/>
      <c r="O271" s="31"/>
      <c r="P271" s="29" t="str">
        <f t="shared" si="38"/>
        <v/>
      </c>
      <c r="Q271" s="29" t="str">
        <f t="shared" si="39"/>
        <v/>
      </c>
      <c r="R271" s="33"/>
    </row>
    <row r="272" spans="1:18" x14ac:dyDescent="0.25">
      <c r="A272" s="31"/>
      <c r="B272" s="34" t="str">
        <f t="shared" si="32"/>
        <v/>
      </c>
      <c r="C272" s="30"/>
      <c r="D272" s="10"/>
      <c r="E272" s="30"/>
      <c r="F272" s="36" t="str">
        <f t="shared" si="33"/>
        <v/>
      </c>
      <c r="G272" s="36" t="str">
        <f t="shared" si="34"/>
        <v/>
      </c>
      <c r="H272" s="36" t="str">
        <f t="shared" si="35"/>
        <v/>
      </c>
      <c r="I272" s="34" t="str">
        <f t="shared" si="36"/>
        <v/>
      </c>
      <c r="J272" s="35" t="str">
        <f t="shared" si="37"/>
        <v/>
      </c>
      <c r="K272" s="49"/>
      <c r="L272" s="30"/>
      <c r="M272" s="31"/>
      <c r="N272" s="33"/>
      <c r="O272" s="31"/>
      <c r="P272" s="29" t="str">
        <f t="shared" si="38"/>
        <v/>
      </c>
      <c r="Q272" s="29" t="str">
        <f t="shared" si="39"/>
        <v/>
      </c>
      <c r="R272" s="33"/>
    </row>
    <row r="273" spans="1:18" x14ac:dyDescent="0.25">
      <c r="A273" s="31"/>
      <c r="B273" s="34" t="str">
        <f t="shared" si="32"/>
        <v/>
      </c>
      <c r="C273" s="30"/>
      <c r="D273" s="10"/>
      <c r="E273" s="30"/>
      <c r="F273" s="36" t="str">
        <f t="shared" si="33"/>
        <v/>
      </c>
      <c r="G273" s="36" t="str">
        <f t="shared" si="34"/>
        <v/>
      </c>
      <c r="H273" s="36" t="str">
        <f t="shared" si="35"/>
        <v/>
      </c>
      <c r="I273" s="34" t="str">
        <f t="shared" si="36"/>
        <v/>
      </c>
      <c r="J273" s="35" t="str">
        <f t="shared" si="37"/>
        <v/>
      </c>
      <c r="K273" s="49"/>
      <c r="L273" s="30"/>
      <c r="M273" s="31"/>
      <c r="N273" s="33"/>
      <c r="O273" s="31"/>
      <c r="P273" s="29" t="str">
        <f t="shared" si="38"/>
        <v/>
      </c>
      <c r="Q273" s="29" t="str">
        <f t="shared" si="39"/>
        <v/>
      </c>
      <c r="R273" s="33"/>
    </row>
    <row r="274" spans="1:18" x14ac:dyDescent="0.25">
      <c r="A274" s="31"/>
      <c r="B274" s="34" t="str">
        <f t="shared" si="32"/>
        <v/>
      </c>
      <c r="C274" s="30"/>
      <c r="D274" s="10"/>
      <c r="E274" s="30"/>
      <c r="F274" s="36" t="str">
        <f t="shared" si="33"/>
        <v/>
      </c>
      <c r="G274" s="36" t="str">
        <f t="shared" si="34"/>
        <v/>
      </c>
      <c r="H274" s="36" t="str">
        <f t="shared" si="35"/>
        <v/>
      </c>
      <c r="I274" s="34" t="str">
        <f t="shared" si="36"/>
        <v/>
      </c>
      <c r="J274" s="35" t="str">
        <f t="shared" si="37"/>
        <v/>
      </c>
      <c r="K274" s="49"/>
      <c r="L274" s="30"/>
      <c r="M274" s="31"/>
      <c r="N274" s="33"/>
      <c r="O274" s="31"/>
      <c r="P274" s="29" t="str">
        <f t="shared" si="38"/>
        <v/>
      </c>
      <c r="Q274" s="29" t="str">
        <f t="shared" si="39"/>
        <v/>
      </c>
      <c r="R274" s="33"/>
    </row>
    <row r="275" spans="1:18" x14ac:dyDescent="0.25">
      <c r="A275" s="31"/>
      <c r="B275" s="34" t="str">
        <f t="shared" si="32"/>
        <v/>
      </c>
      <c r="C275" s="30"/>
      <c r="D275" s="10"/>
      <c r="E275" s="30"/>
      <c r="F275" s="36" t="str">
        <f t="shared" si="33"/>
        <v/>
      </c>
      <c r="G275" s="36" t="str">
        <f t="shared" si="34"/>
        <v/>
      </c>
      <c r="H275" s="36" t="str">
        <f t="shared" si="35"/>
        <v/>
      </c>
      <c r="I275" s="34" t="str">
        <f t="shared" si="36"/>
        <v/>
      </c>
      <c r="J275" s="35" t="str">
        <f t="shared" si="37"/>
        <v/>
      </c>
      <c r="K275" s="49"/>
      <c r="L275" s="30"/>
      <c r="M275" s="31"/>
      <c r="N275" s="33"/>
      <c r="O275" s="31"/>
      <c r="P275" s="29" t="str">
        <f t="shared" si="38"/>
        <v/>
      </c>
      <c r="Q275" s="29" t="str">
        <f t="shared" si="39"/>
        <v/>
      </c>
      <c r="R275" s="33"/>
    </row>
    <row r="276" spans="1:18" x14ac:dyDescent="0.25">
      <c r="A276" s="31"/>
      <c r="B276" s="34" t="str">
        <f t="shared" si="32"/>
        <v/>
      </c>
      <c r="C276" s="30"/>
      <c r="D276" s="10"/>
      <c r="E276" s="30"/>
      <c r="F276" s="36" t="str">
        <f t="shared" si="33"/>
        <v/>
      </c>
      <c r="G276" s="36" t="str">
        <f t="shared" si="34"/>
        <v/>
      </c>
      <c r="H276" s="36" t="str">
        <f t="shared" si="35"/>
        <v/>
      </c>
      <c r="I276" s="34" t="str">
        <f t="shared" si="36"/>
        <v/>
      </c>
      <c r="J276" s="35" t="str">
        <f t="shared" si="37"/>
        <v/>
      </c>
      <c r="K276" s="49"/>
      <c r="L276" s="30"/>
      <c r="M276" s="31"/>
      <c r="N276" s="33"/>
      <c r="O276" s="31"/>
      <c r="P276" s="29" t="str">
        <f t="shared" si="38"/>
        <v/>
      </c>
      <c r="Q276" s="29" t="str">
        <f t="shared" si="39"/>
        <v/>
      </c>
      <c r="R276" s="33"/>
    </row>
    <row r="277" spans="1:18" x14ac:dyDescent="0.25">
      <c r="A277" s="31"/>
      <c r="B277" s="34" t="str">
        <f t="shared" si="32"/>
        <v/>
      </c>
      <c r="C277" s="30"/>
      <c r="D277" s="10"/>
      <c r="E277" s="30"/>
      <c r="F277" s="36" t="str">
        <f t="shared" si="33"/>
        <v/>
      </c>
      <c r="G277" s="36" t="str">
        <f t="shared" si="34"/>
        <v/>
      </c>
      <c r="H277" s="36" t="str">
        <f t="shared" si="35"/>
        <v/>
      </c>
      <c r="I277" s="34" t="str">
        <f t="shared" si="36"/>
        <v/>
      </c>
      <c r="J277" s="35" t="str">
        <f t="shared" si="37"/>
        <v/>
      </c>
      <c r="K277" s="49"/>
      <c r="L277" s="30"/>
      <c r="M277" s="31"/>
      <c r="N277" s="33"/>
      <c r="O277" s="31"/>
      <c r="P277" s="29" t="str">
        <f t="shared" si="38"/>
        <v/>
      </c>
      <c r="Q277" s="29" t="str">
        <f t="shared" si="39"/>
        <v/>
      </c>
      <c r="R277" s="33"/>
    </row>
    <row r="278" spans="1:18" x14ac:dyDescent="0.25">
      <c r="A278" s="31"/>
      <c r="B278" s="34" t="str">
        <f t="shared" si="32"/>
        <v/>
      </c>
      <c r="C278" s="30"/>
      <c r="D278" s="10"/>
      <c r="E278" s="30"/>
      <c r="F278" s="36" t="str">
        <f t="shared" si="33"/>
        <v/>
      </c>
      <c r="G278" s="36" t="str">
        <f t="shared" si="34"/>
        <v/>
      </c>
      <c r="H278" s="36" t="str">
        <f t="shared" si="35"/>
        <v/>
      </c>
      <c r="I278" s="34" t="str">
        <f t="shared" si="36"/>
        <v/>
      </c>
      <c r="J278" s="35" t="str">
        <f t="shared" si="37"/>
        <v/>
      </c>
      <c r="K278" s="49"/>
      <c r="L278" s="30"/>
      <c r="M278" s="31"/>
      <c r="N278" s="33"/>
      <c r="O278" s="31"/>
      <c r="P278" s="29" t="str">
        <f t="shared" si="38"/>
        <v/>
      </c>
      <c r="Q278" s="29" t="str">
        <f t="shared" si="39"/>
        <v/>
      </c>
      <c r="R278" s="33"/>
    </row>
    <row r="279" spans="1:18" x14ac:dyDescent="0.25">
      <c r="A279" s="31"/>
      <c r="B279" s="34" t="str">
        <f t="shared" si="32"/>
        <v/>
      </c>
      <c r="C279" s="30"/>
      <c r="D279" s="10"/>
      <c r="E279" s="30"/>
      <c r="F279" s="36" t="str">
        <f t="shared" si="33"/>
        <v/>
      </c>
      <c r="G279" s="36" t="str">
        <f t="shared" si="34"/>
        <v/>
      </c>
      <c r="H279" s="36" t="str">
        <f t="shared" si="35"/>
        <v/>
      </c>
      <c r="I279" s="34" t="str">
        <f t="shared" si="36"/>
        <v/>
      </c>
      <c r="J279" s="35" t="str">
        <f t="shared" si="37"/>
        <v/>
      </c>
      <c r="K279" s="49"/>
      <c r="L279" s="30"/>
      <c r="M279" s="31"/>
      <c r="N279" s="33"/>
      <c r="O279" s="31"/>
      <c r="P279" s="29" t="str">
        <f t="shared" si="38"/>
        <v/>
      </c>
      <c r="Q279" s="29" t="str">
        <f t="shared" si="39"/>
        <v/>
      </c>
      <c r="R279" s="33"/>
    </row>
    <row r="280" spans="1:18" x14ac:dyDescent="0.25">
      <c r="A280" s="31"/>
      <c r="B280" s="34" t="str">
        <f t="shared" si="32"/>
        <v/>
      </c>
      <c r="C280" s="30"/>
      <c r="D280" s="10"/>
      <c r="E280" s="30"/>
      <c r="F280" s="36" t="str">
        <f t="shared" si="33"/>
        <v/>
      </c>
      <c r="G280" s="36" t="str">
        <f t="shared" si="34"/>
        <v/>
      </c>
      <c r="H280" s="36" t="str">
        <f t="shared" si="35"/>
        <v/>
      </c>
      <c r="I280" s="34" t="str">
        <f t="shared" si="36"/>
        <v/>
      </c>
      <c r="J280" s="35" t="str">
        <f t="shared" si="37"/>
        <v/>
      </c>
      <c r="K280" s="49"/>
      <c r="L280" s="30"/>
      <c r="M280" s="31"/>
      <c r="N280" s="33"/>
      <c r="O280" s="31"/>
      <c r="P280" s="29" t="str">
        <f t="shared" si="38"/>
        <v/>
      </c>
      <c r="Q280" s="29" t="str">
        <f t="shared" si="39"/>
        <v/>
      </c>
      <c r="R280" s="33"/>
    </row>
    <row r="281" spans="1:18" x14ac:dyDescent="0.25">
      <c r="A281" s="31"/>
      <c r="B281" s="34" t="str">
        <f t="shared" si="32"/>
        <v/>
      </c>
      <c r="C281" s="30"/>
      <c r="D281" s="10"/>
      <c r="E281" s="30"/>
      <c r="F281" s="36" t="str">
        <f t="shared" si="33"/>
        <v/>
      </c>
      <c r="G281" s="36" t="str">
        <f t="shared" si="34"/>
        <v/>
      </c>
      <c r="H281" s="36" t="str">
        <f t="shared" si="35"/>
        <v/>
      </c>
      <c r="I281" s="34" t="str">
        <f t="shared" si="36"/>
        <v/>
      </c>
      <c r="J281" s="35" t="str">
        <f t="shared" si="37"/>
        <v/>
      </c>
      <c r="K281" s="49"/>
      <c r="L281" s="30"/>
      <c r="M281" s="31"/>
      <c r="N281" s="33"/>
      <c r="O281" s="31"/>
      <c r="P281" s="29" t="str">
        <f t="shared" si="38"/>
        <v/>
      </c>
      <c r="Q281" s="29" t="str">
        <f t="shared" si="39"/>
        <v/>
      </c>
      <c r="R281" s="33"/>
    </row>
    <row r="282" spans="1:18" x14ac:dyDescent="0.25">
      <c r="A282" s="31"/>
      <c r="B282" s="34" t="str">
        <f t="shared" si="32"/>
        <v/>
      </c>
      <c r="C282" s="30"/>
      <c r="D282" s="10"/>
      <c r="E282" s="30"/>
      <c r="F282" s="36" t="str">
        <f t="shared" si="33"/>
        <v/>
      </c>
      <c r="G282" s="36" t="str">
        <f t="shared" si="34"/>
        <v/>
      </c>
      <c r="H282" s="36" t="str">
        <f t="shared" si="35"/>
        <v/>
      </c>
      <c r="I282" s="34" t="str">
        <f t="shared" si="36"/>
        <v/>
      </c>
      <c r="J282" s="35" t="str">
        <f t="shared" si="37"/>
        <v/>
      </c>
      <c r="K282" s="49"/>
      <c r="L282" s="30"/>
      <c r="M282" s="31"/>
      <c r="N282" s="33"/>
      <c r="O282" s="31"/>
      <c r="P282" s="29" t="str">
        <f t="shared" si="38"/>
        <v/>
      </c>
      <c r="Q282" s="29" t="str">
        <f t="shared" si="39"/>
        <v/>
      </c>
      <c r="R282" s="33"/>
    </row>
    <row r="283" spans="1:18" x14ac:dyDescent="0.25">
      <c r="A283" s="31"/>
      <c r="B283" s="34" t="str">
        <f t="shared" si="32"/>
        <v/>
      </c>
      <c r="C283" s="30"/>
      <c r="D283" s="10"/>
      <c r="E283" s="30"/>
      <c r="F283" s="36" t="str">
        <f t="shared" si="33"/>
        <v/>
      </c>
      <c r="G283" s="36" t="str">
        <f t="shared" si="34"/>
        <v/>
      </c>
      <c r="H283" s="36" t="str">
        <f t="shared" si="35"/>
        <v/>
      </c>
      <c r="I283" s="34" t="str">
        <f t="shared" si="36"/>
        <v/>
      </c>
      <c r="J283" s="35" t="str">
        <f t="shared" si="37"/>
        <v/>
      </c>
      <c r="K283" s="49"/>
      <c r="L283" s="30"/>
      <c r="M283" s="31"/>
      <c r="N283" s="33"/>
      <c r="O283" s="31"/>
      <c r="P283" s="29" t="str">
        <f t="shared" si="38"/>
        <v/>
      </c>
      <c r="Q283" s="29" t="str">
        <f t="shared" si="39"/>
        <v/>
      </c>
      <c r="R283" s="33"/>
    </row>
    <row r="284" spans="1:18" x14ac:dyDescent="0.25">
      <c r="A284" s="31"/>
      <c r="B284" s="34" t="str">
        <f t="shared" si="32"/>
        <v/>
      </c>
      <c r="C284" s="30"/>
      <c r="D284" s="10"/>
      <c r="E284" s="30"/>
      <c r="F284" s="36" t="str">
        <f t="shared" si="33"/>
        <v/>
      </c>
      <c r="G284" s="36" t="str">
        <f t="shared" si="34"/>
        <v/>
      </c>
      <c r="H284" s="36" t="str">
        <f t="shared" si="35"/>
        <v/>
      </c>
      <c r="I284" s="34" t="str">
        <f t="shared" si="36"/>
        <v/>
      </c>
      <c r="J284" s="35" t="str">
        <f t="shared" si="37"/>
        <v/>
      </c>
      <c r="K284" s="49"/>
      <c r="L284" s="30"/>
      <c r="M284" s="31"/>
      <c r="N284" s="33"/>
      <c r="O284" s="31"/>
      <c r="P284" s="29" t="str">
        <f t="shared" si="38"/>
        <v/>
      </c>
      <c r="Q284" s="29" t="str">
        <f t="shared" si="39"/>
        <v/>
      </c>
      <c r="R284" s="33"/>
    </row>
    <row r="285" spans="1:18" x14ac:dyDescent="0.25">
      <c r="A285" s="31"/>
      <c r="B285" s="34" t="str">
        <f t="shared" si="32"/>
        <v/>
      </c>
      <c r="C285" s="30"/>
      <c r="D285" s="10"/>
      <c r="E285" s="30"/>
      <c r="F285" s="36" t="str">
        <f t="shared" si="33"/>
        <v/>
      </c>
      <c r="G285" s="36" t="str">
        <f t="shared" si="34"/>
        <v/>
      </c>
      <c r="H285" s="36" t="str">
        <f t="shared" si="35"/>
        <v/>
      </c>
      <c r="I285" s="34" t="str">
        <f t="shared" si="36"/>
        <v/>
      </c>
      <c r="J285" s="35" t="str">
        <f t="shared" si="37"/>
        <v/>
      </c>
      <c r="K285" s="49"/>
      <c r="L285" s="30"/>
      <c r="M285" s="31"/>
      <c r="N285" s="33"/>
      <c r="O285" s="31"/>
      <c r="P285" s="29" t="str">
        <f t="shared" si="38"/>
        <v/>
      </c>
      <c r="Q285" s="29" t="str">
        <f t="shared" si="39"/>
        <v/>
      </c>
      <c r="R285" s="33"/>
    </row>
    <row r="286" spans="1:18" x14ac:dyDescent="0.25">
      <c r="A286" s="31"/>
      <c r="B286" s="34" t="str">
        <f t="shared" si="32"/>
        <v/>
      </c>
      <c r="C286" s="30"/>
      <c r="D286" s="10"/>
      <c r="E286" s="30"/>
      <c r="F286" s="36" t="str">
        <f t="shared" si="33"/>
        <v/>
      </c>
      <c r="G286" s="36" t="str">
        <f t="shared" si="34"/>
        <v/>
      </c>
      <c r="H286" s="36" t="str">
        <f t="shared" si="35"/>
        <v/>
      </c>
      <c r="I286" s="34" t="str">
        <f t="shared" si="36"/>
        <v/>
      </c>
      <c r="J286" s="35" t="str">
        <f t="shared" si="37"/>
        <v/>
      </c>
      <c r="K286" s="49"/>
      <c r="L286" s="30"/>
      <c r="M286" s="31"/>
      <c r="N286" s="33"/>
      <c r="O286" s="31"/>
      <c r="P286" s="29" t="str">
        <f t="shared" si="38"/>
        <v/>
      </c>
      <c r="Q286" s="29" t="str">
        <f t="shared" si="39"/>
        <v/>
      </c>
      <c r="R286" s="33"/>
    </row>
    <row r="287" spans="1:18" x14ac:dyDescent="0.25">
      <c r="A287" s="31"/>
      <c r="B287" s="34" t="str">
        <f t="shared" si="32"/>
        <v/>
      </c>
      <c r="C287" s="30"/>
      <c r="D287" s="10"/>
      <c r="E287" s="30"/>
      <c r="F287" s="36" t="str">
        <f t="shared" si="33"/>
        <v/>
      </c>
      <c r="G287" s="36" t="str">
        <f t="shared" si="34"/>
        <v/>
      </c>
      <c r="H287" s="36" t="str">
        <f t="shared" si="35"/>
        <v/>
      </c>
      <c r="I287" s="34" t="str">
        <f t="shared" si="36"/>
        <v/>
      </c>
      <c r="J287" s="35" t="str">
        <f t="shared" si="37"/>
        <v/>
      </c>
      <c r="K287" s="49"/>
      <c r="L287" s="30"/>
      <c r="M287" s="31"/>
      <c r="N287" s="33"/>
      <c r="O287" s="31"/>
      <c r="P287" s="29" t="str">
        <f t="shared" si="38"/>
        <v/>
      </c>
      <c r="Q287" s="29" t="str">
        <f t="shared" si="39"/>
        <v/>
      </c>
      <c r="R287" s="33"/>
    </row>
    <row r="288" spans="1:18" x14ac:dyDescent="0.25">
      <c r="A288" s="31"/>
      <c r="B288" s="34" t="str">
        <f t="shared" si="32"/>
        <v/>
      </c>
      <c r="C288" s="30"/>
      <c r="D288" s="10"/>
      <c r="E288" s="30"/>
      <c r="F288" s="36" t="str">
        <f t="shared" si="33"/>
        <v/>
      </c>
      <c r="G288" s="36" t="str">
        <f t="shared" si="34"/>
        <v/>
      </c>
      <c r="H288" s="36" t="str">
        <f t="shared" si="35"/>
        <v/>
      </c>
      <c r="I288" s="34" t="str">
        <f t="shared" si="36"/>
        <v/>
      </c>
      <c r="J288" s="35" t="str">
        <f t="shared" si="37"/>
        <v/>
      </c>
      <c r="K288" s="49"/>
      <c r="L288" s="30"/>
      <c r="M288" s="31"/>
      <c r="N288" s="33"/>
      <c r="O288" s="31"/>
      <c r="P288" s="29" t="str">
        <f t="shared" si="38"/>
        <v/>
      </c>
      <c r="Q288" s="29" t="str">
        <f t="shared" si="39"/>
        <v/>
      </c>
      <c r="R288" s="33"/>
    </row>
    <row r="289" spans="1:18" x14ac:dyDescent="0.25">
      <c r="A289" s="31"/>
      <c r="B289" s="34" t="str">
        <f t="shared" si="32"/>
        <v/>
      </c>
      <c r="C289" s="30"/>
      <c r="D289" s="10"/>
      <c r="E289" s="30"/>
      <c r="F289" s="36" t="str">
        <f t="shared" si="33"/>
        <v/>
      </c>
      <c r="G289" s="36" t="str">
        <f t="shared" si="34"/>
        <v/>
      </c>
      <c r="H289" s="36" t="str">
        <f t="shared" si="35"/>
        <v/>
      </c>
      <c r="I289" s="34" t="str">
        <f t="shared" si="36"/>
        <v/>
      </c>
      <c r="J289" s="35" t="str">
        <f t="shared" si="37"/>
        <v/>
      </c>
      <c r="K289" s="49"/>
      <c r="L289" s="30"/>
      <c r="M289" s="31"/>
      <c r="N289" s="33"/>
      <c r="O289" s="31"/>
      <c r="P289" s="29" t="str">
        <f t="shared" si="38"/>
        <v/>
      </c>
      <c r="Q289" s="29" t="str">
        <f t="shared" si="39"/>
        <v/>
      </c>
      <c r="R289" s="33"/>
    </row>
    <row r="290" spans="1:18" x14ac:dyDescent="0.25">
      <c r="A290" s="31"/>
      <c r="B290" s="34" t="str">
        <f t="shared" si="32"/>
        <v/>
      </c>
      <c r="C290" s="30"/>
      <c r="D290" s="10"/>
      <c r="E290" s="30"/>
      <c r="F290" s="36" t="str">
        <f t="shared" si="33"/>
        <v/>
      </c>
      <c r="G290" s="36" t="str">
        <f t="shared" si="34"/>
        <v/>
      </c>
      <c r="H290" s="36" t="str">
        <f t="shared" si="35"/>
        <v/>
      </c>
      <c r="I290" s="34" t="str">
        <f t="shared" si="36"/>
        <v/>
      </c>
      <c r="J290" s="35" t="str">
        <f t="shared" si="37"/>
        <v/>
      </c>
      <c r="K290" s="49"/>
      <c r="L290" s="30"/>
      <c r="M290" s="31"/>
      <c r="N290" s="33"/>
      <c r="O290" s="31"/>
      <c r="P290" s="29" t="str">
        <f t="shared" si="38"/>
        <v/>
      </c>
      <c r="Q290" s="29" t="str">
        <f t="shared" si="39"/>
        <v/>
      </c>
      <c r="R290" s="33"/>
    </row>
    <row r="291" spans="1:18" x14ac:dyDescent="0.25">
      <c r="A291" s="31"/>
      <c r="B291" s="34" t="str">
        <f t="shared" si="32"/>
        <v/>
      </c>
      <c r="C291" s="30"/>
      <c r="D291" s="10"/>
      <c r="E291" s="30"/>
      <c r="F291" s="36" t="str">
        <f t="shared" si="33"/>
        <v/>
      </c>
      <c r="G291" s="36" t="str">
        <f t="shared" si="34"/>
        <v/>
      </c>
      <c r="H291" s="36" t="str">
        <f t="shared" si="35"/>
        <v/>
      </c>
      <c r="I291" s="34" t="str">
        <f t="shared" si="36"/>
        <v/>
      </c>
      <c r="J291" s="35" t="str">
        <f t="shared" si="37"/>
        <v/>
      </c>
      <c r="K291" s="49"/>
      <c r="L291" s="30"/>
      <c r="M291" s="31"/>
      <c r="N291" s="33"/>
      <c r="O291" s="31"/>
      <c r="P291" s="29" t="str">
        <f t="shared" si="38"/>
        <v/>
      </c>
      <c r="Q291" s="29" t="str">
        <f t="shared" si="39"/>
        <v/>
      </c>
      <c r="R291" s="33"/>
    </row>
    <row r="292" spans="1:18" x14ac:dyDescent="0.25">
      <c r="A292" s="31"/>
      <c r="B292" s="34" t="str">
        <f t="shared" si="32"/>
        <v/>
      </c>
      <c r="C292" s="30"/>
      <c r="D292" s="10"/>
      <c r="E292" s="30"/>
      <c r="F292" s="36" t="str">
        <f t="shared" si="33"/>
        <v/>
      </c>
      <c r="G292" s="36" t="str">
        <f t="shared" si="34"/>
        <v/>
      </c>
      <c r="H292" s="36" t="str">
        <f t="shared" si="35"/>
        <v/>
      </c>
      <c r="I292" s="34" t="str">
        <f t="shared" si="36"/>
        <v/>
      </c>
      <c r="J292" s="35" t="str">
        <f t="shared" si="37"/>
        <v/>
      </c>
      <c r="K292" s="49"/>
      <c r="L292" s="30"/>
      <c r="M292" s="31"/>
      <c r="N292" s="33"/>
      <c r="O292" s="31"/>
      <c r="P292" s="29" t="str">
        <f t="shared" si="38"/>
        <v/>
      </c>
      <c r="Q292" s="29" t="str">
        <f t="shared" si="39"/>
        <v/>
      </c>
      <c r="R292" s="33"/>
    </row>
    <row r="293" spans="1:18" x14ac:dyDescent="0.25">
      <c r="A293" s="31"/>
      <c r="B293" s="34" t="str">
        <f t="shared" si="32"/>
        <v/>
      </c>
      <c r="C293" s="30"/>
      <c r="D293" s="10"/>
      <c r="E293" s="30"/>
      <c r="F293" s="36" t="str">
        <f t="shared" si="33"/>
        <v/>
      </c>
      <c r="G293" s="36" t="str">
        <f t="shared" si="34"/>
        <v/>
      </c>
      <c r="H293" s="36" t="str">
        <f t="shared" si="35"/>
        <v/>
      </c>
      <c r="I293" s="34" t="str">
        <f t="shared" si="36"/>
        <v/>
      </c>
      <c r="J293" s="35" t="str">
        <f t="shared" si="37"/>
        <v/>
      </c>
      <c r="K293" s="49"/>
      <c r="L293" s="30"/>
      <c r="M293" s="31"/>
      <c r="N293" s="33"/>
      <c r="O293" s="31"/>
      <c r="P293" s="29" t="str">
        <f t="shared" si="38"/>
        <v/>
      </c>
      <c r="Q293" s="29" t="str">
        <f t="shared" si="39"/>
        <v/>
      </c>
      <c r="R293" s="33"/>
    </row>
    <row r="294" spans="1:18" x14ac:dyDescent="0.25">
      <c r="A294" s="31"/>
      <c r="B294" s="34" t="str">
        <f t="shared" si="32"/>
        <v/>
      </c>
      <c r="C294" s="30"/>
      <c r="D294" s="10"/>
      <c r="E294" s="30"/>
      <c r="F294" s="36" t="str">
        <f t="shared" si="33"/>
        <v/>
      </c>
      <c r="G294" s="36" t="str">
        <f t="shared" si="34"/>
        <v/>
      </c>
      <c r="H294" s="36" t="str">
        <f t="shared" si="35"/>
        <v/>
      </c>
      <c r="I294" s="34" t="str">
        <f t="shared" si="36"/>
        <v/>
      </c>
      <c r="J294" s="35" t="str">
        <f t="shared" si="37"/>
        <v/>
      </c>
      <c r="K294" s="49"/>
      <c r="L294" s="30"/>
      <c r="M294" s="31"/>
      <c r="N294" s="33"/>
      <c r="O294" s="31"/>
      <c r="P294" s="29" t="str">
        <f t="shared" si="38"/>
        <v/>
      </c>
      <c r="Q294" s="29" t="str">
        <f t="shared" si="39"/>
        <v/>
      </c>
      <c r="R294" s="33"/>
    </row>
    <row r="295" spans="1:18" x14ac:dyDescent="0.25">
      <c r="A295" s="31"/>
      <c r="B295" s="34" t="str">
        <f t="shared" si="32"/>
        <v/>
      </c>
      <c r="C295" s="30"/>
      <c r="D295" s="10"/>
      <c r="E295" s="30"/>
      <c r="F295" s="36" t="str">
        <f t="shared" si="33"/>
        <v/>
      </c>
      <c r="G295" s="36" t="str">
        <f t="shared" si="34"/>
        <v/>
      </c>
      <c r="H295" s="36" t="str">
        <f t="shared" si="35"/>
        <v/>
      </c>
      <c r="I295" s="34" t="str">
        <f t="shared" si="36"/>
        <v/>
      </c>
      <c r="J295" s="35" t="str">
        <f t="shared" si="37"/>
        <v/>
      </c>
      <c r="K295" s="49"/>
      <c r="L295" s="30"/>
      <c r="M295" s="31"/>
      <c r="N295" s="33"/>
      <c r="O295" s="31"/>
      <c r="P295" s="29" t="str">
        <f t="shared" si="38"/>
        <v/>
      </c>
      <c r="Q295" s="29" t="str">
        <f t="shared" si="39"/>
        <v/>
      </c>
      <c r="R295" s="33"/>
    </row>
    <row r="296" spans="1:18" x14ac:dyDescent="0.25">
      <c r="A296" s="31"/>
      <c r="B296" s="34" t="str">
        <f t="shared" si="32"/>
        <v/>
      </c>
      <c r="C296" s="30"/>
      <c r="D296" s="10"/>
      <c r="E296" s="30"/>
      <c r="F296" s="36" t="str">
        <f t="shared" si="33"/>
        <v/>
      </c>
      <c r="G296" s="36" t="str">
        <f t="shared" si="34"/>
        <v/>
      </c>
      <c r="H296" s="36" t="str">
        <f t="shared" si="35"/>
        <v/>
      </c>
      <c r="I296" s="34" t="str">
        <f t="shared" si="36"/>
        <v/>
      </c>
      <c r="J296" s="35" t="str">
        <f t="shared" si="37"/>
        <v/>
      </c>
      <c r="K296" s="49"/>
      <c r="L296" s="30"/>
      <c r="M296" s="31"/>
      <c r="N296" s="33"/>
      <c r="O296" s="31"/>
      <c r="P296" s="29" t="str">
        <f t="shared" si="38"/>
        <v/>
      </c>
      <c r="Q296" s="29" t="str">
        <f t="shared" si="39"/>
        <v/>
      </c>
      <c r="R296" s="33"/>
    </row>
    <row r="297" spans="1:18" x14ac:dyDescent="0.25">
      <c r="A297" s="31"/>
      <c r="B297" s="34" t="str">
        <f t="shared" si="32"/>
        <v/>
      </c>
      <c r="C297" s="30"/>
      <c r="D297" s="10"/>
      <c r="E297" s="30"/>
      <c r="F297" s="36" t="str">
        <f t="shared" si="33"/>
        <v/>
      </c>
      <c r="G297" s="36" t="str">
        <f t="shared" si="34"/>
        <v/>
      </c>
      <c r="H297" s="36" t="str">
        <f t="shared" si="35"/>
        <v/>
      </c>
      <c r="I297" s="34" t="str">
        <f t="shared" si="36"/>
        <v/>
      </c>
      <c r="J297" s="35" t="str">
        <f t="shared" si="37"/>
        <v/>
      </c>
      <c r="K297" s="49"/>
      <c r="L297" s="30"/>
      <c r="M297" s="31"/>
      <c r="N297" s="33"/>
      <c r="O297" s="31"/>
      <c r="P297" s="29" t="str">
        <f t="shared" si="38"/>
        <v/>
      </c>
      <c r="Q297" s="29" t="str">
        <f t="shared" si="39"/>
        <v/>
      </c>
      <c r="R297" s="33"/>
    </row>
    <row r="298" spans="1:18" x14ac:dyDescent="0.25">
      <c r="A298" s="31"/>
      <c r="B298" s="34" t="str">
        <f t="shared" si="32"/>
        <v/>
      </c>
      <c r="C298" s="30"/>
      <c r="D298" s="10"/>
      <c r="E298" s="30"/>
      <c r="F298" s="36" t="str">
        <f t="shared" si="33"/>
        <v/>
      </c>
      <c r="G298" s="36" t="str">
        <f t="shared" si="34"/>
        <v/>
      </c>
      <c r="H298" s="36" t="str">
        <f t="shared" si="35"/>
        <v/>
      </c>
      <c r="I298" s="34" t="str">
        <f t="shared" si="36"/>
        <v/>
      </c>
      <c r="J298" s="35" t="str">
        <f t="shared" si="37"/>
        <v/>
      </c>
      <c r="K298" s="49"/>
      <c r="L298" s="30"/>
      <c r="M298" s="31"/>
      <c r="N298" s="33"/>
      <c r="O298" s="31"/>
      <c r="P298" s="29" t="str">
        <f t="shared" si="38"/>
        <v/>
      </c>
      <c r="Q298" s="29" t="str">
        <f t="shared" si="39"/>
        <v/>
      </c>
      <c r="R298" s="33"/>
    </row>
    <row r="299" spans="1:18" x14ac:dyDescent="0.25">
      <c r="A299" s="31"/>
      <c r="B299" s="34" t="str">
        <f t="shared" si="32"/>
        <v/>
      </c>
      <c r="C299" s="30"/>
      <c r="D299" s="10"/>
      <c r="E299" s="30"/>
      <c r="F299" s="36" t="str">
        <f t="shared" si="33"/>
        <v/>
      </c>
      <c r="G299" s="36" t="str">
        <f t="shared" si="34"/>
        <v/>
      </c>
      <c r="H299" s="36" t="str">
        <f t="shared" si="35"/>
        <v/>
      </c>
      <c r="I299" s="34" t="str">
        <f t="shared" si="36"/>
        <v/>
      </c>
      <c r="J299" s="35" t="str">
        <f t="shared" si="37"/>
        <v/>
      </c>
      <c r="K299" s="49"/>
      <c r="L299" s="30"/>
      <c r="M299" s="31"/>
      <c r="N299" s="33"/>
      <c r="O299" s="31"/>
      <c r="P299" s="29" t="str">
        <f t="shared" si="38"/>
        <v/>
      </c>
      <c r="Q299" s="29" t="str">
        <f t="shared" si="39"/>
        <v/>
      </c>
      <c r="R299" s="33"/>
    </row>
    <row r="300" spans="1:18" x14ac:dyDescent="0.25">
      <c r="A300" s="31"/>
      <c r="B300" s="34" t="str">
        <f t="shared" si="32"/>
        <v/>
      </c>
      <c r="C300" s="30"/>
      <c r="D300" s="10"/>
      <c r="E300" s="30"/>
      <c r="F300" s="36" t="str">
        <f t="shared" si="33"/>
        <v/>
      </c>
      <c r="G300" s="36" t="str">
        <f t="shared" si="34"/>
        <v/>
      </c>
      <c r="H300" s="36" t="str">
        <f t="shared" si="35"/>
        <v/>
      </c>
      <c r="I300" s="34" t="str">
        <f t="shared" si="36"/>
        <v/>
      </c>
      <c r="J300" s="35" t="str">
        <f t="shared" si="37"/>
        <v/>
      </c>
      <c r="K300" s="49"/>
      <c r="L300" s="30"/>
      <c r="M300" s="31"/>
      <c r="N300" s="33"/>
      <c r="O300" s="31"/>
      <c r="P300" s="29" t="str">
        <f t="shared" si="38"/>
        <v/>
      </c>
      <c r="Q300" s="29" t="str">
        <f t="shared" si="39"/>
        <v/>
      </c>
      <c r="R300" s="33"/>
    </row>
    <row r="301" spans="1:18" x14ac:dyDescent="0.25">
      <c r="A301" s="31"/>
      <c r="B301" s="34" t="str">
        <f t="shared" si="32"/>
        <v/>
      </c>
      <c r="C301" s="30"/>
      <c r="D301" s="10"/>
      <c r="E301" s="30"/>
      <c r="F301" s="36" t="str">
        <f t="shared" si="33"/>
        <v/>
      </c>
      <c r="G301" s="36" t="str">
        <f t="shared" si="34"/>
        <v/>
      </c>
      <c r="H301" s="36" t="str">
        <f t="shared" si="35"/>
        <v/>
      </c>
      <c r="I301" s="34" t="str">
        <f t="shared" si="36"/>
        <v/>
      </c>
      <c r="J301" s="35" t="str">
        <f t="shared" si="37"/>
        <v/>
      </c>
      <c r="K301" s="49"/>
      <c r="L301" s="30"/>
      <c r="M301" s="31"/>
      <c r="N301" s="33"/>
      <c r="O301" s="31"/>
      <c r="P301" s="29" t="str">
        <f t="shared" si="38"/>
        <v/>
      </c>
      <c r="Q301" s="29" t="str">
        <f t="shared" si="39"/>
        <v/>
      </c>
      <c r="R301" s="33"/>
    </row>
    <row r="302" spans="1:18" x14ac:dyDescent="0.25">
      <c r="A302" s="31"/>
      <c r="B302" s="34" t="str">
        <f t="shared" si="32"/>
        <v/>
      </c>
      <c r="C302" s="30"/>
      <c r="D302" s="10"/>
      <c r="E302" s="30"/>
      <c r="F302" s="36" t="str">
        <f t="shared" si="33"/>
        <v/>
      </c>
      <c r="G302" s="36" t="str">
        <f t="shared" si="34"/>
        <v/>
      </c>
      <c r="H302" s="36" t="str">
        <f t="shared" si="35"/>
        <v/>
      </c>
      <c r="I302" s="34" t="str">
        <f t="shared" si="36"/>
        <v/>
      </c>
      <c r="J302" s="35" t="str">
        <f t="shared" si="37"/>
        <v/>
      </c>
      <c r="K302" s="49"/>
      <c r="L302" s="30"/>
      <c r="M302" s="31"/>
      <c r="N302" s="33"/>
      <c r="O302" s="31"/>
      <c r="P302" s="29" t="str">
        <f t="shared" si="38"/>
        <v/>
      </c>
      <c r="Q302" s="29" t="str">
        <f t="shared" si="39"/>
        <v/>
      </c>
      <c r="R302" s="33"/>
    </row>
    <row r="303" spans="1:18" x14ac:dyDescent="0.25">
      <c r="A303" s="31"/>
      <c r="B303" s="34" t="str">
        <f t="shared" si="32"/>
        <v/>
      </c>
      <c r="C303" s="30"/>
      <c r="D303" s="10"/>
      <c r="E303" s="30"/>
      <c r="F303" s="36" t="str">
        <f t="shared" si="33"/>
        <v/>
      </c>
      <c r="G303" s="36" t="str">
        <f t="shared" si="34"/>
        <v/>
      </c>
      <c r="H303" s="36" t="str">
        <f t="shared" si="35"/>
        <v/>
      </c>
      <c r="I303" s="34" t="str">
        <f t="shared" si="36"/>
        <v/>
      </c>
      <c r="J303" s="35" t="str">
        <f t="shared" si="37"/>
        <v/>
      </c>
      <c r="K303" s="49"/>
      <c r="L303" s="30"/>
      <c r="M303" s="31"/>
      <c r="N303" s="33"/>
      <c r="O303" s="31"/>
      <c r="P303" s="29" t="str">
        <f t="shared" si="38"/>
        <v/>
      </c>
      <c r="Q303" s="29" t="str">
        <f t="shared" si="39"/>
        <v/>
      </c>
      <c r="R303" s="33"/>
    </row>
    <row r="304" spans="1:18" x14ac:dyDescent="0.25">
      <c r="A304" s="31"/>
      <c r="B304" s="34" t="str">
        <f t="shared" si="32"/>
        <v/>
      </c>
      <c r="C304" s="30"/>
      <c r="D304" s="10"/>
      <c r="E304" s="30"/>
      <c r="F304" s="36" t="str">
        <f t="shared" si="33"/>
        <v/>
      </c>
      <c r="G304" s="36" t="str">
        <f t="shared" si="34"/>
        <v/>
      </c>
      <c r="H304" s="36" t="str">
        <f t="shared" si="35"/>
        <v/>
      </c>
      <c r="I304" s="34" t="str">
        <f t="shared" si="36"/>
        <v/>
      </c>
      <c r="J304" s="35" t="str">
        <f t="shared" si="37"/>
        <v/>
      </c>
      <c r="K304" s="49"/>
      <c r="L304" s="30"/>
      <c r="M304" s="31"/>
      <c r="N304" s="33"/>
      <c r="O304" s="31"/>
      <c r="P304" s="29" t="str">
        <f t="shared" si="38"/>
        <v/>
      </c>
      <c r="Q304" s="29" t="str">
        <f t="shared" si="39"/>
        <v/>
      </c>
      <c r="R304" s="33"/>
    </row>
    <row r="305" spans="1:18" x14ac:dyDescent="0.25">
      <c r="A305" s="31"/>
      <c r="B305" s="34" t="str">
        <f t="shared" si="32"/>
        <v/>
      </c>
      <c r="C305" s="30"/>
      <c r="D305" s="10"/>
      <c r="E305" s="30"/>
      <c r="F305" s="36" t="str">
        <f t="shared" si="33"/>
        <v/>
      </c>
      <c r="G305" s="36" t="str">
        <f t="shared" si="34"/>
        <v/>
      </c>
      <c r="H305" s="36" t="str">
        <f t="shared" si="35"/>
        <v/>
      </c>
      <c r="I305" s="34" t="str">
        <f t="shared" si="36"/>
        <v/>
      </c>
      <c r="J305" s="35" t="str">
        <f t="shared" si="37"/>
        <v/>
      </c>
      <c r="K305" s="49"/>
      <c r="L305" s="30"/>
      <c r="M305" s="31"/>
      <c r="N305" s="33"/>
      <c r="O305" s="31"/>
      <c r="P305" s="29" t="str">
        <f t="shared" si="38"/>
        <v/>
      </c>
      <c r="Q305" s="29" t="str">
        <f t="shared" si="39"/>
        <v/>
      </c>
      <c r="R305" s="33"/>
    </row>
    <row r="306" spans="1:18" x14ac:dyDescent="0.25">
      <c r="A306" s="31"/>
      <c r="B306" s="34" t="str">
        <f t="shared" si="32"/>
        <v/>
      </c>
      <c r="C306" s="30"/>
      <c r="D306" s="10"/>
      <c r="E306" s="30"/>
      <c r="F306" s="36" t="str">
        <f t="shared" si="33"/>
        <v/>
      </c>
      <c r="G306" s="36" t="str">
        <f t="shared" si="34"/>
        <v/>
      </c>
      <c r="H306" s="36" t="str">
        <f t="shared" si="35"/>
        <v/>
      </c>
      <c r="I306" s="34" t="str">
        <f t="shared" si="36"/>
        <v/>
      </c>
      <c r="J306" s="35" t="str">
        <f t="shared" si="37"/>
        <v/>
      </c>
      <c r="K306" s="49"/>
      <c r="L306" s="30"/>
      <c r="M306" s="31"/>
      <c r="N306" s="33"/>
      <c r="O306" s="31"/>
      <c r="P306" s="29" t="str">
        <f t="shared" si="38"/>
        <v/>
      </c>
      <c r="Q306" s="29" t="str">
        <f t="shared" si="39"/>
        <v/>
      </c>
      <c r="R306" s="33"/>
    </row>
    <row r="307" spans="1:18" x14ac:dyDescent="0.25">
      <c r="A307" s="31"/>
      <c r="B307" s="34" t="str">
        <f t="shared" si="32"/>
        <v/>
      </c>
      <c r="C307" s="30"/>
      <c r="D307" s="10"/>
      <c r="E307" s="30"/>
      <c r="F307" s="36" t="str">
        <f t="shared" si="33"/>
        <v/>
      </c>
      <c r="G307" s="36" t="str">
        <f t="shared" si="34"/>
        <v/>
      </c>
      <c r="H307" s="36" t="str">
        <f t="shared" si="35"/>
        <v/>
      </c>
      <c r="I307" s="34" t="str">
        <f t="shared" si="36"/>
        <v/>
      </c>
      <c r="J307" s="35" t="str">
        <f t="shared" si="37"/>
        <v/>
      </c>
      <c r="K307" s="49"/>
      <c r="L307" s="30"/>
      <c r="M307" s="31"/>
      <c r="N307" s="33"/>
      <c r="O307" s="31"/>
      <c r="P307" s="29" t="str">
        <f t="shared" si="38"/>
        <v/>
      </c>
      <c r="Q307" s="29" t="str">
        <f t="shared" si="39"/>
        <v/>
      </c>
      <c r="R307" s="33"/>
    </row>
    <row r="308" spans="1:18" x14ac:dyDescent="0.25">
      <c r="A308" s="31"/>
      <c r="B308" s="34" t="str">
        <f t="shared" si="32"/>
        <v/>
      </c>
      <c r="C308" s="30"/>
      <c r="D308" s="10"/>
      <c r="E308" s="30"/>
      <c r="F308" s="36" t="str">
        <f t="shared" si="33"/>
        <v/>
      </c>
      <c r="G308" s="36" t="str">
        <f t="shared" si="34"/>
        <v/>
      </c>
      <c r="H308" s="36" t="str">
        <f t="shared" si="35"/>
        <v/>
      </c>
      <c r="I308" s="34" t="str">
        <f t="shared" si="36"/>
        <v/>
      </c>
      <c r="J308" s="35" t="str">
        <f t="shared" si="37"/>
        <v/>
      </c>
      <c r="K308" s="49"/>
      <c r="L308" s="30"/>
      <c r="M308" s="31"/>
      <c r="N308" s="33"/>
      <c r="O308" s="31"/>
      <c r="P308" s="29" t="str">
        <f t="shared" si="38"/>
        <v/>
      </c>
      <c r="Q308" s="29" t="str">
        <f t="shared" si="39"/>
        <v/>
      </c>
      <c r="R308" s="33"/>
    </row>
    <row r="309" spans="1:18" x14ac:dyDescent="0.25">
      <c r="A309" s="31"/>
      <c r="B309" s="34" t="str">
        <f t="shared" si="32"/>
        <v/>
      </c>
      <c r="C309" s="30"/>
      <c r="D309" s="10"/>
      <c r="E309" s="30"/>
      <c r="F309" s="36" t="str">
        <f t="shared" si="33"/>
        <v/>
      </c>
      <c r="G309" s="36" t="str">
        <f t="shared" si="34"/>
        <v/>
      </c>
      <c r="H309" s="36" t="str">
        <f t="shared" si="35"/>
        <v/>
      </c>
      <c r="I309" s="34" t="str">
        <f t="shared" si="36"/>
        <v/>
      </c>
      <c r="J309" s="35" t="str">
        <f t="shared" si="37"/>
        <v/>
      </c>
      <c r="K309" s="49"/>
      <c r="L309" s="30"/>
      <c r="M309" s="31"/>
      <c r="N309" s="33"/>
      <c r="O309" s="31"/>
      <c r="P309" s="29" t="str">
        <f t="shared" si="38"/>
        <v/>
      </c>
      <c r="Q309" s="29" t="str">
        <f t="shared" si="39"/>
        <v/>
      </c>
      <c r="R309" s="33"/>
    </row>
    <row r="310" spans="1:18" x14ac:dyDescent="0.25">
      <c r="A310" s="31"/>
      <c r="B310" s="34" t="str">
        <f t="shared" si="32"/>
        <v/>
      </c>
      <c r="C310" s="30"/>
      <c r="D310" s="10"/>
      <c r="E310" s="30"/>
      <c r="F310" s="36" t="str">
        <f t="shared" si="33"/>
        <v/>
      </c>
      <c r="G310" s="36" t="str">
        <f t="shared" si="34"/>
        <v/>
      </c>
      <c r="H310" s="36" t="str">
        <f t="shared" si="35"/>
        <v/>
      </c>
      <c r="I310" s="34" t="str">
        <f t="shared" si="36"/>
        <v/>
      </c>
      <c r="J310" s="35" t="str">
        <f t="shared" si="37"/>
        <v/>
      </c>
      <c r="K310" s="49"/>
      <c r="L310" s="30"/>
      <c r="M310" s="31"/>
      <c r="N310" s="33"/>
      <c r="O310" s="31"/>
      <c r="P310" s="29" t="str">
        <f t="shared" si="38"/>
        <v/>
      </c>
      <c r="Q310" s="29" t="str">
        <f t="shared" si="39"/>
        <v/>
      </c>
      <c r="R310" s="33"/>
    </row>
    <row r="311" spans="1:18" x14ac:dyDescent="0.25">
      <c r="A311" s="31"/>
      <c r="B311" s="34" t="str">
        <f t="shared" si="32"/>
        <v/>
      </c>
      <c r="C311" s="30"/>
      <c r="D311" s="10"/>
      <c r="E311" s="30"/>
      <c r="F311" s="36" t="str">
        <f t="shared" si="33"/>
        <v/>
      </c>
      <c r="G311" s="36" t="str">
        <f t="shared" si="34"/>
        <v/>
      </c>
      <c r="H311" s="36" t="str">
        <f t="shared" si="35"/>
        <v/>
      </c>
      <c r="I311" s="34" t="str">
        <f t="shared" si="36"/>
        <v/>
      </c>
      <c r="J311" s="35" t="str">
        <f t="shared" si="37"/>
        <v/>
      </c>
      <c r="K311" s="49"/>
      <c r="L311" s="30"/>
      <c r="M311" s="31"/>
      <c r="N311" s="33"/>
      <c r="O311" s="31"/>
      <c r="P311" s="29" t="str">
        <f t="shared" si="38"/>
        <v/>
      </c>
      <c r="Q311" s="29" t="str">
        <f t="shared" si="39"/>
        <v/>
      </c>
      <c r="R311" s="33"/>
    </row>
    <row r="312" spans="1:18" x14ac:dyDescent="0.25">
      <c r="A312" s="31"/>
      <c r="B312" s="34" t="str">
        <f t="shared" si="32"/>
        <v/>
      </c>
      <c r="C312" s="30"/>
      <c r="D312" s="10"/>
      <c r="E312" s="30"/>
      <c r="F312" s="36" t="str">
        <f t="shared" si="33"/>
        <v/>
      </c>
      <c r="G312" s="36" t="str">
        <f t="shared" si="34"/>
        <v/>
      </c>
      <c r="H312" s="36" t="str">
        <f t="shared" si="35"/>
        <v/>
      </c>
      <c r="I312" s="34" t="str">
        <f t="shared" si="36"/>
        <v/>
      </c>
      <c r="J312" s="35" t="str">
        <f t="shared" si="37"/>
        <v/>
      </c>
      <c r="K312" s="49"/>
      <c r="L312" s="30"/>
      <c r="M312" s="31"/>
      <c r="N312" s="33"/>
      <c r="O312" s="31"/>
      <c r="P312" s="29" t="str">
        <f t="shared" si="38"/>
        <v/>
      </c>
      <c r="Q312" s="29" t="str">
        <f t="shared" si="39"/>
        <v/>
      </c>
      <c r="R312" s="33"/>
    </row>
    <row r="313" spans="1:18" x14ac:dyDescent="0.25">
      <c r="A313" s="31"/>
      <c r="B313" s="34" t="str">
        <f t="shared" si="32"/>
        <v/>
      </c>
      <c r="C313" s="30"/>
      <c r="D313" s="10"/>
      <c r="E313" s="30"/>
      <c r="F313" s="36" t="str">
        <f t="shared" si="33"/>
        <v/>
      </c>
      <c r="G313" s="36" t="str">
        <f t="shared" si="34"/>
        <v/>
      </c>
      <c r="H313" s="36" t="str">
        <f t="shared" si="35"/>
        <v/>
      </c>
      <c r="I313" s="34" t="str">
        <f t="shared" si="36"/>
        <v/>
      </c>
      <c r="J313" s="35" t="str">
        <f t="shared" si="37"/>
        <v/>
      </c>
      <c r="K313" s="49"/>
      <c r="L313" s="30"/>
      <c r="M313" s="31"/>
      <c r="N313" s="33"/>
      <c r="O313" s="31"/>
      <c r="P313" s="29" t="str">
        <f t="shared" si="38"/>
        <v/>
      </c>
      <c r="Q313" s="29" t="str">
        <f t="shared" si="39"/>
        <v/>
      </c>
      <c r="R313" s="33"/>
    </row>
    <row r="314" spans="1:18" x14ac:dyDescent="0.25">
      <c r="A314" s="31"/>
      <c r="B314" s="34" t="str">
        <f t="shared" si="32"/>
        <v/>
      </c>
      <c r="C314" s="30"/>
      <c r="D314" s="10"/>
      <c r="E314" s="30"/>
      <c r="F314" s="36" t="str">
        <f t="shared" si="33"/>
        <v/>
      </c>
      <c r="G314" s="36" t="str">
        <f t="shared" si="34"/>
        <v/>
      </c>
      <c r="H314" s="36" t="str">
        <f t="shared" si="35"/>
        <v/>
      </c>
      <c r="I314" s="34" t="str">
        <f t="shared" si="36"/>
        <v/>
      </c>
      <c r="J314" s="35" t="str">
        <f t="shared" si="37"/>
        <v/>
      </c>
      <c r="K314" s="49"/>
      <c r="L314" s="30"/>
      <c r="M314" s="31"/>
      <c r="N314" s="33"/>
      <c r="O314" s="31"/>
      <c r="P314" s="29" t="str">
        <f t="shared" si="38"/>
        <v/>
      </c>
      <c r="Q314" s="29" t="str">
        <f t="shared" si="39"/>
        <v/>
      </c>
      <c r="R314" s="33"/>
    </row>
    <row r="315" spans="1:18" x14ac:dyDescent="0.25">
      <c r="A315" s="31"/>
      <c r="B315" s="34" t="str">
        <f t="shared" si="32"/>
        <v/>
      </c>
      <c r="C315" s="30"/>
      <c r="D315" s="10"/>
      <c r="E315" s="30"/>
      <c r="F315" s="36" t="str">
        <f t="shared" si="33"/>
        <v/>
      </c>
      <c r="G315" s="36" t="str">
        <f t="shared" si="34"/>
        <v/>
      </c>
      <c r="H315" s="36" t="str">
        <f t="shared" si="35"/>
        <v/>
      </c>
      <c r="I315" s="34" t="str">
        <f t="shared" si="36"/>
        <v/>
      </c>
      <c r="J315" s="35" t="str">
        <f t="shared" si="37"/>
        <v/>
      </c>
      <c r="K315" s="49"/>
      <c r="L315" s="30"/>
      <c r="M315" s="31"/>
      <c r="N315" s="33"/>
      <c r="O315" s="31"/>
      <c r="P315" s="29" t="str">
        <f t="shared" si="38"/>
        <v/>
      </c>
      <c r="Q315" s="29" t="str">
        <f t="shared" si="39"/>
        <v/>
      </c>
      <c r="R315" s="33"/>
    </row>
    <row r="316" spans="1:18" x14ac:dyDescent="0.25">
      <c r="A316" s="31"/>
      <c r="B316" s="34" t="str">
        <f t="shared" si="32"/>
        <v/>
      </c>
      <c r="C316" s="30"/>
      <c r="D316" s="10"/>
      <c r="E316" s="30"/>
      <c r="F316" s="36" t="str">
        <f t="shared" si="33"/>
        <v/>
      </c>
      <c r="G316" s="36" t="str">
        <f t="shared" si="34"/>
        <v/>
      </c>
      <c r="H316" s="36" t="str">
        <f t="shared" si="35"/>
        <v/>
      </c>
      <c r="I316" s="34" t="str">
        <f t="shared" si="36"/>
        <v/>
      </c>
      <c r="J316" s="35" t="str">
        <f t="shared" si="37"/>
        <v/>
      </c>
      <c r="K316" s="49"/>
      <c r="L316" s="30"/>
      <c r="M316" s="31"/>
      <c r="N316" s="33"/>
      <c r="O316" s="31"/>
      <c r="P316" s="29" t="str">
        <f t="shared" si="38"/>
        <v/>
      </c>
      <c r="Q316" s="29" t="str">
        <f t="shared" si="39"/>
        <v/>
      </c>
      <c r="R316" s="33"/>
    </row>
    <row r="317" spans="1:18" x14ac:dyDescent="0.25">
      <c r="A317" s="31"/>
      <c r="B317" s="34" t="str">
        <f t="shared" si="32"/>
        <v/>
      </c>
      <c r="C317" s="30"/>
      <c r="D317" s="10"/>
      <c r="E317" s="30"/>
      <c r="F317" s="36" t="str">
        <f t="shared" si="33"/>
        <v/>
      </c>
      <c r="G317" s="36" t="str">
        <f t="shared" si="34"/>
        <v/>
      </c>
      <c r="H317" s="36" t="str">
        <f t="shared" si="35"/>
        <v/>
      </c>
      <c r="I317" s="34" t="str">
        <f t="shared" si="36"/>
        <v/>
      </c>
      <c r="J317" s="35" t="str">
        <f t="shared" si="37"/>
        <v/>
      </c>
      <c r="K317" s="49"/>
      <c r="L317" s="30"/>
      <c r="M317" s="31"/>
      <c r="N317" s="33"/>
      <c r="O317" s="31"/>
      <c r="P317" s="29" t="str">
        <f t="shared" si="38"/>
        <v/>
      </c>
      <c r="Q317" s="29" t="str">
        <f t="shared" si="39"/>
        <v/>
      </c>
      <c r="R317" s="33"/>
    </row>
    <row r="318" spans="1:18" x14ac:dyDescent="0.25">
      <c r="A318" s="31"/>
      <c r="B318" s="34" t="str">
        <f t="shared" si="32"/>
        <v/>
      </c>
      <c r="C318" s="30"/>
      <c r="D318" s="10"/>
      <c r="E318" s="30"/>
      <c r="F318" s="36" t="str">
        <f t="shared" si="33"/>
        <v/>
      </c>
      <c r="G318" s="36" t="str">
        <f t="shared" si="34"/>
        <v/>
      </c>
      <c r="H318" s="36" t="str">
        <f t="shared" si="35"/>
        <v/>
      </c>
      <c r="I318" s="34" t="str">
        <f t="shared" si="36"/>
        <v/>
      </c>
      <c r="J318" s="35" t="str">
        <f t="shared" si="37"/>
        <v/>
      </c>
      <c r="K318" s="49"/>
      <c r="L318" s="30"/>
      <c r="M318" s="31"/>
      <c r="N318" s="33"/>
      <c r="O318" s="31"/>
      <c r="P318" s="29" t="str">
        <f t="shared" si="38"/>
        <v/>
      </c>
      <c r="Q318" s="29" t="str">
        <f t="shared" si="39"/>
        <v/>
      </c>
      <c r="R318" s="33"/>
    </row>
    <row r="319" spans="1:18" x14ac:dyDescent="0.25">
      <c r="A319" s="31"/>
      <c r="B319" s="34" t="str">
        <f t="shared" si="32"/>
        <v/>
      </c>
      <c r="C319" s="30"/>
      <c r="D319" s="10"/>
      <c r="E319" s="30"/>
      <c r="F319" s="36" t="str">
        <f t="shared" si="33"/>
        <v/>
      </c>
      <c r="G319" s="36" t="str">
        <f t="shared" si="34"/>
        <v/>
      </c>
      <c r="H319" s="36" t="str">
        <f t="shared" si="35"/>
        <v/>
      </c>
      <c r="I319" s="34" t="str">
        <f t="shared" si="36"/>
        <v/>
      </c>
      <c r="J319" s="35" t="str">
        <f t="shared" si="37"/>
        <v/>
      </c>
      <c r="K319" s="49"/>
      <c r="L319" s="30"/>
      <c r="M319" s="31"/>
      <c r="N319" s="33"/>
      <c r="O319" s="31"/>
      <c r="P319" s="29" t="str">
        <f t="shared" si="38"/>
        <v/>
      </c>
      <c r="Q319" s="29" t="str">
        <f t="shared" si="39"/>
        <v/>
      </c>
      <c r="R319" s="33"/>
    </row>
    <row r="320" spans="1:18" x14ac:dyDescent="0.25">
      <c r="A320" s="31"/>
      <c r="B320" s="34" t="str">
        <f t="shared" si="32"/>
        <v/>
      </c>
      <c r="C320" s="30"/>
      <c r="D320" s="10"/>
      <c r="E320" s="30"/>
      <c r="F320" s="36" t="str">
        <f t="shared" si="33"/>
        <v/>
      </c>
      <c r="G320" s="36" t="str">
        <f t="shared" si="34"/>
        <v/>
      </c>
      <c r="H320" s="36" t="str">
        <f t="shared" si="35"/>
        <v/>
      </c>
      <c r="I320" s="34" t="str">
        <f t="shared" si="36"/>
        <v/>
      </c>
      <c r="J320" s="35" t="str">
        <f t="shared" si="37"/>
        <v/>
      </c>
      <c r="K320" s="49"/>
      <c r="L320" s="30"/>
      <c r="M320" s="31"/>
      <c r="N320" s="33"/>
      <c r="O320" s="31"/>
      <c r="P320" s="29" t="str">
        <f t="shared" si="38"/>
        <v/>
      </c>
      <c r="Q320" s="29" t="str">
        <f t="shared" si="39"/>
        <v/>
      </c>
      <c r="R320" s="33"/>
    </row>
    <row r="321" spans="1:18" x14ac:dyDescent="0.25">
      <c r="A321" s="31"/>
      <c r="B321" s="34" t="str">
        <f t="shared" si="32"/>
        <v/>
      </c>
      <c r="C321" s="30"/>
      <c r="D321" s="10"/>
      <c r="E321" s="30"/>
      <c r="F321" s="36" t="str">
        <f t="shared" si="33"/>
        <v/>
      </c>
      <c r="G321" s="36" t="str">
        <f t="shared" si="34"/>
        <v/>
      </c>
      <c r="H321" s="36" t="str">
        <f t="shared" si="35"/>
        <v/>
      </c>
      <c r="I321" s="34" t="str">
        <f t="shared" si="36"/>
        <v/>
      </c>
      <c r="J321" s="35" t="str">
        <f t="shared" si="37"/>
        <v/>
      </c>
      <c r="K321" s="49"/>
      <c r="L321" s="30"/>
      <c r="M321" s="31"/>
      <c r="N321" s="33"/>
      <c r="O321" s="31"/>
      <c r="P321" s="29" t="str">
        <f t="shared" si="38"/>
        <v/>
      </c>
      <c r="Q321" s="29" t="str">
        <f t="shared" si="39"/>
        <v/>
      </c>
      <c r="R321" s="33"/>
    </row>
    <row r="322" spans="1:18" x14ac:dyDescent="0.25">
      <c r="A322" s="31"/>
      <c r="B322" s="34" t="str">
        <f t="shared" si="32"/>
        <v/>
      </c>
      <c r="C322" s="30"/>
      <c r="D322" s="10"/>
      <c r="E322" s="30"/>
      <c r="F322" s="36" t="str">
        <f t="shared" si="33"/>
        <v/>
      </c>
      <c r="G322" s="36" t="str">
        <f t="shared" si="34"/>
        <v/>
      </c>
      <c r="H322" s="36" t="str">
        <f t="shared" si="35"/>
        <v/>
      </c>
      <c r="I322" s="34" t="str">
        <f t="shared" si="36"/>
        <v/>
      </c>
      <c r="J322" s="35" t="str">
        <f t="shared" si="37"/>
        <v/>
      </c>
      <c r="K322" s="49"/>
      <c r="L322" s="30"/>
      <c r="M322" s="31"/>
      <c r="N322" s="33"/>
      <c r="O322" s="31"/>
      <c r="P322" s="29" t="str">
        <f t="shared" si="38"/>
        <v/>
      </c>
      <c r="Q322" s="29" t="str">
        <f t="shared" si="39"/>
        <v/>
      </c>
      <c r="R322" s="33"/>
    </row>
    <row r="323" spans="1:18" x14ac:dyDescent="0.25">
      <c r="A323" s="31"/>
      <c r="B323" s="34" t="str">
        <f t="shared" si="32"/>
        <v/>
      </c>
      <c r="C323" s="30"/>
      <c r="D323" s="10"/>
      <c r="E323" s="30"/>
      <c r="F323" s="36" t="str">
        <f t="shared" si="33"/>
        <v/>
      </c>
      <c r="G323" s="36" t="str">
        <f t="shared" si="34"/>
        <v/>
      </c>
      <c r="H323" s="36" t="str">
        <f t="shared" si="35"/>
        <v/>
      </c>
      <c r="I323" s="34" t="str">
        <f t="shared" si="36"/>
        <v/>
      </c>
      <c r="J323" s="35" t="str">
        <f t="shared" si="37"/>
        <v/>
      </c>
      <c r="K323" s="49"/>
      <c r="L323" s="30"/>
      <c r="M323" s="31"/>
      <c r="N323" s="33"/>
      <c r="O323" s="31"/>
      <c r="P323" s="29" t="str">
        <f t="shared" si="38"/>
        <v/>
      </c>
      <c r="Q323" s="29" t="str">
        <f t="shared" si="39"/>
        <v/>
      </c>
      <c r="R323" s="33"/>
    </row>
    <row r="324" spans="1:18" x14ac:dyDescent="0.25">
      <c r="A324" s="31"/>
      <c r="B324" s="34" t="str">
        <f t="shared" si="32"/>
        <v/>
      </c>
      <c r="C324" s="30"/>
      <c r="D324" s="10"/>
      <c r="E324" s="30"/>
      <c r="F324" s="36" t="str">
        <f t="shared" si="33"/>
        <v/>
      </c>
      <c r="G324" s="36" t="str">
        <f t="shared" si="34"/>
        <v/>
      </c>
      <c r="H324" s="36" t="str">
        <f t="shared" si="35"/>
        <v/>
      </c>
      <c r="I324" s="34" t="str">
        <f t="shared" si="36"/>
        <v/>
      </c>
      <c r="J324" s="35" t="str">
        <f t="shared" si="37"/>
        <v/>
      </c>
      <c r="K324" s="49"/>
      <c r="L324" s="30"/>
      <c r="M324" s="31"/>
      <c r="N324" s="33"/>
      <c r="O324" s="31"/>
      <c r="P324" s="29" t="str">
        <f t="shared" si="38"/>
        <v/>
      </c>
      <c r="Q324" s="29" t="str">
        <f t="shared" si="39"/>
        <v/>
      </c>
      <c r="R324" s="33"/>
    </row>
    <row r="325" spans="1:18" x14ac:dyDescent="0.25">
      <c r="A325" s="31"/>
      <c r="B325" s="34" t="str">
        <f t="shared" ref="B325:B388" si="40">IFERROR(IF($E325="","",VLOOKUP($E325,CAD_TAB,2,FALSE)),"")</f>
        <v/>
      </c>
      <c r="C325" s="30"/>
      <c r="D325" s="10"/>
      <c r="E325" s="30"/>
      <c r="F325" s="36" t="str">
        <f t="shared" ref="F325:F388" si="41">IFERROR(IF($E325="","",VLOOKUP($E325,CAD_TAB,8,FALSE)),"")</f>
        <v/>
      </c>
      <c r="G325" s="36" t="str">
        <f t="shared" ref="G325:G388" si="42">IFERROR(IF($E325="","",VLOOKUP($E325,CAD_TAB,9,FALSE)),"")</f>
        <v/>
      </c>
      <c r="H325" s="36" t="str">
        <f t="shared" ref="H325:H388" si="43">IFERROR(IF($E325="","",VLOOKUP($E325,CAD_TAB,11,FALSE)),"")</f>
        <v/>
      </c>
      <c r="I325" s="34" t="str">
        <f t="shared" ref="I325:I388" si="44">IFERROR(IF($E325="","",VLOOKUP($E325,CAD_TAB,7,FALSE)),"")</f>
        <v/>
      </c>
      <c r="J325" s="35" t="str">
        <f t="shared" ref="J325:J388" si="45">IFERROR(IF($E325="","",VLOOKUP($E325,CAD_TAB,6,FALSE)),"")</f>
        <v/>
      </c>
      <c r="K325" s="49"/>
      <c r="L325" s="30"/>
      <c r="M325" s="31"/>
      <c r="N325" s="33"/>
      <c r="O325" s="31"/>
      <c r="P325" s="29" t="str">
        <f t="shared" ref="P325:P388" si="46">IF($E325="","",IF($L325="SIM","EXECUTADO",IF($O325&lt;&gt;"","REPROGRAMADO",IF($L325="NÃO","NÃO EXECUTADO","PROGRAMADO"))))</f>
        <v/>
      </c>
      <c r="Q325" s="29" t="str">
        <f t="shared" ref="Q325:Q388" si="47">IF($E325="","",IF($L325="SIM",IF($M325=$A325,"NO DIA","FORA DO DIA"),""))</f>
        <v/>
      </c>
      <c r="R325" s="33"/>
    </row>
    <row r="326" spans="1:18" x14ac:dyDescent="0.25">
      <c r="A326" s="31"/>
      <c r="B326" s="34" t="str">
        <f t="shared" si="40"/>
        <v/>
      </c>
      <c r="C326" s="30"/>
      <c r="D326" s="10"/>
      <c r="E326" s="30"/>
      <c r="F326" s="36" t="str">
        <f t="shared" si="41"/>
        <v/>
      </c>
      <c r="G326" s="36" t="str">
        <f t="shared" si="42"/>
        <v/>
      </c>
      <c r="H326" s="36" t="str">
        <f t="shared" si="43"/>
        <v/>
      </c>
      <c r="I326" s="34" t="str">
        <f t="shared" si="44"/>
        <v/>
      </c>
      <c r="J326" s="35" t="str">
        <f t="shared" si="45"/>
        <v/>
      </c>
      <c r="K326" s="49"/>
      <c r="L326" s="30"/>
      <c r="M326" s="31"/>
      <c r="N326" s="33"/>
      <c r="O326" s="31"/>
      <c r="P326" s="29" t="str">
        <f t="shared" si="46"/>
        <v/>
      </c>
      <c r="Q326" s="29" t="str">
        <f t="shared" si="47"/>
        <v/>
      </c>
      <c r="R326" s="33"/>
    </row>
    <row r="327" spans="1:18" x14ac:dyDescent="0.25">
      <c r="A327" s="31"/>
      <c r="B327" s="34" t="str">
        <f t="shared" si="40"/>
        <v/>
      </c>
      <c r="C327" s="30"/>
      <c r="D327" s="10"/>
      <c r="E327" s="30"/>
      <c r="F327" s="36" t="str">
        <f t="shared" si="41"/>
        <v/>
      </c>
      <c r="G327" s="36" t="str">
        <f t="shared" si="42"/>
        <v/>
      </c>
      <c r="H327" s="36" t="str">
        <f t="shared" si="43"/>
        <v/>
      </c>
      <c r="I327" s="34" t="str">
        <f t="shared" si="44"/>
        <v/>
      </c>
      <c r="J327" s="35" t="str">
        <f t="shared" si="45"/>
        <v/>
      </c>
      <c r="K327" s="49"/>
      <c r="L327" s="30"/>
      <c r="M327" s="31"/>
      <c r="N327" s="33"/>
      <c r="O327" s="31"/>
      <c r="P327" s="29" t="str">
        <f t="shared" si="46"/>
        <v/>
      </c>
      <c r="Q327" s="29" t="str">
        <f t="shared" si="47"/>
        <v/>
      </c>
      <c r="R327" s="33"/>
    </row>
    <row r="328" spans="1:18" x14ac:dyDescent="0.25">
      <c r="A328" s="31"/>
      <c r="B328" s="34" t="str">
        <f t="shared" si="40"/>
        <v/>
      </c>
      <c r="C328" s="30"/>
      <c r="D328" s="10"/>
      <c r="E328" s="30"/>
      <c r="F328" s="36" t="str">
        <f t="shared" si="41"/>
        <v/>
      </c>
      <c r="G328" s="36" t="str">
        <f t="shared" si="42"/>
        <v/>
      </c>
      <c r="H328" s="36" t="str">
        <f t="shared" si="43"/>
        <v/>
      </c>
      <c r="I328" s="34" t="str">
        <f t="shared" si="44"/>
        <v/>
      </c>
      <c r="J328" s="35" t="str">
        <f t="shared" si="45"/>
        <v/>
      </c>
      <c r="K328" s="49"/>
      <c r="L328" s="30"/>
      <c r="M328" s="31"/>
      <c r="N328" s="33"/>
      <c r="O328" s="31"/>
      <c r="P328" s="29" t="str">
        <f t="shared" si="46"/>
        <v/>
      </c>
      <c r="Q328" s="29" t="str">
        <f t="shared" si="47"/>
        <v/>
      </c>
      <c r="R328" s="33"/>
    </row>
    <row r="329" spans="1:18" x14ac:dyDescent="0.25">
      <c r="A329" s="31"/>
      <c r="B329" s="34" t="str">
        <f t="shared" si="40"/>
        <v/>
      </c>
      <c r="C329" s="30"/>
      <c r="D329" s="10"/>
      <c r="E329" s="30"/>
      <c r="F329" s="36" t="str">
        <f t="shared" si="41"/>
        <v/>
      </c>
      <c r="G329" s="36" t="str">
        <f t="shared" si="42"/>
        <v/>
      </c>
      <c r="H329" s="36" t="str">
        <f t="shared" si="43"/>
        <v/>
      </c>
      <c r="I329" s="34" t="str">
        <f t="shared" si="44"/>
        <v/>
      </c>
      <c r="J329" s="35" t="str">
        <f t="shared" si="45"/>
        <v/>
      </c>
      <c r="K329" s="49"/>
      <c r="L329" s="30"/>
      <c r="M329" s="31"/>
      <c r="N329" s="33"/>
      <c r="O329" s="31"/>
      <c r="P329" s="29" t="str">
        <f t="shared" si="46"/>
        <v/>
      </c>
      <c r="Q329" s="29" t="str">
        <f t="shared" si="47"/>
        <v/>
      </c>
      <c r="R329" s="33"/>
    </row>
    <row r="330" spans="1:18" x14ac:dyDescent="0.25">
      <c r="A330" s="31"/>
      <c r="B330" s="34" t="str">
        <f t="shared" si="40"/>
        <v/>
      </c>
      <c r="C330" s="30"/>
      <c r="D330" s="10"/>
      <c r="E330" s="30"/>
      <c r="F330" s="36" t="str">
        <f t="shared" si="41"/>
        <v/>
      </c>
      <c r="G330" s="36" t="str">
        <f t="shared" si="42"/>
        <v/>
      </c>
      <c r="H330" s="36" t="str">
        <f t="shared" si="43"/>
        <v/>
      </c>
      <c r="I330" s="34" t="str">
        <f t="shared" si="44"/>
        <v/>
      </c>
      <c r="J330" s="35" t="str">
        <f t="shared" si="45"/>
        <v/>
      </c>
      <c r="K330" s="49"/>
      <c r="L330" s="30"/>
      <c r="M330" s="31"/>
      <c r="N330" s="33"/>
      <c r="O330" s="31"/>
      <c r="P330" s="29" t="str">
        <f t="shared" si="46"/>
        <v/>
      </c>
      <c r="Q330" s="29" t="str">
        <f t="shared" si="47"/>
        <v/>
      </c>
      <c r="R330" s="33"/>
    </row>
    <row r="331" spans="1:18" x14ac:dyDescent="0.25">
      <c r="A331" s="31"/>
      <c r="B331" s="34" t="str">
        <f t="shared" si="40"/>
        <v/>
      </c>
      <c r="C331" s="30"/>
      <c r="D331" s="10"/>
      <c r="E331" s="30"/>
      <c r="F331" s="36" t="str">
        <f t="shared" si="41"/>
        <v/>
      </c>
      <c r="G331" s="36" t="str">
        <f t="shared" si="42"/>
        <v/>
      </c>
      <c r="H331" s="36" t="str">
        <f t="shared" si="43"/>
        <v/>
      </c>
      <c r="I331" s="34" t="str">
        <f t="shared" si="44"/>
        <v/>
      </c>
      <c r="J331" s="35" t="str">
        <f t="shared" si="45"/>
        <v/>
      </c>
      <c r="K331" s="49"/>
      <c r="L331" s="30"/>
      <c r="M331" s="31"/>
      <c r="N331" s="33"/>
      <c r="O331" s="31"/>
      <c r="P331" s="29" t="str">
        <f t="shared" si="46"/>
        <v/>
      </c>
      <c r="Q331" s="29" t="str">
        <f t="shared" si="47"/>
        <v/>
      </c>
      <c r="R331" s="33"/>
    </row>
    <row r="332" spans="1:18" x14ac:dyDescent="0.25">
      <c r="A332" s="31"/>
      <c r="B332" s="34" t="str">
        <f t="shared" si="40"/>
        <v/>
      </c>
      <c r="C332" s="30"/>
      <c r="D332" s="10"/>
      <c r="E332" s="30"/>
      <c r="F332" s="36" t="str">
        <f t="shared" si="41"/>
        <v/>
      </c>
      <c r="G332" s="36" t="str">
        <f t="shared" si="42"/>
        <v/>
      </c>
      <c r="H332" s="36" t="str">
        <f t="shared" si="43"/>
        <v/>
      </c>
      <c r="I332" s="34" t="str">
        <f t="shared" si="44"/>
        <v/>
      </c>
      <c r="J332" s="35" t="str">
        <f t="shared" si="45"/>
        <v/>
      </c>
      <c r="K332" s="49"/>
      <c r="L332" s="30"/>
      <c r="M332" s="31"/>
      <c r="N332" s="33"/>
      <c r="O332" s="31"/>
      <c r="P332" s="29" t="str">
        <f t="shared" si="46"/>
        <v/>
      </c>
      <c r="Q332" s="29" t="str">
        <f t="shared" si="47"/>
        <v/>
      </c>
      <c r="R332" s="33"/>
    </row>
    <row r="333" spans="1:18" x14ac:dyDescent="0.25">
      <c r="A333" s="31"/>
      <c r="B333" s="34" t="str">
        <f t="shared" si="40"/>
        <v/>
      </c>
      <c r="C333" s="30"/>
      <c r="D333" s="10"/>
      <c r="E333" s="30"/>
      <c r="F333" s="36" t="str">
        <f t="shared" si="41"/>
        <v/>
      </c>
      <c r="G333" s="36" t="str">
        <f t="shared" si="42"/>
        <v/>
      </c>
      <c r="H333" s="36" t="str">
        <f t="shared" si="43"/>
        <v/>
      </c>
      <c r="I333" s="34" t="str">
        <f t="shared" si="44"/>
        <v/>
      </c>
      <c r="J333" s="35" t="str">
        <f t="shared" si="45"/>
        <v/>
      </c>
      <c r="K333" s="49"/>
      <c r="L333" s="30"/>
      <c r="M333" s="31"/>
      <c r="N333" s="33"/>
      <c r="O333" s="31"/>
      <c r="P333" s="29" t="str">
        <f t="shared" si="46"/>
        <v/>
      </c>
      <c r="Q333" s="29" t="str">
        <f t="shared" si="47"/>
        <v/>
      </c>
      <c r="R333" s="33"/>
    </row>
    <row r="334" spans="1:18" x14ac:dyDescent="0.25">
      <c r="A334" s="31"/>
      <c r="B334" s="34" t="str">
        <f t="shared" si="40"/>
        <v/>
      </c>
      <c r="C334" s="30"/>
      <c r="D334" s="10"/>
      <c r="E334" s="30"/>
      <c r="F334" s="36" t="str">
        <f t="shared" si="41"/>
        <v/>
      </c>
      <c r="G334" s="36" t="str">
        <f t="shared" si="42"/>
        <v/>
      </c>
      <c r="H334" s="36" t="str">
        <f t="shared" si="43"/>
        <v/>
      </c>
      <c r="I334" s="34" t="str">
        <f t="shared" si="44"/>
        <v/>
      </c>
      <c r="J334" s="35" t="str">
        <f t="shared" si="45"/>
        <v/>
      </c>
      <c r="K334" s="49"/>
      <c r="L334" s="30"/>
      <c r="M334" s="31"/>
      <c r="N334" s="33"/>
      <c r="O334" s="31"/>
      <c r="P334" s="29" t="str">
        <f t="shared" si="46"/>
        <v/>
      </c>
      <c r="Q334" s="29" t="str">
        <f t="shared" si="47"/>
        <v/>
      </c>
      <c r="R334" s="33"/>
    </row>
    <row r="335" spans="1:18" x14ac:dyDescent="0.25">
      <c r="A335" s="31"/>
      <c r="B335" s="34" t="str">
        <f t="shared" si="40"/>
        <v/>
      </c>
      <c r="C335" s="30"/>
      <c r="D335" s="10"/>
      <c r="E335" s="30"/>
      <c r="F335" s="36" t="str">
        <f t="shared" si="41"/>
        <v/>
      </c>
      <c r="G335" s="36" t="str">
        <f t="shared" si="42"/>
        <v/>
      </c>
      <c r="H335" s="36" t="str">
        <f t="shared" si="43"/>
        <v/>
      </c>
      <c r="I335" s="34" t="str">
        <f t="shared" si="44"/>
        <v/>
      </c>
      <c r="J335" s="35" t="str">
        <f t="shared" si="45"/>
        <v/>
      </c>
      <c r="K335" s="49"/>
      <c r="L335" s="30"/>
      <c r="M335" s="31"/>
      <c r="N335" s="33"/>
      <c r="O335" s="31"/>
      <c r="P335" s="29" t="str">
        <f t="shared" si="46"/>
        <v/>
      </c>
      <c r="Q335" s="29" t="str">
        <f t="shared" si="47"/>
        <v/>
      </c>
      <c r="R335" s="33"/>
    </row>
    <row r="336" spans="1:18" x14ac:dyDescent="0.25">
      <c r="A336" s="31"/>
      <c r="B336" s="34" t="str">
        <f t="shared" si="40"/>
        <v/>
      </c>
      <c r="C336" s="30"/>
      <c r="D336" s="10"/>
      <c r="E336" s="30"/>
      <c r="F336" s="36" t="str">
        <f t="shared" si="41"/>
        <v/>
      </c>
      <c r="G336" s="36" t="str">
        <f t="shared" si="42"/>
        <v/>
      </c>
      <c r="H336" s="36" t="str">
        <f t="shared" si="43"/>
        <v/>
      </c>
      <c r="I336" s="34" t="str">
        <f t="shared" si="44"/>
        <v/>
      </c>
      <c r="J336" s="35" t="str">
        <f t="shared" si="45"/>
        <v/>
      </c>
      <c r="K336" s="49"/>
      <c r="L336" s="30"/>
      <c r="M336" s="31"/>
      <c r="N336" s="33"/>
      <c r="O336" s="31"/>
      <c r="P336" s="29" t="str">
        <f t="shared" si="46"/>
        <v/>
      </c>
      <c r="Q336" s="29" t="str">
        <f t="shared" si="47"/>
        <v/>
      </c>
      <c r="R336" s="33"/>
    </row>
    <row r="337" spans="1:18" x14ac:dyDescent="0.25">
      <c r="A337" s="31"/>
      <c r="B337" s="34" t="str">
        <f t="shared" si="40"/>
        <v/>
      </c>
      <c r="C337" s="30"/>
      <c r="D337" s="10"/>
      <c r="E337" s="30"/>
      <c r="F337" s="36" t="str">
        <f t="shared" si="41"/>
        <v/>
      </c>
      <c r="G337" s="36" t="str">
        <f t="shared" si="42"/>
        <v/>
      </c>
      <c r="H337" s="36" t="str">
        <f t="shared" si="43"/>
        <v/>
      </c>
      <c r="I337" s="34" t="str">
        <f t="shared" si="44"/>
        <v/>
      </c>
      <c r="J337" s="35" t="str">
        <f t="shared" si="45"/>
        <v/>
      </c>
      <c r="K337" s="49"/>
      <c r="L337" s="30"/>
      <c r="M337" s="31"/>
      <c r="N337" s="33"/>
      <c r="O337" s="31"/>
      <c r="P337" s="29" t="str">
        <f t="shared" si="46"/>
        <v/>
      </c>
      <c r="Q337" s="29" t="str">
        <f t="shared" si="47"/>
        <v/>
      </c>
      <c r="R337" s="33"/>
    </row>
    <row r="338" spans="1:18" x14ac:dyDescent="0.25">
      <c r="A338" s="31"/>
      <c r="B338" s="34" t="str">
        <f t="shared" si="40"/>
        <v/>
      </c>
      <c r="C338" s="30"/>
      <c r="D338" s="10"/>
      <c r="E338" s="30"/>
      <c r="F338" s="36" t="str">
        <f t="shared" si="41"/>
        <v/>
      </c>
      <c r="G338" s="36" t="str">
        <f t="shared" si="42"/>
        <v/>
      </c>
      <c r="H338" s="36" t="str">
        <f t="shared" si="43"/>
        <v/>
      </c>
      <c r="I338" s="34" t="str">
        <f t="shared" si="44"/>
        <v/>
      </c>
      <c r="J338" s="35" t="str">
        <f t="shared" si="45"/>
        <v/>
      </c>
      <c r="K338" s="49"/>
      <c r="L338" s="30"/>
      <c r="M338" s="31"/>
      <c r="N338" s="33"/>
      <c r="O338" s="31"/>
      <c r="P338" s="29" t="str">
        <f t="shared" si="46"/>
        <v/>
      </c>
      <c r="Q338" s="29" t="str">
        <f t="shared" si="47"/>
        <v/>
      </c>
      <c r="R338" s="33"/>
    </row>
    <row r="339" spans="1:18" x14ac:dyDescent="0.25">
      <c r="A339" s="31"/>
      <c r="B339" s="34" t="str">
        <f t="shared" si="40"/>
        <v/>
      </c>
      <c r="C339" s="30"/>
      <c r="D339" s="10"/>
      <c r="E339" s="30"/>
      <c r="F339" s="36" t="str">
        <f t="shared" si="41"/>
        <v/>
      </c>
      <c r="G339" s="36" t="str">
        <f t="shared" si="42"/>
        <v/>
      </c>
      <c r="H339" s="36" t="str">
        <f t="shared" si="43"/>
        <v/>
      </c>
      <c r="I339" s="34" t="str">
        <f t="shared" si="44"/>
        <v/>
      </c>
      <c r="J339" s="35" t="str">
        <f t="shared" si="45"/>
        <v/>
      </c>
      <c r="K339" s="49"/>
      <c r="L339" s="30"/>
      <c r="M339" s="31"/>
      <c r="N339" s="33"/>
      <c r="O339" s="31"/>
      <c r="P339" s="29" t="str">
        <f t="shared" si="46"/>
        <v/>
      </c>
      <c r="Q339" s="29" t="str">
        <f t="shared" si="47"/>
        <v/>
      </c>
      <c r="R339" s="33"/>
    </row>
    <row r="340" spans="1:18" x14ac:dyDescent="0.25">
      <c r="A340" s="31"/>
      <c r="B340" s="34" t="str">
        <f t="shared" si="40"/>
        <v/>
      </c>
      <c r="C340" s="30"/>
      <c r="D340" s="10"/>
      <c r="E340" s="30"/>
      <c r="F340" s="36" t="str">
        <f t="shared" si="41"/>
        <v/>
      </c>
      <c r="G340" s="36" t="str">
        <f t="shared" si="42"/>
        <v/>
      </c>
      <c r="H340" s="36" t="str">
        <f t="shared" si="43"/>
        <v/>
      </c>
      <c r="I340" s="34" t="str">
        <f t="shared" si="44"/>
        <v/>
      </c>
      <c r="J340" s="35" t="str">
        <f t="shared" si="45"/>
        <v/>
      </c>
      <c r="K340" s="49"/>
      <c r="L340" s="30"/>
      <c r="M340" s="31"/>
      <c r="N340" s="33"/>
      <c r="O340" s="31"/>
      <c r="P340" s="29" t="str">
        <f t="shared" si="46"/>
        <v/>
      </c>
      <c r="Q340" s="29" t="str">
        <f t="shared" si="47"/>
        <v/>
      </c>
      <c r="R340" s="33"/>
    </row>
    <row r="341" spans="1:18" x14ac:dyDescent="0.25">
      <c r="A341" s="31"/>
      <c r="B341" s="34" t="str">
        <f t="shared" si="40"/>
        <v/>
      </c>
      <c r="C341" s="30"/>
      <c r="D341" s="10"/>
      <c r="E341" s="30"/>
      <c r="F341" s="36" t="str">
        <f t="shared" si="41"/>
        <v/>
      </c>
      <c r="G341" s="36" t="str">
        <f t="shared" si="42"/>
        <v/>
      </c>
      <c r="H341" s="36" t="str">
        <f t="shared" si="43"/>
        <v/>
      </c>
      <c r="I341" s="34" t="str">
        <f t="shared" si="44"/>
        <v/>
      </c>
      <c r="J341" s="35" t="str">
        <f t="shared" si="45"/>
        <v/>
      </c>
      <c r="K341" s="49"/>
      <c r="L341" s="30"/>
      <c r="M341" s="31"/>
      <c r="N341" s="33"/>
      <c r="O341" s="31"/>
      <c r="P341" s="29" t="str">
        <f t="shared" si="46"/>
        <v/>
      </c>
      <c r="Q341" s="29" t="str">
        <f t="shared" si="47"/>
        <v/>
      </c>
      <c r="R341" s="33"/>
    </row>
    <row r="342" spans="1:18" x14ac:dyDescent="0.25">
      <c r="A342" s="31"/>
      <c r="B342" s="34" t="str">
        <f t="shared" si="40"/>
        <v/>
      </c>
      <c r="C342" s="30"/>
      <c r="D342" s="10"/>
      <c r="E342" s="30"/>
      <c r="F342" s="36" t="str">
        <f t="shared" si="41"/>
        <v/>
      </c>
      <c r="G342" s="36" t="str">
        <f t="shared" si="42"/>
        <v/>
      </c>
      <c r="H342" s="36" t="str">
        <f t="shared" si="43"/>
        <v/>
      </c>
      <c r="I342" s="34" t="str">
        <f t="shared" si="44"/>
        <v/>
      </c>
      <c r="J342" s="35" t="str">
        <f t="shared" si="45"/>
        <v/>
      </c>
      <c r="K342" s="49"/>
      <c r="L342" s="30"/>
      <c r="M342" s="31"/>
      <c r="N342" s="33"/>
      <c r="O342" s="31"/>
      <c r="P342" s="29" t="str">
        <f t="shared" si="46"/>
        <v/>
      </c>
      <c r="Q342" s="29" t="str">
        <f t="shared" si="47"/>
        <v/>
      </c>
      <c r="R342" s="33"/>
    </row>
    <row r="343" spans="1:18" x14ac:dyDescent="0.25">
      <c r="A343" s="31"/>
      <c r="B343" s="34" t="str">
        <f t="shared" si="40"/>
        <v/>
      </c>
      <c r="C343" s="30"/>
      <c r="D343" s="10"/>
      <c r="E343" s="30"/>
      <c r="F343" s="36" t="str">
        <f t="shared" si="41"/>
        <v/>
      </c>
      <c r="G343" s="36" t="str">
        <f t="shared" si="42"/>
        <v/>
      </c>
      <c r="H343" s="36" t="str">
        <f t="shared" si="43"/>
        <v/>
      </c>
      <c r="I343" s="34" t="str">
        <f t="shared" si="44"/>
        <v/>
      </c>
      <c r="J343" s="35" t="str">
        <f t="shared" si="45"/>
        <v/>
      </c>
      <c r="K343" s="49"/>
      <c r="L343" s="30"/>
      <c r="M343" s="31"/>
      <c r="N343" s="33"/>
      <c r="O343" s="31"/>
      <c r="P343" s="29" t="str">
        <f t="shared" si="46"/>
        <v/>
      </c>
      <c r="Q343" s="29" t="str">
        <f t="shared" si="47"/>
        <v/>
      </c>
      <c r="R343" s="33"/>
    </row>
    <row r="344" spans="1:18" x14ac:dyDescent="0.25">
      <c r="A344" s="31"/>
      <c r="B344" s="34" t="str">
        <f t="shared" si="40"/>
        <v/>
      </c>
      <c r="C344" s="30"/>
      <c r="D344" s="10"/>
      <c r="E344" s="30"/>
      <c r="F344" s="36" t="str">
        <f t="shared" si="41"/>
        <v/>
      </c>
      <c r="G344" s="36" t="str">
        <f t="shared" si="42"/>
        <v/>
      </c>
      <c r="H344" s="36" t="str">
        <f t="shared" si="43"/>
        <v/>
      </c>
      <c r="I344" s="34" t="str">
        <f t="shared" si="44"/>
        <v/>
      </c>
      <c r="J344" s="35" t="str">
        <f t="shared" si="45"/>
        <v/>
      </c>
      <c r="K344" s="49"/>
      <c r="L344" s="30"/>
      <c r="M344" s="31"/>
      <c r="N344" s="33"/>
      <c r="O344" s="31"/>
      <c r="P344" s="29" t="str">
        <f t="shared" si="46"/>
        <v/>
      </c>
      <c r="Q344" s="29" t="str">
        <f t="shared" si="47"/>
        <v/>
      </c>
      <c r="R344" s="33"/>
    </row>
    <row r="345" spans="1:18" x14ac:dyDescent="0.25">
      <c r="A345" s="31"/>
      <c r="B345" s="34" t="str">
        <f t="shared" si="40"/>
        <v/>
      </c>
      <c r="C345" s="30"/>
      <c r="D345" s="10"/>
      <c r="E345" s="30"/>
      <c r="F345" s="36" t="str">
        <f t="shared" si="41"/>
        <v/>
      </c>
      <c r="G345" s="36" t="str">
        <f t="shared" si="42"/>
        <v/>
      </c>
      <c r="H345" s="36" t="str">
        <f t="shared" si="43"/>
        <v/>
      </c>
      <c r="I345" s="34" t="str">
        <f t="shared" si="44"/>
        <v/>
      </c>
      <c r="J345" s="35" t="str">
        <f t="shared" si="45"/>
        <v/>
      </c>
      <c r="K345" s="49"/>
      <c r="L345" s="30"/>
      <c r="M345" s="31"/>
      <c r="N345" s="33"/>
      <c r="O345" s="31"/>
      <c r="P345" s="29" t="str">
        <f t="shared" si="46"/>
        <v/>
      </c>
      <c r="Q345" s="29" t="str">
        <f t="shared" si="47"/>
        <v/>
      </c>
      <c r="R345" s="33"/>
    </row>
    <row r="346" spans="1:18" x14ac:dyDescent="0.25">
      <c r="A346" s="31"/>
      <c r="B346" s="34" t="str">
        <f t="shared" si="40"/>
        <v/>
      </c>
      <c r="C346" s="30"/>
      <c r="D346" s="10"/>
      <c r="E346" s="30"/>
      <c r="F346" s="36" t="str">
        <f t="shared" si="41"/>
        <v/>
      </c>
      <c r="G346" s="36" t="str">
        <f t="shared" si="42"/>
        <v/>
      </c>
      <c r="H346" s="36" t="str">
        <f t="shared" si="43"/>
        <v/>
      </c>
      <c r="I346" s="34" t="str">
        <f t="shared" si="44"/>
        <v/>
      </c>
      <c r="J346" s="35" t="str">
        <f t="shared" si="45"/>
        <v/>
      </c>
      <c r="K346" s="49"/>
      <c r="L346" s="30"/>
      <c r="M346" s="31"/>
      <c r="N346" s="33"/>
      <c r="O346" s="31"/>
      <c r="P346" s="29" t="str">
        <f t="shared" si="46"/>
        <v/>
      </c>
      <c r="Q346" s="29" t="str">
        <f t="shared" si="47"/>
        <v/>
      </c>
      <c r="R346" s="33"/>
    </row>
    <row r="347" spans="1:18" x14ac:dyDescent="0.25">
      <c r="A347" s="31"/>
      <c r="B347" s="34" t="str">
        <f t="shared" si="40"/>
        <v/>
      </c>
      <c r="C347" s="30"/>
      <c r="D347" s="10"/>
      <c r="E347" s="30"/>
      <c r="F347" s="36" t="str">
        <f t="shared" si="41"/>
        <v/>
      </c>
      <c r="G347" s="36" t="str">
        <f t="shared" si="42"/>
        <v/>
      </c>
      <c r="H347" s="36" t="str">
        <f t="shared" si="43"/>
        <v/>
      </c>
      <c r="I347" s="34" t="str">
        <f t="shared" si="44"/>
        <v/>
      </c>
      <c r="J347" s="35" t="str">
        <f t="shared" si="45"/>
        <v/>
      </c>
      <c r="K347" s="49"/>
      <c r="L347" s="30"/>
      <c r="M347" s="31"/>
      <c r="N347" s="33"/>
      <c r="O347" s="31"/>
      <c r="P347" s="29" t="str">
        <f t="shared" si="46"/>
        <v/>
      </c>
      <c r="Q347" s="29" t="str">
        <f t="shared" si="47"/>
        <v/>
      </c>
      <c r="R347" s="33"/>
    </row>
    <row r="348" spans="1:18" x14ac:dyDescent="0.25">
      <c r="A348" s="31"/>
      <c r="B348" s="34" t="str">
        <f t="shared" si="40"/>
        <v/>
      </c>
      <c r="C348" s="30"/>
      <c r="D348" s="10"/>
      <c r="E348" s="30"/>
      <c r="F348" s="36" t="str">
        <f t="shared" si="41"/>
        <v/>
      </c>
      <c r="G348" s="36" t="str">
        <f t="shared" si="42"/>
        <v/>
      </c>
      <c r="H348" s="36" t="str">
        <f t="shared" si="43"/>
        <v/>
      </c>
      <c r="I348" s="34" t="str">
        <f t="shared" si="44"/>
        <v/>
      </c>
      <c r="J348" s="35" t="str">
        <f t="shared" si="45"/>
        <v/>
      </c>
      <c r="K348" s="49"/>
      <c r="L348" s="30"/>
      <c r="M348" s="31"/>
      <c r="N348" s="33"/>
      <c r="O348" s="31"/>
      <c r="P348" s="29" t="str">
        <f t="shared" si="46"/>
        <v/>
      </c>
      <c r="Q348" s="29" t="str">
        <f t="shared" si="47"/>
        <v/>
      </c>
      <c r="R348" s="33"/>
    </row>
    <row r="349" spans="1:18" x14ac:dyDescent="0.25">
      <c r="A349" s="31"/>
      <c r="B349" s="34" t="str">
        <f t="shared" si="40"/>
        <v/>
      </c>
      <c r="C349" s="30"/>
      <c r="D349" s="10"/>
      <c r="E349" s="30"/>
      <c r="F349" s="36" t="str">
        <f t="shared" si="41"/>
        <v/>
      </c>
      <c r="G349" s="36" t="str">
        <f t="shared" si="42"/>
        <v/>
      </c>
      <c r="H349" s="36" t="str">
        <f t="shared" si="43"/>
        <v/>
      </c>
      <c r="I349" s="34" t="str">
        <f t="shared" si="44"/>
        <v/>
      </c>
      <c r="J349" s="35" t="str">
        <f t="shared" si="45"/>
        <v/>
      </c>
      <c r="K349" s="49"/>
      <c r="L349" s="30"/>
      <c r="M349" s="31"/>
      <c r="N349" s="33"/>
      <c r="O349" s="31"/>
      <c r="P349" s="29" t="str">
        <f t="shared" si="46"/>
        <v/>
      </c>
      <c r="Q349" s="29" t="str">
        <f t="shared" si="47"/>
        <v/>
      </c>
      <c r="R349" s="33"/>
    </row>
    <row r="350" spans="1:18" x14ac:dyDescent="0.25">
      <c r="A350" s="31"/>
      <c r="B350" s="34" t="str">
        <f t="shared" si="40"/>
        <v/>
      </c>
      <c r="C350" s="30"/>
      <c r="D350" s="10"/>
      <c r="E350" s="30"/>
      <c r="F350" s="36" t="str">
        <f t="shared" si="41"/>
        <v/>
      </c>
      <c r="G350" s="36" t="str">
        <f t="shared" si="42"/>
        <v/>
      </c>
      <c r="H350" s="36" t="str">
        <f t="shared" si="43"/>
        <v/>
      </c>
      <c r="I350" s="34" t="str">
        <f t="shared" si="44"/>
        <v/>
      </c>
      <c r="J350" s="35" t="str">
        <f t="shared" si="45"/>
        <v/>
      </c>
      <c r="K350" s="49"/>
      <c r="L350" s="30"/>
      <c r="M350" s="31"/>
      <c r="N350" s="33"/>
      <c r="O350" s="31"/>
      <c r="P350" s="29" t="str">
        <f t="shared" si="46"/>
        <v/>
      </c>
      <c r="Q350" s="29" t="str">
        <f t="shared" si="47"/>
        <v/>
      </c>
      <c r="R350" s="33"/>
    </row>
    <row r="351" spans="1:18" x14ac:dyDescent="0.25">
      <c r="A351" s="31"/>
      <c r="B351" s="34" t="str">
        <f t="shared" si="40"/>
        <v/>
      </c>
      <c r="C351" s="30"/>
      <c r="D351" s="10"/>
      <c r="E351" s="30"/>
      <c r="F351" s="36" t="str">
        <f t="shared" si="41"/>
        <v/>
      </c>
      <c r="G351" s="36" t="str">
        <f t="shared" si="42"/>
        <v/>
      </c>
      <c r="H351" s="36" t="str">
        <f t="shared" si="43"/>
        <v/>
      </c>
      <c r="I351" s="34" t="str">
        <f t="shared" si="44"/>
        <v/>
      </c>
      <c r="J351" s="35" t="str">
        <f t="shared" si="45"/>
        <v/>
      </c>
      <c r="K351" s="49"/>
      <c r="L351" s="30"/>
      <c r="M351" s="31"/>
      <c r="N351" s="33"/>
      <c r="O351" s="31"/>
      <c r="P351" s="29" t="str">
        <f t="shared" si="46"/>
        <v/>
      </c>
      <c r="Q351" s="29" t="str">
        <f t="shared" si="47"/>
        <v/>
      </c>
      <c r="R351" s="33"/>
    </row>
    <row r="352" spans="1:18" x14ac:dyDescent="0.25">
      <c r="A352" s="31"/>
      <c r="B352" s="34" t="str">
        <f t="shared" si="40"/>
        <v/>
      </c>
      <c r="C352" s="30"/>
      <c r="D352" s="10"/>
      <c r="E352" s="30"/>
      <c r="F352" s="36" t="str">
        <f t="shared" si="41"/>
        <v/>
      </c>
      <c r="G352" s="36" t="str">
        <f t="shared" si="42"/>
        <v/>
      </c>
      <c r="H352" s="36" t="str">
        <f t="shared" si="43"/>
        <v/>
      </c>
      <c r="I352" s="34" t="str">
        <f t="shared" si="44"/>
        <v/>
      </c>
      <c r="J352" s="35" t="str">
        <f t="shared" si="45"/>
        <v/>
      </c>
      <c r="K352" s="49"/>
      <c r="L352" s="30"/>
      <c r="M352" s="31"/>
      <c r="N352" s="33"/>
      <c r="O352" s="31"/>
      <c r="P352" s="29" t="str">
        <f t="shared" si="46"/>
        <v/>
      </c>
      <c r="Q352" s="29" t="str">
        <f t="shared" si="47"/>
        <v/>
      </c>
      <c r="R352" s="33"/>
    </row>
    <row r="353" spans="1:18" x14ac:dyDescent="0.25">
      <c r="A353" s="31"/>
      <c r="B353" s="34" t="str">
        <f t="shared" si="40"/>
        <v/>
      </c>
      <c r="C353" s="30"/>
      <c r="D353" s="10"/>
      <c r="E353" s="30"/>
      <c r="F353" s="36" t="str">
        <f t="shared" si="41"/>
        <v/>
      </c>
      <c r="G353" s="36" t="str">
        <f t="shared" si="42"/>
        <v/>
      </c>
      <c r="H353" s="36" t="str">
        <f t="shared" si="43"/>
        <v/>
      </c>
      <c r="I353" s="34" t="str">
        <f t="shared" si="44"/>
        <v/>
      </c>
      <c r="J353" s="35" t="str">
        <f t="shared" si="45"/>
        <v/>
      </c>
      <c r="K353" s="49"/>
      <c r="L353" s="30"/>
      <c r="M353" s="31"/>
      <c r="N353" s="33"/>
      <c r="O353" s="31"/>
      <c r="P353" s="29" t="str">
        <f t="shared" si="46"/>
        <v/>
      </c>
      <c r="Q353" s="29" t="str">
        <f t="shared" si="47"/>
        <v/>
      </c>
      <c r="R353" s="33"/>
    </row>
    <row r="354" spans="1:18" x14ac:dyDescent="0.25">
      <c r="A354" s="31"/>
      <c r="B354" s="34" t="str">
        <f t="shared" si="40"/>
        <v/>
      </c>
      <c r="C354" s="30"/>
      <c r="D354" s="10"/>
      <c r="E354" s="30"/>
      <c r="F354" s="36" t="str">
        <f t="shared" si="41"/>
        <v/>
      </c>
      <c r="G354" s="36" t="str">
        <f t="shared" si="42"/>
        <v/>
      </c>
      <c r="H354" s="36" t="str">
        <f t="shared" si="43"/>
        <v/>
      </c>
      <c r="I354" s="34" t="str">
        <f t="shared" si="44"/>
        <v/>
      </c>
      <c r="J354" s="35" t="str">
        <f t="shared" si="45"/>
        <v/>
      </c>
      <c r="K354" s="49"/>
      <c r="L354" s="30"/>
      <c r="M354" s="31"/>
      <c r="N354" s="33"/>
      <c r="O354" s="31"/>
      <c r="P354" s="29" t="str">
        <f t="shared" si="46"/>
        <v/>
      </c>
      <c r="Q354" s="29" t="str">
        <f t="shared" si="47"/>
        <v/>
      </c>
      <c r="R354" s="33"/>
    </row>
    <row r="355" spans="1:18" x14ac:dyDescent="0.25">
      <c r="A355" s="31"/>
      <c r="B355" s="34" t="str">
        <f t="shared" si="40"/>
        <v/>
      </c>
      <c r="C355" s="30"/>
      <c r="D355" s="10"/>
      <c r="E355" s="30"/>
      <c r="F355" s="36" t="str">
        <f t="shared" si="41"/>
        <v/>
      </c>
      <c r="G355" s="36" t="str">
        <f t="shared" si="42"/>
        <v/>
      </c>
      <c r="H355" s="36" t="str">
        <f t="shared" si="43"/>
        <v/>
      </c>
      <c r="I355" s="34" t="str">
        <f t="shared" si="44"/>
        <v/>
      </c>
      <c r="J355" s="35" t="str">
        <f t="shared" si="45"/>
        <v/>
      </c>
      <c r="K355" s="49"/>
      <c r="L355" s="30"/>
      <c r="M355" s="31"/>
      <c r="N355" s="33"/>
      <c r="O355" s="31"/>
      <c r="P355" s="29" t="str">
        <f t="shared" si="46"/>
        <v/>
      </c>
      <c r="Q355" s="29" t="str">
        <f t="shared" si="47"/>
        <v/>
      </c>
      <c r="R355" s="33"/>
    </row>
    <row r="356" spans="1:18" x14ac:dyDescent="0.25">
      <c r="A356" s="31"/>
      <c r="B356" s="34" t="str">
        <f t="shared" si="40"/>
        <v/>
      </c>
      <c r="C356" s="30"/>
      <c r="D356" s="10"/>
      <c r="E356" s="30"/>
      <c r="F356" s="36" t="str">
        <f t="shared" si="41"/>
        <v/>
      </c>
      <c r="G356" s="36" t="str">
        <f t="shared" si="42"/>
        <v/>
      </c>
      <c r="H356" s="36" t="str">
        <f t="shared" si="43"/>
        <v/>
      </c>
      <c r="I356" s="34" t="str">
        <f t="shared" si="44"/>
        <v/>
      </c>
      <c r="J356" s="35" t="str">
        <f t="shared" si="45"/>
        <v/>
      </c>
      <c r="K356" s="49"/>
      <c r="L356" s="30"/>
      <c r="M356" s="31"/>
      <c r="N356" s="33"/>
      <c r="O356" s="31"/>
      <c r="P356" s="29" t="str">
        <f t="shared" si="46"/>
        <v/>
      </c>
      <c r="Q356" s="29" t="str">
        <f t="shared" si="47"/>
        <v/>
      </c>
      <c r="R356" s="33"/>
    </row>
    <row r="357" spans="1:18" x14ac:dyDescent="0.25">
      <c r="A357" s="31"/>
      <c r="B357" s="34" t="str">
        <f t="shared" si="40"/>
        <v/>
      </c>
      <c r="C357" s="30"/>
      <c r="D357" s="10"/>
      <c r="E357" s="30"/>
      <c r="F357" s="36" t="str">
        <f t="shared" si="41"/>
        <v/>
      </c>
      <c r="G357" s="36" t="str">
        <f t="shared" si="42"/>
        <v/>
      </c>
      <c r="H357" s="36" t="str">
        <f t="shared" si="43"/>
        <v/>
      </c>
      <c r="I357" s="34" t="str">
        <f t="shared" si="44"/>
        <v/>
      </c>
      <c r="J357" s="35" t="str">
        <f t="shared" si="45"/>
        <v/>
      </c>
      <c r="K357" s="49"/>
      <c r="L357" s="30"/>
      <c r="M357" s="31"/>
      <c r="N357" s="33"/>
      <c r="O357" s="31"/>
      <c r="P357" s="29" t="str">
        <f t="shared" si="46"/>
        <v/>
      </c>
      <c r="Q357" s="29" t="str">
        <f t="shared" si="47"/>
        <v/>
      </c>
      <c r="R357" s="33"/>
    </row>
    <row r="358" spans="1:18" x14ac:dyDescent="0.25">
      <c r="A358" s="31"/>
      <c r="B358" s="34" t="str">
        <f t="shared" si="40"/>
        <v/>
      </c>
      <c r="C358" s="30"/>
      <c r="D358" s="10"/>
      <c r="E358" s="30"/>
      <c r="F358" s="36" t="str">
        <f t="shared" si="41"/>
        <v/>
      </c>
      <c r="G358" s="36" t="str">
        <f t="shared" si="42"/>
        <v/>
      </c>
      <c r="H358" s="36" t="str">
        <f t="shared" si="43"/>
        <v/>
      </c>
      <c r="I358" s="34" t="str">
        <f t="shared" si="44"/>
        <v/>
      </c>
      <c r="J358" s="35" t="str">
        <f t="shared" si="45"/>
        <v/>
      </c>
      <c r="K358" s="49"/>
      <c r="L358" s="30"/>
      <c r="M358" s="31"/>
      <c r="N358" s="33"/>
      <c r="O358" s="31"/>
      <c r="P358" s="29" t="str">
        <f t="shared" si="46"/>
        <v/>
      </c>
      <c r="Q358" s="29" t="str">
        <f t="shared" si="47"/>
        <v/>
      </c>
      <c r="R358" s="33"/>
    </row>
    <row r="359" spans="1:18" x14ac:dyDescent="0.25">
      <c r="A359" s="31"/>
      <c r="B359" s="34" t="str">
        <f t="shared" si="40"/>
        <v/>
      </c>
      <c r="C359" s="30"/>
      <c r="D359" s="10"/>
      <c r="E359" s="30"/>
      <c r="F359" s="36" t="str">
        <f t="shared" si="41"/>
        <v/>
      </c>
      <c r="G359" s="36" t="str">
        <f t="shared" si="42"/>
        <v/>
      </c>
      <c r="H359" s="36" t="str">
        <f t="shared" si="43"/>
        <v/>
      </c>
      <c r="I359" s="34" t="str">
        <f t="shared" si="44"/>
        <v/>
      </c>
      <c r="J359" s="35" t="str">
        <f t="shared" si="45"/>
        <v/>
      </c>
      <c r="K359" s="49"/>
      <c r="L359" s="30"/>
      <c r="M359" s="31"/>
      <c r="N359" s="33"/>
      <c r="O359" s="31"/>
      <c r="P359" s="29" t="str">
        <f t="shared" si="46"/>
        <v/>
      </c>
      <c r="Q359" s="29" t="str">
        <f t="shared" si="47"/>
        <v/>
      </c>
      <c r="R359" s="33"/>
    </row>
    <row r="360" spans="1:18" x14ac:dyDescent="0.25">
      <c r="A360" s="31"/>
      <c r="B360" s="34" t="str">
        <f t="shared" si="40"/>
        <v/>
      </c>
      <c r="C360" s="30"/>
      <c r="D360" s="10"/>
      <c r="E360" s="30"/>
      <c r="F360" s="36" t="str">
        <f t="shared" si="41"/>
        <v/>
      </c>
      <c r="G360" s="36" t="str">
        <f t="shared" si="42"/>
        <v/>
      </c>
      <c r="H360" s="36" t="str">
        <f t="shared" si="43"/>
        <v/>
      </c>
      <c r="I360" s="34" t="str">
        <f t="shared" si="44"/>
        <v/>
      </c>
      <c r="J360" s="35" t="str">
        <f t="shared" si="45"/>
        <v/>
      </c>
      <c r="K360" s="49"/>
      <c r="L360" s="30"/>
      <c r="M360" s="31"/>
      <c r="N360" s="33"/>
      <c r="O360" s="31"/>
      <c r="P360" s="29" t="str">
        <f t="shared" si="46"/>
        <v/>
      </c>
      <c r="Q360" s="29" t="str">
        <f t="shared" si="47"/>
        <v/>
      </c>
      <c r="R360" s="33"/>
    </row>
    <row r="361" spans="1:18" x14ac:dyDescent="0.25">
      <c r="A361" s="31"/>
      <c r="B361" s="34" t="str">
        <f t="shared" si="40"/>
        <v/>
      </c>
      <c r="C361" s="30"/>
      <c r="D361" s="10"/>
      <c r="E361" s="30"/>
      <c r="F361" s="36" t="str">
        <f t="shared" si="41"/>
        <v/>
      </c>
      <c r="G361" s="36" t="str">
        <f t="shared" si="42"/>
        <v/>
      </c>
      <c r="H361" s="36" t="str">
        <f t="shared" si="43"/>
        <v/>
      </c>
      <c r="I361" s="34" t="str">
        <f t="shared" si="44"/>
        <v/>
      </c>
      <c r="J361" s="35" t="str">
        <f t="shared" si="45"/>
        <v/>
      </c>
      <c r="K361" s="49"/>
      <c r="L361" s="30"/>
      <c r="M361" s="31"/>
      <c r="N361" s="33"/>
      <c r="O361" s="31"/>
      <c r="P361" s="29" t="str">
        <f t="shared" si="46"/>
        <v/>
      </c>
      <c r="Q361" s="29" t="str">
        <f t="shared" si="47"/>
        <v/>
      </c>
      <c r="R361" s="33"/>
    </row>
    <row r="362" spans="1:18" x14ac:dyDescent="0.25">
      <c r="A362" s="31"/>
      <c r="B362" s="34" t="str">
        <f t="shared" si="40"/>
        <v/>
      </c>
      <c r="C362" s="30"/>
      <c r="D362" s="10"/>
      <c r="E362" s="30"/>
      <c r="F362" s="36" t="str">
        <f t="shared" si="41"/>
        <v/>
      </c>
      <c r="G362" s="36" t="str">
        <f t="shared" si="42"/>
        <v/>
      </c>
      <c r="H362" s="36" t="str">
        <f t="shared" si="43"/>
        <v/>
      </c>
      <c r="I362" s="34" t="str">
        <f t="shared" si="44"/>
        <v/>
      </c>
      <c r="J362" s="35" t="str">
        <f t="shared" si="45"/>
        <v/>
      </c>
      <c r="K362" s="49"/>
      <c r="L362" s="30"/>
      <c r="M362" s="31"/>
      <c r="N362" s="33"/>
      <c r="O362" s="31"/>
      <c r="P362" s="29" t="str">
        <f t="shared" si="46"/>
        <v/>
      </c>
      <c r="Q362" s="29" t="str">
        <f t="shared" si="47"/>
        <v/>
      </c>
      <c r="R362" s="33"/>
    </row>
    <row r="363" spans="1:18" x14ac:dyDescent="0.25">
      <c r="A363" s="31"/>
      <c r="B363" s="34" t="str">
        <f t="shared" si="40"/>
        <v/>
      </c>
      <c r="C363" s="30"/>
      <c r="D363" s="10"/>
      <c r="E363" s="30"/>
      <c r="F363" s="36" t="str">
        <f t="shared" si="41"/>
        <v/>
      </c>
      <c r="G363" s="36" t="str">
        <f t="shared" si="42"/>
        <v/>
      </c>
      <c r="H363" s="36" t="str">
        <f t="shared" si="43"/>
        <v/>
      </c>
      <c r="I363" s="34" t="str">
        <f t="shared" si="44"/>
        <v/>
      </c>
      <c r="J363" s="35" t="str">
        <f t="shared" si="45"/>
        <v/>
      </c>
      <c r="K363" s="49"/>
      <c r="L363" s="30"/>
      <c r="M363" s="31"/>
      <c r="N363" s="33"/>
      <c r="O363" s="31"/>
      <c r="P363" s="29" t="str">
        <f t="shared" si="46"/>
        <v/>
      </c>
      <c r="Q363" s="29" t="str">
        <f t="shared" si="47"/>
        <v/>
      </c>
      <c r="R363" s="33"/>
    </row>
    <row r="364" spans="1:18" x14ac:dyDescent="0.25">
      <c r="A364" s="31"/>
      <c r="B364" s="34" t="str">
        <f t="shared" si="40"/>
        <v/>
      </c>
      <c r="C364" s="30"/>
      <c r="D364" s="10"/>
      <c r="E364" s="30"/>
      <c r="F364" s="36" t="str">
        <f t="shared" si="41"/>
        <v/>
      </c>
      <c r="G364" s="36" t="str">
        <f t="shared" si="42"/>
        <v/>
      </c>
      <c r="H364" s="36" t="str">
        <f t="shared" si="43"/>
        <v/>
      </c>
      <c r="I364" s="34" t="str">
        <f t="shared" si="44"/>
        <v/>
      </c>
      <c r="J364" s="35" t="str">
        <f t="shared" si="45"/>
        <v/>
      </c>
      <c r="K364" s="49"/>
      <c r="L364" s="30"/>
      <c r="M364" s="31"/>
      <c r="N364" s="33"/>
      <c r="O364" s="31"/>
      <c r="P364" s="29" t="str">
        <f t="shared" si="46"/>
        <v/>
      </c>
      <c r="Q364" s="29" t="str">
        <f t="shared" si="47"/>
        <v/>
      </c>
      <c r="R364" s="33"/>
    </row>
    <row r="365" spans="1:18" x14ac:dyDescent="0.25">
      <c r="A365" s="31"/>
      <c r="B365" s="34" t="str">
        <f t="shared" si="40"/>
        <v/>
      </c>
      <c r="C365" s="30"/>
      <c r="D365" s="10"/>
      <c r="E365" s="30"/>
      <c r="F365" s="36" t="str">
        <f t="shared" si="41"/>
        <v/>
      </c>
      <c r="G365" s="36" t="str">
        <f t="shared" si="42"/>
        <v/>
      </c>
      <c r="H365" s="36" t="str">
        <f t="shared" si="43"/>
        <v/>
      </c>
      <c r="I365" s="34" t="str">
        <f t="shared" si="44"/>
        <v/>
      </c>
      <c r="J365" s="35" t="str">
        <f t="shared" si="45"/>
        <v/>
      </c>
      <c r="K365" s="49"/>
      <c r="L365" s="30"/>
      <c r="M365" s="31"/>
      <c r="N365" s="33"/>
      <c r="O365" s="31"/>
      <c r="P365" s="29" t="str">
        <f t="shared" si="46"/>
        <v/>
      </c>
      <c r="Q365" s="29" t="str">
        <f t="shared" si="47"/>
        <v/>
      </c>
      <c r="R365" s="33"/>
    </row>
    <row r="366" spans="1:18" x14ac:dyDescent="0.25">
      <c r="A366" s="31"/>
      <c r="B366" s="34" t="str">
        <f t="shared" si="40"/>
        <v/>
      </c>
      <c r="C366" s="30"/>
      <c r="D366" s="10"/>
      <c r="E366" s="30"/>
      <c r="F366" s="36" t="str">
        <f t="shared" si="41"/>
        <v/>
      </c>
      <c r="G366" s="36" t="str">
        <f t="shared" si="42"/>
        <v/>
      </c>
      <c r="H366" s="36" t="str">
        <f t="shared" si="43"/>
        <v/>
      </c>
      <c r="I366" s="34" t="str">
        <f t="shared" si="44"/>
        <v/>
      </c>
      <c r="J366" s="35" t="str">
        <f t="shared" si="45"/>
        <v/>
      </c>
      <c r="K366" s="49"/>
      <c r="L366" s="30"/>
      <c r="M366" s="31"/>
      <c r="N366" s="33"/>
      <c r="O366" s="31"/>
      <c r="P366" s="29" t="str">
        <f t="shared" si="46"/>
        <v/>
      </c>
      <c r="Q366" s="29" t="str">
        <f t="shared" si="47"/>
        <v/>
      </c>
      <c r="R366" s="33"/>
    </row>
    <row r="367" spans="1:18" x14ac:dyDescent="0.25">
      <c r="A367" s="31"/>
      <c r="B367" s="34" t="str">
        <f t="shared" si="40"/>
        <v/>
      </c>
      <c r="C367" s="30"/>
      <c r="D367" s="10"/>
      <c r="E367" s="30"/>
      <c r="F367" s="36" t="str">
        <f t="shared" si="41"/>
        <v/>
      </c>
      <c r="G367" s="36" t="str">
        <f t="shared" si="42"/>
        <v/>
      </c>
      <c r="H367" s="36" t="str">
        <f t="shared" si="43"/>
        <v/>
      </c>
      <c r="I367" s="34" t="str">
        <f t="shared" si="44"/>
        <v/>
      </c>
      <c r="J367" s="35" t="str">
        <f t="shared" si="45"/>
        <v/>
      </c>
      <c r="K367" s="49"/>
      <c r="L367" s="30"/>
      <c r="M367" s="31"/>
      <c r="N367" s="33"/>
      <c r="O367" s="31"/>
      <c r="P367" s="29" t="str">
        <f t="shared" si="46"/>
        <v/>
      </c>
      <c r="Q367" s="29" t="str">
        <f t="shared" si="47"/>
        <v/>
      </c>
      <c r="R367" s="33"/>
    </row>
    <row r="368" spans="1:18" x14ac:dyDescent="0.25">
      <c r="A368" s="31"/>
      <c r="B368" s="34" t="str">
        <f t="shared" si="40"/>
        <v/>
      </c>
      <c r="C368" s="30"/>
      <c r="D368" s="10"/>
      <c r="E368" s="30"/>
      <c r="F368" s="36" t="str">
        <f t="shared" si="41"/>
        <v/>
      </c>
      <c r="G368" s="36" t="str">
        <f t="shared" si="42"/>
        <v/>
      </c>
      <c r="H368" s="36" t="str">
        <f t="shared" si="43"/>
        <v/>
      </c>
      <c r="I368" s="34" t="str">
        <f t="shared" si="44"/>
        <v/>
      </c>
      <c r="J368" s="35" t="str">
        <f t="shared" si="45"/>
        <v/>
      </c>
      <c r="K368" s="49"/>
      <c r="L368" s="30"/>
      <c r="M368" s="31"/>
      <c r="N368" s="33"/>
      <c r="O368" s="31"/>
      <c r="P368" s="29" t="str">
        <f t="shared" si="46"/>
        <v/>
      </c>
      <c r="Q368" s="29" t="str">
        <f t="shared" si="47"/>
        <v/>
      </c>
      <c r="R368" s="33"/>
    </row>
    <row r="369" spans="1:18" x14ac:dyDescent="0.25">
      <c r="A369" s="31"/>
      <c r="B369" s="34" t="str">
        <f t="shared" si="40"/>
        <v/>
      </c>
      <c r="C369" s="30"/>
      <c r="D369" s="10"/>
      <c r="E369" s="30"/>
      <c r="F369" s="36" t="str">
        <f t="shared" si="41"/>
        <v/>
      </c>
      <c r="G369" s="36" t="str">
        <f t="shared" si="42"/>
        <v/>
      </c>
      <c r="H369" s="36" t="str">
        <f t="shared" si="43"/>
        <v/>
      </c>
      <c r="I369" s="34" t="str">
        <f t="shared" si="44"/>
        <v/>
      </c>
      <c r="J369" s="35" t="str">
        <f t="shared" si="45"/>
        <v/>
      </c>
      <c r="K369" s="49"/>
      <c r="L369" s="30"/>
      <c r="M369" s="31"/>
      <c r="N369" s="33"/>
      <c r="O369" s="31"/>
      <c r="P369" s="29" t="str">
        <f t="shared" si="46"/>
        <v/>
      </c>
      <c r="Q369" s="29" t="str">
        <f t="shared" si="47"/>
        <v/>
      </c>
      <c r="R369" s="33"/>
    </row>
    <row r="370" spans="1:18" x14ac:dyDescent="0.25">
      <c r="A370" s="31"/>
      <c r="B370" s="34" t="str">
        <f t="shared" si="40"/>
        <v/>
      </c>
      <c r="C370" s="30"/>
      <c r="D370" s="10"/>
      <c r="E370" s="30"/>
      <c r="F370" s="36" t="str">
        <f t="shared" si="41"/>
        <v/>
      </c>
      <c r="G370" s="36" t="str">
        <f t="shared" si="42"/>
        <v/>
      </c>
      <c r="H370" s="36" t="str">
        <f t="shared" si="43"/>
        <v/>
      </c>
      <c r="I370" s="34" t="str">
        <f t="shared" si="44"/>
        <v/>
      </c>
      <c r="J370" s="35" t="str">
        <f t="shared" si="45"/>
        <v/>
      </c>
      <c r="K370" s="49"/>
      <c r="L370" s="30"/>
      <c r="M370" s="31"/>
      <c r="N370" s="33"/>
      <c r="O370" s="31"/>
      <c r="P370" s="29" t="str">
        <f t="shared" si="46"/>
        <v/>
      </c>
      <c r="Q370" s="29" t="str">
        <f t="shared" si="47"/>
        <v/>
      </c>
      <c r="R370" s="33"/>
    </row>
    <row r="371" spans="1:18" x14ac:dyDescent="0.25">
      <c r="A371" s="31"/>
      <c r="B371" s="34" t="str">
        <f t="shared" si="40"/>
        <v/>
      </c>
      <c r="C371" s="30"/>
      <c r="D371" s="10"/>
      <c r="E371" s="30"/>
      <c r="F371" s="36" t="str">
        <f t="shared" si="41"/>
        <v/>
      </c>
      <c r="G371" s="36" t="str">
        <f t="shared" si="42"/>
        <v/>
      </c>
      <c r="H371" s="36" t="str">
        <f t="shared" si="43"/>
        <v/>
      </c>
      <c r="I371" s="34" t="str">
        <f t="shared" si="44"/>
        <v/>
      </c>
      <c r="J371" s="35" t="str">
        <f t="shared" si="45"/>
        <v/>
      </c>
      <c r="K371" s="49"/>
      <c r="L371" s="30"/>
      <c r="M371" s="31"/>
      <c r="N371" s="33"/>
      <c r="O371" s="31"/>
      <c r="P371" s="29" t="str">
        <f t="shared" si="46"/>
        <v/>
      </c>
      <c r="Q371" s="29" t="str">
        <f t="shared" si="47"/>
        <v/>
      </c>
      <c r="R371" s="33"/>
    </row>
    <row r="372" spans="1:18" x14ac:dyDescent="0.25">
      <c r="A372" s="31"/>
      <c r="B372" s="34" t="str">
        <f t="shared" si="40"/>
        <v/>
      </c>
      <c r="C372" s="30"/>
      <c r="D372" s="10"/>
      <c r="E372" s="30"/>
      <c r="F372" s="36" t="str">
        <f t="shared" si="41"/>
        <v/>
      </c>
      <c r="G372" s="36" t="str">
        <f t="shared" si="42"/>
        <v/>
      </c>
      <c r="H372" s="36" t="str">
        <f t="shared" si="43"/>
        <v/>
      </c>
      <c r="I372" s="34" t="str">
        <f t="shared" si="44"/>
        <v/>
      </c>
      <c r="J372" s="35" t="str">
        <f t="shared" si="45"/>
        <v/>
      </c>
      <c r="K372" s="49"/>
      <c r="L372" s="30"/>
      <c r="M372" s="31"/>
      <c r="N372" s="33"/>
      <c r="O372" s="31"/>
      <c r="P372" s="29" t="str">
        <f t="shared" si="46"/>
        <v/>
      </c>
      <c r="Q372" s="29" t="str">
        <f t="shared" si="47"/>
        <v/>
      </c>
      <c r="R372" s="33"/>
    </row>
    <row r="373" spans="1:18" x14ac:dyDescent="0.25">
      <c r="A373" s="31"/>
      <c r="B373" s="34" t="str">
        <f t="shared" si="40"/>
        <v/>
      </c>
      <c r="C373" s="30"/>
      <c r="D373" s="10"/>
      <c r="E373" s="30"/>
      <c r="F373" s="36" t="str">
        <f t="shared" si="41"/>
        <v/>
      </c>
      <c r="G373" s="36" t="str">
        <f t="shared" si="42"/>
        <v/>
      </c>
      <c r="H373" s="36" t="str">
        <f t="shared" si="43"/>
        <v/>
      </c>
      <c r="I373" s="34" t="str">
        <f t="shared" si="44"/>
        <v/>
      </c>
      <c r="J373" s="35" t="str">
        <f t="shared" si="45"/>
        <v/>
      </c>
      <c r="K373" s="49"/>
      <c r="L373" s="30"/>
      <c r="M373" s="31"/>
      <c r="N373" s="33"/>
      <c r="O373" s="31"/>
      <c r="P373" s="29" t="str">
        <f t="shared" si="46"/>
        <v/>
      </c>
      <c r="Q373" s="29" t="str">
        <f t="shared" si="47"/>
        <v/>
      </c>
      <c r="R373" s="33"/>
    </row>
    <row r="374" spans="1:18" x14ac:dyDescent="0.25">
      <c r="A374" s="31"/>
      <c r="B374" s="34" t="str">
        <f t="shared" si="40"/>
        <v/>
      </c>
      <c r="C374" s="30"/>
      <c r="D374" s="10"/>
      <c r="E374" s="30"/>
      <c r="F374" s="36" t="str">
        <f t="shared" si="41"/>
        <v/>
      </c>
      <c r="G374" s="36" t="str">
        <f t="shared" si="42"/>
        <v/>
      </c>
      <c r="H374" s="36" t="str">
        <f t="shared" si="43"/>
        <v/>
      </c>
      <c r="I374" s="34" t="str">
        <f t="shared" si="44"/>
        <v/>
      </c>
      <c r="J374" s="35" t="str">
        <f t="shared" si="45"/>
        <v/>
      </c>
      <c r="K374" s="49"/>
      <c r="L374" s="30"/>
      <c r="M374" s="31"/>
      <c r="N374" s="33"/>
      <c r="O374" s="31"/>
      <c r="P374" s="29" t="str">
        <f t="shared" si="46"/>
        <v/>
      </c>
      <c r="Q374" s="29" t="str">
        <f t="shared" si="47"/>
        <v/>
      </c>
      <c r="R374" s="33"/>
    </row>
    <row r="375" spans="1:18" x14ac:dyDescent="0.25">
      <c r="A375" s="31"/>
      <c r="B375" s="34" t="str">
        <f t="shared" si="40"/>
        <v/>
      </c>
      <c r="C375" s="30"/>
      <c r="D375" s="10"/>
      <c r="E375" s="30"/>
      <c r="F375" s="36" t="str">
        <f t="shared" si="41"/>
        <v/>
      </c>
      <c r="G375" s="36" t="str">
        <f t="shared" si="42"/>
        <v/>
      </c>
      <c r="H375" s="36" t="str">
        <f t="shared" si="43"/>
        <v/>
      </c>
      <c r="I375" s="34" t="str">
        <f t="shared" si="44"/>
        <v/>
      </c>
      <c r="J375" s="35" t="str">
        <f t="shared" si="45"/>
        <v/>
      </c>
      <c r="K375" s="49"/>
      <c r="L375" s="30"/>
      <c r="M375" s="31"/>
      <c r="N375" s="33"/>
      <c r="O375" s="31"/>
      <c r="P375" s="29" t="str">
        <f t="shared" si="46"/>
        <v/>
      </c>
      <c r="Q375" s="29" t="str">
        <f t="shared" si="47"/>
        <v/>
      </c>
      <c r="R375" s="33"/>
    </row>
    <row r="376" spans="1:18" x14ac:dyDescent="0.25">
      <c r="A376" s="31"/>
      <c r="B376" s="34" t="str">
        <f t="shared" si="40"/>
        <v/>
      </c>
      <c r="C376" s="30"/>
      <c r="D376" s="10"/>
      <c r="E376" s="30"/>
      <c r="F376" s="36" t="str">
        <f t="shared" si="41"/>
        <v/>
      </c>
      <c r="G376" s="36" t="str">
        <f t="shared" si="42"/>
        <v/>
      </c>
      <c r="H376" s="36" t="str">
        <f t="shared" si="43"/>
        <v/>
      </c>
      <c r="I376" s="34" t="str">
        <f t="shared" si="44"/>
        <v/>
      </c>
      <c r="J376" s="35" t="str">
        <f t="shared" si="45"/>
        <v/>
      </c>
      <c r="K376" s="49"/>
      <c r="L376" s="30"/>
      <c r="M376" s="31"/>
      <c r="N376" s="33"/>
      <c r="O376" s="31"/>
      <c r="P376" s="29" t="str">
        <f t="shared" si="46"/>
        <v/>
      </c>
      <c r="Q376" s="29" t="str">
        <f t="shared" si="47"/>
        <v/>
      </c>
      <c r="R376" s="33"/>
    </row>
    <row r="377" spans="1:18" x14ac:dyDescent="0.25">
      <c r="A377" s="31"/>
      <c r="B377" s="34" t="str">
        <f t="shared" si="40"/>
        <v/>
      </c>
      <c r="C377" s="30"/>
      <c r="D377" s="10"/>
      <c r="E377" s="30"/>
      <c r="F377" s="36" t="str">
        <f t="shared" si="41"/>
        <v/>
      </c>
      <c r="G377" s="36" t="str">
        <f t="shared" si="42"/>
        <v/>
      </c>
      <c r="H377" s="36" t="str">
        <f t="shared" si="43"/>
        <v/>
      </c>
      <c r="I377" s="34" t="str">
        <f t="shared" si="44"/>
        <v/>
      </c>
      <c r="J377" s="35" t="str">
        <f t="shared" si="45"/>
        <v/>
      </c>
      <c r="K377" s="49"/>
      <c r="L377" s="30"/>
      <c r="M377" s="31"/>
      <c r="N377" s="33"/>
      <c r="O377" s="31"/>
      <c r="P377" s="29" t="str">
        <f t="shared" si="46"/>
        <v/>
      </c>
      <c r="Q377" s="29" t="str">
        <f t="shared" si="47"/>
        <v/>
      </c>
      <c r="R377" s="33"/>
    </row>
    <row r="378" spans="1:18" x14ac:dyDescent="0.25">
      <c r="A378" s="31"/>
      <c r="B378" s="34" t="str">
        <f t="shared" si="40"/>
        <v/>
      </c>
      <c r="C378" s="30"/>
      <c r="D378" s="10"/>
      <c r="E378" s="30"/>
      <c r="F378" s="36" t="str">
        <f t="shared" si="41"/>
        <v/>
      </c>
      <c r="G378" s="36" t="str">
        <f t="shared" si="42"/>
        <v/>
      </c>
      <c r="H378" s="36" t="str">
        <f t="shared" si="43"/>
        <v/>
      </c>
      <c r="I378" s="34" t="str">
        <f t="shared" si="44"/>
        <v/>
      </c>
      <c r="J378" s="35" t="str">
        <f t="shared" si="45"/>
        <v/>
      </c>
      <c r="K378" s="49"/>
      <c r="L378" s="30"/>
      <c r="M378" s="31"/>
      <c r="N378" s="33"/>
      <c r="O378" s="31"/>
      <c r="P378" s="29" t="str">
        <f t="shared" si="46"/>
        <v/>
      </c>
      <c r="Q378" s="29" t="str">
        <f t="shared" si="47"/>
        <v/>
      </c>
      <c r="R378" s="33"/>
    </row>
    <row r="379" spans="1:18" x14ac:dyDescent="0.25">
      <c r="A379" s="31"/>
      <c r="B379" s="34" t="str">
        <f t="shared" si="40"/>
        <v/>
      </c>
      <c r="C379" s="30"/>
      <c r="D379" s="10"/>
      <c r="E379" s="30"/>
      <c r="F379" s="36" t="str">
        <f t="shared" si="41"/>
        <v/>
      </c>
      <c r="G379" s="36" t="str">
        <f t="shared" si="42"/>
        <v/>
      </c>
      <c r="H379" s="36" t="str">
        <f t="shared" si="43"/>
        <v/>
      </c>
      <c r="I379" s="34" t="str">
        <f t="shared" si="44"/>
        <v/>
      </c>
      <c r="J379" s="35" t="str">
        <f t="shared" si="45"/>
        <v/>
      </c>
      <c r="K379" s="49"/>
      <c r="L379" s="30"/>
      <c r="M379" s="31"/>
      <c r="N379" s="33"/>
      <c r="O379" s="31"/>
      <c r="P379" s="29" t="str">
        <f t="shared" si="46"/>
        <v/>
      </c>
      <c r="Q379" s="29" t="str">
        <f t="shared" si="47"/>
        <v/>
      </c>
      <c r="R379" s="33"/>
    </row>
    <row r="380" spans="1:18" x14ac:dyDescent="0.25">
      <c r="A380" s="31"/>
      <c r="B380" s="34" t="str">
        <f t="shared" si="40"/>
        <v/>
      </c>
      <c r="C380" s="30"/>
      <c r="D380" s="10"/>
      <c r="E380" s="30"/>
      <c r="F380" s="36" t="str">
        <f t="shared" si="41"/>
        <v/>
      </c>
      <c r="G380" s="36" t="str">
        <f t="shared" si="42"/>
        <v/>
      </c>
      <c r="H380" s="36" t="str">
        <f t="shared" si="43"/>
        <v/>
      </c>
      <c r="I380" s="34" t="str">
        <f t="shared" si="44"/>
        <v/>
      </c>
      <c r="J380" s="35" t="str">
        <f t="shared" si="45"/>
        <v/>
      </c>
      <c r="K380" s="49"/>
      <c r="L380" s="30"/>
      <c r="M380" s="31"/>
      <c r="N380" s="33"/>
      <c r="O380" s="31"/>
      <c r="P380" s="29" t="str">
        <f t="shared" si="46"/>
        <v/>
      </c>
      <c r="Q380" s="29" t="str">
        <f t="shared" si="47"/>
        <v/>
      </c>
      <c r="R380" s="33"/>
    </row>
    <row r="381" spans="1:18" x14ac:dyDescent="0.25">
      <c r="A381" s="31"/>
      <c r="B381" s="34" t="str">
        <f t="shared" si="40"/>
        <v/>
      </c>
      <c r="C381" s="30"/>
      <c r="D381" s="10"/>
      <c r="E381" s="30"/>
      <c r="F381" s="36" t="str">
        <f t="shared" si="41"/>
        <v/>
      </c>
      <c r="G381" s="36" t="str">
        <f t="shared" si="42"/>
        <v/>
      </c>
      <c r="H381" s="36" t="str">
        <f t="shared" si="43"/>
        <v/>
      </c>
      <c r="I381" s="34" t="str">
        <f t="shared" si="44"/>
        <v/>
      </c>
      <c r="J381" s="35" t="str">
        <f t="shared" si="45"/>
        <v/>
      </c>
      <c r="K381" s="49"/>
      <c r="L381" s="30"/>
      <c r="M381" s="31"/>
      <c r="N381" s="33"/>
      <c r="O381" s="31"/>
      <c r="P381" s="29" t="str">
        <f t="shared" si="46"/>
        <v/>
      </c>
      <c r="Q381" s="29" t="str">
        <f t="shared" si="47"/>
        <v/>
      </c>
      <c r="R381" s="33"/>
    </row>
    <row r="382" spans="1:18" x14ac:dyDescent="0.25">
      <c r="A382" s="31"/>
      <c r="B382" s="34" t="str">
        <f t="shared" si="40"/>
        <v/>
      </c>
      <c r="C382" s="30"/>
      <c r="D382" s="10"/>
      <c r="E382" s="30"/>
      <c r="F382" s="36" t="str">
        <f t="shared" si="41"/>
        <v/>
      </c>
      <c r="G382" s="36" t="str">
        <f t="shared" si="42"/>
        <v/>
      </c>
      <c r="H382" s="36" t="str">
        <f t="shared" si="43"/>
        <v/>
      </c>
      <c r="I382" s="34" t="str">
        <f t="shared" si="44"/>
        <v/>
      </c>
      <c r="J382" s="35" t="str">
        <f t="shared" si="45"/>
        <v/>
      </c>
      <c r="K382" s="49"/>
      <c r="L382" s="30"/>
      <c r="M382" s="31"/>
      <c r="N382" s="33"/>
      <c r="O382" s="31"/>
      <c r="P382" s="29" t="str">
        <f t="shared" si="46"/>
        <v/>
      </c>
      <c r="Q382" s="29" t="str">
        <f t="shared" si="47"/>
        <v/>
      </c>
      <c r="R382" s="33"/>
    </row>
    <row r="383" spans="1:18" x14ac:dyDescent="0.25">
      <c r="A383" s="31"/>
      <c r="B383" s="34" t="str">
        <f t="shared" si="40"/>
        <v/>
      </c>
      <c r="C383" s="30"/>
      <c r="D383" s="10"/>
      <c r="E383" s="30"/>
      <c r="F383" s="36" t="str">
        <f t="shared" si="41"/>
        <v/>
      </c>
      <c r="G383" s="36" t="str">
        <f t="shared" si="42"/>
        <v/>
      </c>
      <c r="H383" s="36" t="str">
        <f t="shared" si="43"/>
        <v/>
      </c>
      <c r="I383" s="34" t="str">
        <f t="shared" si="44"/>
        <v/>
      </c>
      <c r="J383" s="35" t="str">
        <f t="shared" si="45"/>
        <v/>
      </c>
      <c r="K383" s="49"/>
      <c r="L383" s="30"/>
      <c r="M383" s="31"/>
      <c r="N383" s="33"/>
      <c r="O383" s="31"/>
      <c r="P383" s="29" t="str">
        <f t="shared" si="46"/>
        <v/>
      </c>
      <c r="Q383" s="29" t="str">
        <f t="shared" si="47"/>
        <v/>
      </c>
      <c r="R383" s="33"/>
    </row>
    <row r="384" spans="1:18" x14ac:dyDescent="0.25">
      <c r="A384" s="31"/>
      <c r="B384" s="34" t="str">
        <f t="shared" si="40"/>
        <v/>
      </c>
      <c r="C384" s="30"/>
      <c r="D384" s="10"/>
      <c r="E384" s="30"/>
      <c r="F384" s="36" t="str">
        <f t="shared" si="41"/>
        <v/>
      </c>
      <c r="G384" s="36" t="str">
        <f t="shared" si="42"/>
        <v/>
      </c>
      <c r="H384" s="36" t="str">
        <f t="shared" si="43"/>
        <v/>
      </c>
      <c r="I384" s="34" t="str">
        <f t="shared" si="44"/>
        <v/>
      </c>
      <c r="J384" s="35" t="str">
        <f t="shared" si="45"/>
        <v/>
      </c>
      <c r="K384" s="49"/>
      <c r="L384" s="30"/>
      <c r="M384" s="31"/>
      <c r="N384" s="33"/>
      <c r="O384" s="31"/>
      <c r="P384" s="29" t="str">
        <f t="shared" si="46"/>
        <v/>
      </c>
      <c r="Q384" s="29" t="str">
        <f t="shared" si="47"/>
        <v/>
      </c>
      <c r="R384" s="33"/>
    </row>
    <row r="385" spans="1:18" x14ac:dyDescent="0.25">
      <c r="A385" s="31"/>
      <c r="B385" s="34" t="str">
        <f t="shared" si="40"/>
        <v/>
      </c>
      <c r="C385" s="30"/>
      <c r="D385" s="10"/>
      <c r="E385" s="30"/>
      <c r="F385" s="36" t="str">
        <f t="shared" si="41"/>
        <v/>
      </c>
      <c r="G385" s="36" t="str">
        <f t="shared" si="42"/>
        <v/>
      </c>
      <c r="H385" s="36" t="str">
        <f t="shared" si="43"/>
        <v/>
      </c>
      <c r="I385" s="34" t="str">
        <f t="shared" si="44"/>
        <v/>
      </c>
      <c r="J385" s="35" t="str">
        <f t="shared" si="45"/>
        <v/>
      </c>
      <c r="K385" s="49"/>
      <c r="L385" s="30"/>
      <c r="M385" s="31"/>
      <c r="N385" s="33"/>
      <c r="O385" s="31"/>
      <c r="P385" s="29" t="str">
        <f t="shared" si="46"/>
        <v/>
      </c>
      <c r="Q385" s="29" t="str">
        <f t="shared" si="47"/>
        <v/>
      </c>
      <c r="R385" s="33"/>
    </row>
    <row r="386" spans="1:18" x14ac:dyDescent="0.25">
      <c r="A386" s="31"/>
      <c r="B386" s="34" t="str">
        <f t="shared" si="40"/>
        <v/>
      </c>
      <c r="C386" s="30"/>
      <c r="D386" s="10"/>
      <c r="E386" s="30"/>
      <c r="F386" s="36" t="str">
        <f t="shared" si="41"/>
        <v/>
      </c>
      <c r="G386" s="36" t="str">
        <f t="shared" si="42"/>
        <v/>
      </c>
      <c r="H386" s="36" t="str">
        <f t="shared" si="43"/>
        <v/>
      </c>
      <c r="I386" s="34" t="str">
        <f t="shared" si="44"/>
        <v/>
      </c>
      <c r="J386" s="35" t="str">
        <f t="shared" si="45"/>
        <v/>
      </c>
      <c r="K386" s="49"/>
      <c r="L386" s="30"/>
      <c r="M386" s="31"/>
      <c r="N386" s="33"/>
      <c r="O386" s="31"/>
      <c r="P386" s="29" t="str">
        <f t="shared" si="46"/>
        <v/>
      </c>
      <c r="Q386" s="29" t="str">
        <f t="shared" si="47"/>
        <v/>
      </c>
      <c r="R386" s="33"/>
    </row>
    <row r="387" spans="1:18" x14ac:dyDescent="0.25">
      <c r="A387" s="31"/>
      <c r="B387" s="34" t="str">
        <f t="shared" si="40"/>
        <v/>
      </c>
      <c r="C387" s="30"/>
      <c r="D387" s="10"/>
      <c r="E387" s="30"/>
      <c r="F387" s="36" t="str">
        <f t="shared" si="41"/>
        <v/>
      </c>
      <c r="G387" s="36" t="str">
        <f t="shared" si="42"/>
        <v/>
      </c>
      <c r="H387" s="36" t="str">
        <f t="shared" si="43"/>
        <v/>
      </c>
      <c r="I387" s="34" t="str">
        <f t="shared" si="44"/>
        <v/>
      </c>
      <c r="J387" s="35" t="str">
        <f t="shared" si="45"/>
        <v/>
      </c>
      <c r="K387" s="49"/>
      <c r="L387" s="30"/>
      <c r="M387" s="31"/>
      <c r="N387" s="33"/>
      <c r="O387" s="31"/>
      <c r="P387" s="29" t="str">
        <f t="shared" si="46"/>
        <v/>
      </c>
      <c r="Q387" s="29" t="str">
        <f t="shared" si="47"/>
        <v/>
      </c>
      <c r="R387" s="33"/>
    </row>
    <row r="388" spans="1:18" x14ac:dyDescent="0.25">
      <c r="A388" s="31"/>
      <c r="B388" s="34" t="str">
        <f t="shared" si="40"/>
        <v/>
      </c>
      <c r="C388" s="30"/>
      <c r="D388" s="10"/>
      <c r="E388" s="30"/>
      <c r="F388" s="36" t="str">
        <f t="shared" si="41"/>
        <v/>
      </c>
      <c r="G388" s="36" t="str">
        <f t="shared" si="42"/>
        <v/>
      </c>
      <c r="H388" s="36" t="str">
        <f t="shared" si="43"/>
        <v/>
      </c>
      <c r="I388" s="34" t="str">
        <f t="shared" si="44"/>
        <v/>
      </c>
      <c r="J388" s="35" t="str">
        <f t="shared" si="45"/>
        <v/>
      </c>
      <c r="K388" s="49"/>
      <c r="L388" s="30"/>
      <c r="M388" s="31"/>
      <c r="N388" s="33"/>
      <c r="O388" s="31"/>
      <c r="P388" s="29" t="str">
        <f t="shared" si="46"/>
        <v/>
      </c>
      <c r="Q388" s="29" t="str">
        <f t="shared" si="47"/>
        <v/>
      </c>
      <c r="R388" s="33"/>
    </row>
    <row r="389" spans="1:18" x14ac:dyDescent="0.25">
      <c r="A389" s="31"/>
      <c r="B389" s="34" t="str">
        <f t="shared" ref="B389:B452" si="48">IFERROR(IF($E389="","",VLOOKUP($E389,CAD_TAB,2,FALSE)),"")</f>
        <v/>
      </c>
      <c r="C389" s="30"/>
      <c r="D389" s="10"/>
      <c r="E389" s="30"/>
      <c r="F389" s="36" t="str">
        <f t="shared" ref="F389:F452" si="49">IFERROR(IF($E389="","",VLOOKUP($E389,CAD_TAB,8,FALSE)),"")</f>
        <v/>
      </c>
      <c r="G389" s="36" t="str">
        <f t="shared" ref="G389:G452" si="50">IFERROR(IF($E389="","",VLOOKUP($E389,CAD_TAB,9,FALSE)),"")</f>
        <v/>
      </c>
      <c r="H389" s="36" t="str">
        <f t="shared" ref="H389:H452" si="51">IFERROR(IF($E389="","",VLOOKUP($E389,CAD_TAB,11,FALSE)),"")</f>
        <v/>
      </c>
      <c r="I389" s="34" t="str">
        <f t="shared" ref="I389:I452" si="52">IFERROR(IF($E389="","",VLOOKUP($E389,CAD_TAB,7,FALSE)),"")</f>
        <v/>
      </c>
      <c r="J389" s="35" t="str">
        <f t="shared" ref="J389:J452" si="53">IFERROR(IF($E389="","",VLOOKUP($E389,CAD_TAB,6,FALSE)),"")</f>
        <v/>
      </c>
      <c r="K389" s="49"/>
      <c r="L389" s="30"/>
      <c r="M389" s="31"/>
      <c r="N389" s="33"/>
      <c r="O389" s="31"/>
      <c r="P389" s="29" t="str">
        <f t="shared" ref="P389:P452" si="54">IF($E389="","",IF($L389="SIM","EXECUTADO",IF($O389&lt;&gt;"","REPROGRAMADO",IF($L389="NÃO","NÃO EXECUTADO","PROGRAMADO"))))</f>
        <v/>
      </c>
      <c r="Q389" s="29" t="str">
        <f t="shared" ref="Q389:Q452" si="55">IF($E389="","",IF($L389="SIM",IF($M389=$A389,"NO DIA","FORA DO DIA"),""))</f>
        <v/>
      </c>
      <c r="R389" s="33"/>
    </row>
    <row r="390" spans="1:18" x14ac:dyDescent="0.25">
      <c r="A390" s="31"/>
      <c r="B390" s="34" t="str">
        <f t="shared" si="48"/>
        <v/>
      </c>
      <c r="C390" s="30"/>
      <c r="D390" s="10"/>
      <c r="E390" s="30"/>
      <c r="F390" s="36" t="str">
        <f t="shared" si="49"/>
        <v/>
      </c>
      <c r="G390" s="36" t="str">
        <f t="shared" si="50"/>
        <v/>
      </c>
      <c r="H390" s="36" t="str">
        <f t="shared" si="51"/>
        <v/>
      </c>
      <c r="I390" s="34" t="str">
        <f t="shared" si="52"/>
        <v/>
      </c>
      <c r="J390" s="35" t="str">
        <f t="shared" si="53"/>
        <v/>
      </c>
      <c r="K390" s="49"/>
      <c r="L390" s="30"/>
      <c r="M390" s="31"/>
      <c r="N390" s="33"/>
      <c r="O390" s="31"/>
      <c r="P390" s="29" t="str">
        <f t="shared" si="54"/>
        <v/>
      </c>
      <c r="Q390" s="29" t="str">
        <f t="shared" si="55"/>
        <v/>
      </c>
      <c r="R390" s="33"/>
    </row>
    <row r="391" spans="1:18" x14ac:dyDescent="0.25">
      <c r="A391" s="31"/>
      <c r="B391" s="34" t="str">
        <f t="shared" si="48"/>
        <v/>
      </c>
      <c r="C391" s="30"/>
      <c r="D391" s="10"/>
      <c r="E391" s="30"/>
      <c r="F391" s="36" t="str">
        <f t="shared" si="49"/>
        <v/>
      </c>
      <c r="G391" s="36" t="str">
        <f t="shared" si="50"/>
        <v/>
      </c>
      <c r="H391" s="36" t="str">
        <f t="shared" si="51"/>
        <v/>
      </c>
      <c r="I391" s="34" t="str">
        <f t="shared" si="52"/>
        <v/>
      </c>
      <c r="J391" s="35" t="str">
        <f t="shared" si="53"/>
        <v/>
      </c>
      <c r="K391" s="49"/>
      <c r="L391" s="30"/>
      <c r="M391" s="31"/>
      <c r="N391" s="33"/>
      <c r="O391" s="31"/>
      <c r="P391" s="29" t="str">
        <f t="shared" si="54"/>
        <v/>
      </c>
      <c r="Q391" s="29" t="str">
        <f t="shared" si="55"/>
        <v/>
      </c>
      <c r="R391" s="33"/>
    </row>
    <row r="392" spans="1:18" x14ac:dyDescent="0.25">
      <c r="A392" s="31"/>
      <c r="B392" s="34" t="str">
        <f t="shared" si="48"/>
        <v/>
      </c>
      <c r="C392" s="30"/>
      <c r="D392" s="10"/>
      <c r="E392" s="30"/>
      <c r="F392" s="36" t="str">
        <f t="shared" si="49"/>
        <v/>
      </c>
      <c r="G392" s="36" t="str">
        <f t="shared" si="50"/>
        <v/>
      </c>
      <c r="H392" s="36" t="str">
        <f t="shared" si="51"/>
        <v/>
      </c>
      <c r="I392" s="34" t="str">
        <f t="shared" si="52"/>
        <v/>
      </c>
      <c r="J392" s="35" t="str">
        <f t="shared" si="53"/>
        <v/>
      </c>
      <c r="K392" s="49"/>
      <c r="L392" s="30"/>
      <c r="M392" s="31"/>
      <c r="N392" s="33"/>
      <c r="O392" s="31"/>
      <c r="P392" s="29" t="str">
        <f t="shared" si="54"/>
        <v/>
      </c>
      <c r="Q392" s="29" t="str">
        <f t="shared" si="55"/>
        <v/>
      </c>
      <c r="R392" s="33"/>
    </row>
    <row r="393" spans="1:18" x14ac:dyDescent="0.25">
      <c r="A393" s="31"/>
      <c r="B393" s="34" t="str">
        <f t="shared" si="48"/>
        <v/>
      </c>
      <c r="C393" s="30"/>
      <c r="D393" s="10"/>
      <c r="E393" s="30"/>
      <c r="F393" s="36" t="str">
        <f t="shared" si="49"/>
        <v/>
      </c>
      <c r="G393" s="36" t="str">
        <f t="shared" si="50"/>
        <v/>
      </c>
      <c r="H393" s="36" t="str">
        <f t="shared" si="51"/>
        <v/>
      </c>
      <c r="I393" s="34" t="str">
        <f t="shared" si="52"/>
        <v/>
      </c>
      <c r="J393" s="35" t="str">
        <f t="shared" si="53"/>
        <v/>
      </c>
      <c r="K393" s="49"/>
      <c r="L393" s="30"/>
      <c r="M393" s="31"/>
      <c r="N393" s="33"/>
      <c r="O393" s="31"/>
      <c r="P393" s="29" t="str">
        <f t="shared" si="54"/>
        <v/>
      </c>
      <c r="Q393" s="29" t="str">
        <f t="shared" si="55"/>
        <v/>
      </c>
      <c r="R393" s="33"/>
    </row>
    <row r="394" spans="1:18" x14ac:dyDescent="0.25">
      <c r="A394" s="31"/>
      <c r="B394" s="34" t="str">
        <f t="shared" si="48"/>
        <v/>
      </c>
      <c r="C394" s="30"/>
      <c r="D394" s="10"/>
      <c r="E394" s="30"/>
      <c r="F394" s="36" t="str">
        <f t="shared" si="49"/>
        <v/>
      </c>
      <c r="G394" s="36" t="str">
        <f t="shared" si="50"/>
        <v/>
      </c>
      <c r="H394" s="36" t="str">
        <f t="shared" si="51"/>
        <v/>
      </c>
      <c r="I394" s="34" t="str">
        <f t="shared" si="52"/>
        <v/>
      </c>
      <c r="J394" s="35" t="str">
        <f t="shared" si="53"/>
        <v/>
      </c>
      <c r="K394" s="49"/>
      <c r="L394" s="30"/>
      <c r="M394" s="31"/>
      <c r="N394" s="33"/>
      <c r="O394" s="31"/>
      <c r="P394" s="29" t="str">
        <f t="shared" si="54"/>
        <v/>
      </c>
      <c r="Q394" s="29" t="str">
        <f t="shared" si="55"/>
        <v/>
      </c>
      <c r="R394" s="33"/>
    </row>
    <row r="395" spans="1:18" x14ac:dyDescent="0.25">
      <c r="A395" s="31"/>
      <c r="B395" s="34" t="str">
        <f t="shared" si="48"/>
        <v/>
      </c>
      <c r="C395" s="30"/>
      <c r="D395" s="10"/>
      <c r="E395" s="30"/>
      <c r="F395" s="36" t="str">
        <f t="shared" si="49"/>
        <v/>
      </c>
      <c r="G395" s="36" t="str">
        <f t="shared" si="50"/>
        <v/>
      </c>
      <c r="H395" s="36" t="str">
        <f t="shared" si="51"/>
        <v/>
      </c>
      <c r="I395" s="34" t="str">
        <f t="shared" si="52"/>
        <v/>
      </c>
      <c r="J395" s="35" t="str">
        <f t="shared" si="53"/>
        <v/>
      </c>
      <c r="K395" s="49"/>
      <c r="L395" s="30"/>
      <c r="M395" s="31"/>
      <c r="N395" s="33"/>
      <c r="O395" s="31"/>
      <c r="P395" s="29" t="str">
        <f t="shared" si="54"/>
        <v/>
      </c>
      <c r="Q395" s="29" t="str">
        <f t="shared" si="55"/>
        <v/>
      </c>
      <c r="R395" s="33"/>
    </row>
    <row r="396" spans="1:18" x14ac:dyDescent="0.25">
      <c r="A396" s="31"/>
      <c r="B396" s="34" t="str">
        <f t="shared" si="48"/>
        <v/>
      </c>
      <c r="C396" s="30"/>
      <c r="D396" s="10"/>
      <c r="E396" s="30"/>
      <c r="F396" s="36" t="str">
        <f t="shared" si="49"/>
        <v/>
      </c>
      <c r="G396" s="36" t="str">
        <f t="shared" si="50"/>
        <v/>
      </c>
      <c r="H396" s="36" t="str">
        <f t="shared" si="51"/>
        <v/>
      </c>
      <c r="I396" s="34" t="str">
        <f t="shared" si="52"/>
        <v/>
      </c>
      <c r="J396" s="35" t="str">
        <f t="shared" si="53"/>
        <v/>
      </c>
      <c r="K396" s="49"/>
      <c r="L396" s="30"/>
      <c r="M396" s="31"/>
      <c r="N396" s="33"/>
      <c r="O396" s="31"/>
      <c r="P396" s="29" t="str">
        <f t="shared" si="54"/>
        <v/>
      </c>
      <c r="Q396" s="29" t="str">
        <f t="shared" si="55"/>
        <v/>
      </c>
      <c r="R396" s="33"/>
    </row>
    <row r="397" spans="1:18" x14ac:dyDescent="0.25">
      <c r="A397" s="31"/>
      <c r="B397" s="34" t="str">
        <f t="shared" si="48"/>
        <v/>
      </c>
      <c r="C397" s="30"/>
      <c r="D397" s="10"/>
      <c r="E397" s="30"/>
      <c r="F397" s="36" t="str">
        <f t="shared" si="49"/>
        <v/>
      </c>
      <c r="G397" s="36" t="str">
        <f t="shared" si="50"/>
        <v/>
      </c>
      <c r="H397" s="36" t="str">
        <f t="shared" si="51"/>
        <v/>
      </c>
      <c r="I397" s="34" t="str">
        <f t="shared" si="52"/>
        <v/>
      </c>
      <c r="J397" s="35" t="str">
        <f t="shared" si="53"/>
        <v/>
      </c>
      <c r="K397" s="49"/>
      <c r="L397" s="30"/>
      <c r="M397" s="31"/>
      <c r="N397" s="33"/>
      <c r="O397" s="31"/>
      <c r="P397" s="29" t="str">
        <f t="shared" si="54"/>
        <v/>
      </c>
      <c r="Q397" s="29" t="str">
        <f t="shared" si="55"/>
        <v/>
      </c>
      <c r="R397" s="33"/>
    </row>
    <row r="398" spans="1:18" x14ac:dyDescent="0.25">
      <c r="A398" s="31"/>
      <c r="B398" s="34" t="str">
        <f t="shared" si="48"/>
        <v/>
      </c>
      <c r="C398" s="30"/>
      <c r="D398" s="10"/>
      <c r="E398" s="30"/>
      <c r="F398" s="36" t="str">
        <f t="shared" si="49"/>
        <v/>
      </c>
      <c r="G398" s="36" t="str">
        <f t="shared" si="50"/>
        <v/>
      </c>
      <c r="H398" s="36" t="str">
        <f t="shared" si="51"/>
        <v/>
      </c>
      <c r="I398" s="34" t="str">
        <f t="shared" si="52"/>
        <v/>
      </c>
      <c r="J398" s="35" t="str">
        <f t="shared" si="53"/>
        <v/>
      </c>
      <c r="K398" s="49"/>
      <c r="L398" s="30"/>
      <c r="M398" s="31"/>
      <c r="N398" s="33"/>
      <c r="O398" s="31"/>
      <c r="P398" s="29" t="str">
        <f t="shared" si="54"/>
        <v/>
      </c>
      <c r="Q398" s="29" t="str">
        <f t="shared" si="55"/>
        <v/>
      </c>
      <c r="R398" s="33"/>
    </row>
    <row r="399" spans="1:18" x14ac:dyDescent="0.25">
      <c r="A399" s="31"/>
      <c r="B399" s="34" t="str">
        <f t="shared" si="48"/>
        <v/>
      </c>
      <c r="C399" s="30"/>
      <c r="D399" s="10"/>
      <c r="E399" s="30"/>
      <c r="F399" s="36" t="str">
        <f t="shared" si="49"/>
        <v/>
      </c>
      <c r="G399" s="36" t="str">
        <f t="shared" si="50"/>
        <v/>
      </c>
      <c r="H399" s="36" t="str">
        <f t="shared" si="51"/>
        <v/>
      </c>
      <c r="I399" s="34" t="str">
        <f t="shared" si="52"/>
        <v/>
      </c>
      <c r="J399" s="35" t="str">
        <f t="shared" si="53"/>
        <v/>
      </c>
      <c r="K399" s="49"/>
      <c r="L399" s="30"/>
      <c r="M399" s="31"/>
      <c r="N399" s="33"/>
      <c r="O399" s="31"/>
      <c r="P399" s="29" t="str">
        <f t="shared" si="54"/>
        <v/>
      </c>
      <c r="Q399" s="29" t="str">
        <f t="shared" si="55"/>
        <v/>
      </c>
      <c r="R399" s="33"/>
    </row>
    <row r="400" spans="1:18" x14ac:dyDescent="0.25">
      <c r="A400" s="31"/>
      <c r="B400" s="34" t="str">
        <f t="shared" si="48"/>
        <v/>
      </c>
      <c r="C400" s="30"/>
      <c r="D400" s="10"/>
      <c r="E400" s="30"/>
      <c r="F400" s="36" t="str">
        <f t="shared" si="49"/>
        <v/>
      </c>
      <c r="G400" s="36" t="str">
        <f t="shared" si="50"/>
        <v/>
      </c>
      <c r="H400" s="36" t="str">
        <f t="shared" si="51"/>
        <v/>
      </c>
      <c r="I400" s="34" t="str">
        <f t="shared" si="52"/>
        <v/>
      </c>
      <c r="J400" s="35" t="str">
        <f t="shared" si="53"/>
        <v/>
      </c>
      <c r="K400" s="49"/>
      <c r="L400" s="30"/>
      <c r="M400" s="31"/>
      <c r="N400" s="33"/>
      <c r="O400" s="31"/>
      <c r="P400" s="29" t="str">
        <f t="shared" si="54"/>
        <v/>
      </c>
      <c r="Q400" s="29" t="str">
        <f t="shared" si="55"/>
        <v/>
      </c>
      <c r="R400" s="33"/>
    </row>
    <row r="401" spans="1:18" x14ac:dyDescent="0.25">
      <c r="A401" s="31"/>
      <c r="B401" s="34" t="str">
        <f t="shared" si="48"/>
        <v/>
      </c>
      <c r="C401" s="30"/>
      <c r="D401" s="10"/>
      <c r="E401" s="30"/>
      <c r="F401" s="36" t="str">
        <f t="shared" si="49"/>
        <v/>
      </c>
      <c r="G401" s="36" t="str">
        <f t="shared" si="50"/>
        <v/>
      </c>
      <c r="H401" s="36" t="str">
        <f t="shared" si="51"/>
        <v/>
      </c>
      <c r="I401" s="34" t="str">
        <f t="shared" si="52"/>
        <v/>
      </c>
      <c r="J401" s="35" t="str">
        <f t="shared" si="53"/>
        <v/>
      </c>
      <c r="K401" s="49"/>
      <c r="L401" s="30"/>
      <c r="M401" s="31"/>
      <c r="N401" s="33"/>
      <c r="O401" s="31"/>
      <c r="P401" s="29" t="str">
        <f t="shared" si="54"/>
        <v/>
      </c>
      <c r="Q401" s="29" t="str">
        <f t="shared" si="55"/>
        <v/>
      </c>
      <c r="R401" s="33"/>
    </row>
    <row r="402" spans="1:18" x14ac:dyDescent="0.25">
      <c r="A402" s="31"/>
      <c r="B402" s="34" t="str">
        <f t="shared" si="48"/>
        <v/>
      </c>
      <c r="C402" s="30"/>
      <c r="D402" s="10"/>
      <c r="E402" s="30"/>
      <c r="F402" s="36" t="str">
        <f t="shared" si="49"/>
        <v/>
      </c>
      <c r="G402" s="36" t="str">
        <f t="shared" si="50"/>
        <v/>
      </c>
      <c r="H402" s="36" t="str">
        <f t="shared" si="51"/>
        <v/>
      </c>
      <c r="I402" s="34" t="str">
        <f t="shared" si="52"/>
        <v/>
      </c>
      <c r="J402" s="35" t="str">
        <f t="shared" si="53"/>
        <v/>
      </c>
      <c r="K402" s="49"/>
      <c r="L402" s="30"/>
      <c r="M402" s="31"/>
      <c r="N402" s="33"/>
      <c r="O402" s="31"/>
      <c r="P402" s="29" t="str">
        <f t="shared" si="54"/>
        <v/>
      </c>
      <c r="Q402" s="29" t="str">
        <f t="shared" si="55"/>
        <v/>
      </c>
      <c r="R402" s="33"/>
    </row>
    <row r="403" spans="1:18" x14ac:dyDescent="0.25">
      <c r="A403" s="31"/>
      <c r="B403" s="34" t="str">
        <f t="shared" si="48"/>
        <v/>
      </c>
      <c r="C403" s="30"/>
      <c r="D403" s="10"/>
      <c r="E403" s="30"/>
      <c r="F403" s="36" t="str">
        <f t="shared" si="49"/>
        <v/>
      </c>
      <c r="G403" s="36" t="str">
        <f t="shared" si="50"/>
        <v/>
      </c>
      <c r="H403" s="36" t="str">
        <f t="shared" si="51"/>
        <v/>
      </c>
      <c r="I403" s="34" t="str">
        <f t="shared" si="52"/>
        <v/>
      </c>
      <c r="J403" s="35" t="str">
        <f t="shared" si="53"/>
        <v/>
      </c>
      <c r="K403" s="49"/>
      <c r="L403" s="30"/>
      <c r="M403" s="31"/>
      <c r="N403" s="33"/>
      <c r="O403" s="31"/>
      <c r="P403" s="29" t="str">
        <f t="shared" si="54"/>
        <v/>
      </c>
      <c r="Q403" s="29" t="str">
        <f t="shared" si="55"/>
        <v/>
      </c>
      <c r="R403" s="33"/>
    </row>
    <row r="404" spans="1:18" x14ac:dyDescent="0.25">
      <c r="A404" s="31"/>
      <c r="B404" s="34" t="str">
        <f t="shared" si="48"/>
        <v/>
      </c>
      <c r="C404" s="30"/>
      <c r="D404" s="10"/>
      <c r="E404" s="30"/>
      <c r="F404" s="36" t="str">
        <f t="shared" si="49"/>
        <v/>
      </c>
      <c r="G404" s="36" t="str">
        <f t="shared" si="50"/>
        <v/>
      </c>
      <c r="H404" s="36" t="str">
        <f t="shared" si="51"/>
        <v/>
      </c>
      <c r="I404" s="34" t="str">
        <f t="shared" si="52"/>
        <v/>
      </c>
      <c r="J404" s="35" t="str">
        <f t="shared" si="53"/>
        <v/>
      </c>
      <c r="K404" s="49"/>
      <c r="L404" s="30"/>
      <c r="M404" s="31"/>
      <c r="N404" s="33"/>
      <c r="O404" s="31"/>
      <c r="P404" s="29" t="str">
        <f t="shared" si="54"/>
        <v/>
      </c>
      <c r="Q404" s="29" t="str">
        <f t="shared" si="55"/>
        <v/>
      </c>
      <c r="R404" s="33"/>
    </row>
    <row r="405" spans="1:18" x14ac:dyDescent="0.25">
      <c r="A405" s="31"/>
      <c r="B405" s="34" t="str">
        <f t="shared" si="48"/>
        <v/>
      </c>
      <c r="C405" s="30"/>
      <c r="D405" s="10"/>
      <c r="E405" s="30"/>
      <c r="F405" s="36" t="str">
        <f t="shared" si="49"/>
        <v/>
      </c>
      <c r="G405" s="36" t="str">
        <f t="shared" si="50"/>
        <v/>
      </c>
      <c r="H405" s="36" t="str">
        <f t="shared" si="51"/>
        <v/>
      </c>
      <c r="I405" s="34" t="str">
        <f t="shared" si="52"/>
        <v/>
      </c>
      <c r="J405" s="35" t="str">
        <f t="shared" si="53"/>
        <v/>
      </c>
      <c r="K405" s="49"/>
      <c r="L405" s="30"/>
      <c r="M405" s="31"/>
      <c r="N405" s="33"/>
      <c r="O405" s="31"/>
      <c r="P405" s="29" t="str">
        <f t="shared" si="54"/>
        <v/>
      </c>
      <c r="Q405" s="29" t="str">
        <f t="shared" si="55"/>
        <v/>
      </c>
      <c r="R405" s="33"/>
    </row>
    <row r="406" spans="1:18" x14ac:dyDescent="0.25">
      <c r="A406" s="31"/>
      <c r="B406" s="34" t="str">
        <f t="shared" si="48"/>
        <v/>
      </c>
      <c r="C406" s="30"/>
      <c r="D406" s="10"/>
      <c r="E406" s="30"/>
      <c r="F406" s="36" t="str">
        <f t="shared" si="49"/>
        <v/>
      </c>
      <c r="G406" s="36" t="str">
        <f t="shared" si="50"/>
        <v/>
      </c>
      <c r="H406" s="36" t="str">
        <f t="shared" si="51"/>
        <v/>
      </c>
      <c r="I406" s="34" t="str">
        <f t="shared" si="52"/>
        <v/>
      </c>
      <c r="J406" s="35" t="str">
        <f t="shared" si="53"/>
        <v/>
      </c>
      <c r="K406" s="49"/>
      <c r="L406" s="30"/>
      <c r="M406" s="31"/>
      <c r="N406" s="33"/>
      <c r="O406" s="31"/>
      <c r="P406" s="29" t="str">
        <f t="shared" si="54"/>
        <v/>
      </c>
      <c r="Q406" s="29" t="str">
        <f t="shared" si="55"/>
        <v/>
      </c>
      <c r="R406" s="33"/>
    </row>
    <row r="407" spans="1:18" x14ac:dyDescent="0.25">
      <c r="A407" s="31"/>
      <c r="B407" s="34" t="str">
        <f t="shared" si="48"/>
        <v/>
      </c>
      <c r="C407" s="30"/>
      <c r="D407" s="10"/>
      <c r="E407" s="30"/>
      <c r="F407" s="36" t="str">
        <f t="shared" si="49"/>
        <v/>
      </c>
      <c r="G407" s="36" t="str">
        <f t="shared" si="50"/>
        <v/>
      </c>
      <c r="H407" s="36" t="str">
        <f t="shared" si="51"/>
        <v/>
      </c>
      <c r="I407" s="34" t="str">
        <f t="shared" si="52"/>
        <v/>
      </c>
      <c r="J407" s="35" t="str">
        <f t="shared" si="53"/>
        <v/>
      </c>
      <c r="K407" s="49"/>
      <c r="L407" s="30"/>
      <c r="M407" s="31"/>
      <c r="N407" s="33"/>
      <c r="O407" s="31"/>
      <c r="P407" s="29" t="str">
        <f t="shared" si="54"/>
        <v/>
      </c>
      <c r="Q407" s="29" t="str">
        <f t="shared" si="55"/>
        <v/>
      </c>
      <c r="R407" s="33"/>
    </row>
    <row r="408" spans="1:18" x14ac:dyDescent="0.25">
      <c r="A408" s="31"/>
      <c r="B408" s="34" t="str">
        <f t="shared" si="48"/>
        <v/>
      </c>
      <c r="C408" s="30"/>
      <c r="D408" s="10"/>
      <c r="E408" s="30"/>
      <c r="F408" s="36" t="str">
        <f t="shared" si="49"/>
        <v/>
      </c>
      <c r="G408" s="36" t="str">
        <f t="shared" si="50"/>
        <v/>
      </c>
      <c r="H408" s="36" t="str">
        <f t="shared" si="51"/>
        <v/>
      </c>
      <c r="I408" s="34" t="str">
        <f t="shared" si="52"/>
        <v/>
      </c>
      <c r="J408" s="35" t="str">
        <f t="shared" si="53"/>
        <v/>
      </c>
      <c r="K408" s="49"/>
      <c r="L408" s="30"/>
      <c r="M408" s="31"/>
      <c r="N408" s="33"/>
      <c r="O408" s="31"/>
      <c r="P408" s="29" t="str">
        <f t="shared" si="54"/>
        <v/>
      </c>
      <c r="Q408" s="29" t="str">
        <f t="shared" si="55"/>
        <v/>
      </c>
      <c r="R408" s="33"/>
    </row>
    <row r="409" spans="1:18" x14ac:dyDescent="0.25">
      <c r="A409" s="31"/>
      <c r="B409" s="34" t="str">
        <f t="shared" si="48"/>
        <v/>
      </c>
      <c r="C409" s="30"/>
      <c r="D409" s="10"/>
      <c r="E409" s="30"/>
      <c r="F409" s="36" t="str">
        <f t="shared" si="49"/>
        <v/>
      </c>
      <c r="G409" s="36" t="str">
        <f t="shared" si="50"/>
        <v/>
      </c>
      <c r="H409" s="36" t="str">
        <f t="shared" si="51"/>
        <v/>
      </c>
      <c r="I409" s="34" t="str">
        <f t="shared" si="52"/>
        <v/>
      </c>
      <c r="J409" s="35" t="str">
        <f t="shared" si="53"/>
        <v/>
      </c>
      <c r="K409" s="49"/>
      <c r="L409" s="30"/>
      <c r="M409" s="31"/>
      <c r="N409" s="33"/>
      <c r="O409" s="31"/>
      <c r="P409" s="29" t="str">
        <f t="shared" si="54"/>
        <v/>
      </c>
      <c r="Q409" s="29" t="str">
        <f t="shared" si="55"/>
        <v/>
      </c>
      <c r="R409" s="33"/>
    </row>
    <row r="410" spans="1:18" x14ac:dyDescent="0.25">
      <c r="A410" s="31"/>
      <c r="B410" s="34" t="str">
        <f t="shared" si="48"/>
        <v/>
      </c>
      <c r="C410" s="30"/>
      <c r="D410" s="10"/>
      <c r="E410" s="30"/>
      <c r="F410" s="36" t="str">
        <f t="shared" si="49"/>
        <v/>
      </c>
      <c r="G410" s="36" t="str">
        <f t="shared" si="50"/>
        <v/>
      </c>
      <c r="H410" s="36" t="str">
        <f t="shared" si="51"/>
        <v/>
      </c>
      <c r="I410" s="34" t="str">
        <f t="shared" si="52"/>
        <v/>
      </c>
      <c r="J410" s="35" t="str">
        <f t="shared" si="53"/>
        <v/>
      </c>
      <c r="K410" s="49"/>
      <c r="L410" s="30"/>
      <c r="M410" s="31"/>
      <c r="N410" s="33"/>
      <c r="O410" s="31"/>
      <c r="P410" s="29" t="str">
        <f t="shared" si="54"/>
        <v/>
      </c>
      <c r="Q410" s="29" t="str">
        <f t="shared" si="55"/>
        <v/>
      </c>
      <c r="R410" s="33"/>
    </row>
    <row r="411" spans="1:18" x14ac:dyDescent="0.25">
      <c r="A411" s="31"/>
      <c r="B411" s="34" t="str">
        <f t="shared" si="48"/>
        <v/>
      </c>
      <c r="C411" s="30"/>
      <c r="D411" s="10"/>
      <c r="E411" s="30"/>
      <c r="F411" s="36" t="str">
        <f t="shared" si="49"/>
        <v/>
      </c>
      <c r="G411" s="36" t="str">
        <f t="shared" si="50"/>
        <v/>
      </c>
      <c r="H411" s="36" t="str">
        <f t="shared" si="51"/>
        <v/>
      </c>
      <c r="I411" s="34" t="str">
        <f t="shared" si="52"/>
        <v/>
      </c>
      <c r="J411" s="35" t="str">
        <f t="shared" si="53"/>
        <v/>
      </c>
      <c r="K411" s="49"/>
      <c r="L411" s="30"/>
      <c r="M411" s="31"/>
      <c r="N411" s="33"/>
      <c r="O411" s="31"/>
      <c r="P411" s="29" t="str">
        <f t="shared" si="54"/>
        <v/>
      </c>
      <c r="Q411" s="29" t="str">
        <f t="shared" si="55"/>
        <v/>
      </c>
      <c r="R411" s="33"/>
    </row>
    <row r="412" spans="1:18" x14ac:dyDescent="0.25">
      <c r="A412" s="31"/>
      <c r="B412" s="34" t="str">
        <f t="shared" si="48"/>
        <v/>
      </c>
      <c r="C412" s="30"/>
      <c r="D412" s="10"/>
      <c r="E412" s="30"/>
      <c r="F412" s="36" t="str">
        <f t="shared" si="49"/>
        <v/>
      </c>
      <c r="G412" s="36" t="str">
        <f t="shared" si="50"/>
        <v/>
      </c>
      <c r="H412" s="36" t="str">
        <f t="shared" si="51"/>
        <v/>
      </c>
      <c r="I412" s="34" t="str">
        <f t="shared" si="52"/>
        <v/>
      </c>
      <c r="J412" s="35" t="str">
        <f t="shared" si="53"/>
        <v/>
      </c>
      <c r="K412" s="49"/>
      <c r="L412" s="30"/>
      <c r="M412" s="31"/>
      <c r="N412" s="33"/>
      <c r="O412" s="31"/>
      <c r="P412" s="29" t="str">
        <f t="shared" si="54"/>
        <v/>
      </c>
      <c r="Q412" s="29" t="str">
        <f t="shared" si="55"/>
        <v/>
      </c>
      <c r="R412" s="33"/>
    </row>
    <row r="413" spans="1:18" x14ac:dyDescent="0.25">
      <c r="A413" s="31"/>
      <c r="B413" s="34" t="str">
        <f t="shared" si="48"/>
        <v/>
      </c>
      <c r="C413" s="30"/>
      <c r="D413" s="10"/>
      <c r="E413" s="30"/>
      <c r="F413" s="36" t="str">
        <f t="shared" si="49"/>
        <v/>
      </c>
      <c r="G413" s="36" t="str">
        <f t="shared" si="50"/>
        <v/>
      </c>
      <c r="H413" s="36" t="str">
        <f t="shared" si="51"/>
        <v/>
      </c>
      <c r="I413" s="34" t="str">
        <f t="shared" si="52"/>
        <v/>
      </c>
      <c r="J413" s="35" t="str">
        <f t="shared" si="53"/>
        <v/>
      </c>
      <c r="K413" s="49"/>
      <c r="L413" s="30"/>
      <c r="M413" s="31"/>
      <c r="N413" s="33"/>
      <c r="O413" s="31"/>
      <c r="P413" s="29" t="str">
        <f t="shared" si="54"/>
        <v/>
      </c>
      <c r="Q413" s="29" t="str">
        <f t="shared" si="55"/>
        <v/>
      </c>
      <c r="R413" s="33"/>
    </row>
    <row r="414" spans="1:18" x14ac:dyDescent="0.25">
      <c r="A414" s="31"/>
      <c r="B414" s="34" t="str">
        <f t="shared" si="48"/>
        <v/>
      </c>
      <c r="C414" s="30"/>
      <c r="D414" s="10"/>
      <c r="E414" s="30"/>
      <c r="F414" s="36" t="str">
        <f t="shared" si="49"/>
        <v/>
      </c>
      <c r="G414" s="36" t="str">
        <f t="shared" si="50"/>
        <v/>
      </c>
      <c r="H414" s="36" t="str">
        <f t="shared" si="51"/>
        <v/>
      </c>
      <c r="I414" s="34" t="str">
        <f t="shared" si="52"/>
        <v/>
      </c>
      <c r="J414" s="35" t="str">
        <f t="shared" si="53"/>
        <v/>
      </c>
      <c r="K414" s="49"/>
      <c r="L414" s="30"/>
      <c r="M414" s="31"/>
      <c r="N414" s="33"/>
      <c r="O414" s="31"/>
      <c r="P414" s="29" t="str">
        <f t="shared" si="54"/>
        <v/>
      </c>
      <c r="Q414" s="29" t="str">
        <f t="shared" si="55"/>
        <v/>
      </c>
      <c r="R414" s="33"/>
    </row>
    <row r="415" spans="1:18" x14ac:dyDescent="0.25">
      <c r="A415" s="31"/>
      <c r="B415" s="34" t="str">
        <f t="shared" si="48"/>
        <v/>
      </c>
      <c r="C415" s="30"/>
      <c r="D415" s="10"/>
      <c r="E415" s="30"/>
      <c r="F415" s="36" t="str">
        <f t="shared" si="49"/>
        <v/>
      </c>
      <c r="G415" s="36" t="str">
        <f t="shared" si="50"/>
        <v/>
      </c>
      <c r="H415" s="36" t="str">
        <f t="shared" si="51"/>
        <v/>
      </c>
      <c r="I415" s="34" t="str">
        <f t="shared" si="52"/>
        <v/>
      </c>
      <c r="J415" s="35" t="str">
        <f t="shared" si="53"/>
        <v/>
      </c>
      <c r="K415" s="49"/>
      <c r="L415" s="30"/>
      <c r="M415" s="31"/>
      <c r="N415" s="33"/>
      <c r="O415" s="31"/>
      <c r="P415" s="29" t="str">
        <f t="shared" si="54"/>
        <v/>
      </c>
      <c r="Q415" s="29" t="str">
        <f t="shared" si="55"/>
        <v/>
      </c>
      <c r="R415" s="33"/>
    </row>
    <row r="416" spans="1:18" x14ac:dyDescent="0.25">
      <c r="A416" s="31"/>
      <c r="B416" s="34" t="str">
        <f t="shared" si="48"/>
        <v/>
      </c>
      <c r="C416" s="30"/>
      <c r="D416" s="10"/>
      <c r="E416" s="30"/>
      <c r="F416" s="36" t="str">
        <f t="shared" si="49"/>
        <v/>
      </c>
      <c r="G416" s="36" t="str">
        <f t="shared" si="50"/>
        <v/>
      </c>
      <c r="H416" s="36" t="str">
        <f t="shared" si="51"/>
        <v/>
      </c>
      <c r="I416" s="34" t="str">
        <f t="shared" si="52"/>
        <v/>
      </c>
      <c r="J416" s="35" t="str">
        <f t="shared" si="53"/>
        <v/>
      </c>
      <c r="K416" s="49"/>
      <c r="L416" s="30"/>
      <c r="M416" s="31"/>
      <c r="N416" s="33"/>
      <c r="O416" s="31"/>
      <c r="P416" s="29" t="str">
        <f t="shared" si="54"/>
        <v/>
      </c>
      <c r="Q416" s="29" t="str">
        <f t="shared" si="55"/>
        <v/>
      </c>
      <c r="R416" s="33"/>
    </row>
    <row r="417" spans="1:18" x14ac:dyDescent="0.25">
      <c r="A417" s="31"/>
      <c r="B417" s="34" t="str">
        <f t="shared" si="48"/>
        <v/>
      </c>
      <c r="C417" s="30"/>
      <c r="D417" s="10"/>
      <c r="E417" s="30"/>
      <c r="F417" s="36" t="str">
        <f t="shared" si="49"/>
        <v/>
      </c>
      <c r="G417" s="36" t="str">
        <f t="shared" si="50"/>
        <v/>
      </c>
      <c r="H417" s="36" t="str">
        <f t="shared" si="51"/>
        <v/>
      </c>
      <c r="I417" s="34" t="str">
        <f t="shared" si="52"/>
        <v/>
      </c>
      <c r="J417" s="35" t="str">
        <f t="shared" si="53"/>
        <v/>
      </c>
      <c r="K417" s="49"/>
      <c r="L417" s="30"/>
      <c r="M417" s="31"/>
      <c r="N417" s="33"/>
      <c r="O417" s="31"/>
      <c r="P417" s="29" t="str">
        <f t="shared" si="54"/>
        <v/>
      </c>
      <c r="Q417" s="29" t="str">
        <f t="shared" si="55"/>
        <v/>
      </c>
      <c r="R417" s="33"/>
    </row>
    <row r="418" spans="1:18" x14ac:dyDescent="0.25">
      <c r="A418" s="31"/>
      <c r="B418" s="34" t="str">
        <f t="shared" si="48"/>
        <v/>
      </c>
      <c r="C418" s="30"/>
      <c r="D418" s="10"/>
      <c r="E418" s="30"/>
      <c r="F418" s="36" t="str">
        <f t="shared" si="49"/>
        <v/>
      </c>
      <c r="G418" s="36" t="str">
        <f t="shared" si="50"/>
        <v/>
      </c>
      <c r="H418" s="36" t="str">
        <f t="shared" si="51"/>
        <v/>
      </c>
      <c r="I418" s="34" t="str">
        <f t="shared" si="52"/>
        <v/>
      </c>
      <c r="J418" s="35" t="str">
        <f t="shared" si="53"/>
        <v/>
      </c>
      <c r="K418" s="49"/>
      <c r="L418" s="30"/>
      <c r="M418" s="31"/>
      <c r="N418" s="33"/>
      <c r="O418" s="31"/>
      <c r="P418" s="29" t="str">
        <f t="shared" si="54"/>
        <v/>
      </c>
      <c r="Q418" s="29" t="str">
        <f t="shared" si="55"/>
        <v/>
      </c>
      <c r="R418" s="33"/>
    </row>
    <row r="419" spans="1:18" x14ac:dyDescent="0.25">
      <c r="A419" s="31"/>
      <c r="B419" s="34" t="str">
        <f t="shared" si="48"/>
        <v/>
      </c>
      <c r="C419" s="30"/>
      <c r="D419" s="10"/>
      <c r="E419" s="30"/>
      <c r="F419" s="36" t="str">
        <f t="shared" si="49"/>
        <v/>
      </c>
      <c r="G419" s="36" t="str">
        <f t="shared" si="50"/>
        <v/>
      </c>
      <c r="H419" s="36" t="str">
        <f t="shared" si="51"/>
        <v/>
      </c>
      <c r="I419" s="34" t="str">
        <f t="shared" si="52"/>
        <v/>
      </c>
      <c r="J419" s="35" t="str">
        <f t="shared" si="53"/>
        <v/>
      </c>
      <c r="K419" s="49"/>
      <c r="L419" s="30"/>
      <c r="M419" s="31"/>
      <c r="N419" s="33"/>
      <c r="O419" s="31"/>
      <c r="P419" s="29" t="str">
        <f t="shared" si="54"/>
        <v/>
      </c>
      <c r="Q419" s="29" t="str">
        <f t="shared" si="55"/>
        <v/>
      </c>
      <c r="R419" s="33"/>
    </row>
    <row r="420" spans="1:18" x14ac:dyDescent="0.25">
      <c r="A420" s="31"/>
      <c r="B420" s="34" t="str">
        <f t="shared" si="48"/>
        <v/>
      </c>
      <c r="C420" s="30"/>
      <c r="D420" s="10"/>
      <c r="E420" s="30"/>
      <c r="F420" s="36" t="str">
        <f t="shared" si="49"/>
        <v/>
      </c>
      <c r="G420" s="36" t="str">
        <f t="shared" si="50"/>
        <v/>
      </c>
      <c r="H420" s="36" t="str">
        <f t="shared" si="51"/>
        <v/>
      </c>
      <c r="I420" s="34" t="str">
        <f t="shared" si="52"/>
        <v/>
      </c>
      <c r="J420" s="35" t="str">
        <f t="shared" si="53"/>
        <v/>
      </c>
      <c r="K420" s="49"/>
      <c r="L420" s="30"/>
      <c r="M420" s="31"/>
      <c r="N420" s="33"/>
      <c r="O420" s="31"/>
      <c r="P420" s="29" t="str">
        <f t="shared" si="54"/>
        <v/>
      </c>
      <c r="Q420" s="29" t="str">
        <f t="shared" si="55"/>
        <v/>
      </c>
      <c r="R420" s="33"/>
    </row>
    <row r="421" spans="1:18" x14ac:dyDescent="0.25">
      <c r="A421" s="31"/>
      <c r="B421" s="34" t="str">
        <f t="shared" si="48"/>
        <v/>
      </c>
      <c r="C421" s="30"/>
      <c r="D421" s="10"/>
      <c r="E421" s="30"/>
      <c r="F421" s="36" t="str">
        <f t="shared" si="49"/>
        <v/>
      </c>
      <c r="G421" s="36" t="str">
        <f t="shared" si="50"/>
        <v/>
      </c>
      <c r="H421" s="36" t="str">
        <f t="shared" si="51"/>
        <v/>
      </c>
      <c r="I421" s="34" t="str">
        <f t="shared" si="52"/>
        <v/>
      </c>
      <c r="J421" s="35" t="str">
        <f t="shared" si="53"/>
        <v/>
      </c>
      <c r="K421" s="49"/>
      <c r="L421" s="30"/>
      <c r="M421" s="31"/>
      <c r="N421" s="33"/>
      <c r="O421" s="31"/>
      <c r="P421" s="29" t="str">
        <f t="shared" si="54"/>
        <v/>
      </c>
      <c r="Q421" s="29" t="str">
        <f t="shared" si="55"/>
        <v/>
      </c>
      <c r="R421" s="33"/>
    </row>
    <row r="422" spans="1:18" x14ac:dyDescent="0.25">
      <c r="A422" s="31"/>
      <c r="B422" s="34" t="str">
        <f t="shared" si="48"/>
        <v/>
      </c>
      <c r="C422" s="30"/>
      <c r="D422" s="10"/>
      <c r="E422" s="30"/>
      <c r="F422" s="36" t="str">
        <f t="shared" si="49"/>
        <v/>
      </c>
      <c r="G422" s="36" t="str">
        <f t="shared" si="50"/>
        <v/>
      </c>
      <c r="H422" s="36" t="str">
        <f t="shared" si="51"/>
        <v/>
      </c>
      <c r="I422" s="34" t="str">
        <f t="shared" si="52"/>
        <v/>
      </c>
      <c r="J422" s="35" t="str">
        <f t="shared" si="53"/>
        <v/>
      </c>
      <c r="K422" s="49"/>
      <c r="L422" s="30"/>
      <c r="M422" s="31"/>
      <c r="N422" s="33"/>
      <c r="O422" s="31"/>
      <c r="P422" s="29" t="str">
        <f t="shared" si="54"/>
        <v/>
      </c>
      <c r="Q422" s="29" t="str">
        <f t="shared" si="55"/>
        <v/>
      </c>
      <c r="R422" s="33"/>
    </row>
    <row r="423" spans="1:18" x14ac:dyDescent="0.25">
      <c r="A423" s="31"/>
      <c r="B423" s="34" t="str">
        <f t="shared" si="48"/>
        <v/>
      </c>
      <c r="C423" s="30"/>
      <c r="D423" s="10"/>
      <c r="E423" s="30"/>
      <c r="F423" s="36" t="str">
        <f t="shared" si="49"/>
        <v/>
      </c>
      <c r="G423" s="36" t="str">
        <f t="shared" si="50"/>
        <v/>
      </c>
      <c r="H423" s="36" t="str">
        <f t="shared" si="51"/>
        <v/>
      </c>
      <c r="I423" s="34" t="str">
        <f t="shared" si="52"/>
        <v/>
      </c>
      <c r="J423" s="35" t="str">
        <f t="shared" si="53"/>
        <v/>
      </c>
      <c r="K423" s="49"/>
      <c r="L423" s="30"/>
      <c r="M423" s="31"/>
      <c r="N423" s="33"/>
      <c r="O423" s="31"/>
      <c r="P423" s="29" t="str">
        <f t="shared" si="54"/>
        <v/>
      </c>
      <c r="Q423" s="29" t="str">
        <f t="shared" si="55"/>
        <v/>
      </c>
      <c r="R423" s="33"/>
    </row>
    <row r="424" spans="1:18" x14ac:dyDescent="0.25">
      <c r="A424" s="31"/>
      <c r="B424" s="34" t="str">
        <f t="shared" si="48"/>
        <v/>
      </c>
      <c r="C424" s="30"/>
      <c r="D424" s="10"/>
      <c r="E424" s="30"/>
      <c r="F424" s="36" t="str">
        <f t="shared" si="49"/>
        <v/>
      </c>
      <c r="G424" s="36" t="str">
        <f t="shared" si="50"/>
        <v/>
      </c>
      <c r="H424" s="36" t="str">
        <f t="shared" si="51"/>
        <v/>
      </c>
      <c r="I424" s="34" t="str">
        <f t="shared" si="52"/>
        <v/>
      </c>
      <c r="J424" s="35" t="str">
        <f t="shared" si="53"/>
        <v/>
      </c>
      <c r="K424" s="49"/>
      <c r="L424" s="30"/>
      <c r="M424" s="31"/>
      <c r="N424" s="33"/>
      <c r="O424" s="31"/>
      <c r="P424" s="29" t="str">
        <f t="shared" si="54"/>
        <v/>
      </c>
      <c r="Q424" s="29" t="str">
        <f t="shared" si="55"/>
        <v/>
      </c>
      <c r="R424" s="33"/>
    </row>
    <row r="425" spans="1:18" x14ac:dyDescent="0.25">
      <c r="A425" s="31"/>
      <c r="B425" s="34" t="str">
        <f t="shared" si="48"/>
        <v/>
      </c>
      <c r="C425" s="30"/>
      <c r="D425" s="10"/>
      <c r="E425" s="30"/>
      <c r="F425" s="36" t="str">
        <f t="shared" si="49"/>
        <v/>
      </c>
      <c r="G425" s="36" t="str">
        <f t="shared" si="50"/>
        <v/>
      </c>
      <c r="H425" s="36" t="str">
        <f t="shared" si="51"/>
        <v/>
      </c>
      <c r="I425" s="34" t="str">
        <f t="shared" si="52"/>
        <v/>
      </c>
      <c r="J425" s="35" t="str">
        <f t="shared" si="53"/>
        <v/>
      </c>
      <c r="K425" s="49"/>
      <c r="L425" s="30"/>
      <c r="M425" s="31"/>
      <c r="N425" s="33"/>
      <c r="O425" s="31"/>
      <c r="P425" s="29" t="str">
        <f t="shared" si="54"/>
        <v/>
      </c>
      <c r="Q425" s="29" t="str">
        <f t="shared" si="55"/>
        <v/>
      </c>
      <c r="R425" s="33"/>
    </row>
    <row r="426" spans="1:18" x14ac:dyDescent="0.25">
      <c r="A426" s="31"/>
      <c r="B426" s="34" t="str">
        <f t="shared" si="48"/>
        <v/>
      </c>
      <c r="C426" s="30"/>
      <c r="D426" s="10"/>
      <c r="E426" s="30"/>
      <c r="F426" s="36" t="str">
        <f t="shared" si="49"/>
        <v/>
      </c>
      <c r="G426" s="36" t="str">
        <f t="shared" si="50"/>
        <v/>
      </c>
      <c r="H426" s="36" t="str">
        <f t="shared" si="51"/>
        <v/>
      </c>
      <c r="I426" s="34" t="str">
        <f t="shared" si="52"/>
        <v/>
      </c>
      <c r="J426" s="35" t="str">
        <f t="shared" si="53"/>
        <v/>
      </c>
      <c r="K426" s="49"/>
      <c r="L426" s="30"/>
      <c r="M426" s="31"/>
      <c r="N426" s="33"/>
      <c r="O426" s="31"/>
      <c r="P426" s="29" t="str">
        <f t="shared" si="54"/>
        <v/>
      </c>
      <c r="Q426" s="29" t="str">
        <f t="shared" si="55"/>
        <v/>
      </c>
      <c r="R426" s="33"/>
    </row>
    <row r="427" spans="1:18" x14ac:dyDescent="0.25">
      <c r="A427" s="31"/>
      <c r="B427" s="34" t="str">
        <f t="shared" si="48"/>
        <v/>
      </c>
      <c r="C427" s="30"/>
      <c r="D427" s="10"/>
      <c r="E427" s="30"/>
      <c r="F427" s="36" t="str">
        <f t="shared" si="49"/>
        <v/>
      </c>
      <c r="G427" s="36" t="str">
        <f t="shared" si="50"/>
        <v/>
      </c>
      <c r="H427" s="36" t="str">
        <f t="shared" si="51"/>
        <v/>
      </c>
      <c r="I427" s="34" t="str">
        <f t="shared" si="52"/>
        <v/>
      </c>
      <c r="J427" s="35" t="str">
        <f t="shared" si="53"/>
        <v/>
      </c>
      <c r="K427" s="49"/>
      <c r="L427" s="30"/>
      <c r="M427" s="31"/>
      <c r="N427" s="33"/>
      <c r="O427" s="31"/>
      <c r="P427" s="29" t="str">
        <f t="shared" si="54"/>
        <v/>
      </c>
      <c r="Q427" s="29" t="str">
        <f t="shared" si="55"/>
        <v/>
      </c>
      <c r="R427" s="33"/>
    </row>
    <row r="428" spans="1:18" x14ac:dyDescent="0.25">
      <c r="A428" s="31"/>
      <c r="B428" s="34" t="str">
        <f t="shared" si="48"/>
        <v/>
      </c>
      <c r="C428" s="30"/>
      <c r="D428" s="10"/>
      <c r="E428" s="30"/>
      <c r="F428" s="36" t="str">
        <f t="shared" si="49"/>
        <v/>
      </c>
      <c r="G428" s="36" t="str">
        <f t="shared" si="50"/>
        <v/>
      </c>
      <c r="H428" s="36" t="str">
        <f t="shared" si="51"/>
        <v/>
      </c>
      <c r="I428" s="34" t="str">
        <f t="shared" si="52"/>
        <v/>
      </c>
      <c r="J428" s="35" t="str">
        <f t="shared" si="53"/>
        <v/>
      </c>
      <c r="K428" s="49"/>
      <c r="L428" s="30"/>
      <c r="M428" s="31"/>
      <c r="N428" s="33"/>
      <c r="O428" s="31"/>
      <c r="P428" s="29" t="str">
        <f t="shared" si="54"/>
        <v/>
      </c>
      <c r="Q428" s="29" t="str">
        <f t="shared" si="55"/>
        <v/>
      </c>
      <c r="R428" s="33"/>
    </row>
    <row r="429" spans="1:18" x14ac:dyDescent="0.25">
      <c r="A429" s="31"/>
      <c r="B429" s="34" t="str">
        <f t="shared" si="48"/>
        <v/>
      </c>
      <c r="C429" s="30"/>
      <c r="D429" s="10"/>
      <c r="E429" s="30"/>
      <c r="F429" s="36" t="str">
        <f t="shared" si="49"/>
        <v/>
      </c>
      <c r="G429" s="36" t="str">
        <f t="shared" si="50"/>
        <v/>
      </c>
      <c r="H429" s="36" t="str">
        <f t="shared" si="51"/>
        <v/>
      </c>
      <c r="I429" s="34" t="str">
        <f t="shared" si="52"/>
        <v/>
      </c>
      <c r="J429" s="35" t="str">
        <f t="shared" si="53"/>
        <v/>
      </c>
      <c r="K429" s="49"/>
      <c r="L429" s="30"/>
      <c r="M429" s="31"/>
      <c r="N429" s="33"/>
      <c r="O429" s="31"/>
      <c r="P429" s="29" t="str">
        <f t="shared" si="54"/>
        <v/>
      </c>
      <c r="Q429" s="29" t="str">
        <f t="shared" si="55"/>
        <v/>
      </c>
      <c r="R429" s="33"/>
    </row>
    <row r="430" spans="1:18" x14ac:dyDescent="0.25">
      <c r="A430" s="31"/>
      <c r="B430" s="34" t="str">
        <f t="shared" si="48"/>
        <v/>
      </c>
      <c r="C430" s="30"/>
      <c r="D430" s="10"/>
      <c r="E430" s="30"/>
      <c r="F430" s="36" t="str">
        <f t="shared" si="49"/>
        <v/>
      </c>
      <c r="G430" s="36" t="str">
        <f t="shared" si="50"/>
        <v/>
      </c>
      <c r="H430" s="36" t="str">
        <f t="shared" si="51"/>
        <v/>
      </c>
      <c r="I430" s="34" t="str">
        <f t="shared" si="52"/>
        <v/>
      </c>
      <c r="J430" s="35" t="str">
        <f t="shared" si="53"/>
        <v/>
      </c>
      <c r="K430" s="49"/>
      <c r="L430" s="30"/>
      <c r="M430" s="31"/>
      <c r="N430" s="33"/>
      <c r="O430" s="31"/>
      <c r="P430" s="29" t="str">
        <f t="shared" si="54"/>
        <v/>
      </c>
      <c r="Q430" s="29" t="str">
        <f t="shared" si="55"/>
        <v/>
      </c>
      <c r="R430" s="33"/>
    </row>
    <row r="431" spans="1:18" x14ac:dyDescent="0.25">
      <c r="A431" s="31"/>
      <c r="B431" s="34" t="str">
        <f t="shared" si="48"/>
        <v/>
      </c>
      <c r="C431" s="30"/>
      <c r="D431" s="10"/>
      <c r="E431" s="30"/>
      <c r="F431" s="36" t="str">
        <f t="shared" si="49"/>
        <v/>
      </c>
      <c r="G431" s="36" t="str">
        <f t="shared" si="50"/>
        <v/>
      </c>
      <c r="H431" s="36" t="str">
        <f t="shared" si="51"/>
        <v/>
      </c>
      <c r="I431" s="34" t="str">
        <f t="shared" si="52"/>
        <v/>
      </c>
      <c r="J431" s="35" t="str">
        <f t="shared" si="53"/>
        <v/>
      </c>
      <c r="K431" s="49"/>
      <c r="L431" s="30"/>
      <c r="M431" s="31"/>
      <c r="N431" s="33"/>
      <c r="O431" s="31"/>
      <c r="P431" s="29" t="str">
        <f t="shared" si="54"/>
        <v/>
      </c>
      <c r="Q431" s="29" t="str">
        <f t="shared" si="55"/>
        <v/>
      </c>
      <c r="R431" s="33"/>
    </row>
    <row r="432" spans="1:18" x14ac:dyDescent="0.25">
      <c r="A432" s="31"/>
      <c r="B432" s="34" t="str">
        <f t="shared" si="48"/>
        <v/>
      </c>
      <c r="C432" s="30"/>
      <c r="D432" s="10"/>
      <c r="E432" s="30"/>
      <c r="F432" s="36" t="str">
        <f t="shared" si="49"/>
        <v/>
      </c>
      <c r="G432" s="36" t="str">
        <f t="shared" si="50"/>
        <v/>
      </c>
      <c r="H432" s="36" t="str">
        <f t="shared" si="51"/>
        <v/>
      </c>
      <c r="I432" s="34" t="str">
        <f t="shared" si="52"/>
        <v/>
      </c>
      <c r="J432" s="35" t="str">
        <f t="shared" si="53"/>
        <v/>
      </c>
      <c r="K432" s="49"/>
      <c r="L432" s="30"/>
      <c r="M432" s="31"/>
      <c r="N432" s="33"/>
      <c r="O432" s="31"/>
      <c r="P432" s="29" t="str">
        <f t="shared" si="54"/>
        <v/>
      </c>
      <c r="Q432" s="29" t="str">
        <f t="shared" si="55"/>
        <v/>
      </c>
      <c r="R432" s="33"/>
    </row>
    <row r="433" spans="1:18" x14ac:dyDescent="0.25">
      <c r="A433" s="31"/>
      <c r="B433" s="34" t="str">
        <f t="shared" si="48"/>
        <v/>
      </c>
      <c r="C433" s="30"/>
      <c r="D433" s="10"/>
      <c r="E433" s="30"/>
      <c r="F433" s="36" t="str">
        <f t="shared" si="49"/>
        <v/>
      </c>
      <c r="G433" s="36" t="str">
        <f t="shared" si="50"/>
        <v/>
      </c>
      <c r="H433" s="36" t="str">
        <f t="shared" si="51"/>
        <v/>
      </c>
      <c r="I433" s="34" t="str">
        <f t="shared" si="52"/>
        <v/>
      </c>
      <c r="J433" s="35" t="str">
        <f t="shared" si="53"/>
        <v/>
      </c>
      <c r="K433" s="49"/>
      <c r="L433" s="30"/>
      <c r="M433" s="31"/>
      <c r="N433" s="33"/>
      <c r="O433" s="31"/>
      <c r="P433" s="29" t="str">
        <f t="shared" si="54"/>
        <v/>
      </c>
      <c r="Q433" s="29" t="str">
        <f t="shared" si="55"/>
        <v/>
      </c>
      <c r="R433" s="33"/>
    </row>
    <row r="434" spans="1:18" x14ac:dyDescent="0.25">
      <c r="A434" s="31"/>
      <c r="B434" s="34" t="str">
        <f t="shared" si="48"/>
        <v/>
      </c>
      <c r="C434" s="30"/>
      <c r="D434" s="10"/>
      <c r="E434" s="30"/>
      <c r="F434" s="36" t="str">
        <f t="shared" si="49"/>
        <v/>
      </c>
      <c r="G434" s="36" t="str">
        <f t="shared" si="50"/>
        <v/>
      </c>
      <c r="H434" s="36" t="str">
        <f t="shared" si="51"/>
        <v/>
      </c>
      <c r="I434" s="34" t="str">
        <f t="shared" si="52"/>
        <v/>
      </c>
      <c r="J434" s="35" t="str">
        <f t="shared" si="53"/>
        <v/>
      </c>
      <c r="K434" s="49"/>
      <c r="L434" s="30"/>
      <c r="M434" s="31"/>
      <c r="N434" s="33"/>
      <c r="O434" s="31"/>
      <c r="P434" s="29" t="str">
        <f t="shared" si="54"/>
        <v/>
      </c>
      <c r="Q434" s="29" t="str">
        <f t="shared" si="55"/>
        <v/>
      </c>
      <c r="R434" s="33"/>
    </row>
    <row r="435" spans="1:18" x14ac:dyDescent="0.25">
      <c r="A435" s="31"/>
      <c r="B435" s="34" t="str">
        <f t="shared" si="48"/>
        <v/>
      </c>
      <c r="C435" s="30"/>
      <c r="D435" s="10"/>
      <c r="E435" s="30"/>
      <c r="F435" s="36" t="str">
        <f t="shared" si="49"/>
        <v/>
      </c>
      <c r="G435" s="36" t="str">
        <f t="shared" si="50"/>
        <v/>
      </c>
      <c r="H435" s="36" t="str">
        <f t="shared" si="51"/>
        <v/>
      </c>
      <c r="I435" s="34" t="str">
        <f t="shared" si="52"/>
        <v/>
      </c>
      <c r="J435" s="35" t="str">
        <f t="shared" si="53"/>
        <v/>
      </c>
      <c r="K435" s="49"/>
      <c r="L435" s="30"/>
      <c r="M435" s="31"/>
      <c r="N435" s="33"/>
      <c r="O435" s="31"/>
      <c r="P435" s="29" t="str">
        <f t="shared" si="54"/>
        <v/>
      </c>
      <c r="Q435" s="29" t="str">
        <f t="shared" si="55"/>
        <v/>
      </c>
      <c r="R435" s="33"/>
    </row>
    <row r="436" spans="1:18" x14ac:dyDescent="0.25">
      <c r="A436" s="31"/>
      <c r="B436" s="34" t="str">
        <f t="shared" si="48"/>
        <v/>
      </c>
      <c r="C436" s="30"/>
      <c r="D436" s="10"/>
      <c r="E436" s="30"/>
      <c r="F436" s="36" t="str">
        <f t="shared" si="49"/>
        <v/>
      </c>
      <c r="G436" s="36" t="str">
        <f t="shared" si="50"/>
        <v/>
      </c>
      <c r="H436" s="36" t="str">
        <f t="shared" si="51"/>
        <v/>
      </c>
      <c r="I436" s="34" t="str">
        <f t="shared" si="52"/>
        <v/>
      </c>
      <c r="J436" s="35" t="str">
        <f t="shared" si="53"/>
        <v/>
      </c>
      <c r="K436" s="49"/>
      <c r="L436" s="30"/>
      <c r="M436" s="31"/>
      <c r="N436" s="33"/>
      <c r="O436" s="31"/>
      <c r="P436" s="29" t="str">
        <f t="shared" si="54"/>
        <v/>
      </c>
      <c r="Q436" s="29" t="str">
        <f t="shared" si="55"/>
        <v/>
      </c>
      <c r="R436" s="33"/>
    </row>
    <row r="437" spans="1:18" x14ac:dyDescent="0.25">
      <c r="A437" s="31"/>
      <c r="B437" s="34" t="str">
        <f t="shared" si="48"/>
        <v/>
      </c>
      <c r="C437" s="30"/>
      <c r="D437" s="10"/>
      <c r="E437" s="30"/>
      <c r="F437" s="36" t="str">
        <f t="shared" si="49"/>
        <v/>
      </c>
      <c r="G437" s="36" t="str">
        <f t="shared" si="50"/>
        <v/>
      </c>
      <c r="H437" s="36" t="str">
        <f t="shared" si="51"/>
        <v/>
      </c>
      <c r="I437" s="34" t="str">
        <f t="shared" si="52"/>
        <v/>
      </c>
      <c r="J437" s="35" t="str">
        <f t="shared" si="53"/>
        <v/>
      </c>
      <c r="K437" s="49"/>
      <c r="L437" s="30"/>
      <c r="M437" s="31"/>
      <c r="N437" s="33"/>
      <c r="O437" s="31"/>
      <c r="P437" s="29" t="str">
        <f t="shared" si="54"/>
        <v/>
      </c>
      <c r="Q437" s="29" t="str">
        <f t="shared" si="55"/>
        <v/>
      </c>
      <c r="R437" s="33"/>
    </row>
    <row r="438" spans="1:18" x14ac:dyDescent="0.25">
      <c r="A438" s="31"/>
      <c r="B438" s="34" t="str">
        <f t="shared" si="48"/>
        <v/>
      </c>
      <c r="C438" s="30"/>
      <c r="D438" s="10"/>
      <c r="E438" s="30"/>
      <c r="F438" s="36" t="str">
        <f t="shared" si="49"/>
        <v/>
      </c>
      <c r="G438" s="36" t="str">
        <f t="shared" si="50"/>
        <v/>
      </c>
      <c r="H438" s="36" t="str">
        <f t="shared" si="51"/>
        <v/>
      </c>
      <c r="I438" s="34" t="str">
        <f t="shared" si="52"/>
        <v/>
      </c>
      <c r="J438" s="35" t="str">
        <f t="shared" si="53"/>
        <v/>
      </c>
      <c r="K438" s="49"/>
      <c r="L438" s="30"/>
      <c r="M438" s="31"/>
      <c r="N438" s="33"/>
      <c r="O438" s="31"/>
      <c r="P438" s="29" t="str">
        <f t="shared" si="54"/>
        <v/>
      </c>
      <c r="Q438" s="29" t="str">
        <f t="shared" si="55"/>
        <v/>
      </c>
      <c r="R438" s="33"/>
    </row>
    <row r="439" spans="1:18" x14ac:dyDescent="0.25">
      <c r="A439" s="31"/>
      <c r="B439" s="34" t="str">
        <f t="shared" si="48"/>
        <v/>
      </c>
      <c r="C439" s="30"/>
      <c r="D439" s="10"/>
      <c r="E439" s="30"/>
      <c r="F439" s="36" t="str">
        <f t="shared" si="49"/>
        <v/>
      </c>
      <c r="G439" s="36" t="str">
        <f t="shared" si="50"/>
        <v/>
      </c>
      <c r="H439" s="36" t="str">
        <f t="shared" si="51"/>
        <v/>
      </c>
      <c r="I439" s="34" t="str">
        <f t="shared" si="52"/>
        <v/>
      </c>
      <c r="J439" s="35" t="str">
        <f t="shared" si="53"/>
        <v/>
      </c>
      <c r="K439" s="49"/>
      <c r="L439" s="30"/>
      <c r="M439" s="31"/>
      <c r="N439" s="33"/>
      <c r="O439" s="31"/>
      <c r="P439" s="29" t="str">
        <f t="shared" si="54"/>
        <v/>
      </c>
      <c r="Q439" s="29" t="str">
        <f t="shared" si="55"/>
        <v/>
      </c>
      <c r="R439" s="33"/>
    </row>
    <row r="440" spans="1:18" x14ac:dyDescent="0.25">
      <c r="A440" s="31"/>
      <c r="B440" s="34" t="str">
        <f t="shared" si="48"/>
        <v/>
      </c>
      <c r="C440" s="30"/>
      <c r="D440" s="10"/>
      <c r="E440" s="30"/>
      <c r="F440" s="36" t="str">
        <f t="shared" si="49"/>
        <v/>
      </c>
      <c r="G440" s="36" t="str">
        <f t="shared" si="50"/>
        <v/>
      </c>
      <c r="H440" s="36" t="str">
        <f t="shared" si="51"/>
        <v/>
      </c>
      <c r="I440" s="34" t="str">
        <f t="shared" si="52"/>
        <v/>
      </c>
      <c r="J440" s="35" t="str">
        <f t="shared" si="53"/>
        <v/>
      </c>
      <c r="K440" s="49"/>
      <c r="L440" s="30"/>
      <c r="M440" s="31"/>
      <c r="N440" s="33"/>
      <c r="O440" s="31"/>
      <c r="P440" s="29" t="str">
        <f t="shared" si="54"/>
        <v/>
      </c>
      <c r="Q440" s="29" t="str">
        <f t="shared" si="55"/>
        <v/>
      </c>
      <c r="R440" s="33"/>
    </row>
    <row r="441" spans="1:18" x14ac:dyDescent="0.25">
      <c r="A441" s="31"/>
      <c r="B441" s="34" t="str">
        <f t="shared" si="48"/>
        <v/>
      </c>
      <c r="C441" s="30"/>
      <c r="D441" s="10"/>
      <c r="E441" s="30"/>
      <c r="F441" s="36" t="str">
        <f t="shared" si="49"/>
        <v/>
      </c>
      <c r="G441" s="36" t="str">
        <f t="shared" si="50"/>
        <v/>
      </c>
      <c r="H441" s="36" t="str">
        <f t="shared" si="51"/>
        <v/>
      </c>
      <c r="I441" s="34" t="str">
        <f t="shared" si="52"/>
        <v/>
      </c>
      <c r="J441" s="35" t="str">
        <f t="shared" si="53"/>
        <v/>
      </c>
      <c r="K441" s="49"/>
      <c r="L441" s="30"/>
      <c r="M441" s="31"/>
      <c r="N441" s="33"/>
      <c r="O441" s="31"/>
      <c r="P441" s="29" t="str">
        <f t="shared" si="54"/>
        <v/>
      </c>
      <c r="Q441" s="29" t="str">
        <f t="shared" si="55"/>
        <v/>
      </c>
      <c r="R441" s="33"/>
    </row>
    <row r="442" spans="1:18" x14ac:dyDescent="0.25">
      <c r="A442" s="31"/>
      <c r="B442" s="34" t="str">
        <f t="shared" si="48"/>
        <v/>
      </c>
      <c r="C442" s="30"/>
      <c r="D442" s="10"/>
      <c r="E442" s="30"/>
      <c r="F442" s="36" t="str">
        <f t="shared" si="49"/>
        <v/>
      </c>
      <c r="G442" s="36" t="str">
        <f t="shared" si="50"/>
        <v/>
      </c>
      <c r="H442" s="36" t="str">
        <f t="shared" si="51"/>
        <v/>
      </c>
      <c r="I442" s="34" t="str">
        <f t="shared" si="52"/>
        <v/>
      </c>
      <c r="J442" s="35" t="str">
        <f t="shared" si="53"/>
        <v/>
      </c>
      <c r="K442" s="49"/>
      <c r="L442" s="30"/>
      <c r="M442" s="31"/>
      <c r="N442" s="33"/>
      <c r="O442" s="31"/>
      <c r="P442" s="29" t="str">
        <f t="shared" si="54"/>
        <v/>
      </c>
      <c r="Q442" s="29" t="str">
        <f t="shared" si="55"/>
        <v/>
      </c>
      <c r="R442" s="33"/>
    </row>
    <row r="443" spans="1:18" x14ac:dyDescent="0.25">
      <c r="A443" s="31"/>
      <c r="B443" s="34" t="str">
        <f t="shared" si="48"/>
        <v/>
      </c>
      <c r="C443" s="30"/>
      <c r="D443" s="10"/>
      <c r="E443" s="30"/>
      <c r="F443" s="36" t="str">
        <f t="shared" si="49"/>
        <v/>
      </c>
      <c r="G443" s="36" t="str">
        <f t="shared" si="50"/>
        <v/>
      </c>
      <c r="H443" s="36" t="str">
        <f t="shared" si="51"/>
        <v/>
      </c>
      <c r="I443" s="34" t="str">
        <f t="shared" si="52"/>
        <v/>
      </c>
      <c r="J443" s="35" t="str">
        <f t="shared" si="53"/>
        <v/>
      </c>
      <c r="K443" s="49"/>
      <c r="L443" s="30"/>
      <c r="M443" s="31"/>
      <c r="N443" s="33"/>
      <c r="O443" s="31"/>
      <c r="P443" s="29" t="str">
        <f t="shared" si="54"/>
        <v/>
      </c>
      <c r="Q443" s="29" t="str">
        <f t="shared" si="55"/>
        <v/>
      </c>
      <c r="R443" s="33"/>
    </row>
    <row r="444" spans="1:18" x14ac:dyDescent="0.25">
      <c r="A444" s="31"/>
      <c r="B444" s="34" t="str">
        <f t="shared" si="48"/>
        <v/>
      </c>
      <c r="C444" s="30"/>
      <c r="D444" s="10"/>
      <c r="E444" s="30"/>
      <c r="F444" s="36" t="str">
        <f t="shared" si="49"/>
        <v/>
      </c>
      <c r="G444" s="36" t="str">
        <f t="shared" si="50"/>
        <v/>
      </c>
      <c r="H444" s="36" t="str">
        <f t="shared" si="51"/>
        <v/>
      </c>
      <c r="I444" s="34" t="str">
        <f t="shared" si="52"/>
        <v/>
      </c>
      <c r="J444" s="35" t="str">
        <f t="shared" si="53"/>
        <v/>
      </c>
      <c r="K444" s="49"/>
      <c r="L444" s="30"/>
      <c r="M444" s="31"/>
      <c r="N444" s="33"/>
      <c r="O444" s="31"/>
      <c r="P444" s="29" t="str">
        <f t="shared" si="54"/>
        <v/>
      </c>
      <c r="Q444" s="29" t="str">
        <f t="shared" si="55"/>
        <v/>
      </c>
      <c r="R444" s="33"/>
    </row>
    <row r="445" spans="1:18" x14ac:dyDescent="0.25">
      <c r="A445" s="31"/>
      <c r="B445" s="34" t="str">
        <f t="shared" si="48"/>
        <v/>
      </c>
      <c r="C445" s="30"/>
      <c r="D445" s="10"/>
      <c r="E445" s="30"/>
      <c r="F445" s="36" t="str">
        <f t="shared" si="49"/>
        <v/>
      </c>
      <c r="G445" s="36" t="str">
        <f t="shared" si="50"/>
        <v/>
      </c>
      <c r="H445" s="36" t="str">
        <f t="shared" si="51"/>
        <v/>
      </c>
      <c r="I445" s="34" t="str">
        <f t="shared" si="52"/>
        <v/>
      </c>
      <c r="J445" s="35" t="str">
        <f t="shared" si="53"/>
        <v/>
      </c>
      <c r="K445" s="49"/>
      <c r="L445" s="30"/>
      <c r="M445" s="31"/>
      <c r="N445" s="33"/>
      <c r="O445" s="31"/>
      <c r="P445" s="29" t="str">
        <f t="shared" si="54"/>
        <v/>
      </c>
      <c r="Q445" s="29" t="str">
        <f t="shared" si="55"/>
        <v/>
      </c>
      <c r="R445" s="33"/>
    </row>
    <row r="446" spans="1:18" x14ac:dyDescent="0.25">
      <c r="A446" s="31"/>
      <c r="B446" s="34" t="str">
        <f t="shared" si="48"/>
        <v/>
      </c>
      <c r="C446" s="30"/>
      <c r="D446" s="10"/>
      <c r="E446" s="30"/>
      <c r="F446" s="36" t="str">
        <f t="shared" si="49"/>
        <v/>
      </c>
      <c r="G446" s="36" t="str">
        <f t="shared" si="50"/>
        <v/>
      </c>
      <c r="H446" s="36" t="str">
        <f t="shared" si="51"/>
        <v/>
      </c>
      <c r="I446" s="34" t="str">
        <f t="shared" si="52"/>
        <v/>
      </c>
      <c r="J446" s="35" t="str">
        <f t="shared" si="53"/>
        <v/>
      </c>
      <c r="K446" s="49"/>
      <c r="L446" s="30"/>
      <c r="M446" s="31"/>
      <c r="N446" s="33"/>
      <c r="O446" s="31"/>
      <c r="P446" s="29" t="str">
        <f t="shared" si="54"/>
        <v/>
      </c>
      <c r="Q446" s="29" t="str">
        <f t="shared" si="55"/>
        <v/>
      </c>
      <c r="R446" s="33"/>
    </row>
    <row r="447" spans="1:18" x14ac:dyDescent="0.25">
      <c r="A447" s="31"/>
      <c r="B447" s="34" t="str">
        <f t="shared" si="48"/>
        <v/>
      </c>
      <c r="C447" s="30"/>
      <c r="D447" s="10"/>
      <c r="E447" s="30"/>
      <c r="F447" s="36" t="str">
        <f t="shared" si="49"/>
        <v/>
      </c>
      <c r="G447" s="36" t="str">
        <f t="shared" si="50"/>
        <v/>
      </c>
      <c r="H447" s="36" t="str">
        <f t="shared" si="51"/>
        <v/>
      </c>
      <c r="I447" s="34" t="str">
        <f t="shared" si="52"/>
        <v/>
      </c>
      <c r="J447" s="35" t="str">
        <f t="shared" si="53"/>
        <v/>
      </c>
      <c r="K447" s="49"/>
      <c r="L447" s="30"/>
      <c r="M447" s="31"/>
      <c r="N447" s="33"/>
      <c r="O447" s="31"/>
      <c r="P447" s="29" t="str">
        <f t="shared" si="54"/>
        <v/>
      </c>
      <c r="Q447" s="29" t="str">
        <f t="shared" si="55"/>
        <v/>
      </c>
      <c r="R447" s="33"/>
    </row>
    <row r="448" spans="1:18" x14ac:dyDescent="0.25">
      <c r="A448" s="31"/>
      <c r="B448" s="34" t="str">
        <f t="shared" si="48"/>
        <v/>
      </c>
      <c r="C448" s="30"/>
      <c r="D448" s="10"/>
      <c r="E448" s="30"/>
      <c r="F448" s="36" t="str">
        <f t="shared" si="49"/>
        <v/>
      </c>
      <c r="G448" s="36" t="str">
        <f t="shared" si="50"/>
        <v/>
      </c>
      <c r="H448" s="36" t="str">
        <f t="shared" si="51"/>
        <v/>
      </c>
      <c r="I448" s="34" t="str">
        <f t="shared" si="52"/>
        <v/>
      </c>
      <c r="J448" s="35" t="str">
        <f t="shared" si="53"/>
        <v/>
      </c>
      <c r="K448" s="49"/>
      <c r="L448" s="30"/>
      <c r="M448" s="31"/>
      <c r="N448" s="33"/>
      <c r="O448" s="31"/>
      <c r="P448" s="29" t="str">
        <f t="shared" si="54"/>
        <v/>
      </c>
      <c r="Q448" s="29" t="str">
        <f t="shared" si="55"/>
        <v/>
      </c>
      <c r="R448" s="33"/>
    </row>
    <row r="449" spans="1:18" x14ac:dyDescent="0.25">
      <c r="A449" s="31"/>
      <c r="B449" s="34" t="str">
        <f t="shared" si="48"/>
        <v/>
      </c>
      <c r="C449" s="30"/>
      <c r="D449" s="10"/>
      <c r="E449" s="30"/>
      <c r="F449" s="36" t="str">
        <f t="shared" si="49"/>
        <v/>
      </c>
      <c r="G449" s="36" t="str">
        <f t="shared" si="50"/>
        <v/>
      </c>
      <c r="H449" s="36" t="str">
        <f t="shared" si="51"/>
        <v/>
      </c>
      <c r="I449" s="34" t="str">
        <f t="shared" si="52"/>
        <v/>
      </c>
      <c r="J449" s="35" t="str">
        <f t="shared" si="53"/>
        <v/>
      </c>
      <c r="K449" s="49"/>
      <c r="L449" s="30"/>
      <c r="M449" s="31"/>
      <c r="N449" s="33"/>
      <c r="O449" s="31"/>
      <c r="P449" s="29" t="str">
        <f t="shared" si="54"/>
        <v/>
      </c>
      <c r="Q449" s="29" t="str">
        <f t="shared" si="55"/>
        <v/>
      </c>
      <c r="R449" s="33"/>
    </row>
    <row r="450" spans="1:18" x14ac:dyDescent="0.25">
      <c r="A450" s="31"/>
      <c r="B450" s="34" t="str">
        <f t="shared" si="48"/>
        <v/>
      </c>
      <c r="C450" s="30"/>
      <c r="D450" s="10"/>
      <c r="E450" s="30"/>
      <c r="F450" s="36" t="str">
        <f t="shared" si="49"/>
        <v/>
      </c>
      <c r="G450" s="36" t="str">
        <f t="shared" si="50"/>
        <v/>
      </c>
      <c r="H450" s="36" t="str">
        <f t="shared" si="51"/>
        <v/>
      </c>
      <c r="I450" s="34" t="str">
        <f t="shared" si="52"/>
        <v/>
      </c>
      <c r="J450" s="35" t="str">
        <f t="shared" si="53"/>
        <v/>
      </c>
      <c r="K450" s="49"/>
      <c r="L450" s="30"/>
      <c r="M450" s="31"/>
      <c r="N450" s="33"/>
      <c r="O450" s="31"/>
      <c r="P450" s="29" t="str">
        <f t="shared" si="54"/>
        <v/>
      </c>
      <c r="Q450" s="29" t="str">
        <f t="shared" si="55"/>
        <v/>
      </c>
      <c r="R450" s="33"/>
    </row>
    <row r="451" spans="1:18" x14ac:dyDescent="0.25">
      <c r="A451" s="31"/>
      <c r="B451" s="34" t="str">
        <f t="shared" si="48"/>
        <v/>
      </c>
      <c r="C451" s="30"/>
      <c r="D451" s="10"/>
      <c r="E451" s="30"/>
      <c r="F451" s="36" t="str">
        <f t="shared" si="49"/>
        <v/>
      </c>
      <c r="G451" s="36" t="str">
        <f t="shared" si="50"/>
        <v/>
      </c>
      <c r="H451" s="36" t="str">
        <f t="shared" si="51"/>
        <v/>
      </c>
      <c r="I451" s="34" t="str">
        <f t="shared" si="52"/>
        <v/>
      </c>
      <c r="J451" s="35" t="str">
        <f t="shared" si="53"/>
        <v/>
      </c>
      <c r="K451" s="49"/>
      <c r="L451" s="30"/>
      <c r="M451" s="31"/>
      <c r="N451" s="33"/>
      <c r="O451" s="31"/>
      <c r="P451" s="29" t="str">
        <f t="shared" si="54"/>
        <v/>
      </c>
      <c r="Q451" s="29" t="str">
        <f t="shared" si="55"/>
        <v/>
      </c>
      <c r="R451" s="33"/>
    </row>
    <row r="452" spans="1:18" x14ac:dyDescent="0.25">
      <c r="A452" s="31"/>
      <c r="B452" s="34" t="str">
        <f t="shared" si="48"/>
        <v/>
      </c>
      <c r="C452" s="30"/>
      <c r="D452" s="10"/>
      <c r="E452" s="30"/>
      <c r="F452" s="36" t="str">
        <f t="shared" si="49"/>
        <v/>
      </c>
      <c r="G452" s="36" t="str">
        <f t="shared" si="50"/>
        <v/>
      </c>
      <c r="H452" s="36" t="str">
        <f t="shared" si="51"/>
        <v/>
      </c>
      <c r="I452" s="34" t="str">
        <f t="shared" si="52"/>
        <v/>
      </c>
      <c r="J452" s="35" t="str">
        <f t="shared" si="53"/>
        <v/>
      </c>
      <c r="K452" s="49"/>
      <c r="L452" s="30"/>
      <c r="M452" s="31"/>
      <c r="N452" s="33"/>
      <c r="O452" s="31"/>
      <c r="P452" s="29" t="str">
        <f t="shared" si="54"/>
        <v/>
      </c>
      <c r="Q452" s="29" t="str">
        <f t="shared" si="55"/>
        <v/>
      </c>
      <c r="R452" s="33"/>
    </row>
    <row r="453" spans="1:18" x14ac:dyDescent="0.25">
      <c r="A453" s="31"/>
      <c r="B453" s="34" t="str">
        <f t="shared" ref="B453:B516" si="56">IFERROR(IF($E453="","",VLOOKUP($E453,CAD_TAB,2,FALSE)),"")</f>
        <v/>
      </c>
      <c r="C453" s="30"/>
      <c r="D453" s="10"/>
      <c r="E453" s="30"/>
      <c r="F453" s="36" t="str">
        <f t="shared" ref="F453:F516" si="57">IFERROR(IF($E453="","",VLOOKUP($E453,CAD_TAB,8,FALSE)),"")</f>
        <v/>
      </c>
      <c r="G453" s="36" t="str">
        <f t="shared" ref="G453:G516" si="58">IFERROR(IF($E453="","",VLOOKUP($E453,CAD_TAB,9,FALSE)),"")</f>
        <v/>
      </c>
      <c r="H453" s="36" t="str">
        <f t="shared" ref="H453:H516" si="59">IFERROR(IF($E453="","",VLOOKUP($E453,CAD_TAB,11,FALSE)),"")</f>
        <v/>
      </c>
      <c r="I453" s="34" t="str">
        <f t="shared" ref="I453:I516" si="60">IFERROR(IF($E453="","",VLOOKUP($E453,CAD_TAB,7,FALSE)),"")</f>
        <v/>
      </c>
      <c r="J453" s="35" t="str">
        <f t="shared" ref="J453:J516" si="61">IFERROR(IF($E453="","",VLOOKUP($E453,CAD_TAB,6,FALSE)),"")</f>
        <v/>
      </c>
      <c r="K453" s="49"/>
      <c r="L453" s="30"/>
      <c r="M453" s="31"/>
      <c r="N453" s="33"/>
      <c r="O453" s="31"/>
      <c r="P453" s="29" t="str">
        <f t="shared" ref="P453:P516" si="62">IF($E453="","",IF($L453="SIM","EXECUTADO",IF($O453&lt;&gt;"","REPROGRAMADO",IF($L453="NÃO","NÃO EXECUTADO","PROGRAMADO"))))</f>
        <v/>
      </c>
      <c r="Q453" s="29" t="str">
        <f t="shared" ref="Q453:Q516" si="63">IF($E453="","",IF($L453="SIM",IF($M453=$A453,"NO DIA","FORA DO DIA"),""))</f>
        <v/>
      </c>
      <c r="R453" s="33"/>
    </row>
    <row r="454" spans="1:18" x14ac:dyDescent="0.25">
      <c r="A454" s="31"/>
      <c r="B454" s="34" t="str">
        <f t="shared" si="56"/>
        <v/>
      </c>
      <c r="C454" s="30"/>
      <c r="D454" s="10"/>
      <c r="E454" s="30"/>
      <c r="F454" s="36" t="str">
        <f t="shared" si="57"/>
        <v/>
      </c>
      <c r="G454" s="36" t="str">
        <f t="shared" si="58"/>
        <v/>
      </c>
      <c r="H454" s="36" t="str">
        <f t="shared" si="59"/>
        <v/>
      </c>
      <c r="I454" s="34" t="str">
        <f t="shared" si="60"/>
        <v/>
      </c>
      <c r="J454" s="35" t="str">
        <f t="shared" si="61"/>
        <v/>
      </c>
      <c r="K454" s="49"/>
      <c r="L454" s="30"/>
      <c r="M454" s="31"/>
      <c r="N454" s="33"/>
      <c r="O454" s="31"/>
      <c r="P454" s="29" t="str">
        <f t="shared" si="62"/>
        <v/>
      </c>
      <c r="Q454" s="29" t="str">
        <f t="shared" si="63"/>
        <v/>
      </c>
      <c r="R454" s="33"/>
    </row>
    <row r="455" spans="1:18" x14ac:dyDescent="0.25">
      <c r="A455" s="31"/>
      <c r="B455" s="34" t="str">
        <f t="shared" si="56"/>
        <v/>
      </c>
      <c r="C455" s="30"/>
      <c r="D455" s="10"/>
      <c r="E455" s="30"/>
      <c r="F455" s="36" t="str">
        <f t="shared" si="57"/>
        <v/>
      </c>
      <c r="G455" s="36" t="str">
        <f t="shared" si="58"/>
        <v/>
      </c>
      <c r="H455" s="36" t="str">
        <f t="shared" si="59"/>
        <v/>
      </c>
      <c r="I455" s="34" t="str">
        <f t="shared" si="60"/>
        <v/>
      </c>
      <c r="J455" s="35" t="str">
        <f t="shared" si="61"/>
        <v/>
      </c>
      <c r="K455" s="49"/>
      <c r="L455" s="30"/>
      <c r="M455" s="31"/>
      <c r="N455" s="33"/>
      <c r="O455" s="31"/>
      <c r="P455" s="29" t="str">
        <f t="shared" si="62"/>
        <v/>
      </c>
      <c r="Q455" s="29" t="str">
        <f t="shared" si="63"/>
        <v/>
      </c>
      <c r="R455" s="33"/>
    </row>
    <row r="456" spans="1:18" x14ac:dyDescent="0.25">
      <c r="A456" s="31"/>
      <c r="B456" s="34" t="str">
        <f t="shared" si="56"/>
        <v/>
      </c>
      <c r="C456" s="30"/>
      <c r="D456" s="10"/>
      <c r="E456" s="30"/>
      <c r="F456" s="36" t="str">
        <f t="shared" si="57"/>
        <v/>
      </c>
      <c r="G456" s="36" t="str">
        <f t="shared" si="58"/>
        <v/>
      </c>
      <c r="H456" s="36" t="str">
        <f t="shared" si="59"/>
        <v/>
      </c>
      <c r="I456" s="34" t="str">
        <f t="shared" si="60"/>
        <v/>
      </c>
      <c r="J456" s="35" t="str">
        <f t="shared" si="61"/>
        <v/>
      </c>
      <c r="K456" s="49"/>
      <c r="L456" s="30"/>
      <c r="M456" s="31"/>
      <c r="N456" s="33"/>
      <c r="O456" s="31"/>
      <c r="P456" s="29" t="str">
        <f t="shared" si="62"/>
        <v/>
      </c>
      <c r="Q456" s="29" t="str">
        <f t="shared" si="63"/>
        <v/>
      </c>
      <c r="R456" s="33"/>
    </row>
    <row r="457" spans="1:18" x14ac:dyDescent="0.25">
      <c r="A457" s="31"/>
      <c r="B457" s="34" t="str">
        <f t="shared" si="56"/>
        <v/>
      </c>
      <c r="C457" s="30"/>
      <c r="D457" s="10"/>
      <c r="E457" s="30"/>
      <c r="F457" s="36" t="str">
        <f t="shared" si="57"/>
        <v/>
      </c>
      <c r="G457" s="36" t="str">
        <f t="shared" si="58"/>
        <v/>
      </c>
      <c r="H457" s="36" t="str">
        <f t="shared" si="59"/>
        <v/>
      </c>
      <c r="I457" s="34" t="str">
        <f t="shared" si="60"/>
        <v/>
      </c>
      <c r="J457" s="35" t="str">
        <f t="shared" si="61"/>
        <v/>
      </c>
      <c r="K457" s="49"/>
      <c r="L457" s="30"/>
      <c r="M457" s="31"/>
      <c r="N457" s="33"/>
      <c r="O457" s="31"/>
      <c r="P457" s="29" t="str">
        <f t="shared" si="62"/>
        <v/>
      </c>
      <c r="Q457" s="29" t="str">
        <f t="shared" si="63"/>
        <v/>
      </c>
      <c r="R457" s="33"/>
    </row>
    <row r="458" spans="1:18" x14ac:dyDescent="0.25">
      <c r="A458" s="31"/>
      <c r="B458" s="34" t="str">
        <f t="shared" si="56"/>
        <v/>
      </c>
      <c r="C458" s="30"/>
      <c r="D458" s="10"/>
      <c r="E458" s="30"/>
      <c r="F458" s="36" t="str">
        <f t="shared" si="57"/>
        <v/>
      </c>
      <c r="G458" s="36" t="str">
        <f t="shared" si="58"/>
        <v/>
      </c>
      <c r="H458" s="36" t="str">
        <f t="shared" si="59"/>
        <v/>
      </c>
      <c r="I458" s="34" t="str">
        <f t="shared" si="60"/>
        <v/>
      </c>
      <c r="J458" s="35" t="str">
        <f t="shared" si="61"/>
        <v/>
      </c>
      <c r="K458" s="49"/>
      <c r="L458" s="30"/>
      <c r="M458" s="31"/>
      <c r="N458" s="33"/>
      <c r="O458" s="31"/>
      <c r="P458" s="29" t="str">
        <f t="shared" si="62"/>
        <v/>
      </c>
      <c r="Q458" s="29" t="str">
        <f t="shared" si="63"/>
        <v/>
      </c>
      <c r="R458" s="33"/>
    </row>
    <row r="459" spans="1:18" x14ac:dyDescent="0.25">
      <c r="A459" s="31"/>
      <c r="B459" s="34" t="str">
        <f t="shared" si="56"/>
        <v/>
      </c>
      <c r="C459" s="30"/>
      <c r="D459" s="10"/>
      <c r="E459" s="30"/>
      <c r="F459" s="36" t="str">
        <f t="shared" si="57"/>
        <v/>
      </c>
      <c r="G459" s="36" t="str">
        <f t="shared" si="58"/>
        <v/>
      </c>
      <c r="H459" s="36" t="str">
        <f t="shared" si="59"/>
        <v/>
      </c>
      <c r="I459" s="34" t="str">
        <f t="shared" si="60"/>
        <v/>
      </c>
      <c r="J459" s="35" t="str">
        <f t="shared" si="61"/>
        <v/>
      </c>
      <c r="K459" s="49"/>
      <c r="L459" s="30"/>
      <c r="M459" s="31"/>
      <c r="N459" s="33"/>
      <c r="O459" s="31"/>
      <c r="P459" s="29" t="str">
        <f t="shared" si="62"/>
        <v/>
      </c>
      <c r="Q459" s="29" t="str">
        <f t="shared" si="63"/>
        <v/>
      </c>
      <c r="R459" s="33"/>
    </row>
    <row r="460" spans="1:18" x14ac:dyDescent="0.25">
      <c r="A460" s="31"/>
      <c r="B460" s="34" t="str">
        <f t="shared" si="56"/>
        <v/>
      </c>
      <c r="C460" s="30"/>
      <c r="D460" s="10"/>
      <c r="E460" s="30"/>
      <c r="F460" s="36" t="str">
        <f t="shared" si="57"/>
        <v/>
      </c>
      <c r="G460" s="36" t="str">
        <f t="shared" si="58"/>
        <v/>
      </c>
      <c r="H460" s="36" t="str">
        <f t="shared" si="59"/>
        <v/>
      </c>
      <c r="I460" s="34" t="str">
        <f t="shared" si="60"/>
        <v/>
      </c>
      <c r="J460" s="35" t="str">
        <f t="shared" si="61"/>
        <v/>
      </c>
      <c r="K460" s="49"/>
      <c r="L460" s="30"/>
      <c r="M460" s="31"/>
      <c r="N460" s="33"/>
      <c r="O460" s="31"/>
      <c r="P460" s="29" t="str">
        <f t="shared" si="62"/>
        <v/>
      </c>
      <c r="Q460" s="29" t="str">
        <f t="shared" si="63"/>
        <v/>
      </c>
      <c r="R460" s="33"/>
    </row>
    <row r="461" spans="1:18" x14ac:dyDescent="0.25">
      <c r="A461" s="31"/>
      <c r="B461" s="34" t="str">
        <f t="shared" si="56"/>
        <v/>
      </c>
      <c r="C461" s="30"/>
      <c r="D461" s="10"/>
      <c r="E461" s="30"/>
      <c r="F461" s="36" t="str">
        <f t="shared" si="57"/>
        <v/>
      </c>
      <c r="G461" s="36" t="str">
        <f t="shared" si="58"/>
        <v/>
      </c>
      <c r="H461" s="36" t="str">
        <f t="shared" si="59"/>
        <v/>
      </c>
      <c r="I461" s="34" t="str">
        <f t="shared" si="60"/>
        <v/>
      </c>
      <c r="J461" s="35" t="str">
        <f t="shared" si="61"/>
        <v/>
      </c>
      <c r="K461" s="49"/>
      <c r="L461" s="30"/>
      <c r="M461" s="31"/>
      <c r="N461" s="33"/>
      <c r="O461" s="31"/>
      <c r="P461" s="29" t="str">
        <f t="shared" si="62"/>
        <v/>
      </c>
      <c r="Q461" s="29" t="str">
        <f t="shared" si="63"/>
        <v/>
      </c>
      <c r="R461" s="33"/>
    </row>
    <row r="462" spans="1:18" x14ac:dyDescent="0.25">
      <c r="A462" s="31"/>
      <c r="B462" s="34" t="str">
        <f t="shared" si="56"/>
        <v/>
      </c>
      <c r="C462" s="30"/>
      <c r="D462" s="10"/>
      <c r="E462" s="30"/>
      <c r="F462" s="36" t="str">
        <f t="shared" si="57"/>
        <v/>
      </c>
      <c r="G462" s="36" t="str">
        <f t="shared" si="58"/>
        <v/>
      </c>
      <c r="H462" s="36" t="str">
        <f t="shared" si="59"/>
        <v/>
      </c>
      <c r="I462" s="34" t="str">
        <f t="shared" si="60"/>
        <v/>
      </c>
      <c r="J462" s="35" t="str">
        <f t="shared" si="61"/>
        <v/>
      </c>
      <c r="K462" s="49"/>
      <c r="L462" s="30"/>
      <c r="M462" s="31"/>
      <c r="N462" s="33"/>
      <c r="O462" s="31"/>
      <c r="P462" s="29" t="str">
        <f t="shared" si="62"/>
        <v/>
      </c>
      <c r="Q462" s="29" t="str">
        <f t="shared" si="63"/>
        <v/>
      </c>
      <c r="R462" s="33"/>
    </row>
    <row r="463" spans="1:18" x14ac:dyDescent="0.25">
      <c r="A463" s="31"/>
      <c r="B463" s="34" t="str">
        <f t="shared" si="56"/>
        <v/>
      </c>
      <c r="C463" s="30"/>
      <c r="D463" s="10"/>
      <c r="E463" s="30"/>
      <c r="F463" s="36" t="str">
        <f t="shared" si="57"/>
        <v/>
      </c>
      <c r="G463" s="36" t="str">
        <f t="shared" si="58"/>
        <v/>
      </c>
      <c r="H463" s="36" t="str">
        <f t="shared" si="59"/>
        <v/>
      </c>
      <c r="I463" s="34" t="str">
        <f t="shared" si="60"/>
        <v/>
      </c>
      <c r="J463" s="35" t="str">
        <f t="shared" si="61"/>
        <v/>
      </c>
      <c r="K463" s="49"/>
      <c r="L463" s="30"/>
      <c r="M463" s="31"/>
      <c r="N463" s="33"/>
      <c r="O463" s="31"/>
      <c r="P463" s="29" t="str">
        <f t="shared" si="62"/>
        <v/>
      </c>
      <c r="Q463" s="29" t="str">
        <f t="shared" si="63"/>
        <v/>
      </c>
      <c r="R463" s="33"/>
    </row>
    <row r="464" spans="1:18" x14ac:dyDescent="0.25">
      <c r="A464" s="31"/>
      <c r="B464" s="34" t="str">
        <f t="shared" si="56"/>
        <v/>
      </c>
      <c r="C464" s="30"/>
      <c r="D464" s="10"/>
      <c r="E464" s="30"/>
      <c r="F464" s="36" t="str">
        <f t="shared" si="57"/>
        <v/>
      </c>
      <c r="G464" s="36" t="str">
        <f t="shared" si="58"/>
        <v/>
      </c>
      <c r="H464" s="36" t="str">
        <f t="shared" si="59"/>
        <v/>
      </c>
      <c r="I464" s="34" t="str">
        <f t="shared" si="60"/>
        <v/>
      </c>
      <c r="J464" s="35" t="str">
        <f t="shared" si="61"/>
        <v/>
      </c>
      <c r="K464" s="49"/>
      <c r="L464" s="30"/>
      <c r="M464" s="31"/>
      <c r="N464" s="33"/>
      <c r="O464" s="31"/>
      <c r="P464" s="29" t="str">
        <f t="shared" si="62"/>
        <v/>
      </c>
      <c r="Q464" s="29" t="str">
        <f t="shared" si="63"/>
        <v/>
      </c>
      <c r="R464" s="33"/>
    </row>
    <row r="465" spans="1:18" x14ac:dyDescent="0.25">
      <c r="A465" s="31"/>
      <c r="B465" s="34" t="str">
        <f t="shared" si="56"/>
        <v/>
      </c>
      <c r="C465" s="30"/>
      <c r="D465" s="10"/>
      <c r="E465" s="30"/>
      <c r="F465" s="36" t="str">
        <f t="shared" si="57"/>
        <v/>
      </c>
      <c r="G465" s="36" t="str">
        <f t="shared" si="58"/>
        <v/>
      </c>
      <c r="H465" s="36" t="str">
        <f t="shared" si="59"/>
        <v/>
      </c>
      <c r="I465" s="34" t="str">
        <f t="shared" si="60"/>
        <v/>
      </c>
      <c r="J465" s="35" t="str">
        <f t="shared" si="61"/>
        <v/>
      </c>
      <c r="K465" s="49"/>
      <c r="L465" s="30"/>
      <c r="M465" s="31"/>
      <c r="N465" s="33"/>
      <c r="O465" s="31"/>
      <c r="P465" s="29" t="str">
        <f t="shared" si="62"/>
        <v/>
      </c>
      <c r="Q465" s="29" t="str">
        <f t="shared" si="63"/>
        <v/>
      </c>
      <c r="R465" s="33"/>
    </row>
    <row r="466" spans="1:18" x14ac:dyDescent="0.25">
      <c r="A466" s="31"/>
      <c r="B466" s="34" t="str">
        <f t="shared" si="56"/>
        <v/>
      </c>
      <c r="C466" s="30"/>
      <c r="D466" s="10"/>
      <c r="E466" s="30"/>
      <c r="F466" s="36" t="str">
        <f t="shared" si="57"/>
        <v/>
      </c>
      <c r="G466" s="36" t="str">
        <f t="shared" si="58"/>
        <v/>
      </c>
      <c r="H466" s="36" t="str">
        <f t="shared" si="59"/>
        <v/>
      </c>
      <c r="I466" s="34" t="str">
        <f t="shared" si="60"/>
        <v/>
      </c>
      <c r="J466" s="35" t="str">
        <f t="shared" si="61"/>
        <v/>
      </c>
      <c r="K466" s="49"/>
      <c r="L466" s="30"/>
      <c r="M466" s="31"/>
      <c r="N466" s="33"/>
      <c r="O466" s="31"/>
      <c r="P466" s="29" t="str">
        <f t="shared" si="62"/>
        <v/>
      </c>
      <c r="Q466" s="29" t="str">
        <f t="shared" si="63"/>
        <v/>
      </c>
      <c r="R466" s="33"/>
    </row>
    <row r="467" spans="1:18" x14ac:dyDescent="0.25">
      <c r="A467" s="31"/>
      <c r="B467" s="34" t="str">
        <f t="shared" si="56"/>
        <v/>
      </c>
      <c r="C467" s="30"/>
      <c r="D467" s="10"/>
      <c r="E467" s="30"/>
      <c r="F467" s="36" t="str">
        <f t="shared" si="57"/>
        <v/>
      </c>
      <c r="G467" s="36" t="str">
        <f t="shared" si="58"/>
        <v/>
      </c>
      <c r="H467" s="36" t="str">
        <f t="shared" si="59"/>
        <v/>
      </c>
      <c r="I467" s="34" t="str">
        <f t="shared" si="60"/>
        <v/>
      </c>
      <c r="J467" s="35" t="str">
        <f t="shared" si="61"/>
        <v/>
      </c>
      <c r="K467" s="49"/>
      <c r="L467" s="30"/>
      <c r="M467" s="31"/>
      <c r="N467" s="33"/>
      <c r="O467" s="31"/>
      <c r="P467" s="29" t="str">
        <f t="shared" si="62"/>
        <v/>
      </c>
      <c r="Q467" s="29" t="str">
        <f t="shared" si="63"/>
        <v/>
      </c>
      <c r="R467" s="33"/>
    </row>
    <row r="468" spans="1:18" x14ac:dyDescent="0.25">
      <c r="A468" s="31"/>
      <c r="B468" s="34" t="str">
        <f t="shared" si="56"/>
        <v/>
      </c>
      <c r="C468" s="30"/>
      <c r="D468" s="10"/>
      <c r="E468" s="30"/>
      <c r="F468" s="36" t="str">
        <f t="shared" si="57"/>
        <v/>
      </c>
      <c r="G468" s="36" t="str">
        <f t="shared" si="58"/>
        <v/>
      </c>
      <c r="H468" s="36" t="str">
        <f t="shared" si="59"/>
        <v/>
      </c>
      <c r="I468" s="34" t="str">
        <f t="shared" si="60"/>
        <v/>
      </c>
      <c r="J468" s="35" t="str">
        <f t="shared" si="61"/>
        <v/>
      </c>
      <c r="K468" s="49"/>
      <c r="L468" s="30"/>
      <c r="M468" s="31"/>
      <c r="N468" s="33"/>
      <c r="O468" s="31"/>
      <c r="P468" s="29" t="str">
        <f t="shared" si="62"/>
        <v/>
      </c>
      <c r="Q468" s="29" t="str">
        <f t="shared" si="63"/>
        <v/>
      </c>
      <c r="R468" s="33"/>
    </row>
    <row r="469" spans="1:18" x14ac:dyDescent="0.25">
      <c r="A469" s="31"/>
      <c r="B469" s="34" t="str">
        <f t="shared" si="56"/>
        <v/>
      </c>
      <c r="C469" s="30"/>
      <c r="D469" s="10"/>
      <c r="E469" s="30"/>
      <c r="F469" s="36" t="str">
        <f t="shared" si="57"/>
        <v/>
      </c>
      <c r="G469" s="36" t="str">
        <f t="shared" si="58"/>
        <v/>
      </c>
      <c r="H469" s="36" t="str">
        <f t="shared" si="59"/>
        <v/>
      </c>
      <c r="I469" s="34" t="str">
        <f t="shared" si="60"/>
        <v/>
      </c>
      <c r="J469" s="35" t="str">
        <f t="shared" si="61"/>
        <v/>
      </c>
      <c r="K469" s="49"/>
      <c r="L469" s="30"/>
      <c r="M469" s="31"/>
      <c r="N469" s="33"/>
      <c r="O469" s="31"/>
      <c r="P469" s="29" t="str">
        <f t="shared" si="62"/>
        <v/>
      </c>
      <c r="Q469" s="29" t="str">
        <f t="shared" si="63"/>
        <v/>
      </c>
      <c r="R469" s="33"/>
    </row>
    <row r="470" spans="1:18" x14ac:dyDescent="0.25">
      <c r="A470" s="31"/>
      <c r="B470" s="34" t="str">
        <f t="shared" si="56"/>
        <v/>
      </c>
      <c r="C470" s="30"/>
      <c r="D470" s="10"/>
      <c r="E470" s="30"/>
      <c r="F470" s="36" t="str">
        <f t="shared" si="57"/>
        <v/>
      </c>
      <c r="G470" s="36" t="str">
        <f t="shared" si="58"/>
        <v/>
      </c>
      <c r="H470" s="36" t="str">
        <f t="shared" si="59"/>
        <v/>
      </c>
      <c r="I470" s="34" t="str">
        <f t="shared" si="60"/>
        <v/>
      </c>
      <c r="J470" s="35" t="str">
        <f t="shared" si="61"/>
        <v/>
      </c>
      <c r="K470" s="49"/>
      <c r="L470" s="30"/>
      <c r="M470" s="31"/>
      <c r="N470" s="33"/>
      <c r="O470" s="31"/>
      <c r="P470" s="29" t="str">
        <f t="shared" si="62"/>
        <v/>
      </c>
      <c r="Q470" s="29" t="str">
        <f t="shared" si="63"/>
        <v/>
      </c>
      <c r="R470" s="33"/>
    </row>
    <row r="471" spans="1:18" x14ac:dyDescent="0.25">
      <c r="A471" s="31"/>
      <c r="B471" s="34" t="str">
        <f t="shared" si="56"/>
        <v/>
      </c>
      <c r="C471" s="30"/>
      <c r="D471" s="10"/>
      <c r="E471" s="30"/>
      <c r="F471" s="36" t="str">
        <f t="shared" si="57"/>
        <v/>
      </c>
      <c r="G471" s="36" t="str">
        <f t="shared" si="58"/>
        <v/>
      </c>
      <c r="H471" s="36" t="str">
        <f t="shared" si="59"/>
        <v/>
      </c>
      <c r="I471" s="34" t="str">
        <f t="shared" si="60"/>
        <v/>
      </c>
      <c r="J471" s="35" t="str">
        <f t="shared" si="61"/>
        <v/>
      </c>
      <c r="K471" s="49"/>
      <c r="L471" s="30"/>
      <c r="M471" s="31"/>
      <c r="N471" s="33"/>
      <c r="O471" s="31"/>
      <c r="P471" s="29" t="str">
        <f t="shared" si="62"/>
        <v/>
      </c>
      <c r="Q471" s="29" t="str">
        <f t="shared" si="63"/>
        <v/>
      </c>
      <c r="R471" s="33"/>
    </row>
    <row r="472" spans="1:18" x14ac:dyDescent="0.25">
      <c r="A472" s="31"/>
      <c r="B472" s="34" t="str">
        <f t="shared" si="56"/>
        <v/>
      </c>
      <c r="C472" s="30"/>
      <c r="D472" s="10"/>
      <c r="E472" s="30"/>
      <c r="F472" s="36" t="str">
        <f t="shared" si="57"/>
        <v/>
      </c>
      <c r="G472" s="36" t="str">
        <f t="shared" si="58"/>
        <v/>
      </c>
      <c r="H472" s="36" t="str">
        <f t="shared" si="59"/>
        <v/>
      </c>
      <c r="I472" s="34" t="str">
        <f t="shared" si="60"/>
        <v/>
      </c>
      <c r="J472" s="35" t="str">
        <f t="shared" si="61"/>
        <v/>
      </c>
      <c r="K472" s="49"/>
      <c r="L472" s="30"/>
      <c r="M472" s="31"/>
      <c r="N472" s="33"/>
      <c r="O472" s="31"/>
      <c r="P472" s="29" t="str">
        <f t="shared" si="62"/>
        <v/>
      </c>
      <c r="Q472" s="29" t="str">
        <f t="shared" si="63"/>
        <v/>
      </c>
      <c r="R472" s="33"/>
    </row>
    <row r="473" spans="1:18" x14ac:dyDescent="0.25">
      <c r="A473" s="31"/>
      <c r="B473" s="34" t="str">
        <f t="shared" si="56"/>
        <v/>
      </c>
      <c r="C473" s="30"/>
      <c r="D473" s="10"/>
      <c r="E473" s="30"/>
      <c r="F473" s="36" t="str">
        <f t="shared" si="57"/>
        <v/>
      </c>
      <c r="G473" s="36" t="str">
        <f t="shared" si="58"/>
        <v/>
      </c>
      <c r="H473" s="36" t="str">
        <f t="shared" si="59"/>
        <v/>
      </c>
      <c r="I473" s="34" t="str">
        <f t="shared" si="60"/>
        <v/>
      </c>
      <c r="J473" s="35" t="str">
        <f t="shared" si="61"/>
        <v/>
      </c>
      <c r="K473" s="49"/>
      <c r="L473" s="30"/>
      <c r="M473" s="31"/>
      <c r="N473" s="33"/>
      <c r="O473" s="31"/>
      <c r="P473" s="29" t="str">
        <f t="shared" si="62"/>
        <v/>
      </c>
      <c r="Q473" s="29" t="str">
        <f t="shared" si="63"/>
        <v/>
      </c>
      <c r="R473" s="33"/>
    </row>
    <row r="474" spans="1:18" x14ac:dyDescent="0.25">
      <c r="A474" s="31"/>
      <c r="B474" s="34" t="str">
        <f t="shared" si="56"/>
        <v/>
      </c>
      <c r="C474" s="30"/>
      <c r="D474" s="10"/>
      <c r="E474" s="30"/>
      <c r="F474" s="36" t="str">
        <f t="shared" si="57"/>
        <v/>
      </c>
      <c r="G474" s="36" t="str">
        <f t="shared" si="58"/>
        <v/>
      </c>
      <c r="H474" s="36" t="str">
        <f t="shared" si="59"/>
        <v/>
      </c>
      <c r="I474" s="34" t="str">
        <f t="shared" si="60"/>
        <v/>
      </c>
      <c r="J474" s="35" t="str">
        <f t="shared" si="61"/>
        <v/>
      </c>
      <c r="K474" s="49"/>
      <c r="L474" s="30"/>
      <c r="M474" s="31"/>
      <c r="N474" s="33"/>
      <c r="O474" s="31"/>
      <c r="P474" s="29" t="str">
        <f t="shared" si="62"/>
        <v/>
      </c>
      <c r="Q474" s="29" t="str">
        <f t="shared" si="63"/>
        <v/>
      </c>
      <c r="R474" s="33"/>
    </row>
    <row r="475" spans="1:18" x14ac:dyDescent="0.25">
      <c r="A475" s="31"/>
      <c r="B475" s="34" t="str">
        <f t="shared" si="56"/>
        <v/>
      </c>
      <c r="C475" s="30"/>
      <c r="D475" s="10"/>
      <c r="E475" s="30"/>
      <c r="F475" s="36" t="str">
        <f t="shared" si="57"/>
        <v/>
      </c>
      <c r="G475" s="36" t="str">
        <f t="shared" si="58"/>
        <v/>
      </c>
      <c r="H475" s="36" t="str">
        <f t="shared" si="59"/>
        <v/>
      </c>
      <c r="I475" s="34" t="str">
        <f t="shared" si="60"/>
        <v/>
      </c>
      <c r="J475" s="35" t="str">
        <f t="shared" si="61"/>
        <v/>
      </c>
      <c r="K475" s="49"/>
      <c r="L475" s="30"/>
      <c r="M475" s="31"/>
      <c r="N475" s="33"/>
      <c r="O475" s="31"/>
      <c r="P475" s="29" t="str">
        <f t="shared" si="62"/>
        <v/>
      </c>
      <c r="Q475" s="29" t="str">
        <f t="shared" si="63"/>
        <v/>
      </c>
      <c r="R475" s="33"/>
    </row>
    <row r="476" spans="1:18" x14ac:dyDescent="0.25">
      <c r="A476" s="31"/>
      <c r="B476" s="34" t="str">
        <f t="shared" si="56"/>
        <v/>
      </c>
      <c r="C476" s="30"/>
      <c r="D476" s="10"/>
      <c r="E476" s="30"/>
      <c r="F476" s="36" t="str">
        <f t="shared" si="57"/>
        <v/>
      </c>
      <c r="G476" s="36" t="str">
        <f t="shared" si="58"/>
        <v/>
      </c>
      <c r="H476" s="36" t="str">
        <f t="shared" si="59"/>
        <v/>
      </c>
      <c r="I476" s="34" t="str">
        <f t="shared" si="60"/>
        <v/>
      </c>
      <c r="J476" s="35" t="str">
        <f t="shared" si="61"/>
        <v/>
      </c>
      <c r="K476" s="49"/>
      <c r="L476" s="30"/>
      <c r="M476" s="31"/>
      <c r="N476" s="33"/>
      <c r="O476" s="31"/>
      <c r="P476" s="29" t="str">
        <f t="shared" si="62"/>
        <v/>
      </c>
      <c r="Q476" s="29" t="str">
        <f t="shared" si="63"/>
        <v/>
      </c>
      <c r="R476" s="33"/>
    </row>
    <row r="477" spans="1:18" x14ac:dyDescent="0.25">
      <c r="A477" s="31"/>
      <c r="B477" s="34" t="str">
        <f t="shared" si="56"/>
        <v/>
      </c>
      <c r="C477" s="30"/>
      <c r="D477" s="10"/>
      <c r="E477" s="30"/>
      <c r="F477" s="36" t="str">
        <f t="shared" si="57"/>
        <v/>
      </c>
      <c r="G477" s="36" t="str">
        <f t="shared" si="58"/>
        <v/>
      </c>
      <c r="H477" s="36" t="str">
        <f t="shared" si="59"/>
        <v/>
      </c>
      <c r="I477" s="34" t="str">
        <f t="shared" si="60"/>
        <v/>
      </c>
      <c r="J477" s="35" t="str">
        <f t="shared" si="61"/>
        <v/>
      </c>
      <c r="K477" s="49"/>
      <c r="L477" s="30"/>
      <c r="M477" s="31"/>
      <c r="N477" s="33"/>
      <c r="O477" s="31"/>
      <c r="P477" s="29" t="str">
        <f t="shared" si="62"/>
        <v/>
      </c>
      <c r="Q477" s="29" t="str">
        <f t="shared" si="63"/>
        <v/>
      </c>
      <c r="R477" s="33"/>
    </row>
    <row r="478" spans="1:18" x14ac:dyDescent="0.25">
      <c r="A478" s="31"/>
      <c r="B478" s="34" t="str">
        <f t="shared" si="56"/>
        <v/>
      </c>
      <c r="C478" s="30"/>
      <c r="D478" s="10"/>
      <c r="E478" s="30"/>
      <c r="F478" s="36" t="str">
        <f t="shared" si="57"/>
        <v/>
      </c>
      <c r="G478" s="36" t="str">
        <f t="shared" si="58"/>
        <v/>
      </c>
      <c r="H478" s="36" t="str">
        <f t="shared" si="59"/>
        <v/>
      </c>
      <c r="I478" s="34" t="str">
        <f t="shared" si="60"/>
        <v/>
      </c>
      <c r="J478" s="35" t="str">
        <f t="shared" si="61"/>
        <v/>
      </c>
      <c r="K478" s="49"/>
      <c r="L478" s="30"/>
      <c r="M478" s="31"/>
      <c r="N478" s="33"/>
      <c r="O478" s="31"/>
      <c r="P478" s="29" t="str">
        <f t="shared" si="62"/>
        <v/>
      </c>
      <c r="Q478" s="29" t="str">
        <f t="shared" si="63"/>
        <v/>
      </c>
      <c r="R478" s="33"/>
    </row>
    <row r="479" spans="1:18" x14ac:dyDescent="0.25">
      <c r="A479" s="31"/>
      <c r="B479" s="34" t="str">
        <f t="shared" si="56"/>
        <v/>
      </c>
      <c r="C479" s="30"/>
      <c r="D479" s="10"/>
      <c r="E479" s="30"/>
      <c r="F479" s="36" t="str">
        <f t="shared" si="57"/>
        <v/>
      </c>
      <c r="G479" s="36" t="str">
        <f t="shared" si="58"/>
        <v/>
      </c>
      <c r="H479" s="36" t="str">
        <f t="shared" si="59"/>
        <v/>
      </c>
      <c r="I479" s="34" t="str">
        <f t="shared" si="60"/>
        <v/>
      </c>
      <c r="J479" s="35" t="str">
        <f t="shared" si="61"/>
        <v/>
      </c>
      <c r="K479" s="49"/>
      <c r="L479" s="30"/>
      <c r="M479" s="31"/>
      <c r="N479" s="33"/>
      <c r="O479" s="31"/>
      <c r="P479" s="29" t="str">
        <f t="shared" si="62"/>
        <v/>
      </c>
      <c r="Q479" s="29" t="str">
        <f t="shared" si="63"/>
        <v/>
      </c>
      <c r="R479" s="33"/>
    </row>
    <row r="480" spans="1:18" x14ac:dyDescent="0.25">
      <c r="A480" s="31"/>
      <c r="B480" s="34" t="str">
        <f t="shared" si="56"/>
        <v/>
      </c>
      <c r="C480" s="30"/>
      <c r="D480" s="10"/>
      <c r="E480" s="30"/>
      <c r="F480" s="36" t="str">
        <f t="shared" si="57"/>
        <v/>
      </c>
      <c r="G480" s="36" t="str">
        <f t="shared" si="58"/>
        <v/>
      </c>
      <c r="H480" s="36" t="str">
        <f t="shared" si="59"/>
        <v/>
      </c>
      <c r="I480" s="34" t="str">
        <f t="shared" si="60"/>
        <v/>
      </c>
      <c r="J480" s="35" t="str">
        <f t="shared" si="61"/>
        <v/>
      </c>
      <c r="K480" s="49"/>
      <c r="L480" s="30"/>
      <c r="M480" s="31"/>
      <c r="N480" s="33"/>
      <c r="O480" s="31"/>
      <c r="P480" s="29" t="str">
        <f t="shared" si="62"/>
        <v/>
      </c>
      <c r="Q480" s="29" t="str">
        <f t="shared" si="63"/>
        <v/>
      </c>
      <c r="R480" s="33"/>
    </row>
    <row r="481" spans="1:18" x14ac:dyDescent="0.25">
      <c r="A481" s="31"/>
      <c r="B481" s="34" t="str">
        <f t="shared" si="56"/>
        <v/>
      </c>
      <c r="C481" s="30"/>
      <c r="D481" s="10"/>
      <c r="E481" s="30"/>
      <c r="F481" s="36" t="str">
        <f t="shared" si="57"/>
        <v/>
      </c>
      <c r="G481" s="36" t="str">
        <f t="shared" si="58"/>
        <v/>
      </c>
      <c r="H481" s="36" t="str">
        <f t="shared" si="59"/>
        <v/>
      </c>
      <c r="I481" s="34" t="str">
        <f t="shared" si="60"/>
        <v/>
      </c>
      <c r="J481" s="35" t="str">
        <f t="shared" si="61"/>
        <v/>
      </c>
      <c r="K481" s="49"/>
      <c r="L481" s="30"/>
      <c r="M481" s="31"/>
      <c r="N481" s="33"/>
      <c r="O481" s="31"/>
      <c r="P481" s="29" t="str">
        <f t="shared" si="62"/>
        <v/>
      </c>
      <c r="Q481" s="29" t="str">
        <f t="shared" si="63"/>
        <v/>
      </c>
      <c r="R481" s="33"/>
    </row>
    <row r="482" spans="1:18" x14ac:dyDescent="0.25">
      <c r="A482" s="31"/>
      <c r="B482" s="34" t="str">
        <f t="shared" si="56"/>
        <v/>
      </c>
      <c r="C482" s="30"/>
      <c r="D482" s="10"/>
      <c r="E482" s="30"/>
      <c r="F482" s="36" t="str">
        <f t="shared" si="57"/>
        <v/>
      </c>
      <c r="G482" s="36" t="str">
        <f t="shared" si="58"/>
        <v/>
      </c>
      <c r="H482" s="36" t="str">
        <f t="shared" si="59"/>
        <v/>
      </c>
      <c r="I482" s="34" t="str">
        <f t="shared" si="60"/>
        <v/>
      </c>
      <c r="J482" s="35" t="str">
        <f t="shared" si="61"/>
        <v/>
      </c>
      <c r="K482" s="49"/>
      <c r="L482" s="30"/>
      <c r="M482" s="31"/>
      <c r="N482" s="33"/>
      <c r="O482" s="31"/>
      <c r="P482" s="29" t="str">
        <f t="shared" si="62"/>
        <v/>
      </c>
      <c r="Q482" s="29" t="str">
        <f t="shared" si="63"/>
        <v/>
      </c>
      <c r="R482" s="33"/>
    </row>
    <row r="483" spans="1:18" x14ac:dyDescent="0.25">
      <c r="A483" s="31"/>
      <c r="B483" s="34" t="str">
        <f t="shared" si="56"/>
        <v/>
      </c>
      <c r="C483" s="30"/>
      <c r="D483" s="10"/>
      <c r="E483" s="30"/>
      <c r="F483" s="36" t="str">
        <f t="shared" si="57"/>
        <v/>
      </c>
      <c r="G483" s="36" t="str">
        <f t="shared" si="58"/>
        <v/>
      </c>
      <c r="H483" s="36" t="str">
        <f t="shared" si="59"/>
        <v/>
      </c>
      <c r="I483" s="34" t="str">
        <f t="shared" si="60"/>
        <v/>
      </c>
      <c r="J483" s="35" t="str">
        <f t="shared" si="61"/>
        <v/>
      </c>
      <c r="K483" s="49"/>
      <c r="L483" s="30"/>
      <c r="M483" s="31"/>
      <c r="N483" s="33"/>
      <c r="O483" s="31"/>
      <c r="P483" s="29" t="str">
        <f t="shared" si="62"/>
        <v/>
      </c>
      <c r="Q483" s="29" t="str">
        <f t="shared" si="63"/>
        <v/>
      </c>
      <c r="R483" s="33"/>
    </row>
    <row r="484" spans="1:18" x14ac:dyDescent="0.25">
      <c r="A484" s="31"/>
      <c r="B484" s="34" t="str">
        <f t="shared" si="56"/>
        <v/>
      </c>
      <c r="C484" s="30"/>
      <c r="D484" s="10"/>
      <c r="E484" s="30"/>
      <c r="F484" s="36" t="str">
        <f t="shared" si="57"/>
        <v/>
      </c>
      <c r="G484" s="36" t="str">
        <f t="shared" si="58"/>
        <v/>
      </c>
      <c r="H484" s="36" t="str">
        <f t="shared" si="59"/>
        <v/>
      </c>
      <c r="I484" s="34" t="str">
        <f t="shared" si="60"/>
        <v/>
      </c>
      <c r="J484" s="35" t="str">
        <f t="shared" si="61"/>
        <v/>
      </c>
      <c r="K484" s="49"/>
      <c r="L484" s="30"/>
      <c r="M484" s="31"/>
      <c r="N484" s="33"/>
      <c r="O484" s="31"/>
      <c r="P484" s="29" t="str">
        <f t="shared" si="62"/>
        <v/>
      </c>
      <c r="Q484" s="29" t="str">
        <f t="shared" si="63"/>
        <v/>
      </c>
      <c r="R484" s="33"/>
    </row>
    <row r="485" spans="1:18" x14ac:dyDescent="0.25">
      <c r="A485" s="31"/>
      <c r="B485" s="34" t="str">
        <f t="shared" si="56"/>
        <v/>
      </c>
      <c r="C485" s="30"/>
      <c r="D485" s="10"/>
      <c r="E485" s="30"/>
      <c r="F485" s="36" t="str">
        <f t="shared" si="57"/>
        <v/>
      </c>
      <c r="G485" s="36" t="str">
        <f t="shared" si="58"/>
        <v/>
      </c>
      <c r="H485" s="36" t="str">
        <f t="shared" si="59"/>
        <v/>
      </c>
      <c r="I485" s="34" t="str">
        <f t="shared" si="60"/>
        <v/>
      </c>
      <c r="J485" s="35" t="str">
        <f t="shared" si="61"/>
        <v/>
      </c>
      <c r="K485" s="49"/>
      <c r="L485" s="30"/>
      <c r="M485" s="31"/>
      <c r="N485" s="33"/>
      <c r="O485" s="31"/>
      <c r="P485" s="29" t="str">
        <f t="shared" si="62"/>
        <v/>
      </c>
      <c r="Q485" s="29" t="str">
        <f t="shared" si="63"/>
        <v/>
      </c>
      <c r="R485" s="33"/>
    </row>
    <row r="486" spans="1:18" x14ac:dyDescent="0.25">
      <c r="A486" s="31"/>
      <c r="B486" s="34" t="str">
        <f t="shared" si="56"/>
        <v/>
      </c>
      <c r="C486" s="30"/>
      <c r="D486" s="10"/>
      <c r="E486" s="30"/>
      <c r="F486" s="36" t="str">
        <f t="shared" si="57"/>
        <v/>
      </c>
      <c r="G486" s="36" t="str">
        <f t="shared" si="58"/>
        <v/>
      </c>
      <c r="H486" s="36" t="str">
        <f t="shared" si="59"/>
        <v/>
      </c>
      <c r="I486" s="34" t="str">
        <f t="shared" si="60"/>
        <v/>
      </c>
      <c r="J486" s="35" t="str">
        <f t="shared" si="61"/>
        <v/>
      </c>
      <c r="K486" s="49"/>
      <c r="L486" s="30"/>
      <c r="M486" s="31"/>
      <c r="N486" s="33"/>
      <c r="O486" s="31"/>
      <c r="P486" s="29" t="str">
        <f t="shared" si="62"/>
        <v/>
      </c>
      <c r="Q486" s="29" t="str">
        <f t="shared" si="63"/>
        <v/>
      </c>
      <c r="R486" s="33"/>
    </row>
    <row r="487" spans="1:18" x14ac:dyDescent="0.25">
      <c r="A487" s="31"/>
      <c r="B487" s="34" t="str">
        <f t="shared" si="56"/>
        <v/>
      </c>
      <c r="C487" s="30"/>
      <c r="D487" s="10"/>
      <c r="E487" s="30"/>
      <c r="F487" s="36" t="str">
        <f t="shared" si="57"/>
        <v/>
      </c>
      <c r="G487" s="36" t="str">
        <f t="shared" si="58"/>
        <v/>
      </c>
      <c r="H487" s="36" t="str">
        <f t="shared" si="59"/>
        <v/>
      </c>
      <c r="I487" s="34" t="str">
        <f t="shared" si="60"/>
        <v/>
      </c>
      <c r="J487" s="35" t="str">
        <f t="shared" si="61"/>
        <v/>
      </c>
      <c r="K487" s="49"/>
      <c r="L487" s="30"/>
      <c r="M487" s="31"/>
      <c r="N487" s="33"/>
      <c r="O487" s="31"/>
      <c r="P487" s="29" t="str">
        <f t="shared" si="62"/>
        <v/>
      </c>
      <c r="Q487" s="29" t="str">
        <f t="shared" si="63"/>
        <v/>
      </c>
      <c r="R487" s="33"/>
    </row>
    <row r="488" spans="1:18" x14ac:dyDescent="0.25">
      <c r="A488" s="31"/>
      <c r="B488" s="34" t="str">
        <f t="shared" si="56"/>
        <v/>
      </c>
      <c r="C488" s="30"/>
      <c r="D488" s="10"/>
      <c r="E488" s="30"/>
      <c r="F488" s="36" t="str">
        <f t="shared" si="57"/>
        <v/>
      </c>
      <c r="G488" s="36" t="str">
        <f t="shared" si="58"/>
        <v/>
      </c>
      <c r="H488" s="36" t="str">
        <f t="shared" si="59"/>
        <v/>
      </c>
      <c r="I488" s="34" t="str">
        <f t="shared" si="60"/>
        <v/>
      </c>
      <c r="J488" s="35" t="str">
        <f t="shared" si="61"/>
        <v/>
      </c>
      <c r="K488" s="49"/>
      <c r="L488" s="30"/>
      <c r="M488" s="31"/>
      <c r="N488" s="33"/>
      <c r="O488" s="31"/>
      <c r="P488" s="29" t="str">
        <f t="shared" si="62"/>
        <v/>
      </c>
      <c r="Q488" s="29" t="str">
        <f t="shared" si="63"/>
        <v/>
      </c>
      <c r="R488" s="33"/>
    </row>
    <row r="489" spans="1:18" x14ac:dyDescent="0.25">
      <c r="A489" s="31"/>
      <c r="B489" s="34" t="str">
        <f t="shared" si="56"/>
        <v/>
      </c>
      <c r="C489" s="30"/>
      <c r="D489" s="10"/>
      <c r="E489" s="30"/>
      <c r="F489" s="36" t="str">
        <f t="shared" si="57"/>
        <v/>
      </c>
      <c r="G489" s="36" t="str">
        <f t="shared" si="58"/>
        <v/>
      </c>
      <c r="H489" s="36" t="str">
        <f t="shared" si="59"/>
        <v/>
      </c>
      <c r="I489" s="34" t="str">
        <f t="shared" si="60"/>
        <v/>
      </c>
      <c r="J489" s="35" t="str">
        <f t="shared" si="61"/>
        <v/>
      </c>
      <c r="K489" s="49"/>
      <c r="L489" s="30"/>
      <c r="M489" s="31"/>
      <c r="N489" s="33"/>
      <c r="O489" s="31"/>
      <c r="P489" s="29" t="str">
        <f t="shared" si="62"/>
        <v/>
      </c>
      <c r="Q489" s="29" t="str">
        <f t="shared" si="63"/>
        <v/>
      </c>
      <c r="R489" s="33"/>
    </row>
    <row r="490" spans="1:18" x14ac:dyDescent="0.25">
      <c r="A490" s="31"/>
      <c r="B490" s="34" t="str">
        <f t="shared" si="56"/>
        <v/>
      </c>
      <c r="C490" s="30"/>
      <c r="D490" s="10"/>
      <c r="E490" s="30"/>
      <c r="F490" s="36" t="str">
        <f t="shared" si="57"/>
        <v/>
      </c>
      <c r="G490" s="36" t="str">
        <f t="shared" si="58"/>
        <v/>
      </c>
      <c r="H490" s="36" t="str">
        <f t="shared" si="59"/>
        <v/>
      </c>
      <c r="I490" s="34" t="str">
        <f t="shared" si="60"/>
        <v/>
      </c>
      <c r="J490" s="35" t="str">
        <f t="shared" si="61"/>
        <v/>
      </c>
      <c r="K490" s="49"/>
      <c r="L490" s="30"/>
      <c r="M490" s="31"/>
      <c r="N490" s="33"/>
      <c r="O490" s="31"/>
      <c r="P490" s="29" t="str">
        <f t="shared" si="62"/>
        <v/>
      </c>
      <c r="Q490" s="29" t="str">
        <f t="shared" si="63"/>
        <v/>
      </c>
      <c r="R490" s="33"/>
    </row>
    <row r="491" spans="1:18" x14ac:dyDescent="0.25">
      <c r="A491" s="31"/>
      <c r="B491" s="34" t="str">
        <f t="shared" si="56"/>
        <v/>
      </c>
      <c r="C491" s="30"/>
      <c r="D491" s="10"/>
      <c r="E491" s="30"/>
      <c r="F491" s="36" t="str">
        <f t="shared" si="57"/>
        <v/>
      </c>
      <c r="G491" s="36" t="str">
        <f t="shared" si="58"/>
        <v/>
      </c>
      <c r="H491" s="36" t="str">
        <f t="shared" si="59"/>
        <v/>
      </c>
      <c r="I491" s="34" t="str">
        <f t="shared" si="60"/>
        <v/>
      </c>
      <c r="J491" s="35" t="str">
        <f t="shared" si="61"/>
        <v/>
      </c>
      <c r="K491" s="49"/>
      <c r="L491" s="30"/>
      <c r="M491" s="31"/>
      <c r="N491" s="33"/>
      <c r="O491" s="31"/>
      <c r="P491" s="29" t="str">
        <f t="shared" si="62"/>
        <v/>
      </c>
      <c r="Q491" s="29" t="str">
        <f t="shared" si="63"/>
        <v/>
      </c>
      <c r="R491" s="33"/>
    </row>
    <row r="492" spans="1:18" x14ac:dyDescent="0.25">
      <c r="A492" s="31"/>
      <c r="B492" s="34" t="str">
        <f t="shared" si="56"/>
        <v/>
      </c>
      <c r="C492" s="30"/>
      <c r="D492" s="10"/>
      <c r="E492" s="30"/>
      <c r="F492" s="36" t="str">
        <f t="shared" si="57"/>
        <v/>
      </c>
      <c r="G492" s="36" t="str">
        <f t="shared" si="58"/>
        <v/>
      </c>
      <c r="H492" s="36" t="str">
        <f t="shared" si="59"/>
        <v/>
      </c>
      <c r="I492" s="34" t="str">
        <f t="shared" si="60"/>
        <v/>
      </c>
      <c r="J492" s="35" t="str">
        <f t="shared" si="61"/>
        <v/>
      </c>
      <c r="K492" s="49"/>
      <c r="L492" s="30"/>
      <c r="M492" s="31"/>
      <c r="N492" s="33"/>
      <c r="O492" s="31"/>
      <c r="P492" s="29" t="str">
        <f t="shared" si="62"/>
        <v/>
      </c>
      <c r="Q492" s="29" t="str">
        <f t="shared" si="63"/>
        <v/>
      </c>
      <c r="R492" s="33"/>
    </row>
    <row r="493" spans="1:18" x14ac:dyDescent="0.25">
      <c r="A493" s="31"/>
      <c r="B493" s="34" t="str">
        <f t="shared" si="56"/>
        <v/>
      </c>
      <c r="C493" s="30"/>
      <c r="D493" s="10"/>
      <c r="E493" s="30"/>
      <c r="F493" s="36" t="str">
        <f t="shared" si="57"/>
        <v/>
      </c>
      <c r="G493" s="36" t="str">
        <f t="shared" si="58"/>
        <v/>
      </c>
      <c r="H493" s="36" t="str">
        <f t="shared" si="59"/>
        <v/>
      </c>
      <c r="I493" s="34" t="str">
        <f t="shared" si="60"/>
        <v/>
      </c>
      <c r="J493" s="35" t="str">
        <f t="shared" si="61"/>
        <v/>
      </c>
      <c r="K493" s="49"/>
      <c r="L493" s="30"/>
      <c r="M493" s="31"/>
      <c r="N493" s="33"/>
      <c r="O493" s="31"/>
      <c r="P493" s="29" t="str">
        <f t="shared" si="62"/>
        <v/>
      </c>
      <c r="Q493" s="29" t="str">
        <f t="shared" si="63"/>
        <v/>
      </c>
      <c r="R493" s="33"/>
    </row>
    <row r="494" spans="1:18" x14ac:dyDescent="0.25">
      <c r="A494" s="31"/>
      <c r="B494" s="34" t="str">
        <f t="shared" si="56"/>
        <v/>
      </c>
      <c r="C494" s="30"/>
      <c r="D494" s="10"/>
      <c r="E494" s="30"/>
      <c r="F494" s="36" t="str">
        <f t="shared" si="57"/>
        <v/>
      </c>
      <c r="G494" s="36" t="str">
        <f t="shared" si="58"/>
        <v/>
      </c>
      <c r="H494" s="36" t="str">
        <f t="shared" si="59"/>
        <v/>
      </c>
      <c r="I494" s="34" t="str">
        <f t="shared" si="60"/>
        <v/>
      </c>
      <c r="J494" s="35" t="str">
        <f t="shared" si="61"/>
        <v/>
      </c>
      <c r="K494" s="49"/>
      <c r="L494" s="30"/>
      <c r="M494" s="31"/>
      <c r="N494" s="33"/>
      <c r="O494" s="31"/>
      <c r="P494" s="29" t="str">
        <f t="shared" si="62"/>
        <v/>
      </c>
      <c r="Q494" s="29" t="str">
        <f t="shared" si="63"/>
        <v/>
      </c>
      <c r="R494" s="33"/>
    </row>
    <row r="495" spans="1:18" x14ac:dyDescent="0.25">
      <c r="A495" s="31"/>
      <c r="B495" s="34" t="str">
        <f t="shared" si="56"/>
        <v/>
      </c>
      <c r="C495" s="30"/>
      <c r="D495" s="10"/>
      <c r="E495" s="30"/>
      <c r="F495" s="36" t="str">
        <f t="shared" si="57"/>
        <v/>
      </c>
      <c r="G495" s="36" t="str">
        <f t="shared" si="58"/>
        <v/>
      </c>
      <c r="H495" s="36" t="str">
        <f t="shared" si="59"/>
        <v/>
      </c>
      <c r="I495" s="34" t="str">
        <f t="shared" si="60"/>
        <v/>
      </c>
      <c r="J495" s="35" t="str">
        <f t="shared" si="61"/>
        <v/>
      </c>
      <c r="K495" s="49"/>
      <c r="L495" s="30"/>
      <c r="M495" s="31"/>
      <c r="N495" s="33"/>
      <c r="O495" s="31"/>
      <c r="P495" s="29" t="str">
        <f t="shared" si="62"/>
        <v/>
      </c>
      <c r="Q495" s="29" t="str">
        <f t="shared" si="63"/>
        <v/>
      </c>
      <c r="R495" s="33"/>
    </row>
    <row r="496" spans="1:18" x14ac:dyDescent="0.25">
      <c r="A496" s="31"/>
      <c r="B496" s="34" t="str">
        <f t="shared" si="56"/>
        <v/>
      </c>
      <c r="C496" s="30"/>
      <c r="D496" s="10"/>
      <c r="E496" s="30"/>
      <c r="F496" s="36" t="str">
        <f t="shared" si="57"/>
        <v/>
      </c>
      <c r="G496" s="36" t="str">
        <f t="shared" si="58"/>
        <v/>
      </c>
      <c r="H496" s="36" t="str">
        <f t="shared" si="59"/>
        <v/>
      </c>
      <c r="I496" s="34" t="str">
        <f t="shared" si="60"/>
        <v/>
      </c>
      <c r="J496" s="35" t="str">
        <f t="shared" si="61"/>
        <v/>
      </c>
      <c r="K496" s="49"/>
      <c r="L496" s="30"/>
      <c r="M496" s="31"/>
      <c r="N496" s="33"/>
      <c r="O496" s="31"/>
      <c r="P496" s="29" t="str">
        <f t="shared" si="62"/>
        <v/>
      </c>
      <c r="Q496" s="29" t="str">
        <f t="shared" si="63"/>
        <v/>
      </c>
      <c r="R496" s="33"/>
    </row>
    <row r="497" spans="1:18" x14ac:dyDescent="0.25">
      <c r="A497" s="31"/>
      <c r="B497" s="34" t="str">
        <f t="shared" si="56"/>
        <v/>
      </c>
      <c r="C497" s="30"/>
      <c r="D497" s="10"/>
      <c r="E497" s="30"/>
      <c r="F497" s="36" t="str">
        <f t="shared" si="57"/>
        <v/>
      </c>
      <c r="G497" s="36" t="str">
        <f t="shared" si="58"/>
        <v/>
      </c>
      <c r="H497" s="36" t="str">
        <f t="shared" si="59"/>
        <v/>
      </c>
      <c r="I497" s="34" t="str">
        <f t="shared" si="60"/>
        <v/>
      </c>
      <c r="J497" s="35" t="str">
        <f t="shared" si="61"/>
        <v/>
      </c>
      <c r="K497" s="49"/>
      <c r="L497" s="30"/>
      <c r="M497" s="31"/>
      <c r="N497" s="33"/>
      <c r="O497" s="31"/>
      <c r="P497" s="29" t="str">
        <f t="shared" si="62"/>
        <v/>
      </c>
      <c r="Q497" s="29" t="str">
        <f t="shared" si="63"/>
        <v/>
      </c>
      <c r="R497" s="33"/>
    </row>
    <row r="498" spans="1:18" x14ac:dyDescent="0.25">
      <c r="A498" s="31"/>
      <c r="B498" s="34" t="str">
        <f t="shared" si="56"/>
        <v/>
      </c>
      <c r="C498" s="30"/>
      <c r="D498" s="10"/>
      <c r="E498" s="30"/>
      <c r="F498" s="36" t="str">
        <f t="shared" si="57"/>
        <v/>
      </c>
      <c r="G498" s="36" t="str">
        <f t="shared" si="58"/>
        <v/>
      </c>
      <c r="H498" s="36" t="str">
        <f t="shared" si="59"/>
        <v/>
      </c>
      <c r="I498" s="34" t="str">
        <f t="shared" si="60"/>
        <v/>
      </c>
      <c r="J498" s="35" t="str">
        <f t="shared" si="61"/>
        <v/>
      </c>
      <c r="K498" s="49"/>
      <c r="L498" s="30"/>
      <c r="M498" s="31"/>
      <c r="N498" s="33"/>
      <c r="O498" s="31"/>
      <c r="P498" s="29" t="str">
        <f t="shared" si="62"/>
        <v/>
      </c>
      <c r="Q498" s="29" t="str">
        <f t="shared" si="63"/>
        <v/>
      </c>
      <c r="R498" s="33"/>
    </row>
    <row r="499" spans="1:18" x14ac:dyDescent="0.25">
      <c r="A499" s="31"/>
      <c r="B499" s="34" t="str">
        <f t="shared" si="56"/>
        <v/>
      </c>
      <c r="C499" s="30"/>
      <c r="D499" s="10"/>
      <c r="E499" s="30"/>
      <c r="F499" s="36" t="str">
        <f t="shared" si="57"/>
        <v/>
      </c>
      <c r="G499" s="36" t="str">
        <f t="shared" si="58"/>
        <v/>
      </c>
      <c r="H499" s="36" t="str">
        <f t="shared" si="59"/>
        <v/>
      </c>
      <c r="I499" s="34" t="str">
        <f t="shared" si="60"/>
        <v/>
      </c>
      <c r="J499" s="35" t="str">
        <f t="shared" si="61"/>
        <v/>
      </c>
      <c r="K499" s="49"/>
      <c r="L499" s="30"/>
      <c r="M499" s="31"/>
      <c r="N499" s="33"/>
      <c r="O499" s="31"/>
      <c r="P499" s="29" t="str">
        <f t="shared" si="62"/>
        <v/>
      </c>
      <c r="Q499" s="29" t="str">
        <f t="shared" si="63"/>
        <v/>
      </c>
      <c r="R499" s="33"/>
    </row>
    <row r="500" spans="1:18" x14ac:dyDescent="0.25">
      <c r="A500" s="31"/>
      <c r="B500" s="34" t="str">
        <f t="shared" si="56"/>
        <v/>
      </c>
      <c r="C500" s="30"/>
      <c r="D500" s="10"/>
      <c r="E500" s="30"/>
      <c r="F500" s="36" t="str">
        <f t="shared" si="57"/>
        <v/>
      </c>
      <c r="G500" s="36" t="str">
        <f t="shared" si="58"/>
        <v/>
      </c>
      <c r="H500" s="36" t="str">
        <f t="shared" si="59"/>
        <v/>
      </c>
      <c r="I500" s="34" t="str">
        <f t="shared" si="60"/>
        <v/>
      </c>
      <c r="J500" s="35" t="str">
        <f t="shared" si="61"/>
        <v/>
      </c>
      <c r="K500" s="49"/>
      <c r="L500" s="30"/>
      <c r="M500" s="31"/>
      <c r="N500" s="33"/>
      <c r="O500" s="31"/>
      <c r="P500" s="29" t="str">
        <f t="shared" si="62"/>
        <v/>
      </c>
      <c r="Q500" s="29" t="str">
        <f t="shared" si="63"/>
        <v/>
      </c>
      <c r="R500" s="33"/>
    </row>
    <row r="501" spans="1:18" x14ac:dyDescent="0.25">
      <c r="A501" s="31"/>
      <c r="B501" s="34" t="str">
        <f t="shared" si="56"/>
        <v/>
      </c>
      <c r="C501" s="30"/>
      <c r="D501" s="10"/>
      <c r="E501" s="30"/>
      <c r="F501" s="36" t="str">
        <f t="shared" si="57"/>
        <v/>
      </c>
      <c r="G501" s="36" t="str">
        <f t="shared" si="58"/>
        <v/>
      </c>
      <c r="H501" s="36" t="str">
        <f t="shared" si="59"/>
        <v/>
      </c>
      <c r="I501" s="34" t="str">
        <f t="shared" si="60"/>
        <v/>
      </c>
      <c r="J501" s="35" t="str">
        <f t="shared" si="61"/>
        <v/>
      </c>
      <c r="K501" s="49"/>
      <c r="L501" s="30"/>
      <c r="M501" s="31"/>
      <c r="N501" s="33"/>
      <c r="O501" s="31"/>
      <c r="P501" s="29" t="str">
        <f t="shared" si="62"/>
        <v/>
      </c>
      <c r="Q501" s="29" t="str">
        <f t="shared" si="63"/>
        <v/>
      </c>
      <c r="R501" s="33"/>
    </row>
    <row r="502" spans="1:18" x14ac:dyDescent="0.25">
      <c r="A502" s="31"/>
      <c r="B502" s="34" t="str">
        <f t="shared" si="56"/>
        <v/>
      </c>
      <c r="C502" s="30"/>
      <c r="D502" s="10"/>
      <c r="E502" s="30"/>
      <c r="F502" s="36" t="str">
        <f t="shared" si="57"/>
        <v/>
      </c>
      <c r="G502" s="36" t="str">
        <f t="shared" si="58"/>
        <v/>
      </c>
      <c r="H502" s="36" t="str">
        <f t="shared" si="59"/>
        <v/>
      </c>
      <c r="I502" s="34" t="str">
        <f t="shared" si="60"/>
        <v/>
      </c>
      <c r="J502" s="35" t="str">
        <f t="shared" si="61"/>
        <v/>
      </c>
      <c r="K502" s="49"/>
      <c r="L502" s="30"/>
      <c r="M502" s="31"/>
      <c r="N502" s="33"/>
      <c r="O502" s="31"/>
      <c r="P502" s="29" t="str">
        <f t="shared" si="62"/>
        <v/>
      </c>
      <c r="Q502" s="29" t="str">
        <f t="shared" si="63"/>
        <v/>
      </c>
      <c r="R502" s="33"/>
    </row>
    <row r="503" spans="1:18" x14ac:dyDescent="0.25">
      <c r="A503" s="31"/>
      <c r="B503" s="34" t="str">
        <f t="shared" si="56"/>
        <v/>
      </c>
      <c r="C503" s="30"/>
      <c r="D503" s="10"/>
      <c r="E503" s="30"/>
      <c r="F503" s="36" t="str">
        <f t="shared" si="57"/>
        <v/>
      </c>
      <c r="G503" s="36" t="str">
        <f t="shared" si="58"/>
        <v/>
      </c>
      <c r="H503" s="36" t="str">
        <f t="shared" si="59"/>
        <v/>
      </c>
      <c r="I503" s="34" t="str">
        <f t="shared" si="60"/>
        <v/>
      </c>
      <c r="J503" s="35" t="str">
        <f t="shared" si="61"/>
        <v/>
      </c>
      <c r="K503" s="49"/>
      <c r="L503" s="30"/>
      <c r="M503" s="31"/>
      <c r="N503" s="33"/>
      <c r="O503" s="31"/>
      <c r="P503" s="29" t="str">
        <f t="shared" si="62"/>
        <v/>
      </c>
      <c r="Q503" s="29" t="str">
        <f t="shared" si="63"/>
        <v/>
      </c>
      <c r="R503" s="33"/>
    </row>
    <row r="504" spans="1:18" x14ac:dyDescent="0.25">
      <c r="A504" s="31"/>
      <c r="B504" s="34" t="str">
        <f t="shared" si="56"/>
        <v/>
      </c>
      <c r="C504" s="30"/>
      <c r="D504" s="10"/>
      <c r="E504" s="30"/>
      <c r="F504" s="36" t="str">
        <f t="shared" si="57"/>
        <v/>
      </c>
      <c r="G504" s="36" t="str">
        <f t="shared" si="58"/>
        <v/>
      </c>
      <c r="H504" s="36" t="str">
        <f t="shared" si="59"/>
        <v/>
      </c>
      <c r="I504" s="34" t="str">
        <f t="shared" si="60"/>
        <v/>
      </c>
      <c r="J504" s="35" t="str">
        <f t="shared" si="61"/>
        <v/>
      </c>
      <c r="K504" s="49"/>
      <c r="L504" s="30"/>
      <c r="M504" s="31"/>
      <c r="N504" s="33"/>
      <c r="O504" s="31"/>
      <c r="P504" s="29" t="str">
        <f t="shared" si="62"/>
        <v/>
      </c>
      <c r="Q504" s="29" t="str">
        <f t="shared" si="63"/>
        <v/>
      </c>
      <c r="R504" s="33"/>
    </row>
    <row r="505" spans="1:18" x14ac:dyDescent="0.25">
      <c r="A505" s="31"/>
      <c r="B505" s="34" t="str">
        <f t="shared" si="56"/>
        <v/>
      </c>
      <c r="C505" s="30"/>
      <c r="D505" s="10"/>
      <c r="E505" s="30"/>
      <c r="F505" s="36" t="str">
        <f t="shared" si="57"/>
        <v/>
      </c>
      <c r="G505" s="36" t="str">
        <f t="shared" si="58"/>
        <v/>
      </c>
      <c r="H505" s="36" t="str">
        <f t="shared" si="59"/>
        <v/>
      </c>
      <c r="I505" s="34" t="str">
        <f t="shared" si="60"/>
        <v/>
      </c>
      <c r="J505" s="35" t="str">
        <f t="shared" si="61"/>
        <v/>
      </c>
      <c r="K505" s="49"/>
      <c r="L505" s="30"/>
      <c r="M505" s="31"/>
      <c r="N505" s="33"/>
      <c r="O505" s="31"/>
      <c r="P505" s="29" t="str">
        <f t="shared" si="62"/>
        <v/>
      </c>
      <c r="Q505" s="29" t="str">
        <f t="shared" si="63"/>
        <v/>
      </c>
      <c r="R505" s="33"/>
    </row>
    <row r="506" spans="1:18" x14ac:dyDescent="0.25">
      <c r="A506" s="31"/>
      <c r="B506" s="34" t="str">
        <f t="shared" si="56"/>
        <v/>
      </c>
      <c r="C506" s="30"/>
      <c r="D506" s="10"/>
      <c r="E506" s="30"/>
      <c r="F506" s="36" t="str">
        <f t="shared" si="57"/>
        <v/>
      </c>
      <c r="G506" s="36" t="str">
        <f t="shared" si="58"/>
        <v/>
      </c>
      <c r="H506" s="36" t="str">
        <f t="shared" si="59"/>
        <v/>
      </c>
      <c r="I506" s="34" t="str">
        <f t="shared" si="60"/>
        <v/>
      </c>
      <c r="J506" s="35" t="str">
        <f t="shared" si="61"/>
        <v/>
      </c>
      <c r="K506" s="49"/>
      <c r="L506" s="30"/>
      <c r="M506" s="31"/>
      <c r="N506" s="33"/>
      <c r="O506" s="31"/>
      <c r="P506" s="29" t="str">
        <f t="shared" si="62"/>
        <v/>
      </c>
      <c r="Q506" s="29" t="str">
        <f t="shared" si="63"/>
        <v/>
      </c>
      <c r="R506" s="33"/>
    </row>
    <row r="507" spans="1:18" x14ac:dyDescent="0.25">
      <c r="A507" s="31"/>
      <c r="B507" s="34" t="str">
        <f t="shared" si="56"/>
        <v/>
      </c>
      <c r="C507" s="30"/>
      <c r="D507" s="10"/>
      <c r="E507" s="30"/>
      <c r="F507" s="36" t="str">
        <f t="shared" si="57"/>
        <v/>
      </c>
      <c r="G507" s="36" t="str">
        <f t="shared" si="58"/>
        <v/>
      </c>
      <c r="H507" s="36" t="str">
        <f t="shared" si="59"/>
        <v/>
      </c>
      <c r="I507" s="34" t="str">
        <f t="shared" si="60"/>
        <v/>
      </c>
      <c r="J507" s="35" t="str">
        <f t="shared" si="61"/>
        <v/>
      </c>
      <c r="K507" s="49"/>
      <c r="L507" s="30"/>
      <c r="M507" s="31"/>
      <c r="N507" s="33"/>
      <c r="O507" s="31"/>
      <c r="P507" s="29" t="str">
        <f t="shared" si="62"/>
        <v/>
      </c>
      <c r="Q507" s="29" t="str">
        <f t="shared" si="63"/>
        <v/>
      </c>
      <c r="R507" s="33"/>
    </row>
    <row r="508" spans="1:18" x14ac:dyDescent="0.25">
      <c r="A508" s="31"/>
      <c r="B508" s="34" t="str">
        <f t="shared" si="56"/>
        <v/>
      </c>
      <c r="C508" s="30"/>
      <c r="D508" s="10"/>
      <c r="E508" s="30"/>
      <c r="F508" s="36" t="str">
        <f t="shared" si="57"/>
        <v/>
      </c>
      <c r="G508" s="36" t="str">
        <f t="shared" si="58"/>
        <v/>
      </c>
      <c r="H508" s="36" t="str">
        <f t="shared" si="59"/>
        <v/>
      </c>
      <c r="I508" s="34" t="str">
        <f t="shared" si="60"/>
        <v/>
      </c>
      <c r="J508" s="35" t="str">
        <f t="shared" si="61"/>
        <v/>
      </c>
      <c r="K508" s="49"/>
      <c r="L508" s="30"/>
      <c r="M508" s="31"/>
      <c r="N508" s="33"/>
      <c r="O508" s="31"/>
      <c r="P508" s="29" t="str">
        <f t="shared" si="62"/>
        <v/>
      </c>
      <c r="Q508" s="29" t="str">
        <f t="shared" si="63"/>
        <v/>
      </c>
      <c r="R508" s="33"/>
    </row>
    <row r="509" spans="1:18" x14ac:dyDescent="0.25">
      <c r="A509" s="31"/>
      <c r="B509" s="34" t="str">
        <f t="shared" si="56"/>
        <v/>
      </c>
      <c r="C509" s="30"/>
      <c r="D509" s="10"/>
      <c r="E509" s="30"/>
      <c r="F509" s="36" t="str">
        <f t="shared" si="57"/>
        <v/>
      </c>
      <c r="G509" s="36" t="str">
        <f t="shared" si="58"/>
        <v/>
      </c>
      <c r="H509" s="36" t="str">
        <f t="shared" si="59"/>
        <v/>
      </c>
      <c r="I509" s="34" t="str">
        <f t="shared" si="60"/>
        <v/>
      </c>
      <c r="J509" s="35" t="str">
        <f t="shared" si="61"/>
        <v/>
      </c>
      <c r="K509" s="49"/>
      <c r="L509" s="30"/>
      <c r="M509" s="31"/>
      <c r="N509" s="33"/>
      <c r="O509" s="31"/>
      <c r="P509" s="29" t="str">
        <f t="shared" si="62"/>
        <v/>
      </c>
      <c r="Q509" s="29" t="str">
        <f t="shared" si="63"/>
        <v/>
      </c>
      <c r="R509" s="33"/>
    </row>
    <row r="510" spans="1:18" x14ac:dyDescent="0.25">
      <c r="A510" s="31"/>
      <c r="B510" s="34" t="str">
        <f t="shared" si="56"/>
        <v/>
      </c>
      <c r="C510" s="30"/>
      <c r="D510" s="10"/>
      <c r="E510" s="30"/>
      <c r="F510" s="36" t="str">
        <f t="shared" si="57"/>
        <v/>
      </c>
      <c r="G510" s="36" t="str">
        <f t="shared" si="58"/>
        <v/>
      </c>
      <c r="H510" s="36" t="str">
        <f t="shared" si="59"/>
        <v/>
      </c>
      <c r="I510" s="34" t="str">
        <f t="shared" si="60"/>
        <v/>
      </c>
      <c r="J510" s="35" t="str">
        <f t="shared" si="61"/>
        <v/>
      </c>
      <c r="K510" s="49"/>
      <c r="L510" s="30"/>
      <c r="M510" s="31"/>
      <c r="N510" s="33"/>
      <c r="O510" s="31"/>
      <c r="P510" s="29" t="str">
        <f t="shared" si="62"/>
        <v/>
      </c>
      <c r="Q510" s="29" t="str">
        <f t="shared" si="63"/>
        <v/>
      </c>
      <c r="R510" s="33"/>
    </row>
    <row r="511" spans="1:18" x14ac:dyDescent="0.25">
      <c r="A511" s="31"/>
      <c r="B511" s="34" t="str">
        <f t="shared" si="56"/>
        <v/>
      </c>
      <c r="C511" s="30"/>
      <c r="D511" s="10"/>
      <c r="E511" s="30"/>
      <c r="F511" s="36" t="str">
        <f t="shared" si="57"/>
        <v/>
      </c>
      <c r="G511" s="36" t="str">
        <f t="shared" si="58"/>
        <v/>
      </c>
      <c r="H511" s="36" t="str">
        <f t="shared" si="59"/>
        <v/>
      </c>
      <c r="I511" s="34" t="str">
        <f t="shared" si="60"/>
        <v/>
      </c>
      <c r="J511" s="35" t="str">
        <f t="shared" si="61"/>
        <v/>
      </c>
      <c r="K511" s="49"/>
      <c r="L511" s="30"/>
      <c r="M511" s="31"/>
      <c r="N511" s="33"/>
      <c r="O511" s="31"/>
      <c r="P511" s="29" t="str">
        <f t="shared" si="62"/>
        <v/>
      </c>
      <c r="Q511" s="29" t="str">
        <f t="shared" si="63"/>
        <v/>
      </c>
      <c r="R511" s="33"/>
    </row>
    <row r="512" spans="1:18" x14ac:dyDescent="0.25">
      <c r="A512" s="31"/>
      <c r="B512" s="34" t="str">
        <f t="shared" si="56"/>
        <v/>
      </c>
      <c r="C512" s="30"/>
      <c r="D512" s="10"/>
      <c r="E512" s="30"/>
      <c r="F512" s="36" t="str">
        <f t="shared" si="57"/>
        <v/>
      </c>
      <c r="G512" s="36" t="str">
        <f t="shared" si="58"/>
        <v/>
      </c>
      <c r="H512" s="36" t="str">
        <f t="shared" si="59"/>
        <v/>
      </c>
      <c r="I512" s="34" t="str">
        <f t="shared" si="60"/>
        <v/>
      </c>
      <c r="J512" s="35" t="str">
        <f t="shared" si="61"/>
        <v/>
      </c>
      <c r="K512" s="49"/>
      <c r="L512" s="30"/>
      <c r="M512" s="31"/>
      <c r="N512" s="33"/>
      <c r="O512" s="31"/>
      <c r="P512" s="29" t="str">
        <f t="shared" si="62"/>
        <v/>
      </c>
      <c r="Q512" s="29" t="str">
        <f t="shared" si="63"/>
        <v/>
      </c>
      <c r="R512" s="33"/>
    </row>
    <row r="513" spans="1:18" x14ac:dyDescent="0.25">
      <c r="A513" s="31"/>
      <c r="B513" s="34" t="str">
        <f t="shared" si="56"/>
        <v/>
      </c>
      <c r="C513" s="30"/>
      <c r="D513" s="10"/>
      <c r="E513" s="30"/>
      <c r="F513" s="36" t="str">
        <f t="shared" si="57"/>
        <v/>
      </c>
      <c r="G513" s="36" t="str">
        <f t="shared" si="58"/>
        <v/>
      </c>
      <c r="H513" s="36" t="str">
        <f t="shared" si="59"/>
        <v/>
      </c>
      <c r="I513" s="34" t="str">
        <f t="shared" si="60"/>
        <v/>
      </c>
      <c r="J513" s="35" t="str">
        <f t="shared" si="61"/>
        <v/>
      </c>
      <c r="K513" s="49"/>
      <c r="L513" s="30"/>
      <c r="M513" s="31"/>
      <c r="N513" s="33"/>
      <c r="O513" s="31"/>
      <c r="P513" s="29" t="str">
        <f t="shared" si="62"/>
        <v/>
      </c>
      <c r="Q513" s="29" t="str">
        <f t="shared" si="63"/>
        <v/>
      </c>
      <c r="R513" s="33"/>
    </row>
    <row r="514" spans="1:18" x14ac:dyDescent="0.25">
      <c r="A514" s="31"/>
      <c r="B514" s="34" t="str">
        <f t="shared" si="56"/>
        <v/>
      </c>
      <c r="C514" s="30"/>
      <c r="D514" s="10"/>
      <c r="E514" s="30"/>
      <c r="F514" s="36" t="str">
        <f t="shared" si="57"/>
        <v/>
      </c>
      <c r="G514" s="36" t="str">
        <f t="shared" si="58"/>
        <v/>
      </c>
      <c r="H514" s="36" t="str">
        <f t="shared" si="59"/>
        <v/>
      </c>
      <c r="I514" s="34" t="str">
        <f t="shared" si="60"/>
        <v/>
      </c>
      <c r="J514" s="35" t="str">
        <f t="shared" si="61"/>
        <v/>
      </c>
      <c r="K514" s="49"/>
      <c r="L514" s="30"/>
      <c r="M514" s="31"/>
      <c r="N514" s="33"/>
      <c r="O514" s="31"/>
      <c r="P514" s="29" t="str">
        <f t="shared" si="62"/>
        <v/>
      </c>
      <c r="Q514" s="29" t="str">
        <f t="shared" si="63"/>
        <v/>
      </c>
      <c r="R514" s="33"/>
    </row>
    <row r="515" spans="1:18" x14ac:dyDescent="0.25">
      <c r="A515" s="31"/>
      <c r="B515" s="34" t="str">
        <f t="shared" si="56"/>
        <v/>
      </c>
      <c r="C515" s="30"/>
      <c r="D515" s="10"/>
      <c r="E515" s="30"/>
      <c r="F515" s="36" t="str">
        <f t="shared" si="57"/>
        <v/>
      </c>
      <c r="G515" s="36" t="str">
        <f t="shared" si="58"/>
        <v/>
      </c>
      <c r="H515" s="36" t="str">
        <f t="shared" si="59"/>
        <v/>
      </c>
      <c r="I515" s="34" t="str">
        <f t="shared" si="60"/>
        <v/>
      </c>
      <c r="J515" s="35" t="str">
        <f t="shared" si="61"/>
        <v/>
      </c>
      <c r="K515" s="49"/>
      <c r="L515" s="30"/>
      <c r="M515" s="31"/>
      <c r="N515" s="33"/>
      <c r="O515" s="31"/>
      <c r="P515" s="29" t="str">
        <f t="shared" si="62"/>
        <v/>
      </c>
      <c r="Q515" s="29" t="str">
        <f t="shared" si="63"/>
        <v/>
      </c>
      <c r="R515" s="33"/>
    </row>
    <row r="516" spans="1:18" x14ac:dyDescent="0.25">
      <c r="A516" s="31"/>
      <c r="B516" s="34" t="str">
        <f t="shared" si="56"/>
        <v/>
      </c>
      <c r="C516" s="30"/>
      <c r="D516" s="10"/>
      <c r="E516" s="30"/>
      <c r="F516" s="36" t="str">
        <f t="shared" si="57"/>
        <v/>
      </c>
      <c r="G516" s="36" t="str">
        <f t="shared" si="58"/>
        <v/>
      </c>
      <c r="H516" s="36" t="str">
        <f t="shared" si="59"/>
        <v/>
      </c>
      <c r="I516" s="34" t="str">
        <f t="shared" si="60"/>
        <v/>
      </c>
      <c r="J516" s="35" t="str">
        <f t="shared" si="61"/>
        <v/>
      </c>
      <c r="K516" s="49"/>
      <c r="L516" s="30"/>
      <c r="M516" s="31"/>
      <c r="N516" s="33"/>
      <c r="O516" s="31"/>
      <c r="P516" s="29" t="str">
        <f t="shared" si="62"/>
        <v/>
      </c>
      <c r="Q516" s="29" t="str">
        <f t="shared" si="63"/>
        <v/>
      </c>
      <c r="R516" s="33"/>
    </row>
    <row r="517" spans="1:18" x14ac:dyDescent="0.25">
      <c r="A517" s="31"/>
      <c r="B517" s="34" t="str">
        <f t="shared" ref="B517:B580" si="64">IFERROR(IF($E517="","",VLOOKUP($E517,CAD_TAB,2,FALSE)),"")</f>
        <v/>
      </c>
      <c r="C517" s="30"/>
      <c r="D517" s="10"/>
      <c r="E517" s="30"/>
      <c r="F517" s="36" t="str">
        <f t="shared" ref="F517:F580" si="65">IFERROR(IF($E517="","",VLOOKUP($E517,CAD_TAB,8,FALSE)),"")</f>
        <v/>
      </c>
      <c r="G517" s="36" t="str">
        <f t="shared" ref="G517:G580" si="66">IFERROR(IF($E517="","",VLOOKUP($E517,CAD_TAB,9,FALSE)),"")</f>
        <v/>
      </c>
      <c r="H517" s="36" t="str">
        <f t="shared" ref="H517:H580" si="67">IFERROR(IF($E517="","",VLOOKUP($E517,CAD_TAB,11,FALSE)),"")</f>
        <v/>
      </c>
      <c r="I517" s="34" t="str">
        <f t="shared" ref="I517:I580" si="68">IFERROR(IF($E517="","",VLOOKUP($E517,CAD_TAB,7,FALSE)),"")</f>
        <v/>
      </c>
      <c r="J517" s="35" t="str">
        <f t="shared" ref="J517:J580" si="69">IFERROR(IF($E517="","",VLOOKUP($E517,CAD_TAB,6,FALSE)),"")</f>
        <v/>
      </c>
      <c r="K517" s="49"/>
      <c r="L517" s="30"/>
      <c r="M517" s="31"/>
      <c r="N517" s="33"/>
      <c r="O517" s="31"/>
      <c r="P517" s="29" t="str">
        <f t="shared" ref="P517:P580" si="70">IF($E517="","",IF($L517="SIM","EXECUTADO",IF($O517&lt;&gt;"","REPROGRAMADO",IF($L517="NÃO","NÃO EXECUTADO","PROGRAMADO"))))</f>
        <v/>
      </c>
      <c r="Q517" s="29" t="str">
        <f t="shared" ref="Q517:Q580" si="71">IF($E517="","",IF($L517="SIM",IF($M517=$A517,"NO DIA","FORA DO DIA"),""))</f>
        <v/>
      </c>
      <c r="R517" s="33"/>
    </row>
    <row r="518" spans="1:18" x14ac:dyDescent="0.25">
      <c r="A518" s="31"/>
      <c r="B518" s="34" t="str">
        <f t="shared" si="64"/>
        <v/>
      </c>
      <c r="C518" s="30"/>
      <c r="D518" s="10"/>
      <c r="E518" s="30"/>
      <c r="F518" s="36" t="str">
        <f t="shared" si="65"/>
        <v/>
      </c>
      <c r="G518" s="36" t="str">
        <f t="shared" si="66"/>
        <v/>
      </c>
      <c r="H518" s="36" t="str">
        <f t="shared" si="67"/>
        <v/>
      </c>
      <c r="I518" s="34" t="str">
        <f t="shared" si="68"/>
        <v/>
      </c>
      <c r="J518" s="35" t="str">
        <f t="shared" si="69"/>
        <v/>
      </c>
      <c r="K518" s="49"/>
      <c r="L518" s="30"/>
      <c r="M518" s="31"/>
      <c r="N518" s="33"/>
      <c r="O518" s="31"/>
      <c r="P518" s="29" t="str">
        <f t="shared" si="70"/>
        <v/>
      </c>
      <c r="Q518" s="29" t="str">
        <f t="shared" si="71"/>
        <v/>
      </c>
      <c r="R518" s="33"/>
    </row>
    <row r="519" spans="1:18" x14ac:dyDescent="0.25">
      <c r="A519" s="31"/>
      <c r="B519" s="34" t="str">
        <f t="shared" si="64"/>
        <v/>
      </c>
      <c r="C519" s="30"/>
      <c r="D519" s="10"/>
      <c r="E519" s="30"/>
      <c r="F519" s="36" t="str">
        <f t="shared" si="65"/>
        <v/>
      </c>
      <c r="G519" s="36" t="str">
        <f t="shared" si="66"/>
        <v/>
      </c>
      <c r="H519" s="36" t="str">
        <f t="shared" si="67"/>
        <v/>
      </c>
      <c r="I519" s="34" t="str">
        <f t="shared" si="68"/>
        <v/>
      </c>
      <c r="J519" s="35" t="str">
        <f t="shared" si="69"/>
        <v/>
      </c>
      <c r="K519" s="49"/>
      <c r="L519" s="30"/>
      <c r="M519" s="31"/>
      <c r="N519" s="33"/>
      <c r="O519" s="31"/>
      <c r="P519" s="29" t="str">
        <f t="shared" si="70"/>
        <v/>
      </c>
      <c r="Q519" s="29" t="str">
        <f t="shared" si="71"/>
        <v/>
      </c>
      <c r="R519" s="33"/>
    </row>
    <row r="520" spans="1:18" x14ac:dyDescent="0.25">
      <c r="A520" s="31"/>
      <c r="B520" s="34" t="str">
        <f t="shared" si="64"/>
        <v/>
      </c>
      <c r="C520" s="30"/>
      <c r="D520" s="10"/>
      <c r="E520" s="30"/>
      <c r="F520" s="36" t="str">
        <f t="shared" si="65"/>
        <v/>
      </c>
      <c r="G520" s="36" t="str">
        <f t="shared" si="66"/>
        <v/>
      </c>
      <c r="H520" s="36" t="str">
        <f t="shared" si="67"/>
        <v/>
      </c>
      <c r="I520" s="34" t="str">
        <f t="shared" si="68"/>
        <v/>
      </c>
      <c r="J520" s="35" t="str">
        <f t="shared" si="69"/>
        <v/>
      </c>
      <c r="K520" s="49"/>
      <c r="L520" s="30"/>
      <c r="M520" s="31"/>
      <c r="N520" s="33"/>
      <c r="O520" s="31"/>
      <c r="P520" s="29" t="str">
        <f t="shared" si="70"/>
        <v/>
      </c>
      <c r="Q520" s="29" t="str">
        <f t="shared" si="71"/>
        <v/>
      </c>
      <c r="R520" s="33"/>
    </row>
    <row r="521" spans="1:18" x14ac:dyDescent="0.25">
      <c r="A521" s="31"/>
      <c r="B521" s="34" t="str">
        <f t="shared" si="64"/>
        <v/>
      </c>
      <c r="C521" s="30"/>
      <c r="D521" s="10"/>
      <c r="E521" s="30"/>
      <c r="F521" s="36" t="str">
        <f t="shared" si="65"/>
        <v/>
      </c>
      <c r="G521" s="36" t="str">
        <f t="shared" si="66"/>
        <v/>
      </c>
      <c r="H521" s="36" t="str">
        <f t="shared" si="67"/>
        <v/>
      </c>
      <c r="I521" s="34" t="str">
        <f t="shared" si="68"/>
        <v/>
      </c>
      <c r="J521" s="35" t="str">
        <f t="shared" si="69"/>
        <v/>
      </c>
      <c r="K521" s="49"/>
      <c r="L521" s="30"/>
      <c r="M521" s="31"/>
      <c r="N521" s="33"/>
      <c r="O521" s="31"/>
      <c r="P521" s="29" t="str">
        <f t="shared" si="70"/>
        <v/>
      </c>
      <c r="Q521" s="29" t="str">
        <f t="shared" si="71"/>
        <v/>
      </c>
      <c r="R521" s="33"/>
    </row>
    <row r="522" spans="1:18" x14ac:dyDescent="0.25">
      <c r="A522" s="31"/>
      <c r="B522" s="34" t="str">
        <f t="shared" si="64"/>
        <v/>
      </c>
      <c r="C522" s="30"/>
      <c r="D522" s="10"/>
      <c r="E522" s="30"/>
      <c r="F522" s="36" t="str">
        <f t="shared" si="65"/>
        <v/>
      </c>
      <c r="G522" s="36" t="str">
        <f t="shared" si="66"/>
        <v/>
      </c>
      <c r="H522" s="36" t="str">
        <f t="shared" si="67"/>
        <v/>
      </c>
      <c r="I522" s="34" t="str">
        <f t="shared" si="68"/>
        <v/>
      </c>
      <c r="J522" s="35" t="str">
        <f t="shared" si="69"/>
        <v/>
      </c>
      <c r="K522" s="49"/>
      <c r="L522" s="30"/>
      <c r="M522" s="31"/>
      <c r="N522" s="33"/>
      <c r="O522" s="31"/>
      <c r="P522" s="29" t="str">
        <f t="shared" si="70"/>
        <v/>
      </c>
      <c r="Q522" s="29" t="str">
        <f t="shared" si="71"/>
        <v/>
      </c>
      <c r="R522" s="33"/>
    </row>
    <row r="523" spans="1:18" x14ac:dyDescent="0.25">
      <c r="A523" s="31"/>
      <c r="B523" s="34" t="str">
        <f t="shared" si="64"/>
        <v/>
      </c>
      <c r="C523" s="30"/>
      <c r="D523" s="10"/>
      <c r="E523" s="30"/>
      <c r="F523" s="36" t="str">
        <f t="shared" si="65"/>
        <v/>
      </c>
      <c r="G523" s="36" t="str">
        <f t="shared" si="66"/>
        <v/>
      </c>
      <c r="H523" s="36" t="str">
        <f t="shared" si="67"/>
        <v/>
      </c>
      <c r="I523" s="34" t="str">
        <f t="shared" si="68"/>
        <v/>
      </c>
      <c r="J523" s="35" t="str">
        <f t="shared" si="69"/>
        <v/>
      </c>
      <c r="K523" s="49"/>
      <c r="L523" s="30"/>
      <c r="M523" s="31"/>
      <c r="N523" s="33"/>
      <c r="O523" s="31"/>
      <c r="P523" s="29" t="str">
        <f t="shared" si="70"/>
        <v/>
      </c>
      <c r="Q523" s="29" t="str">
        <f t="shared" si="71"/>
        <v/>
      </c>
      <c r="R523" s="33"/>
    </row>
    <row r="524" spans="1:18" x14ac:dyDescent="0.25">
      <c r="A524" s="31"/>
      <c r="B524" s="34" t="str">
        <f t="shared" si="64"/>
        <v/>
      </c>
      <c r="C524" s="30"/>
      <c r="D524" s="10"/>
      <c r="E524" s="30"/>
      <c r="F524" s="36" t="str">
        <f t="shared" si="65"/>
        <v/>
      </c>
      <c r="G524" s="36" t="str">
        <f t="shared" si="66"/>
        <v/>
      </c>
      <c r="H524" s="36" t="str">
        <f t="shared" si="67"/>
        <v/>
      </c>
      <c r="I524" s="34" t="str">
        <f t="shared" si="68"/>
        <v/>
      </c>
      <c r="J524" s="35" t="str">
        <f t="shared" si="69"/>
        <v/>
      </c>
      <c r="K524" s="49"/>
      <c r="L524" s="30"/>
      <c r="M524" s="31"/>
      <c r="N524" s="33"/>
      <c r="O524" s="31"/>
      <c r="P524" s="29" t="str">
        <f t="shared" si="70"/>
        <v/>
      </c>
      <c r="Q524" s="29" t="str">
        <f t="shared" si="71"/>
        <v/>
      </c>
      <c r="R524" s="33"/>
    </row>
    <row r="525" spans="1:18" x14ac:dyDescent="0.25">
      <c r="A525" s="31"/>
      <c r="B525" s="34" t="str">
        <f t="shared" si="64"/>
        <v/>
      </c>
      <c r="C525" s="30"/>
      <c r="D525" s="10"/>
      <c r="E525" s="30"/>
      <c r="F525" s="36" t="str">
        <f t="shared" si="65"/>
        <v/>
      </c>
      <c r="G525" s="36" t="str">
        <f t="shared" si="66"/>
        <v/>
      </c>
      <c r="H525" s="36" t="str">
        <f t="shared" si="67"/>
        <v/>
      </c>
      <c r="I525" s="34" t="str">
        <f t="shared" si="68"/>
        <v/>
      </c>
      <c r="J525" s="35" t="str">
        <f t="shared" si="69"/>
        <v/>
      </c>
      <c r="K525" s="49"/>
      <c r="L525" s="30"/>
      <c r="M525" s="31"/>
      <c r="N525" s="33"/>
      <c r="O525" s="31"/>
      <c r="P525" s="29" t="str">
        <f t="shared" si="70"/>
        <v/>
      </c>
      <c r="Q525" s="29" t="str">
        <f t="shared" si="71"/>
        <v/>
      </c>
      <c r="R525" s="33"/>
    </row>
    <row r="526" spans="1:18" x14ac:dyDescent="0.25">
      <c r="A526" s="31"/>
      <c r="B526" s="34" t="str">
        <f t="shared" si="64"/>
        <v/>
      </c>
      <c r="C526" s="30"/>
      <c r="D526" s="10"/>
      <c r="E526" s="30"/>
      <c r="F526" s="36" t="str">
        <f t="shared" si="65"/>
        <v/>
      </c>
      <c r="G526" s="36" t="str">
        <f t="shared" si="66"/>
        <v/>
      </c>
      <c r="H526" s="36" t="str">
        <f t="shared" si="67"/>
        <v/>
      </c>
      <c r="I526" s="34" t="str">
        <f t="shared" si="68"/>
        <v/>
      </c>
      <c r="J526" s="35" t="str">
        <f t="shared" si="69"/>
        <v/>
      </c>
      <c r="K526" s="49"/>
      <c r="L526" s="30"/>
      <c r="M526" s="31"/>
      <c r="N526" s="33"/>
      <c r="O526" s="31"/>
      <c r="P526" s="29" t="str">
        <f t="shared" si="70"/>
        <v/>
      </c>
      <c r="Q526" s="29" t="str">
        <f t="shared" si="71"/>
        <v/>
      </c>
      <c r="R526" s="33"/>
    </row>
    <row r="527" spans="1:18" x14ac:dyDescent="0.25">
      <c r="A527" s="31"/>
      <c r="B527" s="34" t="str">
        <f t="shared" si="64"/>
        <v/>
      </c>
      <c r="C527" s="30"/>
      <c r="D527" s="10"/>
      <c r="E527" s="30"/>
      <c r="F527" s="36" t="str">
        <f t="shared" si="65"/>
        <v/>
      </c>
      <c r="G527" s="36" t="str">
        <f t="shared" si="66"/>
        <v/>
      </c>
      <c r="H527" s="36" t="str">
        <f t="shared" si="67"/>
        <v/>
      </c>
      <c r="I527" s="34" t="str">
        <f t="shared" si="68"/>
        <v/>
      </c>
      <c r="J527" s="35" t="str">
        <f t="shared" si="69"/>
        <v/>
      </c>
      <c r="K527" s="49"/>
      <c r="L527" s="30"/>
      <c r="M527" s="31"/>
      <c r="N527" s="33"/>
      <c r="O527" s="31"/>
      <c r="P527" s="29" t="str">
        <f t="shared" si="70"/>
        <v/>
      </c>
      <c r="Q527" s="29" t="str">
        <f t="shared" si="71"/>
        <v/>
      </c>
      <c r="R527" s="33"/>
    </row>
    <row r="528" spans="1:18" x14ac:dyDescent="0.25">
      <c r="A528" s="31"/>
      <c r="B528" s="34" t="str">
        <f t="shared" si="64"/>
        <v/>
      </c>
      <c r="C528" s="30"/>
      <c r="D528" s="10"/>
      <c r="E528" s="30"/>
      <c r="F528" s="36" t="str">
        <f t="shared" si="65"/>
        <v/>
      </c>
      <c r="G528" s="36" t="str">
        <f t="shared" si="66"/>
        <v/>
      </c>
      <c r="H528" s="36" t="str">
        <f t="shared" si="67"/>
        <v/>
      </c>
      <c r="I528" s="34" t="str">
        <f t="shared" si="68"/>
        <v/>
      </c>
      <c r="J528" s="35" t="str">
        <f t="shared" si="69"/>
        <v/>
      </c>
      <c r="K528" s="49"/>
      <c r="L528" s="30"/>
      <c r="M528" s="31"/>
      <c r="N528" s="33"/>
      <c r="O528" s="31"/>
      <c r="P528" s="29" t="str">
        <f t="shared" si="70"/>
        <v/>
      </c>
      <c r="Q528" s="29" t="str">
        <f t="shared" si="71"/>
        <v/>
      </c>
      <c r="R528" s="33"/>
    </row>
    <row r="529" spans="1:18" x14ac:dyDescent="0.25">
      <c r="A529" s="31"/>
      <c r="B529" s="34" t="str">
        <f t="shared" si="64"/>
        <v/>
      </c>
      <c r="C529" s="30"/>
      <c r="D529" s="10"/>
      <c r="E529" s="30"/>
      <c r="F529" s="36" t="str">
        <f t="shared" si="65"/>
        <v/>
      </c>
      <c r="G529" s="36" t="str">
        <f t="shared" si="66"/>
        <v/>
      </c>
      <c r="H529" s="36" t="str">
        <f t="shared" si="67"/>
        <v/>
      </c>
      <c r="I529" s="34" t="str">
        <f t="shared" si="68"/>
        <v/>
      </c>
      <c r="J529" s="35" t="str">
        <f t="shared" si="69"/>
        <v/>
      </c>
      <c r="K529" s="49"/>
      <c r="L529" s="30"/>
      <c r="M529" s="31"/>
      <c r="N529" s="33"/>
      <c r="O529" s="31"/>
      <c r="P529" s="29" t="str">
        <f t="shared" si="70"/>
        <v/>
      </c>
      <c r="Q529" s="29" t="str">
        <f t="shared" si="71"/>
        <v/>
      </c>
      <c r="R529" s="33"/>
    </row>
    <row r="530" spans="1:18" x14ac:dyDescent="0.25">
      <c r="A530" s="31"/>
      <c r="B530" s="34" t="str">
        <f t="shared" si="64"/>
        <v/>
      </c>
      <c r="C530" s="30"/>
      <c r="D530" s="10"/>
      <c r="E530" s="30"/>
      <c r="F530" s="36" t="str">
        <f t="shared" si="65"/>
        <v/>
      </c>
      <c r="G530" s="36" t="str">
        <f t="shared" si="66"/>
        <v/>
      </c>
      <c r="H530" s="36" t="str">
        <f t="shared" si="67"/>
        <v/>
      </c>
      <c r="I530" s="34" t="str">
        <f t="shared" si="68"/>
        <v/>
      </c>
      <c r="J530" s="35" t="str">
        <f t="shared" si="69"/>
        <v/>
      </c>
      <c r="K530" s="49"/>
      <c r="L530" s="30"/>
      <c r="M530" s="31"/>
      <c r="N530" s="33"/>
      <c r="O530" s="31"/>
      <c r="P530" s="29" t="str">
        <f t="shared" si="70"/>
        <v/>
      </c>
      <c r="Q530" s="29" t="str">
        <f t="shared" si="71"/>
        <v/>
      </c>
      <c r="R530" s="33"/>
    </row>
    <row r="531" spans="1:18" x14ac:dyDescent="0.25">
      <c r="A531" s="31"/>
      <c r="B531" s="34" t="str">
        <f t="shared" si="64"/>
        <v/>
      </c>
      <c r="C531" s="30"/>
      <c r="D531" s="10"/>
      <c r="E531" s="30"/>
      <c r="F531" s="36" t="str">
        <f t="shared" si="65"/>
        <v/>
      </c>
      <c r="G531" s="36" t="str">
        <f t="shared" si="66"/>
        <v/>
      </c>
      <c r="H531" s="36" t="str">
        <f t="shared" si="67"/>
        <v/>
      </c>
      <c r="I531" s="34" t="str">
        <f t="shared" si="68"/>
        <v/>
      </c>
      <c r="J531" s="35" t="str">
        <f t="shared" si="69"/>
        <v/>
      </c>
      <c r="K531" s="49"/>
      <c r="L531" s="30"/>
      <c r="M531" s="31"/>
      <c r="N531" s="33"/>
      <c r="O531" s="31"/>
      <c r="P531" s="29" t="str">
        <f t="shared" si="70"/>
        <v/>
      </c>
      <c r="Q531" s="29" t="str">
        <f t="shared" si="71"/>
        <v/>
      </c>
      <c r="R531" s="33"/>
    </row>
    <row r="532" spans="1:18" x14ac:dyDescent="0.25">
      <c r="A532" s="31"/>
      <c r="B532" s="34" t="str">
        <f t="shared" si="64"/>
        <v/>
      </c>
      <c r="C532" s="30"/>
      <c r="D532" s="10"/>
      <c r="E532" s="30"/>
      <c r="F532" s="36" t="str">
        <f t="shared" si="65"/>
        <v/>
      </c>
      <c r="G532" s="36" t="str">
        <f t="shared" si="66"/>
        <v/>
      </c>
      <c r="H532" s="36" t="str">
        <f t="shared" si="67"/>
        <v/>
      </c>
      <c r="I532" s="34" t="str">
        <f t="shared" si="68"/>
        <v/>
      </c>
      <c r="J532" s="35" t="str">
        <f t="shared" si="69"/>
        <v/>
      </c>
      <c r="K532" s="49"/>
      <c r="L532" s="30"/>
      <c r="M532" s="31"/>
      <c r="N532" s="33"/>
      <c r="O532" s="31"/>
      <c r="P532" s="29" t="str">
        <f t="shared" si="70"/>
        <v/>
      </c>
      <c r="Q532" s="29" t="str">
        <f t="shared" si="71"/>
        <v/>
      </c>
      <c r="R532" s="33"/>
    </row>
    <row r="533" spans="1:18" x14ac:dyDescent="0.25">
      <c r="A533" s="31"/>
      <c r="B533" s="34" t="str">
        <f t="shared" si="64"/>
        <v/>
      </c>
      <c r="C533" s="30"/>
      <c r="D533" s="10"/>
      <c r="E533" s="30"/>
      <c r="F533" s="36" t="str">
        <f t="shared" si="65"/>
        <v/>
      </c>
      <c r="G533" s="36" t="str">
        <f t="shared" si="66"/>
        <v/>
      </c>
      <c r="H533" s="36" t="str">
        <f t="shared" si="67"/>
        <v/>
      </c>
      <c r="I533" s="34" t="str">
        <f t="shared" si="68"/>
        <v/>
      </c>
      <c r="J533" s="35" t="str">
        <f t="shared" si="69"/>
        <v/>
      </c>
      <c r="K533" s="49"/>
      <c r="L533" s="30"/>
      <c r="M533" s="31"/>
      <c r="N533" s="33"/>
      <c r="O533" s="31"/>
      <c r="P533" s="29" t="str">
        <f t="shared" si="70"/>
        <v/>
      </c>
      <c r="Q533" s="29" t="str">
        <f t="shared" si="71"/>
        <v/>
      </c>
      <c r="R533" s="33"/>
    </row>
    <row r="534" spans="1:18" x14ac:dyDescent="0.25">
      <c r="A534" s="31"/>
      <c r="B534" s="34" t="str">
        <f t="shared" si="64"/>
        <v/>
      </c>
      <c r="C534" s="30"/>
      <c r="D534" s="10"/>
      <c r="E534" s="30"/>
      <c r="F534" s="36" t="str">
        <f t="shared" si="65"/>
        <v/>
      </c>
      <c r="G534" s="36" t="str">
        <f t="shared" si="66"/>
        <v/>
      </c>
      <c r="H534" s="36" t="str">
        <f t="shared" si="67"/>
        <v/>
      </c>
      <c r="I534" s="34" t="str">
        <f t="shared" si="68"/>
        <v/>
      </c>
      <c r="J534" s="35" t="str">
        <f t="shared" si="69"/>
        <v/>
      </c>
      <c r="K534" s="49"/>
      <c r="L534" s="30"/>
      <c r="M534" s="31"/>
      <c r="N534" s="33"/>
      <c r="O534" s="31"/>
      <c r="P534" s="29" t="str">
        <f t="shared" si="70"/>
        <v/>
      </c>
      <c r="Q534" s="29" t="str">
        <f t="shared" si="71"/>
        <v/>
      </c>
      <c r="R534" s="33"/>
    </row>
    <row r="535" spans="1:18" x14ac:dyDescent="0.25">
      <c r="A535" s="31"/>
      <c r="B535" s="34" t="str">
        <f t="shared" si="64"/>
        <v/>
      </c>
      <c r="C535" s="30"/>
      <c r="D535" s="10"/>
      <c r="E535" s="30"/>
      <c r="F535" s="36" t="str">
        <f t="shared" si="65"/>
        <v/>
      </c>
      <c r="G535" s="36" t="str">
        <f t="shared" si="66"/>
        <v/>
      </c>
      <c r="H535" s="36" t="str">
        <f t="shared" si="67"/>
        <v/>
      </c>
      <c r="I535" s="34" t="str">
        <f t="shared" si="68"/>
        <v/>
      </c>
      <c r="J535" s="35" t="str">
        <f t="shared" si="69"/>
        <v/>
      </c>
      <c r="K535" s="49"/>
      <c r="L535" s="30"/>
      <c r="M535" s="31"/>
      <c r="N535" s="33"/>
      <c r="O535" s="31"/>
      <c r="P535" s="29" t="str">
        <f t="shared" si="70"/>
        <v/>
      </c>
      <c r="Q535" s="29" t="str">
        <f t="shared" si="71"/>
        <v/>
      </c>
      <c r="R535" s="33"/>
    </row>
    <row r="536" spans="1:18" x14ac:dyDescent="0.25">
      <c r="A536" s="31"/>
      <c r="B536" s="34" t="str">
        <f t="shared" si="64"/>
        <v/>
      </c>
      <c r="C536" s="30"/>
      <c r="D536" s="10"/>
      <c r="E536" s="30"/>
      <c r="F536" s="36" t="str">
        <f t="shared" si="65"/>
        <v/>
      </c>
      <c r="G536" s="36" t="str">
        <f t="shared" si="66"/>
        <v/>
      </c>
      <c r="H536" s="36" t="str">
        <f t="shared" si="67"/>
        <v/>
      </c>
      <c r="I536" s="34" t="str">
        <f t="shared" si="68"/>
        <v/>
      </c>
      <c r="J536" s="35" t="str">
        <f t="shared" si="69"/>
        <v/>
      </c>
      <c r="K536" s="49"/>
      <c r="L536" s="30"/>
      <c r="M536" s="31"/>
      <c r="N536" s="33"/>
      <c r="O536" s="31"/>
      <c r="P536" s="29" t="str">
        <f t="shared" si="70"/>
        <v/>
      </c>
      <c r="Q536" s="29" t="str">
        <f t="shared" si="71"/>
        <v/>
      </c>
      <c r="R536" s="33"/>
    </row>
    <row r="537" spans="1:18" x14ac:dyDescent="0.25">
      <c r="A537" s="31"/>
      <c r="B537" s="34" t="str">
        <f t="shared" si="64"/>
        <v/>
      </c>
      <c r="C537" s="30"/>
      <c r="D537" s="10"/>
      <c r="E537" s="30"/>
      <c r="F537" s="36" t="str">
        <f t="shared" si="65"/>
        <v/>
      </c>
      <c r="G537" s="36" t="str">
        <f t="shared" si="66"/>
        <v/>
      </c>
      <c r="H537" s="36" t="str">
        <f t="shared" si="67"/>
        <v/>
      </c>
      <c r="I537" s="34" t="str">
        <f t="shared" si="68"/>
        <v/>
      </c>
      <c r="J537" s="35" t="str">
        <f t="shared" si="69"/>
        <v/>
      </c>
      <c r="K537" s="49"/>
      <c r="L537" s="30"/>
      <c r="M537" s="31"/>
      <c r="N537" s="33"/>
      <c r="O537" s="31"/>
      <c r="P537" s="29" t="str">
        <f t="shared" si="70"/>
        <v/>
      </c>
      <c r="Q537" s="29" t="str">
        <f t="shared" si="71"/>
        <v/>
      </c>
      <c r="R537" s="33"/>
    </row>
    <row r="538" spans="1:18" x14ac:dyDescent="0.25">
      <c r="A538" s="31"/>
      <c r="B538" s="34" t="str">
        <f t="shared" si="64"/>
        <v/>
      </c>
      <c r="C538" s="30"/>
      <c r="D538" s="10"/>
      <c r="E538" s="30"/>
      <c r="F538" s="36" t="str">
        <f t="shared" si="65"/>
        <v/>
      </c>
      <c r="G538" s="36" t="str">
        <f t="shared" si="66"/>
        <v/>
      </c>
      <c r="H538" s="36" t="str">
        <f t="shared" si="67"/>
        <v/>
      </c>
      <c r="I538" s="34" t="str">
        <f t="shared" si="68"/>
        <v/>
      </c>
      <c r="J538" s="35" t="str">
        <f t="shared" si="69"/>
        <v/>
      </c>
      <c r="K538" s="49"/>
      <c r="L538" s="30"/>
      <c r="M538" s="31"/>
      <c r="N538" s="33"/>
      <c r="O538" s="31"/>
      <c r="P538" s="29" t="str">
        <f t="shared" si="70"/>
        <v/>
      </c>
      <c r="Q538" s="29" t="str">
        <f t="shared" si="71"/>
        <v/>
      </c>
      <c r="R538" s="33"/>
    </row>
    <row r="539" spans="1:18" x14ac:dyDescent="0.25">
      <c r="A539" s="31"/>
      <c r="B539" s="34" t="str">
        <f t="shared" si="64"/>
        <v/>
      </c>
      <c r="C539" s="30"/>
      <c r="D539" s="10"/>
      <c r="E539" s="30"/>
      <c r="F539" s="36" t="str">
        <f t="shared" si="65"/>
        <v/>
      </c>
      <c r="G539" s="36" t="str">
        <f t="shared" si="66"/>
        <v/>
      </c>
      <c r="H539" s="36" t="str">
        <f t="shared" si="67"/>
        <v/>
      </c>
      <c r="I539" s="34" t="str">
        <f t="shared" si="68"/>
        <v/>
      </c>
      <c r="J539" s="35" t="str">
        <f t="shared" si="69"/>
        <v/>
      </c>
      <c r="K539" s="49"/>
      <c r="L539" s="30"/>
      <c r="M539" s="31"/>
      <c r="N539" s="33"/>
      <c r="O539" s="31"/>
      <c r="P539" s="29" t="str">
        <f t="shared" si="70"/>
        <v/>
      </c>
      <c r="Q539" s="29" t="str">
        <f t="shared" si="71"/>
        <v/>
      </c>
      <c r="R539" s="33"/>
    </row>
    <row r="540" spans="1:18" x14ac:dyDescent="0.25">
      <c r="A540" s="31"/>
      <c r="B540" s="34" t="str">
        <f t="shared" si="64"/>
        <v/>
      </c>
      <c r="C540" s="30"/>
      <c r="D540" s="10"/>
      <c r="E540" s="30"/>
      <c r="F540" s="36" t="str">
        <f t="shared" si="65"/>
        <v/>
      </c>
      <c r="G540" s="36" t="str">
        <f t="shared" si="66"/>
        <v/>
      </c>
      <c r="H540" s="36" t="str">
        <f t="shared" si="67"/>
        <v/>
      </c>
      <c r="I540" s="34" t="str">
        <f t="shared" si="68"/>
        <v/>
      </c>
      <c r="J540" s="35" t="str">
        <f t="shared" si="69"/>
        <v/>
      </c>
      <c r="K540" s="49"/>
      <c r="L540" s="30"/>
      <c r="M540" s="31"/>
      <c r="N540" s="33"/>
      <c r="O540" s="31"/>
      <c r="P540" s="29" t="str">
        <f t="shared" si="70"/>
        <v/>
      </c>
      <c r="Q540" s="29" t="str">
        <f t="shared" si="71"/>
        <v/>
      </c>
      <c r="R540" s="33"/>
    </row>
    <row r="541" spans="1:18" x14ac:dyDescent="0.25">
      <c r="A541" s="31"/>
      <c r="B541" s="34" t="str">
        <f t="shared" si="64"/>
        <v/>
      </c>
      <c r="C541" s="30"/>
      <c r="D541" s="10"/>
      <c r="E541" s="30"/>
      <c r="F541" s="36" t="str">
        <f t="shared" si="65"/>
        <v/>
      </c>
      <c r="G541" s="36" t="str">
        <f t="shared" si="66"/>
        <v/>
      </c>
      <c r="H541" s="36" t="str">
        <f t="shared" si="67"/>
        <v/>
      </c>
      <c r="I541" s="34" t="str">
        <f t="shared" si="68"/>
        <v/>
      </c>
      <c r="J541" s="35" t="str">
        <f t="shared" si="69"/>
        <v/>
      </c>
      <c r="K541" s="49"/>
      <c r="L541" s="30"/>
      <c r="M541" s="31"/>
      <c r="N541" s="33"/>
      <c r="O541" s="31"/>
      <c r="P541" s="29" t="str">
        <f t="shared" si="70"/>
        <v/>
      </c>
      <c r="Q541" s="29" t="str">
        <f t="shared" si="71"/>
        <v/>
      </c>
      <c r="R541" s="33"/>
    </row>
    <row r="542" spans="1:18" x14ac:dyDescent="0.25">
      <c r="A542" s="31"/>
      <c r="B542" s="34" t="str">
        <f t="shared" si="64"/>
        <v/>
      </c>
      <c r="C542" s="30"/>
      <c r="D542" s="10"/>
      <c r="E542" s="30"/>
      <c r="F542" s="36" t="str">
        <f t="shared" si="65"/>
        <v/>
      </c>
      <c r="G542" s="36" t="str">
        <f t="shared" si="66"/>
        <v/>
      </c>
      <c r="H542" s="36" t="str">
        <f t="shared" si="67"/>
        <v/>
      </c>
      <c r="I542" s="34" t="str">
        <f t="shared" si="68"/>
        <v/>
      </c>
      <c r="J542" s="35" t="str">
        <f t="shared" si="69"/>
        <v/>
      </c>
      <c r="K542" s="49"/>
      <c r="L542" s="30"/>
      <c r="M542" s="31"/>
      <c r="N542" s="33"/>
      <c r="O542" s="31"/>
      <c r="P542" s="29" t="str">
        <f t="shared" si="70"/>
        <v/>
      </c>
      <c r="Q542" s="29" t="str">
        <f t="shared" si="71"/>
        <v/>
      </c>
      <c r="R542" s="33"/>
    </row>
    <row r="543" spans="1:18" x14ac:dyDescent="0.25">
      <c r="A543" s="31"/>
      <c r="B543" s="34" t="str">
        <f t="shared" si="64"/>
        <v/>
      </c>
      <c r="C543" s="30"/>
      <c r="D543" s="10"/>
      <c r="E543" s="30"/>
      <c r="F543" s="36" t="str">
        <f t="shared" si="65"/>
        <v/>
      </c>
      <c r="G543" s="36" t="str">
        <f t="shared" si="66"/>
        <v/>
      </c>
      <c r="H543" s="36" t="str">
        <f t="shared" si="67"/>
        <v/>
      </c>
      <c r="I543" s="34" t="str">
        <f t="shared" si="68"/>
        <v/>
      </c>
      <c r="J543" s="35" t="str">
        <f t="shared" si="69"/>
        <v/>
      </c>
      <c r="K543" s="49"/>
      <c r="L543" s="30"/>
      <c r="M543" s="31"/>
      <c r="N543" s="33"/>
      <c r="O543" s="31"/>
      <c r="P543" s="29" t="str">
        <f t="shared" si="70"/>
        <v/>
      </c>
      <c r="Q543" s="29" t="str">
        <f t="shared" si="71"/>
        <v/>
      </c>
      <c r="R543" s="33"/>
    </row>
    <row r="544" spans="1:18" x14ac:dyDescent="0.25">
      <c r="A544" s="31"/>
      <c r="B544" s="34" t="str">
        <f t="shared" si="64"/>
        <v/>
      </c>
      <c r="C544" s="30"/>
      <c r="D544" s="10"/>
      <c r="E544" s="30"/>
      <c r="F544" s="36" t="str">
        <f t="shared" si="65"/>
        <v/>
      </c>
      <c r="G544" s="36" t="str">
        <f t="shared" si="66"/>
        <v/>
      </c>
      <c r="H544" s="36" t="str">
        <f t="shared" si="67"/>
        <v/>
      </c>
      <c r="I544" s="34" t="str">
        <f t="shared" si="68"/>
        <v/>
      </c>
      <c r="J544" s="35" t="str">
        <f t="shared" si="69"/>
        <v/>
      </c>
      <c r="K544" s="49"/>
      <c r="L544" s="30"/>
      <c r="M544" s="31"/>
      <c r="N544" s="33"/>
      <c r="O544" s="31"/>
      <c r="P544" s="29" t="str">
        <f t="shared" si="70"/>
        <v/>
      </c>
      <c r="Q544" s="29" t="str">
        <f t="shared" si="71"/>
        <v/>
      </c>
      <c r="R544" s="33"/>
    </row>
    <row r="545" spans="1:18" x14ac:dyDescent="0.25">
      <c r="A545" s="31"/>
      <c r="B545" s="34" t="str">
        <f t="shared" si="64"/>
        <v/>
      </c>
      <c r="C545" s="30"/>
      <c r="D545" s="10"/>
      <c r="E545" s="30"/>
      <c r="F545" s="36" t="str">
        <f t="shared" si="65"/>
        <v/>
      </c>
      <c r="G545" s="36" t="str">
        <f t="shared" si="66"/>
        <v/>
      </c>
      <c r="H545" s="36" t="str">
        <f t="shared" si="67"/>
        <v/>
      </c>
      <c r="I545" s="34" t="str">
        <f t="shared" si="68"/>
        <v/>
      </c>
      <c r="J545" s="35" t="str">
        <f t="shared" si="69"/>
        <v/>
      </c>
      <c r="K545" s="49"/>
      <c r="L545" s="30"/>
      <c r="M545" s="31"/>
      <c r="N545" s="33"/>
      <c r="O545" s="31"/>
      <c r="P545" s="29" t="str">
        <f t="shared" si="70"/>
        <v/>
      </c>
      <c r="Q545" s="29" t="str">
        <f t="shared" si="71"/>
        <v/>
      </c>
      <c r="R545" s="33"/>
    </row>
    <row r="546" spans="1:18" x14ac:dyDescent="0.25">
      <c r="A546" s="31"/>
      <c r="B546" s="34" t="str">
        <f t="shared" si="64"/>
        <v/>
      </c>
      <c r="C546" s="30"/>
      <c r="D546" s="10"/>
      <c r="E546" s="30"/>
      <c r="F546" s="36" t="str">
        <f t="shared" si="65"/>
        <v/>
      </c>
      <c r="G546" s="36" t="str">
        <f t="shared" si="66"/>
        <v/>
      </c>
      <c r="H546" s="36" t="str">
        <f t="shared" si="67"/>
        <v/>
      </c>
      <c r="I546" s="34" t="str">
        <f t="shared" si="68"/>
        <v/>
      </c>
      <c r="J546" s="35" t="str">
        <f t="shared" si="69"/>
        <v/>
      </c>
      <c r="K546" s="49"/>
      <c r="L546" s="30"/>
      <c r="M546" s="31"/>
      <c r="N546" s="33"/>
      <c r="O546" s="31"/>
      <c r="P546" s="29" t="str">
        <f t="shared" si="70"/>
        <v/>
      </c>
      <c r="Q546" s="29" t="str">
        <f t="shared" si="71"/>
        <v/>
      </c>
      <c r="R546" s="33"/>
    </row>
    <row r="547" spans="1:18" x14ac:dyDescent="0.25">
      <c r="A547" s="31"/>
      <c r="B547" s="34" t="str">
        <f t="shared" si="64"/>
        <v/>
      </c>
      <c r="C547" s="30"/>
      <c r="D547" s="10"/>
      <c r="E547" s="30"/>
      <c r="F547" s="36" t="str">
        <f t="shared" si="65"/>
        <v/>
      </c>
      <c r="G547" s="36" t="str">
        <f t="shared" si="66"/>
        <v/>
      </c>
      <c r="H547" s="36" t="str">
        <f t="shared" si="67"/>
        <v/>
      </c>
      <c r="I547" s="34" t="str">
        <f t="shared" si="68"/>
        <v/>
      </c>
      <c r="J547" s="35" t="str">
        <f t="shared" si="69"/>
        <v/>
      </c>
      <c r="K547" s="49"/>
      <c r="L547" s="30"/>
      <c r="M547" s="31"/>
      <c r="N547" s="33"/>
      <c r="O547" s="31"/>
      <c r="P547" s="29" t="str">
        <f t="shared" si="70"/>
        <v/>
      </c>
      <c r="Q547" s="29" t="str">
        <f t="shared" si="71"/>
        <v/>
      </c>
      <c r="R547" s="33"/>
    </row>
    <row r="548" spans="1:18" x14ac:dyDescent="0.25">
      <c r="A548" s="31"/>
      <c r="B548" s="34" t="str">
        <f t="shared" si="64"/>
        <v/>
      </c>
      <c r="C548" s="30"/>
      <c r="D548" s="10"/>
      <c r="E548" s="30"/>
      <c r="F548" s="36" t="str">
        <f t="shared" si="65"/>
        <v/>
      </c>
      <c r="G548" s="36" t="str">
        <f t="shared" si="66"/>
        <v/>
      </c>
      <c r="H548" s="36" t="str">
        <f t="shared" si="67"/>
        <v/>
      </c>
      <c r="I548" s="34" t="str">
        <f t="shared" si="68"/>
        <v/>
      </c>
      <c r="J548" s="35" t="str">
        <f t="shared" si="69"/>
        <v/>
      </c>
      <c r="K548" s="49"/>
      <c r="L548" s="30"/>
      <c r="M548" s="31"/>
      <c r="N548" s="33"/>
      <c r="O548" s="31"/>
      <c r="P548" s="29" t="str">
        <f t="shared" si="70"/>
        <v/>
      </c>
      <c r="Q548" s="29" t="str">
        <f t="shared" si="71"/>
        <v/>
      </c>
      <c r="R548" s="33"/>
    </row>
    <row r="549" spans="1:18" x14ac:dyDescent="0.25">
      <c r="A549" s="31"/>
      <c r="B549" s="34" t="str">
        <f t="shared" si="64"/>
        <v/>
      </c>
      <c r="C549" s="30"/>
      <c r="D549" s="10"/>
      <c r="E549" s="30"/>
      <c r="F549" s="36" t="str">
        <f t="shared" si="65"/>
        <v/>
      </c>
      <c r="G549" s="36" t="str">
        <f t="shared" si="66"/>
        <v/>
      </c>
      <c r="H549" s="36" t="str">
        <f t="shared" si="67"/>
        <v/>
      </c>
      <c r="I549" s="34" t="str">
        <f t="shared" si="68"/>
        <v/>
      </c>
      <c r="J549" s="35" t="str">
        <f t="shared" si="69"/>
        <v/>
      </c>
      <c r="K549" s="49"/>
      <c r="L549" s="30"/>
      <c r="M549" s="31"/>
      <c r="N549" s="33"/>
      <c r="O549" s="31"/>
      <c r="P549" s="29" t="str">
        <f t="shared" si="70"/>
        <v/>
      </c>
      <c r="Q549" s="29" t="str">
        <f t="shared" si="71"/>
        <v/>
      </c>
      <c r="R549" s="33"/>
    </row>
    <row r="550" spans="1:18" x14ac:dyDescent="0.25">
      <c r="A550" s="31"/>
      <c r="B550" s="34" t="str">
        <f t="shared" si="64"/>
        <v/>
      </c>
      <c r="C550" s="30"/>
      <c r="D550" s="10"/>
      <c r="E550" s="30"/>
      <c r="F550" s="36" t="str">
        <f t="shared" si="65"/>
        <v/>
      </c>
      <c r="G550" s="36" t="str">
        <f t="shared" si="66"/>
        <v/>
      </c>
      <c r="H550" s="36" t="str">
        <f t="shared" si="67"/>
        <v/>
      </c>
      <c r="I550" s="34" t="str">
        <f t="shared" si="68"/>
        <v/>
      </c>
      <c r="J550" s="35" t="str">
        <f t="shared" si="69"/>
        <v/>
      </c>
      <c r="K550" s="49"/>
      <c r="L550" s="30"/>
      <c r="M550" s="31"/>
      <c r="N550" s="33"/>
      <c r="O550" s="31"/>
      <c r="P550" s="29" t="str">
        <f t="shared" si="70"/>
        <v/>
      </c>
      <c r="Q550" s="29" t="str">
        <f t="shared" si="71"/>
        <v/>
      </c>
      <c r="R550" s="33"/>
    </row>
    <row r="551" spans="1:18" x14ac:dyDescent="0.25">
      <c r="A551" s="31"/>
      <c r="B551" s="34" t="str">
        <f t="shared" si="64"/>
        <v/>
      </c>
      <c r="C551" s="30"/>
      <c r="D551" s="10"/>
      <c r="E551" s="30"/>
      <c r="F551" s="36" t="str">
        <f t="shared" si="65"/>
        <v/>
      </c>
      <c r="G551" s="36" t="str">
        <f t="shared" si="66"/>
        <v/>
      </c>
      <c r="H551" s="36" t="str">
        <f t="shared" si="67"/>
        <v/>
      </c>
      <c r="I551" s="34" t="str">
        <f t="shared" si="68"/>
        <v/>
      </c>
      <c r="J551" s="35" t="str">
        <f t="shared" si="69"/>
        <v/>
      </c>
      <c r="K551" s="49"/>
      <c r="L551" s="30"/>
      <c r="M551" s="31"/>
      <c r="N551" s="33"/>
      <c r="O551" s="31"/>
      <c r="P551" s="29" t="str">
        <f t="shared" si="70"/>
        <v/>
      </c>
      <c r="Q551" s="29" t="str">
        <f t="shared" si="71"/>
        <v/>
      </c>
      <c r="R551" s="33"/>
    </row>
    <row r="552" spans="1:18" x14ac:dyDescent="0.25">
      <c r="A552" s="31"/>
      <c r="B552" s="34" t="str">
        <f t="shared" si="64"/>
        <v/>
      </c>
      <c r="C552" s="30"/>
      <c r="D552" s="10"/>
      <c r="E552" s="30"/>
      <c r="F552" s="36" t="str">
        <f t="shared" si="65"/>
        <v/>
      </c>
      <c r="G552" s="36" t="str">
        <f t="shared" si="66"/>
        <v/>
      </c>
      <c r="H552" s="36" t="str">
        <f t="shared" si="67"/>
        <v/>
      </c>
      <c r="I552" s="34" t="str">
        <f t="shared" si="68"/>
        <v/>
      </c>
      <c r="J552" s="35" t="str">
        <f t="shared" si="69"/>
        <v/>
      </c>
      <c r="K552" s="49"/>
      <c r="L552" s="30"/>
      <c r="M552" s="31"/>
      <c r="N552" s="33"/>
      <c r="O552" s="31"/>
      <c r="P552" s="29" t="str">
        <f t="shared" si="70"/>
        <v/>
      </c>
      <c r="Q552" s="29" t="str">
        <f t="shared" si="71"/>
        <v/>
      </c>
      <c r="R552" s="33"/>
    </row>
    <row r="553" spans="1:18" x14ac:dyDescent="0.25">
      <c r="A553" s="31"/>
      <c r="B553" s="34" t="str">
        <f t="shared" si="64"/>
        <v/>
      </c>
      <c r="C553" s="30"/>
      <c r="D553" s="10"/>
      <c r="E553" s="30"/>
      <c r="F553" s="36" t="str">
        <f t="shared" si="65"/>
        <v/>
      </c>
      <c r="G553" s="36" t="str">
        <f t="shared" si="66"/>
        <v/>
      </c>
      <c r="H553" s="36" t="str">
        <f t="shared" si="67"/>
        <v/>
      </c>
      <c r="I553" s="34" t="str">
        <f t="shared" si="68"/>
        <v/>
      </c>
      <c r="J553" s="35" t="str">
        <f t="shared" si="69"/>
        <v/>
      </c>
      <c r="K553" s="49"/>
      <c r="L553" s="30"/>
      <c r="M553" s="31"/>
      <c r="N553" s="33"/>
      <c r="O553" s="31"/>
      <c r="P553" s="29" t="str">
        <f t="shared" si="70"/>
        <v/>
      </c>
      <c r="Q553" s="29" t="str">
        <f t="shared" si="71"/>
        <v/>
      </c>
      <c r="R553" s="33"/>
    </row>
    <row r="554" spans="1:18" x14ac:dyDescent="0.25">
      <c r="A554" s="31"/>
      <c r="B554" s="34" t="str">
        <f t="shared" si="64"/>
        <v/>
      </c>
      <c r="C554" s="30"/>
      <c r="D554" s="10"/>
      <c r="E554" s="30"/>
      <c r="F554" s="36" t="str">
        <f t="shared" si="65"/>
        <v/>
      </c>
      <c r="G554" s="36" t="str">
        <f t="shared" si="66"/>
        <v/>
      </c>
      <c r="H554" s="36" t="str">
        <f t="shared" si="67"/>
        <v/>
      </c>
      <c r="I554" s="34" t="str">
        <f t="shared" si="68"/>
        <v/>
      </c>
      <c r="J554" s="35" t="str">
        <f t="shared" si="69"/>
        <v/>
      </c>
      <c r="K554" s="49"/>
      <c r="L554" s="30"/>
      <c r="M554" s="31"/>
      <c r="N554" s="33"/>
      <c r="O554" s="31"/>
      <c r="P554" s="29" t="str">
        <f t="shared" si="70"/>
        <v/>
      </c>
      <c r="Q554" s="29" t="str">
        <f t="shared" si="71"/>
        <v/>
      </c>
      <c r="R554" s="33"/>
    </row>
    <row r="555" spans="1:18" x14ac:dyDescent="0.25">
      <c r="A555" s="31"/>
      <c r="B555" s="34" t="str">
        <f t="shared" si="64"/>
        <v/>
      </c>
      <c r="C555" s="30"/>
      <c r="D555" s="10"/>
      <c r="E555" s="30"/>
      <c r="F555" s="36" t="str">
        <f t="shared" si="65"/>
        <v/>
      </c>
      <c r="G555" s="36" t="str">
        <f t="shared" si="66"/>
        <v/>
      </c>
      <c r="H555" s="36" t="str">
        <f t="shared" si="67"/>
        <v/>
      </c>
      <c r="I555" s="34" t="str">
        <f t="shared" si="68"/>
        <v/>
      </c>
      <c r="J555" s="35" t="str">
        <f t="shared" si="69"/>
        <v/>
      </c>
      <c r="K555" s="49"/>
      <c r="L555" s="30"/>
      <c r="M555" s="31"/>
      <c r="N555" s="33"/>
      <c r="O555" s="31"/>
      <c r="P555" s="29" t="str">
        <f t="shared" si="70"/>
        <v/>
      </c>
      <c r="Q555" s="29" t="str">
        <f t="shared" si="71"/>
        <v/>
      </c>
      <c r="R555" s="33"/>
    </row>
    <row r="556" spans="1:18" x14ac:dyDescent="0.25">
      <c r="A556" s="31"/>
      <c r="B556" s="34" t="str">
        <f t="shared" si="64"/>
        <v/>
      </c>
      <c r="C556" s="30"/>
      <c r="D556" s="10"/>
      <c r="E556" s="30"/>
      <c r="F556" s="36" t="str">
        <f t="shared" si="65"/>
        <v/>
      </c>
      <c r="G556" s="36" t="str">
        <f t="shared" si="66"/>
        <v/>
      </c>
      <c r="H556" s="36" t="str">
        <f t="shared" si="67"/>
        <v/>
      </c>
      <c r="I556" s="34" t="str">
        <f t="shared" si="68"/>
        <v/>
      </c>
      <c r="J556" s="35" t="str">
        <f t="shared" si="69"/>
        <v/>
      </c>
      <c r="K556" s="49"/>
      <c r="L556" s="30"/>
      <c r="M556" s="31"/>
      <c r="N556" s="33"/>
      <c r="O556" s="31"/>
      <c r="P556" s="29" t="str">
        <f t="shared" si="70"/>
        <v/>
      </c>
      <c r="Q556" s="29" t="str">
        <f t="shared" si="71"/>
        <v/>
      </c>
      <c r="R556" s="33"/>
    </row>
    <row r="557" spans="1:18" x14ac:dyDescent="0.25">
      <c r="A557" s="31"/>
      <c r="B557" s="34" t="str">
        <f t="shared" si="64"/>
        <v/>
      </c>
      <c r="C557" s="30"/>
      <c r="D557" s="10"/>
      <c r="E557" s="30"/>
      <c r="F557" s="36" t="str">
        <f t="shared" si="65"/>
        <v/>
      </c>
      <c r="G557" s="36" t="str">
        <f t="shared" si="66"/>
        <v/>
      </c>
      <c r="H557" s="36" t="str">
        <f t="shared" si="67"/>
        <v/>
      </c>
      <c r="I557" s="34" t="str">
        <f t="shared" si="68"/>
        <v/>
      </c>
      <c r="J557" s="35" t="str">
        <f t="shared" si="69"/>
        <v/>
      </c>
      <c r="K557" s="49"/>
      <c r="L557" s="30"/>
      <c r="M557" s="31"/>
      <c r="N557" s="33"/>
      <c r="O557" s="31"/>
      <c r="P557" s="29" t="str">
        <f t="shared" si="70"/>
        <v/>
      </c>
      <c r="Q557" s="29" t="str">
        <f t="shared" si="71"/>
        <v/>
      </c>
      <c r="R557" s="33"/>
    </row>
    <row r="558" spans="1:18" x14ac:dyDescent="0.25">
      <c r="A558" s="31"/>
      <c r="B558" s="34" t="str">
        <f t="shared" si="64"/>
        <v/>
      </c>
      <c r="C558" s="30"/>
      <c r="D558" s="10"/>
      <c r="E558" s="30"/>
      <c r="F558" s="36" t="str">
        <f t="shared" si="65"/>
        <v/>
      </c>
      <c r="G558" s="36" t="str">
        <f t="shared" si="66"/>
        <v/>
      </c>
      <c r="H558" s="36" t="str">
        <f t="shared" si="67"/>
        <v/>
      </c>
      <c r="I558" s="34" t="str">
        <f t="shared" si="68"/>
        <v/>
      </c>
      <c r="J558" s="35" t="str">
        <f t="shared" si="69"/>
        <v/>
      </c>
      <c r="K558" s="49"/>
      <c r="L558" s="30"/>
      <c r="M558" s="31"/>
      <c r="N558" s="33"/>
      <c r="O558" s="31"/>
      <c r="P558" s="29" t="str">
        <f t="shared" si="70"/>
        <v/>
      </c>
      <c r="Q558" s="29" t="str">
        <f t="shared" si="71"/>
        <v/>
      </c>
      <c r="R558" s="33"/>
    </row>
    <row r="559" spans="1:18" x14ac:dyDescent="0.25">
      <c r="A559" s="31"/>
      <c r="B559" s="34" t="str">
        <f t="shared" si="64"/>
        <v/>
      </c>
      <c r="C559" s="30"/>
      <c r="D559" s="10"/>
      <c r="E559" s="30"/>
      <c r="F559" s="36" t="str">
        <f t="shared" si="65"/>
        <v/>
      </c>
      <c r="G559" s="36" t="str">
        <f t="shared" si="66"/>
        <v/>
      </c>
      <c r="H559" s="36" t="str">
        <f t="shared" si="67"/>
        <v/>
      </c>
      <c r="I559" s="34" t="str">
        <f t="shared" si="68"/>
        <v/>
      </c>
      <c r="J559" s="35" t="str">
        <f t="shared" si="69"/>
        <v/>
      </c>
      <c r="K559" s="49"/>
      <c r="L559" s="30"/>
      <c r="M559" s="31"/>
      <c r="N559" s="33"/>
      <c r="O559" s="31"/>
      <c r="P559" s="29" t="str">
        <f t="shared" si="70"/>
        <v/>
      </c>
      <c r="Q559" s="29" t="str">
        <f t="shared" si="71"/>
        <v/>
      </c>
      <c r="R559" s="33"/>
    </row>
    <row r="560" spans="1:18" x14ac:dyDescent="0.25">
      <c r="A560" s="31"/>
      <c r="B560" s="34" t="str">
        <f t="shared" si="64"/>
        <v/>
      </c>
      <c r="C560" s="30"/>
      <c r="D560" s="10"/>
      <c r="E560" s="30"/>
      <c r="F560" s="36" t="str">
        <f t="shared" si="65"/>
        <v/>
      </c>
      <c r="G560" s="36" t="str">
        <f t="shared" si="66"/>
        <v/>
      </c>
      <c r="H560" s="36" t="str">
        <f t="shared" si="67"/>
        <v/>
      </c>
      <c r="I560" s="34" t="str">
        <f t="shared" si="68"/>
        <v/>
      </c>
      <c r="J560" s="35" t="str">
        <f t="shared" si="69"/>
        <v/>
      </c>
      <c r="K560" s="49"/>
      <c r="L560" s="30"/>
      <c r="M560" s="31"/>
      <c r="N560" s="33"/>
      <c r="O560" s="31"/>
      <c r="P560" s="29" t="str">
        <f t="shared" si="70"/>
        <v/>
      </c>
      <c r="Q560" s="29" t="str">
        <f t="shared" si="71"/>
        <v/>
      </c>
      <c r="R560" s="33"/>
    </row>
    <row r="561" spans="1:18" x14ac:dyDescent="0.25">
      <c r="A561" s="31"/>
      <c r="B561" s="34" t="str">
        <f t="shared" si="64"/>
        <v/>
      </c>
      <c r="C561" s="30"/>
      <c r="D561" s="10"/>
      <c r="E561" s="30"/>
      <c r="F561" s="36" t="str">
        <f t="shared" si="65"/>
        <v/>
      </c>
      <c r="G561" s="36" t="str">
        <f t="shared" si="66"/>
        <v/>
      </c>
      <c r="H561" s="36" t="str">
        <f t="shared" si="67"/>
        <v/>
      </c>
      <c r="I561" s="34" t="str">
        <f t="shared" si="68"/>
        <v/>
      </c>
      <c r="J561" s="35" t="str">
        <f t="shared" si="69"/>
        <v/>
      </c>
      <c r="K561" s="49"/>
      <c r="L561" s="30"/>
      <c r="M561" s="31"/>
      <c r="N561" s="33"/>
      <c r="O561" s="31"/>
      <c r="P561" s="29" t="str">
        <f t="shared" si="70"/>
        <v/>
      </c>
      <c r="Q561" s="29" t="str">
        <f t="shared" si="71"/>
        <v/>
      </c>
      <c r="R561" s="33"/>
    </row>
    <row r="562" spans="1:18" x14ac:dyDescent="0.25">
      <c r="A562" s="31"/>
      <c r="B562" s="34" t="str">
        <f t="shared" si="64"/>
        <v/>
      </c>
      <c r="C562" s="30"/>
      <c r="D562" s="10"/>
      <c r="E562" s="30"/>
      <c r="F562" s="36" t="str">
        <f t="shared" si="65"/>
        <v/>
      </c>
      <c r="G562" s="36" t="str">
        <f t="shared" si="66"/>
        <v/>
      </c>
      <c r="H562" s="36" t="str">
        <f t="shared" si="67"/>
        <v/>
      </c>
      <c r="I562" s="34" t="str">
        <f t="shared" si="68"/>
        <v/>
      </c>
      <c r="J562" s="35" t="str">
        <f t="shared" si="69"/>
        <v/>
      </c>
      <c r="K562" s="49"/>
      <c r="L562" s="30"/>
      <c r="M562" s="31"/>
      <c r="N562" s="33"/>
      <c r="O562" s="31"/>
      <c r="P562" s="29" t="str">
        <f t="shared" si="70"/>
        <v/>
      </c>
      <c r="Q562" s="29" t="str">
        <f t="shared" si="71"/>
        <v/>
      </c>
      <c r="R562" s="33"/>
    </row>
    <row r="563" spans="1:18" x14ac:dyDescent="0.25">
      <c r="A563" s="31"/>
      <c r="B563" s="34" t="str">
        <f t="shared" si="64"/>
        <v/>
      </c>
      <c r="C563" s="30"/>
      <c r="D563" s="10"/>
      <c r="E563" s="30"/>
      <c r="F563" s="36" t="str">
        <f t="shared" si="65"/>
        <v/>
      </c>
      <c r="G563" s="36" t="str">
        <f t="shared" si="66"/>
        <v/>
      </c>
      <c r="H563" s="36" t="str">
        <f t="shared" si="67"/>
        <v/>
      </c>
      <c r="I563" s="34" t="str">
        <f t="shared" si="68"/>
        <v/>
      </c>
      <c r="J563" s="35" t="str">
        <f t="shared" si="69"/>
        <v/>
      </c>
      <c r="K563" s="49"/>
      <c r="L563" s="30"/>
      <c r="M563" s="31"/>
      <c r="N563" s="33"/>
      <c r="O563" s="31"/>
      <c r="P563" s="29" t="str">
        <f t="shared" si="70"/>
        <v/>
      </c>
      <c r="Q563" s="29" t="str">
        <f t="shared" si="71"/>
        <v/>
      </c>
      <c r="R563" s="33"/>
    </row>
    <row r="564" spans="1:18" x14ac:dyDescent="0.25">
      <c r="A564" s="31"/>
      <c r="B564" s="34" t="str">
        <f t="shared" si="64"/>
        <v/>
      </c>
      <c r="C564" s="30"/>
      <c r="D564" s="10"/>
      <c r="E564" s="30"/>
      <c r="F564" s="36" t="str">
        <f t="shared" si="65"/>
        <v/>
      </c>
      <c r="G564" s="36" t="str">
        <f t="shared" si="66"/>
        <v/>
      </c>
      <c r="H564" s="36" t="str">
        <f t="shared" si="67"/>
        <v/>
      </c>
      <c r="I564" s="34" t="str">
        <f t="shared" si="68"/>
        <v/>
      </c>
      <c r="J564" s="35" t="str">
        <f t="shared" si="69"/>
        <v/>
      </c>
      <c r="K564" s="49"/>
      <c r="L564" s="30"/>
      <c r="M564" s="31"/>
      <c r="N564" s="33"/>
      <c r="O564" s="31"/>
      <c r="P564" s="29" t="str">
        <f t="shared" si="70"/>
        <v/>
      </c>
      <c r="Q564" s="29" t="str">
        <f t="shared" si="71"/>
        <v/>
      </c>
      <c r="R564" s="33"/>
    </row>
    <row r="565" spans="1:18" x14ac:dyDescent="0.25">
      <c r="A565" s="31"/>
      <c r="B565" s="34" t="str">
        <f t="shared" si="64"/>
        <v/>
      </c>
      <c r="C565" s="30"/>
      <c r="D565" s="10"/>
      <c r="E565" s="30"/>
      <c r="F565" s="36" t="str">
        <f t="shared" si="65"/>
        <v/>
      </c>
      <c r="G565" s="36" t="str">
        <f t="shared" si="66"/>
        <v/>
      </c>
      <c r="H565" s="36" t="str">
        <f t="shared" si="67"/>
        <v/>
      </c>
      <c r="I565" s="34" t="str">
        <f t="shared" si="68"/>
        <v/>
      </c>
      <c r="J565" s="35" t="str">
        <f t="shared" si="69"/>
        <v/>
      </c>
      <c r="K565" s="49"/>
      <c r="L565" s="30"/>
      <c r="M565" s="31"/>
      <c r="N565" s="33"/>
      <c r="O565" s="31"/>
      <c r="P565" s="29" t="str">
        <f t="shared" si="70"/>
        <v/>
      </c>
      <c r="Q565" s="29" t="str">
        <f t="shared" si="71"/>
        <v/>
      </c>
      <c r="R565" s="33"/>
    </row>
    <row r="566" spans="1:18" x14ac:dyDescent="0.25">
      <c r="A566" s="31"/>
      <c r="B566" s="34" t="str">
        <f t="shared" si="64"/>
        <v/>
      </c>
      <c r="C566" s="30"/>
      <c r="D566" s="10"/>
      <c r="E566" s="30"/>
      <c r="F566" s="36" t="str">
        <f t="shared" si="65"/>
        <v/>
      </c>
      <c r="G566" s="36" t="str">
        <f t="shared" si="66"/>
        <v/>
      </c>
      <c r="H566" s="36" t="str">
        <f t="shared" si="67"/>
        <v/>
      </c>
      <c r="I566" s="34" t="str">
        <f t="shared" si="68"/>
        <v/>
      </c>
      <c r="J566" s="35" t="str">
        <f t="shared" si="69"/>
        <v/>
      </c>
      <c r="K566" s="49"/>
      <c r="L566" s="30"/>
      <c r="M566" s="31"/>
      <c r="N566" s="33"/>
      <c r="O566" s="31"/>
      <c r="P566" s="29" t="str">
        <f t="shared" si="70"/>
        <v/>
      </c>
      <c r="Q566" s="29" t="str">
        <f t="shared" si="71"/>
        <v/>
      </c>
      <c r="R566" s="33"/>
    </row>
    <row r="567" spans="1:18" x14ac:dyDescent="0.25">
      <c r="A567" s="31"/>
      <c r="B567" s="34" t="str">
        <f t="shared" si="64"/>
        <v/>
      </c>
      <c r="C567" s="30"/>
      <c r="D567" s="10"/>
      <c r="E567" s="30"/>
      <c r="F567" s="36" t="str">
        <f t="shared" si="65"/>
        <v/>
      </c>
      <c r="G567" s="36" t="str">
        <f t="shared" si="66"/>
        <v/>
      </c>
      <c r="H567" s="36" t="str">
        <f t="shared" si="67"/>
        <v/>
      </c>
      <c r="I567" s="34" t="str">
        <f t="shared" si="68"/>
        <v/>
      </c>
      <c r="J567" s="35" t="str">
        <f t="shared" si="69"/>
        <v/>
      </c>
      <c r="K567" s="49"/>
      <c r="L567" s="30"/>
      <c r="M567" s="31"/>
      <c r="N567" s="33"/>
      <c r="O567" s="31"/>
      <c r="P567" s="29" t="str">
        <f t="shared" si="70"/>
        <v/>
      </c>
      <c r="Q567" s="29" t="str">
        <f t="shared" si="71"/>
        <v/>
      </c>
      <c r="R567" s="33"/>
    </row>
    <row r="568" spans="1:18" x14ac:dyDescent="0.25">
      <c r="A568" s="31"/>
      <c r="B568" s="34" t="str">
        <f t="shared" si="64"/>
        <v/>
      </c>
      <c r="C568" s="30"/>
      <c r="D568" s="10"/>
      <c r="E568" s="30"/>
      <c r="F568" s="36" t="str">
        <f t="shared" si="65"/>
        <v/>
      </c>
      <c r="G568" s="36" t="str">
        <f t="shared" si="66"/>
        <v/>
      </c>
      <c r="H568" s="36" t="str">
        <f t="shared" si="67"/>
        <v/>
      </c>
      <c r="I568" s="34" t="str">
        <f t="shared" si="68"/>
        <v/>
      </c>
      <c r="J568" s="35" t="str">
        <f t="shared" si="69"/>
        <v/>
      </c>
      <c r="K568" s="49"/>
      <c r="L568" s="30"/>
      <c r="M568" s="31"/>
      <c r="N568" s="33"/>
      <c r="O568" s="31"/>
      <c r="P568" s="29" t="str">
        <f t="shared" si="70"/>
        <v/>
      </c>
      <c r="Q568" s="29" t="str">
        <f t="shared" si="71"/>
        <v/>
      </c>
      <c r="R568" s="33"/>
    </row>
    <row r="569" spans="1:18" x14ac:dyDescent="0.25">
      <c r="A569" s="31"/>
      <c r="B569" s="34" t="str">
        <f t="shared" si="64"/>
        <v/>
      </c>
      <c r="C569" s="30"/>
      <c r="D569" s="10"/>
      <c r="E569" s="30"/>
      <c r="F569" s="36" t="str">
        <f t="shared" si="65"/>
        <v/>
      </c>
      <c r="G569" s="36" t="str">
        <f t="shared" si="66"/>
        <v/>
      </c>
      <c r="H569" s="36" t="str">
        <f t="shared" si="67"/>
        <v/>
      </c>
      <c r="I569" s="34" t="str">
        <f t="shared" si="68"/>
        <v/>
      </c>
      <c r="J569" s="35" t="str">
        <f t="shared" si="69"/>
        <v/>
      </c>
      <c r="K569" s="49"/>
      <c r="L569" s="30"/>
      <c r="M569" s="31"/>
      <c r="N569" s="33"/>
      <c r="O569" s="31"/>
      <c r="P569" s="29" t="str">
        <f t="shared" si="70"/>
        <v/>
      </c>
      <c r="Q569" s="29" t="str">
        <f t="shared" si="71"/>
        <v/>
      </c>
      <c r="R569" s="33"/>
    </row>
    <row r="570" spans="1:18" x14ac:dyDescent="0.25">
      <c r="A570" s="31"/>
      <c r="B570" s="34" t="str">
        <f t="shared" si="64"/>
        <v/>
      </c>
      <c r="C570" s="30"/>
      <c r="D570" s="10"/>
      <c r="E570" s="30"/>
      <c r="F570" s="36" t="str">
        <f t="shared" si="65"/>
        <v/>
      </c>
      <c r="G570" s="36" t="str">
        <f t="shared" si="66"/>
        <v/>
      </c>
      <c r="H570" s="36" t="str">
        <f t="shared" si="67"/>
        <v/>
      </c>
      <c r="I570" s="34" t="str">
        <f t="shared" si="68"/>
        <v/>
      </c>
      <c r="J570" s="35" t="str">
        <f t="shared" si="69"/>
        <v/>
      </c>
      <c r="K570" s="49"/>
      <c r="L570" s="30"/>
      <c r="M570" s="31"/>
      <c r="N570" s="33"/>
      <c r="O570" s="31"/>
      <c r="P570" s="29" t="str">
        <f t="shared" si="70"/>
        <v/>
      </c>
      <c r="Q570" s="29" t="str">
        <f t="shared" si="71"/>
        <v/>
      </c>
      <c r="R570" s="33"/>
    </row>
    <row r="571" spans="1:18" x14ac:dyDescent="0.25">
      <c r="A571" s="31"/>
      <c r="B571" s="34" t="str">
        <f t="shared" si="64"/>
        <v/>
      </c>
      <c r="C571" s="30"/>
      <c r="D571" s="10"/>
      <c r="E571" s="30"/>
      <c r="F571" s="36" t="str">
        <f t="shared" si="65"/>
        <v/>
      </c>
      <c r="G571" s="36" t="str">
        <f t="shared" si="66"/>
        <v/>
      </c>
      <c r="H571" s="36" t="str">
        <f t="shared" si="67"/>
        <v/>
      </c>
      <c r="I571" s="34" t="str">
        <f t="shared" si="68"/>
        <v/>
      </c>
      <c r="J571" s="35" t="str">
        <f t="shared" si="69"/>
        <v/>
      </c>
      <c r="K571" s="49"/>
      <c r="L571" s="30"/>
      <c r="M571" s="31"/>
      <c r="N571" s="33"/>
      <c r="O571" s="31"/>
      <c r="P571" s="29" t="str">
        <f t="shared" si="70"/>
        <v/>
      </c>
      <c r="Q571" s="29" t="str">
        <f t="shared" si="71"/>
        <v/>
      </c>
      <c r="R571" s="33"/>
    </row>
    <row r="572" spans="1:18" x14ac:dyDescent="0.25">
      <c r="A572" s="31"/>
      <c r="B572" s="34" t="str">
        <f t="shared" si="64"/>
        <v/>
      </c>
      <c r="C572" s="30"/>
      <c r="D572" s="10"/>
      <c r="E572" s="30"/>
      <c r="F572" s="36" t="str">
        <f t="shared" si="65"/>
        <v/>
      </c>
      <c r="G572" s="36" t="str">
        <f t="shared" si="66"/>
        <v/>
      </c>
      <c r="H572" s="36" t="str">
        <f t="shared" si="67"/>
        <v/>
      </c>
      <c r="I572" s="34" t="str">
        <f t="shared" si="68"/>
        <v/>
      </c>
      <c r="J572" s="35" t="str">
        <f t="shared" si="69"/>
        <v/>
      </c>
      <c r="K572" s="49"/>
      <c r="L572" s="30"/>
      <c r="M572" s="31"/>
      <c r="N572" s="33"/>
      <c r="O572" s="31"/>
      <c r="P572" s="29" t="str">
        <f t="shared" si="70"/>
        <v/>
      </c>
      <c r="Q572" s="29" t="str">
        <f t="shared" si="71"/>
        <v/>
      </c>
      <c r="R572" s="33"/>
    </row>
    <row r="573" spans="1:18" x14ac:dyDescent="0.25">
      <c r="A573" s="31"/>
      <c r="B573" s="34" t="str">
        <f t="shared" si="64"/>
        <v/>
      </c>
      <c r="C573" s="30"/>
      <c r="D573" s="10"/>
      <c r="E573" s="30"/>
      <c r="F573" s="36" t="str">
        <f t="shared" si="65"/>
        <v/>
      </c>
      <c r="G573" s="36" t="str">
        <f t="shared" si="66"/>
        <v/>
      </c>
      <c r="H573" s="36" t="str">
        <f t="shared" si="67"/>
        <v/>
      </c>
      <c r="I573" s="34" t="str">
        <f t="shared" si="68"/>
        <v/>
      </c>
      <c r="J573" s="35" t="str">
        <f t="shared" si="69"/>
        <v/>
      </c>
      <c r="K573" s="49"/>
      <c r="L573" s="30"/>
      <c r="M573" s="31"/>
      <c r="N573" s="33"/>
      <c r="O573" s="31"/>
      <c r="P573" s="29" t="str">
        <f t="shared" si="70"/>
        <v/>
      </c>
      <c r="Q573" s="29" t="str">
        <f t="shared" si="71"/>
        <v/>
      </c>
      <c r="R573" s="33"/>
    </row>
    <row r="574" spans="1:18" x14ac:dyDescent="0.25">
      <c r="A574" s="31"/>
      <c r="B574" s="34" t="str">
        <f t="shared" si="64"/>
        <v/>
      </c>
      <c r="C574" s="30"/>
      <c r="D574" s="10"/>
      <c r="E574" s="30"/>
      <c r="F574" s="36" t="str">
        <f t="shared" si="65"/>
        <v/>
      </c>
      <c r="G574" s="36" t="str">
        <f t="shared" si="66"/>
        <v/>
      </c>
      <c r="H574" s="36" t="str">
        <f t="shared" si="67"/>
        <v/>
      </c>
      <c r="I574" s="34" t="str">
        <f t="shared" si="68"/>
        <v/>
      </c>
      <c r="J574" s="35" t="str">
        <f t="shared" si="69"/>
        <v/>
      </c>
      <c r="K574" s="49"/>
      <c r="L574" s="30"/>
      <c r="M574" s="31"/>
      <c r="N574" s="33"/>
      <c r="O574" s="31"/>
      <c r="P574" s="29" t="str">
        <f t="shared" si="70"/>
        <v/>
      </c>
      <c r="Q574" s="29" t="str">
        <f t="shared" si="71"/>
        <v/>
      </c>
      <c r="R574" s="33"/>
    </row>
    <row r="575" spans="1:18" x14ac:dyDescent="0.25">
      <c r="A575" s="31"/>
      <c r="B575" s="34" t="str">
        <f t="shared" si="64"/>
        <v/>
      </c>
      <c r="C575" s="30"/>
      <c r="D575" s="10"/>
      <c r="E575" s="30"/>
      <c r="F575" s="36" t="str">
        <f t="shared" si="65"/>
        <v/>
      </c>
      <c r="G575" s="36" t="str">
        <f t="shared" si="66"/>
        <v/>
      </c>
      <c r="H575" s="36" t="str">
        <f t="shared" si="67"/>
        <v/>
      </c>
      <c r="I575" s="34" t="str">
        <f t="shared" si="68"/>
        <v/>
      </c>
      <c r="J575" s="35" t="str">
        <f t="shared" si="69"/>
        <v/>
      </c>
      <c r="K575" s="49"/>
      <c r="L575" s="30"/>
      <c r="M575" s="31"/>
      <c r="N575" s="33"/>
      <c r="O575" s="31"/>
      <c r="P575" s="29" t="str">
        <f t="shared" si="70"/>
        <v/>
      </c>
      <c r="Q575" s="29" t="str">
        <f t="shared" si="71"/>
        <v/>
      </c>
      <c r="R575" s="33"/>
    </row>
    <row r="576" spans="1:18" x14ac:dyDescent="0.25">
      <c r="A576" s="31"/>
      <c r="B576" s="34" t="str">
        <f t="shared" si="64"/>
        <v/>
      </c>
      <c r="C576" s="30"/>
      <c r="D576" s="10"/>
      <c r="E576" s="30"/>
      <c r="F576" s="36" t="str">
        <f t="shared" si="65"/>
        <v/>
      </c>
      <c r="G576" s="36" t="str">
        <f t="shared" si="66"/>
        <v/>
      </c>
      <c r="H576" s="36" t="str">
        <f t="shared" si="67"/>
        <v/>
      </c>
      <c r="I576" s="34" t="str">
        <f t="shared" si="68"/>
        <v/>
      </c>
      <c r="J576" s="35" t="str">
        <f t="shared" si="69"/>
        <v/>
      </c>
      <c r="K576" s="49"/>
      <c r="L576" s="30"/>
      <c r="M576" s="31"/>
      <c r="N576" s="33"/>
      <c r="O576" s="31"/>
      <c r="P576" s="29" t="str">
        <f t="shared" si="70"/>
        <v/>
      </c>
      <c r="Q576" s="29" t="str">
        <f t="shared" si="71"/>
        <v/>
      </c>
      <c r="R576" s="33"/>
    </row>
    <row r="577" spans="1:18" x14ac:dyDescent="0.25">
      <c r="A577" s="31"/>
      <c r="B577" s="34" t="str">
        <f t="shared" si="64"/>
        <v/>
      </c>
      <c r="C577" s="30"/>
      <c r="D577" s="10"/>
      <c r="E577" s="30"/>
      <c r="F577" s="36" t="str">
        <f t="shared" si="65"/>
        <v/>
      </c>
      <c r="G577" s="36" t="str">
        <f t="shared" si="66"/>
        <v/>
      </c>
      <c r="H577" s="36" t="str">
        <f t="shared" si="67"/>
        <v/>
      </c>
      <c r="I577" s="34" t="str">
        <f t="shared" si="68"/>
        <v/>
      </c>
      <c r="J577" s="35" t="str">
        <f t="shared" si="69"/>
        <v/>
      </c>
      <c r="K577" s="49"/>
      <c r="L577" s="30"/>
      <c r="M577" s="31"/>
      <c r="N577" s="33"/>
      <c r="O577" s="31"/>
      <c r="P577" s="29" t="str">
        <f t="shared" si="70"/>
        <v/>
      </c>
      <c r="Q577" s="29" t="str">
        <f t="shared" si="71"/>
        <v/>
      </c>
      <c r="R577" s="33"/>
    </row>
    <row r="578" spans="1:18" x14ac:dyDescent="0.25">
      <c r="A578" s="31"/>
      <c r="B578" s="34" t="str">
        <f t="shared" si="64"/>
        <v/>
      </c>
      <c r="C578" s="30"/>
      <c r="D578" s="10"/>
      <c r="E578" s="30"/>
      <c r="F578" s="36" t="str">
        <f t="shared" si="65"/>
        <v/>
      </c>
      <c r="G578" s="36" t="str">
        <f t="shared" si="66"/>
        <v/>
      </c>
      <c r="H578" s="36" t="str">
        <f t="shared" si="67"/>
        <v/>
      </c>
      <c r="I578" s="34" t="str">
        <f t="shared" si="68"/>
        <v/>
      </c>
      <c r="J578" s="35" t="str">
        <f t="shared" si="69"/>
        <v/>
      </c>
      <c r="K578" s="49"/>
      <c r="L578" s="30"/>
      <c r="M578" s="31"/>
      <c r="N578" s="33"/>
      <c r="O578" s="31"/>
      <c r="P578" s="29" t="str">
        <f t="shared" si="70"/>
        <v/>
      </c>
      <c r="Q578" s="29" t="str">
        <f t="shared" si="71"/>
        <v/>
      </c>
      <c r="R578" s="33"/>
    </row>
    <row r="579" spans="1:18" x14ac:dyDescent="0.25">
      <c r="A579" s="31"/>
      <c r="B579" s="34" t="str">
        <f t="shared" si="64"/>
        <v/>
      </c>
      <c r="C579" s="30"/>
      <c r="D579" s="10"/>
      <c r="E579" s="30"/>
      <c r="F579" s="36" t="str">
        <f t="shared" si="65"/>
        <v/>
      </c>
      <c r="G579" s="36" t="str">
        <f t="shared" si="66"/>
        <v/>
      </c>
      <c r="H579" s="36" t="str">
        <f t="shared" si="67"/>
        <v/>
      </c>
      <c r="I579" s="34" t="str">
        <f t="shared" si="68"/>
        <v/>
      </c>
      <c r="J579" s="35" t="str">
        <f t="shared" si="69"/>
        <v/>
      </c>
      <c r="K579" s="49"/>
      <c r="L579" s="30"/>
      <c r="M579" s="31"/>
      <c r="N579" s="33"/>
      <c r="O579" s="31"/>
      <c r="P579" s="29" t="str">
        <f t="shared" si="70"/>
        <v/>
      </c>
      <c r="Q579" s="29" t="str">
        <f t="shared" si="71"/>
        <v/>
      </c>
      <c r="R579" s="33"/>
    </row>
    <row r="580" spans="1:18" x14ac:dyDescent="0.25">
      <c r="A580" s="31"/>
      <c r="B580" s="34" t="str">
        <f t="shared" si="64"/>
        <v/>
      </c>
      <c r="C580" s="30"/>
      <c r="D580" s="10"/>
      <c r="E580" s="30"/>
      <c r="F580" s="36" t="str">
        <f t="shared" si="65"/>
        <v/>
      </c>
      <c r="G580" s="36" t="str">
        <f t="shared" si="66"/>
        <v/>
      </c>
      <c r="H580" s="36" t="str">
        <f t="shared" si="67"/>
        <v/>
      </c>
      <c r="I580" s="34" t="str">
        <f t="shared" si="68"/>
        <v/>
      </c>
      <c r="J580" s="35" t="str">
        <f t="shared" si="69"/>
        <v/>
      </c>
      <c r="K580" s="49"/>
      <c r="L580" s="30"/>
      <c r="M580" s="31"/>
      <c r="N580" s="33"/>
      <c r="O580" s="31"/>
      <c r="P580" s="29" t="str">
        <f t="shared" si="70"/>
        <v/>
      </c>
      <c r="Q580" s="29" t="str">
        <f t="shared" si="71"/>
        <v/>
      </c>
      <c r="R580" s="33"/>
    </row>
    <row r="581" spans="1:18" x14ac:dyDescent="0.25">
      <c r="A581" s="31"/>
      <c r="B581" s="34" t="str">
        <f t="shared" ref="B581:B644" si="72">IFERROR(IF($E581="","",VLOOKUP($E581,CAD_TAB,2,FALSE)),"")</f>
        <v/>
      </c>
      <c r="C581" s="30"/>
      <c r="D581" s="10"/>
      <c r="E581" s="30"/>
      <c r="F581" s="36" t="str">
        <f t="shared" ref="F581:F644" si="73">IFERROR(IF($E581="","",VLOOKUP($E581,CAD_TAB,8,FALSE)),"")</f>
        <v/>
      </c>
      <c r="G581" s="36" t="str">
        <f t="shared" ref="G581:G644" si="74">IFERROR(IF($E581="","",VLOOKUP($E581,CAD_TAB,9,FALSE)),"")</f>
        <v/>
      </c>
      <c r="H581" s="36" t="str">
        <f t="shared" ref="H581:H644" si="75">IFERROR(IF($E581="","",VLOOKUP($E581,CAD_TAB,11,FALSE)),"")</f>
        <v/>
      </c>
      <c r="I581" s="34" t="str">
        <f t="shared" ref="I581:I644" si="76">IFERROR(IF($E581="","",VLOOKUP($E581,CAD_TAB,7,FALSE)),"")</f>
        <v/>
      </c>
      <c r="J581" s="35" t="str">
        <f t="shared" ref="J581:J644" si="77">IFERROR(IF($E581="","",VLOOKUP($E581,CAD_TAB,6,FALSE)),"")</f>
        <v/>
      </c>
      <c r="K581" s="49"/>
      <c r="L581" s="30"/>
      <c r="M581" s="31"/>
      <c r="N581" s="33"/>
      <c r="O581" s="31"/>
      <c r="P581" s="29" t="str">
        <f t="shared" ref="P581:P644" si="78">IF($E581="","",IF($L581="SIM","EXECUTADO",IF($O581&lt;&gt;"","REPROGRAMADO",IF($L581="NÃO","NÃO EXECUTADO","PROGRAMADO"))))</f>
        <v/>
      </c>
      <c r="Q581" s="29" t="str">
        <f t="shared" ref="Q581:Q644" si="79">IF($E581="","",IF($L581="SIM",IF($M581=$A581,"NO DIA","FORA DO DIA"),""))</f>
        <v/>
      </c>
      <c r="R581" s="33"/>
    </row>
    <row r="582" spans="1:18" x14ac:dyDescent="0.25">
      <c r="A582" s="31"/>
      <c r="B582" s="34" t="str">
        <f t="shared" si="72"/>
        <v/>
      </c>
      <c r="C582" s="30"/>
      <c r="D582" s="10"/>
      <c r="E582" s="30"/>
      <c r="F582" s="36" t="str">
        <f t="shared" si="73"/>
        <v/>
      </c>
      <c r="G582" s="36" t="str">
        <f t="shared" si="74"/>
        <v/>
      </c>
      <c r="H582" s="36" t="str">
        <f t="shared" si="75"/>
        <v/>
      </c>
      <c r="I582" s="34" t="str">
        <f t="shared" si="76"/>
        <v/>
      </c>
      <c r="J582" s="35" t="str">
        <f t="shared" si="77"/>
        <v/>
      </c>
      <c r="K582" s="49"/>
      <c r="L582" s="30"/>
      <c r="M582" s="31"/>
      <c r="N582" s="33"/>
      <c r="O582" s="31"/>
      <c r="P582" s="29" t="str">
        <f t="shared" si="78"/>
        <v/>
      </c>
      <c r="Q582" s="29" t="str">
        <f t="shared" si="79"/>
        <v/>
      </c>
      <c r="R582" s="33"/>
    </row>
    <row r="583" spans="1:18" x14ac:dyDescent="0.25">
      <c r="A583" s="31"/>
      <c r="B583" s="34" t="str">
        <f t="shared" si="72"/>
        <v/>
      </c>
      <c r="C583" s="30"/>
      <c r="D583" s="10"/>
      <c r="E583" s="30"/>
      <c r="F583" s="36" t="str">
        <f t="shared" si="73"/>
        <v/>
      </c>
      <c r="G583" s="36" t="str">
        <f t="shared" si="74"/>
        <v/>
      </c>
      <c r="H583" s="36" t="str">
        <f t="shared" si="75"/>
        <v/>
      </c>
      <c r="I583" s="34" t="str">
        <f t="shared" si="76"/>
        <v/>
      </c>
      <c r="J583" s="35" t="str">
        <f t="shared" si="77"/>
        <v/>
      </c>
      <c r="K583" s="49"/>
      <c r="L583" s="30"/>
      <c r="M583" s="31"/>
      <c r="N583" s="33"/>
      <c r="O583" s="31"/>
      <c r="P583" s="29" t="str">
        <f t="shared" si="78"/>
        <v/>
      </c>
      <c r="Q583" s="29" t="str">
        <f t="shared" si="79"/>
        <v/>
      </c>
      <c r="R583" s="33"/>
    </row>
    <row r="584" spans="1:18" x14ac:dyDescent="0.25">
      <c r="A584" s="31"/>
      <c r="B584" s="34" t="str">
        <f t="shared" si="72"/>
        <v/>
      </c>
      <c r="C584" s="30"/>
      <c r="D584" s="10"/>
      <c r="E584" s="30"/>
      <c r="F584" s="36" t="str">
        <f t="shared" si="73"/>
        <v/>
      </c>
      <c r="G584" s="36" t="str">
        <f t="shared" si="74"/>
        <v/>
      </c>
      <c r="H584" s="36" t="str">
        <f t="shared" si="75"/>
        <v/>
      </c>
      <c r="I584" s="34" t="str">
        <f t="shared" si="76"/>
        <v/>
      </c>
      <c r="J584" s="35" t="str">
        <f t="shared" si="77"/>
        <v/>
      </c>
      <c r="K584" s="49"/>
      <c r="L584" s="30"/>
      <c r="M584" s="31"/>
      <c r="N584" s="33"/>
      <c r="O584" s="31"/>
      <c r="P584" s="29" t="str">
        <f t="shared" si="78"/>
        <v/>
      </c>
      <c r="Q584" s="29" t="str">
        <f t="shared" si="79"/>
        <v/>
      </c>
      <c r="R584" s="33"/>
    </row>
    <row r="585" spans="1:18" x14ac:dyDescent="0.25">
      <c r="A585" s="31"/>
      <c r="B585" s="34" t="str">
        <f t="shared" si="72"/>
        <v/>
      </c>
      <c r="C585" s="30"/>
      <c r="D585" s="10"/>
      <c r="E585" s="30"/>
      <c r="F585" s="36" t="str">
        <f t="shared" si="73"/>
        <v/>
      </c>
      <c r="G585" s="36" t="str">
        <f t="shared" si="74"/>
        <v/>
      </c>
      <c r="H585" s="36" t="str">
        <f t="shared" si="75"/>
        <v/>
      </c>
      <c r="I585" s="34" t="str">
        <f t="shared" si="76"/>
        <v/>
      </c>
      <c r="J585" s="35" t="str">
        <f t="shared" si="77"/>
        <v/>
      </c>
      <c r="K585" s="49"/>
      <c r="L585" s="30"/>
      <c r="M585" s="31"/>
      <c r="N585" s="33"/>
      <c r="O585" s="31"/>
      <c r="P585" s="29" t="str">
        <f t="shared" si="78"/>
        <v/>
      </c>
      <c r="Q585" s="29" t="str">
        <f t="shared" si="79"/>
        <v/>
      </c>
      <c r="R585" s="33"/>
    </row>
    <row r="586" spans="1:18" x14ac:dyDescent="0.25">
      <c r="A586" s="31"/>
      <c r="B586" s="34" t="str">
        <f t="shared" si="72"/>
        <v/>
      </c>
      <c r="C586" s="30"/>
      <c r="D586" s="10"/>
      <c r="E586" s="30"/>
      <c r="F586" s="36" t="str">
        <f t="shared" si="73"/>
        <v/>
      </c>
      <c r="G586" s="36" t="str">
        <f t="shared" si="74"/>
        <v/>
      </c>
      <c r="H586" s="36" t="str">
        <f t="shared" si="75"/>
        <v/>
      </c>
      <c r="I586" s="34" t="str">
        <f t="shared" si="76"/>
        <v/>
      </c>
      <c r="J586" s="35" t="str">
        <f t="shared" si="77"/>
        <v/>
      </c>
      <c r="K586" s="49"/>
      <c r="L586" s="30"/>
      <c r="M586" s="31"/>
      <c r="N586" s="33"/>
      <c r="O586" s="31"/>
      <c r="P586" s="29" t="str">
        <f t="shared" si="78"/>
        <v/>
      </c>
      <c r="Q586" s="29" t="str">
        <f t="shared" si="79"/>
        <v/>
      </c>
      <c r="R586" s="33"/>
    </row>
    <row r="587" spans="1:18" x14ac:dyDescent="0.25">
      <c r="A587" s="31"/>
      <c r="B587" s="34" t="str">
        <f t="shared" si="72"/>
        <v/>
      </c>
      <c r="C587" s="30"/>
      <c r="D587" s="10"/>
      <c r="E587" s="30"/>
      <c r="F587" s="36" t="str">
        <f t="shared" si="73"/>
        <v/>
      </c>
      <c r="G587" s="36" t="str">
        <f t="shared" si="74"/>
        <v/>
      </c>
      <c r="H587" s="36" t="str">
        <f t="shared" si="75"/>
        <v/>
      </c>
      <c r="I587" s="34" t="str">
        <f t="shared" si="76"/>
        <v/>
      </c>
      <c r="J587" s="35" t="str">
        <f t="shared" si="77"/>
        <v/>
      </c>
      <c r="K587" s="49"/>
      <c r="L587" s="30"/>
      <c r="M587" s="31"/>
      <c r="N587" s="33"/>
      <c r="O587" s="31"/>
      <c r="P587" s="29" t="str">
        <f t="shared" si="78"/>
        <v/>
      </c>
      <c r="Q587" s="29" t="str">
        <f t="shared" si="79"/>
        <v/>
      </c>
      <c r="R587" s="33"/>
    </row>
    <row r="588" spans="1:18" x14ac:dyDescent="0.25">
      <c r="A588" s="31"/>
      <c r="B588" s="34" t="str">
        <f t="shared" si="72"/>
        <v/>
      </c>
      <c r="C588" s="30"/>
      <c r="D588" s="10"/>
      <c r="E588" s="30"/>
      <c r="F588" s="36" t="str">
        <f t="shared" si="73"/>
        <v/>
      </c>
      <c r="G588" s="36" t="str">
        <f t="shared" si="74"/>
        <v/>
      </c>
      <c r="H588" s="36" t="str">
        <f t="shared" si="75"/>
        <v/>
      </c>
      <c r="I588" s="34" t="str">
        <f t="shared" si="76"/>
        <v/>
      </c>
      <c r="J588" s="35" t="str">
        <f t="shared" si="77"/>
        <v/>
      </c>
      <c r="K588" s="49"/>
      <c r="L588" s="30"/>
      <c r="M588" s="31"/>
      <c r="N588" s="33"/>
      <c r="O588" s="31"/>
      <c r="P588" s="29" t="str">
        <f t="shared" si="78"/>
        <v/>
      </c>
      <c r="Q588" s="29" t="str">
        <f t="shared" si="79"/>
        <v/>
      </c>
      <c r="R588" s="33"/>
    </row>
    <row r="589" spans="1:18" x14ac:dyDescent="0.25">
      <c r="A589" s="31"/>
      <c r="B589" s="34" t="str">
        <f t="shared" si="72"/>
        <v/>
      </c>
      <c r="C589" s="30"/>
      <c r="D589" s="10"/>
      <c r="E589" s="30"/>
      <c r="F589" s="36" t="str">
        <f t="shared" si="73"/>
        <v/>
      </c>
      <c r="G589" s="36" t="str">
        <f t="shared" si="74"/>
        <v/>
      </c>
      <c r="H589" s="36" t="str">
        <f t="shared" si="75"/>
        <v/>
      </c>
      <c r="I589" s="34" t="str">
        <f t="shared" si="76"/>
        <v/>
      </c>
      <c r="J589" s="35" t="str">
        <f t="shared" si="77"/>
        <v/>
      </c>
      <c r="K589" s="49"/>
      <c r="L589" s="30"/>
      <c r="M589" s="31"/>
      <c r="N589" s="33"/>
      <c r="O589" s="31"/>
      <c r="P589" s="29" t="str">
        <f t="shared" si="78"/>
        <v/>
      </c>
      <c r="Q589" s="29" t="str">
        <f t="shared" si="79"/>
        <v/>
      </c>
      <c r="R589" s="33"/>
    </row>
    <row r="590" spans="1:18" x14ac:dyDescent="0.25">
      <c r="A590" s="31"/>
      <c r="B590" s="34" t="str">
        <f t="shared" si="72"/>
        <v/>
      </c>
      <c r="C590" s="30"/>
      <c r="D590" s="10"/>
      <c r="E590" s="30"/>
      <c r="F590" s="36" t="str">
        <f t="shared" si="73"/>
        <v/>
      </c>
      <c r="G590" s="36" t="str">
        <f t="shared" si="74"/>
        <v/>
      </c>
      <c r="H590" s="36" t="str">
        <f t="shared" si="75"/>
        <v/>
      </c>
      <c r="I590" s="34" t="str">
        <f t="shared" si="76"/>
        <v/>
      </c>
      <c r="J590" s="35" t="str">
        <f t="shared" si="77"/>
        <v/>
      </c>
      <c r="K590" s="49"/>
      <c r="L590" s="30"/>
      <c r="M590" s="31"/>
      <c r="N590" s="33"/>
      <c r="O590" s="31"/>
      <c r="P590" s="29" t="str">
        <f t="shared" si="78"/>
        <v/>
      </c>
      <c r="Q590" s="29" t="str">
        <f t="shared" si="79"/>
        <v/>
      </c>
      <c r="R590" s="33"/>
    </row>
    <row r="591" spans="1:18" x14ac:dyDescent="0.25">
      <c r="A591" s="31"/>
      <c r="B591" s="34" t="str">
        <f t="shared" si="72"/>
        <v/>
      </c>
      <c r="C591" s="30"/>
      <c r="D591" s="10"/>
      <c r="E591" s="30"/>
      <c r="F591" s="36" t="str">
        <f t="shared" si="73"/>
        <v/>
      </c>
      <c r="G591" s="36" t="str">
        <f t="shared" si="74"/>
        <v/>
      </c>
      <c r="H591" s="36" t="str">
        <f t="shared" si="75"/>
        <v/>
      </c>
      <c r="I591" s="34" t="str">
        <f t="shared" si="76"/>
        <v/>
      </c>
      <c r="J591" s="35" t="str">
        <f t="shared" si="77"/>
        <v/>
      </c>
      <c r="K591" s="49"/>
      <c r="L591" s="30"/>
      <c r="M591" s="31"/>
      <c r="N591" s="33"/>
      <c r="O591" s="31"/>
      <c r="P591" s="29" t="str">
        <f t="shared" si="78"/>
        <v/>
      </c>
      <c r="Q591" s="29" t="str">
        <f t="shared" si="79"/>
        <v/>
      </c>
      <c r="R591" s="33"/>
    </row>
    <row r="592" spans="1:18" x14ac:dyDescent="0.25">
      <c r="A592" s="31"/>
      <c r="B592" s="34" t="str">
        <f t="shared" si="72"/>
        <v/>
      </c>
      <c r="C592" s="30"/>
      <c r="D592" s="10"/>
      <c r="E592" s="30"/>
      <c r="F592" s="36" t="str">
        <f t="shared" si="73"/>
        <v/>
      </c>
      <c r="G592" s="36" t="str">
        <f t="shared" si="74"/>
        <v/>
      </c>
      <c r="H592" s="36" t="str">
        <f t="shared" si="75"/>
        <v/>
      </c>
      <c r="I592" s="34" t="str">
        <f t="shared" si="76"/>
        <v/>
      </c>
      <c r="J592" s="35" t="str">
        <f t="shared" si="77"/>
        <v/>
      </c>
      <c r="K592" s="49"/>
      <c r="L592" s="30"/>
      <c r="M592" s="31"/>
      <c r="N592" s="33"/>
      <c r="O592" s="31"/>
      <c r="P592" s="29" t="str">
        <f t="shared" si="78"/>
        <v/>
      </c>
      <c r="Q592" s="29" t="str">
        <f t="shared" si="79"/>
        <v/>
      </c>
      <c r="R592" s="33"/>
    </row>
    <row r="593" spans="1:18" x14ac:dyDescent="0.25">
      <c r="A593" s="31"/>
      <c r="B593" s="34" t="str">
        <f t="shared" si="72"/>
        <v/>
      </c>
      <c r="C593" s="30"/>
      <c r="D593" s="10"/>
      <c r="E593" s="30"/>
      <c r="F593" s="36" t="str">
        <f t="shared" si="73"/>
        <v/>
      </c>
      <c r="G593" s="36" t="str">
        <f t="shared" si="74"/>
        <v/>
      </c>
      <c r="H593" s="36" t="str">
        <f t="shared" si="75"/>
        <v/>
      </c>
      <c r="I593" s="34" t="str">
        <f t="shared" si="76"/>
        <v/>
      </c>
      <c r="J593" s="35" t="str">
        <f t="shared" si="77"/>
        <v/>
      </c>
      <c r="K593" s="49"/>
      <c r="L593" s="30"/>
      <c r="M593" s="31"/>
      <c r="N593" s="33"/>
      <c r="O593" s="31"/>
      <c r="P593" s="29" t="str">
        <f t="shared" si="78"/>
        <v/>
      </c>
      <c r="Q593" s="29" t="str">
        <f t="shared" si="79"/>
        <v/>
      </c>
      <c r="R593" s="33"/>
    </row>
    <row r="594" spans="1:18" x14ac:dyDescent="0.25">
      <c r="A594" s="31"/>
      <c r="B594" s="34" t="str">
        <f t="shared" si="72"/>
        <v/>
      </c>
      <c r="C594" s="30"/>
      <c r="D594" s="10"/>
      <c r="E594" s="30"/>
      <c r="F594" s="36" t="str">
        <f t="shared" si="73"/>
        <v/>
      </c>
      <c r="G594" s="36" t="str">
        <f t="shared" si="74"/>
        <v/>
      </c>
      <c r="H594" s="36" t="str">
        <f t="shared" si="75"/>
        <v/>
      </c>
      <c r="I594" s="34" t="str">
        <f t="shared" si="76"/>
        <v/>
      </c>
      <c r="J594" s="35" t="str">
        <f t="shared" si="77"/>
        <v/>
      </c>
      <c r="K594" s="49"/>
      <c r="L594" s="30"/>
      <c r="M594" s="31"/>
      <c r="N594" s="33"/>
      <c r="O594" s="31"/>
      <c r="P594" s="29" t="str">
        <f t="shared" si="78"/>
        <v/>
      </c>
      <c r="Q594" s="29" t="str">
        <f t="shared" si="79"/>
        <v/>
      </c>
      <c r="R594" s="33"/>
    </row>
    <row r="595" spans="1:18" x14ac:dyDescent="0.25">
      <c r="A595" s="31"/>
      <c r="B595" s="34" t="str">
        <f t="shared" si="72"/>
        <v/>
      </c>
      <c r="C595" s="30"/>
      <c r="D595" s="10"/>
      <c r="E595" s="30"/>
      <c r="F595" s="36" t="str">
        <f t="shared" si="73"/>
        <v/>
      </c>
      <c r="G595" s="36" t="str">
        <f t="shared" si="74"/>
        <v/>
      </c>
      <c r="H595" s="36" t="str">
        <f t="shared" si="75"/>
        <v/>
      </c>
      <c r="I595" s="34" t="str">
        <f t="shared" si="76"/>
        <v/>
      </c>
      <c r="J595" s="35" t="str">
        <f t="shared" si="77"/>
        <v/>
      </c>
      <c r="K595" s="49"/>
      <c r="L595" s="30"/>
      <c r="M595" s="31"/>
      <c r="N595" s="33"/>
      <c r="O595" s="31"/>
      <c r="P595" s="29" t="str">
        <f t="shared" si="78"/>
        <v/>
      </c>
      <c r="Q595" s="29" t="str">
        <f t="shared" si="79"/>
        <v/>
      </c>
      <c r="R595" s="33"/>
    </row>
    <row r="596" spans="1:18" x14ac:dyDescent="0.25">
      <c r="A596" s="31"/>
      <c r="B596" s="34" t="str">
        <f t="shared" si="72"/>
        <v/>
      </c>
      <c r="C596" s="30"/>
      <c r="D596" s="10"/>
      <c r="E596" s="30"/>
      <c r="F596" s="36" t="str">
        <f t="shared" si="73"/>
        <v/>
      </c>
      <c r="G596" s="36" t="str">
        <f t="shared" si="74"/>
        <v/>
      </c>
      <c r="H596" s="36" t="str">
        <f t="shared" si="75"/>
        <v/>
      </c>
      <c r="I596" s="34" t="str">
        <f t="shared" si="76"/>
        <v/>
      </c>
      <c r="J596" s="35" t="str">
        <f t="shared" si="77"/>
        <v/>
      </c>
      <c r="K596" s="49"/>
      <c r="L596" s="30"/>
      <c r="M596" s="31"/>
      <c r="N596" s="33"/>
      <c r="O596" s="31"/>
      <c r="P596" s="29" t="str">
        <f t="shared" si="78"/>
        <v/>
      </c>
      <c r="Q596" s="29" t="str">
        <f t="shared" si="79"/>
        <v/>
      </c>
      <c r="R596" s="33"/>
    </row>
    <row r="597" spans="1:18" x14ac:dyDescent="0.25">
      <c r="A597" s="31"/>
      <c r="B597" s="34" t="str">
        <f t="shared" si="72"/>
        <v/>
      </c>
      <c r="C597" s="30"/>
      <c r="D597" s="10"/>
      <c r="E597" s="30"/>
      <c r="F597" s="36" t="str">
        <f t="shared" si="73"/>
        <v/>
      </c>
      <c r="G597" s="36" t="str">
        <f t="shared" si="74"/>
        <v/>
      </c>
      <c r="H597" s="36" t="str">
        <f t="shared" si="75"/>
        <v/>
      </c>
      <c r="I597" s="34" t="str">
        <f t="shared" si="76"/>
        <v/>
      </c>
      <c r="J597" s="35" t="str">
        <f t="shared" si="77"/>
        <v/>
      </c>
      <c r="K597" s="49"/>
      <c r="L597" s="30"/>
      <c r="M597" s="31"/>
      <c r="N597" s="33"/>
      <c r="O597" s="31"/>
      <c r="P597" s="29" t="str">
        <f t="shared" si="78"/>
        <v/>
      </c>
      <c r="Q597" s="29" t="str">
        <f t="shared" si="79"/>
        <v/>
      </c>
      <c r="R597" s="33"/>
    </row>
    <row r="598" spans="1:18" x14ac:dyDescent="0.25">
      <c r="A598" s="31"/>
      <c r="B598" s="34" t="str">
        <f t="shared" si="72"/>
        <v/>
      </c>
      <c r="C598" s="30"/>
      <c r="D598" s="10"/>
      <c r="E598" s="30"/>
      <c r="F598" s="36" t="str">
        <f t="shared" si="73"/>
        <v/>
      </c>
      <c r="G598" s="36" t="str">
        <f t="shared" si="74"/>
        <v/>
      </c>
      <c r="H598" s="36" t="str">
        <f t="shared" si="75"/>
        <v/>
      </c>
      <c r="I598" s="34" t="str">
        <f t="shared" si="76"/>
        <v/>
      </c>
      <c r="J598" s="35" t="str">
        <f t="shared" si="77"/>
        <v/>
      </c>
      <c r="K598" s="49"/>
      <c r="L598" s="30"/>
      <c r="M598" s="31"/>
      <c r="N598" s="33"/>
      <c r="O598" s="31"/>
      <c r="P598" s="29" t="str">
        <f t="shared" si="78"/>
        <v/>
      </c>
      <c r="Q598" s="29" t="str">
        <f t="shared" si="79"/>
        <v/>
      </c>
      <c r="R598" s="33"/>
    </row>
    <row r="599" spans="1:18" x14ac:dyDescent="0.25">
      <c r="A599" s="31"/>
      <c r="B599" s="34" t="str">
        <f t="shared" si="72"/>
        <v/>
      </c>
      <c r="C599" s="30"/>
      <c r="D599" s="10"/>
      <c r="E599" s="30"/>
      <c r="F599" s="36" t="str">
        <f t="shared" si="73"/>
        <v/>
      </c>
      <c r="G599" s="36" t="str">
        <f t="shared" si="74"/>
        <v/>
      </c>
      <c r="H599" s="36" t="str">
        <f t="shared" si="75"/>
        <v/>
      </c>
      <c r="I599" s="34" t="str">
        <f t="shared" si="76"/>
        <v/>
      </c>
      <c r="J599" s="35" t="str">
        <f t="shared" si="77"/>
        <v/>
      </c>
      <c r="K599" s="49"/>
      <c r="L599" s="30"/>
      <c r="M599" s="31"/>
      <c r="N599" s="33"/>
      <c r="O599" s="31"/>
      <c r="P599" s="29" t="str">
        <f t="shared" si="78"/>
        <v/>
      </c>
      <c r="Q599" s="29" t="str">
        <f t="shared" si="79"/>
        <v/>
      </c>
      <c r="R599" s="33"/>
    </row>
    <row r="600" spans="1:18" x14ac:dyDescent="0.25">
      <c r="A600" s="31"/>
      <c r="B600" s="34" t="str">
        <f t="shared" si="72"/>
        <v/>
      </c>
      <c r="C600" s="30"/>
      <c r="D600" s="10"/>
      <c r="E600" s="30"/>
      <c r="F600" s="36" t="str">
        <f t="shared" si="73"/>
        <v/>
      </c>
      <c r="G600" s="36" t="str">
        <f t="shared" si="74"/>
        <v/>
      </c>
      <c r="H600" s="36" t="str">
        <f t="shared" si="75"/>
        <v/>
      </c>
      <c r="I600" s="34" t="str">
        <f t="shared" si="76"/>
        <v/>
      </c>
      <c r="J600" s="35" t="str">
        <f t="shared" si="77"/>
        <v/>
      </c>
      <c r="K600" s="49"/>
      <c r="L600" s="30"/>
      <c r="M600" s="31"/>
      <c r="N600" s="33"/>
      <c r="O600" s="31"/>
      <c r="P600" s="29" t="str">
        <f t="shared" si="78"/>
        <v/>
      </c>
      <c r="Q600" s="29" t="str">
        <f t="shared" si="79"/>
        <v/>
      </c>
      <c r="R600" s="33"/>
    </row>
    <row r="601" spans="1:18" x14ac:dyDescent="0.25">
      <c r="A601" s="31"/>
      <c r="B601" s="34" t="str">
        <f t="shared" si="72"/>
        <v/>
      </c>
      <c r="C601" s="30"/>
      <c r="D601" s="10"/>
      <c r="E601" s="30"/>
      <c r="F601" s="36" t="str">
        <f t="shared" si="73"/>
        <v/>
      </c>
      <c r="G601" s="36" t="str">
        <f t="shared" si="74"/>
        <v/>
      </c>
      <c r="H601" s="36" t="str">
        <f t="shared" si="75"/>
        <v/>
      </c>
      <c r="I601" s="34" t="str">
        <f t="shared" si="76"/>
        <v/>
      </c>
      <c r="J601" s="35" t="str">
        <f t="shared" si="77"/>
        <v/>
      </c>
      <c r="K601" s="49"/>
      <c r="L601" s="30"/>
      <c r="M601" s="31"/>
      <c r="N601" s="33"/>
      <c r="O601" s="31"/>
      <c r="P601" s="29" t="str">
        <f t="shared" si="78"/>
        <v/>
      </c>
      <c r="Q601" s="29" t="str">
        <f t="shared" si="79"/>
        <v/>
      </c>
      <c r="R601" s="33"/>
    </row>
    <row r="602" spans="1:18" x14ac:dyDescent="0.25">
      <c r="A602" s="31"/>
      <c r="B602" s="34" t="str">
        <f t="shared" si="72"/>
        <v/>
      </c>
      <c r="C602" s="30"/>
      <c r="D602" s="10"/>
      <c r="E602" s="30"/>
      <c r="F602" s="36" t="str">
        <f t="shared" si="73"/>
        <v/>
      </c>
      <c r="G602" s="36" t="str">
        <f t="shared" si="74"/>
        <v/>
      </c>
      <c r="H602" s="36" t="str">
        <f t="shared" si="75"/>
        <v/>
      </c>
      <c r="I602" s="34" t="str">
        <f t="shared" si="76"/>
        <v/>
      </c>
      <c r="J602" s="35" t="str">
        <f t="shared" si="77"/>
        <v/>
      </c>
      <c r="K602" s="49"/>
      <c r="L602" s="30"/>
      <c r="M602" s="31"/>
      <c r="N602" s="33"/>
      <c r="O602" s="31"/>
      <c r="P602" s="29" t="str">
        <f t="shared" si="78"/>
        <v/>
      </c>
      <c r="Q602" s="29" t="str">
        <f t="shared" si="79"/>
        <v/>
      </c>
      <c r="R602" s="33"/>
    </row>
    <row r="603" spans="1:18" x14ac:dyDescent="0.25">
      <c r="A603" s="31"/>
      <c r="B603" s="34" t="str">
        <f t="shared" si="72"/>
        <v/>
      </c>
      <c r="C603" s="30"/>
      <c r="D603" s="10"/>
      <c r="E603" s="30"/>
      <c r="F603" s="36" t="str">
        <f t="shared" si="73"/>
        <v/>
      </c>
      <c r="G603" s="36" t="str">
        <f t="shared" si="74"/>
        <v/>
      </c>
      <c r="H603" s="36" t="str">
        <f t="shared" si="75"/>
        <v/>
      </c>
      <c r="I603" s="34" t="str">
        <f t="shared" si="76"/>
        <v/>
      </c>
      <c r="J603" s="35" t="str">
        <f t="shared" si="77"/>
        <v/>
      </c>
      <c r="K603" s="49"/>
      <c r="L603" s="30"/>
      <c r="M603" s="31"/>
      <c r="N603" s="33"/>
      <c r="O603" s="31"/>
      <c r="P603" s="29" t="str">
        <f t="shared" si="78"/>
        <v/>
      </c>
      <c r="Q603" s="29" t="str">
        <f t="shared" si="79"/>
        <v/>
      </c>
      <c r="R603" s="33"/>
    </row>
    <row r="604" spans="1:18" x14ac:dyDescent="0.25">
      <c r="A604" s="31"/>
      <c r="B604" s="34" t="str">
        <f t="shared" si="72"/>
        <v/>
      </c>
      <c r="C604" s="30"/>
      <c r="D604" s="10"/>
      <c r="E604" s="30"/>
      <c r="F604" s="36" t="str">
        <f t="shared" si="73"/>
        <v/>
      </c>
      <c r="G604" s="36" t="str">
        <f t="shared" si="74"/>
        <v/>
      </c>
      <c r="H604" s="36" t="str">
        <f t="shared" si="75"/>
        <v/>
      </c>
      <c r="I604" s="34" t="str">
        <f t="shared" si="76"/>
        <v/>
      </c>
      <c r="J604" s="35" t="str">
        <f t="shared" si="77"/>
        <v/>
      </c>
      <c r="K604" s="49"/>
      <c r="L604" s="30"/>
      <c r="M604" s="31"/>
      <c r="N604" s="33"/>
      <c r="O604" s="31"/>
      <c r="P604" s="29" t="str">
        <f t="shared" si="78"/>
        <v/>
      </c>
      <c r="Q604" s="29" t="str">
        <f t="shared" si="79"/>
        <v/>
      </c>
      <c r="R604" s="33"/>
    </row>
    <row r="605" spans="1:18" x14ac:dyDescent="0.25">
      <c r="A605" s="31"/>
      <c r="B605" s="34" t="str">
        <f t="shared" si="72"/>
        <v/>
      </c>
      <c r="C605" s="30"/>
      <c r="D605" s="10"/>
      <c r="E605" s="30"/>
      <c r="F605" s="36" t="str">
        <f t="shared" si="73"/>
        <v/>
      </c>
      <c r="G605" s="36" t="str">
        <f t="shared" si="74"/>
        <v/>
      </c>
      <c r="H605" s="36" t="str">
        <f t="shared" si="75"/>
        <v/>
      </c>
      <c r="I605" s="34" t="str">
        <f t="shared" si="76"/>
        <v/>
      </c>
      <c r="J605" s="35" t="str">
        <f t="shared" si="77"/>
        <v/>
      </c>
      <c r="K605" s="49"/>
      <c r="L605" s="30"/>
      <c r="M605" s="31"/>
      <c r="N605" s="33"/>
      <c r="O605" s="31"/>
      <c r="P605" s="29" t="str">
        <f t="shared" si="78"/>
        <v/>
      </c>
      <c r="Q605" s="29" t="str">
        <f t="shared" si="79"/>
        <v/>
      </c>
      <c r="R605" s="33"/>
    </row>
    <row r="606" spans="1:18" x14ac:dyDescent="0.25">
      <c r="A606" s="31"/>
      <c r="B606" s="34" t="str">
        <f t="shared" si="72"/>
        <v/>
      </c>
      <c r="C606" s="30"/>
      <c r="D606" s="10"/>
      <c r="E606" s="30"/>
      <c r="F606" s="36" t="str">
        <f t="shared" si="73"/>
        <v/>
      </c>
      <c r="G606" s="36" t="str">
        <f t="shared" si="74"/>
        <v/>
      </c>
      <c r="H606" s="36" t="str">
        <f t="shared" si="75"/>
        <v/>
      </c>
      <c r="I606" s="34" t="str">
        <f t="shared" si="76"/>
        <v/>
      </c>
      <c r="J606" s="35" t="str">
        <f t="shared" si="77"/>
        <v/>
      </c>
      <c r="K606" s="49"/>
      <c r="L606" s="30"/>
      <c r="M606" s="31"/>
      <c r="N606" s="33"/>
      <c r="O606" s="31"/>
      <c r="P606" s="29" t="str">
        <f t="shared" si="78"/>
        <v/>
      </c>
      <c r="Q606" s="29" t="str">
        <f t="shared" si="79"/>
        <v/>
      </c>
      <c r="R606" s="33"/>
    </row>
    <row r="607" spans="1:18" x14ac:dyDescent="0.25">
      <c r="A607" s="31"/>
      <c r="B607" s="34" t="str">
        <f t="shared" si="72"/>
        <v/>
      </c>
      <c r="C607" s="30"/>
      <c r="D607" s="10"/>
      <c r="E607" s="30"/>
      <c r="F607" s="36" t="str">
        <f t="shared" si="73"/>
        <v/>
      </c>
      <c r="G607" s="36" t="str">
        <f t="shared" si="74"/>
        <v/>
      </c>
      <c r="H607" s="36" t="str">
        <f t="shared" si="75"/>
        <v/>
      </c>
      <c r="I607" s="34" t="str">
        <f t="shared" si="76"/>
        <v/>
      </c>
      <c r="J607" s="35" t="str">
        <f t="shared" si="77"/>
        <v/>
      </c>
      <c r="K607" s="49"/>
      <c r="L607" s="30"/>
      <c r="M607" s="31"/>
      <c r="N607" s="33"/>
      <c r="O607" s="31"/>
      <c r="P607" s="29" t="str">
        <f t="shared" si="78"/>
        <v/>
      </c>
      <c r="Q607" s="29" t="str">
        <f t="shared" si="79"/>
        <v/>
      </c>
      <c r="R607" s="33"/>
    </row>
    <row r="608" spans="1:18" x14ac:dyDescent="0.25">
      <c r="A608" s="31"/>
      <c r="B608" s="34" t="str">
        <f t="shared" si="72"/>
        <v/>
      </c>
      <c r="C608" s="30"/>
      <c r="D608" s="10"/>
      <c r="E608" s="30"/>
      <c r="F608" s="36" t="str">
        <f t="shared" si="73"/>
        <v/>
      </c>
      <c r="G608" s="36" t="str">
        <f t="shared" si="74"/>
        <v/>
      </c>
      <c r="H608" s="36" t="str">
        <f t="shared" si="75"/>
        <v/>
      </c>
      <c r="I608" s="34" t="str">
        <f t="shared" si="76"/>
        <v/>
      </c>
      <c r="J608" s="35" t="str">
        <f t="shared" si="77"/>
        <v/>
      </c>
      <c r="K608" s="49"/>
      <c r="L608" s="30"/>
      <c r="M608" s="31"/>
      <c r="N608" s="33"/>
      <c r="O608" s="31"/>
      <c r="P608" s="29" t="str">
        <f t="shared" si="78"/>
        <v/>
      </c>
      <c r="Q608" s="29" t="str">
        <f t="shared" si="79"/>
        <v/>
      </c>
      <c r="R608" s="33"/>
    </row>
    <row r="609" spans="1:18" x14ac:dyDescent="0.25">
      <c r="A609" s="31"/>
      <c r="B609" s="34" t="str">
        <f t="shared" si="72"/>
        <v/>
      </c>
      <c r="C609" s="30"/>
      <c r="D609" s="10"/>
      <c r="E609" s="30"/>
      <c r="F609" s="36" t="str">
        <f t="shared" si="73"/>
        <v/>
      </c>
      <c r="G609" s="36" t="str">
        <f t="shared" si="74"/>
        <v/>
      </c>
      <c r="H609" s="36" t="str">
        <f t="shared" si="75"/>
        <v/>
      </c>
      <c r="I609" s="34" t="str">
        <f t="shared" si="76"/>
        <v/>
      </c>
      <c r="J609" s="35" t="str">
        <f t="shared" si="77"/>
        <v/>
      </c>
      <c r="K609" s="49"/>
      <c r="L609" s="30"/>
      <c r="M609" s="31"/>
      <c r="N609" s="33"/>
      <c r="O609" s="31"/>
      <c r="P609" s="29" t="str">
        <f t="shared" si="78"/>
        <v/>
      </c>
      <c r="Q609" s="29" t="str">
        <f t="shared" si="79"/>
        <v/>
      </c>
      <c r="R609" s="33"/>
    </row>
    <row r="610" spans="1:18" x14ac:dyDescent="0.25">
      <c r="A610" s="31"/>
      <c r="B610" s="34" t="str">
        <f t="shared" si="72"/>
        <v/>
      </c>
      <c r="C610" s="30"/>
      <c r="D610" s="10"/>
      <c r="E610" s="30"/>
      <c r="F610" s="36" t="str">
        <f t="shared" si="73"/>
        <v/>
      </c>
      <c r="G610" s="36" t="str">
        <f t="shared" si="74"/>
        <v/>
      </c>
      <c r="H610" s="36" t="str">
        <f t="shared" si="75"/>
        <v/>
      </c>
      <c r="I610" s="34" t="str">
        <f t="shared" si="76"/>
        <v/>
      </c>
      <c r="J610" s="35" t="str">
        <f t="shared" si="77"/>
        <v/>
      </c>
      <c r="K610" s="49"/>
      <c r="L610" s="30"/>
      <c r="M610" s="31"/>
      <c r="N610" s="33"/>
      <c r="O610" s="31"/>
      <c r="P610" s="29" t="str">
        <f t="shared" si="78"/>
        <v/>
      </c>
      <c r="Q610" s="29" t="str">
        <f t="shared" si="79"/>
        <v/>
      </c>
      <c r="R610" s="33"/>
    </row>
    <row r="611" spans="1:18" x14ac:dyDescent="0.25">
      <c r="A611" s="31"/>
      <c r="B611" s="34" t="str">
        <f t="shared" si="72"/>
        <v/>
      </c>
      <c r="C611" s="30"/>
      <c r="D611" s="10"/>
      <c r="E611" s="30"/>
      <c r="F611" s="36" t="str">
        <f t="shared" si="73"/>
        <v/>
      </c>
      <c r="G611" s="36" t="str">
        <f t="shared" si="74"/>
        <v/>
      </c>
      <c r="H611" s="36" t="str">
        <f t="shared" si="75"/>
        <v/>
      </c>
      <c r="I611" s="34" t="str">
        <f t="shared" si="76"/>
        <v/>
      </c>
      <c r="J611" s="35" t="str">
        <f t="shared" si="77"/>
        <v/>
      </c>
      <c r="K611" s="49"/>
      <c r="L611" s="30"/>
      <c r="M611" s="31"/>
      <c r="N611" s="33"/>
      <c r="O611" s="31"/>
      <c r="P611" s="29" t="str">
        <f t="shared" si="78"/>
        <v/>
      </c>
      <c r="Q611" s="29" t="str">
        <f t="shared" si="79"/>
        <v/>
      </c>
      <c r="R611" s="33"/>
    </row>
    <row r="612" spans="1:18" x14ac:dyDescent="0.25">
      <c r="A612" s="31"/>
      <c r="B612" s="34" t="str">
        <f t="shared" si="72"/>
        <v/>
      </c>
      <c r="C612" s="30"/>
      <c r="D612" s="10"/>
      <c r="E612" s="30"/>
      <c r="F612" s="36" t="str">
        <f t="shared" si="73"/>
        <v/>
      </c>
      <c r="G612" s="36" t="str">
        <f t="shared" si="74"/>
        <v/>
      </c>
      <c r="H612" s="36" t="str">
        <f t="shared" si="75"/>
        <v/>
      </c>
      <c r="I612" s="34" t="str">
        <f t="shared" si="76"/>
        <v/>
      </c>
      <c r="J612" s="35" t="str">
        <f t="shared" si="77"/>
        <v/>
      </c>
      <c r="K612" s="49"/>
      <c r="L612" s="30"/>
      <c r="M612" s="31"/>
      <c r="N612" s="33"/>
      <c r="O612" s="31"/>
      <c r="P612" s="29" t="str">
        <f t="shared" si="78"/>
        <v/>
      </c>
      <c r="Q612" s="29" t="str">
        <f t="shared" si="79"/>
        <v/>
      </c>
      <c r="R612" s="33"/>
    </row>
    <row r="613" spans="1:18" x14ac:dyDescent="0.25">
      <c r="A613" s="31"/>
      <c r="B613" s="34" t="str">
        <f t="shared" si="72"/>
        <v/>
      </c>
      <c r="C613" s="30"/>
      <c r="D613" s="10"/>
      <c r="E613" s="30"/>
      <c r="F613" s="36" t="str">
        <f t="shared" si="73"/>
        <v/>
      </c>
      <c r="G613" s="36" t="str">
        <f t="shared" si="74"/>
        <v/>
      </c>
      <c r="H613" s="36" t="str">
        <f t="shared" si="75"/>
        <v/>
      </c>
      <c r="I613" s="34" t="str">
        <f t="shared" si="76"/>
        <v/>
      </c>
      <c r="J613" s="35" t="str">
        <f t="shared" si="77"/>
        <v/>
      </c>
      <c r="K613" s="49"/>
      <c r="L613" s="30"/>
      <c r="M613" s="31"/>
      <c r="N613" s="33"/>
      <c r="O613" s="31"/>
      <c r="P613" s="29" t="str">
        <f t="shared" si="78"/>
        <v/>
      </c>
      <c r="Q613" s="29" t="str">
        <f t="shared" si="79"/>
        <v/>
      </c>
      <c r="R613" s="33"/>
    </row>
    <row r="614" spans="1:18" x14ac:dyDescent="0.25">
      <c r="A614" s="31"/>
      <c r="B614" s="34" t="str">
        <f t="shared" si="72"/>
        <v/>
      </c>
      <c r="C614" s="30"/>
      <c r="D614" s="10"/>
      <c r="E614" s="30"/>
      <c r="F614" s="36" t="str">
        <f t="shared" si="73"/>
        <v/>
      </c>
      <c r="G614" s="36" t="str">
        <f t="shared" si="74"/>
        <v/>
      </c>
      <c r="H614" s="36" t="str">
        <f t="shared" si="75"/>
        <v/>
      </c>
      <c r="I614" s="34" t="str">
        <f t="shared" si="76"/>
        <v/>
      </c>
      <c r="J614" s="35" t="str">
        <f t="shared" si="77"/>
        <v/>
      </c>
      <c r="K614" s="49"/>
      <c r="L614" s="30"/>
      <c r="M614" s="31"/>
      <c r="N614" s="33"/>
      <c r="O614" s="31"/>
      <c r="P614" s="29" t="str">
        <f t="shared" si="78"/>
        <v/>
      </c>
      <c r="Q614" s="29" t="str">
        <f t="shared" si="79"/>
        <v/>
      </c>
      <c r="R614" s="33"/>
    </row>
    <row r="615" spans="1:18" x14ac:dyDescent="0.25">
      <c r="A615" s="31"/>
      <c r="B615" s="34" t="str">
        <f t="shared" si="72"/>
        <v/>
      </c>
      <c r="C615" s="30"/>
      <c r="D615" s="10"/>
      <c r="E615" s="30"/>
      <c r="F615" s="36" t="str">
        <f t="shared" si="73"/>
        <v/>
      </c>
      <c r="G615" s="36" t="str">
        <f t="shared" si="74"/>
        <v/>
      </c>
      <c r="H615" s="36" t="str">
        <f t="shared" si="75"/>
        <v/>
      </c>
      <c r="I615" s="34" t="str">
        <f t="shared" si="76"/>
        <v/>
      </c>
      <c r="J615" s="35" t="str">
        <f t="shared" si="77"/>
        <v/>
      </c>
      <c r="K615" s="49"/>
      <c r="L615" s="30"/>
      <c r="M615" s="31"/>
      <c r="N615" s="33"/>
      <c r="O615" s="31"/>
      <c r="P615" s="29" t="str">
        <f t="shared" si="78"/>
        <v/>
      </c>
      <c r="Q615" s="29" t="str">
        <f t="shared" si="79"/>
        <v/>
      </c>
      <c r="R615" s="33"/>
    </row>
    <row r="616" spans="1:18" x14ac:dyDescent="0.25">
      <c r="A616" s="31"/>
      <c r="B616" s="34" t="str">
        <f t="shared" si="72"/>
        <v/>
      </c>
      <c r="C616" s="30"/>
      <c r="D616" s="10"/>
      <c r="E616" s="30"/>
      <c r="F616" s="36" t="str">
        <f t="shared" si="73"/>
        <v/>
      </c>
      <c r="G616" s="36" t="str">
        <f t="shared" si="74"/>
        <v/>
      </c>
      <c r="H616" s="36" t="str">
        <f t="shared" si="75"/>
        <v/>
      </c>
      <c r="I616" s="34" t="str">
        <f t="shared" si="76"/>
        <v/>
      </c>
      <c r="J616" s="35" t="str">
        <f t="shared" si="77"/>
        <v/>
      </c>
      <c r="K616" s="49"/>
      <c r="L616" s="30"/>
      <c r="M616" s="31"/>
      <c r="N616" s="33"/>
      <c r="O616" s="31"/>
      <c r="P616" s="29" t="str">
        <f t="shared" si="78"/>
        <v/>
      </c>
      <c r="Q616" s="29" t="str">
        <f t="shared" si="79"/>
        <v/>
      </c>
      <c r="R616" s="33"/>
    </row>
    <row r="617" spans="1:18" x14ac:dyDescent="0.25">
      <c r="A617" s="31"/>
      <c r="B617" s="34" t="str">
        <f t="shared" si="72"/>
        <v/>
      </c>
      <c r="C617" s="30"/>
      <c r="D617" s="10"/>
      <c r="E617" s="30"/>
      <c r="F617" s="36" t="str">
        <f t="shared" si="73"/>
        <v/>
      </c>
      <c r="G617" s="36" t="str">
        <f t="shared" si="74"/>
        <v/>
      </c>
      <c r="H617" s="36" t="str">
        <f t="shared" si="75"/>
        <v/>
      </c>
      <c r="I617" s="34" t="str">
        <f t="shared" si="76"/>
        <v/>
      </c>
      <c r="J617" s="35" t="str">
        <f t="shared" si="77"/>
        <v/>
      </c>
      <c r="K617" s="49"/>
      <c r="L617" s="30"/>
      <c r="M617" s="31"/>
      <c r="N617" s="33"/>
      <c r="O617" s="31"/>
      <c r="P617" s="29" t="str">
        <f t="shared" si="78"/>
        <v/>
      </c>
      <c r="Q617" s="29" t="str">
        <f t="shared" si="79"/>
        <v/>
      </c>
      <c r="R617" s="33"/>
    </row>
    <row r="618" spans="1:18" x14ac:dyDescent="0.25">
      <c r="A618" s="31"/>
      <c r="B618" s="34" t="str">
        <f t="shared" si="72"/>
        <v/>
      </c>
      <c r="C618" s="30"/>
      <c r="D618" s="10"/>
      <c r="E618" s="30"/>
      <c r="F618" s="36" t="str">
        <f t="shared" si="73"/>
        <v/>
      </c>
      <c r="G618" s="36" t="str">
        <f t="shared" si="74"/>
        <v/>
      </c>
      <c r="H618" s="36" t="str">
        <f t="shared" si="75"/>
        <v/>
      </c>
      <c r="I618" s="34" t="str">
        <f t="shared" si="76"/>
        <v/>
      </c>
      <c r="J618" s="35" t="str">
        <f t="shared" si="77"/>
        <v/>
      </c>
      <c r="K618" s="49"/>
      <c r="L618" s="30"/>
      <c r="M618" s="31"/>
      <c r="N618" s="33"/>
      <c r="O618" s="31"/>
      <c r="P618" s="29" t="str">
        <f t="shared" si="78"/>
        <v/>
      </c>
      <c r="Q618" s="29" t="str">
        <f t="shared" si="79"/>
        <v/>
      </c>
      <c r="R618" s="33"/>
    </row>
    <row r="619" spans="1:18" x14ac:dyDescent="0.25">
      <c r="A619" s="31"/>
      <c r="B619" s="34" t="str">
        <f t="shared" si="72"/>
        <v/>
      </c>
      <c r="C619" s="30"/>
      <c r="D619" s="10"/>
      <c r="E619" s="30"/>
      <c r="F619" s="36" t="str">
        <f t="shared" si="73"/>
        <v/>
      </c>
      <c r="G619" s="36" t="str">
        <f t="shared" si="74"/>
        <v/>
      </c>
      <c r="H619" s="36" t="str">
        <f t="shared" si="75"/>
        <v/>
      </c>
      <c r="I619" s="34" t="str">
        <f t="shared" si="76"/>
        <v/>
      </c>
      <c r="J619" s="35" t="str">
        <f t="shared" si="77"/>
        <v/>
      </c>
      <c r="K619" s="49"/>
      <c r="L619" s="30"/>
      <c r="M619" s="31"/>
      <c r="N619" s="33"/>
      <c r="O619" s="31"/>
      <c r="P619" s="29" t="str">
        <f t="shared" si="78"/>
        <v/>
      </c>
      <c r="Q619" s="29" t="str">
        <f t="shared" si="79"/>
        <v/>
      </c>
      <c r="R619" s="33"/>
    </row>
    <row r="620" spans="1:18" x14ac:dyDescent="0.25">
      <c r="A620" s="31"/>
      <c r="B620" s="34" t="str">
        <f t="shared" si="72"/>
        <v/>
      </c>
      <c r="C620" s="30"/>
      <c r="D620" s="10"/>
      <c r="E620" s="30"/>
      <c r="F620" s="36" t="str">
        <f t="shared" si="73"/>
        <v/>
      </c>
      <c r="G620" s="36" t="str">
        <f t="shared" si="74"/>
        <v/>
      </c>
      <c r="H620" s="36" t="str">
        <f t="shared" si="75"/>
        <v/>
      </c>
      <c r="I620" s="34" t="str">
        <f t="shared" si="76"/>
        <v/>
      </c>
      <c r="J620" s="35" t="str">
        <f t="shared" si="77"/>
        <v/>
      </c>
      <c r="K620" s="49"/>
      <c r="L620" s="30"/>
      <c r="M620" s="31"/>
      <c r="N620" s="33"/>
      <c r="O620" s="31"/>
      <c r="P620" s="29" t="str">
        <f t="shared" si="78"/>
        <v/>
      </c>
      <c r="Q620" s="29" t="str">
        <f t="shared" si="79"/>
        <v/>
      </c>
      <c r="R620" s="33"/>
    </row>
    <row r="621" spans="1:18" x14ac:dyDescent="0.25">
      <c r="A621" s="31"/>
      <c r="B621" s="34" t="str">
        <f t="shared" si="72"/>
        <v/>
      </c>
      <c r="C621" s="30"/>
      <c r="D621" s="10"/>
      <c r="E621" s="30"/>
      <c r="F621" s="36" t="str">
        <f t="shared" si="73"/>
        <v/>
      </c>
      <c r="G621" s="36" t="str">
        <f t="shared" si="74"/>
        <v/>
      </c>
      <c r="H621" s="36" t="str">
        <f t="shared" si="75"/>
        <v/>
      </c>
      <c r="I621" s="34" t="str">
        <f t="shared" si="76"/>
        <v/>
      </c>
      <c r="J621" s="35" t="str">
        <f t="shared" si="77"/>
        <v/>
      </c>
      <c r="K621" s="49"/>
      <c r="L621" s="30"/>
      <c r="M621" s="31"/>
      <c r="N621" s="33"/>
      <c r="O621" s="31"/>
      <c r="P621" s="29" t="str">
        <f t="shared" si="78"/>
        <v/>
      </c>
      <c r="Q621" s="29" t="str">
        <f t="shared" si="79"/>
        <v/>
      </c>
      <c r="R621" s="33"/>
    </row>
    <row r="622" spans="1:18" x14ac:dyDescent="0.25">
      <c r="A622" s="31"/>
      <c r="B622" s="34" t="str">
        <f t="shared" si="72"/>
        <v/>
      </c>
      <c r="C622" s="30"/>
      <c r="D622" s="10"/>
      <c r="E622" s="30"/>
      <c r="F622" s="36" t="str">
        <f t="shared" si="73"/>
        <v/>
      </c>
      <c r="G622" s="36" t="str">
        <f t="shared" si="74"/>
        <v/>
      </c>
      <c r="H622" s="36" t="str">
        <f t="shared" si="75"/>
        <v/>
      </c>
      <c r="I622" s="34" t="str">
        <f t="shared" si="76"/>
        <v/>
      </c>
      <c r="J622" s="35" t="str">
        <f t="shared" si="77"/>
        <v/>
      </c>
      <c r="K622" s="49"/>
      <c r="L622" s="30"/>
      <c r="M622" s="31"/>
      <c r="N622" s="33"/>
      <c r="O622" s="31"/>
      <c r="P622" s="29" t="str">
        <f t="shared" si="78"/>
        <v/>
      </c>
      <c r="Q622" s="29" t="str">
        <f t="shared" si="79"/>
        <v/>
      </c>
      <c r="R622" s="33"/>
    </row>
    <row r="623" spans="1:18" x14ac:dyDescent="0.25">
      <c r="A623" s="31"/>
      <c r="B623" s="34" t="str">
        <f t="shared" si="72"/>
        <v/>
      </c>
      <c r="C623" s="30"/>
      <c r="D623" s="10"/>
      <c r="E623" s="30"/>
      <c r="F623" s="36" t="str">
        <f t="shared" si="73"/>
        <v/>
      </c>
      <c r="G623" s="36" t="str">
        <f t="shared" si="74"/>
        <v/>
      </c>
      <c r="H623" s="36" t="str">
        <f t="shared" si="75"/>
        <v/>
      </c>
      <c r="I623" s="34" t="str">
        <f t="shared" si="76"/>
        <v/>
      </c>
      <c r="J623" s="35" t="str">
        <f t="shared" si="77"/>
        <v/>
      </c>
      <c r="K623" s="49"/>
      <c r="L623" s="30"/>
      <c r="M623" s="31"/>
      <c r="N623" s="33"/>
      <c r="O623" s="31"/>
      <c r="P623" s="29" t="str">
        <f t="shared" si="78"/>
        <v/>
      </c>
      <c r="Q623" s="29" t="str">
        <f t="shared" si="79"/>
        <v/>
      </c>
      <c r="R623" s="33"/>
    </row>
    <row r="624" spans="1:18" x14ac:dyDescent="0.25">
      <c r="A624" s="31"/>
      <c r="B624" s="34" t="str">
        <f t="shared" si="72"/>
        <v/>
      </c>
      <c r="C624" s="30"/>
      <c r="D624" s="10"/>
      <c r="E624" s="30"/>
      <c r="F624" s="36" t="str">
        <f t="shared" si="73"/>
        <v/>
      </c>
      <c r="G624" s="36" t="str">
        <f t="shared" si="74"/>
        <v/>
      </c>
      <c r="H624" s="36" t="str">
        <f t="shared" si="75"/>
        <v/>
      </c>
      <c r="I624" s="34" t="str">
        <f t="shared" si="76"/>
        <v/>
      </c>
      <c r="J624" s="35" t="str">
        <f t="shared" si="77"/>
        <v/>
      </c>
      <c r="K624" s="49"/>
      <c r="L624" s="30"/>
      <c r="M624" s="31"/>
      <c r="N624" s="33"/>
      <c r="O624" s="31"/>
      <c r="P624" s="29" t="str">
        <f t="shared" si="78"/>
        <v/>
      </c>
      <c r="Q624" s="29" t="str">
        <f t="shared" si="79"/>
        <v/>
      </c>
      <c r="R624" s="33"/>
    </row>
    <row r="625" spans="1:18" x14ac:dyDescent="0.25">
      <c r="A625" s="31"/>
      <c r="B625" s="34" t="str">
        <f t="shared" si="72"/>
        <v/>
      </c>
      <c r="C625" s="30"/>
      <c r="D625" s="10"/>
      <c r="E625" s="30"/>
      <c r="F625" s="36" t="str">
        <f t="shared" si="73"/>
        <v/>
      </c>
      <c r="G625" s="36" t="str">
        <f t="shared" si="74"/>
        <v/>
      </c>
      <c r="H625" s="36" t="str">
        <f t="shared" si="75"/>
        <v/>
      </c>
      <c r="I625" s="34" t="str">
        <f t="shared" si="76"/>
        <v/>
      </c>
      <c r="J625" s="35" t="str">
        <f t="shared" si="77"/>
        <v/>
      </c>
      <c r="K625" s="49"/>
      <c r="L625" s="30"/>
      <c r="M625" s="31"/>
      <c r="N625" s="33"/>
      <c r="O625" s="31"/>
      <c r="P625" s="29" t="str">
        <f t="shared" si="78"/>
        <v/>
      </c>
      <c r="Q625" s="29" t="str">
        <f t="shared" si="79"/>
        <v/>
      </c>
      <c r="R625" s="33"/>
    </row>
    <row r="626" spans="1:18" x14ac:dyDescent="0.25">
      <c r="A626" s="31"/>
      <c r="B626" s="34" t="str">
        <f t="shared" si="72"/>
        <v/>
      </c>
      <c r="C626" s="30"/>
      <c r="D626" s="10"/>
      <c r="E626" s="30"/>
      <c r="F626" s="36" t="str">
        <f t="shared" si="73"/>
        <v/>
      </c>
      <c r="G626" s="36" t="str">
        <f t="shared" si="74"/>
        <v/>
      </c>
      <c r="H626" s="36" t="str">
        <f t="shared" si="75"/>
        <v/>
      </c>
      <c r="I626" s="34" t="str">
        <f t="shared" si="76"/>
        <v/>
      </c>
      <c r="J626" s="35" t="str">
        <f t="shared" si="77"/>
        <v/>
      </c>
      <c r="K626" s="49"/>
      <c r="L626" s="30"/>
      <c r="M626" s="31"/>
      <c r="N626" s="33"/>
      <c r="O626" s="31"/>
      <c r="P626" s="29" t="str">
        <f t="shared" si="78"/>
        <v/>
      </c>
      <c r="Q626" s="29" t="str">
        <f t="shared" si="79"/>
        <v/>
      </c>
      <c r="R626" s="33"/>
    </row>
    <row r="627" spans="1:18" x14ac:dyDescent="0.25">
      <c r="A627" s="31"/>
      <c r="B627" s="34" t="str">
        <f t="shared" si="72"/>
        <v/>
      </c>
      <c r="C627" s="30"/>
      <c r="D627" s="10"/>
      <c r="E627" s="30"/>
      <c r="F627" s="36" t="str">
        <f t="shared" si="73"/>
        <v/>
      </c>
      <c r="G627" s="36" t="str">
        <f t="shared" si="74"/>
        <v/>
      </c>
      <c r="H627" s="36" t="str">
        <f t="shared" si="75"/>
        <v/>
      </c>
      <c r="I627" s="34" t="str">
        <f t="shared" si="76"/>
        <v/>
      </c>
      <c r="J627" s="35" t="str">
        <f t="shared" si="77"/>
        <v/>
      </c>
      <c r="K627" s="49"/>
      <c r="L627" s="30"/>
      <c r="M627" s="31"/>
      <c r="N627" s="33"/>
      <c r="O627" s="31"/>
      <c r="P627" s="29" t="str">
        <f t="shared" si="78"/>
        <v/>
      </c>
      <c r="Q627" s="29" t="str">
        <f t="shared" si="79"/>
        <v/>
      </c>
      <c r="R627" s="33"/>
    </row>
    <row r="628" spans="1:18" x14ac:dyDescent="0.25">
      <c r="A628" s="31"/>
      <c r="B628" s="34" t="str">
        <f t="shared" si="72"/>
        <v/>
      </c>
      <c r="C628" s="30"/>
      <c r="D628" s="10"/>
      <c r="E628" s="30"/>
      <c r="F628" s="36" t="str">
        <f t="shared" si="73"/>
        <v/>
      </c>
      <c r="G628" s="36" t="str">
        <f t="shared" si="74"/>
        <v/>
      </c>
      <c r="H628" s="36" t="str">
        <f t="shared" si="75"/>
        <v/>
      </c>
      <c r="I628" s="34" t="str">
        <f t="shared" si="76"/>
        <v/>
      </c>
      <c r="J628" s="35" t="str">
        <f t="shared" si="77"/>
        <v/>
      </c>
      <c r="K628" s="49"/>
      <c r="L628" s="30"/>
      <c r="M628" s="31"/>
      <c r="N628" s="33"/>
      <c r="O628" s="31"/>
      <c r="P628" s="29" t="str">
        <f t="shared" si="78"/>
        <v/>
      </c>
      <c r="Q628" s="29" t="str">
        <f t="shared" si="79"/>
        <v/>
      </c>
      <c r="R628" s="33"/>
    </row>
    <row r="629" spans="1:18" x14ac:dyDescent="0.25">
      <c r="A629" s="31"/>
      <c r="B629" s="34" t="str">
        <f t="shared" si="72"/>
        <v/>
      </c>
      <c r="C629" s="30"/>
      <c r="D629" s="10"/>
      <c r="E629" s="30"/>
      <c r="F629" s="36" t="str">
        <f t="shared" si="73"/>
        <v/>
      </c>
      <c r="G629" s="36" t="str">
        <f t="shared" si="74"/>
        <v/>
      </c>
      <c r="H629" s="36" t="str">
        <f t="shared" si="75"/>
        <v/>
      </c>
      <c r="I629" s="34" t="str">
        <f t="shared" si="76"/>
        <v/>
      </c>
      <c r="J629" s="35" t="str">
        <f t="shared" si="77"/>
        <v/>
      </c>
      <c r="K629" s="49"/>
      <c r="L629" s="30"/>
      <c r="M629" s="31"/>
      <c r="N629" s="33"/>
      <c r="O629" s="31"/>
      <c r="P629" s="29" t="str">
        <f t="shared" si="78"/>
        <v/>
      </c>
      <c r="Q629" s="29" t="str">
        <f t="shared" si="79"/>
        <v/>
      </c>
      <c r="R629" s="33"/>
    </row>
    <row r="630" spans="1:18" x14ac:dyDescent="0.25">
      <c r="A630" s="31"/>
      <c r="B630" s="34" t="str">
        <f t="shared" si="72"/>
        <v/>
      </c>
      <c r="C630" s="30"/>
      <c r="D630" s="10"/>
      <c r="E630" s="30"/>
      <c r="F630" s="36" t="str">
        <f t="shared" si="73"/>
        <v/>
      </c>
      <c r="G630" s="36" t="str">
        <f t="shared" si="74"/>
        <v/>
      </c>
      <c r="H630" s="36" t="str">
        <f t="shared" si="75"/>
        <v/>
      </c>
      <c r="I630" s="34" t="str">
        <f t="shared" si="76"/>
        <v/>
      </c>
      <c r="J630" s="35" t="str">
        <f t="shared" si="77"/>
        <v/>
      </c>
      <c r="K630" s="49"/>
      <c r="L630" s="30"/>
      <c r="M630" s="31"/>
      <c r="N630" s="33"/>
      <c r="O630" s="31"/>
      <c r="P630" s="29" t="str">
        <f t="shared" si="78"/>
        <v/>
      </c>
      <c r="Q630" s="29" t="str">
        <f t="shared" si="79"/>
        <v/>
      </c>
      <c r="R630" s="33"/>
    </row>
    <row r="631" spans="1:18" x14ac:dyDescent="0.25">
      <c r="A631" s="31"/>
      <c r="B631" s="34" t="str">
        <f t="shared" si="72"/>
        <v/>
      </c>
      <c r="C631" s="30"/>
      <c r="D631" s="10"/>
      <c r="E631" s="30"/>
      <c r="F631" s="36" t="str">
        <f t="shared" si="73"/>
        <v/>
      </c>
      <c r="G631" s="36" t="str">
        <f t="shared" si="74"/>
        <v/>
      </c>
      <c r="H631" s="36" t="str">
        <f t="shared" si="75"/>
        <v/>
      </c>
      <c r="I631" s="34" t="str">
        <f t="shared" si="76"/>
        <v/>
      </c>
      <c r="J631" s="35" t="str">
        <f t="shared" si="77"/>
        <v/>
      </c>
      <c r="K631" s="49"/>
      <c r="L631" s="30"/>
      <c r="M631" s="31"/>
      <c r="N631" s="33"/>
      <c r="O631" s="31"/>
      <c r="P631" s="29" t="str">
        <f t="shared" si="78"/>
        <v/>
      </c>
      <c r="Q631" s="29" t="str">
        <f t="shared" si="79"/>
        <v/>
      </c>
      <c r="R631" s="33"/>
    </row>
    <row r="632" spans="1:18" x14ac:dyDescent="0.25">
      <c r="A632" s="31"/>
      <c r="B632" s="34" t="str">
        <f t="shared" si="72"/>
        <v/>
      </c>
      <c r="C632" s="30"/>
      <c r="D632" s="10"/>
      <c r="E632" s="30"/>
      <c r="F632" s="36" t="str">
        <f t="shared" si="73"/>
        <v/>
      </c>
      <c r="G632" s="36" t="str">
        <f t="shared" si="74"/>
        <v/>
      </c>
      <c r="H632" s="36" t="str">
        <f t="shared" si="75"/>
        <v/>
      </c>
      <c r="I632" s="34" t="str">
        <f t="shared" si="76"/>
        <v/>
      </c>
      <c r="J632" s="35" t="str">
        <f t="shared" si="77"/>
        <v/>
      </c>
      <c r="K632" s="49"/>
      <c r="L632" s="30"/>
      <c r="M632" s="31"/>
      <c r="N632" s="33"/>
      <c r="O632" s="31"/>
      <c r="P632" s="29" t="str">
        <f t="shared" si="78"/>
        <v/>
      </c>
      <c r="Q632" s="29" t="str">
        <f t="shared" si="79"/>
        <v/>
      </c>
      <c r="R632" s="33"/>
    </row>
    <row r="633" spans="1:18" x14ac:dyDescent="0.25">
      <c r="A633" s="31"/>
      <c r="B633" s="34" t="str">
        <f t="shared" si="72"/>
        <v/>
      </c>
      <c r="C633" s="30"/>
      <c r="D633" s="10"/>
      <c r="E633" s="30"/>
      <c r="F633" s="36" t="str">
        <f t="shared" si="73"/>
        <v/>
      </c>
      <c r="G633" s="36" t="str">
        <f t="shared" si="74"/>
        <v/>
      </c>
      <c r="H633" s="36" t="str">
        <f t="shared" si="75"/>
        <v/>
      </c>
      <c r="I633" s="34" t="str">
        <f t="shared" si="76"/>
        <v/>
      </c>
      <c r="J633" s="35" t="str">
        <f t="shared" si="77"/>
        <v/>
      </c>
      <c r="K633" s="49"/>
      <c r="L633" s="30"/>
      <c r="M633" s="31"/>
      <c r="N633" s="33"/>
      <c r="O633" s="31"/>
      <c r="P633" s="29" t="str">
        <f t="shared" si="78"/>
        <v/>
      </c>
      <c r="Q633" s="29" t="str">
        <f t="shared" si="79"/>
        <v/>
      </c>
      <c r="R633" s="33"/>
    </row>
    <row r="634" spans="1:18" x14ac:dyDescent="0.25">
      <c r="A634" s="31"/>
      <c r="B634" s="34" t="str">
        <f t="shared" si="72"/>
        <v/>
      </c>
      <c r="C634" s="30"/>
      <c r="D634" s="10"/>
      <c r="E634" s="30"/>
      <c r="F634" s="36" t="str">
        <f t="shared" si="73"/>
        <v/>
      </c>
      <c r="G634" s="36" t="str">
        <f t="shared" si="74"/>
        <v/>
      </c>
      <c r="H634" s="36" t="str">
        <f t="shared" si="75"/>
        <v/>
      </c>
      <c r="I634" s="34" t="str">
        <f t="shared" si="76"/>
        <v/>
      </c>
      <c r="J634" s="35" t="str">
        <f t="shared" si="77"/>
        <v/>
      </c>
      <c r="K634" s="49"/>
      <c r="L634" s="30"/>
      <c r="M634" s="31"/>
      <c r="N634" s="33"/>
      <c r="O634" s="31"/>
      <c r="P634" s="29" t="str">
        <f t="shared" si="78"/>
        <v/>
      </c>
      <c r="Q634" s="29" t="str">
        <f t="shared" si="79"/>
        <v/>
      </c>
      <c r="R634" s="33"/>
    </row>
    <row r="635" spans="1:18" x14ac:dyDescent="0.25">
      <c r="A635" s="31"/>
      <c r="B635" s="34" t="str">
        <f t="shared" si="72"/>
        <v/>
      </c>
      <c r="C635" s="30"/>
      <c r="D635" s="10"/>
      <c r="E635" s="30"/>
      <c r="F635" s="36" t="str">
        <f t="shared" si="73"/>
        <v/>
      </c>
      <c r="G635" s="36" t="str">
        <f t="shared" si="74"/>
        <v/>
      </c>
      <c r="H635" s="36" t="str">
        <f t="shared" si="75"/>
        <v/>
      </c>
      <c r="I635" s="34" t="str">
        <f t="shared" si="76"/>
        <v/>
      </c>
      <c r="J635" s="35" t="str">
        <f t="shared" si="77"/>
        <v/>
      </c>
      <c r="K635" s="49"/>
      <c r="L635" s="30"/>
      <c r="M635" s="31"/>
      <c r="N635" s="33"/>
      <c r="O635" s="31"/>
      <c r="P635" s="29" t="str">
        <f t="shared" si="78"/>
        <v/>
      </c>
      <c r="Q635" s="29" t="str">
        <f t="shared" si="79"/>
        <v/>
      </c>
      <c r="R635" s="33"/>
    </row>
    <row r="636" spans="1:18" x14ac:dyDescent="0.25">
      <c r="A636" s="31"/>
      <c r="B636" s="34" t="str">
        <f t="shared" si="72"/>
        <v/>
      </c>
      <c r="C636" s="30"/>
      <c r="D636" s="10"/>
      <c r="E636" s="30"/>
      <c r="F636" s="36" t="str">
        <f t="shared" si="73"/>
        <v/>
      </c>
      <c r="G636" s="36" t="str">
        <f t="shared" si="74"/>
        <v/>
      </c>
      <c r="H636" s="36" t="str">
        <f t="shared" si="75"/>
        <v/>
      </c>
      <c r="I636" s="34" t="str">
        <f t="shared" si="76"/>
        <v/>
      </c>
      <c r="J636" s="35" t="str">
        <f t="shared" si="77"/>
        <v/>
      </c>
      <c r="K636" s="49"/>
      <c r="L636" s="30"/>
      <c r="M636" s="31"/>
      <c r="N636" s="33"/>
      <c r="O636" s="31"/>
      <c r="P636" s="29" t="str">
        <f t="shared" si="78"/>
        <v/>
      </c>
      <c r="Q636" s="29" t="str">
        <f t="shared" si="79"/>
        <v/>
      </c>
      <c r="R636" s="33"/>
    </row>
    <row r="637" spans="1:18" x14ac:dyDescent="0.25">
      <c r="A637" s="31"/>
      <c r="B637" s="34" t="str">
        <f t="shared" si="72"/>
        <v/>
      </c>
      <c r="C637" s="30"/>
      <c r="D637" s="10"/>
      <c r="E637" s="30"/>
      <c r="F637" s="36" t="str">
        <f t="shared" si="73"/>
        <v/>
      </c>
      <c r="G637" s="36" t="str">
        <f t="shared" si="74"/>
        <v/>
      </c>
      <c r="H637" s="36" t="str">
        <f t="shared" si="75"/>
        <v/>
      </c>
      <c r="I637" s="34" t="str">
        <f t="shared" si="76"/>
        <v/>
      </c>
      <c r="J637" s="35" t="str">
        <f t="shared" si="77"/>
        <v/>
      </c>
      <c r="K637" s="49"/>
      <c r="L637" s="30"/>
      <c r="M637" s="31"/>
      <c r="N637" s="33"/>
      <c r="O637" s="31"/>
      <c r="P637" s="29" t="str">
        <f t="shared" si="78"/>
        <v/>
      </c>
      <c r="Q637" s="29" t="str">
        <f t="shared" si="79"/>
        <v/>
      </c>
      <c r="R637" s="33"/>
    </row>
    <row r="638" spans="1:18" x14ac:dyDescent="0.25">
      <c r="A638" s="31"/>
      <c r="B638" s="34" t="str">
        <f t="shared" si="72"/>
        <v/>
      </c>
      <c r="C638" s="30"/>
      <c r="D638" s="10"/>
      <c r="E638" s="30"/>
      <c r="F638" s="36" t="str">
        <f t="shared" si="73"/>
        <v/>
      </c>
      <c r="G638" s="36" t="str">
        <f t="shared" si="74"/>
        <v/>
      </c>
      <c r="H638" s="36" t="str">
        <f t="shared" si="75"/>
        <v/>
      </c>
      <c r="I638" s="34" t="str">
        <f t="shared" si="76"/>
        <v/>
      </c>
      <c r="J638" s="35" t="str">
        <f t="shared" si="77"/>
        <v/>
      </c>
      <c r="K638" s="49"/>
      <c r="L638" s="30"/>
      <c r="M638" s="31"/>
      <c r="N638" s="33"/>
      <c r="O638" s="31"/>
      <c r="P638" s="29" t="str">
        <f t="shared" si="78"/>
        <v/>
      </c>
      <c r="Q638" s="29" t="str">
        <f t="shared" si="79"/>
        <v/>
      </c>
      <c r="R638" s="33"/>
    </row>
    <row r="639" spans="1:18" x14ac:dyDescent="0.25">
      <c r="A639" s="31"/>
      <c r="B639" s="34" t="str">
        <f t="shared" si="72"/>
        <v/>
      </c>
      <c r="C639" s="30"/>
      <c r="D639" s="10"/>
      <c r="E639" s="30"/>
      <c r="F639" s="36" t="str">
        <f t="shared" si="73"/>
        <v/>
      </c>
      <c r="G639" s="36" t="str">
        <f t="shared" si="74"/>
        <v/>
      </c>
      <c r="H639" s="36" t="str">
        <f t="shared" si="75"/>
        <v/>
      </c>
      <c r="I639" s="34" t="str">
        <f t="shared" si="76"/>
        <v/>
      </c>
      <c r="J639" s="35" t="str">
        <f t="shared" si="77"/>
        <v/>
      </c>
      <c r="K639" s="49"/>
      <c r="L639" s="30"/>
      <c r="M639" s="31"/>
      <c r="N639" s="33"/>
      <c r="O639" s="31"/>
      <c r="P639" s="29" t="str">
        <f t="shared" si="78"/>
        <v/>
      </c>
      <c r="Q639" s="29" t="str">
        <f t="shared" si="79"/>
        <v/>
      </c>
      <c r="R639" s="33"/>
    </row>
    <row r="640" spans="1:18" x14ac:dyDescent="0.25">
      <c r="A640" s="31"/>
      <c r="B640" s="34" t="str">
        <f t="shared" si="72"/>
        <v/>
      </c>
      <c r="C640" s="30"/>
      <c r="D640" s="10"/>
      <c r="E640" s="30"/>
      <c r="F640" s="36" t="str">
        <f t="shared" si="73"/>
        <v/>
      </c>
      <c r="G640" s="36" t="str">
        <f t="shared" si="74"/>
        <v/>
      </c>
      <c r="H640" s="36" t="str">
        <f t="shared" si="75"/>
        <v/>
      </c>
      <c r="I640" s="34" t="str">
        <f t="shared" si="76"/>
        <v/>
      </c>
      <c r="J640" s="35" t="str">
        <f t="shared" si="77"/>
        <v/>
      </c>
      <c r="K640" s="49"/>
      <c r="L640" s="30"/>
      <c r="M640" s="31"/>
      <c r="N640" s="33"/>
      <c r="O640" s="31"/>
      <c r="P640" s="29" t="str">
        <f t="shared" si="78"/>
        <v/>
      </c>
      <c r="Q640" s="29" t="str">
        <f t="shared" si="79"/>
        <v/>
      </c>
      <c r="R640" s="33"/>
    </row>
    <row r="641" spans="1:18" x14ac:dyDescent="0.25">
      <c r="A641" s="31"/>
      <c r="B641" s="34" t="str">
        <f t="shared" si="72"/>
        <v/>
      </c>
      <c r="C641" s="30"/>
      <c r="D641" s="10"/>
      <c r="E641" s="30"/>
      <c r="F641" s="36" t="str">
        <f t="shared" si="73"/>
        <v/>
      </c>
      <c r="G641" s="36" t="str">
        <f t="shared" si="74"/>
        <v/>
      </c>
      <c r="H641" s="36" t="str">
        <f t="shared" si="75"/>
        <v/>
      </c>
      <c r="I641" s="34" t="str">
        <f t="shared" si="76"/>
        <v/>
      </c>
      <c r="J641" s="35" t="str">
        <f t="shared" si="77"/>
        <v/>
      </c>
      <c r="K641" s="49"/>
      <c r="L641" s="30"/>
      <c r="M641" s="31"/>
      <c r="N641" s="33"/>
      <c r="O641" s="31"/>
      <c r="P641" s="29" t="str">
        <f t="shared" si="78"/>
        <v/>
      </c>
      <c r="Q641" s="29" t="str">
        <f t="shared" si="79"/>
        <v/>
      </c>
      <c r="R641" s="33"/>
    </row>
    <row r="642" spans="1:18" x14ac:dyDescent="0.25">
      <c r="A642" s="31"/>
      <c r="B642" s="34" t="str">
        <f t="shared" si="72"/>
        <v/>
      </c>
      <c r="C642" s="30"/>
      <c r="D642" s="10"/>
      <c r="E642" s="30"/>
      <c r="F642" s="36" t="str">
        <f t="shared" si="73"/>
        <v/>
      </c>
      <c r="G642" s="36" t="str">
        <f t="shared" si="74"/>
        <v/>
      </c>
      <c r="H642" s="36" t="str">
        <f t="shared" si="75"/>
        <v/>
      </c>
      <c r="I642" s="34" t="str">
        <f t="shared" si="76"/>
        <v/>
      </c>
      <c r="J642" s="35" t="str">
        <f t="shared" si="77"/>
        <v/>
      </c>
      <c r="K642" s="49"/>
      <c r="L642" s="30"/>
      <c r="M642" s="31"/>
      <c r="N642" s="33"/>
      <c r="O642" s="31"/>
      <c r="P642" s="29" t="str">
        <f t="shared" si="78"/>
        <v/>
      </c>
      <c r="Q642" s="29" t="str">
        <f t="shared" si="79"/>
        <v/>
      </c>
      <c r="R642" s="33"/>
    </row>
    <row r="643" spans="1:18" x14ac:dyDescent="0.25">
      <c r="A643" s="31"/>
      <c r="B643" s="34" t="str">
        <f t="shared" si="72"/>
        <v/>
      </c>
      <c r="C643" s="30"/>
      <c r="D643" s="10"/>
      <c r="E643" s="30"/>
      <c r="F643" s="36" t="str">
        <f t="shared" si="73"/>
        <v/>
      </c>
      <c r="G643" s="36" t="str">
        <f t="shared" si="74"/>
        <v/>
      </c>
      <c r="H643" s="36" t="str">
        <f t="shared" si="75"/>
        <v/>
      </c>
      <c r="I643" s="34" t="str">
        <f t="shared" si="76"/>
        <v/>
      </c>
      <c r="J643" s="35" t="str">
        <f t="shared" si="77"/>
        <v/>
      </c>
      <c r="K643" s="49"/>
      <c r="L643" s="30"/>
      <c r="M643" s="31"/>
      <c r="N643" s="33"/>
      <c r="O643" s="31"/>
      <c r="P643" s="29" t="str">
        <f t="shared" si="78"/>
        <v/>
      </c>
      <c r="Q643" s="29" t="str">
        <f t="shared" si="79"/>
        <v/>
      </c>
      <c r="R643" s="33"/>
    </row>
    <row r="644" spans="1:18" x14ac:dyDescent="0.25">
      <c r="A644" s="31"/>
      <c r="B644" s="34" t="str">
        <f t="shared" si="72"/>
        <v/>
      </c>
      <c r="C644" s="30"/>
      <c r="D644" s="10"/>
      <c r="E644" s="30"/>
      <c r="F644" s="36" t="str">
        <f t="shared" si="73"/>
        <v/>
      </c>
      <c r="G644" s="36" t="str">
        <f t="shared" si="74"/>
        <v/>
      </c>
      <c r="H644" s="36" t="str">
        <f t="shared" si="75"/>
        <v/>
      </c>
      <c r="I644" s="34" t="str">
        <f t="shared" si="76"/>
        <v/>
      </c>
      <c r="J644" s="35" t="str">
        <f t="shared" si="77"/>
        <v/>
      </c>
      <c r="K644" s="49"/>
      <c r="L644" s="30"/>
      <c r="M644" s="31"/>
      <c r="N644" s="33"/>
      <c r="O644" s="31"/>
      <c r="P644" s="29" t="str">
        <f t="shared" si="78"/>
        <v/>
      </c>
      <c r="Q644" s="29" t="str">
        <f t="shared" si="79"/>
        <v/>
      </c>
      <c r="R644" s="33"/>
    </row>
    <row r="645" spans="1:18" x14ac:dyDescent="0.25">
      <c r="A645" s="31"/>
      <c r="B645" s="34" t="str">
        <f t="shared" ref="B645:B708" si="80">IFERROR(IF($E645="","",VLOOKUP($E645,CAD_TAB,2,FALSE)),"")</f>
        <v/>
      </c>
      <c r="C645" s="30"/>
      <c r="D645" s="10"/>
      <c r="E645" s="30"/>
      <c r="F645" s="36" t="str">
        <f t="shared" ref="F645:F708" si="81">IFERROR(IF($E645="","",VLOOKUP($E645,CAD_TAB,8,FALSE)),"")</f>
        <v/>
      </c>
      <c r="G645" s="36" t="str">
        <f t="shared" ref="G645:G708" si="82">IFERROR(IF($E645="","",VLOOKUP($E645,CAD_TAB,9,FALSE)),"")</f>
        <v/>
      </c>
      <c r="H645" s="36" t="str">
        <f t="shared" ref="H645:H708" si="83">IFERROR(IF($E645="","",VLOOKUP($E645,CAD_TAB,11,FALSE)),"")</f>
        <v/>
      </c>
      <c r="I645" s="34" t="str">
        <f t="shared" ref="I645:I708" si="84">IFERROR(IF($E645="","",VLOOKUP($E645,CAD_TAB,7,FALSE)),"")</f>
        <v/>
      </c>
      <c r="J645" s="35" t="str">
        <f t="shared" ref="J645:J708" si="85">IFERROR(IF($E645="","",VLOOKUP($E645,CAD_TAB,6,FALSE)),"")</f>
        <v/>
      </c>
      <c r="K645" s="49"/>
      <c r="L645" s="30"/>
      <c r="M645" s="31"/>
      <c r="N645" s="33"/>
      <c r="O645" s="31"/>
      <c r="P645" s="29" t="str">
        <f t="shared" ref="P645:P708" si="86">IF($E645="","",IF($L645="SIM","EXECUTADO",IF($O645&lt;&gt;"","REPROGRAMADO",IF($L645="NÃO","NÃO EXECUTADO","PROGRAMADO"))))</f>
        <v/>
      </c>
      <c r="Q645" s="29" t="str">
        <f t="shared" ref="Q645:Q708" si="87">IF($E645="","",IF($L645="SIM",IF($M645=$A645,"NO DIA","FORA DO DIA"),""))</f>
        <v/>
      </c>
      <c r="R645" s="33"/>
    </row>
    <row r="646" spans="1:18" x14ac:dyDescent="0.25">
      <c r="A646" s="31"/>
      <c r="B646" s="34" t="str">
        <f t="shared" si="80"/>
        <v/>
      </c>
      <c r="C646" s="30"/>
      <c r="D646" s="10"/>
      <c r="E646" s="30"/>
      <c r="F646" s="36" t="str">
        <f t="shared" si="81"/>
        <v/>
      </c>
      <c r="G646" s="36" t="str">
        <f t="shared" si="82"/>
        <v/>
      </c>
      <c r="H646" s="36" t="str">
        <f t="shared" si="83"/>
        <v/>
      </c>
      <c r="I646" s="34" t="str">
        <f t="shared" si="84"/>
        <v/>
      </c>
      <c r="J646" s="35" t="str">
        <f t="shared" si="85"/>
        <v/>
      </c>
      <c r="K646" s="49"/>
      <c r="L646" s="30"/>
      <c r="M646" s="31"/>
      <c r="N646" s="33"/>
      <c r="O646" s="31"/>
      <c r="P646" s="29" t="str">
        <f t="shared" si="86"/>
        <v/>
      </c>
      <c r="Q646" s="29" t="str">
        <f t="shared" si="87"/>
        <v/>
      </c>
      <c r="R646" s="33"/>
    </row>
    <row r="647" spans="1:18" x14ac:dyDescent="0.25">
      <c r="A647" s="31"/>
      <c r="B647" s="34" t="str">
        <f t="shared" si="80"/>
        <v/>
      </c>
      <c r="C647" s="30"/>
      <c r="D647" s="10"/>
      <c r="E647" s="30"/>
      <c r="F647" s="36" t="str">
        <f t="shared" si="81"/>
        <v/>
      </c>
      <c r="G647" s="36" t="str">
        <f t="shared" si="82"/>
        <v/>
      </c>
      <c r="H647" s="36" t="str">
        <f t="shared" si="83"/>
        <v/>
      </c>
      <c r="I647" s="34" t="str">
        <f t="shared" si="84"/>
        <v/>
      </c>
      <c r="J647" s="35" t="str">
        <f t="shared" si="85"/>
        <v/>
      </c>
      <c r="K647" s="49"/>
      <c r="L647" s="30"/>
      <c r="M647" s="31"/>
      <c r="N647" s="33"/>
      <c r="O647" s="31"/>
      <c r="P647" s="29" t="str">
        <f t="shared" si="86"/>
        <v/>
      </c>
      <c r="Q647" s="29" t="str">
        <f t="shared" si="87"/>
        <v/>
      </c>
      <c r="R647" s="33"/>
    </row>
    <row r="648" spans="1:18" x14ac:dyDescent="0.25">
      <c r="A648" s="31"/>
      <c r="B648" s="34" t="str">
        <f t="shared" si="80"/>
        <v/>
      </c>
      <c r="C648" s="30"/>
      <c r="D648" s="10"/>
      <c r="E648" s="30"/>
      <c r="F648" s="36" t="str">
        <f t="shared" si="81"/>
        <v/>
      </c>
      <c r="G648" s="36" t="str">
        <f t="shared" si="82"/>
        <v/>
      </c>
      <c r="H648" s="36" t="str">
        <f t="shared" si="83"/>
        <v/>
      </c>
      <c r="I648" s="34" t="str">
        <f t="shared" si="84"/>
        <v/>
      </c>
      <c r="J648" s="35" t="str">
        <f t="shared" si="85"/>
        <v/>
      </c>
      <c r="K648" s="49"/>
      <c r="L648" s="30"/>
      <c r="M648" s="31"/>
      <c r="N648" s="33"/>
      <c r="O648" s="31"/>
      <c r="P648" s="29" t="str">
        <f t="shared" si="86"/>
        <v/>
      </c>
      <c r="Q648" s="29" t="str">
        <f t="shared" si="87"/>
        <v/>
      </c>
      <c r="R648" s="33"/>
    </row>
    <row r="649" spans="1:18" x14ac:dyDescent="0.25">
      <c r="A649" s="31"/>
      <c r="B649" s="34" t="str">
        <f t="shared" si="80"/>
        <v/>
      </c>
      <c r="C649" s="30"/>
      <c r="D649" s="10"/>
      <c r="E649" s="30"/>
      <c r="F649" s="36" t="str">
        <f t="shared" si="81"/>
        <v/>
      </c>
      <c r="G649" s="36" t="str">
        <f t="shared" si="82"/>
        <v/>
      </c>
      <c r="H649" s="36" t="str">
        <f t="shared" si="83"/>
        <v/>
      </c>
      <c r="I649" s="34" t="str">
        <f t="shared" si="84"/>
        <v/>
      </c>
      <c r="J649" s="35" t="str">
        <f t="shared" si="85"/>
        <v/>
      </c>
      <c r="K649" s="49"/>
      <c r="L649" s="30"/>
      <c r="M649" s="31"/>
      <c r="N649" s="33"/>
      <c r="O649" s="31"/>
      <c r="P649" s="29" t="str">
        <f t="shared" si="86"/>
        <v/>
      </c>
      <c r="Q649" s="29" t="str">
        <f t="shared" si="87"/>
        <v/>
      </c>
      <c r="R649" s="33"/>
    </row>
    <row r="650" spans="1:18" x14ac:dyDescent="0.25">
      <c r="A650" s="31"/>
      <c r="B650" s="34" t="str">
        <f t="shared" si="80"/>
        <v/>
      </c>
      <c r="C650" s="30"/>
      <c r="D650" s="10"/>
      <c r="E650" s="30"/>
      <c r="F650" s="36" t="str">
        <f t="shared" si="81"/>
        <v/>
      </c>
      <c r="G650" s="36" t="str">
        <f t="shared" si="82"/>
        <v/>
      </c>
      <c r="H650" s="36" t="str">
        <f t="shared" si="83"/>
        <v/>
      </c>
      <c r="I650" s="34" t="str">
        <f t="shared" si="84"/>
        <v/>
      </c>
      <c r="J650" s="35" t="str">
        <f t="shared" si="85"/>
        <v/>
      </c>
      <c r="K650" s="49"/>
      <c r="L650" s="30"/>
      <c r="M650" s="31"/>
      <c r="N650" s="33"/>
      <c r="O650" s="31"/>
      <c r="P650" s="29" t="str">
        <f t="shared" si="86"/>
        <v/>
      </c>
      <c r="Q650" s="29" t="str">
        <f t="shared" si="87"/>
        <v/>
      </c>
      <c r="R650" s="33"/>
    </row>
    <row r="651" spans="1:18" x14ac:dyDescent="0.25">
      <c r="A651" s="31"/>
      <c r="B651" s="34" t="str">
        <f t="shared" si="80"/>
        <v/>
      </c>
      <c r="C651" s="30"/>
      <c r="D651" s="10"/>
      <c r="E651" s="30"/>
      <c r="F651" s="36" t="str">
        <f t="shared" si="81"/>
        <v/>
      </c>
      <c r="G651" s="36" t="str">
        <f t="shared" si="82"/>
        <v/>
      </c>
      <c r="H651" s="36" t="str">
        <f t="shared" si="83"/>
        <v/>
      </c>
      <c r="I651" s="34" t="str">
        <f t="shared" si="84"/>
        <v/>
      </c>
      <c r="J651" s="35" t="str">
        <f t="shared" si="85"/>
        <v/>
      </c>
      <c r="K651" s="49"/>
      <c r="L651" s="30"/>
      <c r="M651" s="31"/>
      <c r="N651" s="33"/>
      <c r="O651" s="31"/>
      <c r="P651" s="29" t="str">
        <f t="shared" si="86"/>
        <v/>
      </c>
      <c r="Q651" s="29" t="str">
        <f t="shared" si="87"/>
        <v/>
      </c>
      <c r="R651" s="33"/>
    </row>
    <row r="652" spans="1:18" x14ac:dyDescent="0.25">
      <c r="A652" s="31"/>
      <c r="B652" s="34" t="str">
        <f t="shared" si="80"/>
        <v/>
      </c>
      <c r="C652" s="30"/>
      <c r="D652" s="10"/>
      <c r="E652" s="30"/>
      <c r="F652" s="36" t="str">
        <f t="shared" si="81"/>
        <v/>
      </c>
      <c r="G652" s="36" t="str">
        <f t="shared" si="82"/>
        <v/>
      </c>
      <c r="H652" s="36" t="str">
        <f t="shared" si="83"/>
        <v/>
      </c>
      <c r="I652" s="34" t="str">
        <f t="shared" si="84"/>
        <v/>
      </c>
      <c r="J652" s="35" t="str">
        <f t="shared" si="85"/>
        <v/>
      </c>
      <c r="K652" s="49"/>
      <c r="L652" s="30"/>
      <c r="M652" s="31"/>
      <c r="N652" s="33"/>
      <c r="O652" s="31"/>
      <c r="P652" s="29" t="str">
        <f t="shared" si="86"/>
        <v/>
      </c>
      <c r="Q652" s="29" t="str">
        <f t="shared" si="87"/>
        <v/>
      </c>
      <c r="R652" s="33"/>
    </row>
    <row r="653" spans="1:18" x14ac:dyDescent="0.25">
      <c r="A653" s="31"/>
      <c r="B653" s="34" t="str">
        <f t="shared" si="80"/>
        <v/>
      </c>
      <c r="C653" s="30"/>
      <c r="D653" s="10"/>
      <c r="E653" s="30"/>
      <c r="F653" s="36" t="str">
        <f t="shared" si="81"/>
        <v/>
      </c>
      <c r="G653" s="36" t="str">
        <f t="shared" si="82"/>
        <v/>
      </c>
      <c r="H653" s="36" t="str">
        <f t="shared" si="83"/>
        <v/>
      </c>
      <c r="I653" s="34" t="str">
        <f t="shared" si="84"/>
        <v/>
      </c>
      <c r="J653" s="35" t="str">
        <f t="shared" si="85"/>
        <v/>
      </c>
      <c r="K653" s="49"/>
      <c r="L653" s="30"/>
      <c r="M653" s="31"/>
      <c r="N653" s="33"/>
      <c r="O653" s="31"/>
      <c r="P653" s="29" t="str">
        <f t="shared" si="86"/>
        <v/>
      </c>
      <c r="Q653" s="29" t="str">
        <f t="shared" si="87"/>
        <v/>
      </c>
      <c r="R653" s="33"/>
    </row>
    <row r="654" spans="1:18" x14ac:dyDescent="0.25">
      <c r="A654" s="31"/>
      <c r="B654" s="34" t="str">
        <f t="shared" si="80"/>
        <v/>
      </c>
      <c r="C654" s="30"/>
      <c r="D654" s="10"/>
      <c r="E654" s="30"/>
      <c r="F654" s="36" t="str">
        <f t="shared" si="81"/>
        <v/>
      </c>
      <c r="G654" s="36" t="str">
        <f t="shared" si="82"/>
        <v/>
      </c>
      <c r="H654" s="36" t="str">
        <f t="shared" si="83"/>
        <v/>
      </c>
      <c r="I654" s="34" t="str">
        <f t="shared" si="84"/>
        <v/>
      </c>
      <c r="J654" s="35" t="str">
        <f t="shared" si="85"/>
        <v/>
      </c>
      <c r="K654" s="49"/>
      <c r="L654" s="30"/>
      <c r="M654" s="31"/>
      <c r="N654" s="33"/>
      <c r="O654" s="31"/>
      <c r="P654" s="29" t="str">
        <f t="shared" si="86"/>
        <v/>
      </c>
      <c r="Q654" s="29" t="str">
        <f t="shared" si="87"/>
        <v/>
      </c>
      <c r="R654" s="33"/>
    </row>
    <row r="655" spans="1:18" x14ac:dyDescent="0.25">
      <c r="A655" s="31"/>
      <c r="B655" s="34" t="str">
        <f t="shared" si="80"/>
        <v/>
      </c>
      <c r="C655" s="30"/>
      <c r="D655" s="10"/>
      <c r="E655" s="30"/>
      <c r="F655" s="36" t="str">
        <f t="shared" si="81"/>
        <v/>
      </c>
      <c r="G655" s="36" t="str">
        <f t="shared" si="82"/>
        <v/>
      </c>
      <c r="H655" s="36" t="str">
        <f t="shared" si="83"/>
        <v/>
      </c>
      <c r="I655" s="34" t="str">
        <f t="shared" si="84"/>
        <v/>
      </c>
      <c r="J655" s="35" t="str">
        <f t="shared" si="85"/>
        <v/>
      </c>
      <c r="K655" s="49"/>
      <c r="L655" s="30"/>
      <c r="M655" s="31"/>
      <c r="N655" s="33"/>
      <c r="O655" s="31"/>
      <c r="P655" s="29" t="str">
        <f t="shared" si="86"/>
        <v/>
      </c>
      <c r="Q655" s="29" t="str">
        <f t="shared" si="87"/>
        <v/>
      </c>
      <c r="R655" s="33"/>
    </row>
    <row r="656" spans="1:18" x14ac:dyDescent="0.25">
      <c r="A656" s="31"/>
      <c r="B656" s="34" t="str">
        <f t="shared" si="80"/>
        <v/>
      </c>
      <c r="C656" s="30"/>
      <c r="D656" s="10"/>
      <c r="E656" s="30"/>
      <c r="F656" s="36" t="str">
        <f t="shared" si="81"/>
        <v/>
      </c>
      <c r="G656" s="36" t="str">
        <f t="shared" si="82"/>
        <v/>
      </c>
      <c r="H656" s="36" t="str">
        <f t="shared" si="83"/>
        <v/>
      </c>
      <c r="I656" s="34" t="str">
        <f t="shared" si="84"/>
        <v/>
      </c>
      <c r="J656" s="35" t="str">
        <f t="shared" si="85"/>
        <v/>
      </c>
      <c r="K656" s="49"/>
      <c r="L656" s="30"/>
      <c r="M656" s="31"/>
      <c r="N656" s="33"/>
      <c r="O656" s="31"/>
      <c r="P656" s="29" t="str">
        <f t="shared" si="86"/>
        <v/>
      </c>
      <c r="Q656" s="29" t="str">
        <f t="shared" si="87"/>
        <v/>
      </c>
      <c r="R656" s="33"/>
    </row>
    <row r="657" spans="1:18" x14ac:dyDescent="0.25">
      <c r="A657" s="31"/>
      <c r="B657" s="34" t="str">
        <f t="shared" si="80"/>
        <v/>
      </c>
      <c r="C657" s="30"/>
      <c r="D657" s="10"/>
      <c r="E657" s="30"/>
      <c r="F657" s="36" t="str">
        <f t="shared" si="81"/>
        <v/>
      </c>
      <c r="G657" s="36" t="str">
        <f t="shared" si="82"/>
        <v/>
      </c>
      <c r="H657" s="36" t="str">
        <f t="shared" si="83"/>
        <v/>
      </c>
      <c r="I657" s="34" t="str">
        <f t="shared" si="84"/>
        <v/>
      </c>
      <c r="J657" s="35" t="str">
        <f t="shared" si="85"/>
        <v/>
      </c>
      <c r="K657" s="49"/>
      <c r="L657" s="30"/>
      <c r="M657" s="31"/>
      <c r="N657" s="33"/>
      <c r="O657" s="31"/>
      <c r="P657" s="29" t="str">
        <f t="shared" si="86"/>
        <v/>
      </c>
      <c r="Q657" s="29" t="str">
        <f t="shared" si="87"/>
        <v/>
      </c>
      <c r="R657" s="33"/>
    </row>
    <row r="658" spans="1:18" x14ac:dyDescent="0.25">
      <c r="A658" s="31"/>
      <c r="B658" s="34" t="str">
        <f t="shared" si="80"/>
        <v/>
      </c>
      <c r="C658" s="30"/>
      <c r="D658" s="10"/>
      <c r="E658" s="30"/>
      <c r="F658" s="36" t="str">
        <f t="shared" si="81"/>
        <v/>
      </c>
      <c r="G658" s="36" t="str">
        <f t="shared" si="82"/>
        <v/>
      </c>
      <c r="H658" s="36" t="str">
        <f t="shared" si="83"/>
        <v/>
      </c>
      <c r="I658" s="34" t="str">
        <f t="shared" si="84"/>
        <v/>
      </c>
      <c r="J658" s="35" t="str">
        <f t="shared" si="85"/>
        <v/>
      </c>
      <c r="K658" s="49"/>
      <c r="L658" s="30"/>
      <c r="M658" s="31"/>
      <c r="N658" s="33"/>
      <c r="O658" s="31"/>
      <c r="P658" s="29" t="str">
        <f t="shared" si="86"/>
        <v/>
      </c>
      <c r="Q658" s="29" t="str">
        <f t="shared" si="87"/>
        <v/>
      </c>
      <c r="R658" s="33"/>
    </row>
    <row r="659" spans="1:18" x14ac:dyDescent="0.25">
      <c r="A659" s="31"/>
      <c r="B659" s="34" t="str">
        <f t="shared" si="80"/>
        <v/>
      </c>
      <c r="C659" s="30"/>
      <c r="D659" s="10"/>
      <c r="E659" s="30"/>
      <c r="F659" s="36" t="str">
        <f t="shared" si="81"/>
        <v/>
      </c>
      <c r="G659" s="36" t="str">
        <f t="shared" si="82"/>
        <v/>
      </c>
      <c r="H659" s="36" t="str">
        <f t="shared" si="83"/>
        <v/>
      </c>
      <c r="I659" s="34" t="str">
        <f t="shared" si="84"/>
        <v/>
      </c>
      <c r="J659" s="35" t="str">
        <f t="shared" si="85"/>
        <v/>
      </c>
      <c r="K659" s="49"/>
      <c r="L659" s="30"/>
      <c r="M659" s="31"/>
      <c r="N659" s="33"/>
      <c r="O659" s="31"/>
      <c r="P659" s="29" t="str">
        <f t="shared" si="86"/>
        <v/>
      </c>
      <c r="Q659" s="29" t="str">
        <f t="shared" si="87"/>
        <v/>
      </c>
      <c r="R659" s="33"/>
    </row>
    <row r="660" spans="1:18" x14ac:dyDescent="0.25">
      <c r="A660" s="31"/>
      <c r="B660" s="34" t="str">
        <f t="shared" si="80"/>
        <v/>
      </c>
      <c r="C660" s="30"/>
      <c r="D660" s="10"/>
      <c r="E660" s="30"/>
      <c r="F660" s="36" t="str">
        <f t="shared" si="81"/>
        <v/>
      </c>
      <c r="G660" s="36" t="str">
        <f t="shared" si="82"/>
        <v/>
      </c>
      <c r="H660" s="36" t="str">
        <f t="shared" si="83"/>
        <v/>
      </c>
      <c r="I660" s="34" t="str">
        <f t="shared" si="84"/>
        <v/>
      </c>
      <c r="J660" s="35" t="str">
        <f t="shared" si="85"/>
        <v/>
      </c>
      <c r="K660" s="49"/>
      <c r="L660" s="30"/>
      <c r="M660" s="31"/>
      <c r="N660" s="33"/>
      <c r="O660" s="31"/>
      <c r="P660" s="29" t="str">
        <f t="shared" si="86"/>
        <v/>
      </c>
      <c r="Q660" s="29" t="str">
        <f t="shared" si="87"/>
        <v/>
      </c>
      <c r="R660" s="33"/>
    </row>
    <row r="661" spans="1:18" x14ac:dyDescent="0.25">
      <c r="A661" s="31"/>
      <c r="B661" s="34" t="str">
        <f t="shared" si="80"/>
        <v/>
      </c>
      <c r="C661" s="30"/>
      <c r="D661" s="10"/>
      <c r="E661" s="30"/>
      <c r="F661" s="36" t="str">
        <f t="shared" si="81"/>
        <v/>
      </c>
      <c r="G661" s="36" t="str">
        <f t="shared" si="82"/>
        <v/>
      </c>
      <c r="H661" s="36" t="str">
        <f t="shared" si="83"/>
        <v/>
      </c>
      <c r="I661" s="34" t="str">
        <f t="shared" si="84"/>
        <v/>
      </c>
      <c r="J661" s="35" t="str">
        <f t="shared" si="85"/>
        <v/>
      </c>
      <c r="K661" s="49"/>
      <c r="L661" s="30"/>
      <c r="M661" s="31"/>
      <c r="N661" s="33"/>
      <c r="O661" s="31"/>
      <c r="P661" s="29" t="str">
        <f t="shared" si="86"/>
        <v/>
      </c>
      <c r="Q661" s="29" t="str">
        <f t="shared" si="87"/>
        <v/>
      </c>
      <c r="R661" s="33"/>
    </row>
    <row r="662" spans="1:18" x14ac:dyDescent="0.25">
      <c r="A662" s="31"/>
      <c r="B662" s="34" t="str">
        <f t="shared" si="80"/>
        <v/>
      </c>
      <c r="C662" s="30"/>
      <c r="D662" s="10"/>
      <c r="E662" s="30"/>
      <c r="F662" s="36" t="str">
        <f t="shared" si="81"/>
        <v/>
      </c>
      <c r="G662" s="36" t="str">
        <f t="shared" si="82"/>
        <v/>
      </c>
      <c r="H662" s="36" t="str">
        <f t="shared" si="83"/>
        <v/>
      </c>
      <c r="I662" s="34" t="str">
        <f t="shared" si="84"/>
        <v/>
      </c>
      <c r="J662" s="35" t="str">
        <f t="shared" si="85"/>
        <v/>
      </c>
      <c r="K662" s="49"/>
      <c r="L662" s="30"/>
      <c r="M662" s="31"/>
      <c r="N662" s="33"/>
      <c r="O662" s="31"/>
      <c r="P662" s="29" t="str">
        <f t="shared" si="86"/>
        <v/>
      </c>
      <c r="Q662" s="29" t="str">
        <f t="shared" si="87"/>
        <v/>
      </c>
      <c r="R662" s="33"/>
    </row>
    <row r="663" spans="1:18" x14ac:dyDescent="0.25">
      <c r="A663" s="31"/>
      <c r="B663" s="34" t="str">
        <f t="shared" si="80"/>
        <v/>
      </c>
      <c r="C663" s="30"/>
      <c r="D663" s="10"/>
      <c r="E663" s="30"/>
      <c r="F663" s="36" t="str">
        <f t="shared" si="81"/>
        <v/>
      </c>
      <c r="G663" s="36" t="str">
        <f t="shared" si="82"/>
        <v/>
      </c>
      <c r="H663" s="36" t="str">
        <f t="shared" si="83"/>
        <v/>
      </c>
      <c r="I663" s="34" t="str">
        <f t="shared" si="84"/>
        <v/>
      </c>
      <c r="J663" s="35" t="str">
        <f t="shared" si="85"/>
        <v/>
      </c>
      <c r="K663" s="49"/>
      <c r="L663" s="30"/>
      <c r="M663" s="31"/>
      <c r="N663" s="33"/>
      <c r="O663" s="31"/>
      <c r="P663" s="29" t="str">
        <f t="shared" si="86"/>
        <v/>
      </c>
      <c r="Q663" s="29" t="str">
        <f t="shared" si="87"/>
        <v/>
      </c>
      <c r="R663" s="33"/>
    </row>
    <row r="664" spans="1:18" x14ac:dyDescent="0.25">
      <c r="A664" s="31"/>
      <c r="B664" s="34" t="str">
        <f t="shared" si="80"/>
        <v/>
      </c>
      <c r="C664" s="30"/>
      <c r="D664" s="10"/>
      <c r="E664" s="30"/>
      <c r="F664" s="36" t="str">
        <f t="shared" si="81"/>
        <v/>
      </c>
      <c r="G664" s="36" t="str">
        <f t="shared" si="82"/>
        <v/>
      </c>
      <c r="H664" s="36" t="str">
        <f t="shared" si="83"/>
        <v/>
      </c>
      <c r="I664" s="34" t="str">
        <f t="shared" si="84"/>
        <v/>
      </c>
      <c r="J664" s="35" t="str">
        <f t="shared" si="85"/>
        <v/>
      </c>
      <c r="K664" s="49"/>
      <c r="L664" s="30"/>
      <c r="M664" s="31"/>
      <c r="N664" s="33"/>
      <c r="O664" s="31"/>
      <c r="P664" s="29" t="str">
        <f t="shared" si="86"/>
        <v/>
      </c>
      <c r="Q664" s="29" t="str">
        <f t="shared" si="87"/>
        <v/>
      </c>
      <c r="R664" s="33"/>
    </row>
    <row r="665" spans="1:18" x14ac:dyDescent="0.25">
      <c r="A665" s="31"/>
      <c r="B665" s="34" t="str">
        <f t="shared" si="80"/>
        <v/>
      </c>
      <c r="C665" s="30"/>
      <c r="D665" s="10"/>
      <c r="E665" s="30"/>
      <c r="F665" s="36" t="str">
        <f t="shared" si="81"/>
        <v/>
      </c>
      <c r="G665" s="36" t="str">
        <f t="shared" si="82"/>
        <v/>
      </c>
      <c r="H665" s="36" t="str">
        <f t="shared" si="83"/>
        <v/>
      </c>
      <c r="I665" s="34" t="str">
        <f t="shared" si="84"/>
        <v/>
      </c>
      <c r="J665" s="35" t="str">
        <f t="shared" si="85"/>
        <v/>
      </c>
      <c r="K665" s="49"/>
      <c r="L665" s="30"/>
      <c r="M665" s="31"/>
      <c r="N665" s="33"/>
      <c r="O665" s="31"/>
      <c r="P665" s="29" t="str">
        <f t="shared" si="86"/>
        <v/>
      </c>
      <c r="Q665" s="29" t="str">
        <f t="shared" si="87"/>
        <v/>
      </c>
      <c r="R665" s="33"/>
    </row>
    <row r="666" spans="1:18" x14ac:dyDescent="0.25">
      <c r="A666" s="31"/>
      <c r="B666" s="34" t="str">
        <f t="shared" si="80"/>
        <v/>
      </c>
      <c r="C666" s="30"/>
      <c r="D666" s="10"/>
      <c r="E666" s="30"/>
      <c r="F666" s="36" t="str">
        <f t="shared" si="81"/>
        <v/>
      </c>
      <c r="G666" s="36" t="str">
        <f t="shared" si="82"/>
        <v/>
      </c>
      <c r="H666" s="36" t="str">
        <f t="shared" si="83"/>
        <v/>
      </c>
      <c r="I666" s="34" t="str">
        <f t="shared" si="84"/>
        <v/>
      </c>
      <c r="J666" s="35" t="str">
        <f t="shared" si="85"/>
        <v/>
      </c>
      <c r="K666" s="49"/>
      <c r="L666" s="30"/>
      <c r="M666" s="31"/>
      <c r="N666" s="33"/>
      <c r="O666" s="31"/>
      <c r="P666" s="29" t="str">
        <f t="shared" si="86"/>
        <v/>
      </c>
      <c r="Q666" s="29" t="str">
        <f t="shared" si="87"/>
        <v/>
      </c>
      <c r="R666" s="33"/>
    </row>
    <row r="667" spans="1:18" x14ac:dyDescent="0.25">
      <c r="A667" s="31"/>
      <c r="B667" s="34" t="str">
        <f t="shared" si="80"/>
        <v/>
      </c>
      <c r="C667" s="30"/>
      <c r="D667" s="10"/>
      <c r="E667" s="30"/>
      <c r="F667" s="36" t="str">
        <f t="shared" si="81"/>
        <v/>
      </c>
      <c r="G667" s="36" t="str">
        <f t="shared" si="82"/>
        <v/>
      </c>
      <c r="H667" s="36" t="str">
        <f t="shared" si="83"/>
        <v/>
      </c>
      <c r="I667" s="34" t="str">
        <f t="shared" si="84"/>
        <v/>
      </c>
      <c r="J667" s="35" t="str">
        <f t="shared" si="85"/>
        <v/>
      </c>
      <c r="K667" s="49"/>
      <c r="L667" s="30"/>
      <c r="M667" s="31"/>
      <c r="N667" s="33"/>
      <c r="O667" s="31"/>
      <c r="P667" s="29" t="str">
        <f t="shared" si="86"/>
        <v/>
      </c>
      <c r="Q667" s="29" t="str">
        <f t="shared" si="87"/>
        <v/>
      </c>
      <c r="R667" s="33"/>
    </row>
    <row r="668" spans="1:18" x14ac:dyDescent="0.25">
      <c r="A668" s="31"/>
      <c r="B668" s="34" t="str">
        <f t="shared" si="80"/>
        <v/>
      </c>
      <c r="C668" s="30"/>
      <c r="D668" s="10"/>
      <c r="E668" s="30"/>
      <c r="F668" s="36" t="str">
        <f t="shared" si="81"/>
        <v/>
      </c>
      <c r="G668" s="36" t="str">
        <f t="shared" si="82"/>
        <v/>
      </c>
      <c r="H668" s="36" t="str">
        <f t="shared" si="83"/>
        <v/>
      </c>
      <c r="I668" s="34" t="str">
        <f t="shared" si="84"/>
        <v/>
      </c>
      <c r="J668" s="35" t="str">
        <f t="shared" si="85"/>
        <v/>
      </c>
      <c r="K668" s="49"/>
      <c r="L668" s="30"/>
      <c r="M668" s="31"/>
      <c r="N668" s="33"/>
      <c r="O668" s="31"/>
      <c r="P668" s="29" t="str">
        <f t="shared" si="86"/>
        <v/>
      </c>
      <c r="Q668" s="29" t="str">
        <f t="shared" si="87"/>
        <v/>
      </c>
      <c r="R668" s="33"/>
    </row>
    <row r="669" spans="1:18" x14ac:dyDescent="0.25">
      <c r="A669" s="31"/>
      <c r="B669" s="34" t="str">
        <f t="shared" si="80"/>
        <v/>
      </c>
      <c r="C669" s="30"/>
      <c r="D669" s="10"/>
      <c r="E669" s="30"/>
      <c r="F669" s="36" t="str">
        <f t="shared" si="81"/>
        <v/>
      </c>
      <c r="G669" s="36" t="str">
        <f t="shared" si="82"/>
        <v/>
      </c>
      <c r="H669" s="36" t="str">
        <f t="shared" si="83"/>
        <v/>
      </c>
      <c r="I669" s="34" t="str">
        <f t="shared" si="84"/>
        <v/>
      </c>
      <c r="J669" s="35" t="str">
        <f t="shared" si="85"/>
        <v/>
      </c>
      <c r="K669" s="49"/>
      <c r="L669" s="30"/>
      <c r="M669" s="31"/>
      <c r="N669" s="33"/>
      <c r="O669" s="31"/>
      <c r="P669" s="29" t="str">
        <f t="shared" si="86"/>
        <v/>
      </c>
      <c r="Q669" s="29" t="str">
        <f t="shared" si="87"/>
        <v/>
      </c>
      <c r="R669" s="33"/>
    </row>
    <row r="670" spans="1:18" x14ac:dyDescent="0.25">
      <c r="A670" s="31"/>
      <c r="B670" s="34" t="str">
        <f t="shared" si="80"/>
        <v/>
      </c>
      <c r="C670" s="30"/>
      <c r="D670" s="10"/>
      <c r="E670" s="30"/>
      <c r="F670" s="36" t="str">
        <f t="shared" si="81"/>
        <v/>
      </c>
      <c r="G670" s="36" t="str">
        <f t="shared" si="82"/>
        <v/>
      </c>
      <c r="H670" s="36" t="str">
        <f t="shared" si="83"/>
        <v/>
      </c>
      <c r="I670" s="34" t="str">
        <f t="shared" si="84"/>
        <v/>
      </c>
      <c r="J670" s="35" t="str">
        <f t="shared" si="85"/>
        <v/>
      </c>
      <c r="K670" s="49"/>
      <c r="L670" s="30"/>
      <c r="M670" s="31"/>
      <c r="N670" s="33"/>
      <c r="O670" s="31"/>
      <c r="P670" s="29" t="str">
        <f t="shared" si="86"/>
        <v/>
      </c>
      <c r="Q670" s="29" t="str">
        <f t="shared" si="87"/>
        <v/>
      </c>
      <c r="R670" s="33"/>
    </row>
    <row r="671" spans="1:18" x14ac:dyDescent="0.25">
      <c r="A671" s="31"/>
      <c r="B671" s="34" t="str">
        <f t="shared" si="80"/>
        <v/>
      </c>
      <c r="C671" s="30"/>
      <c r="D671" s="10"/>
      <c r="E671" s="30"/>
      <c r="F671" s="36" t="str">
        <f t="shared" si="81"/>
        <v/>
      </c>
      <c r="G671" s="36" t="str">
        <f t="shared" si="82"/>
        <v/>
      </c>
      <c r="H671" s="36" t="str">
        <f t="shared" si="83"/>
        <v/>
      </c>
      <c r="I671" s="34" t="str">
        <f t="shared" si="84"/>
        <v/>
      </c>
      <c r="J671" s="35" t="str">
        <f t="shared" si="85"/>
        <v/>
      </c>
      <c r="K671" s="49"/>
      <c r="L671" s="30"/>
      <c r="M671" s="31"/>
      <c r="N671" s="33"/>
      <c r="O671" s="31"/>
      <c r="P671" s="29" t="str">
        <f t="shared" si="86"/>
        <v/>
      </c>
      <c r="Q671" s="29" t="str">
        <f t="shared" si="87"/>
        <v/>
      </c>
      <c r="R671" s="33"/>
    </row>
    <row r="672" spans="1:18" x14ac:dyDescent="0.25">
      <c r="A672" s="31"/>
      <c r="B672" s="34" t="str">
        <f t="shared" si="80"/>
        <v/>
      </c>
      <c r="C672" s="30"/>
      <c r="D672" s="10"/>
      <c r="E672" s="30"/>
      <c r="F672" s="36" t="str">
        <f t="shared" si="81"/>
        <v/>
      </c>
      <c r="G672" s="36" t="str">
        <f t="shared" si="82"/>
        <v/>
      </c>
      <c r="H672" s="36" t="str">
        <f t="shared" si="83"/>
        <v/>
      </c>
      <c r="I672" s="34" t="str">
        <f t="shared" si="84"/>
        <v/>
      </c>
      <c r="J672" s="35" t="str">
        <f t="shared" si="85"/>
        <v/>
      </c>
      <c r="K672" s="49"/>
      <c r="L672" s="30"/>
      <c r="M672" s="31"/>
      <c r="N672" s="33"/>
      <c r="O672" s="31"/>
      <c r="P672" s="29" t="str">
        <f t="shared" si="86"/>
        <v/>
      </c>
      <c r="Q672" s="29" t="str">
        <f t="shared" si="87"/>
        <v/>
      </c>
      <c r="R672" s="33"/>
    </row>
    <row r="673" spans="1:18" x14ac:dyDescent="0.25">
      <c r="A673" s="31"/>
      <c r="B673" s="34" t="str">
        <f t="shared" si="80"/>
        <v/>
      </c>
      <c r="C673" s="30"/>
      <c r="D673" s="10"/>
      <c r="E673" s="30"/>
      <c r="F673" s="36" t="str">
        <f t="shared" si="81"/>
        <v/>
      </c>
      <c r="G673" s="36" t="str">
        <f t="shared" si="82"/>
        <v/>
      </c>
      <c r="H673" s="36" t="str">
        <f t="shared" si="83"/>
        <v/>
      </c>
      <c r="I673" s="34" t="str">
        <f t="shared" si="84"/>
        <v/>
      </c>
      <c r="J673" s="35" t="str">
        <f t="shared" si="85"/>
        <v/>
      </c>
      <c r="K673" s="49"/>
      <c r="L673" s="30"/>
      <c r="M673" s="31"/>
      <c r="N673" s="33"/>
      <c r="O673" s="31"/>
      <c r="P673" s="29" t="str">
        <f t="shared" si="86"/>
        <v/>
      </c>
      <c r="Q673" s="29" t="str">
        <f t="shared" si="87"/>
        <v/>
      </c>
      <c r="R673" s="33"/>
    </row>
    <row r="674" spans="1:18" x14ac:dyDescent="0.25">
      <c r="A674" s="31"/>
      <c r="B674" s="34" t="str">
        <f t="shared" si="80"/>
        <v/>
      </c>
      <c r="C674" s="30"/>
      <c r="D674" s="10"/>
      <c r="E674" s="30"/>
      <c r="F674" s="36" t="str">
        <f t="shared" si="81"/>
        <v/>
      </c>
      <c r="G674" s="36" t="str">
        <f t="shared" si="82"/>
        <v/>
      </c>
      <c r="H674" s="36" t="str">
        <f t="shared" si="83"/>
        <v/>
      </c>
      <c r="I674" s="34" t="str">
        <f t="shared" si="84"/>
        <v/>
      </c>
      <c r="J674" s="35" t="str">
        <f t="shared" si="85"/>
        <v/>
      </c>
      <c r="K674" s="49"/>
      <c r="L674" s="30"/>
      <c r="M674" s="31"/>
      <c r="N674" s="33"/>
      <c r="O674" s="31"/>
      <c r="P674" s="29" t="str">
        <f t="shared" si="86"/>
        <v/>
      </c>
      <c r="Q674" s="29" t="str">
        <f t="shared" si="87"/>
        <v/>
      </c>
      <c r="R674" s="33"/>
    </row>
    <row r="675" spans="1:18" x14ac:dyDescent="0.25">
      <c r="A675" s="31"/>
      <c r="B675" s="34" t="str">
        <f t="shared" si="80"/>
        <v/>
      </c>
      <c r="C675" s="30"/>
      <c r="D675" s="10"/>
      <c r="E675" s="30"/>
      <c r="F675" s="36" t="str">
        <f t="shared" si="81"/>
        <v/>
      </c>
      <c r="G675" s="36" t="str">
        <f t="shared" si="82"/>
        <v/>
      </c>
      <c r="H675" s="36" t="str">
        <f t="shared" si="83"/>
        <v/>
      </c>
      <c r="I675" s="34" t="str">
        <f t="shared" si="84"/>
        <v/>
      </c>
      <c r="J675" s="35" t="str">
        <f t="shared" si="85"/>
        <v/>
      </c>
      <c r="K675" s="49"/>
      <c r="L675" s="30"/>
      <c r="M675" s="31"/>
      <c r="N675" s="33"/>
      <c r="O675" s="31"/>
      <c r="P675" s="29" t="str">
        <f t="shared" si="86"/>
        <v/>
      </c>
      <c r="Q675" s="29" t="str">
        <f t="shared" si="87"/>
        <v/>
      </c>
      <c r="R675" s="33"/>
    </row>
    <row r="676" spans="1:18" x14ac:dyDescent="0.25">
      <c r="A676" s="31"/>
      <c r="B676" s="34" t="str">
        <f t="shared" si="80"/>
        <v/>
      </c>
      <c r="C676" s="30"/>
      <c r="D676" s="10"/>
      <c r="E676" s="30"/>
      <c r="F676" s="36" t="str">
        <f t="shared" si="81"/>
        <v/>
      </c>
      <c r="G676" s="36" t="str">
        <f t="shared" si="82"/>
        <v/>
      </c>
      <c r="H676" s="36" t="str">
        <f t="shared" si="83"/>
        <v/>
      </c>
      <c r="I676" s="34" t="str">
        <f t="shared" si="84"/>
        <v/>
      </c>
      <c r="J676" s="35" t="str">
        <f t="shared" si="85"/>
        <v/>
      </c>
      <c r="K676" s="49"/>
      <c r="L676" s="30"/>
      <c r="M676" s="31"/>
      <c r="N676" s="33"/>
      <c r="O676" s="31"/>
      <c r="P676" s="29" t="str">
        <f t="shared" si="86"/>
        <v/>
      </c>
      <c r="Q676" s="29" t="str">
        <f t="shared" si="87"/>
        <v/>
      </c>
      <c r="R676" s="33"/>
    </row>
    <row r="677" spans="1:18" x14ac:dyDescent="0.25">
      <c r="A677" s="31"/>
      <c r="B677" s="34" t="str">
        <f t="shared" si="80"/>
        <v/>
      </c>
      <c r="C677" s="30"/>
      <c r="D677" s="10"/>
      <c r="E677" s="30"/>
      <c r="F677" s="36" t="str">
        <f t="shared" si="81"/>
        <v/>
      </c>
      <c r="G677" s="36" t="str">
        <f t="shared" si="82"/>
        <v/>
      </c>
      <c r="H677" s="36" t="str">
        <f t="shared" si="83"/>
        <v/>
      </c>
      <c r="I677" s="34" t="str">
        <f t="shared" si="84"/>
        <v/>
      </c>
      <c r="J677" s="35" t="str">
        <f t="shared" si="85"/>
        <v/>
      </c>
      <c r="K677" s="49"/>
      <c r="L677" s="30"/>
      <c r="M677" s="31"/>
      <c r="N677" s="33"/>
      <c r="O677" s="31"/>
      <c r="P677" s="29" t="str">
        <f t="shared" si="86"/>
        <v/>
      </c>
      <c r="Q677" s="29" t="str">
        <f t="shared" si="87"/>
        <v/>
      </c>
      <c r="R677" s="33"/>
    </row>
    <row r="678" spans="1:18" x14ac:dyDescent="0.25">
      <c r="A678" s="31"/>
      <c r="B678" s="34" t="str">
        <f t="shared" si="80"/>
        <v/>
      </c>
      <c r="C678" s="30"/>
      <c r="D678" s="10"/>
      <c r="E678" s="30"/>
      <c r="F678" s="36" t="str">
        <f t="shared" si="81"/>
        <v/>
      </c>
      <c r="G678" s="36" t="str">
        <f t="shared" si="82"/>
        <v/>
      </c>
      <c r="H678" s="36" t="str">
        <f t="shared" si="83"/>
        <v/>
      </c>
      <c r="I678" s="34" t="str">
        <f t="shared" si="84"/>
        <v/>
      </c>
      <c r="J678" s="35" t="str">
        <f t="shared" si="85"/>
        <v/>
      </c>
      <c r="K678" s="49"/>
      <c r="L678" s="30"/>
      <c r="M678" s="31"/>
      <c r="N678" s="33"/>
      <c r="O678" s="31"/>
      <c r="P678" s="29" t="str">
        <f t="shared" si="86"/>
        <v/>
      </c>
      <c r="Q678" s="29" t="str">
        <f t="shared" si="87"/>
        <v/>
      </c>
      <c r="R678" s="33"/>
    </row>
    <row r="679" spans="1:18" x14ac:dyDescent="0.25">
      <c r="A679" s="31"/>
      <c r="B679" s="34" t="str">
        <f t="shared" si="80"/>
        <v/>
      </c>
      <c r="C679" s="30"/>
      <c r="D679" s="10"/>
      <c r="E679" s="30"/>
      <c r="F679" s="36" t="str">
        <f t="shared" si="81"/>
        <v/>
      </c>
      <c r="G679" s="36" t="str">
        <f t="shared" si="82"/>
        <v/>
      </c>
      <c r="H679" s="36" t="str">
        <f t="shared" si="83"/>
        <v/>
      </c>
      <c r="I679" s="34" t="str">
        <f t="shared" si="84"/>
        <v/>
      </c>
      <c r="J679" s="35" t="str">
        <f t="shared" si="85"/>
        <v/>
      </c>
      <c r="K679" s="49"/>
      <c r="L679" s="30"/>
      <c r="M679" s="31"/>
      <c r="N679" s="33"/>
      <c r="O679" s="31"/>
      <c r="P679" s="29" t="str">
        <f t="shared" si="86"/>
        <v/>
      </c>
      <c r="Q679" s="29" t="str">
        <f t="shared" si="87"/>
        <v/>
      </c>
      <c r="R679" s="33"/>
    </row>
    <row r="680" spans="1:18" x14ac:dyDescent="0.25">
      <c r="A680" s="31"/>
      <c r="B680" s="34" t="str">
        <f t="shared" si="80"/>
        <v/>
      </c>
      <c r="C680" s="30"/>
      <c r="D680" s="10"/>
      <c r="E680" s="30"/>
      <c r="F680" s="36" t="str">
        <f t="shared" si="81"/>
        <v/>
      </c>
      <c r="G680" s="36" t="str">
        <f t="shared" si="82"/>
        <v/>
      </c>
      <c r="H680" s="36" t="str">
        <f t="shared" si="83"/>
        <v/>
      </c>
      <c r="I680" s="34" t="str">
        <f t="shared" si="84"/>
        <v/>
      </c>
      <c r="J680" s="35" t="str">
        <f t="shared" si="85"/>
        <v/>
      </c>
      <c r="K680" s="49"/>
      <c r="L680" s="30"/>
      <c r="M680" s="31"/>
      <c r="N680" s="33"/>
      <c r="O680" s="31"/>
      <c r="P680" s="29" t="str">
        <f t="shared" si="86"/>
        <v/>
      </c>
      <c r="Q680" s="29" t="str">
        <f t="shared" si="87"/>
        <v/>
      </c>
      <c r="R680" s="33"/>
    </row>
    <row r="681" spans="1:18" x14ac:dyDescent="0.25">
      <c r="A681" s="31"/>
      <c r="B681" s="34" t="str">
        <f t="shared" si="80"/>
        <v/>
      </c>
      <c r="C681" s="30"/>
      <c r="D681" s="10"/>
      <c r="E681" s="30"/>
      <c r="F681" s="36" t="str">
        <f t="shared" si="81"/>
        <v/>
      </c>
      <c r="G681" s="36" t="str">
        <f t="shared" si="82"/>
        <v/>
      </c>
      <c r="H681" s="36" t="str">
        <f t="shared" si="83"/>
        <v/>
      </c>
      <c r="I681" s="34" t="str">
        <f t="shared" si="84"/>
        <v/>
      </c>
      <c r="J681" s="35" t="str">
        <f t="shared" si="85"/>
        <v/>
      </c>
      <c r="K681" s="49"/>
      <c r="L681" s="30"/>
      <c r="M681" s="31"/>
      <c r="N681" s="33"/>
      <c r="O681" s="31"/>
      <c r="P681" s="29" t="str">
        <f t="shared" si="86"/>
        <v/>
      </c>
      <c r="Q681" s="29" t="str">
        <f t="shared" si="87"/>
        <v/>
      </c>
      <c r="R681" s="33"/>
    </row>
    <row r="682" spans="1:18" x14ac:dyDescent="0.25">
      <c r="A682" s="31"/>
      <c r="B682" s="34" t="str">
        <f t="shared" si="80"/>
        <v/>
      </c>
      <c r="C682" s="30"/>
      <c r="D682" s="10"/>
      <c r="E682" s="30"/>
      <c r="F682" s="36" t="str">
        <f t="shared" si="81"/>
        <v/>
      </c>
      <c r="G682" s="36" t="str">
        <f t="shared" si="82"/>
        <v/>
      </c>
      <c r="H682" s="36" t="str">
        <f t="shared" si="83"/>
        <v/>
      </c>
      <c r="I682" s="34" t="str">
        <f t="shared" si="84"/>
        <v/>
      </c>
      <c r="J682" s="35" t="str">
        <f t="shared" si="85"/>
        <v/>
      </c>
      <c r="K682" s="49"/>
      <c r="L682" s="30"/>
      <c r="M682" s="31"/>
      <c r="N682" s="33"/>
      <c r="O682" s="31"/>
      <c r="P682" s="29" t="str">
        <f t="shared" si="86"/>
        <v/>
      </c>
      <c r="Q682" s="29" t="str">
        <f t="shared" si="87"/>
        <v/>
      </c>
      <c r="R682" s="33"/>
    </row>
    <row r="683" spans="1:18" x14ac:dyDescent="0.25">
      <c r="A683" s="31"/>
      <c r="B683" s="34" t="str">
        <f t="shared" si="80"/>
        <v/>
      </c>
      <c r="C683" s="30"/>
      <c r="D683" s="10"/>
      <c r="E683" s="30"/>
      <c r="F683" s="36" t="str">
        <f t="shared" si="81"/>
        <v/>
      </c>
      <c r="G683" s="36" t="str">
        <f t="shared" si="82"/>
        <v/>
      </c>
      <c r="H683" s="36" t="str">
        <f t="shared" si="83"/>
        <v/>
      </c>
      <c r="I683" s="34" t="str">
        <f t="shared" si="84"/>
        <v/>
      </c>
      <c r="J683" s="35" t="str">
        <f t="shared" si="85"/>
        <v/>
      </c>
      <c r="K683" s="49"/>
      <c r="L683" s="30"/>
      <c r="M683" s="31"/>
      <c r="N683" s="33"/>
      <c r="O683" s="31"/>
      <c r="P683" s="29" t="str">
        <f t="shared" si="86"/>
        <v/>
      </c>
      <c r="Q683" s="29" t="str">
        <f t="shared" si="87"/>
        <v/>
      </c>
      <c r="R683" s="33"/>
    </row>
    <row r="684" spans="1:18" x14ac:dyDescent="0.25">
      <c r="A684" s="31"/>
      <c r="B684" s="34" t="str">
        <f t="shared" si="80"/>
        <v/>
      </c>
      <c r="C684" s="30"/>
      <c r="D684" s="10"/>
      <c r="E684" s="30"/>
      <c r="F684" s="36" t="str">
        <f t="shared" si="81"/>
        <v/>
      </c>
      <c r="G684" s="36" t="str">
        <f t="shared" si="82"/>
        <v/>
      </c>
      <c r="H684" s="36" t="str">
        <f t="shared" si="83"/>
        <v/>
      </c>
      <c r="I684" s="34" t="str">
        <f t="shared" si="84"/>
        <v/>
      </c>
      <c r="J684" s="35" t="str">
        <f t="shared" si="85"/>
        <v/>
      </c>
      <c r="K684" s="49"/>
      <c r="L684" s="30"/>
      <c r="M684" s="31"/>
      <c r="N684" s="33"/>
      <c r="O684" s="31"/>
      <c r="P684" s="29" t="str">
        <f t="shared" si="86"/>
        <v/>
      </c>
      <c r="Q684" s="29" t="str">
        <f t="shared" si="87"/>
        <v/>
      </c>
      <c r="R684" s="33"/>
    </row>
    <row r="685" spans="1:18" x14ac:dyDescent="0.25">
      <c r="A685" s="31"/>
      <c r="B685" s="34" t="str">
        <f t="shared" si="80"/>
        <v/>
      </c>
      <c r="C685" s="30"/>
      <c r="D685" s="10"/>
      <c r="E685" s="30"/>
      <c r="F685" s="36" t="str">
        <f t="shared" si="81"/>
        <v/>
      </c>
      <c r="G685" s="36" t="str">
        <f t="shared" si="82"/>
        <v/>
      </c>
      <c r="H685" s="36" t="str">
        <f t="shared" si="83"/>
        <v/>
      </c>
      <c r="I685" s="34" t="str">
        <f t="shared" si="84"/>
        <v/>
      </c>
      <c r="J685" s="35" t="str">
        <f t="shared" si="85"/>
        <v/>
      </c>
      <c r="K685" s="49"/>
      <c r="L685" s="30"/>
      <c r="M685" s="31"/>
      <c r="N685" s="33"/>
      <c r="O685" s="31"/>
      <c r="P685" s="29" t="str">
        <f t="shared" si="86"/>
        <v/>
      </c>
      <c r="Q685" s="29" t="str">
        <f t="shared" si="87"/>
        <v/>
      </c>
      <c r="R685" s="33"/>
    </row>
    <row r="686" spans="1:18" x14ac:dyDescent="0.25">
      <c r="A686" s="31"/>
      <c r="B686" s="34" t="str">
        <f t="shared" si="80"/>
        <v/>
      </c>
      <c r="C686" s="30"/>
      <c r="D686" s="10"/>
      <c r="E686" s="30"/>
      <c r="F686" s="36" t="str">
        <f t="shared" si="81"/>
        <v/>
      </c>
      <c r="G686" s="36" t="str">
        <f t="shared" si="82"/>
        <v/>
      </c>
      <c r="H686" s="36" t="str">
        <f t="shared" si="83"/>
        <v/>
      </c>
      <c r="I686" s="34" t="str">
        <f t="shared" si="84"/>
        <v/>
      </c>
      <c r="J686" s="35" t="str">
        <f t="shared" si="85"/>
        <v/>
      </c>
      <c r="K686" s="49"/>
      <c r="L686" s="30"/>
      <c r="M686" s="31"/>
      <c r="N686" s="33"/>
      <c r="O686" s="31"/>
      <c r="P686" s="29" t="str">
        <f t="shared" si="86"/>
        <v/>
      </c>
      <c r="Q686" s="29" t="str">
        <f t="shared" si="87"/>
        <v/>
      </c>
      <c r="R686" s="33"/>
    </row>
    <row r="687" spans="1:18" x14ac:dyDescent="0.25">
      <c r="A687" s="31"/>
      <c r="B687" s="34" t="str">
        <f t="shared" si="80"/>
        <v/>
      </c>
      <c r="C687" s="30"/>
      <c r="D687" s="10"/>
      <c r="E687" s="30"/>
      <c r="F687" s="36" t="str">
        <f t="shared" si="81"/>
        <v/>
      </c>
      <c r="G687" s="36" t="str">
        <f t="shared" si="82"/>
        <v/>
      </c>
      <c r="H687" s="36" t="str">
        <f t="shared" si="83"/>
        <v/>
      </c>
      <c r="I687" s="34" t="str">
        <f t="shared" si="84"/>
        <v/>
      </c>
      <c r="J687" s="35" t="str">
        <f t="shared" si="85"/>
        <v/>
      </c>
      <c r="K687" s="49"/>
      <c r="L687" s="30"/>
      <c r="M687" s="31"/>
      <c r="N687" s="33"/>
      <c r="O687" s="31"/>
      <c r="P687" s="29" t="str">
        <f t="shared" si="86"/>
        <v/>
      </c>
      <c r="Q687" s="29" t="str">
        <f t="shared" si="87"/>
        <v/>
      </c>
      <c r="R687" s="33"/>
    </row>
    <row r="688" spans="1:18" x14ac:dyDescent="0.25">
      <c r="A688" s="31"/>
      <c r="B688" s="34" t="str">
        <f t="shared" si="80"/>
        <v/>
      </c>
      <c r="C688" s="30"/>
      <c r="D688" s="10"/>
      <c r="E688" s="30"/>
      <c r="F688" s="36" t="str">
        <f t="shared" si="81"/>
        <v/>
      </c>
      <c r="G688" s="36" t="str">
        <f t="shared" si="82"/>
        <v/>
      </c>
      <c r="H688" s="36" t="str">
        <f t="shared" si="83"/>
        <v/>
      </c>
      <c r="I688" s="34" t="str">
        <f t="shared" si="84"/>
        <v/>
      </c>
      <c r="J688" s="35" t="str">
        <f t="shared" si="85"/>
        <v/>
      </c>
      <c r="K688" s="49"/>
      <c r="L688" s="30"/>
      <c r="M688" s="31"/>
      <c r="N688" s="33"/>
      <c r="O688" s="31"/>
      <c r="P688" s="29" t="str">
        <f t="shared" si="86"/>
        <v/>
      </c>
      <c r="Q688" s="29" t="str">
        <f t="shared" si="87"/>
        <v/>
      </c>
      <c r="R688" s="33"/>
    </row>
    <row r="689" spans="1:18" x14ac:dyDescent="0.25">
      <c r="A689" s="31"/>
      <c r="B689" s="34" t="str">
        <f t="shared" si="80"/>
        <v/>
      </c>
      <c r="C689" s="30"/>
      <c r="D689" s="10"/>
      <c r="E689" s="30"/>
      <c r="F689" s="36" t="str">
        <f t="shared" si="81"/>
        <v/>
      </c>
      <c r="G689" s="36" t="str">
        <f t="shared" si="82"/>
        <v/>
      </c>
      <c r="H689" s="36" t="str">
        <f t="shared" si="83"/>
        <v/>
      </c>
      <c r="I689" s="34" t="str">
        <f t="shared" si="84"/>
        <v/>
      </c>
      <c r="J689" s="35" t="str">
        <f t="shared" si="85"/>
        <v/>
      </c>
      <c r="K689" s="49"/>
      <c r="L689" s="30"/>
      <c r="M689" s="31"/>
      <c r="N689" s="33"/>
      <c r="O689" s="31"/>
      <c r="P689" s="29" t="str">
        <f t="shared" si="86"/>
        <v/>
      </c>
      <c r="Q689" s="29" t="str">
        <f t="shared" si="87"/>
        <v/>
      </c>
      <c r="R689" s="33"/>
    </row>
    <row r="690" spans="1:18" x14ac:dyDescent="0.25">
      <c r="A690" s="31"/>
      <c r="B690" s="34" t="str">
        <f t="shared" si="80"/>
        <v/>
      </c>
      <c r="C690" s="30"/>
      <c r="D690" s="10"/>
      <c r="E690" s="30"/>
      <c r="F690" s="36" t="str">
        <f t="shared" si="81"/>
        <v/>
      </c>
      <c r="G690" s="36" t="str">
        <f t="shared" si="82"/>
        <v/>
      </c>
      <c r="H690" s="36" t="str">
        <f t="shared" si="83"/>
        <v/>
      </c>
      <c r="I690" s="34" t="str">
        <f t="shared" si="84"/>
        <v/>
      </c>
      <c r="J690" s="35" t="str">
        <f t="shared" si="85"/>
        <v/>
      </c>
      <c r="K690" s="49"/>
      <c r="L690" s="30"/>
      <c r="M690" s="31"/>
      <c r="N690" s="33"/>
      <c r="O690" s="31"/>
      <c r="P690" s="29" t="str">
        <f t="shared" si="86"/>
        <v/>
      </c>
      <c r="Q690" s="29" t="str">
        <f t="shared" si="87"/>
        <v/>
      </c>
      <c r="R690" s="33"/>
    </row>
    <row r="691" spans="1:18" x14ac:dyDescent="0.25">
      <c r="A691" s="31"/>
      <c r="B691" s="34" t="str">
        <f t="shared" si="80"/>
        <v/>
      </c>
      <c r="C691" s="30"/>
      <c r="D691" s="10"/>
      <c r="E691" s="30"/>
      <c r="F691" s="36" t="str">
        <f t="shared" si="81"/>
        <v/>
      </c>
      <c r="G691" s="36" t="str">
        <f t="shared" si="82"/>
        <v/>
      </c>
      <c r="H691" s="36" t="str">
        <f t="shared" si="83"/>
        <v/>
      </c>
      <c r="I691" s="34" t="str">
        <f t="shared" si="84"/>
        <v/>
      </c>
      <c r="J691" s="35" t="str">
        <f t="shared" si="85"/>
        <v/>
      </c>
      <c r="K691" s="49"/>
      <c r="L691" s="30"/>
      <c r="M691" s="31"/>
      <c r="N691" s="33"/>
      <c r="O691" s="31"/>
      <c r="P691" s="29" t="str">
        <f t="shared" si="86"/>
        <v/>
      </c>
      <c r="Q691" s="29" t="str">
        <f t="shared" si="87"/>
        <v/>
      </c>
      <c r="R691" s="33"/>
    </row>
    <row r="692" spans="1:18" x14ac:dyDescent="0.25">
      <c r="A692" s="31"/>
      <c r="B692" s="34" t="str">
        <f t="shared" si="80"/>
        <v/>
      </c>
      <c r="C692" s="30"/>
      <c r="D692" s="10"/>
      <c r="E692" s="30"/>
      <c r="F692" s="36" t="str">
        <f t="shared" si="81"/>
        <v/>
      </c>
      <c r="G692" s="36" t="str">
        <f t="shared" si="82"/>
        <v/>
      </c>
      <c r="H692" s="36" t="str">
        <f t="shared" si="83"/>
        <v/>
      </c>
      <c r="I692" s="34" t="str">
        <f t="shared" si="84"/>
        <v/>
      </c>
      <c r="J692" s="35" t="str">
        <f t="shared" si="85"/>
        <v/>
      </c>
      <c r="K692" s="49"/>
      <c r="L692" s="30"/>
      <c r="M692" s="31"/>
      <c r="N692" s="33"/>
      <c r="O692" s="31"/>
      <c r="P692" s="29" t="str">
        <f t="shared" si="86"/>
        <v/>
      </c>
      <c r="Q692" s="29" t="str">
        <f t="shared" si="87"/>
        <v/>
      </c>
      <c r="R692" s="33"/>
    </row>
    <row r="693" spans="1:18" x14ac:dyDescent="0.25">
      <c r="A693" s="31"/>
      <c r="B693" s="34" t="str">
        <f t="shared" si="80"/>
        <v/>
      </c>
      <c r="C693" s="30"/>
      <c r="D693" s="10"/>
      <c r="E693" s="30"/>
      <c r="F693" s="36" t="str">
        <f t="shared" si="81"/>
        <v/>
      </c>
      <c r="G693" s="36" t="str">
        <f t="shared" si="82"/>
        <v/>
      </c>
      <c r="H693" s="36" t="str">
        <f t="shared" si="83"/>
        <v/>
      </c>
      <c r="I693" s="34" t="str">
        <f t="shared" si="84"/>
        <v/>
      </c>
      <c r="J693" s="35" t="str">
        <f t="shared" si="85"/>
        <v/>
      </c>
      <c r="K693" s="49"/>
      <c r="L693" s="30"/>
      <c r="M693" s="31"/>
      <c r="N693" s="33"/>
      <c r="O693" s="31"/>
      <c r="P693" s="29" t="str">
        <f t="shared" si="86"/>
        <v/>
      </c>
      <c r="Q693" s="29" t="str">
        <f t="shared" si="87"/>
        <v/>
      </c>
      <c r="R693" s="33"/>
    </row>
    <row r="694" spans="1:18" x14ac:dyDescent="0.25">
      <c r="A694" s="31"/>
      <c r="B694" s="34" t="str">
        <f t="shared" si="80"/>
        <v/>
      </c>
      <c r="C694" s="30"/>
      <c r="D694" s="10"/>
      <c r="E694" s="30"/>
      <c r="F694" s="36" t="str">
        <f t="shared" si="81"/>
        <v/>
      </c>
      <c r="G694" s="36" t="str">
        <f t="shared" si="82"/>
        <v/>
      </c>
      <c r="H694" s="36" t="str">
        <f t="shared" si="83"/>
        <v/>
      </c>
      <c r="I694" s="34" t="str">
        <f t="shared" si="84"/>
        <v/>
      </c>
      <c r="J694" s="35" t="str">
        <f t="shared" si="85"/>
        <v/>
      </c>
      <c r="K694" s="49"/>
      <c r="L694" s="30"/>
      <c r="M694" s="31"/>
      <c r="N694" s="33"/>
      <c r="O694" s="31"/>
      <c r="P694" s="29" t="str">
        <f t="shared" si="86"/>
        <v/>
      </c>
      <c r="Q694" s="29" t="str">
        <f t="shared" si="87"/>
        <v/>
      </c>
      <c r="R694" s="33"/>
    </row>
    <row r="695" spans="1:18" x14ac:dyDescent="0.25">
      <c r="A695" s="31"/>
      <c r="B695" s="34" t="str">
        <f t="shared" si="80"/>
        <v/>
      </c>
      <c r="C695" s="30"/>
      <c r="D695" s="10"/>
      <c r="E695" s="30"/>
      <c r="F695" s="36" t="str">
        <f t="shared" si="81"/>
        <v/>
      </c>
      <c r="G695" s="36" t="str">
        <f t="shared" si="82"/>
        <v/>
      </c>
      <c r="H695" s="36" t="str">
        <f t="shared" si="83"/>
        <v/>
      </c>
      <c r="I695" s="34" t="str">
        <f t="shared" si="84"/>
        <v/>
      </c>
      <c r="J695" s="35" t="str">
        <f t="shared" si="85"/>
        <v/>
      </c>
      <c r="K695" s="49"/>
      <c r="L695" s="30"/>
      <c r="M695" s="31"/>
      <c r="N695" s="33"/>
      <c r="O695" s="31"/>
      <c r="P695" s="29" t="str">
        <f t="shared" si="86"/>
        <v/>
      </c>
      <c r="Q695" s="29" t="str">
        <f t="shared" si="87"/>
        <v/>
      </c>
      <c r="R695" s="33"/>
    </row>
    <row r="696" spans="1:18" x14ac:dyDescent="0.25">
      <c r="A696" s="31"/>
      <c r="B696" s="34" t="str">
        <f t="shared" si="80"/>
        <v/>
      </c>
      <c r="C696" s="30"/>
      <c r="D696" s="10"/>
      <c r="E696" s="30"/>
      <c r="F696" s="36" t="str">
        <f t="shared" si="81"/>
        <v/>
      </c>
      <c r="G696" s="36" t="str">
        <f t="shared" si="82"/>
        <v/>
      </c>
      <c r="H696" s="36" t="str">
        <f t="shared" si="83"/>
        <v/>
      </c>
      <c r="I696" s="34" t="str">
        <f t="shared" si="84"/>
        <v/>
      </c>
      <c r="J696" s="35" t="str">
        <f t="shared" si="85"/>
        <v/>
      </c>
      <c r="K696" s="49"/>
      <c r="L696" s="30"/>
      <c r="M696" s="31"/>
      <c r="N696" s="33"/>
      <c r="O696" s="31"/>
      <c r="P696" s="29" t="str">
        <f t="shared" si="86"/>
        <v/>
      </c>
      <c r="Q696" s="29" t="str">
        <f t="shared" si="87"/>
        <v/>
      </c>
      <c r="R696" s="33"/>
    </row>
    <row r="697" spans="1:18" x14ac:dyDescent="0.25">
      <c r="A697" s="31"/>
      <c r="B697" s="34" t="str">
        <f t="shared" si="80"/>
        <v/>
      </c>
      <c r="C697" s="30"/>
      <c r="D697" s="10"/>
      <c r="E697" s="30"/>
      <c r="F697" s="36" t="str">
        <f t="shared" si="81"/>
        <v/>
      </c>
      <c r="G697" s="36" t="str">
        <f t="shared" si="82"/>
        <v/>
      </c>
      <c r="H697" s="36" t="str">
        <f t="shared" si="83"/>
        <v/>
      </c>
      <c r="I697" s="34" t="str">
        <f t="shared" si="84"/>
        <v/>
      </c>
      <c r="J697" s="35" t="str">
        <f t="shared" si="85"/>
        <v/>
      </c>
      <c r="K697" s="49"/>
      <c r="L697" s="30"/>
      <c r="M697" s="31"/>
      <c r="N697" s="33"/>
      <c r="O697" s="31"/>
      <c r="P697" s="29" t="str">
        <f t="shared" si="86"/>
        <v/>
      </c>
      <c r="Q697" s="29" t="str">
        <f t="shared" si="87"/>
        <v/>
      </c>
      <c r="R697" s="33"/>
    </row>
    <row r="698" spans="1:18" x14ac:dyDescent="0.25">
      <c r="A698" s="31"/>
      <c r="B698" s="34" t="str">
        <f t="shared" si="80"/>
        <v/>
      </c>
      <c r="C698" s="30"/>
      <c r="D698" s="10"/>
      <c r="E698" s="30"/>
      <c r="F698" s="36" t="str">
        <f t="shared" si="81"/>
        <v/>
      </c>
      <c r="G698" s="36" t="str">
        <f t="shared" si="82"/>
        <v/>
      </c>
      <c r="H698" s="36" t="str">
        <f t="shared" si="83"/>
        <v/>
      </c>
      <c r="I698" s="34" t="str">
        <f t="shared" si="84"/>
        <v/>
      </c>
      <c r="J698" s="35" t="str">
        <f t="shared" si="85"/>
        <v/>
      </c>
      <c r="K698" s="49"/>
      <c r="L698" s="30"/>
      <c r="M698" s="31"/>
      <c r="N698" s="33"/>
      <c r="O698" s="31"/>
      <c r="P698" s="29" t="str">
        <f t="shared" si="86"/>
        <v/>
      </c>
      <c r="Q698" s="29" t="str">
        <f t="shared" si="87"/>
        <v/>
      </c>
      <c r="R698" s="33"/>
    </row>
    <row r="699" spans="1:18" x14ac:dyDescent="0.25">
      <c r="A699" s="31"/>
      <c r="B699" s="34" t="str">
        <f t="shared" si="80"/>
        <v/>
      </c>
      <c r="C699" s="30"/>
      <c r="D699" s="10"/>
      <c r="E699" s="30"/>
      <c r="F699" s="36" t="str">
        <f t="shared" si="81"/>
        <v/>
      </c>
      <c r="G699" s="36" t="str">
        <f t="shared" si="82"/>
        <v/>
      </c>
      <c r="H699" s="36" t="str">
        <f t="shared" si="83"/>
        <v/>
      </c>
      <c r="I699" s="34" t="str">
        <f t="shared" si="84"/>
        <v/>
      </c>
      <c r="J699" s="35" t="str">
        <f t="shared" si="85"/>
        <v/>
      </c>
      <c r="K699" s="49"/>
      <c r="L699" s="30"/>
      <c r="M699" s="31"/>
      <c r="N699" s="33"/>
      <c r="O699" s="31"/>
      <c r="P699" s="29" t="str">
        <f t="shared" si="86"/>
        <v/>
      </c>
      <c r="Q699" s="29" t="str">
        <f t="shared" si="87"/>
        <v/>
      </c>
      <c r="R699" s="33"/>
    </row>
    <row r="700" spans="1:18" x14ac:dyDescent="0.25">
      <c r="A700" s="31"/>
      <c r="B700" s="34" t="str">
        <f t="shared" si="80"/>
        <v/>
      </c>
      <c r="C700" s="30"/>
      <c r="D700" s="10"/>
      <c r="E700" s="30"/>
      <c r="F700" s="36" t="str">
        <f t="shared" si="81"/>
        <v/>
      </c>
      <c r="G700" s="36" t="str">
        <f t="shared" si="82"/>
        <v/>
      </c>
      <c r="H700" s="36" t="str">
        <f t="shared" si="83"/>
        <v/>
      </c>
      <c r="I700" s="34" t="str">
        <f t="shared" si="84"/>
        <v/>
      </c>
      <c r="J700" s="35" t="str">
        <f t="shared" si="85"/>
        <v/>
      </c>
      <c r="K700" s="49"/>
      <c r="L700" s="30"/>
      <c r="M700" s="31"/>
      <c r="N700" s="33"/>
      <c r="O700" s="31"/>
      <c r="P700" s="29" t="str">
        <f t="shared" si="86"/>
        <v/>
      </c>
      <c r="Q700" s="29" t="str">
        <f t="shared" si="87"/>
        <v/>
      </c>
      <c r="R700" s="33"/>
    </row>
    <row r="701" spans="1:18" x14ac:dyDescent="0.25">
      <c r="A701" s="31"/>
      <c r="B701" s="34" t="str">
        <f t="shared" si="80"/>
        <v/>
      </c>
      <c r="C701" s="30"/>
      <c r="D701" s="10"/>
      <c r="E701" s="30"/>
      <c r="F701" s="36" t="str">
        <f t="shared" si="81"/>
        <v/>
      </c>
      <c r="G701" s="36" t="str">
        <f t="shared" si="82"/>
        <v/>
      </c>
      <c r="H701" s="36" t="str">
        <f t="shared" si="83"/>
        <v/>
      </c>
      <c r="I701" s="34" t="str">
        <f t="shared" si="84"/>
        <v/>
      </c>
      <c r="J701" s="35" t="str">
        <f t="shared" si="85"/>
        <v/>
      </c>
      <c r="K701" s="49"/>
      <c r="L701" s="30"/>
      <c r="M701" s="31"/>
      <c r="N701" s="33"/>
      <c r="O701" s="31"/>
      <c r="P701" s="29" t="str">
        <f t="shared" si="86"/>
        <v/>
      </c>
      <c r="Q701" s="29" t="str">
        <f t="shared" si="87"/>
        <v/>
      </c>
      <c r="R701" s="33"/>
    </row>
    <row r="702" spans="1:18" x14ac:dyDescent="0.25">
      <c r="A702" s="31"/>
      <c r="B702" s="34" t="str">
        <f t="shared" si="80"/>
        <v/>
      </c>
      <c r="C702" s="30"/>
      <c r="D702" s="10"/>
      <c r="E702" s="30"/>
      <c r="F702" s="36" t="str">
        <f t="shared" si="81"/>
        <v/>
      </c>
      <c r="G702" s="36" t="str">
        <f t="shared" si="82"/>
        <v/>
      </c>
      <c r="H702" s="36" t="str">
        <f t="shared" si="83"/>
        <v/>
      </c>
      <c r="I702" s="34" t="str">
        <f t="shared" si="84"/>
        <v/>
      </c>
      <c r="J702" s="35" t="str">
        <f t="shared" si="85"/>
        <v/>
      </c>
      <c r="K702" s="49"/>
      <c r="L702" s="30"/>
      <c r="M702" s="31"/>
      <c r="N702" s="33"/>
      <c r="O702" s="31"/>
      <c r="P702" s="29" t="str">
        <f t="shared" si="86"/>
        <v/>
      </c>
      <c r="Q702" s="29" t="str">
        <f t="shared" si="87"/>
        <v/>
      </c>
      <c r="R702" s="33"/>
    </row>
    <row r="703" spans="1:18" x14ac:dyDescent="0.25">
      <c r="A703" s="31"/>
      <c r="B703" s="34" t="str">
        <f t="shared" si="80"/>
        <v/>
      </c>
      <c r="C703" s="30"/>
      <c r="D703" s="10"/>
      <c r="E703" s="30"/>
      <c r="F703" s="36" t="str">
        <f t="shared" si="81"/>
        <v/>
      </c>
      <c r="G703" s="36" t="str">
        <f t="shared" si="82"/>
        <v/>
      </c>
      <c r="H703" s="36" t="str">
        <f t="shared" si="83"/>
        <v/>
      </c>
      <c r="I703" s="34" t="str">
        <f t="shared" si="84"/>
        <v/>
      </c>
      <c r="J703" s="35" t="str">
        <f t="shared" si="85"/>
        <v/>
      </c>
      <c r="K703" s="49"/>
      <c r="L703" s="30"/>
      <c r="M703" s="31"/>
      <c r="N703" s="33"/>
      <c r="O703" s="31"/>
      <c r="P703" s="29" t="str">
        <f t="shared" si="86"/>
        <v/>
      </c>
      <c r="Q703" s="29" t="str">
        <f t="shared" si="87"/>
        <v/>
      </c>
      <c r="R703" s="33"/>
    </row>
    <row r="704" spans="1:18" x14ac:dyDescent="0.25">
      <c r="A704" s="31"/>
      <c r="B704" s="34" t="str">
        <f t="shared" si="80"/>
        <v/>
      </c>
      <c r="C704" s="30"/>
      <c r="D704" s="10"/>
      <c r="E704" s="30"/>
      <c r="F704" s="36" t="str">
        <f t="shared" si="81"/>
        <v/>
      </c>
      <c r="G704" s="36" t="str">
        <f t="shared" si="82"/>
        <v/>
      </c>
      <c r="H704" s="36" t="str">
        <f t="shared" si="83"/>
        <v/>
      </c>
      <c r="I704" s="34" t="str">
        <f t="shared" si="84"/>
        <v/>
      </c>
      <c r="J704" s="35" t="str">
        <f t="shared" si="85"/>
        <v/>
      </c>
      <c r="K704" s="49"/>
      <c r="L704" s="30"/>
      <c r="M704" s="31"/>
      <c r="N704" s="33"/>
      <c r="O704" s="31"/>
      <c r="P704" s="29" t="str">
        <f t="shared" si="86"/>
        <v/>
      </c>
      <c r="Q704" s="29" t="str">
        <f t="shared" si="87"/>
        <v/>
      </c>
      <c r="R704" s="33"/>
    </row>
    <row r="705" spans="1:18" x14ac:dyDescent="0.25">
      <c r="A705" s="31"/>
      <c r="B705" s="34" t="str">
        <f t="shared" si="80"/>
        <v/>
      </c>
      <c r="C705" s="30"/>
      <c r="D705" s="10"/>
      <c r="E705" s="30"/>
      <c r="F705" s="36" t="str">
        <f t="shared" si="81"/>
        <v/>
      </c>
      <c r="G705" s="36" t="str">
        <f t="shared" si="82"/>
        <v/>
      </c>
      <c r="H705" s="36" t="str">
        <f t="shared" si="83"/>
        <v/>
      </c>
      <c r="I705" s="34" t="str">
        <f t="shared" si="84"/>
        <v/>
      </c>
      <c r="J705" s="35" t="str">
        <f t="shared" si="85"/>
        <v/>
      </c>
      <c r="K705" s="49"/>
      <c r="L705" s="30"/>
      <c r="M705" s="31"/>
      <c r="N705" s="33"/>
      <c r="O705" s="31"/>
      <c r="P705" s="29" t="str">
        <f t="shared" si="86"/>
        <v/>
      </c>
      <c r="Q705" s="29" t="str">
        <f t="shared" si="87"/>
        <v/>
      </c>
      <c r="R705" s="33"/>
    </row>
    <row r="706" spans="1:18" x14ac:dyDescent="0.25">
      <c r="A706" s="31"/>
      <c r="B706" s="34" t="str">
        <f t="shared" si="80"/>
        <v/>
      </c>
      <c r="C706" s="30"/>
      <c r="D706" s="10"/>
      <c r="E706" s="30"/>
      <c r="F706" s="36" t="str">
        <f t="shared" si="81"/>
        <v/>
      </c>
      <c r="G706" s="36" t="str">
        <f t="shared" si="82"/>
        <v/>
      </c>
      <c r="H706" s="36" t="str">
        <f t="shared" si="83"/>
        <v/>
      </c>
      <c r="I706" s="34" t="str">
        <f t="shared" si="84"/>
        <v/>
      </c>
      <c r="J706" s="35" t="str">
        <f t="shared" si="85"/>
        <v/>
      </c>
      <c r="K706" s="49"/>
      <c r="L706" s="30"/>
      <c r="M706" s="31"/>
      <c r="N706" s="33"/>
      <c r="O706" s="31"/>
      <c r="P706" s="29" t="str">
        <f t="shared" si="86"/>
        <v/>
      </c>
      <c r="Q706" s="29" t="str">
        <f t="shared" si="87"/>
        <v/>
      </c>
      <c r="R706" s="33"/>
    </row>
    <row r="707" spans="1:18" x14ac:dyDescent="0.25">
      <c r="A707" s="31"/>
      <c r="B707" s="34" t="str">
        <f t="shared" si="80"/>
        <v/>
      </c>
      <c r="C707" s="30"/>
      <c r="D707" s="10"/>
      <c r="E707" s="30"/>
      <c r="F707" s="36" t="str">
        <f t="shared" si="81"/>
        <v/>
      </c>
      <c r="G707" s="36" t="str">
        <f t="shared" si="82"/>
        <v/>
      </c>
      <c r="H707" s="36" t="str">
        <f t="shared" si="83"/>
        <v/>
      </c>
      <c r="I707" s="34" t="str">
        <f t="shared" si="84"/>
        <v/>
      </c>
      <c r="J707" s="35" t="str">
        <f t="shared" si="85"/>
        <v/>
      </c>
      <c r="K707" s="49"/>
      <c r="L707" s="30"/>
      <c r="M707" s="31"/>
      <c r="N707" s="33"/>
      <c r="O707" s="31"/>
      <c r="P707" s="29" t="str">
        <f t="shared" si="86"/>
        <v/>
      </c>
      <c r="Q707" s="29" t="str">
        <f t="shared" si="87"/>
        <v/>
      </c>
      <c r="R707" s="33"/>
    </row>
    <row r="708" spans="1:18" x14ac:dyDescent="0.25">
      <c r="A708" s="31"/>
      <c r="B708" s="34" t="str">
        <f t="shared" si="80"/>
        <v/>
      </c>
      <c r="C708" s="30"/>
      <c r="D708" s="10"/>
      <c r="E708" s="30"/>
      <c r="F708" s="36" t="str">
        <f t="shared" si="81"/>
        <v/>
      </c>
      <c r="G708" s="36" t="str">
        <f t="shared" si="82"/>
        <v/>
      </c>
      <c r="H708" s="36" t="str">
        <f t="shared" si="83"/>
        <v/>
      </c>
      <c r="I708" s="34" t="str">
        <f t="shared" si="84"/>
        <v/>
      </c>
      <c r="J708" s="35" t="str">
        <f t="shared" si="85"/>
        <v/>
      </c>
      <c r="K708" s="49"/>
      <c r="L708" s="30"/>
      <c r="M708" s="31"/>
      <c r="N708" s="33"/>
      <c r="O708" s="31"/>
      <c r="P708" s="29" t="str">
        <f t="shared" si="86"/>
        <v/>
      </c>
      <c r="Q708" s="29" t="str">
        <f t="shared" si="87"/>
        <v/>
      </c>
      <c r="R708" s="33"/>
    </row>
    <row r="709" spans="1:18" x14ac:dyDescent="0.25">
      <c r="A709" s="31"/>
      <c r="B709" s="34" t="str">
        <f t="shared" ref="B709:B772" si="88">IFERROR(IF($E709="","",VLOOKUP($E709,CAD_TAB,2,FALSE)),"")</f>
        <v/>
      </c>
      <c r="C709" s="30"/>
      <c r="D709" s="10"/>
      <c r="E709" s="30"/>
      <c r="F709" s="36" t="str">
        <f t="shared" ref="F709:F772" si="89">IFERROR(IF($E709="","",VLOOKUP($E709,CAD_TAB,8,FALSE)),"")</f>
        <v/>
      </c>
      <c r="G709" s="36" t="str">
        <f t="shared" ref="G709:G772" si="90">IFERROR(IF($E709="","",VLOOKUP($E709,CAD_TAB,9,FALSE)),"")</f>
        <v/>
      </c>
      <c r="H709" s="36" t="str">
        <f t="shared" ref="H709:H772" si="91">IFERROR(IF($E709="","",VLOOKUP($E709,CAD_TAB,11,FALSE)),"")</f>
        <v/>
      </c>
      <c r="I709" s="34" t="str">
        <f t="shared" ref="I709:I772" si="92">IFERROR(IF($E709="","",VLOOKUP($E709,CAD_TAB,7,FALSE)),"")</f>
        <v/>
      </c>
      <c r="J709" s="35" t="str">
        <f t="shared" ref="J709:J772" si="93">IFERROR(IF($E709="","",VLOOKUP($E709,CAD_TAB,6,FALSE)),"")</f>
        <v/>
      </c>
      <c r="K709" s="49"/>
      <c r="L709" s="30"/>
      <c r="M709" s="31"/>
      <c r="N709" s="33"/>
      <c r="O709" s="31"/>
      <c r="P709" s="29" t="str">
        <f t="shared" ref="P709:P772" si="94">IF($E709="","",IF($L709="SIM","EXECUTADO",IF($O709&lt;&gt;"","REPROGRAMADO",IF($L709="NÃO","NÃO EXECUTADO","PROGRAMADO"))))</f>
        <v/>
      </c>
      <c r="Q709" s="29" t="str">
        <f t="shared" ref="Q709:Q772" si="95">IF($E709="","",IF($L709="SIM",IF($M709=$A709,"NO DIA","FORA DO DIA"),""))</f>
        <v/>
      </c>
      <c r="R709" s="33"/>
    </row>
    <row r="710" spans="1:18" x14ac:dyDescent="0.25">
      <c r="A710" s="31"/>
      <c r="B710" s="34" t="str">
        <f t="shared" si="88"/>
        <v/>
      </c>
      <c r="C710" s="30"/>
      <c r="D710" s="10"/>
      <c r="E710" s="30"/>
      <c r="F710" s="36" t="str">
        <f t="shared" si="89"/>
        <v/>
      </c>
      <c r="G710" s="36" t="str">
        <f t="shared" si="90"/>
        <v/>
      </c>
      <c r="H710" s="36" t="str">
        <f t="shared" si="91"/>
        <v/>
      </c>
      <c r="I710" s="34" t="str">
        <f t="shared" si="92"/>
        <v/>
      </c>
      <c r="J710" s="35" t="str">
        <f t="shared" si="93"/>
        <v/>
      </c>
      <c r="K710" s="49"/>
      <c r="L710" s="30"/>
      <c r="M710" s="31"/>
      <c r="N710" s="33"/>
      <c r="O710" s="31"/>
      <c r="P710" s="29" t="str">
        <f t="shared" si="94"/>
        <v/>
      </c>
      <c r="Q710" s="29" t="str">
        <f t="shared" si="95"/>
        <v/>
      </c>
      <c r="R710" s="33"/>
    </row>
    <row r="711" spans="1:18" x14ac:dyDescent="0.25">
      <c r="A711" s="31"/>
      <c r="B711" s="34" t="str">
        <f t="shared" si="88"/>
        <v/>
      </c>
      <c r="C711" s="30"/>
      <c r="D711" s="10"/>
      <c r="E711" s="30"/>
      <c r="F711" s="36" t="str">
        <f t="shared" si="89"/>
        <v/>
      </c>
      <c r="G711" s="36" t="str">
        <f t="shared" si="90"/>
        <v/>
      </c>
      <c r="H711" s="36" t="str">
        <f t="shared" si="91"/>
        <v/>
      </c>
      <c r="I711" s="34" t="str">
        <f t="shared" si="92"/>
        <v/>
      </c>
      <c r="J711" s="35" t="str">
        <f t="shared" si="93"/>
        <v/>
      </c>
      <c r="K711" s="49"/>
      <c r="L711" s="30"/>
      <c r="M711" s="31"/>
      <c r="N711" s="33"/>
      <c r="O711" s="31"/>
      <c r="P711" s="29" t="str">
        <f t="shared" si="94"/>
        <v/>
      </c>
      <c r="Q711" s="29" t="str">
        <f t="shared" si="95"/>
        <v/>
      </c>
      <c r="R711" s="33"/>
    </row>
    <row r="712" spans="1:18" x14ac:dyDescent="0.25">
      <c r="A712" s="31"/>
      <c r="B712" s="34" t="str">
        <f t="shared" si="88"/>
        <v/>
      </c>
      <c r="C712" s="30"/>
      <c r="D712" s="10"/>
      <c r="E712" s="30"/>
      <c r="F712" s="36" t="str">
        <f t="shared" si="89"/>
        <v/>
      </c>
      <c r="G712" s="36" t="str">
        <f t="shared" si="90"/>
        <v/>
      </c>
      <c r="H712" s="36" t="str">
        <f t="shared" si="91"/>
        <v/>
      </c>
      <c r="I712" s="34" t="str">
        <f t="shared" si="92"/>
        <v/>
      </c>
      <c r="J712" s="35" t="str">
        <f t="shared" si="93"/>
        <v/>
      </c>
      <c r="K712" s="49"/>
      <c r="L712" s="30"/>
      <c r="M712" s="31"/>
      <c r="N712" s="33"/>
      <c r="O712" s="31"/>
      <c r="P712" s="29" t="str">
        <f t="shared" si="94"/>
        <v/>
      </c>
      <c r="Q712" s="29" t="str">
        <f t="shared" si="95"/>
        <v/>
      </c>
      <c r="R712" s="33"/>
    </row>
    <row r="713" spans="1:18" x14ac:dyDescent="0.25">
      <c r="A713" s="31"/>
      <c r="B713" s="34" t="str">
        <f t="shared" si="88"/>
        <v/>
      </c>
      <c r="C713" s="30"/>
      <c r="D713" s="10"/>
      <c r="E713" s="30"/>
      <c r="F713" s="36" t="str">
        <f t="shared" si="89"/>
        <v/>
      </c>
      <c r="G713" s="36" t="str">
        <f t="shared" si="90"/>
        <v/>
      </c>
      <c r="H713" s="36" t="str">
        <f t="shared" si="91"/>
        <v/>
      </c>
      <c r="I713" s="34" t="str">
        <f t="shared" si="92"/>
        <v/>
      </c>
      <c r="J713" s="35" t="str">
        <f t="shared" si="93"/>
        <v/>
      </c>
      <c r="K713" s="49"/>
      <c r="L713" s="30"/>
      <c r="M713" s="31"/>
      <c r="N713" s="33"/>
      <c r="O713" s="31"/>
      <c r="P713" s="29" t="str">
        <f t="shared" si="94"/>
        <v/>
      </c>
      <c r="Q713" s="29" t="str">
        <f t="shared" si="95"/>
        <v/>
      </c>
      <c r="R713" s="33"/>
    </row>
    <row r="714" spans="1:18" x14ac:dyDescent="0.25">
      <c r="A714" s="31"/>
      <c r="B714" s="34" t="str">
        <f t="shared" si="88"/>
        <v/>
      </c>
      <c r="C714" s="30"/>
      <c r="D714" s="10"/>
      <c r="E714" s="30"/>
      <c r="F714" s="36" t="str">
        <f t="shared" si="89"/>
        <v/>
      </c>
      <c r="G714" s="36" t="str">
        <f t="shared" si="90"/>
        <v/>
      </c>
      <c r="H714" s="36" t="str">
        <f t="shared" si="91"/>
        <v/>
      </c>
      <c r="I714" s="34" t="str">
        <f t="shared" si="92"/>
        <v/>
      </c>
      <c r="J714" s="35" t="str">
        <f t="shared" si="93"/>
        <v/>
      </c>
      <c r="K714" s="49"/>
      <c r="L714" s="30"/>
      <c r="M714" s="31"/>
      <c r="N714" s="33"/>
      <c r="O714" s="31"/>
      <c r="P714" s="29" t="str">
        <f t="shared" si="94"/>
        <v/>
      </c>
      <c r="Q714" s="29" t="str">
        <f t="shared" si="95"/>
        <v/>
      </c>
      <c r="R714" s="33"/>
    </row>
    <row r="715" spans="1:18" x14ac:dyDescent="0.25">
      <c r="A715" s="31"/>
      <c r="B715" s="34" t="str">
        <f t="shared" si="88"/>
        <v/>
      </c>
      <c r="C715" s="30"/>
      <c r="D715" s="10"/>
      <c r="E715" s="30"/>
      <c r="F715" s="36" t="str">
        <f t="shared" si="89"/>
        <v/>
      </c>
      <c r="G715" s="36" t="str">
        <f t="shared" si="90"/>
        <v/>
      </c>
      <c r="H715" s="36" t="str">
        <f t="shared" si="91"/>
        <v/>
      </c>
      <c r="I715" s="34" t="str">
        <f t="shared" si="92"/>
        <v/>
      </c>
      <c r="J715" s="35" t="str">
        <f t="shared" si="93"/>
        <v/>
      </c>
      <c r="K715" s="49"/>
      <c r="L715" s="30"/>
      <c r="M715" s="31"/>
      <c r="N715" s="33"/>
      <c r="O715" s="31"/>
      <c r="P715" s="29" t="str">
        <f t="shared" si="94"/>
        <v/>
      </c>
      <c r="Q715" s="29" t="str">
        <f t="shared" si="95"/>
        <v/>
      </c>
      <c r="R715" s="33"/>
    </row>
    <row r="716" spans="1:18" x14ac:dyDescent="0.25">
      <c r="A716" s="31"/>
      <c r="B716" s="34" t="str">
        <f t="shared" si="88"/>
        <v/>
      </c>
      <c r="C716" s="30"/>
      <c r="D716" s="10"/>
      <c r="E716" s="30"/>
      <c r="F716" s="36" t="str">
        <f t="shared" si="89"/>
        <v/>
      </c>
      <c r="G716" s="36" t="str">
        <f t="shared" si="90"/>
        <v/>
      </c>
      <c r="H716" s="36" t="str">
        <f t="shared" si="91"/>
        <v/>
      </c>
      <c r="I716" s="34" t="str">
        <f t="shared" si="92"/>
        <v/>
      </c>
      <c r="J716" s="35" t="str">
        <f t="shared" si="93"/>
        <v/>
      </c>
      <c r="K716" s="49"/>
      <c r="L716" s="30"/>
      <c r="M716" s="31"/>
      <c r="N716" s="33"/>
      <c r="O716" s="31"/>
      <c r="P716" s="29" t="str">
        <f t="shared" si="94"/>
        <v/>
      </c>
      <c r="Q716" s="29" t="str">
        <f t="shared" si="95"/>
        <v/>
      </c>
      <c r="R716" s="33"/>
    </row>
    <row r="717" spans="1:18" x14ac:dyDescent="0.25">
      <c r="A717" s="31"/>
      <c r="B717" s="34" t="str">
        <f t="shared" si="88"/>
        <v/>
      </c>
      <c r="C717" s="30"/>
      <c r="D717" s="10"/>
      <c r="E717" s="30"/>
      <c r="F717" s="36" t="str">
        <f t="shared" si="89"/>
        <v/>
      </c>
      <c r="G717" s="36" t="str">
        <f t="shared" si="90"/>
        <v/>
      </c>
      <c r="H717" s="36" t="str">
        <f t="shared" si="91"/>
        <v/>
      </c>
      <c r="I717" s="34" t="str">
        <f t="shared" si="92"/>
        <v/>
      </c>
      <c r="J717" s="35" t="str">
        <f t="shared" si="93"/>
        <v/>
      </c>
      <c r="K717" s="49"/>
      <c r="L717" s="30"/>
      <c r="M717" s="31"/>
      <c r="N717" s="33"/>
      <c r="O717" s="31"/>
      <c r="P717" s="29" t="str">
        <f t="shared" si="94"/>
        <v/>
      </c>
      <c r="Q717" s="29" t="str">
        <f t="shared" si="95"/>
        <v/>
      </c>
      <c r="R717" s="33"/>
    </row>
    <row r="718" spans="1:18" x14ac:dyDescent="0.25">
      <c r="A718" s="31"/>
      <c r="B718" s="34" t="str">
        <f t="shared" si="88"/>
        <v/>
      </c>
      <c r="C718" s="30"/>
      <c r="D718" s="10"/>
      <c r="E718" s="30"/>
      <c r="F718" s="36" t="str">
        <f t="shared" si="89"/>
        <v/>
      </c>
      <c r="G718" s="36" t="str">
        <f t="shared" si="90"/>
        <v/>
      </c>
      <c r="H718" s="36" t="str">
        <f t="shared" si="91"/>
        <v/>
      </c>
      <c r="I718" s="34" t="str">
        <f t="shared" si="92"/>
        <v/>
      </c>
      <c r="J718" s="35" t="str">
        <f t="shared" si="93"/>
        <v/>
      </c>
      <c r="K718" s="49"/>
      <c r="L718" s="30"/>
      <c r="M718" s="31"/>
      <c r="N718" s="33"/>
      <c r="O718" s="31"/>
      <c r="P718" s="29" t="str">
        <f t="shared" si="94"/>
        <v/>
      </c>
      <c r="Q718" s="29" t="str">
        <f t="shared" si="95"/>
        <v/>
      </c>
      <c r="R718" s="33"/>
    </row>
    <row r="719" spans="1:18" x14ac:dyDescent="0.25">
      <c r="A719" s="31"/>
      <c r="B719" s="34" t="str">
        <f t="shared" si="88"/>
        <v/>
      </c>
      <c r="C719" s="30"/>
      <c r="D719" s="10"/>
      <c r="E719" s="30"/>
      <c r="F719" s="36" t="str">
        <f t="shared" si="89"/>
        <v/>
      </c>
      <c r="G719" s="36" t="str">
        <f t="shared" si="90"/>
        <v/>
      </c>
      <c r="H719" s="36" t="str">
        <f t="shared" si="91"/>
        <v/>
      </c>
      <c r="I719" s="34" t="str">
        <f t="shared" si="92"/>
        <v/>
      </c>
      <c r="J719" s="35" t="str">
        <f t="shared" si="93"/>
        <v/>
      </c>
      <c r="K719" s="49"/>
      <c r="L719" s="30"/>
      <c r="M719" s="31"/>
      <c r="N719" s="33"/>
      <c r="O719" s="31"/>
      <c r="P719" s="29" t="str">
        <f t="shared" si="94"/>
        <v/>
      </c>
      <c r="Q719" s="29" t="str">
        <f t="shared" si="95"/>
        <v/>
      </c>
      <c r="R719" s="33"/>
    </row>
    <row r="720" spans="1:18" x14ac:dyDescent="0.25">
      <c r="A720" s="31"/>
      <c r="B720" s="34" t="str">
        <f t="shared" si="88"/>
        <v/>
      </c>
      <c r="C720" s="30"/>
      <c r="D720" s="10"/>
      <c r="E720" s="30"/>
      <c r="F720" s="36" t="str">
        <f t="shared" si="89"/>
        <v/>
      </c>
      <c r="G720" s="36" t="str">
        <f t="shared" si="90"/>
        <v/>
      </c>
      <c r="H720" s="36" t="str">
        <f t="shared" si="91"/>
        <v/>
      </c>
      <c r="I720" s="34" t="str">
        <f t="shared" si="92"/>
        <v/>
      </c>
      <c r="J720" s="35" t="str">
        <f t="shared" si="93"/>
        <v/>
      </c>
      <c r="K720" s="49"/>
      <c r="L720" s="30"/>
      <c r="M720" s="31"/>
      <c r="N720" s="33"/>
      <c r="O720" s="31"/>
      <c r="P720" s="29" t="str">
        <f t="shared" si="94"/>
        <v/>
      </c>
      <c r="Q720" s="29" t="str">
        <f t="shared" si="95"/>
        <v/>
      </c>
      <c r="R720" s="33"/>
    </row>
    <row r="721" spans="1:18" x14ac:dyDescent="0.25">
      <c r="A721" s="31"/>
      <c r="B721" s="34" t="str">
        <f t="shared" si="88"/>
        <v/>
      </c>
      <c r="C721" s="30"/>
      <c r="D721" s="10"/>
      <c r="E721" s="30"/>
      <c r="F721" s="36" t="str">
        <f t="shared" si="89"/>
        <v/>
      </c>
      <c r="G721" s="36" t="str">
        <f t="shared" si="90"/>
        <v/>
      </c>
      <c r="H721" s="36" t="str">
        <f t="shared" si="91"/>
        <v/>
      </c>
      <c r="I721" s="34" t="str">
        <f t="shared" si="92"/>
        <v/>
      </c>
      <c r="J721" s="35" t="str">
        <f t="shared" si="93"/>
        <v/>
      </c>
      <c r="K721" s="49"/>
      <c r="L721" s="30"/>
      <c r="M721" s="31"/>
      <c r="N721" s="33"/>
      <c r="O721" s="31"/>
      <c r="P721" s="29" t="str">
        <f t="shared" si="94"/>
        <v/>
      </c>
      <c r="Q721" s="29" t="str">
        <f t="shared" si="95"/>
        <v/>
      </c>
      <c r="R721" s="33"/>
    </row>
    <row r="722" spans="1:18" x14ac:dyDescent="0.25">
      <c r="A722" s="31"/>
      <c r="B722" s="34" t="str">
        <f t="shared" si="88"/>
        <v/>
      </c>
      <c r="C722" s="30"/>
      <c r="D722" s="10"/>
      <c r="E722" s="30"/>
      <c r="F722" s="36" t="str">
        <f t="shared" si="89"/>
        <v/>
      </c>
      <c r="G722" s="36" t="str">
        <f t="shared" si="90"/>
        <v/>
      </c>
      <c r="H722" s="36" t="str">
        <f t="shared" si="91"/>
        <v/>
      </c>
      <c r="I722" s="34" t="str">
        <f t="shared" si="92"/>
        <v/>
      </c>
      <c r="J722" s="35" t="str">
        <f t="shared" si="93"/>
        <v/>
      </c>
      <c r="K722" s="49"/>
      <c r="L722" s="30"/>
      <c r="M722" s="31"/>
      <c r="N722" s="33"/>
      <c r="O722" s="31"/>
      <c r="P722" s="29" t="str">
        <f t="shared" si="94"/>
        <v/>
      </c>
      <c r="Q722" s="29" t="str">
        <f t="shared" si="95"/>
        <v/>
      </c>
      <c r="R722" s="33"/>
    </row>
    <row r="723" spans="1:18" x14ac:dyDescent="0.25">
      <c r="A723" s="31"/>
      <c r="B723" s="34" t="str">
        <f t="shared" si="88"/>
        <v/>
      </c>
      <c r="C723" s="30"/>
      <c r="D723" s="10"/>
      <c r="E723" s="30"/>
      <c r="F723" s="36" t="str">
        <f t="shared" si="89"/>
        <v/>
      </c>
      <c r="G723" s="36" t="str">
        <f t="shared" si="90"/>
        <v/>
      </c>
      <c r="H723" s="36" t="str">
        <f t="shared" si="91"/>
        <v/>
      </c>
      <c r="I723" s="34" t="str">
        <f t="shared" si="92"/>
        <v/>
      </c>
      <c r="J723" s="35" t="str">
        <f t="shared" si="93"/>
        <v/>
      </c>
      <c r="K723" s="49"/>
      <c r="L723" s="30"/>
      <c r="M723" s="31"/>
      <c r="N723" s="33"/>
      <c r="O723" s="31"/>
      <c r="P723" s="29" t="str">
        <f t="shared" si="94"/>
        <v/>
      </c>
      <c r="Q723" s="29" t="str">
        <f t="shared" si="95"/>
        <v/>
      </c>
      <c r="R723" s="33"/>
    </row>
    <row r="724" spans="1:18" x14ac:dyDescent="0.25">
      <c r="A724" s="31"/>
      <c r="B724" s="34" t="str">
        <f t="shared" si="88"/>
        <v/>
      </c>
      <c r="C724" s="30"/>
      <c r="D724" s="10"/>
      <c r="E724" s="30"/>
      <c r="F724" s="36" t="str">
        <f t="shared" si="89"/>
        <v/>
      </c>
      <c r="G724" s="36" t="str">
        <f t="shared" si="90"/>
        <v/>
      </c>
      <c r="H724" s="36" t="str">
        <f t="shared" si="91"/>
        <v/>
      </c>
      <c r="I724" s="34" t="str">
        <f t="shared" si="92"/>
        <v/>
      </c>
      <c r="J724" s="35" t="str">
        <f t="shared" si="93"/>
        <v/>
      </c>
      <c r="K724" s="49"/>
      <c r="L724" s="30"/>
      <c r="M724" s="31"/>
      <c r="N724" s="33"/>
      <c r="O724" s="31"/>
      <c r="P724" s="29" t="str">
        <f t="shared" si="94"/>
        <v/>
      </c>
      <c r="Q724" s="29" t="str">
        <f t="shared" si="95"/>
        <v/>
      </c>
      <c r="R724" s="33"/>
    </row>
    <row r="725" spans="1:18" x14ac:dyDescent="0.25">
      <c r="A725" s="31"/>
      <c r="B725" s="34" t="str">
        <f t="shared" si="88"/>
        <v/>
      </c>
      <c r="C725" s="30"/>
      <c r="D725" s="10"/>
      <c r="E725" s="30"/>
      <c r="F725" s="36" t="str">
        <f t="shared" si="89"/>
        <v/>
      </c>
      <c r="G725" s="36" t="str">
        <f t="shared" si="90"/>
        <v/>
      </c>
      <c r="H725" s="36" t="str">
        <f t="shared" si="91"/>
        <v/>
      </c>
      <c r="I725" s="34" t="str">
        <f t="shared" si="92"/>
        <v/>
      </c>
      <c r="J725" s="35" t="str">
        <f t="shared" si="93"/>
        <v/>
      </c>
      <c r="K725" s="49"/>
      <c r="L725" s="30"/>
      <c r="M725" s="31"/>
      <c r="N725" s="33"/>
      <c r="O725" s="31"/>
      <c r="P725" s="29" t="str">
        <f t="shared" si="94"/>
        <v/>
      </c>
      <c r="Q725" s="29" t="str">
        <f t="shared" si="95"/>
        <v/>
      </c>
      <c r="R725" s="33"/>
    </row>
    <row r="726" spans="1:18" x14ac:dyDescent="0.25">
      <c r="A726" s="31"/>
      <c r="B726" s="34" t="str">
        <f t="shared" si="88"/>
        <v/>
      </c>
      <c r="C726" s="30"/>
      <c r="D726" s="10"/>
      <c r="E726" s="30"/>
      <c r="F726" s="36" t="str">
        <f t="shared" si="89"/>
        <v/>
      </c>
      <c r="G726" s="36" t="str">
        <f t="shared" si="90"/>
        <v/>
      </c>
      <c r="H726" s="36" t="str">
        <f t="shared" si="91"/>
        <v/>
      </c>
      <c r="I726" s="34" t="str">
        <f t="shared" si="92"/>
        <v/>
      </c>
      <c r="J726" s="35" t="str">
        <f t="shared" si="93"/>
        <v/>
      </c>
      <c r="K726" s="49"/>
      <c r="L726" s="30"/>
      <c r="M726" s="31"/>
      <c r="N726" s="33"/>
      <c r="O726" s="31"/>
      <c r="P726" s="29" t="str">
        <f t="shared" si="94"/>
        <v/>
      </c>
      <c r="Q726" s="29" t="str">
        <f t="shared" si="95"/>
        <v/>
      </c>
      <c r="R726" s="33"/>
    </row>
    <row r="727" spans="1:18" x14ac:dyDescent="0.25">
      <c r="A727" s="31"/>
      <c r="B727" s="34" t="str">
        <f t="shared" si="88"/>
        <v/>
      </c>
      <c r="C727" s="30"/>
      <c r="D727" s="10"/>
      <c r="E727" s="30"/>
      <c r="F727" s="36" t="str">
        <f t="shared" si="89"/>
        <v/>
      </c>
      <c r="G727" s="36" t="str">
        <f t="shared" si="90"/>
        <v/>
      </c>
      <c r="H727" s="36" t="str">
        <f t="shared" si="91"/>
        <v/>
      </c>
      <c r="I727" s="34" t="str">
        <f t="shared" si="92"/>
        <v/>
      </c>
      <c r="J727" s="35" t="str">
        <f t="shared" si="93"/>
        <v/>
      </c>
      <c r="K727" s="49"/>
      <c r="L727" s="30"/>
      <c r="M727" s="31"/>
      <c r="N727" s="33"/>
      <c r="O727" s="31"/>
      <c r="P727" s="29" t="str">
        <f t="shared" si="94"/>
        <v/>
      </c>
      <c r="Q727" s="29" t="str">
        <f t="shared" si="95"/>
        <v/>
      </c>
      <c r="R727" s="33"/>
    </row>
    <row r="728" spans="1:18" x14ac:dyDescent="0.25">
      <c r="A728" s="31"/>
      <c r="B728" s="34" t="str">
        <f t="shared" si="88"/>
        <v/>
      </c>
      <c r="C728" s="30"/>
      <c r="D728" s="10"/>
      <c r="E728" s="30"/>
      <c r="F728" s="36" t="str">
        <f t="shared" si="89"/>
        <v/>
      </c>
      <c r="G728" s="36" t="str">
        <f t="shared" si="90"/>
        <v/>
      </c>
      <c r="H728" s="36" t="str">
        <f t="shared" si="91"/>
        <v/>
      </c>
      <c r="I728" s="34" t="str">
        <f t="shared" si="92"/>
        <v/>
      </c>
      <c r="J728" s="35" t="str">
        <f t="shared" si="93"/>
        <v/>
      </c>
      <c r="K728" s="49"/>
      <c r="L728" s="30"/>
      <c r="M728" s="31"/>
      <c r="N728" s="33"/>
      <c r="O728" s="31"/>
      <c r="P728" s="29" t="str">
        <f t="shared" si="94"/>
        <v/>
      </c>
      <c r="Q728" s="29" t="str">
        <f t="shared" si="95"/>
        <v/>
      </c>
      <c r="R728" s="33"/>
    </row>
    <row r="729" spans="1:18" x14ac:dyDescent="0.25">
      <c r="A729" s="31"/>
      <c r="B729" s="34" t="str">
        <f t="shared" si="88"/>
        <v/>
      </c>
      <c r="C729" s="30"/>
      <c r="D729" s="10"/>
      <c r="E729" s="30"/>
      <c r="F729" s="36" t="str">
        <f t="shared" si="89"/>
        <v/>
      </c>
      <c r="G729" s="36" t="str">
        <f t="shared" si="90"/>
        <v/>
      </c>
      <c r="H729" s="36" t="str">
        <f t="shared" si="91"/>
        <v/>
      </c>
      <c r="I729" s="34" t="str">
        <f t="shared" si="92"/>
        <v/>
      </c>
      <c r="J729" s="35" t="str">
        <f t="shared" si="93"/>
        <v/>
      </c>
      <c r="K729" s="49"/>
      <c r="L729" s="30"/>
      <c r="M729" s="31"/>
      <c r="N729" s="33"/>
      <c r="O729" s="31"/>
      <c r="P729" s="29" t="str">
        <f t="shared" si="94"/>
        <v/>
      </c>
      <c r="Q729" s="29" t="str">
        <f t="shared" si="95"/>
        <v/>
      </c>
      <c r="R729" s="33"/>
    </row>
    <row r="730" spans="1:18" x14ac:dyDescent="0.25">
      <c r="A730" s="31"/>
      <c r="B730" s="34" t="str">
        <f t="shared" si="88"/>
        <v/>
      </c>
      <c r="C730" s="30"/>
      <c r="D730" s="10"/>
      <c r="E730" s="30"/>
      <c r="F730" s="36" t="str">
        <f t="shared" si="89"/>
        <v/>
      </c>
      <c r="G730" s="36" t="str">
        <f t="shared" si="90"/>
        <v/>
      </c>
      <c r="H730" s="36" t="str">
        <f t="shared" si="91"/>
        <v/>
      </c>
      <c r="I730" s="34" t="str">
        <f t="shared" si="92"/>
        <v/>
      </c>
      <c r="J730" s="35" t="str">
        <f t="shared" si="93"/>
        <v/>
      </c>
      <c r="K730" s="49"/>
      <c r="L730" s="30"/>
      <c r="M730" s="31"/>
      <c r="N730" s="33"/>
      <c r="O730" s="31"/>
      <c r="P730" s="29" t="str">
        <f t="shared" si="94"/>
        <v/>
      </c>
      <c r="Q730" s="29" t="str">
        <f t="shared" si="95"/>
        <v/>
      </c>
      <c r="R730" s="33"/>
    </row>
    <row r="731" spans="1:18" x14ac:dyDescent="0.25">
      <c r="A731" s="31"/>
      <c r="B731" s="34" t="str">
        <f t="shared" si="88"/>
        <v/>
      </c>
      <c r="C731" s="30"/>
      <c r="D731" s="10"/>
      <c r="E731" s="30"/>
      <c r="F731" s="36" t="str">
        <f t="shared" si="89"/>
        <v/>
      </c>
      <c r="G731" s="36" t="str">
        <f t="shared" si="90"/>
        <v/>
      </c>
      <c r="H731" s="36" t="str">
        <f t="shared" si="91"/>
        <v/>
      </c>
      <c r="I731" s="34" t="str">
        <f t="shared" si="92"/>
        <v/>
      </c>
      <c r="J731" s="35" t="str">
        <f t="shared" si="93"/>
        <v/>
      </c>
      <c r="K731" s="49"/>
      <c r="L731" s="30"/>
      <c r="M731" s="31"/>
      <c r="N731" s="33"/>
      <c r="O731" s="31"/>
      <c r="P731" s="29" t="str">
        <f t="shared" si="94"/>
        <v/>
      </c>
      <c r="Q731" s="29" t="str">
        <f t="shared" si="95"/>
        <v/>
      </c>
      <c r="R731" s="33"/>
    </row>
    <row r="732" spans="1:18" x14ac:dyDescent="0.25">
      <c r="A732" s="31"/>
      <c r="B732" s="34" t="str">
        <f t="shared" si="88"/>
        <v/>
      </c>
      <c r="C732" s="30"/>
      <c r="D732" s="10"/>
      <c r="E732" s="30"/>
      <c r="F732" s="36" t="str">
        <f t="shared" si="89"/>
        <v/>
      </c>
      <c r="G732" s="36" t="str">
        <f t="shared" si="90"/>
        <v/>
      </c>
      <c r="H732" s="36" t="str">
        <f t="shared" si="91"/>
        <v/>
      </c>
      <c r="I732" s="34" t="str">
        <f t="shared" si="92"/>
        <v/>
      </c>
      <c r="J732" s="35" t="str">
        <f t="shared" si="93"/>
        <v/>
      </c>
      <c r="K732" s="49"/>
      <c r="L732" s="30"/>
      <c r="M732" s="31"/>
      <c r="N732" s="33"/>
      <c r="O732" s="31"/>
      <c r="P732" s="29" t="str">
        <f t="shared" si="94"/>
        <v/>
      </c>
      <c r="Q732" s="29" t="str">
        <f t="shared" si="95"/>
        <v/>
      </c>
      <c r="R732" s="33"/>
    </row>
    <row r="733" spans="1:18" x14ac:dyDescent="0.25">
      <c r="A733" s="31"/>
      <c r="B733" s="34" t="str">
        <f t="shared" si="88"/>
        <v/>
      </c>
      <c r="C733" s="30"/>
      <c r="D733" s="10"/>
      <c r="E733" s="30"/>
      <c r="F733" s="36" t="str">
        <f t="shared" si="89"/>
        <v/>
      </c>
      <c r="G733" s="36" t="str">
        <f t="shared" si="90"/>
        <v/>
      </c>
      <c r="H733" s="36" t="str">
        <f t="shared" si="91"/>
        <v/>
      </c>
      <c r="I733" s="34" t="str">
        <f t="shared" si="92"/>
        <v/>
      </c>
      <c r="J733" s="35" t="str">
        <f t="shared" si="93"/>
        <v/>
      </c>
      <c r="K733" s="49"/>
      <c r="L733" s="30"/>
      <c r="M733" s="31"/>
      <c r="N733" s="33"/>
      <c r="O733" s="31"/>
      <c r="P733" s="29" t="str">
        <f t="shared" si="94"/>
        <v/>
      </c>
      <c r="Q733" s="29" t="str">
        <f t="shared" si="95"/>
        <v/>
      </c>
      <c r="R733" s="33"/>
    </row>
    <row r="734" spans="1:18" x14ac:dyDescent="0.25">
      <c r="A734" s="31"/>
      <c r="B734" s="34" t="str">
        <f t="shared" si="88"/>
        <v/>
      </c>
      <c r="C734" s="30"/>
      <c r="D734" s="10"/>
      <c r="E734" s="30"/>
      <c r="F734" s="36" t="str">
        <f t="shared" si="89"/>
        <v/>
      </c>
      <c r="G734" s="36" t="str">
        <f t="shared" si="90"/>
        <v/>
      </c>
      <c r="H734" s="36" t="str">
        <f t="shared" si="91"/>
        <v/>
      </c>
      <c r="I734" s="34" t="str">
        <f t="shared" si="92"/>
        <v/>
      </c>
      <c r="J734" s="35" t="str">
        <f t="shared" si="93"/>
        <v/>
      </c>
      <c r="K734" s="49"/>
      <c r="L734" s="30"/>
      <c r="M734" s="31"/>
      <c r="N734" s="33"/>
      <c r="O734" s="31"/>
      <c r="P734" s="29" t="str">
        <f t="shared" si="94"/>
        <v/>
      </c>
      <c r="Q734" s="29" t="str">
        <f t="shared" si="95"/>
        <v/>
      </c>
      <c r="R734" s="33"/>
    </row>
    <row r="735" spans="1:18" x14ac:dyDescent="0.25">
      <c r="A735" s="31"/>
      <c r="B735" s="34" t="str">
        <f t="shared" si="88"/>
        <v/>
      </c>
      <c r="C735" s="30"/>
      <c r="D735" s="10"/>
      <c r="E735" s="30"/>
      <c r="F735" s="36" t="str">
        <f t="shared" si="89"/>
        <v/>
      </c>
      <c r="G735" s="36" t="str">
        <f t="shared" si="90"/>
        <v/>
      </c>
      <c r="H735" s="36" t="str">
        <f t="shared" si="91"/>
        <v/>
      </c>
      <c r="I735" s="34" t="str">
        <f t="shared" si="92"/>
        <v/>
      </c>
      <c r="J735" s="35" t="str">
        <f t="shared" si="93"/>
        <v/>
      </c>
      <c r="K735" s="49"/>
      <c r="L735" s="30"/>
      <c r="M735" s="31"/>
      <c r="N735" s="33"/>
      <c r="O735" s="31"/>
      <c r="P735" s="29" t="str">
        <f t="shared" si="94"/>
        <v/>
      </c>
      <c r="Q735" s="29" t="str">
        <f t="shared" si="95"/>
        <v/>
      </c>
      <c r="R735" s="33"/>
    </row>
    <row r="736" spans="1:18" x14ac:dyDescent="0.25">
      <c r="A736" s="31"/>
      <c r="B736" s="34" t="str">
        <f t="shared" si="88"/>
        <v/>
      </c>
      <c r="C736" s="30"/>
      <c r="D736" s="10"/>
      <c r="E736" s="30"/>
      <c r="F736" s="36" t="str">
        <f t="shared" si="89"/>
        <v/>
      </c>
      <c r="G736" s="36" t="str">
        <f t="shared" si="90"/>
        <v/>
      </c>
      <c r="H736" s="36" t="str">
        <f t="shared" si="91"/>
        <v/>
      </c>
      <c r="I736" s="34" t="str">
        <f t="shared" si="92"/>
        <v/>
      </c>
      <c r="J736" s="35" t="str">
        <f t="shared" si="93"/>
        <v/>
      </c>
      <c r="K736" s="49"/>
      <c r="L736" s="30"/>
      <c r="M736" s="31"/>
      <c r="N736" s="33"/>
      <c r="O736" s="31"/>
      <c r="P736" s="29" t="str">
        <f t="shared" si="94"/>
        <v/>
      </c>
      <c r="Q736" s="29" t="str">
        <f t="shared" si="95"/>
        <v/>
      </c>
      <c r="R736" s="33"/>
    </row>
    <row r="737" spans="1:18" x14ac:dyDescent="0.25">
      <c r="A737" s="31"/>
      <c r="B737" s="34" t="str">
        <f t="shared" si="88"/>
        <v/>
      </c>
      <c r="C737" s="30"/>
      <c r="D737" s="10"/>
      <c r="E737" s="30"/>
      <c r="F737" s="36" t="str">
        <f t="shared" si="89"/>
        <v/>
      </c>
      <c r="G737" s="36" t="str">
        <f t="shared" si="90"/>
        <v/>
      </c>
      <c r="H737" s="36" t="str">
        <f t="shared" si="91"/>
        <v/>
      </c>
      <c r="I737" s="34" t="str">
        <f t="shared" si="92"/>
        <v/>
      </c>
      <c r="J737" s="35" t="str">
        <f t="shared" si="93"/>
        <v/>
      </c>
      <c r="K737" s="49"/>
      <c r="L737" s="30"/>
      <c r="M737" s="31"/>
      <c r="N737" s="33"/>
      <c r="O737" s="31"/>
      <c r="P737" s="29" t="str">
        <f t="shared" si="94"/>
        <v/>
      </c>
      <c r="Q737" s="29" t="str">
        <f t="shared" si="95"/>
        <v/>
      </c>
      <c r="R737" s="33"/>
    </row>
    <row r="738" spans="1:18" x14ac:dyDescent="0.25">
      <c r="A738" s="31"/>
      <c r="B738" s="34" t="str">
        <f t="shared" si="88"/>
        <v/>
      </c>
      <c r="C738" s="30"/>
      <c r="D738" s="10"/>
      <c r="E738" s="30"/>
      <c r="F738" s="36" t="str">
        <f t="shared" si="89"/>
        <v/>
      </c>
      <c r="G738" s="36" t="str">
        <f t="shared" si="90"/>
        <v/>
      </c>
      <c r="H738" s="36" t="str">
        <f t="shared" si="91"/>
        <v/>
      </c>
      <c r="I738" s="34" t="str">
        <f t="shared" si="92"/>
        <v/>
      </c>
      <c r="J738" s="35" t="str">
        <f t="shared" si="93"/>
        <v/>
      </c>
      <c r="K738" s="49"/>
      <c r="L738" s="30"/>
      <c r="M738" s="31"/>
      <c r="N738" s="33"/>
      <c r="O738" s="31"/>
      <c r="P738" s="29" t="str">
        <f t="shared" si="94"/>
        <v/>
      </c>
      <c r="Q738" s="29" t="str">
        <f t="shared" si="95"/>
        <v/>
      </c>
      <c r="R738" s="33"/>
    </row>
    <row r="739" spans="1:18" x14ac:dyDescent="0.25">
      <c r="A739" s="31"/>
      <c r="B739" s="34" t="str">
        <f t="shared" si="88"/>
        <v/>
      </c>
      <c r="C739" s="30"/>
      <c r="D739" s="10"/>
      <c r="E739" s="30"/>
      <c r="F739" s="36" t="str">
        <f t="shared" si="89"/>
        <v/>
      </c>
      <c r="G739" s="36" t="str">
        <f t="shared" si="90"/>
        <v/>
      </c>
      <c r="H739" s="36" t="str">
        <f t="shared" si="91"/>
        <v/>
      </c>
      <c r="I739" s="34" t="str">
        <f t="shared" si="92"/>
        <v/>
      </c>
      <c r="J739" s="35" t="str">
        <f t="shared" si="93"/>
        <v/>
      </c>
      <c r="K739" s="49"/>
      <c r="L739" s="30"/>
      <c r="M739" s="31"/>
      <c r="N739" s="33"/>
      <c r="O739" s="31"/>
      <c r="P739" s="29" t="str">
        <f t="shared" si="94"/>
        <v/>
      </c>
      <c r="Q739" s="29" t="str">
        <f t="shared" si="95"/>
        <v/>
      </c>
      <c r="R739" s="33"/>
    </row>
    <row r="740" spans="1:18" x14ac:dyDescent="0.25">
      <c r="A740" s="31"/>
      <c r="B740" s="34" t="str">
        <f t="shared" si="88"/>
        <v/>
      </c>
      <c r="C740" s="30"/>
      <c r="D740" s="10"/>
      <c r="E740" s="30"/>
      <c r="F740" s="36" t="str">
        <f t="shared" si="89"/>
        <v/>
      </c>
      <c r="G740" s="36" t="str">
        <f t="shared" si="90"/>
        <v/>
      </c>
      <c r="H740" s="36" t="str">
        <f t="shared" si="91"/>
        <v/>
      </c>
      <c r="I740" s="34" t="str">
        <f t="shared" si="92"/>
        <v/>
      </c>
      <c r="J740" s="35" t="str">
        <f t="shared" si="93"/>
        <v/>
      </c>
      <c r="K740" s="49"/>
      <c r="L740" s="30"/>
      <c r="M740" s="31"/>
      <c r="N740" s="33"/>
      <c r="O740" s="31"/>
      <c r="P740" s="29" t="str">
        <f t="shared" si="94"/>
        <v/>
      </c>
      <c r="Q740" s="29" t="str">
        <f t="shared" si="95"/>
        <v/>
      </c>
      <c r="R740" s="33"/>
    </row>
    <row r="741" spans="1:18" x14ac:dyDescent="0.25">
      <c r="A741" s="31"/>
      <c r="B741" s="34" t="str">
        <f t="shared" si="88"/>
        <v/>
      </c>
      <c r="C741" s="30"/>
      <c r="D741" s="10"/>
      <c r="E741" s="30"/>
      <c r="F741" s="36" t="str">
        <f t="shared" si="89"/>
        <v/>
      </c>
      <c r="G741" s="36" t="str">
        <f t="shared" si="90"/>
        <v/>
      </c>
      <c r="H741" s="36" t="str">
        <f t="shared" si="91"/>
        <v/>
      </c>
      <c r="I741" s="34" t="str">
        <f t="shared" si="92"/>
        <v/>
      </c>
      <c r="J741" s="35" t="str">
        <f t="shared" si="93"/>
        <v/>
      </c>
      <c r="K741" s="49"/>
      <c r="L741" s="30"/>
      <c r="M741" s="31"/>
      <c r="N741" s="33"/>
      <c r="O741" s="31"/>
      <c r="P741" s="29" t="str">
        <f t="shared" si="94"/>
        <v/>
      </c>
      <c r="Q741" s="29" t="str">
        <f t="shared" si="95"/>
        <v/>
      </c>
      <c r="R741" s="33"/>
    </row>
    <row r="742" spans="1:18" x14ac:dyDescent="0.25">
      <c r="A742" s="31"/>
      <c r="B742" s="34" t="str">
        <f t="shared" si="88"/>
        <v/>
      </c>
      <c r="C742" s="30"/>
      <c r="D742" s="10"/>
      <c r="E742" s="30"/>
      <c r="F742" s="36" t="str">
        <f t="shared" si="89"/>
        <v/>
      </c>
      <c r="G742" s="36" t="str">
        <f t="shared" si="90"/>
        <v/>
      </c>
      <c r="H742" s="36" t="str">
        <f t="shared" si="91"/>
        <v/>
      </c>
      <c r="I742" s="34" t="str">
        <f t="shared" si="92"/>
        <v/>
      </c>
      <c r="J742" s="35" t="str">
        <f t="shared" si="93"/>
        <v/>
      </c>
      <c r="K742" s="49"/>
      <c r="L742" s="30"/>
      <c r="M742" s="31"/>
      <c r="N742" s="33"/>
      <c r="O742" s="31"/>
      <c r="P742" s="29" t="str">
        <f t="shared" si="94"/>
        <v/>
      </c>
      <c r="Q742" s="29" t="str">
        <f t="shared" si="95"/>
        <v/>
      </c>
      <c r="R742" s="33"/>
    </row>
    <row r="743" spans="1:18" x14ac:dyDescent="0.25">
      <c r="A743" s="31"/>
      <c r="B743" s="34" t="str">
        <f t="shared" si="88"/>
        <v/>
      </c>
      <c r="C743" s="30"/>
      <c r="D743" s="10"/>
      <c r="E743" s="30"/>
      <c r="F743" s="36" t="str">
        <f t="shared" si="89"/>
        <v/>
      </c>
      <c r="G743" s="36" t="str">
        <f t="shared" si="90"/>
        <v/>
      </c>
      <c r="H743" s="36" t="str">
        <f t="shared" si="91"/>
        <v/>
      </c>
      <c r="I743" s="34" t="str">
        <f t="shared" si="92"/>
        <v/>
      </c>
      <c r="J743" s="35" t="str">
        <f t="shared" si="93"/>
        <v/>
      </c>
      <c r="K743" s="49"/>
      <c r="L743" s="30"/>
      <c r="M743" s="31"/>
      <c r="N743" s="33"/>
      <c r="O743" s="31"/>
      <c r="P743" s="29" t="str">
        <f t="shared" si="94"/>
        <v/>
      </c>
      <c r="Q743" s="29" t="str">
        <f t="shared" si="95"/>
        <v/>
      </c>
      <c r="R743" s="33"/>
    </row>
    <row r="744" spans="1:18" x14ac:dyDescent="0.25">
      <c r="A744" s="31"/>
      <c r="B744" s="34" t="str">
        <f t="shared" si="88"/>
        <v/>
      </c>
      <c r="C744" s="30"/>
      <c r="D744" s="10"/>
      <c r="E744" s="30"/>
      <c r="F744" s="36" t="str">
        <f t="shared" si="89"/>
        <v/>
      </c>
      <c r="G744" s="36" t="str">
        <f t="shared" si="90"/>
        <v/>
      </c>
      <c r="H744" s="36" t="str">
        <f t="shared" si="91"/>
        <v/>
      </c>
      <c r="I744" s="34" t="str">
        <f t="shared" si="92"/>
        <v/>
      </c>
      <c r="J744" s="35" t="str">
        <f t="shared" si="93"/>
        <v/>
      </c>
      <c r="K744" s="49"/>
      <c r="L744" s="30"/>
      <c r="M744" s="31"/>
      <c r="N744" s="33"/>
      <c r="O744" s="31"/>
      <c r="P744" s="29" t="str">
        <f t="shared" si="94"/>
        <v/>
      </c>
      <c r="Q744" s="29" t="str">
        <f t="shared" si="95"/>
        <v/>
      </c>
      <c r="R744" s="33"/>
    </row>
    <row r="745" spans="1:18" x14ac:dyDescent="0.25">
      <c r="A745" s="31"/>
      <c r="B745" s="34" t="str">
        <f t="shared" si="88"/>
        <v/>
      </c>
      <c r="C745" s="30"/>
      <c r="D745" s="10"/>
      <c r="E745" s="30"/>
      <c r="F745" s="36" t="str">
        <f t="shared" si="89"/>
        <v/>
      </c>
      <c r="G745" s="36" t="str">
        <f t="shared" si="90"/>
        <v/>
      </c>
      <c r="H745" s="36" t="str">
        <f t="shared" si="91"/>
        <v/>
      </c>
      <c r="I745" s="34" t="str">
        <f t="shared" si="92"/>
        <v/>
      </c>
      <c r="J745" s="35" t="str">
        <f t="shared" si="93"/>
        <v/>
      </c>
      <c r="K745" s="49"/>
      <c r="L745" s="30"/>
      <c r="M745" s="31"/>
      <c r="N745" s="33"/>
      <c r="O745" s="31"/>
      <c r="P745" s="29" t="str">
        <f t="shared" si="94"/>
        <v/>
      </c>
      <c r="Q745" s="29" t="str">
        <f t="shared" si="95"/>
        <v/>
      </c>
      <c r="R745" s="33"/>
    </row>
    <row r="746" spans="1:18" x14ac:dyDescent="0.25">
      <c r="A746" s="31"/>
      <c r="B746" s="34" t="str">
        <f t="shared" si="88"/>
        <v/>
      </c>
      <c r="C746" s="30"/>
      <c r="D746" s="10"/>
      <c r="E746" s="30"/>
      <c r="F746" s="36" t="str">
        <f t="shared" si="89"/>
        <v/>
      </c>
      <c r="G746" s="36" t="str">
        <f t="shared" si="90"/>
        <v/>
      </c>
      <c r="H746" s="36" t="str">
        <f t="shared" si="91"/>
        <v/>
      </c>
      <c r="I746" s="34" t="str">
        <f t="shared" si="92"/>
        <v/>
      </c>
      <c r="J746" s="35" t="str">
        <f t="shared" si="93"/>
        <v/>
      </c>
      <c r="K746" s="49"/>
      <c r="L746" s="30"/>
      <c r="M746" s="31"/>
      <c r="N746" s="33"/>
      <c r="O746" s="31"/>
      <c r="P746" s="29" t="str">
        <f t="shared" si="94"/>
        <v/>
      </c>
      <c r="Q746" s="29" t="str">
        <f t="shared" si="95"/>
        <v/>
      </c>
      <c r="R746" s="33"/>
    </row>
    <row r="747" spans="1:18" x14ac:dyDescent="0.25">
      <c r="A747" s="31"/>
      <c r="B747" s="34" t="str">
        <f t="shared" si="88"/>
        <v/>
      </c>
      <c r="C747" s="30"/>
      <c r="D747" s="10"/>
      <c r="E747" s="30"/>
      <c r="F747" s="36" t="str">
        <f t="shared" si="89"/>
        <v/>
      </c>
      <c r="G747" s="36" t="str">
        <f t="shared" si="90"/>
        <v/>
      </c>
      <c r="H747" s="36" t="str">
        <f t="shared" si="91"/>
        <v/>
      </c>
      <c r="I747" s="34" t="str">
        <f t="shared" si="92"/>
        <v/>
      </c>
      <c r="J747" s="35" t="str">
        <f t="shared" si="93"/>
        <v/>
      </c>
      <c r="K747" s="49"/>
      <c r="L747" s="30"/>
      <c r="M747" s="31"/>
      <c r="N747" s="33"/>
      <c r="O747" s="31"/>
      <c r="P747" s="29" t="str">
        <f t="shared" si="94"/>
        <v/>
      </c>
      <c r="Q747" s="29" t="str">
        <f t="shared" si="95"/>
        <v/>
      </c>
      <c r="R747" s="33"/>
    </row>
    <row r="748" spans="1:18" x14ac:dyDescent="0.25">
      <c r="A748" s="31"/>
      <c r="B748" s="34" t="str">
        <f t="shared" si="88"/>
        <v/>
      </c>
      <c r="C748" s="30"/>
      <c r="D748" s="10"/>
      <c r="E748" s="30"/>
      <c r="F748" s="36" t="str">
        <f t="shared" si="89"/>
        <v/>
      </c>
      <c r="G748" s="36" t="str">
        <f t="shared" si="90"/>
        <v/>
      </c>
      <c r="H748" s="36" t="str">
        <f t="shared" si="91"/>
        <v/>
      </c>
      <c r="I748" s="34" t="str">
        <f t="shared" si="92"/>
        <v/>
      </c>
      <c r="J748" s="35" t="str">
        <f t="shared" si="93"/>
        <v/>
      </c>
      <c r="K748" s="49"/>
      <c r="L748" s="30"/>
      <c r="M748" s="31"/>
      <c r="N748" s="33"/>
      <c r="O748" s="31"/>
      <c r="P748" s="29" t="str">
        <f t="shared" si="94"/>
        <v/>
      </c>
      <c r="Q748" s="29" t="str">
        <f t="shared" si="95"/>
        <v/>
      </c>
      <c r="R748" s="33"/>
    </row>
    <row r="749" spans="1:18" x14ac:dyDescent="0.25">
      <c r="A749" s="31"/>
      <c r="B749" s="34" t="str">
        <f t="shared" si="88"/>
        <v/>
      </c>
      <c r="C749" s="30"/>
      <c r="D749" s="10"/>
      <c r="E749" s="30"/>
      <c r="F749" s="36" t="str">
        <f t="shared" si="89"/>
        <v/>
      </c>
      <c r="G749" s="36" t="str">
        <f t="shared" si="90"/>
        <v/>
      </c>
      <c r="H749" s="36" t="str">
        <f t="shared" si="91"/>
        <v/>
      </c>
      <c r="I749" s="34" t="str">
        <f t="shared" si="92"/>
        <v/>
      </c>
      <c r="J749" s="35" t="str">
        <f t="shared" si="93"/>
        <v/>
      </c>
      <c r="K749" s="49"/>
      <c r="L749" s="30"/>
      <c r="M749" s="31"/>
      <c r="N749" s="33"/>
      <c r="O749" s="31"/>
      <c r="P749" s="29" t="str">
        <f t="shared" si="94"/>
        <v/>
      </c>
      <c r="Q749" s="29" t="str">
        <f t="shared" si="95"/>
        <v/>
      </c>
      <c r="R749" s="33"/>
    </row>
    <row r="750" spans="1:18" x14ac:dyDescent="0.25">
      <c r="A750" s="31"/>
      <c r="B750" s="34" t="str">
        <f t="shared" si="88"/>
        <v/>
      </c>
      <c r="C750" s="30"/>
      <c r="D750" s="10"/>
      <c r="E750" s="30"/>
      <c r="F750" s="36" t="str">
        <f t="shared" si="89"/>
        <v/>
      </c>
      <c r="G750" s="36" t="str">
        <f t="shared" si="90"/>
        <v/>
      </c>
      <c r="H750" s="36" t="str">
        <f t="shared" si="91"/>
        <v/>
      </c>
      <c r="I750" s="34" t="str">
        <f t="shared" si="92"/>
        <v/>
      </c>
      <c r="J750" s="35" t="str">
        <f t="shared" si="93"/>
        <v/>
      </c>
      <c r="K750" s="49"/>
      <c r="L750" s="30"/>
      <c r="M750" s="31"/>
      <c r="N750" s="33"/>
      <c r="O750" s="31"/>
      <c r="P750" s="29" t="str">
        <f t="shared" si="94"/>
        <v/>
      </c>
      <c r="Q750" s="29" t="str">
        <f t="shared" si="95"/>
        <v/>
      </c>
      <c r="R750" s="33"/>
    </row>
    <row r="751" spans="1:18" x14ac:dyDescent="0.25">
      <c r="A751" s="31"/>
      <c r="B751" s="34" t="str">
        <f t="shared" si="88"/>
        <v/>
      </c>
      <c r="C751" s="30"/>
      <c r="D751" s="10"/>
      <c r="E751" s="30"/>
      <c r="F751" s="36" t="str">
        <f t="shared" si="89"/>
        <v/>
      </c>
      <c r="G751" s="36" t="str">
        <f t="shared" si="90"/>
        <v/>
      </c>
      <c r="H751" s="36" t="str">
        <f t="shared" si="91"/>
        <v/>
      </c>
      <c r="I751" s="34" t="str">
        <f t="shared" si="92"/>
        <v/>
      </c>
      <c r="J751" s="35" t="str">
        <f t="shared" si="93"/>
        <v/>
      </c>
      <c r="K751" s="49"/>
      <c r="L751" s="30"/>
      <c r="M751" s="31"/>
      <c r="N751" s="33"/>
      <c r="O751" s="31"/>
      <c r="P751" s="29" t="str">
        <f t="shared" si="94"/>
        <v/>
      </c>
      <c r="Q751" s="29" t="str">
        <f t="shared" si="95"/>
        <v/>
      </c>
      <c r="R751" s="33"/>
    </row>
    <row r="752" spans="1:18" x14ac:dyDescent="0.25">
      <c r="A752" s="31"/>
      <c r="B752" s="34" t="str">
        <f t="shared" si="88"/>
        <v/>
      </c>
      <c r="C752" s="30"/>
      <c r="D752" s="10"/>
      <c r="E752" s="30"/>
      <c r="F752" s="36" t="str">
        <f t="shared" si="89"/>
        <v/>
      </c>
      <c r="G752" s="36" t="str">
        <f t="shared" si="90"/>
        <v/>
      </c>
      <c r="H752" s="36" t="str">
        <f t="shared" si="91"/>
        <v/>
      </c>
      <c r="I752" s="34" t="str">
        <f t="shared" si="92"/>
        <v/>
      </c>
      <c r="J752" s="35" t="str">
        <f t="shared" si="93"/>
        <v/>
      </c>
      <c r="K752" s="49"/>
      <c r="L752" s="30"/>
      <c r="M752" s="31"/>
      <c r="N752" s="33"/>
      <c r="O752" s="31"/>
      <c r="P752" s="29" t="str">
        <f t="shared" si="94"/>
        <v/>
      </c>
      <c r="Q752" s="29" t="str">
        <f t="shared" si="95"/>
        <v/>
      </c>
      <c r="R752" s="33"/>
    </row>
    <row r="753" spans="1:18" x14ac:dyDescent="0.25">
      <c r="A753" s="31"/>
      <c r="B753" s="34" t="str">
        <f t="shared" si="88"/>
        <v/>
      </c>
      <c r="C753" s="30"/>
      <c r="D753" s="10"/>
      <c r="E753" s="30"/>
      <c r="F753" s="36" t="str">
        <f t="shared" si="89"/>
        <v/>
      </c>
      <c r="G753" s="36" t="str">
        <f t="shared" si="90"/>
        <v/>
      </c>
      <c r="H753" s="36" t="str">
        <f t="shared" si="91"/>
        <v/>
      </c>
      <c r="I753" s="34" t="str">
        <f t="shared" si="92"/>
        <v/>
      </c>
      <c r="J753" s="35" t="str">
        <f t="shared" si="93"/>
        <v/>
      </c>
      <c r="K753" s="49"/>
      <c r="L753" s="30"/>
      <c r="M753" s="31"/>
      <c r="N753" s="33"/>
      <c r="O753" s="31"/>
      <c r="P753" s="29" t="str">
        <f t="shared" si="94"/>
        <v/>
      </c>
      <c r="Q753" s="29" t="str">
        <f t="shared" si="95"/>
        <v/>
      </c>
      <c r="R753" s="33"/>
    </row>
    <row r="754" spans="1:18" x14ac:dyDescent="0.25">
      <c r="A754" s="31"/>
      <c r="B754" s="34" t="str">
        <f t="shared" si="88"/>
        <v/>
      </c>
      <c r="C754" s="30"/>
      <c r="D754" s="10"/>
      <c r="E754" s="30"/>
      <c r="F754" s="36" t="str">
        <f t="shared" si="89"/>
        <v/>
      </c>
      <c r="G754" s="36" t="str">
        <f t="shared" si="90"/>
        <v/>
      </c>
      <c r="H754" s="36" t="str">
        <f t="shared" si="91"/>
        <v/>
      </c>
      <c r="I754" s="34" t="str">
        <f t="shared" si="92"/>
        <v/>
      </c>
      <c r="J754" s="35" t="str">
        <f t="shared" si="93"/>
        <v/>
      </c>
      <c r="K754" s="49"/>
      <c r="L754" s="30"/>
      <c r="M754" s="31"/>
      <c r="N754" s="33"/>
      <c r="O754" s="31"/>
      <c r="P754" s="29" t="str">
        <f t="shared" si="94"/>
        <v/>
      </c>
      <c r="Q754" s="29" t="str">
        <f t="shared" si="95"/>
        <v/>
      </c>
      <c r="R754" s="33"/>
    </row>
    <row r="755" spans="1:18" x14ac:dyDescent="0.25">
      <c r="A755" s="31"/>
      <c r="B755" s="34" t="str">
        <f t="shared" si="88"/>
        <v/>
      </c>
      <c r="C755" s="30"/>
      <c r="D755" s="10"/>
      <c r="E755" s="30"/>
      <c r="F755" s="36" t="str">
        <f t="shared" si="89"/>
        <v/>
      </c>
      <c r="G755" s="36" t="str">
        <f t="shared" si="90"/>
        <v/>
      </c>
      <c r="H755" s="36" t="str">
        <f t="shared" si="91"/>
        <v/>
      </c>
      <c r="I755" s="34" t="str">
        <f t="shared" si="92"/>
        <v/>
      </c>
      <c r="J755" s="35" t="str">
        <f t="shared" si="93"/>
        <v/>
      </c>
      <c r="K755" s="49"/>
      <c r="L755" s="30"/>
      <c r="M755" s="31"/>
      <c r="N755" s="33"/>
      <c r="O755" s="31"/>
      <c r="P755" s="29" t="str">
        <f t="shared" si="94"/>
        <v/>
      </c>
      <c r="Q755" s="29" t="str">
        <f t="shared" si="95"/>
        <v/>
      </c>
      <c r="R755" s="33"/>
    </row>
    <row r="756" spans="1:18" x14ac:dyDescent="0.25">
      <c r="A756" s="31"/>
      <c r="B756" s="34" t="str">
        <f t="shared" si="88"/>
        <v/>
      </c>
      <c r="C756" s="30"/>
      <c r="D756" s="10"/>
      <c r="E756" s="30"/>
      <c r="F756" s="36" t="str">
        <f t="shared" si="89"/>
        <v/>
      </c>
      <c r="G756" s="36" t="str">
        <f t="shared" si="90"/>
        <v/>
      </c>
      <c r="H756" s="36" t="str">
        <f t="shared" si="91"/>
        <v/>
      </c>
      <c r="I756" s="34" t="str">
        <f t="shared" si="92"/>
        <v/>
      </c>
      <c r="J756" s="35" t="str">
        <f t="shared" si="93"/>
        <v/>
      </c>
      <c r="K756" s="49"/>
      <c r="L756" s="30"/>
      <c r="M756" s="31"/>
      <c r="N756" s="33"/>
      <c r="O756" s="31"/>
      <c r="P756" s="29" t="str">
        <f t="shared" si="94"/>
        <v/>
      </c>
      <c r="Q756" s="29" t="str">
        <f t="shared" si="95"/>
        <v/>
      </c>
      <c r="R756" s="33"/>
    </row>
    <row r="757" spans="1:18" x14ac:dyDescent="0.25">
      <c r="A757" s="31"/>
      <c r="B757" s="34" t="str">
        <f t="shared" si="88"/>
        <v/>
      </c>
      <c r="C757" s="30"/>
      <c r="D757" s="10"/>
      <c r="E757" s="30"/>
      <c r="F757" s="36" t="str">
        <f t="shared" si="89"/>
        <v/>
      </c>
      <c r="G757" s="36" t="str">
        <f t="shared" si="90"/>
        <v/>
      </c>
      <c r="H757" s="36" t="str">
        <f t="shared" si="91"/>
        <v/>
      </c>
      <c r="I757" s="34" t="str">
        <f t="shared" si="92"/>
        <v/>
      </c>
      <c r="J757" s="35" t="str">
        <f t="shared" si="93"/>
        <v/>
      </c>
      <c r="K757" s="49"/>
      <c r="L757" s="30"/>
      <c r="M757" s="31"/>
      <c r="N757" s="33"/>
      <c r="O757" s="31"/>
      <c r="P757" s="29" t="str">
        <f t="shared" si="94"/>
        <v/>
      </c>
      <c r="Q757" s="29" t="str">
        <f t="shared" si="95"/>
        <v/>
      </c>
      <c r="R757" s="33"/>
    </row>
    <row r="758" spans="1:18" x14ac:dyDescent="0.25">
      <c r="A758" s="31"/>
      <c r="B758" s="34" t="str">
        <f t="shared" si="88"/>
        <v/>
      </c>
      <c r="C758" s="30"/>
      <c r="D758" s="10"/>
      <c r="E758" s="30"/>
      <c r="F758" s="36" t="str">
        <f t="shared" si="89"/>
        <v/>
      </c>
      <c r="G758" s="36" t="str">
        <f t="shared" si="90"/>
        <v/>
      </c>
      <c r="H758" s="36" t="str">
        <f t="shared" si="91"/>
        <v/>
      </c>
      <c r="I758" s="34" t="str">
        <f t="shared" si="92"/>
        <v/>
      </c>
      <c r="J758" s="35" t="str">
        <f t="shared" si="93"/>
        <v/>
      </c>
      <c r="K758" s="49"/>
      <c r="L758" s="30"/>
      <c r="M758" s="31"/>
      <c r="N758" s="33"/>
      <c r="O758" s="31"/>
      <c r="P758" s="29" t="str">
        <f t="shared" si="94"/>
        <v/>
      </c>
      <c r="Q758" s="29" t="str">
        <f t="shared" si="95"/>
        <v/>
      </c>
      <c r="R758" s="33"/>
    </row>
    <row r="759" spans="1:18" x14ac:dyDescent="0.25">
      <c r="A759" s="31"/>
      <c r="B759" s="34" t="str">
        <f t="shared" si="88"/>
        <v/>
      </c>
      <c r="C759" s="30"/>
      <c r="D759" s="10"/>
      <c r="E759" s="30"/>
      <c r="F759" s="36" t="str">
        <f t="shared" si="89"/>
        <v/>
      </c>
      <c r="G759" s="36" t="str">
        <f t="shared" si="90"/>
        <v/>
      </c>
      <c r="H759" s="36" t="str">
        <f t="shared" si="91"/>
        <v/>
      </c>
      <c r="I759" s="34" t="str">
        <f t="shared" si="92"/>
        <v/>
      </c>
      <c r="J759" s="35" t="str">
        <f t="shared" si="93"/>
        <v/>
      </c>
      <c r="K759" s="49"/>
      <c r="L759" s="30"/>
      <c r="M759" s="31"/>
      <c r="N759" s="33"/>
      <c r="O759" s="31"/>
      <c r="P759" s="29" t="str">
        <f t="shared" si="94"/>
        <v/>
      </c>
      <c r="Q759" s="29" t="str">
        <f t="shared" si="95"/>
        <v/>
      </c>
      <c r="R759" s="33"/>
    </row>
    <row r="760" spans="1:18" x14ac:dyDescent="0.25">
      <c r="A760" s="31"/>
      <c r="B760" s="34" t="str">
        <f t="shared" si="88"/>
        <v/>
      </c>
      <c r="C760" s="30"/>
      <c r="D760" s="10"/>
      <c r="E760" s="30"/>
      <c r="F760" s="36" t="str">
        <f t="shared" si="89"/>
        <v/>
      </c>
      <c r="G760" s="36" t="str">
        <f t="shared" si="90"/>
        <v/>
      </c>
      <c r="H760" s="36" t="str">
        <f t="shared" si="91"/>
        <v/>
      </c>
      <c r="I760" s="34" t="str">
        <f t="shared" si="92"/>
        <v/>
      </c>
      <c r="J760" s="35" t="str">
        <f t="shared" si="93"/>
        <v/>
      </c>
      <c r="K760" s="49"/>
      <c r="L760" s="30"/>
      <c r="M760" s="31"/>
      <c r="N760" s="33"/>
      <c r="O760" s="31"/>
      <c r="P760" s="29" t="str">
        <f t="shared" si="94"/>
        <v/>
      </c>
      <c r="Q760" s="29" t="str">
        <f t="shared" si="95"/>
        <v/>
      </c>
      <c r="R760" s="33"/>
    </row>
    <row r="761" spans="1:18" x14ac:dyDescent="0.25">
      <c r="A761" s="31"/>
      <c r="B761" s="34" t="str">
        <f t="shared" si="88"/>
        <v/>
      </c>
      <c r="C761" s="30"/>
      <c r="D761" s="10"/>
      <c r="E761" s="30"/>
      <c r="F761" s="36" t="str">
        <f t="shared" si="89"/>
        <v/>
      </c>
      <c r="G761" s="36" t="str">
        <f t="shared" si="90"/>
        <v/>
      </c>
      <c r="H761" s="36" t="str">
        <f t="shared" si="91"/>
        <v/>
      </c>
      <c r="I761" s="34" t="str">
        <f t="shared" si="92"/>
        <v/>
      </c>
      <c r="J761" s="35" t="str">
        <f t="shared" si="93"/>
        <v/>
      </c>
      <c r="K761" s="49"/>
      <c r="L761" s="30"/>
      <c r="M761" s="31"/>
      <c r="N761" s="33"/>
      <c r="O761" s="31"/>
      <c r="P761" s="29" t="str">
        <f t="shared" si="94"/>
        <v/>
      </c>
      <c r="Q761" s="29" t="str">
        <f t="shared" si="95"/>
        <v/>
      </c>
      <c r="R761" s="33"/>
    </row>
    <row r="762" spans="1:18" x14ac:dyDescent="0.25">
      <c r="A762" s="31"/>
      <c r="B762" s="34" t="str">
        <f t="shared" si="88"/>
        <v/>
      </c>
      <c r="C762" s="30"/>
      <c r="D762" s="10"/>
      <c r="E762" s="30"/>
      <c r="F762" s="36" t="str">
        <f t="shared" si="89"/>
        <v/>
      </c>
      <c r="G762" s="36" t="str">
        <f t="shared" si="90"/>
        <v/>
      </c>
      <c r="H762" s="36" t="str">
        <f t="shared" si="91"/>
        <v/>
      </c>
      <c r="I762" s="34" t="str">
        <f t="shared" si="92"/>
        <v/>
      </c>
      <c r="J762" s="35" t="str">
        <f t="shared" si="93"/>
        <v/>
      </c>
      <c r="K762" s="49"/>
      <c r="L762" s="30"/>
      <c r="M762" s="31"/>
      <c r="N762" s="33"/>
      <c r="O762" s="31"/>
      <c r="P762" s="29" t="str">
        <f t="shared" si="94"/>
        <v/>
      </c>
      <c r="Q762" s="29" t="str">
        <f t="shared" si="95"/>
        <v/>
      </c>
      <c r="R762" s="33"/>
    </row>
    <row r="763" spans="1:18" x14ac:dyDescent="0.25">
      <c r="A763" s="31"/>
      <c r="B763" s="34" t="str">
        <f t="shared" si="88"/>
        <v/>
      </c>
      <c r="C763" s="30"/>
      <c r="D763" s="10"/>
      <c r="E763" s="30"/>
      <c r="F763" s="36" t="str">
        <f t="shared" si="89"/>
        <v/>
      </c>
      <c r="G763" s="36" t="str">
        <f t="shared" si="90"/>
        <v/>
      </c>
      <c r="H763" s="36" t="str">
        <f t="shared" si="91"/>
        <v/>
      </c>
      <c r="I763" s="34" t="str">
        <f t="shared" si="92"/>
        <v/>
      </c>
      <c r="J763" s="35" t="str">
        <f t="shared" si="93"/>
        <v/>
      </c>
      <c r="K763" s="49"/>
      <c r="L763" s="30"/>
      <c r="M763" s="31"/>
      <c r="N763" s="33"/>
      <c r="O763" s="31"/>
      <c r="P763" s="29" t="str">
        <f t="shared" si="94"/>
        <v/>
      </c>
      <c r="Q763" s="29" t="str">
        <f t="shared" si="95"/>
        <v/>
      </c>
      <c r="R763" s="33"/>
    </row>
    <row r="764" spans="1:18" x14ac:dyDescent="0.25">
      <c r="A764" s="31"/>
      <c r="B764" s="34" t="str">
        <f t="shared" si="88"/>
        <v/>
      </c>
      <c r="C764" s="30"/>
      <c r="D764" s="10"/>
      <c r="E764" s="30"/>
      <c r="F764" s="36" t="str">
        <f t="shared" si="89"/>
        <v/>
      </c>
      <c r="G764" s="36" t="str">
        <f t="shared" si="90"/>
        <v/>
      </c>
      <c r="H764" s="36" t="str">
        <f t="shared" si="91"/>
        <v/>
      </c>
      <c r="I764" s="34" t="str">
        <f t="shared" si="92"/>
        <v/>
      </c>
      <c r="J764" s="35" t="str">
        <f t="shared" si="93"/>
        <v/>
      </c>
      <c r="K764" s="49"/>
      <c r="L764" s="30"/>
      <c r="M764" s="31"/>
      <c r="N764" s="33"/>
      <c r="O764" s="31"/>
      <c r="P764" s="29" t="str">
        <f t="shared" si="94"/>
        <v/>
      </c>
      <c r="Q764" s="29" t="str">
        <f t="shared" si="95"/>
        <v/>
      </c>
      <c r="R764" s="33"/>
    </row>
    <row r="765" spans="1:18" x14ac:dyDescent="0.25">
      <c r="A765" s="31"/>
      <c r="B765" s="34" t="str">
        <f t="shared" si="88"/>
        <v/>
      </c>
      <c r="C765" s="30"/>
      <c r="D765" s="10"/>
      <c r="E765" s="30"/>
      <c r="F765" s="36" t="str">
        <f t="shared" si="89"/>
        <v/>
      </c>
      <c r="G765" s="36" t="str">
        <f t="shared" si="90"/>
        <v/>
      </c>
      <c r="H765" s="36" t="str">
        <f t="shared" si="91"/>
        <v/>
      </c>
      <c r="I765" s="34" t="str">
        <f t="shared" si="92"/>
        <v/>
      </c>
      <c r="J765" s="35" t="str">
        <f t="shared" si="93"/>
        <v/>
      </c>
      <c r="K765" s="49"/>
      <c r="L765" s="30"/>
      <c r="M765" s="31"/>
      <c r="N765" s="33"/>
      <c r="O765" s="31"/>
      <c r="P765" s="29" t="str">
        <f t="shared" si="94"/>
        <v/>
      </c>
      <c r="Q765" s="29" t="str">
        <f t="shared" si="95"/>
        <v/>
      </c>
      <c r="R765" s="33"/>
    </row>
    <row r="766" spans="1:18" x14ac:dyDescent="0.25">
      <c r="A766" s="31"/>
      <c r="B766" s="34" t="str">
        <f t="shared" si="88"/>
        <v/>
      </c>
      <c r="C766" s="30"/>
      <c r="D766" s="10"/>
      <c r="E766" s="30"/>
      <c r="F766" s="36" t="str">
        <f t="shared" si="89"/>
        <v/>
      </c>
      <c r="G766" s="36" t="str">
        <f t="shared" si="90"/>
        <v/>
      </c>
      <c r="H766" s="36" t="str">
        <f t="shared" si="91"/>
        <v/>
      </c>
      <c r="I766" s="34" t="str">
        <f t="shared" si="92"/>
        <v/>
      </c>
      <c r="J766" s="35" t="str">
        <f t="shared" si="93"/>
        <v/>
      </c>
      <c r="K766" s="49"/>
      <c r="L766" s="30"/>
      <c r="M766" s="31"/>
      <c r="N766" s="33"/>
      <c r="O766" s="31"/>
      <c r="P766" s="29" t="str">
        <f t="shared" si="94"/>
        <v/>
      </c>
      <c r="Q766" s="29" t="str">
        <f t="shared" si="95"/>
        <v/>
      </c>
      <c r="R766" s="33"/>
    </row>
    <row r="767" spans="1:18" x14ac:dyDescent="0.25">
      <c r="A767" s="31"/>
      <c r="B767" s="34" t="str">
        <f t="shared" si="88"/>
        <v/>
      </c>
      <c r="C767" s="30"/>
      <c r="D767" s="10"/>
      <c r="E767" s="30"/>
      <c r="F767" s="36" t="str">
        <f t="shared" si="89"/>
        <v/>
      </c>
      <c r="G767" s="36" t="str">
        <f t="shared" si="90"/>
        <v/>
      </c>
      <c r="H767" s="36" t="str">
        <f t="shared" si="91"/>
        <v/>
      </c>
      <c r="I767" s="34" t="str">
        <f t="shared" si="92"/>
        <v/>
      </c>
      <c r="J767" s="35" t="str">
        <f t="shared" si="93"/>
        <v/>
      </c>
      <c r="K767" s="49"/>
      <c r="L767" s="30"/>
      <c r="M767" s="31"/>
      <c r="N767" s="33"/>
      <c r="O767" s="31"/>
      <c r="P767" s="29" t="str">
        <f t="shared" si="94"/>
        <v/>
      </c>
      <c r="Q767" s="29" t="str">
        <f t="shared" si="95"/>
        <v/>
      </c>
      <c r="R767" s="33"/>
    </row>
    <row r="768" spans="1:18" x14ac:dyDescent="0.25">
      <c r="A768" s="31"/>
      <c r="B768" s="34" t="str">
        <f t="shared" si="88"/>
        <v/>
      </c>
      <c r="C768" s="30"/>
      <c r="D768" s="10"/>
      <c r="E768" s="30"/>
      <c r="F768" s="36" t="str">
        <f t="shared" si="89"/>
        <v/>
      </c>
      <c r="G768" s="36" t="str">
        <f t="shared" si="90"/>
        <v/>
      </c>
      <c r="H768" s="36" t="str">
        <f t="shared" si="91"/>
        <v/>
      </c>
      <c r="I768" s="34" t="str">
        <f t="shared" si="92"/>
        <v/>
      </c>
      <c r="J768" s="35" t="str">
        <f t="shared" si="93"/>
        <v/>
      </c>
      <c r="K768" s="49"/>
      <c r="L768" s="30"/>
      <c r="M768" s="31"/>
      <c r="N768" s="33"/>
      <c r="O768" s="31"/>
      <c r="P768" s="29" t="str">
        <f t="shared" si="94"/>
        <v/>
      </c>
      <c r="Q768" s="29" t="str">
        <f t="shared" si="95"/>
        <v/>
      </c>
      <c r="R768" s="33"/>
    </row>
    <row r="769" spans="1:18" x14ac:dyDescent="0.25">
      <c r="A769" s="31"/>
      <c r="B769" s="34" t="str">
        <f t="shared" si="88"/>
        <v/>
      </c>
      <c r="C769" s="30"/>
      <c r="D769" s="10"/>
      <c r="E769" s="30"/>
      <c r="F769" s="36" t="str">
        <f t="shared" si="89"/>
        <v/>
      </c>
      <c r="G769" s="36" t="str">
        <f t="shared" si="90"/>
        <v/>
      </c>
      <c r="H769" s="36" t="str">
        <f t="shared" si="91"/>
        <v/>
      </c>
      <c r="I769" s="34" t="str">
        <f t="shared" si="92"/>
        <v/>
      </c>
      <c r="J769" s="35" t="str">
        <f t="shared" si="93"/>
        <v/>
      </c>
      <c r="K769" s="49"/>
      <c r="L769" s="30"/>
      <c r="M769" s="31"/>
      <c r="N769" s="33"/>
      <c r="O769" s="31"/>
      <c r="P769" s="29" t="str">
        <f t="shared" si="94"/>
        <v/>
      </c>
      <c r="Q769" s="29" t="str">
        <f t="shared" si="95"/>
        <v/>
      </c>
      <c r="R769" s="33"/>
    </row>
    <row r="770" spans="1:18" x14ac:dyDescent="0.25">
      <c r="A770" s="31"/>
      <c r="B770" s="34" t="str">
        <f t="shared" si="88"/>
        <v/>
      </c>
      <c r="C770" s="30"/>
      <c r="D770" s="10"/>
      <c r="E770" s="30"/>
      <c r="F770" s="36" t="str">
        <f t="shared" si="89"/>
        <v/>
      </c>
      <c r="G770" s="36" t="str">
        <f t="shared" si="90"/>
        <v/>
      </c>
      <c r="H770" s="36" t="str">
        <f t="shared" si="91"/>
        <v/>
      </c>
      <c r="I770" s="34" t="str">
        <f t="shared" si="92"/>
        <v/>
      </c>
      <c r="J770" s="35" t="str">
        <f t="shared" si="93"/>
        <v/>
      </c>
      <c r="K770" s="49"/>
      <c r="L770" s="30"/>
      <c r="M770" s="31"/>
      <c r="N770" s="33"/>
      <c r="O770" s="31"/>
      <c r="P770" s="29" t="str">
        <f t="shared" si="94"/>
        <v/>
      </c>
      <c r="Q770" s="29" t="str">
        <f t="shared" si="95"/>
        <v/>
      </c>
      <c r="R770" s="33"/>
    </row>
    <row r="771" spans="1:18" x14ac:dyDescent="0.25">
      <c r="A771" s="31"/>
      <c r="B771" s="34" t="str">
        <f t="shared" si="88"/>
        <v/>
      </c>
      <c r="C771" s="30"/>
      <c r="D771" s="10"/>
      <c r="E771" s="30"/>
      <c r="F771" s="36" t="str">
        <f t="shared" si="89"/>
        <v/>
      </c>
      <c r="G771" s="36" t="str">
        <f t="shared" si="90"/>
        <v/>
      </c>
      <c r="H771" s="36" t="str">
        <f t="shared" si="91"/>
        <v/>
      </c>
      <c r="I771" s="34" t="str">
        <f t="shared" si="92"/>
        <v/>
      </c>
      <c r="J771" s="35" t="str">
        <f t="shared" si="93"/>
        <v/>
      </c>
      <c r="K771" s="49"/>
      <c r="L771" s="30"/>
      <c r="M771" s="31"/>
      <c r="N771" s="33"/>
      <c r="O771" s="31"/>
      <c r="P771" s="29" t="str">
        <f t="shared" si="94"/>
        <v/>
      </c>
      <c r="Q771" s="29" t="str">
        <f t="shared" si="95"/>
        <v/>
      </c>
      <c r="R771" s="33"/>
    </row>
    <row r="772" spans="1:18" x14ac:dyDescent="0.25">
      <c r="A772" s="31"/>
      <c r="B772" s="34" t="str">
        <f t="shared" si="88"/>
        <v/>
      </c>
      <c r="C772" s="30"/>
      <c r="D772" s="10"/>
      <c r="E772" s="30"/>
      <c r="F772" s="36" t="str">
        <f t="shared" si="89"/>
        <v/>
      </c>
      <c r="G772" s="36" t="str">
        <f t="shared" si="90"/>
        <v/>
      </c>
      <c r="H772" s="36" t="str">
        <f t="shared" si="91"/>
        <v/>
      </c>
      <c r="I772" s="34" t="str">
        <f t="shared" si="92"/>
        <v/>
      </c>
      <c r="J772" s="35" t="str">
        <f t="shared" si="93"/>
        <v/>
      </c>
      <c r="K772" s="49"/>
      <c r="L772" s="30"/>
      <c r="M772" s="31"/>
      <c r="N772" s="33"/>
      <c r="O772" s="31"/>
      <c r="P772" s="29" t="str">
        <f t="shared" si="94"/>
        <v/>
      </c>
      <c r="Q772" s="29" t="str">
        <f t="shared" si="95"/>
        <v/>
      </c>
      <c r="R772" s="33"/>
    </row>
    <row r="773" spans="1:18" x14ac:dyDescent="0.25">
      <c r="A773" s="31"/>
      <c r="B773" s="34" t="str">
        <f t="shared" ref="B773:B836" si="96">IFERROR(IF($E773="","",VLOOKUP($E773,CAD_TAB,2,FALSE)),"")</f>
        <v/>
      </c>
      <c r="C773" s="30"/>
      <c r="D773" s="10"/>
      <c r="E773" s="30"/>
      <c r="F773" s="36" t="str">
        <f t="shared" ref="F773:F836" si="97">IFERROR(IF($E773="","",VLOOKUP($E773,CAD_TAB,8,FALSE)),"")</f>
        <v/>
      </c>
      <c r="G773" s="36" t="str">
        <f t="shared" ref="G773:G836" si="98">IFERROR(IF($E773="","",VLOOKUP($E773,CAD_TAB,9,FALSE)),"")</f>
        <v/>
      </c>
      <c r="H773" s="36" t="str">
        <f t="shared" ref="H773:H836" si="99">IFERROR(IF($E773="","",VLOOKUP($E773,CAD_TAB,11,FALSE)),"")</f>
        <v/>
      </c>
      <c r="I773" s="34" t="str">
        <f t="shared" ref="I773:I836" si="100">IFERROR(IF($E773="","",VLOOKUP($E773,CAD_TAB,7,FALSE)),"")</f>
        <v/>
      </c>
      <c r="J773" s="35" t="str">
        <f t="shared" ref="J773:J836" si="101">IFERROR(IF($E773="","",VLOOKUP($E773,CAD_TAB,6,FALSE)),"")</f>
        <v/>
      </c>
      <c r="K773" s="49"/>
      <c r="L773" s="30"/>
      <c r="M773" s="31"/>
      <c r="N773" s="33"/>
      <c r="O773" s="31"/>
      <c r="P773" s="29" t="str">
        <f t="shared" ref="P773:P836" si="102">IF($E773="","",IF($L773="SIM","EXECUTADO",IF($O773&lt;&gt;"","REPROGRAMADO",IF($L773="NÃO","NÃO EXECUTADO","PROGRAMADO"))))</f>
        <v/>
      </c>
      <c r="Q773" s="29" t="str">
        <f t="shared" ref="Q773:Q836" si="103">IF($E773="","",IF($L773="SIM",IF($M773=$A773,"NO DIA","FORA DO DIA"),""))</f>
        <v/>
      </c>
      <c r="R773" s="33"/>
    </row>
    <row r="774" spans="1:18" x14ac:dyDescent="0.25">
      <c r="A774" s="31"/>
      <c r="B774" s="34" t="str">
        <f t="shared" si="96"/>
        <v/>
      </c>
      <c r="C774" s="30"/>
      <c r="D774" s="10"/>
      <c r="E774" s="30"/>
      <c r="F774" s="36" t="str">
        <f t="shared" si="97"/>
        <v/>
      </c>
      <c r="G774" s="36" t="str">
        <f t="shared" si="98"/>
        <v/>
      </c>
      <c r="H774" s="36" t="str">
        <f t="shared" si="99"/>
        <v/>
      </c>
      <c r="I774" s="34" t="str">
        <f t="shared" si="100"/>
        <v/>
      </c>
      <c r="J774" s="35" t="str">
        <f t="shared" si="101"/>
        <v/>
      </c>
      <c r="K774" s="49"/>
      <c r="L774" s="30"/>
      <c r="M774" s="31"/>
      <c r="N774" s="33"/>
      <c r="O774" s="31"/>
      <c r="P774" s="29" t="str">
        <f t="shared" si="102"/>
        <v/>
      </c>
      <c r="Q774" s="29" t="str">
        <f t="shared" si="103"/>
        <v/>
      </c>
      <c r="R774" s="33"/>
    </row>
    <row r="775" spans="1:18" x14ac:dyDescent="0.25">
      <c r="A775" s="31"/>
      <c r="B775" s="34" t="str">
        <f t="shared" si="96"/>
        <v/>
      </c>
      <c r="C775" s="30"/>
      <c r="D775" s="10"/>
      <c r="E775" s="30"/>
      <c r="F775" s="36" t="str">
        <f t="shared" si="97"/>
        <v/>
      </c>
      <c r="G775" s="36" t="str">
        <f t="shared" si="98"/>
        <v/>
      </c>
      <c r="H775" s="36" t="str">
        <f t="shared" si="99"/>
        <v/>
      </c>
      <c r="I775" s="34" t="str">
        <f t="shared" si="100"/>
        <v/>
      </c>
      <c r="J775" s="35" t="str">
        <f t="shared" si="101"/>
        <v/>
      </c>
      <c r="K775" s="49"/>
      <c r="L775" s="30"/>
      <c r="M775" s="31"/>
      <c r="N775" s="33"/>
      <c r="O775" s="31"/>
      <c r="P775" s="29" t="str">
        <f t="shared" si="102"/>
        <v/>
      </c>
      <c r="Q775" s="29" t="str">
        <f t="shared" si="103"/>
        <v/>
      </c>
      <c r="R775" s="33"/>
    </row>
    <row r="776" spans="1:18" x14ac:dyDescent="0.25">
      <c r="A776" s="31"/>
      <c r="B776" s="34" t="str">
        <f t="shared" si="96"/>
        <v/>
      </c>
      <c r="C776" s="30"/>
      <c r="D776" s="10"/>
      <c r="E776" s="30"/>
      <c r="F776" s="36" t="str">
        <f t="shared" si="97"/>
        <v/>
      </c>
      <c r="G776" s="36" t="str">
        <f t="shared" si="98"/>
        <v/>
      </c>
      <c r="H776" s="36" t="str">
        <f t="shared" si="99"/>
        <v/>
      </c>
      <c r="I776" s="34" t="str">
        <f t="shared" si="100"/>
        <v/>
      </c>
      <c r="J776" s="35" t="str">
        <f t="shared" si="101"/>
        <v/>
      </c>
      <c r="K776" s="49"/>
      <c r="L776" s="30"/>
      <c r="M776" s="31"/>
      <c r="N776" s="33"/>
      <c r="O776" s="31"/>
      <c r="P776" s="29" t="str">
        <f t="shared" si="102"/>
        <v/>
      </c>
      <c r="Q776" s="29" t="str">
        <f t="shared" si="103"/>
        <v/>
      </c>
      <c r="R776" s="33"/>
    </row>
    <row r="777" spans="1:18" x14ac:dyDescent="0.25">
      <c r="A777" s="31"/>
      <c r="B777" s="34" t="str">
        <f t="shared" si="96"/>
        <v/>
      </c>
      <c r="C777" s="30"/>
      <c r="D777" s="10"/>
      <c r="E777" s="30"/>
      <c r="F777" s="36" t="str">
        <f t="shared" si="97"/>
        <v/>
      </c>
      <c r="G777" s="36" t="str">
        <f t="shared" si="98"/>
        <v/>
      </c>
      <c r="H777" s="36" t="str">
        <f t="shared" si="99"/>
        <v/>
      </c>
      <c r="I777" s="34" t="str">
        <f t="shared" si="100"/>
        <v/>
      </c>
      <c r="J777" s="35" t="str">
        <f t="shared" si="101"/>
        <v/>
      </c>
      <c r="K777" s="49"/>
      <c r="L777" s="30"/>
      <c r="M777" s="31"/>
      <c r="N777" s="33"/>
      <c r="O777" s="31"/>
      <c r="P777" s="29" t="str">
        <f t="shared" si="102"/>
        <v/>
      </c>
      <c r="Q777" s="29" t="str">
        <f t="shared" si="103"/>
        <v/>
      </c>
      <c r="R777" s="33"/>
    </row>
    <row r="778" spans="1:18" x14ac:dyDescent="0.25">
      <c r="A778" s="31"/>
      <c r="B778" s="34" t="str">
        <f t="shared" si="96"/>
        <v/>
      </c>
      <c r="C778" s="30"/>
      <c r="D778" s="10"/>
      <c r="E778" s="30"/>
      <c r="F778" s="36" t="str">
        <f t="shared" si="97"/>
        <v/>
      </c>
      <c r="G778" s="36" t="str">
        <f t="shared" si="98"/>
        <v/>
      </c>
      <c r="H778" s="36" t="str">
        <f t="shared" si="99"/>
        <v/>
      </c>
      <c r="I778" s="34" t="str">
        <f t="shared" si="100"/>
        <v/>
      </c>
      <c r="J778" s="35" t="str">
        <f t="shared" si="101"/>
        <v/>
      </c>
      <c r="K778" s="49"/>
      <c r="L778" s="30"/>
      <c r="M778" s="31"/>
      <c r="N778" s="33"/>
      <c r="O778" s="31"/>
      <c r="P778" s="29" t="str">
        <f t="shared" si="102"/>
        <v/>
      </c>
      <c r="Q778" s="29" t="str">
        <f t="shared" si="103"/>
        <v/>
      </c>
      <c r="R778" s="33"/>
    </row>
    <row r="779" spans="1:18" x14ac:dyDescent="0.25">
      <c r="A779" s="31"/>
      <c r="B779" s="34" t="str">
        <f t="shared" si="96"/>
        <v/>
      </c>
      <c r="C779" s="30"/>
      <c r="D779" s="10"/>
      <c r="E779" s="30"/>
      <c r="F779" s="36" t="str">
        <f t="shared" si="97"/>
        <v/>
      </c>
      <c r="G779" s="36" t="str">
        <f t="shared" si="98"/>
        <v/>
      </c>
      <c r="H779" s="36" t="str">
        <f t="shared" si="99"/>
        <v/>
      </c>
      <c r="I779" s="34" t="str">
        <f t="shared" si="100"/>
        <v/>
      </c>
      <c r="J779" s="35" t="str">
        <f t="shared" si="101"/>
        <v/>
      </c>
      <c r="K779" s="49"/>
      <c r="L779" s="30"/>
      <c r="M779" s="31"/>
      <c r="N779" s="33"/>
      <c r="O779" s="31"/>
      <c r="P779" s="29" t="str">
        <f t="shared" si="102"/>
        <v/>
      </c>
      <c r="Q779" s="29" t="str">
        <f t="shared" si="103"/>
        <v/>
      </c>
      <c r="R779" s="33"/>
    </row>
    <row r="780" spans="1:18" x14ac:dyDescent="0.25">
      <c r="A780" s="31"/>
      <c r="B780" s="34" t="str">
        <f t="shared" si="96"/>
        <v/>
      </c>
      <c r="C780" s="30"/>
      <c r="D780" s="10"/>
      <c r="E780" s="30"/>
      <c r="F780" s="36" t="str">
        <f t="shared" si="97"/>
        <v/>
      </c>
      <c r="G780" s="36" t="str">
        <f t="shared" si="98"/>
        <v/>
      </c>
      <c r="H780" s="36" t="str">
        <f t="shared" si="99"/>
        <v/>
      </c>
      <c r="I780" s="34" t="str">
        <f t="shared" si="100"/>
        <v/>
      </c>
      <c r="J780" s="35" t="str">
        <f t="shared" si="101"/>
        <v/>
      </c>
      <c r="K780" s="49"/>
      <c r="L780" s="30"/>
      <c r="M780" s="31"/>
      <c r="N780" s="33"/>
      <c r="O780" s="31"/>
      <c r="P780" s="29" t="str">
        <f t="shared" si="102"/>
        <v/>
      </c>
      <c r="Q780" s="29" t="str">
        <f t="shared" si="103"/>
        <v/>
      </c>
      <c r="R780" s="33"/>
    </row>
    <row r="781" spans="1:18" x14ac:dyDescent="0.25">
      <c r="A781" s="31"/>
      <c r="B781" s="34" t="str">
        <f t="shared" si="96"/>
        <v/>
      </c>
      <c r="C781" s="30"/>
      <c r="D781" s="10"/>
      <c r="E781" s="30"/>
      <c r="F781" s="36" t="str">
        <f t="shared" si="97"/>
        <v/>
      </c>
      <c r="G781" s="36" t="str">
        <f t="shared" si="98"/>
        <v/>
      </c>
      <c r="H781" s="36" t="str">
        <f t="shared" si="99"/>
        <v/>
      </c>
      <c r="I781" s="34" t="str">
        <f t="shared" si="100"/>
        <v/>
      </c>
      <c r="J781" s="35" t="str">
        <f t="shared" si="101"/>
        <v/>
      </c>
      <c r="K781" s="49"/>
      <c r="L781" s="30"/>
      <c r="M781" s="31"/>
      <c r="N781" s="33"/>
      <c r="O781" s="31"/>
      <c r="P781" s="29" t="str">
        <f t="shared" si="102"/>
        <v/>
      </c>
      <c r="Q781" s="29" t="str">
        <f t="shared" si="103"/>
        <v/>
      </c>
      <c r="R781" s="33"/>
    </row>
    <row r="782" spans="1:18" x14ac:dyDescent="0.25">
      <c r="A782" s="31"/>
      <c r="B782" s="34" t="str">
        <f t="shared" si="96"/>
        <v/>
      </c>
      <c r="C782" s="30"/>
      <c r="D782" s="10"/>
      <c r="E782" s="30"/>
      <c r="F782" s="36" t="str">
        <f t="shared" si="97"/>
        <v/>
      </c>
      <c r="G782" s="36" t="str">
        <f t="shared" si="98"/>
        <v/>
      </c>
      <c r="H782" s="36" t="str">
        <f t="shared" si="99"/>
        <v/>
      </c>
      <c r="I782" s="34" t="str">
        <f t="shared" si="100"/>
        <v/>
      </c>
      <c r="J782" s="35" t="str">
        <f t="shared" si="101"/>
        <v/>
      </c>
      <c r="K782" s="49"/>
      <c r="L782" s="30"/>
      <c r="M782" s="31"/>
      <c r="N782" s="33"/>
      <c r="O782" s="31"/>
      <c r="P782" s="29" t="str">
        <f t="shared" si="102"/>
        <v/>
      </c>
      <c r="Q782" s="29" t="str">
        <f t="shared" si="103"/>
        <v/>
      </c>
      <c r="R782" s="33"/>
    </row>
    <row r="783" spans="1:18" x14ac:dyDescent="0.25">
      <c r="A783" s="31"/>
      <c r="B783" s="34" t="str">
        <f t="shared" si="96"/>
        <v/>
      </c>
      <c r="C783" s="30"/>
      <c r="D783" s="10"/>
      <c r="E783" s="30"/>
      <c r="F783" s="36" t="str">
        <f t="shared" si="97"/>
        <v/>
      </c>
      <c r="G783" s="36" t="str">
        <f t="shared" si="98"/>
        <v/>
      </c>
      <c r="H783" s="36" t="str">
        <f t="shared" si="99"/>
        <v/>
      </c>
      <c r="I783" s="34" t="str">
        <f t="shared" si="100"/>
        <v/>
      </c>
      <c r="J783" s="35" t="str">
        <f t="shared" si="101"/>
        <v/>
      </c>
      <c r="K783" s="49"/>
      <c r="L783" s="30"/>
      <c r="M783" s="31"/>
      <c r="N783" s="33"/>
      <c r="O783" s="31"/>
      <c r="P783" s="29" t="str">
        <f t="shared" si="102"/>
        <v/>
      </c>
      <c r="Q783" s="29" t="str">
        <f t="shared" si="103"/>
        <v/>
      </c>
      <c r="R783" s="33"/>
    </row>
    <row r="784" spans="1:18" x14ac:dyDescent="0.25">
      <c r="A784" s="31"/>
      <c r="B784" s="34" t="str">
        <f t="shared" si="96"/>
        <v/>
      </c>
      <c r="C784" s="30"/>
      <c r="D784" s="10"/>
      <c r="E784" s="30"/>
      <c r="F784" s="36" t="str">
        <f t="shared" si="97"/>
        <v/>
      </c>
      <c r="G784" s="36" t="str">
        <f t="shared" si="98"/>
        <v/>
      </c>
      <c r="H784" s="36" t="str">
        <f t="shared" si="99"/>
        <v/>
      </c>
      <c r="I784" s="34" t="str">
        <f t="shared" si="100"/>
        <v/>
      </c>
      <c r="J784" s="35" t="str">
        <f t="shared" si="101"/>
        <v/>
      </c>
      <c r="K784" s="49"/>
      <c r="L784" s="30"/>
      <c r="M784" s="31"/>
      <c r="N784" s="33"/>
      <c r="O784" s="31"/>
      <c r="P784" s="29" t="str">
        <f t="shared" si="102"/>
        <v/>
      </c>
      <c r="Q784" s="29" t="str">
        <f t="shared" si="103"/>
        <v/>
      </c>
      <c r="R784" s="33"/>
    </row>
    <row r="785" spans="1:18" x14ac:dyDescent="0.25">
      <c r="A785" s="31"/>
      <c r="B785" s="34" t="str">
        <f t="shared" si="96"/>
        <v/>
      </c>
      <c r="C785" s="30"/>
      <c r="D785" s="10"/>
      <c r="E785" s="30"/>
      <c r="F785" s="36" t="str">
        <f t="shared" si="97"/>
        <v/>
      </c>
      <c r="G785" s="36" t="str">
        <f t="shared" si="98"/>
        <v/>
      </c>
      <c r="H785" s="36" t="str">
        <f t="shared" si="99"/>
        <v/>
      </c>
      <c r="I785" s="34" t="str">
        <f t="shared" si="100"/>
        <v/>
      </c>
      <c r="J785" s="35" t="str">
        <f t="shared" si="101"/>
        <v/>
      </c>
      <c r="K785" s="49"/>
      <c r="L785" s="30"/>
      <c r="M785" s="31"/>
      <c r="N785" s="33"/>
      <c r="O785" s="31"/>
      <c r="P785" s="29" t="str">
        <f t="shared" si="102"/>
        <v/>
      </c>
      <c r="Q785" s="29" t="str">
        <f t="shared" si="103"/>
        <v/>
      </c>
      <c r="R785" s="33"/>
    </row>
    <row r="786" spans="1:18" x14ac:dyDescent="0.25">
      <c r="A786" s="31"/>
      <c r="B786" s="34" t="str">
        <f t="shared" si="96"/>
        <v/>
      </c>
      <c r="C786" s="30"/>
      <c r="D786" s="10"/>
      <c r="E786" s="30"/>
      <c r="F786" s="36" t="str">
        <f t="shared" si="97"/>
        <v/>
      </c>
      <c r="G786" s="36" t="str">
        <f t="shared" si="98"/>
        <v/>
      </c>
      <c r="H786" s="36" t="str">
        <f t="shared" si="99"/>
        <v/>
      </c>
      <c r="I786" s="34" t="str">
        <f t="shared" si="100"/>
        <v/>
      </c>
      <c r="J786" s="35" t="str">
        <f t="shared" si="101"/>
        <v/>
      </c>
      <c r="K786" s="49"/>
      <c r="L786" s="30"/>
      <c r="M786" s="31"/>
      <c r="N786" s="33"/>
      <c r="O786" s="31"/>
      <c r="P786" s="29" t="str">
        <f t="shared" si="102"/>
        <v/>
      </c>
      <c r="Q786" s="29" t="str">
        <f t="shared" si="103"/>
        <v/>
      </c>
      <c r="R786" s="33"/>
    </row>
    <row r="787" spans="1:18" x14ac:dyDescent="0.25">
      <c r="A787" s="31"/>
      <c r="B787" s="34" t="str">
        <f t="shared" si="96"/>
        <v/>
      </c>
      <c r="C787" s="30"/>
      <c r="D787" s="10"/>
      <c r="E787" s="30"/>
      <c r="F787" s="36" t="str">
        <f t="shared" si="97"/>
        <v/>
      </c>
      <c r="G787" s="36" t="str">
        <f t="shared" si="98"/>
        <v/>
      </c>
      <c r="H787" s="36" t="str">
        <f t="shared" si="99"/>
        <v/>
      </c>
      <c r="I787" s="34" t="str">
        <f t="shared" si="100"/>
        <v/>
      </c>
      <c r="J787" s="35" t="str">
        <f t="shared" si="101"/>
        <v/>
      </c>
      <c r="K787" s="49"/>
      <c r="L787" s="30"/>
      <c r="M787" s="31"/>
      <c r="N787" s="33"/>
      <c r="O787" s="31"/>
      <c r="P787" s="29" t="str">
        <f t="shared" si="102"/>
        <v/>
      </c>
      <c r="Q787" s="29" t="str">
        <f t="shared" si="103"/>
        <v/>
      </c>
      <c r="R787" s="33"/>
    </row>
    <row r="788" spans="1:18" x14ac:dyDescent="0.25">
      <c r="A788" s="31"/>
      <c r="B788" s="34" t="str">
        <f t="shared" si="96"/>
        <v/>
      </c>
      <c r="C788" s="30"/>
      <c r="D788" s="10"/>
      <c r="E788" s="30"/>
      <c r="F788" s="36" t="str">
        <f t="shared" si="97"/>
        <v/>
      </c>
      <c r="G788" s="36" t="str">
        <f t="shared" si="98"/>
        <v/>
      </c>
      <c r="H788" s="36" t="str">
        <f t="shared" si="99"/>
        <v/>
      </c>
      <c r="I788" s="34" t="str">
        <f t="shared" si="100"/>
        <v/>
      </c>
      <c r="J788" s="35" t="str">
        <f t="shared" si="101"/>
        <v/>
      </c>
      <c r="K788" s="49"/>
      <c r="L788" s="30"/>
      <c r="M788" s="31"/>
      <c r="N788" s="33"/>
      <c r="O788" s="31"/>
      <c r="P788" s="29" t="str">
        <f t="shared" si="102"/>
        <v/>
      </c>
      <c r="Q788" s="29" t="str">
        <f t="shared" si="103"/>
        <v/>
      </c>
      <c r="R788" s="33"/>
    </row>
    <row r="789" spans="1:18" x14ac:dyDescent="0.25">
      <c r="A789" s="31"/>
      <c r="B789" s="34" t="str">
        <f t="shared" si="96"/>
        <v/>
      </c>
      <c r="C789" s="30"/>
      <c r="D789" s="10"/>
      <c r="E789" s="30"/>
      <c r="F789" s="36" t="str">
        <f t="shared" si="97"/>
        <v/>
      </c>
      <c r="G789" s="36" t="str">
        <f t="shared" si="98"/>
        <v/>
      </c>
      <c r="H789" s="36" t="str">
        <f t="shared" si="99"/>
        <v/>
      </c>
      <c r="I789" s="34" t="str">
        <f t="shared" si="100"/>
        <v/>
      </c>
      <c r="J789" s="35" t="str">
        <f t="shared" si="101"/>
        <v/>
      </c>
      <c r="K789" s="49"/>
      <c r="L789" s="30"/>
      <c r="M789" s="31"/>
      <c r="N789" s="33"/>
      <c r="O789" s="31"/>
      <c r="P789" s="29" t="str">
        <f t="shared" si="102"/>
        <v/>
      </c>
      <c r="Q789" s="29" t="str">
        <f t="shared" si="103"/>
        <v/>
      </c>
      <c r="R789" s="33"/>
    </row>
    <row r="790" spans="1:18" x14ac:dyDescent="0.25">
      <c r="A790" s="31"/>
      <c r="B790" s="34" t="str">
        <f t="shared" si="96"/>
        <v/>
      </c>
      <c r="C790" s="30"/>
      <c r="D790" s="10"/>
      <c r="E790" s="30"/>
      <c r="F790" s="36" t="str">
        <f t="shared" si="97"/>
        <v/>
      </c>
      <c r="G790" s="36" t="str">
        <f t="shared" si="98"/>
        <v/>
      </c>
      <c r="H790" s="36" t="str">
        <f t="shared" si="99"/>
        <v/>
      </c>
      <c r="I790" s="34" t="str">
        <f t="shared" si="100"/>
        <v/>
      </c>
      <c r="J790" s="35" t="str">
        <f t="shared" si="101"/>
        <v/>
      </c>
      <c r="K790" s="49"/>
      <c r="L790" s="30"/>
      <c r="M790" s="31"/>
      <c r="N790" s="33"/>
      <c r="O790" s="31"/>
      <c r="P790" s="29" t="str">
        <f t="shared" si="102"/>
        <v/>
      </c>
      <c r="Q790" s="29" t="str">
        <f t="shared" si="103"/>
        <v/>
      </c>
      <c r="R790" s="33"/>
    </row>
    <row r="791" spans="1:18" x14ac:dyDescent="0.25">
      <c r="A791" s="31"/>
      <c r="B791" s="34" t="str">
        <f t="shared" si="96"/>
        <v/>
      </c>
      <c r="C791" s="30"/>
      <c r="D791" s="10"/>
      <c r="E791" s="30"/>
      <c r="F791" s="36" t="str">
        <f t="shared" si="97"/>
        <v/>
      </c>
      <c r="G791" s="36" t="str">
        <f t="shared" si="98"/>
        <v/>
      </c>
      <c r="H791" s="36" t="str">
        <f t="shared" si="99"/>
        <v/>
      </c>
      <c r="I791" s="34" t="str">
        <f t="shared" si="100"/>
        <v/>
      </c>
      <c r="J791" s="35" t="str">
        <f t="shared" si="101"/>
        <v/>
      </c>
      <c r="K791" s="49"/>
      <c r="L791" s="30"/>
      <c r="M791" s="31"/>
      <c r="N791" s="33"/>
      <c r="O791" s="31"/>
      <c r="P791" s="29" t="str">
        <f t="shared" si="102"/>
        <v/>
      </c>
      <c r="Q791" s="29" t="str">
        <f t="shared" si="103"/>
        <v/>
      </c>
      <c r="R791" s="33"/>
    </row>
    <row r="792" spans="1:18" x14ac:dyDescent="0.25">
      <c r="A792" s="31"/>
      <c r="B792" s="34" t="str">
        <f t="shared" si="96"/>
        <v/>
      </c>
      <c r="C792" s="30"/>
      <c r="D792" s="10"/>
      <c r="E792" s="30"/>
      <c r="F792" s="36" t="str">
        <f t="shared" si="97"/>
        <v/>
      </c>
      <c r="G792" s="36" t="str">
        <f t="shared" si="98"/>
        <v/>
      </c>
      <c r="H792" s="36" t="str">
        <f t="shared" si="99"/>
        <v/>
      </c>
      <c r="I792" s="34" t="str">
        <f t="shared" si="100"/>
        <v/>
      </c>
      <c r="J792" s="35" t="str">
        <f t="shared" si="101"/>
        <v/>
      </c>
      <c r="K792" s="49"/>
      <c r="L792" s="30"/>
      <c r="M792" s="31"/>
      <c r="N792" s="33"/>
      <c r="O792" s="31"/>
      <c r="P792" s="29" t="str">
        <f t="shared" si="102"/>
        <v/>
      </c>
      <c r="Q792" s="29" t="str">
        <f t="shared" si="103"/>
        <v/>
      </c>
      <c r="R792" s="33"/>
    </row>
    <row r="793" spans="1:18" x14ac:dyDescent="0.25">
      <c r="A793" s="31"/>
      <c r="B793" s="34" t="str">
        <f t="shared" si="96"/>
        <v/>
      </c>
      <c r="C793" s="30"/>
      <c r="D793" s="10"/>
      <c r="E793" s="30"/>
      <c r="F793" s="36" t="str">
        <f t="shared" si="97"/>
        <v/>
      </c>
      <c r="G793" s="36" t="str">
        <f t="shared" si="98"/>
        <v/>
      </c>
      <c r="H793" s="36" t="str">
        <f t="shared" si="99"/>
        <v/>
      </c>
      <c r="I793" s="34" t="str">
        <f t="shared" si="100"/>
        <v/>
      </c>
      <c r="J793" s="35" t="str">
        <f t="shared" si="101"/>
        <v/>
      </c>
      <c r="K793" s="49"/>
      <c r="L793" s="30"/>
      <c r="M793" s="31"/>
      <c r="N793" s="33"/>
      <c r="O793" s="31"/>
      <c r="P793" s="29" t="str">
        <f t="shared" si="102"/>
        <v/>
      </c>
      <c r="Q793" s="29" t="str">
        <f t="shared" si="103"/>
        <v/>
      </c>
      <c r="R793" s="33"/>
    </row>
    <row r="794" spans="1:18" x14ac:dyDescent="0.25">
      <c r="A794" s="31"/>
      <c r="B794" s="34" t="str">
        <f t="shared" si="96"/>
        <v/>
      </c>
      <c r="C794" s="30"/>
      <c r="D794" s="10"/>
      <c r="E794" s="30"/>
      <c r="F794" s="36" t="str">
        <f t="shared" si="97"/>
        <v/>
      </c>
      <c r="G794" s="36" t="str">
        <f t="shared" si="98"/>
        <v/>
      </c>
      <c r="H794" s="36" t="str">
        <f t="shared" si="99"/>
        <v/>
      </c>
      <c r="I794" s="34" t="str">
        <f t="shared" si="100"/>
        <v/>
      </c>
      <c r="J794" s="35" t="str">
        <f t="shared" si="101"/>
        <v/>
      </c>
      <c r="K794" s="49"/>
      <c r="L794" s="30"/>
      <c r="M794" s="31"/>
      <c r="N794" s="33"/>
      <c r="O794" s="31"/>
      <c r="P794" s="29" t="str">
        <f t="shared" si="102"/>
        <v/>
      </c>
      <c r="Q794" s="29" t="str">
        <f t="shared" si="103"/>
        <v/>
      </c>
      <c r="R794" s="33"/>
    </row>
    <row r="795" spans="1:18" x14ac:dyDescent="0.25">
      <c r="A795" s="31"/>
      <c r="B795" s="34" t="str">
        <f t="shared" si="96"/>
        <v/>
      </c>
      <c r="C795" s="30"/>
      <c r="D795" s="10"/>
      <c r="E795" s="30"/>
      <c r="F795" s="36" t="str">
        <f t="shared" si="97"/>
        <v/>
      </c>
      <c r="G795" s="36" t="str">
        <f t="shared" si="98"/>
        <v/>
      </c>
      <c r="H795" s="36" t="str">
        <f t="shared" si="99"/>
        <v/>
      </c>
      <c r="I795" s="34" t="str">
        <f t="shared" si="100"/>
        <v/>
      </c>
      <c r="J795" s="35" t="str">
        <f t="shared" si="101"/>
        <v/>
      </c>
      <c r="K795" s="49"/>
      <c r="L795" s="30"/>
      <c r="M795" s="31"/>
      <c r="N795" s="33"/>
      <c r="O795" s="31"/>
      <c r="P795" s="29" t="str">
        <f t="shared" si="102"/>
        <v/>
      </c>
      <c r="Q795" s="29" t="str">
        <f t="shared" si="103"/>
        <v/>
      </c>
      <c r="R795" s="33"/>
    </row>
    <row r="796" spans="1:18" x14ac:dyDescent="0.25">
      <c r="A796" s="31"/>
      <c r="B796" s="34" t="str">
        <f t="shared" si="96"/>
        <v/>
      </c>
      <c r="C796" s="30"/>
      <c r="D796" s="10"/>
      <c r="E796" s="30"/>
      <c r="F796" s="36" t="str">
        <f t="shared" si="97"/>
        <v/>
      </c>
      <c r="G796" s="36" t="str">
        <f t="shared" si="98"/>
        <v/>
      </c>
      <c r="H796" s="36" t="str">
        <f t="shared" si="99"/>
        <v/>
      </c>
      <c r="I796" s="34" t="str">
        <f t="shared" si="100"/>
        <v/>
      </c>
      <c r="J796" s="35" t="str">
        <f t="shared" si="101"/>
        <v/>
      </c>
      <c r="K796" s="49"/>
      <c r="L796" s="30"/>
      <c r="M796" s="31"/>
      <c r="N796" s="33"/>
      <c r="O796" s="31"/>
      <c r="P796" s="29" t="str">
        <f t="shared" si="102"/>
        <v/>
      </c>
      <c r="Q796" s="29" t="str">
        <f t="shared" si="103"/>
        <v/>
      </c>
      <c r="R796" s="33"/>
    </row>
    <row r="797" spans="1:18" x14ac:dyDescent="0.25">
      <c r="A797" s="31"/>
      <c r="B797" s="34" t="str">
        <f t="shared" si="96"/>
        <v/>
      </c>
      <c r="C797" s="30"/>
      <c r="D797" s="10"/>
      <c r="E797" s="30"/>
      <c r="F797" s="36" t="str">
        <f t="shared" si="97"/>
        <v/>
      </c>
      <c r="G797" s="36" t="str">
        <f t="shared" si="98"/>
        <v/>
      </c>
      <c r="H797" s="36" t="str">
        <f t="shared" si="99"/>
        <v/>
      </c>
      <c r="I797" s="34" t="str">
        <f t="shared" si="100"/>
        <v/>
      </c>
      <c r="J797" s="35" t="str">
        <f t="shared" si="101"/>
        <v/>
      </c>
      <c r="K797" s="49"/>
      <c r="L797" s="30"/>
      <c r="M797" s="31"/>
      <c r="N797" s="33"/>
      <c r="O797" s="31"/>
      <c r="P797" s="29" t="str">
        <f t="shared" si="102"/>
        <v/>
      </c>
      <c r="Q797" s="29" t="str">
        <f t="shared" si="103"/>
        <v/>
      </c>
      <c r="R797" s="33"/>
    </row>
    <row r="798" spans="1:18" x14ac:dyDescent="0.25">
      <c r="A798" s="31"/>
      <c r="B798" s="34" t="str">
        <f t="shared" si="96"/>
        <v/>
      </c>
      <c r="C798" s="30"/>
      <c r="D798" s="10"/>
      <c r="E798" s="30"/>
      <c r="F798" s="36" t="str">
        <f t="shared" si="97"/>
        <v/>
      </c>
      <c r="G798" s="36" t="str">
        <f t="shared" si="98"/>
        <v/>
      </c>
      <c r="H798" s="36" t="str">
        <f t="shared" si="99"/>
        <v/>
      </c>
      <c r="I798" s="34" t="str">
        <f t="shared" si="100"/>
        <v/>
      </c>
      <c r="J798" s="35" t="str">
        <f t="shared" si="101"/>
        <v/>
      </c>
      <c r="K798" s="49"/>
      <c r="L798" s="30"/>
      <c r="M798" s="31"/>
      <c r="N798" s="33"/>
      <c r="O798" s="31"/>
      <c r="P798" s="29" t="str">
        <f t="shared" si="102"/>
        <v/>
      </c>
      <c r="Q798" s="29" t="str">
        <f t="shared" si="103"/>
        <v/>
      </c>
      <c r="R798" s="33"/>
    </row>
    <row r="799" spans="1:18" x14ac:dyDescent="0.25">
      <c r="A799" s="31"/>
      <c r="B799" s="34" t="str">
        <f t="shared" si="96"/>
        <v/>
      </c>
      <c r="C799" s="30"/>
      <c r="D799" s="10"/>
      <c r="E799" s="30"/>
      <c r="F799" s="36" t="str">
        <f t="shared" si="97"/>
        <v/>
      </c>
      <c r="G799" s="36" t="str">
        <f t="shared" si="98"/>
        <v/>
      </c>
      <c r="H799" s="36" t="str">
        <f t="shared" si="99"/>
        <v/>
      </c>
      <c r="I799" s="34" t="str">
        <f t="shared" si="100"/>
        <v/>
      </c>
      <c r="J799" s="35" t="str">
        <f t="shared" si="101"/>
        <v/>
      </c>
      <c r="K799" s="49"/>
      <c r="L799" s="30"/>
      <c r="M799" s="31"/>
      <c r="N799" s="33"/>
      <c r="O799" s="31"/>
      <c r="P799" s="29" t="str">
        <f t="shared" si="102"/>
        <v/>
      </c>
      <c r="Q799" s="29" t="str">
        <f t="shared" si="103"/>
        <v/>
      </c>
      <c r="R799" s="33"/>
    </row>
    <row r="800" spans="1:18" x14ac:dyDescent="0.25">
      <c r="A800" s="31"/>
      <c r="B800" s="34" t="str">
        <f t="shared" si="96"/>
        <v/>
      </c>
      <c r="C800" s="30"/>
      <c r="D800" s="10"/>
      <c r="E800" s="30"/>
      <c r="F800" s="36" t="str">
        <f t="shared" si="97"/>
        <v/>
      </c>
      <c r="G800" s="36" t="str">
        <f t="shared" si="98"/>
        <v/>
      </c>
      <c r="H800" s="36" t="str">
        <f t="shared" si="99"/>
        <v/>
      </c>
      <c r="I800" s="34" t="str">
        <f t="shared" si="100"/>
        <v/>
      </c>
      <c r="J800" s="35" t="str">
        <f t="shared" si="101"/>
        <v/>
      </c>
      <c r="K800" s="49"/>
      <c r="L800" s="30"/>
      <c r="M800" s="31"/>
      <c r="N800" s="33"/>
      <c r="O800" s="31"/>
      <c r="P800" s="29" t="str">
        <f t="shared" si="102"/>
        <v/>
      </c>
      <c r="Q800" s="29" t="str">
        <f t="shared" si="103"/>
        <v/>
      </c>
      <c r="R800" s="33"/>
    </row>
    <row r="801" spans="1:18" x14ac:dyDescent="0.25">
      <c r="A801" s="31"/>
      <c r="B801" s="34" t="str">
        <f t="shared" si="96"/>
        <v/>
      </c>
      <c r="C801" s="30"/>
      <c r="D801" s="10"/>
      <c r="E801" s="30"/>
      <c r="F801" s="36" t="str">
        <f t="shared" si="97"/>
        <v/>
      </c>
      <c r="G801" s="36" t="str">
        <f t="shared" si="98"/>
        <v/>
      </c>
      <c r="H801" s="36" t="str">
        <f t="shared" si="99"/>
        <v/>
      </c>
      <c r="I801" s="34" t="str">
        <f t="shared" si="100"/>
        <v/>
      </c>
      <c r="J801" s="35" t="str">
        <f t="shared" si="101"/>
        <v/>
      </c>
      <c r="K801" s="49"/>
      <c r="L801" s="30"/>
      <c r="M801" s="31"/>
      <c r="N801" s="33"/>
      <c r="O801" s="31"/>
      <c r="P801" s="29" t="str">
        <f t="shared" si="102"/>
        <v/>
      </c>
      <c r="Q801" s="29" t="str">
        <f t="shared" si="103"/>
        <v/>
      </c>
      <c r="R801" s="33"/>
    </row>
    <row r="802" spans="1:18" x14ac:dyDescent="0.25">
      <c r="A802" s="31"/>
      <c r="B802" s="34" t="str">
        <f t="shared" si="96"/>
        <v/>
      </c>
      <c r="C802" s="30"/>
      <c r="D802" s="10"/>
      <c r="E802" s="30"/>
      <c r="F802" s="36" t="str">
        <f t="shared" si="97"/>
        <v/>
      </c>
      <c r="G802" s="36" t="str">
        <f t="shared" si="98"/>
        <v/>
      </c>
      <c r="H802" s="36" t="str">
        <f t="shared" si="99"/>
        <v/>
      </c>
      <c r="I802" s="34" t="str">
        <f t="shared" si="100"/>
        <v/>
      </c>
      <c r="J802" s="35" t="str">
        <f t="shared" si="101"/>
        <v/>
      </c>
      <c r="K802" s="49"/>
      <c r="L802" s="30"/>
      <c r="M802" s="31"/>
      <c r="N802" s="33"/>
      <c r="O802" s="31"/>
      <c r="P802" s="29" t="str">
        <f t="shared" si="102"/>
        <v/>
      </c>
      <c r="Q802" s="29" t="str">
        <f t="shared" si="103"/>
        <v/>
      </c>
      <c r="R802" s="33"/>
    </row>
    <row r="803" spans="1:18" x14ac:dyDescent="0.25">
      <c r="A803" s="31"/>
      <c r="B803" s="34" t="str">
        <f t="shared" si="96"/>
        <v/>
      </c>
      <c r="C803" s="30"/>
      <c r="D803" s="10"/>
      <c r="E803" s="30"/>
      <c r="F803" s="36" t="str">
        <f t="shared" si="97"/>
        <v/>
      </c>
      <c r="G803" s="36" t="str">
        <f t="shared" si="98"/>
        <v/>
      </c>
      <c r="H803" s="36" t="str">
        <f t="shared" si="99"/>
        <v/>
      </c>
      <c r="I803" s="34" t="str">
        <f t="shared" si="100"/>
        <v/>
      </c>
      <c r="J803" s="35" t="str">
        <f t="shared" si="101"/>
        <v/>
      </c>
      <c r="K803" s="49"/>
      <c r="L803" s="30"/>
      <c r="M803" s="31"/>
      <c r="N803" s="33"/>
      <c r="O803" s="31"/>
      <c r="P803" s="29" t="str">
        <f t="shared" si="102"/>
        <v/>
      </c>
      <c r="Q803" s="29" t="str">
        <f t="shared" si="103"/>
        <v/>
      </c>
      <c r="R803" s="33"/>
    </row>
    <row r="804" spans="1:18" x14ac:dyDescent="0.25">
      <c r="A804" s="31"/>
      <c r="B804" s="34" t="str">
        <f t="shared" si="96"/>
        <v/>
      </c>
      <c r="C804" s="30"/>
      <c r="D804" s="10"/>
      <c r="E804" s="30"/>
      <c r="F804" s="36" t="str">
        <f t="shared" si="97"/>
        <v/>
      </c>
      <c r="G804" s="36" t="str">
        <f t="shared" si="98"/>
        <v/>
      </c>
      <c r="H804" s="36" t="str">
        <f t="shared" si="99"/>
        <v/>
      </c>
      <c r="I804" s="34" t="str">
        <f t="shared" si="100"/>
        <v/>
      </c>
      <c r="J804" s="35" t="str">
        <f t="shared" si="101"/>
        <v/>
      </c>
      <c r="K804" s="49"/>
      <c r="L804" s="30"/>
      <c r="M804" s="31"/>
      <c r="N804" s="33"/>
      <c r="O804" s="31"/>
      <c r="P804" s="29" t="str">
        <f t="shared" si="102"/>
        <v/>
      </c>
      <c r="Q804" s="29" t="str">
        <f t="shared" si="103"/>
        <v/>
      </c>
      <c r="R804" s="33"/>
    </row>
    <row r="805" spans="1:18" x14ac:dyDescent="0.25">
      <c r="A805" s="31"/>
      <c r="B805" s="34" t="str">
        <f t="shared" si="96"/>
        <v/>
      </c>
      <c r="C805" s="30"/>
      <c r="D805" s="10"/>
      <c r="E805" s="30"/>
      <c r="F805" s="36" t="str">
        <f t="shared" si="97"/>
        <v/>
      </c>
      <c r="G805" s="36" t="str">
        <f t="shared" si="98"/>
        <v/>
      </c>
      <c r="H805" s="36" t="str">
        <f t="shared" si="99"/>
        <v/>
      </c>
      <c r="I805" s="34" t="str">
        <f t="shared" si="100"/>
        <v/>
      </c>
      <c r="J805" s="35" t="str">
        <f t="shared" si="101"/>
        <v/>
      </c>
      <c r="K805" s="49"/>
      <c r="L805" s="30"/>
      <c r="M805" s="31"/>
      <c r="N805" s="33"/>
      <c r="O805" s="31"/>
      <c r="P805" s="29" t="str">
        <f t="shared" si="102"/>
        <v/>
      </c>
      <c r="Q805" s="29" t="str">
        <f t="shared" si="103"/>
        <v/>
      </c>
      <c r="R805" s="33"/>
    </row>
    <row r="806" spans="1:18" x14ac:dyDescent="0.25">
      <c r="A806" s="31"/>
      <c r="B806" s="34" t="str">
        <f t="shared" si="96"/>
        <v/>
      </c>
      <c r="C806" s="30"/>
      <c r="D806" s="10"/>
      <c r="E806" s="30"/>
      <c r="F806" s="36" t="str">
        <f t="shared" si="97"/>
        <v/>
      </c>
      <c r="G806" s="36" t="str">
        <f t="shared" si="98"/>
        <v/>
      </c>
      <c r="H806" s="36" t="str">
        <f t="shared" si="99"/>
        <v/>
      </c>
      <c r="I806" s="34" t="str">
        <f t="shared" si="100"/>
        <v/>
      </c>
      <c r="J806" s="35" t="str">
        <f t="shared" si="101"/>
        <v/>
      </c>
      <c r="K806" s="49"/>
      <c r="L806" s="30"/>
      <c r="M806" s="31"/>
      <c r="N806" s="33"/>
      <c r="O806" s="31"/>
      <c r="P806" s="29" t="str">
        <f t="shared" si="102"/>
        <v/>
      </c>
      <c r="Q806" s="29" t="str">
        <f t="shared" si="103"/>
        <v/>
      </c>
      <c r="R806" s="33"/>
    </row>
    <row r="807" spans="1:18" x14ac:dyDescent="0.25">
      <c r="A807" s="31"/>
      <c r="B807" s="34" t="str">
        <f t="shared" si="96"/>
        <v/>
      </c>
      <c r="C807" s="30"/>
      <c r="D807" s="10"/>
      <c r="E807" s="30"/>
      <c r="F807" s="36" t="str">
        <f t="shared" si="97"/>
        <v/>
      </c>
      <c r="G807" s="36" t="str">
        <f t="shared" si="98"/>
        <v/>
      </c>
      <c r="H807" s="36" t="str">
        <f t="shared" si="99"/>
        <v/>
      </c>
      <c r="I807" s="34" t="str">
        <f t="shared" si="100"/>
        <v/>
      </c>
      <c r="J807" s="35" t="str">
        <f t="shared" si="101"/>
        <v/>
      </c>
      <c r="K807" s="49"/>
      <c r="L807" s="30"/>
      <c r="M807" s="31"/>
      <c r="N807" s="33"/>
      <c r="O807" s="31"/>
      <c r="P807" s="29" t="str">
        <f t="shared" si="102"/>
        <v/>
      </c>
      <c r="Q807" s="29" t="str">
        <f t="shared" si="103"/>
        <v/>
      </c>
      <c r="R807" s="33"/>
    </row>
    <row r="808" spans="1:18" x14ac:dyDescent="0.25">
      <c r="A808" s="31"/>
      <c r="B808" s="34" t="str">
        <f t="shared" si="96"/>
        <v/>
      </c>
      <c r="C808" s="30"/>
      <c r="D808" s="10"/>
      <c r="E808" s="30"/>
      <c r="F808" s="36" t="str">
        <f t="shared" si="97"/>
        <v/>
      </c>
      <c r="G808" s="36" t="str">
        <f t="shared" si="98"/>
        <v/>
      </c>
      <c r="H808" s="36" t="str">
        <f t="shared" si="99"/>
        <v/>
      </c>
      <c r="I808" s="34" t="str">
        <f t="shared" si="100"/>
        <v/>
      </c>
      <c r="J808" s="35" t="str">
        <f t="shared" si="101"/>
        <v/>
      </c>
      <c r="K808" s="49"/>
      <c r="L808" s="30"/>
      <c r="M808" s="31"/>
      <c r="N808" s="33"/>
      <c r="O808" s="31"/>
      <c r="P808" s="29" t="str">
        <f t="shared" si="102"/>
        <v/>
      </c>
      <c r="Q808" s="29" t="str">
        <f t="shared" si="103"/>
        <v/>
      </c>
      <c r="R808" s="33"/>
    </row>
    <row r="809" spans="1:18" x14ac:dyDescent="0.25">
      <c r="A809" s="31"/>
      <c r="B809" s="34" t="str">
        <f t="shared" si="96"/>
        <v/>
      </c>
      <c r="C809" s="30"/>
      <c r="D809" s="10"/>
      <c r="E809" s="30"/>
      <c r="F809" s="36" t="str">
        <f t="shared" si="97"/>
        <v/>
      </c>
      <c r="G809" s="36" t="str">
        <f t="shared" si="98"/>
        <v/>
      </c>
      <c r="H809" s="36" t="str">
        <f t="shared" si="99"/>
        <v/>
      </c>
      <c r="I809" s="34" t="str">
        <f t="shared" si="100"/>
        <v/>
      </c>
      <c r="J809" s="35" t="str">
        <f t="shared" si="101"/>
        <v/>
      </c>
      <c r="K809" s="49"/>
      <c r="L809" s="30"/>
      <c r="M809" s="31"/>
      <c r="N809" s="33"/>
      <c r="O809" s="31"/>
      <c r="P809" s="29" t="str">
        <f t="shared" si="102"/>
        <v/>
      </c>
      <c r="Q809" s="29" t="str">
        <f t="shared" si="103"/>
        <v/>
      </c>
      <c r="R809" s="33"/>
    </row>
    <row r="810" spans="1:18" x14ac:dyDescent="0.25">
      <c r="A810" s="31"/>
      <c r="B810" s="34" t="str">
        <f t="shared" si="96"/>
        <v/>
      </c>
      <c r="C810" s="30"/>
      <c r="D810" s="10"/>
      <c r="E810" s="30"/>
      <c r="F810" s="36" t="str">
        <f t="shared" si="97"/>
        <v/>
      </c>
      <c r="G810" s="36" t="str">
        <f t="shared" si="98"/>
        <v/>
      </c>
      <c r="H810" s="36" t="str">
        <f t="shared" si="99"/>
        <v/>
      </c>
      <c r="I810" s="34" t="str">
        <f t="shared" si="100"/>
        <v/>
      </c>
      <c r="J810" s="35" t="str">
        <f t="shared" si="101"/>
        <v/>
      </c>
      <c r="K810" s="49"/>
      <c r="L810" s="30"/>
      <c r="M810" s="31"/>
      <c r="N810" s="33"/>
      <c r="O810" s="31"/>
      <c r="P810" s="29" t="str">
        <f t="shared" si="102"/>
        <v/>
      </c>
      <c r="Q810" s="29" t="str">
        <f t="shared" si="103"/>
        <v/>
      </c>
      <c r="R810" s="33"/>
    </row>
    <row r="811" spans="1:18" x14ac:dyDescent="0.25">
      <c r="A811" s="31"/>
      <c r="B811" s="34" t="str">
        <f t="shared" si="96"/>
        <v/>
      </c>
      <c r="C811" s="30"/>
      <c r="D811" s="10"/>
      <c r="E811" s="30"/>
      <c r="F811" s="36" t="str">
        <f t="shared" si="97"/>
        <v/>
      </c>
      <c r="G811" s="36" t="str">
        <f t="shared" si="98"/>
        <v/>
      </c>
      <c r="H811" s="36" t="str">
        <f t="shared" si="99"/>
        <v/>
      </c>
      <c r="I811" s="34" t="str">
        <f t="shared" si="100"/>
        <v/>
      </c>
      <c r="J811" s="35" t="str">
        <f t="shared" si="101"/>
        <v/>
      </c>
      <c r="K811" s="49"/>
      <c r="L811" s="30"/>
      <c r="M811" s="31"/>
      <c r="N811" s="33"/>
      <c r="O811" s="31"/>
      <c r="P811" s="29" t="str">
        <f t="shared" si="102"/>
        <v/>
      </c>
      <c r="Q811" s="29" t="str">
        <f t="shared" si="103"/>
        <v/>
      </c>
      <c r="R811" s="33"/>
    </row>
    <row r="812" spans="1:18" x14ac:dyDescent="0.25">
      <c r="A812" s="31"/>
      <c r="B812" s="34" t="str">
        <f t="shared" si="96"/>
        <v/>
      </c>
      <c r="C812" s="30"/>
      <c r="D812" s="10"/>
      <c r="E812" s="30"/>
      <c r="F812" s="36" t="str">
        <f t="shared" si="97"/>
        <v/>
      </c>
      <c r="G812" s="36" t="str">
        <f t="shared" si="98"/>
        <v/>
      </c>
      <c r="H812" s="36" t="str">
        <f t="shared" si="99"/>
        <v/>
      </c>
      <c r="I812" s="34" t="str">
        <f t="shared" si="100"/>
        <v/>
      </c>
      <c r="J812" s="35" t="str">
        <f t="shared" si="101"/>
        <v/>
      </c>
      <c r="K812" s="49"/>
      <c r="L812" s="30"/>
      <c r="M812" s="31"/>
      <c r="N812" s="33"/>
      <c r="O812" s="31"/>
      <c r="P812" s="29" t="str">
        <f t="shared" si="102"/>
        <v/>
      </c>
      <c r="Q812" s="29" t="str">
        <f t="shared" si="103"/>
        <v/>
      </c>
      <c r="R812" s="33"/>
    </row>
    <row r="813" spans="1:18" x14ac:dyDescent="0.25">
      <c r="A813" s="31"/>
      <c r="B813" s="34" t="str">
        <f t="shared" si="96"/>
        <v/>
      </c>
      <c r="C813" s="30"/>
      <c r="D813" s="10"/>
      <c r="E813" s="30"/>
      <c r="F813" s="36" t="str">
        <f t="shared" si="97"/>
        <v/>
      </c>
      <c r="G813" s="36" t="str">
        <f t="shared" si="98"/>
        <v/>
      </c>
      <c r="H813" s="36" t="str">
        <f t="shared" si="99"/>
        <v/>
      </c>
      <c r="I813" s="34" t="str">
        <f t="shared" si="100"/>
        <v/>
      </c>
      <c r="J813" s="35" t="str">
        <f t="shared" si="101"/>
        <v/>
      </c>
      <c r="K813" s="49"/>
      <c r="L813" s="30"/>
      <c r="M813" s="31"/>
      <c r="N813" s="33"/>
      <c r="O813" s="31"/>
      <c r="P813" s="29" t="str">
        <f t="shared" si="102"/>
        <v/>
      </c>
      <c r="Q813" s="29" t="str">
        <f t="shared" si="103"/>
        <v/>
      </c>
      <c r="R813" s="33"/>
    </row>
    <row r="814" spans="1:18" x14ac:dyDescent="0.25">
      <c r="A814" s="31"/>
      <c r="B814" s="34" t="str">
        <f t="shared" si="96"/>
        <v/>
      </c>
      <c r="C814" s="30"/>
      <c r="D814" s="10"/>
      <c r="E814" s="30"/>
      <c r="F814" s="36" t="str">
        <f t="shared" si="97"/>
        <v/>
      </c>
      <c r="G814" s="36" t="str">
        <f t="shared" si="98"/>
        <v/>
      </c>
      <c r="H814" s="36" t="str">
        <f t="shared" si="99"/>
        <v/>
      </c>
      <c r="I814" s="34" t="str">
        <f t="shared" si="100"/>
        <v/>
      </c>
      <c r="J814" s="35" t="str">
        <f t="shared" si="101"/>
        <v/>
      </c>
      <c r="K814" s="49"/>
      <c r="L814" s="30"/>
      <c r="M814" s="31"/>
      <c r="N814" s="33"/>
      <c r="O814" s="31"/>
      <c r="P814" s="29" t="str">
        <f t="shared" si="102"/>
        <v/>
      </c>
      <c r="Q814" s="29" t="str">
        <f t="shared" si="103"/>
        <v/>
      </c>
      <c r="R814" s="33"/>
    </row>
    <row r="815" spans="1:18" x14ac:dyDescent="0.25">
      <c r="A815" s="31"/>
      <c r="B815" s="34" t="str">
        <f t="shared" si="96"/>
        <v/>
      </c>
      <c r="C815" s="30"/>
      <c r="D815" s="10"/>
      <c r="E815" s="30"/>
      <c r="F815" s="36" t="str">
        <f t="shared" si="97"/>
        <v/>
      </c>
      <c r="G815" s="36" t="str">
        <f t="shared" si="98"/>
        <v/>
      </c>
      <c r="H815" s="36" t="str">
        <f t="shared" si="99"/>
        <v/>
      </c>
      <c r="I815" s="34" t="str">
        <f t="shared" si="100"/>
        <v/>
      </c>
      <c r="J815" s="35" t="str">
        <f t="shared" si="101"/>
        <v/>
      </c>
      <c r="K815" s="49"/>
      <c r="L815" s="30"/>
      <c r="M815" s="31"/>
      <c r="N815" s="33"/>
      <c r="O815" s="31"/>
      <c r="P815" s="29" t="str">
        <f t="shared" si="102"/>
        <v/>
      </c>
      <c r="Q815" s="29" t="str">
        <f t="shared" si="103"/>
        <v/>
      </c>
      <c r="R815" s="33"/>
    </row>
    <row r="816" spans="1:18" x14ac:dyDescent="0.25">
      <c r="A816" s="31"/>
      <c r="B816" s="34" t="str">
        <f t="shared" si="96"/>
        <v/>
      </c>
      <c r="C816" s="30"/>
      <c r="D816" s="10"/>
      <c r="E816" s="30"/>
      <c r="F816" s="36" t="str">
        <f t="shared" si="97"/>
        <v/>
      </c>
      <c r="G816" s="36" t="str">
        <f t="shared" si="98"/>
        <v/>
      </c>
      <c r="H816" s="36" t="str">
        <f t="shared" si="99"/>
        <v/>
      </c>
      <c r="I816" s="34" t="str">
        <f t="shared" si="100"/>
        <v/>
      </c>
      <c r="J816" s="35" t="str">
        <f t="shared" si="101"/>
        <v/>
      </c>
      <c r="K816" s="49"/>
      <c r="L816" s="30"/>
      <c r="M816" s="31"/>
      <c r="N816" s="33"/>
      <c r="O816" s="31"/>
      <c r="P816" s="29" t="str">
        <f t="shared" si="102"/>
        <v/>
      </c>
      <c r="Q816" s="29" t="str">
        <f t="shared" si="103"/>
        <v/>
      </c>
      <c r="R816" s="33"/>
    </row>
    <row r="817" spans="1:18" x14ac:dyDescent="0.25">
      <c r="A817" s="31"/>
      <c r="B817" s="34" t="str">
        <f t="shared" si="96"/>
        <v/>
      </c>
      <c r="C817" s="30"/>
      <c r="D817" s="10"/>
      <c r="E817" s="30"/>
      <c r="F817" s="36" t="str">
        <f t="shared" si="97"/>
        <v/>
      </c>
      <c r="G817" s="36" t="str">
        <f t="shared" si="98"/>
        <v/>
      </c>
      <c r="H817" s="36" t="str">
        <f t="shared" si="99"/>
        <v/>
      </c>
      <c r="I817" s="34" t="str">
        <f t="shared" si="100"/>
        <v/>
      </c>
      <c r="J817" s="35" t="str">
        <f t="shared" si="101"/>
        <v/>
      </c>
      <c r="K817" s="49"/>
      <c r="L817" s="30"/>
      <c r="M817" s="31"/>
      <c r="N817" s="33"/>
      <c r="O817" s="31"/>
      <c r="P817" s="29" t="str">
        <f t="shared" si="102"/>
        <v/>
      </c>
      <c r="Q817" s="29" t="str">
        <f t="shared" si="103"/>
        <v/>
      </c>
      <c r="R817" s="33"/>
    </row>
    <row r="818" spans="1:18" x14ac:dyDescent="0.25">
      <c r="A818" s="31"/>
      <c r="B818" s="34" t="str">
        <f t="shared" si="96"/>
        <v/>
      </c>
      <c r="C818" s="30"/>
      <c r="D818" s="10"/>
      <c r="E818" s="30"/>
      <c r="F818" s="36" t="str">
        <f t="shared" si="97"/>
        <v/>
      </c>
      <c r="G818" s="36" t="str">
        <f t="shared" si="98"/>
        <v/>
      </c>
      <c r="H818" s="36" t="str">
        <f t="shared" si="99"/>
        <v/>
      </c>
      <c r="I818" s="34" t="str">
        <f t="shared" si="100"/>
        <v/>
      </c>
      <c r="J818" s="35" t="str">
        <f t="shared" si="101"/>
        <v/>
      </c>
      <c r="K818" s="49"/>
      <c r="L818" s="30"/>
      <c r="M818" s="31"/>
      <c r="N818" s="33"/>
      <c r="O818" s="31"/>
      <c r="P818" s="29" t="str">
        <f t="shared" si="102"/>
        <v/>
      </c>
      <c r="Q818" s="29" t="str">
        <f t="shared" si="103"/>
        <v/>
      </c>
      <c r="R818" s="33"/>
    </row>
    <row r="819" spans="1:18" x14ac:dyDescent="0.25">
      <c r="A819" s="31"/>
      <c r="B819" s="34" t="str">
        <f t="shared" si="96"/>
        <v/>
      </c>
      <c r="C819" s="30"/>
      <c r="D819" s="10"/>
      <c r="E819" s="30"/>
      <c r="F819" s="36" t="str">
        <f t="shared" si="97"/>
        <v/>
      </c>
      <c r="G819" s="36" t="str">
        <f t="shared" si="98"/>
        <v/>
      </c>
      <c r="H819" s="36" t="str">
        <f t="shared" si="99"/>
        <v/>
      </c>
      <c r="I819" s="34" t="str">
        <f t="shared" si="100"/>
        <v/>
      </c>
      <c r="J819" s="35" t="str">
        <f t="shared" si="101"/>
        <v/>
      </c>
      <c r="K819" s="49"/>
      <c r="L819" s="30"/>
      <c r="M819" s="31"/>
      <c r="N819" s="33"/>
      <c r="O819" s="31"/>
      <c r="P819" s="29" t="str">
        <f t="shared" si="102"/>
        <v/>
      </c>
      <c r="Q819" s="29" t="str">
        <f t="shared" si="103"/>
        <v/>
      </c>
      <c r="R819" s="33"/>
    </row>
    <row r="820" spans="1:18" x14ac:dyDescent="0.25">
      <c r="A820" s="31"/>
      <c r="B820" s="34" t="str">
        <f t="shared" si="96"/>
        <v/>
      </c>
      <c r="C820" s="30"/>
      <c r="D820" s="10"/>
      <c r="E820" s="30"/>
      <c r="F820" s="36" t="str">
        <f t="shared" si="97"/>
        <v/>
      </c>
      <c r="G820" s="36" t="str">
        <f t="shared" si="98"/>
        <v/>
      </c>
      <c r="H820" s="36" t="str">
        <f t="shared" si="99"/>
        <v/>
      </c>
      <c r="I820" s="34" t="str">
        <f t="shared" si="100"/>
        <v/>
      </c>
      <c r="J820" s="35" t="str">
        <f t="shared" si="101"/>
        <v/>
      </c>
      <c r="K820" s="49"/>
      <c r="L820" s="30"/>
      <c r="M820" s="31"/>
      <c r="N820" s="33"/>
      <c r="O820" s="31"/>
      <c r="P820" s="29" t="str">
        <f t="shared" si="102"/>
        <v/>
      </c>
      <c r="Q820" s="29" t="str">
        <f t="shared" si="103"/>
        <v/>
      </c>
      <c r="R820" s="33"/>
    </row>
    <row r="821" spans="1:18" x14ac:dyDescent="0.25">
      <c r="A821" s="31"/>
      <c r="B821" s="34" t="str">
        <f t="shared" si="96"/>
        <v/>
      </c>
      <c r="C821" s="30"/>
      <c r="D821" s="10"/>
      <c r="E821" s="30"/>
      <c r="F821" s="36" t="str">
        <f t="shared" si="97"/>
        <v/>
      </c>
      <c r="G821" s="36" t="str">
        <f t="shared" si="98"/>
        <v/>
      </c>
      <c r="H821" s="36" t="str">
        <f t="shared" si="99"/>
        <v/>
      </c>
      <c r="I821" s="34" t="str">
        <f t="shared" si="100"/>
        <v/>
      </c>
      <c r="J821" s="35" t="str">
        <f t="shared" si="101"/>
        <v/>
      </c>
      <c r="K821" s="49"/>
      <c r="L821" s="30"/>
      <c r="M821" s="31"/>
      <c r="N821" s="33"/>
      <c r="O821" s="31"/>
      <c r="P821" s="29" t="str">
        <f t="shared" si="102"/>
        <v/>
      </c>
      <c r="Q821" s="29" t="str">
        <f t="shared" si="103"/>
        <v/>
      </c>
      <c r="R821" s="33"/>
    </row>
    <row r="822" spans="1:18" x14ac:dyDescent="0.25">
      <c r="A822" s="31"/>
      <c r="B822" s="34" t="str">
        <f t="shared" si="96"/>
        <v/>
      </c>
      <c r="C822" s="30"/>
      <c r="D822" s="10"/>
      <c r="E822" s="30"/>
      <c r="F822" s="36" t="str">
        <f t="shared" si="97"/>
        <v/>
      </c>
      <c r="G822" s="36" t="str">
        <f t="shared" si="98"/>
        <v/>
      </c>
      <c r="H822" s="36" t="str">
        <f t="shared" si="99"/>
        <v/>
      </c>
      <c r="I822" s="34" t="str">
        <f t="shared" si="100"/>
        <v/>
      </c>
      <c r="J822" s="35" t="str">
        <f t="shared" si="101"/>
        <v/>
      </c>
      <c r="K822" s="49"/>
      <c r="L822" s="30"/>
      <c r="M822" s="31"/>
      <c r="N822" s="33"/>
      <c r="O822" s="31"/>
      <c r="P822" s="29" t="str">
        <f t="shared" si="102"/>
        <v/>
      </c>
      <c r="Q822" s="29" t="str">
        <f t="shared" si="103"/>
        <v/>
      </c>
      <c r="R822" s="33"/>
    </row>
    <row r="823" spans="1:18" x14ac:dyDescent="0.25">
      <c r="A823" s="31"/>
      <c r="B823" s="34" t="str">
        <f t="shared" si="96"/>
        <v/>
      </c>
      <c r="C823" s="30"/>
      <c r="D823" s="10"/>
      <c r="E823" s="30"/>
      <c r="F823" s="36" t="str">
        <f t="shared" si="97"/>
        <v/>
      </c>
      <c r="G823" s="36" t="str">
        <f t="shared" si="98"/>
        <v/>
      </c>
      <c r="H823" s="36" t="str">
        <f t="shared" si="99"/>
        <v/>
      </c>
      <c r="I823" s="34" t="str">
        <f t="shared" si="100"/>
        <v/>
      </c>
      <c r="J823" s="35" t="str">
        <f t="shared" si="101"/>
        <v/>
      </c>
      <c r="K823" s="49"/>
      <c r="L823" s="30"/>
      <c r="M823" s="31"/>
      <c r="N823" s="33"/>
      <c r="O823" s="31"/>
      <c r="P823" s="29" t="str">
        <f t="shared" si="102"/>
        <v/>
      </c>
      <c r="Q823" s="29" t="str">
        <f t="shared" si="103"/>
        <v/>
      </c>
      <c r="R823" s="33"/>
    </row>
    <row r="824" spans="1:18" x14ac:dyDescent="0.25">
      <c r="A824" s="31"/>
      <c r="B824" s="34" t="str">
        <f t="shared" si="96"/>
        <v/>
      </c>
      <c r="C824" s="30"/>
      <c r="D824" s="10"/>
      <c r="E824" s="30"/>
      <c r="F824" s="36" t="str">
        <f t="shared" si="97"/>
        <v/>
      </c>
      <c r="G824" s="36" t="str">
        <f t="shared" si="98"/>
        <v/>
      </c>
      <c r="H824" s="36" t="str">
        <f t="shared" si="99"/>
        <v/>
      </c>
      <c r="I824" s="34" t="str">
        <f t="shared" si="100"/>
        <v/>
      </c>
      <c r="J824" s="35" t="str">
        <f t="shared" si="101"/>
        <v/>
      </c>
      <c r="K824" s="49"/>
      <c r="L824" s="30"/>
      <c r="M824" s="31"/>
      <c r="N824" s="33"/>
      <c r="O824" s="31"/>
      <c r="P824" s="29" t="str">
        <f t="shared" si="102"/>
        <v/>
      </c>
      <c r="Q824" s="29" t="str">
        <f t="shared" si="103"/>
        <v/>
      </c>
      <c r="R824" s="33"/>
    </row>
    <row r="825" spans="1:18" x14ac:dyDescent="0.25">
      <c r="A825" s="31"/>
      <c r="B825" s="34" t="str">
        <f t="shared" si="96"/>
        <v/>
      </c>
      <c r="C825" s="30"/>
      <c r="D825" s="10"/>
      <c r="E825" s="30"/>
      <c r="F825" s="36" t="str">
        <f t="shared" si="97"/>
        <v/>
      </c>
      <c r="G825" s="36" t="str">
        <f t="shared" si="98"/>
        <v/>
      </c>
      <c r="H825" s="36" t="str">
        <f t="shared" si="99"/>
        <v/>
      </c>
      <c r="I825" s="34" t="str">
        <f t="shared" si="100"/>
        <v/>
      </c>
      <c r="J825" s="35" t="str">
        <f t="shared" si="101"/>
        <v/>
      </c>
      <c r="K825" s="49"/>
      <c r="L825" s="30"/>
      <c r="M825" s="31"/>
      <c r="N825" s="33"/>
      <c r="O825" s="31"/>
      <c r="P825" s="29" t="str">
        <f t="shared" si="102"/>
        <v/>
      </c>
      <c r="Q825" s="29" t="str">
        <f t="shared" si="103"/>
        <v/>
      </c>
      <c r="R825" s="33"/>
    </row>
    <row r="826" spans="1:18" x14ac:dyDescent="0.25">
      <c r="A826" s="31"/>
      <c r="B826" s="34" t="str">
        <f t="shared" si="96"/>
        <v/>
      </c>
      <c r="C826" s="30"/>
      <c r="D826" s="10"/>
      <c r="E826" s="30"/>
      <c r="F826" s="36" t="str">
        <f t="shared" si="97"/>
        <v/>
      </c>
      <c r="G826" s="36" t="str">
        <f t="shared" si="98"/>
        <v/>
      </c>
      <c r="H826" s="36" t="str">
        <f t="shared" si="99"/>
        <v/>
      </c>
      <c r="I826" s="34" t="str">
        <f t="shared" si="100"/>
        <v/>
      </c>
      <c r="J826" s="35" t="str">
        <f t="shared" si="101"/>
        <v/>
      </c>
      <c r="K826" s="49"/>
      <c r="L826" s="30"/>
      <c r="M826" s="31"/>
      <c r="N826" s="33"/>
      <c r="O826" s="31"/>
      <c r="P826" s="29" t="str">
        <f t="shared" si="102"/>
        <v/>
      </c>
      <c r="Q826" s="29" t="str">
        <f t="shared" si="103"/>
        <v/>
      </c>
      <c r="R826" s="33"/>
    </row>
    <row r="827" spans="1:18" x14ac:dyDescent="0.25">
      <c r="A827" s="31"/>
      <c r="B827" s="34" t="str">
        <f t="shared" si="96"/>
        <v/>
      </c>
      <c r="C827" s="30"/>
      <c r="D827" s="10"/>
      <c r="E827" s="30"/>
      <c r="F827" s="36" t="str">
        <f t="shared" si="97"/>
        <v/>
      </c>
      <c r="G827" s="36" t="str">
        <f t="shared" si="98"/>
        <v/>
      </c>
      <c r="H827" s="36" t="str">
        <f t="shared" si="99"/>
        <v/>
      </c>
      <c r="I827" s="34" t="str">
        <f t="shared" si="100"/>
        <v/>
      </c>
      <c r="J827" s="35" t="str">
        <f t="shared" si="101"/>
        <v/>
      </c>
      <c r="K827" s="49"/>
      <c r="L827" s="30"/>
      <c r="M827" s="31"/>
      <c r="N827" s="33"/>
      <c r="O827" s="31"/>
      <c r="P827" s="29" t="str">
        <f t="shared" si="102"/>
        <v/>
      </c>
      <c r="Q827" s="29" t="str">
        <f t="shared" si="103"/>
        <v/>
      </c>
      <c r="R827" s="33"/>
    </row>
    <row r="828" spans="1:18" x14ac:dyDescent="0.25">
      <c r="A828" s="31"/>
      <c r="B828" s="34" t="str">
        <f t="shared" si="96"/>
        <v/>
      </c>
      <c r="C828" s="30"/>
      <c r="D828" s="10"/>
      <c r="E828" s="30"/>
      <c r="F828" s="36" t="str">
        <f t="shared" si="97"/>
        <v/>
      </c>
      <c r="G828" s="36" t="str">
        <f t="shared" si="98"/>
        <v/>
      </c>
      <c r="H828" s="36" t="str">
        <f t="shared" si="99"/>
        <v/>
      </c>
      <c r="I828" s="34" t="str">
        <f t="shared" si="100"/>
        <v/>
      </c>
      <c r="J828" s="35" t="str">
        <f t="shared" si="101"/>
        <v/>
      </c>
      <c r="K828" s="49"/>
      <c r="L828" s="30"/>
      <c r="M828" s="31"/>
      <c r="N828" s="33"/>
      <c r="O828" s="31"/>
      <c r="P828" s="29" t="str">
        <f t="shared" si="102"/>
        <v/>
      </c>
      <c r="Q828" s="29" t="str">
        <f t="shared" si="103"/>
        <v/>
      </c>
      <c r="R828" s="33"/>
    </row>
    <row r="829" spans="1:18" x14ac:dyDescent="0.25">
      <c r="A829" s="31"/>
      <c r="B829" s="34" t="str">
        <f t="shared" si="96"/>
        <v/>
      </c>
      <c r="C829" s="30"/>
      <c r="D829" s="10"/>
      <c r="E829" s="30"/>
      <c r="F829" s="36" t="str">
        <f t="shared" si="97"/>
        <v/>
      </c>
      <c r="G829" s="36" t="str">
        <f t="shared" si="98"/>
        <v/>
      </c>
      <c r="H829" s="36" t="str">
        <f t="shared" si="99"/>
        <v/>
      </c>
      <c r="I829" s="34" t="str">
        <f t="shared" si="100"/>
        <v/>
      </c>
      <c r="J829" s="35" t="str">
        <f t="shared" si="101"/>
        <v/>
      </c>
      <c r="K829" s="49"/>
      <c r="L829" s="30"/>
      <c r="M829" s="31"/>
      <c r="N829" s="33"/>
      <c r="O829" s="31"/>
      <c r="P829" s="29" t="str">
        <f t="shared" si="102"/>
        <v/>
      </c>
      <c r="Q829" s="29" t="str">
        <f t="shared" si="103"/>
        <v/>
      </c>
      <c r="R829" s="33"/>
    </row>
    <row r="830" spans="1:18" x14ac:dyDescent="0.25">
      <c r="A830" s="31"/>
      <c r="B830" s="34" t="str">
        <f t="shared" si="96"/>
        <v/>
      </c>
      <c r="C830" s="30"/>
      <c r="D830" s="10"/>
      <c r="E830" s="30"/>
      <c r="F830" s="36" t="str">
        <f t="shared" si="97"/>
        <v/>
      </c>
      <c r="G830" s="36" t="str">
        <f t="shared" si="98"/>
        <v/>
      </c>
      <c r="H830" s="36" t="str">
        <f t="shared" si="99"/>
        <v/>
      </c>
      <c r="I830" s="34" t="str">
        <f t="shared" si="100"/>
        <v/>
      </c>
      <c r="J830" s="35" t="str">
        <f t="shared" si="101"/>
        <v/>
      </c>
      <c r="K830" s="49"/>
      <c r="L830" s="30"/>
      <c r="M830" s="31"/>
      <c r="N830" s="33"/>
      <c r="O830" s="31"/>
      <c r="P830" s="29" t="str">
        <f t="shared" si="102"/>
        <v/>
      </c>
      <c r="Q830" s="29" t="str">
        <f t="shared" si="103"/>
        <v/>
      </c>
      <c r="R830" s="33"/>
    </row>
    <row r="831" spans="1:18" x14ac:dyDescent="0.25">
      <c r="A831" s="31"/>
      <c r="B831" s="34" t="str">
        <f t="shared" si="96"/>
        <v/>
      </c>
      <c r="C831" s="30"/>
      <c r="D831" s="10"/>
      <c r="E831" s="30"/>
      <c r="F831" s="36" t="str">
        <f t="shared" si="97"/>
        <v/>
      </c>
      <c r="G831" s="36" t="str">
        <f t="shared" si="98"/>
        <v/>
      </c>
      <c r="H831" s="36" t="str">
        <f t="shared" si="99"/>
        <v/>
      </c>
      <c r="I831" s="34" t="str">
        <f t="shared" si="100"/>
        <v/>
      </c>
      <c r="J831" s="35" t="str">
        <f t="shared" si="101"/>
        <v/>
      </c>
      <c r="K831" s="49"/>
      <c r="L831" s="30"/>
      <c r="M831" s="31"/>
      <c r="N831" s="33"/>
      <c r="O831" s="31"/>
      <c r="P831" s="29" t="str">
        <f t="shared" si="102"/>
        <v/>
      </c>
      <c r="Q831" s="29" t="str">
        <f t="shared" si="103"/>
        <v/>
      </c>
      <c r="R831" s="33"/>
    </row>
    <row r="832" spans="1:18" x14ac:dyDescent="0.25">
      <c r="A832" s="31"/>
      <c r="B832" s="34" t="str">
        <f t="shared" si="96"/>
        <v/>
      </c>
      <c r="C832" s="30"/>
      <c r="D832" s="10"/>
      <c r="E832" s="30"/>
      <c r="F832" s="36" t="str">
        <f t="shared" si="97"/>
        <v/>
      </c>
      <c r="G832" s="36" t="str">
        <f t="shared" si="98"/>
        <v/>
      </c>
      <c r="H832" s="36" t="str">
        <f t="shared" si="99"/>
        <v/>
      </c>
      <c r="I832" s="34" t="str">
        <f t="shared" si="100"/>
        <v/>
      </c>
      <c r="J832" s="35" t="str">
        <f t="shared" si="101"/>
        <v/>
      </c>
      <c r="K832" s="49"/>
      <c r="L832" s="30"/>
      <c r="M832" s="31"/>
      <c r="N832" s="33"/>
      <c r="O832" s="31"/>
      <c r="P832" s="29" t="str">
        <f t="shared" si="102"/>
        <v/>
      </c>
      <c r="Q832" s="29" t="str">
        <f t="shared" si="103"/>
        <v/>
      </c>
      <c r="R832" s="33"/>
    </row>
    <row r="833" spans="1:18" x14ac:dyDescent="0.25">
      <c r="A833" s="31"/>
      <c r="B833" s="34" t="str">
        <f t="shared" si="96"/>
        <v/>
      </c>
      <c r="C833" s="30"/>
      <c r="D833" s="10"/>
      <c r="E833" s="30"/>
      <c r="F833" s="36" t="str">
        <f t="shared" si="97"/>
        <v/>
      </c>
      <c r="G833" s="36" t="str">
        <f t="shared" si="98"/>
        <v/>
      </c>
      <c r="H833" s="36" t="str">
        <f t="shared" si="99"/>
        <v/>
      </c>
      <c r="I833" s="34" t="str">
        <f t="shared" si="100"/>
        <v/>
      </c>
      <c r="J833" s="35" t="str">
        <f t="shared" si="101"/>
        <v/>
      </c>
      <c r="K833" s="49"/>
      <c r="L833" s="30"/>
      <c r="M833" s="31"/>
      <c r="N833" s="33"/>
      <c r="O833" s="31"/>
      <c r="P833" s="29" t="str">
        <f t="shared" si="102"/>
        <v/>
      </c>
      <c r="Q833" s="29" t="str">
        <f t="shared" si="103"/>
        <v/>
      </c>
      <c r="R833" s="33"/>
    </row>
    <row r="834" spans="1:18" x14ac:dyDescent="0.25">
      <c r="A834" s="31"/>
      <c r="B834" s="34" t="str">
        <f t="shared" si="96"/>
        <v/>
      </c>
      <c r="C834" s="30"/>
      <c r="D834" s="10"/>
      <c r="E834" s="30"/>
      <c r="F834" s="36" t="str">
        <f t="shared" si="97"/>
        <v/>
      </c>
      <c r="G834" s="36" t="str">
        <f t="shared" si="98"/>
        <v/>
      </c>
      <c r="H834" s="36" t="str">
        <f t="shared" si="99"/>
        <v/>
      </c>
      <c r="I834" s="34" t="str">
        <f t="shared" si="100"/>
        <v/>
      </c>
      <c r="J834" s="35" t="str">
        <f t="shared" si="101"/>
        <v/>
      </c>
      <c r="K834" s="49"/>
      <c r="L834" s="30"/>
      <c r="M834" s="31"/>
      <c r="N834" s="33"/>
      <c r="O834" s="31"/>
      <c r="P834" s="29" t="str">
        <f t="shared" si="102"/>
        <v/>
      </c>
      <c r="Q834" s="29" t="str">
        <f t="shared" si="103"/>
        <v/>
      </c>
      <c r="R834" s="33"/>
    </row>
    <row r="835" spans="1:18" x14ac:dyDescent="0.25">
      <c r="A835" s="31"/>
      <c r="B835" s="34" t="str">
        <f t="shared" si="96"/>
        <v/>
      </c>
      <c r="C835" s="30"/>
      <c r="D835" s="10"/>
      <c r="E835" s="30"/>
      <c r="F835" s="36" t="str">
        <f t="shared" si="97"/>
        <v/>
      </c>
      <c r="G835" s="36" t="str">
        <f t="shared" si="98"/>
        <v/>
      </c>
      <c r="H835" s="36" t="str">
        <f t="shared" si="99"/>
        <v/>
      </c>
      <c r="I835" s="34" t="str">
        <f t="shared" si="100"/>
        <v/>
      </c>
      <c r="J835" s="35" t="str">
        <f t="shared" si="101"/>
        <v/>
      </c>
      <c r="K835" s="49"/>
      <c r="L835" s="30"/>
      <c r="M835" s="31"/>
      <c r="N835" s="33"/>
      <c r="O835" s="31"/>
      <c r="P835" s="29" t="str">
        <f t="shared" si="102"/>
        <v/>
      </c>
      <c r="Q835" s="29" t="str">
        <f t="shared" si="103"/>
        <v/>
      </c>
      <c r="R835" s="33"/>
    </row>
    <row r="836" spans="1:18" x14ac:dyDescent="0.25">
      <c r="A836" s="31"/>
      <c r="B836" s="34" t="str">
        <f t="shared" si="96"/>
        <v/>
      </c>
      <c r="C836" s="30"/>
      <c r="D836" s="10"/>
      <c r="E836" s="30"/>
      <c r="F836" s="36" t="str">
        <f t="shared" si="97"/>
        <v/>
      </c>
      <c r="G836" s="36" t="str">
        <f t="shared" si="98"/>
        <v/>
      </c>
      <c r="H836" s="36" t="str">
        <f t="shared" si="99"/>
        <v/>
      </c>
      <c r="I836" s="34" t="str">
        <f t="shared" si="100"/>
        <v/>
      </c>
      <c r="J836" s="35" t="str">
        <f t="shared" si="101"/>
        <v/>
      </c>
      <c r="K836" s="49"/>
      <c r="L836" s="30"/>
      <c r="M836" s="31"/>
      <c r="N836" s="33"/>
      <c r="O836" s="31"/>
      <c r="P836" s="29" t="str">
        <f t="shared" si="102"/>
        <v/>
      </c>
      <c r="Q836" s="29" t="str">
        <f t="shared" si="103"/>
        <v/>
      </c>
      <c r="R836" s="33"/>
    </row>
    <row r="837" spans="1:18" x14ac:dyDescent="0.25">
      <c r="A837" s="31"/>
      <c r="B837" s="34" t="str">
        <f t="shared" ref="B837:B904" si="104">IFERROR(IF($E837="","",VLOOKUP($E837,CAD_TAB,2,FALSE)),"")</f>
        <v/>
      </c>
      <c r="C837" s="30"/>
      <c r="D837" s="10"/>
      <c r="E837" s="30"/>
      <c r="F837" s="36" t="str">
        <f t="shared" ref="F837:F904" si="105">IFERROR(IF($E837="","",VLOOKUP($E837,CAD_TAB,8,FALSE)),"")</f>
        <v/>
      </c>
      <c r="G837" s="36" t="str">
        <f t="shared" ref="G837:G904" si="106">IFERROR(IF($E837="","",VLOOKUP($E837,CAD_TAB,9,FALSE)),"")</f>
        <v/>
      </c>
      <c r="H837" s="36" t="str">
        <f t="shared" ref="H837:H904" si="107">IFERROR(IF($E837="","",VLOOKUP($E837,CAD_TAB,11,FALSE)),"")</f>
        <v/>
      </c>
      <c r="I837" s="34" t="str">
        <f t="shared" ref="I837:I904" si="108">IFERROR(IF($E837="","",VLOOKUP($E837,CAD_TAB,7,FALSE)),"")</f>
        <v/>
      </c>
      <c r="J837" s="35" t="str">
        <f t="shared" ref="J837:J904" si="109">IFERROR(IF($E837="","",VLOOKUP($E837,CAD_TAB,6,FALSE)),"")</f>
        <v/>
      </c>
      <c r="K837" s="49"/>
      <c r="L837" s="30"/>
      <c r="M837" s="31"/>
      <c r="N837" s="33"/>
      <c r="O837" s="31"/>
      <c r="P837" s="29" t="str">
        <f t="shared" ref="P837:P904" si="110">IF($E837="","",IF($L837="SIM","EXECUTADO",IF($O837&lt;&gt;"","REPROGRAMADO",IF($L837="NÃO","NÃO EXECUTADO","PROGRAMADO"))))</f>
        <v/>
      </c>
      <c r="Q837" s="29" t="str">
        <f t="shared" ref="Q837:Q904" si="111">IF($E837="","",IF($L837="SIM",IF($M837=$A837,"NO DIA","FORA DO DIA"),""))</f>
        <v/>
      </c>
      <c r="R837" s="33"/>
    </row>
    <row r="838" spans="1:18" x14ac:dyDescent="0.25">
      <c r="A838" s="31"/>
      <c r="B838" s="34" t="str">
        <f t="shared" si="104"/>
        <v/>
      </c>
      <c r="C838" s="30"/>
      <c r="D838" s="10"/>
      <c r="E838" s="30"/>
      <c r="F838" s="36" t="str">
        <f t="shared" si="105"/>
        <v/>
      </c>
      <c r="G838" s="36" t="str">
        <f t="shared" si="106"/>
        <v/>
      </c>
      <c r="H838" s="36" t="str">
        <f t="shared" si="107"/>
        <v/>
      </c>
      <c r="I838" s="34" t="str">
        <f t="shared" si="108"/>
        <v/>
      </c>
      <c r="J838" s="35" t="str">
        <f t="shared" si="109"/>
        <v/>
      </c>
      <c r="K838" s="49"/>
      <c r="L838" s="30"/>
      <c r="M838" s="31"/>
      <c r="N838" s="33"/>
      <c r="O838" s="31"/>
      <c r="P838" s="29" t="str">
        <f t="shared" si="110"/>
        <v/>
      </c>
      <c r="Q838" s="29" t="str">
        <f t="shared" si="111"/>
        <v/>
      </c>
      <c r="R838" s="33"/>
    </row>
    <row r="839" spans="1:18" x14ac:dyDescent="0.25">
      <c r="A839" s="31"/>
      <c r="B839" s="34" t="str">
        <f t="shared" si="104"/>
        <v/>
      </c>
      <c r="C839" s="30"/>
      <c r="D839" s="10"/>
      <c r="E839" s="30"/>
      <c r="F839" s="36" t="str">
        <f t="shared" si="105"/>
        <v/>
      </c>
      <c r="G839" s="36" t="str">
        <f t="shared" si="106"/>
        <v/>
      </c>
      <c r="H839" s="36" t="str">
        <f t="shared" si="107"/>
        <v/>
      </c>
      <c r="I839" s="34" t="str">
        <f t="shared" si="108"/>
        <v/>
      </c>
      <c r="J839" s="35" t="str">
        <f t="shared" si="109"/>
        <v/>
      </c>
      <c r="K839" s="49"/>
      <c r="L839" s="30"/>
      <c r="M839" s="31"/>
      <c r="N839" s="33"/>
      <c r="O839" s="31"/>
      <c r="P839" s="29" t="str">
        <f t="shared" si="110"/>
        <v/>
      </c>
      <c r="Q839" s="29" t="str">
        <f t="shared" si="111"/>
        <v/>
      </c>
      <c r="R839" s="33"/>
    </row>
    <row r="840" spans="1:18" x14ac:dyDescent="0.25">
      <c r="A840" s="31"/>
      <c r="B840" s="34" t="str">
        <f t="shared" si="104"/>
        <v/>
      </c>
      <c r="C840" s="30"/>
      <c r="D840" s="10"/>
      <c r="E840" s="30"/>
      <c r="F840" s="36" t="str">
        <f t="shared" si="105"/>
        <v/>
      </c>
      <c r="G840" s="36" t="str">
        <f t="shared" si="106"/>
        <v/>
      </c>
      <c r="H840" s="36" t="str">
        <f t="shared" si="107"/>
        <v/>
      </c>
      <c r="I840" s="34" t="str">
        <f t="shared" si="108"/>
        <v/>
      </c>
      <c r="J840" s="35" t="str">
        <f t="shared" si="109"/>
        <v/>
      </c>
      <c r="K840" s="49"/>
      <c r="L840" s="30"/>
      <c r="M840" s="31"/>
      <c r="N840" s="33"/>
      <c r="O840" s="31"/>
      <c r="P840" s="29" t="str">
        <f t="shared" si="110"/>
        <v/>
      </c>
      <c r="Q840" s="29" t="str">
        <f t="shared" si="111"/>
        <v/>
      </c>
      <c r="R840" s="33"/>
    </row>
    <row r="841" spans="1:18" x14ac:dyDescent="0.25">
      <c r="A841" s="31"/>
      <c r="B841" s="34" t="str">
        <f t="shared" si="104"/>
        <v/>
      </c>
      <c r="C841" s="30"/>
      <c r="D841" s="10"/>
      <c r="E841" s="30"/>
      <c r="F841" s="36" t="str">
        <f t="shared" si="105"/>
        <v/>
      </c>
      <c r="G841" s="36" t="str">
        <f t="shared" si="106"/>
        <v/>
      </c>
      <c r="H841" s="36" t="str">
        <f t="shared" si="107"/>
        <v/>
      </c>
      <c r="I841" s="34" t="str">
        <f t="shared" si="108"/>
        <v/>
      </c>
      <c r="J841" s="35" t="str">
        <f t="shared" si="109"/>
        <v/>
      </c>
      <c r="K841" s="49"/>
      <c r="L841" s="30"/>
      <c r="M841" s="31"/>
      <c r="N841" s="33"/>
      <c r="O841" s="31"/>
      <c r="P841" s="29" t="str">
        <f t="shared" si="110"/>
        <v/>
      </c>
      <c r="Q841" s="29" t="str">
        <f t="shared" si="111"/>
        <v/>
      </c>
      <c r="R841" s="33"/>
    </row>
    <row r="842" spans="1:18" x14ac:dyDescent="0.25">
      <c r="A842" s="31"/>
      <c r="B842" s="34" t="str">
        <f t="shared" si="104"/>
        <v/>
      </c>
      <c r="C842" s="30"/>
      <c r="D842" s="10"/>
      <c r="E842" s="30"/>
      <c r="F842" s="36" t="str">
        <f t="shared" si="105"/>
        <v/>
      </c>
      <c r="G842" s="36" t="str">
        <f t="shared" si="106"/>
        <v/>
      </c>
      <c r="H842" s="36" t="str">
        <f t="shared" si="107"/>
        <v/>
      </c>
      <c r="I842" s="34" t="str">
        <f t="shared" si="108"/>
        <v/>
      </c>
      <c r="J842" s="35" t="str">
        <f t="shared" si="109"/>
        <v/>
      </c>
      <c r="K842" s="49"/>
      <c r="L842" s="30"/>
      <c r="M842" s="31"/>
      <c r="N842" s="33"/>
      <c r="O842" s="31"/>
      <c r="P842" s="29" t="str">
        <f t="shared" si="110"/>
        <v/>
      </c>
      <c r="Q842" s="29" t="str">
        <f t="shared" si="111"/>
        <v/>
      </c>
      <c r="R842" s="33"/>
    </row>
    <row r="843" spans="1:18" x14ac:dyDescent="0.25">
      <c r="A843" s="31"/>
      <c r="B843" s="34" t="str">
        <f t="shared" si="104"/>
        <v/>
      </c>
      <c r="C843" s="30"/>
      <c r="D843" s="10"/>
      <c r="E843" s="30"/>
      <c r="F843" s="36" t="str">
        <f t="shared" si="105"/>
        <v/>
      </c>
      <c r="G843" s="36" t="str">
        <f t="shared" si="106"/>
        <v/>
      </c>
      <c r="H843" s="36" t="str">
        <f t="shared" si="107"/>
        <v/>
      </c>
      <c r="I843" s="34" t="str">
        <f t="shared" si="108"/>
        <v/>
      </c>
      <c r="J843" s="35" t="str">
        <f t="shared" si="109"/>
        <v/>
      </c>
      <c r="K843" s="49"/>
      <c r="L843" s="30"/>
      <c r="M843" s="31"/>
      <c r="N843" s="33"/>
      <c r="O843" s="31"/>
      <c r="P843" s="29" t="str">
        <f t="shared" si="110"/>
        <v/>
      </c>
      <c r="Q843" s="29" t="str">
        <f t="shared" si="111"/>
        <v/>
      </c>
      <c r="R843" s="33"/>
    </row>
    <row r="844" spans="1:18" x14ac:dyDescent="0.25">
      <c r="A844" s="31"/>
      <c r="B844" s="34" t="str">
        <f t="shared" si="104"/>
        <v/>
      </c>
      <c r="C844" s="30"/>
      <c r="D844" s="10"/>
      <c r="E844" s="30"/>
      <c r="F844" s="36" t="str">
        <f t="shared" si="105"/>
        <v/>
      </c>
      <c r="G844" s="36" t="str">
        <f t="shared" si="106"/>
        <v/>
      </c>
      <c r="H844" s="36" t="str">
        <f t="shared" si="107"/>
        <v/>
      </c>
      <c r="I844" s="34" t="str">
        <f t="shared" si="108"/>
        <v/>
      </c>
      <c r="J844" s="35" t="str">
        <f t="shared" si="109"/>
        <v/>
      </c>
      <c r="K844" s="49"/>
      <c r="L844" s="30"/>
      <c r="M844" s="31"/>
      <c r="N844" s="33"/>
      <c r="O844" s="31"/>
      <c r="P844" s="29" t="str">
        <f t="shared" si="110"/>
        <v/>
      </c>
      <c r="Q844" s="29" t="str">
        <f t="shared" si="111"/>
        <v/>
      </c>
      <c r="R844" s="33"/>
    </row>
    <row r="845" spans="1:18" x14ac:dyDescent="0.25">
      <c r="A845" s="31"/>
      <c r="B845" s="34" t="str">
        <f t="shared" si="104"/>
        <v/>
      </c>
      <c r="C845" s="30"/>
      <c r="D845" s="10"/>
      <c r="E845" s="30"/>
      <c r="F845" s="36" t="str">
        <f t="shared" si="105"/>
        <v/>
      </c>
      <c r="G845" s="36" t="str">
        <f t="shared" si="106"/>
        <v/>
      </c>
      <c r="H845" s="36" t="str">
        <f t="shared" si="107"/>
        <v/>
      </c>
      <c r="I845" s="34" t="str">
        <f t="shared" si="108"/>
        <v/>
      </c>
      <c r="J845" s="35" t="str">
        <f t="shared" si="109"/>
        <v/>
      </c>
      <c r="K845" s="49"/>
      <c r="L845" s="30"/>
      <c r="M845" s="31"/>
      <c r="N845" s="33"/>
      <c r="O845" s="31"/>
      <c r="P845" s="29" t="str">
        <f t="shared" si="110"/>
        <v/>
      </c>
      <c r="Q845" s="29" t="str">
        <f t="shared" si="111"/>
        <v/>
      </c>
      <c r="R845" s="33"/>
    </row>
    <row r="846" spans="1:18" x14ac:dyDescent="0.25">
      <c r="A846" s="31"/>
      <c r="B846" s="34" t="str">
        <f t="shared" si="104"/>
        <v/>
      </c>
      <c r="C846" s="30"/>
      <c r="D846" s="10"/>
      <c r="E846" s="30"/>
      <c r="F846" s="36" t="str">
        <f t="shared" si="105"/>
        <v/>
      </c>
      <c r="G846" s="36" t="str">
        <f t="shared" si="106"/>
        <v/>
      </c>
      <c r="H846" s="36" t="str">
        <f t="shared" si="107"/>
        <v/>
      </c>
      <c r="I846" s="34" t="str">
        <f t="shared" si="108"/>
        <v/>
      </c>
      <c r="J846" s="35" t="str">
        <f t="shared" si="109"/>
        <v/>
      </c>
      <c r="K846" s="49"/>
      <c r="L846" s="30"/>
      <c r="M846" s="31"/>
      <c r="N846" s="33"/>
      <c r="O846" s="31"/>
      <c r="P846" s="29" t="str">
        <f t="shared" si="110"/>
        <v/>
      </c>
      <c r="Q846" s="29" t="str">
        <f t="shared" si="111"/>
        <v/>
      </c>
      <c r="R846" s="33"/>
    </row>
    <row r="847" spans="1:18" x14ac:dyDescent="0.25">
      <c r="A847" s="31"/>
      <c r="B847" s="34" t="str">
        <f t="shared" si="104"/>
        <v/>
      </c>
      <c r="C847" s="30"/>
      <c r="D847" s="10"/>
      <c r="E847" s="30"/>
      <c r="F847" s="36" t="str">
        <f t="shared" si="105"/>
        <v/>
      </c>
      <c r="G847" s="36" t="str">
        <f t="shared" si="106"/>
        <v/>
      </c>
      <c r="H847" s="36" t="str">
        <f t="shared" si="107"/>
        <v/>
      </c>
      <c r="I847" s="34" t="str">
        <f t="shared" si="108"/>
        <v/>
      </c>
      <c r="J847" s="35" t="str">
        <f t="shared" si="109"/>
        <v/>
      </c>
      <c r="K847" s="49"/>
      <c r="L847" s="30"/>
      <c r="M847" s="31"/>
      <c r="N847" s="33"/>
      <c r="O847" s="31"/>
      <c r="P847" s="29" t="str">
        <f t="shared" si="110"/>
        <v/>
      </c>
      <c r="Q847" s="29" t="str">
        <f t="shared" si="111"/>
        <v/>
      </c>
      <c r="R847" s="33"/>
    </row>
    <row r="848" spans="1:18" x14ac:dyDescent="0.25">
      <c r="A848" s="31"/>
      <c r="B848" s="34" t="str">
        <f t="shared" si="104"/>
        <v/>
      </c>
      <c r="C848" s="30"/>
      <c r="D848" s="10"/>
      <c r="E848" s="30"/>
      <c r="F848" s="36" t="str">
        <f t="shared" si="105"/>
        <v/>
      </c>
      <c r="G848" s="36" t="str">
        <f t="shared" si="106"/>
        <v/>
      </c>
      <c r="H848" s="36" t="str">
        <f t="shared" si="107"/>
        <v/>
      </c>
      <c r="I848" s="34" t="str">
        <f t="shared" si="108"/>
        <v/>
      </c>
      <c r="J848" s="35" t="str">
        <f t="shared" si="109"/>
        <v/>
      </c>
      <c r="K848" s="49"/>
      <c r="L848" s="30"/>
      <c r="M848" s="31"/>
      <c r="N848" s="33"/>
      <c r="O848" s="31"/>
      <c r="P848" s="29" t="str">
        <f t="shared" si="110"/>
        <v/>
      </c>
      <c r="Q848" s="29" t="str">
        <f t="shared" si="111"/>
        <v/>
      </c>
      <c r="R848" s="33"/>
    </row>
    <row r="849" spans="1:18" x14ac:dyDescent="0.25">
      <c r="A849" s="31"/>
      <c r="B849" s="34" t="str">
        <f t="shared" si="104"/>
        <v/>
      </c>
      <c r="C849" s="30"/>
      <c r="D849" s="10"/>
      <c r="E849" s="30"/>
      <c r="F849" s="36" t="str">
        <f t="shared" si="105"/>
        <v/>
      </c>
      <c r="G849" s="36" t="str">
        <f t="shared" si="106"/>
        <v/>
      </c>
      <c r="H849" s="36" t="str">
        <f t="shared" si="107"/>
        <v/>
      </c>
      <c r="I849" s="34" t="str">
        <f t="shared" si="108"/>
        <v/>
      </c>
      <c r="J849" s="35" t="str">
        <f t="shared" si="109"/>
        <v/>
      </c>
      <c r="K849" s="49"/>
      <c r="L849" s="30"/>
      <c r="M849" s="31"/>
      <c r="N849" s="33"/>
      <c r="O849" s="31"/>
      <c r="P849" s="29" t="str">
        <f t="shared" si="110"/>
        <v/>
      </c>
      <c r="Q849" s="29" t="str">
        <f t="shared" si="111"/>
        <v/>
      </c>
      <c r="R849" s="33"/>
    </row>
    <row r="850" spans="1:18" x14ac:dyDescent="0.25">
      <c r="A850" s="31"/>
      <c r="B850" s="34" t="str">
        <f t="shared" si="104"/>
        <v/>
      </c>
      <c r="C850" s="30"/>
      <c r="D850" s="10"/>
      <c r="E850" s="30"/>
      <c r="F850" s="36" t="str">
        <f t="shared" si="105"/>
        <v/>
      </c>
      <c r="G850" s="36" t="str">
        <f t="shared" si="106"/>
        <v/>
      </c>
      <c r="H850" s="36" t="str">
        <f t="shared" si="107"/>
        <v/>
      </c>
      <c r="I850" s="34" t="str">
        <f t="shared" si="108"/>
        <v/>
      </c>
      <c r="J850" s="35" t="str">
        <f t="shared" si="109"/>
        <v/>
      </c>
      <c r="K850" s="49"/>
      <c r="L850" s="30"/>
      <c r="M850" s="31"/>
      <c r="N850" s="33"/>
      <c r="O850" s="31"/>
      <c r="P850" s="29" t="str">
        <f t="shared" si="110"/>
        <v/>
      </c>
      <c r="Q850" s="29" t="str">
        <f t="shared" si="111"/>
        <v/>
      </c>
      <c r="R850" s="33"/>
    </row>
    <row r="851" spans="1:18" x14ac:dyDescent="0.25">
      <c r="A851" s="31"/>
      <c r="B851" s="34" t="str">
        <f t="shared" si="104"/>
        <v/>
      </c>
      <c r="C851" s="30"/>
      <c r="D851" s="10"/>
      <c r="E851" s="30"/>
      <c r="F851" s="36" t="str">
        <f t="shared" si="105"/>
        <v/>
      </c>
      <c r="G851" s="36" t="str">
        <f t="shared" si="106"/>
        <v/>
      </c>
      <c r="H851" s="36" t="str">
        <f t="shared" si="107"/>
        <v/>
      </c>
      <c r="I851" s="34" t="str">
        <f t="shared" si="108"/>
        <v/>
      </c>
      <c r="J851" s="35" t="str">
        <f t="shared" si="109"/>
        <v/>
      </c>
      <c r="K851" s="49"/>
      <c r="L851" s="30"/>
      <c r="M851" s="31"/>
      <c r="N851" s="33"/>
      <c r="O851" s="31"/>
      <c r="P851" s="29" t="str">
        <f t="shared" si="110"/>
        <v/>
      </c>
      <c r="Q851" s="29" t="str">
        <f t="shared" si="111"/>
        <v/>
      </c>
      <c r="R851" s="33"/>
    </row>
    <row r="852" spans="1:18" x14ac:dyDescent="0.25">
      <c r="A852" s="31"/>
      <c r="B852" s="34" t="str">
        <f t="shared" si="104"/>
        <v/>
      </c>
      <c r="C852" s="30"/>
      <c r="D852" s="10"/>
      <c r="E852" s="30"/>
      <c r="F852" s="36" t="str">
        <f t="shared" si="105"/>
        <v/>
      </c>
      <c r="G852" s="36" t="str">
        <f t="shared" si="106"/>
        <v/>
      </c>
      <c r="H852" s="36" t="str">
        <f t="shared" si="107"/>
        <v/>
      </c>
      <c r="I852" s="34" t="str">
        <f t="shared" si="108"/>
        <v/>
      </c>
      <c r="J852" s="35" t="str">
        <f t="shared" si="109"/>
        <v/>
      </c>
      <c r="K852" s="49"/>
      <c r="L852" s="30"/>
      <c r="M852" s="31"/>
      <c r="N852" s="33"/>
      <c r="O852" s="31"/>
      <c r="P852" s="29" t="str">
        <f t="shared" si="110"/>
        <v/>
      </c>
      <c r="Q852" s="29" t="str">
        <f t="shared" si="111"/>
        <v/>
      </c>
      <c r="R852" s="33"/>
    </row>
    <row r="853" spans="1:18" x14ac:dyDescent="0.25">
      <c r="A853" s="31"/>
      <c r="B853" s="34" t="str">
        <f t="shared" si="104"/>
        <v/>
      </c>
      <c r="C853" s="30"/>
      <c r="D853" s="10"/>
      <c r="E853" s="30"/>
      <c r="F853" s="36" t="str">
        <f t="shared" si="105"/>
        <v/>
      </c>
      <c r="G853" s="36" t="str">
        <f t="shared" si="106"/>
        <v/>
      </c>
      <c r="H853" s="36" t="str">
        <f t="shared" si="107"/>
        <v/>
      </c>
      <c r="I853" s="34" t="str">
        <f t="shared" si="108"/>
        <v/>
      </c>
      <c r="J853" s="35" t="str">
        <f t="shared" si="109"/>
        <v/>
      </c>
      <c r="K853" s="49"/>
      <c r="L853" s="30"/>
      <c r="M853" s="31"/>
      <c r="N853" s="33"/>
      <c r="O853" s="31"/>
      <c r="P853" s="29" t="str">
        <f t="shared" si="110"/>
        <v/>
      </c>
      <c r="Q853" s="29" t="str">
        <f t="shared" si="111"/>
        <v/>
      </c>
      <c r="R853" s="33"/>
    </row>
    <row r="854" spans="1:18" x14ac:dyDescent="0.25">
      <c r="A854" s="31"/>
      <c r="B854" s="34" t="str">
        <f t="shared" si="104"/>
        <v/>
      </c>
      <c r="C854" s="30"/>
      <c r="D854" s="10"/>
      <c r="E854" s="30"/>
      <c r="F854" s="36" t="str">
        <f t="shared" si="105"/>
        <v/>
      </c>
      <c r="G854" s="36" t="str">
        <f t="shared" si="106"/>
        <v/>
      </c>
      <c r="H854" s="36" t="str">
        <f t="shared" si="107"/>
        <v/>
      </c>
      <c r="I854" s="34" t="str">
        <f t="shared" si="108"/>
        <v/>
      </c>
      <c r="J854" s="35" t="str">
        <f t="shared" si="109"/>
        <v/>
      </c>
      <c r="K854" s="49"/>
      <c r="L854" s="30"/>
      <c r="M854" s="31"/>
      <c r="N854" s="33"/>
      <c r="O854" s="31"/>
      <c r="P854" s="29" t="str">
        <f t="shared" si="110"/>
        <v/>
      </c>
      <c r="Q854" s="29" t="str">
        <f t="shared" si="111"/>
        <v/>
      </c>
      <c r="R854" s="33"/>
    </row>
    <row r="855" spans="1:18" x14ac:dyDescent="0.25">
      <c r="A855" s="31"/>
      <c r="B855" s="34" t="str">
        <f t="shared" si="104"/>
        <v/>
      </c>
      <c r="C855" s="30"/>
      <c r="D855" s="10"/>
      <c r="E855" s="30"/>
      <c r="F855" s="36" t="str">
        <f t="shared" si="105"/>
        <v/>
      </c>
      <c r="G855" s="36" t="str">
        <f t="shared" si="106"/>
        <v/>
      </c>
      <c r="H855" s="36" t="str">
        <f t="shared" si="107"/>
        <v/>
      </c>
      <c r="I855" s="34" t="str">
        <f t="shared" si="108"/>
        <v/>
      </c>
      <c r="J855" s="35" t="str">
        <f t="shared" si="109"/>
        <v/>
      </c>
      <c r="K855" s="49"/>
      <c r="L855" s="30"/>
      <c r="M855" s="31"/>
      <c r="N855" s="33"/>
      <c r="O855" s="31"/>
      <c r="P855" s="29" t="str">
        <f t="shared" si="110"/>
        <v/>
      </c>
      <c r="Q855" s="29" t="str">
        <f t="shared" si="111"/>
        <v/>
      </c>
      <c r="R855" s="33"/>
    </row>
    <row r="856" spans="1:18" x14ac:dyDescent="0.25">
      <c r="A856" s="31"/>
      <c r="B856" s="34" t="str">
        <f t="shared" si="104"/>
        <v/>
      </c>
      <c r="C856" s="30"/>
      <c r="D856" s="10"/>
      <c r="E856" s="30"/>
      <c r="F856" s="36" t="str">
        <f t="shared" si="105"/>
        <v/>
      </c>
      <c r="G856" s="36" t="str">
        <f t="shared" si="106"/>
        <v/>
      </c>
      <c r="H856" s="36" t="str">
        <f t="shared" si="107"/>
        <v/>
      </c>
      <c r="I856" s="34" t="str">
        <f t="shared" si="108"/>
        <v/>
      </c>
      <c r="J856" s="35" t="str">
        <f t="shared" si="109"/>
        <v/>
      </c>
      <c r="K856" s="49"/>
      <c r="L856" s="30"/>
      <c r="M856" s="31"/>
      <c r="N856" s="33"/>
      <c r="O856" s="31"/>
      <c r="P856" s="29" t="str">
        <f t="shared" si="110"/>
        <v/>
      </c>
      <c r="Q856" s="29" t="str">
        <f t="shared" si="111"/>
        <v/>
      </c>
      <c r="R856" s="33"/>
    </row>
    <row r="857" spans="1:18" x14ac:dyDescent="0.25">
      <c r="A857" s="31"/>
      <c r="B857" s="34" t="str">
        <f t="shared" si="104"/>
        <v/>
      </c>
      <c r="C857" s="30"/>
      <c r="D857" s="10"/>
      <c r="E857" s="30"/>
      <c r="F857" s="36" t="str">
        <f t="shared" si="105"/>
        <v/>
      </c>
      <c r="G857" s="36" t="str">
        <f t="shared" si="106"/>
        <v/>
      </c>
      <c r="H857" s="36" t="str">
        <f t="shared" si="107"/>
        <v/>
      </c>
      <c r="I857" s="34" t="str">
        <f t="shared" si="108"/>
        <v/>
      </c>
      <c r="J857" s="35" t="str">
        <f t="shared" si="109"/>
        <v/>
      </c>
      <c r="K857" s="49"/>
      <c r="L857" s="30"/>
      <c r="M857" s="31"/>
      <c r="N857" s="33"/>
      <c r="O857" s="31"/>
      <c r="P857" s="29" t="str">
        <f t="shared" si="110"/>
        <v/>
      </c>
      <c r="Q857" s="29" t="str">
        <f t="shared" si="111"/>
        <v/>
      </c>
      <c r="R857" s="33"/>
    </row>
    <row r="858" spans="1:18" x14ac:dyDescent="0.25">
      <c r="A858" s="31"/>
      <c r="B858" s="34" t="str">
        <f t="shared" si="104"/>
        <v/>
      </c>
      <c r="C858" s="30"/>
      <c r="D858" s="10"/>
      <c r="E858" s="30"/>
      <c r="F858" s="36" t="str">
        <f t="shared" si="105"/>
        <v/>
      </c>
      <c r="G858" s="36" t="str">
        <f t="shared" si="106"/>
        <v/>
      </c>
      <c r="H858" s="36" t="str">
        <f t="shared" si="107"/>
        <v/>
      </c>
      <c r="I858" s="34" t="str">
        <f t="shared" si="108"/>
        <v/>
      </c>
      <c r="J858" s="35" t="str">
        <f t="shared" si="109"/>
        <v/>
      </c>
      <c r="K858" s="49"/>
      <c r="L858" s="30"/>
      <c r="M858" s="31"/>
      <c r="N858" s="33"/>
      <c r="O858" s="31"/>
      <c r="P858" s="29" t="str">
        <f t="shared" si="110"/>
        <v/>
      </c>
      <c r="Q858" s="29" t="str">
        <f t="shared" si="111"/>
        <v/>
      </c>
      <c r="R858" s="33"/>
    </row>
    <row r="859" spans="1:18" x14ac:dyDescent="0.25">
      <c r="A859" s="31"/>
      <c r="B859" s="34" t="str">
        <f t="shared" si="104"/>
        <v/>
      </c>
      <c r="C859" s="30"/>
      <c r="D859" s="10"/>
      <c r="E859" s="30"/>
      <c r="F859" s="36" t="str">
        <f t="shared" si="105"/>
        <v/>
      </c>
      <c r="G859" s="36" t="str">
        <f t="shared" si="106"/>
        <v/>
      </c>
      <c r="H859" s="36" t="str">
        <f t="shared" si="107"/>
        <v/>
      </c>
      <c r="I859" s="34" t="str">
        <f t="shared" si="108"/>
        <v/>
      </c>
      <c r="J859" s="35" t="str">
        <f t="shared" si="109"/>
        <v/>
      </c>
      <c r="K859" s="49"/>
      <c r="L859" s="30"/>
      <c r="M859" s="31"/>
      <c r="N859" s="33"/>
      <c r="O859" s="31"/>
      <c r="P859" s="29" t="str">
        <f t="shared" si="110"/>
        <v/>
      </c>
      <c r="Q859" s="29" t="str">
        <f t="shared" si="111"/>
        <v/>
      </c>
      <c r="R859" s="33"/>
    </row>
    <row r="860" spans="1:18" x14ac:dyDescent="0.25">
      <c r="A860" s="31"/>
      <c r="B860" s="34" t="str">
        <f t="shared" si="104"/>
        <v/>
      </c>
      <c r="C860" s="30"/>
      <c r="D860" s="10"/>
      <c r="E860" s="30"/>
      <c r="F860" s="36" t="str">
        <f t="shared" si="105"/>
        <v/>
      </c>
      <c r="G860" s="36" t="str">
        <f t="shared" si="106"/>
        <v/>
      </c>
      <c r="H860" s="36" t="str">
        <f t="shared" si="107"/>
        <v/>
      </c>
      <c r="I860" s="34" t="str">
        <f t="shared" si="108"/>
        <v/>
      </c>
      <c r="J860" s="35" t="str">
        <f t="shared" si="109"/>
        <v/>
      </c>
      <c r="K860" s="49"/>
      <c r="L860" s="30"/>
      <c r="M860" s="31"/>
      <c r="N860" s="33"/>
      <c r="O860" s="31"/>
      <c r="P860" s="29" t="str">
        <f t="shared" si="110"/>
        <v/>
      </c>
      <c r="Q860" s="29" t="str">
        <f t="shared" si="111"/>
        <v/>
      </c>
      <c r="R860" s="33"/>
    </row>
    <row r="861" spans="1:18" x14ac:dyDescent="0.25">
      <c r="A861" s="31"/>
      <c r="B861" s="34" t="str">
        <f t="shared" si="104"/>
        <v/>
      </c>
      <c r="C861" s="30"/>
      <c r="D861" s="10"/>
      <c r="E861" s="30"/>
      <c r="F861" s="36" t="str">
        <f t="shared" si="105"/>
        <v/>
      </c>
      <c r="G861" s="36" t="str">
        <f t="shared" si="106"/>
        <v/>
      </c>
      <c r="H861" s="36" t="str">
        <f t="shared" si="107"/>
        <v/>
      </c>
      <c r="I861" s="34" t="str">
        <f t="shared" si="108"/>
        <v/>
      </c>
      <c r="J861" s="35" t="str">
        <f t="shared" si="109"/>
        <v/>
      </c>
      <c r="K861" s="49"/>
      <c r="L861" s="30"/>
      <c r="M861" s="31"/>
      <c r="N861" s="33"/>
      <c r="O861" s="31"/>
      <c r="P861" s="29" t="str">
        <f t="shared" si="110"/>
        <v/>
      </c>
      <c r="Q861" s="29" t="str">
        <f t="shared" si="111"/>
        <v/>
      </c>
      <c r="R861" s="33"/>
    </row>
    <row r="862" spans="1:18" x14ac:dyDescent="0.25">
      <c r="A862" s="31"/>
      <c r="B862" s="34" t="str">
        <f t="shared" si="104"/>
        <v/>
      </c>
      <c r="C862" s="30"/>
      <c r="D862" s="10"/>
      <c r="E862" s="30"/>
      <c r="F862" s="36" t="str">
        <f t="shared" si="105"/>
        <v/>
      </c>
      <c r="G862" s="36" t="str">
        <f t="shared" si="106"/>
        <v/>
      </c>
      <c r="H862" s="36" t="str">
        <f t="shared" si="107"/>
        <v/>
      </c>
      <c r="I862" s="34" t="str">
        <f t="shared" si="108"/>
        <v/>
      </c>
      <c r="J862" s="35" t="str">
        <f t="shared" si="109"/>
        <v/>
      </c>
      <c r="K862" s="49"/>
      <c r="L862" s="30"/>
      <c r="M862" s="31"/>
      <c r="N862" s="33"/>
      <c r="O862" s="31"/>
      <c r="P862" s="29" t="str">
        <f t="shared" si="110"/>
        <v/>
      </c>
      <c r="Q862" s="29" t="str">
        <f t="shared" si="111"/>
        <v/>
      </c>
      <c r="R862" s="33"/>
    </row>
    <row r="863" spans="1:18" x14ac:dyDescent="0.25">
      <c r="A863" s="31"/>
      <c r="B863" s="34" t="str">
        <f t="shared" si="104"/>
        <v/>
      </c>
      <c r="C863" s="30"/>
      <c r="D863" s="10"/>
      <c r="E863" s="30"/>
      <c r="F863" s="36" t="str">
        <f t="shared" si="105"/>
        <v/>
      </c>
      <c r="G863" s="36" t="str">
        <f t="shared" si="106"/>
        <v/>
      </c>
      <c r="H863" s="36" t="str">
        <f t="shared" si="107"/>
        <v/>
      </c>
      <c r="I863" s="34" t="str">
        <f t="shared" si="108"/>
        <v/>
      </c>
      <c r="J863" s="35" t="str">
        <f t="shared" si="109"/>
        <v/>
      </c>
      <c r="K863" s="49"/>
      <c r="L863" s="30"/>
      <c r="M863" s="31"/>
      <c r="N863" s="33"/>
      <c r="O863" s="31"/>
      <c r="P863" s="29" t="str">
        <f t="shared" si="110"/>
        <v/>
      </c>
      <c r="Q863" s="29" t="str">
        <f t="shared" si="111"/>
        <v/>
      </c>
      <c r="R863" s="33"/>
    </row>
    <row r="864" spans="1:18" x14ac:dyDescent="0.25">
      <c r="A864" s="31"/>
      <c r="B864" s="34" t="str">
        <f t="shared" si="104"/>
        <v/>
      </c>
      <c r="C864" s="30"/>
      <c r="D864" s="10"/>
      <c r="E864" s="30"/>
      <c r="F864" s="36" t="str">
        <f t="shared" si="105"/>
        <v/>
      </c>
      <c r="G864" s="36" t="str">
        <f t="shared" si="106"/>
        <v/>
      </c>
      <c r="H864" s="36" t="str">
        <f t="shared" si="107"/>
        <v/>
      </c>
      <c r="I864" s="34" t="str">
        <f t="shared" si="108"/>
        <v/>
      </c>
      <c r="J864" s="35" t="str">
        <f t="shared" si="109"/>
        <v/>
      </c>
      <c r="K864" s="49"/>
      <c r="L864" s="30"/>
      <c r="M864" s="31"/>
      <c r="N864" s="33"/>
      <c r="O864" s="31"/>
      <c r="P864" s="29" t="str">
        <f t="shared" si="110"/>
        <v/>
      </c>
      <c r="Q864" s="29" t="str">
        <f t="shared" si="111"/>
        <v/>
      </c>
      <c r="R864" s="33"/>
    </row>
    <row r="865" spans="1:18" x14ac:dyDescent="0.25">
      <c r="A865" s="31"/>
      <c r="B865" s="34" t="str">
        <f t="shared" si="104"/>
        <v/>
      </c>
      <c r="C865" s="30"/>
      <c r="D865" s="10"/>
      <c r="E865" s="30"/>
      <c r="F865" s="36" t="str">
        <f t="shared" si="105"/>
        <v/>
      </c>
      <c r="G865" s="36" t="str">
        <f t="shared" si="106"/>
        <v/>
      </c>
      <c r="H865" s="36" t="str">
        <f t="shared" si="107"/>
        <v/>
      </c>
      <c r="I865" s="34" t="str">
        <f t="shared" si="108"/>
        <v/>
      </c>
      <c r="J865" s="35" t="str">
        <f t="shared" si="109"/>
        <v/>
      </c>
      <c r="K865" s="49"/>
      <c r="L865" s="30"/>
      <c r="M865" s="31"/>
      <c r="N865" s="33"/>
      <c r="O865" s="31"/>
      <c r="P865" s="29" t="str">
        <f t="shared" si="110"/>
        <v/>
      </c>
      <c r="Q865" s="29" t="str">
        <f t="shared" si="111"/>
        <v/>
      </c>
      <c r="R865" s="33"/>
    </row>
    <row r="866" spans="1:18" x14ac:dyDescent="0.25">
      <c r="A866" s="31"/>
      <c r="B866" s="34" t="str">
        <f t="shared" si="104"/>
        <v/>
      </c>
      <c r="C866" s="30"/>
      <c r="D866" s="10"/>
      <c r="E866" s="30"/>
      <c r="F866" s="36" t="str">
        <f t="shared" si="105"/>
        <v/>
      </c>
      <c r="G866" s="36" t="str">
        <f t="shared" si="106"/>
        <v/>
      </c>
      <c r="H866" s="36" t="str">
        <f t="shared" si="107"/>
        <v/>
      </c>
      <c r="I866" s="34" t="str">
        <f t="shared" si="108"/>
        <v/>
      </c>
      <c r="J866" s="35" t="str">
        <f t="shared" si="109"/>
        <v/>
      </c>
      <c r="K866" s="49"/>
      <c r="L866" s="30"/>
      <c r="M866" s="31"/>
      <c r="N866" s="33"/>
      <c r="O866" s="31"/>
      <c r="P866" s="29" t="str">
        <f t="shared" si="110"/>
        <v/>
      </c>
      <c r="Q866" s="29" t="str">
        <f t="shared" si="111"/>
        <v/>
      </c>
      <c r="R866" s="33"/>
    </row>
    <row r="867" spans="1:18" x14ac:dyDescent="0.25">
      <c r="A867" s="31"/>
      <c r="B867" s="34" t="str">
        <f t="shared" si="104"/>
        <v/>
      </c>
      <c r="C867" s="30"/>
      <c r="D867" s="10"/>
      <c r="E867" s="30"/>
      <c r="F867" s="36" t="str">
        <f t="shared" si="105"/>
        <v/>
      </c>
      <c r="G867" s="36" t="str">
        <f t="shared" si="106"/>
        <v/>
      </c>
      <c r="H867" s="36" t="str">
        <f t="shared" si="107"/>
        <v/>
      </c>
      <c r="I867" s="34" t="str">
        <f t="shared" si="108"/>
        <v/>
      </c>
      <c r="J867" s="35" t="str">
        <f t="shared" si="109"/>
        <v/>
      </c>
      <c r="K867" s="49"/>
      <c r="L867" s="30"/>
      <c r="M867" s="31"/>
      <c r="N867" s="33"/>
      <c r="O867" s="31"/>
      <c r="P867" s="29" t="str">
        <f t="shared" si="110"/>
        <v/>
      </c>
      <c r="Q867" s="29" t="str">
        <f t="shared" si="111"/>
        <v/>
      </c>
      <c r="R867" s="33"/>
    </row>
    <row r="868" spans="1:18" x14ac:dyDescent="0.25">
      <c r="A868" s="31"/>
      <c r="B868" s="34" t="str">
        <f t="shared" si="104"/>
        <v/>
      </c>
      <c r="C868" s="30"/>
      <c r="D868" s="10"/>
      <c r="E868" s="30"/>
      <c r="F868" s="36" t="str">
        <f t="shared" si="105"/>
        <v/>
      </c>
      <c r="G868" s="36" t="str">
        <f t="shared" si="106"/>
        <v/>
      </c>
      <c r="H868" s="36" t="str">
        <f t="shared" si="107"/>
        <v/>
      </c>
      <c r="I868" s="34" t="str">
        <f t="shared" si="108"/>
        <v/>
      </c>
      <c r="J868" s="35" t="str">
        <f t="shared" si="109"/>
        <v/>
      </c>
      <c r="K868" s="49"/>
      <c r="L868" s="30"/>
      <c r="M868" s="31"/>
      <c r="N868" s="33"/>
      <c r="O868" s="31"/>
      <c r="P868" s="29" t="str">
        <f t="shared" si="110"/>
        <v/>
      </c>
      <c r="Q868" s="29" t="str">
        <f t="shared" si="111"/>
        <v/>
      </c>
      <c r="R868" s="33"/>
    </row>
    <row r="869" spans="1:18" x14ac:dyDescent="0.25">
      <c r="A869" s="31"/>
      <c r="B869" s="34" t="str">
        <f t="shared" si="104"/>
        <v/>
      </c>
      <c r="C869" s="30"/>
      <c r="D869" s="10"/>
      <c r="E869" s="30"/>
      <c r="F869" s="36" t="str">
        <f t="shared" si="105"/>
        <v/>
      </c>
      <c r="G869" s="36" t="str">
        <f t="shared" si="106"/>
        <v/>
      </c>
      <c r="H869" s="36" t="str">
        <f t="shared" si="107"/>
        <v/>
      </c>
      <c r="I869" s="34" t="str">
        <f t="shared" si="108"/>
        <v/>
      </c>
      <c r="J869" s="35" t="str">
        <f t="shared" si="109"/>
        <v/>
      </c>
      <c r="K869" s="49"/>
      <c r="L869" s="30"/>
      <c r="M869" s="31"/>
      <c r="N869" s="33"/>
      <c r="O869" s="31"/>
      <c r="P869" s="29" t="str">
        <f t="shared" si="110"/>
        <v/>
      </c>
      <c r="Q869" s="29" t="str">
        <f t="shared" si="111"/>
        <v/>
      </c>
      <c r="R869" s="33"/>
    </row>
    <row r="870" spans="1:18" x14ac:dyDescent="0.25">
      <c r="A870" s="31"/>
      <c r="B870" s="34" t="str">
        <f t="shared" si="104"/>
        <v/>
      </c>
      <c r="C870" s="30"/>
      <c r="D870" s="10"/>
      <c r="E870" s="30"/>
      <c r="F870" s="36" t="str">
        <f t="shared" si="105"/>
        <v/>
      </c>
      <c r="G870" s="36" t="str">
        <f t="shared" si="106"/>
        <v/>
      </c>
      <c r="H870" s="36" t="str">
        <f t="shared" si="107"/>
        <v/>
      </c>
      <c r="I870" s="34" t="str">
        <f t="shared" si="108"/>
        <v/>
      </c>
      <c r="J870" s="35" t="str">
        <f t="shared" si="109"/>
        <v/>
      </c>
      <c r="K870" s="49"/>
      <c r="L870" s="30"/>
      <c r="M870" s="31"/>
      <c r="N870" s="33"/>
      <c r="O870" s="31"/>
      <c r="P870" s="29" t="str">
        <f t="shared" si="110"/>
        <v/>
      </c>
      <c r="Q870" s="29" t="str">
        <f t="shared" si="111"/>
        <v/>
      </c>
      <c r="R870" s="33"/>
    </row>
    <row r="871" spans="1:18" x14ac:dyDescent="0.25">
      <c r="A871" s="31"/>
      <c r="B871" s="34" t="str">
        <f t="shared" si="104"/>
        <v/>
      </c>
      <c r="C871" s="30"/>
      <c r="D871" s="10"/>
      <c r="E871" s="30"/>
      <c r="F871" s="36" t="str">
        <f t="shared" si="105"/>
        <v/>
      </c>
      <c r="G871" s="36" t="str">
        <f t="shared" si="106"/>
        <v/>
      </c>
      <c r="H871" s="36" t="str">
        <f t="shared" si="107"/>
        <v/>
      </c>
      <c r="I871" s="34" t="str">
        <f t="shared" si="108"/>
        <v/>
      </c>
      <c r="J871" s="35" t="str">
        <f t="shared" si="109"/>
        <v/>
      </c>
      <c r="K871" s="49"/>
      <c r="L871" s="30"/>
      <c r="M871" s="31"/>
      <c r="N871" s="33"/>
      <c r="O871" s="31"/>
      <c r="P871" s="29" t="str">
        <f t="shared" si="110"/>
        <v/>
      </c>
      <c r="Q871" s="29" t="str">
        <f t="shared" si="111"/>
        <v/>
      </c>
      <c r="R871" s="33"/>
    </row>
    <row r="872" spans="1:18" x14ac:dyDescent="0.25">
      <c r="A872" s="31"/>
      <c r="B872" s="34" t="str">
        <f t="shared" si="104"/>
        <v/>
      </c>
      <c r="C872" s="30"/>
      <c r="D872" s="10"/>
      <c r="E872" s="30"/>
      <c r="F872" s="36" t="str">
        <f t="shared" si="105"/>
        <v/>
      </c>
      <c r="G872" s="36" t="str">
        <f t="shared" si="106"/>
        <v/>
      </c>
      <c r="H872" s="36" t="str">
        <f t="shared" si="107"/>
        <v/>
      </c>
      <c r="I872" s="34" t="str">
        <f t="shared" si="108"/>
        <v/>
      </c>
      <c r="J872" s="35" t="str">
        <f t="shared" si="109"/>
        <v/>
      </c>
      <c r="K872" s="49"/>
      <c r="L872" s="30"/>
      <c r="M872" s="31"/>
      <c r="N872" s="33"/>
      <c r="O872" s="31"/>
      <c r="P872" s="29" t="str">
        <f t="shared" si="110"/>
        <v/>
      </c>
      <c r="Q872" s="29" t="str">
        <f t="shared" si="111"/>
        <v/>
      </c>
      <c r="R872" s="33"/>
    </row>
    <row r="873" spans="1:18" x14ac:dyDescent="0.25">
      <c r="A873" s="31"/>
      <c r="B873" s="34" t="str">
        <f t="shared" si="104"/>
        <v/>
      </c>
      <c r="C873" s="30"/>
      <c r="D873" s="10"/>
      <c r="E873" s="30"/>
      <c r="F873" s="36" t="str">
        <f t="shared" si="105"/>
        <v/>
      </c>
      <c r="G873" s="36" t="str">
        <f t="shared" si="106"/>
        <v/>
      </c>
      <c r="H873" s="36" t="str">
        <f t="shared" si="107"/>
        <v/>
      </c>
      <c r="I873" s="34" t="str">
        <f t="shared" si="108"/>
        <v/>
      </c>
      <c r="J873" s="35" t="str">
        <f t="shared" si="109"/>
        <v/>
      </c>
      <c r="K873" s="49"/>
      <c r="L873" s="30"/>
      <c r="M873" s="31"/>
      <c r="N873" s="33"/>
      <c r="O873" s="31"/>
      <c r="P873" s="29" t="str">
        <f t="shared" si="110"/>
        <v/>
      </c>
      <c r="Q873" s="29" t="str">
        <f t="shared" si="111"/>
        <v/>
      </c>
      <c r="R873" s="33"/>
    </row>
    <row r="874" spans="1:18" x14ac:dyDescent="0.25">
      <c r="A874" s="31"/>
      <c r="B874" s="34" t="str">
        <f t="shared" si="104"/>
        <v/>
      </c>
      <c r="C874" s="30"/>
      <c r="D874" s="10"/>
      <c r="E874" s="30"/>
      <c r="F874" s="36" t="str">
        <f t="shared" si="105"/>
        <v/>
      </c>
      <c r="G874" s="36" t="str">
        <f t="shared" si="106"/>
        <v/>
      </c>
      <c r="H874" s="36" t="str">
        <f t="shared" si="107"/>
        <v/>
      </c>
      <c r="I874" s="34" t="str">
        <f t="shared" si="108"/>
        <v/>
      </c>
      <c r="J874" s="35" t="str">
        <f t="shared" si="109"/>
        <v/>
      </c>
      <c r="K874" s="49"/>
      <c r="L874" s="30"/>
      <c r="M874" s="31"/>
      <c r="N874" s="33"/>
      <c r="O874" s="31"/>
      <c r="P874" s="29" t="str">
        <f t="shared" si="110"/>
        <v/>
      </c>
      <c r="Q874" s="29" t="str">
        <f t="shared" si="111"/>
        <v/>
      </c>
      <c r="R874" s="33"/>
    </row>
    <row r="875" spans="1:18" x14ac:dyDescent="0.25">
      <c r="A875" s="31"/>
      <c r="B875" s="34" t="str">
        <f t="shared" si="104"/>
        <v/>
      </c>
      <c r="C875" s="30"/>
      <c r="D875" s="10"/>
      <c r="E875" s="30"/>
      <c r="F875" s="36" t="str">
        <f t="shared" si="105"/>
        <v/>
      </c>
      <c r="G875" s="36" t="str">
        <f t="shared" si="106"/>
        <v/>
      </c>
      <c r="H875" s="36" t="str">
        <f t="shared" si="107"/>
        <v/>
      </c>
      <c r="I875" s="34" t="str">
        <f t="shared" si="108"/>
        <v/>
      </c>
      <c r="J875" s="35" t="str">
        <f t="shared" si="109"/>
        <v/>
      </c>
      <c r="K875" s="49"/>
      <c r="L875" s="30"/>
      <c r="M875" s="31"/>
      <c r="N875" s="33"/>
      <c r="O875" s="31"/>
      <c r="P875" s="29" t="str">
        <f t="shared" si="110"/>
        <v/>
      </c>
      <c r="Q875" s="29" t="str">
        <f t="shared" si="111"/>
        <v/>
      </c>
      <c r="R875" s="33"/>
    </row>
    <row r="876" spans="1:18" x14ac:dyDescent="0.25">
      <c r="A876" s="31"/>
      <c r="B876" s="34" t="str">
        <f t="shared" si="104"/>
        <v/>
      </c>
      <c r="C876" s="30"/>
      <c r="D876" s="10"/>
      <c r="E876" s="30"/>
      <c r="F876" s="36" t="str">
        <f t="shared" si="105"/>
        <v/>
      </c>
      <c r="G876" s="36" t="str">
        <f t="shared" si="106"/>
        <v/>
      </c>
      <c r="H876" s="36" t="str">
        <f t="shared" si="107"/>
        <v/>
      </c>
      <c r="I876" s="34" t="str">
        <f t="shared" si="108"/>
        <v/>
      </c>
      <c r="J876" s="35" t="str">
        <f t="shared" si="109"/>
        <v/>
      </c>
      <c r="K876" s="49"/>
      <c r="L876" s="30"/>
      <c r="M876" s="31"/>
      <c r="N876" s="33"/>
      <c r="O876" s="31"/>
      <c r="P876" s="29" t="str">
        <f t="shared" si="110"/>
        <v/>
      </c>
      <c r="Q876" s="29" t="str">
        <f t="shared" si="111"/>
        <v/>
      </c>
      <c r="R876" s="33"/>
    </row>
    <row r="877" spans="1:18" x14ac:dyDescent="0.25">
      <c r="A877" s="31"/>
      <c r="B877" s="34" t="str">
        <f t="shared" si="104"/>
        <v/>
      </c>
      <c r="C877" s="30"/>
      <c r="D877" s="10"/>
      <c r="E877" s="30"/>
      <c r="F877" s="36" t="str">
        <f t="shared" si="105"/>
        <v/>
      </c>
      <c r="G877" s="36" t="str">
        <f t="shared" si="106"/>
        <v/>
      </c>
      <c r="H877" s="36" t="str">
        <f t="shared" si="107"/>
        <v/>
      </c>
      <c r="I877" s="34" t="str">
        <f t="shared" si="108"/>
        <v/>
      </c>
      <c r="J877" s="35" t="str">
        <f t="shared" si="109"/>
        <v/>
      </c>
      <c r="K877" s="49"/>
      <c r="L877" s="30"/>
      <c r="M877" s="31"/>
      <c r="N877" s="33"/>
      <c r="O877" s="31"/>
      <c r="P877" s="29" t="str">
        <f t="shared" si="110"/>
        <v/>
      </c>
      <c r="Q877" s="29" t="str">
        <f t="shared" si="111"/>
        <v/>
      </c>
      <c r="R877" s="33"/>
    </row>
    <row r="878" spans="1:18" x14ac:dyDescent="0.25">
      <c r="A878" s="31"/>
      <c r="B878" s="34" t="str">
        <f t="shared" si="104"/>
        <v/>
      </c>
      <c r="C878" s="30"/>
      <c r="D878" s="10"/>
      <c r="E878" s="30"/>
      <c r="F878" s="36" t="str">
        <f t="shared" si="105"/>
        <v/>
      </c>
      <c r="G878" s="36" t="str">
        <f t="shared" si="106"/>
        <v/>
      </c>
      <c r="H878" s="36" t="str">
        <f t="shared" si="107"/>
        <v/>
      </c>
      <c r="I878" s="34" t="str">
        <f t="shared" si="108"/>
        <v/>
      </c>
      <c r="J878" s="35" t="str">
        <f t="shared" si="109"/>
        <v/>
      </c>
      <c r="K878" s="49"/>
      <c r="L878" s="30"/>
      <c r="M878" s="31"/>
      <c r="N878" s="33"/>
      <c r="O878" s="31"/>
      <c r="P878" s="29" t="str">
        <f t="shared" si="110"/>
        <v/>
      </c>
      <c r="Q878" s="29" t="str">
        <f t="shared" si="111"/>
        <v/>
      </c>
      <c r="R878" s="33"/>
    </row>
    <row r="879" spans="1:18" x14ac:dyDescent="0.25">
      <c r="A879" s="31"/>
      <c r="B879" s="34" t="str">
        <f t="shared" si="104"/>
        <v/>
      </c>
      <c r="C879" s="30"/>
      <c r="D879" s="10"/>
      <c r="E879" s="30"/>
      <c r="F879" s="36" t="str">
        <f t="shared" si="105"/>
        <v/>
      </c>
      <c r="G879" s="36" t="str">
        <f t="shared" si="106"/>
        <v/>
      </c>
      <c r="H879" s="36" t="str">
        <f t="shared" si="107"/>
        <v/>
      </c>
      <c r="I879" s="34" t="str">
        <f t="shared" si="108"/>
        <v/>
      </c>
      <c r="J879" s="35" t="str">
        <f t="shared" si="109"/>
        <v/>
      </c>
      <c r="K879" s="49"/>
      <c r="L879" s="30"/>
      <c r="M879" s="31"/>
      <c r="N879" s="33"/>
      <c r="O879" s="31"/>
      <c r="P879" s="29" t="str">
        <f t="shared" si="110"/>
        <v/>
      </c>
      <c r="Q879" s="29" t="str">
        <f t="shared" si="111"/>
        <v/>
      </c>
      <c r="R879" s="33"/>
    </row>
    <row r="880" spans="1:18" x14ac:dyDescent="0.25">
      <c r="A880" s="31"/>
      <c r="B880" s="34" t="str">
        <f t="shared" si="104"/>
        <v/>
      </c>
      <c r="C880" s="30"/>
      <c r="D880" s="10"/>
      <c r="E880" s="30"/>
      <c r="F880" s="36" t="str">
        <f t="shared" si="105"/>
        <v/>
      </c>
      <c r="G880" s="36" t="str">
        <f t="shared" si="106"/>
        <v/>
      </c>
      <c r="H880" s="36" t="str">
        <f t="shared" si="107"/>
        <v/>
      </c>
      <c r="I880" s="34" t="str">
        <f t="shared" si="108"/>
        <v/>
      </c>
      <c r="J880" s="35" t="str">
        <f t="shared" si="109"/>
        <v/>
      </c>
      <c r="K880" s="49"/>
      <c r="L880" s="30"/>
      <c r="M880" s="31"/>
      <c r="N880" s="33"/>
      <c r="O880" s="31"/>
      <c r="P880" s="29" t="str">
        <f t="shared" si="110"/>
        <v/>
      </c>
      <c r="Q880" s="29" t="str">
        <f t="shared" si="111"/>
        <v/>
      </c>
      <c r="R880" s="33"/>
    </row>
    <row r="881" spans="1:18" x14ac:dyDescent="0.25">
      <c r="A881" s="31"/>
      <c r="B881" s="34" t="str">
        <f t="shared" si="104"/>
        <v/>
      </c>
      <c r="C881" s="30"/>
      <c r="D881" s="10"/>
      <c r="E881" s="30"/>
      <c r="F881" s="36" t="str">
        <f t="shared" si="105"/>
        <v/>
      </c>
      <c r="G881" s="36" t="str">
        <f t="shared" si="106"/>
        <v/>
      </c>
      <c r="H881" s="36" t="str">
        <f t="shared" si="107"/>
        <v/>
      </c>
      <c r="I881" s="34" t="str">
        <f t="shared" si="108"/>
        <v/>
      </c>
      <c r="J881" s="35" t="str">
        <f t="shared" si="109"/>
        <v/>
      </c>
      <c r="K881" s="49"/>
      <c r="L881" s="30"/>
      <c r="M881" s="31"/>
      <c r="N881" s="33"/>
      <c r="O881" s="31"/>
      <c r="P881" s="29" t="str">
        <f t="shared" si="110"/>
        <v/>
      </c>
      <c r="Q881" s="29" t="str">
        <f t="shared" si="111"/>
        <v/>
      </c>
      <c r="R881" s="33"/>
    </row>
    <row r="882" spans="1:18" x14ac:dyDescent="0.25">
      <c r="A882" s="31"/>
      <c r="B882" s="34" t="str">
        <f t="shared" si="104"/>
        <v/>
      </c>
      <c r="C882" s="30"/>
      <c r="D882" s="10"/>
      <c r="E882" s="30"/>
      <c r="F882" s="36" t="str">
        <f t="shared" si="105"/>
        <v/>
      </c>
      <c r="G882" s="36" t="str">
        <f t="shared" si="106"/>
        <v/>
      </c>
      <c r="H882" s="36" t="str">
        <f t="shared" si="107"/>
        <v/>
      </c>
      <c r="I882" s="34" t="str">
        <f t="shared" si="108"/>
        <v/>
      </c>
      <c r="J882" s="35" t="str">
        <f t="shared" si="109"/>
        <v/>
      </c>
      <c r="K882" s="49"/>
      <c r="L882" s="30"/>
      <c r="M882" s="31"/>
      <c r="N882" s="33"/>
      <c r="O882" s="31"/>
      <c r="P882" s="29" t="str">
        <f t="shared" si="110"/>
        <v/>
      </c>
      <c r="Q882" s="29" t="str">
        <f t="shared" si="111"/>
        <v/>
      </c>
      <c r="R882" s="33"/>
    </row>
    <row r="883" spans="1:18" x14ac:dyDescent="0.25">
      <c r="A883" s="31"/>
      <c r="B883" s="34" t="str">
        <f t="shared" si="104"/>
        <v/>
      </c>
      <c r="C883" s="30"/>
      <c r="D883" s="10"/>
      <c r="E883" s="30"/>
      <c r="F883" s="36" t="str">
        <f t="shared" si="105"/>
        <v/>
      </c>
      <c r="G883" s="36" t="str">
        <f t="shared" si="106"/>
        <v/>
      </c>
      <c r="H883" s="36" t="str">
        <f t="shared" si="107"/>
        <v/>
      </c>
      <c r="I883" s="34" t="str">
        <f t="shared" si="108"/>
        <v/>
      </c>
      <c r="J883" s="35" t="str">
        <f t="shared" si="109"/>
        <v/>
      </c>
      <c r="K883" s="49"/>
      <c r="L883" s="30"/>
      <c r="M883" s="31"/>
      <c r="N883" s="33"/>
      <c r="O883" s="31"/>
      <c r="P883" s="29" t="str">
        <f t="shared" si="110"/>
        <v/>
      </c>
      <c r="Q883" s="29" t="str">
        <f t="shared" si="111"/>
        <v/>
      </c>
      <c r="R883" s="33"/>
    </row>
    <row r="884" spans="1:18" x14ac:dyDescent="0.25">
      <c r="A884" s="31"/>
      <c r="B884" s="34" t="str">
        <f t="shared" si="104"/>
        <v/>
      </c>
      <c r="C884" s="30"/>
      <c r="D884" s="10"/>
      <c r="E884" s="30"/>
      <c r="F884" s="36" t="str">
        <f t="shared" si="105"/>
        <v/>
      </c>
      <c r="G884" s="36" t="str">
        <f t="shared" si="106"/>
        <v/>
      </c>
      <c r="H884" s="36" t="str">
        <f t="shared" si="107"/>
        <v/>
      </c>
      <c r="I884" s="34" t="str">
        <f t="shared" si="108"/>
        <v/>
      </c>
      <c r="J884" s="35" t="str">
        <f t="shared" si="109"/>
        <v/>
      </c>
      <c r="K884" s="49"/>
      <c r="L884" s="30"/>
      <c r="M884" s="31"/>
      <c r="N884" s="33"/>
      <c r="O884" s="31"/>
      <c r="P884" s="29" t="str">
        <f t="shared" si="110"/>
        <v/>
      </c>
      <c r="Q884" s="29" t="str">
        <f t="shared" si="111"/>
        <v/>
      </c>
      <c r="R884" s="33"/>
    </row>
    <row r="885" spans="1:18" x14ac:dyDescent="0.25">
      <c r="A885" s="31"/>
      <c r="B885" s="34" t="str">
        <f t="shared" si="104"/>
        <v/>
      </c>
      <c r="C885" s="30"/>
      <c r="D885" s="10"/>
      <c r="E885" s="30"/>
      <c r="F885" s="36" t="str">
        <f t="shared" si="105"/>
        <v/>
      </c>
      <c r="G885" s="36" t="str">
        <f t="shared" si="106"/>
        <v/>
      </c>
      <c r="H885" s="36" t="str">
        <f t="shared" si="107"/>
        <v/>
      </c>
      <c r="I885" s="34" t="str">
        <f t="shared" si="108"/>
        <v/>
      </c>
      <c r="J885" s="35" t="str">
        <f t="shared" si="109"/>
        <v/>
      </c>
      <c r="K885" s="49"/>
      <c r="L885" s="30"/>
      <c r="M885" s="31"/>
      <c r="N885" s="33"/>
      <c r="O885" s="31"/>
      <c r="P885" s="29" t="str">
        <f t="shared" si="110"/>
        <v/>
      </c>
      <c r="Q885" s="29" t="str">
        <f t="shared" si="111"/>
        <v/>
      </c>
      <c r="R885" s="33"/>
    </row>
    <row r="886" spans="1:18" x14ac:dyDescent="0.25">
      <c r="A886" s="31"/>
      <c r="B886" s="34" t="str">
        <f t="shared" si="104"/>
        <v/>
      </c>
      <c r="C886" s="30"/>
      <c r="D886" s="10"/>
      <c r="E886" s="30"/>
      <c r="F886" s="36" t="str">
        <f t="shared" si="105"/>
        <v/>
      </c>
      <c r="G886" s="36" t="str">
        <f t="shared" si="106"/>
        <v/>
      </c>
      <c r="H886" s="36" t="str">
        <f t="shared" si="107"/>
        <v/>
      </c>
      <c r="I886" s="34" t="str">
        <f t="shared" si="108"/>
        <v/>
      </c>
      <c r="J886" s="35" t="str">
        <f t="shared" si="109"/>
        <v/>
      </c>
      <c r="K886" s="49"/>
      <c r="L886" s="30"/>
      <c r="M886" s="31"/>
      <c r="N886" s="33"/>
      <c r="O886" s="31"/>
      <c r="P886" s="29" t="str">
        <f t="shared" si="110"/>
        <v/>
      </c>
      <c r="Q886" s="29" t="str">
        <f t="shared" si="111"/>
        <v/>
      </c>
      <c r="R886" s="33"/>
    </row>
    <row r="887" spans="1:18" x14ac:dyDescent="0.25">
      <c r="A887" s="31"/>
      <c r="B887" s="34" t="str">
        <f t="shared" si="104"/>
        <v/>
      </c>
      <c r="C887" s="30"/>
      <c r="D887" s="10"/>
      <c r="E887" s="30"/>
      <c r="F887" s="36" t="str">
        <f t="shared" si="105"/>
        <v/>
      </c>
      <c r="G887" s="36" t="str">
        <f t="shared" si="106"/>
        <v/>
      </c>
      <c r="H887" s="36" t="str">
        <f t="shared" si="107"/>
        <v/>
      </c>
      <c r="I887" s="34" t="str">
        <f t="shared" si="108"/>
        <v/>
      </c>
      <c r="J887" s="35" t="str">
        <f t="shared" si="109"/>
        <v/>
      </c>
      <c r="K887" s="49"/>
      <c r="L887" s="30"/>
      <c r="M887" s="31"/>
      <c r="N887" s="33"/>
      <c r="O887" s="31"/>
      <c r="P887" s="29" t="str">
        <f t="shared" si="110"/>
        <v/>
      </c>
      <c r="Q887" s="29" t="str">
        <f t="shared" si="111"/>
        <v/>
      </c>
      <c r="R887" s="33"/>
    </row>
    <row r="888" spans="1:18" x14ac:dyDescent="0.25">
      <c r="A888" s="31"/>
      <c r="B888" s="34" t="str">
        <f t="shared" si="104"/>
        <v/>
      </c>
      <c r="C888" s="30"/>
      <c r="D888" s="10"/>
      <c r="E888" s="30"/>
      <c r="F888" s="36" t="str">
        <f t="shared" si="105"/>
        <v/>
      </c>
      <c r="G888" s="36" t="str">
        <f t="shared" si="106"/>
        <v/>
      </c>
      <c r="H888" s="36" t="str">
        <f t="shared" si="107"/>
        <v/>
      </c>
      <c r="I888" s="34" t="str">
        <f t="shared" si="108"/>
        <v/>
      </c>
      <c r="J888" s="35" t="str">
        <f t="shared" si="109"/>
        <v/>
      </c>
      <c r="K888" s="49"/>
      <c r="L888" s="30"/>
      <c r="M888" s="31"/>
      <c r="N888" s="33"/>
      <c r="O888" s="31"/>
      <c r="P888" s="29" t="str">
        <f t="shared" si="110"/>
        <v/>
      </c>
      <c r="Q888" s="29" t="str">
        <f t="shared" si="111"/>
        <v/>
      </c>
      <c r="R888" s="33"/>
    </row>
    <row r="889" spans="1:18" x14ac:dyDescent="0.25">
      <c r="A889" s="31"/>
      <c r="B889" s="34" t="str">
        <f t="shared" si="104"/>
        <v/>
      </c>
      <c r="C889" s="30"/>
      <c r="D889" s="10"/>
      <c r="E889" s="30"/>
      <c r="F889" s="36" t="str">
        <f t="shared" si="105"/>
        <v/>
      </c>
      <c r="G889" s="36" t="str">
        <f t="shared" si="106"/>
        <v/>
      </c>
      <c r="H889" s="36" t="str">
        <f t="shared" si="107"/>
        <v/>
      </c>
      <c r="I889" s="34" t="str">
        <f t="shared" si="108"/>
        <v/>
      </c>
      <c r="J889" s="35" t="str">
        <f t="shared" si="109"/>
        <v/>
      </c>
      <c r="K889" s="49"/>
      <c r="L889" s="30"/>
      <c r="M889" s="31"/>
      <c r="N889" s="33"/>
      <c r="O889" s="31"/>
      <c r="P889" s="29" t="str">
        <f t="shared" si="110"/>
        <v/>
      </c>
      <c r="Q889" s="29" t="str">
        <f t="shared" si="111"/>
        <v/>
      </c>
      <c r="R889" s="33"/>
    </row>
    <row r="890" spans="1:18" x14ac:dyDescent="0.25">
      <c r="A890" s="31"/>
      <c r="B890" s="34" t="str">
        <f t="shared" si="104"/>
        <v/>
      </c>
      <c r="C890" s="30"/>
      <c r="D890" s="10"/>
      <c r="E890" s="30"/>
      <c r="F890" s="36" t="str">
        <f t="shared" si="105"/>
        <v/>
      </c>
      <c r="G890" s="36" t="str">
        <f t="shared" si="106"/>
        <v/>
      </c>
      <c r="H890" s="36" t="str">
        <f t="shared" si="107"/>
        <v/>
      </c>
      <c r="I890" s="34" t="str">
        <f t="shared" si="108"/>
        <v/>
      </c>
      <c r="J890" s="35" t="str">
        <f t="shared" si="109"/>
        <v/>
      </c>
      <c r="K890" s="49"/>
      <c r="L890" s="30"/>
      <c r="M890" s="31"/>
      <c r="N890" s="33"/>
      <c r="O890" s="31"/>
      <c r="P890" s="29" t="str">
        <f t="shared" si="110"/>
        <v/>
      </c>
      <c r="Q890" s="29" t="str">
        <f t="shared" si="111"/>
        <v/>
      </c>
      <c r="R890" s="33"/>
    </row>
    <row r="891" spans="1:18" x14ac:dyDescent="0.25">
      <c r="A891" s="31"/>
      <c r="B891" s="34" t="str">
        <f t="shared" si="104"/>
        <v/>
      </c>
      <c r="C891" s="30"/>
      <c r="D891" s="10"/>
      <c r="E891" s="30"/>
      <c r="F891" s="36" t="str">
        <f t="shared" si="105"/>
        <v/>
      </c>
      <c r="G891" s="36" t="str">
        <f t="shared" si="106"/>
        <v/>
      </c>
      <c r="H891" s="36" t="str">
        <f t="shared" si="107"/>
        <v/>
      </c>
      <c r="I891" s="34" t="str">
        <f t="shared" si="108"/>
        <v/>
      </c>
      <c r="J891" s="35" t="str">
        <f t="shared" si="109"/>
        <v/>
      </c>
      <c r="K891" s="49"/>
      <c r="L891" s="30"/>
      <c r="M891" s="31"/>
      <c r="N891" s="33"/>
      <c r="O891" s="31"/>
      <c r="P891" s="29" t="str">
        <f t="shared" si="110"/>
        <v/>
      </c>
      <c r="Q891" s="29" t="str">
        <f t="shared" si="111"/>
        <v/>
      </c>
      <c r="R891" s="33"/>
    </row>
    <row r="892" spans="1:18" x14ac:dyDescent="0.25">
      <c r="A892" s="31"/>
      <c r="B892" s="34" t="str">
        <f t="shared" si="104"/>
        <v/>
      </c>
      <c r="C892" s="30"/>
      <c r="D892" s="10"/>
      <c r="E892" s="30"/>
      <c r="F892" s="36" t="str">
        <f t="shared" si="105"/>
        <v/>
      </c>
      <c r="G892" s="36" t="str">
        <f t="shared" si="106"/>
        <v/>
      </c>
      <c r="H892" s="36" t="str">
        <f t="shared" si="107"/>
        <v/>
      </c>
      <c r="I892" s="34" t="str">
        <f t="shared" si="108"/>
        <v/>
      </c>
      <c r="J892" s="35" t="str">
        <f t="shared" si="109"/>
        <v/>
      </c>
      <c r="K892" s="49"/>
      <c r="L892" s="30"/>
      <c r="M892" s="31"/>
      <c r="N892" s="33"/>
      <c r="O892" s="31"/>
      <c r="P892" s="29" t="str">
        <f t="shared" si="110"/>
        <v/>
      </c>
      <c r="Q892" s="29" t="str">
        <f t="shared" si="111"/>
        <v/>
      </c>
      <c r="R892" s="33"/>
    </row>
    <row r="893" spans="1:18" x14ac:dyDescent="0.25">
      <c r="A893" s="31"/>
      <c r="B893" s="34" t="str">
        <f t="shared" si="104"/>
        <v/>
      </c>
      <c r="C893" s="30"/>
      <c r="D893" s="10"/>
      <c r="E893" s="30"/>
      <c r="F893" s="36" t="str">
        <f t="shared" si="105"/>
        <v/>
      </c>
      <c r="G893" s="36" t="str">
        <f t="shared" si="106"/>
        <v/>
      </c>
      <c r="H893" s="36" t="str">
        <f t="shared" si="107"/>
        <v/>
      </c>
      <c r="I893" s="34" t="str">
        <f t="shared" si="108"/>
        <v/>
      </c>
      <c r="J893" s="35" t="str">
        <f t="shared" si="109"/>
        <v/>
      </c>
      <c r="K893" s="49"/>
      <c r="L893" s="30"/>
      <c r="M893" s="31"/>
      <c r="N893" s="33"/>
      <c r="O893" s="31"/>
      <c r="P893" s="29" t="str">
        <f t="shared" si="110"/>
        <v/>
      </c>
      <c r="Q893" s="29" t="str">
        <f t="shared" si="111"/>
        <v/>
      </c>
      <c r="R893" s="33"/>
    </row>
    <row r="894" spans="1:18" x14ac:dyDescent="0.25">
      <c r="A894" s="31"/>
      <c r="B894" s="34" t="str">
        <f t="shared" si="104"/>
        <v/>
      </c>
      <c r="C894" s="30"/>
      <c r="D894" s="10"/>
      <c r="E894" s="30"/>
      <c r="F894" s="36" t="str">
        <f t="shared" si="105"/>
        <v/>
      </c>
      <c r="G894" s="36" t="str">
        <f t="shared" si="106"/>
        <v/>
      </c>
      <c r="H894" s="36" t="str">
        <f t="shared" si="107"/>
        <v/>
      </c>
      <c r="I894" s="34" t="str">
        <f t="shared" si="108"/>
        <v/>
      </c>
      <c r="J894" s="35" t="str">
        <f t="shared" si="109"/>
        <v/>
      </c>
      <c r="K894" s="49"/>
      <c r="L894" s="30"/>
      <c r="M894" s="31"/>
      <c r="N894" s="33"/>
      <c r="O894" s="31"/>
      <c r="P894" s="29" t="str">
        <f t="shared" si="110"/>
        <v/>
      </c>
      <c r="Q894" s="29" t="str">
        <f t="shared" si="111"/>
        <v/>
      </c>
      <c r="R894" s="33"/>
    </row>
    <row r="895" spans="1:18" x14ac:dyDescent="0.25">
      <c r="A895" s="31"/>
      <c r="B895" s="34" t="str">
        <f t="shared" si="104"/>
        <v/>
      </c>
      <c r="C895" s="30"/>
      <c r="D895" s="10"/>
      <c r="E895" s="30"/>
      <c r="F895" s="36" t="str">
        <f t="shared" si="105"/>
        <v/>
      </c>
      <c r="G895" s="36" t="str">
        <f t="shared" si="106"/>
        <v/>
      </c>
      <c r="H895" s="36" t="str">
        <f t="shared" si="107"/>
        <v/>
      </c>
      <c r="I895" s="34" t="str">
        <f t="shared" si="108"/>
        <v/>
      </c>
      <c r="J895" s="35" t="str">
        <f t="shared" si="109"/>
        <v/>
      </c>
      <c r="K895" s="49"/>
      <c r="L895" s="30"/>
      <c r="M895" s="31"/>
      <c r="N895" s="33"/>
      <c r="O895" s="31"/>
      <c r="P895" s="29" t="str">
        <f t="shared" si="110"/>
        <v/>
      </c>
      <c r="Q895" s="29" t="str">
        <f t="shared" si="111"/>
        <v/>
      </c>
      <c r="R895" s="33"/>
    </row>
    <row r="896" spans="1:18" x14ac:dyDescent="0.25">
      <c r="A896" s="31"/>
      <c r="B896" s="34" t="str">
        <f t="shared" si="104"/>
        <v/>
      </c>
      <c r="C896" s="30"/>
      <c r="D896" s="10"/>
      <c r="E896" s="30"/>
      <c r="F896" s="36" t="str">
        <f t="shared" si="105"/>
        <v/>
      </c>
      <c r="G896" s="36" t="str">
        <f t="shared" si="106"/>
        <v/>
      </c>
      <c r="H896" s="36" t="str">
        <f t="shared" si="107"/>
        <v/>
      </c>
      <c r="I896" s="34" t="str">
        <f t="shared" si="108"/>
        <v/>
      </c>
      <c r="J896" s="35" t="str">
        <f t="shared" si="109"/>
        <v/>
      </c>
      <c r="K896" s="49"/>
      <c r="L896" s="30"/>
      <c r="M896" s="31"/>
      <c r="N896" s="33"/>
      <c r="O896" s="31"/>
      <c r="P896" s="29" t="str">
        <f t="shared" si="110"/>
        <v/>
      </c>
      <c r="Q896" s="29" t="str">
        <f t="shared" si="111"/>
        <v/>
      </c>
      <c r="R896" s="33"/>
    </row>
    <row r="897" spans="1:18" x14ac:dyDescent="0.25">
      <c r="A897" s="31"/>
      <c r="B897" s="34" t="str">
        <f t="shared" si="104"/>
        <v/>
      </c>
      <c r="C897" s="30"/>
      <c r="D897" s="10"/>
      <c r="E897" s="30"/>
      <c r="F897" s="36" t="str">
        <f t="shared" si="105"/>
        <v/>
      </c>
      <c r="G897" s="36" t="str">
        <f t="shared" si="106"/>
        <v/>
      </c>
      <c r="H897" s="36" t="str">
        <f t="shared" si="107"/>
        <v/>
      </c>
      <c r="I897" s="34" t="str">
        <f t="shared" si="108"/>
        <v/>
      </c>
      <c r="J897" s="35" t="str">
        <f t="shared" si="109"/>
        <v/>
      </c>
      <c r="K897" s="49"/>
      <c r="L897" s="30"/>
      <c r="M897" s="31"/>
      <c r="N897" s="33"/>
      <c r="O897" s="31"/>
      <c r="P897" s="29" t="str">
        <f t="shared" si="110"/>
        <v/>
      </c>
      <c r="Q897" s="29" t="str">
        <f t="shared" si="111"/>
        <v/>
      </c>
      <c r="R897" s="33"/>
    </row>
    <row r="898" spans="1:18" x14ac:dyDescent="0.25">
      <c r="A898" s="31"/>
      <c r="B898" s="34" t="str">
        <f t="shared" si="104"/>
        <v/>
      </c>
      <c r="C898" s="30"/>
      <c r="D898" s="10"/>
      <c r="E898" s="30"/>
      <c r="F898" s="36" t="str">
        <f t="shared" si="105"/>
        <v/>
      </c>
      <c r="G898" s="36" t="str">
        <f t="shared" si="106"/>
        <v/>
      </c>
      <c r="H898" s="36" t="str">
        <f t="shared" si="107"/>
        <v/>
      </c>
      <c r="I898" s="34" t="str">
        <f t="shared" si="108"/>
        <v/>
      </c>
      <c r="J898" s="35" t="str">
        <f t="shared" si="109"/>
        <v/>
      </c>
      <c r="K898" s="49"/>
      <c r="L898" s="30"/>
      <c r="M898" s="31"/>
      <c r="N898" s="33"/>
      <c r="O898" s="31"/>
      <c r="P898" s="29" t="str">
        <f t="shared" si="110"/>
        <v/>
      </c>
      <c r="Q898" s="29" t="str">
        <f t="shared" si="111"/>
        <v/>
      </c>
      <c r="R898" s="33"/>
    </row>
    <row r="899" spans="1:18" x14ac:dyDescent="0.25">
      <c r="A899" s="31"/>
      <c r="B899" s="34" t="str">
        <f t="shared" si="104"/>
        <v/>
      </c>
      <c r="C899" s="30"/>
      <c r="D899" s="10"/>
      <c r="E899" s="30"/>
      <c r="F899" s="36" t="str">
        <f t="shared" si="105"/>
        <v/>
      </c>
      <c r="G899" s="36" t="str">
        <f t="shared" si="106"/>
        <v/>
      </c>
      <c r="H899" s="36" t="str">
        <f t="shared" si="107"/>
        <v/>
      </c>
      <c r="I899" s="34" t="str">
        <f t="shared" si="108"/>
        <v/>
      </c>
      <c r="J899" s="35" t="str">
        <f t="shared" si="109"/>
        <v/>
      </c>
      <c r="K899" s="49"/>
      <c r="L899" s="30"/>
      <c r="M899" s="31"/>
      <c r="N899" s="33"/>
      <c r="O899" s="31"/>
      <c r="P899" s="29" t="str">
        <f t="shared" si="110"/>
        <v/>
      </c>
      <c r="Q899" s="29" t="str">
        <f t="shared" si="111"/>
        <v/>
      </c>
      <c r="R899" s="33"/>
    </row>
    <row r="900" spans="1:18" x14ac:dyDescent="0.25">
      <c r="A900" s="31"/>
      <c r="B900" s="34" t="str">
        <f t="shared" si="104"/>
        <v/>
      </c>
      <c r="C900" s="30"/>
      <c r="D900" s="10"/>
      <c r="E900" s="30"/>
      <c r="F900" s="36" t="str">
        <f t="shared" si="105"/>
        <v/>
      </c>
      <c r="G900" s="36" t="str">
        <f t="shared" si="106"/>
        <v/>
      </c>
      <c r="H900" s="36" t="str">
        <f t="shared" si="107"/>
        <v/>
      </c>
      <c r="I900" s="34" t="str">
        <f t="shared" si="108"/>
        <v/>
      </c>
      <c r="J900" s="35" t="str">
        <f t="shared" si="109"/>
        <v/>
      </c>
      <c r="K900" s="49"/>
      <c r="L900" s="30"/>
      <c r="M900" s="31"/>
      <c r="N900" s="33"/>
      <c r="O900" s="31"/>
      <c r="P900" s="29" t="str">
        <f t="shared" si="110"/>
        <v/>
      </c>
      <c r="Q900" s="29" t="str">
        <f t="shared" si="111"/>
        <v/>
      </c>
      <c r="R900" s="33"/>
    </row>
    <row r="901" spans="1:18" x14ac:dyDescent="0.25">
      <c r="A901" s="31"/>
      <c r="B901" s="34" t="str">
        <f t="shared" si="104"/>
        <v/>
      </c>
      <c r="C901" s="30"/>
      <c r="D901" s="10"/>
      <c r="E901" s="30"/>
      <c r="F901" s="36" t="str">
        <f t="shared" si="105"/>
        <v/>
      </c>
      <c r="G901" s="36" t="str">
        <f t="shared" si="106"/>
        <v/>
      </c>
      <c r="H901" s="36" t="str">
        <f t="shared" si="107"/>
        <v/>
      </c>
      <c r="I901" s="34" t="str">
        <f t="shared" si="108"/>
        <v/>
      </c>
      <c r="J901" s="35" t="str">
        <f t="shared" si="109"/>
        <v/>
      </c>
      <c r="K901" s="49"/>
      <c r="L901" s="30"/>
      <c r="M901" s="31"/>
      <c r="N901" s="33"/>
      <c r="O901" s="31"/>
      <c r="P901" s="29" t="str">
        <f t="shared" si="110"/>
        <v/>
      </c>
      <c r="Q901" s="29" t="str">
        <f t="shared" si="111"/>
        <v/>
      </c>
      <c r="R901" s="33"/>
    </row>
    <row r="902" spans="1:18" x14ac:dyDescent="0.25">
      <c r="A902" s="31"/>
      <c r="B902" s="34" t="str">
        <f t="shared" si="104"/>
        <v/>
      </c>
      <c r="C902" s="30"/>
      <c r="D902" s="10"/>
      <c r="E902" s="30"/>
      <c r="F902" s="36" t="str">
        <f t="shared" si="105"/>
        <v/>
      </c>
      <c r="G902" s="36" t="str">
        <f t="shared" si="106"/>
        <v/>
      </c>
      <c r="H902" s="36" t="str">
        <f t="shared" si="107"/>
        <v/>
      </c>
      <c r="I902" s="34" t="str">
        <f t="shared" si="108"/>
        <v/>
      </c>
      <c r="J902" s="35" t="str">
        <f t="shared" si="109"/>
        <v/>
      </c>
      <c r="K902" s="49"/>
      <c r="L902" s="30"/>
      <c r="M902" s="31"/>
      <c r="N902" s="33"/>
      <c r="O902" s="31"/>
      <c r="P902" s="29" t="str">
        <f t="shared" si="110"/>
        <v/>
      </c>
      <c r="Q902" s="29" t="str">
        <f t="shared" si="111"/>
        <v/>
      </c>
      <c r="R902" s="33"/>
    </row>
    <row r="903" spans="1:18" x14ac:dyDescent="0.25">
      <c r="A903" s="31"/>
      <c r="B903" s="34" t="str">
        <f t="shared" si="104"/>
        <v/>
      </c>
      <c r="C903" s="30"/>
      <c r="D903" s="10"/>
      <c r="E903" s="30"/>
      <c r="F903" s="36" t="str">
        <f t="shared" si="105"/>
        <v/>
      </c>
      <c r="G903" s="36" t="str">
        <f t="shared" si="106"/>
        <v/>
      </c>
      <c r="H903" s="36" t="str">
        <f t="shared" si="107"/>
        <v/>
      </c>
      <c r="I903" s="34" t="str">
        <f t="shared" si="108"/>
        <v/>
      </c>
      <c r="J903" s="35" t="str">
        <f t="shared" si="109"/>
        <v/>
      </c>
      <c r="K903" s="49"/>
      <c r="L903" s="30"/>
      <c r="M903" s="31"/>
      <c r="N903" s="33"/>
      <c r="O903" s="31"/>
      <c r="P903" s="29" t="str">
        <f t="shared" si="110"/>
        <v/>
      </c>
      <c r="Q903" s="29" t="str">
        <f t="shared" si="111"/>
        <v/>
      </c>
      <c r="R903" s="33"/>
    </row>
    <row r="904" spans="1:18" x14ac:dyDescent="0.25">
      <c r="A904" s="31"/>
      <c r="B904" s="34" t="str">
        <f t="shared" si="104"/>
        <v/>
      </c>
      <c r="C904" s="30"/>
      <c r="D904" s="10"/>
      <c r="E904" s="30"/>
      <c r="F904" s="36" t="str">
        <f t="shared" si="105"/>
        <v/>
      </c>
      <c r="G904" s="36" t="str">
        <f t="shared" si="106"/>
        <v/>
      </c>
      <c r="H904" s="36" t="str">
        <f t="shared" si="107"/>
        <v/>
      </c>
      <c r="I904" s="34" t="str">
        <f t="shared" si="108"/>
        <v/>
      </c>
      <c r="J904" s="35" t="str">
        <f t="shared" si="109"/>
        <v/>
      </c>
      <c r="K904" s="49"/>
      <c r="L904" s="30"/>
      <c r="M904" s="31"/>
      <c r="N904" s="33"/>
      <c r="O904" s="31"/>
      <c r="P904" s="29" t="str">
        <f t="shared" si="110"/>
        <v/>
      </c>
      <c r="Q904" s="29" t="str">
        <f t="shared" si="111"/>
        <v/>
      </c>
      <c r="R904" s="33"/>
    </row>
  </sheetData>
  <autoFilter ref="A4:R4"/>
  <mergeCells count="17">
    <mergeCell ref="U14:Z14"/>
    <mergeCell ref="U15:Z15"/>
    <mergeCell ref="A2:R2"/>
    <mergeCell ref="U10:Z10"/>
    <mergeCell ref="U1:Z1"/>
    <mergeCell ref="A1:R1"/>
    <mergeCell ref="U4:Z4"/>
    <mergeCell ref="U8:Z8"/>
    <mergeCell ref="U13:Z13"/>
    <mergeCell ref="U9:Z9"/>
    <mergeCell ref="U7:Z7"/>
    <mergeCell ref="U3:Z3"/>
    <mergeCell ref="U11:Z11"/>
    <mergeCell ref="U12:Z12"/>
    <mergeCell ref="U5:Z5"/>
    <mergeCell ref="U2:Z2"/>
    <mergeCell ref="U6:Z6"/>
  </mergeCells>
  <conditionalFormatting sqref="N5:N904">
    <cfRule type="expression" dxfId="63" priority="4">
      <formula>AND($L5="NÃO",$N5="")</formula>
    </cfRule>
  </conditionalFormatting>
  <conditionalFormatting sqref="P5:P904">
    <cfRule type="cellIs" dxfId="62" priority="1" operator="equal">
      <formula>"EXECUTADO"</formula>
    </cfRule>
    <cfRule type="cellIs" dxfId="61" priority="2" operator="equal">
      <formula>"NÃO EXECUTADO"</formula>
    </cfRule>
    <cfRule type="cellIs" dxfId="60" priority="3" operator="equal">
      <formula>"REPROGRAMADO"</formula>
    </cfRule>
  </conditionalFormatting>
  <dataValidations count="5">
    <dataValidation type="list" allowBlank="1" errorTitle="Entrada invalida" error="Valor fora da lista padronizada. Use a seta para escolher." sqref="C5:C904">
      <formula1>LST_EQUIPE</formula1>
    </dataValidation>
    <dataValidation type="list" allowBlank="1" showInputMessage="1" errorTitle="Entrada invalida" error="Valor fora da lista padronizada. Use a seta para escolher." promptTitle="Executou?" prompt="SIM = concluiu o serviço no dia. NÃO = obrigatório informar o MOTIVO." sqref="L5:L904">
      <formula1>LST_SN</formula1>
    </dataValidation>
    <dataValidation type="list" allowBlank="1" errorTitle="Entrada invalida" error="Valor fora da lista padronizada. Use a seta para escolher." sqref="N5:N904">
      <formula1>LST_MOTIVO_NE</formula1>
    </dataValidation>
    <dataValidation type="date" allowBlank="1" errorTitle="Data invalida" error="Informe uma data valida (dd/mm/aaaa) entre 2026 e 2030." sqref="A5:A904 M5:M904 O5:O904">
      <formula1>DATE(2026,1,1)</formula1>
      <formula2>DATE(2030,12,31)</formula2>
    </dataValidation>
    <dataValidation type="decimal" allowBlank="1" errorTitle="Valor invalido" error="Informe um numero entre 0 e 24." sqref="K5:K904">
      <formula1>0</formula1>
      <formula2>24</formula2>
    </dataValidation>
  </dataValidations>
  <printOptions horizontalCentered="1"/>
  <pageMargins left="0.3" right="0.3" top="0.5" bottom="0.5" header="0.5" footer="0.5"/>
  <pageSetup paperSize="9" fitToHeight="0" orientation="landscape"/>
  <headerFooter>
    <oddFooter>&amp;L&amp;8 WCR Saneamento — Controle Operacional SABESP&amp;R&amp;8 Página &amp;P de &amp;N</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2E75B6"/>
    <pageSetUpPr fitToPage="1"/>
  </sheetPr>
  <dimension ref="A1:AD608"/>
  <sheetViews>
    <sheetView showGridLines="0" workbookViewId="0">
      <pane ySplit="4" topLeftCell="A35" activePane="bottomLeft" state="frozen"/>
      <selection pane="bottomLeft" activeCell="V36" sqref="V36"/>
    </sheetView>
  </sheetViews>
  <sheetFormatPr defaultRowHeight="15" x14ac:dyDescent="0.25"/>
  <cols>
    <col min="1" max="1" width="13" style="109" customWidth="1"/>
    <col min="2" max="2" width="12" style="109" customWidth="1"/>
    <col min="3" max="3" width="14" style="109" customWidth="1"/>
    <col min="4" max="4" width="34" style="109" customWidth="1"/>
    <col min="5" max="5" width="20" style="109" customWidth="1"/>
    <col min="6" max="6" width="30" style="109" customWidth="1"/>
    <col min="7" max="7" width="10" style="109" customWidth="1"/>
    <col min="8" max="8" width="20" style="109" customWidth="1"/>
    <col min="9" max="9" width="12" style="109" customWidth="1"/>
    <col min="10" max="10" width="13" style="109" customWidth="1"/>
    <col min="11" max="11" width="7" style="109" customWidth="1"/>
    <col min="12" max="12" width="12" style="109" customWidth="1"/>
    <col min="13" max="13" width="11" style="109" customWidth="1"/>
    <col min="14" max="14" width="15" style="109" customWidth="1"/>
    <col min="15" max="16" width="11" style="109" customWidth="1"/>
    <col min="17" max="17" width="10" style="109" customWidth="1"/>
    <col min="18" max="18" width="12" style="109" customWidth="1"/>
    <col min="19" max="19" width="14" style="109" customWidth="1"/>
    <col min="20" max="20" width="13" style="109" customWidth="1"/>
    <col min="21" max="21" width="17" style="109" customWidth="1"/>
    <col min="22" max="22" width="34" style="109" customWidth="1"/>
    <col min="25" max="30" width="10.42578125" style="109" customWidth="1"/>
  </cols>
  <sheetData>
    <row r="1" spans="1:30" ht="26.1" customHeight="1" x14ac:dyDescent="0.25">
      <c r="A1" s="151" t="s">
        <v>2588</v>
      </c>
      <c r="B1" s="149"/>
      <c r="C1" s="149"/>
      <c r="D1" s="149"/>
      <c r="E1" s="149"/>
      <c r="F1" s="149"/>
      <c r="G1" s="149"/>
      <c r="H1" s="149"/>
      <c r="I1" s="149"/>
      <c r="J1" s="149"/>
      <c r="K1" s="149"/>
      <c r="L1" s="149"/>
      <c r="M1" s="149"/>
      <c r="N1" s="149"/>
      <c r="O1" s="149"/>
      <c r="P1" s="149"/>
      <c r="Q1" s="149"/>
      <c r="R1" s="149"/>
      <c r="S1" s="149"/>
      <c r="T1" s="149"/>
      <c r="U1" s="149"/>
      <c r="V1" s="149"/>
      <c r="Y1" s="154" t="s">
        <v>280</v>
      </c>
      <c r="Z1" s="155"/>
      <c r="AA1" s="155"/>
      <c r="AB1" s="155"/>
      <c r="AC1" s="155"/>
      <c r="AD1" s="156"/>
    </row>
    <row r="2" spans="1:30" ht="14.1" customHeight="1" x14ac:dyDescent="0.25">
      <c r="A2" s="153" t="s">
        <v>2589</v>
      </c>
      <c r="B2" s="149"/>
      <c r="C2" s="149"/>
      <c r="D2" s="149"/>
      <c r="E2" s="149"/>
      <c r="F2" s="149"/>
      <c r="G2" s="149"/>
      <c r="H2" s="149"/>
      <c r="I2" s="149"/>
      <c r="J2" s="149"/>
      <c r="K2" s="149"/>
      <c r="L2" s="149"/>
      <c r="M2" s="149"/>
      <c r="N2" s="149"/>
      <c r="O2" s="149"/>
      <c r="P2" s="149"/>
      <c r="Q2" s="149"/>
      <c r="R2" s="149"/>
      <c r="S2" s="149"/>
      <c r="T2" s="149"/>
      <c r="U2" s="149"/>
      <c r="V2" s="149"/>
      <c r="Y2" s="158" t="s">
        <v>82</v>
      </c>
      <c r="Z2" s="155"/>
      <c r="AA2" s="155"/>
      <c r="AB2" s="155"/>
      <c r="AC2" s="155"/>
      <c r="AD2" s="156"/>
    </row>
    <row r="3" spans="1:30" x14ac:dyDescent="0.25">
      <c r="Y3" s="157" t="s">
        <v>83</v>
      </c>
      <c r="Z3" s="155"/>
      <c r="AA3" s="155"/>
      <c r="AB3" s="155"/>
      <c r="AC3" s="155"/>
      <c r="AD3" s="156"/>
    </row>
    <row r="4" spans="1:30" ht="32.1" customHeight="1" x14ac:dyDescent="0.25">
      <c r="A4" s="46" t="s">
        <v>2538</v>
      </c>
      <c r="B4" s="46" t="s">
        <v>591</v>
      </c>
      <c r="C4" s="46" t="s">
        <v>2418</v>
      </c>
      <c r="D4" s="46" t="s">
        <v>2422</v>
      </c>
      <c r="E4" s="46" t="s">
        <v>603</v>
      </c>
      <c r="F4" s="46" t="s">
        <v>916</v>
      </c>
      <c r="G4" s="46" t="s">
        <v>592</v>
      </c>
      <c r="H4" s="46" t="s">
        <v>2590</v>
      </c>
      <c r="I4" s="46" t="s">
        <v>2591</v>
      </c>
      <c r="J4" s="46" t="s">
        <v>2592</v>
      </c>
      <c r="K4" s="46" t="s">
        <v>2593</v>
      </c>
      <c r="L4" s="46" t="s">
        <v>2594</v>
      </c>
      <c r="M4" s="46" t="s">
        <v>2595</v>
      </c>
      <c r="N4" s="46" t="s">
        <v>2596</v>
      </c>
      <c r="O4" s="46" t="s">
        <v>2597</v>
      </c>
      <c r="P4" s="46" t="s">
        <v>2598</v>
      </c>
      <c r="Q4" s="46" t="s">
        <v>2599</v>
      </c>
      <c r="R4" s="46" t="s">
        <v>2600</v>
      </c>
      <c r="S4" s="46" t="s">
        <v>2601</v>
      </c>
      <c r="T4" s="46" t="s">
        <v>2602</v>
      </c>
      <c r="U4" s="46" t="s">
        <v>2603</v>
      </c>
      <c r="V4" s="46" t="s">
        <v>2604</v>
      </c>
      <c r="Y4" s="157" t="s">
        <v>84</v>
      </c>
      <c r="Z4" s="155"/>
      <c r="AA4" s="155"/>
      <c r="AB4" s="155"/>
      <c r="AC4" s="155"/>
      <c r="AD4" s="156"/>
    </row>
    <row r="5" spans="1:30" ht="38.25" customHeight="1" x14ac:dyDescent="0.25">
      <c r="A5" s="30" t="s">
        <v>2545</v>
      </c>
      <c r="B5" s="34" t="str">
        <f t="shared" ref="B5:B68" si="0">IFERROR(IF($A5="","",VLOOKUP($A5,CAD_TAB,2,FALSE)),"")</f>
        <v>BERTIOGA</v>
      </c>
      <c r="C5" s="34">
        <f t="shared" ref="C5:C68" si="1">IFERROR(IF($A5="","",VLOOKUP($A5,CAD_TAB,3,FALSE)),"")</f>
        <v>0</v>
      </c>
      <c r="D5" s="36" t="str">
        <f t="shared" ref="D5:D68" si="2">IFERROR(IF($A5="","",VLOOKUP($A5,CAD_TAB,9,FALSE)),"")</f>
        <v>Alameda Maua</v>
      </c>
      <c r="E5" s="36" t="str">
        <f t="shared" ref="E5:E68" si="3">IFERROR(IF($A5="","",VLOOKUP($A5,CAD_TAB,11,FALSE)),"")</f>
        <v>Boracéia</v>
      </c>
      <c r="F5" s="36" t="str">
        <f t="shared" ref="F5:F68" si="4">IFERROR(IF($A5="","",VLOOKUP($A5,CAD_TAB,8,FALSE)),"")</f>
        <v>Vazamento de água não visível — rede</v>
      </c>
      <c r="G5" s="30"/>
      <c r="H5" s="33"/>
      <c r="I5" s="31">
        <v>46273</v>
      </c>
      <c r="J5" s="31">
        <v>46273</v>
      </c>
      <c r="K5" s="13">
        <f t="shared" ref="K5:K68" si="5">IF(OR($I5="",$J5=""),"",$J5-$I5+1)</f>
        <v>1</v>
      </c>
      <c r="L5" s="49"/>
      <c r="M5" s="49"/>
      <c r="N5" s="30"/>
      <c r="O5" s="30"/>
      <c r="P5" s="30"/>
      <c r="Q5" s="30"/>
      <c r="R5" s="11">
        <f t="shared" ref="R5:R68" si="6">IF($A5="","",COUNTIFS(MED_ID,$A5))</f>
        <v>1</v>
      </c>
      <c r="S5" s="55">
        <f t="shared" ref="S5:S68" si="7">IF($A5="","",SUMIFS(MED_VLR,MED_ID,$A5))</f>
        <v>0</v>
      </c>
      <c r="T5" s="37">
        <f t="shared" ref="T5:T68" si="8">IF($J5="","",EOMONTH($J5,0))</f>
        <v>46295</v>
      </c>
      <c r="U5" s="29" t="str">
        <f t="shared" ref="U5:U68" si="9">IF($A5="","",IF($V5="CANCELADA","CANCELADA",IF($S5&gt;0,"MEDIDA",IF($J5="","EM EXECUÇÃO",IF(OR($N5="NÃO",$O5="NÃO",$P5="NÃO"),"AGUARDANDO PAVIMENTO","CONCLUÍDA")))))</f>
        <v>CONCLUÍDA</v>
      </c>
      <c r="V5" s="33" t="s">
        <v>2605</v>
      </c>
      <c r="Y5" s="157" t="s">
        <v>85</v>
      </c>
      <c r="Z5" s="155"/>
      <c r="AA5" s="155"/>
      <c r="AB5" s="155"/>
      <c r="AC5" s="155"/>
      <c r="AD5" s="156"/>
    </row>
    <row r="6" spans="1:30" ht="25.5" customHeight="1" x14ac:dyDescent="0.25">
      <c r="A6" s="30" t="s">
        <v>2546</v>
      </c>
      <c r="B6" s="34" t="str">
        <f t="shared" si="0"/>
        <v>BERTIOGA</v>
      </c>
      <c r="C6" s="34">
        <f t="shared" si="1"/>
        <v>0</v>
      </c>
      <c r="D6" s="36" t="str">
        <f t="shared" si="2"/>
        <v>Rua Francisco Chaves</v>
      </c>
      <c r="E6" s="36" t="str">
        <f t="shared" si="3"/>
        <v>Jardim Vicente de Carvalho</v>
      </c>
      <c r="F6" s="36" t="str">
        <f t="shared" si="4"/>
        <v>Vazamento de água não visível — rede</v>
      </c>
      <c r="G6" s="30"/>
      <c r="H6" s="33"/>
      <c r="I6" s="31">
        <v>46268</v>
      </c>
      <c r="J6" s="31">
        <v>46268</v>
      </c>
      <c r="K6" s="13">
        <f t="shared" si="5"/>
        <v>1</v>
      </c>
      <c r="L6" s="49"/>
      <c r="M6" s="49">
        <v>2</v>
      </c>
      <c r="N6" s="30" t="s">
        <v>634</v>
      </c>
      <c r="O6" s="30"/>
      <c r="P6" s="30"/>
      <c r="Q6" s="30"/>
      <c r="R6" s="11">
        <f t="shared" si="6"/>
        <v>2</v>
      </c>
      <c r="S6" s="55">
        <f t="shared" si="7"/>
        <v>924.97</v>
      </c>
      <c r="T6" s="37">
        <f t="shared" si="8"/>
        <v>46295</v>
      </c>
      <c r="U6" s="29" t="str">
        <f t="shared" si="9"/>
        <v>MEDIDA</v>
      </c>
      <c r="V6" s="33" t="s">
        <v>2606</v>
      </c>
      <c r="Y6" s="157" t="s">
        <v>86</v>
      </c>
      <c r="Z6" s="155"/>
      <c r="AA6" s="155"/>
      <c r="AB6" s="155"/>
      <c r="AC6" s="155"/>
      <c r="AD6" s="156"/>
    </row>
    <row r="7" spans="1:30" ht="25.5" customHeight="1" x14ac:dyDescent="0.25">
      <c r="A7" s="30" t="s">
        <v>2547</v>
      </c>
      <c r="B7" s="34" t="str">
        <f t="shared" si="0"/>
        <v>BERTIOGA</v>
      </c>
      <c r="C7" s="34">
        <f t="shared" si="1"/>
        <v>0</v>
      </c>
      <c r="D7" s="36" t="str">
        <f t="shared" si="2"/>
        <v>Alameda Agapanthos</v>
      </c>
      <c r="E7" s="36" t="str">
        <f t="shared" si="3"/>
        <v>Boracéia</v>
      </c>
      <c r="F7" s="36" t="str">
        <f t="shared" si="4"/>
        <v>Troca de ramal de água</v>
      </c>
      <c r="G7" s="30"/>
      <c r="H7" s="33"/>
      <c r="I7" s="31">
        <v>46268</v>
      </c>
      <c r="J7" s="31">
        <v>46268</v>
      </c>
      <c r="K7" s="13">
        <f t="shared" si="5"/>
        <v>1</v>
      </c>
      <c r="L7" s="49"/>
      <c r="M7" s="49">
        <v>2</v>
      </c>
      <c r="N7" s="30"/>
      <c r="O7" s="30"/>
      <c r="P7" s="30"/>
      <c r="Q7" s="30"/>
      <c r="R7" s="11">
        <f t="shared" si="6"/>
        <v>1</v>
      </c>
      <c r="S7" s="55">
        <f t="shared" si="7"/>
        <v>785.07</v>
      </c>
      <c r="T7" s="37">
        <f t="shared" si="8"/>
        <v>46295</v>
      </c>
      <c r="U7" s="29" t="str">
        <f t="shared" si="9"/>
        <v>MEDIDA</v>
      </c>
      <c r="V7" s="33" t="s">
        <v>2607</v>
      </c>
      <c r="Y7" s="157" t="s">
        <v>87</v>
      </c>
      <c r="Z7" s="155"/>
      <c r="AA7" s="155"/>
      <c r="AB7" s="155"/>
      <c r="AC7" s="155"/>
      <c r="AD7" s="156"/>
    </row>
    <row r="8" spans="1:30" ht="51" customHeight="1" x14ac:dyDescent="0.25">
      <c r="A8" s="30" t="s">
        <v>2548</v>
      </c>
      <c r="B8" s="34" t="str">
        <f t="shared" si="0"/>
        <v>BERTIOGA</v>
      </c>
      <c r="C8" s="34">
        <f t="shared" si="1"/>
        <v>0</v>
      </c>
      <c r="D8" s="36" t="str">
        <f t="shared" si="2"/>
        <v>Alameda Paranapiacaba</v>
      </c>
      <c r="E8" s="36" t="str">
        <f t="shared" si="3"/>
        <v>Boracéia</v>
      </c>
      <c r="F8" s="36" t="str">
        <f t="shared" si="4"/>
        <v>Vazamento de água não visível — ramal</v>
      </c>
      <c r="G8" s="30"/>
      <c r="H8" s="33"/>
      <c r="I8" s="31">
        <v>46268</v>
      </c>
      <c r="J8" s="31">
        <v>46268</v>
      </c>
      <c r="K8" s="13">
        <f t="shared" si="5"/>
        <v>1</v>
      </c>
      <c r="L8" s="49"/>
      <c r="M8" s="49">
        <v>10</v>
      </c>
      <c r="N8" s="30"/>
      <c r="O8" s="30"/>
      <c r="P8" s="30"/>
      <c r="Q8" s="30"/>
      <c r="R8" s="11">
        <f t="shared" si="6"/>
        <v>1</v>
      </c>
      <c r="S8" s="55">
        <f t="shared" si="7"/>
        <v>785.07</v>
      </c>
      <c r="T8" s="37">
        <f t="shared" si="8"/>
        <v>46295</v>
      </c>
      <c r="U8" s="29" t="str">
        <f t="shared" si="9"/>
        <v>MEDIDA</v>
      </c>
      <c r="V8" s="33" t="s">
        <v>2608</v>
      </c>
      <c r="Y8" s="157" t="s">
        <v>88</v>
      </c>
      <c r="Z8" s="155"/>
      <c r="AA8" s="155"/>
      <c r="AB8" s="155"/>
      <c r="AC8" s="155"/>
      <c r="AD8" s="156"/>
    </row>
    <row r="9" spans="1:30" ht="51" customHeight="1" x14ac:dyDescent="0.25">
      <c r="A9" s="30" t="s">
        <v>2549</v>
      </c>
      <c r="B9" s="34" t="str">
        <f t="shared" si="0"/>
        <v>BERTIOGA</v>
      </c>
      <c r="C9" s="34">
        <f t="shared" si="1"/>
        <v>0</v>
      </c>
      <c r="D9" s="36" t="str">
        <f t="shared" si="2"/>
        <v>Alameda Rio Grande da Serra</v>
      </c>
      <c r="E9" s="36" t="str">
        <f t="shared" si="3"/>
        <v>Boracéia</v>
      </c>
      <c r="F9" s="36" t="str">
        <f t="shared" si="4"/>
        <v>Vazamento de água não visível — ramal</v>
      </c>
      <c r="G9" s="30"/>
      <c r="H9" s="33"/>
      <c r="I9" s="31">
        <v>46268</v>
      </c>
      <c r="J9" s="31">
        <v>46268</v>
      </c>
      <c r="K9" s="13">
        <f t="shared" si="5"/>
        <v>1</v>
      </c>
      <c r="L9" s="49"/>
      <c r="M9" s="49">
        <v>25</v>
      </c>
      <c r="N9" s="30"/>
      <c r="O9" s="30"/>
      <c r="P9" s="30"/>
      <c r="Q9" s="30"/>
      <c r="R9" s="11">
        <f t="shared" si="6"/>
        <v>2</v>
      </c>
      <c r="S9" s="55">
        <f t="shared" si="7"/>
        <v>1086.54</v>
      </c>
      <c r="T9" s="37">
        <f t="shared" si="8"/>
        <v>46295</v>
      </c>
      <c r="U9" s="29" t="str">
        <f t="shared" si="9"/>
        <v>MEDIDA</v>
      </c>
      <c r="V9" s="33" t="s">
        <v>2609</v>
      </c>
      <c r="Y9" s="157" t="s">
        <v>89</v>
      </c>
      <c r="Z9" s="155"/>
      <c r="AA9" s="155"/>
      <c r="AB9" s="155"/>
      <c r="AC9" s="155"/>
      <c r="AD9" s="156"/>
    </row>
    <row r="10" spans="1:30" ht="25.5" customHeight="1" x14ac:dyDescent="0.25">
      <c r="A10" s="30" t="s">
        <v>2550</v>
      </c>
      <c r="B10" s="34" t="str">
        <f t="shared" si="0"/>
        <v>BERTIOGA</v>
      </c>
      <c r="C10" s="34">
        <f t="shared" si="1"/>
        <v>0</v>
      </c>
      <c r="D10" s="36" t="str">
        <f t="shared" si="2"/>
        <v>Rua Prolongada Oswaldo Cruz</v>
      </c>
      <c r="E10" s="36" t="str">
        <f t="shared" si="3"/>
        <v>Jardim Vicente de Carvalho</v>
      </c>
      <c r="F10" s="36" t="str">
        <f t="shared" si="4"/>
        <v>Troca de ramal de água</v>
      </c>
      <c r="G10" s="30"/>
      <c r="H10" s="33"/>
      <c r="I10" s="31">
        <v>46268</v>
      </c>
      <c r="J10" s="31">
        <v>46268</v>
      </c>
      <c r="K10" s="13">
        <f t="shared" si="5"/>
        <v>1</v>
      </c>
      <c r="L10" s="49"/>
      <c r="M10" s="49">
        <v>4</v>
      </c>
      <c r="N10" s="30" t="s">
        <v>634</v>
      </c>
      <c r="O10" s="30"/>
      <c r="P10" s="30"/>
      <c r="Q10" s="30"/>
      <c r="R10" s="11">
        <f t="shared" si="6"/>
        <v>2</v>
      </c>
      <c r="S10" s="55">
        <f t="shared" si="7"/>
        <v>924.97</v>
      </c>
      <c r="T10" s="37">
        <f t="shared" si="8"/>
        <v>46295</v>
      </c>
      <c r="U10" s="29" t="str">
        <f t="shared" si="9"/>
        <v>MEDIDA</v>
      </c>
      <c r="V10" s="33" t="s">
        <v>2610</v>
      </c>
      <c r="Y10" s="157" t="s">
        <v>90</v>
      </c>
      <c r="Z10" s="155"/>
      <c r="AA10" s="155"/>
      <c r="AB10" s="155"/>
      <c r="AC10" s="155"/>
      <c r="AD10" s="156"/>
    </row>
    <row r="11" spans="1:30" ht="25.5" customHeight="1" x14ac:dyDescent="0.25">
      <c r="A11" s="30" t="s">
        <v>2551</v>
      </c>
      <c r="B11" s="34" t="str">
        <f t="shared" si="0"/>
        <v>BERTIOGA</v>
      </c>
      <c r="C11" s="34">
        <f t="shared" si="1"/>
        <v>0</v>
      </c>
      <c r="D11" s="36" t="str">
        <f t="shared" si="2"/>
        <v>Rua Prolongada Oswaldo Cruz</v>
      </c>
      <c r="E11" s="36" t="str">
        <f t="shared" si="3"/>
        <v>Jardim Vicente de Carvalho</v>
      </c>
      <c r="F11" s="36" t="str">
        <f t="shared" si="4"/>
        <v>Troca de ramal de água</v>
      </c>
      <c r="G11" s="30"/>
      <c r="H11" s="33"/>
      <c r="I11" s="31">
        <v>46268</v>
      </c>
      <c r="J11" s="31">
        <v>46268</v>
      </c>
      <c r="K11" s="13">
        <f t="shared" si="5"/>
        <v>1</v>
      </c>
      <c r="L11" s="49"/>
      <c r="M11" s="49">
        <v>2</v>
      </c>
      <c r="N11" s="30"/>
      <c r="O11" s="30"/>
      <c r="P11" s="30"/>
      <c r="Q11" s="30"/>
      <c r="R11" s="11">
        <f t="shared" si="6"/>
        <v>2</v>
      </c>
      <c r="S11" s="55">
        <f t="shared" si="7"/>
        <v>1871.6100000000001</v>
      </c>
      <c r="T11" s="37">
        <f t="shared" si="8"/>
        <v>46295</v>
      </c>
      <c r="U11" s="29" t="str">
        <f t="shared" si="9"/>
        <v>MEDIDA</v>
      </c>
      <c r="V11" s="33" t="s">
        <v>2611</v>
      </c>
      <c r="Y11" s="91"/>
      <c r="Z11" s="110"/>
      <c r="AA11" s="110"/>
      <c r="AB11" s="110"/>
      <c r="AC11" s="110"/>
      <c r="AD11" s="111"/>
    </row>
    <row r="12" spans="1:30" ht="25.5" customHeight="1" x14ac:dyDescent="0.25">
      <c r="A12" s="30" t="s">
        <v>2552</v>
      </c>
      <c r="B12" s="34" t="str">
        <f t="shared" si="0"/>
        <v>BERTIOGA</v>
      </c>
      <c r="C12" s="34">
        <f t="shared" si="1"/>
        <v>0</v>
      </c>
      <c r="D12" s="36" t="str">
        <f t="shared" si="2"/>
        <v>Alameda Paranapiacaba</v>
      </c>
      <c r="E12" s="36" t="str">
        <f t="shared" si="3"/>
        <v>Boracéia</v>
      </c>
      <c r="F12" s="36" t="str">
        <f t="shared" si="4"/>
        <v>Vazamento de água não visível — ramal</v>
      </c>
      <c r="G12" s="30"/>
      <c r="H12" s="33"/>
      <c r="I12" s="31">
        <v>46268</v>
      </c>
      <c r="J12" s="31">
        <v>46268</v>
      </c>
      <c r="K12" s="13">
        <f t="shared" si="5"/>
        <v>1</v>
      </c>
      <c r="L12" s="49"/>
      <c r="M12" s="49">
        <v>12</v>
      </c>
      <c r="N12" s="30"/>
      <c r="O12" s="30"/>
      <c r="P12" s="30"/>
      <c r="Q12" s="30"/>
      <c r="R12" s="11">
        <f t="shared" si="6"/>
        <v>1</v>
      </c>
      <c r="S12" s="55">
        <f t="shared" si="7"/>
        <v>820.98</v>
      </c>
      <c r="T12" s="37">
        <f t="shared" si="8"/>
        <v>46295</v>
      </c>
      <c r="U12" s="29" t="str">
        <f t="shared" si="9"/>
        <v>MEDIDA</v>
      </c>
      <c r="V12" s="33" t="s">
        <v>2612</v>
      </c>
      <c r="Y12" s="91"/>
      <c r="Z12" s="110"/>
      <c r="AA12" s="110"/>
      <c r="AB12" s="110"/>
      <c r="AC12" s="110"/>
      <c r="AD12" s="111"/>
    </row>
    <row r="13" spans="1:30" ht="38.25" customHeight="1" x14ac:dyDescent="0.25">
      <c r="A13" s="30" t="s">
        <v>2553</v>
      </c>
      <c r="B13" s="34" t="str">
        <f t="shared" si="0"/>
        <v>BERTIOGA</v>
      </c>
      <c r="C13" s="34">
        <f t="shared" si="1"/>
        <v>0</v>
      </c>
      <c r="D13" s="36" t="str">
        <f t="shared" si="2"/>
        <v>Rua dos Anjos Antiga Projetada 1B</v>
      </c>
      <c r="E13" s="36" t="str">
        <f t="shared" si="3"/>
        <v>Jardim Vicente de Carvalho</v>
      </c>
      <c r="F13" s="36" t="str">
        <f t="shared" si="4"/>
        <v>Vazamento de água não visível — ramal</v>
      </c>
      <c r="G13" s="30"/>
      <c r="H13" s="33"/>
      <c r="I13" s="31">
        <v>46269</v>
      </c>
      <c r="J13" s="31">
        <v>46269</v>
      </c>
      <c r="K13" s="13">
        <f t="shared" si="5"/>
        <v>1</v>
      </c>
      <c r="L13" s="49">
        <v>0.4</v>
      </c>
      <c r="M13" s="49">
        <v>4</v>
      </c>
      <c r="N13" s="30" t="s">
        <v>634</v>
      </c>
      <c r="O13" s="30"/>
      <c r="P13" s="30"/>
      <c r="Q13" s="30"/>
      <c r="R13" s="11">
        <f t="shared" si="6"/>
        <v>2</v>
      </c>
      <c r="S13" s="55">
        <f t="shared" si="7"/>
        <v>924.97</v>
      </c>
      <c r="T13" s="37">
        <f t="shared" si="8"/>
        <v>46295</v>
      </c>
      <c r="U13" s="29" t="str">
        <f t="shared" si="9"/>
        <v>MEDIDA</v>
      </c>
      <c r="V13" s="33" t="s">
        <v>2613</v>
      </c>
      <c r="Y13" s="157" t="s">
        <v>91</v>
      </c>
      <c r="Z13" s="155"/>
      <c r="AA13" s="155"/>
      <c r="AB13" s="155"/>
      <c r="AC13" s="155"/>
      <c r="AD13" s="156"/>
    </row>
    <row r="14" spans="1:30" ht="25.5" customHeight="1" x14ac:dyDescent="0.25">
      <c r="A14" s="30" t="s">
        <v>2554</v>
      </c>
      <c r="B14" s="34" t="str">
        <f t="shared" si="0"/>
        <v>BERTIOGA</v>
      </c>
      <c r="C14" s="34">
        <f t="shared" si="1"/>
        <v>0</v>
      </c>
      <c r="D14" s="36" t="str">
        <f t="shared" si="2"/>
        <v>Alameda Paranapiacaba</v>
      </c>
      <c r="E14" s="36" t="str">
        <f t="shared" si="3"/>
        <v>Boracéia</v>
      </c>
      <c r="F14" s="36" t="str">
        <f t="shared" si="4"/>
        <v>Troca de ramal de água</v>
      </c>
      <c r="G14" s="30"/>
      <c r="H14" s="33"/>
      <c r="I14" s="31">
        <v>46269</v>
      </c>
      <c r="J14" s="31">
        <v>46269</v>
      </c>
      <c r="K14" s="13">
        <f t="shared" si="5"/>
        <v>1</v>
      </c>
      <c r="L14" s="49"/>
      <c r="M14" s="49">
        <v>24</v>
      </c>
      <c r="N14" s="30"/>
      <c r="O14" s="30"/>
      <c r="P14" s="30"/>
      <c r="Q14" s="30"/>
      <c r="R14" s="11">
        <f t="shared" si="6"/>
        <v>1</v>
      </c>
      <c r="S14" s="55">
        <f t="shared" si="7"/>
        <v>785.07</v>
      </c>
      <c r="T14" s="37">
        <f t="shared" si="8"/>
        <v>46295</v>
      </c>
      <c r="U14" s="29" t="str">
        <f t="shared" si="9"/>
        <v>MEDIDA</v>
      </c>
      <c r="V14" s="33" t="s">
        <v>2614</v>
      </c>
      <c r="Y14" s="157" t="s">
        <v>92</v>
      </c>
      <c r="Z14" s="155"/>
      <c r="AA14" s="155"/>
      <c r="AB14" s="155"/>
      <c r="AC14" s="155"/>
      <c r="AD14" s="156"/>
    </row>
    <row r="15" spans="1:30" ht="25.5" customHeight="1" x14ac:dyDescent="0.25">
      <c r="A15" s="30" t="s">
        <v>2555</v>
      </c>
      <c r="B15" s="34" t="str">
        <f t="shared" si="0"/>
        <v>BERTIOGA</v>
      </c>
      <c r="C15" s="34">
        <f t="shared" si="1"/>
        <v>0</v>
      </c>
      <c r="D15" s="36" t="str">
        <f t="shared" si="2"/>
        <v>Alameda Paranapiacaba</v>
      </c>
      <c r="E15" s="36" t="str">
        <f t="shared" si="3"/>
        <v>Boracéia</v>
      </c>
      <c r="F15" s="36" t="str">
        <f t="shared" si="4"/>
        <v>Troca de ramal de água</v>
      </c>
      <c r="G15" s="30"/>
      <c r="H15" s="33"/>
      <c r="I15" s="31">
        <v>46269</v>
      </c>
      <c r="J15" s="31">
        <v>46269</v>
      </c>
      <c r="K15" s="13">
        <f t="shared" si="5"/>
        <v>1</v>
      </c>
      <c r="L15" s="49"/>
      <c r="M15" s="49">
        <v>12</v>
      </c>
      <c r="N15" s="30"/>
      <c r="O15" s="30"/>
      <c r="P15" s="30"/>
      <c r="Q15" s="30"/>
      <c r="R15" s="11">
        <f t="shared" si="6"/>
        <v>1</v>
      </c>
      <c r="S15" s="55">
        <f t="shared" si="7"/>
        <v>785.07</v>
      </c>
      <c r="T15" s="37">
        <f t="shared" si="8"/>
        <v>46295</v>
      </c>
      <c r="U15" s="29" t="str">
        <f t="shared" si="9"/>
        <v>MEDIDA</v>
      </c>
      <c r="V15" s="33" t="s">
        <v>2615</v>
      </c>
      <c r="Y15" s="157" t="s">
        <v>93</v>
      </c>
      <c r="Z15" s="155"/>
      <c r="AA15" s="155"/>
      <c r="AB15" s="155"/>
      <c r="AC15" s="155"/>
      <c r="AD15" s="156"/>
    </row>
    <row r="16" spans="1:30" ht="51" customHeight="1" x14ac:dyDescent="0.25">
      <c r="A16" s="30" t="s">
        <v>2556</v>
      </c>
      <c r="B16" s="34" t="str">
        <f t="shared" si="0"/>
        <v>BERTIOGA</v>
      </c>
      <c r="C16" s="34">
        <f t="shared" si="1"/>
        <v>0</v>
      </c>
      <c r="D16" s="36" t="str">
        <f t="shared" si="2"/>
        <v>Avenida Tupi Guarani</v>
      </c>
      <c r="E16" s="36" t="str">
        <f t="shared" si="3"/>
        <v>Boracéia</v>
      </c>
      <c r="F16" s="36" t="str">
        <f t="shared" si="4"/>
        <v>Vazamento de água não visível — rede</v>
      </c>
      <c r="G16" s="30"/>
      <c r="H16" s="33"/>
      <c r="I16" s="31">
        <v>46269</v>
      </c>
      <c r="J16" s="31">
        <v>46269</v>
      </c>
      <c r="K16" s="13">
        <f t="shared" si="5"/>
        <v>1</v>
      </c>
      <c r="L16" s="49"/>
      <c r="M16" s="49">
        <v>35</v>
      </c>
      <c r="N16" s="30"/>
      <c r="O16" s="30"/>
      <c r="P16" s="30"/>
      <c r="Q16" s="30"/>
      <c r="R16" s="11">
        <f t="shared" si="6"/>
        <v>1</v>
      </c>
      <c r="S16" s="55">
        <f t="shared" si="7"/>
        <v>820.98</v>
      </c>
      <c r="T16" s="37">
        <f t="shared" si="8"/>
        <v>46295</v>
      </c>
      <c r="U16" s="29" t="str">
        <f t="shared" si="9"/>
        <v>MEDIDA</v>
      </c>
      <c r="V16" s="33" t="s">
        <v>2616</v>
      </c>
      <c r="Y16" s="157" t="s">
        <v>94</v>
      </c>
      <c r="Z16" s="155"/>
      <c r="AA16" s="155"/>
      <c r="AB16" s="155"/>
      <c r="AC16" s="155"/>
      <c r="AD16" s="156"/>
    </row>
    <row r="17" spans="1:30" ht="38.25" customHeight="1" x14ac:dyDescent="0.25">
      <c r="A17" s="30" t="s">
        <v>2557</v>
      </c>
      <c r="B17" s="34" t="str">
        <f t="shared" si="0"/>
        <v>BERTIOGA</v>
      </c>
      <c r="C17" s="34">
        <f t="shared" si="1"/>
        <v>0</v>
      </c>
      <c r="D17" s="36" t="str">
        <f t="shared" si="2"/>
        <v>Rua Seis</v>
      </c>
      <c r="E17" s="36" t="str">
        <f t="shared" si="3"/>
        <v>Albatroz II</v>
      </c>
      <c r="F17" s="36" t="str">
        <f t="shared" si="4"/>
        <v>Troca de ramal de água</v>
      </c>
      <c r="G17" s="30"/>
      <c r="H17" s="33"/>
      <c r="I17" s="31">
        <v>46273</v>
      </c>
      <c r="J17" s="31">
        <v>46273</v>
      </c>
      <c r="K17" s="13">
        <f t="shared" si="5"/>
        <v>1</v>
      </c>
      <c r="L17" s="49">
        <v>0.6</v>
      </c>
      <c r="M17" s="49">
        <v>6</v>
      </c>
      <c r="N17" s="30"/>
      <c r="O17" s="30"/>
      <c r="P17" s="30"/>
      <c r="Q17" s="30"/>
      <c r="R17" s="11">
        <f t="shared" si="6"/>
        <v>1</v>
      </c>
      <c r="S17" s="55">
        <f t="shared" si="7"/>
        <v>785.07</v>
      </c>
      <c r="T17" s="37">
        <f t="shared" si="8"/>
        <v>46295</v>
      </c>
      <c r="U17" s="29" t="str">
        <f t="shared" si="9"/>
        <v>MEDIDA</v>
      </c>
      <c r="V17" s="33" t="s">
        <v>2617</v>
      </c>
      <c r="Y17" s="157" t="s">
        <v>95</v>
      </c>
      <c r="Z17" s="155"/>
      <c r="AA17" s="155"/>
      <c r="AB17" s="155"/>
      <c r="AC17" s="155"/>
      <c r="AD17" s="156"/>
    </row>
    <row r="18" spans="1:30" ht="38.25" customHeight="1" x14ac:dyDescent="0.25">
      <c r="A18" s="30" t="s">
        <v>2558</v>
      </c>
      <c r="B18" s="34" t="str">
        <f t="shared" si="0"/>
        <v>BERTIOGA</v>
      </c>
      <c r="C18" s="34">
        <f t="shared" si="1"/>
        <v>0</v>
      </c>
      <c r="D18" s="36" t="str">
        <f t="shared" si="2"/>
        <v>Rua Seis</v>
      </c>
      <c r="E18" s="36" t="str">
        <f t="shared" si="3"/>
        <v>Albatroz II</v>
      </c>
      <c r="F18" s="36" t="str">
        <f t="shared" si="4"/>
        <v>Vazamento pé do cavalete</v>
      </c>
      <c r="G18" s="30"/>
      <c r="H18" s="33"/>
      <c r="I18" s="31">
        <v>46273</v>
      </c>
      <c r="J18" s="31">
        <v>46273</v>
      </c>
      <c r="K18" s="13">
        <f t="shared" si="5"/>
        <v>1</v>
      </c>
      <c r="L18" s="49"/>
      <c r="M18" s="49">
        <v>6</v>
      </c>
      <c r="N18" s="30"/>
      <c r="O18" s="30"/>
      <c r="P18" s="30"/>
      <c r="Q18" s="30"/>
      <c r="R18" s="11">
        <f t="shared" si="6"/>
        <v>1</v>
      </c>
      <c r="S18" s="55">
        <f t="shared" si="7"/>
        <v>785.07</v>
      </c>
      <c r="T18" s="37">
        <f t="shared" si="8"/>
        <v>46295</v>
      </c>
      <c r="U18" s="29" t="str">
        <f t="shared" si="9"/>
        <v>MEDIDA</v>
      </c>
      <c r="V18" s="33" t="s">
        <v>2618</v>
      </c>
      <c r="Y18" s="157" t="s">
        <v>96</v>
      </c>
      <c r="Z18" s="155"/>
      <c r="AA18" s="155"/>
      <c r="AB18" s="155"/>
      <c r="AC18" s="155"/>
      <c r="AD18" s="156"/>
    </row>
    <row r="19" spans="1:30" ht="38.25" customHeight="1" x14ac:dyDescent="0.25">
      <c r="A19" s="30" t="s">
        <v>2559</v>
      </c>
      <c r="B19" s="34" t="str">
        <f t="shared" si="0"/>
        <v>BERTIOGA</v>
      </c>
      <c r="C19" s="34">
        <f t="shared" si="1"/>
        <v>0</v>
      </c>
      <c r="D19" s="36" t="str">
        <f t="shared" si="2"/>
        <v>Rua C</v>
      </c>
      <c r="E19" s="36" t="str">
        <f t="shared" si="3"/>
        <v>Ana Paula</v>
      </c>
      <c r="F19" s="36" t="str">
        <f t="shared" si="4"/>
        <v>Vazamento no ferrule</v>
      </c>
      <c r="G19" s="30"/>
      <c r="H19" s="33"/>
      <c r="I19" s="31">
        <v>46273</v>
      </c>
      <c r="J19" s="31">
        <v>46273</v>
      </c>
      <c r="K19" s="13">
        <f t="shared" si="5"/>
        <v>1</v>
      </c>
      <c r="L19" s="49"/>
      <c r="M19" s="49">
        <v>4</v>
      </c>
      <c r="N19" s="30"/>
      <c r="O19" s="30"/>
      <c r="P19" s="30"/>
      <c r="Q19" s="30"/>
      <c r="R19" s="11">
        <f t="shared" si="6"/>
        <v>1</v>
      </c>
      <c r="S19" s="55">
        <f t="shared" si="7"/>
        <v>785.07</v>
      </c>
      <c r="T19" s="37">
        <f t="shared" si="8"/>
        <v>46295</v>
      </c>
      <c r="U19" s="29" t="str">
        <f t="shared" si="9"/>
        <v>MEDIDA</v>
      </c>
      <c r="V19" s="33" t="s">
        <v>2619</v>
      </c>
      <c r="Y19" s="159" t="s">
        <v>97</v>
      </c>
      <c r="Z19" s="155"/>
      <c r="AA19" s="155"/>
      <c r="AB19" s="155"/>
      <c r="AC19" s="155"/>
      <c r="AD19" s="156"/>
    </row>
    <row r="20" spans="1:30" ht="38.25" customHeight="1" x14ac:dyDescent="0.25">
      <c r="A20" s="30" t="s">
        <v>2560</v>
      </c>
      <c r="B20" s="34" t="str">
        <f t="shared" si="0"/>
        <v>BERTIOGA</v>
      </c>
      <c r="C20" s="34">
        <f t="shared" si="1"/>
        <v>0</v>
      </c>
      <c r="D20" s="36" t="str">
        <f t="shared" si="2"/>
        <v>Rua Aprovada 101</v>
      </c>
      <c r="E20" s="36" t="str">
        <f t="shared" si="3"/>
        <v>Ana Paula</v>
      </c>
      <c r="F20" s="36" t="str">
        <f t="shared" si="4"/>
        <v>Vazamento de água não visível — ramal</v>
      </c>
      <c r="G20" s="30"/>
      <c r="H20" s="33"/>
      <c r="I20" s="79">
        <v>46273</v>
      </c>
      <c r="J20" s="79">
        <v>46276</v>
      </c>
      <c r="K20" s="13">
        <f t="shared" si="5"/>
        <v>4</v>
      </c>
      <c r="L20" s="80"/>
      <c r="M20" s="80">
        <v>14</v>
      </c>
      <c r="N20" s="77"/>
      <c r="O20" s="77"/>
      <c r="P20" s="77"/>
      <c r="Q20" s="77"/>
      <c r="R20" s="11">
        <f t="shared" si="6"/>
        <v>1</v>
      </c>
      <c r="S20" s="55">
        <f t="shared" si="7"/>
        <v>785.07</v>
      </c>
      <c r="T20" s="37">
        <f t="shared" si="8"/>
        <v>46295</v>
      </c>
      <c r="U20" s="29" t="str">
        <f t="shared" si="9"/>
        <v>MEDIDA</v>
      </c>
      <c r="V20" s="78" t="s">
        <v>2620</v>
      </c>
      <c r="Y20" s="92"/>
      <c r="Z20" s="110"/>
      <c r="AA20" s="110"/>
      <c r="AB20" s="110"/>
      <c r="AC20" s="110"/>
      <c r="AD20" s="111"/>
    </row>
    <row r="21" spans="1:30" ht="51" customHeight="1" x14ac:dyDescent="0.25">
      <c r="A21" s="30" t="s">
        <v>2561</v>
      </c>
      <c r="B21" s="34" t="str">
        <f t="shared" si="0"/>
        <v>BERTIOGA</v>
      </c>
      <c r="C21" s="34">
        <f t="shared" si="1"/>
        <v>0</v>
      </c>
      <c r="D21" s="36" t="str">
        <f t="shared" si="2"/>
        <v>Rua Manoel Gajo</v>
      </c>
      <c r="E21" s="36" t="str">
        <f t="shared" si="3"/>
        <v>Centro</v>
      </c>
      <c r="F21" s="36" t="str">
        <f t="shared" si="4"/>
        <v>Vazamento pé do cavalete</v>
      </c>
      <c r="G21" s="30"/>
      <c r="H21" s="33"/>
      <c r="I21" s="31">
        <v>46274</v>
      </c>
      <c r="J21" s="31">
        <v>46274</v>
      </c>
      <c r="K21" s="13">
        <f t="shared" si="5"/>
        <v>1</v>
      </c>
      <c r="L21" s="49">
        <v>0.6</v>
      </c>
      <c r="M21" s="49"/>
      <c r="N21" s="30"/>
      <c r="O21" s="30"/>
      <c r="P21" s="30"/>
      <c r="Q21" s="30"/>
      <c r="R21" s="11">
        <f t="shared" si="6"/>
        <v>1</v>
      </c>
      <c r="S21" s="55">
        <f t="shared" si="7"/>
        <v>301.47000000000003</v>
      </c>
      <c r="T21" s="37">
        <f t="shared" si="8"/>
        <v>46295</v>
      </c>
      <c r="U21" s="29" t="str">
        <f t="shared" si="9"/>
        <v>MEDIDA</v>
      </c>
      <c r="V21" s="33" t="s">
        <v>2621</v>
      </c>
      <c r="Y21" s="159" t="s">
        <v>98</v>
      </c>
      <c r="Z21" s="155"/>
      <c r="AA21" s="155"/>
      <c r="AB21" s="155"/>
      <c r="AC21" s="155"/>
      <c r="AD21" s="156"/>
    </row>
    <row r="22" spans="1:30" ht="51" customHeight="1" x14ac:dyDescent="0.25">
      <c r="A22" s="30" t="s">
        <v>2562</v>
      </c>
      <c r="B22" s="34" t="str">
        <f t="shared" si="0"/>
        <v>BERTIOGA</v>
      </c>
      <c r="C22" s="34">
        <f t="shared" si="1"/>
        <v>0</v>
      </c>
      <c r="D22" s="36" t="str">
        <f t="shared" si="2"/>
        <v>Rua Oswaldo de Salles Pereira</v>
      </c>
      <c r="E22" s="36" t="str">
        <f t="shared" si="3"/>
        <v>Centro</v>
      </c>
      <c r="F22" s="36" t="str">
        <f t="shared" si="4"/>
        <v>Vazamento pé do cavalete</v>
      </c>
      <c r="G22" s="30"/>
      <c r="H22" s="33"/>
      <c r="I22" s="31">
        <v>46274</v>
      </c>
      <c r="J22" s="31">
        <v>46274</v>
      </c>
      <c r="K22" s="13">
        <f t="shared" si="5"/>
        <v>1</v>
      </c>
      <c r="L22" s="49">
        <v>0.4</v>
      </c>
      <c r="M22" s="49"/>
      <c r="N22" s="30"/>
      <c r="O22" s="30"/>
      <c r="P22" s="30"/>
      <c r="Q22" s="30"/>
      <c r="R22" s="11">
        <f t="shared" si="6"/>
        <v>1</v>
      </c>
      <c r="S22" s="55">
        <f t="shared" si="7"/>
        <v>301.47000000000003</v>
      </c>
      <c r="T22" s="37">
        <f t="shared" si="8"/>
        <v>46295</v>
      </c>
      <c r="U22" s="29" t="str">
        <f t="shared" si="9"/>
        <v>MEDIDA</v>
      </c>
      <c r="V22" s="33" t="s">
        <v>2622</v>
      </c>
    </row>
    <row r="23" spans="1:30" ht="51" customHeight="1" x14ac:dyDescent="0.25">
      <c r="A23" s="30" t="s">
        <v>2563</v>
      </c>
      <c r="B23" s="34" t="str">
        <f t="shared" si="0"/>
        <v>BERTIOGA</v>
      </c>
      <c r="C23" s="34">
        <f t="shared" si="1"/>
        <v>0</v>
      </c>
      <c r="D23" s="36" t="str">
        <f t="shared" si="2"/>
        <v>Rua Samuel Alves Levino</v>
      </c>
      <c r="E23" s="36" t="str">
        <f t="shared" si="3"/>
        <v>Rio da Praia</v>
      </c>
      <c r="F23" s="36" t="str">
        <f t="shared" si="4"/>
        <v>Vazamento no ferrule</v>
      </c>
      <c r="G23" s="30"/>
      <c r="H23" s="33"/>
      <c r="I23" s="31">
        <v>46274</v>
      </c>
      <c r="J23" s="31">
        <v>46276</v>
      </c>
      <c r="K23" s="13">
        <f t="shared" si="5"/>
        <v>3</v>
      </c>
      <c r="L23" s="49">
        <v>1.1000000000000001</v>
      </c>
      <c r="M23" s="49">
        <v>8</v>
      </c>
      <c r="N23" s="30" t="s">
        <v>634</v>
      </c>
      <c r="O23" s="30"/>
      <c r="P23" s="30"/>
      <c r="Q23" s="30"/>
      <c r="R23" s="11">
        <f t="shared" si="6"/>
        <v>3</v>
      </c>
      <c r="S23" s="55">
        <f t="shared" si="7"/>
        <v>1992.97</v>
      </c>
      <c r="T23" s="37">
        <f t="shared" si="8"/>
        <v>46295</v>
      </c>
      <c r="U23" s="29" t="str">
        <f t="shared" si="9"/>
        <v>MEDIDA</v>
      </c>
      <c r="V23" s="33" t="s">
        <v>2623</v>
      </c>
    </row>
    <row r="24" spans="1:30" x14ac:dyDescent="0.25">
      <c r="A24" s="30" t="s">
        <v>2564</v>
      </c>
      <c r="B24" s="34" t="str">
        <f t="shared" si="0"/>
        <v>BERTIOGA</v>
      </c>
      <c r="C24" s="34">
        <f t="shared" si="1"/>
        <v>0</v>
      </c>
      <c r="D24" s="36" t="str">
        <f t="shared" si="2"/>
        <v>Rua Renata Pereira Costa</v>
      </c>
      <c r="E24" s="36" t="str">
        <f t="shared" si="3"/>
        <v>Rio da Praia</v>
      </c>
      <c r="F24" s="36" t="str">
        <f t="shared" si="4"/>
        <v>Vazamento pé do cavalete</v>
      </c>
      <c r="G24" s="30"/>
      <c r="H24" s="33"/>
      <c r="I24" s="31">
        <v>46273</v>
      </c>
      <c r="J24" s="31">
        <v>46276</v>
      </c>
      <c r="K24" s="13">
        <f t="shared" si="5"/>
        <v>4</v>
      </c>
      <c r="L24" s="49">
        <v>0.6</v>
      </c>
      <c r="M24" s="49">
        <v>15</v>
      </c>
      <c r="N24" s="30"/>
      <c r="O24" s="30"/>
      <c r="P24" s="30"/>
      <c r="Q24" s="30"/>
      <c r="R24" s="11">
        <f t="shared" si="6"/>
        <v>1</v>
      </c>
      <c r="S24" s="55">
        <f t="shared" si="7"/>
        <v>0</v>
      </c>
      <c r="T24" s="37">
        <f t="shared" si="8"/>
        <v>46295</v>
      </c>
      <c r="U24" s="29" t="str">
        <f t="shared" si="9"/>
        <v>CONCLUÍDA</v>
      </c>
      <c r="V24" s="33"/>
    </row>
    <row r="25" spans="1:30" x14ac:dyDescent="0.25">
      <c r="A25" s="30" t="s">
        <v>2565</v>
      </c>
      <c r="B25" s="34" t="str">
        <f t="shared" si="0"/>
        <v>BERTIOGA</v>
      </c>
      <c r="C25" s="34">
        <f t="shared" si="1"/>
        <v>0</v>
      </c>
      <c r="D25" s="36" t="str">
        <f t="shared" si="2"/>
        <v>Rua Jair Miranda (antiga rua 5)</v>
      </c>
      <c r="E25" s="36" t="str">
        <f t="shared" si="3"/>
        <v>Albatroz II</v>
      </c>
      <c r="F25" s="36" t="str">
        <f t="shared" si="4"/>
        <v>Vazamento pé do cavalete</v>
      </c>
      <c r="G25" s="30"/>
      <c r="H25" s="33"/>
      <c r="I25" s="31">
        <v>46273</v>
      </c>
      <c r="J25" s="31"/>
      <c r="K25" s="13" t="str">
        <f t="shared" si="5"/>
        <v/>
      </c>
      <c r="L25" s="49"/>
      <c r="M25" s="49"/>
      <c r="N25" s="30"/>
      <c r="O25" s="30"/>
      <c r="P25" s="30"/>
      <c r="Q25" s="30"/>
      <c r="R25" s="11">
        <f t="shared" si="6"/>
        <v>1</v>
      </c>
      <c r="S25" s="55">
        <f t="shared" si="7"/>
        <v>0</v>
      </c>
      <c r="T25" s="37" t="str">
        <f t="shared" si="8"/>
        <v/>
      </c>
      <c r="U25" s="29" t="str">
        <f t="shared" si="9"/>
        <v>EM EXECUÇÃO</v>
      </c>
      <c r="V25" s="33"/>
    </row>
    <row r="26" spans="1:30" ht="25.5" customHeight="1" x14ac:dyDescent="0.25">
      <c r="A26" s="30" t="s">
        <v>2566</v>
      </c>
      <c r="B26" s="34" t="str">
        <f t="shared" si="0"/>
        <v>BERTIOGA</v>
      </c>
      <c r="C26" s="34">
        <f t="shared" si="1"/>
        <v>0</v>
      </c>
      <c r="D26" s="36" t="str">
        <f t="shared" si="2"/>
        <v>Rua Professor José Benevenuto Madureira</v>
      </c>
      <c r="E26" s="36" t="str">
        <f t="shared" si="3"/>
        <v>Rio da Praia</v>
      </c>
      <c r="F26" s="36" t="str">
        <f t="shared" si="4"/>
        <v>Vazamento pé do cavalete</v>
      </c>
      <c r="G26" s="30"/>
      <c r="H26" s="33"/>
      <c r="I26" s="31">
        <v>46273</v>
      </c>
      <c r="J26" s="31"/>
      <c r="K26" s="13" t="str">
        <f t="shared" si="5"/>
        <v/>
      </c>
      <c r="L26" s="49"/>
      <c r="M26" s="49"/>
      <c r="N26" s="30"/>
      <c r="O26" s="30"/>
      <c r="P26" s="30"/>
      <c r="Q26" s="30"/>
      <c r="R26" s="11">
        <f t="shared" si="6"/>
        <v>1</v>
      </c>
      <c r="S26" s="55">
        <f t="shared" si="7"/>
        <v>0</v>
      </c>
      <c r="T26" s="37" t="str">
        <f t="shared" si="8"/>
        <v/>
      </c>
      <c r="U26" s="29" t="str">
        <f t="shared" si="9"/>
        <v>EM EXECUÇÃO</v>
      </c>
      <c r="V26" s="33"/>
    </row>
    <row r="27" spans="1:30" ht="51" customHeight="1" x14ac:dyDescent="0.25">
      <c r="A27" s="30" t="s">
        <v>2567</v>
      </c>
      <c r="B27" s="34" t="str">
        <f t="shared" si="0"/>
        <v>BERTIOGA</v>
      </c>
      <c r="C27" s="34">
        <f t="shared" si="1"/>
        <v>0</v>
      </c>
      <c r="D27" s="36" t="str">
        <f t="shared" si="2"/>
        <v>Rua aprovada 101</v>
      </c>
      <c r="E27" s="36" t="str">
        <f t="shared" si="3"/>
        <v>Ana Paula</v>
      </c>
      <c r="F27" s="36" t="str">
        <f t="shared" si="4"/>
        <v>Vazamento de água não visível — rede</v>
      </c>
      <c r="G27" s="30"/>
      <c r="H27" s="33"/>
      <c r="I27" s="31">
        <v>46276</v>
      </c>
      <c r="J27" s="31">
        <v>46276</v>
      </c>
      <c r="K27" s="13">
        <f t="shared" si="5"/>
        <v>1</v>
      </c>
      <c r="L27" s="49"/>
      <c r="M27" s="49">
        <v>14</v>
      </c>
      <c r="N27" s="30"/>
      <c r="O27" s="30"/>
      <c r="P27" s="30"/>
      <c r="Q27" s="30"/>
      <c r="R27" s="11">
        <f t="shared" si="6"/>
        <v>1</v>
      </c>
      <c r="S27" s="55">
        <f t="shared" si="7"/>
        <v>785.07</v>
      </c>
      <c r="T27" s="37">
        <f t="shared" si="8"/>
        <v>46295</v>
      </c>
      <c r="U27" s="29" t="str">
        <f t="shared" si="9"/>
        <v>MEDIDA</v>
      </c>
      <c r="V27" s="33" t="s">
        <v>2624</v>
      </c>
    </row>
    <row r="28" spans="1:30" ht="38.25" customHeight="1" x14ac:dyDescent="0.25">
      <c r="A28" s="30" t="s">
        <v>2568</v>
      </c>
      <c r="B28" s="34" t="str">
        <f t="shared" si="0"/>
        <v>BERTIOGA</v>
      </c>
      <c r="C28" s="34">
        <f t="shared" si="1"/>
        <v>0</v>
      </c>
      <c r="D28" s="36" t="str">
        <f t="shared" si="2"/>
        <v>Avenida Sabino Abdala</v>
      </c>
      <c r="E28" s="36" t="str">
        <f t="shared" si="3"/>
        <v>Indaia</v>
      </c>
      <c r="F28" s="36" t="str">
        <f t="shared" si="4"/>
        <v>Vazamento no ramal não visível</v>
      </c>
      <c r="G28" s="30"/>
      <c r="H28" s="33"/>
      <c r="I28" s="31">
        <v>46279</v>
      </c>
      <c r="J28" s="31">
        <v>46279</v>
      </c>
      <c r="K28" s="13">
        <f t="shared" si="5"/>
        <v>1</v>
      </c>
      <c r="L28" s="49">
        <v>1</v>
      </c>
      <c r="M28" s="49">
        <v>20</v>
      </c>
      <c r="N28" s="30"/>
      <c r="O28" s="30"/>
      <c r="P28" s="30"/>
      <c r="Q28" s="30"/>
      <c r="R28" s="11">
        <f t="shared" si="6"/>
        <v>3</v>
      </c>
      <c r="S28" s="55">
        <f t="shared" si="7"/>
        <v>2813.95</v>
      </c>
      <c r="T28" s="37">
        <f t="shared" si="8"/>
        <v>46295</v>
      </c>
      <c r="U28" s="29" t="str">
        <f t="shared" si="9"/>
        <v>MEDIDA</v>
      </c>
      <c r="V28" s="33" t="s">
        <v>2625</v>
      </c>
    </row>
    <row r="29" spans="1:30" ht="38.25" customHeight="1" x14ac:dyDescent="0.25">
      <c r="A29" s="30" t="s">
        <v>2569</v>
      </c>
      <c r="B29" s="34" t="str">
        <f t="shared" si="0"/>
        <v>BERTIOGA</v>
      </c>
      <c r="C29" s="34">
        <f t="shared" si="1"/>
        <v>0</v>
      </c>
      <c r="D29" s="36" t="str">
        <f t="shared" si="2"/>
        <v>Rua Luiz Alonso Peres</v>
      </c>
      <c r="E29" s="36" t="str">
        <f t="shared" si="3"/>
        <v>Indaia</v>
      </c>
      <c r="F29" s="36" t="str">
        <f t="shared" si="4"/>
        <v>Vazamento pé do cavalete</v>
      </c>
      <c r="G29" s="30"/>
      <c r="H29" s="33"/>
      <c r="I29" s="31">
        <v>46279</v>
      </c>
      <c r="J29" s="31">
        <v>46280</v>
      </c>
      <c r="K29" s="13">
        <f t="shared" si="5"/>
        <v>2</v>
      </c>
      <c r="L29" s="49">
        <v>0.6</v>
      </c>
      <c r="M29" s="49">
        <v>12</v>
      </c>
      <c r="N29" s="30" t="s">
        <v>634</v>
      </c>
      <c r="O29" s="30"/>
      <c r="P29" s="30"/>
      <c r="Q29" s="30"/>
      <c r="R29" s="11">
        <f t="shared" si="6"/>
        <v>1</v>
      </c>
      <c r="S29" s="55">
        <f t="shared" si="7"/>
        <v>820.98</v>
      </c>
      <c r="T29" s="37">
        <f t="shared" si="8"/>
        <v>46295</v>
      </c>
      <c r="U29" s="29" t="str">
        <f t="shared" si="9"/>
        <v>MEDIDA</v>
      </c>
      <c r="V29" s="33" t="s">
        <v>2626</v>
      </c>
    </row>
    <row r="30" spans="1:30" ht="25.5" customHeight="1" x14ac:dyDescent="0.25">
      <c r="A30" s="30" t="s">
        <v>2570</v>
      </c>
      <c r="B30" s="34" t="str">
        <f t="shared" si="0"/>
        <v>BERTIOGA</v>
      </c>
      <c r="C30" s="34">
        <f t="shared" si="1"/>
        <v>0</v>
      </c>
      <c r="D30" s="36" t="str">
        <f t="shared" si="2"/>
        <v>Avenida Sabino Abdala</v>
      </c>
      <c r="E30" s="36" t="str">
        <f t="shared" si="3"/>
        <v>Indaia</v>
      </c>
      <c r="F30" s="36" t="str">
        <f t="shared" si="4"/>
        <v>Vazamento no ramal não visível</v>
      </c>
      <c r="G30" s="30"/>
      <c r="H30" s="33"/>
      <c r="I30" s="31">
        <v>46279</v>
      </c>
      <c r="J30" s="31">
        <v>46280</v>
      </c>
      <c r="K30" s="13">
        <f t="shared" si="5"/>
        <v>2</v>
      </c>
      <c r="L30" s="49">
        <v>1</v>
      </c>
      <c r="M30" s="49">
        <v>23</v>
      </c>
      <c r="N30" s="30" t="s">
        <v>634</v>
      </c>
      <c r="O30" s="30"/>
      <c r="P30" s="30"/>
      <c r="Q30" s="30"/>
      <c r="R30" s="11">
        <f t="shared" si="6"/>
        <v>5</v>
      </c>
      <c r="S30" s="55">
        <f t="shared" si="7"/>
        <v>2434.3399999999997</v>
      </c>
      <c r="T30" s="37">
        <f t="shared" si="8"/>
        <v>46295</v>
      </c>
      <c r="U30" s="29" t="str">
        <f t="shared" si="9"/>
        <v>MEDIDA</v>
      </c>
      <c r="V30" s="33" t="s">
        <v>2627</v>
      </c>
    </row>
    <row r="31" spans="1:30" ht="38.25" customHeight="1" x14ac:dyDescent="0.25">
      <c r="A31" s="30" t="s">
        <v>2571</v>
      </c>
      <c r="B31" s="34" t="str">
        <f t="shared" si="0"/>
        <v>BERTIOGA</v>
      </c>
      <c r="C31" s="34">
        <f t="shared" si="1"/>
        <v>0</v>
      </c>
      <c r="D31" s="36" t="str">
        <f t="shared" si="2"/>
        <v>Avenida Sabino Abdala</v>
      </c>
      <c r="E31" s="36" t="str">
        <f t="shared" si="3"/>
        <v>Indaia</v>
      </c>
      <c r="F31" s="36" t="str">
        <f t="shared" si="4"/>
        <v>Vazamento no ramal não visível</v>
      </c>
      <c r="G31" s="30"/>
      <c r="H31" s="33"/>
      <c r="I31" s="31">
        <v>46279</v>
      </c>
      <c r="J31" s="31">
        <v>46280</v>
      </c>
      <c r="K31" s="13">
        <f t="shared" si="5"/>
        <v>2</v>
      </c>
      <c r="L31" s="49">
        <v>1</v>
      </c>
      <c r="M31" s="49">
        <v>10</v>
      </c>
      <c r="N31" s="30" t="s">
        <v>634</v>
      </c>
      <c r="O31" s="30"/>
      <c r="P31" s="30"/>
      <c r="Q31" s="30"/>
      <c r="R31" s="11">
        <f t="shared" si="6"/>
        <v>4</v>
      </c>
      <c r="S31" s="55">
        <f t="shared" si="7"/>
        <v>2132.87</v>
      </c>
      <c r="T31" s="37">
        <f t="shared" si="8"/>
        <v>46295</v>
      </c>
      <c r="U31" s="29" t="str">
        <f t="shared" si="9"/>
        <v>MEDIDA</v>
      </c>
      <c r="V31" s="33" t="s">
        <v>2628</v>
      </c>
    </row>
    <row r="32" spans="1:30" x14ac:dyDescent="0.25">
      <c r="A32" s="30" t="s">
        <v>2572</v>
      </c>
      <c r="B32" s="34" t="str">
        <f t="shared" si="0"/>
        <v>BERTIOGA</v>
      </c>
      <c r="C32" s="34">
        <f t="shared" si="1"/>
        <v>0</v>
      </c>
      <c r="D32" s="36" t="str">
        <f t="shared" si="2"/>
        <v>Rua Augusto Ribeiro Pacheco</v>
      </c>
      <c r="E32" s="36" t="str">
        <f t="shared" si="3"/>
        <v>Jardim Raphael</v>
      </c>
      <c r="F32" s="36" t="str">
        <f t="shared" si="4"/>
        <v>Vazamento cavalete não visível</v>
      </c>
      <c r="G32" s="30"/>
      <c r="H32" s="33"/>
      <c r="I32" s="31">
        <v>46279</v>
      </c>
      <c r="J32" s="31"/>
      <c r="K32" s="13" t="str">
        <f t="shared" si="5"/>
        <v/>
      </c>
      <c r="L32" s="49"/>
      <c r="M32" s="49"/>
      <c r="N32" s="30"/>
      <c r="O32" s="30"/>
      <c r="P32" s="30"/>
      <c r="Q32" s="30"/>
      <c r="R32" s="11">
        <f t="shared" si="6"/>
        <v>1</v>
      </c>
      <c r="S32" s="55">
        <f t="shared" si="7"/>
        <v>0</v>
      </c>
      <c r="T32" s="37" t="str">
        <f t="shared" si="8"/>
        <v/>
      </c>
      <c r="U32" s="29" t="str">
        <f t="shared" si="9"/>
        <v>EM EXECUÇÃO</v>
      </c>
      <c r="V32" s="33"/>
    </row>
    <row r="33" spans="1:22" ht="51" customHeight="1" x14ac:dyDescent="0.25">
      <c r="A33" s="30" t="s">
        <v>2573</v>
      </c>
      <c r="B33" s="34" t="str">
        <f t="shared" si="0"/>
        <v>BERTIOGA</v>
      </c>
      <c r="C33" s="34">
        <f t="shared" si="1"/>
        <v>0</v>
      </c>
      <c r="D33" s="36" t="str">
        <f t="shared" si="2"/>
        <v>Rua Cardeal Emile Biayenda</v>
      </c>
      <c r="E33" s="36" t="str">
        <f t="shared" si="3"/>
        <v>Rio da Praia</v>
      </c>
      <c r="F33" s="36" t="str">
        <f t="shared" si="4"/>
        <v>Vazamento no ramal não visível</v>
      </c>
      <c r="G33" s="30"/>
      <c r="H33" s="33"/>
      <c r="I33" s="31">
        <v>46279</v>
      </c>
      <c r="J33" s="31">
        <v>46280</v>
      </c>
      <c r="K33" s="13">
        <f t="shared" si="5"/>
        <v>2</v>
      </c>
      <c r="L33" s="49">
        <v>1</v>
      </c>
      <c r="M33" s="49">
        <v>2.5</v>
      </c>
      <c r="N33" s="30"/>
      <c r="O33" s="30"/>
      <c r="P33" s="30"/>
      <c r="Q33" s="30"/>
      <c r="R33" s="11">
        <f t="shared" si="6"/>
        <v>4</v>
      </c>
      <c r="S33" s="55">
        <f t="shared" si="7"/>
        <v>2132.87</v>
      </c>
      <c r="T33" s="37">
        <f t="shared" si="8"/>
        <v>46295</v>
      </c>
      <c r="U33" s="29" t="str">
        <f t="shared" si="9"/>
        <v>MEDIDA</v>
      </c>
      <c r="V33" s="33" t="s">
        <v>2629</v>
      </c>
    </row>
    <row r="34" spans="1:22" x14ac:dyDescent="0.25">
      <c r="A34" s="30" t="s">
        <v>2574</v>
      </c>
      <c r="B34" s="34" t="str">
        <f t="shared" si="0"/>
        <v>BERTIOGA</v>
      </c>
      <c r="C34" s="34">
        <f t="shared" si="1"/>
        <v>0</v>
      </c>
      <c r="D34" s="36" t="str">
        <f t="shared" si="2"/>
        <v>Rua Maria Lídia Rego Lima</v>
      </c>
      <c r="E34" s="36" t="str">
        <f t="shared" si="3"/>
        <v>Vicente de Carvalho</v>
      </c>
      <c r="F34" s="36" t="str">
        <f t="shared" si="4"/>
        <v>Vazamento de água não visível — rede</v>
      </c>
      <c r="G34" s="30"/>
      <c r="H34" s="33"/>
      <c r="I34" s="31">
        <v>46281</v>
      </c>
      <c r="J34" s="31"/>
      <c r="K34" s="13" t="str">
        <f t="shared" si="5"/>
        <v/>
      </c>
      <c r="L34" s="49"/>
      <c r="M34" s="49"/>
      <c r="N34" s="30"/>
      <c r="O34" s="30"/>
      <c r="P34" s="30"/>
      <c r="Q34" s="30"/>
      <c r="R34" s="11">
        <f t="shared" si="6"/>
        <v>1</v>
      </c>
      <c r="S34" s="55">
        <f t="shared" si="7"/>
        <v>0</v>
      </c>
      <c r="T34" s="37" t="str">
        <f t="shared" si="8"/>
        <v/>
      </c>
      <c r="U34" s="29" t="str">
        <f t="shared" si="9"/>
        <v>EM EXECUÇÃO</v>
      </c>
      <c r="V34" s="33"/>
    </row>
    <row r="35" spans="1:22" ht="51" x14ac:dyDescent="0.25">
      <c r="A35" s="30" t="s">
        <v>2575</v>
      </c>
      <c r="B35" s="34" t="str">
        <f t="shared" si="0"/>
        <v>BERTIOGA</v>
      </c>
      <c r="C35" s="34">
        <f t="shared" si="1"/>
        <v>0</v>
      </c>
      <c r="D35" s="36" t="str">
        <f t="shared" si="2"/>
        <v>Rua Espírito Santo</v>
      </c>
      <c r="E35" s="36" t="str">
        <f t="shared" si="3"/>
        <v>Vicente de Carvalho</v>
      </c>
      <c r="F35" s="36" t="str">
        <f t="shared" si="4"/>
        <v>Vazamento no ramal não visível</v>
      </c>
      <c r="G35" s="30"/>
      <c r="H35" s="33"/>
      <c r="I35" s="31">
        <v>46281</v>
      </c>
      <c r="J35" s="31">
        <v>46281</v>
      </c>
      <c r="K35" s="13">
        <f t="shared" si="5"/>
        <v>1</v>
      </c>
      <c r="L35" s="49">
        <v>0.6</v>
      </c>
      <c r="M35" s="49"/>
      <c r="N35" s="30" t="s">
        <v>634</v>
      </c>
      <c r="O35" s="30"/>
      <c r="P35" s="30"/>
      <c r="Q35" s="30"/>
      <c r="R35" s="11">
        <f t="shared" si="6"/>
        <v>3</v>
      </c>
      <c r="S35" s="55">
        <f t="shared" si="7"/>
        <v>1226.44</v>
      </c>
      <c r="T35" s="37">
        <f t="shared" si="8"/>
        <v>46295</v>
      </c>
      <c r="U35" s="29" t="str">
        <f t="shared" si="9"/>
        <v>MEDIDA</v>
      </c>
      <c r="V35" s="33" t="s">
        <v>3098</v>
      </c>
    </row>
    <row r="36" spans="1:22" ht="51" x14ac:dyDescent="0.25">
      <c r="A36" s="30" t="s">
        <v>2576</v>
      </c>
      <c r="B36" s="34" t="str">
        <f t="shared" si="0"/>
        <v>BERTIOGA</v>
      </c>
      <c r="C36" s="34">
        <f t="shared" si="1"/>
        <v>0</v>
      </c>
      <c r="D36" s="36" t="str">
        <f t="shared" si="2"/>
        <v>Rua Espírito Santo</v>
      </c>
      <c r="E36" s="36" t="str">
        <f t="shared" si="3"/>
        <v>Vicente de Carvalho</v>
      </c>
      <c r="F36" s="36" t="str">
        <f t="shared" si="4"/>
        <v>Vazamento cavalete não visível</v>
      </c>
      <c r="G36" s="30"/>
      <c r="H36" s="33"/>
      <c r="I36" s="31">
        <v>46281</v>
      </c>
      <c r="J36" s="31">
        <v>46281</v>
      </c>
      <c r="K36" s="13">
        <f t="shared" si="5"/>
        <v>1</v>
      </c>
      <c r="L36" s="49">
        <v>0.6</v>
      </c>
      <c r="M36" s="49"/>
      <c r="N36" s="30" t="s">
        <v>634</v>
      </c>
      <c r="O36" s="30"/>
      <c r="P36" s="30"/>
      <c r="Q36" s="30"/>
      <c r="R36" s="11">
        <f t="shared" si="6"/>
        <v>3</v>
      </c>
      <c r="S36" s="55">
        <f t="shared" si="7"/>
        <v>6659.1399999999994</v>
      </c>
      <c r="T36" s="37">
        <f t="shared" si="8"/>
        <v>46295</v>
      </c>
      <c r="U36" s="29" t="str">
        <f t="shared" si="9"/>
        <v>MEDIDA</v>
      </c>
      <c r="V36" s="33" t="s">
        <v>3093</v>
      </c>
    </row>
    <row r="37" spans="1:22" x14ac:dyDescent="0.25">
      <c r="A37" s="30" t="s">
        <v>2577</v>
      </c>
      <c r="B37" s="34" t="str">
        <f t="shared" si="0"/>
        <v>BERTIOGA</v>
      </c>
      <c r="C37" s="34">
        <f t="shared" si="1"/>
        <v>0</v>
      </c>
      <c r="D37" s="36" t="str">
        <f t="shared" si="2"/>
        <v>Rua Mario Silveira</v>
      </c>
      <c r="E37" s="36" t="str">
        <f t="shared" si="3"/>
        <v>Vicente de Carvalho</v>
      </c>
      <c r="F37" s="36" t="str">
        <f t="shared" si="4"/>
        <v>Vazamento no ramal não visível</v>
      </c>
      <c r="G37" s="30"/>
      <c r="H37" s="33"/>
      <c r="I37" s="31">
        <v>46281</v>
      </c>
      <c r="J37" s="31"/>
      <c r="K37" s="13" t="str">
        <f t="shared" si="5"/>
        <v/>
      </c>
      <c r="L37" s="49"/>
      <c r="M37" s="49"/>
      <c r="N37" s="30"/>
      <c r="O37" s="30"/>
      <c r="P37" s="30"/>
      <c r="Q37" s="30"/>
      <c r="R37" s="11">
        <f t="shared" si="6"/>
        <v>1</v>
      </c>
      <c r="S37" s="55">
        <f t="shared" si="7"/>
        <v>0</v>
      </c>
      <c r="T37" s="37" t="str">
        <f t="shared" si="8"/>
        <v/>
      </c>
      <c r="U37" s="29" t="str">
        <f t="shared" si="9"/>
        <v>EM EXECUÇÃO</v>
      </c>
      <c r="V37" s="33"/>
    </row>
    <row r="38" spans="1:22" x14ac:dyDescent="0.25">
      <c r="A38" s="30" t="s">
        <v>2578</v>
      </c>
      <c r="B38" s="34" t="str">
        <f t="shared" si="0"/>
        <v>BERTIOGA</v>
      </c>
      <c r="C38" s="34">
        <f t="shared" si="1"/>
        <v>0</v>
      </c>
      <c r="D38" s="36" t="str">
        <f t="shared" si="2"/>
        <v>Rua Mario Silveira</v>
      </c>
      <c r="E38" s="36" t="str">
        <f t="shared" si="3"/>
        <v>Vicente de Carvalho</v>
      </c>
      <c r="F38" s="36" t="str">
        <f t="shared" si="4"/>
        <v>Vazamento no ramal não visível</v>
      </c>
      <c r="G38" s="30"/>
      <c r="H38" s="33"/>
      <c r="I38" s="31">
        <v>46281</v>
      </c>
      <c r="J38" s="31"/>
      <c r="K38" s="13" t="str">
        <f t="shared" si="5"/>
        <v/>
      </c>
      <c r="L38" s="49"/>
      <c r="M38" s="49"/>
      <c r="N38" s="30"/>
      <c r="O38" s="30"/>
      <c r="P38" s="30"/>
      <c r="Q38" s="30"/>
      <c r="R38" s="11">
        <f t="shared" si="6"/>
        <v>1</v>
      </c>
      <c r="S38" s="55">
        <f t="shared" si="7"/>
        <v>0</v>
      </c>
      <c r="T38" s="37" t="str">
        <f t="shared" si="8"/>
        <v/>
      </c>
      <c r="U38" s="29" t="str">
        <f t="shared" si="9"/>
        <v>EM EXECUÇÃO</v>
      </c>
      <c r="V38" s="33"/>
    </row>
    <row r="39" spans="1:22" x14ac:dyDescent="0.25">
      <c r="A39" s="30" t="s">
        <v>2579</v>
      </c>
      <c r="B39" s="34" t="str">
        <f t="shared" si="0"/>
        <v>BERTIOGA</v>
      </c>
      <c r="C39" s="34">
        <f t="shared" si="1"/>
        <v>0</v>
      </c>
      <c r="D39" s="36" t="str">
        <f t="shared" si="2"/>
        <v>Rua Tambaú</v>
      </c>
      <c r="E39" s="36" t="str">
        <f t="shared" si="3"/>
        <v>Vicente de Carvalho</v>
      </c>
      <c r="F39" s="36" t="str">
        <f t="shared" si="4"/>
        <v>Vazamento no ramal não visível</v>
      </c>
      <c r="G39" s="30"/>
      <c r="H39" s="33"/>
      <c r="I39" s="31">
        <v>46281</v>
      </c>
      <c r="J39" s="31"/>
      <c r="K39" s="13" t="str">
        <f t="shared" si="5"/>
        <v/>
      </c>
      <c r="L39" s="49"/>
      <c r="M39" s="49"/>
      <c r="N39" s="30"/>
      <c r="O39" s="30"/>
      <c r="P39" s="30"/>
      <c r="Q39" s="30"/>
      <c r="R39" s="11">
        <f t="shared" si="6"/>
        <v>1</v>
      </c>
      <c r="S39" s="55">
        <f t="shared" si="7"/>
        <v>0</v>
      </c>
      <c r="T39" s="37" t="str">
        <f t="shared" si="8"/>
        <v/>
      </c>
      <c r="U39" s="29" t="str">
        <f t="shared" si="9"/>
        <v>EM EXECUÇÃO</v>
      </c>
      <c r="V39" s="33"/>
    </row>
    <row r="40" spans="1:22" x14ac:dyDescent="0.25">
      <c r="A40" s="30" t="s">
        <v>2580</v>
      </c>
      <c r="B40" s="34" t="str">
        <f t="shared" si="0"/>
        <v>BERTIOGA</v>
      </c>
      <c r="C40" s="34">
        <f t="shared" si="1"/>
        <v>0</v>
      </c>
      <c r="D40" s="36" t="str">
        <f t="shared" si="2"/>
        <v>Cazil Frazon</v>
      </c>
      <c r="E40" s="36" t="str">
        <f t="shared" si="3"/>
        <v>Vicente de Carvalho</v>
      </c>
      <c r="F40" s="36" t="str">
        <f t="shared" si="4"/>
        <v>Vazamento de água não visível — rede</v>
      </c>
      <c r="G40" s="30"/>
      <c r="H40" s="33"/>
      <c r="I40" s="31">
        <v>46281</v>
      </c>
      <c r="J40" s="31"/>
      <c r="K40" s="13" t="str">
        <f t="shared" si="5"/>
        <v/>
      </c>
      <c r="L40" s="49"/>
      <c r="M40" s="49"/>
      <c r="N40" s="30"/>
      <c r="O40" s="30"/>
      <c r="P40" s="30"/>
      <c r="Q40" s="30"/>
      <c r="R40" s="11">
        <f t="shared" si="6"/>
        <v>1</v>
      </c>
      <c r="S40" s="55">
        <f t="shared" si="7"/>
        <v>0</v>
      </c>
      <c r="T40" s="37" t="str">
        <f t="shared" si="8"/>
        <v/>
      </c>
      <c r="U40" s="29" t="str">
        <f t="shared" si="9"/>
        <v>EM EXECUÇÃO</v>
      </c>
      <c r="V40" s="33"/>
    </row>
    <row r="41" spans="1:22" x14ac:dyDescent="0.25">
      <c r="A41" s="30" t="s">
        <v>2581</v>
      </c>
      <c r="B41" s="34" t="str">
        <f t="shared" si="0"/>
        <v>BERTIOGA</v>
      </c>
      <c r="C41" s="34">
        <f t="shared" si="1"/>
        <v>0</v>
      </c>
      <c r="D41" s="36" t="str">
        <f t="shared" si="2"/>
        <v>Rua Clemente da Mata Amorim</v>
      </c>
      <c r="E41" s="36" t="str">
        <f t="shared" si="3"/>
        <v>Jardim Progresso</v>
      </c>
      <c r="F41" s="36" t="str">
        <f t="shared" si="4"/>
        <v>Vazamento de água não visível — rede</v>
      </c>
      <c r="G41" s="30"/>
      <c r="H41" s="33"/>
      <c r="I41" s="31">
        <v>46281</v>
      </c>
      <c r="J41" s="31"/>
      <c r="K41" s="13" t="str">
        <f t="shared" si="5"/>
        <v/>
      </c>
      <c r="L41" s="49"/>
      <c r="M41" s="49"/>
      <c r="N41" s="30"/>
      <c r="O41" s="30"/>
      <c r="P41" s="30"/>
      <c r="Q41" s="30"/>
      <c r="R41" s="11">
        <f t="shared" si="6"/>
        <v>1</v>
      </c>
      <c r="S41" s="55">
        <f t="shared" si="7"/>
        <v>0</v>
      </c>
      <c r="T41" s="37" t="str">
        <f t="shared" si="8"/>
        <v/>
      </c>
      <c r="U41" s="29" t="str">
        <f t="shared" si="9"/>
        <v>EM EXECUÇÃO</v>
      </c>
      <c r="V41" s="33"/>
    </row>
    <row r="42" spans="1:22" x14ac:dyDescent="0.25">
      <c r="A42" s="30" t="s">
        <v>2582</v>
      </c>
      <c r="B42" s="34" t="str">
        <f t="shared" si="0"/>
        <v>BERTIOGA</v>
      </c>
      <c r="C42" s="34">
        <f t="shared" si="1"/>
        <v>0</v>
      </c>
      <c r="D42" s="36" t="str">
        <f t="shared" si="2"/>
        <v>Rua Clemente da Mata Amorim</v>
      </c>
      <c r="E42" s="36" t="str">
        <f t="shared" si="3"/>
        <v>Jardim Progresso</v>
      </c>
      <c r="F42" s="36" t="str">
        <f t="shared" si="4"/>
        <v>Vazamento no ramal não visível</v>
      </c>
      <c r="G42" s="30"/>
      <c r="H42" s="33"/>
      <c r="I42" s="31">
        <v>46281</v>
      </c>
      <c r="J42" s="31"/>
      <c r="K42" s="13" t="str">
        <f t="shared" si="5"/>
        <v/>
      </c>
      <c r="L42" s="49"/>
      <c r="M42" s="49"/>
      <c r="N42" s="30"/>
      <c r="O42" s="30"/>
      <c r="P42" s="30"/>
      <c r="Q42" s="30"/>
      <c r="R42" s="11">
        <f t="shared" si="6"/>
        <v>1</v>
      </c>
      <c r="S42" s="55">
        <f t="shared" si="7"/>
        <v>0</v>
      </c>
      <c r="T42" s="37" t="str">
        <f t="shared" si="8"/>
        <v/>
      </c>
      <c r="U42" s="29" t="str">
        <f t="shared" si="9"/>
        <v>EM EXECUÇÃO</v>
      </c>
      <c r="V42" s="33"/>
    </row>
    <row r="43" spans="1:22" x14ac:dyDescent="0.25">
      <c r="A43" s="30" t="s">
        <v>2583</v>
      </c>
      <c r="B43" s="34" t="str">
        <f t="shared" si="0"/>
        <v>BERTIOGA</v>
      </c>
      <c r="C43" s="34">
        <f t="shared" si="1"/>
        <v>0</v>
      </c>
      <c r="D43" s="36" t="str">
        <f t="shared" si="2"/>
        <v>Rua Adão Pereira da Silva</v>
      </c>
      <c r="E43" s="36" t="str">
        <f t="shared" si="3"/>
        <v>Jardim Progresso</v>
      </c>
      <c r="F43" s="36" t="str">
        <f t="shared" si="4"/>
        <v>Vazamento cavalete não visível</v>
      </c>
      <c r="G43" s="30"/>
      <c r="H43" s="33"/>
      <c r="I43" s="31">
        <v>46281</v>
      </c>
      <c r="J43" s="31"/>
      <c r="K43" s="13" t="str">
        <f t="shared" si="5"/>
        <v/>
      </c>
      <c r="L43" s="49"/>
      <c r="M43" s="49"/>
      <c r="N43" s="30"/>
      <c r="O43" s="30"/>
      <c r="P43" s="30"/>
      <c r="Q43" s="30"/>
      <c r="R43" s="11">
        <f t="shared" si="6"/>
        <v>1</v>
      </c>
      <c r="S43" s="55">
        <f t="shared" si="7"/>
        <v>0</v>
      </c>
      <c r="T43" s="37" t="str">
        <f t="shared" si="8"/>
        <v/>
      </c>
      <c r="U43" s="29" t="str">
        <f t="shared" si="9"/>
        <v>EM EXECUÇÃO</v>
      </c>
      <c r="V43" s="33"/>
    </row>
    <row r="44" spans="1:22" x14ac:dyDescent="0.25">
      <c r="A44" s="30" t="s">
        <v>2584</v>
      </c>
      <c r="B44" s="34" t="str">
        <f t="shared" si="0"/>
        <v>BERTIOGA</v>
      </c>
      <c r="C44" s="34">
        <f t="shared" si="1"/>
        <v>0</v>
      </c>
      <c r="D44" s="36" t="str">
        <f t="shared" si="2"/>
        <v>Rua Manoel Romero Rodrigues</v>
      </c>
      <c r="E44" s="36" t="str">
        <f t="shared" si="3"/>
        <v>Jardim Progresso</v>
      </c>
      <c r="F44" s="36" t="str">
        <f t="shared" si="4"/>
        <v>Vazamento no ramal não visível</v>
      </c>
      <c r="G44" s="30"/>
      <c r="H44" s="33"/>
      <c r="I44" s="31">
        <v>46281</v>
      </c>
      <c r="J44" s="31"/>
      <c r="K44" s="13" t="str">
        <f t="shared" si="5"/>
        <v/>
      </c>
      <c r="L44" s="49"/>
      <c r="M44" s="49"/>
      <c r="N44" s="30"/>
      <c r="O44" s="30"/>
      <c r="P44" s="30"/>
      <c r="Q44" s="30"/>
      <c r="R44" s="11">
        <f t="shared" si="6"/>
        <v>1</v>
      </c>
      <c r="S44" s="55">
        <f t="shared" si="7"/>
        <v>0</v>
      </c>
      <c r="T44" s="37" t="str">
        <f t="shared" si="8"/>
        <v/>
      </c>
      <c r="U44" s="29" t="str">
        <f t="shared" si="9"/>
        <v>EM EXECUÇÃO</v>
      </c>
      <c r="V44" s="33"/>
    </row>
    <row r="45" spans="1:22" x14ac:dyDescent="0.25">
      <c r="A45" s="30" t="s">
        <v>2585</v>
      </c>
      <c r="B45" s="34" t="str">
        <f t="shared" si="0"/>
        <v>BERTIOGA</v>
      </c>
      <c r="C45" s="34">
        <f t="shared" si="1"/>
        <v>0</v>
      </c>
      <c r="D45" s="36" t="str">
        <f t="shared" si="2"/>
        <v>Rua Manoel Romero Rodrigues</v>
      </c>
      <c r="E45" s="36" t="str">
        <f t="shared" si="3"/>
        <v>Jardim Progresso</v>
      </c>
      <c r="F45" s="36" t="str">
        <f t="shared" si="4"/>
        <v>Vazamento no ramal não visível</v>
      </c>
      <c r="G45" s="30"/>
      <c r="H45" s="33"/>
      <c r="I45" s="31">
        <v>46281</v>
      </c>
      <c r="J45" s="31"/>
      <c r="K45" s="13" t="str">
        <f t="shared" si="5"/>
        <v/>
      </c>
      <c r="L45" s="49"/>
      <c r="M45" s="49"/>
      <c r="N45" s="30"/>
      <c r="O45" s="30"/>
      <c r="P45" s="30"/>
      <c r="Q45" s="30"/>
      <c r="R45" s="11">
        <f t="shared" si="6"/>
        <v>1</v>
      </c>
      <c r="S45" s="55">
        <f t="shared" si="7"/>
        <v>0</v>
      </c>
      <c r="T45" s="37" t="str">
        <f t="shared" si="8"/>
        <v/>
      </c>
      <c r="U45" s="29" t="str">
        <f t="shared" si="9"/>
        <v>EM EXECUÇÃO</v>
      </c>
      <c r="V45" s="33"/>
    </row>
    <row r="46" spans="1:22" x14ac:dyDescent="0.25">
      <c r="A46" s="30" t="s">
        <v>2586</v>
      </c>
      <c r="B46" s="34" t="str">
        <f t="shared" si="0"/>
        <v>BERTIOGA</v>
      </c>
      <c r="C46" s="34">
        <f t="shared" si="1"/>
        <v>0</v>
      </c>
      <c r="D46" s="36" t="str">
        <f t="shared" si="2"/>
        <v>Rua Dickson Rodrigues</v>
      </c>
      <c r="E46" s="36" t="str">
        <f t="shared" si="3"/>
        <v>Jardim Progresso</v>
      </c>
      <c r="F46" s="36" t="str">
        <f t="shared" si="4"/>
        <v>Vazamento de água não visível — rede</v>
      </c>
      <c r="G46" s="30"/>
      <c r="H46" s="33"/>
      <c r="I46" s="31">
        <v>46281</v>
      </c>
      <c r="J46" s="31"/>
      <c r="K46" s="13" t="str">
        <f t="shared" si="5"/>
        <v/>
      </c>
      <c r="L46" s="49"/>
      <c r="M46" s="49"/>
      <c r="N46" s="30"/>
      <c r="O46" s="30"/>
      <c r="P46" s="30"/>
      <c r="Q46" s="30"/>
      <c r="R46" s="11">
        <f t="shared" si="6"/>
        <v>1</v>
      </c>
      <c r="S46" s="55">
        <f t="shared" si="7"/>
        <v>0</v>
      </c>
      <c r="T46" s="37" t="str">
        <f t="shared" si="8"/>
        <v/>
      </c>
      <c r="U46" s="29" t="str">
        <f t="shared" si="9"/>
        <v>EM EXECUÇÃO</v>
      </c>
      <c r="V46" s="33"/>
    </row>
    <row r="47" spans="1:22" x14ac:dyDescent="0.25">
      <c r="A47" s="30" t="s">
        <v>2587</v>
      </c>
      <c r="B47" s="34" t="str">
        <f t="shared" si="0"/>
        <v>BERTIOGA</v>
      </c>
      <c r="C47" s="34">
        <f t="shared" si="1"/>
        <v>0</v>
      </c>
      <c r="D47" s="36" t="str">
        <f t="shared" si="2"/>
        <v>Rua Coronel João Akui</v>
      </c>
      <c r="E47" s="36" t="str">
        <f t="shared" si="3"/>
        <v>Jardim Progresso</v>
      </c>
      <c r="F47" s="36" t="str">
        <f t="shared" si="4"/>
        <v>Vazamento no ramal não visível</v>
      </c>
      <c r="G47" s="30"/>
      <c r="H47" s="33"/>
      <c r="I47" s="31">
        <v>46281</v>
      </c>
      <c r="J47" s="31"/>
      <c r="K47" s="13" t="str">
        <f t="shared" si="5"/>
        <v/>
      </c>
      <c r="L47" s="49"/>
      <c r="M47" s="49"/>
      <c r="N47" s="30"/>
      <c r="O47" s="30"/>
      <c r="P47" s="30"/>
      <c r="Q47" s="30"/>
      <c r="R47" s="11">
        <f t="shared" si="6"/>
        <v>1</v>
      </c>
      <c r="S47" s="55">
        <f t="shared" si="7"/>
        <v>0</v>
      </c>
      <c r="T47" s="37" t="str">
        <f t="shared" si="8"/>
        <v/>
      </c>
      <c r="U47" s="29" t="str">
        <f t="shared" si="9"/>
        <v>EM EXECUÇÃO</v>
      </c>
      <c r="V47" s="33"/>
    </row>
    <row r="48" spans="1:22" ht="38.25" x14ac:dyDescent="0.25">
      <c r="A48" s="30" t="s">
        <v>3096</v>
      </c>
      <c r="B48" s="34" t="str">
        <f t="shared" si="0"/>
        <v>BERTIOGA</v>
      </c>
      <c r="C48" s="34">
        <f t="shared" si="1"/>
        <v>0</v>
      </c>
      <c r="D48" s="36" t="str">
        <f t="shared" si="2"/>
        <v>Rua Miguel Seiad</v>
      </c>
      <c r="E48" s="36">
        <f t="shared" si="3"/>
        <v>0</v>
      </c>
      <c r="F48" s="36" t="str">
        <f t="shared" si="4"/>
        <v>Vazamento no ramal não visível</v>
      </c>
      <c r="G48" s="30"/>
      <c r="H48" s="33"/>
      <c r="I48" s="31">
        <v>46281</v>
      </c>
      <c r="J48" s="31">
        <v>46281</v>
      </c>
      <c r="K48" s="13">
        <f t="shared" si="5"/>
        <v>1</v>
      </c>
      <c r="L48" s="49">
        <v>0.7</v>
      </c>
      <c r="M48" s="49">
        <v>16</v>
      </c>
      <c r="N48" s="30" t="s">
        <v>634</v>
      </c>
      <c r="O48" s="30"/>
      <c r="P48" s="30"/>
      <c r="Q48" s="30"/>
      <c r="R48" s="11">
        <f t="shared" si="6"/>
        <v>4</v>
      </c>
      <c r="S48" s="55">
        <f t="shared" si="7"/>
        <v>2132.87</v>
      </c>
      <c r="T48" s="37">
        <f t="shared" si="8"/>
        <v>46295</v>
      </c>
      <c r="U48" s="29" t="str">
        <f t="shared" si="9"/>
        <v>MEDIDA</v>
      </c>
      <c r="V48" s="33" t="s">
        <v>3097</v>
      </c>
    </row>
    <row r="49" spans="1:22" x14ac:dyDescent="0.25">
      <c r="A49" s="30"/>
      <c r="B49" s="34" t="str">
        <f t="shared" si="0"/>
        <v/>
      </c>
      <c r="C49" s="34" t="str">
        <f t="shared" si="1"/>
        <v/>
      </c>
      <c r="D49" s="36" t="str">
        <f t="shared" si="2"/>
        <v/>
      </c>
      <c r="E49" s="36" t="str">
        <f t="shared" si="3"/>
        <v/>
      </c>
      <c r="F49" s="36" t="str">
        <f t="shared" si="4"/>
        <v/>
      </c>
      <c r="G49" s="30"/>
      <c r="H49" s="33"/>
      <c r="I49" s="31"/>
      <c r="J49" s="31"/>
      <c r="K49" s="13" t="str">
        <f t="shared" si="5"/>
        <v/>
      </c>
      <c r="L49" s="49"/>
      <c r="M49" s="49"/>
      <c r="N49" s="30"/>
      <c r="O49" s="30"/>
      <c r="P49" s="30"/>
      <c r="Q49" s="30"/>
      <c r="R49" s="11" t="str">
        <f t="shared" si="6"/>
        <v/>
      </c>
      <c r="S49" s="55" t="str">
        <f t="shared" si="7"/>
        <v/>
      </c>
      <c r="T49" s="37" t="str">
        <f t="shared" si="8"/>
        <v/>
      </c>
      <c r="U49" s="29" t="str">
        <f t="shared" si="9"/>
        <v/>
      </c>
      <c r="V49" s="33"/>
    </row>
    <row r="50" spans="1:22" x14ac:dyDescent="0.25">
      <c r="A50" s="30"/>
      <c r="B50" s="34" t="str">
        <f t="shared" si="0"/>
        <v/>
      </c>
      <c r="C50" s="34" t="str">
        <f t="shared" si="1"/>
        <v/>
      </c>
      <c r="D50" s="36" t="str">
        <f t="shared" si="2"/>
        <v/>
      </c>
      <c r="E50" s="36" t="str">
        <f t="shared" si="3"/>
        <v/>
      </c>
      <c r="F50" s="36" t="str">
        <f t="shared" si="4"/>
        <v/>
      </c>
      <c r="G50" s="30"/>
      <c r="H50" s="33"/>
      <c r="I50" s="31"/>
      <c r="J50" s="31"/>
      <c r="K50" s="13" t="str">
        <f t="shared" si="5"/>
        <v/>
      </c>
      <c r="L50" s="49"/>
      <c r="M50" s="49"/>
      <c r="N50" s="30"/>
      <c r="O50" s="30"/>
      <c r="P50" s="30"/>
      <c r="Q50" s="30"/>
      <c r="R50" s="11" t="str">
        <f t="shared" si="6"/>
        <v/>
      </c>
      <c r="S50" s="55" t="str">
        <f t="shared" si="7"/>
        <v/>
      </c>
      <c r="T50" s="37" t="str">
        <f t="shared" si="8"/>
        <v/>
      </c>
      <c r="U50" s="29" t="str">
        <f t="shared" si="9"/>
        <v/>
      </c>
      <c r="V50" s="33"/>
    </row>
    <row r="51" spans="1:22" x14ac:dyDescent="0.25">
      <c r="A51" s="30"/>
      <c r="B51" s="34" t="str">
        <f t="shared" si="0"/>
        <v/>
      </c>
      <c r="C51" s="34" t="str">
        <f t="shared" si="1"/>
        <v/>
      </c>
      <c r="D51" s="36" t="str">
        <f t="shared" si="2"/>
        <v/>
      </c>
      <c r="E51" s="36" t="str">
        <f t="shared" si="3"/>
        <v/>
      </c>
      <c r="F51" s="36" t="str">
        <f t="shared" si="4"/>
        <v/>
      </c>
      <c r="G51" s="30"/>
      <c r="H51" s="33"/>
      <c r="I51" s="31"/>
      <c r="J51" s="31"/>
      <c r="K51" s="13" t="str">
        <f t="shared" si="5"/>
        <v/>
      </c>
      <c r="L51" s="49"/>
      <c r="M51" s="49"/>
      <c r="N51" s="30"/>
      <c r="O51" s="30"/>
      <c r="P51" s="30"/>
      <c r="Q51" s="30"/>
      <c r="R51" s="11" t="str">
        <f t="shared" si="6"/>
        <v/>
      </c>
      <c r="S51" s="55" t="str">
        <f t="shared" si="7"/>
        <v/>
      </c>
      <c r="T51" s="37" t="str">
        <f t="shared" si="8"/>
        <v/>
      </c>
      <c r="U51" s="29" t="str">
        <f t="shared" si="9"/>
        <v/>
      </c>
      <c r="V51" s="33"/>
    </row>
    <row r="52" spans="1:22" x14ac:dyDescent="0.25">
      <c r="A52" s="30"/>
      <c r="B52" s="34" t="str">
        <f t="shared" si="0"/>
        <v/>
      </c>
      <c r="C52" s="34" t="str">
        <f t="shared" si="1"/>
        <v/>
      </c>
      <c r="D52" s="36" t="str">
        <f t="shared" si="2"/>
        <v/>
      </c>
      <c r="E52" s="36" t="str">
        <f t="shared" si="3"/>
        <v/>
      </c>
      <c r="F52" s="36" t="str">
        <f t="shared" si="4"/>
        <v/>
      </c>
      <c r="G52" s="30"/>
      <c r="H52" s="33"/>
      <c r="I52" s="31"/>
      <c r="J52" s="31"/>
      <c r="K52" s="13" t="str">
        <f t="shared" si="5"/>
        <v/>
      </c>
      <c r="L52" s="49"/>
      <c r="M52" s="49"/>
      <c r="N52" s="30"/>
      <c r="O52" s="30"/>
      <c r="P52" s="30"/>
      <c r="Q52" s="30"/>
      <c r="R52" s="11" t="str">
        <f t="shared" si="6"/>
        <v/>
      </c>
      <c r="S52" s="55" t="str">
        <f t="shared" si="7"/>
        <v/>
      </c>
      <c r="T52" s="37" t="str">
        <f t="shared" si="8"/>
        <v/>
      </c>
      <c r="U52" s="29" t="str">
        <f t="shared" si="9"/>
        <v/>
      </c>
      <c r="V52" s="33"/>
    </row>
    <row r="53" spans="1:22" x14ac:dyDescent="0.25">
      <c r="A53" s="30"/>
      <c r="B53" s="34" t="str">
        <f t="shared" si="0"/>
        <v/>
      </c>
      <c r="C53" s="34" t="str">
        <f t="shared" si="1"/>
        <v/>
      </c>
      <c r="D53" s="36" t="str">
        <f t="shared" si="2"/>
        <v/>
      </c>
      <c r="E53" s="36" t="str">
        <f t="shared" si="3"/>
        <v/>
      </c>
      <c r="F53" s="36" t="str">
        <f t="shared" si="4"/>
        <v/>
      </c>
      <c r="G53" s="30"/>
      <c r="H53" s="33"/>
      <c r="I53" s="31"/>
      <c r="J53" s="31"/>
      <c r="K53" s="13" t="str">
        <f t="shared" si="5"/>
        <v/>
      </c>
      <c r="L53" s="49"/>
      <c r="M53" s="49"/>
      <c r="N53" s="30"/>
      <c r="O53" s="30"/>
      <c r="P53" s="30"/>
      <c r="Q53" s="30"/>
      <c r="R53" s="11" t="str">
        <f t="shared" si="6"/>
        <v/>
      </c>
      <c r="S53" s="55" t="str">
        <f t="shared" si="7"/>
        <v/>
      </c>
      <c r="T53" s="37" t="str">
        <f t="shared" si="8"/>
        <v/>
      </c>
      <c r="U53" s="29" t="str">
        <f t="shared" si="9"/>
        <v/>
      </c>
      <c r="V53" s="33"/>
    </row>
    <row r="54" spans="1:22" x14ac:dyDescent="0.25">
      <c r="A54" s="30"/>
      <c r="B54" s="34" t="str">
        <f t="shared" si="0"/>
        <v/>
      </c>
      <c r="C54" s="34" t="str">
        <f t="shared" si="1"/>
        <v/>
      </c>
      <c r="D54" s="36" t="str">
        <f t="shared" si="2"/>
        <v/>
      </c>
      <c r="E54" s="36" t="str">
        <f t="shared" si="3"/>
        <v/>
      </c>
      <c r="F54" s="36" t="str">
        <f t="shared" si="4"/>
        <v/>
      </c>
      <c r="G54" s="30"/>
      <c r="H54" s="33"/>
      <c r="I54" s="31"/>
      <c r="J54" s="31"/>
      <c r="K54" s="13" t="str">
        <f t="shared" si="5"/>
        <v/>
      </c>
      <c r="L54" s="49"/>
      <c r="M54" s="49"/>
      <c r="N54" s="30"/>
      <c r="O54" s="30"/>
      <c r="P54" s="30"/>
      <c r="Q54" s="30"/>
      <c r="R54" s="11" t="str">
        <f t="shared" si="6"/>
        <v/>
      </c>
      <c r="S54" s="55" t="str">
        <f t="shared" si="7"/>
        <v/>
      </c>
      <c r="T54" s="37" t="str">
        <f t="shared" si="8"/>
        <v/>
      </c>
      <c r="U54" s="29" t="str">
        <f t="shared" si="9"/>
        <v/>
      </c>
      <c r="V54" s="33"/>
    </row>
    <row r="55" spans="1:22" x14ac:dyDescent="0.25">
      <c r="A55" s="30"/>
      <c r="B55" s="34" t="str">
        <f t="shared" si="0"/>
        <v/>
      </c>
      <c r="C55" s="34" t="str">
        <f t="shared" si="1"/>
        <v/>
      </c>
      <c r="D55" s="36" t="str">
        <f t="shared" si="2"/>
        <v/>
      </c>
      <c r="E55" s="36" t="str">
        <f t="shared" si="3"/>
        <v/>
      </c>
      <c r="F55" s="36" t="str">
        <f t="shared" si="4"/>
        <v/>
      </c>
      <c r="G55" s="30"/>
      <c r="H55" s="33"/>
      <c r="I55" s="31"/>
      <c r="J55" s="31"/>
      <c r="K55" s="13" t="str">
        <f t="shared" si="5"/>
        <v/>
      </c>
      <c r="L55" s="49"/>
      <c r="M55" s="49"/>
      <c r="N55" s="30"/>
      <c r="O55" s="30"/>
      <c r="P55" s="30"/>
      <c r="Q55" s="30"/>
      <c r="R55" s="11" t="str">
        <f t="shared" si="6"/>
        <v/>
      </c>
      <c r="S55" s="55" t="str">
        <f t="shared" si="7"/>
        <v/>
      </c>
      <c r="T55" s="37" t="str">
        <f t="shared" si="8"/>
        <v/>
      </c>
      <c r="U55" s="29" t="str">
        <f t="shared" si="9"/>
        <v/>
      </c>
      <c r="V55" s="33"/>
    </row>
    <row r="56" spans="1:22" x14ac:dyDescent="0.25">
      <c r="A56" s="30"/>
      <c r="B56" s="34" t="str">
        <f t="shared" si="0"/>
        <v/>
      </c>
      <c r="C56" s="34" t="str">
        <f t="shared" si="1"/>
        <v/>
      </c>
      <c r="D56" s="36" t="str">
        <f t="shared" si="2"/>
        <v/>
      </c>
      <c r="E56" s="36" t="str">
        <f t="shared" si="3"/>
        <v/>
      </c>
      <c r="F56" s="36" t="str">
        <f t="shared" si="4"/>
        <v/>
      </c>
      <c r="G56" s="30"/>
      <c r="H56" s="33"/>
      <c r="I56" s="31"/>
      <c r="J56" s="31"/>
      <c r="K56" s="13" t="str">
        <f t="shared" si="5"/>
        <v/>
      </c>
      <c r="L56" s="49"/>
      <c r="M56" s="49"/>
      <c r="N56" s="30"/>
      <c r="O56" s="30"/>
      <c r="P56" s="30"/>
      <c r="Q56" s="30"/>
      <c r="R56" s="11" t="str">
        <f t="shared" si="6"/>
        <v/>
      </c>
      <c r="S56" s="55" t="str">
        <f t="shared" si="7"/>
        <v/>
      </c>
      <c r="T56" s="37" t="str">
        <f t="shared" si="8"/>
        <v/>
      </c>
      <c r="U56" s="29" t="str">
        <f t="shared" si="9"/>
        <v/>
      </c>
      <c r="V56" s="33"/>
    </row>
    <row r="57" spans="1:22" x14ac:dyDescent="0.25">
      <c r="A57" s="30"/>
      <c r="B57" s="34" t="str">
        <f t="shared" si="0"/>
        <v/>
      </c>
      <c r="C57" s="34" t="str">
        <f t="shared" si="1"/>
        <v/>
      </c>
      <c r="D57" s="36" t="str">
        <f t="shared" si="2"/>
        <v/>
      </c>
      <c r="E57" s="36" t="str">
        <f t="shared" si="3"/>
        <v/>
      </c>
      <c r="F57" s="36" t="str">
        <f t="shared" si="4"/>
        <v/>
      </c>
      <c r="G57" s="30"/>
      <c r="H57" s="33"/>
      <c r="I57" s="31"/>
      <c r="J57" s="31"/>
      <c r="K57" s="13" t="str">
        <f t="shared" si="5"/>
        <v/>
      </c>
      <c r="L57" s="49"/>
      <c r="M57" s="49"/>
      <c r="N57" s="30"/>
      <c r="O57" s="30"/>
      <c r="P57" s="30"/>
      <c r="Q57" s="30"/>
      <c r="R57" s="11" t="str">
        <f t="shared" si="6"/>
        <v/>
      </c>
      <c r="S57" s="55" t="str">
        <f t="shared" si="7"/>
        <v/>
      </c>
      <c r="T57" s="37" t="str">
        <f t="shared" si="8"/>
        <v/>
      </c>
      <c r="U57" s="29" t="str">
        <f t="shared" si="9"/>
        <v/>
      </c>
      <c r="V57" s="33"/>
    </row>
    <row r="58" spans="1:22" x14ac:dyDescent="0.25">
      <c r="A58" s="30"/>
      <c r="B58" s="34" t="str">
        <f t="shared" si="0"/>
        <v/>
      </c>
      <c r="C58" s="34" t="str">
        <f t="shared" si="1"/>
        <v/>
      </c>
      <c r="D58" s="36" t="str">
        <f t="shared" si="2"/>
        <v/>
      </c>
      <c r="E58" s="36" t="str">
        <f t="shared" si="3"/>
        <v/>
      </c>
      <c r="F58" s="36" t="str">
        <f t="shared" si="4"/>
        <v/>
      </c>
      <c r="G58" s="30"/>
      <c r="H58" s="33"/>
      <c r="I58" s="31"/>
      <c r="J58" s="31"/>
      <c r="K58" s="13" t="str">
        <f t="shared" si="5"/>
        <v/>
      </c>
      <c r="L58" s="49"/>
      <c r="M58" s="49"/>
      <c r="N58" s="30"/>
      <c r="O58" s="30"/>
      <c r="P58" s="30"/>
      <c r="Q58" s="30"/>
      <c r="R58" s="11" t="str">
        <f t="shared" si="6"/>
        <v/>
      </c>
      <c r="S58" s="55" t="str">
        <f t="shared" si="7"/>
        <v/>
      </c>
      <c r="T58" s="37" t="str">
        <f t="shared" si="8"/>
        <v/>
      </c>
      <c r="U58" s="29" t="str">
        <f t="shared" si="9"/>
        <v/>
      </c>
      <c r="V58" s="33"/>
    </row>
    <row r="59" spans="1:22" x14ac:dyDescent="0.25">
      <c r="A59" s="30"/>
      <c r="B59" s="34" t="str">
        <f t="shared" si="0"/>
        <v/>
      </c>
      <c r="C59" s="34" t="str">
        <f t="shared" si="1"/>
        <v/>
      </c>
      <c r="D59" s="36" t="str">
        <f t="shared" si="2"/>
        <v/>
      </c>
      <c r="E59" s="36" t="str">
        <f t="shared" si="3"/>
        <v/>
      </c>
      <c r="F59" s="36" t="str">
        <f t="shared" si="4"/>
        <v/>
      </c>
      <c r="G59" s="30"/>
      <c r="H59" s="33"/>
      <c r="I59" s="31"/>
      <c r="J59" s="31"/>
      <c r="K59" s="13" t="str">
        <f t="shared" si="5"/>
        <v/>
      </c>
      <c r="L59" s="49"/>
      <c r="M59" s="49"/>
      <c r="N59" s="30"/>
      <c r="O59" s="30"/>
      <c r="P59" s="30"/>
      <c r="Q59" s="30"/>
      <c r="R59" s="11" t="str">
        <f t="shared" si="6"/>
        <v/>
      </c>
      <c r="S59" s="55" t="str">
        <f t="shared" si="7"/>
        <v/>
      </c>
      <c r="T59" s="37" t="str">
        <f t="shared" si="8"/>
        <v/>
      </c>
      <c r="U59" s="29" t="str">
        <f t="shared" si="9"/>
        <v/>
      </c>
      <c r="V59" s="33"/>
    </row>
    <row r="60" spans="1:22" x14ac:dyDescent="0.25">
      <c r="A60" s="30"/>
      <c r="B60" s="34" t="str">
        <f t="shared" si="0"/>
        <v/>
      </c>
      <c r="C60" s="34" t="str">
        <f t="shared" si="1"/>
        <v/>
      </c>
      <c r="D60" s="36" t="str">
        <f t="shared" si="2"/>
        <v/>
      </c>
      <c r="E60" s="36" t="str">
        <f t="shared" si="3"/>
        <v/>
      </c>
      <c r="F60" s="36" t="str">
        <f t="shared" si="4"/>
        <v/>
      </c>
      <c r="G60" s="30"/>
      <c r="H60" s="33"/>
      <c r="I60" s="31"/>
      <c r="J60" s="31"/>
      <c r="K60" s="13" t="str">
        <f t="shared" si="5"/>
        <v/>
      </c>
      <c r="L60" s="49"/>
      <c r="M60" s="49"/>
      <c r="N60" s="30"/>
      <c r="O60" s="30"/>
      <c r="P60" s="30"/>
      <c r="Q60" s="30"/>
      <c r="R60" s="11" t="str">
        <f t="shared" si="6"/>
        <v/>
      </c>
      <c r="S60" s="55" t="str">
        <f t="shared" si="7"/>
        <v/>
      </c>
      <c r="T60" s="37" t="str">
        <f t="shared" si="8"/>
        <v/>
      </c>
      <c r="U60" s="29" t="str">
        <f t="shared" si="9"/>
        <v/>
      </c>
      <c r="V60" s="33"/>
    </row>
    <row r="61" spans="1:22" x14ac:dyDescent="0.25">
      <c r="A61" s="30"/>
      <c r="B61" s="34" t="str">
        <f t="shared" si="0"/>
        <v/>
      </c>
      <c r="C61" s="34" t="str">
        <f t="shared" si="1"/>
        <v/>
      </c>
      <c r="D61" s="36" t="str">
        <f t="shared" si="2"/>
        <v/>
      </c>
      <c r="E61" s="36" t="str">
        <f t="shared" si="3"/>
        <v/>
      </c>
      <c r="F61" s="36" t="str">
        <f t="shared" si="4"/>
        <v/>
      </c>
      <c r="G61" s="30"/>
      <c r="H61" s="33"/>
      <c r="I61" s="31"/>
      <c r="J61" s="31"/>
      <c r="K61" s="13" t="str">
        <f t="shared" si="5"/>
        <v/>
      </c>
      <c r="L61" s="49"/>
      <c r="M61" s="49"/>
      <c r="N61" s="30"/>
      <c r="O61" s="30"/>
      <c r="P61" s="30"/>
      <c r="Q61" s="30"/>
      <c r="R61" s="11" t="str">
        <f t="shared" si="6"/>
        <v/>
      </c>
      <c r="S61" s="55" t="str">
        <f t="shared" si="7"/>
        <v/>
      </c>
      <c r="T61" s="37" t="str">
        <f t="shared" si="8"/>
        <v/>
      </c>
      <c r="U61" s="29" t="str">
        <f t="shared" si="9"/>
        <v/>
      </c>
      <c r="V61" s="33"/>
    </row>
    <row r="62" spans="1:22" x14ac:dyDescent="0.25">
      <c r="A62" s="30"/>
      <c r="B62" s="34" t="str">
        <f t="shared" si="0"/>
        <v/>
      </c>
      <c r="C62" s="34" t="str">
        <f t="shared" si="1"/>
        <v/>
      </c>
      <c r="D62" s="36" t="str">
        <f t="shared" si="2"/>
        <v/>
      </c>
      <c r="E62" s="36" t="str">
        <f t="shared" si="3"/>
        <v/>
      </c>
      <c r="F62" s="36" t="str">
        <f t="shared" si="4"/>
        <v/>
      </c>
      <c r="G62" s="30"/>
      <c r="H62" s="33"/>
      <c r="I62" s="31"/>
      <c r="J62" s="31"/>
      <c r="K62" s="13" t="str">
        <f t="shared" si="5"/>
        <v/>
      </c>
      <c r="L62" s="49"/>
      <c r="M62" s="49"/>
      <c r="N62" s="30"/>
      <c r="O62" s="30"/>
      <c r="P62" s="30"/>
      <c r="Q62" s="30"/>
      <c r="R62" s="11" t="str">
        <f t="shared" si="6"/>
        <v/>
      </c>
      <c r="S62" s="55" t="str">
        <f t="shared" si="7"/>
        <v/>
      </c>
      <c r="T62" s="37" t="str">
        <f t="shared" si="8"/>
        <v/>
      </c>
      <c r="U62" s="29" t="str">
        <f t="shared" si="9"/>
        <v/>
      </c>
      <c r="V62" s="33"/>
    </row>
    <row r="63" spans="1:22" x14ac:dyDescent="0.25">
      <c r="A63" s="30"/>
      <c r="B63" s="34" t="str">
        <f t="shared" si="0"/>
        <v/>
      </c>
      <c r="C63" s="34" t="str">
        <f t="shared" si="1"/>
        <v/>
      </c>
      <c r="D63" s="36" t="str">
        <f t="shared" si="2"/>
        <v/>
      </c>
      <c r="E63" s="36" t="str">
        <f t="shared" si="3"/>
        <v/>
      </c>
      <c r="F63" s="36" t="str">
        <f t="shared" si="4"/>
        <v/>
      </c>
      <c r="G63" s="30"/>
      <c r="H63" s="33"/>
      <c r="I63" s="31"/>
      <c r="J63" s="31"/>
      <c r="K63" s="13" t="str">
        <f t="shared" si="5"/>
        <v/>
      </c>
      <c r="L63" s="49"/>
      <c r="M63" s="49"/>
      <c r="N63" s="30"/>
      <c r="O63" s="30"/>
      <c r="P63" s="30"/>
      <c r="Q63" s="30"/>
      <c r="R63" s="11" t="str">
        <f t="shared" si="6"/>
        <v/>
      </c>
      <c r="S63" s="55" t="str">
        <f t="shared" si="7"/>
        <v/>
      </c>
      <c r="T63" s="37" t="str">
        <f t="shared" si="8"/>
        <v/>
      </c>
      <c r="U63" s="29" t="str">
        <f t="shared" si="9"/>
        <v/>
      </c>
      <c r="V63" s="33"/>
    </row>
    <row r="64" spans="1:22" x14ac:dyDescent="0.25">
      <c r="A64" s="30"/>
      <c r="B64" s="34" t="str">
        <f t="shared" si="0"/>
        <v/>
      </c>
      <c r="C64" s="34" t="str">
        <f t="shared" si="1"/>
        <v/>
      </c>
      <c r="D64" s="36" t="str">
        <f t="shared" si="2"/>
        <v/>
      </c>
      <c r="E64" s="36" t="str">
        <f t="shared" si="3"/>
        <v/>
      </c>
      <c r="F64" s="36" t="str">
        <f t="shared" si="4"/>
        <v/>
      </c>
      <c r="G64" s="30"/>
      <c r="H64" s="33"/>
      <c r="I64" s="31"/>
      <c r="J64" s="31"/>
      <c r="K64" s="13" t="str">
        <f t="shared" si="5"/>
        <v/>
      </c>
      <c r="L64" s="49"/>
      <c r="M64" s="49"/>
      <c r="N64" s="30"/>
      <c r="O64" s="30"/>
      <c r="P64" s="30"/>
      <c r="Q64" s="30"/>
      <c r="R64" s="11" t="str">
        <f t="shared" si="6"/>
        <v/>
      </c>
      <c r="S64" s="55" t="str">
        <f t="shared" si="7"/>
        <v/>
      </c>
      <c r="T64" s="37" t="str">
        <f t="shared" si="8"/>
        <v/>
      </c>
      <c r="U64" s="29" t="str">
        <f t="shared" si="9"/>
        <v/>
      </c>
      <c r="V64" s="33"/>
    </row>
    <row r="65" spans="1:22" x14ac:dyDescent="0.25">
      <c r="A65" s="30"/>
      <c r="B65" s="34" t="str">
        <f t="shared" si="0"/>
        <v/>
      </c>
      <c r="C65" s="34" t="str">
        <f t="shared" si="1"/>
        <v/>
      </c>
      <c r="D65" s="36" t="str">
        <f t="shared" si="2"/>
        <v/>
      </c>
      <c r="E65" s="36" t="str">
        <f t="shared" si="3"/>
        <v/>
      </c>
      <c r="F65" s="36" t="str">
        <f t="shared" si="4"/>
        <v/>
      </c>
      <c r="G65" s="30"/>
      <c r="H65" s="33"/>
      <c r="I65" s="31"/>
      <c r="J65" s="31"/>
      <c r="K65" s="13" t="str">
        <f t="shared" si="5"/>
        <v/>
      </c>
      <c r="L65" s="49"/>
      <c r="M65" s="49"/>
      <c r="N65" s="30"/>
      <c r="O65" s="30"/>
      <c r="P65" s="30"/>
      <c r="Q65" s="30"/>
      <c r="R65" s="11" t="str">
        <f t="shared" si="6"/>
        <v/>
      </c>
      <c r="S65" s="55" t="str">
        <f t="shared" si="7"/>
        <v/>
      </c>
      <c r="T65" s="37" t="str">
        <f t="shared" si="8"/>
        <v/>
      </c>
      <c r="U65" s="29" t="str">
        <f t="shared" si="9"/>
        <v/>
      </c>
      <c r="V65" s="33"/>
    </row>
    <row r="66" spans="1:22" x14ac:dyDescent="0.25">
      <c r="A66" s="30"/>
      <c r="B66" s="34" t="str">
        <f t="shared" si="0"/>
        <v/>
      </c>
      <c r="C66" s="34" t="str">
        <f t="shared" si="1"/>
        <v/>
      </c>
      <c r="D66" s="36" t="str">
        <f t="shared" si="2"/>
        <v/>
      </c>
      <c r="E66" s="36" t="str">
        <f t="shared" si="3"/>
        <v/>
      </c>
      <c r="F66" s="36" t="str">
        <f t="shared" si="4"/>
        <v/>
      </c>
      <c r="G66" s="30"/>
      <c r="H66" s="33"/>
      <c r="I66" s="31"/>
      <c r="J66" s="31"/>
      <c r="K66" s="13" t="str">
        <f t="shared" si="5"/>
        <v/>
      </c>
      <c r="L66" s="49"/>
      <c r="M66" s="49"/>
      <c r="N66" s="30"/>
      <c r="O66" s="30"/>
      <c r="P66" s="30"/>
      <c r="Q66" s="30"/>
      <c r="R66" s="11" t="str">
        <f t="shared" si="6"/>
        <v/>
      </c>
      <c r="S66" s="55" t="str">
        <f t="shared" si="7"/>
        <v/>
      </c>
      <c r="T66" s="37" t="str">
        <f t="shared" si="8"/>
        <v/>
      </c>
      <c r="U66" s="29" t="str">
        <f t="shared" si="9"/>
        <v/>
      </c>
      <c r="V66" s="33"/>
    </row>
    <row r="67" spans="1:22" x14ac:dyDescent="0.25">
      <c r="A67" s="30"/>
      <c r="B67" s="34" t="str">
        <f t="shared" si="0"/>
        <v/>
      </c>
      <c r="C67" s="34" t="str">
        <f t="shared" si="1"/>
        <v/>
      </c>
      <c r="D67" s="36" t="str">
        <f t="shared" si="2"/>
        <v/>
      </c>
      <c r="E67" s="36" t="str">
        <f t="shared" si="3"/>
        <v/>
      </c>
      <c r="F67" s="36" t="str">
        <f t="shared" si="4"/>
        <v/>
      </c>
      <c r="G67" s="30"/>
      <c r="H67" s="33"/>
      <c r="I67" s="31"/>
      <c r="J67" s="31"/>
      <c r="K67" s="13" t="str">
        <f t="shared" si="5"/>
        <v/>
      </c>
      <c r="L67" s="49"/>
      <c r="M67" s="49"/>
      <c r="N67" s="30"/>
      <c r="O67" s="30"/>
      <c r="P67" s="30"/>
      <c r="Q67" s="30"/>
      <c r="R67" s="11" t="str">
        <f t="shared" si="6"/>
        <v/>
      </c>
      <c r="S67" s="55" t="str">
        <f t="shared" si="7"/>
        <v/>
      </c>
      <c r="T67" s="37" t="str">
        <f t="shared" si="8"/>
        <v/>
      </c>
      <c r="U67" s="29" t="str">
        <f t="shared" si="9"/>
        <v/>
      </c>
      <c r="V67" s="33"/>
    </row>
    <row r="68" spans="1:22" x14ac:dyDescent="0.25">
      <c r="A68" s="30"/>
      <c r="B68" s="34" t="str">
        <f t="shared" si="0"/>
        <v/>
      </c>
      <c r="C68" s="34" t="str">
        <f t="shared" si="1"/>
        <v/>
      </c>
      <c r="D68" s="36" t="str">
        <f t="shared" si="2"/>
        <v/>
      </c>
      <c r="E68" s="36" t="str">
        <f t="shared" si="3"/>
        <v/>
      </c>
      <c r="F68" s="36" t="str">
        <f t="shared" si="4"/>
        <v/>
      </c>
      <c r="G68" s="30"/>
      <c r="H68" s="33"/>
      <c r="I68" s="31"/>
      <c r="J68" s="31"/>
      <c r="K68" s="13" t="str">
        <f t="shared" si="5"/>
        <v/>
      </c>
      <c r="L68" s="49"/>
      <c r="M68" s="49"/>
      <c r="N68" s="30"/>
      <c r="O68" s="30"/>
      <c r="P68" s="30"/>
      <c r="Q68" s="30"/>
      <c r="R68" s="11" t="str">
        <f t="shared" si="6"/>
        <v/>
      </c>
      <c r="S68" s="55" t="str">
        <f t="shared" si="7"/>
        <v/>
      </c>
      <c r="T68" s="37" t="str">
        <f t="shared" si="8"/>
        <v/>
      </c>
      <c r="U68" s="29" t="str">
        <f t="shared" si="9"/>
        <v/>
      </c>
      <c r="V68" s="33"/>
    </row>
    <row r="69" spans="1:22" x14ac:dyDescent="0.25">
      <c r="A69" s="30"/>
      <c r="B69" s="34" t="str">
        <f t="shared" ref="B69:B132" si="10">IFERROR(IF($A69="","",VLOOKUP($A69,CAD_TAB,2,FALSE)),"")</f>
        <v/>
      </c>
      <c r="C69" s="34" t="str">
        <f t="shared" ref="C69:C132" si="11">IFERROR(IF($A69="","",VLOOKUP($A69,CAD_TAB,3,FALSE)),"")</f>
        <v/>
      </c>
      <c r="D69" s="36" t="str">
        <f t="shared" ref="D69:D132" si="12">IFERROR(IF($A69="","",VLOOKUP($A69,CAD_TAB,9,FALSE)),"")</f>
        <v/>
      </c>
      <c r="E69" s="36" t="str">
        <f t="shared" ref="E69:E132" si="13">IFERROR(IF($A69="","",VLOOKUP($A69,CAD_TAB,11,FALSE)),"")</f>
        <v/>
      </c>
      <c r="F69" s="36" t="str">
        <f t="shared" ref="F69:F132" si="14">IFERROR(IF($A69="","",VLOOKUP($A69,CAD_TAB,8,FALSE)),"")</f>
        <v/>
      </c>
      <c r="G69" s="30"/>
      <c r="H69" s="33"/>
      <c r="I69" s="31"/>
      <c r="J69" s="31"/>
      <c r="K69" s="13" t="str">
        <f t="shared" ref="K69:K132" si="15">IF(OR($I69="",$J69=""),"",$J69-$I69+1)</f>
        <v/>
      </c>
      <c r="L69" s="49"/>
      <c r="M69" s="49"/>
      <c r="N69" s="30"/>
      <c r="O69" s="30"/>
      <c r="P69" s="30"/>
      <c r="Q69" s="30"/>
      <c r="R69" s="11" t="str">
        <f t="shared" ref="R69:R132" si="16">IF($A69="","",COUNTIFS(MED_ID,$A69))</f>
        <v/>
      </c>
      <c r="S69" s="55" t="str">
        <f t="shared" ref="S69:S132" si="17">IF($A69="","",SUMIFS(MED_VLR,MED_ID,$A69))</f>
        <v/>
      </c>
      <c r="T69" s="37" t="str">
        <f t="shared" ref="T69:T132" si="18">IF($J69="","",EOMONTH($J69,0))</f>
        <v/>
      </c>
      <c r="U69" s="29" t="str">
        <f t="shared" ref="U69:U132" si="19">IF($A69="","",IF($V69="CANCELADA","CANCELADA",IF($S69&gt;0,"MEDIDA",IF($J69="","EM EXECUÇÃO",IF(OR($N69="NÃO",$O69="NÃO",$P69="NÃO"),"AGUARDANDO PAVIMENTO","CONCLUÍDA")))))</f>
        <v/>
      </c>
      <c r="V69" s="33"/>
    </row>
    <row r="70" spans="1:22" x14ac:dyDescent="0.25">
      <c r="A70" s="30"/>
      <c r="B70" s="34" t="str">
        <f t="shared" si="10"/>
        <v/>
      </c>
      <c r="C70" s="34" t="str">
        <f t="shared" si="11"/>
        <v/>
      </c>
      <c r="D70" s="36" t="str">
        <f t="shared" si="12"/>
        <v/>
      </c>
      <c r="E70" s="36" t="str">
        <f t="shared" si="13"/>
        <v/>
      </c>
      <c r="F70" s="36" t="str">
        <f t="shared" si="14"/>
        <v/>
      </c>
      <c r="G70" s="30"/>
      <c r="H70" s="33"/>
      <c r="I70" s="31"/>
      <c r="J70" s="31"/>
      <c r="K70" s="13" t="str">
        <f t="shared" si="15"/>
        <v/>
      </c>
      <c r="L70" s="49"/>
      <c r="M70" s="49"/>
      <c r="N70" s="30"/>
      <c r="O70" s="30"/>
      <c r="P70" s="30"/>
      <c r="Q70" s="30"/>
      <c r="R70" s="11" t="str">
        <f t="shared" si="16"/>
        <v/>
      </c>
      <c r="S70" s="55" t="str">
        <f t="shared" si="17"/>
        <v/>
      </c>
      <c r="T70" s="37" t="str">
        <f t="shared" si="18"/>
        <v/>
      </c>
      <c r="U70" s="29" t="str">
        <f t="shared" si="19"/>
        <v/>
      </c>
      <c r="V70" s="33"/>
    </row>
    <row r="71" spans="1:22" x14ac:dyDescent="0.25">
      <c r="A71" s="30"/>
      <c r="B71" s="34" t="str">
        <f t="shared" si="10"/>
        <v/>
      </c>
      <c r="C71" s="34" t="str">
        <f t="shared" si="11"/>
        <v/>
      </c>
      <c r="D71" s="36" t="str">
        <f t="shared" si="12"/>
        <v/>
      </c>
      <c r="E71" s="36" t="str">
        <f t="shared" si="13"/>
        <v/>
      </c>
      <c r="F71" s="36" t="str">
        <f t="shared" si="14"/>
        <v/>
      </c>
      <c r="G71" s="30"/>
      <c r="H71" s="33"/>
      <c r="I71" s="31"/>
      <c r="J71" s="31"/>
      <c r="K71" s="13" t="str">
        <f t="shared" si="15"/>
        <v/>
      </c>
      <c r="L71" s="49"/>
      <c r="M71" s="49"/>
      <c r="N71" s="30"/>
      <c r="O71" s="30"/>
      <c r="P71" s="30"/>
      <c r="Q71" s="30"/>
      <c r="R71" s="11" t="str">
        <f t="shared" si="16"/>
        <v/>
      </c>
      <c r="S71" s="55" t="str">
        <f t="shared" si="17"/>
        <v/>
      </c>
      <c r="T71" s="37" t="str">
        <f t="shared" si="18"/>
        <v/>
      </c>
      <c r="U71" s="29" t="str">
        <f t="shared" si="19"/>
        <v/>
      </c>
      <c r="V71" s="33"/>
    </row>
    <row r="72" spans="1:22" x14ac:dyDescent="0.25">
      <c r="A72" s="30"/>
      <c r="B72" s="34" t="str">
        <f t="shared" si="10"/>
        <v/>
      </c>
      <c r="C72" s="34" t="str">
        <f t="shared" si="11"/>
        <v/>
      </c>
      <c r="D72" s="36" t="str">
        <f t="shared" si="12"/>
        <v/>
      </c>
      <c r="E72" s="36" t="str">
        <f t="shared" si="13"/>
        <v/>
      </c>
      <c r="F72" s="36" t="str">
        <f t="shared" si="14"/>
        <v/>
      </c>
      <c r="G72" s="30"/>
      <c r="H72" s="33"/>
      <c r="I72" s="31"/>
      <c r="J72" s="31"/>
      <c r="K72" s="13" t="str">
        <f t="shared" si="15"/>
        <v/>
      </c>
      <c r="L72" s="49"/>
      <c r="M72" s="49"/>
      <c r="N72" s="30"/>
      <c r="O72" s="30"/>
      <c r="P72" s="30"/>
      <c r="Q72" s="30"/>
      <c r="R72" s="11" t="str">
        <f t="shared" si="16"/>
        <v/>
      </c>
      <c r="S72" s="55" t="str">
        <f t="shared" si="17"/>
        <v/>
      </c>
      <c r="T72" s="37" t="str">
        <f t="shared" si="18"/>
        <v/>
      </c>
      <c r="U72" s="29" t="str">
        <f t="shared" si="19"/>
        <v/>
      </c>
      <c r="V72" s="33"/>
    </row>
    <row r="73" spans="1:22" x14ac:dyDescent="0.25">
      <c r="A73" s="30"/>
      <c r="B73" s="34" t="str">
        <f t="shared" si="10"/>
        <v/>
      </c>
      <c r="C73" s="34" t="str">
        <f t="shared" si="11"/>
        <v/>
      </c>
      <c r="D73" s="36" t="str">
        <f t="shared" si="12"/>
        <v/>
      </c>
      <c r="E73" s="36" t="str">
        <f t="shared" si="13"/>
        <v/>
      </c>
      <c r="F73" s="36" t="str">
        <f t="shared" si="14"/>
        <v/>
      </c>
      <c r="G73" s="30"/>
      <c r="H73" s="33"/>
      <c r="I73" s="31"/>
      <c r="J73" s="31"/>
      <c r="K73" s="13" t="str">
        <f t="shared" si="15"/>
        <v/>
      </c>
      <c r="L73" s="49"/>
      <c r="M73" s="49"/>
      <c r="N73" s="30"/>
      <c r="O73" s="30"/>
      <c r="P73" s="30"/>
      <c r="Q73" s="30"/>
      <c r="R73" s="11" t="str">
        <f t="shared" si="16"/>
        <v/>
      </c>
      <c r="S73" s="55" t="str">
        <f t="shared" si="17"/>
        <v/>
      </c>
      <c r="T73" s="37" t="str">
        <f t="shared" si="18"/>
        <v/>
      </c>
      <c r="U73" s="29" t="str">
        <f t="shared" si="19"/>
        <v/>
      </c>
      <c r="V73" s="33"/>
    </row>
    <row r="74" spans="1:22" x14ac:dyDescent="0.25">
      <c r="A74" s="30"/>
      <c r="B74" s="34" t="str">
        <f t="shared" si="10"/>
        <v/>
      </c>
      <c r="C74" s="34" t="str">
        <f t="shared" si="11"/>
        <v/>
      </c>
      <c r="D74" s="36" t="str">
        <f t="shared" si="12"/>
        <v/>
      </c>
      <c r="E74" s="36" t="str">
        <f t="shared" si="13"/>
        <v/>
      </c>
      <c r="F74" s="36" t="str">
        <f t="shared" si="14"/>
        <v/>
      </c>
      <c r="G74" s="30"/>
      <c r="H74" s="33"/>
      <c r="I74" s="31"/>
      <c r="J74" s="31"/>
      <c r="K74" s="13" t="str">
        <f t="shared" si="15"/>
        <v/>
      </c>
      <c r="L74" s="49"/>
      <c r="M74" s="49"/>
      <c r="N74" s="30"/>
      <c r="O74" s="30"/>
      <c r="P74" s="30"/>
      <c r="Q74" s="30"/>
      <c r="R74" s="11" t="str">
        <f t="shared" si="16"/>
        <v/>
      </c>
      <c r="S74" s="55" t="str">
        <f t="shared" si="17"/>
        <v/>
      </c>
      <c r="T74" s="37" t="str">
        <f t="shared" si="18"/>
        <v/>
      </c>
      <c r="U74" s="29" t="str">
        <f t="shared" si="19"/>
        <v/>
      </c>
      <c r="V74" s="33"/>
    </row>
    <row r="75" spans="1:22" x14ac:dyDescent="0.25">
      <c r="A75" s="30"/>
      <c r="B75" s="34" t="str">
        <f t="shared" si="10"/>
        <v/>
      </c>
      <c r="C75" s="34" t="str">
        <f t="shared" si="11"/>
        <v/>
      </c>
      <c r="D75" s="36" t="str">
        <f t="shared" si="12"/>
        <v/>
      </c>
      <c r="E75" s="36" t="str">
        <f t="shared" si="13"/>
        <v/>
      </c>
      <c r="F75" s="36" t="str">
        <f t="shared" si="14"/>
        <v/>
      </c>
      <c r="G75" s="30"/>
      <c r="H75" s="33"/>
      <c r="I75" s="31"/>
      <c r="J75" s="31"/>
      <c r="K75" s="13" t="str">
        <f t="shared" si="15"/>
        <v/>
      </c>
      <c r="L75" s="49"/>
      <c r="M75" s="49"/>
      <c r="N75" s="30"/>
      <c r="O75" s="30"/>
      <c r="P75" s="30"/>
      <c r="Q75" s="30"/>
      <c r="R75" s="11" t="str">
        <f t="shared" si="16"/>
        <v/>
      </c>
      <c r="S75" s="55" t="str">
        <f t="shared" si="17"/>
        <v/>
      </c>
      <c r="T75" s="37" t="str">
        <f t="shared" si="18"/>
        <v/>
      </c>
      <c r="U75" s="29" t="str">
        <f t="shared" si="19"/>
        <v/>
      </c>
      <c r="V75" s="33"/>
    </row>
    <row r="76" spans="1:22" x14ac:dyDescent="0.25">
      <c r="A76" s="30"/>
      <c r="B76" s="34" t="str">
        <f t="shared" si="10"/>
        <v/>
      </c>
      <c r="C76" s="34" t="str">
        <f t="shared" si="11"/>
        <v/>
      </c>
      <c r="D76" s="36" t="str">
        <f t="shared" si="12"/>
        <v/>
      </c>
      <c r="E76" s="36" t="str">
        <f t="shared" si="13"/>
        <v/>
      </c>
      <c r="F76" s="36" t="str">
        <f t="shared" si="14"/>
        <v/>
      </c>
      <c r="G76" s="30"/>
      <c r="H76" s="33"/>
      <c r="I76" s="31"/>
      <c r="J76" s="31"/>
      <c r="K76" s="13" t="str">
        <f t="shared" si="15"/>
        <v/>
      </c>
      <c r="L76" s="49"/>
      <c r="M76" s="49"/>
      <c r="N76" s="30"/>
      <c r="O76" s="30"/>
      <c r="P76" s="30"/>
      <c r="Q76" s="30"/>
      <c r="R76" s="11" t="str">
        <f t="shared" si="16"/>
        <v/>
      </c>
      <c r="S76" s="55" t="str">
        <f t="shared" si="17"/>
        <v/>
      </c>
      <c r="T76" s="37" t="str">
        <f t="shared" si="18"/>
        <v/>
      </c>
      <c r="U76" s="29" t="str">
        <f t="shared" si="19"/>
        <v/>
      </c>
      <c r="V76" s="33"/>
    </row>
    <row r="77" spans="1:22" x14ac:dyDescent="0.25">
      <c r="A77" s="30"/>
      <c r="B77" s="34" t="str">
        <f t="shared" si="10"/>
        <v/>
      </c>
      <c r="C77" s="34" t="str">
        <f t="shared" si="11"/>
        <v/>
      </c>
      <c r="D77" s="36" t="str">
        <f t="shared" si="12"/>
        <v/>
      </c>
      <c r="E77" s="36" t="str">
        <f t="shared" si="13"/>
        <v/>
      </c>
      <c r="F77" s="36" t="str">
        <f t="shared" si="14"/>
        <v/>
      </c>
      <c r="G77" s="30"/>
      <c r="H77" s="33"/>
      <c r="I77" s="31"/>
      <c r="J77" s="31"/>
      <c r="K77" s="13" t="str">
        <f t="shared" si="15"/>
        <v/>
      </c>
      <c r="L77" s="49"/>
      <c r="M77" s="49"/>
      <c r="N77" s="30"/>
      <c r="O77" s="30"/>
      <c r="P77" s="30"/>
      <c r="Q77" s="30"/>
      <c r="R77" s="11" t="str">
        <f t="shared" si="16"/>
        <v/>
      </c>
      <c r="S77" s="55" t="str">
        <f t="shared" si="17"/>
        <v/>
      </c>
      <c r="T77" s="37" t="str">
        <f t="shared" si="18"/>
        <v/>
      </c>
      <c r="U77" s="29" t="str">
        <f t="shared" si="19"/>
        <v/>
      </c>
      <c r="V77" s="33"/>
    </row>
    <row r="78" spans="1:22" x14ac:dyDescent="0.25">
      <c r="A78" s="30"/>
      <c r="B78" s="34" t="str">
        <f t="shared" si="10"/>
        <v/>
      </c>
      <c r="C78" s="34" t="str">
        <f t="shared" si="11"/>
        <v/>
      </c>
      <c r="D78" s="36" t="str">
        <f t="shared" si="12"/>
        <v/>
      </c>
      <c r="E78" s="36" t="str">
        <f t="shared" si="13"/>
        <v/>
      </c>
      <c r="F78" s="36" t="str">
        <f t="shared" si="14"/>
        <v/>
      </c>
      <c r="G78" s="30"/>
      <c r="H78" s="33"/>
      <c r="I78" s="31"/>
      <c r="J78" s="31"/>
      <c r="K78" s="13" t="str">
        <f t="shared" si="15"/>
        <v/>
      </c>
      <c r="L78" s="49"/>
      <c r="M78" s="49"/>
      <c r="N78" s="30"/>
      <c r="O78" s="30"/>
      <c r="P78" s="30"/>
      <c r="Q78" s="30"/>
      <c r="R78" s="11" t="str">
        <f t="shared" si="16"/>
        <v/>
      </c>
      <c r="S78" s="55" t="str">
        <f t="shared" si="17"/>
        <v/>
      </c>
      <c r="T78" s="37" t="str">
        <f t="shared" si="18"/>
        <v/>
      </c>
      <c r="U78" s="29" t="str">
        <f t="shared" si="19"/>
        <v/>
      </c>
      <c r="V78" s="33"/>
    </row>
    <row r="79" spans="1:22" x14ac:dyDescent="0.25">
      <c r="A79" s="30"/>
      <c r="B79" s="34" t="str">
        <f t="shared" si="10"/>
        <v/>
      </c>
      <c r="C79" s="34" t="str">
        <f t="shared" si="11"/>
        <v/>
      </c>
      <c r="D79" s="36" t="str">
        <f t="shared" si="12"/>
        <v/>
      </c>
      <c r="E79" s="36" t="str">
        <f t="shared" si="13"/>
        <v/>
      </c>
      <c r="F79" s="36" t="str">
        <f t="shared" si="14"/>
        <v/>
      </c>
      <c r="G79" s="30"/>
      <c r="H79" s="33"/>
      <c r="I79" s="31"/>
      <c r="J79" s="31"/>
      <c r="K79" s="13" t="str">
        <f t="shared" si="15"/>
        <v/>
      </c>
      <c r="L79" s="49"/>
      <c r="M79" s="49"/>
      <c r="N79" s="30"/>
      <c r="O79" s="30"/>
      <c r="P79" s="30"/>
      <c r="Q79" s="30"/>
      <c r="R79" s="11" t="str">
        <f t="shared" si="16"/>
        <v/>
      </c>
      <c r="S79" s="55" t="str">
        <f t="shared" si="17"/>
        <v/>
      </c>
      <c r="T79" s="37" t="str">
        <f t="shared" si="18"/>
        <v/>
      </c>
      <c r="U79" s="29" t="str">
        <f t="shared" si="19"/>
        <v/>
      </c>
      <c r="V79" s="33"/>
    </row>
    <row r="80" spans="1:22" x14ac:dyDescent="0.25">
      <c r="A80" s="30"/>
      <c r="B80" s="34" t="str">
        <f t="shared" si="10"/>
        <v/>
      </c>
      <c r="C80" s="34" t="str">
        <f t="shared" si="11"/>
        <v/>
      </c>
      <c r="D80" s="36" t="str">
        <f t="shared" si="12"/>
        <v/>
      </c>
      <c r="E80" s="36" t="str">
        <f t="shared" si="13"/>
        <v/>
      </c>
      <c r="F80" s="36" t="str">
        <f t="shared" si="14"/>
        <v/>
      </c>
      <c r="G80" s="30"/>
      <c r="H80" s="33"/>
      <c r="I80" s="31"/>
      <c r="J80" s="31"/>
      <c r="K80" s="13" t="str">
        <f t="shared" si="15"/>
        <v/>
      </c>
      <c r="L80" s="49"/>
      <c r="M80" s="49"/>
      <c r="N80" s="30"/>
      <c r="O80" s="30"/>
      <c r="P80" s="30"/>
      <c r="Q80" s="30"/>
      <c r="R80" s="11" t="str">
        <f t="shared" si="16"/>
        <v/>
      </c>
      <c r="S80" s="55" t="str">
        <f t="shared" si="17"/>
        <v/>
      </c>
      <c r="T80" s="37" t="str">
        <f t="shared" si="18"/>
        <v/>
      </c>
      <c r="U80" s="29" t="str">
        <f t="shared" si="19"/>
        <v/>
      </c>
      <c r="V80" s="33"/>
    </row>
    <row r="81" spans="1:22" x14ac:dyDescent="0.25">
      <c r="A81" s="30"/>
      <c r="B81" s="34" t="str">
        <f t="shared" si="10"/>
        <v/>
      </c>
      <c r="C81" s="34" t="str">
        <f t="shared" si="11"/>
        <v/>
      </c>
      <c r="D81" s="36" t="str">
        <f t="shared" si="12"/>
        <v/>
      </c>
      <c r="E81" s="36" t="str">
        <f t="shared" si="13"/>
        <v/>
      </c>
      <c r="F81" s="36" t="str">
        <f t="shared" si="14"/>
        <v/>
      </c>
      <c r="G81" s="30"/>
      <c r="H81" s="33"/>
      <c r="I81" s="31"/>
      <c r="J81" s="31"/>
      <c r="K81" s="13" t="str">
        <f t="shared" si="15"/>
        <v/>
      </c>
      <c r="L81" s="49"/>
      <c r="M81" s="49"/>
      <c r="N81" s="30"/>
      <c r="O81" s="30"/>
      <c r="P81" s="30"/>
      <c r="Q81" s="30"/>
      <c r="R81" s="11" t="str">
        <f t="shared" si="16"/>
        <v/>
      </c>
      <c r="S81" s="55" t="str">
        <f t="shared" si="17"/>
        <v/>
      </c>
      <c r="T81" s="37" t="str">
        <f t="shared" si="18"/>
        <v/>
      </c>
      <c r="U81" s="29" t="str">
        <f t="shared" si="19"/>
        <v/>
      </c>
      <c r="V81" s="33"/>
    </row>
    <row r="82" spans="1:22" x14ac:dyDescent="0.25">
      <c r="A82" s="30"/>
      <c r="B82" s="34" t="str">
        <f t="shared" si="10"/>
        <v/>
      </c>
      <c r="C82" s="34" t="str">
        <f t="shared" si="11"/>
        <v/>
      </c>
      <c r="D82" s="36" t="str">
        <f t="shared" si="12"/>
        <v/>
      </c>
      <c r="E82" s="36" t="str">
        <f t="shared" si="13"/>
        <v/>
      </c>
      <c r="F82" s="36" t="str">
        <f t="shared" si="14"/>
        <v/>
      </c>
      <c r="G82" s="30"/>
      <c r="H82" s="33"/>
      <c r="I82" s="31"/>
      <c r="J82" s="31"/>
      <c r="K82" s="13" t="str">
        <f t="shared" si="15"/>
        <v/>
      </c>
      <c r="L82" s="49"/>
      <c r="M82" s="49"/>
      <c r="N82" s="30"/>
      <c r="O82" s="30"/>
      <c r="P82" s="30"/>
      <c r="Q82" s="30"/>
      <c r="R82" s="11" t="str">
        <f t="shared" si="16"/>
        <v/>
      </c>
      <c r="S82" s="55" t="str">
        <f t="shared" si="17"/>
        <v/>
      </c>
      <c r="T82" s="37" t="str">
        <f t="shared" si="18"/>
        <v/>
      </c>
      <c r="U82" s="29" t="str">
        <f t="shared" si="19"/>
        <v/>
      </c>
      <c r="V82" s="33"/>
    </row>
    <row r="83" spans="1:22" x14ac:dyDescent="0.25">
      <c r="A83" s="30"/>
      <c r="B83" s="34" t="str">
        <f t="shared" si="10"/>
        <v/>
      </c>
      <c r="C83" s="34" t="str">
        <f t="shared" si="11"/>
        <v/>
      </c>
      <c r="D83" s="36" t="str">
        <f t="shared" si="12"/>
        <v/>
      </c>
      <c r="E83" s="36" t="str">
        <f t="shared" si="13"/>
        <v/>
      </c>
      <c r="F83" s="36" t="str">
        <f t="shared" si="14"/>
        <v/>
      </c>
      <c r="G83" s="30"/>
      <c r="H83" s="33"/>
      <c r="I83" s="31"/>
      <c r="J83" s="31"/>
      <c r="K83" s="13" t="str">
        <f t="shared" si="15"/>
        <v/>
      </c>
      <c r="L83" s="49"/>
      <c r="M83" s="49"/>
      <c r="N83" s="30"/>
      <c r="O83" s="30"/>
      <c r="P83" s="30"/>
      <c r="Q83" s="30"/>
      <c r="R83" s="11" t="str">
        <f t="shared" si="16"/>
        <v/>
      </c>
      <c r="S83" s="55" t="str">
        <f t="shared" si="17"/>
        <v/>
      </c>
      <c r="T83" s="37" t="str">
        <f t="shared" si="18"/>
        <v/>
      </c>
      <c r="U83" s="29" t="str">
        <f t="shared" si="19"/>
        <v/>
      </c>
      <c r="V83" s="33"/>
    </row>
    <row r="84" spans="1:22" x14ac:dyDescent="0.25">
      <c r="A84" s="30"/>
      <c r="B84" s="34" t="str">
        <f t="shared" si="10"/>
        <v/>
      </c>
      <c r="C84" s="34" t="str">
        <f t="shared" si="11"/>
        <v/>
      </c>
      <c r="D84" s="36" t="str">
        <f t="shared" si="12"/>
        <v/>
      </c>
      <c r="E84" s="36" t="str">
        <f t="shared" si="13"/>
        <v/>
      </c>
      <c r="F84" s="36" t="str">
        <f t="shared" si="14"/>
        <v/>
      </c>
      <c r="G84" s="30"/>
      <c r="H84" s="33"/>
      <c r="I84" s="31"/>
      <c r="J84" s="31"/>
      <c r="K84" s="13" t="str">
        <f t="shared" si="15"/>
        <v/>
      </c>
      <c r="L84" s="49"/>
      <c r="M84" s="49"/>
      <c r="N84" s="30"/>
      <c r="O84" s="30"/>
      <c r="P84" s="30"/>
      <c r="Q84" s="30"/>
      <c r="R84" s="11" t="str">
        <f t="shared" si="16"/>
        <v/>
      </c>
      <c r="S84" s="55" t="str">
        <f t="shared" si="17"/>
        <v/>
      </c>
      <c r="T84" s="37" t="str">
        <f t="shared" si="18"/>
        <v/>
      </c>
      <c r="U84" s="29" t="str">
        <f t="shared" si="19"/>
        <v/>
      </c>
      <c r="V84" s="33"/>
    </row>
    <row r="85" spans="1:22" x14ac:dyDescent="0.25">
      <c r="A85" s="30"/>
      <c r="B85" s="34" t="str">
        <f t="shared" si="10"/>
        <v/>
      </c>
      <c r="C85" s="34" t="str">
        <f t="shared" si="11"/>
        <v/>
      </c>
      <c r="D85" s="36" t="str">
        <f t="shared" si="12"/>
        <v/>
      </c>
      <c r="E85" s="36" t="str">
        <f t="shared" si="13"/>
        <v/>
      </c>
      <c r="F85" s="36" t="str">
        <f t="shared" si="14"/>
        <v/>
      </c>
      <c r="G85" s="30"/>
      <c r="H85" s="33"/>
      <c r="I85" s="31"/>
      <c r="J85" s="31"/>
      <c r="K85" s="13" t="str">
        <f t="shared" si="15"/>
        <v/>
      </c>
      <c r="L85" s="49"/>
      <c r="M85" s="49"/>
      <c r="N85" s="30"/>
      <c r="O85" s="30"/>
      <c r="P85" s="30"/>
      <c r="Q85" s="30"/>
      <c r="R85" s="11" t="str">
        <f t="shared" si="16"/>
        <v/>
      </c>
      <c r="S85" s="55" t="str">
        <f t="shared" si="17"/>
        <v/>
      </c>
      <c r="T85" s="37" t="str">
        <f t="shared" si="18"/>
        <v/>
      </c>
      <c r="U85" s="29" t="str">
        <f t="shared" si="19"/>
        <v/>
      </c>
      <c r="V85" s="33"/>
    </row>
    <row r="86" spans="1:22" x14ac:dyDescent="0.25">
      <c r="A86" s="30"/>
      <c r="B86" s="34" t="str">
        <f t="shared" si="10"/>
        <v/>
      </c>
      <c r="C86" s="34" t="str">
        <f t="shared" si="11"/>
        <v/>
      </c>
      <c r="D86" s="36" t="str">
        <f t="shared" si="12"/>
        <v/>
      </c>
      <c r="E86" s="36" t="str">
        <f t="shared" si="13"/>
        <v/>
      </c>
      <c r="F86" s="36" t="str">
        <f t="shared" si="14"/>
        <v/>
      </c>
      <c r="G86" s="30"/>
      <c r="H86" s="33"/>
      <c r="I86" s="31"/>
      <c r="J86" s="31"/>
      <c r="K86" s="13" t="str">
        <f t="shared" si="15"/>
        <v/>
      </c>
      <c r="L86" s="49"/>
      <c r="M86" s="49"/>
      <c r="N86" s="30"/>
      <c r="O86" s="30"/>
      <c r="P86" s="30"/>
      <c r="Q86" s="30"/>
      <c r="R86" s="11" t="str">
        <f t="shared" si="16"/>
        <v/>
      </c>
      <c r="S86" s="55" t="str">
        <f t="shared" si="17"/>
        <v/>
      </c>
      <c r="T86" s="37" t="str">
        <f t="shared" si="18"/>
        <v/>
      </c>
      <c r="U86" s="29" t="str">
        <f t="shared" si="19"/>
        <v/>
      </c>
      <c r="V86" s="33"/>
    </row>
    <row r="87" spans="1:22" x14ac:dyDescent="0.25">
      <c r="A87" s="30"/>
      <c r="B87" s="34" t="str">
        <f t="shared" si="10"/>
        <v/>
      </c>
      <c r="C87" s="34" t="str">
        <f t="shared" si="11"/>
        <v/>
      </c>
      <c r="D87" s="36" t="str">
        <f t="shared" si="12"/>
        <v/>
      </c>
      <c r="E87" s="36" t="str">
        <f t="shared" si="13"/>
        <v/>
      </c>
      <c r="F87" s="36" t="str">
        <f t="shared" si="14"/>
        <v/>
      </c>
      <c r="G87" s="30"/>
      <c r="H87" s="33"/>
      <c r="I87" s="31"/>
      <c r="J87" s="31"/>
      <c r="K87" s="13" t="str">
        <f t="shared" si="15"/>
        <v/>
      </c>
      <c r="L87" s="49"/>
      <c r="M87" s="49"/>
      <c r="N87" s="30"/>
      <c r="O87" s="30"/>
      <c r="P87" s="30"/>
      <c r="Q87" s="30"/>
      <c r="R87" s="11" t="str">
        <f t="shared" si="16"/>
        <v/>
      </c>
      <c r="S87" s="55" t="str">
        <f t="shared" si="17"/>
        <v/>
      </c>
      <c r="T87" s="37" t="str">
        <f t="shared" si="18"/>
        <v/>
      </c>
      <c r="U87" s="29" t="str">
        <f t="shared" si="19"/>
        <v/>
      </c>
      <c r="V87" s="33"/>
    </row>
    <row r="88" spans="1:22" x14ac:dyDescent="0.25">
      <c r="A88" s="30"/>
      <c r="B88" s="34" t="str">
        <f t="shared" si="10"/>
        <v/>
      </c>
      <c r="C88" s="34" t="str">
        <f t="shared" si="11"/>
        <v/>
      </c>
      <c r="D88" s="36" t="str">
        <f t="shared" si="12"/>
        <v/>
      </c>
      <c r="E88" s="36" t="str">
        <f t="shared" si="13"/>
        <v/>
      </c>
      <c r="F88" s="36" t="str">
        <f t="shared" si="14"/>
        <v/>
      </c>
      <c r="G88" s="30"/>
      <c r="H88" s="33"/>
      <c r="I88" s="31"/>
      <c r="J88" s="31"/>
      <c r="K88" s="13" t="str">
        <f t="shared" si="15"/>
        <v/>
      </c>
      <c r="L88" s="49"/>
      <c r="M88" s="49"/>
      <c r="N88" s="30"/>
      <c r="O88" s="30"/>
      <c r="P88" s="30"/>
      <c r="Q88" s="30"/>
      <c r="R88" s="11" t="str">
        <f t="shared" si="16"/>
        <v/>
      </c>
      <c r="S88" s="55" t="str">
        <f t="shared" si="17"/>
        <v/>
      </c>
      <c r="T88" s="37" t="str">
        <f t="shared" si="18"/>
        <v/>
      </c>
      <c r="U88" s="29" t="str">
        <f t="shared" si="19"/>
        <v/>
      </c>
      <c r="V88" s="33"/>
    </row>
    <row r="89" spans="1:22" x14ac:dyDescent="0.25">
      <c r="A89" s="30"/>
      <c r="B89" s="34" t="str">
        <f t="shared" si="10"/>
        <v/>
      </c>
      <c r="C89" s="34" t="str">
        <f t="shared" si="11"/>
        <v/>
      </c>
      <c r="D89" s="36" t="str">
        <f t="shared" si="12"/>
        <v/>
      </c>
      <c r="E89" s="36" t="str">
        <f t="shared" si="13"/>
        <v/>
      </c>
      <c r="F89" s="36" t="str">
        <f t="shared" si="14"/>
        <v/>
      </c>
      <c r="G89" s="30"/>
      <c r="H89" s="33"/>
      <c r="I89" s="31"/>
      <c r="J89" s="31"/>
      <c r="K89" s="13" t="str">
        <f t="shared" si="15"/>
        <v/>
      </c>
      <c r="L89" s="49"/>
      <c r="M89" s="49"/>
      <c r="N89" s="30"/>
      <c r="O89" s="30"/>
      <c r="P89" s="30"/>
      <c r="Q89" s="30"/>
      <c r="R89" s="11" t="str">
        <f t="shared" si="16"/>
        <v/>
      </c>
      <c r="S89" s="55" t="str">
        <f t="shared" si="17"/>
        <v/>
      </c>
      <c r="T89" s="37" t="str">
        <f t="shared" si="18"/>
        <v/>
      </c>
      <c r="U89" s="29" t="str">
        <f t="shared" si="19"/>
        <v/>
      </c>
      <c r="V89" s="33"/>
    </row>
    <row r="90" spans="1:22" x14ac:dyDescent="0.25">
      <c r="A90" s="30"/>
      <c r="B90" s="34" t="str">
        <f t="shared" si="10"/>
        <v/>
      </c>
      <c r="C90" s="34" t="str">
        <f t="shared" si="11"/>
        <v/>
      </c>
      <c r="D90" s="36" t="str">
        <f t="shared" si="12"/>
        <v/>
      </c>
      <c r="E90" s="36" t="str">
        <f t="shared" si="13"/>
        <v/>
      </c>
      <c r="F90" s="36" t="str">
        <f t="shared" si="14"/>
        <v/>
      </c>
      <c r="G90" s="30"/>
      <c r="H90" s="33"/>
      <c r="I90" s="31"/>
      <c r="J90" s="31"/>
      <c r="K90" s="13" t="str">
        <f t="shared" si="15"/>
        <v/>
      </c>
      <c r="L90" s="49"/>
      <c r="M90" s="49"/>
      <c r="N90" s="30"/>
      <c r="O90" s="30"/>
      <c r="P90" s="30"/>
      <c r="Q90" s="30"/>
      <c r="R90" s="11" t="str">
        <f t="shared" si="16"/>
        <v/>
      </c>
      <c r="S90" s="55" t="str">
        <f t="shared" si="17"/>
        <v/>
      </c>
      <c r="T90" s="37" t="str">
        <f t="shared" si="18"/>
        <v/>
      </c>
      <c r="U90" s="29" t="str">
        <f t="shared" si="19"/>
        <v/>
      </c>
      <c r="V90" s="33"/>
    </row>
    <row r="91" spans="1:22" x14ac:dyDescent="0.25">
      <c r="A91" s="30"/>
      <c r="B91" s="34" t="str">
        <f t="shared" si="10"/>
        <v/>
      </c>
      <c r="C91" s="34" t="str">
        <f t="shared" si="11"/>
        <v/>
      </c>
      <c r="D91" s="36" t="str">
        <f t="shared" si="12"/>
        <v/>
      </c>
      <c r="E91" s="36" t="str">
        <f t="shared" si="13"/>
        <v/>
      </c>
      <c r="F91" s="36" t="str">
        <f t="shared" si="14"/>
        <v/>
      </c>
      <c r="G91" s="30"/>
      <c r="H91" s="33"/>
      <c r="I91" s="31"/>
      <c r="J91" s="31"/>
      <c r="K91" s="13" t="str">
        <f t="shared" si="15"/>
        <v/>
      </c>
      <c r="L91" s="49"/>
      <c r="M91" s="49"/>
      <c r="N91" s="30"/>
      <c r="O91" s="30"/>
      <c r="P91" s="30"/>
      <c r="Q91" s="30"/>
      <c r="R91" s="11" t="str">
        <f t="shared" si="16"/>
        <v/>
      </c>
      <c r="S91" s="55" t="str">
        <f t="shared" si="17"/>
        <v/>
      </c>
      <c r="T91" s="37" t="str">
        <f t="shared" si="18"/>
        <v/>
      </c>
      <c r="U91" s="29" t="str">
        <f t="shared" si="19"/>
        <v/>
      </c>
      <c r="V91" s="33"/>
    </row>
    <row r="92" spans="1:22" x14ac:dyDescent="0.25">
      <c r="A92" s="30"/>
      <c r="B92" s="34" t="str">
        <f t="shared" si="10"/>
        <v/>
      </c>
      <c r="C92" s="34" t="str">
        <f t="shared" si="11"/>
        <v/>
      </c>
      <c r="D92" s="36" t="str">
        <f t="shared" si="12"/>
        <v/>
      </c>
      <c r="E92" s="36" t="str">
        <f t="shared" si="13"/>
        <v/>
      </c>
      <c r="F92" s="36" t="str">
        <f t="shared" si="14"/>
        <v/>
      </c>
      <c r="G92" s="30"/>
      <c r="H92" s="33"/>
      <c r="I92" s="31"/>
      <c r="J92" s="31"/>
      <c r="K92" s="13" t="str">
        <f t="shared" si="15"/>
        <v/>
      </c>
      <c r="L92" s="49"/>
      <c r="M92" s="49"/>
      <c r="N92" s="30"/>
      <c r="O92" s="30"/>
      <c r="P92" s="30"/>
      <c r="Q92" s="30"/>
      <c r="R92" s="11" t="str">
        <f t="shared" si="16"/>
        <v/>
      </c>
      <c r="S92" s="55" t="str">
        <f t="shared" si="17"/>
        <v/>
      </c>
      <c r="T92" s="37" t="str">
        <f t="shared" si="18"/>
        <v/>
      </c>
      <c r="U92" s="29" t="str">
        <f t="shared" si="19"/>
        <v/>
      </c>
      <c r="V92" s="33"/>
    </row>
    <row r="93" spans="1:22" x14ac:dyDescent="0.25">
      <c r="A93" s="30"/>
      <c r="B93" s="34" t="str">
        <f t="shared" si="10"/>
        <v/>
      </c>
      <c r="C93" s="34" t="str">
        <f t="shared" si="11"/>
        <v/>
      </c>
      <c r="D93" s="36" t="str">
        <f t="shared" si="12"/>
        <v/>
      </c>
      <c r="E93" s="36" t="str">
        <f t="shared" si="13"/>
        <v/>
      </c>
      <c r="F93" s="36" t="str">
        <f t="shared" si="14"/>
        <v/>
      </c>
      <c r="G93" s="30"/>
      <c r="H93" s="33"/>
      <c r="I93" s="31"/>
      <c r="J93" s="31"/>
      <c r="K93" s="13" t="str">
        <f t="shared" si="15"/>
        <v/>
      </c>
      <c r="L93" s="49"/>
      <c r="M93" s="49"/>
      <c r="N93" s="30"/>
      <c r="O93" s="30"/>
      <c r="P93" s="30"/>
      <c r="Q93" s="30"/>
      <c r="R93" s="11" t="str">
        <f t="shared" si="16"/>
        <v/>
      </c>
      <c r="S93" s="55" t="str">
        <f t="shared" si="17"/>
        <v/>
      </c>
      <c r="T93" s="37" t="str">
        <f t="shared" si="18"/>
        <v/>
      </c>
      <c r="U93" s="29" t="str">
        <f t="shared" si="19"/>
        <v/>
      </c>
      <c r="V93" s="33"/>
    </row>
    <row r="94" spans="1:22" x14ac:dyDescent="0.25">
      <c r="A94" s="30"/>
      <c r="B94" s="34" t="str">
        <f t="shared" si="10"/>
        <v/>
      </c>
      <c r="C94" s="34" t="str">
        <f t="shared" si="11"/>
        <v/>
      </c>
      <c r="D94" s="36" t="str">
        <f t="shared" si="12"/>
        <v/>
      </c>
      <c r="E94" s="36" t="str">
        <f t="shared" si="13"/>
        <v/>
      </c>
      <c r="F94" s="36" t="str">
        <f t="shared" si="14"/>
        <v/>
      </c>
      <c r="G94" s="30"/>
      <c r="H94" s="33"/>
      <c r="I94" s="31"/>
      <c r="J94" s="31"/>
      <c r="K94" s="13" t="str">
        <f t="shared" si="15"/>
        <v/>
      </c>
      <c r="L94" s="49"/>
      <c r="M94" s="49"/>
      <c r="N94" s="30"/>
      <c r="O94" s="30"/>
      <c r="P94" s="30"/>
      <c r="Q94" s="30"/>
      <c r="R94" s="11" t="str">
        <f t="shared" si="16"/>
        <v/>
      </c>
      <c r="S94" s="55" t="str">
        <f t="shared" si="17"/>
        <v/>
      </c>
      <c r="T94" s="37" t="str">
        <f t="shared" si="18"/>
        <v/>
      </c>
      <c r="U94" s="29" t="str">
        <f t="shared" si="19"/>
        <v/>
      </c>
      <c r="V94" s="33"/>
    </row>
    <row r="95" spans="1:22" x14ac:dyDescent="0.25">
      <c r="A95" s="30"/>
      <c r="B95" s="34" t="str">
        <f t="shared" si="10"/>
        <v/>
      </c>
      <c r="C95" s="34" t="str">
        <f t="shared" si="11"/>
        <v/>
      </c>
      <c r="D95" s="36" t="str">
        <f t="shared" si="12"/>
        <v/>
      </c>
      <c r="E95" s="36" t="str">
        <f t="shared" si="13"/>
        <v/>
      </c>
      <c r="F95" s="36" t="str">
        <f t="shared" si="14"/>
        <v/>
      </c>
      <c r="G95" s="30"/>
      <c r="H95" s="33"/>
      <c r="I95" s="31"/>
      <c r="J95" s="31"/>
      <c r="K95" s="13" t="str">
        <f t="shared" si="15"/>
        <v/>
      </c>
      <c r="L95" s="49"/>
      <c r="M95" s="49"/>
      <c r="N95" s="30"/>
      <c r="O95" s="30"/>
      <c r="P95" s="30"/>
      <c r="Q95" s="30"/>
      <c r="R95" s="11" t="str">
        <f t="shared" si="16"/>
        <v/>
      </c>
      <c r="S95" s="55" t="str">
        <f t="shared" si="17"/>
        <v/>
      </c>
      <c r="T95" s="37" t="str">
        <f t="shared" si="18"/>
        <v/>
      </c>
      <c r="U95" s="29" t="str">
        <f t="shared" si="19"/>
        <v/>
      </c>
      <c r="V95" s="33"/>
    </row>
    <row r="96" spans="1:22" x14ac:dyDescent="0.25">
      <c r="A96" s="30"/>
      <c r="B96" s="34" t="str">
        <f t="shared" si="10"/>
        <v/>
      </c>
      <c r="C96" s="34" t="str">
        <f t="shared" si="11"/>
        <v/>
      </c>
      <c r="D96" s="36" t="str">
        <f t="shared" si="12"/>
        <v/>
      </c>
      <c r="E96" s="36" t="str">
        <f t="shared" si="13"/>
        <v/>
      </c>
      <c r="F96" s="36" t="str">
        <f t="shared" si="14"/>
        <v/>
      </c>
      <c r="G96" s="30"/>
      <c r="H96" s="33"/>
      <c r="I96" s="31"/>
      <c r="J96" s="31"/>
      <c r="K96" s="13" t="str">
        <f t="shared" si="15"/>
        <v/>
      </c>
      <c r="L96" s="49"/>
      <c r="M96" s="49"/>
      <c r="N96" s="30"/>
      <c r="O96" s="30"/>
      <c r="P96" s="30"/>
      <c r="Q96" s="30"/>
      <c r="R96" s="11" t="str">
        <f t="shared" si="16"/>
        <v/>
      </c>
      <c r="S96" s="55" t="str">
        <f t="shared" si="17"/>
        <v/>
      </c>
      <c r="T96" s="37" t="str">
        <f t="shared" si="18"/>
        <v/>
      </c>
      <c r="U96" s="29" t="str">
        <f t="shared" si="19"/>
        <v/>
      </c>
      <c r="V96" s="33"/>
    </row>
    <row r="97" spans="1:22" x14ac:dyDescent="0.25">
      <c r="A97" s="30"/>
      <c r="B97" s="34" t="str">
        <f t="shared" si="10"/>
        <v/>
      </c>
      <c r="C97" s="34" t="str">
        <f t="shared" si="11"/>
        <v/>
      </c>
      <c r="D97" s="36" t="str">
        <f t="shared" si="12"/>
        <v/>
      </c>
      <c r="E97" s="36" t="str">
        <f t="shared" si="13"/>
        <v/>
      </c>
      <c r="F97" s="36" t="str">
        <f t="shared" si="14"/>
        <v/>
      </c>
      <c r="G97" s="30"/>
      <c r="H97" s="33"/>
      <c r="I97" s="31"/>
      <c r="J97" s="31"/>
      <c r="K97" s="13" t="str">
        <f t="shared" si="15"/>
        <v/>
      </c>
      <c r="L97" s="49"/>
      <c r="M97" s="49"/>
      <c r="N97" s="30"/>
      <c r="O97" s="30"/>
      <c r="P97" s="30"/>
      <c r="Q97" s="30"/>
      <c r="R97" s="11" t="str">
        <f t="shared" si="16"/>
        <v/>
      </c>
      <c r="S97" s="55" t="str">
        <f t="shared" si="17"/>
        <v/>
      </c>
      <c r="T97" s="37" t="str">
        <f t="shared" si="18"/>
        <v/>
      </c>
      <c r="U97" s="29" t="str">
        <f t="shared" si="19"/>
        <v/>
      </c>
      <c r="V97" s="33"/>
    </row>
    <row r="98" spans="1:22" x14ac:dyDescent="0.25">
      <c r="A98" s="30"/>
      <c r="B98" s="34" t="str">
        <f t="shared" si="10"/>
        <v/>
      </c>
      <c r="C98" s="34" t="str">
        <f t="shared" si="11"/>
        <v/>
      </c>
      <c r="D98" s="36" t="str">
        <f t="shared" si="12"/>
        <v/>
      </c>
      <c r="E98" s="36" t="str">
        <f t="shared" si="13"/>
        <v/>
      </c>
      <c r="F98" s="36" t="str">
        <f t="shared" si="14"/>
        <v/>
      </c>
      <c r="G98" s="30"/>
      <c r="H98" s="33"/>
      <c r="I98" s="31"/>
      <c r="J98" s="31"/>
      <c r="K98" s="13" t="str">
        <f t="shared" si="15"/>
        <v/>
      </c>
      <c r="L98" s="49"/>
      <c r="M98" s="49"/>
      <c r="N98" s="30"/>
      <c r="O98" s="30"/>
      <c r="P98" s="30"/>
      <c r="Q98" s="30"/>
      <c r="R98" s="11" t="str">
        <f t="shared" si="16"/>
        <v/>
      </c>
      <c r="S98" s="55" t="str">
        <f t="shared" si="17"/>
        <v/>
      </c>
      <c r="T98" s="37" t="str">
        <f t="shared" si="18"/>
        <v/>
      </c>
      <c r="U98" s="29" t="str">
        <f t="shared" si="19"/>
        <v/>
      </c>
      <c r="V98" s="33"/>
    </row>
    <row r="99" spans="1:22" x14ac:dyDescent="0.25">
      <c r="A99" s="30"/>
      <c r="B99" s="34" t="str">
        <f t="shared" si="10"/>
        <v/>
      </c>
      <c r="C99" s="34" t="str">
        <f t="shared" si="11"/>
        <v/>
      </c>
      <c r="D99" s="36" t="str">
        <f t="shared" si="12"/>
        <v/>
      </c>
      <c r="E99" s="36" t="str">
        <f t="shared" si="13"/>
        <v/>
      </c>
      <c r="F99" s="36" t="str">
        <f t="shared" si="14"/>
        <v/>
      </c>
      <c r="G99" s="30"/>
      <c r="H99" s="33"/>
      <c r="I99" s="31"/>
      <c r="J99" s="31"/>
      <c r="K99" s="13" t="str">
        <f t="shared" si="15"/>
        <v/>
      </c>
      <c r="L99" s="49"/>
      <c r="M99" s="49"/>
      <c r="N99" s="30"/>
      <c r="O99" s="30"/>
      <c r="P99" s="30"/>
      <c r="Q99" s="30"/>
      <c r="R99" s="11" t="str">
        <f t="shared" si="16"/>
        <v/>
      </c>
      <c r="S99" s="55" t="str">
        <f t="shared" si="17"/>
        <v/>
      </c>
      <c r="T99" s="37" t="str">
        <f t="shared" si="18"/>
        <v/>
      </c>
      <c r="U99" s="29" t="str">
        <f t="shared" si="19"/>
        <v/>
      </c>
      <c r="V99" s="33"/>
    </row>
    <row r="100" spans="1:22" x14ac:dyDescent="0.25">
      <c r="A100" s="30"/>
      <c r="B100" s="34" t="str">
        <f t="shared" si="10"/>
        <v/>
      </c>
      <c r="C100" s="34" t="str">
        <f t="shared" si="11"/>
        <v/>
      </c>
      <c r="D100" s="36" t="str">
        <f t="shared" si="12"/>
        <v/>
      </c>
      <c r="E100" s="36" t="str">
        <f t="shared" si="13"/>
        <v/>
      </c>
      <c r="F100" s="36" t="str">
        <f t="shared" si="14"/>
        <v/>
      </c>
      <c r="G100" s="30"/>
      <c r="H100" s="33"/>
      <c r="I100" s="31"/>
      <c r="J100" s="31"/>
      <c r="K100" s="13" t="str">
        <f t="shared" si="15"/>
        <v/>
      </c>
      <c r="L100" s="49"/>
      <c r="M100" s="49"/>
      <c r="N100" s="30"/>
      <c r="O100" s="30"/>
      <c r="P100" s="30"/>
      <c r="Q100" s="30"/>
      <c r="R100" s="11" t="str">
        <f t="shared" si="16"/>
        <v/>
      </c>
      <c r="S100" s="55" t="str">
        <f t="shared" si="17"/>
        <v/>
      </c>
      <c r="T100" s="37" t="str">
        <f t="shared" si="18"/>
        <v/>
      </c>
      <c r="U100" s="29" t="str">
        <f t="shared" si="19"/>
        <v/>
      </c>
      <c r="V100" s="33"/>
    </row>
    <row r="101" spans="1:22" x14ac:dyDescent="0.25">
      <c r="A101" s="30"/>
      <c r="B101" s="34" t="str">
        <f t="shared" si="10"/>
        <v/>
      </c>
      <c r="C101" s="34" t="str">
        <f t="shared" si="11"/>
        <v/>
      </c>
      <c r="D101" s="36" t="str">
        <f t="shared" si="12"/>
        <v/>
      </c>
      <c r="E101" s="36" t="str">
        <f t="shared" si="13"/>
        <v/>
      </c>
      <c r="F101" s="36" t="str">
        <f t="shared" si="14"/>
        <v/>
      </c>
      <c r="G101" s="30"/>
      <c r="H101" s="33"/>
      <c r="I101" s="31"/>
      <c r="J101" s="31"/>
      <c r="K101" s="13" t="str">
        <f t="shared" si="15"/>
        <v/>
      </c>
      <c r="L101" s="49"/>
      <c r="M101" s="49"/>
      <c r="N101" s="30"/>
      <c r="O101" s="30"/>
      <c r="P101" s="30"/>
      <c r="Q101" s="30"/>
      <c r="R101" s="11" t="str">
        <f t="shared" si="16"/>
        <v/>
      </c>
      <c r="S101" s="55" t="str">
        <f t="shared" si="17"/>
        <v/>
      </c>
      <c r="T101" s="37" t="str">
        <f t="shared" si="18"/>
        <v/>
      </c>
      <c r="U101" s="29" t="str">
        <f t="shared" si="19"/>
        <v/>
      </c>
      <c r="V101" s="33"/>
    </row>
    <row r="102" spans="1:22" x14ac:dyDescent="0.25">
      <c r="A102" s="30"/>
      <c r="B102" s="34" t="str">
        <f t="shared" si="10"/>
        <v/>
      </c>
      <c r="C102" s="34" t="str">
        <f t="shared" si="11"/>
        <v/>
      </c>
      <c r="D102" s="36" t="str">
        <f t="shared" si="12"/>
        <v/>
      </c>
      <c r="E102" s="36" t="str">
        <f t="shared" si="13"/>
        <v/>
      </c>
      <c r="F102" s="36" t="str">
        <f t="shared" si="14"/>
        <v/>
      </c>
      <c r="G102" s="30"/>
      <c r="H102" s="33"/>
      <c r="I102" s="31"/>
      <c r="J102" s="31"/>
      <c r="K102" s="13" t="str">
        <f t="shared" si="15"/>
        <v/>
      </c>
      <c r="L102" s="49"/>
      <c r="M102" s="49"/>
      <c r="N102" s="30"/>
      <c r="O102" s="30"/>
      <c r="P102" s="30"/>
      <c r="Q102" s="30"/>
      <c r="R102" s="11" t="str">
        <f t="shared" si="16"/>
        <v/>
      </c>
      <c r="S102" s="55" t="str">
        <f t="shared" si="17"/>
        <v/>
      </c>
      <c r="T102" s="37" t="str">
        <f t="shared" si="18"/>
        <v/>
      </c>
      <c r="U102" s="29" t="str">
        <f t="shared" si="19"/>
        <v/>
      </c>
      <c r="V102" s="33"/>
    </row>
    <row r="103" spans="1:22" x14ac:dyDescent="0.25">
      <c r="A103" s="30"/>
      <c r="B103" s="34" t="str">
        <f t="shared" si="10"/>
        <v/>
      </c>
      <c r="C103" s="34" t="str">
        <f t="shared" si="11"/>
        <v/>
      </c>
      <c r="D103" s="36" t="str">
        <f t="shared" si="12"/>
        <v/>
      </c>
      <c r="E103" s="36" t="str">
        <f t="shared" si="13"/>
        <v/>
      </c>
      <c r="F103" s="36" t="str">
        <f t="shared" si="14"/>
        <v/>
      </c>
      <c r="G103" s="30"/>
      <c r="H103" s="33"/>
      <c r="I103" s="31"/>
      <c r="J103" s="31"/>
      <c r="K103" s="13" t="str">
        <f t="shared" si="15"/>
        <v/>
      </c>
      <c r="L103" s="49"/>
      <c r="M103" s="49"/>
      <c r="N103" s="30"/>
      <c r="O103" s="30"/>
      <c r="P103" s="30"/>
      <c r="Q103" s="30"/>
      <c r="R103" s="11" t="str">
        <f t="shared" si="16"/>
        <v/>
      </c>
      <c r="S103" s="55" t="str">
        <f t="shared" si="17"/>
        <v/>
      </c>
      <c r="T103" s="37" t="str">
        <f t="shared" si="18"/>
        <v/>
      </c>
      <c r="U103" s="29" t="str">
        <f t="shared" si="19"/>
        <v/>
      </c>
      <c r="V103" s="33"/>
    </row>
    <row r="104" spans="1:22" x14ac:dyDescent="0.25">
      <c r="A104" s="30"/>
      <c r="B104" s="34" t="str">
        <f t="shared" si="10"/>
        <v/>
      </c>
      <c r="C104" s="34" t="str">
        <f t="shared" si="11"/>
        <v/>
      </c>
      <c r="D104" s="36" t="str">
        <f t="shared" si="12"/>
        <v/>
      </c>
      <c r="E104" s="36" t="str">
        <f t="shared" si="13"/>
        <v/>
      </c>
      <c r="F104" s="36" t="str">
        <f t="shared" si="14"/>
        <v/>
      </c>
      <c r="G104" s="30"/>
      <c r="H104" s="33"/>
      <c r="I104" s="31"/>
      <c r="J104" s="31"/>
      <c r="K104" s="13" t="str">
        <f t="shared" si="15"/>
        <v/>
      </c>
      <c r="L104" s="49"/>
      <c r="M104" s="49"/>
      <c r="N104" s="30"/>
      <c r="O104" s="30"/>
      <c r="P104" s="30"/>
      <c r="Q104" s="30"/>
      <c r="R104" s="11" t="str">
        <f t="shared" si="16"/>
        <v/>
      </c>
      <c r="S104" s="55" t="str">
        <f t="shared" si="17"/>
        <v/>
      </c>
      <c r="T104" s="37" t="str">
        <f t="shared" si="18"/>
        <v/>
      </c>
      <c r="U104" s="29" t="str">
        <f t="shared" si="19"/>
        <v/>
      </c>
      <c r="V104" s="33"/>
    </row>
    <row r="105" spans="1:22" x14ac:dyDescent="0.25">
      <c r="A105" s="30"/>
      <c r="B105" s="34" t="str">
        <f t="shared" si="10"/>
        <v/>
      </c>
      <c r="C105" s="34" t="str">
        <f t="shared" si="11"/>
        <v/>
      </c>
      <c r="D105" s="36" t="str">
        <f t="shared" si="12"/>
        <v/>
      </c>
      <c r="E105" s="36" t="str">
        <f t="shared" si="13"/>
        <v/>
      </c>
      <c r="F105" s="36" t="str">
        <f t="shared" si="14"/>
        <v/>
      </c>
      <c r="G105" s="30"/>
      <c r="H105" s="33"/>
      <c r="I105" s="31"/>
      <c r="J105" s="31"/>
      <c r="K105" s="13" t="str">
        <f t="shared" si="15"/>
        <v/>
      </c>
      <c r="L105" s="49"/>
      <c r="M105" s="49"/>
      <c r="N105" s="30"/>
      <c r="O105" s="30"/>
      <c r="P105" s="30"/>
      <c r="Q105" s="30"/>
      <c r="R105" s="11" t="str">
        <f t="shared" si="16"/>
        <v/>
      </c>
      <c r="S105" s="55" t="str">
        <f t="shared" si="17"/>
        <v/>
      </c>
      <c r="T105" s="37" t="str">
        <f t="shared" si="18"/>
        <v/>
      </c>
      <c r="U105" s="29" t="str">
        <f t="shared" si="19"/>
        <v/>
      </c>
      <c r="V105" s="33"/>
    </row>
    <row r="106" spans="1:22" x14ac:dyDescent="0.25">
      <c r="A106" s="30"/>
      <c r="B106" s="34" t="str">
        <f t="shared" si="10"/>
        <v/>
      </c>
      <c r="C106" s="34" t="str">
        <f t="shared" si="11"/>
        <v/>
      </c>
      <c r="D106" s="36" t="str">
        <f t="shared" si="12"/>
        <v/>
      </c>
      <c r="E106" s="36" t="str">
        <f t="shared" si="13"/>
        <v/>
      </c>
      <c r="F106" s="36" t="str">
        <f t="shared" si="14"/>
        <v/>
      </c>
      <c r="G106" s="30"/>
      <c r="H106" s="33"/>
      <c r="I106" s="31"/>
      <c r="J106" s="31"/>
      <c r="K106" s="13" t="str">
        <f t="shared" si="15"/>
        <v/>
      </c>
      <c r="L106" s="49"/>
      <c r="M106" s="49"/>
      <c r="N106" s="30"/>
      <c r="O106" s="30"/>
      <c r="P106" s="30"/>
      <c r="Q106" s="30"/>
      <c r="R106" s="11" t="str">
        <f t="shared" si="16"/>
        <v/>
      </c>
      <c r="S106" s="55" t="str">
        <f t="shared" si="17"/>
        <v/>
      </c>
      <c r="T106" s="37" t="str">
        <f t="shared" si="18"/>
        <v/>
      </c>
      <c r="U106" s="29" t="str">
        <f t="shared" si="19"/>
        <v/>
      </c>
      <c r="V106" s="33"/>
    </row>
    <row r="107" spans="1:22" x14ac:dyDescent="0.25">
      <c r="A107" s="30"/>
      <c r="B107" s="34" t="str">
        <f t="shared" si="10"/>
        <v/>
      </c>
      <c r="C107" s="34" t="str">
        <f t="shared" si="11"/>
        <v/>
      </c>
      <c r="D107" s="36" t="str">
        <f t="shared" si="12"/>
        <v/>
      </c>
      <c r="E107" s="36" t="str">
        <f t="shared" si="13"/>
        <v/>
      </c>
      <c r="F107" s="36" t="str">
        <f t="shared" si="14"/>
        <v/>
      </c>
      <c r="G107" s="30"/>
      <c r="H107" s="33"/>
      <c r="I107" s="31"/>
      <c r="J107" s="31"/>
      <c r="K107" s="13" t="str">
        <f t="shared" si="15"/>
        <v/>
      </c>
      <c r="L107" s="49"/>
      <c r="M107" s="49"/>
      <c r="N107" s="30"/>
      <c r="O107" s="30"/>
      <c r="P107" s="30"/>
      <c r="Q107" s="30"/>
      <c r="R107" s="11" t="str">
        <f t="shared" si="16"/>
        <v/>
      </c>
      <c r="S107" s="55" t="str">
        <f t="shared" si="17"/>
        <v/>
      </c>
      <c r="T107" s="37" t="str">
        <f t="shared" si="18"/>
        <v/>
      </c>
      <c r="U107" s="29" t="str">
        <f t="shared" si="19"/>
        <v/>
      </c>
      <c r="V107" s="33"/>
    </row>
    <row r="108" spans="1:22" x14ac:dyDescent="0.25">
      <c r="A108" s="30"/>
      <c r="B108" s="34" t="str">
        <f t="shared" si="10"/>
        <v/>
      </c>
      <c r="C108" s="34" t="str">
        <f t="shared" si="11"/>
        <v/>
      </c>
      <c r="D108" s="36" t="str">
        <f t="shared" si="12"/>
        <v/>
      </c>
      <c r="E108" s="36" t="str">
        <f t="shared" si="13"/>
        <v/>
      </c>
      <c r="F108" s="36" t="str">
        <f t="shared" si="14"/>
        <v/>
      </c>
      <c r="G108" s="30"/>
      <c r="H108" s="33"/>
      <c r="I108" s="31"/>
      <c r="J108" s="31"/>
      <c r="K108" s="13" t="str">
        <f t="shared" si="15"/>
        <v/>
      </c>
      <c r="L108" s="49"/>
      <c r="M108" s="49"/>
      <c r="N108" s="30"/>
      <c r="O108" s="30"/>
      <c r="P108" s="30"/>
      <c r="Q108" s="30"/>
      <c r="R108" s="11" t="str">
        <f t="shared" si="16"/>
        <v/>
      </c>
      <c r="S108" s="55" t="str">
        <f t="shared" si="17"/>
        <v/>
      </c>
      <c r="T108" s="37" t="str">
        <f t="shared" si="18"/>
        <v/>
      </c>
      <c r="U108" s="29" t="str">
        <f t="shared" si="19"/>
        <v/>
      </c>
      <c r="V108" s="33"/>
    </row>
    <row r="109" spans="1:22" x14ac:dyDescent="0.25">
      <c r="A109" s="30"/>
      <c r="B109" s="34" t="str">
        <f t="shared" si="10"/>
        <v/>
      </c>
      <c r="C109" s="34" t="str">
        <f t="shared" si="11"/>
        <v/>
      </c>
      <c r="D109" s="36" t="str">
        <f t="shared" si="12"/>
        <v/>
      </c>
      <c r="E109" s="36" t="str">
        <f t="shared" si="13"/>
        <v/>
      </c>
      <c r="F109" s="36" t="str">
        <f t="shared" si="14"/>
        <v/>
      </c>
      <c r="G109" s="30"/>
      <c r="H109" s="33"/>
      <c r="I109" s="31"/>
      <c r="J109" s="31"/>
      <c r="K109" s="13" t="str">
        <f t="shared" si="15"/>
        <v/>
      </c>
      <c r="L109" s="49"/>
      <c r="M109" s="49"/>
      <c r="N109" s="30"/>
      <c r="O109" s="30"/>
      <c r="P109" s="30"/>
      <c r="Q109" s="30"/>
      <c r="R109" s="11" t="str">
        <f t="shared" si="16"/>
        <v/>
      </c>
      <c r="S109" s="55" t="str">
        <f t="shared" si="17"/>
        <v/>
      </c>
      <c r="T109" s="37" t="str">
        <f t="shared" si="18"/>
        <v/>
      </c>
      <c r="U109" s="29" t="str">
        <f t="shared" si="19"/>
        <v/>
      </c>
      <c r="V109" s="33"/>
    </row>
    <row r="110" spans="1:22" x14ac:dyDescent="0.25">
      <c r="A110" s="30"/>
      <c r="B110" s="34" t="str">
        <f t="shared" si="10"/>
        <v/>
      </c>
      <c r="C110" s="34" t="str">
        <f t="shared" si="11"/>
        <v/>
      </c>
      <c r="D110" s="36" t="str">
        <f t="shared" si="12"/>
        <v/>
      </c>
      <c r="E110" s="36" t="str">
        <f t="shared" si="13"/>
        <v/>
      </c>
      <c r="F110" s="36" t="str">
        <f t="shared" si="14"/>
        <v/>
      </c>
      <c r="G110" s="30"/>
      <c r="H110" s="33"/>
      <c r="I110" s="31"/>
      <c r="J110" s="31"/>
      <c r="K110" s="13" t="str">
        <f t="shared" si="15"/>
        <v/>
      </c>
      <c r="L110" s="49"/>
      <c r="M110" s="49"/>
      <c r="N110" s="30"/>
      <c r="O110" s="30"/>
      <c r="P110" s="30"/>
      <c r="Q110" s="30"/>
      <c r="R110" s="11" t="str">
        <f t="shared" si="16"/>
        <v/>
      </c>
      <c r="S110" s="55" t="str">
        <f t="shared" si="17"/>
        <v/>
      </c>
      <c r="T110" s="37" t="str">
        <f t="shared" si="18"/>
        <v/>
      </c>
      <c r="U110" s="29" t="str">
        <f t="shared" si="19"/>
        <v/>
      </c>
      <c r="V110" s="33"/>
    </row>
    <row r="111" spans="1:22" x14ac:dyDescent="0.25">
      <c r="A111" s="30"/>
      <c r="B111" s="34" t="str">
        <f t="shared" si="10"/>
        <v/>
      </c>
      <c r="C111" s="34" t="str">
        <f t="shared" si="11"/>
        <v/>
      </c>
      <c r="D111" s="36" t="str">
        <f t="shared" si="12"/>
        <v/>
      </c>
      <c r="E111" s="36" t="str">
        <f t="shared" si="13"/>
        <v/>
      </c>
      <c r="F111" s="36" t="str">
        <f t="shared" si="14"/>
        <v/>
      </c>
      <c r="G111" s="30"/>
      <c r="H111" s="33"/>
      <c r="I111" s="31"/>
      <c r="J111" s="31"/>
      <c r="K111" s="13" t="str">
        <f t="shared" si="15"/>
        <v/>
      </c>
      <c r="L111" s="49"/>
      <c r="M111" s="49"/>
      <c r="N111" s="30"/>
      <c r="O111" s="30"/>
      <c r="P111" s="30"/>
      <c r="Q111" s="30"/>
      <c r="R111" s="11" t="str">
        <f t="shared" si="16"/>
        <v/>
      </c>
      <c r="S111" s="55" t="str">
        <f t="shared" si="17"/>
        <v/>
      </c>
      <c r="T111" s="37" t="str">
        <f t="shared" si="18"/>
        <v/>
      </c>
      <c r="U111" s="29" t="str">
        <f t="shared" si="19"/>
        <v/>
      </c>
      <c r="V111" s="33"/>
    </row>
    <row r="112" spans="1:22" x14ac:dyDescent="0.25">
      <c r="A112" s="30"/>
      <c r="B112" s="34" t="str">
        <f t="shared" si="10"/>
        <v/>
      </c>
      <c r="C112" s="34" t="str">
        <f t="shared" si="11"/>
        <v/>
      </c>
      <c r="D112" s="36" t="str">
        <f t="shared" si="12"/>
        <v/>
      </c>
      <c r="E112" s="36" t="str">
        <f t="shared" si="13"/>
        <v/>
      </c>
      <c r="F112" s="36" t="str">
        <f t="shared" si="14"/>
        <v/>
      </c>
      <c r="G112" s="30"/>
      <c r="H112" s="33"/>
      <c r="I112" s="31"/>
      <c r="J112" s="31"/>
      <c r="K112" s="13" t="str">
        <f t="shared" si="15"/>
        <v/>
      </c>
      <c r="L112" s="49"/>
      <c r="M112" s="49"/>
      <c r="N112" s="30"/>
      <c r="O112" s="30"/>
      <c r="P112" s="30"/>
      <c r="Q112" s="30"/>
      <c r="R112" s="11" t="str">
        <f t="shared" si="16"/>
        <v/>
      </c>
      <c r="S112" s="55" t="str">
        <f t="shared" si="17"/>
        <v/>
      </c>
      <c r="T112" s="37" t="str">
        <f t="shared" si="18"/>
        <v/>
      </c>
      <c r="U112" s="29" t="str">
        <f t="shared" si="19"/>
        <v/>
      </c>
      <c r="V112" s="33"/>
    </row>
    <row r="113" spans="1:22" x14ac:dyDescent="0.25">
      <c r="A113" s="30"/>
      <c r="B113" s="34" t="str">
        <f t="shared" si="10"/>
        <v/>
      </c>
      <c r="C113" s="34" t="str">
        <f t="shared" si="11"/>
        <v/>
      </c>
      <c r="D113" s="36" t="str">
        <f t="shared" si="12"/>
        <v/>
      </c>
      <c r="E113" s="36" t="str">
        <f t="shared" si="13"/>
        <v/>
      </c>
      <c r="F113" s="36" t="str">
        <f t="shared" si="14"/>
        <v/>
      </c>
      <c r="G113" s="30"/>
      <c r="H113" s="33"/>
      <c r="I113" s="31"/>
      <c r="J113" s="31"/>
      <c r="K113" s="13" t="str">
        <f t="shared" si="15"/>
        <v/>
      </c>
      <c r="L113" s="49"/>
      <c r="M113" s="49"/>
      <c r="N113" s="30"/>
      <c r="O113" s="30"/>
      <c r="P113" s="30"/>
      <c r="Q113" s="30"/>
      <c r="R113" s="11" t="str">
        <f t="shared" si="16"/>
        <v/>
      </c>
      <c r="S113" s="55" t="str">
        <f t="shared" si="17"/>
        <v/>
      </c>
      <c r="T113" s="37" t="str">
        <f t="shared" si="18"/>
        <v/>
      </c>
      <c r="U113" s="29" t="str">
        <f t="shared" si="19"/>
        <v/>
      </c>
      <c r="V113" s="33"/>
    </row>
    <row r="114" spans="1:22" x14ac:dyDescent="0.25">
      <c r="A114" s="30"/>
      <c r="B114" s="34" t="str">
        <f t="shared" si="10"/>
        <v/>
      </c>
      <c r="C114" s="34" t="str">
        <f t="shared" si="11"/>
        <v/>
      </c>
      <c r="D114" s="36" t="str">
        <f t="shared" si="12"/>
        <v/>
      </c>
      <c r="E114" s="36" t="str">
        <f t="shared" si="13"/>
        <v/>
      </c>
      <c r="F114" s="36" t="str">
        <f t="shared" si="14"/>
        <v/>
      </c>
      <c r="G114" s="30"/>
      <c r="H114" s="33"/>
      <c r="I114" s="31"/>
      <c r="J114" s="31"/>
      <c r="K114" s="13" t="str">
        <f t="shared" si="15"/>
        <v/>
      </c>
      <c r="L114" s="49"/>
      <c r="M114" s="49"/>
      <c r="N114" s="30"/>
      <c r="O114" s="30"/>
      <c r="P114" s="30"/>
      <c r="Q114" s="30"/>
      <c r="R114" s="11" t="str">
        <f t="shared" si="16"/>
        <v/>
      </c>
      <c r="S114" s="55" t="str">
        <f t="shared" si="17"/>
        <v/>
      </c>
      <c r="T114" s="37" t="str">
        <f t="shared" si="18"/>
        <v/>
      </c>
      <c r="U114" s="29" t="str">
        <f t="shared" si="19"/>
        <v/>
      </c>
      <c r="V114" s="33"/>
    </row>
    <row r="115" spans="1:22" x14ac:dyDescent="0.25">
      <c r="A115" s="30"/>
      <c r="B115" s="34" t="str">
        <f t="shared" si="10"/>
        <v/>
      </c>
      <c r="C115" s="34" t="str">
        <f t="shared" si="11"/>
        <v/>
      </c>
      <c r="D115" s="36" t="str">
        <f t="shared" si="12"/>
        <v/>
      </c>
      <c r="E115" s="36" t="str">
        <f t="shared" si="13"/>
        <v/>
      </c>
      <c r="F115" s="36" t="str">
        <f t="shared" si="14"/>
        <v/>
      </c>
      <c r="G115" s="30"/>
      <c r="H115" s="33"/>
      <c r="I115" s="31"/>
      <c r="J115" s="31"/>
      <c r="K115" s="13" t="str">
        <f t="shared" si="15"/>
        <v/>
      </c>
      <c r="L115" s="49"/>
      <c r="M115" s="49"/>
      <c r="N115" s="30"/>
      <c r="O115" s="30"/>
      <c r="P115" s="30"/>
      <c r="Q115" s="30"/>
      <c r="R115" s="11" t="str">
        <f t="shared" si="16"/>
        <v/>
      </c>
      <c r="S115" s="55" t="str">
        <f t="shared" si="17"/>
        <v/>
      </c>
      <c r="T115" s="37" t="str">
        <f t="shared" si="18"/>
        <v/>
      </c>
      <c r="U115" s="29" t="str">
        <f t="shared" si="19"/>
        <v/>
      </c>
      <c r="V115" s="33"/>
    </row>
    <row r="116" spans="1:22" x14ac:dyDescent="0.25">
      <c r="A116" s="30"/>
      <c r="B116" s="34" t="str">
        <f t="shared" si="10"/>
        <v/>
      </c>
      <c r="C116" s="34" t="str">
        <f t="shared" si="11"/>
        <v/>
      </c>
      <c r="D116" s="36" t="str">
        <f t="shared" si="12"/>
        <v/>
      </c>
      <c r="E116" s="36" t="str">
        <f t="shared" si="13"/>
        <v/>
      </c>
      <c r="F116" s="36" t="str">
        <f t="shared" si="14"/>
        <v/>
      </c>
      <c r="G116" s="30"/>
      <c r="H116" s="33"/>
      <c r="I116" s="31"/>
      <c r="J116" s="31"/>
      <c r="K116" s="13" t="str">
        <f t="shared" si="15"/>
        <v/>
      </c>
      <c r="L116" s="49"/>
      <c r="M116" s="49"/>
      <c r="N116" s="30"/>
      <c r="O116" s="30"/>
      <c r="P116" s="30"/>
      <c r="Q116" s="30"/>
      <c r="R116" s="11" t="str">
        <f t="shared" si="16"/>
        <v/>
      </c>
      <c r="S116" s="55" t="str">
        <f t="shared" si="17"/>
        <v/>
      </c>
      <c r="T116" s="37" t="str">
        <f t="shared" si="18"/>
        <v/>
      </c>
      <c r="U116" s="29" t="str">
        <f t="shared" si="19"/>
        <v/>
      </c>
      <c r="V116" s="33"/>
    </row>
    <row r="117" spans="1:22" x14ac:dyDescent="0.25">
      <c r="A117" s="30"/>
      <c r="B117" s="34" t="str">
        <f t="shared" si="10"/>
        <v/>
      </c>
      <c r="C117" s="34" t="str">
        <f t="shared" si="11"/>
        <v/>
      </c>
      <c r="D117" s="36" t="str">
        <f t="shared" si="12"/>
        <v/>
      </c>
      <c r="E117" s="36" t="str">
        <f t="shared" si="13"/>
        <v/>
      </c>
      <c r="F117" s="36" t="str">
        <f t="shared" si="14"/>
        <v/>
      </c>
      <c r="G117" s="30"/>
      <c r="H117" s="33"/>
      <c r="I117" s="31"/>
      <c r="J117" s="31"/>
      <c r="K117" s="13" t="str">
        <f t="shared" si="15"/>
        <v/>
      </c>
      <c r="L117" s="49"/>
      <c r="M117" s="49"/>
      <c r="N117" s="30"/>
      <c r="O117" s="30"/>
      <c r="P117" s="30"/>
      <c r="Q117" s="30"/>
      <c r="R117" s="11" t="str">
        <f t="shared" si="16"/>
        <v/>
      </c>
      <c r="S117" s="55" t="str">
        <f t="shared" si="17"/>
        <v/>
      </c>
      <c r="T117" s="37" t="str">
        <f t="shared" si="18"/>
        <v/>
      </c>
      <c r="U117" s="29" t="str">
        <f t="shared" si="19"/>
        <v/>
      </c>
      <c r="V117" s="33"/>
    </row>
    <row r="118" spans="1:22" x14ac:dyDescent="0.25">
      <c r="A118" s="30"/>
      <c r="B118" s="34" t="str">
        <f t="shared" si="10"/>
        <v/>
      </c>
      <c r="C118" s="34" t="str">
        <f t="shared" si="11"/>
        <v/>
      </c>
      <c r="D118" s="36" t="str">
        <f t="shared" si="12"/>
        <v/>
      </c>
      <c r="E118" s="36" t="str">
        <f t="shared" si="13"/>
        <v/>
      </c>
      <c r="F118" s="36" t="str">
        <f t="shared" si="14"/>
        <v/>
      </c>
      <c r="G118" s="30"/>
      <c r="H118" s="33"/>
      <c r="I118" s="31"/>
      <c r="J118" s="31"/>
      <c r="K118" s="13" t="str">
        <f t="shared" si="15"/>
        <v/>
      </c>
      <c r="L118" s="49"/>
      <c r="M118" s="49"/>
      <c r="N118" s="30"/>
      <c r="O118" s="30"/>
      <c r="P118" s="30"/>
      <c r="Q118" s="30"/>
      <c r="R118" s="11" t="str">
        <f t="shared" si="16"/>
        <v/>
      </c>
      <c r="S118" s="55" t="str">
        <f t="shared" si="17"/>
        <v/>
      </c>
      <c r="T118" s="37" t="str">
        <f t="shared" si="18"/>
        <v/>
      </c>
      <c r="U118" s="29" t="str">
        <f t="shared" si="19"/>
        <v/>
      </c>
      <c r="V118" s="33"/>
    </row>
    <row r="119" spans="1:22" x14ac:dyDescent="0.25">
      <c r="A119" s="30"/>
      <c r="B119" s="34" t="str">
        <f t="shared" si="10"/>
        <v/>
      </c>
      <c r="C119" s="34" t="str">
        <f t="shared" si="11"/>
        <v/>
      </c>
      <c r="D119" s="36" t="str">
        <f t="shared" si="12"/>
        <v/>
      </c>
      <c r="E119" s="36" t="str">
        <f t="shared" si="13"/>
        <v/>
      </c>
      <c r="F119" s="36" t="str">
        <f t="shared" si="14"/>
        <v/>
      </c>
      <c r="G119" s="30"/>
      <c r="H119" s="33"/>
      <c r="I119" s="31"/>
      <c r="J119" s="31"/>
      <c r="K119" s="13" t="str">
        <f t="shared" si="15"/>
        <v/>
      </c>
      <c r="L119" s="49"/>
      <c r="M119" s="49"/>
      <c r="N119" s="30"/>
      <c r="O119" s="30"/>
      <c r="P119" s="30"/>
      <c r="Q119" s="30"/>
      <c r="R119" s="11" t="str">
        <f t="shared" si="16"/>
        <v/>
      </c>
      <c r="S119" s="55" t="str">
        <f t="shared" si="17"/>
        <v/>
      </c>
      <c r="T119" s="37" t="str">
        <f t="shared" si="18"/>
        <v/>
      </c>
      <c r="U119" s="29" t="str">
        <f t="shared" si="19"/>
        <v/>
      </c>
      <c r="V119" s="33"/>
    </row>
    <row r="120" spans="1:22" x14ac:dyDescent="0.25">
      <c r="A120" s="30"/>
      <c r="B120" s="34" t="str">
        <f t="shared" si="10"/>
        <v/>
      </c>
      <c r="C120" s="34" t="str">
        <f t="shared" si="11"/>
        <v/>
      </c>
      <c r="D120" s="36" t="str">
        <f t="shared" si="12"/>
        <v/>
      </c>
      <c r="E120" s="36" t="str">
        <f t="shared" si="13"/>
        <v/>
      </c>
      <c r="F120" s="36" t="str">
        <f t="shared" si="14"/>
        <v/>
      </c>
      <c r="G120" s="30"/>
      <c r="H120" s="33"/>
      <c r="I120" s="31"/>
      <c r="J120" s="31"/>
      <c r="K120" s="13" t="str">
        <f t="shared" si="15"/>
        <v/>
      </c>
      <c r="L120" s="49"/>
      <c r="M120" s="49"/>
      <c r="N120" s="30"/>
      <c r="O120" s="30"/>
      <c r="P120" s="30"/>
      <c r="Q120" s="30"/>
      <c r="R120" s="11" t="str">
        <f t="shared" si="16"/>
        <v/>
      </c>
      <c r="S120" s="55" t="str">
        <f t="shared" si="17"/>
        <v/>
      </c>
      <c r="T120" s="37" t="str">
        <f t="shared" si="18"/>
        <v/>
      </c>
      <c r="U120" s="29" t="str">
        <f t="shared" si="19"/>
        <v/>
      </c>
      <c r="V120" s="33"/>
    </row>
    <row r="121" spans="1:22" x14ac:dyDescent="0.25">
      <c r="A121" s="30"/>
      <c r="B121" s="34" t="str">
        <f t="shared" si="10"/>
        <v/>
      </c>
      <c r="C121" s="34" t="str">
        <f t="shared" si="11"/>
        <v/>
      </c>
      <c r="D121" s="36" t="str">
        <f t="shared" si="12"/>
        <v/>
      </c>
      <c r="E121" s="36" t="str">
        <f t="shared" si="13"/>
        <v/>
      </c>
      <c r="F121" s="36" t="str">
        <f t="shared" si="14"/>
        <v/>
      </c>
      <c r="G121" s="30"/>
      <c r="H121" s="33"/>
      <c r="I121" s="31"/>
      <c r="J121" s="31"/>
      <c r="K121" s="13" t="str">
        <f t="shared" si="15"/>
        <v/>
      </c>
      <c r="L121" s="49"/>
      <c r="M121" s="49"/>
      <c r="N121" s="30"/>
      <c r="O121" s="30"/>
      <c r="P121" s="30"/>
      <c r="Q121" s="30"/>
      <c r="R121" s="11" t="str">
        <f t="shared" si="16"/>
        <v/>
      </c>
      <c r="S121" s="55" t="str">
        <f t="shared" si="17"/>
        <v/>
      </c>
      <c r="T121" s="37" t="str">
        <f t="shared" si="18"/>
        <v/>
      </c>
      <c r="U121" s="29" t="str">
        <f t="shared" si="19"/>
        <v/>
      </c>
      <c r="V121" s="33"/>
    </row>
    <row r="122" spans="1:22" x14ac:dyDescent="0.25">
      <c r="A122" s="30"/>
      <c r="B122" s="34" t="str">
        <f t="shared" si="10"/>
        <v/>
      </c>
      <c r="C122" s="34" t="str">
        <f t="shared" si="11"/>
        <v/>
      </c>
      <c r="D122" s="36" t="str">
        <f t="shared" si="12"/>
        <v/>
      </c>
      <c r="E122" s="36" t="str">
        <f t="shared" si="13"/>
        <v/>
      </c>
      <c r="F122" s="36" t="str">
        <f t="shared" si="14"/>
        <v/>
      </c>
      <c r="G122" s="30"/>
      <c r="H122" s="33"/>
      <c r="I122" s="31"/>
      <c r="J122" s="31"/>
      <c r="K122" s="13" t="str">
        <f t="shared" si="15"/>
        <v/>
      </c>
      <c r="L122" s="49"/>
      <c r="M122" s="49"/>
      <c r="N122" s="30"/>
      <c r="O122" s="30"/>
      <c r="P122" s="30"/>
      <c r="Q122" s="30"/>
      <c r="R122" s="11" t="str">
        <f t="shared" si="16"/>
        <v/>
      </c>
      <c r="S122" s="55" t="str">
        <f t="shared" si="17"/>
        <v/>
      </c>
      <c r="T122" s="37" t="str">
        <f t="shared" si="18"/>
        <v/>
      </c>
      <c r="U122" s="29" t="str">
        <f t="shared" si="19"/>
        <v/>
      </c>
      <c r="V122" s="33"/>
    </row>
    <row r="123" spans="1:22" x14ac:dyDescent="0.25">
      <c r="A123" s="30"/>
      <c r="B123" s="34" t="str">
        <f t="shared" si="10"/>
        <v/>
      </c>
      <c r="C123" s="34" t="str">
        <f t="shared" si="11"/>
        <v/>
      </c>
      <c r="D123" s="36" t="str">
        <f t="shared" si="12"/>
        <v/>
      </c>
      <c r="E123" s="36" t="str">
        <f t="shared" si="13"/>
        <v/>
      </c>
      <c r="F123" s="36" t="str">
        <f t="shared" si="14"/>
        <v/>
      </c>
      <c r="G123" s="30"/>
      <c r="H123" s="33"/>
      <c r="I123" s="31"/>
      <c r="J123" s="31"/>
      <c r="K123" s="13" t="str">
        <f t="shared" si="15"/>
        <v/>
      </c>
      <c r="L123" s="49"/>
      <c r="M123" s="49"/>
      <c r="N123" s="30"/>
      <c r="O123" s="30"/>
      <c r="P123" s="30"/>
      <c r="Q123" s="30"/>
      <c r="R123" s="11" t="str">
        <f t="shared" si="16"/>
        <v/>
      </c>
      <c r="S123" s="55" t="str">
        <f t="shared" si="17"/>
        <v/>
      </c>
      <c r="T123" s="37" t="str">
        <f t="shared" si="18"/>
        <v/>
      </c>
      <c r="U123" s="29" t="str">
        <f t="shared" si="19"/>
        <v/>
      </c>
      <c r="V123" s="33"/>
    </row>
    <row r="124" spans="1:22" x14ac:dyDescent="0.25">
      <c r="A124" s="30"/>
      <c r="B124" s="34" t="str">
        <f t="shared" si="10"/>
        <v/>
      </c>
      <c r="C124" s="34" t="str">
        <f t="shared" si="11"/>
        <v/>
      </c>
      <c r="D124" s="36" t="str">
        <f t="shared" si="12"/>
        <v/>
      </c>
      <c r="E124" s="36" t="str">
        <f t="shared" si="13"/>
        <v/>
      </c>
      <c r="F124" s="36" t="str">
        <f t="shared" si="14"/>
        <v/>
      </c>
      <c r="G124" s="30"/>
      <c r="H124" s="33"/>
      <c r="I124" s="31"/>
      <c r="J124" s="31"/>
      <c r="K124" s="13" t="str">
        <f t="shared" si="15"/>
        <v/>
      </c>
      <c r="L124" s="49"/>
      <c r="M124" s="49"/>
      <c r="N124" s="30"/>
      <c r="O124" s="30"/>
      <c r="P124" s="30"/>
      <c r="Q124" s="30"/>
      <c r="R124" s="11" t="str">
        <f t="shared" si="16"/>
        <v/>
      </c>
      <c r="S124" s="55" t="str">
        <f t="shared" si="17"/>
        <v/>
      </c>
      <c r="T124" s="37" t="str">
        <f t="shared" si="18"/>
        <v/>
      </c>
      <c r="U124" s="29" t="str">
        <f t="shared" si="19"/>
        <v/>
      </c>
      <c r="V124" s="33"/>
    </row>
    <row r="125" spans="1:22" x14ac:dyDescent="0.25">
      <c r="A125" s="30"/>
      <c r="B125" s="34" t="str">
        <f t="shared" si="10"/>
        <v/>
      </c>
      <c r="C125" s="34" t="str">
        <f t="shared" si="11"/>
        <v/>
      </c>
      <c r="D125" s="36" t="str">
        <f t="shared" si="12"/>
        <v/>
      </c>
      <c r="E125" s="36" t="str">
        <f t="shared" si="13"/>
        <v/>
      </c>
      <c r="F125" s="36" t="str">
        <f t="shared" si="14"/>
        <v/>
      </c>
      <c r="G125" s="30"/>
      <c r="H125" s="33"/>
      <c r="I125" s="31"/>
      <c r="J125" s="31"/>
      <c r="K125" s="13" t="str">
        <f t="shared" si="15"/>
        <v/>
      </c>
      <c r="L125" s="49"/>
      <c r="M125" s="49"/>
      <c r="N125" s="30"/>
      <c r="O125" s="30"/>
      <c r="P125" s="30"/>
      <c r="Q125" s="30"/>
      <c r="R125" s="11" t="str">
        <f t="shared" si="16"/>
        <v/>
      </c>
      <c r="S125" s="55" t="str">
        <f t="shared" si="17"/>
        <v/>
      </c>
      <c r="T125" s="37" t="str">
        <f t="shared" si="18"/>
        <v/>
      </c>
      <c r="U125" s="29" t="str">
        <f t="shared" si="19"/>
        <v/>
      </c>
      <c r="V125" s="33"/>
    </row>
    <row r="126" spans="1:22" x14ac:dyDescent="0.25">
      <c r="A126" s="30"/>
      <c r="B126" s="34" t="str">
        <f t="shared" si="10"/>
        <v/>
      </c>
      <c r="C126" s="34" t="str">
        <f t="shared" si="11"/>
        <v/>
      </c>
      <c r="D126" s="36" t="str">
        <f t="shared" si="12"/>
        <v/>
      </c>
      <c r="E126" s="36" t="str">
        <f t="shared" si="13"/>
        <v/>
      </c>
      <c r="F126" s="36" t="str">
        <f t="shared" si="14"/>
        <v/>
      </c>
      <c r="G126" s="30"/>
      <c r="H126" s="33"/>
      <c r="I126" s="31"/>
      <c r="J126" s="31"/>
      <c r="K126" s="13" t="str">
        <f t="shared" si="15"/>
        <v/>
      </c>
      <c r="L126" s="49"/>
      <c r="M126" s="49"/>
      <c r="N126" s="30"/>
      <c r="O126" s="30"/>
      <c r="P126" s="30"/>
      <c r="Q126" s="30"/>
      <c r="R126" s="11" t="str">
        <f t="shared" si="16"/>
        <v/>
      </c>
      <c r="S126" s="55" t="str">
        <f t="shared" si="17"/>
        <v/>
      </c>
      <c r="T126" s="37" t="str">
        <f t="shared" si="18"/>
        <v/>
      </c>
      <c r="U126" s="29" t="str">
        <f t="shared" si="19"/>
        <v/>
      </c>
      <c r="V126" s="33"/>
    </row>
    <row r="127" spans="1:22" x14ac:dyDescent="0.25">
      <c r="A127" s="30"/>
      <c r="B127" s="34" t="str">
        <f t="shared" si="10"/>
        <v/>
      </c>
      <c r="C127" s="34" t="str">
        <f t="shared" si="11"/>
        <v/>
      </c>
      <c r="D127" s="36" t="str">
        <f t="shared" si="12"/>
        <v/>
      </c>
      <c r="E127" s="36" t="str">
        <f t="shared" si="13"/>
        <v/>
      </c>
      <c r="F127" s="36" t="str">
        <f t="shared" si="14"/>
        <v/>
      </c>
      <c r="G127" s="30"/>
      <c r="H127" s="33"/>
      <c r="I127" s="31"/>
      <c r="J127" s="31"/>
      <c r="K127" s="13" t="str">
        <f t="shared" si="15"/>
        <v/>
      </c>
      <c r="L127" s="49"/>
      <c r="M127" s="49"/>
      <c r="N127" s="30"/>
      <c r="O127" s="30"/>
      <c r="P127" s="30"/>
      <c r="Q127" s="30"/>
      <c r="R127" s="11" t="str">
        <f t="shared" si="16"/>
        <v/>
      </c>
      <c r="S127" s="55" t="str">
        <f t="shared" si="17"/>
        <v/>
      </c>
      <c r="T127" s="37" t="str">
        <f t="shared" si="18"/>
        <v/>
      </c>
      <c r="U127" s="29" t="str">
        <f t="shared" si="19"/>
        <v/>
      </c>
      <c r="V127" s="33"/>
    </row>
    <row r="128" spans="1:22" x14ac:dyDescent="0.25">
      <c r="A128" s="30"/>
      <c r="B128" s="34" t="str">
        <f t="shared" si="10"/>
        <v/>
      </c>
      <c r="C128" s="34" t="str">
        <f t="shared" si="11"/>
        <v/>
      </c>
      <c r="D128" s="36" t="str">
        <f t="shared" si="12"/>
        <v/>
      </c>
      <c r="E128" s="36" t="str">
        <f t="shared" si="13"/>
        <v/>
      </c>
      <c r="F128" s="36" t="str">
        <f t="shared" si="14"/>
        <v/>
      </c>
      <c r="G128" s="30"/>
      <c r="H128" s="33"/>
      <c r="I128" s="31"/>
      <c r="J128" s="31"/>
      <c r="K128" s="13" t="str">
        <f t="shared" si="15"/>
        <v/>
      </c>
      <c r="L128" s="49"/>
      <c r="M128" s="49"/>
      <c r="N128" s="30"/>
      <c r="O128" s="30"/>
      <c r="P128" s="30"/>
      <c r="Q128" s="30"/>
      <c r="R128" s="11" t="str">
        <f t="shared" si="16"/>
        <v/>
      </c>
      <c r="S128" s="55" t="str">
        <f t="shared" si="17"/>
        <v/>
      </c>
      <c r="T128" s="37" t="str">
        <f t="shared" si="18"/>
        <v/>
      </c>
      <c r="U128" s="29" t="str">
        <f t="shared" si="19"/>
        <v/>
      </c>
      <c r="V128" s="33"/>
    </row>
    <row r="129" spans="1:22" x14ac:dyDescent="0.25">
      <c r="A129" s="30"/>
      <c r="B129" s="34" t="str">
        <f t="shared" si="10"/>
        <v/>
      </c>
      <c r="C129" s="34" t="str">
        <f t="shared" si="11"/>
        <v/>
      </c>
      <c r="D129" s="36" t="str">
        <f t="shared" si="12"/>
        <v/>
      </c>
      <c r="E129" s="36" t="str">
        <f t="shared" si="13"/>
        <v/>
      </c>
      <c r="F129" s="36" t="str">
        <f t="shared" si="14"/>
        <v/>
      </c>
      <c r="G129" s="30"/>
      <c r="H129" s="33"/>
      <c r="I129" s="31"/>
      <c r="J129" s="31"/>
      <c r="K129" s="13" t="str">
        <f t="shared" si="15"/>
        <v/>
      </c>
      <c r="L129" s="49"/>
      <c r="M129" s="49"/>
      <c r="N129" s="30"/>
      <c r="O129" s="30"/>
      <c r="P129" s="30"/>
      <c r="Q129" s="30"/>
      <c r="R129" s="11" t="str">
        <f t="shared" si="16"/>
        <v/>
      </c>
      <c r="S129" s="55" t="str">
        <f t="shared" si="17"/>
        <v/>
      </c>
      <c r="T129" s="37" t="str">
        <f t="shared" si="18"/>
        <v/>
      </c>
      <c r="U129" s="29" t="str">
        <f t="shared" si="19"/>
        <v/>
      </c>
      <c r="V129" s="33"/>
    </row>
    <row r="130" spans="1:22" x14ac:dyDescent="0.25">
      <c r="A130" s="30"/>
      <c r="B130" s="34" t="str">
        <f t="shared" si="10"/>
        <v/>
      </c>
      <c r="C130" s="34" t="str">
        <f t="shared" si="11"/>
        <v/>
      </c>
      <c r="D130" s="36" t="str">
        <f t="shared" si="12"/>
        <v/>
      </c>
      <c r="E130" s="36" t="str">
        <f t="shared" si="13"/>
        <v/>
      </c>
      <c r="F130" s="36" t="str">
        <f t="shared" si="14"/>
        <v/>
      </c>
      <c r="G130" s="30"/>
      <c r="H130" s="33"/>
      <c r="I130" s="31"/>
      <c r="J130" s="31"/>
      <c r="K130" s="13" t="str">
        <f t="shared" si="15"/>
        <v/>
      </c>
      <c r="L130" s="49"/>
      <c r="M130" s="49"/>
      <c r="N130" s="30"/>
      <c r="O130" s="30"/>
      <c r="P130" s="30"/>
      <c r="Q130" s="30"/>
      <c r="R130" s="11" t="str">
        <f t="shared" si="16"/>
        <v/>
      </c>
      <c r="S130" s="55" t="str">
        <f t="shared" si="17"/>
        <v/>
      </c>
      <c r="T130" s="37" t="str">
        <f t="shared" si="18"/>
        <v/>
      </c>
      <c r="U130" s="29" t="str">
        <f t="shared" si="19"/>
        <v/>
      </c>
      <c r="V130" s="33"/>
    </row>
    <row r="131" spans="1:22" x14ac:dyDescent="0.25">
      <c r="A131" s="30"/>
      <c r="B131" s="34" t="str">
        <f t="shared" si="10"/>
        <v/>
      </c>
      <c r="C131" s="34" t="str">
        <f t="shared" si="11"/>
        <v/>
      </c>
      <c r="D131" s="36" t="str">
        <f t="shared" si="12"/>
        <v/>
      </c>
      <c r="E131" s="36" t="str">
        <f t="shared" si="13"/>
        <v/>
      </c>
      <c r="F131" s="36" t="str">
        <f t="shared" si="14"/>
        <v/>
      </c>
      <c r="G131" s="30"/>
      <c r="H131" s="33"/>
      <c r="I131" s="31"/>
      <c r="J131" s="31"/>
      <c r="K131" s="13" t="str">
        <f t="shared" si="15"/>
        <v/>
      </c>
      <c r="L131" s="49"/>
      <c r="M131" s="49"/>
      <c r="N131" s="30"/>
      <c r="O131" s="30"/>
      <c r="P131" s="30"/>
      <c r="Q131" s="30"/>
      <c r="R131" s="11" t="str">
        <f t="shared" si="16"/>
        <v/>
      </c>
      <c r="S131" s="55" t="str">
        <f t="shared" si="17"/>
        <v/>
      </c>
      <c r="T131" s="37" t="str">
        <f t="shared" si="18"/>
        <v/>
      </c>
      <c r="U131" s="29" t="str">
        <f t="shared" si="19"/>
        <v/>
      </c>
      <c r="V131" s="33"/>
    </row>
    <row r="132" spans="1:22" x14ac:dyDescent="0.25">
      <c r="A132" s="30"/>
      <c r="B132" s="34" t="str">
        <f t="shared" si="10"/>
        <v/>
      </c>
      <c r="C132" s="34" t="str">
        <f t="shared" si="11"/>
        <v/>
      </c>
      <c r="D132" s="36" t="str">
        <f t="shared" si="12"/>
        <v/>
      </c>
      <c r="E132" s="36" t="str">
        <f t="shared" si="13"/>
        <v/>
      </c>
      <c r="F132" s="36" t="str">
        <f t="shared" si="14"/>
        <v/>
      </c>
      <c r="G132" s="30"/>
      <c r="H132" s="33"/>
      <c r="I132" s="31"/>
      <c r="J132" s="31"/>
      <c r="K132" s="13" t="str">
        <f t="shared" si="15"/>
        <v/>
      </c>
      <c r="L132" s="49"/>
      <c r="M132" s="49"/>
      <c r="N132" s="30"/>
      <c r="O132" s="30"/>
      <c r="P132" s="30"/>
      <c r="Q132" s="30"/>
      <c r="R132" s="11" t="str">
        <f t="shared" si="16"/>
        <v/>
      </c>
      <c r="S132" s="55" t="str">
        <f t="shared" si="17"/>
        <v/>
      </c>
      <c r="T132" s="37" t="str">
        <f t="shared" si="18"/>
        <v/>
      </c>
      <c r="U132" s="29" t="str">
        <f t="shared" si="19"/>
        <v/>
      </c>
      <c r="V132" s="33"/>
    </row>
    <row r="133" spans="1:22" x14ac:dyDescent="0.25">
      <c r="A133" s="30"/>
      <c r="B133" s="34" t="str">
        <f t="shared" ref="B133:B196" si="20">IFERROR(IF($A133="","",VLOOKUP($A133,CAD_TAB,2,FALSE)),"")</f>
        <v/>
      </c>
      <c r="C133" s="34" t="str">
        <f t="shared" ref="C133:C196" si="21">IFERROR(IF($A133="","",VLOOKUP($A133,CAD_TAB,3,FALSE)),"")</f>
        <v/>
      </c>
      <c r="D133" s="36" t="str">
        <f t="shared" ref="D133:D196" si="22">IFERROR(IF($A133="","",VLOOKUP($A133,CAD_TAB,9,FALSE)),"")</f>
        <v/>
      </c>
      <c r="E133" s="36" t="str">
        <f t="shared" ref="E133:E196" si="23">IFERROR(IF($A133="","",VLOOKUP($A133,CAD_TAB,11,FALSE)),"")</f>
        <v/>
      </c>
      <c r="F133" s="36" t="str">
        <f t="shared" ref="F133:F196" si="24">IFERROR(IF($A133="","",VLOOKUP($A133,CAD_TAB,8,FALSE)),"")</f>
        <v/>
      </c>
      <c r="G133" s="30"/>
      <c r="H133" s="33"/>
      <c r="I133" s="31"/>
      <c r="J133" s="31"/>
      <c r="K133" s="13" t="str">
        <f t="shared" ref="K133:K196" si="25">IF(OR($I133="",$J133=""),"",$J133-$I133+1)</f>
        <v/>
      </c>
      <c r="L133" s="49"/>
      <c r="M133" s="49"/>
      <c r="N133" s="30"/>
      <c r="O133" s="30"/>
      <c r="P133" s="30"/>
      <c r="Q133" s="30"/>
      <c r="R133" s="11" t="str">
        <f t="shared" ref="R133:R196" si="26">IF($A133="","",COUNTIFS(MED_ID,$A133))</f>
        <v/>
      </c>
      <c r="S133" s="55" t="str">
        <f t="shared" ref="S133:S196" si="27">IF($A133="","",SUMIFS(MED_VLR,MED_ID,$A133))</f>
        <v/>
      </c>
      <c r="T133" s="37" t="str">
        <f t="shared" ref="T133:T196" si="28">IF($J133="","",EOMONTH($J133,0))</f>
        <v/>
      </c>
      <c r="U133" s="29" t="str">
        <f t="shared" ref="U133:U196" si="29">IF($A133="","",IF($V133="CANCELADA","CANCELADA",IF($S133&gt;0,"MEDIDA",IF($J133="","EM EXECUÇÃO",IF(OR($N133="NÃO",$O133="NÃO",$P133="NÃO"),"AGUARDANDO PAVIMENTO","CONCLUÍDA")))))</f>
        <v/>
      </c>
      <c r="V133" s="33"/>
    </row>
    <row r="134" spans="1:22" x14ac:dyDescent="0.25">
      <c r="A134" s="30"/>
      <c r="B134" s="34" t="str">
        <f t="shared" si="20"/>
        <v/>
      </c>
      <c r="C134" s="34" t="str">
        <f t="shared" si="21"/>
        <v/>
      </c>
      <c r="D134" s="36" t="str">
        <f t="shared" si="22"/>
        <v/>
      </c>
      <c r="E134" s="36" t="str">
        <f t="shared" si="23"/>
        <v/>
      </c>
      <c r="F134" s="36" t="str">
        <f t="shared" si="24"/>
        <v/>
      </c>
      <c r="G134" s="30"/>
      <c r="H134" s="33"/>
      <c r="I134" s="31"/>
      <c r="J134" s="31"/>
      <c r="K134" s="13" t="str">
        <f t="shared" si="25"/>
        <v/>
      </c>
      <c r="L134" s="49"/>
      <c r="M134" s="49"/>
      <c r="N134" s="30"/>
      <c r="O134" s="30"/>
      <c r="P134" s="30"/>
      <c r="Q134" s="30"/>
      <c r="R134" s="11" t="str">
        <f t="shared" si="26"/>
        <v/>
      </c>
      <c r="S134" s="55" t="str">
        <f t="shared" si="27"/>
        <v/>
      </c>
      <c r="T134" s="37" t="str">
        <f t="shared" si="28"/>
        <v/>
      </c>
      <c r="U134" s="29" t="str">
        <f t="shared" si="29"/>
        <v/>
      </c>
      <c r="V134" s="33"/>
    </row>
    <row r="135" spans="1:22" x14ac:dyDescent="0.25">
      <c r="A135" s="30"/>
      <c r="B135" s="34" t="str">
        <f t="shared" si="20"/>
        <v/>
      </c>
      <c r="C135" s="34" t="str">
        <f t="shared" si="21"/>
        <v/>
      </c>
      <c r="D135" s="36" t="str">
        <f t="shared" si="22"/>
        <v/>
      </c>
      <c r="E135" s="36" t="str">
        <f t="shared" si="23"/>
        <v/>
      </c>
      <c r="F135" s="36" t="str">
        <f t="shared" si="24"/>
        <v/>
      </c>
      <c r="G135" s="30"/>
      <c r="H135" s="33"/>
      <c r="I135" s="31"/>
      <c r="J135" s="31"/>
      <c r="K135" s="13" t="str">
        <f t="shared" si="25"/>
        <v/>
      </c>
      <c r="L135" s="49"/>
      <c r="M135" s="49"/>
      <c r="N135" s="30"/>
      <c r="O135" s="30"/>
      <c r="P135" s="30"/>
      <c r="Q135" s="30"/>
      <c r="R135" s="11" t="str">
        <f t="shared" si="26"/>
        <v/>
      </c>
      <c r="S135" s="55" t="str">
        <f t="shared" si="27"/>
        <v/>
      </c>
      <c r="T135" s="37" t="str">
        <f t="shared" si="28"/>
        <v/>
      </c>
      <c r="U135" s="29" t="str">
        <f t="shared" si="29"/>
        <v/>
      </c>
      <c r="V135" s="33"/>
    </row>
    <row r="136" spans="1:22" x14ac:dyDescent="0.25">
      <c r="A136" s="30"/>
      <c r="B136" s="34" t="str">
        <f t="shared" si="20"/>
        <v/>
      </c>
      <c r="C136" s="34" t="str">
        <f t="shared" si="21"/>
        <v/>
      </c>
      <c r="D136" s="36" t="str">
        <f t="shared" si="22"/>
        <v/>
      </c>
      <c r="E136" s="36" t="str">
        <f t="shared" si="23"/>
        <v/>
      </c>
      <c r="F136" s="36" t="str">
        <f t="shared" si="24"/>
        <v/>
      </c>
      <c r="G136" s="30"/>
      <c r="H136" s="33"/>
      <c r="I136" s="31"/>
      <c r="J136" s="31"/>
      <c r="K136" s="13" t="str">
        <f t="shared" si="25"/>
        <v/>
      </c>
      <c r="L136" s="49"/>
      <c r="M136" s="49"/>
      <c r="N136" s="30"/>
      <c r="O136" s="30"/>
      <c r="P136" s="30"/>
      <c r="Q136" s="30"/>
      <c r="R136" s="11" t="str">
        <f t="shared" si="26"/>
        <v/>
      </c>
      <c r="S136" s="55" t="str">
        <f t="shared" si="27"/>
        <v/>
      </c>
      <c r="T136" s="37" t="str">
        <f t="shared" si="28"/>
        <v/>
      </c>
      <c r="U136" s="29" t="str">
        <f t="shared" si="29"/>
        <v/>
      </c>
      <c r="V136" s="33"/>
    </row>
    <row r="137" spans="1:22" x14ac:dyDescent="0.25">
      <c r="A137" s="30"/>
      <c r="B137" s="34" t="str">
        <f t="shared" si="20"/>
        <v/>
      </c>
      <c r="C137" s="34" t="str">
        <f t="shared" si="21"/>
        <v/>
      </c>
      <c r="D137" s="36" t="str">
        <f t="shared" si="22"/>
        <v/>
      </c>
      <c r="E137" s="36" t="str">
        <f t="shared" si="23"/>
        <v/>
      </c>
      <c r="F137" s="36" t="str">
        <f t="shared" si="24"/>
        <v/>
      </c>
      <c r="G137" s="30"/>
      <c r="H137" s="33"/>
      <c r="I137" s="31"/>
      <c r="J137" s="31"/>
      <c r="K137" s="13" t="str">
        <f t="shared" si="25"/>
        <v/>
      </c>
      <c r="L137" s="49"/>
      <c r="M137" s="49"/>
      <c r="N137" s="30"/>
      <c r="O137" s="30"/>
      <c r="P137" s="30"/>
      <c r="Q137" s="30"/>
      <c r="R137" s="11" t="str">
        <f t="shared" si="26"/>
        <v/>
      </c>
      <c r="S137" s="55" t="str">
        <f t="shared" si="27"/>
        <v/>
      </c>
      <c r="T137" s="37" t="str">
        <f t="shared" si="28"/>
        <v/>
      </c>
      <c r="U137" s="29" t="str">
        <f t="shared" si="29"/>
        <v/>
      </c>
      <c r="V137" s="33"/>
    </row>
    <row r="138" spans="1:22" x14ac:dyDescent="0.25">
      <c r="A138" s="30"/>
      <c r="B138" s="34" t="str">
        <f t="shared" si="20"/>
        <v/>
      </c>
      <c r="C138" s="34" t="str">
        <f t="shared" si="21"/>
        <v/>
      </c>
      <c r="D138" s="36" t="str">
        <f t="shared" si="22"/>
        <v/>
      </c>
      <c r="E138" s="36" t="str">
        <f t="shared" si="23"/>
        <v/>
      </c>
      <c r="F138" s="36" t="str">
        <f t="shared" si="24"/>
        <v/>
      </c>
      <c r="G138" s="30"/>
      <c r="H138" s="33"/>
      <c r="I138" s="31"/>
      <c r="J138" s="31"/>
      <c r="K138" s="13" t="str">
        <f t="shared" si="25"/>
        <v/>
      </c>
      <c r="L138" s="49"/>
      <c r="M138" s="49"/>
      <c r="N138" s="30"/>
      <c r="O138" s="30"/>
      <c r="P138" s="30"/>
      <c r="Q138" s="30"/>
      <c r="R138" s="11" t="str">
        <f t="shared" si="26"/>
        <v/>
      </c>
      <c r="S138" s="55" t="str">
        <f t="shared" si="27"/>
        <v/>
      </c>
      <c r="T138" s="37" t="str">
        <f t="shared" si="28"/>
        <v/>
      </c>
      <c r="U138" s="29" t="str">
        <f t="shared" si="29"/>
        <v/>
      </c>
      <c r="V138" s="33"/>
    </row>
    <row r="139" spans="1:22" x14ac:dyDescent="0.25">
      <c r="A139" s="30"/>
      <c r="B139" s="34" t="str">
        <f t="shared" si="20"/>
        <v/>
      </c>
      <c r="C139" s="34" t="str">
        <f t="shared" si="21"/>
        <v/>
      </c>
      <c r="D139" s="36" t="str">
        <f t="shared" si="22"/>
        <v/>
      </c>
      <c r="E139" s="36" t="str">
        <f t="shared" si="23"/>
        <v/>
      </c>
      <c r="F139" s="36" t="str">
        <f t="shared" si="24"/>
        <v/>
      </c>
      <c r="G139" s="30"/>
      <c r="H139" s="33"/>
      <c r="I139" s="31"/>
      <c r="J139" s="31"/>
      <c r="K139" s="13" t="str">
        <f t="shared" si="25"/>
        <v/>
      </c>
      <c r="L139" s="49"/>
      <c r="M139" s="49"/>
      <c r="N139" s="30"/>
      <c r="O139" s="30"/>
      <c r="P139" s="30"/>
      <c r="Q139" s="30"/>
      <c r="R139" s="11" t="str">
        <f t="shared" si="26"/>
        <v/>
      </c>
      <c r="S139" s="55" t="str">
        <f t="shared" si="27"/>
        <v/>
      </c>
      <c r="T139" s="37" t="str">
        <f t="shared" si="28"/>
        <v/>
      </c>
      <c r="U139" s="29" t="str">
        <f t="shared" si="29"/>
        <v/>
      </c>
      <c r="V139" s="33"/>
    </row>
    <row r="140" spans="1:22" x14ac:dyDescent="0.25">
      <c r="A140" s="30"/>
      <c r="B140" s="34" t="str">
        <f t="shared" si="20"/>
        <v/>
      </c>
      <c r="C140" s="34" t="str">
        <f t="shared" si="21"/>
        <v/>
      </c>
      <c r="D140" s="36" t="str">
        <f t="shared" si="22"/>
        <v/>
      </c>
      <c r="E140" s="36" t="str">
        <f t="shared" si="23"/>
        <v/>
      </c>
      <c r="F140" s="36" t="str">
        <f t="shared" si="24"/>
        <v/>
      </c>
      <c r="G140" s="30"/>
      <c r="H140" s="33"/>
      <c r="I140" s="31"/>
      <c r="J140" s="31"/>
      <c r="K140" s="13" t="str">
        <f t="shared" si="25"/>
        <v/>
      </c>
      <c r="L140" s="49"/>
      <c r="M140" s="49"/>
      <c r="N140" s="30"/>
      <c r="O140" s="30"/>
      <c r="P140" s="30"/>
      <c r="Q140" s="30"/>
      <c r="R140" s="11" t="str">
        <f t="shared" si="26"/>
        <v/>
      </c>
      <c r="S140" s="55" t="str">
        <f t="shared" si="27"/>
        <v/>
      </c>
      <c r="T140" s="37" t="str">
        <f t="shared" si="28"/>
        <v/>
      </c>
      <c r="U140" s="29" t="str">
        <f t="shared" si="29"/>
        <v/>
      </c>
      <c r="V140" s="33"/>
    </row>
    <row r="141" spans="1:22" x14ac:dyDescent="0.25">
      <c r="A141" s="30"/>
      <c r="B141" s="34" t="str">
        <f t="shared" si="20"/>
        <v/>
      </c>
      <c r="C141" s="34" t="str">
        <f t="shared" si="21"/>
        <v/>
      </c>
      <c r="D141" s="36" t="str">
        <f t="shared" si="22"/>
        <v/>
      </c>
      <c r="E141" s="36" t="str">
        <f t="shared" si="23"/>
        <v/>
      </c>
      <c r="F141" s="36" t="str">
        <f t="shared" si="24"/>
        <v/>
      </c>
      <c r="G141" s="30"/>
      <c r="H141" s="33"/>
      <c r="I141" s="31"/>
      <c r="J141" s="31"/>
      <c r="K141" s="13" t="str">
        <f t="shared" si="25"/>
        <v/>
      </c>
      <c r="L141" s="49"/>
      <c r="M141" s="49"/>
      <c r="N141" s="30"/>
      <c r="O141" s="30"/>
      <c r="P141" s="30"/>
      <c r="Q141" s="30"/>
      <c r="R141" s="11" t="str">
        <f t="shared" si="26"/>
        <v/>
      </c>
      <c r="S141" s="55" t="str">
        <f t="shared" si="27"/>
        <v/>
      </c>
      <c r="T141" s="37" t="str">
        <f t="shared" si="28"/>
        <v/>
      </c>
      <c r="U141" s="29" t="str">
        <f t="shared" si="29"/>
        <v/>
      </c>
      <c r="V141" s="33"/>
    </row>
    <row r="142" spans="1:22" x14ac:dyDescent="0.25">
      <c r="A142" s="30"/>
      <c r="B142" s="34" t="str">
        <f t="shared" si="20"/>
        <v/>
      </c>
      <c r="C142" s="34" t="str">
        <f t="shared" si="21"/>
        <v/>
      </c>
      <c r="D142" s="36" t="str">
        <f t="shared" si="22"/>
        <v/>
      </c>
      <c r="E142" s="36" t="str">
        <f t="shared" si="23"/>
        <v/>
      </c>
      <c r="F142" s="36" t="str">
        <f t="shared" si="24"/>
        <v/>
      </c>
      <c r="G142" s="30"/>
      <c r="H142" s="33"/>
      <c r="I142" s="31"/>
      <c r="J142" s="31"/>
      <c r="K142" s="13" t="str">
        <f t="shared" si="25"/>
        <v/>
      </c>
      <c r="L142" s="49"/>
      <c r="M142" s="49"/>
      <c r="N142" s="30"/>
      <c r="O142" s="30"/>
      <c r="P142" s="30"/>
      <c r="Q142" s="30"/>
      <c r="R142" s="11" t="str">
        <f t="shared" si="26"/>
        <v/>
      </c>
      <c r="S142" s="55" t="str">
        <f t="shared" si="27"/>
        <v/>
      </c>
      <c r="T142" s="37" t="str">
        <f t="shared" si="28"/>
        <v/>
      </c>
      <c r="U142" s="29" t="str">
        <f t="shared" si="29"/>
        <v/>
      </c>
      <c r="V142" s="33"/>
    </row>
    <row r="143" spans="1:22" x14ac:dyDescent="0.25">
      <c r="A143" s="30"/>
      <c r="B143" s="34" t="str">
        <f t="shared" si="20"/>
        <v/>
      </c>
      <c r="C143" s="34" t="str">
        <f t="shared" si="21"/>
        <v/>
      </c>
      <c r="D143" s="36" t="str">
        <f t="shared" si="22"/>
        <v/>
      </c>
      <c r="E143" s="36" t="str">
        <f t="shared" si="23"/>
        <v/>
      </c>
      <c r="F143" s="36" t="str">
        <f t="shared" si="24"/>
        <v/>
      </c>
      <c r="G143" s="30"/>
      <c r="H143" s="33"/>
      <c r="I143" s="31"/>
      <c r="J143" s="31"/>
      <c r="K143" s="13" t="str">
        <f t="shared" si="25"/>
        <v/>
      </c>
      <c r="L143" s="49"/>
      <c r="M143" s="49"/>
      <c r="N143" s="30"/>
      <c r="O143" s="30"/>
      <c r="P143" s="30"/>
      <c r="Q143" s="30"/>
      <c r="R143" s="11" t="str">
        <f t="shared" si="26"/>
        <v/>
      </c>
      <c r="S143" s="55" t="str">
        <f t="shared" si="27"/>
        <v/>
      </c>
      <c r="T143" s="37" t="str">
        <f t="shared" si="28"/>
        <v/>
      </c>
      <c r="U143" s="29" t="str">
        <f t="shared" si="29"/>
        <v/>
      </c>
      <c r="V143" s="33"/>
    </row>
    <row r="144" spans="1:22" x14ac:dyDescent="0.25">
      <c r="A144" s="30"/>
      <c r="B144" s="34" t="str">
        <f t="shared" si="20"/>
        <v/>
      </c>
      <c r="C144" s="34" t="str">
        <f t="shared" si="21"/>
        <v/>
      </c>
      <c r="D144" s="36" t="str">
        <f t="shared" si="22"/>
        <v/>
      </c>
      <c r="E144" s="36" t="str">
        <f t="shared" si="23"/>
        <v/>
      </c>
      <c r="F144" s="36" t="str">
        <f t="shared" si="24"/>
        <v/>
      </c>
      <c r="G144" s="30"/>
      <c r="H144" s="33"/>
      <c r="I144" s="31"/>
      <c r="J144" s="31"/>
      <c r="K144" s="13" t="str">
        <f t="shared" si="25"/>
        <v/>
      </c>
      <c r="L144" s="49"/>
      <c r="M144" s="49"/>
      <c r="N144" s="30"/>
      <c r="O144" s="30"/>
      <c r="P144" s="30"/>
      <c r="Q144" s="30"/>
      <c r="R144" s="11" t="str">
        <f t="shared" si="26"/>
        <v/>
      </c>
      <c r="S144" s="55" t="str">
        <f t="shared" si="27"/>
        <v/>
      </c>
      <c r="T144" s="37" t="str">
        <f t="shared" si="28"/>
        <v/>
      </c>
      <c r="U144" s="29" t="str">
        <f t="shared" si="29"/>
        <v/>
      </c>
      <c r="V144" s="33"/>
    </row>
    <row r="145" spans="1:22" x14ac:dyDescent="0.25">
      <c r="A145" s="30"/>
      <c r="B145" s="34" t="str">
        <f t="shared" si="20"/>
        <v/>
      </c>
      <c r="C145" s="34" t="str">
        <f t="shared" si="21"/>
        <v/>
      </c>
      <c r="D145" s="36" t="str">
        <f t="shared" si="22"/>
        <v/>
      </c>
      <c r="E145" s="36" t="str">
        <f t="shared" si="23"/>
        <v/>
      </c>
      <c r="F145" s="36" t="str">
        <f t="shared" si="24"/>
        <v/>
      </c>
      <c r="G145" s="30"/>
      <c r="H145" s="33"/>
      <c r="I145" s="31"/>
      <c r="J145" s="31"/>
      <c r="K145" s="13" t="str">
        <f t="shared" si="25"/>
        <v/>
      </c>
      <c r="L145" s="49"/>
      <c r="M145" s="49"/>
      <c r="N145" s="30"/>
      <c r="O145" s="30"/>
      <c r="P145" s="30"/>
      <c r="Q145" s="30"/>
      <c r="R145" s="11" t="str">
        <f t="shared" si="26"/>
        <v/>
      </c>
      <c r="S145" s="55" t="str">
        <f t="shared" si="27"/>
        <v/>
      </c>
      <c r="T145" s="37" t="str">
        <f t="shared" si="28"/>
        <v/>
      </c>
      <c r="U145" s="29" t="str">
        <f t="shared" si="29"/>
        <v/>
      </c>
      <c r="V145" s="33"/>
    </row>
    <row r="146" spans="1:22" x14ac:dyDescent="0.25">
      <c r="A146" s="30"/>
      <c r="B146" s="34" t="str">
        <f t="shared" si="20"/>
        <v/>
      </c>
      <c r="C146" s="34" t="str">
        <f t="shared" si="21"/>
        <v/>
      </c>
      <c r="D146" s="36" t="str">
        <f t="shared" si="22"/>
        <v/>
      </c>
      <c r="E146" s="36" t="str">
        <f t="shared" si="23"/>
        <v/>
      </c>
      <c r="F146" s="36" t="str">
        <f t="shared" si="24"/>
        <v/>
      </c>
      <c r="G146" s="30"/>
      <c r="H146" s="33"/>
      <c r="I146" s="31"/>
      <c r="J146" s="31"/>
      <c r="K146" s="13" t="str">
        <f t="shared" si="25"/>
        <v/>
      </c>
      <c r="L146" s="49"/>
      <c r="M146" s="49"/>
      <c r="N146" s="30"/>
      <c r="O146" s="30"/>
      <c r="P146" s="30"/>
      <c r="Q146" s="30"/>
      <c r="R146" s="11" t="str">
        <f t="shared" si="26"/>
        <v/>
      </c>
      <c r="S146" s="55" t="str">
        <f t="shared" si="27"/>
        <v/>
      </c>
      <c r="T146" s="37" t="str">
        <f t="shared" si="28"/>
        <v/>
      </c>
      <c r="U146" s="29" t="str">
        <f t="shared" si="29"/>
        <v/>
      </c>
      <c r="V146" s="33"/>
    </row>
    <row r="147" spans="1:22" x14ac:dyDescent="0.25">
      <c r="A147" s="30"/>
      <c r="B147" s="34" t="str">
        <f t="shared" si="20"/>
        <v/>
      </c>
      <c r="C147" s="34" t="str">
        <f t="shared" si="21"/>
        <v/>
      </c>
      <c r="D147" s="36" t="str">
        <f t="shared" si="22"/>
        <v/>
      </c>
      <c r="E147" s="36" t="str">
        <f t="shared" si="23"/>
        <v/>
      </c>
      <c r="F147" s="36" t="str">
        <f t="shared" si="24"/>
        <v/>
      </c>
      <c r="G147" s="30"/>
      <c r="H147" s="33"/>
      <c r="I147" s="31"/>
      <c r="J147" s="31"/>
      <c r="K147" s="13" t="str">
        <f t="shared" si="25"/>
        <v/>
      </c>
      <c r="L147" s="49"/>
      <c r="M147" s="49"/>
      <c r="N147" s="30"/>
      <c r="O147" s="30"/>
      <c r="P147" s="30"/>
      <c r="Q147" s="30"/>
      <c r="R147" s="11" t="str">
        <f t="shared" si="26"/>
        <v/>
      </c>
      <c r="S147" s="55" t="str">
        <f t="shared" si="27"/>
        <v/>
      </c>
      <c r="T147" s="37" t="str">
        <f t="shared" si="28"/>
        <v/>
      </c>
      <c r="U147" s="29" t="str">
        <f t="shared" si="29"/>
        <v/>
      </c>
      <c r="V147" s="33"/>
    </row>
    <row r="148" spans="1:22" x14ac:dyDescent="0.25">
      <c r="A148" s="30"/>
      <c r="B148" s="34" t="str">
        <f t="shared" si="20"/>
        <v/>
      </c>
      <c r="C148" s="34" t="str">
        <f t="shared" si="21"/>
        <v/>
      </c>
      <c r="D148" s="36" t="str">
        <f t="shared" si="22"/>
        <v/>
      </c>
      <c r="E148" s="36" t="str">
        <f t="shared" si="23"/>
        <v/>
      </c>
      <c r="F148" s="36" t="str">
        <f t="shared" si="24"/>
        <v/>
      </c>
      <c r="G148" s="30"/>
      <c r="H148" s="33"/>
      <c r="I148" s="31"/>
      <c r="J148" s="31"/>
      <c r="K148" s="13" t="str">
        <f t="shared" si="25"/>
        <v/>
      </c>
      <c r="L148" s="49"/>
      <c r="M148" s="49"/>
      <c r="N148" s="30"/>
      <c r="O148" s="30"/>
      <c r="P148" s="30"/>
      <c r="Q148" s="30"/>
      <c r="R148" s="11" t="str">
        <f t="shared" si="26"/>
        <v/>
      </c>
      <c r="S148" s="55" t="str">
        <f t="shared" si="27"/>
        <v/>
      </c>
      <c r="T148" s="37" t="str">
        <f t="shared" si="28"/>
        <v/>
      </c>
      <c r="U148" s="29" t="str">
        <f t="shared" si="29"/>
        <v/>
      </c>
      <c r="V148" s="33"/>
    </row>
    <row r="149" spans="1:22" x14ac:dyDescent="0.25">
      <c r="A149" s="30"/>
      <c r="B149" s="34" t="str">
        <f t="shared" si="20"/>
        <v/>
      </c>
      <c r="C149" s="34" t="str">
        <f t="shared" si="21"/>
        <v/>
      </c>
      <c r="D149" s="36" t="str">
        <f t="shared" si="22"/>
        <v/>
      </c>
      <c r="E149" s="36" t="str">
        <f t="shared" si="23"/>
        <v/>
      </c>
      <c r="F149" s="36" t="str">
        <f t="shared" si="24"/>
        <v/>
      </c>
      <c r="G149" s="30"/>
      <c r="H149" s="33"/>
      <c r="I149" s="31"/>
      <c r="J149" s="31"/>
      <c r="K149" s="13" t="str">
        <f t="shared" si="25"/>
        <v/>
      </c>
      <c r="L149" s="49"/>
      <c r="M149" s="49"/>
      <c r="N149" s="30"/>
      <c r="O149" s="30"/>
      <c r="P149" s="30"/>
      <c r="Q149" s="30"/>
      <c r="R149" s="11" t="str">
        <f t="shared" si="26"/>
        <v/>
      </c>
      <c r="S149" s="55" t="str">
        <f t="shared" si="27"/>
        <v/>
      </c>
      <c r="T149" s="37" t="str">
        <f t="shared" si="28"/>
        <v/>
      </c>
      <c r="U149" s="29" t="str">
        <f t="shared" si="29"/>
        <v/>
      </c>
      <c r="V149" s="33"/>
    </row>
    <row r="150" spans="1:22" x14ac:dyDescent="0.25">
      <c r="A150" s="30"/>
      <c r="B150" s="34" t="str">
        <f t="shared" si="20"/>
        <v/>
      </c>
      <c r="C150" s="34" t="str">
        <f t="shared" si="21"/>
        <v/>
      </c>
      <c r="D150" s="36" t="str">
        <f t="shared" si="22"/>
        <v/>
      </c>
      <c r="E150" s="36" t="str">
        <f t="shared" si="23"/>
        <v/>
      </c>
      <c r="F150" s="36" t="str">
        <f t="shared" si="24"/>
        <v/>
      </c>
      <c r="G150" s="30"/>
      <c r="H150" s="33"/>
      <c r="I150" s="31"/>
      <c r="J150" s="31"/>
      <c r="K150" s="13" t="str">
        <f t="shared" si="25"/>
        <v/>
      </c>
      <c r="L150" s="49"/>
      <c r="M150" s="49"/>
      <c r="N150" s="30"/>
      <c r="O150" s="30"/>
      <c r="P150" s="30"/>
      <c r="Q150" s="30"/>
      <c r="R150" s="11" t="str">
        <f t="shared" si="26"/>
        <v/>
      </c>
      <c r="S150" s="55" t="str">
        <f t="shared" si="27"/>
        <v/>
      </c>
      <c r="T150" s="37" t="str">
        <f t="shared" si="28"/>
        <v/>
      </c>
      <c r="U150" s="29" t="str">
        <f t="shared" si="29"/>
        <v/>
      </c>
      <c r="V150" s="33"/>
    </row>
    <row r="151" spans="1:22" x14ac:dyDescent="0.25">
      <c r="A151" s="30"/>
      <c r="B151" s="34" t="str">
        <f t="shared" si="20"/>
        <v/>
      </c>
      <c r="C151" s="34" t="str">
        <f t="shared" si="21"/>
        <v/>
      </c>
      <c r="D151" s="36" t="str">
        <f t="shared" si="22"/>
        <v/>
      </c>
      <c r="E151" s="36" t="str">
        <f t="shared" si="23"/>
        <v/>
      </c>
      <c r="F151" s="36" t="str">
        <f t="shared" si="24"/>
        <v/>
      </c>
      <c r="G151" s="30"/>
      <c r="H151" s="33"/>
      <c r="I151" s="31"/>
      <c r="J151" s="31"/>
      <c r="K151" s="13" t="str">
        <f t="shared" si="25"/>
        <v/>
      </c>
      <c r="L151" s="49"/>
      <c r="M151" s="49"/>
      <c r="N151" s="30"/>
      <c r="O151" s="30"/>
      <c r="P151" s="30"/>
      <c r="Q151" s="30"/>
      <c r="R151" s="11" t="str">
        <f t="shared" si="26"/>
        <v/>
      </c>
      <c r="S151" s="55" t="str">
        <f t="shared" si="27"/>
        <v/>
      </c>
      <c r="T151" s="37" t="str">
        <f t="shared" si="28"/>
        <v/>
      </c>
      <c r="U151" s="29" t="str">
        <f t="shared" si="29"/>
        <v/>
      </c>
      <c r="V151" s="33"/>
    </row>
    <row r="152" spans="1:22" x14ac:dyDescent="0.25">
      <c r="A152" s="30"/>
      <c r="B152" s="34" t="str">
        <f t="shared" si="20"/>
        <v/>
      </c>
      <c r="C152" s="34" t="str">
        <f t="shared" si="21"/>
        <v/>
      </c>
      <c r="D152" s="36" t="str">
        <f t="shared" si="22"/>
        <v/>
      </c>
      <c r="E152" s="36" t="str">
        <f t="shared" si="23"/>
        <v/>
      </c>
      <c r="F152" s="36" t="str">
        <f t="shared" si="24"/>
        <v/>
      </c>
      <c r="G152" s="30"/>
      <c r="H152" s="33"/>
      <c r="I152" s="31"/>
      <c r="J152" s="31"/>
      <c r="K152" s="13" t="str">
        <f t="shared" si="25"/>
        <v/>
      </c>
      <c r="L152" s="49"/>
      <c r="M152" s="49"/>
      <c r="N152" s="30"/>
      <c r="O152" s="30"/>
      <c r="P152" s="30"/>
      <c r="Q152" s="30"/>
      <c r="R152" s="11" t="str">
        <f t="shared" si="26"/>
        <v/>
      </c>
      <c r="S152" s="55" t="str">
        <f t="shared" si="27"/>
        <v/>
      </c>
      <c r="T152" s="37" t="str">
        <f t="shared" si="28"/>
        <v/>
      </c>
      <c r="U152" s="29" t="str">
        <f t="shared" si="29"/>
        <v/>
      </c>
      <c r="V152" s="33"/>
    </row>
    <row r="153" spans="1:22" x14ac:dyDescent="0.25">
      <c r="A153" s="30"/>
      <c r="B153" s="34" t="str">
        <f t="shared" si="20"/>
        <v/>
      </c>
      <c r="C153" s="34" t="str">
        <f t="shared" si="21"/>
        <v/>
      </c>
      <c r="D153" s="36" t="str">
        <f t="shared" si="22"/>
        <v/>
      </c>
      <c r="E153" s="36" t="str">
        <f t="shared" si="23"/>
        <v/>
      </c>
      <c r="F153" s="36" t="str">
        <f t="shared" si="24"/>
        <v/>
      </c>
      <c r="G153" s="30"/>
      <c r="H153" s="33"/>
      <c r="I153" s="31"/>
      <c r="J153" s="31"/>
      <c r="K153" s="13" t="str">
        <f t="shared" si="25"/>
        <v/>
      </c>
      <c r="L153" s="49"/>
      <c r="M153" s="49"/>
      <c r="N153" s="30"/>
      <c r="O153" s="30"/>
      <c r="P153" s="30"/>
      <c r="Q153" s="30"/>
      <c r="R153" s="11" t="str">
        <f t="shared" si="26"/>
        <v/>
      </c>
      <c r="S153" s="55" t="str">
        <f t="shared" si="27"/>
        <v/>
      </c>
      <c r="T153" s="37" t="str">
        <f t="shared" si="28"/>
        <v/>
      </c>
      <c r="U153" s="29" t="str">
        <f t="shared" si="29"/>
        <v/>
      </c>
      <c r="V153" s="33"/>
    </row>
    <row r="154" spans="1:22" x14ac:dyDescent="0.25">
      <c r="A154" s="30"/>
      <c r="B154" s="34" t="str">
        <f t="shared" si="20"/>
        <v/>
      </c>
      <c r="C154" s="34" t="str">
        <f t="shared" si="21"/>
        <v/>
      </c>
      <c r="D154" s="36" t="str">
        <f t="shared" si="22"/>
        <v/>
      </c>
      <c r="E154" s="36" t="str">
        <f t="shared" si="23"/>
        <v/>
      </c>
      <c r="F154" s="36" t="str">
        <f t="shared" si="24"/>
        <v/>
      </c>
      <c r="G154" s="30"/>
      <c r="H154" s="33"/>
      <c r="I154" s="31"/>
      <c r="J154" s="31"/>
      <c r="K154" s="13" t="str">
        <f t="shared" si="25"/>
        <v/>
      </c>
      <c r="L154" s="49"/>
      <c r="M154" s="49"/>
      <c r="N154" s="30"/>
      <c r="O154" s="30"/>
      <c r="P154" s="30"/>
      <c r="Q154" s="30"/>
      <c r="R154" s="11" t="str">
        <f t="shared" si="26"/>
        <v/>
      </c>
      <c r="S154" s="55" t="str">
        <f t="shared" si="27"/>
        <v/>
      </c>
      <c r="T154" s="37" t="str">
        <f t="shared" si="28"/>
        <v/>
      </c>
      <c r="U154" s="29" t="str">
        <f t="shared" si="29"/>
        <v/>
      </c>
      <c r="V154" s="33"/>
    </row>
    <row r="155" spans="1:22" x14ac:dyDescent="0.25">
      <c r="A155" s="30"/>
      <c r="B155" s="34" t="str">
        <f t="shared" si="20"/>
        <v/>
      </c>
      <c r="C155" s="34" t="str">
        <f t="shared" si="21"/>
        <v/>
      </c>
      <c r="D155" s="36" t="str">
        <f t="shared" si="22"/>
        <v/>
      </c>
      <c r="E155" s="36" t="str">
        <f t="shared" si="23"/>
        <v/>
      </c>
      <c r="F155" s="36" t="str">
        <f t="shared" si="24"/>
        <v/>
      </c>
      <c r="G155" s="30"/>
      <c r="H155" s="33"/>
      <c r="I155" s="31"/>
      <c r="J155" s="31"/>
      <c r="K155" s="13" t="str">
        <f t="shared" si="25"/>
        <v/>
      </c>
      <c r="L155" s="49"/>
      <c r="M155" s="49"/>
      <c r="N155" s="30"/>
      <c r="O155" s="30"/>
      <c r="P155" s="30"/>
      <c r="Q155" s="30"/>
      <c r="R155" s="11" t="str">
        <f t="shared" si="26"/>
        <v/>
      </c>
      <c r="S155" s="55" t="str">
        <f t="shared" si="27"/>
        <v/>
      </c>
      <c r="T155" s="37" t="str">
        <f t="shared" si="28"/>
        <v/>
      </c>
      <c r="U155" s="29" t="str">
        <f t="shared" si="29"/>
        <v/>
      </c>
      <c r="V155" s="33"/>
    </row>
    <row r="156" spans="1:22" x14ac:dyDescent="0.25">
      <c r="A156" s="30"/>
      <c r="B156" s="34" t="str">
        <f t="shared" si="20"/>
        <v/>
      </c>
      <c r="C156" s="34" t="str">
        <f t="shared" si="21"/>
        <v/>
      </c>
      <c r="D156" s="36" t="str">
        <f t="shared" si="22"/>
        <v/>
      </c>
      <c r="E156" s="36" t="str">
        <f t="shared" si="23"/>
        <v/>
      </c>
      <c r="F156" s="36" t="str">
        <f t="shared" si="24"/>
        <v/>
      </c>
      <c r="G156" s="30"/>
      <c r="H156" s="33"/>
      <c r="I156" s="31"/>
      <c r="J156" s="31"/>
      <c r="K156" s="13" t="str">
        <f t="shared" si="25"/>
        <v/>
      </c>
      <c r="L156" s="49"/>
      <c r="M156" s="49"/>
      <c r="N156" s="30"/>
      <c r="O156" s="30"/>
      <c r="P156" s="30"/>
      <c r="Q156" s="30"/>
      <c r="R156" s="11" t="str">
        <f t="shared" si="26"/>
        <v/>
      </c>
      <c r="S156" s="55" t="str">
        <f t="shared" si="27"/>
        <v/>
      </c>
      <c r="T156" s="37" t="str">
        <f t="shared" si="28"/>
        <v/>
      </c>
      <c r="U156" s="29" t="str">
        <f t="shared" si="29"/>
        <v/>
      </c>
      <c r="V156" s="33"/>
    </row>
    <row r="157" spans="1:22" x14ac:dyDescent="0.25">
      <c r="A157" s="30"/>
      <c r="B157" s="34" t="str">
        <f t="shared" si="20"/>
        <v/>
      </c>
      <c r="C157" s="34" t="str">
        <f t="shared" si="21"/>
        <v/>
      </c>
      <c r="D157" s="36" t="str">
        <f t="shared" si="22"/>
        <v/>
      </c>
      <c r="E157" s="36" t="str">
        <f t="shared" si="23"/>
        <v/>
      </c>
      <c r="F157" s="36" t="str">
        <f t="shared" si="24"/>
        <v/>
      </c>
      <c r="G157" s="30"/>
      <c r="H157" s="33"/>
      <c r="I157" s="31"/>
      <c r="J157" s="31"/>
      <c r="K157" s="13" t="str">
        <f t="shared" si="25"/>
        <v/>
      </c>
      <c r="L157" s="49"/>
      <c r="M157" s="49"/>
      <c r="N157" s="30"/>
      <c r="O157" s="30"/>
      <c r="P157" s="30"/>
      <c r="Q157" s="30"/>
      <c r="R157" s="11" t="str">
        <f t="shared" si="26"/>
        <v/>
      </c>
      <c r="S157" s="55" t="str">
        <f t="shared" si="27"/>
        <v/>
      </c>
      <c r="T157" s="37" t="str">
        <f t="shared" si="28"/>
        <v/>
      </c>
      <c r="U157" s="29" t="str">
        <f t="shared" si="29"/>
        <v/>
      </c>
      <c r="V157" s="33"/>
    </row>
    <row r="158" spans="1:22" x14ac:dyDescent="0.25">
      <c r="A158" s="30"/>
      <c r="B158" s="34" t="str">
        <f t="shared" si="20"/>
        <v/>
      </c>
      <c r="C158" s="34" t="str">
        <f t="shared" si="21"/>
        <v/>
      </c>
      <c r="D158" s="36" t="str">
        <f t="shared" si="22"/>
        <v/>
      </c>
      <c r="E158" s="36" t="str">
        <f t="shared" si="23"/>
        <v/>
      </c>
      <c r="F158" s="36" t="str">
        <f t="shared" si="24"/>
        <v/>
      </c>
      <c r="G158" s="30"/>
      <c r="H158" s="33"/>
      <c r="I158" s="31"/>
      <c r="J158" s="31"/>
      <c r="K158" s="13" t="str">
        <f t="shared" si="25"/>
        <v/>
      </c>
      <c r="L158" s="49"/>
      <c r="M158" s="49"/>
      <c r="N158" s="30"/>
      <c r="O158" s="30"/>
      <c r="P158" s="30"/>
      <c r="Q158" s="30"/>
      <c r="R158" s="11" t="str">
        <f t="shared" si="26"/>
        <v/>
      </c>
      <c r="S158" s="55" t="str">
        <f t="shared" si="27"/>
        <v/>
      </c>
      <c r="T158" s="37" t="str">
        <f t="shared" si="28"/>
        <v/>
      </c>
      <c r="U158" s="29" t="str">
        <f t="shared" si="29"/>
        <v/>
      </c>
      <c r="V158" s="33"/>
    </row>
    <row r="159" spans="1:22" x14ac:dyDescent="0.25">
      <c r="A159" s="30"/>
      <c r="B159" s="34" t="str">
        <f t="shared" si="20"/>
        <v/>
      </c>
      <c r="C159" s="34" t="str">
        <f t="shared" si="21"/>
        <v/>
      </c>
      <c r="D159" s="36" t="str">
        <f t="shared" si="22"/>
        <v/>
      </c>
      <c r="E159" s="36" t="str">
        <f t="shared" si="23"/>
        <v/>
      </c>
      <c r="F159" s="36" t="str">
        <f t="shared" si="24"/>
        <v/>
      </c>
      <c r="G159" s="30"/>
      <c r="H159" s="33"/>
      <c r="I159" s="31"/>
      <c r="J159" s="31"/>
      <c r="K159" s="13" t="str">
        <f t="shared" si="25"/>
        <v/>
      </c>
      <c r="L159" s="49"/>
      <c r="M159" s="49"/>
      <c r="N159" s="30"/>
      <c r="O159" s="30"/>
      <c r="P159" s="30"/>
      <c r="Q159" s="30"/>
      <c r="R159" s="11" t="str">
        <f t="shared" si="26"/>
        <v/>
      </c>
      <c r="S159" s="55" t="str">
        <f t="shared" si="27"/>
        <v/>
      </c>
      <c r="T159" s="37" t="str">
        <f t="shared" si="28"/>
        <v/>
      </c>
      <c r="U159" s="29" t="str">
        <f t="shared" si="29"/>
        <v/>
      </c>
      <c r="V159" s="33"/>
    </row>
    <row r="160" spans="1:22" x14ac:dyDescent="0.25">
      <c r="A160" s="30"/>
      <c r="B160" s="34" t="str">
        <f t="shared" si="20"/>
        <v/>
      </c>
      <c r="C160" s="34" t="str">
        <f t="shared" si="21"/>
        <v/>
      </c>
      <c r="D160" s="36" t="str">
        <f t="shared" si="22"/>
        <v/>
      </c>
      <c r="E160" s="36" t="str">
        <f t="shared" si="23"/>
        <v/>
      </c>
      <c r="F160" s="36" t="str">
        <f t="shared" si="24"/>
        <v/>
      </c>
      <c r="G160" s="30"/>
      <c r="H160" s="33"/>
      <c r="I160" s="31"/>
      <c r="J160" s="31"/>
      <c r="K160" s="13" t="str">
        <f t="shared" si="25"/>
        <v/>
      </c>
      <c r="L160" s="49"/>
      <c r="M160" s="49"/>
      <c r="N160" s="30"/>
      <c r="O160" s="30"/>
      <c r="P160" s="30"/>
      <c r="Q160" s="30"/>
      <c r="R160" s="11" t="str">
        <f t="shared" si="26"/>
        <v/>
      </c>
      <c r="S160" s="55" t="str">
        <f t="shared" si="27"/>
        <v/>
      </c>
      <c r="T160" s="37" t="str">
        <f t="shared" si="28"/>
        <v/>
      </c>
      <c r="U160" s="29" t="str">
        <f t="shared" si="29"/>
        <v/>
      </c>
      <c r="V160" s="33"/>
    </row>
    <row r="161" spans="1:22" x14ac:dyDescent="0.25">
      <c r="A161" s="30"/>
      <c r="B161" s="34" t="str">
        <f t="shared" si="20"/>
        <v/>
      </c>
      <c r="C161" s="34" t="str">
        <f t="shared" si="21"/>
        <v/>
      </c>
      <c r="D161" s="36" t="str">
        <f t="shared" si="22"/>
        <v/>
      </c>
      <c r="E161" s="36" t="str">
        <f t="shared" si="23"/>
        <v/>
      </c>
      <c r="F161" s="36" t="str">
        <f t="shared" si="24"/>
        <v/>
      </c>
      <c r="G161" s="30"/>
      <c r="H161" s="33"/>
      <c r="I161" s="31"/>
      <c r="J161" s="31"/>
      <c r="K161" s="13" t="str">
        <f t="shared" si="25"/>
        <v/>
      </c>
      <c r="L161" s="49"/>
      <c r="M161" s="49"/>
      <c r="N161" s="30"/>
      <c r="O161" s="30"/>
      <c r="P161" s="30"/>
      <c r="Q161" s="30"/>
      <c r="R161" s="11" t="str">
        <f t="shared" si="26"/>
        <v/>
      </c>
      <c r="S161" s="55" t="str">
        <f t="shared" si="27"/>
        <v/>
      </c>
      <c r="T161" s="37" t="str">
        <f t="shared" si="28"/>
        <v/>
      </c>
      <c r="U161" s="29" t="str">
        <f t="shared" si="29"/>
        <v/>
      </c>
      <c r="V161" s="33"/>
    </row>
    <row r="162" spans="1:22" x14ac:dyDescent="0.25">
      <c r="A162" s="30"/>
      <c r="B162" s="34" t="str">
        <f t="shared" si="20"/>
        <v/>
      </c>
      <c r="C162" s="34" t="str">
        <f t="shared" si="21"/>
        <v/>
      </c>
      <c r="D162" s="36" t="str">
        <f t="shared" si="22"/>
        <v/>
      </c>
      <c r="E162" s="36" t="str">
        <f t="shared" si="23"/>
        <v/>
      </c>
      <c r="F162" s="36" t="str">
        <f t="shared" si="24"/>
        <v/>
      </c>
      <c r="G162" s="30"/>
      <c r="H162" s="33"/>
      <c r="I162" s="31"/>
      <c r="J162" s="31"/>
      <c r="K162" s="13" t="str">
        <f t="shared" si="25"/>
        <v/>
      </c>
      <c r="L162" s="49"/>
      <c r="M162" s="49"/>
      <c r="N162" s="30"/>
      <c r="O162" s="30"/>
      <c r="P162" s="30"/>
      <c r="Q162" s="30"/>
      <c r="R162" s="11" t="str">
        <f t="shared" si="26"/>
        <v/>
      </c>
      <c r="S162" s="55" t="str">
        <f t="shared" si="27"/>
        <v/>
      </c>
      <c r="T162" s="37" t="str">
        <f t="shared" si="28"/>
        <v/>
      </c>
      <c r="U162" s="29" t="str">
        <f t="shared" si="29"/>
        <v/>
      </c>
      <c r="V162" s="33"/>
    </row>
    <row r="163" spans="1:22" x14ac:dyDescent="0.25">
      <c r="A163" s="30"/>
      <c r="B163" s="34" t="str">
        <f t="shared" si="20"/>
        <v/>
      </c>
      <c r="C163" s="34" t="str">
        <f t="shared" si="21"/>
        <v/>
      </c>
      <c r="D163" s="36" t="str">
        <f t="shared" si="22"/>
        <v/>
      </c>
      <c r="E163" s="36" t="str">
        <f t="shared" si="23"/>
        <v/>
      </c>
      <c r="F163" s="36" t="str">
        <f t="shared" si="24"/>
        <v/>
      </c>
      <c r="G163" s="30"/>
      <c r="H163" s="33"/>
      <c r="I163" s="31"/>
      <c r="J163" s="31"/>
      <c r="K163" s="13" t="str">
        <f t="shared" si="25"/>
        <v/>
      </c>
      <c r="L163" s="49"/>
      <c r="M163" s="49"/>
      <c r="N163" s="30"/>
      <c r="O163" s="30"/>
      <c r="P163" s="30"/>
      <c r="Q163" s="30"/>
      <c r="R163" s="11" t="str">
        <f t="shared" si="26"/>
        <v/>
      </c>
      <c r="S163" s="55" t="str">
        <f t="shared" si="27"/>
        <v/>
      </c>
      <c r="T163" s="37" t="str">
        <f t="shared" si="28"/>
        <v/>
      </c>
      <c r="U163" s="29" t="str">
        <f t="shared" si="29"/>
        <v/>
      </c>
      <c r="V163" s="33"/>
    </row>
    <row r="164" spans="1:22" x14ac:dyDescent="0.25">
      <c r="A164" s="30"/>
      <c r="B164" s="34" t="str">
        <f t="shared" si="20"/>
        <v/>
      </c>
      <c r="C164" s="34" t="str">
        <f t="shared" si="21"/>
        <v/>
      </c>
      <c r="D164" s="36" t="str">
        <f t="shared" si="22"/>
        <v/>
      </c>
      <c r="E164" s="36" t="str">
        <f t="shared" si="23"/>
        <v/>
      </c>
      <c r="F164" s="36" t="str">
        <f t="shared" si="24"/>
        <v/>
      </c>
      <c r="G164" s="30"/>
      <c r="H164" s="33"/>
      <c r="I164" s="31"/>
      <c r="J164" s="31"/>
      <c r="K164" s="13" t="str">
        <f t="shared" si="25"/>
        <v/>
      </c>
      <c r="L164" s="49"/>
      <c r="M164" s="49"/>
      <c r="N164" s="30"/>
      <c r="O164" s="30"/>
      <c r="P164" s="30"/>
      <c r="Q164" s="30"/>
      <c r="R164" s="11" t="str">
        <f t="shared" si="26"/>
        <v/>
      </c>
      <c r="S164" s="55" t="str">
        <f t="shared" si="27"/>
        <v/>
      </c>
      <c r="T164" s="37" t="str">
        <f t="shared" si="28"/>
        <v/>
      </c>
      <c r="U164" s="29" t="str">
        <f t="shared" si="29"/>
        <v/>
      </c>
      <c r="V164" s="33"/>
    </row>
    <row r="165" spans="1:22" x14ac:dyDescent="0.25">
      <c r="A165" s="30"/>
      <c r="B165" s="34" t="str">
        <f t="shared" si="20"/>
        <v/>
      </c>
      <c r="C165" s="34" t="str">
        <f t="shared" si="21"/>
        <v/>
      </c>
      <c r="D165" s="36" t="str">
        <f t="shared" si="22"/>
        <v/>
      </c>
      <c r="E165" s="36" t="str">
        <f t="shared" si="23"/>
        <v/>
      </c>
      <c r="F165" s="36" t="str">
        <f t="shared" si="24"/>
        <v/>
      </c>
      <c r="G165" s="30"/>
      <c r="H165" s="33"/>
      <c r="I165" s="31"/>
      <c r="J165" s="31"/>
      <c r="K165" s="13" t="str">
        <f t="shared" si="25"/>
        <v/>
      </c>
      <c r="L165" s="49"/>
      <c r="M165" s="49"/>
      <c r="N165" s="30"/>
      <c r="O165" s="30"/>
      <c r="P165" s="30"/>
      <c r="Q165" s="30"/>
      <c r="R165" s="11" t="str">
        <f t="shared" si="26"/>
        <v/>
      </c>
      <c r="S165" s="55" t="str">
        <f t="shared" si="27"/>
        <v/>
      </c>
      <c r="T165" s="37" t="str">
        <f t="shared" si="28"/>
        <v/>
      </c>
      <c r="U165" s="29" t="str">
        <f t="shared" si="29"/>
        <v/>
      </c>
      <c r="V165" s="33"/>
    </row>
    <row r="166" spans="1:22" x14ac:dyDescent="0.25">
      <c r="A166" s="30"/>
      <c r="B166" s="34" t="str">
        <f t="shared" si="20"/>
        <v/>
      </c>
      <c r="C166" s="34" t="str">
        <f t="shared" si="21"/>
        <v/>
      </c>
      <c r="D166" s="36" t="str">
        <f t="shared" si="22"/>
        <v/>
      </c>
      <c r="E166" s="36" t="str">
        <f t="shared" si="23"/>
        <v/>
      </c>
      <c r="F166" s="36" t="str">
        <f t="shared" si="24"/>
        <v/>
      </c>
      <c r="G166" s="30"/>
      <c r="H166" s="33"/>
      <c r="I166" s="31"/>
      <c r="J166" s="31"/>
      <c r="K166" s="13" t="str">
        <f t="shared" si="25"/>
        <v/>
      </c>
      <c r="L166" s="49"/>
      <c r="M166" s="49"/>
      <c r="N166" s="30"/>
      <c r="O166" s="30"/>
      <c r="P166" s="30"/>
      <c r="Q166" s="30"/>
      <c r="R166" s="11" t="str">
        <f t="shared" si="26"/>
        <v/>
      </c>
      <c r="S166" s="55" t="str">
        <f t="shared" si="27"/>
        <v/>
      </c>
      <c r="T166" s="37" t="str">
        <f t="shared" si="28"/>
        <v/>
      </c>
      <c r="U166" s="29" t="str">
        <f t="shared" si="29"/>
        <v/>
      </c>
      <c r="V166" s="33"/>
    </row>
    <row r="167" spans="1:22" x14ac:dyDescent="0.25">
      <c r="A167" s="30"/>
      <c r="B167" s="34" t="str">
        <f t="shared" si="20"/>
        <v/>
      </c>
      <c r="C167" s="34" t="str">
        <f t="shared" si="21"/>
        <v/>
      </c>
      <c r="D167" s="36" t="str">
        <f t="shared" si="22"/>
        <v/>
      </c>
      <c r="E167" s="36" t="str">
        <f t="shared" si="23"/>
        <v/>
      </c>
      <c r="F167" s="36" t="str">
        <f t="shared" si="24"/>
        <v/>
      </c>
      <c r="G167" s="30"/>
      <c r="H167" s="33"/>
      <c r="I167" s="31"/>
      <c r="J167" s="31"/>
      <c r="K167" s="13" t="str">
        <f t="shared" si="25"/>
        <v/>
      </c>
      <c r="L167" s="49"/>
      <c r="M167" s="49"/>
      <c r="N167" s="30"/>
      <c r="O167" s="30"/>
      <c r="P167" s="30"/>
      <c r="Q167" s="30"/>
      <c r="R167" s="11" t="str">
        <f t="shared" si="26"/>
        <v/>
      </c>
      <c r="S167" s="55" t="str">
        <f t="shared" si="27"/>
        <v/>
      </c>
      <c r="T167" s="37" t="str">
        <f t="shared" si="28"/>
        <v/>
      </c>
      <c r="U167" s="29" t="str">
        <f t="shared" si="29"/>
        <v/>
      </c>
      <c r="V167" s="33"/>
    </row>
    <row r="168" spans="1:22" x14ac:dyDescent="0.25">
      <c r="A168" s="30"/>
      <c r="B168" s="34" t="str">
        <f t="shared" si="20"/>
        <v/>
      </c>
      <c r="C168" s="34" t="str">
        <f t="shared" si="21"/>
        <v/>
      </c>
      <c r="D168" s="36" t="str">
        <f t="shared" si="22"/>
        <v/>
      </c>
      <c r="E168" s="36" t="str">
        <f t="shared" si="23"/>
        <v/>
      </c>
      <c r="F168" s="36" t="str">
        <f t="shared" si="24"/>
        <v/>
      </c>
      <c r="G168" s="30"/>
      <c r="H168" s="33"/>
      <c r="I168" s="31"/>
      <c r="J168" s="31"/>
      <c r="K168" s="13" t="str">
        <f t="shared" si="25"/>
        <v/>
      </c>
      <c r="L168" s="49"/>
      <c r="M168" s="49"/>
      <c r="N168" s="30"/>
      <c r="O168" s="30"/>
      <c r="P168" s="30"/>
      <c r="Q168" s="30"/>
      <c r="R168" s="11" t="str">
        <f t="shared" si="26"/>
        <v/>
      </c>
      <c r="S168" s="55" t="str">
        <f t="shared" si="27"/>
        <v/>
      </c>
      <c r="T168" s="37" t="str">
        <f t="shared" si="28"/>
        <v/>
      </c>
      <c r="U168" s="29" t="str">
        <f t="shared" si="29"/>
        <v/>
      </c>
      <c r="V168" s="33"/>
    </row>
    <row r="169" spans="1:22" x14ac:dyDescent="0.25">
      <c r="A169" s="30"/>
      <c r="B169" s="34" t="str">
        <f t="shared" si="20"/>
        <v/>
      </c>
      <c r="C169" s="34" t="str">
        <f t="shared" si="21"/>
        <v/>
      </c>
      <c r="D169" s="36" t="str">
        <f t="shared" si="22"/>
        <v/>
      </c>
      <c r="E169" s="36" t="str">
        <f t="shared" si="23"/>
        <v/>
      </c>
      <c r="F169" s="36" t="str">
        <f t="shared" si="24"/>
        <v/>
      </c>
      <c r="G169" s="30"/>
      <c r="H169" s="33"/>
      <c r="I169" s="31"/>
      <c r="J169" s="31"/>
      <c r="K169" s="13" t="str">
        <f t="shared" si="25"/>
        <v/>
      </c>
      <c r="L169" s="49"/>
      <c r="M169" s="49"/>
      <c r="N169" s="30"/>
      <c r="O169" s="30"/>
      <c r="P169" s="30"/>
      <c r="Q169" s="30"/>
      <c r="R169" s="11" t="str">
        <f t="shared" si="26"/>
        <v/>
      </c>
      <c r="S169" s="55" t="str">
        <f t="shared" si="27"/>
        <v/>
      </c>
      <c r="T169" s="37" t="str">
        <f t="shared" si="28"/>
        <v/>
      </c>
      <c r="U169" s="29" t="str">
        <f t="shared" si="29"/>
        <v/>
      </c>
      <c r="V169" s="33"/>
    </row>
    <row r="170" spans="1:22" x14ac:dyDescent="0.25">
      <c r="A170" s="30"/>
      <c r="B170" s="34" t="str">
        <f t="shared" si="20"/>
        <v/>
      </c>
      <c r="C170" s="34" t="str">
        <f t="shared" si="21"/>
        <v/>
      </c>
      <c r="D170" s="36" t="str">
        <f t="shared" si="22"/>
        <v/>
      </c>
      <c r="E170" s="36" t="str">
        <f t="shared" si="23"/>
        <v/>
      </c>
      <c r="F170" s="36" t="str">
        <f t="shared" si="24"/>
        <v/>
      </c>
      <c r="G170" s="30"/>
      <c r="H170" s="33"/>
      <c r="I170" s="31"/>
      <c r="J170" s="31"/>
      <c r="K170" s="13" t="str">
        <f t="shared" si="25"/>
        <v/>
      </c>
      <c r="L170" s="49"/>
      <c r="M170" s="49"/>
      <c r="N170" s="30"/>
      <c r="O170" s="30"/>
      <c r="P170" s="30"/>
      <c r="Q170" s="30"/>
      <c r="R170" s="11" t="str">
        <f t="shared" si="26"/>
        <v/>
      </c>
      <c r="S170" s="55" t="str">
        <f t="shared" si="27"/>
        <v/>
      </c>
      <c r="T170" s="37" t="str">
        <f t="shared" si="28"/>
        <v/>
      </c>
      <c r="U170" s="29" t="str">
        <f t="shared" si="29"/>
        <v/>
      </c>
      <c r="V170" s="33"/>
    </row>
    <row r="171" spans="1:22" x14ac:dyDescent="0.25">
      <c r="A171" s="30"/>
      <c r="B171" s="34" t="str">
        <f t="shared" si="20"/>
        <v/>
      </c>
      <c r="C171" s="34" t="str">
        <f t="shared" si="21"/>
        <v/>
      </c>
      <c r="D171" s="36" t="str">
        <f t="shared" si="22"/>
        <v/>
      </c>
      <c r="E171" s="36" t="str">
        <f t="shared" si="23"/>
        <v/>
      </c>
      <c r="F171" s="36" t="str">
        <f t="shared" si="24"/>
        <v/>
      </c>
      <c r="G171" s="30"/>
      <c r="H171" s="33"/>
      <c r="I171" s="31"/>
      <c r="J171" s="31"/>
      <c r="K171" s="13" t="str">
        <f t="shared" si="25"/>
        <v/>
      </c>
      <c r="L171" s="49"/>
      <c r="M171" s="49"/>
      <c r="N171" s="30"/>
      <c r="O171" s="30"/>
      <c r="P171" s="30"/>
      <c r="Q171" s="30"/>
      <c r="R171" s="11" t="str">
        <f t="shared" si="26"/>
        <v/>
      </c>
      <c r="S171" s="55" t="str">
        <f t="shared" si="27"/>
        <v/>
      </c>
      <c r="T171" s="37" t="str">
        <f t="shared" si="28"/>
        <v/>
      </c>
      <c r="U171" s="29" t="str">
        <f t="shared" si="29"/>
        <v/>
      </c>
      <c r="V171" s="33"/>
    </row>
    <row r="172" spans="1:22" x14ac:dyDescent="0.25">
      <c r="A172" s="30"/>
      <c r="B172" s="34" t="str">
        <f t="shared" si="20"/>
        <v/>
      </c>
      <c r="C172" s="34" t="str">
        <f t="shared" si="21"/>
        <v/>
      </c>
      <c r="D172" s="36" t="str">
        <f t="shared" si="22"/>
        <v/>
      </c>
      <c r="E172" s="36" t="str">
        <f t="shared" si="23"/>
        <v/>
      </c>
      <c r="F172" s="36" t="str">
        <f t="shared" si="24"/>
        <v/>
      </c>
      <c r="G172" s="30"/>
      <c r="H172" s="33"/>
      <c r="I172" s="31"/>
      <c r="J172" s="31"/>
      <c r="K172" s="13" t="str">
        <f t="shared" si="25"/>
        <v/>
      </c>
      <c r="L172" s="49"/>
      <c r="M172" s="49"/>
      <c r="N172" s="30"/>
      <c r="O172" s="30"/>
      <c r="P172" s="30"/>
      <c r="Q172" s="30"/>
      <c r="R172" s="11" t="str">
        <f t="shared" si="26"/>
        <v/>
      </c>
      <c r="S172" s="55" t="str">
        <f t="shared" si="27"/>
        <v/>
      </c>
      <c r="T172" s="37" t="str">
        <f t="shared" si="28"/>
        <v/>
      </c>
      <c r="U172" s="29" t="str">
        <f t="shared" si="29"/>
        <v/>
      </c>
      <c r="V172" s="33"/>
    </row>
    <row r="173" spans="1:22" x14ac:dyDescent="0.25">
      <c r="A173" s="30"/>
      <c r="B173" s="34" t="str">
        <f t="shared" si="20"/>
        <v/>
      </c>
      <c r="C173" s="34" t="str">
        <f t="shared" si="21"/>
        <v/>
      </c>
      <c r="D173" s="36" t="str">
        <f t="shared" si="22"/>
        <v/>
      </c>
      <c r="E173" s="36" t="str">
        <f t="shared" si="23"/>
        <v/>
      </c>
      <c r="F173" s="36" t="str">
        <f t="shared" si="24"/>
        <v/>
      </c>
      <c r="G173" s="30"/>
      <c r="H173" s="33"/>
      <c r="I173" s="31"/>
      <c r="J173" s="31"/>
      <c r="K173" s="13" t="str">
        <f t="shared" si="25"/>
        <v/>
      </c>
      <c r="L173" s="49"/>
      <c r="M173" s="49"/>
      <c r="N173" s="30"/>
      <c r="O173" s="30"/>
      <c r="P173" s="30"/>
      <c r="Q173" s="30"/>
      <c r="R173" s="11" t="str">
        <f t="shared" si="26"/>
        <v/>
      </c>
      <c r="S173" s="55" t="str">
        <f t="shared" si="27"/>
        <v/>
      </c>
      <c r="T173" s="37" t="str">
        <f t="shared" si="28"/>
        <v/>
      </c>
      <c r="U173" s="29" t="str">
        <f t="shared" si="29"/>
        <v/>
      </c>
      <c r="V173" s="33"/>
    </row>
    <row r="174" spans="1:22" x14ac:dyDescent="0.25">
      <c r="A174" s="30"/>
      <c r="B174" s="34" t="str">
        <f t="shared" si="20"/>
        <v/>
      </c>
      <c r="C174" s="34" t="str">
        <f t="shared" si="21"/>
        <v/>
      </c>
      <c r="D174" s="36" t="str">
        <f t="shared" si="22"/>
        <v/>
      </c>
      <c r="E174" s="36" t="str">
        <f t="shared" si="23"/>
        <v/>
      </c>
      <c r="F174" s="36" t="str">
        <f t="shared" si="24"/>
        <v/>
      </c>
      <c r="G174" s="30"/>
      <c r="H174" s="33"/>
      <c r="I174" s="31"/>
      <c r="J174" s="31"/>
      <c r="K174" s="13" t="str">
        <f t="shared" si="25"/>
        <v/>
      </c>
      <c r="L174" s="49"/>
      <c r="M174" s="49"/>
      <c r="N174" s="30"/>
      <c r="O174" s="30"/>
      <c r="P174" s="30"/>
      <c r="Q174" s="30"/>
      <c r="R174" s="11" t="str">
        <f t="shared" si="26"/>
        <v/>
      </c>
      <c r="S174" s="55" t="str">
        <f t="shared" si="27"/>
        <v/>
      </c>
      <c r="T174" s="37" t="str">
        <f t="shared" si="28"/>
        <v/>
      </c>
      <c r="U174" s="29" t="str">
        <f t="shared" si="29"/>
        <v/>
      </c>
      <c r="V174" s="33"/>
    </row>
    <row r="175" spans="1:22" x14ac:dyDescent="0.25">
      <c r="A175" s="30"/>
      <c r="B175" s="34" t="str">
        <f t="shared" si="20"/>
        <v/>
      </c>
      <c r="C175" s="34" t="str">
        <f t="shared" si="21"/>
        <v/>
      </c>
      <c r="D175" s="36" t="str">
        <f t="shared" si="22"/>
        <v/>
      </c>
      <c r="E175" s="36" t="str">
        <f t="shared" si="23"/>
        <v/>
      </c>
      <c r="F175" s="36" t="str">
        <f t="shared" si="24"/>
        <v/>
      </c>
      <c r="G175" s="30"/>
      <c r="H175" s="33"/>
      <c r="I175" s="31"/>
      <c r="J175" s="31"/>
      <c r="K175" s="13" t="str">
        <f t="shared" si="25"/>
        <v/>
      </c>
      <c r="L175" s="49"/>
      <c r="M175" s="49"/>
      <c r="N175" s="30"/>
      <c r="O175" s="30"/>
      <c r="P175" s="30"/>
      <c r="Q175" s="30"/>
      <c r="R175" s="11" t="str">
        <f t="shared" si="26"/>
        <v/>
      </c>
      <c r="S175" s="55" t="str">
        <f t="shared" si="27"/>
        <v/>
      </c>
      <c r="T175" s="37" t="str">
        <f t="shared" si="28"/>
        <v/>
      </c>
      <c r="U175" s="29" t="str">
        <f t="shared" si="29"/>
        <v/>
      </c>
      <c r="V175" s="33"/>
    </row>
    <row r="176" spans="1:22" x14ac:dyDescent="0.25">
      <c r="A176" s="30"/>
      <c r="B176" s="34" t="str">
        <f t="shared" si="20"/>
        <v/>
      </c>
      <c r="C176" s="34" t="str">
        <f t="shared" si="21"/>
        <v/>
      </c>
      <c r="D176" s="36" t="str">
        <f t="shared" si="22"/>
        <v/>
      </c>
      <c r="E176" s="36" t="str">
        <f t="shared" si="23"/>
        <v/>
      </c>
      <c r="F176" s="36" t="str">
        <f t="shared" si="24"/>
        <v/>
      </c>
      <c r="G176" s="30"/>
      <c r="H176" s="33"/>
      <c r="I176" s="31"/>
      <c r="J176" s="31"/>
      <c r="K176" s="13" t="str">
        <f t="shared" si="25"/>
        <v/>
      </c>
      <c r="L176" s="49"/>
      <c r="M176" s="49"/>
      <c r="N176" s="30"/>
      <c r="O176" s="30"/>
      <c r="P176" s="30"/>
      <c r="Q176" s="30"/>
      <c r="R176" s="11" t="str">
        <f t="shared" si="26"/>
        <v/>
      </c>
      <c r="S176" s="55" t="str">
        <f t="shared" si="27"/>
        <v/>
      </c>
      <c r="T176" s="37" t="str">
        <f t="shared" si="28"/>
        <v/>
      </c>
      <c r="U176" s="29" t="str">
        <f t="shared" si="29"/>
        <v/>
      </c>
      <c r="V176" s="33"/>
    </row>
    <row r="177" spans="1:22" x14ac:dyDescent="0.25">
      <c r="A177" s="30"/>
      <c r="B177" s="34" t="str">
        <f t="shared" si="20"/>
        <v/>
      </c>
      <c r="C177" s="34" t="str">
        <f t="shared" si="21"/>
        <v/>
      </c>
      <c r="D177" s="36" t="str">
        <f t="shared" si="22"/>
        <v/>
      </c>
      <c r="E177" s="36" t="str">
        <f t="shared" si="23"/>
        <v/>
      </c>
      <c r="F177" s="36" t="str">
        <f t="shared" si="24"/>
        <v/>
      </c>
      <c r="G177" s="30"/>
      <c r="H177" s="33"/>
      <c r="I177" s="31"/>
      <c r="J177" s="31"/>
      <c r="K177" s="13" t="str">
        <f t="shared" si="25"/>
        <v/>
      </c>
      <c r="L177" s="49"/>
      <c r="M177" s="49"/>
      <c r="N177" s="30"/>
      <c r="O177" s="30"/>
      <c r="P177" s="30"/>
      <c r="Q177" s="30"/>
      <c r="R177" s="11" t="str">
        <f t="shared" si="26"/>
        <v/>
      </c>
      <c r="S177" s="55" t="str">
        <f t="shared" si="27"/>
        <v/>
      </c>
      <c r="T177" s="37" t="str">
        <f t="shared" si="28"/>
        <v/>
      </c>
      <c r="U177" s="29" t="str">
        <f t="shared" si="29"/>
        <v/>
      </c>
      <c r="V177" s="33"/>
    </row>
    <row r="178" spans="1:22" x14ac:dyDescent="0.25">
      <c r="A178" s="30"/>
      <c r="B178" s="34" t="str">
        <f t="shared" si="20"/>
        <v/>
      </c>
      <c r="C178" s="34" t="str">
        <f t="shared" si="21"/>
        <v/>
      </c>
      <c r="D178" s="36" t="str">
        <f t="shared" si="22"/>
        <v/>
      </c>
      <c r="E178" s="36" t="str">
        <f t="shared" si="23"/>
        <v/>
      </c>
      <c r="F178" s="36" t="str">
        <f t="shared" si="24"/>
        <v/>
      </c>
      <c r="G178" s="30"/>
      <c r="H178" s="33"/>
      <c r="I178" s="31"/>
      <c r="J178" s="31"/>
      <c r="K178" s="13" t="str">
        <f t="shared" si="25"/>
        <v/>
      </c>
      <c r="L178" s="49"/>
      <c r="M178" s="49"/>
      <c r="N178" s="30"/>
      <c r="O178" s="30"/>
      <c r="P178" s="30"/>
      <c r="Q178" s="30"/>
      <c r="R178" s="11" t="str">
        <f t="shared" si="26"/>
        <v/>
      </c>
      <c r="S178" s="55" t="str">
        <f t="shared" si="27"/>
        <v/>
      </c>
      <c r="T178" s="37" t="str">
        <f t="shared" si="28"/>
        <v/>
      </c>
      <c r="U178" s="29" t="str">
        <f t="shared" si="29"/>
        <v/>
      </c>
      <c r="V178" s="33"/>
    </row>
    <row r="179" spans="1:22" x14ac:dyDescent="0.25">
      <c r="A179" s="30"/>
      <c r="B179" s="34" t="str">
        <f t="shared" si="20"/>
        <v/>
      </c>
      <c r="C179" s="34" t="str">
        <f t="shared" si="21"/>
        <v/>
      </c>
      <c r="D179" s="36" t="str">
        <f t="shared" si="22"/>
        <v/>
      </c>
      <c r="E179" s="36" t="str">
        <f t="shared" si="23"/>
        <v/>
      </c>
      <c r="F179" s="36" t="str">
        <f t="shared" si="24"/>
        <v/>
      </c>
      <c r="G179" s="30"/>
      <c r="H179" s="33"/>
      <c r="I179" s="31"/>
      <c r="J179" s="31"/>
      <c r="K179" s="13" t="str">
        <f t="shared" si="25"/>
        <v/>
      </c>
      <c r="L179" s="49"/>
      <c r="M179" s="49"/>
      <c r="N179" s="30"/>
      <c r="O179" s="30"/>
      <c r="P179" s="30"/>
      <c r="Q179" s="30"/>
      <c r="R179" s="11" t="str">
        <f t="shared" si="26"/>
        <v/>
      </c>
      <c r="S179" s="55" t="str">
        <f t="shared" si="27"/>
        <v/>
      </c>
      <c r="T179" s="37" t="str">
        <f t="shared" si="28"/>
        <v/>
      </c>
      <c r="U179" s="29" t="str">
        <f t="shared" si="29"/>
        <v/>
      </c>
      <c r="V179" s="33"/>
    </row>
    <row r="180" spans="1:22" x14ac:dyDescent="0.25">
      <c r="A180" s="30"/>
      <c r="B180" s="34" t="str">
        <f t="shared" si="20"/>
        <v/>
      </c>
      <c r="C180" s="34" t="str">
        <f t="shared" si="21"/>
        <v/>
      </c>
      <c r="D180" s="36" t="str">
        <f t="shared" si="22"/>
        <v/>
      </c>
      <c r="E180" s="36" t="str">
        <f t="shared" si="23"/>
        <v/>
      </c>
      <c r="F180" s="36" t="str">
        <f t="shared" si="24"/>
        <v/>
      </c>
      <c r="G180" s="30"/>
      <c r="H180" s="33"/>
      <c r="I180" s="31"/>
      <c r="J180" s="31"/>
      <c r="K180" s="13" t="str">
        <f t="shared" si="25"/>
        <v/>
      </c>
      <c r="L180" s="49"/>
      <c r="M180" s="49"/>
      <c r="N180" s="30"/>
      <c r="O180" s="30"/>
      <c r="P180" s="30"/>
      <c r="Q180" s="30"/>
      <c r="R180" s="11" t="str">
        <f t="shared" si="26"/>
        <v/>
      </c>
      <c r="S180" s="55" t="str">
        <f t="shared" si="27"/>
        <v/>
      </c>
      <c r="T180" s="37" t="str">
        <f t="shared" si="28"/>
        <v/>
      </c>
      <c r="U180" s="29" t="str">
        <f t="shared" si="29"/>
        <v/>
      </c>
      <c r="V180" s="33"/>
    </row>
    <row r="181" spans="1:22" x14ac:dyDescent="0.25">
      <c r="A181" s="30"/>
      <c r="B181" s="34" t="str">
        <f t="shared" si="20"/>
        <v/>
      </c>
      <c r="C181" s="34" t="str">
        <f t="shared" si="21"/>
        <v/>
      </c>
      <c r="D181" s="36" t="str">
        <f t="shared" si="22"/>
        <v/>
      </c>
      <c r="E181" s="36" t="str">
        <f t="shared" si="23"/>
        <v/>
      </c>
      <c r="F181" s="36" t="str">
        <f t="shared" si="24"/>
        <v/>
      </c>
      <c r="G181" s="30"/>
      <c r="H181" s="33"/>
      <c r="I181" s="31"/>
      <c r="J181" s="31"/>
      <c r="K181" s="13" t="str">
        <f t="shared" si="25"/>
        <v/>
      </c>
      <c r="L181" s="49"/>
      <c r="M181" s="49"/>
      <c r="N181" s="30"/>
      <c r="O181" s="30"/>
      <c r="P181" s="30"/>
      <c r="Q181" s="30"/>
      <c r="R181" s="11" t="str">
        <f t="shared" si="26"/>
        <v/>
      </c>
      <c r="S181" s="55" t="str">
        <f t="shared" si="27"/>
        <v/>
      </c>
      <c r="T181" s="37" t="str">
        <f t="shared" si="28"/>
        <v/>
      </c>
      <c r="U181" s="29" t="str">
        <f t="shared" si="29"/>
        <v/>
      </c>
      <c r="V181" s="33"/>
    </row>
    <row r="182" spans="1:22" x14ac:dyDescent="0.25">
      <c r="A182" s="30"/>
      <c r="B182" s="34" t="str">
        <f t="shared" si="20"/>
        <v/>
      </c>
      <c r="C182" s="34" t="str">
        <f t="shared" si="21"/>
        <v/>
      </c>
      <c r="D182" s="36" t="str">
        <f t="shared" si="22"/>
        <v/>
      </c>
      <c r="E182" s="36" t="str">
        <f t="shared" si="23"/>
        <v/>
      </c>
      <c r="F182" s="36" t="str">
        <f t="shared" si="24"/>
        <v/>
      </c>
      <c r="G182" s="30"/>
      <c r="H182" s="33"/>
      <c r="I182" s="31"/>
      <c r="J182" s="31"/>
      <c r="K182" s="13" t="str">
        <f t="shared" si="25"/>
        <v/>
      </c>
      <c r="L182" s="49"/>
      <c r="M182" s="49"/>
      <c r="N182" s="30"/>
      <c r="O182" s="30"/>
      <c r="P182" s="30"/>
      <c r="Q182" s="30"/>
      <c r="R182" s="11" t="str">
        <f t="shared" si="26"/>
        <v/>
      </c>
      <c r="S182" s="55" t="str">
        <f t="shared" si="27"/>
        <v/>
      </c>
      <c r="T182" s="37" t="str">
        <f t="shared" si="28"/>
        <v/>
      </c>
      <c r="U182" s="29" t="str">
        <f t="shared" si="29"/>
        <v/>
      </c>
      <c r="V182" s="33"/>
    </row>
    <row r="183" spans="1:22" x14ac:dyDescent="0.25">
      <c r="A183" s="30"/>
      <c r="B183" s="34" t="str">
        <f t="shared" si="20"/>
        <v/>
      </c>
      <c r="C183" s="34" t="str">
        <f t="shared" si="21"/>
        <v/>
      </c>
      <c r="D183" s="36" t="str">
        <f t="shared" si="22"/>
        <v/>
      </c>
      <c r="E183" s="36" t="str">
        <f t="shared" si="23"/>
        <v/>
      </c>
      <c r="F183" s="36" t="str">
        <f t="shared" si="24"/>
        <v/>
      </c>
      <c r="G183" s="30"/>
      <c r="H183" s="33"/>
      <c r="I183" s="31"/>
      <c r="J183" s="31"/>
      <c r="K183" s="13" t="str">
        <f t="shared" si="25"/>
        <v/>
      </c>
      <c r="L183" s="49"/>
      <c r="M183" s="49"/>
      <c r="N183" s="30"/>
      <c r="O183" s="30"/>
      <c r="P183" s="30"/>
      <c r="Q183" s="30"/>
      <c r="R183" s="11" t="str">
        <f t="shared" si="26"/>
        <v/>
      </c>
      <c r="S183" s="55" t="str">
        <f t="shared" si="27"/>
        <v/>
      </c>
      <c r="T183" s="37" t="str">
        <f t="shared" si="28"/>
        <v/>
      </c>
      <c r="U183" s="29" t="str">
        <f t="shared" si="29"/>
        <v/>
      </c>
      <c r="V183" s="33"/>
    </row>
    <row r="184" spans="1:22" x14ac:dyDescent="0.25">
      <c r="A184" s="30"/>
      <c r="B184" s="34" t="str">
        <f t="shared" si="20"/>
        <v/>
      </c>
      <c r="C184" s="34" t="str">
        <f t="shared" si="21"/>
        <v/>
      </c>
      <c r="D184" s="36" t="str">
        <f t="shared" si="22"/>
        <v/>
      </c>
      <c r="E184" s="36" t="str">
        <f t="shared" si="23"/>
        <v/>
      </c>
      <c r="F184" s="36" t="str">
        <f t="shared" si="24"/>
        <v/>
      </c>
      <c r="G184" s="30"/>
      <c r="H184" s="33"/>
      <c r="I184" s="31"/>
      <c r="J184" s="31"/>
      <c r="K184" s="13" t="str">
        <f t="shared" si="25"/>
        <v/>
      </c>
      <c r="L184" s="49"/>
      <c r="M184" s="49"/>
      <c r="N184" s="30"/>
      <c r="O184" s="30"/>
      <c r="P184" s="30"/>
      <c r="Q184" s="30"/>
      <c r="R184" s="11" t="str">
        <f t="shared" si="26"/>
        <v/>
      </c>
      <c r="S184" s="55" t="str">
        <f t="shared" si="27"/>
        <v/>
      </c>
      <c r="T184" s="37" t="str">
        <f t="shared" si="28"/>
        <v/>
      </c>
      <c r="U184" s="29" t="str">
        <f t="shared" si="29"/>
        <v/>
      </c>
      <c r="V184" s="33"/>
    </row>
    <row r="185" spans="1:22" x14ac:dyDescent="0.25">
      <c r="A185" s="30"/>
      <c r="B185" s="34" t="str">
        <f t="shared" si="20"/>
        <v/>
      </c>
      <c r="C185" s="34" t="str">
        <f t="shared" si="21"/>
        <v/>
      </c>
      <c r="D185" s="36" t="str">
        <f t="shared" si="22"/>
        <v/>
      </c>
      <c r="E185" s="36" t="str">
        <f t="shared" si="23"/>
        <v/>
      </c>
      <c r="F185" s="36" t="str">
        <f t="shared" si="24"/>
        <v/>
      </c>
      <c r="G185" s="30"/>
      <c r="H185" s="33"/>
      <c r="I185" s="31"/>
      <c r="J185" s="31"/>
      <c r="K185" s="13" t="str">
        <f t="shared" si="25"/>
        <v/>
      </c>
      <c r="L185" s="49"/>
      <c r="M185" s="49"/>
      <c r="N185" s="30"/>
      <c r="O185" s="30"/>
      <c r="P185" s="30"/>
      <c r="Q185" s="30"/>
      <c r="R185" s="11" t="str">
        <f t="shared" si="26"/>
        <v/>
      </c>
      <c r="S185" s="55" t="str">
        <f t="shared" si="27"/>
        <v/>
      </c>
      <c r="T185" s="37" t="str">
        <f t="shared" si="28"/>
        <v/>
      </c>
      <c r="U185" s="29" t="str">
        <f t="shared" si="29"/>
        <v/>
      </c>
      <c r="V185" s="33"/>
    </row>
    <row r="186" spans="1:22" x14ac:dyDescent="0.25">
      <c r="A186" s="30"/>
      <c r="B186" s="34" t="str">
        <f t="shared" si="20"/>
        <v/>
      </c>
      <c r="C186" s="34" t="str">
        <f t="shared" si="21"/>
        <v/>
      </c>
      <c r="D186" s="36" t="str">
        <f t="shared" si="22"/>
        <v/>
      </c>
      <c r="E186" s="36" t="str">
        <f t="shared" si="23"/>
        <v/>
      </c>
      <c r="F186" s="36" t="str">
        <f t="shared" si="24"/>
        <v/>
      </c>
      <c r="G186" s="30"/>
      <c r="H186" s="33"/>
      <c r="I186" s="31"/>
      <c r="J186" s="31"/>
      <c r="K186" s="13" t="str">
        <f t="shared" si="25"/>
        <v/>
      </c>
      <c r="L186" s="49"/>
      <c r="M186" s="49"/>
      <c r="N186" s="30"/>
      <c r="O186" s="30"/>
      <c r="P186" s="30"/>
      <c r="Q186" s="30"/>
      <c r="R186" s="11" t="str">
        <f t="shared" si="26"/>
        <v/>
      </c>
      <c r="S186" s="55" t="str">
        <f t="shared" si="27"/>
        <v/>
      </c>
      <c r="T186" s="37" t="str">
        <f t="shared" si="28"/>
        <v/>
      </c>
      <c r="U186" s="29" t="str">
        <f t="shared" si="29"/>
        <v/>
      </c>
      <c r="V186" s="33"/>
    </row>
    <row r="187" spans="1:22" x14ac:dyDescent="0.25">
      <c r="A187" s="30"/>
      <c r="B187" s="34" t="str">
        <f t="shared" si="20"/>
        <v/>
      </c>
      <c r="C187" s="34" t="str">
        <f t="shared" si="21"/>
        <v/>
      </c>
      <c r="D187" s="36" t="str">
        <f t="shared" si="22"/>
        <v/>
      </c>
      <c r="E187" s="36" t="str">
        <f t="shared" si="23"/>
        <v/>
      </c>
      <c r="F187" s="36" t="str">
        <f t="shared" si="24"/>
        <v/>
      </c>
      <c r="G187" s="30"/>
      <c r="H187" s="33"/>
      <c r="I187" s="31"/>
      <c r="J187" s="31"/>
      <c r="K187" s="13" t="str">
        <f t="shared" si="25"/>
        <v/>
      </c>
      <c r="L187" s="49"/>
      <c r="M187" s="49"/>
      <c r="N187" s="30"/>
      <c r="O187" s="30"/>
      <c r="P187" s="30"/>
      <c r="Q187" s="30"/>
      <c r="R187" s="11" t="str">
        <f t="shared" si="26"/>
        <v/>
      </c>
      <c r="S187" s="55" t="str">
        <f t="shared" si="27"/>
        <v/>
      </c>
      <c r="T187" s="37" t="str">
        <f t="shared" si="28"/>
        <v/>
      </c>
      <c r="U187" s="29" t="str">
        <f t="shared" si="29"/>
        <v/>
      </c>
      <c r="V187" s="33"/>
    </row>
    <row r="188" spans="1:22" x14ac:dyDescent="0.25">
      <c r="A188" s="30"/>
      <c r="B188" s="34" t="str">
        <f t="shared" si="20"/>
        <v/>
      </c>
      <c r="C188" s="34" t="str">
        <f t="shared" si="21"/>
        <v/>
      </c>
      <c r="D188" s="36" t="str">
        <f t="shared" si="22"/>
        <v/>
      </c>
      <c r="E188" s="36" t="str">
        <f t="shared" si="23"/>
        <v/>
      </c>
      <c r="F188" s="36" t="str">
        <f t="shared" si="24"/>
        <v/>
      </c>
      <c r="G188" s="30"/>
      <c r="H188" s="33"/>
      <c r="I188" s="31"/>
      <c r="J188" s="31"/>
      <c r="K188" s="13" t="str">
        <f t="shared" si="25"/>
        <v/>
      </c>
      <c r="L188" s="49"/>
      <c r="M188" s="49"/>
      <c r="N188" s="30"/>
      <c r="O188" s="30"/>
      <c r="P188" s="30"/>
      <c r="Q188" s="30"/>
      <c r="R188" s="11" t="str">
        <f t="shared" si="26"/>
        <v/>
      </c>
      <c r="S188" s="55" t="str">
        <f t="shared" si="27"/>
        <v/>
      </c>
      <c r="T188" s="37" t="str">
        <f t="shared" si="28"/>
        <v/>
      </c>
      <c r="U188" s="29" t="str">
        <f t="shared" si="29"/>
        <v/>
      </c>
      <c r="V188" s="33"/>
    </row>
    <row r="189" spans="1:22" x14ac:dyDescent="0.25">
      <c r="A189" s="30"/>
      <c r="B189" s="34" t="str">
        <f t="shared" si="20"/>
        <v/>
      </c>
      <c r="C189" s="34" t="str">
        <f t="shared" si="21"/>
        <v/>
      </c>
      <c r="D189" s="36" t="str">
        <f t="shared" si="22"/>
        <v/>
      </c>
      <c r="E189" s="36" t="str">
        <f t="shared" si="23"/>
        <v/>
      </c>
      <c r="F189" s="36" t="str">
        <f t="shared" si="24"/>
        <v/>
      </c>
      <c r="G189" s="30"/>
      <c r="H189" s="33"/>
      <c r="I189" s="31"/>
      <c r="J189" s="31"/>
      <c r="K189" s="13" t="str">
        <f t="shared" si="25"/>
        <v/>
      </c>
      <c r="L189" s="49"/>
      <c r="M189" s="49"/>
      <c r="N189" s="30"/>
      <c r="O189" s="30"/>
      <c r="P189" s="30"/>
      <c r="Q189" s="30"/>
      <c r="R189" s="11" t="str">
        <f t="shared" si="26"/>
        <v/>
      </c>
      <c r="S189" s="55" t="str">
        <f t="shared" si="27"/>
        <v/>
      </c>
      <c r="T189" s="37" t="str">
        <f t="shared" si="28"/>
        <v/>
      </c>
      <c r="U189" s="29" t="str">
        <f t="shared" si="29"/>
        <v/>
      </c>
      <c r="V189" s="33"/>
    </row>
    <row r="190" spans="1:22" x14ac:dyDescent="0.25">
      <c r="A190" s="30"/>
      <c r="B190" s="34" t="str">
        <f t="shared" si="20"/>
        <v/>
      </c>
      <c r="C190" s="34" t="str">
        <f t="shared" si="21"/>
        <v/>
      </c>
      <c r="D190" s="36" t="str">
        <f t="shared" si="22"/>
        <v/>
      </c>
      <c r="E190" s="36" t="str">
        <f t="shared" si="23"/>
        <v/>
      </c>
      <c r="F190" s="36" t="str">
        <f t="shared" si="24"/>
        <v/>
      </c>
      <c r="G190" s="30"/>
      <c r="H190" s="33"/>
      <c r="I190" s="31"/>
      <c r="J190" s="31"/>
      <c r="K190" s="13" t="str">
        <f t="shared" si="25"/>
        <v/>
      </c>
      <c r="L190" s="49"/>
      <c r="M190" s="49"/>
      <c r="N190" s="30"/>
      <c r="O190" s="30"/>
      <c r="P190" s="30"/>
      <c r="Q190" s="30"/>
      <c r="R190" s="11" t="str">
        <f t="shared" si="26"/>
        <v/>
      </c>
      <c r="S190" s="55" t="str">
        <f t="shared" si="27"/>
        <v/>
      </c>
      <c r="T190" s="37" t="str">
        <f t="shared" si="28"/>
        <v/>
      </c>
      <c r="U190" s="29" t="str">
        <f t="shared" si="29"/>
        <v/>
      </c>
      <c r="V190" s="33"/>
    </row>
    <row r="191" spans="1:22" x14ac:dyDescent="0.25">
      <c r="A191" s="30"/>
      <c r="B191" s="34" t="str">
        <f t="shared" si="20"/>
        <v/>
      </c>
      <c r="C191" s="34" t="str">
        <f t="shared" si="21"/>
        <v/>
      </c>
      <c r="D191" s="36" t="str">
        <f t="shared" si="22"/>
        <v/>
      </c>
      <c r="E191" s="36" t="str">
        <f t="shared" si="23"/>
        <v/>
      </c>
      <c r="F191" s="36" t="str">
        <f t="shared" si="24"/>
        <v/>
      </c>
      <c r="G191" s="30"/>
      <c r="H191" s="33"/>
      <c r="I191" s="31"/>
      <c r="J191" s="31"/>
      <c r="K191" s="13" t="str">
        <f t="shared" si="25"/>
        <v/>
      </c>
      <c r="L191" s="49"/>
      <c r="M191" s="49"/>
      <c r="N191" s="30"/>
      <c r="O191" s="30"/>
      <c r="P191" s="30"/>
      <c r="Q191" s="30"/>
      <c r="R191" s="11" t="str">
        <f t="shared" si="26"/>
        <v/>
      </c>
      <c r="S191" s="55" t="str">
        <f t="shared" si="27"/>
        <v/>
      </c>
      <c r="T191" s="37" t="str">
        <f t="shared" si="28"/>
        <v/>
      </c>
      <c r="U191" s="29" t="str">
        <f t="shared" si="29"/>
        <v/>
      </c>
      <c r="V191" s="33"/>
    </row>
    <row r="192" spans="1:22" x14ac:dyDescent="0.25">
      <c r="A192" s="30"/>
      <c r="B192" s="34" t="str">
        <f t="shared" si="20"/>
        <v/>
      </c>
      <c r="C192" s="34" t="str">
        <f t="shared" si="21"/>
        <v/>
      </c>
      <c r="D192" s="36" t="str">
        <f t="shared" si="22"/>
        <v/>
      </c>
      <c r="E192" s="36" t="str">
        <f t="shared" si="23"/>
        <v/>
      </c>
      <c r="F192" s="36" t="str">
        <f t="shared" si="24"/>
        <v/>
      </c>
      <c r="G192" s="30"/>
      <c r="H192" s="33"/>
      <c r="I192" s="31"/>
      <c r="J192" s="31"/>
      <c r="K192" s="13" t="str">
        <f t="shared" si="25"/>
        <v/>
      </c>
      <c r="L192" s="49"/>
      <c r="M192" s="49"/>
      <c r="N192" s="30"/>
      <c r="O192" s="30"/>
      <c r="P192" s="30"/>
      <c r="Q192" s="30"/>
      <c r="R192" s="11" t="str">
        <f t="shared" si="26"/>
        <v/>
      </c>
      <c r="S192" s="55" t="str">
        <f t="shared" si="27"/>
        <v/>
      </c>
      <c r="T192" s="37" t="str">
        <f t="shared" si="28"/>
        <v/>
      </c>
      <c r="U192" s="29" t="str">
        <f t="shared" si="29"/>
        <v/>
      </c>
      <c r="V192" s="33"/>
    </row>
    <row r="193" spans="1:22" x14ac:dyDescent="0.25">
      <c r="A193" s="30"/>
      <c r="B193" s="34" t="str">
        <f t="shared" si="20"/>
        <v/>
      </c>
      <c r="C193" s="34" t="str">
        <f t="shared" si="21"/>
        <v/>
      </c>
      <c r="D193" s="36" t="str">
        <f t="shared" si="22"/>
        <v/>
      </c>
      <c r="E193" s="36" t="str">
        <f t="shared" si="23"/>
        <v/>
      </c>
      <c r="F193" s="36" t="str">
        <f t="shared" si="24"/>
        <v/>
      </c>
      <c r="G193" s="30"/>
      <c r="H193" s="33"/>
      <c r="I193" s="31"/>
      <c r="J193" s="31"/>
      <c r="K193" s="13" t="str">
        <f t="shared" si="25"/>
        <v/>
      </c>
      <c r="L193" s="49"/>
      <c r="M193" s="49"/>
      <c r="N193" s="30"/>
      <c r="O193" s="30"/>
      <c r="P193" s="30"/>
      <c r="Q193" s="30"/>
      <c r="R193" s="11" t="str">
        <f t="shared" si="26"/>
        <v/>
      </c>
      <c r="S193" s="55" t="str">
        <f t="shared" si="27"/>
        <v/>
      </c>
      <c r="T193" s="37" t="str">
        <f t="shared" si="28"/>
        <v/>
      </c>
      <c r="U193" s="29" t="str">
        <f t="shared" si="29"/>
        <v/>
      </c>
      <c r="V193" s="33"/>
    </row>
    <row r="194" spans="1:22" x14ac:dyDescent="0.25">
      <c r="A194" s="30"/>
      <c r="B194" s="34" t="str">
        <f t="shared" si="20"/>
        <v/>
      </c>
      <c r="C194" s="34" t="str">
        <f t="shared" si="21"/>
        <v/>
      </c>
      <c r="D194" s="36" t="str">
        <f t="shared" si="22"/>
        <v/>
      </c>
      <c r="E194" s="36" t="str">
        <f t="shared" si="23"/>
        <v/>
      </c>
      <c r="F194" s="36" t="str">
        <f t="shared" si="24"/>
        <v/>
      </c>
      <c r="G194" s="30"/>
      <c r="H194" s="33"/>
      <c r="I194" s="31"/>
      <c r="J194" s="31"/>
      <c r="K194" s="13" t="str">
        <f t="shared" si="25"/>
        <v/>
      </c>
      <c r="L194" s="49"/>
      <c r="M194" s="49"/>
      <c r="N194" s="30"/>
      <c r="O194" s="30"/>
      <c r="P194" s="30"/>
      <c r="Q194" s="30"/>
      <c r="R194" s="11" t="str">
        <f t="shared" si="26"/>
        <v/>
      </c>
      <c r="S194" s="55" t="str">
        <f t="shared" si="27"/>
        <v/>
      </c>
      <c r="T194" s="37" t="str">
        <f t="shared" si="28"/>
        <v/>
      </c>
      <c r="U194" s="29" t="str">
        <f t="shared" si="29"/>
        <v/>
      </c>
      <c r="V194" s="33"/>
    </row>
    <row r="195" spans="1:22" x14ac:dyDescent="0.25">
      <c r="A195" s="30"/>
      <c r="B195" s="34" t="str">
        <f t="shared" si="20"/>
        <v/>
      </c>
      <c r="C195" s="34" t="str">
        <f t="shared" si="21"/>
        <v/>
      </c>
      <c r="D195" s="36" t="str">
        <f t="shared" si="22"/>
        <v/>
      </c>
      <c r="E195" s="36" t="str">
        <f t="shared" si="23"/>
        <v/>
      </c>
      <c r="F195" s="36" t="str">
        <f t="shared" si="24"/>
        <v/>
      </c>
      <c r="G195" s="30"/>
      <c r="H195" s="33"/>
      <c r="I195" s="31"/>
      <c r="J195" s="31"/>
      <c r="K195" s="13" t="str">
        <f t="shared" si="25"/>
        <v/>
      </c>
      <c r="L195" s="49"/>
      <c r="M195" s="49"/>
      <c r="N195" s="30"/>
      <c r="O195" s="30"/>
      <c r="P195" s="30"/>
      <c r="Q195" s="30"/>
      <c r="R195" s="11" t="str">
        <f t="shared" si="26"/>
        <v/>
      </c>
      <c r="S195" s="55" t="str">
        <f t="shared" si="27"/>
        <v/>
      </c>
      <c r="T195" s="37" t="str">
        <f t="shared" si="28"/>
        <v/>
      </c>
      <c r="U195" s="29" t="str">
        <f t="shared" si="29"/>
        <v/>
      </c>
      <c r="V195" s="33"/>
    </row>
    <row r="196" spans="1:22" x14ac:dyDescent="0.25">
      <c r="A196" s="30"/>
      <c r="B196" s="34" t="str">
        <f t="shared" si="20"/>
        <v/>
      </c>
      <c r="C196" s="34" t="str">
        <f t="shared" si="21"/>
        <v/>
      </c>
      <c r="D196" s="36" t="str">
        <f t="shared" si="22"/>
        <v/>
      </c>
      <c r="E196" s="36" t="str">
        <f t="shared" si="23"/>
        <v/>
      </c>
      <c r="F196" s="36" t="str">
        <f t="shared" si="24"/>
        <v/>
      </c>
      <c r="G196" s="30"/>
      <c r="H196" s="33"/>
      <c r="I196" s="31"/>
      <c r="J196" s="31"/>
      <c r="K196" s="13" t="str">
        <f t="shared" si="25"/>
        <v/>
      </c>
      <c r="L196" s="49"/>
      <c r="M196" s="49"/>
      <c r="N196" s="30"/>
      <c r="O196" s="30"/>
      <c r="P196" s="30"/>
      <c r="Q196" s="30"/>
      <c r="R196" s="11" t="str">
        <f t="shared" si="26"/>
        <v/>
      </c>
      <c r="S196" s="55" t="str">
        <f t="shared" si="27"/>
        <v/>
      </c>
      <c r="T196" s="37" t="str">
        <f t="shared" si="28"/>
        <v/>
      </c>
      <c r="U196" s="29" t="str">
        <f t="shared" si="29"/>
        <v/>
      </c>
      <c r="V196" s="33"/>
    </row>
    <row r="197" spans="1:22" x14ac:dyDescent="0.25">
      <c r="A197" s="30"/>
      <c r="B197" s="34" t="str">
        <f t="shared" ref="B197:B260" si="30">IFERROR(IF($A197="","",VLOOKUP($A197,CAD_TAB,2,FALSE)),"")</f>
        <v/>
      </c>
      <c r="C197" s="34" t="str">
        <f t="shared" ref="C197:C260" si="31">IFERROR(IF($A197="","",VLOOKUP($A197,CAD_TAB,3,FALSE)),"")</f>
        <v/>
      </c>
      <c r="D197" s="36" t="str">
        <f t="shared" ref="D197:D260" si="32">IFERROR(IF($A197="","",VLOOKUP($A197,CAD_TAB,9,FALSE)),"")</f>
        <v/>
      </c>
      <c r="E197" s="36" t="str">
        <f t="shared" ref="E197:E260" si="33">IFERROR(IF($A197="","",VLOOKUP($A197,CAD_TAB,11,FALSE)),"")</f>
        <v/>
      </c>
      <c r="F197" s="36" t="str">
        <f t="shared" ref="F197:F260" si="34">IFERROR(IF($A197="","",VLOOKUP($A197,CAD_TAB,8,FALSE)),"")</f>
        <v/>
      </c>
      <c r="G197" s="30"/>
      <c r="H197" s="33"/>
      <c r="I197" s="31"/>
      <c r="J197" s="31"/>
      <c r="K197" s="13" t="str">
        <f t="shared" ref="K197:K260" si="35">IF(OR($I197="",$J197=""),"",$J197-$I197+1)</f>
        <v/>
      </c>
      <c r="L197" s="49"/>
      <c r="M197" s="49"/>
      <c r="N197" s="30"/>
      <c r="O197" s="30"/>
      <c r="P197" s="30"/>
      <c r="Q197" s="30"/>
      <c r="R197" s="11" t="str">
        <f t="shared" ref="R197:R260" si="36">IF($A197="","",COUNTIFS(MED_ID,$A197))</f>
        <v/>
      </c>
      <c r="S197" s="55" t="str">
        <f t="shared" ref="S197:S260" si="37">IF($A197="","",SUMIFS(MED_VLR,MED_ID,$A197))</f>
        <v/>
      </c>
      <c r="T197" s="37" t="str">
        <f t="shared" ref="T197:T260" si="38">IF($J197="","",EOMONTH($J197,0))</f>
        <v/>
      </c>
      <c r="U197" s="29" t="str">
        <f t="shared" ref="U197:U260" si="39">IF($A197="","",IF($V197="CANCELADA","CANCELADA",IF($S197&gt;0,"MEDIDA",IF($J197="","EM EXECUÇÃO",IF(OR($N197="NÃO",$O197="NÃO",$P197="NÃO"),"AGUARDANDO PAVIMENTO","CONCLUÍDA")))))</f>
        <v/>
      </c>
      <c r="V197" s="33"/>
    </row>
    <row r="198" spans="1:22" x14ac:dyDescent="0.25">
      <c r="A198" s="30"/>
      <c r="B198" s="34" t="str">
        <f t="shared" si="30"/>
        <v/>
      </c>
      <c r="C198" s="34" t="str">
        <f t="shared" si="31"/>
        <v/>
      </c>
      <c r="D198" s="36" t="str">
        <f t="shared" si="32"/>
        <v/>
      </c>
      <c r="E198" s="36" t="str">
        <f t="shared" si="33"/>
        <v/>
      </c>
      <c r="F198" s="36" t="str">
        <f t="shared" si="34"/>
        <v/>
      </c>
      <c r="G198" s="30"/>
      <c r="H198" s="33"/>
      <c r="I198" s="31"/>
      <c r="J198" s="31"/>
      <c r="K198" s="13" t="str">
        <f t="shared" si="35"/>
        <v/>
      </c>
      <c r="L198" s="49"/>
      <c r="M198" s="49"/>
      <c r="N198" s="30"/>
      <c r="O198" s="30"/>
      <c r="P198" s="30"/>
      <c r="Q198" s="30"/>
      <c r="R198" s="11" t="str">
        <f t="shared" si="36"/>
        <v/>
      </c>
      <c r="S198" s="55" t="str">
        <f t="shared" si="37"/>
        <v/>
      </c>
      <c r="T198" s="37" t="str">
        <f t="shared" si="38"/>
        <v/>
      </c>
      <c r="U198" s="29" t="str">
        <f t="shared" si="39"/>
        <v/>
      </c>
      <c r="V198" s="33"/>
    </row>
    <row r="199" spans="1:22" x14ac:dyDescent="0.25">
      <c r="A199" s="30"/>
      <c r="B199" s="34" t="str">
        <f t="shared" si="30"/>
        <v/>
      </c>
      <c r="C199" s="34" t="str">
        <f t="shared" si="31"/>
        <v/>
      </c>
      <c r="D199" s="36" t="str">
        <f t="shared" si="32"/>
        <v/>
      </c>
      <c r="E199" s="36" t="str">
        <f t="shared" si="33"/>
        <v/>
      </c>
      <c r="F199" s="36" t="str">
        <f t="shared" si="34"/>
        <v/>
      </c>
      <c r="G199" s="30"/>
      <c r="H199" s="33"/>
      <c r="I199" s="31"/>
      <c r="J199" s="31"/>
      <c r="K199" s="13" t="str">
        <f t="shared" si="35"/>
        <v/>
      </c>
      <c r="L199" s="49"/>
      <c r="M199" s="49"/>
      <c r="N199" s="30"/>
      <c r="O199" s="30"/>
      <c r="P199" s="30"/>
      <c r="Q199" s="30"/>
      <c r="R199" s="11" t="str">
        <f t="shared" si="36"/>
        <v/>
      </c>
      <c r="S199" s="55" t="str">
        <f t="shared" si="37"/>
        <v/>
      </c>
      <c r="T199" s="37" t="str">
        <f t="shared" si="38"/>
        <v/>
      </c>
      <c r="U199" s="29" t="str">
        <f t="shared" si="39"/>
        <v/>
      </c>
      <c r="V199" s="33"/>
    </row>
    <row r="200" spans="1:22" x14ac:dyDescent="0.25">
      <c r="A200" s="30"/>
      <c r="B200" s="34" t="str">
        <f t="shared" si="30"/>
        <v/>
      </c>
      <c r="C200" s="34" t="str">
        <f t="shared" si="31"/>
        <v/>
      </c>
      <c r="D200" s="36" t="str">
        <f t="shared" si="32"/>
        <v/>
      </c>
      <c r="E200" s="36" t="str">
        <f t="shared" si="33"/>
        <v/>
      </c>
      <c r="F200" s="36" t="str">
        <f t="shared" si="34"/>
        <v/>
      </c>
      <c r="G200" s="30"/>
      <c r="H200" s="33"/>
      <c r="I200" s="31"/>
      <c r="J200" s="31"/>
      <c r="K200" s="13" t="str">
        <f t="shared" si="35"/>
        <v/>
      </c>
      <c r="L200" s="49"/>
      <c r="M200" s="49"/>
      <c r="N200" s="30"/>
      <c r="O200" s="30"/>
      <c r="P200" s="30"/>
      <c r="Q200" s="30"/>
      <c r="R200" s="11" t="str">
        <f t="shared" si="36"/>
        <v/>
      </c>
      <c r="S200" s="55" t="str">
        <f t="shared" si="37"/>
        <v/>
      </c>
      <c r="T200" s="37" t="str">
        <f t="shared" si="38"/>
        <v/>
      </c>
      <c r="U200" s="29" t="str">
        <f t="shared" si="39"/>
        <v/>
      </c>
      <c r="V200" s="33"/>
    </row>
    <row r="201" spans="1:22" x14ac:dyDescent="0.25">
      <c r="A201" s="30"/>
      <c r="B201" s="34" t="str">
        <f t="shared" si="30"/>
        <v/>
      </c>
      <c r="C201" s="34" t="str">
        <f t="shared" si="31"/>
        <v/>
      </c>
      <c r="D201" s="36" t="str">
        <f t="shared" si="32"/>
        <v/>
      </c>
      <c r="E201" s="36" t="str">
        <f t="shared" si="33"/>
        <v/>
      </c>
      <c r="F201" s="36" t="str">
        <f t="shared" si="34"/>
        <v/>
      </c>
      <c r="G201" s="30"/>
      <c r="H201" s="33"/>
      <c r="I201" s="31"/>
      <c r="J201" s="31"/>
      <c r="K201" s="13" t="str">
        <f t="shared" si="35"/>
        <v/>
      </c>
      <c r="L201" s="49"/>
      <c r="M201" s="49"/>
      <c r="N201" s="30"/>
      <c r="O201" s="30"/>
      <c r="P201" s="30"/>
      <c r="Q201" s="30"/>
      <c r="R201" s="11" t="str">
        <f t="shared" si="36"/>
        <v/>
      </c>
      <c r="S201" s="55" t="str">
        <f t="shared" si="37"/>
        <v/>
      </c>
      <c r="T201" s="37" t="str">
        <f t="shared" si="38"/>
        <v/>
      </c>
      <c r="U201" s="29" t="str">
        <f t="shared" si="39"/>
        <v/>
      </c>
      <c r="V201" s="33"/>
    </row>
    <row r="202" spans="1:22" x14ac:dyDescent="0.25">
      <c r="A202" s="30"/>
      <c r="B202" s="34" t="str">
        <f t="shared" si="30"/>
        <v/>
      </c>
      <c r="C202" s="34" t="str">
        <f t="shared" si="31"/>
        <v/>
      </c>
      <c r="D202" s="36" t="str">
        <f t="shared" si="32"/>
        <v/>
      </c>
      <c r="E202" s="36" t="str">
        <f t="shared" si="33"/>
        <v/>
      </c>
      <c r="F202" s="36" t="str">
        <f t="shared" si="34"/>
        <v/>
      </c>
      <c r="G202" s="30"/>
      <c r="H202" s="33"/>
      <c r="I202" s="31"/>
      <c r="J202" s="31"/>
      <c r="K202" s="13" t="str">
        <f t="shared" si="35"/>
        <v/>
      </c>
      <c r="L202" s="49"/>
      <c r="M202" s="49"/>
      <c r="N202" s="30"/>
      <c r="O202" s="30"/>
      <c r="P202" s="30"/>
      <c r="Q202" s="30"/>
      <c r="R202" s="11" t="str">
        <f t="shared" si="36"/>
        <v/>
      </c>
      <c r="S202" s="55" t="str">
        <f t="shared" si="37"/>
        <v/>
      </c>
      <c r="T202" s="37" t="str">
        <f t="shared" si="38"/>
        <v/>
      </c>
      <c r="U202" s="29" t="str">
        <f t="shared" si="39"/>
        <v/>
      </c>
      <c r="V202" s="33"/>
    </row>
    <row r="203" spans="1:22" x14ac:dyDescent="0.25">
      <c r="A203" s="30"/>
      <c r="B203" s="34" t="str">
        <f t="shared" si="30"/>
        <v/>
      </c>
      <c r="C203" s="34" t="str">
        <f t="shared" si="31"/>
        <v/>
      </c>
      <c r="D203" s="36" t="str">
        <f t="shared" si="32"/>
        <v/>
      </c>
      <c r="E203" s="36" t="str">
        <f t="shared" si="33"/>
        <v/>
      </c>
      <c r="F203" s="36" t="str">
        <f t="shared" si="34"/>
        <v/>
      </c>
      <c r="G203" s="30"/>
      <c r="H203" s="33"/>
      <c r="I203" s="31"/>
      <c r="J203" s="31"/>
      <c r="K203" s="13" t="str">
        <f t="shared" si="35"/>
        <v/>
      </c>
      <c r="L203" s="49"/>
      <c r="M203" s="49"/>
      <c r="N203" s="30"/>
      <c r="O203" s="30"/>
      <c r="P203" s="30"/>
      <c r="Q203" s="30"/>
      <c r="R203" s="11" t="str">
        <f t="shared" si="36"/>
        <v/>
      </c>
      <c r="S203" s="55" t="str">
        <f t="shared" si="37"/>
        <v/>
      </c>
      <c r="T203" s="37" t="str">
        <f t="shared" si="38"/>
        <v/>
      </c>
      <c r="U203" s="29" t="str">
        <f t="shared" si="39"/>
        <v/>
      </c>
      <c r="V203" s="33"/>
    </row>
    <row r="204" spans="1:22" x14ac:dyDescent="0.25">
      <c r="A204" s="30"/>
      <c r="B204" s="34" t="str">
        <f t="shared" si="30"/>
        <v/>
      </c>
      <c r="C204" s="34" t="str">
        <f t="shared" si="31"/>
        <v/>
      </c>
      <c r="D204" s="36" t="str">
        <f t="shared" si="32"/>
        <v/>
      </c>
      <c r="E204" s="36" t="str">
        <f t="shared" si="33"/>
        <v/>
      </c>
      <c r="F204" s="36" t="str">
        <f t="shared" si="34"/>
        <v/>
      </c>
      <c r="G204" s="30"/>
      <c r="H204" s="33"/>
      <c r="I204" s="31"/>
      <c r="J204" s="31"/>
      <c r="K204" s="13" t="str">
        <f t="shared" si="35"/>
        <v/>
      </c>
      <c r="L204" s="49"/>
      <c r="M204" s="49"/>
      <c r="N204" s="30"/>
      <c r="O204" s="30"/>
      <c r="P204" s="30"/>
      <c r="Q204" s="30"/>
      <c r="R204" s="11" t="str">
        <f t="shared" si="36"/>
        <v/>
      </c>
      <c r="S204" s="55" t="str">
        <f t="shared" si="37"/>
        <v/>
      </c>
      <c r="T204" s="37" t="str">
        <f t="shared" si="38"/>
        <v/>
      </c>
      <c r="U204" s="29" t="str">
        <f t="shared" si="39"/>
        <v/>
      </c>
      <c r="V204" s="33"/>
    </row>
    <row r="205" spans="1:22" x14ac:dyDescent="0.25">
      <c r="A205" s="30"/>
      <c r="B205" s="34" t="str">
        <f t="shared" si="30"/>
        <v/>
      </c>
      <c r="C205" s="34" t="str">
        <f t="shared" si="31"/>
        <v/>
      </c>
      <c r="D205" s="36" t="str">
        <f t="shared" si="32"/>
        <v/>
      </c>
      <c r="E205" s="36" t="str">
        <f t="shared" si="33"/>
        <v/>
      </c>
      <c r="F205" s="36" t="str">
        <f t="shared" si="34"/>
        <v/>
      </c>
      <c r="G205" s="30"/>
      <c r="H205" s="33"/>
      <c r="I205" s="31"/>
      <c r="J205" s="31"/>
      <c r="K205" s="13" t="str">
        <f t="shared" si="35"/>
        <v/>
      </c>
      <c r="L205" s="49"/>
      <c r="M205" s="49"/>
      <c r="N205" s="30"/>
      <c r="O205" s="30"/>
      <c r="P205" s="30"/>
      <c r="Q205" s="30"/>
      <c r="R205" s="11" t="str">
        <f t="shared" si="36"/>
        <v/>
      </c>
      <c r="S205" s="55" t="str">
        <f t="shared" si="37"/>
        <v/>
      </c>
      <c r="T205" s="37" t="str">
        <f t="shared" si="38"/>
        <v/>
      </c>
      <c r="U205" s="29" t="str">
        <f t="shared" si="39"/>
        <v/>
      </c>
      <c r="V205" s="33"/>
    </row>
    <row r="206" spans="1:22" x14ac:dyDescent="0.25">
      <c r="A206" s="30"/>
      <c r="B206" s="34" t="str">
        <f t="shared" si="30"/>
        <v/>
      </c>
      <c r="C206" s="34" t="str">
        <f t="shared" si="31"/>
        <v/>
      </c>
      <c r="D206" s="36" t="str">
        <f t="shared" si="32"/>
        <v/>
      </c>
      <c r="E206" s="36" t="str">
        <f t="shared" si="33"/>
        <v/>
      </c>
      <c r="F206" s="36" t="str">
        <f t="shared" si="34"/>
        <v/>
      </c>
      <c r="G206" s="30"/>
      <c r="H206" s="33"/>
      <c r="I206" s="31"/>
      <c r="J206" s="31"/>
      <c r="K206" s="13" t="str">
        <f t="shared" si="35"/>
        <v/>
      </c>
      <c r="L206" s="49"/>
      <c r="M206" s="49"/>
      <c r="N206" s="30"/>
      <c r="O206" s="30"/>
      <c r="P206" s="30"/>
      <c r="Q206" s="30"/>
      <c r="R206" s="11" t="str">
        <f t="shared" si="36"/>
        <v/>
      </c>
      <c r="S206" s="55" t="str">
        <f t="shared" si="37"/>
        <v/>
      </c>
      <c r="T206" s="37" t="str">
        <f t="shared" si="38"/>
        <v/>
      </c>
      <c r="U206" s="29" t="str">
        <f t="shared" si="39"/>
        <v/>
      </c>
      <c r="V206" s="33"/>
    </row>
    <row r="207" spans="1:22" x14ac:dyDescent="0.25">
      <c r="A207" s="30"/>
      <c r="B207" s="34" t="str">
        <f t="shared" si="30"/>
        <v/>
      </c>
      <c r="C207" s="34" t="str">
        <f t="shared" si="31"/>
        <v/>
      </c>
      <c r="D207" s="36" t="str">
        <f t="shared" si="32"/>
        <v/>
      </c>
      <c r="E207" s="36" t="str">
        <f t="shared" si="33"/>
        <v/>
      </c>
      <c r="F207" s="36" t="str">
        <f t="shared" si="34"/>
        <v/>
      </c>
      <c r="G207" s="30"/>
      <c r="H207" s="33"/>
      <c r="I207" s="31"/>
      <c r="J207" s="31"/>
      <c r="K207" s="13" t="str">
        <f t="shared" si="35"/>
        <v/>
      </c>
      <c r="L207" s="49"/>
      <c r="M207" s="49"/>
      <c r="N207" s="30"/>
      <c r="O207" s="30"/>
      <c r="P207" s="30"/>
      <c r="Q207" s="30"/>
      <c r="R207" s="11" t="str">
        <f t="shared" si="36"/>
        <v/>
      </c>
      <c r="S207" s="55" t="str">
        <f t="shared" si="37"/>
        <v/>
      </c>
      <c r="T207" s="37" t="str">
        <f t="shared" si="38"/>
        <v/>
      </c>
      <c r="U207" s="29" t="str">
        <f t="shared" si="39"/>
        <v/>
      </c>
      <c r="V207" s="33"/>
    </row>
    <row r="208" spans="1:22" x14ac:dyDescent="0.25">
      <c r="A208" s="30"/>
      <c r="B208" s="34" t="str">
        <f t="shared" si="30"/>
        <v/>
      </c>
      <c r="C208" s="34" t="str">
        <f t="shared" si="31"/>
        <v/>
      </c>
      <c r="D208" s="36" t="str">
        <f t="shared" si="32"/>
        <v/>
      </c>
      <c r="E208" s="36" t="str">
        <f t="shared" si="33"/>
        <v/>
      </c>
      <c r="F208" s="36" t="str">
        <f t="shared" si="34"/>
        <v/>
      </c>
      <c r="G208" s="30"/>
      <c r="H208" s="33"/>
      <c r="I208" s="31"/>
      <c r="J208" s="31"/>
      <c r="K208" s="13" t="str">
        <f t="shared" si="35"/>
        <v/>
      </c>
      <c r="L208" s="49"/>
      <c r="M208" s="49"/>
      <c r="N208" s="30"/>
      <c r="O208" s="30"/>
      <c r="P208" s="30"/>
      <c r="Q208" s="30"/>
      <c r="R208" s="11" t="str">
        <f t="shared" si="36"/>
        <v/>
      </c>
      <c r="S208" s="55" t="str">
        <f t="shared" si="37"/>
        <v/>
      </c>
      <c r="T208" s="37" t="str">
        <f t="shared" si="38"/>
        <v/>
      </c>
      <c r="U208" s="29" t="str">
        <f t="shared" si="39"/>
        <v/>
      </c>
      <c r="V208" s="33"/>
    </row>
    <row r="209" spans="1:22" x14ac:dyDescent="0.25">
      <c r="A209" s="30"/>
      <c r="B209" s="34" t="str">
        <f t="shared" si="30"/>
        <v/>
      </c>
      <c r="C209" s="34" t="str">
        <f t="shared" si="31"/>
        <v/>
      </c>
      <c r="D209" s="36" t="str">
        <f t="shared" si="32"/>
        <v/>
      </c>
      <c r="E209" s="36" t="str">
        <f t="shared" si="33"/>
        <v/>
      </c>
      <c r="F209" s="36" t="str">
        <f t="shared" si="34"/>
        <v/>
      </c>
      <c r="G209" s="30"/>
      <c r="H209" s="33"/>
      <c r="I209" s="31"/>
      <c r="J209" s="31"/>
      <c r="K209" s="13" t="str">
        <f t="shared" si="35"/>
        <v/>
      </c>
      <c r="L209" s="49"/>
      <c r="M209" s="49"/>
      <c r="N209" s="30"/>
      <c r="O209" s="30"/>
      <c r="P209" s="30"/>
      <c r="Q209" s="30"/>
      <c r="R209" s="11" t="str">
        <f t="shared" si="36"/>
        <v/>
      </c>
      <c r="S209" s="55" t="str">
        <f t="shared" si="37"/>
        <v/>
      </c>
      <c r="T209" s="37" t="str">
        <f t="shared" si="38"/>
        <v/>
      </c>
      <c r="U209" s="29" t="str">
        <f t="shared" si="39"/>
        <v/>
      </c>
      <c r="V209" s="33"/>
    </row>
    <row r="210" spans="1:22" x14ac:dyDescent="0.25">
      <c r="A210" s="30"/>
      <c r="B210" s="34" t="str">
        <f t="shared" si="30"/>
        <v/>
      </c>
      <c r="C210" s="34" t="str">
        <f t="shared" si="31"/>
        <v/>
      </c>
      <c r="D210" s="36" t="str">
        <f t="shared" si="32"/>
        <v/>
      </c>
      <c r="E210" s="36" t="str">
        <f t="shared" si="33"/>
        <v/>
      </c>
      <c r="F210" s="36" t="str">
        <f t="shared" si="34"/>
        <v/>
      </c>
      <c r="G210" s="30"/>
      <c r="H210" s="33"/>
      <c r="I210" s="31"/>
      <c r="J210" s="31"/>
      <c r="K210" s="13" t="str">
        <f t="shared" si="35"/>
        <v/>
      </c>
      <c r="L210" s="49"/>
      <c r="M210" s="49"/>
      <c r="N210" s="30"/>
      <c r="O210" s="30"/>
      <c r="P210" s="30"/>
      <c r="Q210" s="30"/>
      <c r="R210" s="11" t="str">
        <f t="shared" si="36"/>
        <v/>
      </c>
      <c r="S210" s="55" t="str">
        <f t="shared" si="37"/>
        <v/>
      </c>
      <c r="T210" s="37" t="str">
        <f t="shared" si="38"/>
        <v/>
      </c>
      <c r="U210" s="29" t="str">
        <f t="shared" si="39"/>
        <v/>
      </c>
      <c r="V210" s="33"/>
    </row>
    <row r="211" spans="1:22" x14ac:dyDescent="0.25">
      <c r="A211" s="30"/>
      <c r="B211" s="34" t="str">
        <f t="shared" si="30"/>
        <v/>
      </c>
      <c r="C211" s="34" t="str">
        <f t="shared" si="31"/>
        <v/>
      </c>
      <c r="D211" s="36" t="str">
        <f t="shared" si="32"/>
        <v/>
      </c>
      <c r="E211" s="36" t="str">
        <f t="shared" si="33"/>
        <v/>
      </c>
      <c r="F211" s="36" t="str">
        <f t="shared" si="34"/>
        <v/>
      </c>
      <c r="G211" s="30"/>
      <c r="H211" s="33"/>
      <c r="I211" s="31"/>
      <c r="J211" s="31"/>
      <c r="K211" s="13" t="str">
        <f t="shared" si="35"/>
        <v/>
      </c>
      <c r="L211" s="49"/>
      <c r="M211" s="49"/>
      <c r="N211" s="30"/>
      <c r="O211" s="30"/>
      <c r="P211" s="30"/>
      <c r="Q211" s="30"/>
      <c r="R211" s="11" t="str">
        <f t="shared" si="36"/>
        <v/>
      </c>
      <c r="S211" s="55" t="str">
        <f t="shared" si="37"/>
        <v/>
      </c>
      <c r="T211" s="37" t="str">
        <f t="shared" si="38"/>
        <v/>
      </c>
      <c r="U211" s="29" t="str">
        <f t="shared" si="39"/>
        <v/>
      </c>
      <c r="V211" s="33"/>
    </row>
    <row r="212" spans="1:22" x14ac:dyDescent="0.25">
      <c r="A212" s="30"/>
      <c r="B212" s="34" t="str">
        <f t="shared" si="30"/>
        <v/>
      </c>
      <c r="C212" s="34" t="str">
        <f t="shared" si="31"/>
        <v/>
      </c>
      <c r="D212" s="36" t="str">
        <f t="shared" si="32"/>
        <v/>
      </c>
      <c r="E212" s="36" t="str">
        <f t="shared" si="33"/>
        <v/>
      </c>
      <c r="F212" s="36" t="str">
        <f t="shared" si="34"/>
        <v/>
      </c>
      <c r="G212" s="30"/>
      <c r="H212" s="33"/>
      <c r="I212" s="31"/>
      <c r="J212" s="31"/>
      <c r="K212" s="13" t="str">
        <f t="shared" si="35"/>
        <v/>
      </c>
      <c r="L212" s="49"/>
      <c r="M212" s="49"/>
      <c r="N212" s="30"/>
      <c r="O212" s="30"/>
      <c r="P212" s="30"/>
      <c r="Q212" s="30"/>
      <c r="R212" s="11" t="str">
        <f t="shared" si="36"/>
        <v/>
      </c>
      <c r="S212" s="55" t="str">
        <f t="shared" si="37"/>
        <v/>
      </c>
      <c r="T212" s="37" t="str">
        <f t="shared" si="38"/>
        <v/>
      </c>
      <c r="U212" s="29" t="str">
        <f t="shared" si="39"/>
        <v/>
      </c>
      <c r="V212" s="33"/>
    </row>
    <row r="213" spans="1:22" x14ac:dyDescent="0.25">
      <c r="A213" s="30"/>
      <c r="B213" s="34" t="str">
        <f t="shared" si="30"/>
        <v/>
      </c>
      <c r="C213" s="34" t="str">
        <f t="shared" si="31"/>
        <v/>
      </c>
      <c r="D213" s="36" t="str">
        <f t="shared" si="32"/>
        <v/>
      </c>
      <c r="E213" s="36" t="str">
        <f t="shared" si="33"/>
        <v/>
      </c>
      <c r="F213" s="36" t="str">
        <f t="shared" si="34"/>
        <v/>
      </c>
      <c r="G213" s="30"/>
      <c r="H213" s="33"/>
      <c r="I213" s="31"/>
      <c r="J213" s="31"/>
      <c r="K213" s="13" t="str">
        <f t="shared" si="35"/>
        <v/>
      </c>
      <c r="L213" s="49"/>
      <c r="M213" s="49"/>
      <c r="N213" s="30"/>
      <c r="O213" s="30"/>
      <c r="P213" s="30"/>
      <c r="Q213" s="30"/>
      <c r="R213" s="11" t="str">
        <f t="shared" si="36"/>
        <v/>
      </c>
      <c r="S213" s="55" t="str">
        <f t="shared" si="37"/>
        <v/>
      </c>
      <c r="T213" s="37" t="str">
        <f t="shared" si="38"/>
        <v/>
      </c>
      <c r="U213" s="29" t="str">
        <f t="shared" si="39"/>
        <v/>
      </c>
      <c r="V213" s="33"/>
    </row>
    <row r="214" spans="1:22" x14ac:dyDescent="0.25">
      <c r="A214" s="30"/>
      <c r="B214" s="34" t="str">
        <f t="shared" si="30"/>
        <v/>
      </c>
      <c r="C214" s="34" t="str">
        <f t="shared" si="31"/>
        <v/>
      </c>
      <c r="D214" s="36" t="str">
        <f t="shared" si="32"/>
        <v/>
      </c>
      <c r="E214" s="36" t="str">
        <f t="shared" si="33"/>
        <v/>
      </c>
      <c r="F214" s="36" t="str">
        <f t="shared" si="34"/>
        <v/>
      </c>
      <c r="G214" s="30"/>
      <c r="H214" s="33"/>
      <c r="I214" s="31"/>
      <c r="J214" s="31"/>
      <c r="K214" s="13" t="str">
        <f t="shared" si="35"/>
        <v/>
      </c>
      <c r="L214" s="49"/>
      <c r="M214" s="49"/>
      <c r="N214" s="30"/>
      <c r="O214" s="30"/>
      <c r="P214" s="30"/>
      <c r="Q214" s="30"/>
      <c r="R214" s="11" t="str">
        <f t="shared" si="36"/>
        <v/>
      </c>
      <c r="S214" s="55" t="str">
        <f t="shared" si="37"/>
        <v/>
      </c>
      <c r="T214" s="37" t="str">
        <f t="shared" si="38"/>
        <v/>
      </c>
      <c r="U214" s="29" t="str">
        <f t="shared" si="39"/>
        <v/>
      </c>
      <c r="V214" s="33"/>
    </row>
    <row r="215" spans="1:22" x14ac:dyDescent="0.25">
      <c r="A215" s="30"/>
      <c r="B215" s="34" t="str">
        <f t="shared" si="30"/>
        <v/>
      </c>
      <c r="C215" s="34" t="str">
        <f t="shared" si="31"/>
        <v/>
      </c>
      <c r="D215" s="36" t="str">
        <f t="shared" si="32"/>
        <v/>
      </c>
      <c r="E215" s="36" t="str">
        <f t="shared" si="33"/>
        <v/>
      </c>
      <c r="F215" s="36" t="str">
        <f t="shared" si="34"/>
        <v/>
      </c>
      <c r="G215" s="30"/>
      <c r="H215" s="33"/>
      <c r="I215" s="31"/>
      <c r="J215" s="31"/>
      <c r="K215" s="13" t="str">
        <f t="shared" si="35"/>
        <v/>
      </c>
      <c r="L215" s="49"/>
      <c r="M215" s="49"/>
      <c r="N215" s="30"/>
      <c r="O215" s="30"/>
      <c r="P215" s="30"/>
      <c r="Q215" s="30"/>
      <c r="R215" s="11" t="str">
        <f t="shared" si="36"/>
        <v/>
      </c>
      <c r="S215" s="55" t="str">
        <f t="shared" si="37"/>
        <v/>
      </c>
      <c r="T215" s="37" t="str">
        <f t="shared" si="38"/>
        <v/>
      </c>
      <c r="U215" s="29" t="str">
        <f t="shared" si="39"/>
        <v/>
      </c>
      <c r="V215" s="33"/>
    </row>
    <row r="216" spans="1:22" x14ac:dyDescent="0.25">
      <c r="A216" s="30"/>
      <c r="B216" s="34" t="str">
        <f t="shared" si="30"/>
        <v/>
      </c>
      <c r="C216" s="34" t="str">
        <f t="shared" si="31"/>
        <v/>
      </c>
      <c r="D216" s="36" t="str">
        <f t="shared" si="32"/>
        <v/>
      </c>
      <c r="E216" s="36" t="str">
        <f t="shared" si="33"/>
        <v/>
      </c>
      <c r="F216" s="36" t="str">
        <f t="shared" si="34"/>
        <v/>
      </c>
      <c r="G216" s="30"/>
      <c r="H216" s="33"/>
      <c r="I216" s="31"/>
      <c r="J216" s="31"/>
      <c r="K216" s="13" t="str">
        <f t="shared" si="35"/>
        <v/>
      </c>
      <c r="L216" s="49"/>
      <c r="M216" s="49"/>
      <c r="N216" s="30"/>
      <c r="O216" s="30"/>
      <c r="P216" s="30"/>
      <c r="Q216" s="30"/>
      <c r="R216" s="11" t="str">
        <f t="shared" si="36"/>
        <v/>
      </c>
      <c r="S216" s="55" t="str">
        <f t="shared" si="37"/>
        <v/>
      </c>
      <c r="T216" s="37" t="str">
        <f t="shared" si="38"/>
        <v/>
      </c>
      <c r="U216" s="29" t="str">
        <f t="shared" si="39"/>
        <v/>
      </c>
      <c r="V216" s="33"/>
    </row>
    <row r="217" spans="1:22" x14ac:dyDescent="0.25">
      <c r="A217" s="30"/>
      <c r="B217" s="34" t="str">
        <f t="shared" si="30"/>
        <v/>
      </c>
      <c r="C217" s="34" t="str">
        <f t="shared" si="31"/>
        <v/>
      </c>
      <c r="D217" s="36" t="str">
        <f t="shared" si="32"/>
        <v/>
      </c>
      <c r="E217" s="36" t="str">
        <f t="shared" si="33"/>
        <v/>
      </c>
      <c r="F217" s="36" t="str">
        <f t="shared" si="34"/>
        <v/>
      </c>
      <c r="G217" s="30"/>
      <c r="H217" s="33"/>
      <c r="I217" s="31"/>
      <c r="J217" s="31"/>
      <c r="K217" s="13" t="str">
        <f t="shared" si="35"/>
        <v/>
      </c>
      <c r="L217" s="49"/>
      <c r="M217" s="49"/>
      <c r="N217" s="30"/>
      <c r="O217" s="30"/>
      <c r="P217" s="30"/>
      <c r="Q217" s="30"/>
      <c r="R217" s="11" t="str">
        <f t="shared" si="36"/>
        <v/>
      </c>
      <c r="S217" s="55" t="str">
        <f t="shared" si="37"/>
        <v/>
      </c>
      <c r="T217" s="37" t="str">
        <f t="shared" si="38"/>
        <v/>
      </c>
      <c r="U217" s="29" t="str">
        <f t="shared" si="39"/>
        <v/>
      </c>
      <c r="V217" s="33"/>
    </row>
    <row r="218" spans="1:22" x14ac:dyDescent="0.25">
      <c r="A218" s="30"/>
      <c r="B218" s="34" t="str">
        <f t="shared" si="30"/>
        <v/>
      </c>
      <c r="C218" s="34" t="str">
        <f t="shared" si="31"/>
        <v/>
      </c>
      <c r="D218" s="36" t="str">
        <f t="shared" si="32"/>
        <v/>
      </c>
      <c r="E218" s="36" t="str">
        <f t="shared" si="33"/>
        <v/>
      </c>
      <c r="F218" s="36" t="str">
        <f t="shared" si="34"/>
        <v/>
      </c>
      <c r="G218" s="30"/>
      <c r="H218" s="33"/>
      <c r="I218" s="31"/>
      <c r="J218" s="31"/>
      <c r="K218" s="13" t="str">
        <f t="shared" si="35"/>
        <v/>
      </c>
      <c r="L218" s="49"/>
      <c r="M218" s="49"/>
      <c r="N218" s="30"/>
      <c r="O218" s="30"/>
      <c r="P218" s="30"/>
      <c r="Q218" s="30"/>
      <c r="R218" s="11" t="str">
        <f t="shared" si="36"/>
        <v/>
      </c>
      <c r="S218" s="55" t="str">
        <f t="shared" si="37"/>
        <v/>
      </c>
      <c r="T218" s="37" t="str">
        <f t="shared" si="38"/>
        <v/>
      </c>
      <c r="U218" s="29" t="str">
        <f t="shared" si="39"/>
        <v/>
      </c>
      <c r="V218" s="33"/>
    </row>
    <row r="219" spans="1:22" x14ac:dyDescent="0.25">
      <c r="A219" s="30"/>
      <c r="B219" s="34" t="str">
        <f t="shared" si="30"/>
        <v/>
      </c>
      <c r="C219" s="34" t="str">
        <f t="shared" si="31"/>
        <v/>
      </c>
      <c r="D219" s="36" t="str">
        <f t="shared" si="32"/>
        <v/>
      </c>
      <c r="E219" s="36" t="str">
        <f t="shared" si="33"/>
        <v/>
      </c>
      <c r="F219" s="36" t="str">
        <f t="shared" si="34"/>
        <v/>
      </c>
      <c r="G219" s="30"/>
      <c r="H219" s="33"/>
      <c r="I219" s="31"/>
      <c r="J219" s="31"/>
      <c r="K219" s="13" t="str">
        <f t="shared" si="35"/>
        <v/>
      </c>
      <c r="L219" s="49"/>
      <c r="M219" s="49"/>
      <c r="N219" s="30"/>
      <c r="O219" s="30"/>
      <c r="P219" s="30"/>
      <c r="Q219" s="30"/>
      <c r="R219" s="11" t="str">
        <f t="shared" si="36"/>
        <v/>
      </c>
      <c r="S219" s="55" t="str">
        <f t="shared" si="37"/>
        <v/>
      </c>
      <c r="T219" s="37" t="str">
        <f t="shared" si="38"/>
        <v/>
      </c>
      <c r="U219" s="29" t="str">
        <f t="shared" si="39"/>
        <v/>
      </c>
      <c r="V219" s="33"/>
    </row>
    <row r="220" spans="1:22" x14ac:dyDescent="0.25">
      <c r="A220" s="30"/>
      <c r="B220" s="34" t="str">
        <f t="shared" si="30"/>
        <v/>
      </c>
      <c r="C220" s="34" t="str">
        <f t="shared" si="31"/>
        <v/>
      </c>
      <c r="D220" s="36" t="str">
        <f t="shared" si="32"/>
        <v/>
      </c>
      <c r="E220" s="36" t="str">
        <f t="shared" si="33"/>
        <v/>
      </c>
      <c r="F220" s="36" t="str">
        <f t="shared" si="34"/>
        <v/>
      </c>
      <c r="G220" s="30"/>
      <c r="H220" s="33"/>
      <c r="I220" s="31"/>
      <c r="J220" s="31"/>
      <c r="K220" s="13" t="str">
        <f t="shared" si="35"/>
        <v/>
      </c>
      <c r="L220" s="49"/>
      <c r="M220" s="49"/>
      <c r="N220" s="30"/>
      <c r="O220" s="30"/>
      <c r="P220" s="30"/>
      <c r="Q220" s="30"/>
      <c r="R220" s="11" t="str">
        <f t="shared" si="36"/>
        <v/>
      </c>
      <c r="S220" s="55" t="str">
        <f t="shared" si="37"/>
        <v/>
      </c>
      <c r="T220" s="37" t="str">
        <f t="shared" si="38"/>
        <v/>
      </c>
      <c r="U220" s="29" t="str">
        <f t="shared" si="39"/>
        <v/>
      </c>
      <c r="V220" s="33"/>
    </row>
    <row r="221" spans="1:22" x14ac:dyDescent="0.25">
      <c r="A221" s="30"/>
      <c r="B221" s="34" t="str">
        <f t="shared" si="30"/>
        <v/>
      </c>
      <c r="C221" s="34" t="str">
        <f t="shared" si="31"/>
        <v/>
      </c>
      <c r="D221" s="36" t="str">
        <f t="shared" si="32"/>
        <v/>
      </c>
      <c r="E221" s="36" t="str">
        <f t="shared" si="33"/>
        <v/>
      </c>
      <c r="F221" s="36" t="str">
        <f t="shared" si="34"/>
        <v/>
      </c>
      <c r="G221" s="30"/>
      <c r="H221" s="33"/>
      <c r="I221" s="31"/>
      <c r="J221" s="31"/>
      <c r="K221" s="13" t="str">
        <f t="shared" si="35"/>
        <v/>
      </c>
      <c r="L221" s="49"/>
      <c r="M221" s="49"/>
      <c r="N221" s="30"/>
      <c r="O221" s="30"/>
      <c r="P221" s="30"/>
      <c r="Q221" s="30"/>
      <c r="R221" s="11" t="str">
        <f t="shared" si="36"/>
        <v/>
      </c>
      <c r="S221" s="55" t="str">
        <f t="shared" si="37"/>
        <v/>
      </c>
      <c r="T221" s="37" t="str">
        <f t="shared" si="38"/>
        <v/>
      </c>
      <c r="U221" s="29" t="str">
        <f t="shared" si="39"/>
        <v/>
      </c>
      <c r="V221" s="33"/>
    </row>
    <row r="222" spans="1:22" x14ac:dyDescent="0.25">
      <c r="A222" s="30"/>
      <c r="B222" s="34" t="str">
        <f t="shared" si="30"/>
        <v/>
      </c>
      <c r="C222" s="34" t="str">
        <f t="shared" si="31"/>
        <v/>
      </c>
      <c r="D222" s="36" t="str">
        <f t="shared" si="32"/>
        <v/>
      </c>
      <c r="E222" s="36" t="str">
        <f t="shared" si="33"/>
        <v/>
      </c>
      <c r="F222" s="36" t="str">
        <f t="shared" si="34"/>
        <v/>
      </c>
      <c r="G222" s="30"/>
      <c r="H222" s="33"/>
      <c r="I222" s="31"/>
      <c r="J222" s="31"/>
      <c r="K222" s="13" t="str">
        <f t="shared" si="35"/>
        <v/>
      </c>
      <c r="L222" s="49"/>
      <c r="M222" s="49"/>
      <c r="N222" s="30"/>
      <c r="O222" s="30"/>
      <c r="P222" s="30"/>
      <c r="Q222" s="30"/>
      <c r="R222" s="11" t="str">
        <f t="shared" si="36"/>
        <v/>
      </c>
      <c r="S222" s="55" t="str">
        <f t="shared" si="37"/>
        <v/>
      </c>
      <c r="T222" s="37" t="str">
        <f t="shared" si="38"/>
        <v/>
      </c>
      <c r="U222" s="29" t="str">
        <f t="shared" si="39"/>
        <v/>
      </c>
      <c r="V222" s="33"/>
    </row>
    <row r="223" spans="1:22" x14ac:dyDescent="0.25">
      <c r="A223" s="30"/>
      <c r="B223" s="34" t="str">
        <f t="shared" si="30"/>
        <v/>
      </c>
      <c r="C223" s="34" t="str">
        <f t="shared" si="31"/>
        <v/>
      </c>
      <c r="D223" s="36" t="str">
        <f t="shared" si="32"/>
        <v/>
      </c>
      <c r="E223" s="36" t="str">
        <f t="shared" si="33"/>
        <v/>
      </c>
      <c r="F223" s="36" t="str">
        <f t="shared" si="34"/>
        <v/>
      </c>
      <c r="G223" s="30"/>
      <c r="H223" s="33"/>
      <c r="I223" s="31"/>
      <c r="J223" s="31"/>
      <c r="K223" s="13" t="str">
        <f t="shared" si="35"/>
        <v/>
      </c>
      <c r="L223" s="49"/>
      <c r="M223" s="49"/>
      <c r="N223" s="30"/>
      <c r="O223" s="30"/>
      <c r="P223" s="30"/>
      <c r="Q223" s="30"/>
      <c r="R223" s="11" t="str">
        <f t="shared" si="36"/>
        <v/>
      </c>
      <c r="S223" s="55" t="str">
        <f t="shared" si="37"/>
        <v/>
      </c>
      <c r="T223" s="37" t="str">
        <f t="shared" si="38"/>
        <v/>
      </c>
      <c r="U223" s="29" t="str">
        <f t="shared" si="39"/>
        <v/>
      </c>
      <c r="V223" s="33"/>
    </row>
    <row r="224" spans="1:22" x14ac:dyDescent="0.25">
      <c r="A224" s="30"/>
      <c r="B224" s="34" t="str">
        <f t="shared" si="30"/>
        <v/>
      </c>
      <c r="C224" s="34" t="str">
        <f t="shared" si="31"/>
        <v/>
      </c>
      <c r="D224" s="36" t="str">
        <f t="shared" si="32"/>
        <v/>
      </c>
      <c r="E224" s="36" t="str">
        <f t="shared" si="33"/>
        <v/>
      </c>
      <c r="F224" s="36" t="str">
        <f t="shared" si="34"/>
        <v/>
      </c>
      <c r="G224" s="30"/>
      <c r="H224" s="33"/>
      <c r="I224" s="31"/>
      <c r="J224" s="31"/>
      <c r="K224" s="13" t="str">
        <f t="shared" si="35"/>
        <v/>
      </c>
      <c r="L224" s="49"/>
      <c r="M224" s="49"/>
      <c r="N224" s="30"/>
      <c r="O224" s="30"/>
      <c r="P224" s="30"/>
      <c r="Q224" s="30"/>
      <c r="R224" s="11" t="str">
        <f t="shared" si="36"/>
        <v/>
      </c>
      <c r="S224" s="55" t="str">
        <f t="shared" si="37"/>
        <v/>
      </c>
      <c r="T224" s="37" t="str">
        <f t="shared" si="38"/>
        <v/>
      </c>
      <c r="U224" s="29" t="str">
        <f t="shared" si="39"/>
        <v/>
      </c>
      <c r="V224" s="33"/>
    </row>
    <row r="225" spans="1:22" x14ac:dyDescent="0.25">
      <c r="A225" s="30"/>
      <c r="B225" s="34" t="str">
        <f t="shared" si="30"/>
        <v/>
      </c>
      <c r="C225" s="34" t="str">
        <f t="shared" si="31"/>
        <v/>
      </c>
      <c r="D225" s="36" t="str">
        <f t="shared" si="32"/>
        <v/>
      </c>
      <c r="E225" s="36" t="str">
        <f t="shared" si="33"/>
        <v/>
      </c>
      <c r="F225" s="36" t="str">
        <f t="shared" si="34"/>
        <v/>
      </c>
      <c r="G225" s="30"/>
      <c r="H225" s="33"/>
      <c r="I225" s="31"/>
      <c r="J225" s="31"/>
      <c r="K225" s="13" t="str">
        <f t="shared" si="35"/>
        <v/>
      </c>
      <c r="L225" s="49"/>
      <c r="M225" s="49"/>
      <c r="N225" s="30"/>
      <c r="O225" s="30"/>
      <c r="P225" s="30"/>
      <c r="Q225" s="30"/>
      <c r="R225" s="11" t="str">
        <f t="shared" si="36"/>
        <v/>
      </c>
      <c r="S225" s="55" t="str">
        <f t="shared" si="37"/>
        <v/>
      </c>
      <c r="T225" s="37" t="str">
        <f t="shared" si="38"/>
        <v/>
      </c>
      <c r="U225" s="29" t="str">
        <f t="shared" si="39"/>
        <v/>
      </c>
      <c r="V225" s="33"/>
    </row>
    <row r="226" spans="1:22" x14ac:dyDescent="0.25">
      <c r="A226" s="30"/>
      <c r="B226" s="34" t="str">
        <f t="shared" si="30"/>
        <v/>
      </c>
      <c r="C226" s="34" t="str">
        <f t="shared" si="31"/>
        <v/>
      </c>
      <c r="D226" s="36" t="str">
        <f t="shared" si="32"/>
        <v/>
      </c>
      <c r="E226" s="36" t="str">
        <f t="shared" si="33"/>
        <v/>
      </c>
      <c r="F226" s="36" t="str">
        <f t="shared" si="34"/>
        <v/>
      </c>
      <c r="G226" s="30"/>
      <c r="H226" s="33"/>
      <c r="I226" s="31"/>
      <c r="J226" s="31"/>
      <c r="K226" s="13" t="str">
        <f t="shared" si="35"/>
        <v/>
      </c>
      <c r="L226" s="49"/>
      <c r="M226" s="49"/>
      <c r="N226" s="30"/>
      <c r="O226" s="30"/>
      <c r="P226" s="30"/>
      <c r="Q226" s="30"/>
      <c r="R226" s="11" t="str">
        <f t="shared" si="36"/>
        <v/>
      </c>
      <c r="S226" s="55" t="str">
        <f t="shared" si="37"/>
        <v/>
      </c>
      <c r="T226" s="37" t="str">
        <f t="shared" si="38"/>
        <v/>
      </c>
      <c r="U226" s="29" t="str">
        <f t="shared" si="39"/>
        <v/>
      </c>
      <c r="V226" s="33"/>
    </row>
    <row r="227" spans="1:22" x14ac:dyDescent="0.25">
      <c r="A227" s="30"/>
      <c r="B227" s="34" t="str">
        <f t="shared" si="30"/>
        <v/>
      </c>
      <c r="C227" s="34" t="str">
        <f t="shared" si="31"/>
        <v/>
      </c>
      <c r="D227" s="36" t="str">
        <f t="shared" si="32"/>
        <v/>
      </c>
      <c r="E227" s="36" t="str">
        <f t="shared" si="33"/>
        <v/>
      </c>
      <c r="F227" s="36" t="str">
        <f t="shared" si="34"/>
        <v/>
      </c>
      <c r="G227" s="30"/>
      <c r="H227" s="33"/>
      <c r="I227" s="31"/>
      <c r="J227" s="31"/>
      <c r="K227" s="13" t="str">
        <f t="shared" si="35"/>
        <v/>
      </c>
      <c r="L227" s="49"/>
      <c r="M227" s="49"/>
      <c r="N227" s="30"/>
      <c r="O227" s="30"/>
      <c r="P227" s="30"/>
      <c r="Q227" s="30"/>
      <c r="R227" s="11" t="str">
        <f t="shared" si="36"/>
        <v/>
      </c>
      <c r="S227" s="55" t="str">
        <f t="shared" si="37"/>
        <v/>
      </c>
      <c r="T227" s="37" t="str">
        <f t="shared" si="38"/>
        <v/>
      </c>
      <c r="U227" s="29" t="str">
        <f t="shared" si="39"/>
        <v/>
      </c>
      <c r="V227" s="33"/>
    </row>
    <row r="228" spans="1:22" x14ac:dyDescent="0.25">
      <c r="A228" s="30"/>
      <c r="B228" s="34" t="str">
        <f t="shared" si="30"/>
        <v/>
      </c>
      <c r="C228" s="34" t="str">
        <f t="shared" si="31"/>
        <v/>
      </c>
      <c r="D228" s="36" t="str">
        <f t="shared" si="32"/>
        <v/>
      </c>
      <c r="E228" s="36" t="str">
        <f t="shared" si="33"/>
        <v/>
      </c>
      <c r="F228" s="36" t="str">
        <f t="shared" si="34"/>
        <v/>
      </c>
      <c r="G228" s="30"/>
      <c r="H228" s="33"/>
      <c r="I228" s="31"/>
      <c r="J228" s="31"/>
      <c r="K228" s="13" t="str">
        <f t="shared" si="35"/>
        <v/>
      </c>
      <c r="L228" s="49"/>
      <c r="M228" s="49"/>
      <c r="N228" s="30"/>
      <c r="O228" s="30"/>
      <c r="P228" s="30"/>
      <c r="Q228" s="30"/>
      <c r="R228" s="11" t="str">
        <f t="shared" si="36"/>
        <v/>
      </c>
      <c r="S228" s="55" t="str">
        <f t="shared" si="37"/>
        <v/>
      </c>
      <c r="T228" s="37" t="str">
        <f t="shared" si="38"/>
        <v/>
      </c>
      <c r="U228" s="29" t="str">
        <f t="shared" si="39"/>
        <v/>
      </c>
      <c r="V228" s="33"/>
    </row>
    <row r="229" spans="1:22" x14ac:dyDescent="0.25">
      <c r="A229" s="30"/>
      <c r="B229" s="34" t="str">
        <f t="shared" si="30"/>
        <v/>
      </c>
      <c r="C229" s="34" t="str">
        <f t="shared" si="31"/>
        <v/>
      </c>
      <c r="D229" s="36" t="str">
        <f t="shared" si="32"/>
        <v/>
      </c>
      <c r="E229" s="36" t="str">
        <f t="shared" si="33"/>
        <v/>
      </c>
      <c r="F229" s="36" t="str">
        <f t="shared" si="34"/>
        <v/>
      </c>
      <c r="G229" s="30"/>
      <c r="H229" s="33"/>
      <c r="I229" s="31"/>
      <c r="J229" s="31"/>
      <c r="K229" s="13" t="str">
        <f t="shared" si="35"/>
        <v/>
      </c>
      <c r="L229" s="49"/>
      <c r="M229" s="49"/>
      <c r="N229" s="30"/>
      <c r="O229" s="30"/>
      <c r="P229" s="30"/>
      <c r="Q229" s="30"/>
      <c r="R229" s="11" t="str">
        <f t="shared" si="36"/>
        <v/>
      </c>
      <c r="S229" s="55" t="str">
        <f t="shared" si="37"/>
        <v/>
      </c>
      <c r="T229" s="37" t="str">
        <f t="shared" si="38"/>
        <v/>
      </c>
      <c r="U229" s="29" t="str">
        <f t="shared" si="39"/>
        <v/>
      </c>
      <c r="V229" s="33"/>
    </row>
    <row r="230" spans="1:22" x14ac:dyDescent="0.25">
      <c r="A230" s="30"/>
      <c r="B230" s="34" t="str">
        <f t="shared" si="30"/>
        <v/>
      </c>
      <c r="C230" s="34" t="str">
        <f t="shared" si="31"/>
        <v/>
      </c>
      <c r="D230" s="36" t="str">
        <f t="shared" si="32"/>
        <v/>
      </c>
      <c r="E230" s="36" t="str">
        <f t="shared" si="33"/>
        <v/>
      </c>
      <c r="F230" s="36" t="str">
        <f t="shared" si="34"/>
        <v/>
      </c>
      <c r="G230" s="30"/>
      <c r="H230" s="33"/>
      <c r="I230" s="31"/>
      <c r="J230" s="31"/>
      <c r="K230" s="13" t="str">
        <f t="shared" si="35"/>
        <v/>
      </c>
      <c r="L230" s="49"/>
      <c r="M230" s="49"/>
      <c r="N230" s="30"/>
      <c r="O230" s="30"/>
      <c r="P230" s="30"/>
      <c r="Q230" s="30"/>
      <c r="R230" s="11" t="str">
        <f t="shared" si="36"/>
        <v/>
      </c>
      <c r="S230" s="55" t="str">
        <f t="shared" si="37"/>
        <v/>
      </c>
      <c r="T230" s="37" t="str">
        <f t="shared" si="38"/>
        <v/>
      </c>
      <c r="U230" s="29" t="str">
        <f t="shared" si="39"/>
        <v/>
      </c>
      <c r="V230" s="33"/>
    </row>
    <row r="231" spans="1:22" x14ac:dyDescent="0.25">
      <c r="A231" s="30"/>
      <c r="B231" s="34" t="str">
        <f t="shared" si="30"/>
        <v/>
      </c>
      <c r="C231" s="34" t="str">
        <f t="shared" si="31"/>
        <v/>
      </c>
      <c r="D231" s="36" t="str">
        <f t="shared" si="32"/>
        <v/>
      </c>
      <c r="E231" s="36" t="str">
        <f t="shared" si="33"/>
        <v/>
      </c>
      <c r="F231" s="36" t="str">
        <f t="shared" si="34"/>
        <v/>
      </c>
      <c r="G231" s="30"/>
      <c r="H231" s="33"/>
      <c r="I231" s="31"/>
      <c r="J231" s="31"/>
      <c r="K231" s="13" t="str">
        <f t="shared" si="35"/>
        <v/>
      </c>
      <c r="L231" s="49"/>
      <c r="M231" s="49"/>
      <c r="N231" s="30"/>
      <c r="O231" s="30"/>
      <c r="P231" s="30"/>
      <c r="Q231" s="30"/>
      <c r="R231" s="11" t="str">
        <f t="shared" si="36"/>
        <v/>
      </c>
      <c r="S231" s="55" t="str">
        <f t="shared" si="37"/>
        <v/>
      </c>
      <c r="T231" s="37" t="str">
        <f t="shared" si="38"/>
        <v/>
      </c>
      <c r="U231" s="29" t="str">
        <f t="shared" si="39"/>
        <v/>
      </c>
      <c r="V231" s="33"/>
    </row>
    <row r="232" spans="1:22" x14ac:dyDescent="0.25">
      <c r="A232" s="30"/>
      <c r="B232" s="34" t="str">
        <f t="shared" si="30"/>
        <v/>
      </c>
      <c r="C232" s="34" t="str">
        <f t="shared" si="31"/>
        <v/>
      </c>
      <c r="D232" s="36" t="str">
        <f t="shared" si="32"/>
        <v/>
      </c>
      <c r="E232" s="36" t="str">
        <f t="shared" si="33"/>
        <v/>
      </c>
      <c r="F232" s="36" t="str">
        <f t="shared" si="34"/>
        <v/>
      </c>
      <c r="G232" s="30"/>
      <c r="H232" s="33"/>
      <c r="I232" s="31"/>
      <c r="J232" s="31"/>
      <c r="K232" s="13" t="str">
        <f t="shared" si="35"/>
        <v/>
      </c>
      <c r="L232" s="49"/>
      <c r="M232" s="49"/>
      <c r="N232" s="30"/>
      <c r="O232" s="30"/>
      <c r="P232" s="30"/>
      <c r="Q232" s="30"/>
      <c r="R232" s="11" t="str">
        <f t="shared" si="36"/>
        <v/>
      </c>
      <c r="S232" s="55" t="str">
        <f t="shared" si="37"/>
        <v/>
      </c>
      <c r="T232" s="37" t="str">
        <f t="shared" si="38"/>
        <v/>
      </c>
      <c r="U232" s="29" t="str">
        <f t="shared" si="39"/>
        <v/>
      </c>
      <c r="V232" s="33"/>
    </row>
    <row r="233" spans="1:22" x14ac:dyDescent="0.25">
      <c r="A233" s="30"/>
      <c r="B233" s="34" t="str">
        <f t="shared" si="30"/>
        <v/>
      </c>
      <c r="C233" s="34" t="str">
        <f t="shared" si="31"/>
        <v/>
      </c>
      <c r="D233" s="36" t="str">
        <f t="shared" si="32"/>
        <v/>
      </c>
      <c r="E233" s="36" t="str">
        <f t="shared" si="33"/>
        <v/>
      </c>
      <c r="F233" s="36" t="str">
        <f t="shared" si="34"/>
        <v/>
      </c>
      <c r="G233" s="30"/>
      <c r="H233" s="33"/>
      <c r="I233" s="31"/>
      <c r="J233" s="31"/>
      <c r="K233" s="13" t="str">
        <f t="shared" si="35"/>
        <v/>
      </c>
      <c r="L233" s="49"/>
      <c r="M233" s="49"/>
      <c r="N233" s="30"/>
      <c r="O233" s="30"/>
      <c r="P233" s="30"/>
      <c r="Q233" s="30"/>
      <c r="R233" s="11" t="str">
        <f t="shared" si="36"/>
        <v/>
      </c>
      <c r="S233" s="55" t="str">
        <f t="shared" si="37"/>
        <v/>
      </c>
      <c r="T233" s="37" t="str">
        <f t="shared" si="38"/>
        <v/>
      </c>
      <c r="U233" s="29" t="str">
        <f t="shared" si="39"/>
        <v/>
      </c>
      <c r="V233" s="33"/>
    </row>
    <row r="234" spans="1:22" x14ac:dyDescent="0.25">
      <c r="A234" s="30"/>
      <c r="B234" s="34" t="str">
        <f t="shared" si="30"/>
        <v/>
      </c>
      <c r="C234" s="34" t="str">
        <f t="shared" si="31"/>
        <v/>
      </c>
      <c r="D234" s="36" t="str">
        <f t="shared" si="32"/>
        <v/>
      </c>
      <c r="E234" s="36" t="str">
        <f t="shared" si="33"/>
        <v/>
      </c>
      <c r="F234" s="36" t="str">
        <f t="shared" si="34"/>
        <v/>
      </c>
      <c r="G234" s="30"/>
      <c r="H234" s="33"/>
      <c r="I234" s="31"/>
      <c r="J234" s="31"/>
      <c r="K234" s="13" t="str">
        <f t="shared" si="35"/>
        <v/>
      </c>
      <c r="L234" s="49"/>
      <c r="M234" s="49"/>
      <c r="N234" s="30"/>
      <c r="O234" s="30"/>
      <c r="P234" s="30"/>
      <c r="Q234" s="30"/>
      <c r="R234" s="11" t="str">
        <f t="shared" si="36"/>
        <v/>
      </c>
      <c r="S234" s="55" t="str">
        <f t="shared" si="37"/>
        <v/>
      </c>
      <c r="T234" s="37" t="str">
        <f t="shared" si="38"/>
        <v/>
      </c>
      <c r="U234" s="29" t="str">
        <f t="shared" si="39"/>
        <v/>
      </c>
      <c r="V234" s="33"/>
    </row>
    <row r="235" spans="1:22" x14ac:dyDescent="0.25">
      <c r="A235" s="30"/>
      <c r="B235" s="34" t="str">
        <f t="shared" si="30"/>
        <v/>
      </c>
      <c r="C235" s="34" t="str">
        <f t="shared" si="31"/>
        <v/>
      </c>
      <c r="D235" s="36" t="str">
        <f t="shared" si="32"/>
        <v/>
      </c>
      <c r="E235" s="36" t="str">
        <f t="shared" si="33"/>
        <v/>
      </c>
      <c r="F235" s="36" t="str">
        <f t="shared" si="34"/>
        <v/>
      </c>
      <c r="G235" s="30"/>
      <c r="H235" s="33"/>
      <c r="I235" s="31"/>
      <c r="J235" s="31"/>
      <c r="K235" s="13" t="str">
        <f t="shared" si="35"/>
        <v/>
      </c>
      <c r="L235" s="49"/>
      <c r="M235" s="49"/>
      <c r="N235" s="30"/>
      <c r="O235" s="30"/>
      <c r="P235" s="30"/>
      <c r="Q235" s="30"/>
      <c r="R235" s="11" t="str">
        <f t="shared" si="36"/>
        <v/>
      </c>
      <c r="S235" s="55" t="str">
        <f t="shared" si="37"/>
        <v/>
      </c>
      <c r="T235" s="37" t="str">
        <f t="shared" si="38"/>
        <v/>
      </c>
      <c r="U235" s="29" t="str">
        <f t="shared" si="39"/>
        <v/>
      </c>
      <c r="V235" s="33"/>
    </row>
    <row r="236" spans="1:22" x14ac:dyDescent="0.25">
      <c r="A236" s="30"/>
      <c r="B236" s="34" t="str">
        <f t="shared" si="30"/>
        <v/>
      </c>
      <c r="C236" s="34" t="str">
        <f t="shared" si="31"/>
        <v/>
      </c>
      <c r="D236" s="36" t="str">
        <f t="shared" si="32"/>
        <v/>
      </c>
      <c r="E236" s="36" t="str">
        <f t="shared" si="33"/>
        <v/>
      </c>
      <c r="F236" s="36" t="str">
        <f t="shared" si="34"/>
        <v/>
      </c>
      <c r="G236" s="30"/>
      <c r="H236" s="33"/>
      <c r="I236" s="31"/>
      <c r="J236" s="31"/>
      <c r="K236" s="13" t="str">
        <f t="shared" si="35"/>
        <v/>
      </c>
      <c r="L236" s="49"/>
      <c r="M236" s="49"/>
      <c r="N236" s="30"/>
      <c r="O236" s="30"/>
      <c r="P236" s="30"/>
      <c r="Q236" s="30"/>
      <c r="R236" s="11" t="str">
        <f t="shared" si="36"/>
        <v/>
      </c>
      <c r="S236" s="55" t="str">
        <f t="shared" si="37"/>
        <v/>
      </c>
      <c r="T236" s="37" t="str">
        <f t="shared" si="38"/>
        <v/>
      </c>
      <c r="U236" s="29" t="str">
        <f t="shared" si="39"/>
        <v/>
      </c>
      <c r="V236" s="33"/>
    </row>
    <row r="237" spans="1:22" x14ac:dyDescent="0.25">
      <c r="A237" s="30"/>
      <c r="B237" s="34" t="str">
        <f t="shared" si="30"/>
        <v/>
      </c>
      <c r="C237" s="34" t="str">
        <f t="shared" si="31"/>
        <v/>
      </c>
      <c r="D237" s="36" t="str">
        <f t="shared" si="32"/>
        <v/>
      </c>
      <c r="E237" s="36" t="str">
        <f t="shared" si="33"/>
        <v/>
      </c>
      <c r="F237" s="36" t="str">
        <f t="shared" si="34"/>
        <v/>
      </c>
      <c r="G237" s="30"/>
      <c r="H237" s="33"/>
      <c r="I237" s="31"/>
      <c r="J237" s="31"/>
      <c r="K237" s="13" t="str">
        <f t="shared" si="35"/>
        <v/>
      </c>
      <c r="L237" s="49"/>
      <c r="M237" s="49"/>
      <c r="N237" s="30"/>
      <c r="O237" s="30"/>
      <c r="P237" s="30"/>
      <c r="Q237" s="30"/>
      <c r="R237" s="11" t="str">
        <f t="shared" si="36"/>
        <v/>
      </c>
      <c r="S237" s="55" t="str">
        <f t="shared" si="37"/>
        <v/>
      </c>
      <c r="T237" s="37" t="str">
        <f t="shared" si="38"/>
        <v/>
      </c>
      <c r="U237" s="29" t="str">
        <f t="shared" si="39"/>
        <v/>
      </c>
      <c r="V237" s="33"/>
    </row>
    <row r="238" spans="1:22" x14ac:dyDescent="0.25">
      <c r="A238" s="30"/>
      <c r="B238" s="34" t="str">
        <f t="shared" si="30"/>
        <v/>
      </c>
      <c r="C238" s="34" t="str">
        <f t="shared" si="31"/>
        <v/>
      </c>
      <c r="D238" s="36" t="str">
        <f t="shared" si="32"/>
        <v/>
      </c>
      <c r="E238" s="36" t="str">
        <f t="shared" si="33"/>
        <v/>
      </c>
      <c r="F238" s="36" t="str">
        <f t="shared" si="34"/>
        <v/>
      </c>
      <c r="G238" s="30"/>
      <c r="H238" s="33"/>
      <c r="I238" s="31"/>
      <c r="J238" s="31"/>
      <c r="K238" s="13" t="str">
        <f t="shared" si="35"/>
        <v/>
      </c>
      <c r="L238" s="49"/>
      <c r="M238" s="49"/>
      <c r="N238" s="30"/>
      <c r="O238" s="30"/>
      <c r="P238" s="30"/>
      <c r="Q238" s="30"/>
      <c r="R238" s="11" t="str">
        <f t="shared" si="36"/>
        <v/>
      </c>
      <c r="S238" s="55" t="str">
        <f t="shared" si="37"/>
        <v/>
      </c>
      <c r="T238" s="37" t="str">
        <f t="shared" si="38"/>
        <v/>
      </c>
      <c r="U238" s="29" t="str">
        <f t="shared" si="39"/>
        <v/>
      </c>
      <c r="V238" s="33"/>
    </row>
    <row r="239" spans="1:22" x14ac:dyDescent="0.25">
      <c r="A239" s="30"/>
      <c r="B239" s="34" t="str">
        <f t="shared" si="30"/>
        <v/>
      </c>
      <c r="C239" s="34" t="str">
        <f t="shared" si="31"/>
        <v/>
      </c>
      <c r="D239" s="36" t="str">
        <f t="shared" si="32"/>
        <v/>
      </c>
      <c r="E239" s="36" t="str">
        <f t="shared" si="33"/>
        <v/>
      </c>
      <c r="F239" s="36" t="str">
        <f t="shared" si="34"/>
        <v/>
      </c>
      <c r="G239" s="30"/>
      <c r="H239" s="33"/>
      <c r="I239" s="31"/>
      <c r="J239" s="31"/>
      <c r="K239" s="13" t="str">
        <f t="shared" si="35"/>
        <v/>
      </c>
      <c r="L239" s="49"/>
      <c r="M239" s="49"/>
      <c r="N239" s="30"/>
      <c r="O239" s="30"/>
      <c r="P239" s="30"/>
      <c r="Q239" s="30"/>
      <c r="R239" s="11" t="str">
        <f t="shared" si="36"/>
        <v/>
      </c>
      <c r="S239" s="55" t="str">
        <f t="shared" si="37"/>
        <v/>
      </c>
      <c r="T239" s="37" t="str">
        <f t="shared" si="38"/>
        <v/>
      </c>
      <c r="U239" s="29" t="str">
        <f t="shared" si="39"/>
        <v/>
      </c>
      <c r="V239" s="33"/>
    </row>
    <row r="240" spans="1:22" x14ac:dyDescent="0.25">
      <c r="A240" s="30"/>
      <c r="B240" s="34" t="str">
        <f t="shared" si="30"/>
        <v/>
      </c>
      <c r="C240" s="34" t="str">
        <f t="shared" si="31"/>
        <v/>
      </c>
      <c r="D240" s="36" t="str">
        <f t="shared" si="32"/>
        <v/>
      </c>
      <c r="E240" s="36" t="str">
        <f t="shared" si="33"/>
        <v/>
      </c>
      <c r="F240" s="36" t="str">
        <f t="shared" si="34"/>
        <v/>
      </c>
      <c r="G240" s="30"/>
      <c r="H240" s="33"/>
      <c r="I240" s="31"/>
      <c r="J240" s="31"/>
      <c r="K240" s="13" t="str">
        <f t="shared" si="35"/>
        <v/>
      </c>
      <c r="L240" s="49"/>
      <c r="M240" s="49"/>
      <c r="N240" s="30"/>
      <c r="O240" s="30"/>
      <c r="P240" s="30"/>
      <c r="Q240" s="30"/>
      <c r="R240" s="11" t="str">
        <f t="shared" si="36"/>
        <v/>
      </c>
      <c r="S240" s="55" t="str">
        <f t="shared" si="37"/>
        <v/>
      </c>
      <c r="T240" s="37" t="str">
        <f t="shared" si="38"/>
        <v/>
      </c>
      <c r="U240" s="29" t="str">
        <f t="shared" si="39"/>
        <v/>
      </c>
      <c r="V240" s="33"/>
    </row>
    <row r="241" spans="1:22" x14ac:dyDescent="0.25">
      <c r="A241" s="30"/>
      <c r="B241" s="34" t="str">
        <f t="shared" si="30"/>
        <v/>
      </c>
      <c r="C241" s="34" t="str">
        <f t="shared" si="31"/>
        <v/>
      </c>
      <c r="D241" s="36" t="str">
        <f t="shared" si="32"/>
        <v/>
      </c>
      <c r="E241" s="36" t="str">
        <f t="shared" si="33"/>
        <v/>
      </c>
      <c r="F241" s="36" t="str">
        <f t="shared" si="34"/>
        <v/>
      </c>
      <c r="G241" s="30"/>
      <c r="H241" s="33"/>
      <c r="I241" s="31"/>
      <c r="J241" s="31"/>
      <c r="K241" s="13" t="str">
        <f t="shared" si="35"/>
        <v/>
      </c>
      <c r="L241" s="49"/>
      <c r="M241" s="49"/>
      <c r="N241" s="30"/>
      <c r="O241" s="30"/>
      <c r="P241" s="30"/>
      <c r="Q241" s="30"/>
      <c r="R241" s="11" t="str">
        <f t="shared" si="36"/>
        <v/>
      </c>
      <c r="S241" s="55" t="str">
        <f t="shared" si="37"/>
        <v/>
      </c>
      <c r="T241" s="37" t="str">
        <f t="shared" si="38"/>
        <v/>
      </c>
      <c r="U241" s="29" t="str">
        <f t="shared" si="39"/>
        <v/>
      </c>
      <c r="V241" s="33"/>
    </row>
    <row r="242" spans="1:22" x14ac:dyDescent="0.25">
      <c r="A242" s="30"/>
      <c r="B242" s="34" t="str">
        <f t="shared" si="30"/>
        <v/>
      </c>
      <c r="C242" s="34" t="str">
        <f t="shared" si="31"/>
        <v/>
      </c>
      <c r="D242" s="36" t="str">
        <f t="shared" si="32"/>
        <v/>
      </c>
      <c r="E242" s="36" t="str">
        <f t="shared" si="33"/>
        <v/>
      </c>
      <c r="F242" s="36" t="str">
        <f t="shared" si="34"/>
        <v/>
      </c>
      <c r="G242" s="30"/>
      <c r="H242" s="33"/>
      <c r="I242" s="31"/>
      <c r="J242" s="31"/>
      <c r="K242" s="13" t="str">
        <f t="shared" si="35"/>
        <v/>
      </c>
      <c r="L242" s="49"/>
      <c r="M242" s="49"/>
      <c r="N242" s="30"/>
      <c r="O242" s="30"/>
      <c r="P242" s="30"/>
      <c r="Q242" s="30"/>
      <c r="R242" s="11" t="str">
        <f t="shared" si="36"/>
        <v/>
      </c>
      <c r="S242" s="55" t="str">
        <f t="shared" si="37"/>
        <v/>
      </c>
      <c r="T242" s="37" t="str">
        <f t="shared" si="38"/>
        <v/>
      </c>
      <c r="U242" s="29" t="str">
        <f t="shared" si="39"/>
        <v/>
      </c>
      <c r="V242" s="33"/>
    </row>
    <row r="243" spans="1:22" x14ac:dyDescent="0.25">
      <c r="A243" s="30"/>
      <c r="B243" s="34" t="str">
        <f t="shared" si="30"/>
        <v/>
      </c>
      <c r="C243" s="34" t="str">
        <f t="shared" si="31"/>
        <v/>
      </c>
      <c r="D243" s="36" t="str">
        <f t="shared" si="32"/>
        <v/>
      </c>
      <c r="E243" s="36" t="str">
        <f t="shared" si="33"/>
        <v/>
      </c>
      <c r="F243" s="36" t="str">
        <f t="shared" si="34"/>
        <v/>
      </c>
      <c r="G243" s="30"/>
      <c r="H243" s="33"/>
      <c r="I243" s="31"/>
      <c r="J243" s="31"/>
      <c r="K243" s="13" t="str">
        <f t="shared" si="35"/>
        <v/>
      </c>
      <c r="L243" s="49"/>
      <c r="M243" s="49"/>
      <c r="N243" s="30"/>
      <c r="O243" s="30"/>
      <c r="P243" s="30"/>
      <c r="Q243" s="30"/>
      <c r="R243" s="11" t="str">
        <f t="shared" si="36"/>
        <v/>
      </c>
      <c r="S243" s="55" t="str">
        <f t="shared" si="37"/>
        <v/>
      </c>
      <c r="T243" s="37" t="str">
        <f t="shared" si="38"/>
        <v/>
      </c>
      <c r="U243" s="29" t="str">
        <f t="shared" si="39"/>
        <v/>
      </c>
      <c r="V243" s="33"/>
    </row>
    <row r="244" spans="1:22" x14ac:dyDescent="0.25">
      <c r="A244" s="30"/>
      <c r="B244" s="34" t="str">
        <f t="shared" si="30"/>
        <v/>
      </c>
      <c r="C244" s="34" t="str">
        <f t="shared" si="31"/>
        <v/>
      </c>
      <c r="D244" s="36" t="str">
        <f t="shared" si="32"/>
        <v/>
      </c>
      <c r="E244" s="36" t="str">
        <f t="shared" si="33"/>
        <v/>
      </c>
      <c r="F244" s="36" t="str">
        <f t="shared" si="34"/>
        <v/>
      </c>
      <c r="G244" s="30"/>
      <c r="H244" s="33"/>
      <c r="I244" s="31"/>
      <c r="J244" s="31"/>
      <c r="K244" s="13" t="str">
        <f t="shared" si="35"/>
        <v/>
      </c>
      <c r="L244" s="49"/>
      <c r="M244" s="49"/>
      <c r="N244" s="30"/>
      <c r="O244" s="30"/>
      <c r="P244" s="30"/>
      <c r="Q244" s="30"/>
      <c r="R244" s="11" t="str">
        <f t="shared" si="36"/>
        <v/>
      </c>
      <c r="S244" s="55" t="str">
        <f t="shared" si="37"/>
        <v/>
      </c>
      <c r="T244" s="37" t="str">
        <f t="shared" si="38"/>
        <v/>
      </c>
      <c r="U244" s="29" t="str">
        <f t="shared" si="39"/>
        <v/>
      </c>
      <c r="V244" s="33"/>
    </row>
    <row r="245" spans="1:22" x14ac:dyDescent="0.25">
      <c r="A245" s="30"/>
      <c r="B245" s="34" t="str">
        <f t="shared" si="30"/>
        <v/>
      </c>
      <c r="C245" s="34" t="str">
        <f t="shared" si="31"/>
        <v/>
      </c>
      <c r="D245" s="36" t="str">
        <f t="shared" si="32"/>
        <v/>
      </c>
      <c r="E245" s="36" t="str">
        <f t="shared" si="33"/>
        <v/>
      </c>
      <c r="F245" s="36" t="str">
        <f t="shared" si="34"/>
        <v/>
      </c>
      <c r="G245" s="30"/>
      <c r="H245" s="33"/>
      <c r="I245" s="31"/>
      <c r="J245" s="31"/>
      <c r="K245" s="13" t="str">
        <f t="shared" si="35"/>
        <v/>
      </c>
      <c r="L245" s="49"/>
      <c r="M245" s="49"/>
      <c r="N245" s="30"/>
      <c r="O245" s="30"/>
      <c r="P245" s="30"/>
      <c r="Q245" s="30"/>
      <c r="R245" s="11" t="str">
        <f t="shared" si="36"/>
        <v/>
      </c>
      <c r="S245" s="55" t="str">
        <f t="shared" si="37"/>
        <v/>
      </c>
      <c r="T245" s="37" t="str">
        <f t="shared" si="38"/>
        <v/>
      </c>
      <c r="U245" s="29" t="str">
        <f t="shared" si="39"/>
        <v/>
      </c>
      <c r="V245" s="33"/>
    </row>
    <row r="246" spans="1:22" x14ac:dyDescent="0.25">
      <c r="A246" s="30"/>
      <c r="B246" s="34" t="str">
        <f t="shared" si="30"/>
        <v/>
      </c>
      <c r="C246" s="34" t="str">
        <f t="shared" si="31"/>
        <v/>
      </c>
      <c r="D246" s="36" t="str">
        <f t="shared" si="32"/>
        <v/>
      </c>
      <c r="E246" s="36" t="str">
        <f t="shared" si="33"/>
        <v/>
      </c>
      <c r="F246" s="36" t="str">
        <f t="shared" si="34"/>
        <v/>
      </c>
      <c r="G246" s="30"/>
      <c r="H246" s="33"/>
      <c r="I246" s="31"/>
      <c r="J246" s="31"/>
      <c r="K246" s="13" t="str">
        <f t="shared" si="35"/>
        <v/>
      </c>
      <c r="L246" s="49"/>
      <c r="M246" s="49"/>
      <c r="N246" s="30"/>
      <c r="O246" s="30"/>
      <c r="P246" s="30"/>
      <c r="Q246" s="30"/>
      <c r="R246" s="11" t="str">
        <f t="shared" si="36"/>
        <v/>
      </c>
      <c r="S246" s="55" t="str">
        <f t="shared" si="37"/>
        <v/>
      </c>
      <c r="T246" s="37" t="str">
        <f t="shared" si="38"/>
        <v/>
      </c>
      <c r="U246" s="29" t="str">
        <f t="shared" si="39"/>
        <v/>
      </c>
      <c r="V246" s="33"/>
    </row>
    <row r="247" spans="1:22" x14ac:dyDescent="0.25">
      <c r="A247" s="30"/>
      <c r="B247" s="34" t="str">
        <f t="shared" si="30"/>
        <v/>
      </c>
      <c r="C247" s="34" t="str">
        <f t="shared" si="31"/>
        <v/>
      </c>
      <c r="D247" s="36" t="str">
        <f t="shared" si="32"/>
        <v/>
      </c>
      <c r="E247" s="36" t="str">
        <f t="shared" si="33"/>
        <v/>
      </c>
      <c r="F247" s="36" t="str">
        <f t="shared" si="34"/>
        <v/>
      </c>
      <c r="G247" s="30"/>
      <c r="H247" s="33"/>
      <c r="I247" s="31"/>
      <c r="J247" s="31"/>
      <c r="K247" s="13" t="str">
        <f t="shared" si="35"/>
        <v/>
      </c>
      <c r="L247" s="49"/>
      <c r="M247" s="49"/>
      <c r="N247" s="30"/>
      <c r="O247" s="30"/>
      <c r="P247" s="30"/>
      <c r="Q247" s="30"/>
      <c r="R247" s="11" t="str">
        <f t="shared" si="36"/>
        <v/>
      </c>
      <c r="S247" s="55" t="str">
        <f t="shared" si="37"/>
        <v/>
      </c>
      <c r="T247" s="37" t="str">
        <f t="shared" si="38"/>
        <v/>
      </c>
      <c r="U247" s="29" t="str">
        <f t="shared" si="39"/>
        <v/>
      </c>
      <c r="V247" s="33"/>
    </row>
    <row r="248" spans="1:22" x14ac:dyDescent="0.25">
      <c r="A248" s="30"/>
      <c r="B248" s="34" t="str">
        <f t="shared" si="30"/>
        <v/>
      </c>
      <c r="C248" s="34" t="str">
        <f t="shared" si="31"/>
        <v/>
      </c>
      <c r="D248" s="36" t="str">
        <f t="shared" si="32"/>
        <v/>
      </c>
      <c r="E248" s="36" t="str">
        <f t="shared" si="33"/>
        <v/>
      </c>
      <c r="F248" s="36" t="str">
        <f t="shared" si="34"/>
        <v/>
      </c>
      <c r="G248" s="30"/>
      <c r="H248" s="33"/>
      <c r="I248" s="31"/>
      <c r="J248" s="31"/>
      <c r="K248" s="13" t="str">
        <f t="shared" si="35"/>
        <v/>
      </c>
      <c r="L248" s="49"/>
      <c r="M248" s="49"/>
      <c r="N248" s="30"/>
      <c r="O248" s="30"/>
      <c r="P248" s="30"/>
      <c r="Q248" s="30"/>
      <c r="R248" s="11" t="str">
        <f t="shared" si="36"/>
        <v/>
      </c>
      <c r="S248" s="55" t="str">
        <f t="shared" si="37"/>
        <v/>
      </c>
      <c r="T248" s="37" t="str">
        <f t="shared" si="38"/>
        <v/>
      </c>
      <c r="U248" s="29" t="str">
        <f t="shared" si="39"/>
        <v/>
      </c>
      <c r="V248" s="33"/>
    </row>
    <row r="249" spans="1:22" x14ac:dyDescent="0.25">
      <c r="A249" s="30"/>
      <c r="B249" s="34" t="str">
        <f t="shared" si="30"/>
        <v/>
      </c>
      <c r="C249" s="34" t="str">
        <f t="shared" si="31"/>
        <v/>
      </c>
      <c r="D249" s="36" t="str">
        <f t="shared" si="32"/>
        <v/>
      </c>
      <c r="E249" s="36" t="str">
        <f t="shared" si="33"/>
        <v/>
      </c>
      <c r="F249" s="36" t="str">
        <f t="shared" si="34"/>
        <v/>
      </c>
      <c r="G249" s="30"/>
      <c r="H249" s="33"/>
      <c r="I249" s="31"/>
      <c r="J249" s="31"/>
      <c r="K249" s="13" t="str">
        <f t="shared" si="35"/>
        <v/>
      </c>
      <c r="L249" s="49"/>
      <c r="M249" s="49"/>
      <c r="N249" s="30"/>
      <c r="O249" s="30"/>
      <c r="P249" s="30"/>
      <c r="Q249" s="30"/>
      <c r="R249" s="11" t="str">
        <f t="shared" si="36"/>
        <v/>
      </c>
      <c r="S249" s="55" t="str">
        <f t="shared" si="37"/>
        <v/>
      </c>
      <c r="T249" s="37" t="str">
        <f t="shared" si="38"/>
        <v/>
      </c>
      <c r="U249" s="29" t="str">
        <f t="shared" si="39"/>
        <v/>
      </c>
      <c r="V249" s="33"/>
    </row>
    <row r="250" spans="1:22" x14ac:dyDescent="0.25">
      <c r="A250" s="30"/>
      <c r="B250" s="34" t="str">
        <f t="shared" si="30"/>
        <v/>
      </c>
      <c r="C250" s="34" t="str">
        <f t="shared" si="31"/>
        <v/>
      </c>
      <c r="D250" s="36" t="str">
        <f t="shared" si="32"/>
        <v/>
      </c>
      <c r="E250" s="36" t="str">
        <f t="shared" si="33"/>
        <v/>
      </c>
      <c r="F250" s="36" t="str">
        <f t="shared" si="34"/>
        <v/>
      </c>
      <c r="G250" s="30"/>
      <c r="H250" s="33"/>
      <c r="I250" s="31"/>
      <c r="J250" s="31"/>
      <c r="K250" s="13" t="str">
        <f t="shared" si="35"/>
        <v/>
      </c>
      <c r="L250" s="49"/>
      <c r="M250" s="49"/>
      <c r="N250" s="30"/>
      <c r="O250" s="30"/>
      <c r="P250" s="30"/>
      <c r="Q250" s="30"/>
      <c r="R250" s="11" t="str">
        <f t="shared" si="36"/>
        <v/>
      </c>
      <c r="S250" s="55" t="str">
        <f t="shared" si="37"/>
        <v/>
      </c>
      <c r="T250" s="37" t="str">
        <f t="shared" si="38"/>
        <v/>
      </c>
      <c r="U250" s="29" t="str">
        <f t="shared" si="39"/>
        <v/>
      </c>
      <c r="V250" s="33"/>
    </row>
    <row r="251" spans="1:22" x14ac:dyDescent="0.25">
      <c r="A251" s="30"/>
      <c r="B251" s="34" t="str">
        <f t="shared" si="30"/>
        <v/>
      </c>
      <c r="C251" s="34" t="str">
        <f t="shared" si="31"/>
        <v/>
      </c>
      <c r="D251" s="36" t="str">
        <f t="shared" si="32"/>
        <v/>
      </c>
      <c r="E251" s="36" t="str">
        <f t="shared" si="33"/>
        <v/>
      </c>
      <c r="F251" s="36" t="str">
        <f t="shared" si="34"/>
        <v/>
      </c>
      <c r="G251" s="30"/>
      <c r="H251" s="33"/>
      <c r="I251" s="31"/>
      <c r="J251" s="31"/>
      <c r="K251" s="13" t="str">
        <f t="shared" si="35"/>
        <v/>
      </c>
      <c r="L251" s="49"/>
      <c r="M251" s="49"/>
      <c r="N251" s="30"/>
      <c r="O251" s="30"/>
      <c r="P251" s="30"/>
      <c r="Q251" s="30"/>
      <c r="R251" s="11" t="str">
        <f t="shared" si="36"/>
        <v/>
      </c>
      <c r="S251" s="55" t="str">
        <f t="shared" si="37"/>
        <v/>
      </c>
      <c r="T251" s="37" t="str">
        <f t="shared" si="38"/>
        <v/>
      </c>
      <c r="U251" s="29" t="str">
        <f t="shared" si="39"/>
        <v/>
      </c>
      <c r="V251" s="33"/>
    </row>
    <row r="252" spans="1:22" x14ac:dyDescent="0.25">
      <c r="A252" s="30"/>
      <c r="B252" s="34" t="str">
        <f t="shared" si="30"/>
        <v/>
      </c>
      <c r="C252" s="34" t="str">
        <f t="shared" si="31"/>
        <v/>
      </c>
      <c r="D252" s="36" t="str">
        <f t="shared" si="32"/>
        <v/>
      </c>
      <c r="E252" s="36" t="str">
        <f t="shared" si="33"/>
        <v/>
      </c>
      <c r="F252" s="36" t="str">
        <f t="shared" si="34"/>
        <v/>
      </c>
      <c r="G252" s="30"/>
      <c r="H252" s="33"/>
      <c r="I252" s="31"/>
      <c r="J252" s="31"/>
      <c r="K252" s="13" t="str">
        <f t="shared" si="35"/>
        <v/>
      </c>
      <c r="L252" s="49"/>
      <c r="M252" s="49"/>
      <c r="N252" s="30"/>
      <c r="O252" s="30"/>
      <c r="P252" s="30"/>
      <c r="Q252" s="30"/>
      <c r="R252" s="11" t="str">
        <f t="shared" si="36"/>
        <v/>
      </c>
      <c r="S252" s="55" t="str">
        <f t="shared" si="37"/>
        <v/>
      </c>
      <c r="T252" s="37" t="str">
        <f t="shared" si="38"/>
        <v/>
      </c>
      <c r="U252" s="29" t="str">
        <f t="shared" si="39"/>
        <v/>
      </c>
      <c r="V252" s="33"/>
    </row>
    <row r="253" spans="1:22" x14ac:dyDescent="0.25">
      <c r="A253" s="30"/>
      <c r="B253" s="34" t="str">
        <f t="shared" si="30"/>
        <v/>
      </c>
      <c r="C253" s="34" t="str">
        <f t="shared" si="31"/>
        <v/>
      </c>
      <c r="D253" s="36" t="str">
        <f t="shared" si="32"/>
        <v/>
      </c>
      <c r="E253" s="36" t="str">
        <f t="shared" si="33"/>
        <v/>
      </c>
      <c r="F253" s="36" t="str">
        <f t="shared" si="34"/>
        <v/>
      </c>
      <c r="G253" s="30"/>
      <c r="H253" s="33"/>
      <c r="I253" s="31"/>
      <c r="J253" s="31"/>
      <c r="K253" s="13" t="str">
        <f t="shared" si="35"/>
        <v/>
      </c>
      <c r="L253" s="49"/>
      <c r="M253" s="49"/>
      <c r="N253" s="30"/>
      <c r="O253" s="30"/>
      <c r="P253" s="30"/>
      <c r="Q253" s="30"/>
      <c r="R253" s="11" t="str">
        <f t="shared" si="36"/>
        <v/>
      </c>
      <c r="S253" s="55" t="str">
        <f t="shared" si="37"/>
        <v/>
      </c>
      <c r="T253" s="37" t="str">
        <f t="shared" si="38"/>
        <v/>
      </c>
      <c r="U253" s="29" t="str">
        <f t="shared" si="39"/>
        <v/>
      </c>
      <c r="V253" s="33"/>
    </row>
    <row r="254" spans="1:22" x14ac:dyDescent="0.25">
      <c r="A254" s="30"/>
      <c r="B254" s="34" t="str">
        <f t="shared" si="30"/>
        <v/>
      </c>
      <c r="C254" s="34" t="str">
        <f t="shared" si="31"/>
        <v/>
      </c>
      <c r="D254" s="36" t="str">
        <f t="shared" si="32"/>
        <v/>
      </c>
      <c r="E254" s="36" t="str">
        <f t="shared" si="33"/>
        <v/>
      </c>
      <c r="F254" s="36" t="str">
        <f t="shared" si="34"/>
        <v/>
      </c>
      <c r="G254" s="30"/>
      <c r="H254" s="33"/>
      <c r="I254" s="31"/>
      <c r="J254" s="31"/>
      <c r="K254" s="13" t="str">
        <f t="shared" si="35"/>
        <v/>
      </c>
      <c r="L254" s="49"/>
      <c r="M254" s="49"/>
      <c r="N254" s="30"/>
      <c r="O254" s="30"/>
      <c r="P254" s="30"/>
      <c r="Q254" s="30"/>
      <c r="R254" s="11" t="str">
        <f t="shared" si="36"/>
        <v/>
      </c>
      <c r="S254" s="55" t="str">
        <f t="shared" si="37"/>
        <v/>
      </c>
      <c r="T254" s="37" t="str">
        <f t="shared" si="38"/>
        <v/>
      </c>
      <c r="U254" s="29" t="str">
        <f t="shared" si="39"/>
        <v/>
      </c>
      <c r="V254" s="33"/>
    </row>
    <row r="255" spans="1:22" x14ac:dyDescent="0.25">
      <c r="A255" s="30"/>
      <c r="B255" s="34" t="str">
        <f t="shared" si="30"/>
        <v/>
      </c>
      <c r="C255" s="34" t="str">
        <f t="shared" si="31"/>
        <v/>
      </c>
      <c r="D255" s="36" t="str">
        <f t="shared" si="32"/>
        <v/>
      </c>
      <c r="E255" s="36" t="str">
        <f t="shared" si="33"/>
        <v/>
      </c>
      <c r="F255" s="36" t="str">
        <f t="shared" si="34"/>
        <v/>
      </c>
      <c r="G255" s="30"/>
      <c r="H255" s="33"/>
      <c r="I255" s="31"/>
      <c r="J255" s="31"/>
      <c r="K255" s="13" t="str">
        <f t="shared" si="35"/>
        <v/>
      </c>
      <c r="L255" s="49"/>
      <c r="M255" s="49"/>
      <c r="N255" s="30"/>
      <c r="O255" s="30"/>
      <c r="P255" s="30"/>
      <c r="Q255" s="30"/>
      <c r="R255" s="11" t="str">
        <f t="shared" si="36"/>
        <v/>
      </c>
      <c r="S255" s="55" t="str">
        <f t="shared" si="37"/>
        <v/>
      </c>
      <c r="T255" s="37" t="str">
        <f t="shared" si="38"/>
        <v/>
      </c>
      <c r="U255" s="29" t="str">
        <f t="shared" si="39"/>
        <v/>
      </c>
      <c r="V255" s="33"/>
    </row>
    <row r="256" spans="1:22" x14ac:dyDescent="0.25">
      <c r="A256" s="30"/>
      <c r="B256" s="34" t="str">
        <f t="shared" si="30"/>
        <v/>
      </c>
      <c r="C256" s="34" t="str">
        <f t="shared" si="31"/>
        <v/>
      </c>
      <c r="D256" s="36" t="str">
        <f t="shared" si="32"/>
        <v/>
      </c>
      <c r="E256" s="36" t="str">
        <f t="shared" si="33"/>
        <v/>
      </c>
      <c r="F256" s="36" t="str">
        <f t="shared" si="34"/>
        <v/>
      </c>
      <c r="G256" s="30"/>
      <c r="H256" s="33"/>
      <c r="I256" s="31"/>
      <c r="J256" s="31"/>
      <c r="K256" s="13" t="str">
        <f t="shared" si="35"/>
        <v/>
      </c>
      <c r="L256" s="49"/>
      <c r="M256" s="49"/>
      <c r="N256" s="30"/>
      <c r="O256" s="30"/>
      <c r="P256" s="30"/>
      <c r="Q256" s="30"/>
      <c r="R256" s="11" t="str">
        <f t="shared" si="36"/>
        <v/>
      </c>
      <c r="S256" s="55" t="str">
        <f t="shared" si="37"/>
        <v/>
      </c>
      <c r="T256" s="37" t="str">
        <f t="shared" si="38"/>
        <v/>
      </c>
      <c r="U256" s="29" t="str">
        <f t="shared" si="39"/>
        <v/>
      </c>
      <c r="V256" s="33"/>
    </row>
    <row r="257" spans="1:22" x14ac:dyDescent="0.25">
      <c r="A257" s="30"/>
      <c r="B257" s="34" t="str">
        <f t="shared" si="30"/>
        <v/>
      </c>
      <c r="C257" s="34" t="str">
        <f t="shared" si="31"/>
        <v/>
      </c>
      <c r="D257" s="36" t="str">
        <f t="shared" si="32"/>
        <v/>
      </c>
      <c r="E257" s="36" t="str">
        <f t="shared" si="33"/>
        <v/>
      </c>
      <c r="F257" s="36" t="str">
        <f t="shared" si="34"/>
        <v/>
      </c>
      <c r="G257" s="30"/>
      <c r="H257" s="33"/>
      <c r="I257" s="31"/>
      <c r="J257" s="31"/>
      <c r="K257" s="13" t="str">
        <f t="shared" si="35"/>
        <v/>
      </c>
      <c r="L257" s="49"/>
      <c r="M257" s="49"/>
      <c r="N257" s="30"/>
      <c r="O257" s="30"/>
      <c r="P257" s="30"/>
      <c r="Q257" s="30"/>
      <c r="R257" s="11" t="str">
        <f t="shared" si="36"/>
        <v/>
      </c>
      <c r="S257" s="55" t="str">
        <f t="shared" si="37"/>
        <v/>
      </c>
      <c r="T257" s="37" t="str">
        <f t="shared" si="38"/>
        <v/>
      </c>
      <c r="U257" s="29" t="str">
        <f t="shared" si="39"/>
        <v/>
      </c>
      <c r="V257" s="33"/>
    </row>
    <row r="258" spans="1:22" x14ac:dyDescent="0.25">
      <c r="A258" s="30"/>
      <c r="B258" s="34" t="str">
        <f t="shared" si="30"/>
        <v/>
      </c>
      <c r="C258" s="34" t="str">
        <f t="shared" si="31"/>
        <v/>
      </c>
      <c r="D258" s="36" t="str">
        <f t="shared" si="32"/>
        <v/>
      </c>
      <c r="E258" s="36" t="str">
        <f t="shared" si="33"/>
        <v/>
      </c>
      <c r="F258" s="36" t="str">
        <f t="shared" si="34"/>
        <v/>
      </c>
      <c r="G258" s="30"/>
      <c r="H258" s="33"/>
      <c r="I258" s="31"/>
      <c r="J258" s="31"/>
      <c r="K258" s="13" t="str">
        <f t="shared" si="35"/>
        <v/>
      </c>
      <c r="L258" s="49"/>
      <c r="M258" s="49"/>
      <c r="N258" s="30"/>
      <c r="O258" s="30"/>
      <c r="P258" s="30"/>
      <c r="Q258" s="30"/>
      <c r="R258" s="11" t="str">
        <f t="shared" si="36"/>
        <v/>
      </c>
      <c r="S258" s="55" t="str">
        <f t="shared" si="37"/>
        <v/>
      </c>
      <c r="T258" s="37" t="str">
        <f t="shared" si="38"/>
        <v/>
      </c>
      <c r="U258" s="29" t="str">
        <f t="shared" si="39"/>
        <v/>
      </c>
      <c r="V258" s="33"/>
    </row>
    <row r="259" spans="1:22" x14ac:dyDescent="0.25">
      <c r="A259" s="30"/>
      <c r="B259" s="34" t="str">
        <f t="shared" si="30"/>
        <v/>
      </c>
      <c r="C259" s="34" t="str">
        <f t="shared" si="31"/>
        <v/>
      </c>
      <c r="D259" s="36" t="str">
        <f t="shared" si="32"/>
        <v/>
      </c>
      <c r="E259" s="36" t="str">
        <f t="shared" si="33"/>
        <v/>
      </c>
      <c r="F259" s="36" t="str">
        <f t="shared" si="34"/>
        <v/>
      </c>
      <c r="G259" s="30"/>
      <c r="H259" s="33"/>
      <c r="I259" s="31"/>
      <c r="J259" s="31"/>
      <c r="K259" s="13" t="str">
        <f t="shared" si="35"/>
        <v/>
      </c>
      <c r="L259" s="49"/>
      <c r="M259" s="49"/>
      <c r="N259" s="30"/>
      <c r="O259" s="30"/>
      <c r="P259" s="30"/>
      <c r="Q259" s="30"/>
      <c r="R259" s="11" t="str">
        <f t="shared" si="36"/>
        <v/>
      </c>
      <c r="S259" s="55" t="str">
        <f t="shared" si="37"/>
        <v/>
      </c>
      <c r="T259" s="37" t="str">
        <f t="shared" si="38"/>
        <v/>
      </c>
      <c r="U259" s="29" t="str">
        <f t="shared" si="39"/>
        <v/>
      </c>
      <c r="V259" s="33"/>
    </row>
    <row r="260" spans="1:22" x14ac:dyDescent="0.25">
      <c r="A260" s="30"/>
      <c r="B260" s="34" t="str">
        <f t="shared" si="30"/>
        <v/>
      </c>
      <c r="C260" s="34" t="str">
        <f t="shared" si="31"/>
        <v/>
      </c>
      <c r="D260" s="36" t="str">
        <f t="shared" si="32"/>
        <v/>
      </c>
      <c r="E260" s="36" t="str">
        <f t="shared" si="33"/>
        <v/>
      </c>
      <c r="F260" s="36" t="str">
        <f t="shared" si="34"/>
        <v/>
      </c>
      <c r="G260" s="30"/>
      <c r="H260" s="33"/>
      <c r="I260" s="31"/>
      <c r="J260" s="31"/>
      <c r="K260" s="13" t="str">
        <f t="shared" si="35"/>
        <v/>
      </c>
      <c r="L260" s="49"/>
      <c r="M260" s="49"/>
      <c r="N260" s="30"/>
      <c r="O260" s="30"/>
      <c r="P260" s="30"/>
      <c r="Q260" s="30"/>
      <c r="R260" s="11" t="str">
        <f t="shared" si="36"/>
        <v/>
      </c>
      <c r="S260" s="55" t="str">
        <f t="shared" si="37"/>
        <v/>
      </c>
      <c r="T260" s="37" t="str">
        <f t="shared" si="38"/>
        <v/>
      </c>
      <c r="U260" s="29" t="str">
        <f t="shared" si="39"/>
        <v/>
      </c>
      <c r="V260" s="33"/>
    </row>
    <row r="261" spans="1:22" x14ac:dyDescent="0.25">
      <c r="A261" s="30"/>
      <c r="B261" s="34" t="str">
        <f t="shared" ref="B261:B324" si="40">IFERROR(IF($A261="","",VLOOKUP($A261,CAD_TAB,2,FALSE)),"")</f>
        <v/>
      </c>
      <c r="C261" s="34" t="str">
        <f t="shared" ref="C261:C324" si="41">IFERROR(IF($A261="","",VLOOKUP($A261,CAD_TAB,3,FALSE)),"")</f>
        <v/>
      </c>
      <c r="D261" s="36" t="str">
        <f t="shared" ref="D261:D324" si="42">IFERROR(IF($A261="","",VLOOKUP($A261,CAD_TAB,9,FALSE)),"")</f>
        <v/>
      </c>
      <c r="E261" s="36" t="str">
        <f t="shared" ref="E261:E324" si="43">IFERROR(IF($A261="","",VLOOKUP($A261,CAD_TAB,11,FALSE)),"")</f>
        <v/>
      </c>
      <c r="F261" s="36" t="str">
        <f t="shared" ref="F261:F324" si="44">IFERROR(IF($A261="","",VLOOKUP($A261,CAD_TAB,8,FALSE)),"")</f>
        <v/>
      </c>
      <c r="G261" s="30"/>
      <c r="H261" s="33"/>
      <c r="I261" s="31"/>
      <c r="J261" s="31"/>
      <c r="K261" s="13" t="str">
        <f t="shared" ref="K261:K324" si="45">IF(OR($I261="",$J261=""),"",$J261-$I261+1)</f>
        <v/>
      </c>
      <c r="L261" s="49"/>
      <c r="M261" s="49"/>
      <c r="N261" s="30"/>
      <c r="O261" s="30"/>
      <c r="P261" s="30"/>
      <c r="Q261" s="30"/>
      <c r="R261" s="11" t="str">
        <f t="shared" ref="R261:R324" si="46">IF($A261="","",COUNTIFS(MED_ID,$A261))</f>
        <v/>
      </c>
      <c r="S261" s="55" t="str">
        <f t="shared" ref="S261:S324" si="47">IF($A261="","",SUMIFS(MED_VLR,MED_ID,$A261))</f>
        <v/>
      </c>
      <c r="T261" s="37" t="str">
        <f t="shared" ref="T261:T324" si="48">IF($J261="","",EOMONTH($J261,0))</f>
        <v/>
      </c>
      <c r="U261" s="29" t="str">
        <f t="shared" ref="U261:U324" si="49">IF($A261="","",IF($V261="CANCELADA","CANCELADA",IF($S261&gt;0,"MEDIDA",IF($J261="","EM EXECUÇÃO",IF(OR($N261="NÃO",$O261="NÃO",$P261="NÃO"),"AGUARDANDO PAVIMENTO","CONCLUÍDA")))))</f>
        <v/>
      </c>
      <c r="V261" s="33"/>
    </row>
    <row r="262" spans="1:22" x14ac:dyDescent="0.25">
      <c r="A262" s="30"/>
      <c r="B262" s="34" t="str">
        <f t="shared" si="40"/>
        <v/>
      </c>
      <c r="C262" s="34" t="str">
        <f t="shared" si="41"/>
        <v/>
      </c>
      <c r="D262" s="36" t="str">
        <f t="shared" si="42"/>
        <v/>
      </c>
      <c r="E262" s="36" t="str">
        <f t="shared" si="43"/>
        <v/>
      </c>
      <c r="F262" s="36" t="str">
        <f t="shared" si="44"/>
        <v/>
      </c>
      <c r="G262" s="30"/>
      <c r="H262" s="33"/>
      <c r="I262" s="31"/>
      <c r="J262" s="31"/>
      <c r="K262" s="13" t="str">
        <f t="shared" si="45"/>
        <v/>
      </c>
      <c r="L262" s="49"/>
      <c r="M262" s="49"/>
      <c r="N262" s="30"/>
      <c r="O262" s="30"/>
      <c r="P262" s="30"/>
      <c r="Q262" s="30"/>
      <c r="R262" s="11" t="str">
        <f t="shared" si="46"/>
        <v/>
      </c>
      <c r="S262" s="55" t="str">
        <f t="shared" si="47"/>
        <v/>
      </c>
      <c r="T262" s="37" t="str">
        <f t="shared" si="48"/>
        <v/>
      </c>
      <c r="U262" s="29" t="str">
        <f t="shared" si="49"/>
        <v/>
      </c>
      <c r="V262" s="33"/>
    </row>
    <row r="263" spans="1:22" x14ac:dyDescent="0.25">
      <c r="A263" s="30"/>
      <c r="B263" s="34" t="str">
        <f t="shared" si="40"/>
        <v/>
      </c>
      <c r="C263" s="34" t="str">
        <f t="shared" si="41"/>
        <v/>
      </c>
      <c r="D263" s="36" t="str">
        <f t="shared" si="42"/>
        <v/>
      </c>
      <c r="E263" s="36" t="str">
        <f t="shared" si="43"/>
        <v/>
      </c>
      <c r="F263" s="36" t="str">
        <f t="shared" si="44"/>
        <v/>
      </c>
      <c r="G263" s="30"/>
      <c r="H263" s="33"/>
      <c r="I263" s="31"/>
      <c r="J263" s="31"/>
      <c r="K263" s="13" t="str">
        <f t="shared" si="45"/>
        <v/>
      </c>
      <c r="L263" s="49"/>
      <c r="M263" s="49"/>
      <c r="N263" s="30"/>
      <c r="O263" s="30"/>
      <c r="P263" s="30"/>
      <c r="Q263" s="30"/>
      <c r="R263" s="11" t="str">
        <f t="shared" si="46"/>
        <v/>
      </c>
      <c r="S263" s="55" t="str">
        <f t="shared" si="47"/>
        <v/>
      </c>
      <c r="T263" s="37" t="str">
        <f t="shared" si="48"/>
        <v/>
      </c>
      <c r="U263" s="29" t="str">
        <f t="shared" si="49"/>
        <v/>
      </c>
      <c r="V263" s="33"/>
    </row>
    <row r="264" spans="1:22" x14ac:dyDescent="0.25">
      <c r="A264" s="30"/>
      <c r="B264" s="34" t="str">
        <f t="shared" si="40"/>
        <v/>
      </c>
      <c r="C264" s="34" t="str">
        <f t="shared" si="41"/>
        <v/>
      </c>
      <c r="D264" s="36" t="str">
        <f t="shared" si="42"/>
        <v/>
      </c>
      <c r="E264" s="36" t="str">
        <f t="shared" si="43"/>
        <v/>
      </c>
      <c r="F264" s="36" t="str">
        <f t="shared" si="44"/>
        <v/>
      </c>
      <c r="G264" s="30"/>
      <c r="H264" s="33"/>
      <c r="I264" s="31"/>
      <c r="J264" s="31"/>
      <c r="K264" s="13" t="str">
        <f t="shared" si="45"/>
        <v/>
      </c>
      <c r="L264" s="49"/>
      <c r="M264" s="49"/>
      <c r="N264" s="30"/>
      <c r="O264" s="30"/>
      <c r="P264" s="30"/>
      <c r="Q264" s="30"/>
      <c r="R264" s="11" t="str">
        <f t="shared" si="46"/>
        <v/>
      </c>
      <c r="S264" s="55" t="str">
        <f t="shared" si="47"/>
        <v/>
      </c>
      <c r="T264" s="37" t="str">
        <f t="shared" si="48"/>
        <v/>
      </c>
      <c r="U264" s="29" t="str">
        <f t="shared" si="49"/>
        <v/>
      </c>
      <c r="V264" s="33"/>
    </row>
    <row r="265" spans="1:22" x14ac:dyDescent="0.25">
      <c r="A265" s="30"/>
      <c r="B265" s="34" t="str">
        <f t="shared" si="40"/>
        <v/>
      </c>
      <c r="C265" s="34" t="str">
        <f t="shared" si="41"/>
        <v/>
      </c>
      <c r="D265" s="36" t="str">
        <f t="shared" si="42"/>
        <v/>
      </c>
      <c r="E265" s="36" t="str">
        <f t="shared" si="43"/>
        <v/>
      </c>
      <c r="F265" s="36" t="str">
        <f t="shared" si="44"/>
        <v/>
      </c>
      <c r="G265" s="30"/>
      <c r="H265" s="33"/>
      <c r="I265" s="31"/>
      <c r="J265" s="31"/>
      <c r="K265" s="13" t="str">
        <f t="shared" si="45"/>
        <v/>
      </c>
      <c r="L265" s="49"/>
      <c r="M265" s="49"/>
      <c r="N265" s="30"/>
      <c r="O265" s="30"/>
      <c r="P265" s="30"/>
      <c r="Q265" s="30"/>
      <c r="R265" s="11" t="str">
        <f t="shared" si="46"/>
        <v/>
      </c>
      <c r="S265" s="55" t="str">
        <f t="shared" si="47"/>
        <v/>
      </c>
      <c r="T265" s="37" t="str">
        <f t="shared" si="48"/>
        <v/>
      </c>
      <c r="U265" s="29" t="str">
        <f t="shared" si="49"/>
        <v/>
      </c>
      <c r="V265" s="33"/>
    </row>
    <row r="266" spans="1:22" x14ac:dyDescent="0.25">
      <c r="A266" s="30"/>
      <c r="B266" s="34" t="str">
        <f t="shared" si="40"/>
        <v/>
      </c>
      <c r="C266" s="34" t="str">
        <f t="shared" si="41"/>
        <v/>
      </c>
      <c r="D266" s="36" t="str">
        <f t="shared" si="42"/>
        <v/>
      </c>
      <c r="E266" s="36" t="str">
        <f t="shared" si="43"/>
        <v/>
      </c>
      <c r="F266" s="36" t="str">
        <f t="shared" si="44"/>
        <v/>
      </c>
      <c r="G266" s="30"/>
      <c r="H266" s="33"/>
      <c r="I266" s="31"/>
      <c r="J266" s="31"/>
      <c r="K266" s="13" t="str">
        <f t="shared" si="45"/>
        <v/>
      </c>
      <c r="L266" s="49"/>
      <c r="M266" s="49"/>
      <c r="N266" s="30"/>
      <c r="O266" s="30"/>
      <c r="P266" s="30"/>
      <c r="Q266" s="30"/>
      <c r="R266" s="11" t="str">
        <f t="shared" si="46"/>
        <v/>
      </c>
      <c r="S266" s="55" t="str">
        <f t="shared" si="47"/>
        <v/>
      </c>
      <c r="T266" s="37" t="str">
        <f t="shared" si="48"/>
        <v/>
      </c>
      <c r="U266" s="29" t="str">
        <f t="shared" si="49"/>
        <v/>
      </c>
      <c r="V266" s="33"/>
    </row>
    <row r="267" spans="1:22" x14ac:dyDescent="0.25">
      <c r="A267" s="30"/>
      <c r="B267" s="34" t="str">
        <f t="shared" si="40"/>
        <v/>
      </c>
      <c r="C267" s="34" t="str">
        <f t="shared" si="41"/>
        <v/>
      </c>
      <c r="D267" s="36" t="str">
        <f t="shared" si="42"/>
        <v/>
      </c>
      <c r="E267" s="36" t="str">
        <f t="shared" si="43"/>
        <v/>
      </c>
      <c r="F267" s="36" t="str">
        <f t="shared" si="44"/>
        <v/>
      </c>
      <c r="G267" s="30"/>
      <c r="H267" s="33"/>
      <c r="I267" s="31"/>
      <c r="J267" s="31"/>
      <c r="K267" s="13" t="str">
        <f t="shared" si="45"/>
        <v/>
      </c>
      <c r="L267" s="49"/>
      <c r="M267" s="49"/>
      <c r="N267" s="30"/>
      <c r="O267" s="30"/>
      <c r="P267" s="30"/>
      <c r="Q267" s="30"/>
      <c r="R267" s="11" t="str">
        <f t="shared" si="46"/>
        <v/>
      </c>
      <c r="S267" s="55" t="str">
        <f t="shared" si="47"/>
        <v/>
      </c>
      <c r="T267" s="37" t="str">
        <f t="shared" si="48"/>
        <v/>
      </c>
      <c r="U267" s="29" t="str">
        <f t="shared" si="49"/>
        <v/>
      </c>
      <c r="V267" s="33"/>
    </row>
    <row r="268" spans="1:22" x14ac:dyDescent="0.25">
      <c r="A268" s="30"/>
      <c r="B268" s="34" t="str">
        <f t="shared" si="40"/>
        <v/>
      </c>
      <c r="C268" s="34" t="str">
        <f t="shared" si="41"/>
        <v/>
      </c>
      <c r="D268" s="36" t="str">
        <f t="shared" si="42"/>
        <v/>
      </c>
      <c r="E268" s="36" t="str">
        <f t="shared" si="43"/>
        <v/>
      </c>
      <c r="F268" s="36" t="str">
        <f t="shared" si="44"/>
        <v/>
      </c>
      <c r="G268" s="30"/>
      <c r="H268" s="33"/>
      <c r="I268" s="31"/>
      <c r="J268" s="31"/>
      <c r="K268" s="13" t="str">
        <f t="shared" si="45"/>
        <v/>
      </c>
      <c r="L268" s="49"/>
      <c r="M268" s="49"/>
      <c r="N268" s="30"/>
      <c r="O268" s="30"/>
      <c r="P268" s="30"/>
      <c r="Q268" s="30"/>
      <c r="R268" s="11" t="str">
        <f t="shared" si="46"/>
        <v/>
      </c>
      <c r="S268" s="55" t="str">
        <f t="shared" si="47"/>
        <v/>
      </c>
      <c r="T268" s="37" t="str">
        <f t="shared" si="48"/>
        <v/>
      </c>
      <c r="U268" s="29" t="str">
        <f t="shared" si="49"/>
        <v/>
      </c>
      <c r="V268" s="33"/>
    </row>
    <row r="269" spans="1:22" x14ac:dyDescent="0.25">
      <c r="A269" s="30"/>
      <c r="B269" s="34" t="str">
        <f t="shared" si="40"/>
        <v/>
      </c>
      <c r="C269" s="34" t="str">
        <f t="shared" si="41"/>
        <v/>
      </c>
      <c r="D269" s="36" t="str">
        <f t="shared" si="42"/>
        <v/>
      </c>
      <c r="E269" s="36" t="str">
        <f t="shared" si="43"/>
        <v/>
      </c>
      <c r="F269" s="36" t="str">
        <f t="shared" si="44"/>
        <v/>
      </c>
      <c r="G269" s="30"/>
      <c r="H269" s="33"/>
      <c r="I269" s="31"/>
      <c r="J269" s="31"/>
      <c r="K269" s="13" t="str">
        <f t="shared" si="45"/>
        <v/>
      </c>
      <c r="L269" s="49"/>
      <c r="M269" s="49"/>
      <c r="N269" s="30"/>
      <c r="O269" s="30"/>
      <c r="P269" s="30"/>
      <c r="Q269" s="30"/>
      <c r="R269" s="11" t="str">
        <f t="shared" si="46"/>
        <v/>
      </c>
      <c r="S269" s="55" t="str">
        <f t="shared" si="47"/>
        <v/>
      </c>
      <c r="T269" s="37" t="str">
        <f t="shared" si="48"/>
        <v/>
      </c>
      <c r="U269" s="29" t="str">
        <f t="shared" si="49"/>
        <v/>
      </c>
      <c r="V269" s="33"/>
    </row>
    <row r="270" spans="1:22" x14ac:dyDescent="0.25">
      <c r="A270" s="30"/>
      <c r="B270" s="34" t="str">
        <f t="shared" si="40"/>
        <v/>
      </c>
      <c r="C270" s="34" t="str">
        <f t="shared" si="41"/>
        <v/>
      </c>
      <c r="D270" s="36" t="str">
        <f t="shared" si="42"/>
        <v/>
      </c>
      <c r="E270" s="36" t="str">
        <f t="shared" si="43"/>
        <v/>
      </c>
      <c r="F270" s="36" t="str">
        <f t="shared" si="44"/>
        <v/>
      </c>
      <c r="G270" s="30"/>
      <c r="H270" s="33"/>
      <c r="I270" s="31"/>
      <c r="J270" s="31"/>
      <c r="K270" s="13" t="str">
        <f t="shared" si="45"/>
        <v/>
      </c>
      <c r="L270" s="49"/>
      <c r="M270" s="49"/>
      <c r="N270" s="30"/>
      <c r="O270" s="30"/>
      <c r="P270" s="30"/>
      <c r="Q270" s="30"/>
      <c r="R270" s="11" t="str">
        <f t="shared" si="46"/>
        <v/>
      </c>
      <c r="S270" s="55" t="str">
        <f t="shared" si="47"/>
        <v/>
      </c>
      <c r="T270" s="37" t="str">
        <f t="shared" si="48"/>
        <v/>
      </c>
      <c r="U270" s="29" t="str">
        <f t="shared" si="49"/>
        <v/>
      </c>
      <c r="V270" s="33"/>
    </row>
    <row r="271" spans="1:22" x14ac:dyDescent="0.25">
      <c r="A271" s="30"/>
      <c r="B271" s="34" t="str">
        <f t="shared" si="40"/>
        <v/>
      </c>
      <c r="C271" s="34" t="str">
        <f t="shared" si="41"/>
        <v/>
      </c>
      <c r="D271" s="36" t="str">
        <f t="shared" si="42"/>
        <v/>
      </c>
      <c r="E271" s="36" t="str">
        <f t="shared" si="43"/>
        <v/>
      </c>
      <c r="F271" s="36" t="str">
        <f t="shared" si="44"/>
        <v/>
      </c>
      <c r="G271" s="30"/>
      <c r="H271" s="33"/>
      <c r="I271" s="31"/>
      <c r="J271" s="31"/>
      <c r="K271" s="13" t="str">
        <f t="shared" si="45"/>
        <v/>
      </c>
      <c r="L271" s="49"/>
      <c r="M271" s="49"/>
      <c r="N271" s="30"/>
      <c r="O271" s="30"/>
      <c r="P271" s="30"/>
      <c r="Q271" s="30"/>
      <c r="R271" s="11" t="str">
        <f t="shared" si="46"/>
        <v/>
      </c>
      <c r="S271" s="55" t="str">
        <f t="shared" si="47"/>
        <v/>
      </c>
      <c r="T271" s="37" t="str">
        <f t="shared" si="48"/>
        <v/>
      </c>
      <c r="U271" s="29" t="str">
        <f t="shared" si="49"/>
        <v/>
      </c>
      <c r="V271" s="33"/>
    </row>
    <row r="272" spans="1:22" x14ac:dyDescent="0.25">
      <c r="A272" s="30"/>
      <c r="B272" s="34" t="str">
        <f t="shared" si="40"/>
        <v/>
      </c>
      <c r="C272" s="34" t="str">
        <f t="shared" si="41"/>
        <v/>
      </c>
      <c r="D272" s="36" t="str">
        <f t="shared" si="42"/>
        <v/>
      </c>
      <c r="E272" s="36" t="str">
        <f t="shared" si="43"/>
        <v/>
      </c>
      <c r="F272" s="36" t="str">
        <f t="shared" si="44"/>
        <v/>
      </c>
      <c r="G272" s="30"/>
      <c r="H272" s="33"/>
      <c r="I272" s="31"/>
      <c r="J272" s="31"/>
      <c r="K272" s="13" t="str">
        <f t="shared" si="45"/>
        <v/>
      </c>
      <c r="L272" s="49"/>
      <c r="M272" s="49"/>
      <c r="N272" s="30"/>
      <c r="O272" s="30"/>
      <c r="P272" s="30"/>
      <c r="Q272" s="30"/>
      <c r="R272" s="11" t="str">
        <f t="shared" si="46"/>
        <v/>
      </c>
      <c r="S272" s="55" t="str">
        <f t="shared" si="47"/>
        <v/>
      </c>
      <c r="T272" s="37" t="str">
        <f t="shared" si="48"/>
        <v/>
      </c>
      <c r="U272" s="29" t="str">
        <f t="shared" si="49"/>
        <v/>
      </c>
      <c r="V272" s="33"/>
    </row>
    <row r="273" spans="1:22" x14ac:dyDescent="0.25">
      <c r="A273" s="30"/>
      <c r="B273" s="34" t="str">
        <f t="shared" si="40"/>
        <v/>
      </c>
      <c r="C273" s="34" t="str">
        <f t="shared" si="41"/>
        <v/>
      </c>
      <c r="D273" s="36" t="str">
        <f t="shared" si="42"/>
        <v/>
      </c>
      <c r="E273" s="36" t="str">
        <f t="shared" si="43"/>
        <v/>
      </c>
      <c r="F273" s="36" t="str">
        <f t="shared" si="44"/>
        <v/>
      </c>
      <c r="G273" s="30"/>
      <c r="H273" s="33"/>
      <c r="I273" s="31"/>
      <c r="J273" s="31"/>
      <c r="K273" s="13" t="str">
        <f t="shared" si="45"/>
        <v/>
      </c>
      <c r="L273" s="49"/>
      <c r="M273" s="49"/>
      <c r="N273" s="30"/>
      <c r="O273" s="30"/>
      <c r="P273" s="30"/>
      <c r="Q273" s="30"/>
      <c r="R273" s="11" t="str">
        <f t="shared" si="46"/>
        <v/>
      </c>
      <c r="S273" s="55" t="str">
        <f t="shared" si="47"/>
        <v/>
      </c>
      <c r="T273" s="37" t="str">
        <f t="shared" si="48"/>
        <v/>
      </c>
      <c r="U273" s="29" t="str">
        <f t="shared" si="49"/>
        <v/>
      </c>
      <c r="V273" s="33"/>
    </row>
    <row r="274" spans="1:22" x14ac:dyDescent="0.25">
      <c r="A274" s="30"/>
      <c r="B274" s="34" t="str">
        <f t="shared" si="40"/>
        <v/>
      </c>
      <c r="C274" s="34" t="str">
        <f t="shared" si="41"/>
        <v/>
      </c>
      <c r="D274" s="36" t="str">
        <f t="shared" si="42"/>
        <v/>
      </c>
      <c r="E274" s="36" t="str">
        <f t="shared" si="43"/>
        <v/>
      </c>
      <c r="F274" s="36" t="str">
        <f t="shared" si="44"/>
        <v/>
      </c>
      <c r="G274" s="30"/>
      <c r="H274" s="33"/>
      <c r="I274" s="31"/>
      <c r="J274" s="31"/>
      <c r="K274" s="13" t="str">
        <f t="shared" si="45"/>
        <v/>
      </c>
      <c r="L274" s="49"/>
      <c r="M274" s="49"/>
      <c r="N274" s="30"/>
      <c r="O274" s="30"/>
      <c r="P274" s="30"/>
      <c r="Q274" s="30"/>
      <c r="R274" s="11" t="str">
        <f t="shared" si="46"/>
        <v/>
      </c>
      <c r="S274" s="55" t="str">
        <f t="shared" si="47"/>
        <v/>
      </c>
      <c r="T274" s="37" t="str">
        <f t="shared" si="48"/>
        <v/>
      </c>
      <c r="U274" s="29" t="str">
        <f t="shared" si="49"/>
        <v/>
      </c>
      <c r="V274" s="33"/>
    </row>
    <row r="275" spans="1:22" x14ac:dyDescent="0.25">
      <c r="A275" s="30"/>
      <c r="B275" s="34" t="str">
        <f t="shared" si="40"/>
        <v/>
      </c>
      <c r="C275" s="34" t="str">
        <f t="shared" si="41"/>
        <v/>
      </c>
      <c r="D275" s="36" t="str">
        <f t="shared" si="42"/>
        <v/>
      </c>
      <c r="E275" s="36" t="str">
        <f t="shared" si="43"/>
        <v/>
      </c>
      <c r="F275" s="36" t="str">
        <f t="shared" si="44"/>
        <v/>
      </c>
      <c r="G275" s="30"/>
      <c r="H275" s="33"/>
      <c r="I275" s="31"/>
      <c r="J275" s="31"/>
      <c r="K275" s="13" t="str">
        <f t="shared" si="45"/>
        <v/>
      </c>
      <c r="L275" s="49"/>
      <c r="M275" s="49"/>
      <c r="N275" s="30"/>
      <c r="O275" s="30"/>
      <c r="P275" s="30"/>
      <c r="Q275" s="30"/>
      <c r="R275" s="11" t="str">
        <f t="shared" si="46"/>
        <v/>
      </c>
      <c r="S275" s="55" t="str">
        <f t="shared" si="47"/>
        <v/>
      </c>
      <c r="T275" s="37" t="str">
        <f t="shared" si="48"/>
        <v/>
      </c>
      <c r="U275" s="29" t="str">
        <f t="shared" si="49"/>
        <v/>
      </c>
      <c r="V275" s="33"/>
    </row>
    <row r="276" spans="1:22" x14ac:dyDescent="0.25">
      <c r="A276" s="30"/>
      <c r="B276" s="34" t="str">
        <f t="shared" si="40"/>
        <v/>
      </c>
      <c r="C276" s="34" t="str">
        <f t="shared" si="41"/>
        <v/>
      </c>
      <c r="D276" s="36" t="str">
        <f t="shared" si="42"/>
        <v/>
      </c>
      <c r="E276" s="36" t="str">
        <f t="shared" si="43"/>
        <v/>
      </c>
      <c r="F276" s="36" t="str">
        <f t="shared" si="44"/>
        <v/>
      </c>
      <c r="G276" s="30"/>
      <c r="H276" s="33"/>
      <c r="I276" s="31"/>
      <c r="J276" s="31"/>
      <c r="K276" s="13" t="str">
        <f t="shared" si="45"/>
        <v/>
      </c>
      <c r="L276" s="49"/>
      <c r="M276" s="49"/>
      <c r="N276" s="30"/>
      <c r="O276" s="30"/>
      <c r="P276" s="30"/>
      <c r="Q276" s="30"/>
      <c r="R276" s="11" t="str">
        <f t="shared" si="46"/>
        <v/>
      </c>
      <c r="S276" s="55" t="str">
        <f t="shared" si="47"/>
        <v/>
      </c>
      <c r="T276" s="37" t="str">
        <f t="shared" si="48"/>
        <v/>
      </c>
      <c r="U276" s="29" t="str">
        <f t="shared" si="49"/>
        <v/>
      </c>
      <c r="V276" s="33"/>
    </row>
    <row r="277" spans="1:22" x14ac:dyDescent="0.25">
      <c r="A277" s="30"/>
      <c r="B277" s="34" t="str">
        <f t="shared" si="40"/>
        <v/>
      </c>
      <c r="C277" s="34" t="str">
        <f t="shared" si="41"/>
        <v/>
      </c>
      <c r="D277" s="36" t="str">
        <f t="shared" si="42"/>
        <v/>
      </c>
      <c r="E277" s="36" t="str">
        <f t="shared" si="43"/>
        <v/>
      </c>
      <c r="F277" s="36" t="str">
        <f t="shared" si="44"/>
        <v/>
      </c>
      <c r="G277" s="30"/>
      <c r="H277" s="33"/>
      <c r="I277" s="31"/>
      <c r="J277" s="31"/>
      <c r="K277" s="13" t="str">
        <f t="shared" si="45"/>
        <v/>
      </c>
      <c r="L277" s="49"/>
      <c r="M277" s="49"/>
      <c r="N277" s="30"/>
      <c r="O277" s="30"/>
      <c r="P277" s="30"/>
      <c r="Q277" s="30"/>
      <c r="R277" s="11" t="str">
        <f t="shared" si="46"/>
        <v/>
      </c>
      <c r="S277" s="55" t="str">
        <f t="shared" si="47"/>
        <v/>
      </c>
      <c r="T277" s="37" t="str">
        <f t="shared" si="48"/>
        <v/>
      </c>
      <c r="U277" s="29" t="str">
        <f t="shared" si="49"/>
        <v/>
      </c>
      <c r="V277" s="33"/>
    </row>
    <row r="278" spans="1:22" x14ac:dyDescent="0.25">
      <c r="A278" s="30"/>
      <c r="B278" s="34" t="str">
        <f t="shared" si="40"/>
        <v/>
      </c>
      <c r="C278" s="34" t="str">
        <f t="shared" si="41"/>
        <v/>
      </c>
      <c r="D278" s="36" t="str">
        <f t="shared" si="42"/>
        <v/>
      </c>
      <c r="E278" s="36" t="str">
        <f t="shared" si="43"/>
        <v/>
      </c>
      <c r="F278" s="36" t="str">
        <f t="shared" si="44"/>
        <v/>
      </c>
      <c r="G278" s="30"/>
      <c r="H278" s="33"/>
      <c r="I278" s="31"/>
      <c r="J278" s="31"/>
      <c r="K278" s="13" t="str">
        <f t="shared" si="45"/>
        <v/>
      </c>
      <c r="L278" s="49"/>
      <c r="M278" s="49"/>
      <c r="N278" s="30"/>
      <c r="O278" s="30"/>
      <c r="P278" s="30"/>
      <c r="Q278" s="30"/>
      <c r="R278" s="11" t="str">
        <f t="shared" si="46"/>
        <v/>
      </c>
      <c r="S278" s="55" t="str">
        <f t="shared" si="47"/>
        <v/>
      </c>
      <c r="T278" s="37" t="str">
        <f t="shared" si="48"/>
        <v/>
      </c>
      <c r="U278" s="29" t="str">
        <f t="shared" si="49"/>
        <v/>
      </c>
      <c r="V278" s="33"/>
    </row>
    <row r="279" spans="1:22" x14ac:dyDescent="0.25">
      <c r="A279" s="30"/>
      <c r="B279" s="34" t="str">
        <f t="shared" si="40"/>
        <v/>
      </c>
      <c r="C279" s="34" t="str">
        <f t="shared" si="41"/>
        <v/>
      </c>
      <c r="D279" s="36" t="str">
        <f t="shared" si="42"/>
        <v/>
      </c>
      <c r="E279" s="36" t="str">
        <f t="shared" si="43"/>
        <v/>
      </c>
      <c r="F279" s="36" t="str">
        <f t="shared" si="44"/>
        <v/>
      </c>
      <c r="G279" s="30"/>
      <c r="H279" s="33"/>
      <c r="I279" s="31"/>
      <c r="J279" s="31"/>
      <c r="K279" s="13" t="str">
        <f t="shared" si="45"/>
        <v/>
      </c>
      <c r="L279" s="49"/>
      <c r="M279" s="49"/>
      <c r="N279" s="30"/>
      <c r="O279" s="30"/>
      <c r="P279" s="30"/>
      <c r="Q279" s="30"/>
      <c r="R279" s="11" t="str">
        <f t="shared" si="46"/>
        <v/>
      </c>
      <c r="S279" s="55" t="str">
        <f t="shared" si="47"/>
        <v/>
      </c>
      <c r="T279" s="37" t="str">
        <f t="shared" si="48"/>
        <v/>
      </c>
      <c r="U279" s="29" t="str">
        <f t="shared" si="49"/>
        <v/>
      </c>
      <c r="V279" s="33"/>
    </row>
    <row r="280" spans="1:22" x14ac:dyDescent="0.25">
      <c r="A280" s="30"/>
      <c r="B280" s="34" t="str">
        <f t="shared" si="40"/>
        <v/>
      </c>
      <c r="C280" s="34" t="str">
        <f t="shared" si="41"/>
        <v/>
      </c>
      <c r="D280" s="36" t="str">
        <f t="shared" si="42"/>
        <v/>
      </c>
      <c r="E280" s="36" t="str">
        <f t="shared" si="43"/>
        <v/>
      </c>
      <c r="F280" s="36" t="str">
        <f t="shared" si="44"/>
        <v/>
      </c>
      <c r="G280" s="30"/>
      <c r="H280" s="33"/>
      <c r="I280" s="31"/>
      <c r="J280" s="31"/>
      <c r="K280" s="13" t="str">
        <f t="shared" si="45"/>
        <v/>
      </c>
      <c r="L280" s="49"/>
      <c r="M280" s="49"/>
      <c r="N280" s="30"/>
      <c r="O280" s="30"/>
      <c r="P280" s="30"/>
      <c r="Q280" s="30"/>
      <c r="R280" s="11" t="str">
        <f t="shared" si="46"/>
        <v/>
      </c>
      <c r="S280" s="55" t="str">
        <f t="shared" si="47"/>
        <v/>
      </c>
      <c r="T280" s="37" t="str">
        <f t="shared" si="48"/>
        <v/>
      </c>
      <c r="U280" s="29" t="str">
        <f t="shared" si="49"/>
        <v/>
      </c>
      <c r="V280" s="33"/>
    </row>
    <row r="281" spans="1:22" x14ac:dyDescent="0.25">
      <c r="A281" s="30"/>
      <c r="B281" s="34" t="str">
        <f t="shared" si="40"/>
        <v/>
      </c>
      <c r="C281" s="34" t="str">
        <f t="shared" si="41"/>
        <v/>
      </c>
      <c r="D281" s="36" t="str">
        <f t="shared" si="42"/>
        <v/>
      </c>
      <c r="E281" s="36" t="str">
        <f t="shared" si="43"/>
        <v/>
      </c>
      <c r="F281" s="36" t="str">
        <f t="shared" si="44"/>
        <v/>
      </c>
      <c r="G281" s="30"/>
      <c r="H281" s="33"/>
      <c r="I281" s="31"/>
      <c r="J281" s="31"/>
      <c r="K281" s="13" t="str">
        <f t="shared" si="45"/>
        <v/>
      </c>
      <c r="L281" s="49"/>
      <c r="M281" s="49"/>
      <c r="N281" s="30"/>
      <c r="O281" s="30"/>
      <c r="P281" s="30"/>
      <c r="Q281" s="30"/>
      <c r="R281" s="11" t="str">
        <f t="shared" si="46"/>
        <v/>
      </c>
      <c r="S281" s="55" t="str">
        <f t="shared" si="47"/>
        <v/>
      </c>
      <c r="T281" s="37" t="str">
        <f t="shared" si="48"/>
        <v/>
      </c>
      <c r="U281" s="29" t="str">
        <f t="shared" si="49"/>
        <v/>
      </c>
      <c r="V281" s="33"/>
    </row>
    <row r="282" spans="1:22" x14ac:dyDescent="0.25">
      <c r="A282" s="30"/>
      <c r="B282" s="34" t="str">
        <f t="shared" si="40"/>
        <v/>
      </c>
      <c r="C282" s="34" t="str">
        <f t="shared" si="41"/>
        <v/>
      </c>
      <c r="D282" s="36" t="str">
        <f t="shared" si="42"/>
        <v/>
      </c>
      <c r="E282" s="36" t="str">
        <f t="shared" si="43"/>
        <v/>
      </c>
      <c r="F282" s="36" t="str">
        <f t="shared" si="44"/>
        <v/>
      </c>
      <c r="G282" s="30"/>
      <c r="H282" s="33"/>
      <c r="I282" s="31"/>
      <c r="J282" s="31"/>
      <c r="K282" s="13" t="str">
        <f t="shared" si="45"/>
        <v/>
      </c>
      <c r="L282" s="49"/>
      <c r="M282" s="49"/>
      <c r="N282" s="30"/>
      <c r="O282" s="30"/>
      <c r="P282" s="30"/>
      <c r="Q282" s="30"/>
      <c r="R282" s="11" t="str">
        <f t="shared" si="46"/>
        <v/>
      </c>
      <c r="S282" s="55" t="str">
        <f t="shared" si="47"/>
        <v/>
      </c>
      <c r="T282" s="37" t="str">
        <f t="shared" si="48"/>
        <v/>
      </c>
      <c r="U282" s="29" t="str">
        <f t="shared" si="49"/>
        <v/>
      </c>
      <c r="V282" s="33"/>
    </row>
    <row r="283" spans="1:22" x14ac:dyDescent="0.25">
      <c r="A283" s="30"/>
      <c r="B283" s="34" t="str">
        <f t="shared" si="40"/>
        <v/>
      </c>
      <c r="C283" s="34" t="str">
        <f t="shared" si="41"/>
        <v/>
      </c>
      <c r="D283" s="36" t="str">
        <f t="shared" si="42"/>
        <v/>
      </c>
      <c r="E283" s="36" t="str">
        <f t="shared" si="43"/>
        <v/>
      </c>
      <c r="F283" s="36" t="str">
        <f t="shared" si="44"/>
        <v/>
      </c>
      <c r="G283" s="30"/>
      <c r="H283" s="33"/>
      <c r="I283" s="31"/>
      <c r="J283" s="31"/>
      <c r="K283" s="13" t="str">
        <f t="shared" si="45"/>
        <v/>
      </c>
      <c r="L283" s="49"/>
      <c r="M283" s="49"/>
      <c r="N283" s="30"/>
      <c r="O283" s="30"/>
      <c r="P283" s="30"/>
      <c r="Q283" s="30"/>
      <c r="R283" s="11" t="str">
        <f t="shared" si="46"/>
        <v/>
      </c>
      <c r="S283" s="55" t="str">
        <f t="shared" si="47"/>
        <v/>
      </c>
      <c r="T283" s="37" t="str">
        <f t="shared" si="48"/>
        <v/>
      </c>
      <c r="U283" s="29" t="str">
        <f t="shared" si="49"/>
        <v/>
      </c>
      <c r="V283" s="33"/>
    </row>
    <row r="284" spans="1:22" x14ac:dyDescent="0.25">
      <c r="A284" s="30"/>
      <c r="B284" s="34" t="str">
        <f t="shared" si="40"/>
        <v/>
      </c>
      <c r="C284" s="34" t="str">
        <f t="shared" si="41"/>
        <v/>
      </c>
      <c r="D284" s="36" t="str">
        <f t="shared" si="42"/>
        <v/>
      </c>
      <c r="E284" s="36" t="str">
        <f t="shared" si="43"/>
        <v/>
      </c>
      <c r="F284" s="36" t="str">
        <f t="shared" si="44"/>
        <v/>
      </c>
      <c r="G284" s="30"/>
      <c r="H284" s="33"/>
      <c r="I284" s="31"/>
      <c r="J284" s="31"/>
      <c r="K284" s="13" t="str">
        <f t="shared" si="45"/>
        <v/>
      </c>
      <c r="L284" s="49"/>
      <c r="M284" s="49"/>
      <c r="N284" s="30"/>
      <c r="O284" s="30"/>
      <c r="P284" s="30"/>
      <c r="Q284" s="30"/>
      <c r="R284" s="11" t="str">
        <f t="shared" si="46"/>
        <v/>
      </c>
      <c r="S284" s="55" t="str">
        <f t="shared" si="47"/>
        <v/>
      </c>
      <c r="T284" s="37" t="str">
        <f t="shared" si="48"/>
        <v/>
      </c>
      <c r="U284" s="29" t="str">
        <f t="shared" si="49"/>
        <v/>
      </c>
      <c r="V284" s="33"/>
    </row>
    <row r="285" spans="1:22" x14ac:dyDescent="0.25">
      <c r="A285" s="30"/>
      <c r="B285" s="34" t="str">
        <f t="shared" si="40"/>
        <v/>
      </c>
      <c r="C285" s="34" t="str">
        <f t="shared" si="41"/>
        <v/>
      </c>
      <c r="D285" s="36" t="str">
        <f t="shared" si="42"/>
        <v/>
      </c>
      <c r="E285" s="36" t="str">
        <f t="shared" si="43"/>
        <v/>
      </c>
      <c r="F285" s="36" t="str">
        <f t="shared" si="44"/>
        <v/>
      </c>
      <c r="G285" s="30"/>
      <c r="H285" s="33"/>
      <c r="I285" s="31"/>
      <c r="J285" s="31"/>
      <c r="K285" s="13" t="str">
        <f t="shared" si="45"/>
        <v/>
      </c>
      <c r="L285" s="49"/>
      <c r="M285" s="49"/>
      <c r="N285" s="30"/>
      <c r="O285" s="30"/>
      <c r="P285" s="30"/>
      <c r="Q285" s="30"/>
      <c r="R285" s="11" t="str">
        <f t="shared" si="46"/>
        <v/>
      </c>
      <c r="S285" s="55" t="str">
        <f t="shared" si="47"/>
        <v/>
      </c>
      <c r="T285" s="37" t="str">
        <f t="shared" si="48"/>
        <v/>
      </c>
      <c r="U285" s="29" t="str">
        <f t="shared" si="49"/>
        <v/>
      </c>
      <c r="V285" s="33"/>
    </row>
    <row r="286" spans="1:22" x14ac:dyDescent="0.25">
      <c r="A286" s="30"/>
      <c r="B286" s="34" t="str">
        <f t="shared" si="40"/>
        <v/>
      </c>
      <c r="C286" s="34" t="str">
        <f t="shared" si="41"/>
        <v/>
      </c>
      <c r="D286" s="36" t="str">
        <f t="shared" si="42"/>
        <v/>
      </c>
      <c r="E286" s="36" t="str">
        <f t="shared" si="43"/>
        <v/>
      </c>
      <c r="F286" s="36" t="str">
        <f t="shared" si="44"/>
        <v/>
      </c>
      <c r="G286" s="30"/>
      <c r="H286" s="33"/>
      <c r="I286" s="31"/>
      <c r="J286" s="31"/>
      <c r="K286" s="13" t="str">
        <f t="shared" si="45"/>
        <v/>
      </c>
      <c r="L286" s="49"/>
      <c r="M286" s="49"/>
      <c r="N286" s="30"/>
      <c r="O286" s="30"/>
      <c r="P286" s="30"/>
      <c r="Q286" s="30"/>
      <c r="R286" s="11" t="str">
        <f t="shared" si="46"/>
        <v/>
      </c>
      <c r="S286" s="55" t="str">
        <f t="shared" si="47"/>
        <v/>
      </c>
      <c r="T286" s="37" t="str">
        <f t="shared" si="48"/>
        <v/>
      </c>
      <c r="U286" s="29" t="str">
        <f t="shared" si="49"/>
        <v/>
      </c>
      <c r="V286" s="33"/>
    </row>
    <row r="287" spans="1:22" x14ac:dyDescent="0.25">
      <c r="A287" s="30"/>
      <c r="B287" s="34" t="str">
        <f t="shared" si="40"/>
        <v/>
      </c>
      <c r="C287" s="34" t="str">
        <f t="shared" si="41"/>
        <v/>
      </c>
      <c r="D287" s="36" t="str">
        <f t="shared" si="42"/>
        <v/>
      </c>
      <c r="E287" s="36" t="str">
        <f t="shared" si="43"/>
        <v/>
      </c>
      <c r="F287" s="36" t="str">
        <f t="shared" si="44"/>
        <v/>
      </c>
      <c r="G287" s="30"/>
      <c r="H287" s="33"/>
      <c r="I287" s="31"/>
      <c r="J287" s="31"/>
      <c r="K287" s="13" t="str">
        <f t="shared" si="45"/>
        <v/>
      </c>
      <c r="L287" s="49"/>
      <c r="M287" s="49"/>
      <c r="N287" s="30"/>
      <c r="O287" s="30"/>
      <c r="P287" s="30"/>
      <c r="Q287" s="30"/>
      <c r="R287" s="11" t="str">
        <f t="shared" si="46"/>
        <v/>
      </c>
      <c r="S287" s="55" t="str">
        <f t="shared" si="47"/>
        <v/>
      </c>
      <c r="T287" s="37" t="str">
        <f t="shared" si="48"/>
        <v/>
      </c>
      <c r="U287" s="29" t="str">
        <f t="shared" si="49"/>
        <v/>
      </c>
      <c r="V287" s="33"/>
    </row>
    <row r="288" spans="1:22" x14ac:dyDescent="0.25">
      <c r="A288" s="30"/>
      <c r="B288" s="34" t="str">
        <f t="shared" si="40"/>
        <v/>
      </c>
      <c r="C288" s="34" t="str">
        <f t="shared" si="41"/>
        <v/>
      </c>
      <c r="D288" s="36" t="str">
        <f t="shared" si="42"/>
        <v/>
      </c>
      <c r="E288" s="36" t="str">
        <f t="shared" si="43"/>
        <v/>
      </c>
      <c r="F288" s="36" t="str">
        <f t="shared" si="44"/>
        <v/>
      </c>
      <c r="G288" s="30"/>
      <c r="H288" s="33"/>
      <c r="I288" s="31"/>
      <c r="J288" s="31"/>
      <c r="K288" s="13" t="str">
        <f t="shared" si="45"/>
        <v/>
      </c>
      <c r="L288" s="49"/>
      <c r="M288" s="49"/>
      <c r="N288" s="30"/>
      <c r="O288" s="30"/>
      <c r="P288" s="30"/>
      <c r="Q288" s="30"/>
      <c r="R288" s="11" t="str">
        <f t="shared" si="46"/>
        <v/>
      </c>
      <c r="S288" s="55" t="str">
        <f t="shared" si="47"/>
        <v/>
      </c>
      <c r="T288" s="37" t="str">
        <f t="shared" si="48"/>
        <v/>
      </c>
      <c r="U288" s="29" t="str">
        <f t="shared" si="49"/>
        <v/>
      </c>
      <c r="V288" s="33"/>
    </row>
    <row r="289" spans="1:22" x14ac:dyDescent="0.25">
      <c r="A289" s="30"/>
      <c r="B289" s="34" t="str">
        <f t="shared" si="40"/>
        <v/>
      </c>
      <c r="C289" s="34" t="str">
        <f t="shared" si="41"/>
        <v/>
      </c>
      <c r="D289" s="36" t="str">
        <f t="shared" si="42"/>
        <v/>
      </c>
      <c r="E289" s="36" t="str">
        <f t="shared" si="43"/>
        <v/>
      </c>
      <c r="F289" s="36" t="str">
        <f t="shared" si="44"/>
        <v/>
      </c>
      <c r="G289" s="30"/>
      <c r="H289" s="33"/>
      <c r="I289" s="31"/>
      <c r="J289" s="31"/>
      <c r="K289" s="13" t="str">
        <f t="shared" si="45"/>
        <v/>
      </c>
      <c r="L289" s="49"/>
      <c r="M289" s="49"/>
      <c r="N289" s="30"/>
      <c r="O289" s="30"/>
      <c r="P289" s="30"/>
      <c r="Q289" s="30"/>
      <c r="R289" s="11" t="str">
        <f t="shared" si="46"/>
        <v/>
      </c>
      <c r="S289" s="55" t="str">
        <f t="shared" si="47"/>
        <v/>
      </c>
      <c r="T289" s="37" t="str">
        <f t="shared" si="48"/>
        <v/>
      </c>
      <c r="U289" s="29" t="str">
        <f t="shared" si="49"/>
        <v/>
      </c>
      <c r="V289" s="33"/>
    </row>
    <row r="290" spans="1:22" x14ac:dyDescent="0.25">
      <c r="A290" s="30"/>
      <c r="B290" s="34" t="str">
        <f t="shared" si="40"/>
        <v/>
      </c>
      <c r="C290" s="34" t="str">
        <f t="shared" si="41"/>
        <v/>
      </c>
      <c r="D290" s="36" t="str">
        <f t="shared" si="42"/>
        <v/>
      </c>
      <c r="E290" s="36" t="str">
        <f t="shared" si="43"/>
        <v/>
      </c>
      <c r="F290" s="36" t="str">
        <f t="shared" si="44"/>
        <v/>
      </c>
      <c r="G290" s="30"/>
      <c r="H290" s="33"/>
      <c r="I290" s="31"/>
      <c r="J290" s="31"/>
      <c r="K290" s="13" t="str">
        <f t="shared" si="45"/>
        <v/>
      </c>
      <c r="L290" s="49"/>
      <c r="M290" s="49"/>
      <c r="N290" s="30"/>
      <c r="O290" s="30"/>
      <c r="P290" s="30"/>
      <c r="Q290" s="30"/>
      <c r="R290" s="11" t="str">
        <f t="shared" si="46"/>
        <v/>
      </c>
      <c r="S290" s="55" t="str">
        <f t="shared" si="47"/>
        <v/>
      </c>
      <c r="T290" s="37" t="str">
        <f t="shared" si="48"/>
        <v/>
      </c>
      <c r="U290" s="29" t="str">
        <f t="shared" si="49"/>
        <v/>
      </c>
      <c r="V290" s="33"/>
    </row>
    <row r="291" spans="1:22" x14ac:dyDescent="0.25">
      <c r="A291" s="30"/>
      <c r="B291" s="34" t="str">
        <f t="shared" si="40"/>
        <v/>
      </c>
      <c r="C291" s="34" t="str">
        <f t="shared" si="41"/>
        <v/>
      </c>
      <c r="D291" s="36" t="str">
        <f t="shared" si="42"/>
        <v/>
      </c>
      <c r="E291" s="36" t="str">
        <f t="shared" si="43"/>
        <v/>
      </c>
      <c r="F291" s="36" t="str">
        <f t="shared" si="44"/>
        <v/>
      </c>
      <c r="G291" s="30"/>
      <c r="H291" s="33"/>
      <c r="I291" s="31"/>
      <c r="J291" s="31"/>
      <c r="K291" s="13" t="str">
        <f t="shared" si="45"/>
        <v/>
      </c>
      <c r="L291" s="49"/>
      <c r="M291" s="49"/>
      <c r="N291" s="30"/>
      <c r="O291" s="30"/>
      <c r="P291" s="30"/>
      <c r="Q291" s="30"/>
      <c r="R291" s="11" t="str">
        <f t="shared" si="46"/>
        <v/>
      </c>
      <c r="S291" s="55" t="str">
        <f t="shared" si="47"/>
        <v/>
      </c>
      <c r="T291" s="37" t="str">
        <f t="shared" si="48"/>
        <v/>
      </c>
      <c r="U291" s="29" t="str">
        <f t="shared" si="49"/>
        <v/>
      </c>
      <c r="V291" s="33"/>
    </row>
    <row r="292" spans="1:22" x14ac:dyDescent="0.25">
      <c r="A292" s="30"/>
      <c r="B292" s="34" t="str">
        <f t="shared" si="40"/>
        <v/>
      </c>
      <c r="C292" s="34" t="str">
        <f t="shared" si="41"/>
        <v/>
      </c>
      <c r="D292" s="36" t="str">
        <f t="shared" si="42"/>
        <v/>
      </c>
      <c r="E292" s="36" t="str">
        <f t="shared" si="43"/>
        <v/>
      </c>
      <c r="F292" s="36" t="str">
        <f t="shared" si="44"/>
        <v/>
      </c>
      <c r="G292" s="30"/>
      <c r="H292" s="33"/>
      <c r="I292" s="31"/>
      <c r="J292" s="31"/>
      <c r="K292" s="13" t="str">
        <f t="shared" si="45"/>
        <v/>
      </c>
      <c r="L292" s="49"/>
      <c r="M292" s="49"/>
      <c r="N292" s="30"/>
      <c r="O292" s="30"/>
      <c r="P292" s="30"/>
      <c r="Q292" s="30"/>
      <c r="R292" s="11" t="str">
        <f t="shared" si="46"/>
        <v/>
      </c>
      <c r="S292" s="55" t="str">
        <f t="shared" si="47"/>
        <v/>
      </c>
      <c r="T292" s="37" t="str">
        <f t="shared" si="48"/>
        <v/>
      </c>
      <c r="U292" s="29" t="str">
        <f t="shared" si="49"/>
        <v/>
      </c>
      <c r="V292" s="33"/>
    </row>
    <row r="293" spans="1:22" x14ac:dyDescent="0.25">
      <c r="A293" s="30"/>
      <c r="B293" s="34" t="str">
        <f t="shared" si="40"/>
        <v/>
      </c>
      <c r="C293" s="34" t="str">
        <f t="shared" si="41"/>
        <v/>
      </c>
      <c r="D293" s="36" t="str">
        <f t="shared" si="42"/>
        <v/>
      </c>
      <c r="E293" s="36" t="str">
        <f t="shared" si="43"/>
        <v/>
      </c>
      <c r="F293" s="36" t="str">
        <f t="shared" si="44"/>
        <v/>
      </c>
      <c r="G293" s="30"/>
      <c r="H293" s="33"/>
      <c r="I293" s="31"/>
      <c r="J293" s="31"/>
      <c r="K293" s="13" t="str">
        <f t="shared" si="45"/>
        <v/>
      </c>
      <c r="L293" s="49"/>
      <c r="M293" s="49"/>
      <c r="N293" s="30"/>
      <c r="O293" s="30"/>
      <c r="P293" s="30"/>
      <c r="Q293" s="30"/>
      <c r="R293" s="11" t="str">
        <f t="shared" si="46"/>
        <v/>
      </c>
      <c r="S293" s="55" t="str">
        <f t="shared" si="47"/>
        <v/>
      </c>
      <c r="T293" s="37" t="str">
        <f t="shared" si="48"/>
        <v/>
      </c>
      <c r="U293" s="29" t="str">
        <f t="shared" si="49"/>
        <v/>
      </c>
      <c r="V293" s="33"/>
    </row>
    <row r="294" spans="1:22" x14ac:dyDescent="0.25">
      <c r="A294" s="30"/>
      <c r="B294" s="34" t="str">
        <f t="shared" si="40"/>
        <v/>
      </c>
      <c r="C294" s="34" t="str">
        <f t="shared" si="41"/>
        <v/>
      </c>
      <c r="D294" s="36" t="str">
        <f t="shared" si="42"/>
        <v/>
      </c>
      <c r="E294" s="36" t="str">
        <f t="shared" si="43"/>
        <v/>
      </c>
      <c r="F294" s="36" t="str">
        <f t="shared" si="44"/>
        <v/>
      </c>
      <c r="G294" s="30"/>
      <c r="H294" s="33"/>
      <c r="I294" s="31"/>
      <c r="J294" s="31"/>
      <c r="K294" s="13" t="str">
        <f t="shared" si="45"/>
        <v/>
      </c>
      <c r="L294" s="49"/>
      <c r="M294" s="49"/>
      <c r="N294" s="30"/>
      <c r="O294" s="30"/>
      <c r="P294" s="30"/>
      <c r="Q294" s="30"/>
      <c r="R294" s="11" t="str">
        <f t="shared" si="46"/>
        <v/>
      </c>
      <c r="S294" s="55" t="str">
        <f t="shared" si="47"/>
        <v/>
      </c>
      <c r="T294" s="37" t="str">
        <f t="shared" si="48"/>
        <v/>
      </c>
      <c r="U294" s="29" t="str">
        <f t="shared" si="49"/>
        <v/>
      </c>
      <c r="V294" s="33"/>
    </row>
    <row r="295" spans="1:22" x14ac:dyDescent="0.25">
      <c r="A295" s="30"/>
      <c r="B295" s="34" t="str">
        <f t="shared" si="40"/>
        <v/>
      </c>
      <c r="C295" s="34" t="str">
        <f t="shared" si="41"/>
        <v/>
      </c>
      <c r="D295" s="36" t="str">
        <f t="shared" si="42"/>
        <v/>
      </c>
      <c r="E295" s="36" t="str">
        <f t="shared" si="43"/>
        <v/>
      </c>
      <c r="F295" s="36" t="str">
        <f t="shared" si="44"/>
        <v/>
      </c>
      <c r="G295" s="30"/>
      <c r="H295" s="33"/>
      <c r="I295" s="31"/>
      <c r="J295" s="31"/>
      <c r="K295" s="13" t="str">
        <f t="shared" si="45"/>
        <v/>
      </c>
      <c r="L295" s="49"/>
      <c r="M295" s="49"/>
      <c r="N295" s="30"/>
      <c r="O295" s="30"/>
      <c r="P295" s="30"/>
      <c r="Q295" s="30"/>
      <c r="R295" s="11" t="str">
        <f t="shared" si="46"/>
        <v/>
      </c>
      <c r="S295" s="55" t="str">
        <f t="shared" si="47"/>
        <v/>
      </c>
      <c r="T295" s="37" t="str">
        <f t="shared" si="48"/>
        <v/>
      </c>
      <c r="U295" s="29" t="str">
        <f t="shared" si="49"/>
        <v/>
      </c>
      <c r="V295" s="33"/>
    </row>
    <row r="296" spans="1:22" x14ac:dyDescent="0.25">
      <c r="A296" s="30"/>
      <c r="B296" s="34" t="str">
        <f t="shared" si="40"/>
        <v/>
      </c>
      <c r="C296" s="34" t="str">
        <f t="shared" si="41"/>
        <v/>
      </c>
      <c r="D296" s="36" t="str">
        <f t="shared" si="42"/>
        <v/>
      </c>
      <c r="E296" s="36" t="str">
        <f t="shared" si="43"/>
        <v/>
      </c>
      <c r="F296" s="36" t="str">
        <f t="shared" si="44"/>
        <v/>
      </c>
      <c r="G296" s="30"/>
      <c r="H296" s="33"/>
      <c r="I296" s="31"/>
      <c r="J296" s="31"/>
      <c r="K296" s="13" t="str">
        <f t="shared" si="45"/>
        <v/>
      </c>
      <c r="L296" s="49"/>
      <c r="M296" s="49"/>
      <c r="N296" s="30"/>
      <c r="O296" s="30"/>
      <c r="P296" s="30"/>
      <c r="Q296" s="30"/>
      <c r="R296" s="11" t="str">
        <f t="shared" si="46"/>
        <v/>
      </c>
      <c r="S296" s="55" t="str">
        <f t="shared" si="47"/>
        <v/>
      </c>
      <c r="T296" s="37" t="str">
        <f t="shared" si="48"/>
        <v/>
      </c>
      <c r="U296" s="29" t="str">
        <f t="shared" si="49"/>
        <v/>
      </c>
      <c r="V296" s="33"/>
    </row>
    <row r="297" spans="1:22" x14ac:dyDescent="0.25">
      <c r="A297" s="30"/>
      <c r="B297" s="34" t="str">
        <f t="shared" si="40"/>
        <v/>
      </c>
      <c r="C297" s="34" t="str">
        <f t="shared" si="41"/>
        <v/>
      </c>
      <c r="D297" s="36" t="str">
        <f t="shared" si="42"/>
        <v/>
      </c>
      <c r="E297" s="36" t="str">
        <f t="shared" si="43"/>
        <v/>
      </c>
      <c r="F297" s="36" t="str">
        <f t="shared" si="44"/>
        <v/>
      </c>
      <c r="G297" s="30"/>
      <c r="H297" s="33"/>
      <c r="I297" s="31"/>
      <c r="J297" s="31"/>
      <c r="K297" s="13" t="str">
        <f t="shared" si="45"/>
        <v/>
      </c>
      <c r="L297" s="49"/>
      <c r="M297" s="49"/>
      <c r="N297" s="30"/>
      <c r="O297" s="30"/>
      <c r="P297" s="30"/>
      <c r="Q297" s="30"/>
      <c r="R297" s="11" t="str">
        <f t="shared" si="46"/>
        <v/>
      </c>
      <c r="S297" s="55" t="str">
        <f t="shared" si="47"/>
        <v/>
      </c>
      <c r="T297" s="37" t="str">
        <f t="shared" si="48"/>
        <v/>
      </c>
      <c r="U297" s="29" t="str">
        <f t="shared" si="49"/>
        <v/>
      </c>
      <c r="V297" s="33"/>
    </row>
    <row r="298" spans="1:22" x14ac:dyDescent="0.25">
      <c r="A298" s="30"/>
      <c r="B298" s="34" t="str">
        <f t="shared" si="40"/>
        <v/>
      </c>
      <c r="C298" s="34" t="str">
        <f t="shared" si="41"/>
        <v/>
      </c>
      <c r="D298" s="36" t="str">
        <f t="shared" si="42"/>
        <v/>
      </c>
      <c r="E298" s="36" t="str">
        <f t="shared" si="43"/>
        <v/>
      </c>
      <c r="F298" s="36" t="str">
        <f t="shared" si="44"/>
        <v/>
      </c>
      <c r="G298" s="30"/>
      <c r="H298" s="33"/>
      <c r="I298" s="31"/>
      <c r="J298" s="31"/>
      <c r="K298" s="13" t="str">
        <f t="shared" si="45"/>
        <v/>
      </c>
      <c r="L298" s="49"/>
      <c r="M298" s="49"/>
      <c r="N298" s="30"/>
      <c r="O298" s="30"/>
      <c r="P298" s="30"/>
      <c r="Q298" s="30"/>
      <c r="R298" s="11" t="str">
        <f t="shared" si="46"/>
        <v/>
      </c>
      <c r="S298" s="55" t="str">
        <f t="shared" si="47"/>
        <v/>
      </c>
      <c r="T298" s="37" t="str">
        <f t="shared" si="48"/>
        <v/>
      </c>
      <c r="U298" s="29" t="str">
        <f t="shared" si="49"/>
        <v/>
      </c>
      <c r="V298" s="33"/>
    </row>
    <row r="299" spans="1:22" x14ac:dyDescent="0.25">
      <c r="A299" s="30"/>
      <c r="B299" s="34" t="str">
        <f t="shared" si="40"/>
        <v/>
      </c>
      <c r="C299" s="34" t="str">
        <f t="shared" si="41"/>
        <v/>
      </c>
      <c r="D299" s="36" t="str">
        <f t="shared" si="42"/>
        <v/>
      </c>
      <c r="E299" s="36" t="str">
        <f t="shared" si="43"/>
        <v/>
      </c>
      <c r="F299" s="36" t="str">
        <f t="shared" si="44"/>
        <v/>
      </c>
      <c r="G299" s="30"/>
      <c r="H299" s="33"/>
      <c r="I299" s="31"/>
      <c r="J299" s="31"/>
      <c r="K299" s="13" t="str">
        <f t="shared" si="45"/>
        <v/>
      </c>
      <c r="L299" s="49"/>
      <c r="M299" s="49"/>
      <c r="N299" s="30"/>
      <c r="O299" s="30"/>
      <c r="P299" s="30"/>
      <c r="Q299" s="30"/>
      <c r="R299" s="11" t="str">
        <f t="shared" si="46"/>
        <v/>
      </c>
      <c r="S299" s="55" t="str">
        <f t="shared" si="47"/>
        <v/>
      </c>
      <c r="T299" s="37" t="str">
        <f t="shared" si="48"/>
        <v/>
      </c>
      <c r="U299" s="29" t="str">
        <f t="shared" si="49"/>
        <v/>
      </c>
      <c r="V299" s="33"/>
    </row>
    <row r="300" spans="1:22" x14ac:dyDescent="0.25">
      <c r="A300" s="30"/>
      <c r="B300" s="34" t="str">
        <f t="shared" si="40"/>
        <v/>
      </c>
      <c r="C300" s="34" t="str">
        <f t="shared" si="41"/>
        <v/>
      </c>
      <c r="D300" s="36" t="str">
        <f t="shared" si="42"/>
        <v/>
      </c>
      <c r="E300" s="36" t="str">
        <f t="shared" si="43"/>
        <v/>
      </c>
      <c r="F300" s="36" t="str">
        <f t="shared" si="44"/>
        <v/>
      </c>
      <c r="G300" s="30"/>
      <c r="H300" s="33"/>
      <c r="I300" s="31"/>
      <c r="J300" s="31"/>
      <c r="K300" s="13" t="str">
        <f t="shared" si="45"/>
        <v/>
      </c>
      <c r="L300" s="49"/>
      <c r="M300" s="49"/>
      <c r="N300" s="30"/>
      <c r="O300" s="30"/>
      <c r="P300" s="30"/>
      <c r="Q300" s="30"/>
      <c r="R300" s="11" t="str">
        <f t="shared" si="46"/>
        <v/>
      </c>
      <c r="S300" s="55" t="str">
        <f t="shared" si="47"/>
        <v/>
      </c>
      <c r="T300" s="37" t="str">
        <f t="shared" si="48"/>
        <v/>
      </c>
      <c r="U300" s="29" t="str">
        <f t="shared" si="49"/>
        <v/>
      </c>
      <c r="V300" s="33"/>
    </row>
    <row r="301" spans="1:22" x14ac:dyDescent="0.25">
      <c r="A301" s="30"/>
      <c r="B301" s="34" t="str">
        <f t="shared" si="40"/>
        <v/>
      </c>
      <c r="C301" s="34" t="str">
        <f t="shared" si="41"/>
        <v/>
      </c>
      <c r="D301" s="36" t="str">
        <f t="shared" si="42"/>
        <v/>
      </c>
      <c r="E301" s="36" t="str">
        <f t="shared" si="43"/>
        <v/>
      </c>
      <c r="F301" s="36" t="str">
        <f t="shared" si="44"/>
        <v/>
      </c>
      <c r="G301" s="30"/>
      <c r="H301" s="33"/>
      <c r="I301" s="31"/>
      <c r="J301" s="31"/>
      <c r="K301" s="13" t="str">
        <f t="shared" si="45"/>
        <v/>
      </c>
      <c r="L301" s="49"/>
      <c r="M301" s="49"/>
      <c r="N301" s="30"/>
      <c r="O301" s="30"/>
      <c r="P301" s="30"/>
      <c r="Q301" s="30"/>
      <c r="R301" s="11" t="str">
        <f t="shared" si="46"/>
        <v/>
      </c>
      <c r="S301" s="55" t="str">
        <f t="shared" si="47"/>
        <v/>
      </c>
      <c r="T301" s="37" t="str">
        <f t="shared" si="48"/>
        <v/>
      </c>
      <c r="U301" s="29" t="str">
        <f t="shared" si="49"/>
        <v/>
      </c>
      <c r="V301" s="33"/>
    </row>
    <row r="302" spans="1:22" x14ac:dyDescent="0.25">
      <c r="A302" s="30"/>
      <c r="B302" s="34" t="str">
        <f t="shared" si="40"/>
        <v/>
      </c>
      <c r="C302" s="34" t="str">
        <f t="shared" si="41"/>
        <v/>
      </c>
      <c r="D302" s="36" t="str">
        <f t="shared" si="42"/>
        <v/>
      </c>
      <c r="E302" s="36" t="str">
        <f t="shared" si="43"/>
        <v/>
      </c>
      <c r="F302" s="36" t="str">
        <f t="shared" si="44"/>
        <v/>
      </c>
      <c r="G302" s="30"/>
      <c r="H302" s="33"/>
      <c r="I302" s="31"/>
      <c r="J302" s="31"/>
      <c r="K302" s="13" t="str">
        <f t="shared" si="45"/>
        <v/>
      </c>
      <c r="L302" s="49"/>
      <c r="M302" s="49"/>
      <c r="N302" s="30"/>
      <c r="O302" s="30"/>
      <c r="P302" s="30"/>
      <c r="Q302" s="30"/>
      <c r="R302" s="11" t="str">
        <f t="shared" si="46"/>
        <v/>
      </c>
      <c r="S302" s="55" t="str">
        <f t="shared" si="47"/>
        <v/>
      </c>
      <c r="T302" s="37" t="str">
        <f t="shared" si="48"/>
        <v/>
      </c>
      <c r="U302" s="29" t="str">
        <f t="shared" si="49"/>
        <v/>
      </c>
      <c r="V302" s="33"/>
    </row>
    <row r="303" spans="1:22" x14ac:dyDescent="0.25">
      <c r="A303" s="30"/>
      <c r="B303" s="34" t="str">
        <f t="shared" si="40"/>
        <v/>
      </c>
      <c r="C303" s="34" t="str">
        <f t="shared" si="41"/>
        <v/>
      </c>
      <c r="D303" s="36" t="str">
        <f t="shared" si="42"/>
        <v/>
      </c>
      <c r="E303" s="36" t="str">
        <f t="shared" si="43"/>
        <v/>
      </c>
      <c r="F303" s="36" t="str">
        <f t="shared" si="44"/>
        <v/>
      </c>
      <c r="G303" s="30"/>
      <c r="H303" s="33"/>
      <c r="I303" s="31"/>
      <c r="J303" s="31"/>
      <c r="K303" s="13" t="str">
        <f t="shared" si="45"/>
        <v/>
      </c>
      <c r="L303" s="49"/>
      <c r="M303" s="49"/>
      <c r="N303" s="30"/>
      <c r="O303" s="30"/>
      <c r="P303" s="30"/>
      <c r="Q303" s="30"/>
      <c r="R303" s="11" t="str">
        <f t="shared" si="46"/>
        <v/>
      </c>
      <c r="S303" s="55" t="str">
        <f t="shared" si="47"/>
        <v/>
      </c>
      <c r="T303" s="37" t="str">
        <f t="shared" si="48"/>
        <v/>
      </c>
      <c r="U303" s="29" t="str">
        <f t="shared" si="49"/>
        <v/>
      </c>
      <c r="V303" s="33"/>
    </row>
    <row r="304" spans="1:22" x14ac:dyDescent="0.25">
      <c r="A304" s="30"/>
      <c r="B304" s="34" t="str">
        <f t="shared" si="40"/>
        <v/>
      </c>
      <c r="C304" s="34" t="str">
        <f t="shared" si="41"/>
        <v/>
      </c>
      <c r="D304" s="36" t="str">
        <f t="shared" si="42"/>
        <v/>
      </c>
      <c r="E304" s="36" t="str">
        <f t="shared" si="43"/>
        <v/>
      </c>
      <c r="F304" s="36" t="str">
        <f t="shared" si="44"/>
        <v/>
      </c>
      <c r="G304" s="30"/>
      <c r="H304" s="33"/>
      <c r="I304" s="31"/>
      <c r="J304" s="31"/>
      <c r="K304" s="13" t="str">
        <f t="shared" si="45"/>
        <v/>
      </c>
      <c r="L304" s="49"/>
      <c r="M304" s="49"/>
      <c r="N304" s="30"/>
      <c r="O304" s="30"/>
      <c r="P304" s="30"/>
      <c r="Q304" s="30"/>
      <c r="R304" s="11" t="str">
        <f t="shared" si="46"/>
        <v/>
      </c>
      <c r="S304" s="55" t="str">
        <f t="shared" si="47"/>
        <v/>
      </c>
      <c r="T304" s="37" t="str">
        <f t="shared" si="48"/>
        <v/>
      </c>
      <c r="U304" s="29" t="str">
        <f t="shared" si="49"/>
        <v/>
      </c>
      <c r="V304" s="33"/>
    </row>
    <row r="305" spans="1:22" x14ac:dyDescent="0.25">
      <c r="A305" s="30"/>
      <c r="B305" s="34" t="str">
        <f t="shared" si="40"/>
        <v/>
      </c>
      <c r="C305" s="34" t="str">
        <f t="shared" si="41"/>
        <v/>
      </c>
      <c r="D305" s="36" t="str">
        <f t="shared" si="42"/>
        <v/>
      </c>
      <c r="E305" s="36" t="str">
        <f t="shared" si="43"/>
        <v/>
      </c>
      <c r="F305" s="36" t="str">
        <f t="shared" si="44"/>
        <v/>
      </c>
      <c r="G305" s="30"/>
      <c r="H305" s="33"/>
      <c r="I305" s="31"/>
      <c r="J305" s="31"/>
      <c r="K305" s="13" t="str">
        <f t="shared" si="45"/>
        <v/>
      </c>
      <c r="L305" s="49"/>
      <c r="M305" s="49"/>
      <c r="N305" s="30"/>
      <c r="O305" s="30"/>
      <c r="P305" s="30"/>
      <c r="Q305" s="30"/>
      <c r="R305" s="11" t="str">
        <f t="shared" si="46"/>
        <v/>
      </c>
      <c r="S305" s="55" t="str">
        <f t="shared" si="47"/>
        <v/>
      </c>
      <c r="T305" s="37" t="str">
        <f t="shared" si="48"/>
        <v/>
      </c>
      <c r="U305" s="29" t="str">
        <f t="shared" si="49"/>
        <v/>
      </c>
      <c r="V305" s="33"/>
    </row>
    <row r="306" spans="1:22" x14ac:dyDescent="0.25">
      <c r="A306" s="30"/>
      <c r="B306" s="34" t="str">
        <f t="shared" si="40"/>
        <v/>
      </c>
      <c r="C306" s="34" t="str">
        <f t="shared" si="41"/>
        <v/>
      </c>
      <c r="D306" s="36" t="str">
        <f t="shared" si="42"/>
        <v/>
      </c>
      <c r="E306" s="36" t="str">
        <f t="shared" si="43"/>
        <v/>
      </c>
      <c r="F306" s="36" t="str">
        <f t="shared" si="44"/>
        <v/>
      </c>
      <c r="G306" s="30"/>
      <c r="H306" s="33"/>
      <c r="I306" s="31"/>
      <c r="J306" s="31"/>
      <c r="K306" s="13" t="str">
        <f t="shared" si="45"/>
        <v/>
      </c>
      <c r="L306" s="49"/>
      <c r="M306" s="49"/>
      <c r="N306" s="30"/>
      <c r="O306" s="30"/>
      <c r="P306" s="30"/>
      <c r="Q306" s="30"/>
      <c r="R306" s="11" t="str">
        <f t="shared" si="46"/>
        <v/>
      </c>
      <c r="S306" s="55" t="str">
        <f t="shared" si="47"/>
        <v/>
      </c>
      <c r="T306" s="37" t="str">
        <f t="shared" si="48"/>
        <v/>
      </c>
      <c r="U306" s="29" t="str">
        <f t="shared" si="49"/>
        <v/>
      </c>
      <c r="V306" s="33"/>
    </row>
    <row r="307" spans="1:22" x14ac:dyDescent="0.25">
      <c r="A307" s="30"/>
      <c r="B307" s="34" t="str">
        <f t="shared" si="40"/>
        <v/>
      </c>
      <c r="C307" s="34" t="str">
        <f t="shared" si="41"/>
        <v/>
      </c>
      <c r="D307" s="36" t="str">
        <f t="shared" si="42"/>
        <v/>
      </c>
      <c r="E307" s="36" t="str">
        <f t="shared" si="43"/>
        <v/>
      </c>
      <c r="F307" s="36" t="str">
        <f t="shared" si="44"/>
        <v/>
      </c>
      <c r="G307" s="30"/>
      <c r="H307" s="33"/>
      <c r="I307" s="31"/>
      <c r="J307" s="31"/>
      <c r="K307" s="13" t="str">
        <f t="shared" si="45"/>
        <v/>
      </c>
      <c r="L307" s="49"/>
      <c r="M307" s="49"/>
      <c r="N307" s="30"/>
      <c r="O307" s="30"/>
      <c r="P307" s="30"/>
      <c r="Q307" s="30"/>
      <c r="R307" s="11" t="str">
        <f t="shared" si="46"/>
        <v/>
      </c>
      <c r="S307" s="55" t="str">
        <f t="shared" si="47"/>
        <v/>
      </c>
      <c r="T307" s="37" t="str">
        <f t="shared" si="48"/>
        <v/>
      </c>
      <c r="U307" s="29" t="str">
        <f t="shared" si="49"/>
        <v/>
      </c>
      <c r="V307" s="33"/>
    </row>
    <row r="308" spans="1:22" x14ac:dyDescent="0.25">
      <c r="A308" s="30"/>
      <c r="B308" s="34" t="str">
        <f t="shared" si="40"/>
        <v/>
      </c>
      <c r="C308" s="34" t="str">
        <f t="shared" si="41"/>
        <v/>
      </c>
      <c r="D308" s="36" t="str">
        <f t="shared" si="42"/>
        <v/>
      </c>
      <c r="E308" s="36" t="str">
        <f t="shared" si="43"/>
        <v/>
      </c>
      <c r="F308" s="36" t="str">
        <f t="shared" si="44"/>
        <v/>
      </c>
      <c r="G308" s="30"/>
      <c r="H308" s="33"/>
      <c r="I308" s="31"/>
      <c r="J308" s="31"/>
      <c r="K308" s="13" t="str">
        <f t="shared" si="45"/>
        <v/>
      </c>
      <c r="L308" s="49"/>
      <c r="M308" s="49"/>
      <c r="N308" s="30"/>
      <c r="O308" s="30"/>
      <c r="P308" s="30"/>
      <c r="Q308" s="30"/>
      <c r="R308" s="11" t="str">
        <f t="shared" si="46"/>
        <v/>
      </c>
      <c r="S308" s="55" t="str">
        <f t="shared" si="47"/>
        <v/>
      </c>
      <c r="T308" s="37" t="str">
        <f t="shared" si="48"/>
        <v/>
      </c>
      <c r="U308" s="29" t="str">
        <f t="shared" si="49"/>
        <v/>
      </c>
      <c r="V308" s="33"/>
    </row>
    <row r="309" spans="1:22" x14ac:dyDescent="0.25">
      <c r="A309" s="30"/>
      <c r="B309" s="34" t="str">
        <f t="shared" si="40"/>
        <v/>
      </c>
      <c r="C309" s="34" t="str">
        <f t="shared" si="41"/>
        <v/>
      </c>
      <c r="D309" s="36" t="str">
        <f t="shared" si="42"/>
        <v/>
      </c>
      <c r="E309" s="36" t="str">
        <f t="shared" si="43"/>
        <v/>
      </c>
      <c r="F309" s="36" t="str">
        <f t="shared" si="44"/>
        <v/>
      </c>
      <c r="G309" s="30"/>
      <c r="H309" s="33"/>
      <c r="I309" s="31"/>
      <c r="J309" s="31"/>
      <c r="K309" s="13" t="str">
        <f t="shared" si="45"/>
        <v/>
      </c>
      <c r="L309" s="49"/>
      <c r="M309" s="49"/>
      <c r="N309" s="30"/>
      <c r="O309" s="30"/>
      <c r="P309" s="30"/>
      <c r="Q309" s="30"/>
      <c r="R309" s="11" t="str">
        <f t="shared" si="46"/>
        <v/>
      </c>
      <c r="S309" s="55" t="str">
        <f t="shared" si="47"/>
        <v/>
      </c>
      <c r="T309" s="37" t="str">
        <f t="shared" si="48"/>
        <v/>
      </c>
      <c r="U309" s="29" t="str">
        <f t="shared" si="49"/>
        <v/>
      </c>
      <c r="V309" s="33"/>
    </row>
    <row r="310" spans="1:22" x14ac:dyDescent="0.25">
      <c r="A310" s="30"/>
      <c r="B310" s="34" t="str">
        <f t="shared" si="40"/>
        <v/>
      </c>
      <c r="C310" s="34" t="str">
        <f t="shared" si="41"/>
        <v/>
      </c>
      <c r="D310" s="36" t="str">
        <f t="shared" si="42"/>
        <v/>
      </c>
      <c r="E310" s="36" t="str">
        <f t="shared" si="43"/>
        <v/>
      </c>
      <c r="F310" s="36" t="str">
        <f t="shared" si="44"/>
        <v/>
      </c>
      <c r="G310" s="30"/>
      <c r="H310" s="33"/>
      <c r="I310" s="31"/>
      <c r="J310" s="31"/>
      <c r="K310" s="13" t="str">
        <f t="shared" si="45"/>
        <v/>
      </c>
      <c r="L310" s="49"/>
      <c r="M310" s="49"/>
      <c r="N310" s="30"/>
      <c r="O310" s="30"/>
      <c r="P310" s="30"/>
      <c r="Q310" s="30"/>
      <c r="R310" s="11" t="str">
        <f t="shared" si="46"/>
        <v/>
      </c>
      <c r="S310" s="55" t="str">
        <f t="shared" si="47"/>
        <v/>
      </c>
      <c r="T310" s="37" t="str">
        <f t="shared" si="48"/>
        <v/>
      </c>
      <c r="U310" s="29" t="str">
        <f t="shared" si="49"/>
        <v/>
      </c>
      <c r="V310" s="33"/>
    </row>
    <row r="311" spans="1:22" x14ac:dyDescent="0.25">
      <c r="A311" s="30"/>
      <c r="B311" s="34" t="str">
        <f t="shared" si="40"/>
        <v/>
      </c>
      <c r="C311" s="34" t="str">
        <f t="shared" si="41"/>
        <v/>
      </c>
      <c r="D311" s="36" t="str">
        <f t="shared" si="42"/>
        <v/>
      </c>
      <c r="E311" s="36" t="str">
        <f t="shared" si="43"/>
        <v/>
      </c>
      <c r="F311" s="36" t="str">
        <f t="shared" si="44"/>
        <v/>
      </c>
      <c r="G311" s="30"/>
      <c r="H311" s="33"/>
      <c r="I311" s="31"/>
      <c r="J311" s="31"/>
      <c r="K311" s="13" t="str">
        <f t="shared" si="45"/>
        <v/>
      </c>
      <c r="L311" s="49"/>
      <c r="M311" s="49"/>
      <c r="N311" s="30"/>
      <c r="O311" s="30"/>
      <c r="P311" s="30"/>
      <c r="Q311" s="30"/>
      <c r="R311" s="11" t="str">
        <f t="shared" si="46"/>
        <v/>
      </c>
      <c r="S311" s="55" t="str">
        <f t="shared" si="47"/>
        <v/>
      </c>
      <c r="T311" s="37" t="str">
        <f t="shared" si="48"/>
        <v/>
      </c>
      <c r="U311" s="29" t="str">
        <f t="shared" si="49"/>
        <v/>
      </c>
      <c r="V311" s="33"/>
    </row>
    <row r="312" spans="1:22" x14ac:dyDescent="0.25">
      <c r="A312" s="30"/>
      <c r="B312" s="34" t="str">
        <f t="shared" si="40"/>
        <v/>
      </c>
      <c r="C312" s="34" t="str">
        <f t="shared" si="41"/>
        <v/>
      </c>
      <c r="D312" s="36" t="str">
        <f t="shared" si="42"/>
        <v/>
      </c>
      <c r="E312" s="36" t="str">
        <f t="shared" si="43"/>
        <v/>
      </c>
      <c r="F312" s="36" t="str">
        <f t="shared" si="44"/>
        <v/>
      </c>
      <c r="G312" s="30"/>
      <c r="H312" s="33"/>
      <c r="I312" s="31"/>
      <c r="J312" s="31"/>
      <c r="K312" s="13" t="str">
        <f t="shared" si="45"/>
        <v/>
      </c>
      <c r="L312" s="49"/>
      <c r="M312" s="49"/>
      <c r="N312" s="30"/>
      <c r="O312" s="30"/>
      <c r="P312" s="30"/>
      <c r="Q312" s="30"/>
      <c r="R312" s="11" t="str">
        <f t="shared" si="46"/>
        <v/>
      </c>
      <c r="S312" s="55" t="str">
        <f t="shared" si="47"/>
        <v/>
      </c>
      <c r="T312" s="37" t="str">
        <f t="shared" si="48"/>
        <v/>
      </c>
      <c r="U312" s="29" t="str">
        <f t="shared" si="49"/>
        <v/>
      </c>
      <c r="V312" s="33"/>
    </row>
    <row r="313" spans="1:22" x14ac:dyDescent="0.25">
      <c r="A313" s="30"/>
      <c r="B313" s="34" t="str">
        <f t="shared" si="40"/>
        <v/>
      </c>
      <c r="C313" s="34" t="str">
        <f t="shared" si="41"/>
        <v/>
      </c>
      <c r="D313" s="36" t="str">
        <f t="shared" si="42"/>
        <v/>
      </c>
      <c r="E313" s="36" t="str">
        <f t="shared" si="43"/>
        <v/>
      </c>
      <c r="F313" s="36" t="str">
        <f t="shared" si="44"/>
        <v/>
      </c>
      <c r="G313" s="30"/>
      <c r="H313" s="33"/>
      <c r="I313" s="31"/>
      <c r="J313" s="31"/>
      <c r="K313" s="13" t="str">
        <f t="shared" si="45"/>
        <v/>
      </c>
      <c r="L313" s="49"/>
      <c r="M313" s="49"/>
      <c r="N313" s="30"/>
      <c r="O313" s="30"/>
      <c r="P313" s="30"/>
      <c r="Q313" s="30"/>
      <c r="R313" s="11" t="str">
        <f t="shared" si="46"/>
        <v/>
      </c>
      <c r="S313" s="55" t="str">
        <f t="shared" si="47"/>
        <v/>
      </c>
      <c r="T313" s="37" t="str">
        <f t="shared" si="48"/>
        <v/>
      </c>
      <c r="U313" s="29" t="str">
        <f t="shared" si="49"/>
        <v/>
      </c>
      <c r="V313" s="33"/>
    </row>
    <row r="314" spans="1:22" x14ac:dyDescent="0.25">
      <c r="A314" s="30"/>
      <c r="B314" s="34" t="str">
        <f t="shared" si="40"/>
        <v/>
      </c>
      <c r="C314" s="34" t="str">
        <f t="shared" si="41"/>
        <v/>
      </c>
      <c r="D314" s="36" t="str">
        <f t="shared" si="42"/>
        <v/>
      </c>
      <c r="E314" s="36" t="str">
        <f t="shared" si="43"/>
        <v/>
      </c>
      <c r="F314" s="36" t="str">
        <f t="shared" si="44"/>
        <v/>
      </c>
      <c r="G314" s="30"/>
      <c r="H314" s="33"/>
      <c r="I314" s="31"/>
      <c r="J314" s="31"/>
      <c r="K314" s="13" t="str">
        <f t="shared" si="45"/>
        <v/>
      </c>
      <c r="L314" s="49"/>
      <c r="M314" s="49"/>
      <c r="N314" s="30"/>
      <c r="O314" s="30"/>
      <c r="P314" s="30"/>
      <c r="Q314" s="30"/>
      <c r="R314" s="11" t="str">
        <f t="shared" si="46"/>
        <v/>
      </c>
      <c r="S314" s="55" t="str">
        <f t="shared" si="47"/>
        <v/>
      </c>
      <c r="T314" s="37" t="str">
        <f t="shared" si="48"/>
        <v/>
      </c>
      <c r="U314" s="29" t="str">
        <f t="shared" si="49"/>
        <v/>
      </c>
      <c r="V314" s="33"/>
    </row>
    <row r="315" spans="1:22" x14ac:dyDescent="0.25">
      <c r="A315" s="30"/>
      <c r="B315" s="34" t="str">
        <f t="shared" si="40"/>
        <v/>
      </c>
      <c r="C315" s="34" t="str">
        <f t="shared" si="41"/>
        <v/>
      </c>
      <c r="D315" s="36" t="str">
        <f t="shared" si="42"/>
        <v/>
      </c>
      <c r="E315" s="36" t="str">
        <f t="shared" si="43"/>
        <v/>
      </c>
      <c r="F315" s="36" t="str">
        <f t="shared" si="44"/>
        <v/>
      </c>
      <c r="G315" s="30"/>
      <c r="H315" s="33"/>
      <c r="I315" s="31"/>
      <c r="J315" s="31"/>
      <c r="K315" s="13" t="str">
        <f t="shared" si="45"/>
        <v/>
      </c>
      <c r="L315" s="49"/>
      <c r="M315" s="49"/>
      <c r="N315" s="30"/>
      <c r="O315" s="30"/>
      <c r="P315" s="30"/>
      <c r="Q315" s="30"/>
      <c r="R315" s="11" t="str">
        <f t="shared" si="46"/>
        <v/>
      </c>
      <c r="S315" s="55" t="str">
        <f t="shared" si="47"/>
        <v/>
      </c>
      <c r="T315" s="37" t="str">
        <f t="shared" si="48"/>
        <v/>
      </c>
      <c r="U315" s="29" t="str">
        <f t="shared" si="49"/>
        <v/>
      </c>
      <c r="V315" s="33"/>
    </row>
    <row r="316" spans="1:22" x14ac:dyDescent="0.25">
      <c r="A316" s="30"/>
      <c r="B316" s="34" t="str">
        <f t="shared" si="40"/>
        <v/>
      </c>
      <c r="C316" s="34" t="str">
        <f t="shared" si="41"/>
        <v/>
      </c>
      <c r="D316" s="36" t="str">
        <f t="shared" si="42"/>
        <v/>
      </c>
      <c r="E316" s="36" t="str">
        <f t="shared" si="43"/>
        <v/>
      </c>
      <c r="F316" s="36" t="str">
        <f t="shared" si="44"/>
        <v/>
      </c>
      <c r="G316" s="30"/>
      <c r="H316" s="33"/>
      <c r="I316" s="31"/>
      <c r="J316" s="31"/>
      <c r="K316" s="13" t="str">
        <f t="shared" si="45"/>
        <v/>
      </c>
      <c r="L316" s="49"/>
      <c r="M316" s="49"/>
      <c r="N316" s="30"/>
      <c r="O316" s="30"/>
      <c r="P316" s="30"/>
      <c r="Q316" s="30"/>
      <c r="R316" s="11" t="str">
        <f t="shared" si="46"/>
        <v/>
      </c>
      <c r="S316" s="55" t="str">
        <f t="shared" si="47"/>
        <v/>
      </c>
      <c r="T316" s="37" t="str">
        <f t="shared" si="48"/>
        <v/>
      </c>
      <c r="U316" s="29" t="str">
        <f t="shared" si="49"/>
        <v/>
      </c>
      <c r="V316" s="33"/>
    </row>
    <row r="317" spans="1:22" x14ac:dyDescent="0.25">
      <c r="A317" s="30"/>
      <c r="B317" s="34" t="str">
        <f t="shared" si="40"/>
        <v/>
      </c>
      <c r="C317" s="34" t="str">
        <f t="shared" si="41"/>
        <v/>
      </c>
      <c r="D317" s="36" t="str">
        <f t="shared" si="42"/>
        <v/>
      </c>
      <c r="E317" s="36" t="str">
        <f t="shared" si="43"/>
        <v/>
      </c>
      <c r="F317" s="36" t="str">
        <f t="shared" si="44"/>
        <v/>
      </c>
      <c r="G317" s="30"/>
      <c r="H317" s="33"/>
      <c r="I317" s="31"/>
      <c r="J317" s="31"/>
      <c r="K317" s="13" t="str">
        <f t="shared" si="45"/>
        <v/>
      </c>
      <c r="L317" s="49"/>
      <c r="M317" s="49"/>
      <c r="N317" s="30"/>
      <c r="O317" s="30"/>
      <c r="P317" s="30"/>
      <c r="Q317" s="30"/>
      <c r="R317" s="11" t="str">
        <f t="shared" si="46"/>
        <v/>
      </c>
      <c r="S317" s="55" t="str">
        <f t="shared" si="47"/>
        <v/>
      </c>
      <c r="T317" s="37" t="str">
        <f t="shared" si="48"/>
        <v/>
      </c>
      <c r="U317" s="29" t="str">
        <f t="shared" si="49"/>
        <v/>
      </c>
      <c r="V317" s="33"/>
    </row>
    <row r="318" spans="1:22" x14ac:dyDescent="0.25">
      <c r="A318" s="30"/>
      <c r="B318" s="34" t="str">
        <f t="shared" si="40"/>
        <v/>
      </c>
      <c r="C318" s="34" t="str">
        <f t="shared" si="41"/>
        <v/>
      </c>
      <c r="D318" s="36" t="str">
        <f t="shared" si="42"/>
        <v/>
      </c>
      <c r="E318" s="36" t="str">
        <f t="shared" si="43"/>
        <v/>
      </c>
      <c r="F318" s="36" t="str">
        <f t="shared" si="44"/>
        <v/>
      </c>
      <c r="G318" s="30"/>
      <c r="H318" s="33"/>
      <c r="I318" s="31"/>
      <c r="J318" s="31"/>
      <c r="K318" s="13" t="str">
        <f t="shared" si="45"/>
        <v/>
      </c>
      <c r="L318" s="49"/>
      <c r="M318" s="49"/>
      <c r="N318" s="30"/>
      <c r="O318" s="30"/>
      <c r="P318" s="30"/>
      <c r="Q318" s="30"/>
      <c r="R318" s="11" t="str">
        <f t="shared" si="46"/>
        <v/>
      </c>
      <c r="S318" s="55" t="str">
        <f t="shared" si="47"/>
        <v/>
      </c>
      <c r="T318" s="37" t="str">
        <f t="shared" si="48"/>
        <v/>
      </c>
      <c r="U318" s="29" t="str">
        <f t="shared" si="49"/>
        <v/>
      </c>
      <c r="V318" s="33"/>
    </row>
    <row r="319" spans="1:22" x14ac:dyDescent="0.25">
      <c r="A319" s="30"/>
      <c r="B319" s="34" t="str">
        <f t="shared" si="40"/>
        <v/>
      </c>
      <c r="C319" s="34" t="str">
        <f t="shared" si="41"/>
        <v/>
      </c>
      <c r="D319" s="36" t="str">
        <f t="shared" si="42"/>
        <v/>
      </c>
      <c r="E319" s="36" t="str">
        <f t="shared" si="43"/>
        <v/>
      </c>
      <c r="F319" s="36" t="str">
        <f t="shared" si="44"/>
        <v/>
      </c>
      <c r="G319" s="30"/>
      <c r="H319" s="33"/>
      <c r="I319" s="31"/>
      <c r="J319" s="31"/>
      <c r="K319" s="13" t="str">
        <f t="shared" si="45"/>
        <v/>
      </c>
      <c r="L319" s="49"/>
      <c r="M319" s="49"/>
      <c r="N319" s="30"/>
      <c r="O319" s="30"/>
      <c r="P319" s="30"/>
      <c r="Q319" s="30"/>
      <c r="R319" s="11" t="str">
        <f t="shared" si="46"/>
        <v/>
      </c>
      <c r="S319" s="55" t="str">
        <f t="shared" si="47"/>
        <v/>
      </c>
      <c r="T319" s="37" t="str">
        <f t="shared" si="48"/>
        <v/>
      </c>
      <c r="U319" s="29" t="str">
        <f t="shared" si="49"/>
        <v/>
      </c>
      <c r="V319" s="33"/>
    </row>
    <row r="320" spans="1:22" x14ac:dyDescent="0.25">
      <c r="A320" s="30"/>
      <c r="B320" s="34" t="str">
        <f t="shared" si="40"/>
        <v/>
      </c>
      <c r="C320" s="34" t="str">
        <f t="shared" si="41"/>
        <v/>
      </c>
      <c r="D320" s="36" t="str">
        <f t="shared" si="42"/>
        <v/>
      </c>
      <c r="E320" s="36" t="str">
        <f t="shared" si="43"/>
        <v/>
      </c>
      <c r="F320" s="36" t="str">
        <f t="shared" si="44"/>
        <v/>
      </c>
      <c r="G320" s="30"/>
      <c r="H320" s="33"/>
      <c r="I320" s="31"/>
      <c r="J320" s="31"/>
      <c r="K320" s="13" t="str">
        <f t="shared" si="45"/>
        <v/>
      </c>
      <c r="L320" s="49"/>
      <c r="M320" s="49"/>
      <c r="N320" s="30"/>
      <c r="O320" s="30"/>
      <c r="P320" s="30"/>
      <c r="Q320" s="30"/>
      <c r="R320" s="11" t="str">
        <f t="shared" si="46"/>
        <v/>
      </c>
      <c r="S320" s="55" t="str">
        <f t="shared" si="47"/>
        <v/>
      </c>
      <c r="T320" s="37" t="str">
        <f t="shared" si="48"/>
        <v/>
      </c>
      <c r="U320" s="29" t="str">
        <f t="shared" si="49"/>
        <v/>
      </c>
      <c r="V320" s="33"/>
    </row>
    <row r="321" spans="1:22" x14ac:dyDescent="0.25">
      <c r="A321" s="30"/>
      <c r="B321" s="34" t="str">
        <f t="shared" si="40"/>
        <v/>
      </c>
      <c r="C321" s="34" t="str">
        <f t="shared" si="41"/>
        <v/>
      </c>
      <c r="D321" s="36" t="str">
        <f t="shared" si="42"/>
        <v/>
      </c>
      <c r="E321" s="36" t="str">
        <f t="shared" si="43"/>
        <v/>
      </c>
      <c r="F321" s="36" t="str">
        <f t="shared" si="44"/>
        <v/>
      </c>
      <c r="G321" s="30"/>
      <c r="H321" s="33"/>
      <c r="I321" s="31"/>
      <c r="J321" s="31"/>
      <c r="K321" s="13" t="str">
        <f t="shared" si="45"/>
        <v/>
      </c>
      <c r="L321" s="49"/>
      <c r="M321" s="49"/>
      <c r="N321" s="30"/>
      <c r="O321" s="30"/>
      <c r="P321" s="30"/>
      <c r="Q321" s="30"/>
      <c r="R321" s="11" t="str">
        <f t="shared" si="46"/>
        <v/>
      </c>
      <c r="S321" s="55" t="str">
        <f t="shared" si="47"/>
        <v/>
      </c>
      <c r="T321" s="37" t="str">
        <f t="shared" si="48"/>
        <v/>
      </c>
      <c r="U321" s="29" t="str">
        <f t="shared" si="49"/>
        <v/>
      </c>
      <c r="V321" s="33"/>
    </row>
    <row r="322" spans="1:22" x14ac:dyDescent="0.25">
      <c r="A322" s="30"/>
      <c r="B322" s="34" t="str">
        <f t="shared" si="40"/>
        <v/>
      </c>
      <c r="C322" s="34" t="str">
        <f t="shared" si="41"/>
        <v/>
      </c>
      <c r="D322" s="36" t="str">
        <f t="shared" si="42"/>
        <v/>
      </c>
      <c r="E322" s="36" t="str">
        <f t="shared" si="43"/>
        <v/>
      </c>
      <c r="F322" s="36" t="str">
        <f t="shared" si="44"/>
        <v/>
      </c>
      <c r="G322" s="30"/>
      <c r="H322" s="33"/>
      <c r="I322" s="31"/>
      <c r="J322" s="31"/>
      <c r="K322" s="13" t="str">
        <f t="shared" si="45"/>
        <v/>
      </c>
      <c r="L322" s="49"/>
      <c r="M322" s="49"/>
      <c r="N322" s="30"/>
      <c r="O322" s="30"/>
      <c r="P322" s="30"/>
      <c r="Q322" s="30"/>
      <c r="R322" s="11" t="str">
        <f t="shared" si="46"/>
        <v/>
      </c>
      <c r="S322" s="55" t="str">
        <f t="shared" si="47"/>
        <v/>
      </c>
      <c r="T322" s="37" t="str">
        <f t="shared" si="48"/>
        <v/>
      </c>
      <c r="U322" s="29" t="str">
        <f t="shared" si="49"/>
        <v/>
      </c>
      <c r="V322" s="33"/>
    </row>
    <row r="323" spans="1:22" x14ac:dyDescent="0.25">
      <c r="A323" s="30"/>
      <c r="B323" s="34" t="str">
        <f t="shared" si="40"/>
        <v/>
      </c>
      <c r="C323" s="34" t="str">
        <f t="shared" si="41"/>
        <v/>
      </c>
      <c r="D323" s="36" t="str">
        <f t="shared" si="42"/>
        <v/>
      </c>
      <c r="E323" s="36" t="str">
        <f t="shared" si="43"/>
        <v/>
      </c>
      <c r="F323" s="36" t="str">
        <f t="shared" si="44"/>
        <v/>
      </c>
      <c r="G323" s="30"/>
      <c r="H323" s="33"/>
      <c r="I323" s="31"/>
      <c r="J323" s="31"/>
      <c r="K323" s="13" t="str">
        <f t="shared" si="45"/>
        <v/>
      </c>
      <c r="L323" s="49"/>
      <c r="M323" s="49"/>
      <c r="N323" s="30"/>
      <c r="O323" s="30"/>
      <c r="P323" s="30"/>
      <c r="Q323" s="30"/>
      <c r="R323" s="11" t="str">
        <f t="shared" si="46"/>
        <v/>
      </c>
      <c r="S323" s="55" t="str">
        <f t="shared" si="47"/>
        <v/>
      </c>
      <c r="T323" s="37" t="str">
        <f t="shared" si="48"/>
        <v/>
      </c>
      <c r="U323" s="29" t="str">
        <f t="shared" si="49"/>
        <v/>
      </c>
      <c r="V323" s="33"/>
    </row>
    <row r="324" spans="1:22" x14ac:dyDescent="0.25">
      <c r="A324" s="30"/>
      <c r="B324" s="34" t="str">
        <f t="shared" si="40"/>
        <v/>
      </c>
      <c r="C324" s="34" t="str">
        <f t="shared" si="41"/>
        <v/>
      </c>
      <c r="D324" s="36" t="str">
        <f t="shared" si="42"/>
        <v/>
      </c>
      <c r="E324" s="36" t="str">
        <f t="shared" si="43"/>
        <v/>
      </c>
      <c r="F324" s="36" t="str">
        <f t="shared" si="44"/>
        <v/>
      </c>
      <c r="G324" s="30"/>
      <c r="H324" s="33"/>
      <c r="I324" s="31"/>
      <c r="J324" s="31"/>
      <c r="K324" s="13" t="str">
        <f t="shared" si="45"/>
        <v/>
      </c>
      <c r="L324" s="49"/>
      <c r="M324" s="49"/>
      <c r="N324" s="30"/>
      <c r="O324" s="30"/>
      <c r="P324" s="30"/>
      <c r="Q324" s="30"/>
      <c r="R324" s="11" t="str">
        <f t="shared" si="46"/>
        <v/>
      </c>
      <c r="S324" s="55" t="str">
        <f t="shared" si="47"/>
        <v/>
      </c>
      <c r="T324" s="37" t="str">
        <f t="shared" si="48"/>
        <v/>
      </c>
      <c r="U324" s="29" t="str">
        <f t="shared" si="49"/>
        <v/>
      </c>
      <c r="V324" s="33"/>
    </row>
    <row r="325" spans="1:22" x14ac:dyDescent="0.25">
      <c r="A325" s="30"/>
      <c r="B325" s="34" t="str">
        <f t="shared" ref="B325:B388" si="50">IFERROR(IF($A325="","",VLOOKUP($A325,CAD_TAB,2,FALSE)),"")</f>
        <v/>
      </c>
      <c r="C325" s="34" t="str">
        <f t="shared" ref="C325:C388" si="51">IFERROR(IF($A325="","",VLOOKUP($A325,CAD_TAB,3,FALSE)),"")</f>
        <v/>
      </c>
      <c r="D325" s="36" t="str">
        <f t="shared" ref="D325:D388" si="52">IFERROR(IF($A325="","",VLOOKUP($A325,CAD_TAB,9,FALSE)),"")</f>
        <v/>
      </c>
      <c r="E325" s="36" t="str">
        <f t="shared" ref="E325:E388" si="53">IFERROR(IF($A325="","",VLOOKUP($A325,CAD_TAB,11,FALSE)),"")</f>
        <v/>
      </c>
      <c r="F325" s="36" t="str">
        <f t="shared" ref="F325:F388" si="54">IFERROR(IF($A325="","",VLOOKUP($A325,CAD_TAB,8,FALSE)),"")</f>
        <v/>
      </c>
      <c r="G325" s="30"/>
      <c r="H325" s="33"/>
      <c r="I325" s="31"/>
      <c r="J325" s="31"/>
      <c r="K325" s="13" t="str">
        <f t="shared" ref="K325:K388" si="55">IF(OR($I325="",$J325=""),"",$J325-$I325+1)</f>
        <v/>
      </c>
      <c r="L325" s="49"/>
      <c r="M325" s="49"/>
      <c r="N325" s="30"/>
      <c r="O325" s="30"/>
      <c r="P325" s="30"/>
      <c r="Q325" s="30"/>
      <c r="R325" s="11" t="str">
        <f t="shared" ref="R325:R388" si="56">IF($A325="","",COUNTIFS(MED_ID,$A325))</f>
        <v/>
      </c>
      <c r="S325" s="55" t="str">
        <f t="shared" ref="S325:S388" si="57">IF($A325="","",SUMIFS(MED_VLR,MED_ID,$A325))</f>
        <v/>
      </c>
      <c r="T325" s="37" t="str">
        <f t="shared" ref="T325:T388" si="58">IF($J325="","",EOMONTH($J325,0))</f>
        <v/>
      </c>
      <c r="U325" s="29" t="str">
        <f t="shared" ref="U325:U388" si="59">IF($A325="","",IF($V325="CANCELADA","CANCELADA",IF($S325&gt;0,"MEDIDA",IF($J325="","EM EXECUÇÃO",IF(OR($N325="NÃO",$O325="NÃO",$P325="NÃO"),"AGUARDANDO PAVIMENTO","CONCLUÍDA")))))</f>
        <v/>
      </c>
      <c r="V325" s="33"/>
    </row>
    <row r="326" spans="1:22" x14ac:dyDescent="0.25">
      <c r="A326" s="30"/>
      <c r="B326" s="34" t="str">
        <f t="shared" si="50"/>
        <v/>
      </c>
      <c r="C326" s="34" t="str">
        <f t="shared" si="51"/>
        <v/>
      </c>
      <c r="D326" s="36" t="str">
        <f t="shared" si="52"/>
        <v/>
      </c>
      <c r="E326" s="36" t="str">
        <f t="shared" si="53"/>
        <v/>
      </c>
      <c r="F326" s="36" t="str">
        <f t="shared" si="54"/>
        <v/>
      </c>
      <c r="G326" s="30"/>
      <c r="H326" s="33"/>
      <c r="I326" s="31"/>
      <c r="J326" s="31"/>
      <c r="K326" s="13" t="str">
        <f t="shared" si="55"/>
        <v/>
      </c>
      <c r="L326" s="49"/>
      <c r="M326" s="49"/>
      <c r="N326" s="30"/>
      <c r="O326" s="30"/>
      <c r="P326" s="30"/>
      <c r="Q326" s="30"/>
      <c r="R326" s="11" t="str">
        <f t="shared" si="56"/>
        <v/>
      </c>
      <c r="S326" s="55" t="str">
        <f t="shared" si="57"/>
        <v/>
      </c>
      <c r="T326" s="37" t="str">
        <f t="shared" si="58"/>
        <v/>
      </c>
      <c r="U326" s="29" t="str">
        <f t="shared" si="59"/>
        <v/>
      </c>
      <c r="V326" s="33"/>
    </row>
    <row r="327" spans="1:22" x14ac:dyDescent="0.25">
      <c r="A327" s="30"/>
      <c r="B327" s="34" t="str">
        <f t="shared" si="50"/>
        <v/>
      </c>
      <c r="C327" s="34" t="str">
        <f t="shared" si="51"/>
        <v/>
      </c>
      <c r="D327" s="36" t="str">
        <f t="shared" si="52"/>
        <v/>
      </c>
      <c r="E327" s="36" t="str">
        <f t="shared" si="53"/>
        <v/>
      </c>
      <c r="F327" s="36" t="str">
        <f t="shared" si="54"/>
        <v/>
      </c>
      <c r="G327" s="30"/>
      <c r="H327" s="33"/>
      <c r="I327" s="31"/>
      <c r="J327" s="31"/>
      <c r="K327" s="13" t="str">
        <f t="shared" si="55"/>
        <v/>
      </c>
      <c r="L327" s="49"/>
      <c r="M327" s="49"/>
      <c r="N327" s="30"/>
      <c r="O327" s="30"/>
      <c r="P327" s="30"/>
      <c r="Q327" s="30"/>
      <c r="R327" s="11" t="str">
        <f t="shared" si="56"/>
        <v/>
      </c>
      <c r="S327" s="55" t="str">
        <f t="shared" si="57"/>
        <v/>
      </c>
      <c r="T327" s="37" t="str">
        <f t="shared" si="58"/>
        <v/>
      </c>
      <c r="U327" s="29" t="str">
        <f t="shared" si="59"/>
        <v/>
      </c>
      <c r="V327" s="33"/>
    </row>
    <row r="328" spans="1:22" x14ac:dyDescent="0.25">
      <c r="A328" s="30"/>
      <c r="B328" s="34" t="str">
        <f t="shared" si="50"/>
        <v/>
      </c>
      <c r="C328" s="34" t="str">
        <f t="shared" si="51"/>
        <v/>
      </c>
      <c r="D328" s="36" t="str">
        <f t="shared" si="52"/>
        <v/>
      </c>
      <c r="E328" s="36" t="str">
        <f t="shared" si="53"/>
        <v/>
      </c>
      <c r="F328" s="36" t="str">
        <f t="shared" si="54"/>
        <v/>
      </c>
      <c r="G328" s="30"/>
      <c r="H328" s="33"/>
      <c r="I328" s="31"/>
      <c r="J328" s="31"/>
      <c r="K328" s="13" t="str">
        <f t="shared" si="55"/>
        <v/>
      </c>
      <c r="L328" s="49"/>
      <c r="M328" s="49"/>
      <c r="N328" s="30"/>
      <c r="O328" s="30"/>
      <c r="P328" s="30"/>
      <c r="Q328" s="30"/>
      <c r="R328" s="11" t="str">
        <f t="shared" si="56"/>
        <v/>
      </c>
      <c r="S328" s="55" t="str">
        <f t="shared" si="57"/>
        <v/>
      </c>
      <c r="T328" s="37" t="str">
        <f t="shared" si="58"/>
        <v/>
      </c>
      <c r="U328" s="29" t="str">
        <f t="shared" si="59"/>
        <v/>
      </c>
      <c r="V328" s="33"/>
    </row>
    <row r="329" spans="1:22" x14ac:dyDescent="0.25">
      <c r="A329" s="30"/>
      <c r="B329" s="34" t="str">
        <f t="shared" si="50"/>
        <v/>
      </c>
      <c r="C329" s="34" t="str">
        <f t="shared" si="51"/>
        <v/>
      </c>
      <c r="D329" s="36" t="str">
        <f t="shared" si="52"/>
        <v/>
      </c>
      <c r="E329" s="36" t="str">
        <f t="shared" si="53"/>
        <v/>
      </c>
      <c r="F329" s="36" t="str">
        <f t="shared" si="54"/>
        <v/>
      </c>
      <c r="G329" s="30"/>
      <c r="H329" s="33"/>
      <c r="I329" s="31"/>
      <c r="J329" s="31"/>
      <c r="K329" s="13" t="str">
        <f t="shared" si="55"/>
        <v/>
      </c>
      <c r="L329" s="49"/>
      <c r="M329" s="49"/>
      <c r="N329" s="30"/>
      <c r="O329" s="30"/>
      <c r="P329" s="30"/>
      <c r="Q329" s="30"/>
      <c r="R329" s="11" t="str">
        <f t="shared" si="56"/>
        <v/>
      </c>
      <c r="S329" s="55" t="str">
        <f t="shared" si="57"/>
        <v/>
      </c>
      <c r="T329" s="37" t="str">
        <f t="shared" si="58"/>
        <v/>
      </c>
      <c r="U329" s="29" t="str">
        <f t="shared" si="59"/>
        <v/>
      </c>
      <c r="V329" s="33"/>
    </row>
    <row r="330" spans="1:22" x14ac:dyDescent="0.25">
      <c r="A330" s="30"/>
      <c r="B330" s="34" t="str">
        <f t="shared" si="50"/>
        <v/>
      </c>
      <c r="C330" s="34" t="str">
        <f t="shared" si="51"/>
        <v/>
      </c>
      <c r="D330" s="36" t="str">
        <f t="shared" si="52"/>
        <v/>
      </c>
      <c r="E330" s="36" t="str">
        <f t="shared" si="53"/>
        <v/>
      </c>
      <c r="F330" s="36" t="str">
        <f t="shared" si="54"/>
        <v/>
      </c>
      <c r="G330" s="30"/>
      <c r="H330" s="33"/>
      <c r="I330" s="31"/>
      <c r="J330" s="31"/>
      <c r="K330" s="13" t="str">
        <f t="shared" si="55"/>
        <v/>
      </c>
      <c r="L330" s="49"/>
      <c r="M330" s="49"/>
      <c r="N330" s="30"/>
      <c r="O330" s="30"/>
      <c r="P330" s="30"/>
      <c r="Q330" s="30"/>
      <c r="R330" s="11" t="str">
        <f t="shared" si="56"/>
        <v/>
      </c>
      <c r="S330" s="55" t="str">
        <f t="shared" si="57"/>
        <v/>
      </c>
      <c r="T330" s="37" t="str">
        <f t="shared" si="58"/>
        <v/>
      </c>
      <c r="U330" s="29" t="str">
        <f t="shared" si="59"/>
        <v/>
      </c>
      <c r="V330" s="33"/>
    </row>
    <row r="331" spans="1:22" x14ac:dyDescent="0.25">
      <c r="A331" s="30"/>
      <c r="B331" s="34" t="str">
        <f t="shared" si="50"/>
        <v/>
      </c>
      <c r="C331" s="34" t="str">
        <f t="shared" si="51"/>
        <v/>
      </c>
      <c r="D331" s="36" t="str">
        <f t="shared" si="52"/>
        <v/>
      </c>
      <c r="E331" s="36" t="str">
        <f t="shared" si="53"/>
        <v/>
      </c>
      <c r="F331" s="36" t="str">
        <f t="shared" si="54"/>
        <v/>
      </c>
      <c r="G331" s="30"/>
      <c r="H331" s="33"/>
      <c r="I331" s="31"/>
      <c r="J331" s="31"/>
      <c r="K331" s="13" t="str">
        <f t="shared" si="55"/>
        <v/>
      </c>
      <c r="L331" s="49"/>
      <c r="M331" s="49"/>
      <c r="N331" s="30"/>
      <c r="O331" s="30"/>
      <c r="P331" s="30"/>
      <c r="Q331" s="30"/>
      <c r="R331" s="11" t="str">
        <f t="shared" si="56"/>
        <v/>
      </c>
      <c r="S331" s="55" t="str">
        <f t="shared" si="57"/>
        <v/>
      </c>
      <c r="T331" s="37" t="str">
        <f t="shared" si="58"/>
        <v/>
      </c>
      <c r="U331" s="29" t="str">
        <f t="shared" si="59"/>
        <v/>
      </c>
      <c r="V331" s="33"/>
    </row>
    <row r="332" spans="1:22" x14ac:dyDescent="0.25">
      <c r="A332" s="30"/>
      <c r="B332" s="34" t="str">
        <f t="shared" si="50"/>
        <v/>
      </c>
      <c r="C332" s="34" t="str">
        <f t="shared" si="51"/>
        <v/>
      </c>
      <c r="D332" s="36" t="str">
        <f t="shared" si="52"/>
        <v/>
      </c>
      <c r="E332" s="36" t="str">
        <f t="shared" si="53"/>
        <v/>
      </c>
      <c r="F332" s="36" t="str">
        <f t="shared" si="54"/>
        <v/>
      </c>
      <c r="G332" s="30"/>
      <c r="H332" s="33"/>
      <c r="I332" s="31"/>
      <c r="J332" s="31"/>
      <c r="K332" s="13" t="str">
        <f t="shared" si="55"/>
        <v/>
      </c>
      <c r="L332" s="49"/>
      <c r="M332" s="49"/>
      <c r="N332" s="30"/>
      <c r="O332" s="30"/>
      <c r="P332" s="30"/>
      <c r="Q332" s="30"/>
      <c r="R332" s="11" t="str">
        <f t="shared" si="56"/>
        <v/>
      </c>
      <c r="S332" s="55" t="str">
        <f t="shared" si="57"/>
        <v/>
      </c>
      <c r="T332" s="37" t="str">
        <f t="shared" si="58"/>
        <v/>
      </c>
      <c r="U332" s="29" t="str">
        <f t="shared" si="59"/>
        <v/>
      </c>
      <c r="V332" s="33"/>
    </row>
    <row r="333" spans="1:22" x14ac:dyDescent="0.25">
      <c r="A333" s="30"/>
      <c r="B333" s="34" t="str">
        <f t="shared" si="50"/>
        <v/>
      </c>
      <c r="C333" s="34" t="str">
        <f t="shared" si="51"/>
        <v/>
      </c>
      <c r="D333" s="36" t="str">
        <f t="shared" si="52"/>
        <v/>
      </c>
      <c r="E333" s="36" t="str">
        <f t="shared" si="53"/>
        <v/>
      </c>
      <c r="F333" s="36" t="str">
        <f t="shared" si="54"/>
        <v/>
      </c>
      <c r="G333" s="30"/>
      <c r="H333" s="33"/>
      <c r="I333" s="31"/>
      <c r="J333" s="31"/>
      <c r="K333" s="13" t="str">
        <f t="shared" si="55"/>
        <v/>
      </c>
      <c r="L333" s="49"/>
      <c r="M333" s="49"/>
      <c r="N333" s="30"/>
      <c r="O333" s="30"/>
      <c r="P333" s="30"/>
      <c r="Q333" s="30"/>
      <c r="R333" s="11" t="str">
        <f t="shared" si="56"/>
        <v/>
      </c>
      <c r="S333" s="55" t="str">
        <f t="shared" si="57"/>
        <v/>
      </c>
      <c r="T333" s="37" t="str">
        <f t="shared" si="58"/>
        <v/>
      </c>
      <c r="U333" s="29" t="str">
        <f t="shared" si="59"/>
        <v/>
      </c>
      <c r="V333" s="33"/>
    </row>
    <row r="334" spans="1:22" x14ac:dyDescent="0.25">
      <c r="A334" s="30"/>
      <c r="B334" s="34" t="str">
        <f t="shared" si="50"/>
        <v/>
      </c>
      <c r="C334" s="34" t="str">
        <f t="shared" si="51"/>
        <v/>
      </c>
      <c r="D334" s="36" t="str">
        <f t="shared" si="52"/>
        <v/>
      </c>
      <c r="E334" s="36" t="str">
        <f t="shared" si="53"/>
        <v/>
      </c>
      <c r="F334" s="36" t="str">
        <f t="shared" si="54"/>
        <v/>
      </c>
      <c r="G334" s="30"/>
      <c r="H334" s="33"/>
      <c r="I334" s="31"/>
      <c r="J334" s="31"/>
      <c r="K334" s="13" t="str">
        <f t="shared" si="55"/>
        <v/>
      </c>
      <c r="L334" s="49"/>
      <c r="M334" s="49"/>
      <c r="N334" s="30"/>
      <c r="O334" s="30"/>
      <c r="P334" s="30"/>
      <c r="Q334" s="30"/>
      <c r="R334" s="11" t="str">
        <f t="shared" si="56"/>
        <v/>
      </c>
      <c r="S334" s="55" t="str">
        <f t="shared" si="57"/>
        <v/>
      </c>
      <c r="T334" s="37" t="str">
        <f t="shared" si="58"/>
        <v/>
      </c>
      <c r="U334" s="29" t="str">
        <f t="shared" si="59"/>
        <v/>
      </c>
      <c r="V334" s="33"/>
    </row>
    <row r="335" spans="1:22" x14ac:dyDescent="0.25">
      <c r="A335" s="30"/>
      <c r="B335" s="34" t="str">
        <f t="shared" si="50"/>
        <v/>
      </c>
      <c r="C335" s="34" t="str">
        <f t="shared" si="51"/>
        <v/>
      </c>
      <c r="D335" s="36" t="str">
        <f t="shared" si="52"/>
        <v/>
      </c>
      <c r="E335" s="36" t="str">
        <f t="shared" si="53"/>
        <v/>
      </c>
      <c r="F335" s="36" t="str">
        <f t="shared" si="54"/>
        <v/>
      </c>
      <c r="G335" s="30"/>
      <c r="H335" s="33"/>
      <c r="I335" s="31"/>
      <c r="J335" s="31"/>
      <c r="K335" s="13" t="str">
        <f t="shared" si="55"/>
        <v/>
      </c>
      <c r="L335" s="49"/>
      <c r="M335" s="49"/>
      <c r="N335" s="30"/>
      <c r="O335" s="30"/>
      <c r="P335" s="30"/>
      <c r="Q335" s="30"/>
      <c r="R335" s="11" t="str">
        <f t="shared" si="56"/>
        <v/>
      </c>
      <c r="S335" s="55" t="str">
        <f t="shared" si="57"/>
        <v/>
      </c>
      <c r="T335" s="37" t="str">
        <f t="shared" si="58"/>
        <v/>
      </c>
      <c r="U335" s="29" t="str">
        <f t="shared" si="59"/>
        <v/>
      </c>
      <c r="V335" s="33"/>
    </row>
    <row r="336" spans="1:22" x14ac:dyDescent="0.25">
      <c r="A336" s="30"/>
      <c r="B336" s="34" t="str">
        <f t="shared" si="50"/>
        <v/>
      </c>
      <c r="C336" s="34" t="str">
        <f t="shared" si="51"/>
        <v/>
      </c>
      <c r="D336" s="36" t="str">
        <f t="shared" si="52"/>
        <v/>
      </c>
      <c r="E336" s="36" t="str">
        <f t="shared" si="53"/>
        <v/>
      </c>
      <c r="F336" s="36" t="str">
        <f t="shared" si="54"/>
        <v/>
      </c>
      <c r="G336" s="30"/>
      <c r="H336" s="33"/>
      <c r="I336" s="31"/>
      <c r="J336" s="31"/>
      <c r="K336" s="13" t="str">
        <f t="shared" si="55"/>
        <v/>
      </c>
      <c r="L336" s="49"/>
      <c r="M336" s="49"/>
      <c r="N336" s="30"/>
      <c r="O336" s="30"/>
      <c r="P336" s="30"/>
      <c r="Q336" s="30"/>
      <c r="R336" s="11" t="str">
        <f t="shared" si="56"/>
        <v/>
      </c>
      <c r="S336" s="55" t="str">
        <f t="shared" si="57"/>
        <v/>
      </c>
      <c r="T336" s="37" t="str">
        <f t="shared" si="58"/>
        <v/>
      </c>
      <c r="U336" s="29" t="str">
        <f t="shared" si="59"/>
        <v/>
      </c>
      <c r="V336" s="33"/>
    </row>
    <row r="337" spans="1:22" x14ac:dyDescent="0.25">
      <c r="A337" s="30"/>
      <c r="B337" s="34" t="str">
        <f t="shared" si="50"/>
        <v/>
      </c>
      <c r="C337" s="34" t="str">
        <f t="shared" si="51"/>
        <v/>
      </c>
      <c r="D337" s="36" t="str">
        <f t="shared" si="52"/>
        <v/>
      </c>
      <c r="E337" s="36" t="str">
        <f t="shared" si="53"/>
        <v/>
      </c>
      <c r="F337" s="36" t="str">
        <f t="shared" si="54"/>
        <v/>
      </c>
      <c r="G337" s="30"/>
      <c r="H337" s="33"/>
      <c r="I337" s="31"/>
      <c r="J337" s="31"/>
      <c r="K337" s="13" t="str">
        <f t="shared" si="55"/>
        <v/>
      </c>
      <c r="L337" s="49"/>
      <c r="M337" s="49"/>
      <c r="N337" s="30"/>
      <c r="O337" s="30"/>
      <c r="P337" s="30"/>
      <c r="Q337" s="30"/>
      <c r="R337" s="11" t="str">
        <f t="shared" si="56"/>
        <v/>
      </c>
      <c r="S337" s="55" t="str">
        <f t="shared" si="57"/>
        <v/>
      </c>
      <c r="T337" s="37" t="str">
        <f t="shared" si="58"/>
        <v/>
      </c>
      <c r="U337" s="29" t="str">
        <f t="shared" si="59"/>
        <v/>
      </c>
      <c r="V337" s="33"/>
    </row>
    <row r="338" spans="1:22" x14ac:dyDescent="0.25">
      <c r="A338" s="30"/>
      <c r="B338" s="34" t="str">
        <f t="shared" si="50"/>
        <v/>
      </c>
      <c r="C338" s="34" t="str">
        <f t="shared" si="51"/>
        <v/>
      </c>
      <c r="D338" s="36" t="str">
        <f t="shared" si="52"/>
        <v/>
      </c>
      <c r="E338" s="36" t="str">
        <f t="shared" si="53"/>
        <v/>
      </c>
      <c r="F338" s="36" t="str">
        <f t="shared" si="54"/>
        <v/>
      </c>
      <c r="G338" s="30"/>
      <c r="H338" s="33"/>
      <c r="I338" s="31"/>
      <c r="J338" s="31"/>
      <c r="K338" s="13" t="str">
        <f t="shared" si="55"/>
        <v/>
      </c>
      <c r="L338" s="49"/>
      <c r="M338" s="49"/>
      <c r="N338" s="30"/>
      <c r="O338" s="30"/>
      <c r="P338" s="30"/>
      <c r="Q338" s="30"/>
      <c r="R338" s="11" t="str">
        <f t="shared" si="56"/>
        <v/>
      </c>
      <c r="S338" s="55" t="str">
        <f t="shared" si="57"/>
        <v/>
      </c>
      <c r="T338" s="37" t="str">
        <f t="shared" si="58"/>
        <v/>
      </c>
      <c r="U338" s="29" t="str">
        <f t="shared" si="59"/>
        <v/>
      </c>
      <c r="V338" s="33"/>
    </row>
    <row r="339" spans="1:22" x14ac:dyDescent="0.25">
      <c r="A339" s="30"/>
      <c r="B339" s="34" t="str">
        <f t="shared" si="50"/>
        <v/>
      </c>
      <c r="C339" s="34" t="str">
        <f t="shared" si="51"/>
        <v/>
      </c>
      <c r="D339" s="36" t="str">
        <f t="shared" si="52"/>
        <v/>
      </c>
      <c r="E339" s="36" t="str">
        <f t="shared" si="53"/>
        <v/>
      </c>
      <c r="F339" s="36" t="str">
        <f t="shared" si="54"/>
        <v/>
      </c>
      <c r="G339" s="30"/>
      <c r="H339" s="33"/>
      <c r="I339" s="31"/>
      <c r="J339" s="31"/>
      <c r="K339" s="13" t="str">
        <f t="shared" si="55"/>
        <v/>
      </c>
      <c r="L339" s="49"/>
      <c r="M339" s="49"/>
      <c r="N339" s="30"/>
      <c r="O339" s="30"/>
      <c r="P339" s="30"/>
      <c r="Q339" s="30"/>
      <c r="R339" s="11" t="str">
        <f t="shared" si="56"/>
        <v/>
      </c>
      <c r="S339" s="55" t="str">
        <f t="shared" si="57"/>
        <v/>
      </c>
      <c r="T339" s="37" t="str">
        <f t="shared" si="58"/>
        <v/>
      </c>
      <c r="U339" s="29" t="str">
        <f t="shared" si="59"/>
        <v/>
      </c>
      <c r="V339" s="33"/>
    </row>
    <row r="340" spans="1:22" x14ac:dyDescent="0.25">
      <c r="A340" s="30"/>
      <c r="B340" s="34" t="str">
        <f t="shared" si="50"/>
        <v/>
      </c>
      <c r="C340" s="34" t="str">
        <f t="shared" si="51"/>
        <v/>
      </c>
      <c r="D340" s="36" t="str">
        <f t="shared" si="52"/>
        <v/>
      </c>
      <c r="E340" s="36" t="str">
        <f t="shared" si="53"/>
        <v/>
      </c>
      <c r="F340" s="36" t="str">
        <f t="shared" si="54"/>
        <v/>
      </c>
      <c r="G340" s="30"/>
      <c r="H340" s="33"/>
      <c r="I340" s="31"/>
      <c r="J340" s="31"/>
      <c r="K340" s="13" t="str">
        <f t="shared" si="55"/>
        <v/>
      </c>
      <c r="L340" s="49"/>
      <c r="M340" s="49"/>
      <c r="N340" s="30"/>
      <c r="O340" s="30"/>
      <c r="P340" s="30"/>
      <c r="Q340" s="30"/>
      <c r="R340" s="11" t="str">
        <f t="shared" si="56"/>
        <v/>
      </c>
      <c r="S340" s="55" t="str">
        <f t="shared" si="57"/>
        <v/>
      </c>
      <c r="T340" s="37" t="str">
        <f t="shared" si="58"/>
        <v/>
      </c>
      <c r="U340" s="29" t="str">
        <f t="shared" si="59"/>
        <v/>
      </c>
      <c r="V340" s="33"/>
    </row>
    <row r="341" spans="1:22" x14ac:dyDescent="0.25">
      <c r="A341" s="30"/>
      <c r="B341" s="34" t="str">
        <f t="shared" si="50"/>
        <v/>
      </c>
      <c r="C341" s="34" t="str">
        <f t="shared" si="51"/>
        <v/>
      </c>
      <c r="D341" s="36" t="str">
        <f t="shared" si="52"/>
        <v/>
      </c>
      <c r="E341" s="36" t="str">
        <f t="shared" si="53"/>
        <v/>
      </c>
      <c r="F341" s="36" t="str">
        <f t="shared" si="54"/>
        <v/>
      </c>
      <c r="G341" s="30"/>
      <c r="H341" s="33"/>
      <c r="I341" s="31"/>
      <c r="J341" s="31"/>
      <c r="K341" s="13" t="str">
        <f t="shared" si="55"/>
        <v/>
      </c>
      <c r="L341" s="49"/>
      <c r="M341" s="49"/>
      <c r="N341" s="30"/>
      <c r="O341" s="30"/>
      <c r="P341" s="30"/>
      <c r="Q341" s="30"/>
      <c r="R341" s="11" t="str">
        <f t="shared" si="56"/>
        <v/>
      </c>
      <c r="S341" s="55" t="str">
        <f t="shared" si="57"/>
        <v/>
      </c>
      <c r="T341" s="37" t="str">
        <f t="shared" si="58"/>
        <v/>
      </c>
      <c r="U341" s="29" t="str">
        <f t="shared" si="59"/>
        <v/>
      </c>
      <c r="V341" s="33"/>
    </row>
    <row r="342" spans="1:22" x14ac:dyDescent="0.25">
      <c r="A342" s="30"/>
      <c r="B342" s="34" t="str">
        <f t="shared" si="50"/>
        <v/>
      </c>
      <c r="C342" s="34" t="str">
        <f t="shared" si="51"/>
        <v/>
      </c>
      <c r="D342" s="36" t="str">
        <f t="shared" si="52"/>
        <v/>
      </c>
      <c r="E342" s="36" t="str">
        <f t="shared" si="53"/>
        <v/>
      </c>
      <c r="F342" s="36" t="str">
        <f t="shared" si="54"/>
        <v/>
      </c>
      <c r="G342" s="30"/>
      <c r="H342" s="33"/>
      <c r="I342" s="31"/>
      <c r="J342" s="31"/>
      <c r="K342" s="13" t="str">
        <f t="shared" si="55"/>
        <v/>
      </c>
      <c r="L342" s="49"/>
      <c r="M342" s="49"/>
      <c r="N342" s="30"/>
      <c r="O342" s="30"/>
      <c r="P342" s="30"/>
      <c r="Q342" s="30"/>
      <c r="R342" s="11" t="str">
        <f t="shared" si="56"/>
        <v/>
      </c>
      <c r="S342" s="55" t="str">
        <f t="shared" si="57"/>
        <v/>
      </c>
      <c r="T342" s="37" t="str">
        <f t="shared" si="58"/>
        <v/>
      </c>
      <c r="U342" s="29" t="str">
        <f t="shared" si="59"/>
        <v/>
      </c>
      <c r="V342" s="33"/>
    </row>
    <row r="343" spans="1:22" x14ac:dyDescent="0.25">
      <c r="A343" s="30"/>
      <c r="B343" s="34" t="str">
        <f t="shared" si="50"/>
        <v/>
      </c>
      <c r="C343" s="34" t="str">
        <f t="shared" si="51"/>
        <v/>
      </c>
      <c r="D343" s="36" t="str">
        <f t="shared" si="52"/>
        <v/>
      </c>
      <c r="E343" s="36" t="str">
        <f t="shared" si="53"/>
        <v/>
      </c>
      <c r="F343" s="36" t="str">
        <f t="shared" si="54"/>
        <v/>
      </c>
      <c r="G343" s="30"/>
      <c r="H343" s="33"/>
      <c r="I343" s="31"/>
      <c r="J343" s="31"/>
      <c r="K343" s="13" t="str">
        <f t="shared" si="55"/>
        <v/>
      </c>
      <c r="L343" s="49"/>
      <c r="M343" s="49"/>
      <c r="N343" s="30"/>
      <c r="O343" s="30"/>
      <c r="P343" s="30"/>
      <c r="Q343" s="30"/>
      <c r="R343" s="11" t="str">
        <f t="shared" si="56"/>
        <v/>
      </c>
      <c r="S343" s="55" t="str">
        <f t="shared" si="57"/>
        <v/>
      </c>
      <c r="T343" s="37" t="str">
        <f t="shared" si="58"/>
        <v/>
      </c>
      <c r="U343" s="29" t="str">
        <f t="shared" si="59"/>
        <v/>
      </c>
      <c r="V343" s="33"/>
    </row>
    <row r="344" spans="1:22" x14ac:dyDescent="0.25">
      <c r="A344" s="30"/>
      <c r="B344" s="34" t="str">
        <f t="shared" si="50"/>
        <v/>
      </c>
      <c r="C344" s="34" t="str">
        <f t="shared" si="51"/>
        <v/>
      </c>
      <c r="D344" s="36" t="str">
        <f t="shared" si="52"/>
        <v/>
      </c>
      <c r="E344" s="36" t="str">
        <f t="shared" si="53"/>
        <v/>
      </c>
      <c r="F344" s="36" t="str">
        <f t="shared" si="54"/>
        <v/>
      </c>
      <c r="G344" s="30"/>
      <c r="H344" s="33"/>
      <c r="I344" s="31"/>
      <c r="J344" s="31"/>
      <c r="K344" s="13" t="str">
        <f t="shared" si="55"/>
        <v/>
      </c>
      <c r="L344" s="49"/>
      <c r="M344" s="49"/>
      <c r="N344" s="30"/>
      <c r="O344" s="30"/>
      <c r="P344" s="30"/>
      <c r="Q344" s="30"/>
      <c r="R344" s="11" t="str">
        <f t="shared" si="56"/>
        <v/>
      </c>
      <c r="S344" s="55" t="str">
        <f t="shared" si="57"/>
        <v/>
      </c>
      <c r="T344" s="37" t="str">
        <f t="shared" si="58"/>
        <v/>
      </c>
      <c r="U344" s="29" t="str">
        <f t="shared" si="59"/>
        <v/>
      </c>
      <c r="V344" s="33"/>
    </row>
    <row r="345" spans="1:22" x14ac:dyDescent="0.25">
      <c r="A345" s="30"/>
      <c r="B345" s="34" t="str">
        <f t="shared" si="50"/>
        <v/>
      </c>
      <c r="C345" s="34" t="str">
        <f t="shared" si="51"/>
        <v/>
      </c>
      <c r="D345" s="36" t="str">
        <f t="shared" si="52"/>
        <v/>
      </c>
      <c r="E345" s="36" t="str">
        <f t="shared" si="53"/>
        <v/>
      </c>
      <c r="F345" s="36" t="str">
        <f t="shared" si="54"/>
        <v/>
      </c>
      <c r="G345" s="30"/>
      <c r="H345" s="33"/>
      <c r="I345" s="31"/>
      <c r="J345" s="31"/>
      <c r="K345" s="13" t="str">
        <f t="shared" si="55"/>
        <v/>
      </c>
      <c r="L345" s="49"/>
      <c r="M345" s="49"/>
      <c r="N345" s="30"/>
      <c r="O345" s="30"/>
      <c r="P345" s="30"/>
      <c r="Q345" s="30"/>
      <c r="R345" s="11" t="str">
        <f t="shared" si="56"/>
        <v/>
      </c>
      <c r="S345" s="55" t="str">
        <f t="shared" si="57"/>
        <v/>
      </c>
      <c r="T345" s="37" t="str">
        <f t="shared" si="58"/>
        <v/>
      </c>
      <c r="U345" s="29" t="str">
        <f t="shared" si="59"/>
        <v/>
      </c>
      <c r="V345" s="33"/>
    </row>
    <row r="346" spans="1:22" x14ac:dyDescent="0.25">
      <c r="A346" s="30"/>
      <c r="B346" s="34" t="str">
        <f t="shared" si="50"/>
        <v/>
      </c>
      <c r="C346" s="34" t="str">
        <f t="shared" si="51"/>
        <v/>
      </c>
      <c r="D346" s="36" t="str">
        <f t="shared" si="52"/>
        <v/>
      </c>
      <c r="E346" s="36" t="str">
        <f t="shared" si="53"/>
        <v/>
      </c>
      <c r="F346" s="36" t="str">
        <f t="shared" si="54"/>
        <v/>
      </c>
      <c r="G346" s="30"/>
      <c r="H346" s="33"/>
      <c r="I346" s="31"/>
      <c r="J346" s="31"/>
      <c r="K346" s="13" t="str">
        <f t="shared" si="55"/>
        <v/>
      </c>
      <c r="L346" s="49"/>
      <c r="M346" s="49"/>
      <c r="N346" s="30"/>
      <c r="O346" s="30"/>
      <c r="P346" s="30"/>
      <c r="Q346" s="30"/>
      <c r="R346" s="11" t="str">
        <f t="shared" si="56"/>
        <v/>
      </c>
      <c r="S346" s="55" t="str">
        <f t="shared" si="57"/>
        <v/>
      </c>
      <c r="T346" s="37" t="str">
        <f t="shared" si="58"/>
        <v/>
      </c>
      <c r="U346" s="29" t="str">
        <f t="shared" si="59"/>
        <v/>
      </c>
      <c r="V346" s="33"/>
    </row>
    <row r="347" spans="1:22" x14ac:dyDescent="0.25">
      <c r="A347" s="30"/>
      <c r="B347" s="34" t="str">
        <f t="shared" si="50"/>
        <v/>
      </c>
      <c r="C347" s="34" t="str">
        <f t="shared" si="51"/>
        <v/>
      </c>
      <c r="D347" s="36" t="str">
        <f t="shared" si="52"/>
        <v/>
      </c>
      <c r="E347" s="36" t="str">
        <f t="shared" si="53"/>
        <v/>
      </c>
      <c r="F347" s="36" t="str">
        <f t="shared" si="54"/>
        <v/>
      </c>
      <c r="G347" s="30"/>
      <c r="H347" s="33"/>
      <c r="I347" s="31"/>
      <c r="J347" s="31"/>
      <c r="K347" s="13" t="str">
        <f t="shared" si="55"/>
        <v/>
      </c>
      <c r="L347" s="49"/>
      <c r="M347" s="49"/>
      <c r="N347" s="30"/>
      <c r="O347" s="30"/>
      <c r="P347" s="30"/>
      <c r="Q347" s="30"/>
      <c r="R347" s="11" t="str">
        <f t="shared" si="56"/>
        <v/>
      </c>
      <c r="S347" s="55" t="str">
        <f t="shared" si="57"/>
        <v/>
      </c>
      <c r="T347" s="37" t="str">
        <f t="shared" si="58"/>
        <v/>
      </c>
      <c r="U347" s="29" t="str">
        <f t="shared" si="59"/>
        <v/>
      </c>
      <c r="V347" s="33"/>
    </row>
    <row r="348" spans="1:22" x14ac:dyDescent="0.25">
      <c r="A348" s="30"/>
      <c r="B348" s="34" t="str">
        <f t="shared" si="50"/>
        <v/>
      </c>
      <c r="C348" s="34" t="str">
        <f t="shared" si="51"/>
        <v/>
      </c>
      <c r="D348" s="36" t="str">
        <f t="shared" si="52"/>
        <v/>
      </c>
      <c r="E348" s="36" t="str">
        <f t="shared" si="53"/>
        <v/>
      </c>
      <c r="F348" s="36" t="str">
        <f t="shared" si="54"/>
        <v/>
      </c>
      <c r="G348" s="30"/>
      <c r="H348" s="33"/>
      <c r="I348" s="31"/>
      <c r="J348" s="31"/>
      <c r="K348" s="13" t="str">
        <f t="shared" si="55"/>
        <v/>
      </c>
      <c r="L348" s="49"/>
      <c r="M348" s="49"/>
      <c r="N348" s="30"/>
      <c r="O348" s="30"/>
      <c r="P348" s="30"/>
      <c r="Q348" s="30"/>
      <c r="R348" s="11" t="str">
        <f t="shared" si="56"/>
        <v/>
      </c>
      <c r="S348" s="55" t="str">
        <f t="shared" si="57"/>
        <v/>
      </c>
      <c r="T348" s="37" t="str">
        <f t="shared" si="58"/>
        <v/>
      </c>
      <c r="U348" s="29" t="str">
        <f t="shared" si="59"/>
        <v/>
      </c>
      <c r="V348" s="33"/>
    </row>
    <row r="349" spans="1:22" x14ac:dyDescent="0.25">
      <c r="A349" s="30"/>
      <c r="B349" s="34" t="str">
        <f t="shared" si="50"/>
        <v/>
      </c>
      <c r="C349" s="34" t="str">
        <f t="shared" si="51"/>
        <v/>
      </c>
      <c r="D349" s="36" t="str">
        <f t="shared" si="52"/>
        <v/>
      </c>
      <c r="E349" s="36" t="str">
        <f t="shared" si="53"/>
        <v/>
      </c>
      <c r="F349" s="36" t="str">
        <f t="shared" si="54"/>
        <v/>
      </c>
      <c r="G349" s="30"/>
      <c r="H349" s="33"/>
      <c r="I349" s="31"/>
      <c r="J349" s="31"/>
      <c r="K349" s="13" t="str">
        <f t="shared" si="55"/>
        <v/>
      </c>
      <c r="L349" s="49"/>
      <c r="M349" s="49"/>
      <c r="N349" s="30"/>
      <c r="O349" s="30"/>
      <c r="P349" s="30"/>
      <c r="Q349" s="30"/>
      <c r="R349" s="11" t="str">
        <f t="shared" si="56"/>
        <v/>
      </c>
      <c r="S349" s="55" t="str">
        <f t="shared" si="57"/>
        <v/>
      </c>
      <c r="T349" s="37" t="str">
        <f t="shared" si="58"/>
        <v/>
      </c>
      <c r="U349" s="29" t="str">
        <f t="shared" si="59"/>
        <v/>
      </c>
      <c r="V349" s="33"/>
    </row>
    <row r="350" spans="1:22" x14ac:dyDescent="0.25">
      <c r="A350" s="30"/>
      <c r="B350" s="34" t="str">
        <f t="shared" si="50"/>
        <v/>
      </c>
      <c r="C350" s="34" t="str">
        <f t="shared" si="51"/>
        <v/>
      </c>
      <c r="D350" s="36" t="str">
        <f t="shared" si="52"/>
        <v/>
      </c>
      <c r="E350" s="36" t="str">
        <f t="shared" si="53"/>
        <v/>
      </c>
      <c r="F350" s="36" t="str">
        <f t="shared" si="54"/>
        <v/>
      </c>
      <c r="G350" s="30"/>
      <c r="H350" s="33"/>
      <c r="I350" s="31"/>
      <c r="J350" s="31"/>
      <c r="K350" s="13" t="str">
        <f t="shared" si="55"/>
        <v/>
      </c>
      <c r="L350" s="49"/>
      <c r="M350" s="49"/>
      <c r="N350" s="30"/>
      <c r="O350" s="30"/>
      <c r="P350" s="30"/>
      <c r="Q350" s="30"/>
      <c r="R350" s="11" t="str">
        <f t="shared" si="56"/>
        <v/>
      </c>
      <c r="S350" s="55" t="str">
        <f t="shared" si="57"/>
        <v/>
      </c>
      <c r="T350" s="37" t="str">
        <f t="shared" si="58"/>
        <v/>
      </c>
      <c r="U350" s="29" t="str">
        <f t="shared" si="59"/>
        <v/>
      </c>
      <c r="V350" s="33"/>
    </row>
    <row r="351" spans="1:22" x14ac:dyDescent="0.25">
      <c r="A351" s="30"/>
      <c r="B351" s="34" t="str">
        <f t="shared" si="50"/>
        <v/>
      </c>
      <c r="C351" s="34" t="str">
        <f t="shared" si="51"/>
        <v/>
      </c>
      <c r="D351" s="36" t="str">
        <f t="shared" si="52"/>
        <v/>
      </c>
      <c r="E351" s="36" t="str">
        <f t="shared" si="53"/>
        <v/>
      </c>
      <c r="F351" s="36" t="str">
        <f t="shared" si="54"/>
        <v/>
      </c>
      <c r="G351" s="30"/>
      <c r="H351" s="33"/>
      <c r="I351" s="31"/>
      <c r="J351" s="31"/>
      <c r="K351" s="13" t="str">
        <f t="shared" si="55"/>
        <v/>
      </c>
      <c r="L351" s="49"/>
      <c r="M351" s="49"/>
      <c r="N351" s="30"/>
      <c r="O351" s="30"/>
      <c r="P351" s="30"/>
      <c r="Q351" s="30"/>
      <c r="R351" s="11" t="str">
        <f t="shared" si="56"/>
        <v/>
      </c>
      <c r="S351" s="55" t="str">
        <f t="shared" si="57"/>
        <v/>
      </c>
      <c r="T351" s="37" t="str">
        <f t="shared" si="58"/>
        <v/>
      </c>
      <c r="U351" s="29" t="str">
        <f t="shared" si="59"/>
        <v/>
      </c>
      <c r="V351" s="33"/>
    </row>
    <row r="352" spans="1:22" x14ac:dyDescent="0.25">
      <c r="A352" s="30"/>
      <c r="B352" s="34" t="str">
        <f t="shared" si="50"/>
        <v/>
      </c>
      <c r="C352" s="34" t="str">
        <f t="shared" si="51"/>
        <v/>
      </c>
      <c r="D352" s="36" t="str">
        <f t="shared" si="52"/>
        <v/>
      </c>
      <c r="E352" s="36" t="str">
        <f t="shared" si="53"/>
        <v/>
      </c>
      <c r="F352" s="36" t="str">
        <f t="shared" si="54"/>
        <v/>
      </c>
      <c r="G352" s="30"/>
      <c r="H352" s="33"/>
      <c r="I352" s="31"/>
      <c r="J352" s="31"/>
      <c r="K352" s="13" t="str">
        <f t="shared" si="55"/>
        <v/>
      </c>
      <c r="L352" s="49"/>
      <c r="M352" s="49"/>
      <c r="N352" s="30"/>
      <c r="O352" s="30"/>
      <c r="P352" s="30"/>
      <c r="Q352" s="30"/>
      <c r="R352" s="11" t="str">
        <f t="shared" si="56"/>
        <v/>
      </c>
      <c r="S352" s="55" t="str">
        <f t="shared" si="57"/>
        <v/>
      </c>
      <c r="T352" s="37" t="str">
        <f t="shared" si="58"/>
        <v/>
      </c>
      <c r="U352" s="29" t="str">
        <f t="shared" si="59"/>
        <v/>
      </c>
      <c r="V352" s="33"/>
    </row>
    <row r="353" spans="1:22" x14ac:dyDescent="0.25">
      <c r="A353" s="30"/>
      <c r="B353" s="34" t="str">
        <f t="shared" si="50"/>
        <v/>
      </c>
      <c r="C353" s="34" t="str">
        <f t="shared" si="51"/>
        <v/>
      </c>
      <c r="D353" s="36" t="str">
        <f t="shared" si="52"/>
        <v/>
      </c>
      <c r="E353" s="36" t="str">
        <f t="shared" si="53"/>
        <v/>
      </c>
      <c r="F353" s="36" t="str">
        <f t="shared" si="54"/>
        <v/>
      </c>
      <c r="G353" s="30"/>
      <c r="H353" s="33"/>
      <c r="I353" s="31"/>
      <c r="J353" s="31"/>
      <c r="K353" s="13" t="str">
        <f t="shared" si="55"/>
        <v/>
      </c>
      <c r="L353" s="49"/>
      <c r="M353" s="49"/>
      <c r="N353" s="30"/>
      <c r="O353" s="30"/>
      <c r="P353" s="30"/>
      <c r="Q353" s="30"/>
      <c r="R353" s="11" t="str">
        <f t="shared" si="56"/>
        <v/>
      </c>
      <c r="S353" s="55" t="str">
        <f t="shared" si="57"/>
        <v/>
      </c>
      <c r="T353" s="37" t="str">
        <f t="shared" si="58"/>
        <v/>
      </c>
      <c r="U353" s="29" t="str">
        <f t="shared" si="59"/>
        <v/>
      </c>
      <c r="V353" s="33"/>
    </row>
    <row r="354" spans="1:22" x14ac:dyDescent="0.25">
      <c r="A354" s="30"/>
      <c r="B354" s="34" t="str">
        <f t="shared" si="50"/>
        <v/>
      </c>
      <c r="C354" s="34" t="str">
        <f t="shared" si="51"/>
        <v/>
      </c>
      <c r="D354" s="36" t="str">
        <f t="shared" si="52"/>
        <v/>
      </c>
      <c r="E354" s="36" t="str">
        <f t="shared" si="53"/>
        <v/>
      </c>
      <c r="F354" s="36" t="str">
        <f t="shared" si="54"/>
        <v/>
      </c>
      <c r="G354" s="30"/>
      <c r="H354" s="33"/>
      <c r="I354" s="31"/>
      <c r="J354" s="31"/>
      <c r="K354" s="13" t="str">
        <f t="shared" si="55"/>
        <v/>
      </c>
      <c r="L354" s="49"/>
      <c r="M354" s="49"/>
      <c r="N354" s="30"/>
      <c r="O354" s="30"/>
      <c r="P354" s="30"/>
      <c r="Q354" s="30"/>
      <c r="R354" s="11" t="str">
        <f t="shared" si="56"/>
        <v/>
      </c>
      <c r="S354" s="55" t="str">
        <f t="shared" si="57"/>
        <v/>
      </c>
      <c r="T354" s="37" t="str">
        <f t="shared" si="58"/>
        <v/>
      </c>
      <c r="U354" s="29" t="str">
        <f t="shared" si="59"/>
        <v/>
      </c>
      <c r="V354" s="33"/>
    </row>
    <row r="355" spans="1:22" x14ac:dyDescent="0.25">
      <c r="A355" s="30"/>
      <c r="B355" s="34" t="str">
        <f t="shared" si="50"/>
        <v/>
      </c>
      <c r="C355" s="34" t="str">
        <f t="shared" si="51"/>
        <v/>
      </c>
      <c r="D355" s="36" t="str">
        <f t="shared" si="52"/>
        <v/>
      </c>
      <c r="E355" s="36" t="str">
        <f t="shared" si="53"/>
        <v/>
      </c>
      <c r="F355" s="36" t="str">
        <f t="shared" si="54"/>
        <v/>
      </c>
      <c r="G355" s="30"/>
      <c r="H355" s="33"/>
      <c r="I355" s="31"/>
      <c r="J355" s="31"/>
      <c r="K355" s="13" t="str">
        <f t="shared" si="55"/>
        <v/>
      </c>
      <c r="L355" s="49"/>
      <c r="M355" s="49"/>
      <c r="N355" s="30"/>
      <c r="O355" s="30"/>
      <c r="P355" s="30"/>
      <c r="Q355" s="30"/>
      <c r="R355" s="11" t="str">
        <f t="shared" si="56"/>
        <v/>
      </c>
      <c r="S355" s="55" t="str">
        <f t="shared" si="57"/>
        <v/>
      </c>
      <c r="T355" s="37" t="str">
        <f t="shared" si="58"/>
        <v/>
      </c>
      <c r="U355" s="29" t="str">
        <f t="shared" si="59"/>
        <v/>
      </c>
      <c r="V355" s="33"/>
    </row>
    <row r="356" spans="1:22" x14ac:dyDescent="0.25">
      <c r="A356" s="30"/>
      <c r="B356" s="34" t="str">
        <f t="shared" si="50"/>
        <v/>
      </c>
      <c r="C356" s="34" t="str">
        <f t="shared" si="51"/>
        <v/>
      </c>
      <c r="D356" s="36" t="str">
        <f t="shared" si="52"/>
        <v/>
      </c>
      <c r="E356" s="36" t="str">
        <f t="shared" si="53"/>
        <v/>
      </c>
      <c r="F356" s="36" t="str">
        <f t="shared" si="54"/>
        <v/>
      </c>
      <c r="G356" s="30"/>
      <c r="H356" s="33"/>
      <c r="I356" s="31"/>
      <c r="J356" s="31"/>
      <c r="K356" s="13" t="str">
        <f t="shared" si="55"/>
        <v/>
      </c>
      <c r="L356" s="49"/>
      <c r="M356" s="49"/>
      <c r="N356" s="30"/>
      <c r="O356" s="30"/>
      <c r="P356" s="30"/>
      <c r="Q356" s="30"/>
      <c r="R356" s="11" t="str">
        <f t="shared" si="56"/>
        <v/>
      </c>
      <c r="S356" s="55" t="str">
        <f t="shared" si="57"/>
        <v/>
      </c>
      <c r="T356" s="37" t="str">
        <f t="shared" si="58"/>
        <v/>
      </c>
      <c r="U356" s="29" t="str">
        <f t="shared" si="59"/>
        <v/>
      </c>
      <c r="V356" s="33"/>
    </row>
    <row r="357" spans="1:22" x14ac:dyDescent="0.25">
      <c r="A357" s="30"/>
      <c r="B357" s="34" t="str">
        <f t="shared" si="50"/>
        <v/>
      </c>
      <c r="C357" s="34" t="str">
        <f t="shared" si="51"/>
        <v/>
      </c>
      <c r="D357" s="36" t="str">
        <f t="shared" si="52"/>
        <v/>
      </c>
      <c r="E357" s="36" t="str">
        <f t="shared" si="53"/>
        <v/>
      </c>
      <c r="F357" s="36" t="str">
        <f t="shared" si="54"/>
        <v/>
      </c>
      <c r="G357" s="30"/>
      <c r="H357" s="33"/>
      <c r="I357" s="31"/>
      <c r="J357" s="31"/>
      <c r="K357" s="13" t="str">
        <f t="shared" si="55"/>
        <v/>
      </c>
      <c r="L357" s="49"/>
      <c r="M357" s="49"/>
      <c r="N357" s="30"/>
      <c r="O357" s="30"/>
      <c r="P357" s="30"/>
      <c r="Q357" s="30"/>
      <c r="R357" s="11" t="str">
        <f t="shared" si="56"/>
        <v/>
      </c>
      <c r="S357" s="55" t="str">
        <f t="shared" si="57"/>
        <v/>
      </c>
      <c r="T357" s="37" t="str">
        <f t="shared" si="58"/>
        <v/>
      </c>
      <c r="U357" s="29" t="str">
        <f t="shared" si="59"/>
        <v/>
      </c>
      <c r="V357" s="33"/>
    </row>
    <row r="358" spans="1:22" x14ac:dyDescent="0.25">
      <c r="A358" s="30"/>
      <c r="B358" s="34" t="str">
        <f t="shared" si="50"/>
        <v/>
      </c>
      <c r="C358" s="34" t="str">
        <f t="shared" si="51"/>
        <v/>
      </c>
      <c r="D358" s="36" t="str">
        <f t="shared" si="52"/>
        <v/>
      </c>
      <c r="E358" s="36" t="str">
        <f t="shared" si="53"/>
        <v/>
      </c>
      <c r="F358" s="36" t="str">
        <f t="shared" si="54"/>
        <v/>
      </c>
      <c r="G358" s="30"/>
      <c r="H358" s="33"/>
      <c r="I358" s="31"/>
      <c r="J358" s="31"/>
      <c r="K358" s="13" t="str">
        <f t="shared" si="55"/>
        <v/>
      </c>
      <c r="L358" s="49"/>
      <c r="M358" s="49"/>
      <c r="N358" s="30"/>
      <c r="O358" s="30"/>
      <c r="P358" s="30"/>
      <c r="Q358" s="30"/>
      <c r="R358" s="11" t="str">
        <f t="shared" si="56"/>
        <v/>
      </c>
      <c r="S358" s="55" t="str">
        <f t="shared" si="57"/>
        <v/>
      </c>
      <c r="T358" s="37" t="str">
        <f t="shared" si="58"/>
        <v/>
      </c>
      <c r="U358" s="29" t="str">
        <f t="shared" si="59"/>
        <v/>
      </c>
      <c r="V358" s="33"/>
    </row>
    <row r="359" spans="1:22" x14ac:dyDescent="0.25">
      <c r="A359" s="30"/>
      <c r="B359" s="34" t="str">
        <f t="shared" si="50"/>
        <v/>
      </c>
      <c r="C359" s="34" t="str">
        <f t="shared" si="51"/>
        <v/>
      </c>
      <c r="D359" s="36" t="str">
        <f t="shared" si="52"/>
        <v/>
      </c>
      <c r="E359" s="36" t="str">
        <f t="shared" si="53"/>
        <v/>
      </c>
      <c r="F359" s="36" t="str">
        <f t="shared" si="54"/>
        <v/>
      </c>
      <c r="G359" s="30"/>
      <c r="H359" s="33"/>
      <c r="I359" s="31"/>
      <c r="J359" s="31"/>
      <c r="K359" s="13" t="str">
        <f t="shared" si="55"/>
        <v/>
      </c>
      <c r="L359" s="49"/>
      <c r="M359" s="49"/>
      <c r="N359" s="30"/>
      <c r="O359" s="30"/>
      <c r="P359" s="30"/>
      <c r="Q359" s="30"/>
      <c r="R359" s="11" t="str">
        <f t="shared" si="56"/>
        <v/>
      </c>
      <c r="S359" s="55" t="str">
        <f t="shared" si="57"/>
        <v/>
      </c>
      <c r="T359" s="37" t="str">
        <f t="shared" si="58"/>
        <v/>
      </c>
      <c r="U359" s="29" t="str">
        <f t="shared" si="59"/>
        <v/>
      </c>
      <c r="V359" s="33"/>
    </row>
    <row r="360" spans="1:22" x14ac:dyDescent="0.25">
      <c r="A360" s="30"/>
      <c r="B360" s="34" t="str">
        <f t="shared" si="50"/>
        <v/>
      </c>
      <c r="C360" s="34" t="str">
        <f t="shared" si="51"/>
        <v/>
      </c>
      <c r="D360" s="36" t="str">
        <f t="shared" si="52"/>
        <v/>
      </c>
      <c r="E360" s="36" t="str">
        <f t="shared" si="53"/>
        <v/>
      </c>
      <c r="F360" s="36" t="str">
        <f t="shared" si="54"/>
        <v/>
      </c>
      <c r="G360" s="30"/>
      <c r="H360" s="33"/>
      <c r="I360" s="31"/>
      <c r="J360" s="31"/>
      <c r="K360" s="13" t="str">
        <f t="shared" si="55"/>
        <v/>
      </c>
      <c r="L360" s="49"/>
      <c r="M360" s="49"/>
      <c r="N360" s="30"/>
      <c r="O360" s="30"/>
      <c r="P360" s="30"/>
      <c r="Q360" s="30"/>
      <c r="R360" s="11" t="str">
        <f t="shared" si="56"/>
        <v/>
      </c>
      <c r="S360" s="55" t="str">
        <f t="shared" si="57"/>
        <v/>
      </c>
      <c r="T360" s="37" t="str">
        <f t="shared" si="58"/>
        <v/>
      </c>
      <c r="U360" s="29" t="str">
        <f t="shared" si="59"/>
        <v/>
      </c>
      <c r="V360" s="33"/>
    </row>
    <row r="361" spans="1:22" x14ac:dyDescent="0.25">
      <c r="A361" s="30"/>
      <c r="B361" s="34" t="str">
        <f t="shared" si="50"/>
        <v/>
      </c>
      <c r="C361" s="34" t="str">
        <f t="shared" si="51"/>
        <v/>
      </c>
      <c r="D361" s="36" t="str">
        <f t="shared" si="52"/>
        <v/>
      </c>
      <c r="E361" s="36" t="str">
        <f t="shared" si="53"/>
        <v/>
      </c>
      <c r="F361" s="36" t="str">
        <f t="shared" si="54"/>
        <v/>
      </c>
      <c r="G361" s="30"/>
      <c r="H361" s="33"/>
      <c r="I361" s="31"/>
      <c r="J361" s="31"/>
      <c r="K361" s="13" t="str">
        <f t="shared" si="55"/>
        <v/>
      </c>
      <c r="L361" s="49"/>
      <c r="M361" s="49"/>
      <c r="N361" s="30"/>
      <c r="O361" s="30"/>
      <c r="P361" s="30"/>
      <c r="Q361" s="30"/>
      <c r="R361" s="11" t="str">
        <f t="shared" si="56"/>
        <v/>
      </c>
      <c r="S361" s="55" t="str">
        <f t="shared" si="57"/>
        <v/>
      </c>
      <c r="T361" s="37" t="str">
        <f t="shared" si="58"/>
        <v/>
      </c>
      <c r="U361" s="29" t="str">
        <f t="shared" si="59"/>
        <v/>
      </c>
      <c r="V361" s="33"/>
    </row>
    <row r="362" spans="1:22" x14ac:dyDescent="0.25">
      <c r="A362" s="30"/>
      <c r="B362" s="34" t="str">
        <f t="shared" si="50"/>
        <v/>
      </c>
      <c r="C362" s="34" t="str">
        <f t="shared" si="51"/>
        <v/>
      </c>
      <c r="D362" s="36" t="str">
        <f t="shared" si="52"/>
        <v/>
      </c>
      <c r="E362" s="36" t="str">
        <f t="shared" si="53"/>
        <v/>
      </c>
      <c r="F362" s="36" t="str">
        <f t="shared" si="54"/>
        <v/>
      </c>
      <c r="G362" s="30"/>
      <c r="H362" s="33"/>
      <c r="I362" s="31"/>
      <c r="J362" s="31"/>
      <c r="K362" s="13" t="str">
        <f t="shared" si="55"/>
        <v/>
      </c>
      <c r="L362" s="49"/>
      <c r="M362" s="49"/>
      <c r="N362" s="30"/>
      <c r="O362" s="30"/>
      <c r="P362" s="30"/>
      <c r="Q362" s="30"/>
      <c r="R362" s="11" t="str">
        <f t="shared" si="56"/>
        <v/>
      </c>
      <c r="S362" s="55" t="str">
        <f t="shared" si="57"/>
        <v/>
      </c>
      <c r="T362" s="37" t="str">
        <f t="shared" si="58"/>
        <v/>
      </c>
      <c r="U362" s="29" t="str">
        <f t="shared" si="59"/>
        <v/>
      </c>
      <c r="V362" s="33"/>
    </row>
    <row r="363" spans="1:22" x14ac:dyDescent="0.25">
      <c r="A363" s="30"/>
      <c r="B363" s="34" t="str">
        <f t="shared" si="50"/>
        <v/>
      </c>
      <c r="C363" s="34" t="str">
        <f t="shared" si="51"/>
        <v/>
      </c>
      <c r="D363" s="36" t="str">
        <f t="shared" si="52"/>
        <v/>
      </c>
      <c r="E363" s="36" t="str">
        <f t="shared" si="53"/>
        <v/>
      </c>
      <c r="F363" s="36" t="str">
        <f t="shared" si="54"/>
        <v/>
      </c>
      <c r="G363" s="30"/>
      <c r="H363" s="33"/>
      <c r="I363" s="31"/>
      <c r="J363" s="31"/>
      <c r="K363" s="13" t="str">
        <f t="shared" si="55"/>
        <v/>
      </c>
      <c r="L363" s="49"/>
      <c r="M363" s="49"/>
      <c r="N363" s="30"/>
      <c r="O363" s="30"/>
      <c r="P363" s="30"/>
      <c r="Q363" s="30"/>
      <c r="R363" s="11" t="str">
        <f t="shared" si="56"/>
        <v/>
      </c>
      <c r="S363" s="55" t="str">
        <f t="shared" si="57"/>
        <v/>
      </c>
      <c r="T363" s="37" t="str">
        <f t="shared" si="58"/>
        <v/>
      </c>
      <c r="U363" s="29" t="str">
        <f t="shared" si="59"/>
        <v/>
      </c>
      <c r="V363" s="33"/>
    </row>
    <row r="364" spans="1:22" x14ac:dyDescent="0.25">
      <c r="A364" s="30"/>
      <c r="B364" s="34" t="str">
        <f t="shared" si="50"/>
        <v/>
      </c>
      <c r="C364" s="34" t="str">
        <f t="shared" si="51"/>
        <v/>
      </c>
      <c r="D364" s="36" t="str">
        <f t="shared" si="52"/>
        <v/>
      </c>
      <c r="E364" s="36" t="str">
        <f t="shared" si="53"/>
        <v/>
      </c>
      <c r="F364" s="36" t="str">
        <f t="shared" si="54"/>
        <v/>
      </c>
      <c r="G364" s="30"/>
      <c r="H364" s="33"/>
      <c r="I364" s="31"/>
      <c r="J364" s="31"/>
      <c r="K364" s="13" t="str">
        <f t="shared" si="55"/>
        <v/>
      </c>
      <c r="L364" s="49"/>
      <c r="M364" s="49"/>
      <c r="N364" s="30"/>
      <c r="O364" s="30"/>
      <c r="P364" s="30"/>
      <c r="Q364" s="30"/>
      <c r="R364" s="11" t="str">
        <f t="shared" si="56"/>
        <v/>
      </c>
      <c r="S364" s="55" t="str">
        <f t="shared" si="57"/>
        <v/>
      </c>
      <c r="T364" s="37" t="str">
        <f t="shared" si="58"/>
        <v/>
      </c>
      <c r="U364" s="29" t="str">
        <f t="shared" si="59"/>
        <v/>
      </c>
      <c r="V364" s="33"/>
    </row>
    <row r="365" spans="1:22" x14ac:dyDescent="0.25">
      <c r="A365" s="30"/>
      <c r="B365" s="34" t="str">
        <f t="shared" si="50"/>
        <v/>
      </c>
      <c r="C365" s="34" t="str">
        <f t="shared" si="51"/>
        <v/>
      </c>
      <c r="D365" s="36" t="str">
        <f t="shared" si="52"/>
        <v/>
      </c>
      <c r="E365" s="36" t="str">
        <f t="shared" si="53"/>
        <v/>
      </c>
      <c r="F365" s="36" t="str">
        <f t="shared" si="54"/>
        <v/>
      </c>
      <c r="G365" s="30"/>
      <c r="H365" s="33"/>
      <c r="I365" s="31"/>
      <c r="J365" s="31"/>
      <c r="K365" s="13" t="str">
        <f t="shared" si="55"/>
        <v/>
      </c>
      <c r="L365" s="49"/>
      <c r="M365" s="49"/>
      <c r="N365" s="30"/>
      <c r="O365" s="30"/>
      <c r="P365" s="30"/>
      <c r="Q365" s="30"/>
      <c r="R365" s="11" t="str">
        <f t="shared" si="56"/>
        <v/>
      </c>
      <c r="S365" s="55" t="str">
        <f t="shared" si="57"/>
        <v/>
      </c>
      <c r="T365" s="37" t="str">
        <f t="shared" si="58"/>
        <v/>
      </c>
      <c r="U365" s="29" t="str">
        <f t="shared" si="59"/>
        <v/>
      </c>
      <c r="V365" s="33"/>
    </row>
    <row r="366" spans="1:22" x14ac:dyDescent="0.25">
      <c r="A366" s="30"/>
      <c r="B366" s="34" t="str">
        <f t="shared" si="50"/>
        <v/>
      </c>
      <c r="C366" s="34" t="str">
        <f t="shared" si="51"/>
        <v/>
      </c>
      <c r="D366" s="36" t="str">
        <f t="shared" si="52"/>
        <v/>
      </c>
      <c r="E366" s="36" t="str">
        <f t="shared" si="53"/>
        <v/>
      </c>
      <c r="F366" s="36" t="str">
        <f t="shared" si="54"/>
        <v/>
      </c>
      <c r="G366" s="30"/>
      <c r="H366" s="33"/>
      <c r="I366" s="31"/>
      <c r="J366" s="31"/>
      <c r="K366" s="13" t="str">
        <f t="shared" si="55"/>
        <v/>
      </c>
      <c r="L366" s="49"/>
      <c r="M366" s="49"/>
      <c r="N366" s="30"/>
      <c r="O366" s="30"/>
      <c r="P366" s="30"/>
      <c r="Q366" s="30"/>
      <c r="R366" s="11" t="str">
        <f t="shared" si="56"/>
        <v/>
      </c>
      <c r="S366" s="55" t="str">
        <f t="shared" si="57"/>
        <v/>
      </c>
      <c r="T366" s="37" t="str">
        <f t="shared" si="58"/>
        <v/>
      </c>
      <c r="U366" s="29" t="str">
        <f t="shared" si="59"/>
        <v/>
      </c>
      <c r="V366" s="33"/>
    </row>
    <row r="367" spans="1:22" x14ac:dyDescent="0.25">
      <c r="A367" s="30"/>
      <c r="B367" s="34" t="str">
        <f t="shared" si="50"/>
        <v/>
      </c>
      <c r="C367" s="34" t="str">
        <f t="shared" si="51"/>
        <v/>
      </c>
      <c r="D367" s="36" t="str">
        <f t="shared" si="52"/>
        <v/>
      </c>
      <c r="E367" s="36" t="str">
        <f t="shared" si="53"/>
        <v/>
      </c>
      <c r="F367" s="36" t="str">
        <f t="shared" si="54"/>
        <v/>
      </c>
      <c r="G367" s="30"/>
      <c r="H367" s="33"/>
      <c r="I367" s="31"/>
      <c r="J367" s="31"/>
      <c r="K367" s="13" t="str">
        <f t="shared" si="55"/>
        <v/>
      </c>
      <c r="L367" s="49"/>
      <c r="M367" s="49"/>
      <c r="N367" s="30"/>
      <c r="O367" s="30"/>
      <c r="P367" s="30"/>
      <c r="Q367" s="30"/>
      <c r="R367" s="11" t="str">
        <f t="shared" si="56"/>
        <v/>
      </c>
      <c r="S367" s="55" t="str">
        <f t="shared" si="57"/>
        <v/>
      </c>
      <c r="T367" s="37" t="str">
        <f t="shared" si="58"/>
        <v/>
      </c>
      <c r="U367" s="29" t="str">
        <f t="shared" si="59"/>
        <v/>
      </c>
      <c r="V367" s="33"/>
    </row>
    <row r="368" spans="1:22" x14ac:dyDescent="0.25">
      <c r="A368" s="30"/>
      <c r="B368" s="34" t="str">
        <f t="shared" si="50"/>
        <v/>
      </c>
      <c r="C368" s="34" t="str">
        <f t="shared" si="51"/>
        <v/>
      </c>
      <c r="D368" s="36" t="str">
        <f t="shared" si="52"/>
        <v/>
      </c>
      <c r="E368" s="36" t="str">
        <f t="shared" si="53"/>
        <v/>
      </c>
      <c r="F368" s="36" t="str">
        <f t="shared" si="54"/>
        <v/>
      </c>
      <c r="G368" s="30"/>
      <c r="H368" s="33"/>
      <c r="I368" s="31"/>
      <c r="J368" s="31"/>
      <c r="K368" s="13" t="str">
        <f t="shared" si="55"/>
        <v/>
      </c>
      <c r="L368" s="49"/>
      <c r="M368" s="49"/>
      <c r="N368" s="30"/>
      <c r="O368" s="30"/>
      <c r="P368" s="30"/>
      <c r="Q368" s="30"/>
      <c r="R368" s="11" t="str">
        <f t="shared" si="56"/>
        <v/>
      </c>
      <c r="S368" s="55" t="str">
        <f t="shared" si="57"/>
        <v/>
      </c>
      <c r="T368" s="37" t="str">
        <f t="shared" si="58"/>
        <v/>
      </c>
      <c r="U368" s="29" t="str">
        <f t="shared" si="59"/>
        <v/>
      </c>
      <c r="V368" s="33"/>
    </row>
    <row r="369" spans="1:22" x14ac:dyDescent="0.25">
      <c r="A369" s="30"/>
      <c r="B369" s="34" t="str">
        <f t="shared" si="50"/>
        <v/>
      </c>
      <c r="C369" s="34" t="str">
        <f t="shared" si="51"/>
        <v/>
      </c>
      <c r="D369" s="36" t="str">
        <f t="shared" si="52"/>
        <v/>
      </c>
      <c r="E369" s="36" t="str">
        <f t="shared" si="53"/>
        <v/>
      </c>
      <c r="F369" s="36" t="str">
        <f t="shared" si="54"/>
        <v/>
      </c>
      <c r="G369" s="30"/>
      <c r="H369" s="33"/>
      <c r="I369" s="31"/>
      <c r="J369" s="31"/>
      <c r="K369" s="13" t="str">
        <f t="shared" si="55"/>
        <v/>
      </c>
      <c r="L369" s="49"/>
      <c r="M369" s="49"/>
      <c r="N369" s="30"/>
      <c r="O369" s="30"/>
      <c r="P369" s="30"/>
      <c r="Q369" s="30"/>
      <c r="R369" s="11" t="str">
        <f t="shared" si="56"/>
        <v/>
      </c>
      <c r="S369" s="55" t="str">
        <f t="shared" si="57"/>
        <v/>
      </c>
      <c r="T369" s="37" t="str">
        <f t="shared" si="58"/>
        <v/>
      </c>
      <c r="U369" s="29" t="str">
        <f t="shared" si="59"/>
        <v/>
      </c>
      <c r="V369" s="33"/>
    </row>
    <row r="370" spans="1:22" x14ac:dyDescent="0.25">
      <c r="A370" s="30"/>
      <c r="B370" s="34" t="str">
        <f t="shared" si="50"/>
        <v/>
      </c>
      <c r="C370" s="34" t="str">
        <f t="shared" si="51"/>
        <v/>
      </c>
      <c r="D370" s="36" t="str">
        <f t="shared" si="52"/>
        <v/>
      </c>
      <c r="E370" s="36" t="str">
        <f t="shared" si="53"/>
        <v/>
      </c>
      <c r="F370" s="36" t="str">
        <f t="shared" si="54"/>
        <v/>
      </c>
      <c r="G370" s="30"/>
      <c r="H370" s="33"/>
      <c r="I370" s="31"/>
      <c r="J370" s="31"/>
      <c r="K370" s="13" t="str">
        <f t="shared" si="55"/>
        <v/>
      </c>
      <c r="L370" s="49"/>
      <c r="M370" s="49"/>
      <c r="N370" s="30"/>
      <c r="O370" s="30"/>
      <c r="P370" s="30"/>
      <c r="Q370" s="30"/>
      <c r="R370" s="11" t="str">
        <f t="shared" si="56"/>
        <v/>
      </c>
      <c r="S370" s="55" t="str">
        <f t="shared" si="57"/>
        <v/>
      </c>
      <c r="T370" s="37" t="str">
        <f t="shared" si="58"/>
        <v/>
      </c>
      <c r="U370" s="29" t="str">
        <f t="shared" si="59"/>
        <v/>
      </c>
      <c r="V370" s="33"/>
    </row>
    <row r="371" spans="1:22" x14ac:dyDescent="0.25">
      <c r="A371" s="30"/>
      <c r="B371" s="34" t="str">
        <f t="shared" si="50"/>
        <v/>
      </c>
      <c r="C371" s="34" t="str">
        <f t="shared" si="51"/>
        <v/>
      </c>
      <c r="D371" s="36" t="str">
        <f t="shared" si="52"/>
        <v/>
      </c>
      <c r="E371" s="36" t="str">
        <f t="shared" si="53"/>
        <v/>
      </c>
      <c r="F371" s="36" t="str">
        <f t="shared" si="54"/>
        <v/>
      </c>
      <c r="G371" s="30"/>
      <c r="H371" s="33"/>
      <c r="I371" s="31"/>
      <c r="J371" s="31"/>
      <c r="K371" s="13" t="str">
        <f t="shared" si="55"/>
        <v/>
      </c>
      <c r="L371" s="49"/>
      <c r="M371" s="49"/>
      <c r="N371" s="30"/>
      <c r="O371" s="30"/>
      <c r="P371" s="30"/>
      <c r="Q371" s="30"/>
      <c r="R371" s="11" t="str">
        <f t="shared" si="56"/>
        <v/>
      </c>
      <c r="S371" s="55" t="str">
        <f t="shared" si="57"/>
        <v/>
      </c>
      <c r="T371" s="37" t="str">
        <f t="shared" si="58"/>
        <v/>
      </c>
      <c r="U371" s="29" t="str">
        <f t="shared" si="59"/>
        <v/>
      </c>
      <c r="V371" s="33"/>
    </row>
    <row r="372" spans="1:22" x14ac:dyDescent="0.25">
      <c r="A372" s="30"/>
      <c r="B372" s="34" t="str">
        <f t="shared" si="50"/>
        <v/>
      </c>
      <c r="C372" s="34" t="str">
        <f t="shared" si="51"/>
        <v/>
      </c>
      <c r="D372" s="36" t="str">
        <f t="shared" si="52"/>
        <v/>
      </c>
      <c r="E372" s="36" t="str">
        <f t="shared" si="53"/>
        <v/>
      </c>
      <c r="F372" s="36" t="str">
        <f t="shared" si="54"/>
        <v/>
      </c>
      <c r="G372" s="30"/>
      <c r="H372" s="33"/>
      <c r="I372" s="31"/>
      <c r="J372" s="31"/>
      <c r="K372" s="13" t="str">
        <f t="shared" si="55"/>
        <v/>
      </c>
      <c r="L372" s="49"/>
      <c r="M372" s="49"/>
      <c r="N372" s="30"/>
      <c r="O372" s="30"/>
      <c r="P372" s="30"/>
      <c r="Q372" s="30"/>
      <c r="R372" s="11" t="str">
        <f t="shared" si="56"/>
        <v/>
      </c>
      <c r="S372" s="55" t="str">
        <f t="shared" si="57"/>
        <v/>
      </c>
      <c r="T372" s="37" t="str">
        <f t="shared" si="58"/>
        <v/>
      </c>
      <c r="U372" s="29" t="str">
        <f t="shared" si="59"/>
        <v/>
      </c>
      <c r="V372" s="33"/>
    </row>
    <row r="373" spans="1:22" x14ac:dyDescent="0.25">
      <c r="A373" s="30"/>
      <c r="B373" s="34" t="str">
        <f t="shared" si="50"/>
        <v/>
      </c>
      <c r="C373" s="34" t="str">
        <f t="shared" si="51"/>
        <v/>
      </c>
      <c r="D373" s="36" t="str">
        <f t="shared" si="52"/>
        <v/>
      </c>
      <c r="E373" s="36" t="str">
        <f t="shared" si="53"/>
        <v/>
      </c>
      <c r="F373" s="36" t="str">
        <f t="shared" si="54"/>
        <v/>
      </c>
      <c r="G373" s="30"/>
      <c r="H373" s="33"/>
      <c r="I373" s="31"/>
      <c r="J373" s="31"/>
      <c r="K373" s="13" t="str">
        <f t="shared" si="55"/>
        <v/>
      </c>
      <c r="L373" s="49"/>
      <c r="M373" s="49"/>
      <c r="N373" s="30"/>
      <c r="O373" s="30"/>
      <c r="P373" s="30"/>
      <c r="Q373" s="30"/>
      <c r="R373" s="11" t="str">
        <f t="shared" si="56"/>
        <v/>
      </c>
      <c r="S373" s="55" t="str">
        <f t="shared" si="57"/>
        <v/>
      </c>
      <c r="T373" s="37" t="str">
        <f t="shared" si="58"/>
        <v/>
      </c>
      <c r="U373" s="29" t="str">
        <f t="shared" si="59"/>
        <v/>
      </c>
      <c r="V373" s="33"/>
    </row>
    <row r="374" spans="1:22" x14ac:dyDescent="0.25">
      <c r="A374" s="30"/>
      <c r="B374" s="34" t="str">
        <f t="shared" si="50"/>
        <v/>
      </c>
      <c r="C374" s="34" t="str">
        <f t="shared" si="51"/>
        <v/>
      </c>
      <c r="D374" s="36" t="str">
        <f t="shared" si="52"/>
        <v/>
      </c>
      <c r="E374" s="36" t="str">
        <f t="shared" si="53"/>
        <v/>
      </c>
      <c r="F374" s="36" t="str">
        <f t="shared" si="54"/>
        <v/>
      </c>
      <c r="G374" s="30"/>
      <c r="H374" s="33"/>
      <c r="I374" s="31"/>
      <c r="J374" s="31"/>
      <c r="K374" s="13" t="str">
        <f t="shared" si="55"/>
        <v/>
      </c>
      <c r="L374" s="49"/>
      <c r="M374" s="49"/>
      <c r="N374" s="30"/>
      <c r="O374" s="30"/>
      <c r="P374" s="30"/>
      <c r="Q374" s="30"/>
      <c r="R374" s="11" t="str">
        <f t="shared" si="56"/>
        <v/>
      </c>
      <c r="S374" s="55" t="str">
        <f t="shared" si="57"/>
        <v/>
      </c>
      <c r="T374" s="37" t="str">
        <f t="shared" si="58"/>
        <v/>
      </c>
      <c r="U374" s="29" t="str">
        <f t="shared" si="59"/>
        <v/>
      </c>
      <c r="V374" s="33"/>
    </row>
    <row r="375" spans="1:22" x14ac:dyDescent="0.25">
      <c r="A375" s="30"/>
      <c r="B375" s="34" t="str">
        <f t="shared" si="50"/>
        <v/>
      </c>
      <c r="C375" s="34" t="str">
        <f t="shared" si="51"/>
        <v/>
      </c>
      <c r="D375" s="36" t="str">
        <f t="shared" si="52"/>
        <v/>
      </c>
      <c r="E375" s="36" t="str">
        <f t="shared" si="53"/>
        <v/>
      </c>
      <c r="F375" s="36" t="str">
        <f t="shared" si="54"/>
        <v/>
      </c>
      <c r="G375" s="30"/>
      <c r="H375" s="33"/>
      <c r="I375" s="31"/>
      <c r="J375" s="31"/>
      <c r="K375" s="13" t="str">
        <f t="shared" si="55"/>
        <v/>
      </c>
      <c r="L375" s="49"/>
      <c r="M375" s="49"/>
      <c r="N375" s="30"/>
      <c r="O375" s="30"/>
      <c r="P375" s="30"/>
      <c r="Q375" s="30"/>
      <c r="R375" s="11" t="str">
        <f t="shared" si="56"/>
        <v/>
      </c>
      <c r="S375" s="55" t="str">
        <f t="shared" si="57"/>
        <v/>
      </c>
      <c r="T375" s="37" t="str">
        <f t="shared" si="58"/>
        <v/>
      </c>
      <c r="U375" s="29" t="str">
        <f t="shared" si="59"/>
        <v/>
      </c>
      <c r="V375" s="33"/>
    </row>
    <row r="376" spans="1:22" x14ac:dyDescent="0.25">
      <c r="A376" s="30"/>
      <c r="B376" s="34" t="str">
        <f t="shared" si="50"/>
        <v/>
      </c>
      <c r="C376" s="34" t="str">
        <f t="shared" si="51"/>
        <v/>
      </c>
      <c r="D376" s="36" t="str">
        <f t="shared" si="52"/>
        <v/>
      </c>
      <c r="E376" s="36" t="str">
        <f t="shared" si="53"/>
        <v/>
      </c>
      <c r="F376" s="36" t="str">
        <f t="shared" si="54"/>
        <v/>
      </c>
      <c r="G376" s="30"/>
      <c r="H376" s="33"/>
      <c r="I376" s="31"/>
      <c r="J376" s="31"/>
      <c r="K376" s="13" t="str">
        <f t="shared" si="55"/>
        <v/>
      </c>
      <c r="L376" s="49"/>
      <c r="M376" s="49"/>
      <c r="N376" s="30"/>
      <c r="O376" s="30"/>
      <c r="P376" s="30"/>
      <c r="Q376" s="30"/>
      <c r="R376" s="11" t="str">
        <f t="shared" si="56"/>
        <v/>
      </c>
      <c r="S376" s="55" t="str">
        <f t="shared" si="57"/>
        <v/>
      </c>
      <c r="T376" s="37" t="str">
        <f t="shared" si="58"/>
        <v/>
      </c>
      <c r="U376" s="29" t="str">
        <f t="shared" si="59"/>
        <v/>
      </c>
      <c r="V376" s="33"/>
    </row>
    <row r="377" spans="1:22" x14ac:dyDescent="0.25">
      <c r="A377" s="30"/>
      <c r="B377" s="34" t="str">
        <f t="shared" si="50"/>
        <v/>
      </c>
      <c r="C377" s="34" t="str">
        <f t="shared" si="51"/>
        <v/>
      </c>
      <c r="D377" s="36" t="str">
        <f t="shared" si="52"/>
        <v/>
      </c>
      <c r="E377" s="36" t="str">
        <f t="shared" si="53"/>
        <v/>
      </c>
      <c r="F377" s="36" t="str">
        <f t="shared" si="54"/>
        <v/>
      </c>
      <c r="G377" s="30"/>
      <c r="H377" s="33"/>
      <c r="I377" s="31"/>
      <c r="J377" s="31"/>
      <c r="K377" s="13" t="str">
        <f t="shared" si="55"/>
        <v/>
      </c>
      <c r="L377" s="49"/>
      <c r="M377" s="49"/>
      <c r="N377" s="30"/>
      <c r="O377" s="30"/>
      <c r="P377" s="30"/>
      <c r="Q377" s="30"/>
      <c r="R377" s="11" t="str">
        <f t="shared" si="56"/>
        <v/>
      </c>
      <c r="S377" s="55" t="str">
        <f t="shared" si="57"/>
        <v/>
      </c>
      <c r="T377" s="37" t="str">
        <f t="shared" si="58"/>
        <v/>
      </c>
      <c r="U377" s="29" t="str">
        <f t="shared" si="59"/>
        <v/>
      </c>
      <c r="V377" s="33"/>
    </row>
    <row r="378" spans="1:22" x14ac:dyDescent="0.25">
      <c r="A378" s="30"/>
      <c r="B378" s="34" t="str">
        <f t="shared" si="50"/>
        <v/>
      </c>
      <c r="C378" s="34" t="str">
        <f t="shared" si="51"/>
        <v/>
      </c>
      <c r="D378" s="36" t="str">
        <f t="shared" si="52"/>
        <v/>
      </c>
      <c r="E378" s="36" t="str">
        <f t="shared" si="53"/>
        <v/>
      </c>
      <c r="F378" s="36" t="str">
        <f t="shared" si="54"/>
        <v/>
      </c>
      <c r="G378" s="30"/>
      <c r="H378" s="33"/>
      <c r="I378" s="31"/>
      <c r="J378" s="31"/>
      <c r="K378" s="13" t="str">
        <f t="shared" si="55"/>
        <v/>
      </c>
      <c r="L378" s="49"/>
      <c r="M378" s="49"/>
      <c r="N378" s="30"/>
      <c r="O378" s="30"/>
      <c r="P378" s="30"/>
      <c r="Q378" s="30"/>
      <c r="R378" s="11" t="str">
        <f t="shared" si="56"/>
        <v/>
      </c>
      <c r="S378" s="55" t="str">
        <f t="shared" si="57"/>
        <v/>
      </c>
      <c r="T378" s="37" t="str">
        <f t="shared" si="58"/>
        <v/>
      </c>
      <c r="U378" s="29" t="str">
        <f t="shared" si="59"/>
        <v/>
      </c>
      <c r="V378" s="33"/>
    </row>
    <row r="379" spans="1:22" x14ac:dyDescent="0.25">
      <c r="A379" s="30"/>
      <c r="B379" s="34" t="str">
        <f t="shared" si="50"/>
        <v/>
      </c>
      <c r="C379" s="34" t="str">
        <f t="shared" si="51"/>
        <v/>
      </c>
      <c r="D379" s="36" t="str">
        <f t="shared" si="52"/>
        <v/>
      </c>
      <c r="E379" s="36" t="str">
        <f t="shared" si="53"/>
        <v/>
      </c>
      <c r="F379" s="36" t="str">
        <f t="shared" si="54"/>
        <v/>
      </c>
      <c r="G379" s="30"/>
      <c r="H379" s="33"/>
      <c r="I379" s="31"/>
      <c r="J379" s="31"/>
      <c r="K379" s="13" t="str">
        <f t="shared" si="55"/>
        <v/>
      </c>
      <c r="L379" s="49"/>
      <c r="M379" s="49"/>
      <c r="N379" s="30"/>
      <c r="O379" s="30"/>
      <c r="P379" s="30"/>
      <c r="Q379" s="30"/>
      <c r="R379" s="11" t="str">
        <f t="shared" si="56"/>
        <v/>
      </c>
      <c r="S379" s="55" t="str">
        <f t="shared" si="57"/>
        <v/>
      </c>
      <c r="T379" s="37" t="str">
        <f t="shared" si="58"/>
        <v/>
      </c>
      <c r="U379" s="29" t="str">
        <f t="shared" si="59"/>
        <v/>
      </c>
      <c r="V379" s="33"/>
    </row>
    <row r="380" spans="1:22" x14ac:dyDescent="0.25">
      <c r="A380" s="30"/>
      <c r="B380" s="34" t="str">
        <f t="shared" si="50"/>
        <v/>
      </c>
      <c r="C380" s="34" t="str">
        <f t="shared" si="51"/>
        <v/>
      </c>
      <c r="D380" s="36" t="str">
        <f t="shared" si="52"/>
        <v/>
      </c>
      <c r="E380" s="36" t="str">
        <f t="shared" si="53"/>
        <v/>
      </c>
      <c r="F380" s="36" t="str">
        <f t="shared" si="54"/>
        <v/>
      </c>
      <c r="G380" s="30"/>
      <c r="H380" s="33"/>
      <c r="I380" s="31"/>
      <c r="J380" s="31"/>
      <c r="K380" s="13" t="str">
        <f t="shared" si="55"/>
        <v/>
      </c>
      <c r="L380" s="49"/>
      <c r="M380" s="49"/>
      <c r="N380" s="30"/>
      <c r="O380" s="30"/>
      <c r="P380" s="30"/>
      <c r="Q380" s="30"/>
      <c r="R380" s="11" t="str">
        <f t="shared" si="56"/>
        <v/>
      </c>
      <c r="S380" s="55" t="str">
        <f t="shared" si="57"/>
        <v/>
      </c>
      <c r="T380" s="37" t="str">
        <f t="shared" si="58"/>
        <v/>
      </c>
      <c r="U380" s="29" t="str">
        <f t="shared" si="59"/>
        <v/>
      </c>
      <c r="V380" s="33"/>
    </row>
    <row r="381" spans="1:22" x14ac:dyDescent="0.25">
      <c r="A381" s="30"/>
      <c r="B381" s="34" t="str">
        <f t="shared" si="50"/>
        <v/>
      </c>
      <c r="C381" s="34" t="str">
        <f t="shared" si="51"/>
        <v/>
      </c>
      <c r="D381" s="36" t="str">
        <f t="shared" si="52"/>
        <v/>
      </c>
      <c r="E381" s="36" t="str">
        <f t="shared" si="53"/>
        <v/>
      </c>
      <c r="F381" s="36" t="str">
        <f t="shared" si="54"/>
        <v/>
      </c>
      <c r="G381" s="30"/>
      <c r="H381" s="33"/>
      <c r="I381" s="31"/>
      <c r="J381" s="31"/>
      <c r="K381" s="13" t="str">
        <f t="shared" si="55"/>
        <v/>
      </c>
      <c r="L381" s="49"/>
      <c r="M381" s="49"/>
      <c r="N381" s="30"/>
      <c r="O381" s="30"/>
      <c r="P381" s="30"/>
      <c r="Q381" s="30"/>
      <c r="R381" s="11" t="str">
        <f t="shared" si="56"/>
        <v/>
      </c>
      <c r="S381" s="55" t="str">
        <f t="shared" si="57"/>
        <v/>
      </c>
      <c r="T381" s="37" t="str">
        <f t="shared" si="58"/>
        <v/>
      </c>
      <c r="U381" s="29" t="str">
        <f t="shared" si="59"/>
        <v/>
      </c>
      <c r="V381" s="33"/>
    </row>
    <row r="382" spans="1:22" x14ac:dyDescent="0.25">
      <c r="A382" s="30"/>
      <c r="B382" s="34" t="str">
        <f t="shared" si="50"/>
        <v/>
      </c>
      <c r="C382" s="34" t="str">
        <f t="shared" si="51"/>
        <v/>
      </c>
      <c r="D382" s="36" t="str">
        <f t="shared" si="52"/>
        <v/>
      </c>
      <c r="E382" s="36" t="str">
        <f t="shared" si="53"/>
        <v/>
      </c>
      <c r="F382" s="36" t="str">
        <f t="shared" si="54"/>
        <v/>
      </c>
      <c r="G382" s="30"/>
      <c r="H382" s="33"/>
      <c r="I382" s="31"/>
      <c r="J382" s="31"/>
      <c r="K382" s="13" t="str">
        <f t="shared" si="55"/>
        <v/>
      </c>
      <c r="L382" s="49"/>
      <c r="M382" s="49"/>
      <c r="N382" s="30"/>
      <c r="O382" s="30"/>
      <c r="P382" s="30"/>
      <c r="Q382" s="30"/>
      <c r="R382" s="11" t="str">
        <f t="shared" si="56"/>
        <v/>
      </c>
      <c r="S382" s="55" t="str">
        <f t="shared" si="57"/>
        <v/>
      </c>
      <c r="T382" s="37" t="str">
        <f t="shared" si="58"/>
        <v/>
      </c>
      <c r="U382" s="29" t="str">
        <f t="shared" si="59"/>
        <v/>
      </c>
      <c r="V382" s="33"/>
    </row>
    <row r="383" spans="1:22" x14ac:dyDescent="0.25">
      <c r="A383" s="30"/>
      <c r="B383" s="34" t="str">
        <f t="shared" si="50"/>
        <v/>
      </c>
      <c r="C383" s="34" t="str">
        <f t="shared" si="51"/>
        <v/>
      </c>
      <c r="D383" s="36" t="str">
        <f t="shared" si="52"/>
        <v/>
      </c>
      <c r="E383" s="36" t="str">
        <f t="shared" si="53"/>
        <v/>
      </c>
      <c r="F383" s="36" t="str">
        <f t="shared" si="54"/>
        <v/>
      </c>
      <c r="G383" s="30"/>
      <c r="H383" s="33"/>
      <c r="I383" s="31"/>
      <c r="J383" s="31"/>
      <c r="K383" s="13" t="str">
        <f t="shared" si="55"/>
        <v/>
      </c>
      <c r="L383" s="49"/>
      <c r="M383" s="49"/>
      <c r="N383" s="30"/>
      <c r="O383" s="30"/>
      <c r="P383" s="30"/>
      <c r="Q383" s="30"/>
      <c r="R383" s="11" t="str">
        <f t="shared" si="56"/>
        <v/>
      </c>
      <c r="S383" s="55" t="str">
        <f t="shared" si="57"/>
        <v/>
      </c>
      <c r="T383" s="37" t="str">
        <f t="shared" si="58"/>
        <v/>
      </c>
      <c r="U383" s="29" t="str">
        <f t="shared" si="59"/>
        <v/>
      </c>
      <c r="V383" s="33"/>
    </row>
    <row r="384" spans="1:22" x14ac:dyDescent="0.25">
      <c r="A384" s="30"/>
      <c r="B384" s="34" t="str">
        <f t="shared" si="50"/>
        <v/>
      </c>
      <c r="C384" s="34" t="str">
        <f t="shared" si="51"/>
        <v/>
      </c>
      <c r="D384" s="36" t="str">
        <f t="shared" si="52"/>
        <v/>
      </c>
      <c r="E384" s="36" t="str">
        <f t="shared" si="53"/>
        <v/>
      </c>
      <c r="F384" s="36" t="str">
        <f t="shared" si="54"/>
        <v/>
      </c>
      <c r="G384" s="30"/>
      <c r="H384" s="33"/>
      <c r="I384" s="31"/>
      <c r="J384" s="31"/>
      <c r="K384" s="13" t="str">
        <f t="shared" si="55"/>
        <v/>
      </c>
      <c r="L384" s="49"/>
      <c r="M384" s="49"/>
      <c r="N384" s="30"/>
      <c r="O384" s="30"/>
      <c r="P384" s="30"/>
      <c r="Q384" s="30"/>
      <c r="R384" s="11" t="str">
        <f t="shared" si="56"/>
        <v/>
      </c>
      <c r="S384" s="55" t="str">
        <f t="shared" si="57"/>
        <v/>
      </c>
      <c r="T384" s="37" t="str">
        <f t="shared" si="58"/>
        <v/>
      </c>
      <c r="U384" s="29" t="str">
        <f t="shared" si="59"/>
        <v/>
      </c>
      <c r="V384" s="33"/>
    </row>
    <row r="385" spans="1:22" x14ac:dyDescent="0.25">
      <c r="A385" s="30"/>
      <c r="B385" s="34" t="str">
        <f t="shared" si="50"/>
        <v/>
      </c>
      <c r="C385" s="34" t="str">
        <f t="shared" si="51"/>
        <v/>
      </c>
      <c r="D385" s="36" t="str">
        <f t="shared" si="52"/>
        <v/>
      </c>
      <c r="E385" s="36" t="str">
        <f t="shared" si="53"/>
        <v/>
      </c>
      <c r="F385" s="36" t="str">
        <f t="shared" si="54"/>
        <v/>
      </c>
      <c r="G385" s="30"/>
      <c r="H385" s="33"/>
      <c r="I385" s="31"/>
      <c r="J385" s="31"/>
      <c r="K385" s="13" t="str">
        <f t="shared" si="55"/>
        <v/>
      </c>
      <c r="L385" s="49"/>
      <c r="M385" s="49"/>
      <c r="N385" s="30"/>
      <c r="O385" s="30"/>
      <c r="P385" s="30"/>
      <c r="Q385" s="30"/>
      <c r="R385" s="11" t="str">
        <f t="shared" si="56"/>
        <v/>
      </c>
      <c r="S385" s="55" t="str">
        <f t="shared" si="57"/>
        <v/>
      </c>
      <c r="T385" s="37" t="str">
        <f t="shared" si="58"/>
        <v/>
      </c>
      <c r="U385" s="29" t="str">
        <f t="shared" si="59"/>
        <v/>
      </c>
      <c r="V385" s="33"/>
    </row>
    <row r="386" spans="1:22" x14ac:dyDescent="0.25">
      <c r="A386" s="30"/>
      <c r="B386" s="34" t="str">
        <f t="shared" si="50"/>
        <v/>
      </c>
      <c r="C386" s="34" t="str">
        <f t="shared" si="51"/>
        <v/>
      </c>
      <c r="D386" s="36" t="str">
        <f t="shared" si="52"/>
        <v/>
      </c>
      <c r="E386" s="36" t="str">
        <f t="shared" si="53"/>
        <v/>
      </c>
      <c r="F386" s="36" t="str">
        <f t="shared" si="54"/>
        <v/>
      </c>
      <c r="G386" s="30"/>
      <c r="H386" s="33"/>
      <c r="I386" s="31"/>
      <c r="J386" s="31"/>
      <c r="K386" s="13" t="str">
        <f t="shared" si="55"/>
        <v/>
      </c>
      <c r="L386" s="49"/>
      <c r="M386" s="49"/>
      <c r="N386" s="30"/>
      <c r="O386" s="30"/>
      <c r="P386" s="30"/>
      <c r="Q386" s="30"/>
      <c r="R386" s="11" t="str">
        <f t="shared" si="56"/>
        <v/>
      </c>
      <c r="S386" s="55" t="str">
        <f t="shared" si="57"/>
        <v/>
      </c>
      <c r="T386" s="37" t="str">
        <f t="shared" si="58"/>
        <v/>
      </c>
      <c r="U386" s="29" t="str">
        <f t="shared" si="59"/>
        <v/>
      </c>
      <c r="V386" s="33"/>
    </row>
    <row r="387" spans="1:22" x14ac:dyDescent="0.25">
      <c r="A387" s="30"/>
      <c r="B387" s="34" t="str">
        <f t="shared" si="50"/>
        <v/>
      </c>
      <c r="C387" s="34" t="str">
        <f t="shared" si="51"/>
        <v/>
      </c>
      <c r="D387" s="36" t="str">
        <f t="shared" si="52"/>
        <v/>
      </c>
      <c r="E387" s="36" t="str">
        <f t="shared" si="53"/>
        <v/>
      </c>
      <c r="F387" s="36" t="str">
        <f t="shared" si="54"/>
        <v/>
      </c>
      <c r="G387" s="30"/>
      <c r="H387" s="33"/>
      <c r="I387" s="31"/>
      <c r="J387" s="31"/>
      <c r="K387" s="13" t="str">
        <f t="shared" si="55"/>
        <v/>
      </c>
      <c r="L387" s="49"/>
      <c r="M387" s="49"/>
      <c r="N387" s="30"/>
      <c r="O387" s="30"/>
      <c r="P387" s="30"/>
      <c r="Q387" s="30"/>
      <c r="R387" s="11" t="str">
        <f t="shared" si="56"/>
        <v/>
      </c>
      <c r="S387" s="55" t="str">
        <f t="shared" si="57"/>
        <v/>
      </c>
      <c r="T387" s="37" t="str">
        <f t="shared" si="58"/>
        <v/>
      </c>
      <c r="U387" s="29" t="str">
        <f t="shared" si="59"/>
        <v/>
      </c>
      <c r="V387" s="33"/>
    </row>
    <row r="388" spans="1:22" x14ac:dyDescent="0.25">
      <c r="A388" s="30"/>
      <c r="B388" s="34" t="str">
        <f t="shared" si="50"/>
        <v/>
      </c>
      <c r="C388" s="34" t="str">
        <f t="shared" si="51"/>
        <v/>
      </c>
      <c r="D388" s="36" t="str">
        <f t="shared" si="52"/>
        <v/>
      </c>
      <c r="E388" s="36" t="str">
        <f t="shared" si="53"/>
        <v/>
      </c>
      <c r="F388" s="36" t="str">
        <f t="shared" si="54"/>
        <v/>
      </c>
      <c r="G388" s="30"/>
      <c r="H388" s="33"/>
      <c r="I388" s="31"/>
      <c r="J388" s="31"/>
      <c r="K388" s="13" t="str">
        <f t="shared" si="55"/>
        <v/>
      </c>
      <c r="L388" s="49"/>
      <c r="M388" s="49"/>
      <c r="N388" s="30"/>
      <c r="O388" s="30"/>
      <c r="P388" s="30"/>
      <c r="Q388" s="30"/>
      <c r="R388" s="11" t="str">
        <f t="shared" si="56"/>
        <v/>
      </c>
      <c r="S388" s="55" t="str">
        <f t="shared" si="57"/>
        <v/>
      </c>
      <c r="T388" s="37" t="str">
        <f t="shared" si="58"/>
        <v/>
      </c>
      <c r="U388" s="29" t="str">
        <f t="shared" si="59"/>
        <v/>
      </c>
      <c r="V388" s="33"/>
    </row>
    <row r="389" spans="1:22" x14ac:dyDescent="0.25">
      <c r="A389" s="30"/>
      <c r="B389" s="34" t="str">
        <f t="shared" ref="B389:B452" si="60">IFERROR(IF($A389="","",VLOOKUP($A389,CAD_TAB,2,FALSE)),"")</f>
        <v/>
      </c>
      <c r="C389" s="34" t="str">
        <f t="shared" ref="C389:C452" si="61">IFERROR(IF($A389="","",VLOOKUP($A389,CAD_TAB,3,FALSE)),"")</f>
        <v/>
      </c>
      <c r="D389" s="36" t="str">
        <f t="shared" ref="D389:D452" si="62">IFERROR(IF($A389="","",VLOOKUP($A389,CAD_TAB,9,FALSE)),"")</f>
        <v/>
      </c>
      <c r="E389" s="36" t="str">
        <f t="shared" ref="E389:E452" si="63">IFERROR(IF($A389="","",VLOOKUP($A389,CAD_TAB,11,FALSE)),"")</f>
        <v/>
      </c>
      <c r="F389" s="36" t="str">
        <f t="shared" ref="F389:F452" si="64">IFERROR(IF($A389="","",VLOOKUP($A389,CAD_TAB,8,FALSE)),"")</f>
        <v/>
      </c>
      <c r="G389" s="30"/>
      <c r="H389" s="33"/>
      <c r="I389" s="31"/>
      <c r="J389" s="31"/>
      <c r="K389" s="13" t="str">
        <f t="shared" ref="K389:K452" si="65">IF(OR($I389="",$J389=""),"",$J389-$I389+1)</f>
        <v/>
      </c>
      <c r="L389" s="49"/>
      <c r="M389" s="49"/>
      <c r="N389" s="30"/>
      <c r="O389" s="30"/>
      <c r="P389" s="30"/>
      <c r="Q389" s="30"/>
      <c r="R389" s="11" t="str">
        <f t="shared" ref="R389:R452" si="66">IF($A389="","",COUNTIFS(MED_ID,$A389))</f>
        <v/>
      </c>
      <c r="S389" s="55" t="str">
        <f t="shared" ref="S389:S452" si="67">IF($A389="","",SUMIFS(MED_VLR,MED_ID,$A389))</f>
        <v/>
      </c>
      <c r="T389" s="37" t="str">
        <f t="shared" ref="T389:T452" si="68">IF($J389="","",EOMONTH($J389,0))</f>
        <v/>
      </c>
      <c r="U389" s="29" t="str">
        <f t="shared" ref="U389:U452" si="69">IF($A389="","",IF($V389="CANCELADA","CANCELADA",IF($S389&gt;0,"MEDIDA",IF($J389="","EM EXECUÇÃO",IF(OR($N389="NÃO",$O389="NÃO",$P389="NÃO"),"AGUARDANDO PAVIMENTO","CONCLUÍDA")))))</f>
        <v/>
      </c>
      <c r="V389" s="33"/>
    </row>
    <row r="390" spans="1:22" x14ac:dyDescent="0.25">
      <c r="A390" s="30"/>
      <c r="B390" s="34" t="str">
        <f t="shared" si="60"/>
        <v/>
      </c>
      <c r="C390" s="34" t="str">
        <f t="shared" si="61"/>
        <v/>
      </c>
      <c r="D390" s="36" t="str">
        <f t="shared" si="62"/>
        <v/>
      </c>
      <c r="E390" s="36" t="str">
        <f t="shared" si="63"/>
        <v/>
      </c>
      <c r="F390" s="36" t="str">
        <f t="shared" si="64"/>
        <v/>
      </c>
      <c r="G390" s="30"/>
      <c r="H390" s="33"/>
      <c r="I390" s="31"/>
      <c r="J390" s="31"/>
      <c r="K390" s="13" t="str">
        <f t="shared" si="65"/>
        <v/>
      </c>
      <c r="L390" s="49"/>
      <c r="M390" s="49"/>
      <c r="N390" s="30"/>
      <c r="O390" s="30"/>
      <c r="P390" s="30"/>
      <c r="Q390" s="30"/>
      <c r="R390" s="11" t="str">
        <f t="shared" si="66"/>
        <v/>
      </c>
      <c r="S390" s="55" t="str">
        <f t="shared" si="67"/>
        <v/>
      </c>
      <c r="T390" s="37" t="str">
        <f t="shared" si="68"/>
        <v/>
      </c>
      <c r="U390" s="29" t="str">
        <f t="shared" si="69"/>
        <v/>
      </c>
      <c r="V390" s="33"/>
    </row>
    <row r="391" spans="1:22" x14ac:dyDescent="0.25">
      <c r="A391" s="30"/>
      <c r="B391" s="34" t="str">
        <f t="shared" si="60"/>
        <v/>
      </c>
      <c r="C391" s="34" t="str">
        <f t="shared" si="61"/>
        <v/>
      </c>
      <c r="D391" s="36" t="str">
        <f t="shared" si="62"/>
        <v/>
      </c>
      <c r="E391" s="36" t="str">
        <f t="shared" si="63"/>
        <v/>
      </c>
      <c r="F391" s="36" t="str">
        <f t="shared" si="64"/>
        <v/>
      </c>
      <c r="G391" s="30"/>
      <c r="H391" s="33"/>
      <c r="I391" s="31"/>
      <c r="J391" s="31"/>
      <c r="K391" s="13" t="str">
        <f t="shared" si="65"/>
        <v/>
      </c>
      <c r="L391" s="49"/>
      <c r="M391" s="49"/>
      <c r="N391" s="30"/>
      <c r="O391" s="30"/>
      <c r="P391" s="30"/>
      <c r="Q391" s="30"/>
      <c r="R391" s="11" t="str">
        <f t="shared" si="66"/>
        <v/>
      </c>
      <c r="S391" s="55" t="str">
        <f t="shared" si="67"/>
        <v/>
      </c>
      <c r="T391" s="37" t="str">
        <f t="shared" si="68"/>
        <v/>
      </c>
      <c r="U391" s="29" t="str">
        <f t="shared" si="69"/>
        <v/>
      </c>
      <c r="V391" s="33"/>
    </row>
    <row r="392" spans="1:22" x14ac:dyDescent="0.25">
      <c r="A392" s="30"/>
      <c r="B392" s="34" t="str">
        <f t="shared" si="60"/>
        <v/>
      </c>
      <c r="C392" s="34" t="str">
        <f t="shared" si="61"/>
        <v/>
      </c>
      <c r="D392" s="36" t="str">
        <f t="shared" si="62"/>
        <v/>
      </c>
      <c r="E392" s="36" t="str">
        <f t="shared" si="63"/>
        <v/>
      </c>
      <c r="F392" s="36" t="str">
        <f t="shared" si="64"/>
        <v/>
      </c>
      <c r="G392" s="30"/>
      <c r="H392" s="33"/>
      <c r="I392" s="31"/>
      <c r="J392" s="31"/>
      <c r="K392" s="13" t="str">
        <f t="shared" si="65"/>
        <v/>
      </c>
      <c r="L392" s="49"/>
      <c r="M392" s="49"/>
      <c r="N392" s="30"/>
      <c r="O392" s="30"/>
      <c r="P392" s="30"/>
      <c r="Q392" s="30"/>
      <c r="R392" s="11" t="str">
        <f t="shared" si="66"/>
        <v/>
      </c>
      <c r="S392" s="55" t="str">
        <f t="shared" si="67"/>
        <v/>
      </c>
      <c r="T392" s="37" t="str">
        <f t="shared" si="68"/>
        <v/>
      </c>
      <c r="U392" s="29" t="str">
        <f t="shared" si="69"/>
        <v/>
      </c>
      <c r="V392" s="33"/>
    </row>
    <row r="393" spans="1:22" x14ac:dyDescent="0.25">
      <c r="A393" s="30"/>
      <c r="B393" s="34" t="str">
        <f t="shared" si="60"/>
        <v/>
      </c>
      <c r="C393" s="34" t="str">
        <f t="shared" si="61"/>
        <v/>
      </c>
      <c r="D393" s="36" t="str">
        <f t="shared" si="62"/>
        <v/>
      </c>
      <c r="E393" s="36" t="str">
        <f t="shared" si="63"/>
        <v/>
      </c>
      <c r="F393" s="36" t="str">
        <f t="shared" si="64"/>
        <v/>
      </c>
      <c r="G393" s="30"/>
      <c r="H393" s="33"/>
      <c r="I393" s="31"/>
      <c r="J393" s="31"/>
      <c r="K393" s="13" t="str">
        <f t="shared" si="65"/>
        <v/>
      </c>
      <c r="L393" s="49"/>
      <c r="M393" s="49"/>
      <c r="N393" s="30"/>
      <c r="O393" s="30"/>
      <c r="P393" s="30"/>
      <c r="Q393" s="30"/>
      <c r="R393" s="11" t="str">
        <f t="shared" si="66"/>
        <v/>
      </c>
      <c r="S393" s="55" t="str">
        <f t="shared" si="67"/>
        <v/>
      </c>
      <c r="T393" s="37" t="str">
        <f t="shared" si="68"/>
        <v/>
      </c>
      <c r="U393" s="29" t="str">
        <f t="shared" si="69"/>
        <v/>
      </c>
      <c r="V393" s="33"/>
    </row>
    <row r="394" spans="1:22" x14ac:dyDescent="0.25">
      <c r="A394" s="30"/>
      <c r="B394" s="34" t="str">
        <f t="shared" si="60"/>
        <v/>
      </c>
      <c r="C394" s="34" t="str">
        <f t="shared" si="61"/>
        <v/>
      </c>
      <c r="D394" s="36" t="str">
        <f t="shared" si="62"/>
        <v/>
      </c>
      <c r="E394" s="36" t="str">
        <f t="shared" si="63"/>
        <v/>
      </c>
      <c r="F394" s="36" t="str">
        <f t="shared" si="64"/>
        <v/>
      </c>
      <c r="G394" s="30"/>
      <c r="H394" s="33"/>
      <c r="I394" s="31"/>
      <c r="J394" s="31"/>
      <c r="K394" s="13" t="str">
        <f t="shared" si="65"/>
        <v/>
      </c>
      <c r="L394" s="49"/>
      <c r="M394" s="49"/>
      <c r="N394" s="30"/>
      <c r="O394" s="30"/>
      <c r="P394" s="30"/>
      <c r="Q394" s="30"/>
      <c r="R394" s="11" t="str">
        <f t="shared" si="66"/>
        <v/>
      </c>
      <c r="S394" s="55" t="str">
        <f t="shared" si="67"/>
        <v/>
      </c>
      <c r="T394" s="37" t="str">
        <f t="shared" si="68"/>
        <v/>
      </c>
      <c r="U394" s="29" t="str">
        <f t="shared" si="69"/>
        <v/>
      </c>
      <c r="V394" s="33"/>
    </row>
    <row r="395" spans="1:22" x14ac:dyDescent="0.25">
      <c r="A395" s="30"/>
      <c r="B395" s="34" t="str">
        <f t="shared" si="60"/>
        <v/>
      </c>
      <c r="C395" s="34" t="str">
        <f t="shared" si="61"/>
        <v/>
      </c>
      <c r="D395" s="36" t="str">
        <f t="shared" si="62"/>
        <v/>
      </c>
      <c r="E395" s="36" t="str">
        <f t="shared" si="63"/>
        <v/>
      </c>
      <c r="F395" s="36" t="str">
        <f t="shared" si="64"/>
        <v/>
      </c>
      <c r="G395" s="30"/>
      <c r="H395" s="33"/>
      <c r="I395" s="31"/>
      <c r="J395" s="31"/>
      <c r="K395" s="13" t="str">
        <f t="shared" si="65"/>
        <v/>
      </c>
      <c r="L395" s="49"/>
      <c r="M395" s="49"/>
      <c r="N395" s="30"/>
      <c r="O395" s="30"/>
      <c r="P395" s="30"/>
      <c r="Q395" s="30"/>
      <c r="R395" s="11" t="str">
        <f t="shared" si="66"/>
        <v/>
      </c>
      <c r="S395" s="55" t="str">
        <f t="shared" si="67"/>
        <v/>
      </c>
      <c r="T395" s="37" t="str">
        <f t="shared" si="68"/>
        <v/>
      </c>
      <c r="U395" s="29" t="str">
        <f t="shared" si="69"/>
        <v/>
      </c>
      <c r="V395" s="33"/>
    </row>
    <row r="396" spans="1:22" x14ac:dyDescent="0.25">
      <c r="A396" s="30"/>
      <c r="B396" s="34" t="str">
        <f t="shared" si="60"/>
        <v/>
      </c>
      <c r="C396" s="34" t="str">
        <f t="shared" si="61"/>
        <v/>
      </c>
      <c r="D396" s="36" t="str">
        <f t="shared" si="62"/>
        <v/>
      </c>
      <c r="E396" s="36" t="str">
        <f t="shared" si="63"/>
        <v/>
      </c>
      <c r="F396" s="36" t="str">
        <f t="shared" si="64"/>
        <v/>
      </c>
      <c r="G396" s="30"/>
      <c r="H396" s="33"/>
      <c r="I396" s="31"/>
      <c r="J396" s="31"/>
      <c r="K396" s="13" t="str">
        <f t="shared" si="65"/>
        <v/>
      </c>
      <c r="L396" s="49"/>
      <c r="M396" s="49"/>
      <c r="N396" s="30"/>
      <c r="O396" s="30"/>
      <c r="P396" s="30"/>
      <c r="Q396" s="30"/>
      <c r="R396" s="11" t="str">
        <f t="shared" si="66"/>
        <v/>
      </c>
      <c r="S396" s="55" t="str">
        <f t="shared" si="67"/>
        <v/>
      </c>
      <c r="T396" s="37" t="str">
        <f t="shared" si="68"/>
        <v/>
      </c>
      <c r="U396" s="29" t="str">
        <f t="shared" si="69"/>
        <v/>
      </c>
      <c r="V396" s="33"/>
    </row>
    <row r="397" spans="1:22" x14ac:dyDescent="0.25">
      <c r="A397" s="30"/>
      <c r="B397" s="34" t="str">
        <f t="shared" si="60"/>
        <v/>
      </c>
      <c r="C397" s="34" t="str">
        <f t="shared" si="61"/>
        <v/>
      </c>
      <c r="D397" s="36" t="str">
        <f t="shared" si="62"/>
        <v/>
      </c>
      <c r="E397" s="36" t="str">
        <f t="shared" si="63"/>
        <v/>
      </c>
      <c r="F397" s="36" t="str">
        <f t="shared" si="64"/>
        <v/>
      </c>
      <c r="G397" s="30"/>
      <c r="H397" s="33"/>
      <c r="I397" s="31"/>
      <c r="J397" s="31"/>
      <c r="K397" s="13" t="str">
        <f t="shared" si="65"/>
        <v/>
      </c>
      <c r="L397" s="49"/>
      <c r="M397" s="49"/>
      <c r="N397" s="30"/>
      <c r="O397" s="30"/>
      <c r="P397" s="30"/>
      <c r="Q397" s="30"/>
      <c r="R397" s="11" t="str">
        <f t="shared" si="66"/>
        <v/>
      </c>
      <c r="S397" s="55" t="str">
        <f t="shared" si="67"/>
        <v/>
      </c>
      <c r="T397" s="37" t="str">
        <f t="shared" si="68"/>
        <v/>
      </c>
      <c r="U397" s="29" t="str">
        <f t="shared" si="69"/>
        <v/>
      </c>
      <c r="V397" s="33"/>
    </row>
    <row r="398" spans="1:22" x14ac:dyDescent="0.25">
      <c r="A398" s="30"/>
      <c r="B398" s="34" t="str">
        <f t="shared" si="60"/>
        <v/>
      </c>
      <c r="C398" s="34" t="str">
        <f t="shared" si="61"/>
        <v/>
      </c>
      <c r="D398" s="36" t="str">
        <f t="shared" si="62"/>
        <v/>
      </c>
      <c r="E398" s="36" t="str">
        <f t="shared" si="63"/>
        <v/>
      </c>
      <c r="F398" s="36" t="str">
        <f t="shared" si="64"/>
        <v/>
      </c>
      <c r="G398" s="30"/>
      <c r="H398" s="33"/>
      <c r="I398" s="31"/>
      <c r="J398" s="31"/>
      <c r="K398" s="13" t="str">
        <f t="shared" si="65"/>
        <v/>
      </c>
      <c r="L398" s="49"/>
      <c r="M398" s="49"/>
      <c r="N398" s="30"/>
      <c r="O398" s="30"/>
      <c r="P398" s="30"/>
      <c r="Q398" s="30"/>
      <c r="R398" s="11" t="str">
        <f t="shared" si="66"/>
        <v/>
      </c>
      <c r="S398" s="55" t="str">
        <f t="shared" si="67"/>
        <v/>
      </c>
      <c r="T398" s="37" t="str">
        <f t="shared" si="68"/>
        <v/>
      </c>
      <c r="U398" s="29" t="str">
        <f t="shared" si="69"/>
        <v/>
      </c>
      <c r="V398" s="33"/>
    </row>
    <row r="399" spans="1:22" x14ac:dyDescent="0.25">
      <c r="A399" s="30"/>
      <c r="B399" s="34" t="str">
        <f t="shared" si="60"/>
        <v/>
      </c>
      <c r="C399" s="34" t="str">
        <f t="shared" si="61"/>
        <v/>
      </c>
      <c r="D399" s="36" t="str">
        <f t="shared" si="62"/>
        <v/>
      </c>
      <c r="E399" s="36" t="str">
        <f t="shared" si="63"/>
        <v/>
      </c>
      <c r="F399" s="36" t="str">
        <f t="shared" si="64"/>
        <v/>
      </c>
      <c r="G399" s="30"/>
      <c r="H399" s="33"/>
      <c r="I399" s="31"/>
      <c r="J399" s="31"/>
      <c r="K399" s="13" t="str">
        <f t="shared" si="65"/>
        <v/>
      </c>
      <c r="L399" s="49"/>
      <c r="M399" s="49"/>
      <c r="N399" s="30"/>
      <c r="O399" s="30"/>
      <c r="P399" s="30"/>
      <c r="Q399" s="30"/>
      <c r="R399" s="11" t="str">
        <f t="shared" si="66"/>
        <v/>
      </c>
      <c r="S399" s="55" t="str">
        <f t="shared" si="67"/>
        <v/>
      </c>
      <c r="T399" s="37" t="str">
        <f t="shared" si="68"/>
        <v/>
      </c>
      <c r="U399" s="29" t="str">
        <f t="shared" si="69"/>
        <v/>
      </c>
      <c r="V399" s="33"/>
    </row>
    <row r="400" spans="1:22" x14ac:dyDescent="0.25">
      <c r="A400" s="30"/>
      <c r="B400" s="34" t="str">
        <f t="shared" si="60"/>
        <v/>
      </c>
      <c r="C400" s="34" t="str">
        <f t="shared" si="61"/>
        <v/>
      </c>
      <c r="D400" s="36" t="str">
        <f t="shared" si="62"/>
        <v/>
      </c>
      <c r="E400" s="36" t="str">
        <f t="shared" si="63"/>
        <v/>
      </c>
      <c r="F400" s="36" t="str">
        <f t="shared" si="64"/>
        <v/>
      </c>
      <c r="G400" s="30"/>
      <c r="H400" s="33"/>
      <c r="I400" s="31"/>
      <c r="J400" s="31"/>
      <c r="K400" s="13" t="str">
        <f t="shared" si="65"/>
        <v/>
      </c>
      <c r="L400" s="49"/>
      <c r="M400" s="49"/>
      <c r="N400" s="30"/>
      <c r="O400" s="30"/>
      <c r="P400" s="30"/>
      <c r="Q400" s="30"/>
      <c r="R400" s="11" t="str">
        <f t="shared" si="66"/>
        <v/>
      </c>
      <c r="S400" s="55" t="str">
        <f t="shared" si="67"/>
        <v/>
      </c>
      <c r="T400" s="37" t="str">
        <f t="shared" si="68"/>
        <v/>
      </c>
      <c r="U400" s="29" t="str">
        <f t="shared" si="69"/>
        <v/>
      </c>
      <c r="V400" s="33"/>
    </row>
    <row r="401" spans="1:22" x14ac:dyDescent="0.25">
      <c r="A401" s="30"/>
      <c r="B401" s="34" t="str">
        <f t="shared" si="60"/>
        <v/>
      </c>
      <c r="C401" s="34" t="str">
        <f t="shared" si="61"/>
        <v/>
      </c>
      <c r="D401" s="36" t="str">
        <f t="shared" si="62"/>
        <v/>
      </c>
      <c r="E401" s="36" t="str">
        <f t="shared" si="63"/>
        <v/>
      </c>
      <c r="F401" s="36" t="str">
        <f t="shared" si="64"/>
        <v/>
      </c>
      <c r="G401" s="30"/>
      <c r="H401" s="33"/>
      <c r="I401" s="31"/>
      <c r="J401" s="31"/>
      <c r="K401" s="13" t="str">
        <f t="shared" si="65"/>
        <v/>
      </c>
      <c r="L401" s="49"/>
      <c r="M401" s="49"/>
      <c r="N401" s="30"/>
      <c r="O401" s="30"/>
      <c r="P401" s="30"/>
      <c r="Q401" s="30"/>
      <c r="R401" s="11" t="str">
        <f t="shared" si="66"/>
        <v/>
      </c>
      <c r="S401" s="55" t="str">
        <f t="shared" si="67"/>
        <v/>
      </c>
      <c r="T401" s="37" t="str">
        <f t="shared" si="68"/>
        <v/>
      </c>
      <c r="U401" s="29" t="str">
        <f t="shared" si="69"/>
        <v/>
      </c>
      <c r="V401" s="33"/>
    </row>
    <row r="402" spans="1:22" x14ac:dyDescent="0.25">
      <c r="A402" s="30"/>
      <c r="B402" s="34" t="str">
        <f t="shared" si="60"/>
        <v/>
      </c>
      <c r="C402" s="34" t="str">
        <f t="shared" si="61"/>
        <v/>
      </c>
      <c r="D402" s="36" t="str">
        <f t="shared" si="62"/>
        <v/>
      </c>
      <c r="E402" s="36" t="str">
        <f t="shared" si="63"/>
        <v/>
      </c>
      <c r="F402" s="36" t="str">
        <f t="shared" si="64"/>
        <v/>
      </c>
      <c r="G402" s="30"/>
      <c r="H402" s="33"/>
      <c r="I402" s="31"/>
      <c r="J402" s="31"/>
      <c r="K402" s="13" t="str">
        <f t="shared" si="65"/>
        <v/>
      </c>
      <c r="L402" s="49"/>
      <c r="M402" s="49"/>
      <c r="N402" s="30"/>
      <c r="O402" s="30"/>
      <c r="P402" s="30"/>
      <c r="Q402" s="30"/>
      <c r="R402" s="11" t="str">
        <f t="shared" si="66"/>
        <v/>
      </c>
      <c r="S402" s="55" t="str">
        <f t="shared" si="67"/>
        <v/>
      </c>
      <c r="T402" s="37" t="str">
        <f t="shared" si="68"/>
        <v/>
      </c>
      <c r="U402" s="29" t="str">
        <f t="shared" si="69"/>
        <v/>
      </c>
      <c r="V402" s="33"/>
    </row>
    <row r="403" spans="1:22" x14ac:dyDescent="0.25">
      <c r="A403" s="30"/>
      <c r="B403" s="34" t="str">
        <f t="shared" si="60"/>
        <v/>
      </c>
      <c r="C403" s="34" t="str">
        <f t="shared" si="61"/>
        <v/>
      </c>
      <c r="D403" s="36" t="str">
        <f t="shared" si="62"/>
        <v/>
      </c>
      <c r="E403" s="36" t="str">
        <f t="shared" si="63"/>
        <v/>
      </c>
      <c r="F403" s="36" t="str">
        <f t="shared" si="64"/>
        <v/>
      </c>
      <c r="G403" s="30"/>
      <c r="H403" s="33"/>
      <c r="I403" s="31"/>
      <c r="J403" s="31"/>
      <c r="K403" s="13" t="str">
        <f t="shared" si="65"/>
        <v/>
      </c>
      <c r="L403" s="49"/>
      <c r="M403" s="49"/>
      <c r="N403" s="30"/>
      <c r="O403" s="30"/>
      <c r="P403" s="30"/>
      <c r="Q403" s="30"/>
      <c r="R403" s="11" t="str">
        <f t="shared" si="66"/>
        <v/>
      </c>
      <c r="S403" s="55" t="str">
        <f t="shared" si="67"/>
        <v/>
      </c>
      <c r="T403" s="37" t="str">
        <f t="shared" si="68"/>
        <v/>
      </c>
      <c r="U403" s="29" t="str">
        <f t="shared" si="69"/>
        <v/>
      </c>
      <c r="V403" s="33"/>
    </row>
    <row r="404" spans="1:22" x14ac:dyDescent="0.25">
      <c r="A404" s="30"/>
      <c r="B404" s="34" t="str">
        <f t="shared" si="60"/>
        <v/>
      </c>
      <c r="C404" s="34" t="str">
        <f t="shared" si="61"/>
        <v/>
      </c>
      <c r="D404" s="36" t="str">
        <f t="shared" si="62"/>
        <v/>
      </c>
      <c r="E404" s="36" t="str">
        <f t="shared" si="63"/>
        <v/>
      </c>
      <c r="F404" s="36" t="str">
        <f t="shared" si="64"/>
        <v/>
      </c>
      <c r="G404" s="30"/>
      <c r="H404" s="33"/>
      <c r="I404" s="31"/>
      <c r="J404" s="31"/>
      <c r="K404" s="13" t="str">
        <f t="shared" si="65"/>
        <v/>
      </c>
      <c r="L404" s="49"/>
      <c r="M404" s="49"/>
      <c r="N404" s="30"/>
      <c r="O404" s="30"/>
      <c r="P404" s="30"/>
      <c r="Q404" s="30"/>
      <c r="R404" s="11" t="str">
        <f t="shared" si="66"/>
        <v/>
      </c>
      <c r="S404" s="55" t="str">
        <f t="shared" si="67"/>
        <v/>
      </c>
      <c r="T404" s="37" t="str">
        <f t="shared" si="68"/>
        <v/>
      </c>
      <c r="U404" s="29" t="str">
        <f t="shared" si="69"/>
        <v/>
      </c>
      <c r="V404" s="33"/>
    </row>
    <row r="405" spans="1:22" x14ac:dyDescent="0.25">
      <c r="A405" s="30"/>
      <c r="B405" s="34" t="str">
        <f t="shared" si="60"/>
        <v/>
      </c>
      <c r="C405" s="34" t="str">
        <f t="shared" si="61"/>
        <v/>
      </c>
      <c r="D405" s="36" t="str">
        <f t="shared" si="62"/>
        <v/>
      </c>
      <c r="E405" s="36" t="str">
        <f t="shared" si="63"/>
        <v/>
      </c>
      <c r="F405" s="36" t="str">
        <f t="shared" si="64"/>
        <v/>
      </c>
      <c r="G405" s="30"/>
      <c r="H405" s="33"/>
      <c r="I405" s="31"/>
      <c r="J405" s="31"/>
      <c r="K405" s="13" t="str">
        <f t="shared" si="65"/>
        <v/>
      </c>
      <c r="L405" s="49"/>
      <c r="M405" s="49"/>
      <c r="N405" s="30"/>
      <c r="O405" s="30"/>
      <c r="P405" s="30"/>
      <c r="Q405" s="30"/>
      <c r="R405" s="11" t="str">
        <f t="shared" si="66"/>
        <v/>
      </c>
      <c r="S405" s="55" t="str">
        <f t="shared" si="67"/>
        <v/>
      </c>
      <c r="T405" s="37" t="str">
        <f t="shared" si="68"/>
        <v/>
      </c>
      <c r="U405" s="29" t="str">
        <f t="shared" si="69"/>
        <v/>
      </c>
      <c r="V405" s="33"/>
    </row>
    <row r="406" spans="1:22" x14ac:dyDescent="0.25">
      <c r="A406" s="30"/>
      <c r="B406" s="34" t="str">
        <f t="shared" si="60"/>
        <v/>
      </c>
      <c r="C406" s="34" t="str">
        <f t="shared" si="61"/>
        <v/>
      </c>
      <c r="D406" s="36" t="str">
        <f t="shared" si="62"/>
        <v/>
      </c>
      <c r="E406" s="36" t="str">
        <f t="shared" si="63"/>
        <v/>
      </c>
      <c r="F406" s="36" t="str">
        <f t="shared" si="64"/>
        <v/>
      </c>
      <c r="G406" s="30"/>
      <c r="H406" s="33"/>
      <c r="I406" s="31"/>
      <c r="J406" s="31"/>
      <c r="K406" s="13" t="str">
        <f t="shared" si="65"/>
        <v/>
      </c>
      <c r="L406" s="49"/>
      <c r="M406" s="49"/>
      <c r="N406" s="30"/>
      <c r="O406" s="30"/>
      <c r="P406" s="30"/>
      <c r="Q406" s="30"/>
      <c r="R406" s="11" t="str">
        <f t="shared" si="66"/>
        <v/>
      </c>
      <c r="S406" s="55" t="str">
        <f t="shared" si="67"/>
        <v/>
      </c>
      <c r="T406" s="37" t="str">
        <f t="shared" si="68"/>
        <v/>
      </c>
      <c r="U406" s="29" t="str">
        <f t="shared" si="69"/>
        <v/>
      </c>
      <c r="V406" s="33"/>
    </row>
    <row r="407" spans="1:22" x14ac:dyDescent="0.25">
      <c r="A407" s="30"/>
      <c r="B407" s="34" t="str">
        <f t="shared" si="60"/>
        <v/>
      </c>
      <c r="C407" s="34" t="str">
        <f t="shared" si="61"/>
        <v/>
      </c>
      <c r="D407" s="36" t="str">
        <f t="shared" si="62"/>
        <v/>
      </c>
      <c r="E407" s="36" t="str">
        <f t="shared" si="63"/>
        <v/>
      </c>
      <c r="F407" s="36" t="str">
        <f t="shared" si="64"/>
        <v/>
      </c>
      <c r="G407" s="30"/>
      <c r="H407" s="33"/>
      <c r="I407" s="31"/>
      <c r="J407" s="31"/>
      <c r="K407" s="13" t="str">
        <f t="shared" si="65"/>
        <v/>
      </c>
      <c r="L407" s="49"/>
      <c r="M407" s="49"/>
      <c r="N407" s="30"/>
      <c r="O407" s="30"/>
      <c r="P407" s="30"/>
      <c r="Q407" s="30"/>
      <c r="R407" s="11" t="str">
        <f t="shared" si="66"/>
        <v/>
      </c>
      <c r="S407" s="55" t="str">
        <f t="shared" si="67"/>
        <v/>
      </c>
      <c r="T407" s="37" t="str">
        <f t="shared" si="68"/>
        <v/>
      </c>
      <c r="U407" s="29" t="str">
        <f t="shared" si="69"/>
        <v/>
      </c>
      <c r="V407" s="33"/>
    </row>
    <row r="408" spans="1:22" x14ac:dyDescent="0.25">
      <c r="A408" s="30"/>
      <c r="B408" s="34" t="str">
        <f t="shared" si="60"/>
        <v/>
      </c>
      <c r="C408" s="34" t="str">
        <f t="shared" si="61"/>
        <v/>
      </c>
      <c r="D408" s="36" t="str">
        <f t="shared" si="62"/>
        <v/>
      </c>
      <c r="E408" s="36" t="str">
        <f t="shared" si="63"/>
        <v/>
      </c>
      <c r="F408" s="36" t="str">
        <f t="shared" si="64"/>
        <v/>
      </c>
      <c r="G408" s="30"/>
      <c r="H408" s="33"/>
      <c r="I408" s="31"/>
      <c r="J408" s="31"/>
      <c r="K408" s="13" t="str">
        <f t="shared" si="65"/>
        <v/>
      </c>
      <c r="L408" s="49"/>
      <c r="M408" s="49"/>
      <c r="N408" s="30"/>
      <c r="O408" s="30"/>
      <c r="P408" s="30"/>
      <c r="Q408" s="30"/>
      <c r="R408" s="11" t="str">
        <f t="shared" si="66"/>
        <v/>
      </c>
      <c r="S408" s="55" t="str">
        <f t="shared" si="67"/>
        <v/>
      </c>
      <c r="T408" s="37" t="str">
        <f t="shared" si="68"/>
        <v/>
      </c>
      <c r="U408" s="29" t="str">
        <f t="shared" si="69"/>
        <v/>
      </c>
      <c r="V408" s="33"/>
    </row>
    <row r="409" spans="1:22" x14ac:dyDescent="0.25">
      <c r="A409" s="30"/>
      <c r="B409" s="34" t="str">
        <f t="shared" si="60"/>
        <v/>
      </c>
      <c r="C409" s="34" t="str">
        <f t="shared" si="61"/>
        <v/>
      </c>
      <c r="D409" s="36" t="str">
        <f t="shared" si="62"/>
        <v/>
      </c>
      <c r="E409" s="36" t="str">
        <f t="shared" si="63"/>
        <v/>
      </c>
      <c r="F409" s="36" t="str">
        <f t="shared" si="64"/>
        <v/>
      </c>
      <c r="G409" s="30"/>
      <c r="H409" s="33"/>
      <c r="I409" s="31"/>
      <c r="J409" s="31"/>
      <c r="K409" s="13" t="str">
        <f t="shared" si="65"/>
        <v/>
      </c>
      <c r="L409" s="49"/>
      <c r="M409" s="49"/>
      <c r="N409" s="30"/>
      <c r="O409" s="30"/>
      <c r="P409" s="30"/>
      <c r="Q409" s="30"/>
      <c r="R409" s="11" t="str">
        <f t="shared" si="66"/>
        <v/>
      </c>
      <c r="S409" s="55" t="str">
        <f t="shared" si="67"/>
        <v/>
      </c>
      <c r="T409" s="37" t="str">
        <f t="shared" si="68"/>
        <v/>
      </c>
      <c r="U409" s="29" t="str">
        <f t="shared" si="69"/>
        <v/>
      </c>
      <c r="V409" s="33"/>
    </row>
    <row r="410" spans="1:22" x14ac:dyDescent="0.25">
      <c r="A410" s="30"/>
      <c r="B410" s="34" t="str">
        <f t="shared" si="60"/>
        <v/>
      </c>
      <c r="C410" s="34" t="str">
        <f t="shared" si="61"/>
        <v/>
      </c>
      <c r="D410" s="36" t="str">
        <f t="shared" si="62"/>
        <v/>
      </c>
      <c r="E410" s="36" t="str">
        <f t="shared" si="63"/>
        <v/>
      </c>
      <c r="F410" s="36" t="str">
        <f t="shared" si="64"/>
        <v/>
      </c>
      <c r="G410" s="30"/>
      <c r="H410" s="33"/>
      <c r="I410" s="31"/>
      <c r="J410" s="31"/>
      <c r="K410" s="13" t="str">
        <f t="shared" si="65"/>
        <v/>
      </c>
      <c r="L410" s="49"/>
      <c r="M410" s="49"/>
      <c r="N410" s="30"/>
      <c r="O410" s="30"/>
      <c r="P410" s="30"/>
      <c r="Q410" s="30"/>
      <c r="R410" s="11" t="str">
        <f t="shared" si="66"/>
        <v/>
      </c>
      <c r="S410" s="55" t="str">
        <f t="shared" si="67"/>
        <v/>
      </c>
      <c r="T410" s="37" t="str">
        <f t="shared" si="68"/>
        <v/>
      </c>
      <c r="U410" s="29" t="str">
        <f t="shared" si="69"/>
        <v/>
      </c>
      <c r="V410" s="33"/>
    </row>
    <row r="411" spans="1:22" x14ac:dyDescent="0.25">
      <c r="A411" s="30"/>
      <c r="B411" s="34" t="str">
        <f t="shared" si="60"/>
        <v/>
      </c>
      <c r="C411" s="34" t="str">
        <f t="shared" si="61"/>
        <v/>
      </c>
      <c r="D411" s="36" t="str">
        <f t="shared" si="62"/>
        <v/>
      </c>
      <c r="E411" s="36" t="str">
        <f t="shared" si="63"/>
        <v/>
      </c>
      <c r="F411" s="36" t="str">
        <f t="shared" si="64"/>
        <v/>
      </c>
      <c r="G411" s="30"/>
      <c r="H411" s="33"/>
      <c r="I411" s="31"/>
      <c r="J411" s="31"/>
      <c r="K411" s="13" t="str">
        <f t="shared" si="65"/>
        <v/>
      </c>
      <c r="L411" s="49"/>
      <c r="M411" s="49"/>
      <c r="N411" s="30"/>
      <c r="O411" s="30"/>
      <c r="P411" s="30"/>
      <c r="Q411" s="30"/>
      <c r="R411" s="11" t="str">
        <f t="shared" si="66"/>
        <v/>
      </c>
      <c r="S411" s="55" t="str">
        <f t="shared" si="67"/>
        <v/>
      </c>
      <c r="T411" s="37" t="str">
        <f t="shared" si="68"/>
        <v/>
      </c>
      <c r="U411" s="29" t="str">
        <f t="shared" si="69"/>
        <v/>
      </c>
      <c r="V411" s="33"/>
    </row>
    <row r="412" spans="1:22" x14ac:dyDescent="0.25">
      <c r="A412" s="30"/>
      <c r="B412" s="34" t="str">
        <f t="shared" si="60"/>
        <v/>
      </c>
      <c r="C412" s="34" t="str">
        <f t="shared" si="61"/>
        <v/>
      </c>
      <c r="D412" s="36" t="str">
        <f t="shared" si="62"/>
        <v/>
      </c>
      <c r="E412" s="36" t="str">
        <f t="shared" si="63"/>
        <v/>
      </c>
      <c r="F412" s="36" t="str">
        <f t="shared" si="64"/>
        <v/>
      </c>
      <c r="G412" s="30"/>
      <c r="H412" s="33"/>
      <c r="I412" s="31"/>
      <c r="J412" s="31"/>
      <c r="K412" s="13" t="str">
        <f t="shared" si="65"/>
        <v/>
      </c>
      <c r="L412" s="49"/>
      <c r="M412" s="49"/>
      <c r="N412" s="30"/>
      <c r="O412" s="30"/>
      <c r="P412" s="30"/>
      <c r="Q412" s="30"/>
      <c r="R412" s="11" t="str">
        <f t="shared" si="66"/>
        <v/>
      </c>
      <c r="S412" s="55" t="str">
        <f t="shared" si="67"/>
        <v/>
      </c>
      <c r="T412" s="37" t="str">
        <f t="shared" si="68"/>
        <v/>
      </c>
      <c r="U412" s="29" t="str">
        <f t="shared" si="69"/>
        <v/>
      </c>
      <c r="V412" s="33"/>
    </row>
    <row r="413" spans="1:22" x14ac:dyDescent="0.25">
      <c r="A413" s="30"/>
      <c r="B413" s="34" t="str">
        <f t="shared" si="60"/>
        <v/>
      </c>
      <c r="C413" s="34" t="str">
        <f t="shared" si="61"/>
        <v/>
      </c>
      <c r="D413" s="36" t="str">
        <f t="shared" si="62"/>
        <v/>
      </c>
      <c r="E413" s="36" t="str">
        <f t="shared" si="63"/>
        <v/>
      </c>
      <c r="F413" s="36" t="str">
        <f t="shared" si="64"/>
        <v/>
      </c>
      <c r="G413" s="30"/>
      <c r="H413" s="33"/>
      <c r="I413" s="31"/>
      <c r="J413" s="31"/>
      <c r="K413" s="13" t="str">
        <f t="shared" si="65"/>
        <v/>
      </c>
      <c r="L413" s="49"/>
      <c r="M413" s="49"/>
      <c r="N413" s="30"/>
      <c r="O413" s="30"/>
      <c r="P413" s="30"/>
      <c r="Q413" s="30"/>
      <c r="R413" s="11" t="str">
        <f t="shared" si="66"/>
        <v/>
      </c>
      <c r="S413" s="55" t="str">
        <f t="shared" si="67"/>
        <v/>
      </c>
      <c r="T413" s="37" t="str">
        <f t="shared" si="68"/>
        <v/>
      </c>
      <c r="U413" s="29" t="str">
        <f t="shared" si="69"/>
        <v/>
      </c>
      <c r="V413" s="33"/>
    </row>
    <row r="414" spans="1:22" x14ac:dyDescent="0.25">
      <c r="A414" s="30"/>
      <c r="B414" s="34" t="str">
        <f t="shared" si="60"/>
        <v/>
      </c>
      <c r="C414" s="34" t="str">
        <f t="shared" si="61"/>
        <v/>
      </c>
      <c r="D414" s="36" t="str">
        <f t="shared" si="62"/>
        <v/>
      </c>
      <c r="E414" s="36" t="str">
        <f t="shared" si="63"/>
        <v/>
      </c>
      <c r="F414" s="36" t="str">
        <f t="shared" si="64"/>
        <v/>
      </c>
      <c r="G414" s="30"/>
      <c r="H414" s="33"/>
      <c r="I414" s="31"/>
      <c r="J414" s="31"/>
      <c r="K414" s="13" t="str">
        <f t="shared" si="65"/>
        <v/>
      </c>
      <c r="L414" s="49"/>
      <c r="M414" s="49"/>
      <c r="N414" s="30"/>
      <c r="O414" s="30"/>
      <c r="P414" s="30"/>
      <c r="Q414" s="30"/>
      <c r="R414" s="11" t="str">
        <f t="shared" si="66"/>
        <v/>
      </c>
      <c r="S414" s="55" t="str">
        <f t="shared" si="67"/>
        <v/>
      </c>
      <c r="T414" s="37" t="str">
        <f t="shared" si="68"/>
        <v/>
      </c>
      <c r="U414" s="29" t="str">
        <f t="shared" si="69"/>
        <v/>
      </c>
      <c r="V414" s="33"/>
    </row>
    <row r="415" spans="1:22" x14ac:dyDescent="0.25">
      <c r="A415" s="30"/>
      <c r="B415" s="34" t="str">
        <f t="shared" si="60"/>
        <v/>
      </c>
      <c r="C415" s="34" t="str">
        <f t="shared" si="61"/>
        <v/>
      </c>
      <c r="D415" s="36" t="str">
        <f t="shared" si="62"/>
        <v/>
      </c>
      <c r="E415" s="36" t="str">
        <f t="shared" si="63"/>
        <v/>
      </c>
      <c r="F415" s="36" t="str">
        <f t="shared" si="64"/>
        <v/>
      </c>
      <c r="G415" s="30"/>
      <c r="H415" s="33"/>
      <c r="I415" s="31"/>
      <c r="J415" s="31"/>
      <c r="K415" s="13" t="str">
        <f t="shared" si="65"/>
        <v/>
      </c>
      <c r="L415" s="49"/>
      <c r="M415" s="49"/>
      <c r="N415" s="30"/>
      <c r="O415" s="30"/>
      <c r="P415" s="30"/>
      <c r="Q415" s="30"/>
      <c r="R415" s="11" t="str">
        <f t="shared" si="66"/>
        <v/>
      </c>
      <c r="S415" s="55" t="str">
        <f t="shared" si="67"/>
        <v/>
      </c>
      <c r="T415" s="37" t="str">
        <f t="shared" si="68"/>
        <v/>
      </c>
      <c r="U415" s="29" t="str">
        <f t="shared" si="69"/>
        <v/>
      </c>
      <c r="V415" s="33"/>
    </row>
    <row r="416" spans="1:22" x14ac:dyDescent="0.25">
      <c r="A416" s="30"/>
      <c r="B416" s="34" t="str">
        <f t="shared" si="60"/>
        <v/>
      </c>
      <c r="C416" s="34" t="str">
        <f t="shared" si="61"/>
        <v/>
      </c>
      <c r="D416" s="36" t="str">
        <f t="shared" si="62"/>
        <v/>
      </c>
      <c r="E416" s="36" t="str">
        <f t="shared" si="63"/>
        <v/>
      </c>
      <c r="F416" s="36" t="str">
        <f t="shared" si="64"/>
        <v/>
      </c>
      <c r="G416" s="30"/>
      <c r="H416" s="33"/>
      <c r="I416" s="31"/>
      <c r="J416" s="31"/>
      <c r="K416" s="13" t="str">
        <f t="shared" si="65"/>
        <v/>
      </c>
      <c r="L416" s="49"/>
      <c r="M416" s="49"/>
      <c r="N416" s="30"/>
      <c r="O416" s="30"/>
      <c r="P416" s="30"/>
      <c r="Q416" s="30"/>
      <c r="R416" s="11" t="str">
        <f t="shared" si="66"/>
        <v/>
      </c>
      <c r="S416" s="55" t="str">
        <f t="shared" si="67"/>
        <v/>
      </c>
      <c r="T416" s="37" t="str">
        <f t="shared" si="68"/>
        <v/>
      </c>
      <c r="U416" s="29" t="str">
        <f t="shared" si="69"/>
        <v/>
      </c>
      <c r="V416" s="33"/>
    </row>
    <row r="417" spans="1:22" x14ac:dyDescent="0.25">
      <c r="A417" s="30"/>
      <c r="B417" s="34" t="str">
        <f t="shared" si="60"/>
        <v/>
      </c>
      <c r="C417" s="34" t="str">
        <f t="shared" si="61"/>
        <v/>
      </c>
      <c r="D417" s="36" t="str">
        <f t="shared" si="62"/>
        <v/>
      </c>
      <c r="E417" s="36" t="str">
        <f t="shared" si="63"/>
        <v/>
      </c>
      <c r="F417" s="36" t="str">
        <f t="shared" si="64"/>
        <v/>
      </c>
      <c r="G417" s="30"/>
      <c r="H417" s="33"/>
      <c r="I417" s="31"/>
      <c r="J417" s="31"/>
      <c r="K417" s="13" t="str">
        <f t="shared" si="65"/>
        <v/>
      </c>
      <c r="L417" s="49"/>
      <c r="M417" s="49"/>
      <c r="N417" s="30"/>
      <c r="O417" s="30"/>
      <c r="P417" s="30"/>
      <c r="Q417" s="30"/>
      <c r="R417" s="11" t="str">
        <f t="shared" si="66"/>
        <v/>
      </c>
      <c r="S417" s="55" t="str">
        <f t="shared" si="67"/>
        <v/>
      </c>
      <c r="T417" s="37" t="str">
        <f t="shared" si="68"/>
        <v/>
      </c>
      <c r="U417" s="29" t="str">
        <f t="shared" si="69"/>
        <v/>
      </c>
      <c r="V417" s="33"/>
    </row>
    <row r="418" spans="1:22" x14ac:dyDescent="0.25">
      <c r="A418" s="30"/>
      <c r="B418" s="34" t="str">
        <f t="shared" si="60"/>
        <v/>
      </c>
      <c r="C418" s="34" t="str">
        <f t="shared" si="61"/>
        <v/>
      </c>
      <c r="D418" s="36" t="str">
        <f t="shared" si="62"/>
        <v/>
      </c>
      <c r="E418" s="36" t="str">
        <f t="shared" si="63"/>
        <v/>
      </c>
      <c r="F418" s="36" t="str">
        <f t="shared" si="64"/>
        <v/>
      </c>
      <c r="G418" s="30"/>
      <c r="H418" s="33"/>
      <c r="I418" s="31"/>
      <c r="J418" s="31"/>
      <c r="K418" s="13" t="str">
        <f t="shared" si="65"/>
        <v/>
      </c>
      <c r="L418" s="49"/>
      <c r="M418" s="49"/>
      <c r="N418" s="30"/>
      <c r="O418" s="30"/>
      <c r="P418" s="30"/>
      <c r="Q418" s="30"/>
      <c r="R418" s="11" t="str">
        <f t="shared" si="66"/>
        <v/>
      </c>
      <c r="S418" s="55" t="str">
        <f t="shared" si="67"/>
        <v/>
      </c>
      <c r="T418" s="37" t="str">
        <f t="shared" si="68"/>
        <v/>
      </c>
      <c r="U418" s="29" t="str">
        <f t="shared" si="69"/>
        <v/>
      </c>
      <c r="V418" s="33"/>
    </row>
    <row r="419" spans="1:22" x14ac:dyDescent="0.25">
      <c r="A419" s="30"/>
      <c r="B419" s="34" t="str">
        <f t="shared" si="60"/>
        <v/>
      </c>
      <c r="C419" s="34" t="str">
        <f t="shared" si="61"/>
        <v/>
      </c>
      <c r="D419" s="36" t="str">
        <f t="shared" si="62"/>
        <v/>
      </c>
      <c r="E419" s="36" t="str">
        <f t="shared" si="63"/>
        <v/>
      </c>
      <c r="F419" s="36" t="str">
        <f t="shared" si="64"/>
        <v/>
      </c>
      <c r="G419" s="30"/>
      <c r="H419" s="33"/>
      <c r="I419" s="31"/>
      <c r="J419" s="31"/>
      <c r="K419" s="13" t="str">
        <f t="shared" si="65"/>
        <v/>
      </c>
      <c r="L419" s="49"/>
      <c r="M419" s="49"/>
      <c r="N419" s="30"/>
      <c r="O419" s="30"/>
      <c r="P419" s="30"/>
      <c r="Q419" s="30"/>
      <c r="R419" s="11" t="str">
        <f t="shared" si="66"/>
        <v/>
      </c>
      <c r="S419" s="55" t="str">
        <f t="shared" si="67"/>
        <v/>
      </c>
      <c r="T419" s="37" t="str">
        <f t="shared" si="68"/>
        <v/>
      </c>
      <c r="U419" s="29" t="str">
        <f t="shared" si="69"/>
        <v/>
      </c>
      <c r="V419" s="33"/>
    </row>
    <row r="420" spans="1:22" x14ac:dyDescent="0.25">
      <c r="A420" s="30"/>
      <c r="B420" s="34" t="str">
        <f t="shared" si="60"/>
        <v/>
      </c>
      <c r="C420" s="34" t="str">
        <f t="shared" si="61"/>
        <v/>
      </c>
      <c r="D420" s="36" t="str">
        <f t="shared" si="62"/>
        <v/>
      </c>
      <c r="E420" s="36" t="str">
        <f t="shared" si="63"/>
        <v/>
      </c>
      <c r="F420" s="36" t="str">
        <f t="shared" si="64"/>
        <v/>
      </c>
      <c r="G420" s="30"/>
      <c r="H420" s="33"/>
      <c r="I420" s="31"/>
      <c r="J420" s="31"/>
      <c r="K420" s="13" t="str">
        <f t="shared" si="65"/>
        <v/>
      </c>
      <c r="L420" s="49"/>
      <c r="M420" s="49"/>
      <c r="N420" s="30"/>
      <c r="O420" s="30"/>
      <c r="P420" s="30"/>
      <c r="Q420" s="30"/>
      <c r="R420" s="11" t="str">
        <f t="shared" si="66"/>
        <v/>
      </c>
      <c r="S420" s="55" t="str">
        <f t="shared" si="67"/>
        <v/>
      </c>
      <c r="T420" s="37" t="str">
        <f t="shared" si="68"/>
        <v/>
      </c>
      <c r="U420" s="29" t="str">
        <f t="shared" si="69"/>
        <v/>
      </c>
      <c r="V420" s="33"/>
    </row>
    <row r="421" spans="1:22" x14ac:dyDescent="0.25">
      <c r="A421" s="30"/>
      <c r="B421" s="34" t="str">
        <f t="shared" si="60"/>
        <v/>
      </c>
      <c r="C421" s="34" t="str">
        <f t="shared" si="61"/>
        <v/>
      </c>
      <c r="D421" s="36" t="str">
        <f t="shared" si="62"/>
        <v/>
      </c>
      <c r="E421" s="36" t="str">
        <f t="shared" si="63"/>
        <v/>
      </c>
      <c r="F421" s="36" t="str">
        <f t="shared" si="64"/>
        <v/>
      </c>
      <c r="G421" s="30"/>
      <c r="H421" s="33"/>
      <c r="I421" s="31"/>
      <c r="J421" s="31"/>
      <c r="K421" s="13" t="str">
        <f t="shared" si="65"/>
        <v/>
      </c>
      <c r="L421" s="49"/>
      <c r="M421" s="49"/>
      <c r="N421" s="30"/>
      <c r="O421" s="30"/>
      <c r="P421" s="30"/>
      <c r="Q421" s="30"/>
      <c r="R421" s="11" t="str">
        <f t="shared" si="66"/>
        <v/>
      </c>
      <c r="S421" s="55" t="str">
        <f t="shared" si="67"/>
        <v/>
      </c>
      <c r="T421" s="37" t="str">
        <f t="shared" si="68"/>
        <v/>
      </c>
      <c r="U421" s="29" t="str">
        <f t="shared" si="69"/>
        <v/>
      </c>
      <c r="V421" s="33"/>
    </row>
    <row r="422" spans="1:22" x14ac:dyDescent="0.25">
      <c r="A422" s="30"/>
      <c r="B422" s="34" t="str">
        <f t="shared" si="60"/>
        <v/>
      </c>
      <c r="C422" s="34" t="str">
        <f t="shared" si="61"/>
        <v/>
      </c>
      <c r="D422" s="36" t="str">
        <f t="shared" si="62"/>
        <v/>
      </c>
      <c r="E422" s="36" t="str">
        <f t="shared" si="63"/>
        <v/>
      </c>
      <c r="F422" s="36" t="str">
        <f t="shared" si="64"/>
        <v/>
      </c>
      <c r="G422" s="30"/>
      <c r="H422" s="33"/>
      <c r="I422" s="31"/>
      <c r="J422" s="31"/>
      <c r="K422" s="13" t="str">
        <f t="shared" si="65"/>
        <v/>
      </c>
      <c r="L422" s="49"/>
      <c r="M422" s="49"/>
      <c r="N422" s="30"/>
      <c r="O422" s="30"/>
      <c r="P422" s="30"/>
      <c r="Q422" s="30"/>
      <c r="R422" s="11" t="str">
        <f t="shared" si="66"/>
        <v/>
      </c>
      <c r="S422" s="55" t="str">
        <f t="shared" si="67"/>
        <v/>
      </c>
      <c r="T422" s="37" t="str">
        <f t="shared" si="68"/>
        <v/>
      </c>
      <c r="U422" s="29" t="str">
        <f t="shared" si="69"/>
        <v/>
      </c>
      <c r="V422" s="33"/>
    </row>
    <row r="423" spans="1:22" x14ac:dyDescent="0.25">
      <c r="A423" s="30"/>
      <c r="B423" s="34" t="str">
        <f t="shared" si="60"/>
        <v/>
      </c>
      <c r="C423" s="34" t="str">
        <f t="shared" si="61"/>
        <v/>
      </c>
      <c r="D423" s="36" t="str">
        <f t="shared" si="62"/>
        <v/>
      </c>
      <c r="E423" s="36" t="str">
        <f t="shared" si="63"/>
        <v/>
      </c>
      <c r="F423" s="36" t="str">
        <f t="shared" si="64"/>
        <v/>
      </c>
      <c r="G423" s="30"/>
      <c r="H423" s="33"/>
      <c r="I423" s="31"/>
      <c r="J423" s="31"/>
      <c r="K423" s="13" t="str">
        <f t="shared" si="65"/>
        <v/>
      </c>
      <c r="L423" s="49"/>
      <c r="M423" s="49"/>
      <c r="N423" s="30"/>
      <c r="O423" s="30"/>
      <c r="P423" s="30"/>
      <c r="Q423" s="30"/>
      <c r="R423" s="11" t="str">
        <f t="shared" si="66"/>
        <v/>
      </c>
      <c r="S423" s="55" t="str">
        <f t="shared" si="67"/>
        <v/>
      </c>
      <c r="T423" s="37" t="str">
        <f t="shared" si="68"/>
        <v/>
      </c>
      <c r="U423" s="29" t="str">
        <f t="shared" si="69"/>
        <v/>
      </c>
      <c r="V423" s="33"/>
    </row>
    <row r="424" spans="1:22" x14ac:dyDescent="0.25">
      <c r="A424" s="30"/>
      <c r="B424" s="34" t="str">
        <f t="shared" si="60"/>
        <v/>
      </c>
      <c r="C424" s="34" t="str">
        <f t="shared" si="61"/>
        <v/>
      </c>
      <c r="D424" s="36" t="str">
        <f t="shared" si="62"/>
        <v/>
      </c>
      <c r="E424" s="36" t="str">
        <f t="shared" si="63"/>
        <v/>
      </c>
      <c r="F424" s="36" t="str">
        <f t="shared" si="64"/>
        <v/>
      </c>
      <c r="G424" s="30"/>
      <c r="H424" s="33"/>
      <c r="I424" s="31"/>
      <c r="J424" s="31"/>
      <c r="K424" s="13" t="str">
        <f t="shared" si="65"/>
        <v/>
      </c>
      <c r="L424" s="49"/>
      <c r="M424" s="49"/>
      <c r="N424" s="30"/>
      <c r="O424" s="30"/>
      <c r="P424" s="30"/>
      <c r="Q424" s="30"/>
      <c r="R424" s="11" t="str">
        <f t="shared" si="66"/>
        <v/>
      </c>
      <c r="S424" s="55" t="str">
        <f t="shared" si="67"/>
        <v/>
      </c>
      <c r="T424" s="37" t="str">
        <f t="shared" si="68"/>
        <v/>
      </c>
      <c r="U424" s="29" t="str">
        <f t="shared" si="69"/>
        <v/>
      </c>
      <c r="V424" s="33"/>
    </row>
    <row r="425" spans="1:22" x14ac:dyDescent="0.25">
      <c r="A425" s="30"/>
      <c r="B425" s="34" t="str">
        <f t="shared" si="60"/>
        <v/>
      </c>
      <c r="C425" s="34" t="str">
        <f t="shared" si="61"/>
        <v/>
      </c>
      <c r="D425" s="36" t="str">
        <f t="shared" si="62"/>
        <v/>
      </c>
      <c r="E425" s="36" t="str">
        <f t="shared" si="63"/>
        <v/>
      </c>
      <c r="F425" s="36" t="str">
        <f t="shared" si="64"/>
        <v/>
      </c>
      <c r="G425" s="30"/>
      <c r="H425" s="33"/>
      <c r="I425" s="31"/>
      <c r="J425" s="31"/>
      <c r="K425" s="13" t="str">
        <f t="shared" si="65"/>
        <v/>
      </c>
      <c r="L425" s="49"/>
      <c r="M425" s="49"/>
      <c r="N425" s="30"/>
      <c r="O425" s="30"/>
      <c r="P425" s="30"/>
      <c r="Q425" s="30"/>
      <c r="R425" s="11" t="str">
        <f t="shared" si="66"/>
        <v/>
      </c>
      <c r="S425" s="55" t="str">
        <f t="shared" si="67"/>
        <v/>
      </c>
      <c r="T425" s="37" t="str">
        <f t="shared" si="68"/>
        <v/>
      </c>
      <c r="U425" s="29" t="str">
        <f t="shared" si="69"/>
        <v/>
      </c>
      <c r="V425" s="33"/>
    </row>
    <row r="426" spans="1:22" x14ac:dyDescent="0.25">
      <c r="A426" s="30"/>
      <c r="B426" s="34" t="str">
        <f t="shared" si="60"/>
        <v/>
      </c>
      <c r="C426" s="34" t="str">
        <f t="shared" si="61"/>
        <v/>
      </c>
      <c r="D426" s="36" t="str">
        <f t="shared" si="62"/>
        <v/>
      </c>
      <c r="E426" s="36" t="str">
        <f t="shared" si="63"/>
        <v/>
      </c>
      <c r="F426" s="36" t="str">
        <f t="shared" si="64"/>
        <v/>
      </c>
      <c r="G426" s="30"/>
      <c r="H426" s="33"/>
      <c r="I426" s="31"/>
      <c r="J426" s="31"/>
      <c r="K426" s="13" t="str">
        <f t="shared" si="65"/>
        <v/>
      </c>
      <c r="L426" s="49"/>
      <c r="M426" s="49"/>
      <c r="N426" s="30"/>
      <c r="O426" s="30"/>
      <c r="P426" s="30"/>
      <c r="Q426" s="30"/>
      <c r="R426" s="11" t="str">
        <f t="shared" si="66"/>
        <v/>
      </c>
      <c r="S426" s="55" t="str">
        <f t="shared" si="67"/>
        <v/>
      </c>
      <c r="T426" s="37" t="str">
        <f t="shared" si="68"/>
        <v/>
      </c>
      <c r="U426" s="29" t="str">
        <f t="shared" si="69"/>
        <v/>
      </c>
      <c r="V426" s="33"/>
    </row>
    <row r="427" spans="1:22" x14ac:dyDescent="0.25">
      <c r="A427" s="30"/>
      <c r="B427" s="34" t="str">
        <f t="shared" si="60"/>
        <v/>
      </c>
      <c r="C427" s="34" t="str">
        <f t="shared" si="61"/>
        <v/>
      </c>
      <c r="D427" s="36" t="str">
        <f t="shared" si="62"/>
        <v/>
      </c>
      <c r="E427" s="36" t="str">
        <f t="shared" si="63"/>
        <v/>
      </c>
      <c r="F427" s="36" t="str">
        <f t="shared" si="64"/>
        <v/>
      </c>
      <c r="G427" s="30"/>
      <c r="H427" s="33"/>
      <c r="I427" s="31"/>
      <c r="J427" s="31"/>
      <c r="K427" s="13" t="str">
        <f t="shared" si="65"/>
        <v/>
      </c>
      <c r="L427" s="49"/>
      <c r="M427" s="49"/>
      <c r="N427" s="30"/>
      <c r="O427" s="30"/>
      <c r="P427" s="30"/>
      <c r="Q427" s="30"/>
      <c r="R427" s="11" t="str">
        <f t="shared" si="66"/>
        <v/>
      </c>
      <c r="S427" s="55" t="str">
        <f t="shared" si="67"/>
        <v/>
      </c>
      <c r="T427" s="37" t="str">
        <f t="shared" si="68"/>
        <v/>
      </c>
      <c r="U427" s="29" t="str">
        <f t="shared" si="69"/>
        <v/>
      </c>
      <c r="V427" s="33"/>
    </row>
    <row r="428" spans="1:22" x14ac:dyDescent="0.25">
      <c r="A428" s="30"/>
      <c r="B428" s="34" t="str">
        <f t="shared" si="60"/>
        <v/>
      </c>
      <c r="C428" s="34" t="str">
        <f t="shared" si="61"/>
        <v/>
      </c>
      <c r="D428" s="36" t="str">
        <f t="shared" si="62"/>
        <v/>
      </c>
      <c r="E428" s="36" t="str">
        <f t="shared" si="63"/>
        <v/>
      </c>
      <c r="F428" s="36" t="str">
        <f t="shared" si="64"/>
        <v/>
      </c>
      <c r="G428" s="30"/>
      <c r="H428" s="33"/>
      <c r="I428" s="31"/>
      <c r="J428" s="31"/>
      <c r="K428" s="13" t="str">
        <f t="shared" si="65"/>
        <v/>
      </c>
      <c r="L428" s="49"/>
      <c r="M428" s="49"/>
      <c r="N428" s="30"/>
      <c r="O428" s="30"/>
      <c r="P428" s="30"/>
      <c r="Q428" s="30"/>
      <c r="R428" s="11" t="str">
        <f t="shared" si="66"/>
        <v/>
      </c>
      <c r="S428" s="55" t="str">
        <f t="shared" si="67"/>
        <v/>
      </c>
      <c r="T428" s="37" t="str">
        <f t="shared" si="68"/>
        <v/>
      </c>
      <c r="U428" s="29" t="str">
        <f t="shared" si="69"/>
        <v/>
      </c>
      <c r="V428" s="33"/>
    </row>
    <row r="429" spans="1:22" x14ac:dyDescent="0.25">
      <c r="A429" s="30"/>
      <c r="B429" s="34" t="str">
        <f t="shared" si="60"/>
        <v/>
      </c>
      <c r="C429" s="34" t="str">
        <f t="shared" si="61"/>
        <v/>
      </c>
      <c r="D429" s="36" t="str">
        <f t="shared" si="62"/>
        <v/>
      </c>
      <c r="E429" s="36" t="str">
        <f t="shared" si="63"/>
        <v/>
      </c>
      <c r="F429" s="36" t="str">
        <f t="shared" si="64"/>
        <v/>
      </c>
      <c r="G429" s="30"/>
      <c r="H429" s="33"/>
      <c r="I429" s="31"/>
      <c r="J429" s="31"/>
      <c r="K429" s="13" t="str">
        <f t="shared" si="65"/>
        <v/>
      </c>
      <c r="L429" s="49"/>
      <c r="M429" s="49"/>
      <c r="N429" s="30"/>
      <c r="O429" s="30"/>
      <c r="P429" s="30"/>
      <c r="Q429" s="30"/>
      <c r="R429" s="11" t="str">
        <f t="shared" si="66"/>
        <v/>
      </c>
      <c r="S429" s="55" t="str">
        <f t="shared" si="67"/>
        <v/>
      </c>
      <c r="T429" s="37" t="str">
        <f t="shared" si="68"/>
        <v/>
      </c>
      <c r="U429" s="29" t="str">
        <f t="shared" si="69"/>
        <v/>
      </c>
      <c r="V429" s="33"/>
    </row>
    <row r="430" spans="1:22" x14ac:dyDescent="0.25">
      <c r="A430" s="30"/>
      <c r="B430" s="34" t="str">
        <f t="shared" si="60"/>
        <v/>
      </c>
      <c r="C430" s="34" t="str">
        <f t="shared" si="61"/>
        <v/>
      </c>
      <c r="D430" s="36" t="str">
        <f t="shared" si="62"/>
        <v/>
      </c>
      <c r="E430" s="36" t="str">
        <f t="shared" si="63"/>
        <v/>
      </c>
      <c r="F430" s="36" t="str">
        <f t="shared" si="64"/>
        <v/>
      </c>
      <c r="G430" s="30"/>
      <c r="H430" s="33"/>
      <c r="I430" s="31"/>
      <c r="J430" s="31"/>
      <c r="K430" s="13" t="str">
        <f t="shared" si="65"/>
        <v/>
      </c>
      <c r="L430" s="49"/>
      <c r="M430" s="49"/>
      <c r="N430" s="30"/>
      <c r="O430" s="30"/>
      <c r="P430" s="30"/>
      <c r="Q430" s="30"/>
      <c r="R430" s="11" t="str">
        <f t="shared" si="66"/>
        <v/>
      </c>
      <c r="S430" s="55" t="str">
        <f t="shared" si="67"/>
        <v/>
      </c>
      <c r="T430" s="37" t="str">
        <f t="shared" si="68"/>
        <v/>
      </c>
      <c r="U430" s="29" t="str">
        <f t="shared" si="69"/>
        <v/>
      </c>
      <c r="V430" s="33"/>
    </row>
    <row r="431" spans="1:22" x14ac:dyDescent="0.25">
      <c r="A431" s="30"/>
      <c r="B431" s="34" t="str">
        <f t="shared" si="60"/>
        <v/>
      </c>
      <c r="C431" s="34" t="str">
        <f t="shared" si="61"/>
        <v/>
      </c>
      <c r="D431" s="36" t="str">
        <f t="shared" si="62"/>
        <v/>
      </c>
      <c r="E431" s="36" t="str">
        <f t="shared" si="63"/>
        <v/>
      </c>
      <c r="F431" s="36" t="str">
        <f t="shared" si="64"/>
        <v/>
      </c>
      <c r="G431" s="30"/>
      <c r="H431" s="33"/>
      <c r="I431" s="31"/>
      <c r="J431" s="31"/>
      <c r="K431" s="13" t="str">
        <f t="shared" si="65"/>
        <v/>
      </c>
      <c r="L431" s="49"/>
      <c r="M431" s="49"/>
      <c r="N431" s="30"/>
      <c r="O431" s="30"/>
      <c r="P431" s="30"/>
      <c r="Q431" s="30"/>
      <c r="R431" s="11" t="str">
        <f t="shared" si="66"/>
        <v/>
      </c>
      <c r="S431" s="55" t="str">
        <f t="shared" si="67"/>
        <v/>
      </c>
      <c r="T431" s="37" t="str">
        <f t="shared" si="68"/>
        <v/>
      </c>
      <c r="U431" s="29" t="str">
        <f t="shared" si="69"/>
        <v/>
      </c>
      <c r="V431" s="33"/>
    </row>
    <row r="432" spans="1:22" x14ac:dyDescent="0.25">
      <c r="A432" s="30"/>
      <c r="B432" s="34" t="str">
        <f t="shared" si="60"/>
        <v/>
      </c>
      <c r="C432" s="34" t="str">
        <f t="shared" si="61"/>
        <v/>
      </c>
      <c r="D432" s="36" t="str">
        <f t="shared" si="62"/>
        <v/>
      </c>
      <c r="E432" s="36" t="str">
        <f t="shared" si="63"/>
        <v/>
      </c>
      <c r="F432" s="36" t="str">
        <f t="shared" si="64"/>
        <v/>
      </c>
      <c r="G432" s="30"/>
      <c r="H432" s="33"/>
      <c r="I432" s="31"/>
      <c r="J432" s="31"/>
      <c r="K432" s="13" t="str">
        <f t="shared" si="65"/>
        <v/>
      </c>
      <c r="L432" s="49"/>
      <c r="M432" s="49"/>
      <c r="N432" s="30"/>
      <c r="O432" s="30"/>
      <c r="P432" s="30"/>
      <c r="Q432" s="30"/>
      <c r="R432" s="11" t="str">
        <f t="shared" si="66"/>
        <v/>
      </c>
      <c r="S432" s="55" t="str">
        <f t="shared" si="67"/>
        <v/>
      </c>
      <c r="T432" s="37" t="str">
        <f t="shared" si="68"/>
        <v/>
      </c>
      <c r="U432" s="29" t="str">
        <f t="shared" si="69"/>
        <v/>
      </c>
      <c r="V432" s="33"/>
    </row>
    <row r="433" spans="1:22" x14ac:dyDescent="0.25">
      <c r="A433" s="30"/>
      <c r="B433" s="34" t="str">
        <f t="shared" si="60"/>
        <v/>
      </c>
      <c r="C433" s="34" t="str">
        <f t="shared" si="61"/>
        <v/>
      </c>
      <c r="D433" s="36" t="str">
        <f t="shared" si="62"/>
        <v/>
      </c>
      <c r="E433" s="36" t="str">
        <f t="shared" si="63"/>
        <v/>
      </c>
      <c r="F433" s="36" t="str">
        <f t="shared" si="64"/>
        <v/>
      </c>
      <c r="G433" s="30"/>
      <c r="H433" s="33"/>
      <c r="I433" s="31"/>
      <c r="J433" s="31"/>
      <c r="K433" s="13" t="str">
        <f t="shared" si="65"/>
        <v/>
      </c>
      <c r="L433" s="49"/>
      <c r="M433" s="49"/>
      <c r="N433" s="30"/>
      <c r="O433" s="30"/>
      <c r="P433" s="30"/>
      <c r="Q433" s="30"/>
      <c r="R433" s="11" t="str">
        <f t="shared" si="66"/>
        <v/>
      </c>
      <c r="S433" s="55" t="str">
        <f t="shared" si="67"/>
        <v/>
      </c>
      <c r="T433" s="37" t="str">
        <f t="shared" si="68"/>
        <v/>
      </c>
      <c r="U433" s="29" t="str">
        <f t="shared" si="69"/>
        <v/>
      </c>
      <c r="V433" s="33"/>
    </row>
    <row r="434" spans="1:22" x14ac:dyDescent="0.25">
      <c r="A434" s="30"/>
      <c r="B434" s="34" t="str">
        <f t="shared" si="60"/>
        <v/>
      </c>
      <c r="C434" s="34" t="str">
        <f t="shared" si="61"/>
        <v/>
      </c>
      <c r="D434" s="36" t="str">
        <f t="shared" si="62"/>
        <v/>
      </c>
      <c r="E434" s="36" t="str">
        <f t="shared" si="63"/>
        <v/>
      </c>
      <c r="F434" s="36" t="str">
        <f t="shared" si="64"/>
        <v/>
      </c>
      <c r="G434" s="30"/>
      <c r="H434" s="33"/>
      <c r="I434" s="31"/>
      <c r="J434" s="31"/>
      <c r="K434" s="13" t="str">
        <f t="shared" si="65"/>
        <v/>
      </c>
      <c r="L434" s="49"/>
      <c r="M434" s="49"/>
      <c r="N434" s="30"/>
      <c r="O434" s="30"/>
      <c r="P434" s="30"/>
      <c r="Q434" s="30"/>
      <c r="R434" s="11" t="str">
        <f t="shared" si="66"/>
        <v/>
      </c>
      <c r="S434" s="55" t="str">
        <f t="shared" si="67"/>
        <v/>
      </c>
      <c r="T434" s="37" t="str">
        <f t="shared" si="68"/>
        <v/>
      </c>
      <c r="U434" s="29" t="str">
        <f t="shared" si="69"/>
        <v/>
      </c>
      <c r="V434" s="33"/>
    </row>
    <row r="435" spans="1:22" x14ac:dyDescent="0.25">
      <c r="A435" s="30"/>
      <c r="B435" s="34" t="str">
        <f t="shared" si="60"/>
        <v/>
      </c>
      <c r="C435" s="34" t="str">
        <f t="shared" si="61"/>
        <v/>
      </c>
      <c r="D435" s="36" t="str">
        <f t="shared" si="62"/>
        <v/>
      </c>
      <c r="E435" s="36" t="str">
        <f t="shared" si="63"/>
        <v/>
      </c>
      <c r="F435" s="36" t="str">
        <f t="shared" si="64"/>
        <v/>
      </c>
      <c r="G435" s="30"/>
      <c r="H435" s="33"/>
      <c r="I435" s="31"/>
      <c r="J435" s="31"/>
      <c r="K435" s="13" t="str">
        <f t="shared" si="65"/>
        <v/>
      </c>
      <c r="L435" s="49"/>
      <c r="M435" s="49"/>
      <c r="N435" s="30"/>
      <c r="O435" s="30"/>
      <c r="P435" s="30"/>
      <c r="Q435" s="30"/>
      <c r="R435" s="11" t="str">
        <f t="shared" si="66"/>
        <v/>
      </c>
      <c r="S435" s="55" t="str">
        <f t="shared" si="67"/>
        <v/>
      </c>
      <c r="T435" s="37" t="str">
        <f t="shared" si="68"/>
        <v/>
      </c>
      <c r="U435" s="29" t="str">
        <f t="shared" si="69"/>
        <v/>
      </c>
      <c r="V435" s="33"/>
    </row>
    <row r="436" spans="1:22" x14ac:dyDescent="0.25">
      <c r="A436" s="30"/>
      <c r="B436" s="34" t="str">
        <f t="shared" si="60"/>
        <v/>
      </c>
      <c r="C436" s="34" t="str">
        <f t="shared" si="61"/>
        <v/>
      </c>
      <c r="D436" s="36" t="str">
        <f t="shared" si="62"/>
        <v/>
      </c>
      <c r="E436" s="36" t="str">
        <f t="shared" si="63"/>
        <v/>
      </c>
      <c r="F436" s="36" t="str">
        <f t="shared" si="64"/>
        <v/>
      </c>
      <c r="G436" s="30"/>
      <c r="H436" s="33"/>
      <c r="I436" s="31"/>
      <c r="J436" s="31"/>
      <c r="K436" s="13" t="str">
        <f t="shared" si="65"/>
        <v/>
      </c>
      <c r="L436" s="49"/>
      <c r="M436" s="49"/>
      <c r="N436" s="30"/>
      <c r="O436" s="30"/>
      <c r="P436" s="30"/>
      <c r="Q436" s="30"/>
      <c r="R436" s="11" t="str">
        <f t="shared" si="66"/>
        <v/>
      </c>
      <c r="S436" s="55" t="str">
        <f t="shared" si="67"/>
        <v/>
      </c>
      <c r="T436" s="37" t="str">
        <f t="shared" si="68"/>
        <v/>
      </c>
      <c r="U436" s="29" t="str">
        <f t="shared" si="69"/>
        <v/>
      </c>
      <c r="V436" s="33"/>
    </row>
    <row r="437" spans="1:22" x14ac:dyDescent="0.25">
      <c r="A437" s="30"/>
      <c r="B437" s="34" t="str">
        <f t="shared" si="60"/>
        <v/>
      </c>
      <c r="C437" s="34" t="str">
        <f t="shared" si="61"/>
        <v/>
      </c>
      <c r="D437" s="36" t="str">
        <f t="shared" si="62"/>
        <v/>
      </c>
      <c r="E437" s="36" t="str">
        <f t="shared" si="63"/>
        <v/>
      </c>
      <c r="F437" s="36" t="str">
        <f t="shared" si="64"/>
        <v/>
      </c>
      <c r="G437" s="30"/>
      <c r="H437" s="33"/>
      <c r="I437" s="31"/>
      <c r="J437" s="31"/>
      <c r="K437" s="13" t="str">
        <f t="shared" si="65"/>
        <v/>
      </c>
      <c r="L437" s="49"/>
      <c r="M437" s="49"/>
      <c r="N437" s="30"/>
      <c r="O437" s="30"/>
      <c r="P437" s="30"/>
      <c r="Q437" s="30"/>
      <c r="R437" s="11" t="str">
        <f t="shared" si="66"/>
        <v/>
      </c>
      <c r="S437" s="55" t="str">
        <f t="shared" si="67"/>
        <v/>
      </c>
      <c r="T437" s="37" t="str">
        <f t="shared" si="68"/>
        <v/>
      </c>
      <c r="U437" s="29" t="str">
        <f t="shared" si="69"/>
        <v/>
      </c>
      <c r="V437" s="33"/>
    </row>
    <row r="438" spans="1:22" x14ac:dyDescent="0.25">
      <c r="A438" s="30"/>
      <c r="B438" s="34" t="str">
        <f t="shared" si="60"/>
        <v/>
      </c>
      <c r="C438" s="34" t="str">
        <f t="shared" si="61"/>
        <v/>
      </c>
      <c r="D438" s="36" t="str">
        <f t="shared" si="62"/>
        <v/>
      </c>
      <c r="E438" s="36" t="str">
        <f t="shared" si="63"/>
        <v/>
      </c>
      <c r="F438" s="36" t="str">
        <f t="shared" si="64"/>
        <v/>
      </c>
      <c r="G438" s="30"/>
      <c r="H438" s="33"/>
      <c r="I438" s="31"/>
      <c r="J438" s="31"/>
      <c r="K438" s="13" t="str">
        <f t="shared" si="65"/>
        <v/>
      </c>
      <c r="L438" s="49"/>
      <c r="M438" s="49"/>
      <c r="N438" s="30"/>
      <c r="O438" s="30"/>
      <c r="P438" s="30"/>
      <c r="Q438" s="30"/>
      <c r="R438" s="11" t="str">
        <f t="shared" si="66"/>
        <v/>
      </c>
      <c r="S438" s="55" t="str">
        <f t="shared" si="67"/>
        <v/>
      </c>
      <c r="T438" s="37" t="str">
        <f t="shared" si="68"/>
        <v/>
      </c>
      <c r="U438" s="29" t="str">
        <f t="shared" si="69"/>
        <v/>
      </c>
      <c r="V438" s="33"/>
    </row>
    <row r="439" spans="1:22" x14ac:dyDescent="0.25">
      <c r="A439" s="30"/>
      <c r="B439" s="34" t="str">
        <f t="shared" si="60"/>
        <v/>
      </c>
      <c r="C439" s="34" t="str">
        <f t="shared" si="61"/>
        <v/>
      </c>
      <c r="D439" s="36" t="str">
        <f t="shared" si="62"/>
        <v/>
      </c>
      <c r="E439" s="36" t="str">
        <f t="shared" si="63"/>
        <v/>
      </c>
      <c r="F439" s="36" t="str">
        <f t="shared" si="64"/>
        <v/>
      </c>
      <c r="G439" s="30"/>
      <c r="H439" s="33"/>
      <c r="I439" s="31"/>
      <c r="J439" s="31"/>
      <c r="K439" s="13" t="str">
        <f t="shared" si="65"/>
        <v/>
      </c>
      <c r="L439" s="49"/>
      <c r="M439" s="49"/>
      <c r="N439" s="30"/>
      <c r="O439" s="30"/>
      <c r="P439" s="30"/>
      <c r="Q439" s="30"/>
      <c r="R439" s="11" t="str">
        <f t="shared" si="66"/>
        <v/>
      </c>
      <c r="S439" s="55" t="str">
        <f t="shared" si="67"/>
        <v/>
      </c>
      <c r="T439" s="37" t="str">
        <f t="shared" si="68"/>
        <v/>
      </c>
      <c r="U439" s="29" t="str">
        <f t="shared" si="69"/>
        <v/>
      </c>
      <c r="V439" s="33"/>
    </row>
    <row r="440" spans="1:22" x14ac:dyDescent="0.25">
      <c r="A440" s="30"/>
      <c r="B440" s="34" t="str">
        <f t="shared" si="60"/>
        <v/>
      </c>
      <c r="C440" s="34" t="str">
        <f t="shared" si="61"/>
        <v/>
      </c>
      <c r="D440" s="36" t="str">
        <f t="shared" si="62"/>
        <v/>
      </c>
      <c r="E440" s="36" t="str">
        <f t="shared" si="63"/>
        <v/>
      </c>
      <c r="F440" s="36" t="str">
        <f t="shared" si="64"/>
        <v/>
      </c>
      <c r="G440" s="30"/>
      <c r="H440" s="33"/>
      <c r="I440" s="31"/>
      <c r="J440" s="31"/>
      <c r="K440" s="13" t="str">
        <f t="shared" si="65"/>
        <v/>
      </c>
      <c r="L440" s="49"/>
      <c r="M440" s="49"/>
      <c r="N440" s="30"/>
      <c r="O440" s="30"/>
      <c r="P440" s="30"/>
      <c r="Q440" s="30"/>
      <c r="R440" s="11" t="str">
        <f t="shared" si="66"/>
        <v/>
      </c>
      <c r="S440" s="55" t="str">
        <f t="shared" si="67"/>
        <v/>
      </c>
      <c r="T440" s="37" t="str">
        <f t="shared" si="68"/>
        <v/>
      </c>
      <c r="U440" s="29" t="str">
        <f t="shared" si="69"/>
        <v/>
      </c>
      <c r="V440" s="33"/>
    </row>
    <row r="441" spans="1:22" x14ac:dyDescent="0.25">
      <c r="A441" s="30"/>
      <c r="B441" s="34" t="str">
        <f t="shared" si="60"/>
        <v/>
      </c>
      <c r="C441" s="34" t="str">
        <f t="shared" si="61"/>
        <v/>
      </c>
      <c r="D441" s="36" t="str">
        <f t="shared" si="62"/>
        <v/>
      </c>
      <c r="E441" s="36" t="str">
        <f t="shared" si="63"/>
        <v/>
      </c>
      <c r="F441" s="36" t="str">
        <f t="shared" si="64"/>
        <v/>
      </c>
      <c r="G441" s="30"/>
      <c r="H441" s="33"/>
      <c r="I441" s="31"/>
      <c r="J441" s="31"/>
      <c r="K441" s="13" t="str">
        <f t="shared" si="65"/>
        <v/>
      </c>
      <c r="L441" s="49"/>
      <c r="M441" s="49"/>
      <c r="N441" s="30"/>
      <c r="O441" s="30"/>
      <c r="P441" s="30"/>
      <c r="Q441" s="30"/>
      <c r="R441" s="11" t="str">
        <f t="shared" si="66"/>
        <v/>
      </c>
      <c r="S441" s="55" t="str">
        <f t="shared" si="67"/>
        <v/>
      </c>
      <c r="T441" s="37" t="str">
        <f t="shared" si="68"/>
        <v/>
      </c>
      <c r="U441" s="29" t="str">
        <f t="shared" si="69"/>
        <v/>
      </c>
      <c r="V441" s="33"/>
    </row>
    <row r="442" spans="1:22" x14ac:dyDescent="0.25">
      <c r="A442" s="30"/>
      <c r="B442" s="34" t="str">
        <f t="shared" si="60"/>
        <v/>
      </c>
      <c r="C442" s="34" t="str">
        <f t="shared" si="61"/>
        <v/>
      </c>
      <c r="D442" s="36" t="str">
        <f t="shared" si="62"/>
        <v/>
      </c>
      <c r="E442" s="36" t="str">
        <f t="shared" si="63"/>
        <v/>
      </c>
      <c r="F442" s="36" t="str">
        <f t="shared" si="64"/>
        <v/>
      </c>
      <c r="G442" s="30"/>
      <c r="H442" s="33"/>
      <c r="I442" s="31"/>
      <c r="J442" s="31"/>
      <c r="K442" s="13" t="str">
        <f t="shared" si="65"/>
        <v/>
      </c>
      <c r="L442" s="49"/>
      <c r="M442" s="49"/>
      <c r="N442" s="30"/>
      <c r="O442" s="30"/>
      <c r="P442" s="30"/>
      <c r="Q442" s="30"/>
      <c r="R442" s="11" t="str">
        <f t="shared" si="66"/>
        <v/>
      </c>
      <c r="S442" s="55" t="str">
        <f t="shared" si="67"/>
        <v/>
      </c>
      <c r="T442" s="37" t="str">
        <f t="shared" si="68"/>
        <v/>
      </c>
      <c r="U442" s="29" t="str">
        <f t="shared" si="69"/>
        <v/>
      </c>
      <c r="V442" s="33"/>
    </row>
    <row r="443" spans="1:22" x14ac:dyDescent="0.25">
      <c r="A443" s="30"/>
      <c r="B443" s="34" t="str">
        <f t="shared" si="60"/>
        <v/>
      </c>
      <c r="C443" s="34" t="str">
        <f t="shared" si="61"/>
        <v/>
      </c>
      <c r="D443" s="36" t="str">
        <f t="shared" si="62"/>
        <v/>
      </c>
      <c r="E443" s="36" t="str">
        <f t="shared" si="63"/>
        <v/>
      </c>
      <c r="F443" s="36" t="str">
        <f t="shared" si="64"/>
        <v/>
      </c>
      <c r="G443" s="30"/>
      <c r="H443" s="33"/>
      <c r="I443" s="31"/>
      <c r="J443" s="31"/>
      <c r="K443" s="13" t="str">
        <f t="shared" si="65"/>
        <v/>
      </c>
      <c r="L443" s="49"/>
      <c r="M443" s="49"/>
      <c r="N443" s="30"/>
      <c r="O443" s="30"/>
      <c r="P443" s="30"/>
      <c r="Q443" s="30"/>
      <c r="R443" s="11" t="str">
        <f t="shared" si="66"/>
        <v/>
      </c>
      <c r="S443" s="55" t="str">
        <f t="shared" si="67"/>
        <v/>
      </c>
      <c r="T443" s="37" t="str">
        <f t="shared" si="68"/>
        <v/>
      </c>
      <c r="U443" s="29" t="str">
        <f t="shared" si="69"/>
        <v/>
      </c>
      <c r="V443" s="33"/>
    </row>
    <row r="444" spans="1:22" x14ac:dyDescent="0.25">
      <c r="A444" s="30"/>
      <c r="B444" s="34" t="str">
        <f t="shared" si="60"/>
        <v/>
      </c>
      <c r="C444" s="34" t="str">
        <f t="shared" si="61"/>
        <v/>
      </c>
      <c r="D444" s="36" t="str">
        <f t="shared" si="62"/>
        <v/>
      </c>
      <c r="E444" s="36" t="str">
        <f t="shared" si="63"/>
        <v/>
      </c>
      <c r="F444" s="36" t="str">
        <f t="shared" si="64"/>
        <v/>
      </c>
      <c r="G444" s="30"/>
      <c r="H444" s="33"/>
      <c r="I444" s="31"/>
      <c r="J444" s="31"/>
      <c r="K444" s="13" t="str">
        <f t="shared" si="65"/>
        <v/>
      </c>
      <c r="L444" s="49"/>
      <c r="M444" s="49"/>
      <c r="N444" s="30"/>
      <c r="O444" s="30"/>
      <c r="P444" s="30"/>
      <c r="Q444" s="30"/>
      <c r="R444" s="11" t="str">
        <f t="shared" si="66"/>
        <v/>
      </c>
      <c r="S444" s="55" t="str">
        <f t="shared" si="67"/>
        <v/>
      </c>
      <c r="T444" s="37" t="str">
        <f t="shared" si="68"/>
        <v/>
      </c>
      <c r="U444" s="29" t="str">
        <f t="shared" si="69"/>
        <v/>
      </c>
      <c r="V444" s="33"/>
    </row>
    <row r="445" spans="1:22" x14ac:dyDescent="0.25">
      <c r="A445" s="30"/>
      <c r="B445" s="34" t="str">
        <f t="shared" si="60"/>
        <v/>
      </c>
      <c r="C445" s="34" t="str">
        <f t="shared" si="61"/>
        <v/>
      </c>
      <c r="D445" s="36" t="str">
        <f t="shared" si="62"/>
        <v/>
      </c>
      <c r="E445" s="36" t="str">
        <f t="shared" si="63"/>
        <v/>
      </c>
      <c r="F445" s="36" t="str">
        <f t="shared" si="64"/>
        <v/>
      </c>
      <c r="G445" s="30"/>
      <c r="H445" s="33"/>
      <c r="I445" s="31"/>
      <c r="J445" s="31"/>
      <c r="K445" s="13" t="str">
        <f t="shared" si="65"/>
        <v/>
      </c>
      <c r="L445" s="49"/>
      <c r="M445" s="49"/>
      <c r="N445" s="30"/>
      <c r="O445" s="30"/>
      <c r="P445" s="30"/>
      <c r="Q445" s="30"/>
      <c r="R445" s="11" t="str">
        <f t="shared" si="66"/>
        <v/>
      </c>
      <c r="S445" s="55" t="str">
        <f t="shared" si="67"/>
        <v/>
      </c>
      <c r="T445" s="37" t="str">
        <f t="shared" si="68"/>
        <v/>
      </c>
      <c r="U445" s="29" t="str">
        <f t="shared" si="69"/>
        <v/>
      </c>
      <c r="V445" s="33"/>
    </row>
    <row r="446" spans="1:22" x14ac:dyDescent="0.25">
      <c r="A446" s="30"/>
      <c r="B446" s="34" t="str">
        <f t="shared" si="60"/>
        <v/>
      </c>
      <c r="C446" s="34" t="str">
        <f t="shared" si="61"/>
        <v/>
      </c>
      <c r="D446" s="36" t="str">
        <f t="shared" si="62"/>
        <v/>
      </c>
      <c r="E446" s="36" t="str">
        <f t="shared" si="63"/>
        <v/>
      </c>
      <c r="F446" s="36" t="str">
        <f t="shared" si="64"/>
        <v/>
      </c>
      <c r="G446" s="30"/>
      <c r="H446" s="33"/>
      <c r="I446" s="31"/>
      <c r="J446" s="31"/>
      <c r="K446" s="13" t="str">
        <f t="shared" si="65"/>
        <v/>
      </c>
      <c r="L446" s="49"/>
      <c r="M446" s="49"/>
      <c r="N446" s="30"/>
      <c r="O446" s="30"/>
      <c r="P446" s="30"/>
      <c r="Q446" s="30"/>
      <c r="R446" s="11" t="str">
        <f t="shared" si="66"/>
        <v/>
      </c>
      <c r="S446" s="55" t="str">
        <f t="shared" si="67"/>
        <v/>
      </c>
      <c r="T446" s="37" t="str">
        <f t="shared" si="68"/>
        <v/>
      </c>
      <c r="U446" s="29" t="str">
        <f t="shared" si="69"/>
        <v/>
      </c>
      <c r="V446" s="33"/>
    </row>
    <row r="447" spans="1:22" x14ac:dyDescent="0.25">
      <c r="A447" s="30"/>
      <c r="B447" s="34" t="str">
        <f t="shared" si="60"/>
        <v/>
      </c>
      <c r="C447" s="34" t="str">
        <f t="shared" si="61"/>
        <v/>
      </c>
      <c r="D447" s="36" t="str">
        <f t="shared" si="62"/>
        <v/>
      </c>
      <c r="E447" s="36" t="str">
        <f t="shared" si="63"/>
        <v/>
      </c>
      <c r="F447" s="36" t="str">
        <f t="shared" si="64"/>
        <v/>
      </c>
      <c r="G447" s="30"/>
      <c r="H447" s="33"/>
      <c r="I447" s="31"/>
      <c r="J447" s="31"/>
      <c r="K447" s="13" t="str">
        <f t="shared" si="65"/>
        <v/>
      </c>
      <c r="L447" s="49"/>
      <c r="M447" s="49"/>
      <c r="N447" s="30"/>
      <c r="O447" s="30"/>
      <c r="P447" s="30"/>
      <c r="Q447" s="30"/>
      <c r="R447" s="11" t="str">
        <f t="shared" si="66"/>
        <v/>
      </c>
      <c r="S447" s="55" t="str">
        <f t="shared" si="67"/>
        <v/>
      </c>
      <c r="T447" s="37" t="str">
        <f t="shared" si="68"/>
        <v/>
      </c>
      <c r="U447" s="29" t="str">
        <f t="shared" si="69"/>
        <v/>
      </c>
      <c r="V447" s="33"/>
    </row>
    <row r="448" spans="1:22" x14ac:dyDescent="0.25">
      <c r="A448" s="30"/>
      <c r="B448" s="34" t="str">
        <f t="shared" si="60"/>
        <v/>
      </c>
      <c r="C448" s="34" t="str">
        <f t="shared" si="61"/>
        <v/>
      </c>
      <c r="D448" s="36" t="str">
        <f t="shared" si="62"/>
        <v/>
      </c>
      <c r="E448" s="36" t="str">
        <f t="shared" si="63"/>
        <v/>
      </c>
      <c r="F448" s="36" t="str">
        <f t="shared" si="64"/>
        <v/>
      </c>
      <c r="G448" s="30"/>
      <c r="H448" s="33"/>
      <c r="I448" s="31"/>
      <c r="J448" s="31"/>
      <c r="K448" s="13" t="str">
        <f t="shared" si="65"/>
        <v/>
      </c>
      <c r="L448" s="49"/>
      <c r="M448" s="49"/>
      <c r="N448" s="30"/>
      <c r="O448" s="30"/>
      <c r="P448" s="30"/>
      <c r="Q448" s="30"/>
      <c r="R448" s="11" t="str">
        <f t="shared" si="66"/>
        <v/>
      </c>
      <c r="S448" s="55" t="str">
        <f t="shared" si="67"/>
        <v/>
      </c>
      <c r="T448" s="37" t="str">
        <f t="shared" si="68"/>
        <v/>
      </c>
      <c r="U448" s="29" t="str">
        <f t="shared" si="69"/>
        <v/>
      </c>
      <c r="V448" s="33"/>
    </row>
    <row r="449" spans="1:22" x14ac:dyDescent="0.25">
      <c r="A449" s="30"/>
      <c r="B449" s="34" t="str">
        <f t="shared" si="60"/>
        <v/>
      </c>
      <c r="C449" s="34" t="str">
        <f t="shared" si="61"/>
        <v/>
      </c>
      <c r="D449" s="36" t="str">
        <f t="shared" si="62"/>
        <v/>
      </c>
      <c r="E449" s="36" t="str">
        <f t="shared" si="63"/>
        <v/>
      </c>
      <c r="F449" s="36" t="str">
        <f t="shared" si="64"/>
        <v/>
      </c>
      <c r="G449" s="30"/>
      <c r="H449" s="33"/>
      <c r="I449" s="31"/>
      <c r="J449" s="31"/>
      <c r="K449" s="13" t="str">
        <f t="shared" si="65"/>
        <v/>
      </c>
      <c r="L449" s="49"/>
      <c r="M449" s="49"/>
      <c r="N449" s="30"/>
      <c r="O449" s="30"/>
      <c r="P449" s="30"/>
      <c r="Q449" s="30"/>
      <c r="R449" s="11" t="str">
        <f t="shared" si="66"/>
        <v/>
      </c>
      <c r="S449" s="55" t="str">
        <f t="shared" si="67"/>
        <v/>
      </c>
      <c r="T449" s="37" t="str">
        <f t="shared" si="68"/>
        <v/>
      </c>
      <c r="U449" s="29" t="str">
        <f t="shared" si="69"/>
        <v/>
      </c>
      <c r="V449" s="33"/>
    </row>
    <row r="450" spans="1:22" x14ac:dyDescent="0.25">
      <c r="A450" s="30"/>
      <c r="B450" s="34" t="str">
        <f t="shared" si="60"/>
        <v/>
      </c>
      <c r="C450" s="34" t="str">
        <f t="shared" si="61"/>
        <v/>
      </c>
      <c r="D450" s="36" t="str">
        <f t="shared" si="62"/>
        <v/>
      </c>
      <c r="E450" s="36" t="str">
        <f t="shared" si="63"/>
        <v/>
      </c>
      <c r="F450" s="36" t="str">
        <f t="shared" si="64"/>
        <v/>
      </c>
      <c r="G450" s="30"/>
      <c r="H450" s="33"/>
      <c r="I450" s="31"/>
      <c r="J450" s="31"/>
      <c r="K450" s="13" t="str">
        <f t="shared" si="65"/>
        <v/>
      </c>
      <c r="L450" s="49"/>
      <c r="M450" s="49"/>
      <c r="N450" s="30"/>
      <c r="O450" s="30"/>
      <c r="P450" s="30"/>
      <c r="Q450" s="30"/>
      <c r="R450" s="11" t="str">
        <f t="shared" si="66"/>
        <v/>
      </c>
      <c r="S450" s="55" t="str">
        <f t="shared" si="67"/>
        <v/>
      </c>
      <c r="T450" s="37" t="str">
        <f t="shared" si="68"/>
        <v/>
      </c>
      <c r="U450" s="29" t="str">
        <f t="shared" si="69"/>
        <v/>
      </c>
      <c r="V450" s="33"/>
    </row>
    <row r="451" spans="1:22" x14ac:dyDescent="0.25">
      <c r="A451" s="30"/>
      <c r="B451" s="34" t="str">
        <f t="shared" si="60"/>
        <v/>
      </c>
      <c r="C451" s="34" t="str">
        <f t="shared" si="61"/>
        <v/>
      </c>
      <c r="D451" s="36" t="str">
        <f t="shared" si="62"/>
        <v/>
      </c>
      <c r="E451" s="36" t="str">
        <f t="shared" si="63"/>
        <v/>
      </c>
      <c r="F451" s="36" t="str">
        <f t="shared" si="64"/>
        <v/>
      </c>
      <c r="G451" s="30"/>
      <c r="H451" s="33"/>
      <c r="I451" s="31"/>
      <c r="J451" s="31"/>
      <c r="K451" s="13" t="str">
        <f t="shared" si="65"/>
        <v/>
      </c>
      <c r="L451" s="49"/>
      <c r="M451" s="49"/>
      <c r="N451" s="30"/>
      <c r="O451" s="30"/>
      <c r="P451" s="30"/>
      <c r="Q451" s="30"/>
      <c r="R451" s="11" t="str">
        <f t="shared" si="66"/>
        <v/>
      </c>
      <c r="S451" s="55" t="str">
        <f t="shared" si="67"/>
        <v/>
      </c>
      <c r="T451" s="37" t="str">
        <f t="shared" si="68"/>
        <v/>
      </c>
      <c r="U451" s="29" t="str">
        <f t="shared" si="69"/>
        <v/>
      </c>
      <c r="V451" s="33"/>
    </row>
    <row r="452" spans="1:22" x14ac:dyDescent="0.25">
      <c r="A452" s="30"/>
      <c r="B452" s="34" t="str">
        <f t="shared" si="60"/>
        <v/>
      </c>
      <c r="C452" s="34" t="str">
        <f t="shared" si="61"/>
        <v/>
      </c>
      <c r="D452" s="36" t="str">
        <f t="shared" si="62"/>
        <v/>
      </c>
      <c r="E452" s="36" t="str">
        <f t="shared" si="63"/>
        <v/>
      </c>
      <c r="F452" s="36" t="str">
        <f t="shared" si="64"/>
        <v/>
      </c>
      <c r="G452" s="30"/>
      <c r="H452" s="33"/>
      <c r="I452" s="31"/>
      <c r="J452" s="31"/>
      <c r="K452" s="13" t="str">
        <f t="shared" si="65"/>
        <v/>
      </c>
      <c r="L452" s="49"/>
      <c r="M452" s="49"/>
      <c r="N452" s="30"/>
      <c r="O452" s="30"/>
      <c r="P452" s="30"/>
      <c r="Q452" s="30"/>
      <c r="R452" s="11" t="str">
        <f t="shared" si="66"/>
        <v/>
      </c>
      <c r="S452" s="55" t="str">
        <f t="shared" si="67"/>
        <v/>
      </c>
      <c r="T452" s="37" t="str">
        <f t="shared" si="68"/>
        <v/>
      </c>
      <c r="U452" s="29" t="str">
        <f t="shared" si="69"/>
        <v/>
      </c>
      <c r="V452" s="33"/>
    </row>
    <row r="453" spans="1:22" x14ac:dyDescent="0.25">
      <c r="A453" s="30"/>
      <c r="B453" s="34" t="str">
        <f t="shared" ref="B453:B516" si="70">IFERROR(IF($A453="","",VLOOKUP($A453,CAD_TAB,2,FALSE)),"")</f>
        <v/>
      </c>
      <c r="C453" s="34" t="str">
        <f t="shared" ref="C453:C516" si="71">IFERROR(IF($A453="","",VLOOKUP($A453,CAD_TAB,3,FALSE)),"")</f>
        <v/>
      </c>
      <c r="D453" s="36" t="str">
        <f t="shared" ref="D453:D516" si="72">IFERROR(IF($A453="","",VLOOKUP($A453,CAD_TAB,9,FALSE)),"")</f>
        <v/>
      </c>
      <c r="E453" s="36" t="str">
        <f t="shared" ref="E453:E516" si="73">IFERROR(IF($A453="","",VLOOKUP($A453,CAD_TAB,11,FALSE)),"")</f>
        <v/>
      </c>
      <c r="F453" s="36" t="str">
        <f t="shared" ref="F453:F516" si="74">IFERROR(IF($A453="","",VLOOKUP($A453,CAD_TAB,8,FALSE)),"")</f>
        <v/>
      </c>
      <c r="G453" s="30"/>
      <c r="H453" s="33"/>
      <c r="I453" s="31"/>
      <c r="J453" s="31"/>
      <c r="K453" s="13" t="str">
        <f t="shared" ref="K453:K516" si="75">IF(OR($I453="",$J453=""),"",$J453-$I453+1)</f>
        <v/>
      </c>
      <c r="L453" s="49"/>
      <c r="M453" s="49"/>
      <c r="N453" s="30"/>
      <c r="O453" s="30"/>
      <c r="P453" s="30"/>
      <c r="Q453" s="30"/>
      <c r="R453" s="11" t="str">
        <f t="shared" ref="R453:R516" si="76">IF($A453="","",COUNTIFS(MED_ID,$A453))</f>
        <v/>
      </c>
      <c r="S453" s="55" t="str">
        <f t="shared" ref="S453:S516" si="77">IF($A453="","",SUMIFS(MED_VLR,MED_ID,$A453))</f>
        <v/>
      </c>
      <c r="T453" s="37" t="str">
        <f t="shared" ref="T453:T516" si="78">IF($J453="","",EOMONTH($J453,0))</f>
        <v/>
      </c>
      <c r="U453" s="29" t="str">
        <f t="shared" ref="U453:U516" si="79">IF($A453="","",IF($V453="CANCELADA","CANCELADA",IF($S453&gt;0,"MEDIDA",IF($J453="","EM EXECUÇÃO",IF(OR($N453="NÃO",$O453="NÃO",$P453="NÃO"),"AGUARDANDO PAVIMENTO","CONCLUÍDA")))))</f>
        <v/>
      </c>
      <c r="V453" s="33"/>
    </row>
    <row r="454" spans="1:22" x14ac:dyDescent="0.25">
      <c r="A454" s="30"/>
      <c r="B454" s="34" t="str">
        <f t="shared" si="70"/>
        <v/>
      </c>
      <c r="C454" s="34" t="str">
        <f t="shared" si="71"/>
        <v/>
      </c>
      <c r="D454" s="36" t="str">
        <f t="shared" si="72"/>
        <v/>
      </c>
      <c r="E454" s="36" t="str">
        <f t="shared" si="73"/>
        <v/>
      </c>
      <c r="F454" s="36" t="str">
        <f t="shared" si="74"/>
        <v/>
      </c>
      <c r="G454" s="30"/>
      <c r="H454" s="33"/>
      <c r="I454" s="31"/>
      <c r="J454" s="31"/>
      <c r="K454" s="13" t="str">
        <f t="shared" si="75"/>
        <v/>
      </c>
      <c r="L454" s="49"/>
      <c r="M454" s="49"/>
      <c r="N454" s="30"/>
      <c r="O454" s="30"/>
      <c r="P454" s="30"/>
      <c r="Q454" s="30"/>
      <c r="R454" s="11" t="str">
        <f t="shared" si="76"/>
        <v/>
      </c>
      <c r="S454" s="55" t="str">
        <f t="shared" si="77"/>
        <v/>
      </c>
      <c r="T454" s="37" t="str">
        <f t="shared" si="78"/>
        <v/>
      </c>
      <c r="U454" s="29" t="str">
        <f t="shared" si="79"/>
        <v/>
      </c>
      <c r="V454" s="33"/>
    </row>
    <row r="455" spans="1:22" x14ac:dyDescent="0.25">
      <c r="A455" s="30"/>
      <c r="B455" s="34" t="str">
        <f t="shared" si="70"/>
        <v/>
      </c>
      <c r="C455" s="34" t="str">
        <f t="shared" si="71"/>
        <v/>
      </c>
      <c r="D455" s="36" t="str">
        <f t="shared" si="72"/>
        <v/>
      </c>
      <c r="E455" s="36" t="str">
        <f t="shared" si="73"/>
        <v/>
      </c>
      <c r="F455" s="36" t="str">
        <f t="shared" si="74"/>
        <v/>
      </c>
      <c r="G455" s="30"/>
      <c r="H455" s="33"/>
      <c r="I455" s="31"/>
      <c r="J455" s="31"/>
      <c r="K455" s="13" t="str">
        <f t="shared" si="75"/>
        <v/>
      </c>
      <c r="L455" s="49"/>
      <c r="M455" s="49"/>
      <c r="N455" s="30"/>
      <c r="O455" s="30"/>
      <c r="P455" s="30"/>
      <c r="Q455" s="30"/>
      <c r="R455" s="11" t="str">
        <f t="shared" si="76"/>
        <v/>
      </c>
      <c r="S455" s="55" t="str">
        <f t="shared" si="77"/>
        <v/>
      </c>
      <c r="T455" s="37" t="str">
        <f t="shared" si="78"/>
        <v/>
      </c>
      <c r="U455" s="29" t="str">
        <f t="shared" si="79"/>
        <v/>
      </c>
      <c r="V455" s="33"/>
    </row>
    <row r="456" spans="1:22" x14ac:dyDescent="0.25">
      <c r="A456" s="30"/>
      <c r="B456" s="34" t="str">
        <f t="shared" si="70"/>
        <v/>
      </c>
      <c r="C456" s="34" t="str">
        <f t="shared" si="71"/>
        <v/>
      </c>
      <c r="D456" s="36" t="str">
        <f t="shared" si="72"/>
        <v/>
      </c>
      <c r="E456" s="36" t="str">
        <f t="shared" si="73"/>
        <v/>
      </c>
      <c r="F456" s="36" t="str">
        <f t="shared" si="74"/>
        <v/>
      </c>
      <c r="G456" s="30"/>
      <c r="H456" s="33"/>
      <c r="I456" s="31"/>
      <c r="J456" s="31"/>
      <c r="K456" s="13" t="str">
        <f t="shared" si="75"/>
        <v/>
      </c>
      <c r="L456" s="49"/>
      <c r="M456" s="49"/>
      <c r="N456" s="30"/>
      <c r="O456" s="30"/>
      <c r="P456" s="30"/>
      <c r="Q456" s="30"/>
      <c r="R456" s="11" t="str">
        <f t="shared" si="76"/>
        <v/>
      </c>
      <c r="S456" s="55" t="str">
        <f t="shared" si="77"/>
        <v/>
      </c>
      <c r="T456" s="37" t="str">
        <f t="shared" si="78"/>
        <v/>
      </c>
      <c r="U456" s="29" t="str">
        <f t="shared" si="79"/>
        <v/>
      </c>
      <c r="V456" s="33"/>
    </row>
    <row r="457" spans="1:22" x14ac:dyDescent="0.25">
      <c r="A457" s="30"/>
      <c r="B457" s="34" t="str">
        <f t="shared" si="70"/>
        <v/>
      </c>
      <c r="C457" s="34" t="str">
        <f t="shared" si="71"/>
        <v/>
      </c>
      <c r="D457" s="36" t="str">
        <f t="shared" si="72"/>
        <v/>
      </c>
      <c r="E457" s="36" t="str">
        <f t="shared" si="73"/>
        <v/>
      </c>
      <c r="F457" s="36" t="str">
        <f t="shared" si="74"/>
        <v/>
      </c>
      <c r="G457" s="30"/>
      <c r="H457" s="33"/>
      <c r="I457" s="31"/>
      <c r="J457" s="31"/>
      <c r="K457" s="13" t="str">
        <f t="shared" si="75"/>
        <v/>
      </c>
      <c r="L457" s="49"/>
      <c r="M457" s="49"/>
      <c r="N457" s="30"/>
      <c r="O457" s="30"/>
      <c r="P457" s="30"/>
      <c r="Q457" s="30"/>
      <c r="R457" s="11" t="str">
        <f t="shared" si="76"/>
        <v/>
      </c>
      <c r="S457" s="55" t="str">
        <f t="shared" si="77"/>
        <v/>
      </c>
      <c r="T457" s="37" t="str">
        <f t="shared" si="78"/>
        <v/>
      </c>
      <c r="U457" s="29" t="str">
        <f t="shared" si="79"/>
        <v/>
      </c>
      <c r="V457" s="33"/>
    </row>
    <row r="458" spans="1:22" x14ac:dyDescent="0.25">
      <c r="A458" s="30"/>
      <c r="B458" s="34" t="str">
        <f t="shared" si="70"/>
        <v/>
      </c>
      <c r="C458" s="34" t="str">
        <f t="shared" si="71"/>
        <v/>
      </c>
      <c r="D458" s="36" t="str">
        <f t="shared" si="72"/>
        <v/>
      </c>
      <c r="E458" s="36" t="str">
        <f t="shared" si="73"/>
        <v/>
      </c>
      <c r="F458" s="36" t="str">
        <f t="shared" si="74"/>
        <v/>
      </c>
      <c r="G458" s="30"/>
      <c r="H458" s="33"/>
      <c r="I458" s="31"/>
      <c r="J458" s="31"/>
      <c r="K458" s="13" t="str">
        <f t="shared" si="75"/>
        <v/>
      </c>
      <c r="L458" s="49"/>
      <c r="M458" s="49"/>
      <c r="N458" s="30"/>
      <c r="O458" s="30"/>
      <c r="P458" s="30"/>
      <c r="Q458" s="30"/>
      <c r="R458" s="11" t="str">
        <f t="shared" si="76"/>
        <v/>
      </c>
      <c r="S458" s="55" t="str">
        <f t="shared" si="77"/>
        <v/>
      </c>
      <c r="T458" s="37" t="str">
        <f t="shared" si="78"/>
        <v/>
      </c>
      <c r="U458" s="29" t="str">
        <f t="shared" si="79"/>
        <v/>
      </c>
      <c r="V458" s="33"/>
    </row>
    <row r="459" spans="1:22" x14ac:dyDescent="0.25">
      <c r="A459" s="30"/>
      <c r="B459" s="34" t="str">
        <f t="shared" si="70"/>
        <v/>
      </c>
      <c r="C459" s="34" t="str">
        <f t="shared" si="71"/>
        <v/>
      </c>
      <c r="D459" s="36" t="str">
        <f t="shared" si="72"/>
        <v/>
      </c>
      <c r="E459" s="36" t="str">
        <f t="shared" si="73"/>
        <v/>
      </c>
      <c r="F459" s="36" t="str">
        <f t="shared" si="74"/>
        <v/>
      </c>
      <c r="G459" s="30"/>
      <c r="H459" s="33"/>
      <c r="I459" s="31"/>
      <c r="J459" s="31"/>
      <c r="K459" s="13" t="str">
        <f t="shared" si="75"/>
        <v/>
      </c>
      <c r="L459" s="49"/>
      <c r="M459" s="49"/>
      <c r="N459" s="30"/>
      <c r="O459" s="30"/>
      <c r="P459" s="30"/>
      <c r="Q459" s="30"/>
      <c r="R459" s="11" t="str">
        <f t="shared" si="76"/>
        <v/>
      </c>
      <c r="S459" s="55" t="str">
        <f t="shared" si="77"/>
        <v/>
      </c>
      <c r="T459" s="37" t="str">
        <f t="shared" si="78"/>
        <v/>
      </c>
      <c r="U459" s="29" t="str">
        <f t="shared" si="79"/>
        <v/>
      </c>
      <c r="V459" s="33"/>
    </row>
    <row r="460" spans="1:22" x14ac:dyDescent="0.25">
      <c r="A460" s="30"/>
      <c r="B460" s="34" t="str">
        <f t="shared" si="70"/>
        <v/>
      </c>
      <c r="C460" s="34" t="str">
        <f t="shared" si="71"/>
        <v/>
      </c>
      <c r="D460" s="36" t="str">
        <f t="shared" si="72"/>
        <v/>
      </c>
      <c r="E460" s="36" t="str">
        <f t="shared" si="73"/>
        <v/>
      </c>
      <c r="F460" s="36" t="str">
        <f t="shared" si="74"/>
        <v/>
      </c>
      <c r="G460" s="30"/>
      <c r="H460" s="33"/>
      <c r="I460" s="31"/>
      <c r="J460" s="31"/>
      <c r="K460" s="13" t="str">
        <f t="shared" si="75"/>
        <v/>
      </c>
      <c r="L460" s="49"/>
      <c r="M460" s="49"/>
      <c r="N460" s="30"/>
      <c r="O460" s="30"/>
      <c r="P460" s="30"/>
      <c r="Q460" s="30"/>
      <c r="R460" s="11" t="str">
        <f t="shared" si="76"/>
        <v/>
      </c>
      <c r="S460" s="55" t="str">
        <f t="shared" si="77"/>
        <v/>
      </c>
      <c r="T460" s="37" t="str">
        <f t="shared" si="78"/>
        <v/>
      </c>
      <c r="U460" s="29" t="str">
        <f t="shared" si="79"/>
        <v/>
      </c>
      <c r="V460" s="33"/>
    </row>
    <row r="461" spans="1:22" x14ac:dyDescent="0.25">
      <c r="A461" s="30"/>
      <c r="B461" s="34" t="str">
        <f t="shared" si="70"/>
        <v/>
      </c>
      <c r="C461" s="34" t="str">
        <f t="shared" si="71"/>
        <v/>
      </c>
      <c r="D461" s="36" t="str">
        <f t="shared" si="72"/>
        <v/>
      </c>
      <c r="E461" s="36" t="str">
        <f t="shared" si="73"/>
        <v/>
      </c>
      <c r="F461" s="36" t="str">
        <f t="shared" si="74"/>
        <v/>
      </c>
      <c r="G461" s="30"/>
      <c r="H461" s="33"/>
      <c r="I461" s="31"/>
      <c r="J461" s="31"/>
      <c r="K461" s="13" t="str">
        <f t="shared" si="75"/>
        <v/>
      </c>
      <c r="L461" s="49"/>
      <c r="M461" s="49"/>
      <c r="N461" s="30"/>
      <c r="O461" s="30"/>
      <c r="P461" s="30"/>
      <c r="Q461" s="30"/>
      <c r="R461" s="11" t="str">
        <f t="shared" si="76"/>
        <v/>
      </c>
      <c r="S461" s="55" t="str">
        <f t="shared" si="77"/>
        <v/>
      </c>
      <c r="T461" s="37" t="str">
        <f t="shared" si="78"/>
        <v/>
      </c>
      <c r="U461" s="29" t="str">
        <f t="shared" si="79"/>
        <v/>
      </c>
      <c r="V461" s="33"/>
    </row>
    <row r="462" spans="1:22" x14ac:dyDescent="0.25">
      <c r="A462" s="30"/>
      <c r="B462" s="34" t="str">
        <f t="shared" si="70"/>
        <v/>
      </c>
      <c r="C462" s="34" t="str">
        <f t="shared" si="71"/>
        <v/>
      </c>
      <c r="D462" s="36" t="str">
        <f t="shared" si="72"/>
        <v/>
      </c>
      <c r="E462" s="36" t="str">
        <f t="shared" si="73"/>
        <v/>
      </c>
      <c r="F462" s="36" t="str">
        <f t="shared" si="74"/>
        <v/>
      </c>
      <c r="G462" s="30"/>
      <c r="H462" s="33"/>
      <c r="I462" s="31"/>
      <c r="J462" s="31"/>
      <c r="K462" s="13" t="str">
        <f t="shared" si="75"/>
        <v/>
      </c>
      <c r="L462" s="49"/>
      <c r="M462" s="49"/>
      <c r="N462" s="30"/>
      <c r="O462" s="30"/>
      <c r="P462" s="30"/>
      <c r="Q462" s="30"/>
      <c r="R462" s="11" t="str">
        <f t="shared" si="76"/>
        <v/>
      </c>
      <c r="S462" s="55" t="str">
        <f t="shared" si="77"/>
        <v/>
      </c>
      <c r="T462" s="37" t="str">
        <f t="shared" si="78"/>
        <v/>
      </c>
      <c r="U462" s="29" t="str">
        <f t="shared" si="79"/>
        <v/>
      </c>
      <c r="V462" s="33"/>
    </row>
    <row r="463" spans="1:22" x14ac:dyDescent="0.25">
      <c r="A463" s="30"/>
      <c r="B463" s="34" t="str">
        <f t="shared" si="70"/>
        <v/>
      </c>
      <c r="C463" s="34" t="str">
        <f t="shared" si="71"/>
        <v/>
      </c>
      <c r="D463" s="36" t="str">
        <f t="shared" si="72"/>
        <v/>
      </c>
      <c r="E463" s="36" t="str">
        <f t="shared" si="73"/>
        <v/>
      </c>
      <c r="F463" s="36" t="str">
        <f t="shared" si="74"/>
        <v/>
      </c>
      <c r="G463" s="30"/>
      <c r="H463" s="33"/>
      <c r="I463" s="31"/>
      <c r="J463" s="31"/>
      <c r="K463" s="13" t="str">
        <f t="shared" si="75"/>
        <v/>
      </c>
      <c r="L463" s="49"/>
      <c r="M463" s="49"/>
      <c r="N463" s="30"/>
      <c r="O463" s="30"/>
      <c r="P463" s="30"/>
      <c r="Q463" s="30"/>
      <c r="R463" s="11" t="str">
        <f t="shared" si="76"/>
        <v/>
      </c>
      <c r="S463" s="55" t="str">
        <f t="shared" si="77"/>
        <v/>
      </c>
      <c r="T463" s="37" t="str">
        <f t="shared" si="78"/>
        <v/>
      </c>
      <c r="U463" s="29" t="str">
        <f t="shared" si="79"/>
        <v/>
      </c>
      <c r="V463" s="33"/>
    </row>
    <row r="464" spans="1:22" x14ac:dyDescent="0.25">
      <c r="A464" s="30"/>
      <c r="B464" s="34" t="str">
        <f t="shared" si="70"/>
        <v/>
      </c>
      <c r="C464" s="34" t="str">
        <f t="shared" si="71"/>
        <v/>
      </c>
      <c r="D464" s="36" t="str">
        <f t="shared" si="72"/>
        <v/>
      </c>
      <c r="E464" s="36" t="str">
        <f t="shared" si="73"/>
        <v/>
      </c>
      <c r="F464" s="36" t="str">
        <f t="shared" si="74"/>
        <v/>
      </c>
      <c r="G464" s="30"/>
      <c r="H464" s="33"/>
      <c r="I464" s="31"/>
      <c r="J464" s="31"/>
      <c r="K464" s="13" t="str">
        <f t="shared" si="75"/>
        <v/>
      </c>
      <c r="L464" s="49"/>
      <c r="M464" s="49"/>
      <c r="N464" s="30"/>
      <c r="O464" s="30"/>
      <c r="P464" s="30"/>
      <c r="Q464" s="30"/>
      <c r="R464" s="11" t="str">
        <f t="shared" si="76"/>
        <v/>
      </c>
      <c r="S464" s="55" t="str">
        <f t="shared" si="77"/>
        <v/>
      </c>
      <c r="T464" s="37" t="str">
        <f t="shared" si="78"/>
        <v/>
      </c>
      <c r="U464" s="29" t="str">
        <f t="shared" si="79"/>
        <v/>
      </c>
      <c r="V464" s="33"/>
    </row>
    <row r="465" spans="1:22" x14ac:dyDescent="0.25">
      <c r="A465" s="30"/>
      <c r="B465" s="34" t="str">
        <f t="shared" si="70"/>
        <v/>
      </c>
      <c r="C465" s="34" t="str">
        <f t="shared" si="71"/>
        <v/>
      </c>
      <c r="D465" s="36" t="str">
        <f t="shared" si="72"/>
        <v/>
      </c>
      <c r="E465" s="36" t="str">
        <f t="shared" si="73"/>
        <v/>
      </c>
      <c r="F465" s="36" t="str">
        <f t="shared" si="74"/>
        <v/>
      </c>
      <c r="G465" s="30"/>
      <c r="H465" s="33"/>
      <c r="I465" s="31"/>
      <c r="J465" s="31"/>
      <c r="K465" s="13" t="str">
        <f t="shared" si="75"/>
        <v/>
      </c>
      <c r="L465" s="49"/>
      <c r="M465" s="49"/>
      <c r="N465" s="30"/>
      <c r="O465" s="30"/>
      <c r="P465" s="30"/>
      <c r="Q465" s="30"/>
      <c r="R465" s="11" t="str">
        <f t="shared" si="76"/>
        <v/>
      </c>
      <c r="S465" s="55" t="str">
        <f t="shared" si="77"/>
        <v/>
      </c>
      <c r="T465" s="37" t="str">
        <f t="shared" si="78"/>
        <v/>
      </c>
      <c r="U465" s="29" t="str">
        <f t="shared" si="79"/>
        <v/>
      </c>
      <c r="V465" s="33"/>
    </row>
    <row r="466" spans="1:22" x14ac:dyDescent="0.25">
      <c r="A466" s="30"/>
      <c r="B466" s="34" t="str">
        <f t="shared" si="70"/>
        <v/>
      </c>
      <c r="C466" s="34" t="str">
        <f t="shared" si="71"/>
        <v/>
      </c>
      <c r="D466" s="36" t="str">
        <f t="shared" si="72"/>
        <v/>
      </c>
      <c r="E466" s="36" t="str">
        <f t="shared" si="73"/>
        <v/>
      </c>
      <c r="F466" s="36" t="str">
        <f t="shared" si="74"/>
        <v/>
      </c>
      <c r="G466" s="30"/>
      <c r="H466" s="33"/>
      <c r="I466" s="31"/>
      <c r="J466" s="31"/>
      <c r="K466" s="13" t="str">
        <f t="shared" si="75"/>
        <v/>
      </c>
      <c r="L466" s="49"/>
      <c r="M466" s="49"/>
      <c r="N466" s="30"/>
      <c r="O466" s="30"/>
      <c r="P466" s="30"/>
      <c r="Q466" s="30"/>
      <c r="R466" s="11" t="str">
        <f t="shared" si="76"/>
        <v/>
      </c>
      <c r="S466" s="55" t="str">
        <f t="shared" si="77"/>
        <v/>
      </c>
      <c r="T466" s="37" t="str">
        <f t="shared" si="78"/>
        <v/>
      </c>
      <c r="U466" s="29" t="str">
        <f t="shared" si="79"/>
        <v/>
      </c>
      <c r="V466" s="33"/>
    </row>
    <row r="467" spans="1:22" x14ac:dyDescent="0.25">
      <c r="A467" s="30"/>
      <c r="B467" s="34" t="str">
        <f t="shared" si="70"/>
        <v/>
      </c>
      <c r="C467" s="34" t="str">
        <f t="shared" si="71"/>
        <v/>
      </c>
      <c r="D467" s="36" t="str">
        <f t="shared" si="72"/>
        <v/>
      </c>
      <c r="E467" s="36" t="str">
        <f t="shared" si="73"/>
        <v/>
      </c>
      <c r="F467" s="36" t="str">
        <f t="shared" si="74"/>
        <v/>
      </c>
      <c r="G467" s="30"/>
      <c r="H467" s="33"/>
      <c r="I467" s="31"/>
      <c r="J467" s="31"/>
      <c r="K467" s="13" t="str">
        <f t="shared" si="75"/>
        <v/>
      </c>
      <c r="L467" s="49"/>
      <c r="M467" s="49"/>
      <c r="N467" s="30"/>
      <c r="O467" s="30"/>
      <c r="P467" s="30"/>
      <c r="Q467" s="30"/>
      <c r="R467" s="11" t="str">
        <f t="shared" si="76"/>
        <v/>
      </c>
      <c r="S467" s="55" t="str">
        <f t="shared" si="77"/>
        <v/>
      </c>
      <c r="T467" s="37" t="str">
        <f t="shared" si="78"/>
        <v/>
      </c>
      <c r="U467" s="29" t="str">
        <f t="shared" si="79"/>
        <v/>
      </c>
      <c r="V467" s="33"/>
    </row>
    <row r="468" spans="1:22" x14ac:dyDescent="0.25">
      <c r="A468" s="30"/>
      <c r="B468" s="34" t="str">
        <f t="shared" si="70"/>
        <v/>
      </c>
      <c r="C468" s="34" t="str">
        <f t="shared" si="71"/>
        <v/>
      </c>
      <c r="D468" s="36" t="str">
        <f t="shared" si="72"/>
        <v/>
      </c>
      <c r="E468" s="36" t="str">
        <f t="shared" si="73"/>
        <v/>
      </c>
      <c r="F468" s="36" t="str">
        <f t="shared" si="74"/>
        <v/>
      </c>
      <c r="G468" s="30"/>
      <c r="H468" s="33"/>
      <c r="I468" s="31"/>
      <c r="J468" s="31"/>
      <c r="K468" s="13" t="str">
        <f t="shared" si="75"/>
        <v/>
      </c>
      <c r="L468" s="49"/>
      <c r="M468" s="49"/>
      <c r="N468" s="30"/>
      <c r="O468" s="30"/>
      <c r="P468" s="30"/>
      <c r="Q468" s="30"/>
      <c r="R468" s="11" t="str">
        <f t="shared" si="76"/>
        <v/>
      </c>
      <c r="S468" s="55" t="str">
        <f t="shared" si="77"/>
        <v/>
      </c>
      <c r="T468" s="37" t="str">
        <f t="shared" si="78"/>
        <v/>
      </c>
      <c r="U468" s="29" t="str">
        <f t="shared" si="79"/>
        <v/>
      </c>
      <c r="V468" s="33"/>
    </row>
    <row r="469" spans="1:22" x14ac:dyDescent="0.25">
      <c r="A469" s="30"/>
      <c r="B469" s="34" t="str">
        <f t="shared" si="70"/>
        <v/>
      </c>
      <c r="C469" s="34" t="str">
        <f t="shared" si="71"/>
        <v/>
      </c>
      <c r="D469" s="36" t="str">
        <f t="shared" si="72"/>
        <v/>
      </c>
      <c r="E469" s="36" t="str">
        <f t="shared" si="73"/>
        <v/>
      </c>
      <c r="F469" s="36" t="str">
        <f t="shared" si="74"/>
        <v/>
      </c>
      <c r="G469" s="30"/>
      <c r="H469" s="33"/>
      <c r="I469" s="31"/>
      <c r="J469" s="31"/>
      <c r="K469" s="13" t="str">
        <f t="shared" si="75"/>
        <v/>
      </c>
      <c r="L469" s="49"/>
      <c r="M469" s="49"/>
      <c r="N469" s="30"/>
      <c r="O469" s="30"/>
      <c r="P469" s="30"/>
      <c r="Q469" s="30"/>
      <c r="R469" s="11" t="str">
        <f t="shared" si="76"/>
        <v/>
      </c>
      <c r="S469" s="55" t="str">
        <f t="shared" si="77"/>
        <v/>
      </c>
      <c r="T469" s="37" t="str">
        <f t="shared" si="78"/>
        <v/>
      </c>
      <c r="U469" s="29" t="str">
        <f t="shared" si="79"/>
        <v/>
      </c>
      <c r="V469" s="33"/>
    </row>
    <row r="470" spans="1:22" x14ac:dyDescent="0.25">
      <c r="A470" s="30"/>
      <c r="B470" s="34" t="str">
        <f t="shared" si="70"/>
        <v/>
      </c>
      <c r="C470" s="34" t="str">
        <f t="shared" si="71"/>
        <v/>
      </c>
      <c r="D470" s="36" t="str">
        <f t="shared" si="72"/>
        <v/>
      </c>
      <c r="E470" s="36" t="str">
        <f t="shared" si="73"/>
        <v/>
      </c>
      <c r="F470" s="36" t="str">
        <f t="shared" si="74"/>
        <v/>
      </c>
      <c r="G470" s="30"/>
      <c r="H470" s="33"/>
      <c r="I470" s="31"/>
      <c r="J470" s="31"/>
      <c r="K470" s="13" t="str">
        <f t="shared" si="75"/>
        <v/>
      </c>
      <c r="L470" s="49"/>
      <c r="M470" s="49"/>
      <c r="N470" s="30"/>
      <c r="O470" s="30"/>
      <c r="P470" s="30"/>
      <c r="Q470" s="30"/>
      <c r="R470" s="11" t="str">
        <f t="shared" si="76"/>
        <v/>
      </c>
      <c r="S470" s="55" t="str">
        <f t="shared" si="77"/>
        <v/>
      </c>
      <c r="T470" s="37" t="str">
        <f t="shared" si="78"/>
        <v/>
      </c>
      <c r="U470" s="29" t="str">
        <f t="shared" si="79"/>
        <v/>
      </c>
      <c r="V470" s="33"/>
    </row>
    <row r="471" spans="1:22" x14ac:dyDescent="0.25">
      <c r="A471" s="30"/>
      <c r="B471" s="34" t="str">
        <f t="shared" si="70"/>
        <v/>
      </c>
      <c r="C471" s="34" t="str">
        <f t="shared" si="71"/>
        <v/>
      </c>
      <c r="D471" s="36" t="str">
        <f t="shared" si="72"/>
        <v/>
      </c>
      <c r="E471" s="36" t="str">
        <f t="shared" si="73"/>
        <v/>
      </c>
      <c r="F471" s="36" t="str">
        <f t="shared" si="74"/>
        <v/>
      </c>
      <c r="G471" s="30"/>
      <c r="H471" s="33"/>
      <c r="I471" s="31"/>
      <c r="J471" s="31"/>
      <c r="K471" s="13" t="str">
        <f t="shared" si="75"/>
        <v/>
      </c>
      <c r="L471" s="49"/>
      <c r="M471" s="49"/>
      <c r="N471" s="30"/>
      <c r="O471" s="30"/>
      <c r="P471" s="30"/>
      <c r="Q471" s="30"/>
      <c r="R471" s="11" t="str">
        <f t="shared" si="76"/>
        <v/>
      </c>
      <c r="S471" s="55" t="str">
        <f t="shared" si="77"/>
        <v/>
      </c>
      <c r="T471" s="37" t="str">
        <f t="shared" si="78"/>
        <v/>
      </c>
      <c r="U471" s="29" t="str">
        <f t="shared" si="79"/>
        <v/>
      </c>
      <c r="V471" s="33"/>
    </row>
    <row r="472" spans="1:22" x14ac:dyDescent="0.25">
      <c r="A472" s="30"/>
      <c r="B472" s="34" t="str">
        <f t="shared" si="70"/>
        <v/>
      </c>
      <c r="C472" s="34" t="str">
        <f t="shared" si="71"/>
        <v/>
      </c>
      <c r="D472" s="36" t="str">
        <f t="shared" si="72"/>
        <v/>
      </c>
      <c r="E472" s="36" t="str">
        <f t="shared" si="73"/>
        <v/>
      </c>
      <c r="F472" s="36" t="str">
        <f t="shared" si="74"/>
        <v/>
      </c>
      <c r="G472" s="30"/>
      <c r="H472" s="33"/>
      <c r="I472" s="31"/>
      <c r="J472" s="31"/>
      <c r="K472" s="13" t="str">
        <f t="shared" si="75"/>
        <v/>
      </c>
      <c r="L472" s="49"/>
      <c r="M472" s="49"/>
      <c r="N472" s="30"/>
      <c r="O472" s="30"/>
      <c r="P472" s="30"/>
      <c r="Q472" s="30"/>
      <c r="R472" s="11" t="str">
        <f t="shared" si="76"/>
        <v/>
      </c>
      <c r="S472" s="55" t="str">
        <f t="shared" si="77"/>
        <v/>
      </c>
      <c r="T472" s="37" t="str">
        <f t="shared" si="78"/>
        <v/>
      </c>
      <c r="U472" s="29" t="str">
        <f t="shared" si="79"/>
        <v/>
      </c>
      <c r="V472" s="33"/>
    </row>
    <row r="473" spans="1:22" x14ac:dyDescent="0.25">
      <c r="A473" s="30"/>
      <c r="B473" s="34" t="str">
        <f t="shared" si="70"/>
        <v/>
      </c>
      <c r="C473" s="34" t="str">
        <f t="shared" si="71"/>
        <v/>
      </c>
      <c r="D473" s="36" t="str">
        <f t="shared" si="72"/>
        <v/>
      </c>
      <c r="E473" s="36" t="str">
        <f t="shared" si="73"/>
        <v/>
      </c>
      <c r="F473" s="36" t="str">
        <f t="shared" si="74"/>
        <v/>
      </c>
      <c r="G473" s="30"/>
      <c r="H473" s="33"/>
      <c r="I473" s="31"/>
      <c r="J473" s="31"/>
      <c r="K473" s="13" t="str">
        <f t="shared" si="75"/>
        <v/>
      </c>
      <c r="L473" s="49"/>
      <c r="M473" s="49"/>
      <c r="N473" s="30"/>
      <c r="O473" s="30"/>
      <c r="P473" s="30"/>
      <c r="Q473" s="30"/>
      <c r="R473" s="11" t="str">
        <f t="shared" si="76"/>
        <v/>
      </c>
      <c r="S473" s="55" t="str">
        <f t="shared" si="77"/>
        <v/>
      </c>
      <c r="T473" s="37" t="str">
        <f t="shared" si="78"/>
        <v/>
      </c>
      <c r="U473" s="29" t="str">
        <f t="shared" si="79"/>
        <v/>
      </c>
      <c r="V473" s="33"/>
    </row>
    <row r="474" spans="1:22" x14ac:dyDescent="0.25">
      <c r="A474" s="30"/>
      <c r="B474" s="34" t="str">
        <f t="shared" si="70"/>
        <v/>
      </c>
      <c r="C474" s="34" t="str">
        <f t="shared" si="71"/>
        <v/>
      </c>
      <c r="D474" s="36" t="str">
        <f t="shared" si="72"/>
        <v/>
      </c>
      <c r="E474" s="36" t="str">
        <f t="shared" si="73"/>
        <v/>
      </c>
      <c r="F474" s="36" t="str">
        <f t="shared" si="74"/>
        <v/>
      </c>
      <c r="G474" s="30"/>
      <c r="H474" s="33"/>
      <c r="I474" s="31"/>
      <c r="J474" s="31"/>
      <c r="K474" s="13" t="str">
        <f t="shared" si="75"/>
        <v/>
      </c>
      <c r="L474" s="49"/>
      <c r="M474" s="49"/>
      <c r="N474" s="30"/>
      <c r="O474" s="30"/>
      <c r="P474" s="30"/>
      <c r="Q474" s="30"/>
      <c r="R474" s="11" t="str">
        <f t="shared" si="76"/>
        <v/>
      </c>
      <c r="S474" s="55" t="str">
        <f t="shared" si="77"/>
        <v/>
      </c>
      <c r="T474" s="37" t="str">
        <f t="shared" si="78"/>
        <v/>
      </c>
      <c r="U474" s="29" t="str">
        <f t="shared" si="79"/>
        <v/>
      </c>
      <c r="V474" s="33"/>
    </row>
    <row r="475" spans="1:22" x14ac:dyDescent="0.25">
      <c r="A475" s="30"/>
      <c r="B475" s="34" t="str">
        <f t="shared" si="70"/>
        <v/>
      </c>
      <c r="C475" s="34" t="str">
        <f t="shared" si="71"/>
        <v/>
      </c>
      <c r="D475" s="36" t="str">
        <f t="shared" si="72"/>
        <v/>
      </c>
      <c r="E475" s="36" t="str">
        <f t="shared" si="73"/>
        <v/>
      </c>
      <c r="F475" s="36" t="str">
        <f t="shared" si="74"/>
        <v/>
      </c>
      <c r="G475" s="30"/>
      <c r="H475" s="33"/>
      <c r="I475" s="31"/>
      <c r="J475" s="31"/>
      <c r="K475" s="13" t="str">
        <f t="shared" si="75"/>
        <v/>
      </c>
      <c r="L475" s="49"/>
      <c r="M475" s="49"/>
      <c r="N475" s="30"/>
      <c r="O475" s="30"/>
      <c r="P475" s="30"/>
      <c r="Q475" s="30"/>
      <c r="R475" s="11" t="str">
        <f t="shared" si="76"/>
        <v/>
      </c>
      <c r="S475" s="55" t="str">
        <f t="shared" si="77"/>
        <v/>
      </c>
      <c r="T475" s="37" t="str">
        <f t="shared" si="78"/>
        <v/>
      </c>
      <c r="U475" s="29" t="str">
        <f t="shared" si="79"/>
        <v/>
      </c>
      <c r="V475" s="33"/>
    </row>
    <row r="476" spans="1:22" x14ac:dyDescent="0.25">
      <c r="A476" s="30"/>
      <c r="B476" s="34" t="str">
        <f t="shared" si="70"/>
        <v/>
      </c>
      <c r="C476" s="34" t="str">
        <f t="shared" si="71"/>
        <v/>
      </c>
      <c r="D476" s="36" t="str">
        <f t="shared" si="72"/>
        <v/>
      </c>
      <c r="E476" s="36" t="str">
        <f t="shared" si="73"/>
        <v/>
      </c>
      <c r="F476" s="36" t="str">
        <f t="shared" si="74"/>
        <v/>
      </c>
      <c r="G476" s="30"/>
      <c r="H476" s="33"/>
      <c r="I476" s="31"/>
      <c r="J476" s="31"/>
      <c r="K476" s="13" t="str">
        <f t="shared" si="75"/>
        <v/>
      </c>
      <c r="L476" s="49"/>
      <c r="M476" s="49"/>
      <c r="N476" s="30"/>
      <c r="O476" s="30"/>
      <c r="P476" s="30"/>
      <c r="Q476" s="30"/>
      <c r="R476" s="11" t="str">
        <f t="shared" si="76"/>
        <v/>
      </c>
      <c r="S476" s="55" t="str">
        <f t="shared" si="77"/>
        <v/>
      </c>
      <c r="T476" s="37" t="str">
        <f t="shared" si="78"/>
        <v/>
      </c>
      <c r="U476" s="29" t="str">
        <f t="shared" si="79"/>
        <v/>
      </c>
      <c r="V476" s="33"/>
    </row>
    <row r="477" spans="1:22" x14ac:dyDescent="0.25">
      <c r="A477" s="30"/>
      <c r="B477" s="34" t="str">
        <f t="shared" si="70"/>
        <v/>
      </c>
      <c r="C477" s="34" t="str">
        <f t="shared" si="71"/>
        <v/>
      </c>
      <c r="D477" s="36" t="str">
        <f t="shared" si="72"/>
        <v/>
      </c>
      <c r="E477" s="36" t="str">
        <f t="shared" si="73"/>
        <v/>
      </c>
      <c r="F477" s="36" t="str">
        <f t="shared" si="74"/>
        <v/>
      </c>
      <c r="G477" s="30"/>
      <c r="H477" s="33"/>
      <c r="I477" s="31"/>
      <c r="J477" s="31"/>
      <c r="K477" s="13" t="str">
        <f t="shared" si="75"/>
        <v/>
      </c>
      <c r="L477" s="49"/>
      <c r="M477" s="49"/>
      <c r="N477" s="30"/>
      <c r="O477" s="30"/>
      <c r="P477" s="30"/>
      <c r="Q477" s="30"/>
      <c r="R477" s="11" t="str">
        <f t="shared" si="76"/>
        <v/>
      </c>
      <c r="S477" s="55" t="str">
        <f t="shared" si="77"/>
        <v/>
      </c>
      <c r="T477" s="37" t="str">
        <f t="shared" si="78"/>
        <v/>
      </c>
      <c r="U477" s="29" t="str">
        <f t="shared" si="79"/>
        <v/>
      </c>
      <c r="V477" s="33"/>
    </row>
    <row r="478" spans="1:22" x14ac:dyDescent="0.25">
      <c r="A478" s="30"/>
      <c r="B478" s="34" t="str">
        <f t="shared" si="70"/>
        <v/>
      </c>
      <c r="C478" s="34" t="str">
        <f t="shared" si="71"/>
        <v/>
      </c>
      <c r="D478" s="36" t="str">
        <f t="shared" si="72"/>
        <v/>
      </c>
      <c r="E478" s="36" t="str">
        <f t="shared" si="73"/>
        <v/>
      </c>
      <c r="F478" s="36" t="str">
        <f t="shared" si="74"/>
        <v/>
      </c>
      <c r="G478" s="30"/>
      <c r="H478" s="33"/>
      <c r="I478" s="31"/>
      <c r="J478" s="31"/>
      <c r="K478" s="13" t="str">
        <f t="shared" si="75"/>
        <v/>
      </c>
      <c r="L478" s="49"/>
      <c r="M478" s="49"/>
      <c r="N478" s="30"/>
      <c r="O478" s="30"/>
      <c r="P478" s="30"/>
      <c r="Q478" s="30"/>
      <c r="R478" s="11" t="str">
        <f t="shared" si="76"/>
        <v/>
      </c>
      <c r="S478" s="55" t="str">
        <f t="shared" si="77"/>
        <v/>
      </c>
      <c r="T478" s="37" t="str">
        <f t="shared" si="78"/>
        <v/>
      </c>
      <c r="U478" s="29" t="str">
        <f t="shared" si="79"/>
        <v/>
      </c>
      <c r="V478" s="33"/>
    </row>
    <row r="479" spans="1:22" x14ac:dyDescent="0.25">
      <c r="A479" s="30"/>
      <c r="B479" s="34" t="str">
        <f t="shared" si="70"/>
        <v/>
      </c>
      <c r="C479" s="34" t="str">
        <f t="shared" si="71"/>
        <v/>
      </c>
      <c r="D479" s="36" t="str">
        <f t="shared" si="72"/>
        <v/>
      </c>
      <c r="E479" s="36" t="str">
        <f t="shared" si="73"/>
        <v/>
      </c>
      <c r="F479" s="36" t="str">
        <f t="shared" si="74"/>
        <v/>
      </c>
      <c r="G479" s="30"/>
      <c r="H479" s="33"/>
      <c r="I479" s="31"/>
      <c r="J479" s="31"/>
      <c r="K479" s="13" t="str">
        <f t="shared" si="75"/>
        <v/>
      </c>
      <c r="L479" s="49"/>
      <c r="M479" s="49"/>
      <c r="N479" s="30"/>
      <c r="O479" s="30"/>
      <c r="P479" s="30"/>
      <c r="Q479" s="30"/>
      <c r="R479" s="11" t="str">
        <f t="shared" si="76"/>
        <v/>
      </c>
      <c r="S479" s="55" t="str">
        <f t="shared" si="77"/>
        <v/>
      </c>
      <c r="T479" s="37" t="str">
        <f t="shared" si="78"/>
        <v/>
      </c>
      <c r="U479" s="29" t="str">
        <f t="shared" si="79"/>
        <v/>
      </c>
      <c r="V479" s="33"/>
    </row>
    <row r="480" spans="1:22" x14ac:dyDescent="0.25">
      <c r="A480" s="30"/>
      <c r="B480" s="34" t="str">
        <f t="shared" si="70"/>
        <v/>
      </c>
      <c r="C480" s="34" t="str">
        <f t="shared" si="71"/>
        <v/>
      </c>
      <c r="D480" s="36" t="str">
        <f t="shared" si="72"/>
        <v/>
      </c>
      <c r="E480" s="36" t="str">
        <f t="shared" si="73"/>
        <v/>
      </c>
      <c r="F480" s="36" t="str">
        <f t="shared" si="74"/>
        <v/>
      </c>
      <c r="G480" s="30"/>
      <c r="H480" s="33"/>
      <c r="I480" s="31"/>
      <c r="J480" s="31"/>
      <c r="K480" s="13" t="str">
        <f t="shared" si="75"/>
        <v/>
      </c>
      <c r="L480" s="49"/>
      <c r="M480" s="49"/>
      <c r="N480" s="30"/>
      <c r="O480" s="30"/>
      <c r="P480" s="30"/>
      <c r="Q480" s="30"/>
      <c r="R480" s="11" t="str">
        <f t="shared" si="76"/>
        <v/>
      </c>
      <c r="S480" s="55" t="str">
        <f t="shared" si="77"/>
        <v/>
      </c>
      <c r="T480" s="37" t="str">
        <f t="shared" si="78"/>
        <v/>
      </c>
      <c r="U480" s="29" t="str">
        <f t="shared" si="79"/>
        <v/>
      </c>
      <c r="V480" s="33"/>
    </row>
    <row r="481" spans="1:22" x14ac:dyDescent="0.25">
      <c r="A481" s="30"/>
      <c r="B481" s="34" t="str">
        <f t="shared" si="70"/>
        <v/>
      </c>
      <c r="C481" s="34" t="str">
        <f t="shared" si="71"/>
        <v/>
      </c>
      <c r="D481" s="36" t="str">
        <f t="shared" si="72"/>
        <v/>
      </c>
      <c r="E481" s="36" t="str">
        <f t="shared" si="73"/>
        <v/>
      </c>
      <c r="F481" s="36" t="str">
        <f t="shared" si="74"/>
        <v/>
      </c>
      <c r="G481" s="30"/>
      <c r="H481" s="33"/>
      <c r="I481" s="31"/>
      <c r="J481" s="31"/>
      <c r="K481" s="13" t="str">
        <f t="shared" si="75"/>
        <v/>
      </c>
      <c r="L481" s="49"/>
      <c r="M481" s="49"/>
      <c r="N481" s="30"/>
      <c r="O481" s="30"/>
      <c r="P481" s="30"/>
      <c r="Q481" s="30"/>
      <c r="R481" s="11" t="str">
        <f t="shared" si="76"/>
        <v/>
      </c>
      <c r="S481" s="55" t="str">
        <f t="shared" si="77"/>
        <v/>
      </c>
      <c r="T481" s="37" t="str">
        <f t="shared" si="78"/>
        <v/>
      </c>
      <c r="U481" s="29" t="str">
        <f t="shared" si="79"/>
        <v/>
      </c>
      <c r="V481" s="33"/>
    </row>
    <row r="482" spans="1:22" x14ac:dyDescent="0.25">
      <c r="A482" s="30"/>
      <c r="B482" s="34" t="str">
        <f t="shared" si="70"/>
        <v/>
      </c>
      <c r="C482" s="34" t="str">
        <f t="shared" si="71"/>
        <v/>
      </c>
      <c r="D482" s="36" t="str">
        <f t="shared" si="72"/>
        <v/>
      </c>
      <c r="E482" s="36" t="str">
        <f t="shared" si="73"/>
        <v/>
      </c>
      <c r="F482" s="36" t="str">
        <f t="shared" si="74"/>
        <v/>
      </c>
      <c r="G482" s="30"/>
      <c r="H482" s="33"/>
      <c r="I482" s="31"/>
      <c r="J482" s="31"/>
      <c r="K482" s="13" t="str">
        <f t="shared" si="75"/>
        <v/>
      </c>
      <c r="L482" s="49"/>
      <c r="M482" s="49"/>
      <c r="N482" s="30"/>
      <c r="O482" s="30"/>
      <c r="P482" s="30"/>
      <c r="Q482" s="30"/>
      <c r="R482" s="11" t="str">
        <f t="shared" si="76"/>
        <v/>
      </c>
      <c r="S482" s="55" t="str">
        <f t="shared" si="77"/>
        <v/>
      </c>
      <c r="T482" s="37" t="str">
        <f t="shared" si="78"/>
        <v/>
      </c>
      <c r="U482" s="29" t="str">
        <f t="shared" si="79"/>
        <v/>
      </c>
      <c r="V482" s="33"/>
    </row>
    <row r="483" spans="1:22" x14ac:dyDescent="0.25">
      <c r="A483" s="30"/>
      <c r="B483" s="34" t="str">
        <f t="shared" si="70"/>
        <v/>
      </c>
      <c r="C483" s="34" t="str">
        <f t="shared" si="71"/>
        <v/>
      </c>
      <c r="D483" s="36" t="str">
        <f t="shared" si="72"/>
        <v/>
      </c>
      <c r="E483" s="36" t="str">
        <f t="shared" si="73"/>
        <v/>
      </c>
      <c r="F483" s="36" t="str">
        <f t="shared" si="74"/>
        <v/>
      </c>
      <c r="G483" s="30"/>
      <c r="H483" s="33"/>
      <c r="I483" s="31"/>
      <c r="J483" s="31"/>
      <c r="K483" s="13" t="str">
        <f t="shared" si="75"/>
        <v/>
      </c>
      <c r="L483" s="49"/>
      <c r="M483" s="49"/>
      <c r="N483" s="30"/>
      <c r="O483" s="30"/>
      <c r="P483" s="30"/>
      <c r="Q483" s="30"/>
      <c r="R483" s="11" t="str">
        <f t="shared" si="76"/>
        <v/>
      </c>
      <c r="S483" s="55" t="str">
        <f t="shared" si="77"/>
        <v/>
      </c>
      <c r="T483" s="37" t="str">
        <f t="shared" si="78"/>
        <v/>
      </c>
      <c r="U483" s="29" t="str">
        <f t="shared" si="79"/>
        <v/>
      </c>
      <c r="V483" s="33"/>
    </row>
    <row r="484" spans="1:22" x14ac:dyDescent="0.25">
      <c r="A484" s="30"/>
      <c r="B484" s="34" t="str">
        <f t="shared" si="70"/>
        <v/>
      </c>
      <c r="C484" s="34" t="str">
        <f t="shared" si="71"/>
        <v/>
      </c>
      <c r="D484" s="36" t="str">
        <f t="shared" si="72"/>
        <v/>
      </c>
      <c r="E484" s="36" t="str">
        <f t="shared" si="73"/>
        <v/>
      </c>
      <c r="F484" s="36" t="str">
        <f t="shared" si="74"/>
        <v/>
      </c>
      <c r="G484" s="30"/>
      <c r="H484" s="33"/>
      <c r="I484" s="31"/>
      <c r="J484" s="31"/>
      <c r="K484" s="13" t="str">
        <f t="shared" si="75"/>
        <v/>
      </c>
      <c r="L484" s="49"/>
      <c r="M484" s="49"/>
      <c r="N484" s="30"/>
      <c r="O484" s="30"/>
      <c r="P484" s="30"/>
      <c r="Q484" s="30"/>
      <c r="R484" s="11" t="str">
        <f t="shared" si="76"/>
        <v/>
      </c>
      <c r="S484" s="55" t="str">
        <f t="shared" si="77"/>
        <v/>
      </c>
      <c r="T484" s="37" t="str">
        <f t="shared" si="78"/>
        <v/>
      </c>
      <c r="U484" s="29" t="str">
        <f t="shared" si="79"/>
        <v/>
      </c>
      <c r="V484" s="33"/>
    </row>
    <row r="485" spans="1:22" x14ac:dyDescent="0.25">
      <c r="A485" s="30"/>
      <c r="B485" s="34" t="str">
        <f t="shared" si="70"/>
        <v/>
      </c>
      <c r="C485" s="34" t="str">
        <f t="shared" si="71"/>
        <v/>
      </c>
      <c r="D485" s="36" t="str">
        <f t="shared" si="72"/>
        <v/>
      </c>
      <c r="E485" s="36" t="str">
        <f t="shared" si="73"/>
        <v/>
      </c>
      <c r="F485" s="36" t="str">
        <f t="shared" si="74"/>
        <v/>
      </c>
      <c r="G485" s="30"/>
      <c r="H485" s="33"/>
      <c r="I485" s="31"/>
      <c r="J485" s="31"/>
      <c r="K485" s="13" t="str">
        <f t="shared" si="75"/>
        <v/>
      </c>
      <c r="L485" s="49"/>
      <c r="M485" s="49"/>
      <c r="N485" s="30"/>
      <c r="O485" s="30"/>
      <c r="P485" s="30"/>
      <c r="Q485" s="30"/>
      <c r="R485" s="11" t="str">
        <f t="shared" si="76"/>
        <v/>
      </c>
      <c r="S485" s="55" t="str">
        <f t="shared" si="77"/>
        <v/>
      </c>
      <c r="T485" s="37" t="str">
        <f t="shared" si="78"/>
        <v/>
      </c>
      <c r="U485" s="29" t="str">
        <f t="shared" si="79"/>
        <v/>
      </c>
      <c r="V485" s="33"/>
    </row>
    <row r="486" spans="1:22" x14ac:dyDescent="0.25">
      <c r="A486" s="30"/>
      <c r="B486" s="34" t="str">
        <f t="shared" si="70"/>
        <v/>
      </c>
      <c r="C486" s="34" t="str">
        <f t="shared" si="71"/>
        <v/>
      </c>
      <c r="D486" s="36" t="str">
        <f t="shared" si="72"/>
        <v/>
      </c>
      <c r="E486" s="36" t="str">
        <f t="shared" si="73"/>
        <v/>
      </c>
      <c r="F486" s="36" t="str">
        <f t="shared" si="74"/>
        <v/>
      </c>
      <c r="G486" s="30"/>
      <c r="H486" s="33"/>
      <c r="I486" s="31"/>
      <c r="J486" s="31"/>
      <c r="K486" s="13" t="str">
        <f t="shared" si="75"/>
        <v/>
      </c>
      <c r="L486" s="49"/>
      <c r="M486" s="49"/>
      <c r="N486" s="30"/>
      <c r="O486" s="30"/>
      <c r="P486" s="30"/>
      <c r="Q486" s="30"/>
      <c r="R486" s="11" t="str">
        <f t="shared" si="76"/>
        <v/>
      </c>
      <c r="S486" s="55" t="str">
        <f t="shared" si="77"/>
        <v/>
      </c>
      <c r="T486" s="37" t="str">
        <f t="shared" si="78"/>
        <v/>
      </c>
      <c r="U486" s="29" t="str">
        <f t="shared" si="79"/>
        <v/>
      </c>
      <c r="V486" s="33"/>
    </row>
    <row r="487" spans="1:22" x14ac:dyDescent="0.25">
      <c r="A487" s="30"/>
      <c r="B487" s="34" t="str">
        <f t="shared" si="70"/>
        <v/>
      </c>
      <c r="C487" s="34" t="str">
        <f t="shared" si="71"/>
        <v/>
      </c>
      <c r="D487" s="36" t="str">
        <f t="shared" si="72"/>
        <v/>
      </c>
      <c r="E487" s="36" t="str">
        <f t="shared" si="73"/>
        <v/>
      </c>
      <c r="F487" s="36" t="str">
        <f t="shared" si="74"/>
        <v/>
      </c>
      <c r="G487" s="30"/>
      <c r="H487" s="33"/>
      <c r="I487" s="31"/>
      <c r="J487" s="31"/>
      <c r="K487" s="13" t="str">
        <f t="shared" si="75"/>
        <v/>
      </c>
      <c r="L487" s="49"/>
      <c r="M487" s="49"/>
      <c r="N487" s="30"/>
      <c r="O487" s="30"/>
      <c r="P487" s="30"/>
      <c r="Q487" s="30"/>
      <c r="R487" s="11" t="str">
        <f t="shared" si="76"/>
        <v/>
      </c>
      <c r="S487" s="55" t="str">
        <f t="shared" si="77"/>
        <v/>
      </c>
      <c r="T487" s="37" t="str">
        <f t="shared" si="78"/>
        <v/>
      </c>
      <c r="U487" s="29" t="str">
        <f t="shared" si="79"/>
        <v/>
      </c>
      <c r="V487" s="33"/>
    </row>
    <row r="488" spans="1:22" x14ac:dyDescent="0.25">
      <c r="A488" s="30"/>
      <c r="B488" s="34" t="str">
        <f t="shared" si="70"/>
        <v/>
      </c>
      <c r="C488" s="34" t="str">
        <f t="shared" si="71"/>
        <v/>
      </c>
      <c r="D488" s="36" t="str">
        <f t="shared" si="72"/>
        <v/>
      </c>
      <c r="E488" s="36" t="str">
        <f t="shared" si="73"/>
        <v/>
      </c>
      <c r="F488" s="36" t="str">
        <f t="shared" si="74"/>
        <v/>
      </c>
      <c r="G488" s="30"/>
      <c r="H488" s="33"/>
      <c r="I488" s="31"/>
      <c r="J488" s="31"/>
      <c r="K488" s="13" t="str">
        <f t="shared" si="75"/>
        <v/>
      </c>
      <c r="L488" s="49"/>
      <c r="M488" s="49"/>
      <c r="N488" s="30"/>
      <c r="O488" s="30"/>
      <c r="P488" s="30"/>
      <c r="Q488" s="30"/>
      <c r="R488" s="11" t="str">
        <f t="shared" si="76"/>
        <v/>
      </c>
      <c r="S488" s="55" t="str">
        <f t="shared" si="77"/>
        <v/>
      </c>
      <c r="T488" s="37" t="str">
        <f t="shared" si="78"/>
        <v/>
      </c>
      <c r="U488" s="29" t="str">
        <f t="shared" si="79"/>
        <v/>
      </c>
      <c r="V488" s="33"/>
    </row>
    <row r="489" spans="1:22" x14ac:dyDescent="0.25">
      <c r="A489" s="30"/>
      <c r="B489" s="34" t="str">
        <f t="shared" si="70"/>
        <v/>
      </c>
      <c r="C489" s="34" t="str">
        <f t="shared" si="71"/>
        <v/>
      </c>
      <c r="D489" s="36" t="str">
        <f t="shared" si="72"/>
        <v/>
      </c>
      <c r="E489" s="36" t="str">
        <f t="shared" si="73"/>
        <v/>
      </c>
      <c r="F489" s="36" t="str">
        <f t="shared" si="74"/>
        <v/>
      </c>
      <c r="G489" s="30"/>
      <c r="H489" s="33"/>
      <c r="I489" s="31"/>
      <c r="J489" s="31"/>
      <c r="K489" s="13" t="str">
        <f t="shared" si="75"/>
        <v/>
      </c>
      <c r="L489" s="49"/>
      <c r="M489" s="49"/>
      <c r="N489" s="30"/>
      <c r="O489" s="30"/>
      <c r="P489" s="30"/>
      <c r="Q489" s="30"/>
      <c r="R489" s="11" t="str">
        <f t="shared" si="76"/>
        <v/>
      </c>
      <c r="S489" s="55" t="str">
        <f t="shared" si="77"/>
        <v/>
      </c>
      <c r="T489" s="37" t="str">
        <f t="shared" si="78"/>
        <v/>
      </c>
      <c r="U489" s="29" t="str">
        <f t="shared" si="79"/>
        <v/>
      </c>
      <c r="V489" s="33"/>
    </row>
    <row r="490" spans="1:22" x14ac:dyDescent="0.25">
      <c r="A490" s="30"/>
      <c r="B490" s="34" t="str">
        <f t="shared" si="70"/>
        <v/>
      </c>
      <c r="C490" s="34" t="str">
        <f t="shared" si="71"/>
        <v/>
      </c>
      <c r="D490" s="36" t="str">
        <f t="shared" si="72"/>
        <v/>
      </c>
      <c r="E490" s="36" t="str">
        <f t="shared" si="73"/>
        <v/>
      </c>
      <c r="F490" s="36" t="str">
        <f t="shared" si="74"/>
        <v/>
      </c>
      <c r="G490" s="30"/>
      <c r="H490" s="33"/>
      <c r="I490" s="31"/>
      <c r="J490" s="31"/>
      <c r="K490" s="13" t="str">
        <f t="shared" si="75"/>
        <v/>
      </c>
      <c r="L490" s="49"/>
      <c r="M490" s="49"/>
      <c r="N490" s="30"/>
      <c r="O490" s="30"/>
      <c r="P490" s="30"/>
      <c r="Q490" s="30"/>
      <c r="R490" s="11" t="str">
        <f t="shared" si="76"/>
        <v/>
      </c>
      <c r="S490" s="55" t="str">
        <f t="shared" si="77"/>
        <v/>
      </c>
      <c r="T490" s="37" t="str">
        <f t="shared" si="78"/>
        <v/>
      </c>
      <c r="U490" s="29" t="str">
        <f t="shared" si="79"/>
        <v/>
      </c>
      <c r="V490" s="33"/>
    </row>
    <row r="491" spans="1:22" x14ac:dyDescent="0.25">
      <c r="A491" s="30"/>
      <c r="B491" s="34" t="str">
        <f t="shared" si="70"/>
        <v/>
      </c>
      <c r="C491" s="34" t="str">
        <f t="shared" si="71"/>
        <v/>
      </c>
      <c r="D491" s="36" t="str">
        <f t="shared" si="72"/>
        <v/>
      </c>
      <c r="E491" s="36" t="str">
        <f t="shared" si="73"/>
        <v/>
      </c>
      <c r="F491" s="36" t="str">
        <f t="shared" si="74"/>
        <v/>
      </c>
      <c r="G491" s="30"/>
      <c r="H491" s="33"/>
      <c r="I491" s="31"/>
      <c r="J491" s="31"/>
      <c r="K491" s="13" t="str">
        <f t="shared" si="75"/>
        <v/>
      </c>
      <c r="L491" s="49"/>
      <c r="M491" s="49"/>
      <c r="N491" s="30"/>
      <c r="O491" s="30"/>
      <c r="P491" s="30"/>
      <c r="Q491" s="30"/>
      <c r="R491" s="11" t="str">
        <f t="shared" si="76"/>
        <v/>
      </c>
      <c r="S491" s="55" t="str">
        <f t="shared" si="77"/>
        <v/>
      </c>
      <c r="T491" s="37" t="str">
        <f t="shared" si="78"/>
        <v/>
      </c>
      <c r="U491" s="29" t="str">
        <f t="shared" si="79"/>
        <v/>
      </c>
      <c r="V491" s="33"/>
    </row>
    <row r="492" spans="1:22" x14ac:dyDescent="0.25">
      <c r="A492" s="30"/>
      <c r="B492" s="34" t="str">
        <f t="shared" si="70"/>
        <v/>
      </c>
      <c r="C492" s="34" t="str">
        <f t="shared" si="71"/>
        <v/>
      </c>
      <c r="D492" s="36" t="str">
        <f t="shared" si="72"/>
        <v/>
      </c>
      <c r="E492" s="36" t="str">
        <f t="shared" si="73"/>
        <v/>
      </c>
      <c r="F492" s="36" t="str">
        <f t="shared" si="74"/>
        <v/>
      </c>
      <c r="G492" s="30"/>
      <c r="H492" s="33"/>
      <c r="I492" s="31"/>
      <c r="J492" s="31"/>
      <c r="K492" s="13" t="str">
        <f t="shared" si="75"/>
        <v/>
      </c>
      <c r="L492" s="49"/>
      <c r="M492" s="49"/>
      <c r="N492" s="30"/>
      <c r="O492" s="30"/>
      <c r="P492" s="30"/>
      <c r="Q492" s="30"/>
      <c r="R492" s="11" t="str">
        <f t="shared" si="76"/>
        <v/>
      </c>
      <c r="S492" s="55" t="str">
        <f t="shared" si="77"/>
        <v/>
      </c>
      <c r="T492" s="37" t="str">
        <f t="shared" si="78"/>
        <v/>
      </c>
      <c r="U492" s="29" t="str">
        <f t="shared" si="79"/>
        <v/>
      </c>
      <c r="V492" s="33"/>
    </row>
    <row r="493" spans="1:22" x14ac:dyDescent="0.25">
      <c r="A493" s="30"/>
      <c r="B493" s="34" t="str">
        <f t="shared" si="70"/>
        <v/>
      </c>
      <c r="C493" s="34" t="str">
        <f t="shared" si="71"/>
        <v/>
      </c>
      <c r="D493" s="36" t="str">
        <f t="shared" si="72"/>
        <v/>
      </c>
      <c r="E493" s="36" t="str">
        <f t="shared" si="73"/>
        <v/>
      </c>
      <c r="F493" s="36" t="str">
        <f t="shared" si="74"/>
        <v/>
      </c>
      <c r="G493" s="30"/>
      <c r="H493" s="33"/>
      <c r="I493" s="31"/>
      <c r="J493" s="31"/>
      <c r="K493" s="13" t="str">
        <f t="shared" si="75"/>
        <v/>
      </c>
      <c r="L493" s="49"/>
      <c r="M493" s="49"/>
      <c r="N493" s="30"/>
      <c r="O493" s="30"/>
      <c r="P493" s="30"/>
      <c r="Q493" s="30"/>
      <c r="R493" s="11" t="str">
        <f t="shared" si="76"/>
        <v/>
      </c>
      <c r="S493" s="55" t="str">
        <f t="shared" si="77"/>
        <v/>
      </c>
      <c r="T493" s="37" t="str">
        <f t="shared" si="78"/>
        <v/>
      </c>
      <c r="U493" s="29" t="str">
        <f t="shared" si="79"/>
        <v/>
      </c>
      <c r="V493" s="33"/>
    </row>
    <row r="494" spans="1:22" x14ac:dyDescent="0.25">
      <c r="A494" s="30"/>
      <c r="B494" s="34" t="str">
        <f t="shared" si="70"/>
        <v/>
      </c>
      <c r="C494" s="34" t="str">
        <f t="shared" si="71"/>
        <v/>
      </c>
      <c r="D494" s="36" t="str">
        <f t="shared" si="72"/>
        <v/>
      </c>
      <c r="E494" s="36" t="str">
        <f t="shared" si="73"/>
        <v/>
      </c>
      <c r="F494" s="36" t="str">
        <f t="shared" si="74"/>
        <v/>
      </c>
      <c r="G494" s="30"/>
      <c r="H494" s="33"/>
      <c r="I494" s="31"/>
      <c r="J494" s="31"/>
      <c r="K494" s="13" t="str">
        <f t="shared" si="75"/>
        <v/>
      </c>
      <c r="L494" s="49"/>
      <c r="M494" s="49"/>
      <c r="N494" s="30"/>
      <c r="O494" s="30"/>
      <c r="P494" s="30"/>
      <c r="Q494" s="30"/>
      <c r="R494" s="11" t="str">
        <f t="shared" si="76"/>
        <v/>
      </c>
      <c r="S494" s="55" t="str">
        <f t="shared" si="77"/>
        <v/>
      </c>
      <c r="T494" s="37" t="str">
        <f t="shared" si="78"/>
        <v/>
      </c>
      <c r="U494" s="29" t="str">
        <f t="shared" si="79"/>
        <v/>
      </c>
      <c r="V494" s="33"/>
    </row>
    <row r="495" spans="1:22" x14ac:dyDescent="0.25">
      <c r="A495" s="30"/>
      <c r="B495" s="34" t="str">
        <f t="shared" si="70"/>
        <v/>
      </c>
      <c r="C495" s="34" t="str">
        <f t="shared" si="71"/>
        <v/>
      </c>
      <c r="D495" s="36" t="str">
        <f t="shared" si="72"/>
        <v/>
      </c>
      <c r="E495" s="36" t="str">
        <f t="shared" si="73"/>
        <v/>
      </c>
      <c r="F495" s="36" t="str">
        <f t="shared" si="74"/>
        <v/>
      </c>
      <c r="G495" s="30"/>
      <c r="H495" s="33"/>
      <c r="I495" s="31"/>
      <c r="J495" s="31"/>
      <c r="K495" s="13" t="str">
        <f t="shared" si="75"/>
        <v/>
      </c>
      <c r="L495" s="49"/>
      <c r="M495" s="49"/>
      <c r="N495" s="30"/>
      <c r="O495" s="30"/>
      <c r="P495" s="30"/>
      <c r="Q495" s="30"/>
      <c r="R495" s="11" t="str">
        <f t="shared" si="76"/>
        <v/>
      </c>
      <c r="S495" s="55" t="str">
        <f t="shared" si="77"/>
        <v/>
      </c>
      <c r="T495" s="37" t="str">
        <f t="shared" si="78"/>
        <v/>
      </c>
      <c r="U495" s="29" t="str">
        <f t="shared" si="79"/>
        <v/>
      </c>
      <c r="V495" s="33"/>
    </row>
    <row r="496" spans="1:22" x14ac:dyDescent="0.25">
      <c r="A496" s="30"/>
      <c r="B496" s="34" t="str">
        <f t="shared" si="70"/>
        <v/>
      </c>
      <c r="C496" s="34" t="str">
        <f t="shared" si="71"/>
        <v/>
      </c>
      <c r="D496" s="36" t="str">
        <f t="shared" si="72"/>
        <v/>
      </c>
      <c r="E496" s="36" t="str">
        <f t="shared" si="73"/>
        <v/>
      </c>
      <c r="F496" s="36" t="str">
        <f t="shared" si="74"/>
        <v/>
      </c>
      <c r="G496" s="30"/>
      <c r="H496" s="33"/>
      <c r="I496" s="31"/>
      <c r="J496" s="31"/>
      <c r="K496" s="13" t="str">
        <f t="shared" si="75"/>
        <v/>
      </c>
      <c r="L496" s="49"/>
      <c r="M496" s="49"/>
      <c r="N496" s="30"/>
      <c r="O496" s="30"/>
      <c r="P496" s="30"/>
      <c r="Q496" s="30"/>
      <c r="R496" s="11" t="str">
        <f t="shared" si="76"/>
        <v/>
      </c>
      <c r="S496" s="55" t="str">
        <f t="shared" si="77"/>
        <v/>
      </c>
      <c r="T496" s="37" t="str">
        <f t="shared" si="78"/>
        <v/>
      </c>
      <c r="U496" s="29" t="str">
        <f t="shared" si="79"/>
        <v/>
      </c>
      <c r="V496" s="33"/>
    </row>
    <row r="497" spans="1:22" x14ac:dyDescent="0.25">
      <c r="A497" s="30"/>
      <c r="B497" s="34" t="str">
        <f t="shared" si="70"/>
        <v/>
      </c>
      <c r="C497" s="34" t="str">
        <f t="shared" si="71"/>
        <v/>
      </c>
      <c r="D497" s="36" t="str">
        <f t="shared" si="72"/>
        <v/>
      </c>
      <c r="E497" s="36" t="str">
        <f t="shared" si="73"/>
        <v/>
      </c>
      <c r="F497" s="36" t="str">
        <f t="shared" si="74"/>
        <v/>
      </c>
      <c r="G497" s="30"/>
      <c r="H497" s="33"/>
      <c r="I497" s="31"/>
      <c r="J497" s="31"/>
      <c r="K497" s="13" t="str">
        <f t="shared" si="75"/>
        <v/>
      </c>
      <c r="L497" s="49"/>
      <c r="M497" s="49"/>
      <c r="N497" s="30"/>
      <c r="O497" s="30"/>
      <c r="P497" s="30"/>
      <c r="Q497" s="30"/>
      <c r="R497" s="11" t="str">
        <f t="shared" si="76"/>
        <v/>
      </c>
      <c r="S497" s="55" t="str">
        <f t="shared" si="77"/>
        <v/>
      </c>
      <c r="T497" s="37" t="str">
        <f t="shared" si="78"/>
        <v/>
      </c>
      <c r="U497" s="29" t="str">
        <f t="shared" si="79"/>
        <v/>
      </c>
      <c r="V497" s="33"/>
    </row>
    <row r="498" spans="1:22" x14ac:dyDescent="0.25">
      <c r="A498" s="30"/>
      <c r="B498" s="34" t="str">
        <f t="shared" si="70"/>
        <v/>
      </c>
      <c r="C498" s="34" t="str">
        <f t="shared" si="71"/>
        <v/>
      </c>
      <c r="D498" s="36" t="str">
        <f t="shared" si="72"/>
        <v/>
      </c>
      <c r="E498" s="36" t="str">
        <f t="shared" si="73"/>
        <v/>
      </c>
      <c r="F498" s="36" t="str">
        <f t="shared" si="74"/>
        <v/>
      </c>
      <c r="G498" s="30"/>
      <c r="H498" s="33"/>
      <c r="I498" s="31"/>
      <c r="J498" s="31"/>
      <c r="K498" s="13" t="str">
        <f t="shared" si="75"/>
        <v/>
      </c>
      <c r="L498" s="49"/>
      <c r="M498" s="49"/>
      <c r="N498" s="30"/>
      <c r="O498" s="30"/>
      <c r="P498" s="30"/>
      <c r="Q498" s="30"/>
      <c r="R498" s="11" t="str">
        <f t="shared" si="76"/>
        <v/>
      </c>
      <c r="S498" s="55" t="str">
        <f t="shared" si="77"/>
        <v/>
      </c>
      <c r="T498" s="37" t="str">
        <f t="shared" si="78"/>
        <v/>
      </c>
      <c r="U498" s="29" t="str">
        <f t="shared" si="79"/>
        <v/>
      </c>
      <c r="V498" s="33"/>
    </row>
    <row r="499" spans="1:22" x14ac:dyDescent="0.25">
      <c r="A499" s="30"/>
      <c r="B499" s="34" t="str">
        <f t="shared" si="70"/>
        <v/>
      </c>
      <c r="C499" s="34" t="str">
        <f t="shared" si="71"/>
        <v/>
      </c>
      <c r="D499" s="36" t="str">
        <f t="shared" si="72"/>
        <v/>
      </c>
      <c r="E499" s="36" t="str">
        <f t="shared" si="73"/>
        <v/>
      </c>
      <c r="F499" s="36" t="str">
        <f t="shared" si="74"/>
        <v/>
      </c>
      <c r="G499" s="30"/>
      <c r="H499" s="33"/>
      <c r="I499" s="31"/>
      <c r="J499" s="31"/>
      <c r="K499" s="13" t="str">
        <f t="shared" si="75"/>
        <v/>
      </c>
      <c r="L499" s="49"/>
      <c r="M499" s="49"/>
      <c r="N499" s="30"/>
      <c r="O499" s="30"/>
      <c r="P499" s="30"/>
      <c r="Q499" s="30"/>
      <c r="R499" s="11" t="str">
        <f t="shared" si="76"/>
        <v/>
      </c>
      <c r="S499" s="55" t="str">
        <f t="shared" si="77"/>
        <v/>
      </c>
      <c r="T499" s="37" t="str">
        <f t="shared" si="78"/>
        <v/>
      </c>
      <c r="U499" s="29" t="str">
        <f t="shared" si="79"/>
        <v/>
      </c>
      <c r="V499" s="33"/>
    </row>
    <row r="500" spans="1:22" x14ac:dyDescent="0.25">
      <c r="A500" s="30"/>
      <c r="B500" s="34" t="str">
        <f t="shared" si="70"/>
        <v/>
      </c>
      <c r="C500" s="34" t="str">
        <f t="shared" si="71"/>
        <v/>
      </c>
      <c r="D500" s="36" t="str">
        <f t="shared" si="72"/>
        <v/>
      </c>
      <c r="E500" s="36" t="str">
        <f t="shared" si="73"/>
        <v/>
      </c>
      <c r="F500" s="36" t="str">
        <f t="shared" si="74"/>
        <v/>
      </c>
      <c r="G500" s="30"/>
      <c r="H500" s="33"/>
      <c r="I500" s="31"/>
      <c r="J500" s="31"/>
      <c r="K500" s="13" t="str">
        <f t="shared" si="75"/>
        <v/>
      </c>
      <c r="L500" s="49"/>
      <c r="M500" s="49"/>
      <c r="N500" s="30"/>
      <c r="O500" s="30"/>
      <c r="P500" s="30"/>
      <c r="Q500" s="30"/>
      <c r="R500" s="11" t="str">
        <f t="shared" si="76"/>
        <v/>
      </c>
      <c r="S500" s="55" t="str">
        <f t="shared" si="77"/>
        <v/>
      </c>
      <c r="T500" s="37" t="str">
        <f t="shared" si="78"/>
        <v/>
      </c>
      <c r="U500" s="29" t="str">
        <f t="shared" si="79"/>
        <v/>
      </c>
      <c r="V500" s="33"/>
    </row>
    <row r="501" spans="1:22" x14ac:dyDescent="0.25">
      <c r="A501" s="30"/>
      <c r="B501" s="34" t="str">
        <f t="shared" si="70"/>
        <v/>
      </c>
      <c r="C501" s="34" t="str">
        <f t="shared" si="71"/>
        <v/>
      </c>
      <c r="D501" s="36" t="str">
        <f t="shared" si="72"/>
        <v/>
      </c>
      <c r="E501" s="36" t="str">
        <f t="shared" si="73"/>
        <v/>
      </c>
      <c r="F501" s="36" t="str">
        <f t="shared" si="74"/>
        <v/>
      </c>
      <c r="G501" s="30"/>
      <c r="H501" s="33"/>
      <c r="I501" s="31"/>
      <c r="J501" s="31"/>
      <c r="K501" s="13" t="str">
        <f t="shared" si="75"/>
        <v/>
      </c>
      <c r="L501" s="49"/>
      <c r="M501" s="49"/>
      <c r="N501" s="30"/>
      <c r="O501" s="30"/>
      <c r="P501" s="30"/>
      <c r="Q501" s="30"/>
      <c r="R501" s="11" t="str">
        <f t="shared" si="76"/>
        <v/>
      </c>
      <c r="S501" s="55" t="str">
        <f t="shared" si="77"/>
        <v/>
      </c>
      <c r="T501" s="37" t="str">
        <f t="shared" si="78"/>
        <v/>
      </c>
      <c r="U501" s="29" t="str">
        <f t="shared" si="79"/>
        <v/>
      </c>
      <c r="V501" s="33"/>
    </row>
    <row r="502" spans="1:22" x14ac:dyDescent="0.25">
      <c r="A502" s="30"/>
      <c r="B502" s="34" t="str">
        <f t="shared" si="70"/>
        <v/>
      </c>
      <c r="C502" s="34" t="str">
        <f t="shared" si="71"/>
        <v/>
      </c>
      <c r="D502" s="36" t="str">
        <f t="shared" si="72"/>
        <v/>
      </c>
      <c r="E502" s="36" t="str">
        <f t="shared" si="73"/>
        <v/>
      </c>
      <c r="F502" s="36" t="str">
        <f t="shared" si="74"/>
        <v/>
      </c>
      <c r="G502" s="30"/>
      <c r="H502" s="33"/>
      <c r="I502" s="31"/>
      <c r="J502" s="31"/>
      <c r="K502" s="13" t="str">
        <f t="shared" si="75"/>
        <v/>
      </c>
      <c r="L502" s="49"/>
      <c r="M502" s="49"/>
      <c r="N502" s="30"/>
      <c r="O502" s="30"/>
      <c r="P502" s="30"/>
      <c r="Q502" s="30"/>
      <c r="R502" s="11" t="str">
        <f t="shared" si="76"/>
        <v/>
      </c>
      <c r="S502" s="55" t="str">
        <f t="shared" si="77"/>
        <v/>
      </c>
      <c r="T502" s="37" t="str">
        <f t="shared" si="78"/>
        <v/>
      </c>
      <c r="U502" s="29" t="str">
        <f t="shared" si="79"/>
        <v/>
      </c>
      <c r="V502" s="33"/>
    </row>
    <row r="503" spans="1:22" x14ac:dyDescent="0.25">
      <c r="A503" s="30"/>
      <c r="B503" s="34" t="str">
        <f t="shared" si="70"/>
        <v/>
      </c>
      <c r="C503" s="34" t="str">
        <f t="shared" si="71"/>
        <v/>
      </c>
      <c r="D503" s="36" t="str">
        <f t="shared" si="72"/>
        <v/>
      </c>
      <c r="E503" s="36" t="str">
        <f t="shared" si="73"/>
        <v/>
      </c>
      <c r="F503" s="36" t="str">
        <f t="shared" si="74"/>
        <v/>
      </c>
      <c r="G503" s="30"/>
      <c r="H503" s="33"/>
      <c r="I503" s="31"/>
      <c r="J503" s="31"/>
      <c r="K503" s="13" t="str">
        <f t="shared" si="75"/>
        <v/>
      </c>
      <c r="L503" s="49"/>
      <c r="M503" s="49"/>
      <c r="N503" s="30"/>
      <c r="O503" s="30"/>
      <c r="P503" s="30"/>
      <c r="Q503" s="30"/>
      <c r="R503" s="11" t="str">
        <f t="shared" si="76"/>
        <v/>
      </c>
      <c r="S503" s="55" t="str">
        <f t="shared" si="77"/>
        <v/>
      </c>
      <c r="T503" s="37" t="str">
        <f t="shared" si="78"/>
        <v/>
      </c>
      <c r="U503" s="29" t="str">
        <f t="shared" si="79"/>
        <v/>
      </c>
      <c r="V503" s="33"/>
    </row>
    <row r="504" spans="1:22" x14ac:dyDescent="0.25">
      <c r="A504" s="30"/>
      <c r="B504" s="34" t="str">
        <f t="shared" si="70"/>
        <v/>
      </c>
      <c r="C504" s="34" t="str">
        <f t="shared" si="71"/>
        <v/>
      </c>
      <c r="D504" s="36" t="str">
        <f t="shared" si="72"/>
        <v/>
      </c>
      <c r="E504" s="36" t="str">
        <f t="shared" si="73"/>
        <v/>
      </c>
      <c r="F504" s="36" t="str">
        <f t="shared" si="74"/>
        <v/>
      </c>
      <c r="G504" s="30"/>
      <c r="H504" s="33"/>
      <c r="I504" s="31"/>
      <c r="J504" s="31"/>
      <c r="K504" s="13" t="str">
        <f t="shared" si="75"/>
        <v/>
      </c>
      <c r="L504" s="49"/>
      <c r="M504" s="49"/>
      <c r="N504" s="30"/>
      <c r="O504" s="30"/>
      <c r="P504" s="30"/>
      <c r="Q504" s="30"/>
      <c r="R504" s="11" t="str">
        <f t="shared" si="76"/>
        <v/>
      </c>
      <c r="S504" s="55" t="str">
        <f t="shared" si="77"/>
        <v/>
      </c>
      <c r="T504" s="37" t="str">
        <f t="shared" si="78"/>
        <v/>
      </c>
      <c r="U504" s="29" t="str">
        <f t="shared" si="79"/>
        <v/>
      </c>
      <c r="V504" s="33"/>
    </row>
    <row r="505" spans="1:22" x14ac:dyDescent="0.25">
      <c r="A505" s="30"/>
      <c r="B505" s="34" t="str">
        <f t="shared" si="70"/>
        <v/>
      </c>
      <c r="C505" s="34" t="str">
        <f t="shared" si="71"/>
        <v/>
      </c>
      <c r="D505" s="36" t="str">
        <f t="shared" si="72"/>
        <v/>
      </c>
      <c r="E505" s="36" t="str">
        <f t="shared" si="73"/>
        <v/>
      </c>
      <c r="F505" s="36" t="str">
        <f t="shared" si="74"/>
        <v/>
      </c>
      <c r="G505" s="30"/>
      <c r="H505" s="33"/>
      <c r="I505" s="31"/>
      <c r="J505" s="31"/>
      <c r="K505" s="13" t="str">
        <f t="shared" si="75"/>
        <v/>
      </c>
      <c r="L505" s="49"/>
      <c r="M505" s="49"/>
      <c r="N505" s="30"/>
      <c r="O505" s="30"/>
      <c r="P505" s="30"/>
      <c r="Q505" s="30"/>
      <c r="R505" s="11" t="str">
        <f t="shared" si="76"/>
        <v/>
      </c>
      <c r="S505" s="55" t="str">
        <f t="shared" si="77"/>
        <v/>
      </c>
      <c r="T505" s="37" t="str">
        <f t="shared" si="78"/>
        <v/>
      </c>
      <c r="U505" s="29" t="str">
        <f t="shared" si="79"/>
        <v/>
      </c>
      <c r="V505" s="33"/>
    </row>
    <row r="506" spans="1:22" x14ac:dyDescent="0.25">
      <c r="A506" s="30"/>
      <c r="B506" s="34" t="str">
        <f t="shared" si="70"/>
        <v/>
      </c>
      <c r="C506" s="34" t="str">
        <f t="shared" si="71"/>
        <v/>
      </c>
      <c r="D506" s="36" t="str">
        <f t="shared" si="72"/>
        <v/>
      </c>
      <c r="E506" s="36" t="str">
        <f t="shared" si="73"/>
        <v/>
      </c>
      <c r="F506" s="36" t="str">
        <f t="shared" si="74"/>
        <v/>
      </c>
      <c r="G506" s="30"/>
      <c r="H506" s="33"/>
      <c r="I506" s="31"/>
      <c r="J506" s="31"/>
      <c r="K506" s="13" t="str">
        <f t="shared" si="75"/>
        <v/>
      </c>
      <c r="L506" s="49"/>
      <c r="M506" s="49"/>
      <c r="N506" s="30"/>
      <c r="O506" s="30"/>
      <c r="P506" s="30"/>
      <c r="Q506" s="30"/>
      <c r="R506" s="11" t="str">
        <f t="shared" si="76"/>
        <v/>
      </c>
      <c r="S506" s="55" t="str">
        <f t="shared" si="77"/>
        <v/>
      </c>
      <c r="T506" s="37" t="str">
        <f t="shared" si="78"/>
        <v/>
      </c>
      <c r="U506" s="29" t="str">
        <f t="shared" si="79"/>
        <v/>
      </c>
      <c r="V506" s="33"/>
    </row>
    <row r="507" spans="1:22" x14ac:dyDescent="0.25">
      <c r="A507" s="30"/>
      <c r="B507" s="34" t="str">
        <f t="shared" si="70"/>
        <v/>
      </c>
      <c r="C507" s="34" t="str">
        <f t="shared" si="71"/>
        <v/>
      </c>
      <c r="D507" s="36" t="str">
        <f t="shared" si="72"/>
        <v/>
      </c>
      <c r="E507" s="36" t="str">
        <f t="shared" si="73"/>
        <v/>
      </c>
      <c r="F507" s="36" t="str">
        <f t="shared" si="74"/>
        <v/>
      </c>
      <c r="G507" s="30"/>
      <c r="H507" s="33"/>
      <c r="I507" s="31"/>
      <c r="J507" s="31"/>
      <c r="K507" s="13" t="str">
        <f t="shared" si="75"/>
        <v/>
      </c>
      <c r="L507" s="49"/>
      <c r="M507" s="49"/>
      <c r="N507" s="30"/>
      <c r="O507" s="30"/>
      <c r="P507" s="30"/>
      <c r="Q507" s="30"/>
      <c r="R507" s="11" t="str">
        <f t="shared" si="76"/>
        <v/>
      </c>
      <c r="S507" s="55" t="str">
        <f t="shared" si="77"/>
        <v/>
      </c>
      <c r="T507" s="37" t="str">
        <f t="shared" si="78"/>
        <v/>
      </c>
      <c r="U507" s="29" t="str">
        <f t="shared" si="79"/>
        <v/>
      </c>
      <c r="V507" s="33"/>
    </row>
    <row r="508" spans="1:22" x14ac:dyDescent="0.25">
      <c r="A508" s="30"/>
      <c r="B508" s="34" t="str">
        <f t="shared" si="70"/>
        <v/>
      </c>
      <c r="C508" s="34" t="str">
        <f t="shared" si="71"/>
        <v/>
      </c>
      <c r="D508" s="36" t="str">
        <f t="shared" si="72"/>
        <v/>
      </c>
      <c r="E508" s="36" t="str">
        <f t="shared" si="73"/>
        <v/>
      </c>
      <c r="F508" s="36" t="str">
        <f t="shared" si="74"/>
        <v/>
      </c>
      <c r="G508" s="30"/>
      <c r="H508" s="33"/>
      <c r="I508" s="31"/>
      <c r="J508" s="31"/>
      <c r="K508" s="13" t="str">
        <f t="shared" si="75"/>
        <v/>
      </c>
      <c r="L508" s="49"/>
      <c r="M508" s="49"/>
      <c r="N508" s="30"/>
      <c r="O508" s="30"/>
      <c r="P508" s="30"/>
      <c r="Q508" s="30"/>
      <c r="R508" s="11" t="str">
        <f t="shared" si="76"/>
        <v/>
      </c>
      <c r="S508" s="55" t="str">
        <f t="shared" si="77"/>
        <v/>
      </c>
      <c r="T508" s="37" t="str">
        <f t="shared" si="78"/>
        <v/>
      </c>
      <c r="U508" s="29" t="str">
        <f t="shared" si="79"/>
        <v/>
      </c>
      <c r="V508" s="33"/>
    </row>
    <row r="509" spans="1:22" x14ac:dyDescent="0.25">
      <c r="A509" s="30"/>
      <c r="B509" s="34" t="str">
        <f t="shared" si="70"/>
        <v/>
      </c>
      <c r="C509" s="34" t="str">
        <f t="shared" si="71"/>
        <v/>
      </c>
      <c r="D509" s="36" t="str">
        <f t="shared" si="72"/>
        <v/>
      </c>
      <c r="E509" s="36" t="str">
        <f t="shared" si="73"/>
        <v/>
      </c>
      <c r="F509" s="36" t="str">
        <f t="shared" si="74"/>
        <v/>
      </c>
      <c r="G509" s="30"/>
      <c r="H509" s="33"/>
      <c r="I509" s="31"/>
      <c r="J509" s="31"/>
      <c r="K509" s="13" t="str">
        <f t="shared" si="75"/>
        <v/>
      </c>
      <c r="L509" s="49"/>
      <c r="M509" s="49"/>
      <c r="N509" s="30"/>
      <c r="O509" s="30"/>
      <c r="P509" s="30"/>
      <c r="Q509" s="30"/>
      <c r="R509" s="11" t="str">
        <f t="shared" si="76"/>
        <v/>
      </c>
      <c r="S509" s="55" t="str">
        <f t="shared" si="77"/>
        <v/>
      </c>
      <c r="T509" s="37" t="str">
        <f t="shared" si="78"/>
        <v/>
      </c>
      <c r="U509" s="29" t="str">
        <f t="shared" si="79"/>
        <v/>
      </c>
      <c r="V509" s="33"/>
    </row>
    <row r="510" spans="1:22" x14ac:dyDescent="0.25">
      <c r="A510" s="30"/>
      <c r="B510" s="34" t="str">
        <f t="shared" si="70"/>
        <v/>
      </c>
      <c r="C510" s="34" t="str">
        <f t="shared" si="71"/>
        <v/>
      </c>
      <c r="D510" s="36" t="str">
        <f t="shared" si="72"/>
        <v/>
      </c>
      <c r="E510" s="36" t="str">
        <f t="shared" si="73"/>
        <v/>
      </c>
      <c r="F510" s="36" t="str">
        <f t="shared" si="74"/>
        <v/>
      </c>
      <c r="G510" s="30"/>
      <c r="H510" s="33"/>
      <c r="I510" s="31"/>
      <c r="J510" s="31"/>
      <c r="K510" s="13" t="str">
        <f t="shared" si="75"/>
        <v/>
      </c>
      <c r="L510" s="49"/>
      <c r="M510" s="49"/>
      <c r="N510" s="30"/>
      <c r="O510" s="30"/>
      <c r="P510" s="30"/>
      <c r="Q510" s="30"/>
      <c r="R510" s="11" t="str">
        <f t="shared" si="76"/>
        <v/>
      </c>
      <c r="S510" s="55" t="str">
        <f t="shared" si="77"/>
        <v/>
      </c>
      <c r="T510" s="37" t="str">
        <f t="shared" si="78"/>
        <v/>
      </c>
      <c r="U510" s="29" t="str">
        <f t="shared" si="79"/>
        <v/>
      </c>
      <c r="V510" s="33"/>
    </row>
    <row r="511" spans="1:22" x14ac:dyDescent="0.25">
      <c r="A511" s="30"/>
      <c r="B511" s="34" t="str">
        <f t="shared" si="70"/>
        <v/>
      </c>
      <c r="C511" s="34" t="str">
        <f t="shared" si="71"/>
        <v/>
      </c>
      <c r="D511" s="36" t="str">
        <f t="shared" si="72"/>
        <v/>
      </c>
      <c r="E511" s="36" t="str">
        <f t="shared" si="73"/>
        <v/>
      </c>
      <c r="F511" s="36" t="str">
        <f t="shared" si="74"/>
        <v/>
      </c>
      <c r="G511" s="30"/>
      <c r="H511" s="33"/>
      <c r="I511" s="31"/>
      <c r="J511" s="31"/>
      <c r="K511" s="13" t="str">
        <f t="shared" si="75"/>
        <v/>
      </c>
      <c r="L511" s="49"/>
      <c r="M511" s="49"/>
      <c r="N511" s="30"/>
      <c r="O511" s="30"/>
      <c r="P511" s="30"/>
      <c r="Q511" s="30"/>
      <c r="R511" s="11" t="str">
        <f t="shared" si="76"/>
        <v/>
      </c>
      <c r="S511" s="55" t="str">
        <f t="shared" si="77"/>
        <v/>
      </c>
      <c r="T511" s="37" t="str">
        <f t="shared" si="78"/>
        <v/>
      </c>
      <c r="U511" s="29" t="str">
        <f t="shared" si="79"/>
        <v/>
      </c>
      <c r="V511" s="33"/>
    </row>
    <row r="512" spans="1:22" x14ac:dyDescent="0.25">
      <c r="A512" s="30"/>
      <c r="B512" s="34" t="str">
        <f t="shared" si="70"/>
        <v/>
      </c>
      <c r="C512" s="34" t="str">
        <f t="shared" si="71"/>
        <v/>
      </c>
      <c r="D512" s="36" t="str">
        <f t="shared" si="72"/>
        <v/>
      </c>
      <c r="E512" s="36" t="str">
        <f t="shared" si="73"/>
        <v/>
      </c>
      <c r="F512" s="36" t="str">
        <f t="shared" si="74"/>
        <v/>
      </c>
      <c r="G512" s="30"/>
      <c r="H512" s="33"/>
      <c r="I512" s="31"/>
      <c r="J512" s="31"/>
      <c r="K512" s="13" t="str">
        <f t="shared" si="75"/>
        <v/>
      </c>
      <c r="L512" s="49"/>
      <c r="M512" s="49"/>
      <c r="N512" s="30"/>
      <c r="O512" s="30"/>
      <c r="P512" s="30"/>
      <c r="Q512" s="30"/>
      <c r="R512" s="11" t="str">
        <f t="shared" si="76"/>
        <v/>
      </c>
      <c r="S512" s="55" t="str">
        <f t="shared" si="77"/>
        <v/>
      </c>
      <c r="T512" s="37" t="str">
        <f t="shared" si="78"/>
        <v/>
      </c>
      <c r="U512" s="29" t="str">
        <f t="shared" si="79"/>
        <v/>
      </c>
      <c r="V512" s="33"/>
    </row>
    <row r="513" spans="1:22" x14ac:dyDescent="0.25">
      <c r="A513" s="30"/>
      <c r="B513" s="34" t="str">
        <f t="shared" si="70"/>
        <v/>
      </c>
      <c r="C513" s="34" t="str">
        <f t="shared" si="71"/>
        <v/>
      </c>
      <c r="D513" s="36" t="str">
        <f t="shared" si="72"/>
        <v/>
      </c>
      <c r="E513" s="36" t="str">
        <f t="shared" si="73"/>
        <v/>
      </c>
      <c r="F513" s="36" t="str">
        <f t="shared" si="74"/>
        <v/>
      </c>
      <c r="G513" s="30"/>
      <c r="H513" s="33"/>
      <c r="I513" s="31"/>
      <c r="J513" s="31"/>
      <c r="K513" s="13" t="str">
        <f t="shared" si="75"/>
        <v/>
      </c>
      <c r="L513" s="49"/>
      <c r="M513" s="49"/>
      <c r="N513" s="30"/>
      <c r="O513" s="30"/>
      <c r="P513" s="30"/>
      <c r="Q513" s="30"/>
      <c r="R513" s="11" t="str">
        <f t="shared" si="76"/>
        <v/>
      </c>
      <c r="S513" s="55" t="str">
        <f t="shared" si="77"/>
        <v/>
      </c>
      <c r="T513" s="37" t="str">
        <f t="shared" si="78"/>
        <v/>
      </c>
      <c r="U513" s="29" t="str">
        <f t="shared" si="79"/>
        <v/>
      </c>
      <c r="V513" s="33"/>
    </row>
    <row r="514" spans="1:22" x14ac:dyDescent="0.25">
      <c r="A514" s="30"/>
      <c r="B514" s="34" t="str">
        <f t="shared" si="70"/>
        <v/>
      </c>
      <c r="C514" s="34" t="str">
        <f t="shared" si="71"/>
        <v/>
      </c>
      <c r="D514" s="36" t="str">
        <f t="shared" si="72"/>
        <v/>
      </c>
      <c r="E514" s="36" t="str">
        <f t="shared" si="73"/>
        <v/>
      </c>
      <c r="F514" s="36" t="str">
        <f t="shared" si="74"/>
        <v/>
      </c>
      <c r="G514" s="30"/>
      <c r="H514" s="33"/>
      <c r="I514" s="31"/>
      <c r="J514" s="31"/>
      <c r="K514" s="13" t="str">
        <f t="shared" si="75"/>
        <v/>
      </c>
      <c r="L514" s="49"/>
      <c r="M514" s="49"/>
      <c r="N514" s="30"/>
      <c r="O514" s="30"/>
      <c r="P514" s="30"/>
      <c r="Q514" s="30"/>
      <c r="R514" s="11" t="str">
        <f t="shared" si="76"/>
        <v/>
      </c>
      <c r="S514" s="55" t="str">
        <f t="shared" si="77"/>
        <v/>
      </c>
      <c r="T514" s="37" t="str">
        <f t="shared" si="78"/>
        <v/>
      </c>
      <c r="U514" s="29" t="str">
        <f t="shared" si="79"/>
        <v/>
      </c>
      <c r="V514" s="33"/>
    </row>
    <row r="515" spans="1:22" x14ac:dyDescent="0.25">
      <c r="A515" s="30"/>
      <c r="B515" s="34" t="str">
        <f t="shared" si="70"/>
        <v/>
      </c>
      <c r="C515" s="34" t="str">
        <f t="shared" si="71"/>
        <v/>
      </c>
      <c r="D515" s="36" t="str">
        <f t="shared" si="72"/>
        <v/>
      </c>
      <c r="E515" s="36" t="str">
        <f t="shared" si="73"/>
        <v/>
      </c>
      <c r="F515" s="36" t="str">
        <f t="shared" si="74"/>
        <v/>
      </c>
      <c r="G515" s="30"/>
      <c r="H515" s="33"/>
      <c r="I515" s="31"/>
      <c r="J515" s="31"/>
      <c r="K515" s="13" t="str">
        <f t="shared" si="75"/>
        <v/>
      </c>
      <c r="L515" s="49"/>
      <c r="M515" s="49"/>
      <c r="N515" s="30"/>
      <c r="O515" s="30"/>
      <c r="P515" s="30"/>
      <c r="Q515" s="30"/>
      <c r="R515" s="11" t="str">
        <f t="shared" si="76"/>
        <v/>
      </c>
      <c r="S515" s="55" t="str">
        <f t="shared" si="77"/>
        <v/>
      </c>
      <c r="T515" s="37" t="str">
        <f t="shared" si="78"/>
        <v/>
      </c>
      <c r="U515" s="29" t="str">
        <f t="shared" si="79"/>
        <v/>
      </c>
      <c r="V515" s="33"/>
    </row>
    <row r="516" spans="1:22" x14ac:dyDescent="0.25">
      <c r="A516" s="30"/>
      <c r="B516" s="34" t="str">
        <f t="shared" si="70"/>
        <v/>
      </c>
      <c r="C516" s="34" t="str">
        <f t="shared" si="71"/>
        <v/>
      </c>
      <c r="D516" s="36" t="str">
        <f t="shared" si="72"/>
        <v/>
      </c>
      <c r="E516" s="36" t="str">
        <f t="shared" si="73"/>
        <v/>
      </c>
      <c r="F516" s="36" t="str">
        <f t="shared" si="74"/>
        <v/>
      </c>
      <c r="G516" s="30"/>
      <c r="H516" s="33"/>
      <c r="I516" s="31"/>
      <c r="J516" s="31"/>
      <c r="K516" s="13" t="str">
        <f t="shared" si="75"/>
        <v/>
      </c>
      <c r="L516" s="49"/>
      <c r="M516" s="49"/>
      <c r="N516" s="30"/>
      <c r="O516" s="30"/>
      <c r="P516" s="30"/>
      <c r="Q516" s="30"/>
      <c r="R516" s="11" t="str">
        <f t="shared" si="76"/>
        <v/>
      </c>
      <c r="S516" s="55" t="str">
        <f t="shared" si="77"/>
        <v/>
      </c>
      <c r="T516" s="37" t="str">
        <f t="shared" si="78"/>
        <v/>
      </c>
      <c r="U516" s="29" t="str">
        <f t="shared" si="79"/>
        <v/>
      </c>
      <c r="V516" s="33"/>
    </row>
    <row r="517" spans="1:22" x14ac:dyDescent="0.25">
      <c r="A517" s="30"/>
      <c r="B517" s="34" t="str">
        <f t="shared" ref="B517:B580" si="80">IFERROR(IF($A517="","",VLOOKUP($A517,CAD_TAB,2,FALSE)),"")</f>
        <v/>
      </c>
      <c r="C517" s="34" t="str">
        <f t="shared" ref="C517:C580" si="81">IFERROR(IF($A517="","",VLOOKUP($A517,CAD_TAB,3,FALSE)),"")</f>
        <v/>
      </c>
      <c r="D517" s="36" t="str">
        <f t="shared" ref="D517:D580" si="82">IFERROR(IF($A517="","",VLOOKUP($A517,CAD_TAB,9,FALSE)),"")</f>
        <v/>
      </c>
      <c r="E517" s="36" t="str">
        <f t="shared" ref="E517:E580" si="83">IFERROR(IF($A517="","",VLOOKUP($A517,CAD_TAB,11,FALSE)),"")</f>
        <v/>
      </c>
      <c r="F517" s="36" t="str">
        <f t="shared" ref="F517:F580" si="84">IFERROR(IF($A517="","",VLOOKUP($A517,CAD_TAB,8,FALSE)),"")</f>
        <v/>
      </c>
      <c r="G517" s="30"/>
      <c r="H517" s="33"/>
      <c r="I517" s="31"/>
      <c r="J517" s="31"/>
      <c r="K517" s="13" t="str">
        <f t="shared" ref="K517:K580" si="85">IF(OR($I517="",$J517=""),"",$J517-$I517+1)</f>
        <v/>
      </c>
      <c r="L517" s="49"/>
      <c r="M517" s="49"/>
      <c r="N517" s="30"/>
      <c r="O517" s="30"/>
      <c r="P517" s="30"/>
      <c r="Q517" s="30"/>
      <c r="R517" s="11" t="str">
        <f t="shared" ref="R517:R580" si="86">IF($A517="","",COUNTIFS(MED_ID,$A517))</f>
        <v/>
      </c>
      <c r="S517" s="55" t="str">
        <f t="shared" ref="S517:S580" si="87">IF($A517="","",SUMIFS(MED_VLR,MED_ID,$A517))</f>
        <v/>
      </c>
      <c r="T517" s="37" t="str">
        <f t="shared" ref="T517:T580" si="88">IF($J517="","",EOMONTH($J517,0))</f>
        <v/>
      </c>
      <c r="U517" s="29" t="str">
        <f t="shared" ref="U517:U580" si="89">IF($A517="","",IF($V517="CANCELADA","CANCELADA",IF($S517&gt;0,"MEDIDA",IF($J517="","EM EXECUÇÃO",IF(OR($N517="NÃO",$O517="NÃO",$P517="NÃO"),"AGUARDANDO PAVIMENTO","CONCLUÍDA")))))</f>
        <v/>
      </c>
      <c r="V517" s="33"/>
    </row>
    <row r="518" spans="1:22" x14ac:dyDescent="0.25">
      <c r="A518" s="30"/>
      <c r="B518" s="34" t="str">
        <f t="shared" si="80"/>
        <v/>
      </c>
      <c r="C518" s="34" t="str">
        <f t="shared" si="81"/>
        <v/>
      </c>
      <c r="D518" s="36" t="str">
        <f t="shared" si="82"/>
        <v/>
      </c>
      <c r="E518" s="36" t="str">
        <f t="shared" si="83"/>
        <v/>
      </c>
      <c r="F518" s="36" t="str">
        <f t="shared" si="84"/>
        <v/>
      </c>
      <c r="G518" s="30"/>
      <c r="H518" s="33"/>
      <c r="I518" s="31"/>
      <c r="J518" s="31"/>
      <c r="K518" s="13" t="str">
        <f t="shared" si="85"/>
        <v/>
      </c>
      <c r="L518" s="49"/>
      <c r="M518" s="49"/>
      <c r="N518" s="30"/>
      <c r="O518" s="30"/>
      <c r="P518" s="30"/>
      <c r="Q518" s="30"/>
      <c r="R518" s="11" t="str">
        <f t="shared" si="86"/>
        <v/>
      </c>
      <c r="S518" s="55" t="str">
        <f t="shared" si="87"/>
        <v/>
      </c>
      <c r="T518" s="37" t="str">
        <f t="shared" si="88"/>
        <v/>
      </c>
      <c r="U518" s="29" t="str">
        <f t="shared" si="89"/>
        <v/>
      </c>
      <c r="V518" s="33"/>
    </row>
    <row r="519" spans="1:22" x14ac:dyDescent="0.25">
      <c r="A519" s="30"/>
      <c r="B519" s="34" t="str">
        <f t="shared" si="80"/>
        <v/>
      </c>
      <c r="C519" s="34" t="str">
        <f t="shared" si="81"/>
        <v/>
      </c>
      <c r="D519" s="36" t="str">
        <f t="shared" si="82"/>
        <v/>
      </c>
      <c r="E519" s="36" t="str">
        <f t="shared" si="83"/>
        <v/>
      </c>
      <c r="F519" s="36" t="str">
        <f t="shared" si="84"/>
        <v/>
      </c>
      <c r="G519" s="30"/>
      <c r="H519" s="33"/>
      <c r="I519" s="31"/>
      <c r="J519" s="31"/>
      <c r="K519" s="13" t="str">
        <f t="shared" si="85"/>
        <v/>
      </c>
      <c r="L519" s="49"/>
      <c r="M519" s="49"/>
      <c r="N519" s="30"/>
      <c r="O519" s="30"/>
      <c r="P519" s="30"/>
      <c r="Q519" s="30"/>
      <c r="R519" s="11" t="str">
        <f t="shared" si="86"/>
        <v/>
      </c>
      <c r="S519" s="55" t="str">
        <f t="shared" si="87"/>
        <v/>
      </c>
      <c r="T519" s="37" t="str">
        <f t="shared" si="88"/>
        <v/>
      </c>
      <c r="U519" s="29" t="str">
        <f t="shared" si="89"/>
        <v/>
      </c>
      <c r="V519" s="33"/>
    </row>
    <row r="520" spans="1:22" x14ac:dyDescent="0.25">
      <c r="A520" s="30"/>
      <c r="B520" s="34" t="str">
        <f t="shared" si="80"/>
        <v/>
      </c>
      <c r="C520" s="34" t="str">
        <f t="shared" si="81"/>
        <v/>
      </c>
      <c r="D520" s="36" t="str">
        <f t="shared" si="82"/>
        <v/>
      </c>
      <c r="E520" s="36" t="str">
        <f t="shared" si="83"/>
        <v/>
      </c>
      <c r="F520" s="36" t="str">
        <f t="shared" si="84"/>
        <v/>
      </c>
      <c r="G520" s="30"/>
      <c r="H520" s="33"/>
      <c r="I520" s="31"/>
      <c r="J520" s="31"/>
      <c r="K520" s="13" t="str">
        <f t="shared" si="85"/>
        <v/>
      </c>
      <c r="L520" s="49"/>
      <c r="M520" s="49"/>
      <c r="N520" s="30"/>
      <c r="O520" s="30"/>
      <c r="P520" s="30"/>
      <c r="Q520" s="30"/>
      <c r="R520" s="11" t="str">
        <f t="shared" si="86"/>
        <v/>
      </c>
      <c r="S520" s="55" t="str">
        <f t="shared" si="87"/>
        <v/>
      </c>
      <c r="T520" s="37" t="str">
        <f t="shared" si="88"/>
        <v/>
      </c>
      <c r="U520" s="29" t="str">
        <f t="shared" si="89"/>
        <v/>
      </c>
      <c r="V520" s="33"/>
    </row>
    <row r="521" spans="1:22" x14ac:dyDescent="0.25">
      <c r="A521" s="30"/>
      <c r="B521" s="34" t="str">
        <f t="shared" si="80"/>
        <v/>
      </c>
      <c r="C521" s="34" t="str">
        <f t="shared" si="81"/>
        <v/>
      </c>
      <c r="D521" s="36" t="str">
        <f t="shared" si="82"/>
        <v/>
      </c>
      <c r="E521" s="36" t="str">
        <f t="shared" si="83"/>
        <v/>
      </c>
      <c r="F521" s="36" t="str">
        <f t="shared" si="84"/>
        <v/>
      </c>
      <c r="G521" s="30"/>
      <c r="H521" s="33"/>
      <c r="I521" s="31"/>
      <c r="J521" s="31"/>
      <c r="K521" s="13" t="str">
        <f t="shared" si="85"/>
        <v/>
      </c>
      <c r="L521" s="49"/>
      <c r="M521" s="49"/>
      <c r="N521" s="30"/>
      <c r="O521" s="30"/>
      <c r="P521" s="30"/>
      <c r="Q521" s="30"/>
      <c r="R521" s="11" t="str">
        <f t="shared" si="86"/>
        <v/>
      </c>
      <c r="S521" s="55" t="str">
        <f t="shared" si="87"/>
        <v/>
      </c>
      <c r="T521" s="37" t="str">
        <f t="shared" si="88"/>
        <v/>
      </c>
      <c r="U521" s="29" t="str">
        <f t="shared" si="89"/>
        <v/>
      </c>
      <c r="V521" s="33"/>
    </row>
    <row r="522" spans="1:22" x14ac:dyDescent="0.25">
      <c r="A522" s="30"/>
      <c r="B522" s="34" t="str">
        <f t="shared" si="80"/>
        <v/>
      </c>
      <c r="C522" s="34" t="str">
        <f t="shared" si="81"/>
        <v/>
      </c>
      <c r="D522" s="36" t="str">
        <f t="shared" si="82"/>
        <v/>
      </c>
      <c r="E522" s="36" t="str">
        <f t="shared" si="83"/>
        <v/>
      </c>
      <c r="F522" s="36" t="str">
        <f t="shared" si="84"/>
        <v/>
      </c>
      <c r="G522" s="30"/>
      <c r="H522" s="33"/>
      <c r="I522" s="31"/>
      <c r="J522" s="31"/>
      <c r="K522" s="13" t="str">
        <f t="shared" si="85"/>
        <v/>
      </c>
      <c r="L522" s="49"/>
      <c r="M522" s="49"/>
      <c r="N522" s="30"/>
      <c r="O522" s="30"/>
      <c r="P522" s="30"/>
      <c r="Q522" s="30"/>
      <c r="R522" s="11" t="str">
        <f t="shared" si="86"/>
        <v/>
      </c>
      <c r="S522" s="55" t="str">
        <f t="shared" si="87"/>
        <v/>
      </c>
      <c r="T522" s="37" t="str">
        <f t="shared" si="88"/>
        <v/>
      </c>
      <c r="U522" s="29" t="str">
        <f t="shared" si="89"/>
        <v/>
      </c>
      <c r="V522" s="33"/>
    </row>
    <row r="523" spans="1:22" x14ac:dyDescent="0.25">
      <c r="A523" s="30"/>
      <c r="B523" s="34" t="str">
        <f t="shared" si="80"/>
        <v/>
      </c>
      <c r="C523" s="34" t="str">
        <f t="shared" si="81"/>
        <v/>
      </c>
      <c r="D523" s="36" t="str">
        <f t="shared" si="82"/>
        <v/>
      </c>
      <c r="E523" s="36" t="str">
        <f t="shared" si="83"/>
        <v/>
      </c>
      <c r="F523" s="36" t="str">
        <f t="shared" si="84"/>
        <v/>
      </c>
      <c r="G523" s="30"/>
      <c r="H523" s="33"/>
      <c r="I523" s="31"/>
      <c r="J523" s="31"/>
      <c r="K523" s="13" t="str">
        <f t="shared" si="85"/>
        <v/>
      </c>
      <c r="L523" s="49"/>
      <c r="M523" s="49"/>
      <c r="N523" s="30"/>
      <c r="O523" s="30"/>
      <c r="P523" s="30"/>
      <c r="Q523" s="30"/>
      <c r="R523" s="11" t="str">
        <f t="shared" si="86"/>
        <v/>
      </c>
      <c r="S523" s="55" t="str">
        <f t="shared" si="87"/>
        <v/>
      </c>
      <c r="T523" s="37" t="str">
        <f t="shared" si="88"/>
        <v/>
      </c>
      <c r="U523" s="29" t="str">
        <f t="shared" si="89"/>
        <v/>
      </c>
      <c r="V523" s="33"/>
    </row>
    <row r="524" spans="1:22" x14ac:dyDescent="0.25">
      <c r="A524" s="30"/>
      <c r="B524" s="34" t="str">
        <f t="shared" si="80"/>
        <v/>
      </c>
      <c r="C524" s="34" t="str">
        <f t="shared" si="81"/>
        <v/>
      </c>
      <c r="D524" s="36" t="str">
        <f t="shared" si="82"/>
        <v/>
      </c>
      <c r="E524" s="36" t="str">
        <f t="shared" si="83"/>
        <v/>
      </c>
      <c r="F524" s="36" t="str">
        <f t="shared" si="84"/>
        <v/>
      </c>
      <c r="G524" s="30"/>
      <c r="H524" s="33"/>
      <c r="I524" s="31"/>
      <c r="J524" s="31"/>
      <c r="K524" s="13" t="str">
        <f t="shared" si="85"/>
        <v/>
      </c>
      <c r="L524" s="49"/>
      <c r="M524" s="49"/>
      <c r="N524" s="30"/>
      <c r="O524" s="30"/>
      <c r="P524" s="30"/>
      <c r="Q524" s="30"/>
      <c r="R524" s="11" t="str">
        <f t="shared" si="86"/>
        <v/>
      </c>
      <c r="S524" s="55" t="str">
        <f t="shared" si="87"/>
        <v/>
      </c>
      <c r="T524" s="37" t="str">
        <f t="shared" si="88"/>
        <v/>
      </c>
      <c r="U524" s="29" t="str">
        <f t="shared" si="89"/>
        <v/>
      </c>
      <c r="V524" s="33"/>
    </row>
    <row r="525" spans="1:22" x14ac:dyDescent="0.25">
      <c r="A525" s="30"/>
      <c r="B525" s="34" t="str">
        <f t="shared" si="80"/>
        <v/>
      </c>
      <c r="C525" s="34" t="str">
        <f t="shared" si="81"/>
        <v/>
      </c>
      <c r="D525" s="36" t="str">
        <f t="shared" si="82"/>
        <v/>
      </c>
      <c r="E525" s="36" t="str">
        <f t="shared" si="83"/>
        <v/>
      </c>
      <c r="F525" s="36" t="str">
        <f t="shared" si="84"/>
        <v/>
      </c>
      <c r="G525" s="30"/>
      <c r="H525" s="33"/>
      <c r="I525" s="31"/>
      <c r="J525" s="31"/>
      <c r="K525" s="13" t="str">
        <f t="shared" si="85"/>
        <v/>
      </c>
      <c r="L525" s="49"/>
      <c r="M525" s="49"/>
      <c r="N525" s="30"/>
      <c r="O525" s="30"/>
      <c r="P525" s="30"/>
      <c r="Q525" s="30"/>
      <c r="R525" s="11" t="str">
        <f t="shared" si="86"/>
        <v/>
      </c>
      <c r="S525" s="55" t="str">
        <f t="shared" si="87"/>
        <v/>
      </c>
      <c r="T525" s="37" t="str">
        <f t="shared" si="88"/>
        <v/>
      </c>
      <c r="U525" s="29" t="str">
        <f t="shared" si="89"/>
        <v/>
      </c>
      <c r="V525" s="33"/>
    </row>
    <row r="526" spans="1:22" x14ac:dyDescent="0.25">
      <c r="A526" s="30"/>
      <c r="B526" s="34" t="str">
        <f t="shared" si="80"/>
        <v/>
      </c>
      <c r="C526" s="34" t="str">
        <f t="shared" si="81"/>
        <v/>
      </c>
      <c r="D526" s="36" t="str">
        <f t="shared" si="82"/>
        <v/>
      </c>
      <c r="E526" s="36" t="str">
        <f t="shared" si="83"/>
        <v/>
      </c>
      <c r="F526" s="36" t="str">
        <f t="shared" si="84"/>
        <v/>
      </c>
      <c r="G526" s="30"/>
      <c r="H526" s="33"/>
      <c r="I526" s="31"/>
      <c r="J526" s="31"/>
      <c r="K526" s="13" t="str">
        <f t="shared" si="85"/>
        <v/>
      </c>
      <c r="L526" s="49"/>
      <c r="M526" s="49"/>
      <c r="N526" s="30"/>
      <c r="O526" s="30"/>
      <c r="P526" s="30"/>
      <c r="Q526" s="30"/>
      <c r="R526" s="11" t="str">
        <f t="shared" si="86"/>
        <v/>
      </c>
      <c r="S526" s="55" t="str">
        <f t="shared" si="87"/>
        <v/>
      </c>
      <c r="T526" s="37" t="str">
        <f t="shared" si="88"/>
        <v/>
      </c>
      <c r="U526" s="29" t="str">
        <f t="shared" si="89"/>
        <v/>
      </c>
      <c r="V526" s="33"/>
    </row>
    <row r="527" spans="1:22" x14ac:dyDescent="0.25">
      <c r="A527" s="30"/>
      <c r="B527" s="34" t="str">
        <f t="shared" si="80"/>
        <v/>
      </c>
      <c r="C527" s="34" t="str">
        <f t="shared" si="81"/>
        <v/>
      </c>
      <c r="D527" s="36" t="str">
        <f t="shared" si="82"/>
        <v/>
      </c>
      <c r="E527" s="36" t="str">
        <f t="shared" si="83"/>
        <v/>
      </c>
      <c r="F527" s="36" t="str">
        <f t="shared" si="84"/>
        <v/>
      </c>
      <c r="G527" s="30"/>
      <c r="H527" s="33"/>
      <c r="I527" s="31"/>
      <c r="J527" s="31"/>
      <c r="K527" s="13" t="str">
        <f t="shared" si="85"/>
        <v/>
      </c>
      <c r="L527" s="49"/>
      <c r="M527" s="49"/>
      <c r="N527" s="30"/>
      <c r="O527" s="30"/>
      <c r="P527" s="30"/>
      <c r="Q527" s="30"/>
      <c r="R527" s="11" t="str">
        <f t="shared" si="86"/>
        <v/>
      </c>
      <c r="S527" s="55" t="str">
        <f t="shared" si="87"/>
        <v/>
      </c>
      <c r="T527" s="37" t="str">
        <f t="shared" si="88"/>
        <v/>
      </c>
      <c r="U527" s="29" t="str">
        <f t="shared" si="89"/>
        <v/>
      </c>
      <c r="V527" s="33"/>
    </row>
    <row r="528" spans="1:22" x14ac:dyDescent="0.25">
      <c r="A528" s="30"/>
      <c r="B528" s="34" t="str">
        <f t="shared" si="80"/>
        <v/>
      </c>
      <c r="C528" s="34" t="str">
        <f t="shared" si="81"/>
        <v/>
      </c>
      <c r="D528" s="36" t="str">
        <f t="shared" si="82"/>
        <v/>
      </c>
      <c r="E528" s="36" t="str">
        <f t="shared" si="83"/>
        <v/>
      </c>
      <c r="F528" s="36" t="str">
        <f t="shared" si="84"/>
        <v/>
      </c>
      <c r="G528" s="30"/>
      <c r="H528" s="33"/>
      <c r="I528" s="31"/>
      <c r="J528" s="31"/>
      <c r="K528" s="13" t="str">
        <f t="shared" si="85"/>
        <v/>
      </c>
      <c r="L528" s="49"/>
      <c r="M528" s="49"/>
      <c r="N528" s="30"/>
      <c r="O528" s="30"/>
      <c r="P528" s="30"/>
      <c r="Q528" s="30"/>
      <c r="R528" s="11" t="str">
        <f t="shared" si="86"/>
        <v/>
      </c>
      <c r="S528" s="55" t="str">
        <f t="shared" si="87"/>
        <v/>
      </c>
      <c r="T528" s="37" t="str">
        <f t="shared" si="88"/>
        <v/>
      </c>
      <c r="U528" s="29" t="str">
        <f t="shared" si="89"/>
        <v/>
      </c>
      <c r="V528" s="33"/>
    </row>
    <row r="529" spans="1:22" x14ac:dyDescent="0.25">
      <c r="A529" s="30"/>
      <c r="B529" s="34" t="str">
        <f t="shared" si="80"/>
        <v/>
      </c>
      <c r="C529" s="34" t="str">
        <f t="shared" si="81"/>
        <v/>
      </c>
      <c r="D529" s="36" t="str">
        <f t="shared" si="82"/>
        <v/>
      </c>
      <c r="E529" s="36" t="str">
        <f t="shared" si="83"/>
        <v/>
      </c>
      <c r="F529" s="36" t="str">
        <f t="shared" si="84"/>
        <v/>
      </c>
      <c r="G529" s="30"/>
      <c r="H529" s="33"/>
      <c r="I529" s="31"/>
      <c r="J529" s="31"/>
      <c r="K529" s="13" t="str">
        <f t="shared" si="85"/>
        <v/>
      </c>
      <c r="L529" s="49"/>
      <c r="M529" s="49"/>
      <c r="N529" s="30"/>
      <c r="O529" s="30"/>
      <c r="P529" s="30"/>
      <c r="Q529" s="30"/>
      <c r="R529" s="11" t="str">
        <f t="shared" si="86"/>
        <v/>
      </c>
      <c r="S529" s="55" t="str">
        <f t="shared" si="87"/>
        <v/>
      </c>
      <c r="T529" s="37" t="str">
        <f t="shared" si="88"/>
        <v/>
      </c>
      <c r="U529" s="29" t="str">
        <f t="shared" si="89"/>
        <v/>
      </c>
      <c r="V529" s="33"/>
    </row>
    <row r="530" spans="1:22" x14ac:dyDescent="0.25">
      <c r="A530" s="30"/>
      <c r="B530" s="34" t="str">
        <f t="shared" si="80"/>
        <v/>
      </c>
      <c r="C530" s="34" t="str">
        <f t="shared" si="81"/>
        <v/>
      </c>
      <c r="D530" s="36" t="str">
        <f t="shared" si="82"/>
        <v/>
      </c>
      <c r="E530" s="36" t="str">
        <f t="shared" si="83"/>
        <v/>
      </c>
      <c r="F530" s="36" t="str">
        <f t="shared" si="84"/>
        <v/>
      </c>
      <c r="G530" s="30"/>
      <c r="H530" s="33"/>
      <c r="I530" s="31"/>
      <c r="J530" s="31"/>
      <c r="K530" s="13" t="str">
        <f t="shared" si="85"/>
        <v/>
      </c>
      <c r="L530" s="49"/>
      <c r="M530" s="49"/>
      <c r="N530" s="30"/>
      <c r="O530" s="30"/>
      <c r="P530" s="30"/>
      <c r="Q530" s="30"/>
      <c r="R530" s="11" t="str">
        <f t="shared" si="86"/>
        <v/>
      </c>
      <c r="S530" s="55" t="str">
        <f t="shared" si="87"/>
        <v/>
      </c>
      <c r="T530" s="37" t="str">
        <f t="shared" si="88"/>
        <v/>
      </c>
      <c r="U530" s="29" t="str">
        <f t="shared" si="89"/>
        <v/>
      </c>
      <c r="V530" s="33"/>
    </row>
    <row r="531" spans="1:22" x14ac:dyDescent="0.25">
      <c r="A531" s="30"/>
      <c r="B531" s="34" t="str">
        <f t="shared" si="80"/>
        <v/>
      </c>
      <c r="C531" s="34" t="str">
        <f t="shared" si="81"/>
        <v/>
      </c>
      <c r="D531" s="36" t="str">
        <f t="shared" si="82"/>
        <v/>
      </c>
      <c r="E531" s="36" t="str">
        <f t="shared" si="83"/>
        <v/>
      </c>
      <c r="F531" s="36" t="str">
        <f t="shared" si="84"/>
        <v/>
      </c>
      <c r="G531" s="30"/>
      <c r="H531" s="33"/>
      <c r="I531" s="31"/>
      <c r="J531" s="31"/>
      <c r="K531" s="13" t="str">
        <f t="shared" si="85"/>
        <v/>
      </c>
      <c r="L531" s="49"/>
      <c r="M531" s="49"/>
      <c r="N531" s="30"/>
      <c r="O531" s="30"/>
      <c r="P531" s="30"/>
      <c r="Q531" s="30"/>
      <c r="R531" s="11" t="str">
        <f t="shared" si="86"/>
        <v/>
      </c>
      <c r="S531" s="55" t="str">
        <f t="shared" si="87"/>
        <v/>
      </c>
      <c r="T531" s="37" t="str">
        <f t="shared" si="88"/>
        <v/>
      </c>
      <c r="U531" s="29" t="str">
        <f t="shared" si="89"/>
        <v/>
      </c>
      <c r="V531" s="33"/>
    </row>
    <row r="532" spans="1:22" x14ac:dyDescent="0.25">
      <c r="A532" s="30"/>
      <c r="B532" s="34" t="str">
        <f t="shared" si="80"/>
        <v/>
      </c>
      <c r="C532" s="34" t="str">
        <f t="shared" si="81"/>
        <v/>
      </c>
      <c r="D532" s="36" t="str">
        <f t="shared" si="82"/>
        <v/>
      </c>
      <c r="E532" s="36" t="str">
        <f t="shared" si="83"/>
        <v/>
      </c>
      <c r="F532" s="36" t="str">
        <f t="shared" si="84"/>
        <v/>
      </c>
      <c r="G532" s="30"/>
      <c r="H532" s="33"/>
      <c r="I532" s="31"/>
      <c r="J532" s="31"/>
      <c r="K532" s="13" t="str">
        <f t="shared" si="85"/>
        <v/>
      </c>
      <c r="L532" s="49"/>
      <c r="M532" s="49"/>
      <c r="N532" s="30"/>
      <c r="O532" s="30"/>
      <c r="P532" s="30"/>
      <c r="Q532" s="30"/>
      <c r="R532" s="11" t="str">
        <f t="shared" si="86"/>
        <v/>
      </c>
      <c r="S532" s="55" t="str">
        <f t="shared" si="87"/>
        <v/>
      </c>
      <c r="T532" s="37" t="str">
        <f t="shared" si="88"/>
        <v/>
      </c>
      <c r="U532" s="29" t="str">
        <f t="shared" si="89"/>
        <v/>
      </c>
      <c r="V532" s="33"/>
    </row>
    <row r="533" spans="1:22" x14ac:dyDescent="0.25">
      <c r="A533" s="30"/>
      <c r="B533" s="34" t="str">
        <f t="shared" si="80"/>
        <v/>
      </c>
      <c r="C533" s="34" t="str">
        <f t="shared" si="81"/>
        <v/>
      </c>
      <c r="D533" s="36" t="str">
        <f t="shared" si="82"/>
        <v/>
      </c>
      <c r="E533" s="36" t="str">
        <f t="shared" si="83"/>
        <v/>
      </c>
      <c r="F533" s="36" t="str">
        <f t="shared" si="84"/>
        <v/>
      </c>
      <c r="G533" s="30"/>
      <c r="H533" s="33"/>
      <c r="I533" s="31"/>
      <c r="J533" s="31"/>
      <c r="K533" s="13" t="str">
        <f t="shared" si="85"/>
        <v/>
      </c>
      <c r="L533" s="49"/>
      <c r="M533" s="49"/>
      <c r="N533" s="30"/>
      <c r="O533" s="30"/>
      <c r="P533" s="30"/>
      <c r="Q533" s="30"/>
      <c r="R533" s="11" t="str">
        <f t="shared" si="86"/>
        <v/>
      </c>
      <c r="S533" s="55" t="str">
        <f t="shared" si="87"/>
        <v/>
      </c>
      <c r="T533" s="37" t="str">
        <f t="shared" si="88"/>
        <v/>
      </c>
      <c r="U533" s="29" t="str">
        <f t="shared" si="89"/>
        <v/>
      </c>
      <c r="V533" s="33"/>
    </row>
    <row r="534" spans="1:22" x14ac:dyDescent="0.25">
      <c r="A534" s="30"/>
      <c r="B534" s="34" t="str">
        <f t="shared" si="80"/>
        <v/>
      </c>
      <c r="C534" s="34" t="str">
        <f t="shared" si="81"/>
        <v/>
      </c>
      <c r="D534" s="36" t="str">
        <f t="shared" si="82"/>
        <v/>
      </c>
      <c r="E534" s="36" t="str">
        <f t="shared" si="83"/>
        <v/>
      </c>
      <c r="F534" s="36" t="str">
        <f t="shared" si="84"/>
        <v/>
      </c>
      <c r="G534" s="30"/>
      <c r="H534" s="33"/>
      <c r="I534" s="31"/>
      <c r="J534" s="31"/>
      <c r="K534" s="13" t="str">
        <f t="shared" si="85"/>
        <v/>
      </c>
      <c r="L534" s="49"/>
      <c r="M534" s="49"/>
      <c r="N534" s="30"/>
      <c r="O534" s="30"/>
      <c r="P534" s="30"/>
      <c r="Q534" s="30"/>
      <c r="R534" s="11" t="str">
        <f t="shared" si="86"/>
        <v/>
      </c>
      <c r="S534" s="55" t="str">
        <f t="shared" si="87"/>
        <v/>
      </c>
      <c r="T534" s="37" t="str">
        <f t="shared" si="88"/>
        <v/>
      </c>
      <c r="U534" s="29" t="str">
        <f t="shared" si="89"/>
        <v/>
      </c>
      <c r="V534" s="33"/>
    </row>
    <row r="535" spans="1:22" x14ac:dyDescent="0.25">
      <c r="A535" s="30"/>
      <c r="B535" s="34" t="str">
        <f t="shared" si="80"/>
        <v/>
      </c>
      <c r="C535" s="34" t="str">
        <f t="shared" si="81"/>
        <v/>
      </c>
      <c r="D535" s="36" t="str">
        <f t="shared" si="82"/>
        <v/>
      </c>
      <c r="E535" s="36" t="str">
        <f t="shared" si="83"/>
        <v/>
      </c>
      <c r="F535" s="36" t="str">
        <f t="shared" si="84"/>
        <v/>
      </c>
      <c r="G535" s="30"/>
      <c r="H535" s="33"/>
      <c r="I535" s="31"/>
      <c r="J535" s="31"/>
      <c r="K535" s="13" t="str">
        <f t="shared" si="85"/>
        <v/>
      </c>
      <c r="L535" s="49"/>
      <c r="M535" s="49"/>
      <c r="N535" s="30"/>
      <c r="O535" s="30"/>
      <c r="P535" s="30"/>
      <c r="Q535" s="30"/>
      <c r="R535" s="11" t="str">
        <f t="shared" si="86"/>
        <v/>
      </c>
      <c r="S535" s="55" t="str">
        <f t="shared" si="87"/>
        <v/>
      </c>
      <c r="T535" s="37" t="str">
        <f t="shared" si="88"/>
        <v/>
      </c>
      <c r="U535" s="29" t="str">
        <f t="shared" si="89"/>
        <v/>
      </c>
      <c r="V535" s="33"/>
    </row>
    <row r="536" spans="1:22" x14ac:dyDescent="0.25">
      <c r="A536" s="30"/>
      <c r="B536" s="34" t="str">
        <f t="shared" si="80"/>
        <v/>
      </c>
      <c r="C536" s="34" t="str">
        <f t="shared" si="81"/>
        <v/>
      </c>
      <c r="D536" s="36" t="str">
        <f t="shared" si="82"/>
        <v/>
      </c>
      <c r="E536" s="36" t="str">
        <f t="shared" si="83"/>
        <v/>
      </c>
      <c r="F536" s="36" t="str">
        <f t="shared" si="84"/>
        <v/>
      </c>
      <c r="G536" s="30"/>
      <c r="H536" s="33"/>
      <c r="I536" s="31"/>
      <c r="J536" s="31"/>
      <c r="K536" s="13" t="str">
        <f t="shared" si="85"/>
        <v/>
      </c>
      <c r="L536" s="49"/>
      <c r="M536" s="49"/>
      <c r="N536" s="30"/>
      <c r="O536" s="30"/>
      <c r="P536" s="30"/>
      <c r="Q536" s="30"/>
      <c r="R536" s="11" t="str">
        <f t="shared" si="86"/>
        <v/>
      </c>
      <c r="S536" s="55" t="str">
        <f t="shared" si="87"/>
        <v/>
      </c>
      <c r="T536" s="37" t="str">
        <f t="shared" si="88"/>
        <v/>
      </c>
      <c r="U536" s="29" t="str">
        <f t="shared" si="89"/>
        <v/>
      </c>
      <c r="V536" s="33"/>
    </row>
    <row r="537" spans="1:22" x14ac:dyDescent="0.25">
      <c r="A537" s="30"/>
      <c r="B537" s="34" t="str">
        <f t="shared" si="80"/>
        <v/>
      </c>
      <c r="C537" s="34" t="str">
        <f t="shared" si="81"/>
        <v/>
      </c>
      <c r="D537" s="36" t="str">
        <f t="shared" si="82"/>
        <v/>
      </c>
      <c r="E537" s="36" t="str">
        <f t="shared" si="83"/>
        <v/>
      </c>
      <c r="F537" s="36" t="str">
        <f t="shared" si="84"/>
        <v/>
      </c>
      <c r="G537" s="30"/>
      <c r="H537" s="33"/>
      <c r="I537" s="31"/>
      <c r="J537" s="31"/>
      <c r="K537" s="13" t="str">
        <f t="shared" si="85"/>
        <v/>
      </c>
      <c r="L537" s="49"/>
      <c r="M537" s="49"/>
      <c r="N537" s="30"/>
      <c r="O537" s="30"/>
      <c r="P537" s="30"/>
      <c r="Q537" s="30"/>
      <c r="R537" s="11" t="str">
        <f t="shared" si="86"/>
        <v/>
      </c>
      <c r="S537" s="55" t="str">
        <f t="shared" si="87"/>
        <v/>
      </c>
      <c r="T537" s="37" t="str">
        <f t="shared" si="88"/>
        <v/>
      </c>
      <c r="U537" s="29" t="str">
        <f t="shared" si="89"/>
        <v/>
      </c>
      <c r="V537" s="33"/>
    </row>
    <row r="538" spans="1:22" x14ac:dyDescent="0.25">
      <c r="A538" s="30"/>
      <c r="B538" s="34" t="str">
        <f t="shared" si="80"/>
        <v/>
      </c>
      <c r="C538" s="34" t="str">
        <f t="shared" si="81"/>
        <v/>
      </c>
      <c r="D538" s="36" t="str">
        <f t="shared" si="82"/>
        <v/>
      </c>
      <c r="E538" s="36" t="str">
        <f t="shared" si="83"/>
        <v/>
      </c>
      <c r="F538" s="36" t="str">
        <f t="shared" si="84"/>
        <v/>
      </c>
      <c r="G538" s="30"/>
      <c r="H538" s="33"/>
      <c r="I538" s="31"/>
      <c r="J538" s="31"/>
      <c r="K538" s="13" t="str">
        <f t="shared" si="85"/>
        <v/>
      </c>
      <c r="L538" s="49"/>
      <c r="M538" s="49"/>
      <c r="N538" s="30"/>
      <c r="O538" s="30"/>
      <c r="P538" s="30"/>
      <c r="Q538" s="30"/>
      <c r="R538" s="11" t="str">
        <f t="shared" si="86"/>
        <v/>
      </c>
      <c r="S538" s="55" t="str">
        <f t="shared" si="87"/>
        <v/>
      </c>
      <c r="T538" s="37" t="str">
        <f t="shared" si="88"/>
        <v/>
      </c>
      <c r="U538" s="29" t="str">
        <f t="shared" si="89"/>
        <v/>
      </c>
      <c r="V538" s="33"/>
    </row>
    <row r="539" spans="1:22" x14ac:dyDescent="0.25">
      <c r="A539" s="30"/>
      <c r="B539" s="34" t="str">
        <f t="shared" si="80"/>
        <v/>
      </c>
      <c r="C539" s="34" t="str">
        <f t="shared" si="81"/>
        <v/>
      </c>
      <c r="D539" s="36" t="str">
        <f t="shared" si="82"/>
        <v/>
      </c>
      <c r="E539" s="36" t="str">
        <f t="shared" si="83"/>
        <v/>
      </c>
      <c r="F539" s="36" t="str">
        <f t="shared" si="84"/>
        <v/>
      </c>
      <c r="G539" s="30"/>
      <c r="H539" s="33"/>
      <c r="I539" s="31"/>
      <c r="J539" s="31"/>
      <c r="K539" s="13" t="str">
        <f t="shared" si="85"/>
        <v/>
      </c>
      <c r="L539" s="49"/>
      <c r="M539" s="49"/>
      <c r="N539" s="30"/>
      <c r="O539" s="30"/>
      <c r="P539" s="30"/>
      <c r="Q539" s="30"/>
      <c r="R539" s="11" t="str">
        <f t="shared" si="86"/>
        <v/>
      </c>
      <c r="S539" s="55" t="str">
        <f t="shared" si="87"/>
        <v/>
      </c>
      <c r="T539" s="37" t="str">
        <f t="shared" si="88"/>
        <v/>
      </c>
      <c r="U539" s="29" t="str">
        <f t="shared" si="89"/>
        <v/>
      </c>
      <c r="V539" s="33"/>
    </row>
    <row r="540" spans="1:22" x14ac:dyDescent="0.25">
      <c r="A540" s="30"/>
      <c r="B540" s="34" t="str">
        <f t="shared" si="80"/>
        <v/>
      </c>
      <c r="C540" s="34" t="str">
        <f t="shared" si="81"/>
        <v/>
      </c>
      <c r="D540" s="36" t="str">
        <f t="shared" si="82"/>
        <v/>
      </c>
      <c r="E540" s="36" t="str">
        <f t="shared" si="83"/>
        <v/>
      </c>
      <c r="F540" s="36" t="str">
        <f t="shared" si="84"/>
        <v/>
      </c>
      <c r="G540" s="30"/>
      <c r="H540" s="33"/>
      <c r="I540" s="31"/>
      <c r="J540" s="31"/>
      <c r="K540" s="13" t="str">
        <f t="shared" si="85"/>
        <v/>
      </c>
      <c r="L540" s="49"/>
      <c r="M540" s="49"/>
      <c r="N540" s="30"/>
      <c r="O540" s="30"/>
      <c r="P540" s="30"/>
      <c r="Q540" s="30"/>
      <c r="R540" s="11" t="str">
        <f t="shared" si="86"/>
        <v/>
      </c>
      <c r="S540" s="55" t="str">
        <f t="shared" si="87"/>
        <v/>
      </c>
      <c r="T540" s="37" t="str">
        <f t="shared" si="88"/>
        <v/>
      </c>
      <c r="U540" s="29" t="str">
        <f t="shared" si="89"/>
        <v/>
      </c>
      <c r="V540" s="33"/>
    </row>
    <row r="541" spans="1:22" x14ac:dyDescent="0.25">
      <c r="A541" s="30"/>
      <c r="B541" s="34" t="str">
        <f t="shared" si="80"/>
        <v/>
      </c>
      <c r="C541" s="34" t="str">
        <f t="shared" si="81"/>
        <v/>
      </c>
      <c r="D541" s="36" t="str">
        <f t="shared" si="82"/>
        <v/>
      </c>
      <c r="E541" s="36" t="str">
        <f t="shared" si="83"/>
        <v/>
      </c>
      <c r="F541" s="36" t="str">
        <f t="shared" si="84"/>
        <v/>
      </c>
      <c r="G541" s="30"/>
      <c r="H541" s="33"/>
      <c r="I541" s="31"/>
      <c r="J541" s="31"/>
      <c r="K541" s="13" t="str">
        <f t="shared" si="85"/>
        <v/>
      </c>
      <c r="L541" s="49"/>
      <c r="M541" s="49"/>
      <c r="N541" s="30"/>
      <c r="O541" s="30"/>
      <c r="P541" s="30"/>
      <c r="Q541" s="30"/>
      <c r="R541" s="11" t="str">
        <f t="shared" si="86"/>
        <v/>
      </c>
      <c r="S541" s="55" t="str">
        <f t="shared" si="87"/>
        <v/>
      </c>
      <c r="T541" s="37" t="str">
        <f t="shared" si="88"/>
        <v/>
      </c>
      <c r="U541" s="29" t="str">
        <f t="shared" si="89"/>
        <v/>
      </c>
      <c r="V541" s="33"/>
    </row>
    <row r="542" spans="1:22" x14ac:dyDescent="0.25">
      <c r="A542" s="30"/>
      <c r="B542" s="34" t="str">
        <f t="shared" si="80"/>
        <v/>
      </c>
      <c r="C542" s="34" t="str">
        <f t="shared" si="81"/>
        <v/>
      </c>
      <c r="D542" s="36" t="str">
        <f t="shared" si="82"/>
        <v/>
      </c>
      <c r="E542" s="36" t="str">
        <f t="shared" si="83"/>
        <v/>
      </c>
      <c r="F542" s="36" t="str">
        <f t="shared" si="84"/>
        <v/>
      </c>
      <c r="G542" s="30"/>
      <c r="H542" s="33"/>
      <c r="I542" s="31"/>
      <c r="J542" s="31"/>
      <c r="K542" s="13" t="str">
        <f t="shared" si="85"/>
        <v/>
      </c>
      <c r="L542" s="49"/>
      <c r="M542" s="49"/>
      <c r="N542" s="30"/>
      <c r="O542" s="30"/>
      <c r="P542" s="30"/>
      <c r="Q542" s="30"/>
      <c r="R542" s="11" t="str">
        <f t="shared" si="86"/>
        <v/>
      </c>
      <c r="S542" s="55" t="str">
        <f t="shared" si="87"/>
        <v/>
      </c>
      <c r="T542" s="37" t="str">
        <f t="shared" si="88"/>
        <v/>
      </c>
      <c r="U542" s="29" t="str">
        <f t="shared" si="89"/>
        <v/>
      </c>
      <c r="V542" s="33"/>
    </row>
    <row r="543" spans="1:22" x14ac:dyDescent="0.25">
      <c r="A543" s="30"/>
      <c r="B543" s="34" t="str">
        <f t="shared" si="80"/>
        <v/>
      </c>
      <c r="C543" s="34" t="str">
        <f t="shared" si="81"/>
        <v/>
      </c>
      <c r="D543" s="36" t="str">
        <f t="shared" si="82"/>
        <v/>
      </c>
      <c r="E543" s="36" t="str">
        <f t="shared" si="83"/>
        <v/>
      </c>
      <c r="F543" s="36" t="str">
        <f t="shared" si="84"/>
        <v/>
      </c>
      <c r="G543" s="30"/>
      <c r="H543" s="33"/>
      <c r="I543" s="31"/>
      <c r="J543" s="31"/>
      <c r="K543" s="13" t="str">
        <f t="shared" si="85"/>
        <v/>
      </c>
      <c r="L543" s="49"/>
      <c r="M543" s="49"/>
      <c r="N543" s="30"/>
      <c r="O543" s="30"/>
      <c r="P543" s="30"/>
      <c r="Q543" s="30"/>
      <c r="R543" s="11" t="str">
        <f t="shared" si="86"/>
        <v/>
      </c>
      <c r="S543" s="55" t="str">
        <f t="shared" si="87"/>
        <v/>
      </c>
      <c r="T543" s="37" t="str">
        <f t="shared" si="88"/>
        <v/>
      </c>
      <c r="U543" s="29" t="str">
        <f t="shared" si="89"/>
        <v/>
      </c>
      <c r="V543" s="33"/>
    </row>
    <row r="544" spans="1:22" x14ac:dyDescent="0.25">
      <c r="A544" s="30"/>
      <c r="B544" s="34" t="str">
        <f t="shared" si="80"/>
        <v/>
      </c>
      <c r="C544" s="34" t="str">
        <f t="shared" si="81"/>
        <v/>
      </c>
      <c r="D544" s="36" t="str">
        <f t="shared" si="82"/>
        <v/>
      </c>
      <c r="E544" s="36" t="str">
        <f t="shared" si="83"/>
        <v/>
      </c>
      <c r="F544" s="36" t="str">
        <f t="shared" si="84"/>
        <v/>
      </c>
      <c r="G544" s="30"/>
      <c r="H544" s="33"/>
      <c r="I544" s="31"/>
      <c r="J544" s="31"/>
      <c r="K544" s="13" t="str">
        <f t="shared" si="85"/>
        <v/>
      </c>
      <c r="L544" s="49"/>
      <c r="M544" s="49"/>
      <c r="N544" s="30"/>
      <c r="O544" s="30"/>
      <c r="P544" s="30"/>
      <c r="Q544" s="30"/>
      <c r="R544" s="11" t="str">
        <f t="shared" si="86"/>
        <v/>
      </c>
      <c r="S544" s="55" t="str">
        <f t="shared" si="87"/>
        <v/>
      </c>
      <c r="T544" s="37" t="str">
        <f t="shared" si="88"/>
        <v/>
      </c>
      <c r="U544" s="29" t="str">
        <f t="shared" si="89"/>
        <v/>
      </c>
      <c r="V544" s="33"/>
    </row>
    <row r="545" spans="1:22" x14ac:dyDescent="0.25">
      <c r="A545" s="30"/>
      <c r="B545" s="34" t="str">
        <f t="shared" si="80"/>
        <v/>
      </c>
      <c r="C545" s="34" t="str">
        <f t="shared" si="81"/>
        <v/>
      </c>
      <c r="D545" s="36" t="str">
        <f t="shared" si="82"/>
        <v/>
      </c>
      <c r="E545" s="36" t="str">
        <f t="shared" si="83"/>
        <v/>
      </c>
      <c r="F545" s="36" t="str">
        <f t="shared" si="84"/>
        <v/>
      </c>
      <c r="G545" s="30"/>
      <c r="H545" s="33"/>
      <c r="I545" s="31"/>
      <c r="J545" s="31"/>
      <c r="K545" s="13" t="str">
        <f t="shared" si="85"/>
        <v/>
      </c>
      <c r="L545" s="49"/>
      <c r="M545" s="49"/>
      <c r="N545" s="30"/>
      <c r="O545" s="30"/>
      <c r="P545" s="30"/>
      <c r="Q545" s="30"/>
      <c r="R545" s="11" t="str">
        <f t="shared" si="86"/>
        <v/>
      </c>
      <c r="S545" s="55" t="str">
        <f t="shared" si="87"/>
        <v/>
      </c>
      <c r="T545" s="37" t="str">
        <f t="shared" si="88"/>
        <v/>
      </c>
      <c r="U545" s="29" t="str">
        <f t="shared" si="89"/>
        <v/>
      </c>
      <c r="V545" s="33"/>
    </row>
    <row r="546" spans="1:22" x14ac:dyDescent="0.25">
      <c r="A546" s="30"/>
      <c r="B546" s="34" t="str">
        <f t="shared" si="80"/>
        <v/>
      </c>
      <c r="C546" s="34" t="str">
        <f t="shared" si="81"/>
        <v/>
      </c>
      <c r="D546" s="36" t="str">
        <f t="shared" si="82"/>
        <v/>
      </c>
      <c r="E546" s="36" t="str">
        <f t="shared" si="83"/>
        <v/>
      </c>
      <c r="F546" s="36" t="str">
        <f t="shared" si="84"/>
        <v/>
      </c>
      <c r="G546" s="30"/>
      <c r="H546" s="33"/>
      <c r="I546" s="31"/>
      <c r="J546" s="31"/>
      <c r="K546" s="13" t="str">
        <f t="shared" si="85"/>
        <v/>
      </c>
      <c r="L546" s="49"/>
      <c r="M546" s="49"/>
      <c r="N546" s="30"/>
      <c r="O546" s="30"/>
      <c r="P546" s="30"/>
      <c r="Q546" s="30"/>
      <c r="R546" s="11" t="str">
        <f t="shared" si="86"/>
        <v/>
      </c>
      <c r="S546" s="55" t="str">
        <f t="shared" si="87"/>
        <v/>
      </c>
      <c r="T546" s="37" t="str">
        <f t="shared" si="88"/>
        <v/>
      </c>
      <c r="U546" s="29" t="str">
        <f t="shared" si="89"/>
        <v/>
      </c>
      <c r="V546" s="33"/>
    </row>
    <row r="547" spans="1:22" x14ac:dyDescent="0.25">
      <c r="A547" s="30"/>
      <c r="B547" s="34" t="str">
        <f t="shared" si="80"/>
        <v/>
      </c>
      <c r="C547" s="34" t="str">
        <f t="shared" si="81"/>
        <v/>
      </c>
      <c r="D547" s="36" t="str">
        <f t="shared" si="82"/>
        <v/>
      </c>
      <c r="E547" s="36" t="str">
        <f t="shared" si="83"/>
        <v/>
      </c>
      <c r="F547" s="36" t="str">
        <f t="shared" si="84"/>
        <v/>
      </c>
      <c r="G547" s="30"/>
      <c r="H547" s="33"/>
      <c r="I547" s="31"/>
      <c r="J547" s="31"/>
      <c r="K547" s="13" t="str">
        <f t="shared" si="85"/>
        <v/>
      </c>
      <c r="L547" s="49"/>
      <c r="M547" s="49"/>
      <c r="N547" s="30"/>
      <c r="O547" s="30"/>
      <c r="P547" s="30"/>
      <c r="Q547" s="30"/>
      <c r="R547" s="11" t="str">
        <f t="shared" si="86"/>
        <v/>
      </c>
      <c r="S547" s="55" t="str">
        <f t="shared" si="87"/>
        <v/>
      </c>
      <c r="T547" s="37" t="str">
        <f t="shared" si="88"/>
        <v/>
      </c>
      <c r="U547" s="29" t="str">
        <f t="shared" si="89"/>
        <v/>
      </c>
      <c r="V547" s="33"/>
    </row>
    <row r="548" spans="1:22" x14ac:dyDescent="0.25">
      <c r="A548" s="30"/>
      <c r="B548" s="34" t="str">
        <f t="shared" si="80"/>
        <v/>
      </c>
      <c r="C548" s="34" t="str">
        <f t="shared" si="81"/>
        <v/>
      </c>
      <c r="D548" s="36" t="str">
        <f t="shared" si="82"/>
        <v/>
      </c>
      <c r="E548" s="36" t="str">
        <f t="shared" si="83"/>
        <v/>
      </c>
      <c r="F548" s="36" t="str">
        <f t="shared" si="84"/>
        <v/>
      </c>
      <c r="G548" s="30"/>
      <c r="H548" s="33"/>
      <c r="I548" s="31"/>
      <c r="J548" s="31"/>
      <c r="K548" s="13" t="str">
        <f t="shared" si="85"/>
        <v/>
      </c>
      <c r="L548" s="49"/>
      <c r="M548" s="49"/>
      <c r="N548" s="30"/>
      <c r="O548" s="30"/>
      <c r="P548" s="30"/>
      <c r="Q548" s="30"/>
      <c r="R548" s="11" t="str">
        <f t="shared" si="86"/>
        <v/>
      </c>
      <c r="S548" s="55" t="str">
        <f t="shared" si="87"/>
        <v/>
      </c>
      <c r="T548" s="37" t="str">
        <f t="shared" si="88"/>
        <v/>
      </c>
      <c r="U548" s="29" t="str">
        <f t="shared" si="89"/>
        <v/>
      </c>
      <c r="V548" s="33"/>
    </row>
    <row r="549" spans="1:22" x14ac:dyDescent="0.25">
      <c r="A549" s="30"/>
      <c r="B549" s="34" t="str">
        <f t="shared" si="80"/>
        <v/>
      </c>
      <c r="C549" s="34" t="str">
        <f t="shared" si="81"/>
        <v/>
      </c>
      <c r="D549" s="36" t="str">
        <f t="shared" si="82"/>
        <v/>
      </c>
      <c r="E549" s="36" t="str">
        <f t="shared" si="83"/>
        <v/>
      </c>
      <c r="F549" s="36" t="str">
        <f t="shared" si="84"/>
        <v/>
      </c>
      <c r="G549" s="30"/>
      <c r="H549" s="33"/>
      <c r="I549" s="31"/>
      <c r="J549" s="31"/>
      <c r="K549" s="13" t="str">
        <f t="shared" si="85"/>
        <v/>
      </c>
      <c r="L549" s="49"/>
      <c r="M549" s="49"/>
      <c r="N549" s="30"/>
      <c r="O549" s="30"/>
      <c r="P549" s="30"/>
      <c r="Q549" s="30"/>
      <c r="R549" s="11" t="str">
        <f t="shared" si="86"/>
        <v/>
      </c>
      <c r="S549" s="55" t="str">
        <f t="shared" si="87"/>
        <v/>
      </c>
      <c r="T549" s="37" t="str">
        <f t="shared" si="88"/>
        <v/>
      </c>
      <c r="U549" s="29" t="str">
        <f t="shared" si="89"/>
        <v/>
      </c>
      <c r="V549" s="33"/>
    </row>
    <row r="550" spans="1:22" x14ac:dyDescent="0.25">
      <c r="A550" s="30"/>
      <c r="B550" s="34" t="str">
        <f t="shared" si="80"/>
        <v/>
      </c>
      <c r="C550" s="34" t="str">
        <f t="shared" si="81"/>
        <v/>
      </c>
      <c r="D550" s="36" t="str">
        <f t="shared" si="82"/>
        <v/>
      </c>
      <c r="E550" s="36" t="str">
        <f t="shared" si="83"/>
        <v/>
      </c>
      <c r="F550" s="36" t="str">
        <f t="shared" si="84"/>
        <v/>
      </c>
      <c r="G550" s="30"/>
      <c r="H550" s="33"/>
      <c r="I550" s="31"/>
      <c r="J550" s="31"/>
      <c r="K550" s="13" t="str">
        <f t="shared" si="85"/>
        <v/>
      </c>
      <c r="L550" s="49"/>
      <c r="M550" s="49"/>
      <c r="N550" s="30"/>
      <c r="O550" s="30"/>
      <c r="P550" s="30"/>
      <c r="Q550" s="30"/>
      <c r="R550" s="11" t="str">
        <f t="shared" si="86"/>
        <v/>
      </c>
      <c r="S550" s="55" t="str">
        <f t="shared" si="87"/>
        <v/>
      </c>
      <c r="T550" s="37" t="str">
        <f t="shared" si="88"/>
        <v/>
      </c>
      <c r="U550" s="29" t="str">
        <f t="shared" si="89"/>
        <v/>
      </c>
      <c r="V550" s="33"/>
    </row>
    <row r="551" spans="1:22" x14ac:dyDescent="0.25">
      <c r="A551" s="30"/>
      <c r="B551" s="34" t="str">
        <f t="shared" si="80"/>
        <v/>
      </c>
      <c r="C551" s="34" t="str">
        <f t="shared" si="81"/>
        <v/>
      </c>
      <c r="D551" s="36" t="str">
        <f t="shared" si="82"/>
        <v/>
      </c>
      <c r="E551" s="36" t="str">
        <f t="shared" si="83"/>
        <v/>
      </c>
      <c r="F551" s="36" t="str">
        <f t="shared" si="84"/>
        <v/>
      </c>
      <c r="G551" s="30"/>
      <c r="H551" s="33"/>
      <c r="I551" s="31"/>
      <c r="J551" s="31"/>
      <c r="K551" s="13" t="str">
        <f t="shared" si="85"/>
        <v/>
      </c>
      <c r="L551" s="49"/>
      <c r="M551" s="49"/>
      <c r="N551" s="30"/>
      <c r="O551" s="30"/>
      <c r="P551" s="30"/>
      <c r="Q551" s="30"/>
      <c r="R551" s="11" t="str">
        <f t="shared" si="86"/>
        <v/>
      </c>
      <c r="S551" s="55" t="str">
        <f t="shared" si="87"/>
        <v/>
      </c>
      <c r="T551" s="37" t="str">
        <f t="shared" si="88"/>
        <v/>
      </c>
      <c r="U551" s="29" t="str">
        <f t="shared" si="89"/>
        <v/>
      </c>
      <c r="V551" s="33"/>
    </row>
    <row r="552" spans="1:22" x14ac:dyDescent="0.25">
      <c r="A552" s="30"/>
      <c r="B552" s="34" t="str">
        <f t="shared" si="80"/>
        <v/>
      </c>
      <c r="C552" s="34" t="str">
        <f t="shared" si="81"/>
        <v/>
      </c>
      <c r="D552" s="36" t="str">
        <f t="shared" si="82"/>
        <v/>
      </c>
      <c r="E552" s="36" t="str">
        <f t="shared" si="83"/>
        <v/>
      </c>
      <c r="F552" s="36" t="str">
        <f t="shared" si="84"/>
        <v/>
      </c>
      <c r="G552" s="30"/>
      <c r="H552" s="33"/>
      <c r="I552" s="31"/>
      <c r="J552" s="31"/>
      <c r="K552" s="13" t="str">
        <f t="shared" si="85"/>
        <v/>
      </c>
      <c r="L552" s="49"/>
      <c r="M552" s="49"/>
      <c r="N552" s="30"/>
      <c r="O552" s="30"/>
      <c r="P552" s="30"/>
      <c r="Q552" s="30"/>
      <c r="R552" s="11" t="str">
        <f t="shared" si="86"/>
        <v/>
      </c>
      <c r="S552" s="55" t="str">
        <f t="shared" si="87"/>
        <v/>
      </c>
      <c r="T552" s="37" t="str">
        <f t="shared" si="88"/>
        <v/>
      </c>
      <c r="U552" s="29" t="str">
        <f t="shared" si="89"/>
        <v/>
      </c>
      <c r="V552" s="33"/>
    </row>
    <row r="553" spans="1:22" x14ac:dyDescent="0.25">
      <c r="A553" s="30"/>
      <c r="B553" s="34" t="str">
        <f t="shared" si="80"/>
        <v/>
      </c>
      <c r="C553" s="34" t="str">
        <f t="shared" si="81"/>
        <v/>
      </c>
      <c r="D553" s="36" t="str">
        <f t="shared" si="82"/>
        <v/>
      </c>
      <c r="E553" s="36" t="str">
        <f t="shared" si="83"/>
        <v/>
      </c>
      <c r="F553" s="36" t="str">
        <f t="shared" si="84"/>
        <v/>
      </c>
      <c r="G553" s="30"/>
      <c r="H553" s="33"/>
      <c r="I553" s="31"/>
      <c r="J553" s="31"/>
      <c r="K553" s="13" t="str">
        <f t="shared" si="85"/>
        <v/>
      </c>
      <c r="L553" s="49"/>
      <c r="M553" s="49"/>
      <c r="N553" s="30"/>
      <c r="O553" s="30"/>
      <c r="P553" s="30"/>
      <c r="Q553" s="30"/>
      <c r="R553" s="11" t="str">
        <f t="shared" si="86"/>
        <v/>
      </c>
      <c r="S553" s="55" t="str">
        <f t="shared" si="87"/>
        <v/>
      </c>
      <c r="T553" s="37" t="str">
        <f t="shared" si="88"/>
        <v/>
      </c>
      <c r="U553" s="29" t="str">
        <f t="shared" si="89"/>
        <v/>
      </c>
      <c r="V553" s="33"/>
    </row>
    <row r="554" spans="1:22" x14ac:dyDescent="0.25">
      <c r="A554" s="30"/>
      <c r="B554" s="34" t="str">
        <f t="shared" si="80"/>
        <v/>
      </c>
      <c r="C554" s="34" t="str">
        <f t="shared" si="81"/>
        <v/>
      </c>
      <c r="D554" s="36" t="str">
        <f t="shared" si="82"/>
        <v/>
      </c>
      <c r="E554" s="36" t="str">
        <f t="shared" si="83"/>
        <v/>
      </c>
      <c r="F554" s="36" t="str">
        <f t="shared" si="84"/>
        <v/>
      </c>
      <c r="G554" s="30"/>
      <c r="H554" s="33"/>
      <c r="I554" s="31"/>
      <c r="J554" s="31"/>
      <c r="K554" s="13" t="str">
        <f t="shared" si="85"/>
        <v/>
      </c>
      <c r="L554" s="49"/>
      <c r="M554" s="49"/>
      <c r="N554" s="30"/>
      <c r="O554" s="30"/>
      <c r="P554" s="30"/>
      <c r="Q554" s="30"/>
      <c r="R554" s="11" t="str">
        <f t="shared" si="86"/>
        <v/>
      </c>
      <c r="S554" s="55" t="str">
        <f t="shared" si="87"/>
        <v/>
      </c>
      <c r="T554" s="37" t="str">
        <f t="shared" si="88"/>
        <v/>
      </c>
      <c r="U554" s="29" t="str">
        <f t="shared" si="89"/>
        <v/>
      </c>
      <c r="V554" s="33"/>
    </row>
    <row r="555" spans="1:22" x14ac:dyDescent="0.25">
      <c r="A555" s="30"/>
      <c r="B555" s="34" t="str">
        <f t="shared" si="80"/>
        <v/>
      </c>
      <c r="C555" s="34" t="str">
        <f t="shared" si="81"/>
        <v/>
      </c>
      <c r="D555" s="36" t="str">
        <f t="shared" si="82"/>
        <v/>
      </c>
      <c r="E555" s="36" t="str">
        <f t="shared" si="83"/>
        <v/>
      </c>
      <c r="F555" s="36" t="str">
        <f t="shared" si="84"/>
        <v/>
      </c>
      <c r="G555" s="30"/>
      <c r="H555" s="33"/>
      <c r="I555" s="31"/>
      <c r="J555" s="31"/>
      <c r="K555" s="13" t="str">
        <f t="shared" si="85"/>
        <v/>
      </c>
      <c r="L555" s="49"/>
      <c r="M555" s="49"/>
      <c r="N555" s="30"/>
      <c r="O555" s="30"/>
      <c r="P555" s="30"/>
      <c r="Q555" s="30"/>
      <c r="R555" s="11" t="str">
        <f t="shared" si="86"/>
        <v/>
      </c>
      <c r="S555" s="55" t="str">
        <f t="shared" si="87"/>
        <v/>
      </c>
      <c r="T555" s="37" t="str">
        <f t="shared" si="88"/>
        <v/>
      </c>
      <c r="U555" s="29" t="str">
        <f t="shared" si="89"/>
        <v/>
      </c>
      <c r="V555" s="33"/>
    </row>
    <row r="556" spans="1:22" x14ac:dyDescent="0.25">
      <c r="A556" s="30"/>
      <c r="B556" s="34" t="str">
        <f t="shared" si="80"/>
        <v/>
      </c>
      <c r="C556" s="34" t="str">
        <f t="shared" si="81"/>
        <v/>
      </c>
      <c r="D556" s="36" t="str">
        <f t="shared" si="82"/>
        <v/>
      </c>
      <c r="E556" s="36" t="str">
        <f t="shared" si="83"/>
        <v/>
      </c>
      <c r="F556" s="36" t="str">
        <f t="shared" si="84"/>
        <v/>
      </c>
      <c r="G556" s="30"/>
      <c r="H556" s="33"/>
      <c r="I556" s="31"/>
      <c r="J556" s="31"/>
      <c r="K556" s="13" t="str">
        <f t="shared" si="85"/>
        <v/>
      </c>
      <c r="L556" s="49"/>
      <c r="M556" s="49"/>
      <c r="N556" s="30"/>
      <c r="O556" s="30"/>
      <c r="P556" s="30"/>
      <c r="Q556" s="30"/>
      <c r="R556" s="11" t="str">
        <f t="shared" si="86"/>
        <v/>
      </c>
      <c r="S556" s="55" t="str">
        <f t="shared" si="87"/>
        <v/>
      </c>
      <c r="T556" s="37" t="str">
        <f t="shared" si="88"/>
        <v/>
      </c>
      <c r="U556" s="29" t="str">
        <f t="shared" si="89"/>
        <v/>
      </c>
      <c r="V556" s="33"/>
    </row>
    <row r="557" spans="1:22" x14ac:dyDescent="0.25">
      <c r="A557" s="30"/>
      <c r="B557" s="34" t="str">
        <f t="shared" si="80"/>
        <v/>
      </c>
      <c r="C557" s="34" t="str">
        <f t="shared" si="81"/>
        <v/>
      </c>
      <c r="D557" s="36" t="str">
        <f t="shared" si="82"/>
        <v/>
      </c>
      <c r="E557" s="36" t="str">
        <f t="shared" si="83"/>
        <v/>
      </c>
      <c r="F557" s="36" t="str">
        <f t="shared" si="84"/>
        <v/>
      </c>
      <c r="G557" s="30"/>
      <c r="H557" s="33"/>
      <c r="I557" s="31"/>
      <c r="J557" s="31"/>
      <c r="K557" s="13" t="str">
        <f t="shared" si="85"/>
        <v/>
      </c>
      <c r="L557" s="49"/>
      <c r="M557" s="49"/>
      <c r="N557" s="30"/>
      <c r="O557" s="30"/>
      <c r="P557" s="30"/>
      <c r="Q557" s="30"/>
      <c r="R557" s="11" t="str">
        <f t="shared" si="86"/>
        <v/>
      </c>
      <c r="S557" s="55" t="str">
        <f t="shared" si="87"/>
        <v/>
      </c>
      <c r="T557" s="37" t="str">
        <f t="shared" si="88"/>
        <v/>
      </c>
      <c r="U557" s="29" t="str">
        <f t="shared" si="89"/>
        <v/>
      </c>
      <c r="V557" s="33"/>
    </row>
    <row r="558" spans="1:22" x14ac:dyDescent="0.25">
      <c r="A558" s="30"/>
      <c r="B558" s="34" t="str">
        <f t="shared" si="80"/>
        <v/>
      </c>
      <c r="C558" s="34" t="str">
        <f t="shared" si="81"/>
        <v/>
      </c>
      <c r="D558" s="36" t="str">
        <f t="shared" si="82"/>
        <v/>
      </c>
      <c r="E558" s="36" t="str">
        <f t="shared" si="83"/>
        <v/>
      </c>
      <c r="F558" s="36" t="str">
        <f t="shared" si="84"/>
        <v/>
      </c>
      <c r="G558" s="30"/>
      <c r="H558" s="33"/>
      <c r="I558" s="31"/>
      <c r="J558" s="31"/>
      <c r="K558" s="13" t="str">
        <f t="shared" si="85"/>
        <v/>
      </c>
      <c r="L558" s="49"/>
      <c r="M558" s="49"/>
      <c r="N558" s="30"/>
      <c r="O558" s="30"/>
      <c r="P558" s="30"/>
      <c r="Q558" s="30"/>
      <c r="R558" s="11" t="str">
        <f t="shared" si="86"/>
        <v/>
      </c>
      <c r="S558" s="55" t="str">
        <f t="shared" si="87"/>
        <v/>
      </c>
      <c r="T558" s="37" t="str">
        <f t="shared" si="88"/>
        <v/>
      </c>
      <c r="U558" s="29" t="str">
        <f t="shared" si="89"/>
        <v/>
      </c>
      <c r="V558" s="33"/>
    </row>
    <row r="559" spans="1:22" x14ac:dyDescent="0.25">
      <c r="A559" s="30"/>
      <c r="B559" s="34" t="str">
        <f t="shared" si="80"/>
        <v/>
      </c>
      <c r="C559" s="34" t="str">
        <f t="shared" si="81"/>
        <v/>
      </c>
      <c r="D559" s="36" t="str">
        <f t="shared" si="82"/>
        <v/>
      </c>
      <c r="E559" s="36" t="str">
        <f t="shared" si="83"/>
        <v/>
      </c>
      <c r="F559" s="36" t="str">
        <f t="shared" si="84"/>
        <v/>
      </c>
      <c r="G559" s="30"/>
      <c r="H559" s="33"/>
      <c r="I559" s="31"/>
      <c r="J559" s="31"/>
      <c r="K559" s="13" t="str">
        <f t="shared" si="85"/>
        <v/>
      </c>
      <c r="L559" s="49"/>
      <c r="M559" s="49"/>
      <c r="N559" s="30"/>
      <c r="O559" s="30"/>
      <c r="P559" s="30"/>
      <c r="Q559" s="30"/>
      <c r="R559" s="11" t="str">
        <f t="shared" si="86"/>
        <v/>
      </c>
      <c r="S559" s="55" t="str">
        <f t="shared" si="87"/>
        <v/>
      </c>
      <c r="T559" s="37" t="str">
        <f t="shared" si="88"/>
        <v/>
      </c>
      <c r="U559" s="29" t="str">
        <f t="shared" si="89"/>
        <v/>
      </c>
      <c r="V559" s="33"/>
    </row>
    <row r="560" spans="1:22" x14ac:dyDescent="0.25">
      <c r="A560" s="30"/>
      <c r="B560" s="34" t="str">
        <f t="shared" si="80"/>
        <v/>
      </c>
      <c r="C560" s="34" t="str">
        <f t="shared" si="81"/>
        <v/>
      </c>
      <c r="D560" s="36" t="str">
        <f t="shared" si="82"/>
        <v/>
      </c>
      <c r="E560" s="36" t="str">
        <f t="shared" si="83"/>
        <v/>
      </c>
      <c r="F560" s="36" t="str">
        <f t="shared" si="84"/>
        <v/>
      </c>
      <c r="G560" s="30"/>
      <c r="H560" s="33"/>
      <c r="I560" s="31"/>
      <c r="J560" s="31"/>
      <c r="K560" s="13" t="str">
        <f t="shared" si="85"/>
        <v/>
      </c>
      <c r="L560" s="49"/>
      <c r="M560" s="49"/>
      <c r="N560" s="30"/>
      <c r="O560" s="30"/>
      <c r="P560" s="30"/>
      <c r="Q560" s="30"/>
      <c r="R560" s="11" t="str">
        <f t="shared" si="86"/>
        <v/>
      </c>
      <c r="S560" s="55" t="str">
        <f t="shared" si="87"/>
        <v/>
      </c>
      <c r="T560" s="37" t="str">
        <f t="shared" si="88"/>
        <v/>
      </c>
      <c r="U560" s="29" t="str">
        <f t="shared" si="89"/>
        <v/>
      </c>
      <c r="V560" s="33"/>
    </row>
    <row r="561" spans="1:22" x14ac:dyDescent="0.25">
      <c r="A561" s="30"/>
      <c r="B561" s="34" t="str">
        <f t="shared" si="80"/>
        <v/>
      </c>
      <c r="C561" s="34" t="str">
        <f t="shared" si="81"/>
        <v/>
      </c>
      <c r="D561" s="36" t="str">
        <f t="shared" si="82"/>
        <v/>
      </c>
      <c r="E561" s="36" t="str">
        <f t="shared" si="83"/>
        <v/>
      </c>
      <c r="F561" s="36" t="str">
        <f t="shared" si="84"/>
        <v/>
      </c>
      <c r="G561" s="30"/>
      <c r="H561" s="33"/>
      <c r="I561" s="31"/>
      <c r="J561" s="31"/>
      <c r="K561" s="13" t="str">
        <f t="shared" si="85"/>
        <v/>
      </c>
      <c r="L561" s="49"/>
      <c r="M561" s="49"/>
      <c r="N561" s="30"/>
      <c r="O561" s="30"/>
      <c r="P561" s="30"/>
      <c r="Q561" s="30"/>
      <c r="R561" s="11" t="str">
        <f t="shared" si="86"/>
        <v/>
      </c>
      <c r="S561" s="55" t="str">
        <f t="shared" si="87"/>
        <v/>
      </c>
      <c r="T561" s="37" t="str">
        <f t="shared" si="88"/>
        <v/>
      </c>
      <c r="U561" s="29" t="str">
        <f t="shared" si="89"/>
        <v/>
      </c>
      <c r="V561" s="33"/>
    </row>
    <row r="562" spans="1:22" x14ac:dyDescent="0.25">
      <c r="A562" s="30"/>
      <c r="B562" s="34" t="str">
        <f t="shared" si="80"/>
        <v/>
      </c>
      <c r="C562" s="34" t="str">
        <f t="shared" si="81"/>
        <v/>
      </c>
      <c r="D562" s="36" t="str">
        <f t="shared" si="82"/>
        <v/>
      </c>
      <c r="E562" s="36" t="str">
        <f t="shared" si="83"/>
        <v/>
      </c>
      <c r="F562" s="36" t="str">
        <f t="shared" si="84"/>
        <v/>
      </c>
      <c r="G562" s="30"/>
      <c r="H562" s="33"/>
      <c r="I562" s="31"/>
      <c r="J562" s="31"/>
      <c r="K562" s="13" t="str">
        <f t="shared" si="85"/>
        <v/>
      </c>
      <c r="L562" s="49"/>
      <c r="M562" s="49"/>
      <c r="N562" s="30"/>
      <c r="O562" s="30"/>
      <c r="P562" s="30"/>
      <c r="Q562" s="30"/>
      <c r="R562" s="11" t="str">
        <f t="shared" si="86"/>
        <v/>
      </c>
      <c r="S562" s="55" t="str">
        <f t="shared" si="87"/>
        <v/>
      </c>
      <c r="T562" s="37" t="str">
        <f t="shared" si="88"/>
        <v/>
      </c>
      <c r="U562" s="29" t="str">
        <f t="shared" si="89"/>
        <v/>
      </c>
      <c r="V562" s="33"/>
    </row>
    <row r="563" spans="1:22" x14ac:dyDescent="0.25">
      <c r="A563" s="30"/>
      <c r="B563" s="34" t="str">
        <f t="shared" si="80"/>
        <v/>
      </c>
      <c r="C563" s="34" t="str">
        <f t="shared" si="81"/>
        <v/>
      </c>
      <c r="D563" s="36" t="str">
        <f t="shared" si="82"/>
        <v/>
      </c>
      <c r="E563" s="36" t="str">
        <f t="shared" si="83"/>
        <v/>
      </c>
      <c r="F563" s="36" t="str">
        <f t="shared" si="84"/>
        <v/>
      </c>
      <c r="G563" s="30"/>
      <c r="H563" s="33"/>
      <c r="I563" s="31"/>
      <c r="J563" s="31"/>
      <c r="K563" s="13" t="str">
        <f t="shared" si="85"/>
        <v/>
      </c>
      <c r="L563" s="49"/>
      <c r="M563" s="49"/>
      <c r="N563" s="30"/>
      <c r="O563" s="30"/>
      <c r="P563" s="30"/>
      <c r="Q563" s="30"/>
      <c r="R563" s="11" t="str">
        <f t="shared" si="86"/>
        <v/>
      </c>
      <c r="S563" s="55" t="str">
        <f t="shared" si="87"/>
        <v/>
      </c>
      <c r="T563" s="37" t="str">
        <f t="shared" si="88"/>
        <v/>
      </c>
      <c r="U563" s="29" t="str">
        <f t="shared" si="89"/>
        <v/>
      </c>
      <c r="V563" s="33"/>
    </row>
    <row r="564" spans="1:22" x14ac:dyDescent="0.25">
      <c r="A564" s="30"/>
      <c r="B564" s="34" t="str">
        <f t="shared" si="80"/>
        <v/>
      </c>
      <c r="C564" s="34" t="str">
        <f t="shared" si="81"/>
        <v/>
      </c>
      <c r="D564" s="36" t="str">
        <f t="shared" si="82"/>
        <v/>
      </c>
      <c r="E564" s="36" t="str">
        <f t="shared" si="83"/>
        <v/>
      </c>
      <c r="F564" s="36" t="str">
        <f t="shared" si="84"/>
        <v/>
      </c>
      <c r="G564" s="30"/>
      <c r="H564" s="33"/>
      <c r="I564" s="31"/>
      <c r="J564" s="31"/>
      <c r="K564" s="13" t="str">
        <f t="shared" si="85"/>
        <v/>
      </c>
      <c r="L564" s="49"/>
      <c r="M564" s="49"/>
      <c r="N564" s="30"/>
      <c r="O564" s="30"/>
      <c r="P564" s="30"/>
      <c r="Q564" s="30"/>
      <c r="R564" s="11" t="str">
        <f t="shared" si="86"/>
        <v/>
      </c>
      <c r="S564" s="55" t="str">
        <f t="shared" si="87"/>
        <v/>
      </c>
      <c r="T564" s="37" t="str">
        <f t="shared" si="88"/>
        <v/>
      </c>
      <c r="U564" s="29" t="str">
        <f t="shared" si="89"/>
        <v/>
      </c>
      <c r="V564" s="33"/>
    </row>
    <row r="565" spans="1:22" x14ac:dyDescent="0.25">
      <c r="A565" s="30"/>
      <c r="B565" s="34" t="str">
        <f t="shared" si="80"/>
        <v/>
      </c>
      <c r="C565" s="34" t="str">
        <f t="shared" si="81"/>
        <v/>
      </c>
      <c r="D565" s="36" t="str">
        <f t="shared" si="82"/>
        <v/>
      </c>
      <c r="E565" s="36" t="str">
        <f t="shared" si="83"/>
        <v/>
      </c>
      <c r="F565" s="36" t="str">
        <f t="shared" si="84"/>
        <v/>
      </c>
      <c r="G565" s="30"/>
      <c r="H565" s="33"/>
      <c r="I565" s="31"/>
      <c r="J565" s="31"/>
      <c r="K565" s="13" t="str">
        <f t="shared" si="85"/>
        <v/>
      </c>
      <c r="L565" s="49"/>
      <c r="M565" s="49"/>
      <c r="N565" s="30"/>
      <c r="O565" s="30"/>
      <c r="P565" s="30"/>
      <c r="Q565" s="30"/>
      <c r="R565" s="11" t="str">
        <f t="shared" si="86"/>
        <v/>
      </c>
      <c r="S565" s="55" t="str">
        <f t="shared" si="87"/>
        <v/>
      </c>
      <c r="T565" s="37" t="str">
        <f t="shared" si="88"/>
        <v/>
      </c>
      <c r="U565" s="29" t="str">
        <f t="shared" si="89"/>
        <v/>
      </c>
      <c r="V565" s="33"/>
    </row>
    <row r="566" spans="1:22" x14ac:dyDescent="0.25">
      <c r="A566" s="30"/>
      <c r="B566" s="34" t="str">
        <f t="shared" si="80"/>
        <v/>
      </c>
      <c r="C566" s="34" t="str">
        <f t="shared" si="81"/>
        <v/>
      </c>
      <c r="D566" s="36" t="str">
        <f t="shared" si="82"/>
        <v/>
      </c>
      <c r="E566" s="36" t="str">
        <f t="shared" si="83"/>
        <v/>
      </c>
      <c r="F566" s="36" t="str">
        <f t="shared" si="84"/>
        <v/>
      </c>
      <c r="G566" s="30"/>
      <c r="H566" s="33"/>
      <c r="I566" s="31"/>
      <c r="J566" s="31"/>
      <c r="K566" s="13" t="str">
        <f t="shared" si="85"/>
        <v/>
      </c>
      <c r="L566" s="49"/>
      <c r="M566" s="49"/>
      <c r="N566" s="30"/>
      <c r="O566" s="30"/>
      <c r="P566" s="30"/>
      <c r="Q566" s="30"/>
      <c r="R566" s="11" t="str">
        <f t="shared" si="86"/>
        <v/>
      </c>
      <c r="S566" s="55" t="str">
        <f t="shared" si="87"/>
        <v/>
      </c>
      <c r="T566" s="37" t="str">
        <f t="shared" si="88"/>
        <v/>
      </c>
      <c r="U566" s="29" t="str">
        <f t="shared" si="89"/>
        <v/>
      </c>
      <c r="V566" s="33"/>
    </row>
    <row r="567" spans="1:22" x14ac:dyDescent="0.25">
      <c r="A567" s="30"/>
      <c r="B567" s="34" t="str">
        <f t="shared" si="80"/>
        <v/>
      </c>
      <c r="C567" s="34" t="str">
        <f t="shared" si="81"/>
        <v/>
      </c>
      <c r="D567" s="36" t="str">
        <f t="shared" si="82"/>
        <v/>
      </c>
      <c r="E567" s="36" t="str">
        <f t="shared" si="83"/>
        <v/>
      </c>
      <c r="F567" s="36" t="str">
        <f t="shared" si="84"/>
        <v/>
      </c>
      <c r="G567" s="30"/>
      <c r="H567" s="33"/>
      <c r="I567" s="31"/>
      <c r="J567" s="31"/>
      <c r="K567" s="13" t="str">
        <f t="shared" si="85"/>
        <v/>
      </c>
      <c r="L567" s="49"/>
      <c r="M567" s="49"/>
      <c r="N567" s="30"/>
      <c r="O567" s="30"/>
      <c r="P567" s="30"/>
      <c r="Q567" s="30"/>
      <c r="R567" s="11" t="str">
        <f t="shared" si="86"/>
        <v/>
      </c>
      <c r="S567" s="55" t="str">
        <f t="shared" si="87"/>
        <v/>
      </c>
      <c r="T567" s="37" t="str">
        <f t="shared" si="88"/>
        <v/>
      </c>
      <c r="U567" s="29" t="str">
        <f t="shared" si="89"/>
        <v/>
      </c>
      <c r="V567" s="33"/>
    </row>
    <row r="568" spans="1:22" x14ac:dyDescent="0.25">
      <c r="A568" s="30"/>
      <c r="B568" s="34" t="str">
        <f t="shared" si="80"/>
        <v/>
      </c>
      <c r="C568" s="34" t="str">
        <f t="shared" si="81"/>
        <v/>
      </c>
      <c r="D568" s="36" t="str">
        <f t="shared" si="82"/>
        <v/>
      </c>
      <c r="E568" s="36" t="str">
        <f t="shared" si="83"/>
        <v/>
      </c>
      <c r="F568" s="36" t="str">
        <f t="shared" si="84"/>
        <v/>
      </c>
      <c r="G568" s="30"/>
      <c r="H568" s="33"/>
      <c r="I568" s="31"/>
      <c r="J568" s="31"/>
      <c r="K568" s="13" t="str">
        <f t="shared" si="85"/>
        <v/>
      </c>
      <c r="L568" s="49"/>
      <c r="M568" s="49"/>
      <c r="N568" s="30"/>
      <c r="O568" s="30"/>
      <c r="P568" s="30"/>
      <c r="Q568" s="30"/>
      <c r="R568" s="11" t="str">
        <f t="shared" si="86"/>
        <v/>
      </c>
      <c r="S568" s="55" t="str">
        <f t="shared" si="87"/>
        <v/>
      </c>
      <c r="T568" s="37" t="str">
        <f t="shared" si="88"/>
        <v/>
      </c>
      <c r="U568" s="29" t="str">
        <f t="shared" si="89"/>
        <v/>
      </c>
      <c r="V568" s="33"/>
    </row>
    <row r="569" spans="1:22" x14ac:dyDescent="0.25">
      <c r="A569" s="30"/>
      <c r="B569" s="34" t="str">
        <f t="shared" si="80"/>
        <v/>
      </c>
      <c r="C569" s="34" t="str">
        <f t="shared" si="81"/>
        <v/>
      </c>
      <c r="D569" s="36" t="str">
        <f t="shared" si="82"/>
        <v/>
      </c>
      <c r="E569" s="36" t="str">
        <f t="shared" si="83"/>
        <v/>
      </c>
      <c r="F569" s="36" t="str">
        <f t="shared" si="84"/>
        <v/>
      </c>
      <c r="G569" s="30"/>
      <c r="H569" s="33"/>
      <c r="I569" s="31"/>
      <c r="J569" s="31"/>
      <c r="K569" s="13" t="str">
        <f t="shared" si="85"/>
        <v/>
      </c>
      <c r="L569" s="49"/>
      <c r="M569" s="49"/>
      <c r="N569" s="30"/>
      <c r="O569" s="30"/>
      <c r="P569" s="30"/>
      <c r="Q569" s="30"/>
      <c r="R569" s="11" t="str">
        <f t="shared" si="86"/>
        <v/>
      </c>
      <c r="S569" s="55" t="str">
        <f t="shared" si="87"/>
        <v/>
      </c>
      <c r="T569" s="37" t="str">
        <f t="shared" si="88"/>
        <v/>
      </c>
      <c r="U569" s="29" t="str">
        <f t="shared" si="89"/>
        <v/>
      </c>
      <c r="V569" s="33"/>
    </row>
    <row r="570" spans="1:22" x14ac:dyDescent="0.25">
      <c r="A570" s="30"/>
      <c r="B570" s="34" t="str">
        <f t="shared" si="80"/>
        <v/>
      </c>
      <c r="C570" s="34" t="str">
        <f t="shared" si="81"/>
        <v/>
      </c>
      <c r="D570" s="36" t="str">
        <f t="shared" si="82"/>
        <v/>
      </c>
      <c r="E570" s="36" t="str">
        <f t="shared" si="83"/>
        <v/>
      </c>
      <c r="F570" s="36" t="str">
        <f t="shared" si="84"/>
        <v/>
      </c>
      <c r="G570" s="30"/>
      <c r="H570" s="33"/>
      <c r="I570" s="31"/>
      <c r="J570" s="31"/>
      <c r="K570" s="13" t="str">
        <f t="shared" si="85"/>
        <v/>
      </c>
      <c r="L570" s="49"/>
      <c r="M570" s="49"/>
      <c r="N570" s="30"/>
      <c r="O570" s="30"/>
      <c r="P570" s="30"/>
      <c r="Q570" s="30"/>
      <c r="R570" s="11" t="str">
        <f t="shared" si="86"/>
        <v/>
      </c>
      <c r="S570" s="55" t="str">
        <f t="shared" si="87"/>
        <v/>
      </c>
      <c r="T570" s="37" t="str">
        <f t="shared" si="88"/>
        <v/>
      </c>
      <c r="U570" s="29" t="str">
        <f t="shared" si="89"/>
        <v/>
      </c>
      <c r="V570" s="33"/>
    </row>
    <row r="571" spans="1:22" x14ac:dyDescent="0.25">
      <c r="A571" s="30"/>
      <c r="B571" s="34" t="str">
        <f t="shared" si="80"/>
        <v/>
      </c>
      <c r="C571" s="34" t="str">
        <f t="shared" si="81"/>
        <v/>
      </c>
      <c r="D571" s="36" t="str">
        <f t="shared" si="82"/>
        <v/>
      </c>
      <c r="E571" s="36" t="str">
        <f t="shared" si="83"/>
        <v/>
      </c>
      <c r="F571" s="36" t="str">
        <f t="shared" si="84"/>
        <v/>
      </c>
      <c r="G571" s="30"/>
      <c r="H571" s="33"/>
      <c r="I571" s="31"/>
      <c r="J571" s="31"/>
      <c r="K571" s="13" t="str">
        <f t="shared" si="85"/>
        <v/>
      </c>
      <c r="L571" s="49"/>
      <c r="M571" s="49"/>
      <c r="N571" s="30"/>
      <c r="O571" s="30"/>
      <c r="P571" s="30"/>
      <c r="Q571" s="30"/>
      <c r="R571" s="11" t="str">
        <f t="shared" si="86"/>
        <v/>
      </c>
      <c r="S571" s="55" t="str">
        <f t="shared" si="87"/>
        <v/>
      </c>
      <c r="T571" s="37" t="str">
        <f t="shared" si="88"/>
        <v/>
      </c>
      <c r="U571" s="29" t="str">
        <f t="shared" si="89"/>
        <v/>
      </c>
      <c r="V571" s="33"/>
    </row>
    <row r="572" spans="1:22" x14ac:dyDescent="0.25">
      <c r="A572" s="30"/>
      <c r="B572" s="34" t="str">
        <f t="shared" si="80"/>
        <v/>
      </c>
      <c r="C572" s="34" t="str">
        <f t="shared" si="81"/>
        <v/>
      </c>
      <c r="D572" s="36" t="str">
        <f t="shared" si="82"/>
        <v/>
      </c>
      <c r="E572" s="36" t="str">
        <f t="shared" si="83"/>
        <v/>
      </c>
      <c r="F572" s="36" t="str">
        <f t="shared" si="84"/>
        <v/>
      </c>
      <c r="G572" s="30"/>
      <c r="H572" s="33"/>
      <c r="I572" s="31"/>
      <c r="J572" s="31"/>
      <c r="K572" s="13" t="str">
        <f t="shared" si="85"/>
        <v/>
      </c>
      <c r="L572" s="49"/>
      <c r="M572" s="49"/>
      <c r="N572" s="30"/>
      <c r="O572" s="30"/>
      <c r="P572" s="30"/>
      <c r="Q572" s="30"/>
      <c r="R572" s="11" t="str">
        <f t="shared" si="86"/>
        <v/>
      </c>
      <c r="S572" s="55" t="str">
        <f t="shared" si="87"/>
        <v/>
      </c>
      <c r="T572" s="37" t="str">
        <f t="shared" si="88"/>
        <v/>
      </c>
      <c r="U572" s="29" t="str">
        <f t="shared" si="89"/>
        <v/>
      </c>
      <c r="V572" s="33"/>
    </row>
    <row r="573" spans="1:22" x14ac:dyDescent="0.25">
      <c r="A573" s="30"/>
      <c r="B573" s="34" t="str">
        <f t="shared" si="80"/>
        <v/>
      </c>
      <c r="C573" s="34" t="str">
        <f t="shared" si="81"/>
        <v/>
      </c>
      <c r="D573" s="36" t="str">
        <f t="shared" si="82"/>
        <v/>
      </c>
      <c r="E573" s="36" t="str">
        <f t="shared" si="83"/>
        <v/>
      </c>
      <c r="F573" s="36" t="str">
        <f t="shared" si="84"/>
        <v/>
      </c>
      <c r="G573" s="30"/>
      <c r="H573" s="33"/>
      <c r="I573" s="31"/>
      <c r="J573" s="31"/>
      <c r="K573" s="13" t="str">
        <f t="shared" si="85"/>
        <v/>
      </c>
      <c r="L573" s="49"/>
      <c r="M573" s="49"/>
      <c r="N573" s="30"/>
      <c r="O573" s="30"/>
      <c r="P573" s="30"/>
      <c r="Q573" s="30"/>
      <c r="R573" s="11" t="str">
        <f t="shared" si="86"/>
        <v/>
      </c>
      <c r="S573" s="55" t="str">
        <f t="shared" si="87"/>
        <v/>
      </c>
      <c r="T573" s="37" t="str">
        <f t="shared" si="88"/>
        <v/>
      </c>
      <c r="U573" s="29" t="str">
        <f t="shared" si="89"/>
        <v/>
      </c>
      <c r="V573" s="33"/>
    </row>
    <row r="574" spans="1:22" x14ac:dyDescent="0.25">
      <c r="A574" s="30"/>
      <c r="B574" s="34" t="str">
        <f t="shared" si="80"/>
        <v/>
      </c>
      <c r="C574" s="34" t="str">
        <f t="shared" si="81"/>
        <v/>
      </c>
      <c r="D574" s="36" t="str">
        <f t="shared" si="82"/>
        <v/>
      </c>
      <c r="E574" s="36" t="str">
        <f t="shared" si="83"/>
        <v/>
      </c>
      <c r="F574" s="36" t="str">
        <f t="shared" si="84"/>
        <v/>
      </c>
      <c r="G574" s="30"/>
      <c r="H574" s="33"/>
      <c r="I574" s="31"/>
      <c r="J574" s="31"/>
      <c r="K574" s="13" t="str">
        <f t="shared" si="85"/>
        <v/>
      </c>
      <c r="L574" s="49"/>
      <c r="M574" s="49"/>
      <c r="N574" s="30"/>
      <c r="O574" s="30"/>
      <c r="P574" s="30"/>
      <c r="Q574" s="30"/>
      <c r="R574" s="11" t="str">
        <f t="shared" si="86"/>
        <v/>
      </c>
      <c r="S574" s="55" t="str">
        <f t="shared" si="87"/>
        <v/>
      </c>
      <c r="T574" s="37" t="str">
        <f t="shared" si="88"/>
        <v/>
      </c>
      <c r="U574" s="29" t="str">
        <f t="shared" si="89"/>
        <v/>
      </c>
      <c r="V574" s="33"/>
    </row>
    <row r="575" spans="1:22" x14ac:dyDescent="0.25">
      <c r="A575" s="30"/>
      <c r="B575" s="34" t="str">
        <f t="shared" si="80"/>
        <v/>
      </c>
      <c r="C575" s="34" t="str">
        <f t="shared" si="81"/>
        <v/>
      </c>
      <c r="D575" s="36" t="str">
        <f t="shared" si="82"/>
        <v/>
      </c>
      <c r="E575" s="36" t="str">
        <f t="shared" si="83"/>
        <v/>
      </c>
      <c r="F575" s="36" t="str">
        <f t="shared" si="84"/>
        <v/>
      </c>
      <c r="G575" s="30"/>
      <c r="H575" s="33"/>
      <c r="I575" s="31"/>
      <c r="J575" s="31"/>
      <c r="K575" s="13" t="str">
        <f t="shared" si="85"/>
        <v/>
      </c>
      <c r="L575" s="49"/>
      <c r="M575" s="49"/>
      <c r="N575" s="30"/>
      <c r="O575" s="30"/>
      <c r="P575" s="30"/>
      <c r="Q575" s="30"/>
      <c r="R575" s="11" t="str">
        <f t="shared" si="86"/>
        <v/>
      </c>
      <c r="S575" s="55" t="str">
        <f t="shared" si="87"/>
        <v/>
      </c>
      <c r="T575" s="37" t="str">
        <f t="shared" si="88"/>
        <v/>
      </c>
      <c r="U575" s="29" t="str">
        <f t="shared" si="89"/>
        <v/>
      </c>
      <c r="V575" s="33"/>
    </row>
    <row r="576" spans="1:22" x14ac:dyDescent="0.25">
      <c r="A576" s="30"/>
      <c r="B576" s="34" t="str">
        <f t="shared" si="80"/>
        <v/>
      </c>
      <c r="C576" s="34" t="str">
        <f t="shared" si="81"/>
        <v/>
      </c>
      <c r="D576" s="36" t="str">
        <f t="shared" si="82"/>
        <v/>
      </c>
      <c r="E576" s="36" t="str">
        <f t="shared" si="83"/>
        <v/>
      </c>
      <c r="F576" s="36" t="str">
        <f t="shared" si="84"/>
        <v/>
      </c>
      <c r="G576" s="30"/>
      <c r="H576" s="33"/>
      <c r="I576" s="31"/>
      <c r="J576" s="31"/>
      <c r="K576" s="13" t="str">
        <f t="shared" si="85"/>
        <v/>
      </c>
      <c r="L576" s="49"/>
      <c r="M576" s="49"/>
      <c r="N576" s="30"/>
      <c r="O576" s="30"/>
      <c r="P576" s="30"/>
      <c r="Q576" s="30"/>
      <c r="R576" s="11" t="str">
        <f t="shared" si="86"/>
        <v/>
      </c>
      <c r="S576" s="55" t="str">
        <f t="shared" si="87"/>
        <v/>
      </c>
      <c r="T576" s="37" t="str">
        <f t="shared" si="88"/>
        <v/>
      </c>
      <c r="U576" s="29" t="str">
        <f t="shared" si="89"/>
        <v/>
      </c>
      <c r="V576" s="33"/>
    </row>
    <row r="577" spans="1:22" x14ac:dyDescent="0.25">
      <c r="A577" s="30"/>
      <c r="B577" s="34" t="str">
        <f t="shared" si="80"/>
        <v/>
      </c>
      <c r="C577" s="34" t="str">
        <f t="shared" si="81"/>
        <v/>
      </c>
      <c r="D577" s="36" t="str">
        <f t="shared" si="82"/>
        <v/>
      </c>
      <c r="E577" s="36" t="str">
        <f t="shared" si="83"/>
        <v/>
      </c>
      <c r="F577" s="36" t="str">
        <f t="shared" si="84"/>
        <v/>
      </c>
      <c r="G577" s="30"/>
      <c r="H577" s="33"/>
      <c r="I577" s="31"/>
      <c r="J577" s="31"/>
      <c r="K577" s="13" t="str">
        <f t="shared" si="85"/>
        <v/>
      </c>
      <c r="L577" s="49"/>
      <c r="M577" s="49"/>
      <c r="N577" s="30"/>
      <c r="O577" s="30"/>
      <c r="P577" s="30"/>
      <c r="Q577" s="30"/>
      <c r="R577" s="11" t="str">
        <f t="shared" si="86"/>
        <v/>
      </c>
      <c r="S577" s="55" t="str">
        <f t="shared" si="87"/>
        <v/>
      </c>
      <c r="T577" s="37" t="str">
        <f t="shared" si="88"/>
        <v/>
      </c>
      <c r="U577" s="29" t="str">
        <f t="shared" si="89"/>
        <v/>
      </c>
      <c r="V577" s="33"/>
    </row>
    <row r="578" spans="1:22" x14ac:dyDescent="0.25">
      <c r="A578" s="30"/>
      <c r="B578" s="34" t="str">
        <f t="shared" si="80"/>
        <v/>
      </c>
      <c r="C578" s="34" t="str">
        <f t="shared" si="81"/>
        <v/>
      </c>
      <c r="D578" s="36" t="str">
        <f t="shared" si="82"/>
        <v/>
      </c>
      <c r="E578" s="36" t="str">
        <f t="shared" si="83"/>
        <v/>
      </c>
      <c r="F578" s="36" t="str">
        <f t="shared" si="84"/>
        <v/>
      </c>
      <c r="G578" s="30"/>
      <c r="H578" s="33"/>
      <c r="I578" s="31"/>
      <c r="J578" s="31"/>
      <c r="K578" s="13" t="str">
        <f t="shared" si="85"/>
        <v/>
      </c>
      <c r="L578" s="49"/>
      <c r="M578" s="49"/>
      <c r="N578" s="30"/>
      <c r="O578" s="30"/>
      <c r="P578" s="30"/>
      <c r="Q578" s="30"/>
      <c r="R578" s="11" t="str">
        <f t="shared" si="86"/>
        <v/>
      </c>
      <c r="S578" s="55" t="str">
        <f t="shared" si="87"/>
        <v/>
      </c>
      <c r="T578" s="37" t="str">
        <f t="shared" si="88"/>
        <v/>
      </c>
      <c r="U578" s="29" t="str">
        <f t="shared" si="89"/>
        <v/>
      </c>
      <c r="V578" s="33"/>
    </row>
    <row r="579" spans="1:22" x14ac:dyDescent="0.25">
      <c r="A579" s="30"/>
      <c r="B579" s="34" t="str">
        <f t="shared" si="80"/>
        <v/>
      </c>
      <c r="C579" s="34" t="str">
        <f t="shared" si="81"/>
        <v/>
      </c>
      <c r="D579" s="36" t="str">
        <f t="shared" si="82"/>
        <v/>
      </c>
      <c r="E579" s="36" t="str">
        <f t="shared" si="83"/>
        <v/>
      </c>
      <c r="F579" s="36" t="str">
        <f t="shared" si="84"/>
        <v/>
      </c>
      <c r="G579" s="30"/>
      <c r="H579" s="33"/>
      <c r="I579" s="31"/>
      <c r="J579" s="31"/>
      <c r="K579" s="13" t="str">
        <f t="shared" si="85"/>
        <v/>
      </c>
      <c r="L579" s="49"/>
      <c r="M579" s="49"/>
      <c r="N579" s="30"/>
      <c r="O579" s="30"/>
      <c r="P579" s="30"/>
      <c r="Q579" s="30"/>
      <c r="R579" s="11" t="str">
        <f t="shared" si="86"/>
        <v/>
      </c>
      <c r="S579" s="55" t="str">
        <f t="shared" si="87"/>
        <v/>
      </c>
      <c r="T579" s="37" t="str">
        <f t="shared" si="88"/>
        <v/>
      </c>
      <c r="U579" s="29" t="str">
        <f t="shared" si="89"/>
        <v/>
      </c>
      <c r="V579" s="33"/>
    </row>
    <row r="580" spans="1:22" x14ac:dyDescent="0.25">
      <c r="A580" s="30"/>
      <c r="B580" s="34" t="str">
        <f t="shared" si="80"/>
        <v/>
      </c>
      <c r="C580" s="34" t="str">
        <f t="shared" si="81"/>
        <v/>
      </c>
      <c r="D580" s="36" t="str">
        <f t="shared" si="82"/>
        <v/>
      </c>
      <c r="E580" s="36" t="str">
        <f t="shared" si="83"/>
        <v/>
      </c>
      <c r="F580" s="36" t="str">
        <f t="shared" si="84"/>
        <v/>
      </c>
      <c r="G580" s="30"/>
      <c r="H580" s="33"/>
      <c r="I580" s="31"/>
      <c r="J580" s="31"/>
      <c r="K580" s="13" t="str">
        <f t="shared" si="85"/>
        <v/>
      </c>
      <c r="L580" s="49"/>
      <c r="M580" s="49"/>
      <c r="N580" s="30"/>
      <c r="O580" s="30"/>
      <c r="P580" s="30"/>
      <c r="Q580" s="30"/>
      <c r="R580" s="11" t="str">
        <f t="shared" si="86"/>
        <v/>
      </c>
      <c r="S580" s="55" t="str">
        <f t="shared" si="87"/>
        <v/>
      </c>
      <c r="T580" s="37" t="str">
        <f t="shared" si="88"/>
        <v/>
      </c>
      <c r="U580" s="29" t="str">
        <f t="shared" si="89"/>
        <v/>
      </c>
      <c r="V580" s="33"/>
    </row>
    <row r="581" spans="1:22" x14ac:dyDescent="0.25">
      <c r="A581" s="30"/>
      <c r="B581" s="34" t="str">
        <f t="shared" ref="B581:B608" si="90">IFERROR(IF($A581="","",VLOOKUP($A581,CAD_TAB,2,FALSE)),"")</f>
        <v/>
      </c>
      <c r="C581" s="34" t="str">
        <f t="shared" ref="C581:C608" si="91">IFERROR(IF($A581="","",VLOOKUP($A581,CAD_TAB,3,FALSE)),"")</f>
        <v/>
      </c>
      <c r="D581" s="36" t="str">
        <f t="shared" ref="D581:D608" si="92">IFERROR(IF($A581="","",VLOOKUP($A581,CAD_TAB,9,FALSE)),"")</f>
        <v/>
      </c>
      <c r="E581" s="36" t="str">
        <f t="shared" ref="E581:E608" si="93">IFERROR(IF($A581="","",VLOOKUP($A581,CAD_TAB,11,FALSE)),"")</f>
        <v/>
      </c>
      <c r="F581" s="36" t="str">
        <f t="shared" ref="F581:F608" si="94">IFERROR(IF($A581="","",VLOOKUP($A581,CAD_TAB,8,FALSE)),"")</f>
        <v/>
      </c>
      <c r="G581" s="30"/>
      <c r="H581" s="33"/>
      <c r="I581" s="31"/>
      <c r="J581" s="31"/>
      <c r="K581" s="13" t="str">
        <f t="shared" ref="K581:K608" si="95">IF(OR($I581="",$J581=""),"",$J581-$I581+1)</f>
        <v/>
      </c>
      <c r="L581" s="49"/>
      <c r="M581" s="49"/>
      <c r="N581" s="30"/>
      <c r="O581" s="30"/>
      <c r="P581" s="30"/>
      <c r="Q581" s="30"/>
      <c r="R581" s="11" t="str">
        <f t="shared" ref="R581:R608" si="96">IF($A581="","",COUNTIFS(MED_ID,$A581))</f>
        <v/>
      </c>
      <c r="S581" s="55" t="str">
        <f t="shared" ref="S581:S608" si="97">IF($A581="","",SUMIFS(MED_VLR,MED_ID,$A581))</f>
        <v/>
      </c>
      <c r="T581" s="37" t="str">
        <f t="shared" ref="T581:T608" si="98">IF($J581="","",EOMONTH($J581,0))</f>
        <v/>
      </c>
      <c r="U581" s="29" t="str">
        <f t="shared" ref="U581:U608" si="99">IF($A581="","",IF($V581="CANCELADA","CANCELADA",IF($S581&gt;0,"MEDIDA",IF($J581="","EM EXECUÇÃO",IF(OR($N581="NÃO",$O581="NÃO",$P581="NÃO"),"AGUARDANDO PAVIMENTO","CONCLUÍDA")))))</f>
        <v/>
      </c>
      <c r="V581" s="33"/>
    </row>
    <row r="582" spans="1:22" x14ac:dyDescent="0.25">
      <c r="A582" s="30"/>
      <c r="B582" s="34" t="str">
        <f t="shared" si="90"/>
        <v/>
      </c>
      <c r="C582" s="34" t="str">
        <f t="shared" si="91"/>
        <v/>
      </c>
      <c r="D582" s="36" t="str">
        <f t="shared" si="92"/>
        <v/>
      </c>
      <c r="E582" s="36" t="str">
        <f t="shared" si="93"/>
        <v/>
      </c>
      <c r="F582" s="36" t="str">
        <f t="shared" si="94"/>
        <v/>
      </c>
      <c r="G582" s="30"/>
      <c r="H582" s="33"/>
      <c r="I582" s="31"/>
      <c r="J582" s="31"/>
      <c r="K582" s="13" t="str">
        <f t="shared" si="95"/>
        <v/>
      </c>
      <c r="L582" s="49"/>
      <c r="M582" s="49"/>
      <c r="N582" s="30"/>
      <c r="O582" s="30"/>
      <c r="P582" s="30"/>
      <c r="Q582" s="30"/>
      <c r="R582" s="11" t="str">
        <f t="shared" si="96"/>
        <v/>
      </c>
      <c r="S582" s="55" t="str">
        <f t="shared" si="97"/>
        <v/>
      </c>
      <c r="T582" s="37" t="str">
        <f t="shared" si="98"/>
        <v/>
      </c>
      <c r="U582" s="29" t="str">
        <f t="shared" si="99"/>
        <v/>
      </c>
      <c r="V582" s="33"/>
    </row>
    <row r="583" spans="1:22" x14ac:dyDescent="0.25">
      <c r="A583" s="30"/>
      <c r="B583" s="34" t="str">
        <f t="shared" si="90"/>
        <v/>
      </c>
      <c r="C583" s="34" t="str">
        <f t="shared" si="91"/>
        <v/>
      </c>
      <c r="D583" s="36" t="str">
        <f t="shared" si="92"/>
        <v/>
      </c>
      <c r="E583" s="36" t="str">
        <f t="shared" si="93"/>
        <v/>
      </c>
      <c r="F583" s="36" t="str">
        <f t="shared" si="94"/>
        <v/>
      </c>
      <c r="G583" s="30"/>
      <c r="H583" s="33"/>
      <c r="I583" s="31"/>
      <c r="J583" s="31"/>
      <c r="K583" s="13" t="str">
        <f t="shared" si="95"/>
        <v/>
      </c>
      <c r="L583" s="49"/>
      <c r="M583" s="49"/>
      <c r="N583" s="30"/>
      <c r="O583" s="30"/>
      <c r="P583" s="30"/>
      <c r="Q583" s="30"/>
      <c r="R583" s="11" t="str">
        <f t="shared" si="96"/>
        <v/>
      </c>
      <c r="S583" s="55" t="str">
        <f t="shared" si="97"/>
        <v/>
      </c>
      <c r="T583" s="37" t="str">
        <f t="shared" si="98"/>
        <v/>
      </c>
      <c r="U583" s="29" t="str">
        <f t="shared" si="99"/>
        <v/>
      </c>
      <c r="V583" s="33"/>
    </row>
    <row r="584" spans="1:22" x14ac:dyDescent="0.25">
      <c r="A584" s="30"/>
      <c r="B584" s="34" t="str">
        <f t="shared" si="90"/>
        <v/>
      </c>
      <c r="C584" s="34" t="str">
        <f t="shared" si="91"/>
        <v/>
      </c>
      <c r="D584" s="36" t="str">
        <f t="shared" si="92"/>
        <v/>
      </c>
      <c r="E584" s="36" t="str">
        <f t="shared" si="93"/>
        <v/>
      </c>
      <c r="F584" s="36" t="str">
        <f t="shared" si="94"/>
        <v/>
      </c>
      <c r="G584" s="30"/>
      <c r="H584" s="33"/>
      <c r="I584" s="31"/>
      <c r="J584" s="31"/>
      <c r="K584" s="13" t="str">
        <f t="shared" si="95"/>
        <v/>
      </c>
      <c r="L584" s="49"/>
      <c r="M584" s="49"/>
      <c r="N584" s="30"/>
      <c r="O584" s="30"/>
      <c r="P584" s="30"/>
      <c r="Q584" s="30"/>
      <c r="R584" s="11" t="str">
        <f t="shared" si="96"/>
        <v/>
      </c>
      <c r="S584" s="55" t="str">
        <f t="shared" si="97"/>
        <v/>
      </c>
      <c r="T584" s="37" t="str">
        <f t="shared" si="98"/>
        <v/>
      </c>
      <c r="U584" s="29" t="str">
        <f t="shared" si="99"/>
        <v/>
      </c>
      <c r="V584" s="33"/>
    </row>
    <row r="585" spans="1:22" x14ac:dyDescent="0.25">
      <c r="A585" s="30"/>
      <c r="B585" s="34" t="str">
        <f t="shared" si="90"/>
        <v/>
      </c>
      <c r="C585" s="34" t="str">
        <f t="shared" si="91"/>
        <v/>
      </c>
      <c r="D585" s="36" t="str">
        <f t="shared" si="92"/>
        <v/>
      </c>
      <c r="E585" s="36" t="str">
        <f t="shared" si="93"/>
        <v/>
      </c>
      <c r="F585" s="36" t="str">
        <f t="shared" si="94"/>
        <v/>
      </c>
      <c r="G585" s="30"/>
      <c r="H585" s="33"/>
      <c r="I585" s="31"/>
      <c r="J585" s="31"/>
      <c r="K585" s="13" t="str">
        <f t="shared" si="95"/>
        <v/>
      </c>
      <c r="L585" s="49"/>
      <c r="M585" s="49"/>
      <c r="N585" s="30"/>
      <c r="O585" s="30"/>
      <c r="P585" s="30"/>
      <c r="Q585" s="30"/>
      <c r="R585" s="11" t="str">
        <f t="shared" si="96"/>
        <v/>
      </c>
      <c r="S585" s="55" t="str">
        <f t="shared" si="97"/>
        <v/>
      </c>
      <c r="T585" s="37" t="str">
        <f t="shared" si="98"/>
        <v/>
      </c>
      <c r="U585" s="29" t="str">
        <f t="shared" si="99"/>
        <v/>
      </c>
      <c r="V585" s="33"/>
    </row>
    <row r="586" spans="1:22" x14ac:dyDescent="0.25">
      <c r="A586" s="30"/>
      <c r="B586" s="34" t="str">
        <f t="shared" si="90"/>
        <v/>
      </c>
      <c r="C586" s="34" t="str">
        <f t="shared" si="91"/>
        <v/>
      </c>
      <c r="D586" s="36" t="str">
        <f t="shared" si="92"/>
        <v/>
      </c>
      <c r="E586" s="36" t="str">
        <f t="shared" si="93"/>
        <v/>
      </c>
      <c r="F586" s="36" t="str">
        <f t="shared" si="94"/>
        <v/>
      </c>
      <c r="G586" s="30"/>
      <c r="H586" s="33"/>
      <c r="I586" s="31"/>
      <c r="J586" s="31"/>
      <c r="K586" s="13" t="str">
        <f t="shared" si="95"/>
        <v/>
      </c>
      <c r="L586" s="49"/>
      <c r="M586" s="49"/>
      <c r="N586" s="30"/>
      <c r="O586" s="30"/>
      <c r="P586" s="30"/>
      <c r="Q586" s="30"/>
      <c r="R586" s="11" t="str">
        <f t="shared" si="96"/>
        <v/>
      </c>
      <c r="S586" s="55" t="str">
        <f t="shared" si="97"/>
        <v/>
      </c>
      <c r="T586" s="37" t="str">
        <f t="shared" si="98"/>
        <v/>
      </c>
      <c r="U586" s="29" t="str">
        <f t="shared" si="99"/>
        <v/>
      </c>
      <c r="V586" s="33"/>
    </row>
    <row r="587" spans="1:22" x14ac:dyDescent="0.25">
      <c r="A587" s="30"/>
      <c r="B587" s="34" t="str">
        <f t="shared" si="90"/>
        <v/>
      </c>
      <c r="C587" s="34" t="str">
        <f t="shared" si="91"/>
        <v/>
      </c>
      <c r="D587" s="36" t="str">
        <f t="shared" si="92"/>
        <v/>
      </c>
      <c r="E587" s="36" t="str">
        <f t="shared" si="93"/>
        <v/>
      </c>
      <c r="F587" s="36" t="str">
        <f t="shared" si="94"/>
        <v/>
      </c>
      <c r="G587" s="30"/>
      <c r="H587" s="33"/>
      <c r="I587" s="31"/>
      <c r="J587" s="31"/>
      <c r="K587" s="13" t="str">
        <f t="shared" si="95"/>
        <v/>
      </c>
      <c r="L587" s="49"/>
      <c r="M587" s="49"/>
      <c r="N587" s="30"/>
      <c r="O587" s="30"/>
      <c r="P587" s="30"/>
      <c r="Q587" s="30"/>
      <c r="R587" s="11" t="str">
        <f t="shared" si="96"/>
        <v/>
      </c>
      <c r="S587" s="55" t="str">
        <f t="shared" si="97"/>
        <v/>
      </c>
      <c r="T587" s="37" t="str">
        <f t="shared" si="98"/>
        <v/>
      </c>
      <c r="U587" s="29" t="str">
        <f t="shared" si="99"/>
        <v/>
      </c>
      <c r="V587" s="33"/>
    </row>
    <row r="588" spans="1:22" x14ac:dyDescent="0.25">
      <c r="A588" s="30"/>
      <c r="B588" s="34" t="str">
        <f t="shared" si="90"/>
        <v/>
      </c>
      <c r="C588" s="34" t="str">
        <f t="shared" si="91"/>
        <v/>
      </c>
      <c r="D588" s="36" t="str">
        <f t="shared" si="92"/>
        <v/>
      </c>
      <c r="E588" s="36" t="str">
        <f t="shared" si="93"/>
        <v/>
      </c>
      <c r="F588" s="36" t="str">
        <f t="shared" si="94"/>
        <v/>
      </c>
      <c r="G588" s="30"/>
      <c r="H588" s="33"/>
      <c r="I588" s="31"/>
      <c r="J588" s="31"/>
      <c r="K588" s="13" t="str">
        <f t="shared" si="95"/>
        <v/>
      </c>
      <c r="L588" s="49"/>
      <c r="M588" s="49"/>
      <c r="N588" s="30"/>
      <c r="O588" s="30"/>
      <c r="P588" s="30"/>
      <c r="Q588" s="30"/>
      <c r="R588" s="11" t="str">
        <f t="shared" si="96"/>
        <v/>
      </c>
      <c r="S588" s="55" t="str">
        <f t="shared" si="97"/>
        <v/>
      </c>
      <c r="T588" s="37" t="str">
        <f t="shared" si="98"/>
        <v/>
      </c>
      <c r="U588" s="29" t="str">
        <f t="shared" si="99"/>
        <v/>
      </c>
      <c r="V588" s="33"/>
    </row>
    <row r="589" spans="1:22" x14ac:dyDescent="0.25">
      <c r="A589" s="30"/>
      <c r="B589" s="34" t="str">
        <f t="shared" si="90"/>
        <v/>
      </c>
      <c r="C589" s="34" t="str">
        <f t="shared" si="91"/>
        <v/>
      </c>
      <c r="D589" s="36" t="str">
        <f t="shared" si="92"/>
        <v/>
      </c>
      <c r="E589" s="36" t="str">
        <f t="shared" si="93"/>
        <v/>
      </c>
      <c r="F589" s="36" t="str">
        <f t="shared" si="94"/>
        <v/>
      </c>
      <c r="G589" s="30"/>
      <c r="H589" s="33"/>
      <c r="I589" s="31"/>
      <c r="J589" s="31"/>
      <c r="K589" s="13" t="str">
        <f t="shared" si="95"/>
        <v/>
      </c>
      <c r="L589" s="49"/>
      <c r="M589" s="49"/>
      <c r="N589" s="30"/>
      <c r="O589" s="30"/>
      <c r="P589" s="30"/>
      <c r="Q589" s="30"/>
      <c r="R589" s="11" t="str">
        <f t="shared" si="96"/>
        <v/>
      </c>
      <c r="S589" s="55" t="str">
        <f t="shared" si="97"/>
        <v/>
      </c>
      <c r="T589" s="37" t="str">
        <f t="shared" si="98"/>
        <v/>
      </c>
      <c r="U589" s="29" t="str">
        <f t="shared" si="99"/>
        <v/>
      </c>
      <c r="V589" s="33"/>
    </row>
    <row r="590" spans="1:22" x14ac:dyDescent="0.25">
      <c r="A590" s="30"/>
      <c r="B590" s="34" t="str">
        <f t="shared" si="90"/>
        <v/>
      </c>
      <c r="C590" s="34" t="str">
        <f t="shared" si="91"/>
        <v/>
      </c>
      <c r="D590" s="36" t="str">
        <f t="shared" si="92"/>
        <v/>
      </c>
      <c r="E590" s="36" t="str">
        <f t="shared" si="93"/>
        <v/>
      </c>
      <c r="F590" s="36" t="str">
        <f t="shared" si="94"/>
        <v/>
      </c>
      <c r="G590" s="30"/>
      <c r="H590" s="33"/>
      <c r="I590" s="31"/>
      <c r="J590" s="31"/>
      <c r="K590" s="13" t="str">
        <f t="shared" si="95"/>
        <v/>
      </c>
      <c r="L590" s="49"/>
      <c r="M590" s="49"/>
      <c r="N590" s="30"/>
      <c r="O590" s="30"/>
      <c r="P590" s="30"/>
      <c r="Q590" s="30"/>
      <c r="R590" s="11" t="str">
        <f t="shared" si="96"/>
        <v/>
      </c>
      <c r="S590" s="55" t="str">
        <f t="shared" si="97"/>
        <v/>
      </c>
      <c r="T590" s="37" t="str">
        <f t="shared" si="98"/>
        <v/>
      </c>
      <c r="U590" s="29" t="str">
        <f t="shared" si="99"/>
        <v/>
      </c>
      <c r="V590" s="33"/>
    </row>
    <row r="591" spans="1:22" x14ac:dyDescent="0.25">
      <c r="A591" s="30"/>
      <c r="B591" s="34" t="str">
        <f t="shared" si="90"/>
        <v/>
      </c>
      <c r="C591" s="34" t="str">
        <f t="shared" si="91"/>
        <v/>
      </c>
      <c r="D591" s="36" t="str">
        <f t="shared" si="92"/>
        <v/>
      </c>
      <c r="E591" s="36" t="str">
        <f t="shared" si="93"/>
        <v/>
      </c>
      <c r="F591" s="36" t="str">
        <f t="shared" si="94"/>
        <v/>
      </c>
      <c r="G591" s="30"/>
      <c r="H591" s="33"/>
      <c r="I591" s="31"/>
      <c r="J591" s="31"/>
      <c r="K591" s="13" t="str">
        <f t="shared" si="95"/>
        <v/>
      </c>
      <c r="L591" s="49"/>
      <c r="M591" s="49"/>
      <c r="N591" s="30"/>
      <c r="O591" s="30"/>
      <c r="P591" s="30"/>
      <c r="Q591" s="30"/>
      <c r="R591" s="11" t="str">
        <f t="shared" si="96"/>
        <v/>
      </c>
      <c r="S591" s="55" t="str">
        <f t="shared" si="97"/>
        <v/>
      </c>
      <c r="T591" s="37" t="str">
        <f t="shared" si="98"/>
        <v/>
      </c>
      <c r="U591" s="29" t="str">
        <f t="shared" si="99"/>
        <v/>
      </c>
      <c r="V591" s="33"/>
    </row>
    <row r="592" spans="1:22" x14ac:dyDescent="0.25">
      <c r="A592" s="30"/>
      <c r="B592" s="34" t="str">
        <f t="shared" si="90"/>
        <v/>
      </c>
      <c r="C592" s="34" t="str">
        <f t="shared" si="91"/>
        <v/>
      </c>
      <c r="D592" s="36" t="str">
        <f t="shared" si="92"/>
        <v/>
      </c>
      <c r="E592" s="36" t="str">
        <f t="shared" si="93"/>
        <v/>
      </c>
      <c r="F592" s="36" t="str">
        <f t="shared" si="94"/>
        <v/>
      </c>
      <c r="G592" s="30"/>
      <c r="H592" s="33"/>
      <c r="I592" s="31"/>
      <c r="J592" s="31"/>
      <c r="K592" s="13" t="str">
        <f t="shared" si="95"/>
        <v/>
      </c>
      <c r="L592" s="49"/>
      <c r="M592" s="49"/>
      <c r="N592" s="30"/>
      <c r="O592" s="30"/>
      <c r="P592" s="30"/>
      <c r="Q592" s="30"/>
      <c r="R592" s="11" t="str">
        <f t="shared" si="96"/>
        <v/>
      </c>
      <c r="S592" s="55" t="str">
        <f t="shared" si="97"/>
        <v/>
      </c>
      <c r="T592" s="37" t="str">
        <f t="shared" si="98"/>
        <v/>
      </c>
      <c r="U592" s="29" t="str">
        <f t="shared" si="99"/>
        <v/>
      </c>
      <c r="V592" s="33"/>
    </row>
    <row r="593" spans="1:22" x14ac:dyDescent="0.25">
      <c r="A593" s="30"/>
      <c r="B593" s="34" t="str">
        <f t="shared" si="90"/>
        <v/>
      </c>
      <c r="C593" s="34" t="str">
        <f t="shared" si="91"/>
        <v/>
      </c>
      <c r="D593" s="36" t="str">
        <f t="shared" si="92"/>
        <v/>
      </c>
      <c r="E593" s="36" t="str">
        <f t="shared" si="93"/>
        <v/>
      </c>
      <c r="F593" s="36" t="str">
        <f t="shared" si="94"/>
        <v/>
      </c>
      <c r="G593" s="30"/>
      <c r="H593" s="33"/>
      <c r="I593" s="31"/>
      <c r="J593" s="31"/>
      <c r="K593" s="13" t="str">
        <f t="shared" si="95"/>
        <v/>
      </c>
      <c r="L593" s="49"/>
      <c r="M593" s="49"/>
      <c r="N593" s="30"/>
      <c r="O593" s="30"/>
      <c r="P593" s="30"/>
      <c r="Q593" s="30"/>
      <c r="R593" s="11" t="str">
        <f t="shared" si="96"/>
        <v/>
      </c>
      <c r="S593" s="55" t="str">
        <f t="shared" si="97"/>
        <v/>
      </c>
      <c r="T593" s="37" t="str">
        <f t="shared" si="98"/>
        <v/>
      </c>
      <c r="U593" s="29" t="str">
        <f t="shared" si="99"/>
        <v/>
      </c>
      <c r="V593" s="33"/>
    </row>
    <row r="594" spans="1:22" x14ac:dyDescent="0.25">
      <c r="A594" s="30"/>
      <c r="B594" s="34" t="str">
        <f t="shared" si="90"/>
        <v/>
      </c>
      <c r="C594" s="34" t="str">
        <f t="shared" si="91"/>
        <v/>
      </c>
      <c r="D594" s="36" t="str">
        <f t="shared" si="92"/>
        <v/>
      </c>
      <c r="E594" s="36" t="str">
        <f t="shared" si="93"/>
        <v/>
      </c>
      <c r="F594" s="36" t="str">
        <f t="shared" si="94"/>
        <v/>
      </c>
      <c r="G594" s="30"/>
      <c r="H594" s="33"/>
      <c r="I594" s="31"/>
      <c r="J594" s="31"/>
      <c r="K594" s="13" t="str">
        <f t="shared" si="95"/>
        <v/>
      </c>
      <c r="L594" s="49"/>
      <c r="M594" s="49"/>
      <c r="N594" s="30"/>
      <c r="O594" s="30"/>
      <c r="P594" s="30"/>
      <c r="Q594" s="30"/>
      <c r="R594" s="11" t="str">
        <f t="shared" si="96"/>
        <v/>
      </c>
      <c r="S594" s="55" t="str">
        <f t="shared" si="97"/>
        <v/>
      </c>
      <c r="T594" s="37" t="str">
        <f t="shared" si="98"/>
        <v/>
      </c>
      <c r="U594" s="29" t="str">
        <f t="shared" si="99"/>
        <v/>
      </c>
      <c r="V594" s="33"/>
    </row>
    <row r="595" spans="1:22" x14ac:dyDescent="0.25">
      <c r="A595" s="30"/>
      <c r="B595" s="34" t="str">
        <f t="shared" si="90"/>
        <v/>
      </c>
      <c r="C595" s="34" t="str">
        <f t="shared" si="91"/>
        <v/>
      </c>
      <c r="D595" s="36" t="str">
        <f t="shared" si="92"/>
        <v/>
      </c>
      <c r="E595" s="36" t="str">
        <f t="shared" si="93"/>
        <v/>
      </c>
      <c r="F595" s="36" t="str">
        <f t="shared" si="94"/>
        <v/>
      </c>
      <c r="G595" s="30"/>
      <c r="H595" s="33"/>
      <c r="I595" s="31"/>
      <c r="J595" s="31"/>
      <c r="K595" s="13" t="str">
        <f t="shared" si="95"/>
        <v/>
      </c>
      <c r="L595" s="49"/>
      <c r="M595" s="49"/>
      <c r="N595" s="30"/>
      <c r="O595" s="30"/>
      <c r="P595" s="30"/>
      <c r="Q595" s="30"/>
      <c r="R595" s="11" t="str">
        <f t="shared" si="96"/>
        <v/>
      </c>
      <c r="S595" s="55" t="str">
        <f t="shared" si="97"/>
        <v/>
      </c>
      <c r="T595" s="37" t="str">
        <f t="shared" si="98"/>
        <v/>
      </c>
      <c r="U595" s="29" t="str">
        <f t="shared" si="99"/>
        <v/>
      </c>
      <c r="V595" s="33"/>
    </row>
    <row r="596" spans="1:22" x14ac:dyDescent="0.25">
      <c r="A596" s="30"/>
      <c r="B596" s="34" t="str">
        <f t="shared" si="90"/>
        <v/>
      </c>
      <c r="C596" s="34" t="str">
        <f t="shared" si="91"/>
        <v/>
      </c>
      <c r="D596" s="36" t="str">
        <f t="shared" si="92"/>
        <v/>
      </c>
      <c r="E596" s="36" t="str">
        <f t="shared" si="93"/>
        <v/>
      </c>
      <c r="F596" s="36" t="str">
        <f t="shared" si="94"/>
        <v/>
      </c>
      <c r="G596" s="30"/>
      <c r="H596" s="33"/>
      <c r="I596" s="31"/>
      <c r="J596" s="31"/>
      <c r="K596" s="13" t="str">
        <f t="shared" si="95"/>
        <v/>
      </c>
      <c r="L596" s="49"/>
      <c r="M596" s="49"/>
      <c r="N596" s="30"/>
      <c r="O596" s="30"/>
      <c r="P596" s="30"/>
      <c r="Q596" s="30"/>
      <c r="R596" s="11" t="str">
        <f t="shared" si="96"/>
        <v/>
      </c>
      <c r="S596" s="55" t="str">
        <f t="shared" si="97"/>
        <v/>
      </c>
      <c r="T596" s="37" t="str">
        <f t="shared" si="98"/>
        <v/>
      </c>
      <c r="U596" s="29" t="str">
        <f t="shared" si="99"/>
        <v/>
      </c>
      <c r="V596" s="33"/>
    </row>
    <row r="597" spans="1:22" x14ac:dyDescent="0.25">
      <c r="A597" s="30"/>
      <c r="B597" s="34" t="str">
        <f t="shared" si="90"/>
        <v/>
      </c>
      <c r="C597" s="34" t="str">
        <f t="shared" si="91"/>
        <v/>
      </c>
      <c r="D597" s="36" t="str">
        <f t="shared" si="92"/>
        <v/>
      </c>
      <c r="E597" s="36" t="str">
        <f t="shared" si="93"/>
        <v/>
      </c>
      <c r="F597" s="36" t="str">
        <f t="shared" si="94"/>
        <v/>
      </c>
      <c r="G597" s="30"/>
      <c r="H597" s="33"/>
      <c r="I597" s="31"/>
      <c r="J597" s="31"/>
      <c r="K597" s="13" t="str">
        <f t="shared" si="95"/>
        <v/>
      </c>
      <c r="L597" s="49"/>
      <c r="M597" s="49"/>
      <c r="N597" s="30"/>
      <c r="O597" s="30"/>
      <c r="P597" s="30"/>
      <c r="Q597" s="30"/>
      <c r="R597" s="11" t="str">
        <f t="shared" si="96"/>
        <v/>
      </c>
      <c r="S597" s="55" t="str">
        <f t="shared" si="97"/>
        <v/>
      </c>
      <c r="T597" s="37" t="str">
        <f t="shared" si="98"/>
        <v/>
      </c>
      <c r="U597" s="29" t="str">
        <f t="shared" si="99"/>
        <v/>
      </c>
      <c r="V597" s="33"/>
    </row>
    <row r="598" spans="1:22" x14ac:dyDescent="0.25">
      <c r="A598" s="30"/>
      <c r="B598" s="34" t="str">
        <f t="shared" si="90"/>
        <v/>
      </c>
      <c r="C598" s="34" t="str">
        <f t="shared" si="91"/>
        <v/>
      </c>
      <c r="D598" s="36" t="str">
        <f t="shared" si="92"/>
        <v/>
      </c>
      <c r="E598" s="36" t="str">
        <f t="shared" si="93"/>
        <v/>
      </c>
      <c r="F598" s="36" t="str">
        <f t="shared" si="94"/>
        <v/>
      </c>
      <c r="G598" s="30"/>
      <c r="H598" s="33"/>
      <c r="I598" s="31"/>
      <c r="J598" s="31"/>
      <c r="K598" s="13" t="str">
        <f t="shared" si="95"/>
        <v/>
      </c>
      <c r="L598" s="49"/>
      <c r="M598" s="49"/>
      <c r="N598" s="30"/>
      <c r="O598" s="30"/>
      <c r="P598" s="30"/>
      <c r="Q598" s="30"/>
      <c r="R598" s="11" t="str">
        <f t="shared" si="96"/>
        <v/>
      </c>
      <c r="S598" s="55" t="str">
        <f t="shared" si="97"/>
        <v/>
      </c>
      <c r="T598" s="37" t="str">
        <f t="shared" si="98"/>
        <v/>
      </c>
      <c r="U598" s="29" t="str">
        <f t="shared" si="99"/>
        <v/>
      </c>
      <c r="V598" s="33"/>
    </row>
    <row r="599" spans="1:22" x14ac:dyDescent="0.25">
      <c r="A599" s="30"/>
      <c r="B599" s="34" t="str">
        <f t="shared" si="90"/>
        <v/>
      </c>
      <c r="C599" s="34" t="str">
        <f t="shared" si="91"/>
        <v/>
      </c>
      <c r="D599" s="36" t="str">
        <f t="shared" si="92"/>
        <v/>
      </c>
      <c r="E599" s="36" t="str">
        <f t="shared" si="93"/>
        <v/>
      </c>
      <c r="F599" s="36" t="str">
        <f t="shared" si="94"/>
        <v/>
      </c>
      <c r="G599" s="30"/>
      <c r="H599" s="33"/>
      <c r="I599" s="31"/>
      <c r="J599" s="31"/>
      <c r="K599" s="13" t="str">
        <f t="shared" si="95"/>
        <v/>
      </c>
      <c r="L599" s="49"/>
      <c r="M599" s="49"/>
      <c r="N599" s="30"/>
      <c r="O599" s="30"/>
      <c r="P599" s="30"/>
      <c r="Q599" s="30"/>
      <c r="R599" s="11" t="str">
        <f t="shared" si="96"/>
        <v/>
      </c>
      <c r="S599" s="55" t="str">
        <f t="shared" si="97"/>
        <v/>
      </c>
      <c r="T599" s="37" t="str">
        <f t="shared" si="98"/>
        <v/>
      </c>
      <c r="U599" s="29" t="str">
        <f t="shared" si="99"/>
        <v/>
      </c>
      <c r="V599" s="33"/>
    </row>
    <row r="600" spans="1:22" x14ac:dyDescent="0.25">
      <c r="A600" s="30"/>
      <c r="B600" s="34" t="str">
        <f t="shared" si="90"/>
        <v/>
      </c>
      <c r="C600" s="34" t="str">
        <f t="shared" si="91"/>
        <v/>
      </c>
      <c r="D600" s="36" t="str">
        <f t="shared" si="92"/>
        <v/>
      </c>
      <c r="E600" s="36" t="str">
        <f t="shared" si="93"/>
        <v/>
      </c>
      <c r="F600" s="36" t="str">
        <f t="shared" si="94"/>
        <v/>
      </c>
      <c r="G600" s="30"/>
      <c r="H600" s="33"/>
      <c r="I600" s="31"/>
      <c r="J600" s="31"/>
      <c r="K600" s="13" t="str">
        <f t="shared" si="95"/>
        <v/>
      </c>
      <c r="L600" s="49"/>
      <c r="M600" s="49"/>
      <c r="N600" s="30"/>
      <c r="O600" s="30"/>
      <c r="P600" s="30"/>
      <c r="Q600" s="30"/>
      <c r="R600" s="11" t="str">
        <f t="shared" si="96"/>
        <v/>
      </c>
      <c r="S600" s="55" t="str">
        <f t="shared" si="97"/>
        <v/>
      </c>
      <c r="T600" s="37" t="str">
        <f t="shared" si="98"/>
        <v/>
      </c>
      <c r="U600" s="29" t="str">
        <f t="shared" si="99"/>
        <v/>
      </c>
      <c r="V600" s="33"/>
    </row>
    <row r="601" spans="1:22" x14ac:dyDescent="0.25">
      <c r="A601" s="30"/>
      <c r="B601" s="34" t="str">
        <f t="shared" si="90"/>
        <v/>
      </c>
      <c r="C601" s="34" t="str">
        <f t="shared" si="91"/>
        <v/>
      </c>
      <c r="D601" s="36" t="str">
        <f t="shared" si="92"/>
        <v/>
      </c>
      <c r="E601" s="36" t="str">
        <f t="shared" si="93"/>
        <v/>
      </c>
      <c r="F601" s="36" t="str">
        <f t="shared" si="94"/>
        <v/>
      </c>
      <c r="G601" s="30"/>
      <c r="H601" s="33"/>
      <c r="I601" s="31"/>
      <c r="J601" s="31"/>
      <c r="K601" s="13" t="str">
        <f t="shared" si="95"/>
        <v/>
      </c>
      <c r="L601" s="49"/>
      <c r="M601" s="49"/>
      <c r="N601" s="30"/>
      <c r="O601" s="30"/>
      <c r="P601" s="30"/>
      <c r="Q601" s="30"/>
      <c r="R601" s="11" t="str">
        <f t="shared" si="96"/>
        <v/>
      </c>
      <c r="S601" s="55" t="str">
        <f t="shared" si="97"/>
        <v/>
      </c>
      <c r="T601" s="37" t="str">
        <f t="shared" si="98"/>
        <v/>
      </c>
      <c r="U601" s="29" t="str">
        <f t="shared" si="99"/>
        <v/>
      </c>
      <c r="V601" s="33"/>
    </row>
    <row r="602" spans="1:22" x14ac:dyDescent="0.25">
      <c r="A602" s="30"/>
      <c r="B602" s="34" t="str">
        <f t="shared" si="90"/>
        <v/>
      </c>
      <c r="C602" s="34" t="str">
        <f t="shared" si="91"/>
        <v/>
      </c>
      <c r="D602" s="36" t="str">
        <f t="shared" si="92"/>
        <v/>
      </c>
      <c r="E602" s="36" t="str">
        <f t="shared" si="93"/>
        <v/>
      </c>
      <c r="F602" s="36" t="str">
        <f t="shared" si="94"/>
        <v/>
      </c>
      <c r="G602" s="30"/>
      <c r="H602" s="33"/>
      <c r="I602" s="31"/>
      <c r="J602" s="31"/>
      <c r="K602" s="13" t="str">
        <f t="shared" si="95"/>
        <v/>
      </c>
      <c r="L602" s="49"/>
      <c r="M602" s="49"/>
      <c r="N602" s="30"/>
      <c r="O602" s="30"/>
      <c r="P602" s="30"/>
      <c r="Q602" s="30"/>
      <c r="R602" s="11" t="str">
        <f t="shared" si="96"/>
        <v/>
      </c>
      <c r="S602" s="55" t="str">
        <f t="shared" si="97"/>
        <v/>
      </c>
      <c r="T602" s="37" t="str">
        <f t="shared" si="98"/>
        <v/>
      </c>
      <c r="U602" s="29" t="str">
        <f t="shared" si="99"/>
        <v/>
      </c>
      <c r="V602" s="33"/>
    </row>
    <row r="603" spans="1:22" x14ac:dyDescent="0.25">
      <c r="A603" s="30"/>
      <c r="B603" s="34" t="str">
        <f t="shared" si="90"/>
        <v/>
      </c>
      <c r="C603" s="34" t="str">
        <f t="shared" si="91"/>
        <v/>
      </c>
      <c r="D603" s="36" t="str">
        <f t="shared" si="92"/>
        <v/>
      </c>
      <c r="E603" s="36" t="str">
        <f t="shared" si="93"/>
        <v/>
      </c>
      <c r="F603" s="36" t="str">
        <f t="shared" si="94"/>
        <v/>
      </c>
      <c r="G603" s="30"/>
      <c r="H603" s="33"/>
      <c r="I603" s="31"/>
      <c r="J603" s="31"/>
      <c r="K603" s="13" t="str">
        <f t="shared" si="95"/>
        <v/>
      </c>
      <c r="L603" s="49"/>
      <c r="M603" s="49"/>
      <c r="N603" s="30"/>
      <c r="O603" s="30"/>
      <c r="P603" s="30"/>
      <c r="Q603" s="30"/>
      <c r="R603" s="11" t="str">
        <f t="shared" si="96"/>
        <v/>
      </c>
      <c r="S603" s="55" t="str">
        <f t="shared" si="97"/>
        <v/>
      </c>
      <c r="T603" s="37" t="str">
        <f t="shared" si="98"/>
        <v/>
      </c>
      <c r="U603" s="29" t="str">
        <f t="shared" si="99"/>
        <v/>
      </c>
      <c r="V603" s="33"/>
    </row>
    <row r="604" spans="1:22" x14ac:dyDescent="0.25">
      <c r="A604" s="30"/>
      <c r="B604" s="34" t="str">
        <f t="shared" si="90"/>
        <v/>
      </c>
      <c r="C604" s="34" t="str">
        <f t="shared" si="91"/>
        <v/>
      </c>
      <c r="D604" s="36" t="str">
        <f t="shared" si="92"/>
        <v/>
      </c>
      <c r="E604" s="36" t="str">
        <f t="shared" si="93"/>
        <v/>
      </c>
      <c r="F604" s="36" t="str">
        <f t="shared" si="94"/>
        <v/>
      </c>
      <c r="G604" s="30"/>
      <c r="H604" s="33"/>
      <c r="I604" s="31"/>
      <c r="J604" s="31"/>
      <c r="K604" s="13" t="str">
        <f t="shared" si="95"/>
        <v/>
      </c>
      <c r="L604" s="49"/>
      <c r="M604" s="49"/>
      <c r="N604" s="30"/>
      <c r="O604" s="30"/>
      <c r="P604" s="30"/>
      <c r="Q604" s="30"/>
      <c r="R604" s="11" t="str">
        <f t="shared" si="96"/>
        <v/>
      </c>
      <c r="S604" s="55" t="str">
        <f t="shared" si="97"/>
        <v/>
      </c>
      <c r="T604" s="37" t="str">
        <f t="shared" si="98"/>
        <v/>
      </c>
      <c r="U604" s="29" t="str">
        <f t="shared" si="99"/>
        <v/>
      </c>
      <c r="V604" s="33"/>
    </row>
    <row r="605" spans="1:22" x14ac:dyDescent="0.25">
      <c r="A605" s="30"/>
      <c r="B605" s="34" t="str">
        <f t="shared" si="90"/>
        <v/>
      </c>
      <c r="C605" s="34" t="str">
        <f t="shared" si="91"/>
        <v/>
      </c>
      <c r="D605" s="36" t="str">
        <f t="shared" si="92"/>
        <v/>
      </c>
      <c r="E605" s="36" t="str">
        <f t="shared" si="93"/>
        <v/>
      </c>
      <c r="F605" s="36" t="str">
        <f t="shared" si="94"/>
        <v/>
      </c>
      <c r="G605" s="30"/>
      <c r="H605" s="33"/>
      <c r="I605" s="31"/>
      <c r="J605" s="31"/>
      <c r="K605" s="13" t="str">
        <f t="shared" si="95"/>
        <v/>
      </c>
      <c r="L605" s="49"/>
      <c r="M605" s="49"/>
      <c r="N605" s="30"/>
      <c r="O605" s="30"/>
      <c r="P605" s="30"/>
      <c r="Q605" s="30"/>
      <c r="R605" s="11" t="str">
        <f t="shared" si="96"/>
        <v/>
      </c>
      <c r="S605" s="55" t="str">
        <f t="shared" si="97"/>
        <v/>
      </c>
      <c r="T605" s="37" t="str">
        <f t="shared" si="98"/>
        <v/>
      </c>
      <c r="U605" s="29" t="str">
        <f t="shared" si="99"/>
        <v/>
      </c>
      <c r="V605" s="33"/>
    </row>
    <row r="606" spans="1:22" x14ac:dyDescent="0.25">
      <c r="A606" s="30"/>
      <c r="B606" s="34" t="str">
        <f t="shared" si="90"/>
        <v/>
      </c>
      <c r="C606" s="34" t="str">
        <f t="shared" si="91"/>
        <v/>
      </c>
      <c r="D606" s="36" t="str">
        <f t="shared" si="92"/>
        <v/>
      </c>
      <c r="E606" s="36" t="str">
        <f t="shared" si="93"/>
        <v/>
      </c>
      <c r="F606" s="36" t="str">
        <f t="shared" si="94"/>
        <v/>
      </c>
      <c r="G606" s="30"/>
      <c r="H606" s="33"/>
      <c r="I606" s="31"/>
      <c r="J606" s="31"/>
      <c r="K606" s="13" t="str">
        <f t="shared" si="95"/>
        <v/>
      </c>
      <c r="L606" s="49"/>
      <c r="M606" s="49"/>
      <c r="N606" s="30"/>
      <c r="O606" s="30"/>
      <c r="P606" s="30"/>
      <c r="Q606" s="30"/>
      <c r="R606" s="11" t="str">
        <f t="shared" si="96"/>
        <v/>
      </c>
      <c r="S606" s="55" t="str">
        <f t="shared" si="97"/>
        <v/>
      </c>
      <c r="T606" s="37" t="str">
        <f t="shared" si="98"/>
        <v/>
      </c>
      <c r="U606" s="29" t="str">
        <f t="shared" si="99"/>
        <v/>
      </c>
      <c r="V606" s="33"/>
    </row>
    <row r="607" spans="1:22" x14ac:dyDescent="0.25">
      <c r="A607" s="30"/>
      <c r="B607" s="34" t="str">
        <f t="shared" si="90"/>
        <v/>
      </c>
      <c r="C607" s="34" t="str">
        <f t="shared" si="91"/>
        <v/>
      </c>
      <c r="D607" s="36" t="str">
        <f t="shared" si="92"/>
        <v/>
      </c>
      <c r="E607" s="36" t="str">
        <f t="shared" si="93"/>
        <v/>
      </c>
      <c r="F607" s="36" t="str">
        <f t="shared" si="94"/>
        <v/>
      </c>
      <c r="G607" s="30"/>
      <c r="H607" s="33"/>
      <c r="I607" s="31"/>
      <c r="J607" s="31"/>
      <c r="K607" s="13" t="str">
        <f t="shared" si="95"/>
        <v/>
      </c>
      <c r="L607" s="49"/>
      <c r="M607" s="49"/>
      <c r="N607" s="30"/>
      <c r="O607" s="30"/>
      <c r="P607" s="30"/>
      <c r="Q607" s="30"/>
      <c r="R607" s="11" t="str">
        <f t="shared" si="96"/>
        <v/>
      </c>
      <c r="S607" s="55" t="str">
        <f t="shared" si="97"/>
        <v/>
      </c>
      <c r="T607" s="37" t="str">
        <f t="shared" si="98"/>
        <v/>
      </c>
      <c r="U607" s="29" t="str">
        <f t="shared" si="99"/>
        <v/>
      </c>
      <c r="V607" s="33"/>
    </row>
    <row r="608" spans="1:22" x14ac:dyDescent="0.25">
      <c r="A608" s="30"/>
      <c r="B608" s="34" t="str">
        <f t="shared" si="90"/>
        <v/>
      </c>
      <c r="C608" s="34" t="str">
        <f t="shared" si="91"/>
        <v/>
      </c>
      <c r="D608" s="36" t="str">
        <f t="shared" si="92"/>
        <v/>
      </c>
      <c r="E608" s="36" t="str">
        <f t="shared" si="93"/>
        <v/>
      </c>
      <c r="F608" s="36" t="str">
        <f t="shared" si="94"/>
        <v/>
      </c>
      <c r="G608" s="30"/>
      <c r="H608" s="33"/>
      <c r="I608" s="31"/>
      <c r="J608" s="31"/>
      <c r="K608" s="13" t="str">
        <f t="shared" si="95"/>
        <v/>
      </c>
      <c r="L608" s="49"/>
      <c r="M608" s="49"/>
      <c r="N608" s="30"/>
      <c r="O608" s="30"/>
      <c r="P608" s="30"/>
      <c r="Q608" s="30"/>
      <c r="R608" s="11" t="str">
        <f t="shared" si="96"/>
        <v/>
      </c>
      <c r="S608" s="55" t="str">
        <f t="shared" si="97"/>
        <v/>
      </c>
      <c r="T608" s="37" t="str">
        <f t="shared" si="98"/>
        <v/>
      </c>
      <c r="U608" s="29" t="str">
        <f t="shared" si="99"/>
        <v/>
      </c>
      <c r="V608" s="33"/>
    </row>
  </sheetData>
  <autoFilter ref="A4:V4"/>
  <mergeCells count="20">
    <mergeCell ref="A1:V1"/>
    <mergeCell ref="Y8:AD8"/>
    <mergeCell ref="Y4:AD4"/>
    <mergeCell ref="Y3:AD3"/>
    <mergeCell ref="Y15:AD15"/>
    <mergeCell ref="Y9:AD9"/>
    <mergeCell ref="Y1:AD1"/>
    <mergeCell ref="Y19:AD19"/>
    <mergeCell ref="Y17:AD17"/>
    <mergeCell ref="Y16:AD16"/>
    <mergeCell ref="Y7:AD7"/>
    <mergeCell ref="Y6:AD6"/>
    <mergeCell ref="Y13:AD13"/>
    <mergeCell ref="Y18:AD18"/>
    <mergeCell ref="A2:V2"/>
    <mergeCell ref="Y21:AD21"/>
    <mergeCell ref="Y2:AD2"/>
    <mergeCell ref="Y5:AD5"/>
    <mergeCell ref="Y14:AD14"/>
    <mergeCell ref="Y10:AD10"/>
  </mergeCells>
  <conditionalFormatting sqref="A5:A608">
    <cfRule type="expression" dxfId="59" priority="4">
      <formula>AND($A5&lt;&gt;"",COUNTIF(CAD_ID,$A5)=0)</formula>
    </cfRule>
    <cfRule type="expression" dxfId="58" priority="5">
      <formula>AND($A5&lt;&gt;"",COUNTIF($A$5:$A$608,$A5)&gt;1)</formula>
    </cfRule>
  </conditionalFormatting>
  <conditionalFormatting sqref="U5:U608">
    <cfRule type="cellIs" dxfId="57" priority="1" operator="equal">
      <formula>"MEDIDA"</formula>
    </cfRule>
    <cfRule type="cellIs" dxfId="56" priority="2" operator="equal">
      <formula>"AGUARDANDO PAVIMENTO"</formula>
    </cfRule>
    <cfRule type="cellIs" dxfId="55" priority="3" operator="equal">
      <formula>"EM EXECUÇÃO"</formula>
    </cfRule>
  </conditionalFormatting>
  <dataValidations count="4">
    <dataValidation type="list" allowBlank="1" errorTitle="Entrada invalida" error="Valor fora da lista padronizada. Use a seta para escolher." sqref="G5:G608">
      <formula1>LST_EQUIPE</formula1>
    </dataValidation>
    <dataValidation type="list" allowBlank="1" errorTitle="Entrada invalida" error="Valor fora da lista padronizada. Use a seta para escolher." sqref="H5:H608">
      <formula1>EQP_NOMES</formula1>
    </dataValidation>
    <dataValidation type="list" allowBlank="1" errorTitle="Entrada invalida" error="Valor fora da lista padronizada. Use a seta para escolher." sqref="N5:P608">
      <formula1>LST_SNP</formula1>
    </dataValidation>
    <dataValidation type="date" allowBlank="1" errorTitle="Data invalida" error="Informe uma data valida (dd/mm/aaaa) entre 2026 e 2030." sqref="I5:J608">
      <formula1>DATE(2026,1,1)</formula1>
      <formula2>DATE(2030,12,31)</formula2>
    </dataValidation>
  </dataValidations>
  <printOptions horizontalCentered="1"/>
  <pageMargins left="0.3" right="0.3" top="0.5" bottom="0.5" header="0.5" footer="0.5"/>
  <pageSetup paperSize="9" fitToHeight="0" orientation="landscape"/>
  <headerFooter>
    <oddFooter>&amp;L&amp;8 WCR Saneamento — Controle Operacional SABESP&amp;R&amp;8 Página &amp;P de &amp;N</oddFooter>
  </headerFooter>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2E75B6"/>
    <pageSetUpPr fitToPage="1"/>
  </sheetPr>
  <dimension ref="A1:AJ504"/>
  <sheetViews>
    <sheetView showGridLines="0" workbookViewId="0">
      <pane ySplit="4" topLeftCell="A5" activePane="bottomLeft" state="frozen"/>
      <selection pane="bottomLeft" activeCell="AA8" sqref="AA8"/>
    </sheetView>
  </sheetViews>
  <sheetFormatPr defaultRowHeight="15" x14ac:dyDescent="0.25"/>
  <cols>
    <col min="1" max="1" width="11" style="109" customWidth="1"/>
    <col min="2" max="2" width="6" style="109" customWidth="1"/>
    <col min="3" max="3" width="8" style="109" customWidth="1"/>
    <col min="4" max="4" width="12" style="109" customWidth="1"/>
    <col min="5" max="5" width="9" style="109" customWidth="1"/>
    <col min="6" max="10" width="8" style="109" customWidth="1"/>
    <col min="11" max="11" width="11" style="109" customWidth="1"/>
    <col min="12" max="12" width="10" style="109" customWidth="1"/>
    <col min="13" max="13" width="11" style="109" customWidth="1"/>
    <col min="14" max="14" width="10" style="109" customWidth="1"/>
    <col min="15" max="15" width="8" style="109" customWidth="1"/>
    <col min="16" max="16" width="9" style="109" customWidth="1"/>
    <col min="17" max="18" width="12" style="109" customWidth="1"/>
    <col min="19" max="19" width="10" style="109" customWidth="1"/>
    <col min="20" max="20" width="14" style="109" customWidth="1"/>
    <col min="21" max="21" width="13" style="109" customWidth="1"/>
    <col min="22" max="22" width="12" style="109" customWidth="1"/>
    <col min="23" max="24" width="14" style="109" customWidth="1"/>
    <col min="25" max="25" width="10" style="109" customWidth="1"/>
    <col min="26" max="26" width="13" style="109" customWidth="1"/>
    <col min="27" max="27" width="22" style="109" customWidth="1"/>
    <col min="28" max="28" width="30" style="109" customWidth="1"/>
    <col min="31" max="36" width="10.42578125" style="109" customWidth="1"/>
  </cols>
  <sheetData>
    <row r="1" spans="1:36" ht="26.1" customHeight="1" x14ac:dyDescent="0.25">
      <c r="A1" s="151" t="s">
        <v>2630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E1" s="154" t="s">
        <v>280</v>
      </c>
      <c r="AF1" s="155"/>
      <c r="AG1" s="155"/>
      <c r="AH1" s="155"/>
      <c r="AI1" s="155"/>
      <c r="AJ1" s="156"/>
    </row>
    <row r="2" spans="1:36" ht="14.1" customHeight="1" x14ac:dyDescent="0.25">
      <c r="A2" s="153" t="s">
        <v>2631</v>
      </c>
      <c r="B2" s="149"/>
      <c r="C2" s="149"/>
      <c r="D2" s="149"/>
      <c r="E2" s="149"/>
      <c r="F2" s="149"/>
      <c r="G2" s="149"/>
      <c r="H2" s="149"/>
      <c r="I2" s="149"/>
      <c r="J2" s="149"/>
      <c r="K2" s="149"/>
      <c r="L2" s="149"/>
      <c r="M2" s="149"/>
      <c r="N2" s="149"/>
      <c r="O2" s="149"/>
      <c r="P2" s="149"/>
      <c r="Q2" s="149"/>
      <c r="R2" s="149"/>
      <c r="S2" s="149"/>
      <c r="T2" s="149"/>
      <c r="U2" s="149"/>
      <c r="V2" s="149"/>
      <c r="W2" s="149"/>
      <c r="X2" s="149"/>
      <c r="Y2" s="149"/>
      <c r="Z2" s="149"/>
      <c r="AA2" s="149"/>
      <c r="AB2" s="149"/>
      <c r="AE2" s="158" t="s">
        <v>100</v>
      </c>
      <c r="AF2" s="155"/>
      <c r="AG2" s="155"/>
      <c r="AH2" s="155"/>
      <c r="AI2" s="155"/>
      <c r="AJ2" s="156"/>
    </row>
    <row r="3" spans="1:36" x14ac:dyDescent="0.25">
      <c r="AE3" s="157" t="s">
        <v>101</v>
      </c>
      <c r="AF3" s="155"/>
      <c r="AG3" s="155"/>
      <c r="AH3" s="155"/>
      <c r="AI3" s="155"/>
      <c r="AJ3" s="156"/>
    </row>
    <row r="4" spans="1:36" ht="32.1" customHeight="1" x14ac:dyDescent="0.25">
      <c r="A4" s="46" t="s">
        <v>2536</v>
      </c>
      <c r="B4" s="46" t="s">
        <v>615</v>
      </c>
      <c r="C4" s="46" t="s">
        <v>2632</v>
      </c>
      <c r="D4" s="46" t="s">
        <v>591</v>
      </c>
      <c r="E4" s="46" t="s">
        <v>592</v>
      </c>
      <c r="F4" s="46" t="s">
        <v>2633</v>
      </c>
      <c r="G4" s="46" t="s">
        <v>2634</v>
      </c>
      <c r="H4" s="46" t="s">
        <v>2635</v>
      </c>
      <c r="I4" s="46" t="s">
        <v>2636</v>
      </c>
      <c r="J4" s="46" t="s">
        <v>2637</v>
      </c>
      <c r="K4" s="46" t="s">
        <v>2638</v>
      </c>
      <c r="L4" s="46" t="s">
        <v>2639</v>
      </c>
      <c r="M4" s="46" t="s">
        <v>2640</v>
      </c>
      <c r="N4" s="46" t="s">
        <v>2641</v>
      </c>
      <c r="O4" s="46" t="s">
        <v>2642</v>
      </c>
      <c r="P4" s="46" t="s">
        <v>2643</v>
      </c>
      <c r="Q4" s="46" t="s">
        <v>2644</v>
      </c>
      <c r="R4" s="46" t="s">
        <v>2645</v>
      </c>
      <c r="S4" s="46" t="s">
        <v>2544</v>
      </c>
      <c r="T4" s="46" t="s">
        <v>2646</v>
      </c>
      <c r="U4" s="46" t="s">
        <v>2647</v>
      </c>
      <c r="V4" s="46" t="s">
        <v>2648</v>
      </c>
      <c r="W4" s="46" t="s">
        <v>2649</v>
      </c>
      <c r="X4" s="46" t="s">
        <v>2650</v>
      </c>
      <c r="Y4" s="46" t="s">
        <v>2651</v>
      </c>
      <c r="Z4" s="46" t="s">
        <v>2652</v>
      </c>
      <c r="AA4" s="46" t="s">
        <v>2653</v>
      </c>
      <c r="AB4" s="46" t="s">
        <v>561</v>
      </c>
      <c r="AE4" s="157" t="s">
        <v>102</v>
      </c>
      <c r="AF4" s="155"/>
      <c r="AG4" s="155"/>
      <c r="AH4" s="155"/>
      <c r="AI4" s="155"/>
      <c r="AJ4" s="156"/>
    </row>
    <row r="5" spans="1:36" x14ac:dyDescent="0.25">
      <c r="A5" s="31">
        <v>46266</v>
      </c>
      <c r="B5" s="29" t="str">
        <f t="shared" ref="B5:B68" si="0">IF($A5="","",CHOOSE(WEEKDAY($A5,1),"DOM","SEG","TER","QUA","QUI","SEX","SÁB"))</f>
        <v>TER</v>
      </c>
      <c r="C5" s="29" t="str">
        <f>IF($A5="","","S"&amp;(INT(($A5-'01. CONFIGURAÇÕES'!$C$12)/7)+1))</f>
        <v>S1</v>
      </c>
      <c r="D5" s="30" t="s">
        <v>2437</v>
      </c>
      <c r="E5" s="63"/>
      <c r="F5" s="10">
        <v>9</v>
      </c>
      <c r="G5" s="49">
        <v>8</v>
      </c>
      <c r="H5" s="49"/>
      <c r="I5" s="52">
        <f t="shared" ref="I5:I68" si="1">IF($A5="","",$F5*($G5+$H5))</f>
        <v>72</v>
      </c>
      <c r="J5" s="49">
        <v>0</v>
      </c>
      <c r="K5" s="49">
        <v>0</v>
      </c>
      <c r="L5" s="49">
        <v>0</v>
      </c>
      <c r="M5" s="49"/>
      <c r="N5" s="49"/>
      <c r="O5" s="49"/>
      <c r="P5" s="10"/>
      <c r="Q5" s="11">
        <f t="shared" ref="Q5:Q68" si="2">IF($A5="","",COUNTIFS(PROG_DATA,$A5,PROG_EQUIPE,$E5))</f>
        <v>0</v>
      </c>
      <c r="R5" s="11">
        <f t="shared" ref="R5:R68" si="3">IF($A5="","",COUNTIFS(OS_FIM,$A5,OS_EQUIPE,$E5))</f>
        <v>0</v>
      </c>
      <c r="S5" s="58" t="str">
        <f t="shared" ref="S5:S68" si="4">IF(OR($A5="",$Q5=0),"",$R5/$Q5)</f>
        <v/>
      </c>
      <c r="T5" s="55">
        <f t="shared" ref="T5:T68" si="5">IF($A5="","",SUMIFS(MED_VLR,MED_DATA,$A5,MED_EQUIPE,$E5))</f>
        <v>0</v>
      </c>
      <c r="U5" s="55">
        <f>IF($D5="","",IF($D5='01. CONFIGURAÇÕES'!$C$8,'01. CONFIGURAÇÕES'!$C$38,'01. CONFIGURAÇÕES'!$D$38))</f>
        <v>4038.1610139860136</v>
      </c>
      <c r="V5" s="58">
        <f t="shared" ref="V5:V68" si="6">IF(OR($U5="",$U5=0),"",$T5/$U5)</f>
        <v>0</v>
      </c>
      <c r="W5" s="55">
        <f>IF($D5="","",IF($D5='01. CONFIGURAÇÕES'!$C$8,'01. CONFIGURAÇÕES'!$C$31,'01. CONFIGURAÇÕES'!$D$31))</f>
        <v>2624.8046590909089</v>
      </c>
      <c r="X5" s="54">
        <f>IF($A5="","",$T5*(1-'01. CONFIGURAÇÕES'!$C$16)-IF($W5="",0,$W5))</f>
        <v>-2624.8046590909089</v>
      </c>
      <c r="Y5" s="54">
        <f t="shared" ref="Y5:Y68" si="7">IF(OR($I5="",$I5=0),"",$T5/$I5)</f>
        <v>0</v>
      </c>
      <c r="Z5" s="30"/>
      <c r="AA5" s="33"/>
      <c r="AB5" s="33" t="s">
        <v>2654</v>
      </c>
      <c r="AE5" s="157" t="s">
        <v>103</v>
      </c>
      <c r="AF5" s="155"/>
      <c r="AG5" s="155"/>
      <c r="AH5" s="155"/>
      <c r="AI5" s="155"/>
      <c r="AJ5" s="156"/>
    </row>
    <row r="6" spans="1:36" ht="25.5" customHeight="1" x14ac:dyDescent="0.25">
      <c r="A6" s="31">
        <v>46267</v>
      </c>
      <c r="B6" s="29" t="str">
        <f t="shared" si="0"/>
        <v>QUA</v>
      </c>
      <c r="C6" s="29" t="str">
        <f>IF($A6="","","S"&amp;(INT(($A6-'01. CONFIGURAÇÕES'!$C$12)/7)+1))</f>
        <v>S1</v>
      </c>
      <c r="D6" s="30" t="s">
        <v>2437</v>
      </c>
      <c r="E6" s="63"/>
      <c r="F6" s="10">
        <v>9</v>
      </c>
      <c r="G6" s="49">
        <v>8</v>
      </c>
      <c r="H6" s="49"/>
      <c r="I6" s="52">
        <f t="shared" si="1"/>
        <v>72</v>
      </c>
      <c r="J6" s="49">
        <v>0</v>
      </c>
      <c r="K6" s="49">
        <v>0</v>
      </c>
      <c r="L6" s="49">
        <v>0</v>
      </c>
      <c r="M6" s="49"/>
      <c r="N6" s="49"/>
      <c r="O6" s="49"/>
      <c r="P6" s="10"/>
      <c r="Q6" s="11">
        <f t="shared" si="2"/>
        <v>0</v>
      </c>
      <c r="R6" s="11">
        <f t="shared" si="3"/>
        <v>0</v>
      </c>
      <c r="S6" s="58" t="str">
        <f t="shared" si="4"/>
        <v/>
      </c>
      <c r="T6" s="55">
        <f t="shared" si="5"/>
        <v>0</v>
      </c>
      <c r="U6" s="55">
        <f>IF($D6="","",IF($D6='01. CONFIGURAÇÕES'!$C$8,'01. CONFIGURAÇÕES'!$C$38,'01. CONFIGURAÇÕES'!$D$38))</f>
        <v>4038.1610139860136</v>
      </c>
      <c r="V6" s="58">
        <f t="shared" si="6"/>
        <v>0</v>
      </c>
      <c r="W6" s="55">
        <f>IF($D6="","",IF($D6='01. CONFIGURAÇÕES'!$C$8,'01. CONFIGURAÇÕES'!$C$31,'01. CONFIGURAÇÕES'!$D$31))</f>
        <v>2624.8046590909089</v>
      </c>
      <c r="X6" s="54">
        <f>IF($A6="","",$T6*(1-'01. CONFIGURAÇÕES'!$C$16)-IF($W6="",0,$W6))</f>
        <v>-2624.8046590909089</v>
      </c>
      <c r="Y6" s="54">
        <f t="shared" si="7"/>
        <v>0</v>
      </c>
      <c r="Z6" s="30"/>
      <c r="AA6" s="33"/>
      <c r="AB6" s="33" t="s">
        <v>2655</v>
      </c>
      <c r="AE6" s="159" t="s">
        <v>104</v>
      </c>
      <c r="AF6" s="155"/>
      <c r="AG6" s="155"/>
      <c r="AH6" s="155"/>
      <c r="AI6" s="155"/>
      <c r="AJ6" s="156"/>
    </row>
    <row r="7" spans="1:36" x14ac:dyDescent="0.25">
      <c r="A7" s="31">
        <v>46268</v>
      </c>
      <c r="B7" s="29" t="str">
        <f t="shared" si="0"/>
        <v>QUI</v>
      </c>
      <c r="C7" s="29" t="str">
        <f>IF($A7="","","S"&amp;(INT(($A7-'01. CONFIGURAÇÕES'!$C$12)/7)+1))</f>
        <v>S1</v>
      </c>
      <c r="D7" s="30" t="s">
        <v>2437</v>
      </c>
      <c r="E7" s="63"/>
      <c r="F7" s="10">
        <v>8</v>
      </c>
      <c r="G7" s="49">
        <v>8</v>
      </c>
      <c r="H7" s="49"/>
      <c r="I7" s="52">
        <f t="shared" si="1"/>
        <v>64</v>
      </c>
      <c r="J7" s="49">
        <v>0</v>
      </c>
      <c r="K7" s="49">
        <v>8</v>
      </c>
      <c r="L7" s="49">
        <v>8</v>
      </c>
      <c r="M7" s="49"/>
      <c r="N7" s="49"/>
      <c r="O7" s="49"/>
      <c r="P7" s="10"/>
      <c r="Q7" s="11">
        <f t="shared" si="2"/>
        <v>0</v>
      </c>
      <c r="R7" s="11">
        <f t="shared" si="3"/>
        <v>0</v>
      </c>
      <c r="S7" s="58" t="str">
        <f t="shared" si="4"/>
        <v/>
      </c>
      <c r="T7" s="55">
        <f t="shared" si="5"/>
        <v>7199.2100000000009</v>
      </c>
      <c r="U7" s="55">
        <f>IF($D7="","",IF($D7='01. CONFIGURAÇÕES'!$C$8,'01. CONFIGURAÇÕES'!$C$38,'01. CONFIGURAÇÕES'!$D$38))</f>
        <v>4038.1610139860136</v>
      </c>
      <c r="V7" s="58">
        <f t="shared" si="6"/>
        <v>1.782794191481176</v>
      </c>
      <c r="W7" s="55">
        <f>IF($D7="","",IF($D7='01. CONFIGURAÇÕES'!$C$8,'01. CONFIGURAÇÕES'!$C$31,'01. CONFIGURAÇÕES'!$D$31))</f>
        <v>2624.8046590909089</v>
      </c>
      <c r="X7" s="54">
        <f>IF($A7="","",$T7*(1-'01. CONFIGURAÇÕES'!$C$16)-IF($W7="",0,$W7))</f>
        <v>2990.5791409090916</v>
      </c>
      <c r="Y7" s="54">
        <f t="shared" si="7"/>
        <v>112.48765625000001</v>
      </c>
      <c r="Z7" s="30"/>
      <c r="AA7" s="33"/>
      <c r="AB7" s="33"/>
      <c r="AE7" s="159" t="s">
        <v>105</v>
      </c>
      <c r="AF7" s="155"/>
      <c r="AG7" s="155"/>
      <c r="AH7" s="155"/>
      <c r="AI7" s="155"/>
      <c r="AJ7" s="156"/>
    </row>
    <row r="8" spans="1:36" x14ac:dyDescent="0.25">
      <c r="A8" s="31">
        <v>46269</v>
      </c>
      <c r="B8" s="29" t="str">
        <f t="shared" si="0"/>
        <v>SEX</v>
      </c>
      <c r="C8" s="29" t="str">
        <f>IF($A8="","","S"&amp;(INT(($A8-'01. CONFIGURAÇÕES'!$C$12)/7)+1))</f>
        <v>S1</v>
      </c>
      <c r="D8" s="30" t="s">
        <v>2437</v>
      </c>
      <c r="E8" s="63"/>
      <c r="F8" s="10">
        <v>9</v>
      </c>
      <c r="G8" s="49">
        <v>8</v>
      </c>
      <c r="H8" s="49"/>
      <c r="I8" s="52">
        <f t="shared" si="1"/>
        <v>72</v>
      </c>
      <c r="J8" s="49">
        <v>0</v>
      </c>
      <c r="K8" s="49">
        <v>8</v>
      </c>
      <c r="L8" s="49">
        <v>8</v>
      </c>
      <c r="M8" s="49"/>
      <c r="N8" s="49"/>
      <c r="O8" s="49"/>
      <c r="P8" s="10"/>
      <c r="Q8" s="11">
        <f t="shared" si="2"/>
        <v>0</v>
      </c>
      <c r="R8" s="11">
        <f t="shared" si="3"/>
        <v>0</v>
      </c>
      <c r="S8" s="58" t="str">
        <f t="shared" si="4"/>
        <v/>
      </c>
      <c r="T8" s="55">
        <f t="shared" si="5"/>
        <v>3316.09</v>
      </c>
      <c r="U8" s="55">
        <f>IF($D8="","",IF($D8='01. CONFIGURAÇÕES'!$C$8,'01. CONFIGURAÇÕES'!$C$38,'01. CONFIGURAÇÕES'!$D$38))</f>
        <v>4038.1610139860136</v>
      </c>
      <c r="V8" s="58">
        <f t="shared" si="6"/>
        <v>0.82118815681565238</v>
      </c>
      <c r="W8" s="55">
        <f>IF($D8="","",IF($D8='01. CONFIGURAÇÕES'!$C$8,'01. CONFIGURAÇÕES'!$C$31,'01. CONFIGURAÇÕES'!$D$31))</f>
        <v>2624.8046590909089</v>
      </c>
      <c r="X8" s="54">
        <f>IF($A8="","",$T8*(1-'01. CONFIGURAÇÕES'!$C$16)-IF($W8="",0,$W8))</f>
        <v>-38.254459090908767</v>
      </c>
      <c r="Y8" s="54">
        <f t="shared" si="7"/>
        <v>46.056805555555556</v>
      </c>
      <c r="Z8" s="30"/>
      <c r="AA8" s="33"/>
      <c r="AB8" s="33"/>
      <c r="AE8" s="157" t="s">
        <v>106</v>
      </c>
      <c r="AF8" s="155"/>
      <c r="AG8" s="155"/>
      <c r="AH8" s="155"/>
      <c r="AI8" s="155"/>
      <c r="AJ8" s="156"/>
    </row>
    <row r="9" spans="1:36" x14ac:dyDescent="0.25">
      <c r="A9" s="31">
        <v>46273</v>
      </c>
      <c r="B9" s="29" t="str">
        <f t="shared" si="0"/>
        <v>TER</v>
      </c>
      <c r="C9" s="29" t="str">
        <f>IF($A9="","","S"&amp;(INT(($A9-'01. CONFIGURAÇÕES'!$C$12)/7)+1))</f>
        <v>S2</v>
      </c>
      <c r="D9" s="30" t="s">
        <v>2437</v>
      </c>
      <c r="E9" s="63"/>
      <c r="F9" s="10">
        <v>9</v>
      </c>
      <c r="G9" s="49">
        <v>8</v>
      </c>
      <c r="H9" s="49"/>
      <c r="I9" s="52">
        <f t="shared" si="1"/>
        <v>72</v>
      </c>
      <c r="J9" s="49">
        <v>8</v>
      </c>
      <c r="K9" s="49">
        <v>8</v>
      </c>
      <c r="L9" s="49">
        <v>8</v>
      </c>
      <c r="M9" s="49"/>
      <c r="N9" s="49"/>
      <c r="O9" s="49"/>
      <c r="P9" s="10"/>
      <c r="Q9" s="11">
        <f t="shared" si="2"/>
        <v>0</v>
      </c>
      <c r="R9" s="11">
        <f t="shared" si="3"/>
        <v>0</v>
      </c>
      <c r="S9" s="58" t="str">
        <f t="shared" si="4"/>
        <v/>
      </c>
      <c r="T9" s="55">
        <f t="shared" si="5"/>
        <v>2355.21</v>
      </c>
      <c r="U9" s="55">
        <f>IF($D9="","",IF($D9='01. CONFIGURAÇÕES'!$C$8,'01. CONFIGURAÇÕES'!$C$38,'01. CONFIGURAÇÕES'!$D$38))</f>
        <v>4038.1610139860136</v>
      </c>
      <c r="V9" s="58">
        <f t="shared" si="6"/>
        <v>0.58323825915876604</v>
      </c>
      <c r="W9" s="55">
        <f>IF($D9="","",IF($D9='01. CONFIGURAÇÕES'!$C$8,'01. CONFIGURAÇÕES'!$C$31,'01. CONFIGURAÇÕES'!$D$31))</f>
        <v>2624.8046590909089</v>
      </c>
      <c r="X9" s="54">
        <f>IF($A9="","",$T9*(1-'01. CONFIGURAÇÕES'!$C$16)-IF($W9="",0,$W9))</f>
        <v>-787.74085909090877</v>
      </c>
      <c r="Y9" s="54">
        <f t="shared" si="7"/>
        <v>32.71125</v>
      </c>
      <c r="Z9" s="30"/>
      <c r="AA9" s="33"/>
      <c r="AB9" s="33"/>
      <c r="AE9" s="157" t="s">
        <v>107</v>
      </c>
      <c r="AF9" s="155"/>
      <c r="AG9" s="155"/>
      <c r="AH9" s="155"/>
      <c r="AI9" s="155"/>
      <c r="AJ9" s="156"/>
    </row>
    <row r="10" spans="1:36" x14ac:dyDescent="0.25">
      <c r="A10" s="31">
        <v>46274</v>
      </c>
      <c r="B10" s="29" t="str">
        <f t="shared" si="0"/>
        <v>QUA</v>
      </c>
      <c r="C10" s="29" t="str">
        <f>IF($A10="","","S"&amp;(INT(($A10-'01. CONFIGURAÇÕES'!$C$12)/7)+1))</f>
        <v>S2</v>
      </c>
      <c r="D10" s="30" t="s">
        <v>2437</v>
      </c>
      <c r="E10" s="63"/>
      <c r="F10" s="10">
        <v>9</v>
      </c>
      <c r="G10" s="49">
        <v>8</v>
      </c>
      <c r="H10" s="49"/>
      <c r="I10" s="52">
        <f t="shared" si="1"/>
        <v>72</v>
      </c>
      <c r="J10" s="49">
        <v>8</v>
      </c>
      <c r="K10" s="49">
        <v>8</v>
      </c>
      <c r="L10" s="49">
        <v>8</v>
      </c>
      <c r="M10" s="49"/>
      <c r="N10" s="49"/>
      <c r="O10" s="49"/>
      <c r="P10" s="10"/>
      <c r="Q10" s="11">
        <f t="shared" si="2"/>
        <v>0</v>
      </c>
      <c r="R10" s="11">
        <f t="shared" si="3"/>
        <v>0</v>
      </c>
      <c r="S10" s="58" t="str">
        <f t="shared" si="4"/>
        <v/>
      </c>
      <c r="T10" s="55">
        <f t="shared" si="5"/>
        <v>602.94000000000005</v>
      </c>
      <c r="U10" s="55">
        <f>IF($D10="","",IF($D10='01. CONFIGURAÇÕES'!$C$8,'01. CONFIGURAÇÕES'!$C$38,'01. CONFIGURAÇÕES'!$D$38))</f>
        <v>4038.1610139860136</v>
      </c>
      <c r="V10" s="58">
        <f t="shared" si="6"/>
        <v>0.14931053960249252</v>
      </c>
      <c r="W10" s="55">
        <f>IF($D10="","",IF($D10='01. CONFIGURAÇÕES'!$C$8,'01. CONFIGURAÇÕES'!$C$31,'01. CONFIGURAÇÕES'!$D$31))</f>
        <v>2624.8046590909089</v>
      </c>
      <c r="X10" s="54">
        <f>IF($A10="","",$T10*(1-'01. CONFIGURAÇÕES'!$C$16)-IF($W10="",0,$W10))</f>
        <v>-2154.5114590909088</v>
      </c>
      <c r="Y10" s="54">
        <f t="shared" si="7"/>
        <v>8.3741666666666674</v>
      </c>
      <c r="Z10" s="30"/>
      <c r="AA10" s="33"/>
      <c r="AB10" s="33" t="s">
        <v>2656</v>
      </c>
      <c r="AE10" s="157" t="s">
        <v>108</v>
      </c>
      <c r="AF10" s="155"/>
      <c r="AG10" s="155"/>
      <c r="AH10" s="155"/>
      <c r="AI10" s="155"/>
      <c r="AJ10" s="156"/>
    </row>
    <row r="11" spans="1:36" x14ac:dyDescent="0.25">
      <c r="A11" s="31">
        <v>46275</v>
      </c>
      <c r="B11" s="29" t="str">
        <f t="shared" si="0"/>
        <v>QUI</v>
      </c>
      <c r="C11" s="29" t="str">
        <f>IF($A11="","","S"&amp;(INT(($A11-'01. CONFIGURAÇÕES'!$C$12)/7)+1))</f>
        <v>S2</v>
      </c>
      <c r="D11" s="30" t="s">
        <v>2437</v>
      </c>
      <c r="E11" s="63"/>
      <c r="F11" s="10">
        <v>9</v>
      </c>
      <c r="G11" s="49">
        <v>8</v>
      </c>
      <c r="H11" s="49"/>
      <c r="I11" s="52">
        <f t="shared" si="1"/>
        <v>72</v>
      </c>
      <c r="J11" s="49">
        <v>8</v>
      </c>
      <c r="K11" s="49">
        <v>8</v>
      </c>
      <c r="L11" s="49">
        <v>8</v>
      </c>
      <c r="M11" s="49"/>
      <c r="N11" s="49"/>
      <c r="O11" s="49"/>
      <c r="P11" s="10"/>
      <c r="Q11" s="11">
        <f t="shared" si="2"/>
        <v>0</v>
      </c>
      <c r="R11" s="11">
        <f t="shared" si="3"/>
        <v>0</v>
      </c>
      <c r="S11" s="58" t="str">
        <f t="shared" si="4"/>
        <v/>
      </c>
      <c r="T11" s="55">
        <f t="shared" si="5"/>
        <v>0</v>
      </c>
      <c r="U11" s="55">
        <f>IF($D11="","",IF($D11='01. CONFIGURAÇÕES'!$C$8,'01. CONFIGURAÇÕES'!$C$38,'01. CONFIGURAÇÕES'!$D$38))</f>
        <v>4038.1610139860136</v>
      </c>
      <c r="V11" s="58">
        <f t="shared" si="6"/>
        <v>0</v>
      </c>
      <c r="W11" s="55">
        <f>IF($D11="","",IF($D11='01. CONFIGURAÇÕES'!$C$8,'01. CONFIGURAÇÕES'!$C$31,'01. CONFIGURAÇÕES'!$D$31))</f>
        <v>2624.8046590909089</v>
      </c>
      <c r="X11" s="54">
        <f>IF($A11="","",$T11*(1-'01. CONFIGURAÇÕES'!$C$16)-IF($W11="",0,$W11))</f>
        <v>-2624.8046590909089</v>
      </c>
      <c r="Y11" s="54">
        <f t="shared" si="7"/>
        <v>0</v>
      </c>
      <c r="Z11" s="30"/>
      <c r="AA11" s="33"/>
      <c r="AB11" s="33" t="s">
        <v>2656</v>
      </c>
      <c r="AE11" s="157" t="s">
        <v>109</v>
      </c>
      <c r="AF11" s="155"/>
      <c r="AG11" s="155"/>
      <c r="AH11" s="155"/>
      <c r="AI11" s="155"/>
      <c r="AJ11" s="156"/>
    </row>
    <row r="12" spans="1:36" ht="25.5" customHeight="1" x14ac:dyDescent="0.25">
      <c r="A12" s="31">
        <v>46276</v>
      </c>
      <c r="B12" s="29" t="str">
        <f t="shared" si="0"/>
        <v>SEX</v>
      </c>
      <c r="C12" s="29" t="str">
        <f>IF($A12="","","S"&amp;(INT(($A12-'01. CONFIGURAÇÕES'!$C$12)/7)+1))</f>
        <v>S2</v>
      </c>
      <c r="D12" s="30" t="s">
        <v>2437</v>
      </c>
      <c r="E12" s="63"/>
      <c r="F12" s="10">
        <v>9</v>
      </c>
      <c r="G12" s="49">
        <v>8</v>
      </c>
      <c r="H12" s="49"/>
      <c r="I12" s="52">
        <f t="shared" si="1"/>
        <v>72</v>
      </c>
      <c r="J12" s="49">
        <v>8</v>
      </c>
      <c r="K12" s="49">
        <v>8</v>
      </c>
      <c r="L12" s="49">
        <v>8</v>
      </c>
      <c r="M12" s="49"/>
      <c r="N12" s="49"/>
      <c r="O12" s="49"/>
      <c r="P12" s="10"/>
      <c r="Q12" s="11">
        <f t="shared" si="2"/>
        <v>0</v>
      </c>
      <c r="R12" s="11">
        <f t="shared" si="3"/>
        <v>0</v>
      </c>
      <c r="S12" s="58" t="str">
        <f t="shared" si="4"/>
        <v/>
      </c>
      <c r="T12" s="55">
        <f t="shared" si="5"/>
        <v>3563.11</v>
      </c>
      <c r="U12" s="55">
        <f>IF($D12="","",IF($D12='01. CONFIGURAÇÕES'!$C$8,'01. CONFIGURAÇÕES'!$C$38,'01. CONFIGURAÇÕES'!$D$38))</f>
        <v>4038.1610139860136</v>
      </c>
      <c r="V12" s="58">
        <f t="shared" si="6"/>
        <v>0.88235956606467825</v>
      </c>
      <c r="W12" s="55">
        <f>IF($D12="","",IF($D12='01. CONFIGURAÇÕES'!$C$8,'01. CONFIGURAÇÕES'!$C$31,'01. CONFIGURAÇÕES'!$D$31))</f>
        <v>2624.8046590909089</v>
      </c>
      <c r="X12" s="54">
        <f>IF($A12="","",$T12*(1-'01. CONFIGURAÇÕES'!$C$16)-IF($W12="",0,$W12))</f>
        <v>154.42114090909126</v>
      </c>
      <c r="Y12" s="54">
        <f t="shared" si="7"/>
        <v>49.487638888888888</v>
      </c>
      <c r="Z12" s="30"/>
      <c r="AA12" s="33"/>
      <c r="AB12" s="33" t="s">
        <v>2657</v>
      </c>
      <c r="AE12" s="157" t="s">
        <v>110</v>
      </c>
      <c r="AF12" s="155"/>
      <c r="AG12" s="155"/>
      <c r="AH12" s="155"/>
      <c r="AI12" s="155"/>
      <c r="AJ12" s="156"/>
    </row>
    <row r="13" spans="1:36" x14ac:dyDescent="0.25">
      <c r="A13" s="31">
        <v>46279</v>
      </c>
      <c r="B13" s="29" t="str">
        <f t="shared" si="0"/>
        <v>SEG</v>
      </c>
      <c r="C13" s="29" t="str">
        <f>IF($A13="","","S"&amp;(INT(($A13-'01. CONFIGURAÇÕES'!$C$12)/7)+1))</f>
        <v>S3</v>
      </c>
      <c r="D13" s="30" t="s">
        <v>2437</v>
      </c>
      <c r="E13" s="30"/>
      <c r="F13" s="10">
        <v>10</v>
      </c>
      <c r="G13" s="49">
        <v>8</v>
      </c>
      <c r="H13" s="49"/>
      <c r="I13" s="52">
        <f t="shared" si="1"/>
        <v>80</v>
      </c>
      <c r="J13" s="49">
        <v>8</v>
      </c>
      <c r="K13" s="49">
        <v>8</v>
      </c>
      <c r="L13" s="49">
        <v>8</v>
      </c>
      <c r="M13" s="49"/>
      <c r="N13" s="49"/>
      <c r="O13" s="49"/>
      <c r="P13" s="10"/>
      <c r="Q13" s="11">
        <f t="shared" si="2"/>
        <v>0</v>
      </c>
      <c r="R13" s="11">
        <f t="shared" si="3"/>
        <v>0</v>
      </c>
      <c r="S13" s="58" t="str">
        <f t="shared" si="4"/>
        <v/>
      </c>
      <c r="T13" s="55">
        <f t="shared" si="5"/>
        <v>2813.95</v>
      </c>
      <c r="U13" s="55">
        <f>IF($D13="","",IF($D13='01. CONFIGURAÇÕES'!$C$8,'01. CONFIGURAÇÕES'!$C$38,'01. CONFIGURAÇÕES'!$D$38))</f>
        <v>4038.1610139860136</v>
      </c>
      <c r="V13" s="58">
        <f t="shared" si="6"/>
        <v>0.69683947476437746</v>
      </c>
      <c r="W13" s="55">
        <f>IF($D13="","",IF($D13='01. CONFIGURAÇÕES'!$C$8,'01. CONFIGURAÇÕES'!$C$31,'01. CONFIGURAÇÕES'!$D$31))</f>
        <v>2624.8046590909089</v>
      </c>
      <c r="X13" s="54">
        <f>IF($A13="","",$T13*(1-'01. CONFIGURAÇÕES'!$C$16)-IF($W13="",0,$W13))</f>
        <v>-429.92365909090904</v>
      </c>
      <c r="Y13" s="54">
        <f t="shared" si="7"/>
        <v>35.174374999999998</v>
      </c>
      <c r="Z13" s="30"/>
      <c r="AA13" s="33"/>
      <c r="AB13" s="33" t="s">
        <v>2656</v>
      </c>
      <c r="AE13" s="157" t="s">
        <v>111</v>
      </c>
      <c r="AF13" s="155"/>
      <c r="AG13" s="155"/>
      <c r="AH13" s="155"/>
      <c r="AI13" s="155"/>
      <c r="AJ13" s="156"/>
    </row>
    <row r="14" spans="1:36" ht="25.5" customHeight="1" x14ac:dyDescent="0.25">
      <c r="A14" s="31">
        <v>46280</v>
      </c>
      <c r="B14" s="29" t="str">
        <f t="shared" si="0"/>
        <v>TER</v>
      </c>
      <c r="C14" s="29" t="str">
        <f>IF($A14="","","S"&amp;(INT(($A14-'01. CONFIGURAÇÕES'!$C$12)/7)+1))</f>
        <v>S3</v>
      </c>
      <c r="D14" s="30" t="s">
        <v>2437</v>
      </c>
      <c r="E14" s="30"/>
      <c r="F14" s="10">
        <v>8</v>
      </c>
      <c r="G14" s="49">
        <v>8</v>
      </c>
      <c r="H14" s="49"/>
      <c r="I14" s="52">
        <f t="shared" si="1"/>
        <v>64</v>
      </c>
      <c r="J14" s="49">
        <v>8</v>
      </c>
      <c r="K14" s="49">
        <v>8</v>
      </c>
      <c r="L14" s="49">
        <v>8</v>
      </c>
      <c r="M14" s="49"/>
      <c r="N14" s="49"/>
      <c r="O14" s="49"/>
      <c r="P14" s="10"/>
      <c r="Q14" s="11">
        <f t="shared" si="2"/>
        <v>0</v>
      </c>
      <c r="R14" s="11">
        <f t="shared" si="3"/>
        <v>0</v>
      </c>
      <c r="S14" s="58" t="str">
        <f t="shared" si="4"/>
        <v/>
      </c>
      <c r="T14" s="55">
        <f t="shared" si="5"/>
        <v>7521.06</v>
      </c>
      <c r="U14" s="55">
        <f>IF($D14="","",IF($D14='01. CONFIGURAÇÕES'!$C$8,'01. CONFIGURAÇÕES'!$C$38,'01. CONFIGURAÇÕES'!$D$38))</f>
        <v>4038.1610139860136</v>
      </c>
      <c r="V14" s="58">
        <f t="shared" si="6"/>
        <v>1.8624963130373211</v>
      </c>
      <c r="W14" s="55">
        <f>IF($D14="","",IF($D14='01. CONFIGURAÇÕES'!$C$8,'01. CONFIGURAÇÕES'!$C$31,'01. CONFIGURAÇÕES'!$D$31))</f>
        <v>2624.8046590909089</v>
      </c>
      <c r="X14" s="54">
        <f>IF($A14="","",$T14*(1-'01. CONFIGURAÇÕES'!$C$16)-IF($W14="",0,$W14))</f>
        <v>3241.6221409090913</v>
      </c>
      <c r="Y14" s="54">
        <f t="shared" si="7"/>
        <v>117.51656250000001</v>
      </c>
      <c r="Z14" s="30"/>
      <c r="AA14" s="33"/>
      <c r="AB14" s="33" t="s">
        <v>2658</v>
      </c>
      <c r="AE14" s="157" t="s">
        <v>112</v>
      </c>
      <c r="AF14" s="155"/>
      <c r="AG14" s="155"/>
      <c r="AH14" s="155"/>
      <c r="AI14" s="155"/>
      <c r="AJ14" s="156"/>
    </row>
    <row r="15" spans="1:36" x14ac:dyDescent="0.25">
      <c r="A15" s="31">
        <v>46281</v>
      </c>
      <c r="B15" s="29" t="str">
        <f t="shared" si="0"/>
        <v>QUA</v>
      </c>
      <c r="C15" s="29" t="str">
        <f>IF($A15="","","S"&amp;(INT(($A15-'01. CONFIGURAÇÕES'!$C$12)/7)+1))</f>
        <v>S3</v>
      </c>
      <c r="D15" s="30" t="s">
        <v>2437</v>
      </c>
      <c r="E15" s="30"/>
      <c r="F15" s="10">
        <v>10</v>
      </c>
      <c r="G15" s="49">
        <v>8</v>
      </c>
      <c r="H15" s="49"/>
      <c r="I15" s="52">
        <f t="shared" si="1"/>
        <v>80</v>
      </c>
      <c r="J15" s="49">
        <v>8</v>
      </c>
      <c r="K15" s="49">
        <v>8</v>
      </c>
      <c r="L15" s="49">
        <v>8</v>
      </c>
      <c r="M15" s="49"/>
      <c r="N15" s="49"/>
      <c r="O15" s="49"/>
      <c r="P15" s="10"/>
      <c r="Q15" s="11">
        <f t="shared" si="2"/>
        <v>0</v>
      </c>
      <c r="R15" s="11">
        <f t="shared" si="3"/>
        <v>0</v>
      </c>
      <c r="S15" s="58" t="str">
        <f t="shared" si="4"/>
        <v/>
      </c>
      <c r="T15" s="55">
        <f t="shared" si="5"/>
        <v>9716.98</v>
      </c>
      <c r="U15" s="55">
        <f>IF($D15="","",IF($D15='01. CONFIGURAÇÕES'!$C$8,'01. CONFIGURAÇÕES'!$C$38,'01. CONFIGURAÇÕES'!$D$38))</f>
        <v>4038.1610139860136</v>
      </c>
      <c r="V15" s="58">
        <f t="shared" si="6"/>
        <v>2.4062883986907946</v>
      </c>
      <c r="W15" s="55">
        <f>IF($D15="","",IF($D15='01. CONFIGURAÇÕES'!$C$8,'01. CONFIGURAÇÕES'!$C$31,'01. CONFIGURAÇÕES'!$D$31))</f>
        <v>2624.8046590909089</v>
      </c>
      <c r="X15" s="54">
        <f>IF($A15="","",$T15*(1-'01. CONFIGURAÇÕES'!$C$16)-IF($W15="",0,$W15))</f>
        <v>4954.4397409090907</v>
      </c>
      <c r="Y15" s="54">
        <f t="shared" si="7"/>
        <v>121.46225</v>
      </c>
      <c r="Z15" s="30"/>
      <c r="AA15" s="33"/>
      <c r="AB15" s="33"/>
      <c r="AE15" s="157" t="s">
        <v>113</v>
      </c>
      <c r="AF15" s="155"/>
      <c r="AG15" s="155"/>
      <c r="AH15" s="155"/>
      <c r="AI15" s="155"/>
      <c r="AJ15" s="156"/>
    </row>
    <row r="16" spans="1:36" x14ac:dyDescent="0.25">
      <c r="A16" s="31"/>
      <c r="B16" s="29" t="str">
        <f t="shared" si="0"/>
        <v/>
      </c>
      <c r="C16" s="29" t="str">
        <f>IF($A16="","","S"&amp;(INT(($A16-'01. CONFIGURAÇÕES'!$C$12)/7)+1))</f>
        <v/>
      </c>
      <c r="D16" s="30"/>
      <c r="E16" s="30"/>
      <c r="F16" s="10"/>
      <c r="G16" s="49"/>
      <c r="H16" s="49"/>
      <c r="I16" s="52" t="str">
        <f t="shared" si="1"/>
        <v/>
      </c>
      <c r="J16" s="49"/>
      <c r="K16" s="49"/>
      <c r="L16" s="49"/>
      <c r="M16" s="49"/>
      <c r="N16" s="49"/>
      <c r="O16" s="49"/>
      <c r="P16" s="10"/>
      <c r="Q16" s="11" t="str">
        <f t="shared" si="2"/>
        <v/>
      </c>
      <c r="R16" s="11" t="str">
        <f t="shared" si="3"/>
        <v/>
      </c>
      <c r="S16" s="58" t="str">
        <f t="shared" si="4"/>
        <v/>
      </c>
      <c r="T16" s="55" t="str">
        <f t="shared" si="5"/>
        <v/>
      </c>
      <c r="U16" s="55" t="str">
        <f>IF($D16="","",IF($D16='01. CONFIGURAÇÕES'!$C$8,'01. CONFIGURAÇÕES'!$C$38,'01. CONFIGURAÇÕES'!$D$38))</f>
        <v/>
      </c>
      <c r="V16" s="58" t="str">
        <f t="shared" si="6"/>
        <v/>
      </c>
      <c r="W16" s="55" t="str">
        <f>IF($D16="","",IF($D16='01. CONFIGURAÇÕES'!$C$8,'01. CONFIGURAÇÕES'!$C$31,'01. CONFIGURAÇÕES'!$D$31))</f>
        <v/>
      </c>
      <c r="X16" s="54" t="str">
        <f>IF($A16="","",$T16*(1-'01. CONFIGURAÇÕES'!$C$16)-IF($W16="",0,$W16))</f>
        <v/>
      </c>
      <c r="Y16" s="54" t="str">
        <f t="shared" si="7"/>
        <v/>
      </c>
      <c r="Z16" s="30"/>
      <c r="AA16" s="33"/>
      <c r="AB16" s="33"/>
      <c r="AE16" s="157" t="s">
        <v>114</v>
      </c>
      <c r="AF16" s="155"/>
      <c r="AG16" s="155"/>
      <c r="AH16" s="155"/>
      <c r="AI16" s="155"/>
      <c r="AJ16" s="156"/>
    </row>
    <row r="17" spans="1:36" x14ac:dyDescent="0.25">
      <c r="A17" s="31"/>
      <c r="B17" s="29" t="str">
        <f t="shared" si="0"/>
        <v/>
      </c>
      <c r="C17" s="29" t="str">
        <f>IF($A17="","","S"&amp;(INT(($A17-'01. CONFIGURAÇÕES'!$C$12)/7)+1))</f>
        <v/>
      </c>
      <c r="D17" s="30"/>
      <c r="E17" s="30"/>
      <c r="F17" s="10"/>
      <c r="G17" s="49"/>
      <c r="H17" s="49"/>
      <c r="I17" s="52" t="str">
        <f t="shared" si="1"/>
        <v/>
      </c>
      <c r="J17" s="49"/>
      <c r="K17" s="49"/>
      <c r="L17" s="49"/>
      <c r="M17" s="49"/>
      <c r="N17" s="49"/>
      <c r="O17" s="49"/>
      <c r="P17" s="10"/>
      <c r="Q17" s="11" t="str">
        <f t="shared" si="2"/>
        <v/>
      </c>
      <c r="R17" s="11" t="str">
        <f t="shared" si="3"/>
        <v/>
      </c>
      <c r="S17" s="58" t="str">
        <f t="shared" si="4"/>
        <v/>
      </c>
      <c r="T17" s="55" t="str">
        <f t="shared" si="5"/>
        <v/>
      </c>
      <c r="U17" s="55" t="str">
        <f>IF($D17="","",IF($D17='01. CONFIGURAÇÕES'!$C$8,'01. CONFIGURAÇÕES'!$C$38,'01. CONFIGURAÇÕES'!$D$38))</f>
        <v/>
      </c>
      <c r="V17" s="58" t="str">
        <f t="shared" si="6"/>
        <v/>
      </c>
      <c r="W17" s="55" t="str">
        <f>IF($D17="","",IF($D17='01. CONFIGURAÇÕES'!$C$8,'01. CONFIGURAÇÕES'!$C$31,'01. CONFIGURAÇÕES'!$D$31))</f>
        <v/>
      </c>
      <c r="X17" s="54" t="str">
        <f>IF($A17="","",$T17*(1-'01. CONFIGURAÇÕES'!$C$16)-IF($W17="",0,$W17))</f>
        <v/>
      </c>
      <c r="Y17" s="54" t="str">
        <f t="shared" si="7"/>
        <v/>
      </c>
      <c r="Z17" s="30"/>
      <c r="AA17" s="33"/>
      <c r="AB17" s="33"/>
      <c r="AE17" s="157" t="s">
        <v>115</v>
      </c>
      <c r="AF17" s="155"/>
      <c r="AG17" s="155"/>
      <c r="AH17" s="155"/>
      <c r="AI17" s="155"/>
      <c r="AJ17" s="156"/>
    </row>
    <row r="18" spans="1:36" x14ac:dyDescent="0.25">
      <c r="A18" s="31"/>
      <c r="B18" s="29" t="str">
        <f t="shared" si="0"/>
        <v/>
      </c>
      <c r="C18" s="29" t="str">
        <f>IF($A18="","","S"&amp;(INT(($A18-'01. CONFIGURAÇÕES'!$C$12)/7)+1))</f>
        <v/>
      </c>
      <c r="D18" s="30"/>
      <c r="E18" s="30"/>
      <c r="F18" s="10"/>
      <c r="G18" s="49"/>
      <c r="H18" s="49"/>
      <c r="I18" s="52" t="str">
        <f t="shared" si="1"/>
        <v/>
      </c>
      <c r="J18" s="49"/>
      <c r="K18" s="49"/>
      <c r="L18" s="49"/>
      <c r="M18" s="49"/>
      <c r="N18" s="49"/>
      <c r="O18" s="49"/>
      <c r="P18" s="10"/>
      <c r="Q18" s="11" t="str">
        <f t="shared" si="2"/>
        <v/>
      </c>
      <c r="R18" s="11" t="str">
        <f t="shared" si="3"/>
        <v/>
      </c>
      <c r="S18" s="58" t="str">
        <f t="shared" si="4"/>
        <v/>
      </c>
      <c r="T18" s="55" t="str">
        <f t="shared" si="5"/>
        <v/>
      </c>
      <c r="U18" s="55" t="str">
        <f>IF($D18="","",IF($D18='01. CONFIGURAÇÕES'!$C$8,'01. CONFIGURAÇÕES'!$C$38,'01. CONFIGURAÇÕES'!$D$38))</f>
        <v/>
      </c>
      <c r="V18" s="58" t="str">
        <f t="shared" si="6"/>
        <v/>
      </c>
      <c r="W18" s="55" t="str">
        <f>IF($D18="","",IF($D18='01. CONFIGURAÇÕES'!$C$8,'01. CONFIGURAÇÕES'!$C$31,'01. CONFIGURAÇÕES'!$D$31))</f>
        <v/>
      </c>
      <c r="X18" s="54" t="str">
        <f>IF($A18="","",$T18*(1-'01. CONFIGURAÇÕES'!$C$16)-IF($W18="",0,$W18))</f>
        <v/>
      </c>
      <c r="Y18" s="54" t="str">
        <f t="shared" si="7"/>
        <v/>
      </c>
      <c r="Z18" s="30"/>
      <c r="AA18" s="33"/>
      <c r="AB18" s="33"/>
      <c r="AE18" s="157" t="s">
        <v>116</v>
      </c>
      <c r="AF18" s="155"/>
      <c r="AG18" s="155"/>
      <c r="AH18" s="155"/>
      <c r="AI18" s="155"/>
      <c r="AJ18" s="156"/>
    </row>
    <row r="19" spans="1:36" x14ac:dyDescent="0.25">
      <c r="A19" s="31"/>
      <c r="B19" s="29" t="str">
        <f t="shared" si="0"/>
        <v/>
      </c>
      <c r="C19" s="29" t="str">
        <f>IF($A19="","","S"&amp;(INT(($A19-'01. CONFIGURAÇÕES'!$C$12)/7)+1))</f>
        <v/>
      </c>
      <c r="D19" s="30"/>
      <c r="E19" s="30"/>
      <c r="F19" s="10"/>
      <c r="G19" s="49"/>
      <c r="H19" s="49"/>
      <c r="I19" s="52" t="str">
        <f t="shared" si="1"/>
        <v/>
      </c>
      <c r="J19" s="49"/>
      <c r="K19" s="49"/>
      <c r="L19" s="49"/>
      <c r="M19" s="49"/>
      <c r="N19" s="49"/>
      <c r="O19" s="49"/>
      <c r="P19" s="10"/>
      <c r="Q19" s="11" t="str">
        <f t="shared" si="2"/>
        <v/>
      </c>
      <c r="R19" s="11" t="str">
        <f t="shared" si="3"/>
        <v/>
      </c>
      <c r="S19" s="58" t="str">
        <f t="shared" si="4"/>
        <v/>
      </c>
      <c r="T19" s="55" t="str">
        <f t="shared" si="5"/>
        <v/>
      </c>
      <c r="U19" s="55" t="str">
        <f>IF($D19="","",IF($D19='01. CONFIGURAÇÕES'!$C$8,'01. CONFIGURAÇÕES'!$C$38,'01. CONFIGURAÇÕES'!$D$38))</f>
        <v/>
      </c>
      <c r="V19" s="58" t="str">
        <f t="shared" si="6"/>
        <v/>
      </c>
      <c r="W19" s="55" t="str">
        <f>IF($D19="","",IF($D19='01. CONFIGURAÇÕES'!$C$8,'01. CONFIGURAÇÕES'!$C$31,'01. CONFIGURAÇÕES'!$D$31))</f>
        <v/>
      </c>
      <c r="X19" s="54" t="str">
        <f>IF($A19="","",$T19*(1-'01. CONFIGURAÇÕES'!$C$16)-IF($W19="",0,$W19))</f>
        <v/>
      </c>
      <c r="Y19" s="54" t="str">
        <f t="shared" si="7"/>
        <v/>
      </c>
      <c r="Z19" s="30"/>
      <c r="AA19" s="33"/>
      <c r="AB19" s="33"/>
      <c r="AE19" s="157" t="s">
        <v>117</v>
      </c>
      <c r="AF19" s="155"/>
      <c r="AG19" s="155"/>
      <c r="AH19" s="155"/>
      <c r="AI19" s="155"/>
      <c r="AJ19" s="156"/>
    </row>
    <row r="20" spans="1:36" x14ac:dyDescent="0.25">
      <c r="A20" s="31"/>
      <c r="B20" s="29" t="str">
        <f t="shared" si="0"/>
        <v/>
      </c>
      <c r="C20" s="29" t="str">
        <f>IF($A20="","","S"&amp;(INT(($A20-'01. CONFIGURAÇÕES'!$C$12)/7)+1))</f>
        <v/>
      </c>
      <c r="D20" s="30"/>
      <c r="E20" s="30"/>
      <c r="F20" s="10"/>
      <c r="G20" s="49"/>
      <c r="H20" s="49"/>
      <c r="I20" s="52" t="str">
        <f t="shared" si="1"/>
        <v/>
      </c>
      <c r="J20" s="49"/>
      <c r="K20" s="49"/>
      <c r="L20" s="49"/>
      <c r="M20" s="49"/>
      <c r="N20" s="49"/>
      <c r="O20" s="49"/>
      <c r="P20" s="10"/>
      <c r="Q20" s="11" t="str">
        <f t="shared" si="2"/>
        <v/>
      </c>
      <c r="R20" s="11" t="str">
        <f t="shared" si="3"/>
        <v/>
      </c>
      <c r="S20" s="58" t="str">
        <f t="shared" si="4"/>
        <v/>
      </c>
      <c r="T20" s="55" t="str">
        <f t="shared" si="5"/>
        <v/>
      </c>
      <c r="U20" s="55" t="str">
        <f>IF($D20="","",IF($D20='01. CONFIGURAÇÕES'!$C$8,'01. CONFIGURAÇÕES'!$C$38,'01. CONFIGURAÇÕES'!$D$38))</f>
        <v/>
      </c>
      <c r="V20" s="58" t="str">
        <f t="shared" si="6"/>
        <v/>
      </c>
      <c r="W20" s="55" t="str">
        <f>IF($D20="","",IF($D20='01. CONFIGURAÇÕES'!$C$8,'01. CONFIGURAÇÕES'!$C$31,'01. CONFIGURAÇÕES'!$D$31))</f>
        <v/>
      </c>
      <c r="X20" s="54" t="str">
        <f>IF($A20="","",$T20*(1-'01. CONFIGURAÇÕES'!$C$16)-IF($W20="",0,$W20))</f>
        <v/>
      </c>
      <c r="Y20" s="54" t="str">
        <f t="shared" si="7"/>
        <v/>
      </c>
      <c r="Z20" s="30"/>
      <c r="AA20" s="33"/>
      <c r="AB20" s="33"/>
      <c r="AE20" s="157" t="s">
        <v>118</v>
      </c>
      <c r="AF20" s="155"/>
      <c r="AG20" s="155"/>
      <c r="AH20" s="155"/>
      <c r="AI20" s="155"/>
      <c r="AJ20" s="156"/>
    </row>
    <row r="21" spans="1:36" x14ac:dyDescent="0.25">
      <c r="A21" s="31"/>
      <c r="B21" s="29" t="str">
        <f t="shared" si="0"/>
        <v/>
      </c>
      <c r="C21" s="29" t="str">
        <f>IF($A21="","","S"&amp;(INT(($A21-'01. CONFIGURAÇÕES'!$C$12)/7)+1))</f>
        <v/>
      </c>
      <c r="D21" s="30"/>
      <c r="E21" s="30"/>
      <c r="F21" s="10"/>
      <c r="G21" s="49"/>
      <c r="H21" s="49"/>
      <c r="I21" s="52" t="str">
        <f t="shared" si="1"/>
        <v/>
      </c>
      <c r="J21" s="49"/>
      <c r="K21" s="49"/>
      <c r="L21" s="49"/>
      <c r="M21" s="49"/>
      <c r="N21" s="49"/>
      <c r="O21" s="49"/>
      <c r="P21" s="10"/>
      <c r="Q21" s="11" t="str">
        <f t="shared" si="2"/>
        <v/>
      </c>
      <c r="R21" s="11" t="str">
        <f t="shared" si="3"/>
        <v/>
      </c>
      <c r="S21" s="58" t="str">
        <f t="shared" si="4"/>
        <v/>
      </c>
      <c r="T21" s="55" t="str">
        <f t="shared" si="5"/>
        <v/>
      </c>
      <c r="U21" s="55" t="str">
        <f>IF($D21="","",IF($D21='01. CONFIGURAÇÕES'!$C$8,'01. CONFIGURAÇÕES'!$C$38,'01. CONFIGURAÇÕES'!$D$38))</f>
        <v/>
      </c>
      <c r="V21" s="58" t="str">
        <f t="shared" si="6"/>
        <v/>
      </c>
      <c r="W21" s="55" t="str">
        <f>IF($D21="","",IF($D21='01. CONFIGURAÇÕES'!$C$8,'01. CONFIGURAÇÕES'!$C$31,'01. CONFIGURAÇÕES'!$D$31))</f>
        <v/>
      </c>
      <c r="X21" s="54" t="str">
        <f>IF($A21="","",$T21*(1-'01. CONFIGURAÇÕES'!$C$16)-IF($W21="",0,$W21))</f>
        <v/>
      </c>
      <c r="Y21" s="54" t="str">
        <f t="shared" si="7"/>
        <v/>
      </c>
      <c r="Z21" s="30"/>
      <c r="AA21" s="33"/>
      <c r="AB21" s="33"/>
      <c r="AE21" s="157" t="s">
        <v>119</v>
      </c>
      <c r="AF21" s="155"/>
      <c r="AG21" s="155"/>
      <c r="AH21" s="155"/>
      <c r="AI21" s="155"/>
      <c r="AJ21" s="156"/>
    </row>
    <row r="22" spans="1:36" x14ac:dyDescent="0.25">
      <c r="A22" s="31"/>
      <c r="B22" s="29" t="str">
        <f t="shared" si="0"/>
        <v/>
      </c>
      <c r="C22" s="29" t="str">
        <f>IF($A22="","","S"&amp;(INT(($A22-'01. CONFIGURAÇÕES'!$C$12)/7)+1))</f>
        <v/>
      </c>
      <c r="D22" s="30"/>
      <c r="E22" s="30"/>
      <c r="F22" s="10"/>
      <c r="G22" s="49"/>
      <c r="H22" s="49"/>
      <c r="I22" s="52" t="str">
        <f t="shared" si="1"/>
        <v/>
      </c>
      <c r="J22" s="49"/>
      <c r="K22" s="49"/>
      <c r="L22" s="49"/>
      <c r="M22" s="49"/>
      <c r="N22" s="49"/>
      <c r="O22" s="49"/>
      <c r="P22" s="10"/>
      <c r="Q22" s="11" t="str">
        <f t="shared" si="2"/>
        <v/>
      </c>
      <c r="R22" s="11" t="str">
        <f t="shared" si="3"/>
        <v/>
      </c>
      <c r="S22" s="58" t="str">
        <f t="shared" si="4"/>
        <v/>
      </c>
      <c r="T22" s="55" t="str">
        <f t="shared" si="5"/>
        <v/>
      </c>
      <c r="U22" s="55" t="str">
        <f>IF($D22="","",IF($D22='01. CONFIGURAÇÕES'!$C$8,'01. CONFIGURAÇÕES'!$C$38,'01. CONFIGURAÇÕES'!$D$38))</f>
        <v/>
      </c>
      <c r="V22" s="58" t="str">
        <f t="shared" si="6"/>
        <v/>
      </c>
      <c r="W22" s="55" t="str">
        <f>IF($D22="","",IF($D22='01. CONFIGURAÇÕES'!$C$8,'01. CONFIGURAÇÕES'!$C$31,'01. CONFIGURAÇÕES'!$D$31))</f>
        <v/>
      </c>
      <c r="X22" s="54" t="str">
        <f>IF($A22="","",$T22*(1-'01. CONFIGURAÇÕES'!$C$16)-IF($W22="",0,$W22))</f>
        <v/>
      </c>
      <c r="Y22" s="54" t="str">
        <f t="shared" si="7"/>
        <v/>
      </c>
      <c r="Z22" s="30"/>
      <c r="AA22" s="33"/>
      <c r="AB22" s="33"/>
      <c r="AE22" s="159" t="s">
        <v>120</v>
      </c>
      <c r="AF22" s="155"/>
      <c r="AG22" s="155"/>
      <c r="AH22" s="155"/>
      <c r="AI22" s="155"/>
      <c r="AJ22" s="156"/>
    </row>
    <row r="23" spans="1:36" x14ac:dyDescent="0.25">
      <c r="A23" s="31"/>
      <c r="B23" s="29" t="str">
        <f t="shared" si="0"/>
        <v/>
      </c>
      <c r="C23" s="29" t="str">
        <f>IF($A23="","","S"&amp;(INT(($A23-'01. CONFIGURAÇÕES'!$C$12)/7)+1))</f>
        <v/>
      </c>
      <c r="D23" s="30"/>
      <c r="E23" s="30"/>
      <c r="F23" s="10"/>
      <c r="G23" s="49"/>
      <c r="H23" s="49"/>
      <c r="I23" s="52" t="str">
        <f t="shared" si="1"/>
        <v/>
      </c>
      <c r="J23" s="49"/>
      <c r="K23" s="49"/>
      <c r="L23" s="49"/>
      <c r="M23" s="49"/>
      <c r="N23" s="49"/>
      <c r="O23" s="49"/>
      <c r="P23" s="10"/>
      <c r="Q23" s="11" t="str">
        <f t="shared" si="2"/>
        <v/>
      </c>
      <c r="R23" s="11" t="str">
        <f t="shared" si="3"/>
        <v/>
      </c>
      <c r="S23" s="58" t="str">
        <f t="shared" si="4"/>
        <v/>
      </c>
      <c r="T23" s="55" t="str">
        <f t="shared" si="5"/>
        <v/>
      </c>
      <c r="U23" s="55" t="str">
        <f>IF($D23="","",IF($D23='01. CONFIGURAÇÕES'!$C$8,'01. CONFIGURAÇÕES'!$C$38,'01. CONFIGURAÇÕES'!$D$38))</f>
        <v/>
      </c>
      <c r="V23" s="58" t="str">
        <f t="shared" si="6"/>
        <v/>
      </c>
      <c r="W23" s="55" t="str">
        <f>IF($D23="","",IF($D23='01. CONFIGURAÇÕES'!$C$8,'01. CONFIGURAÇÕES'!$C$31,'01. CONFIGURAÇÕES'!$D$31))</f>
        <v/>
      </c>
      <c r="X23" s="54" t="str">
        <f>IF($A23="","",$T23*(1-'01. CONFIGURAÇÕES'!$C$16)-IF($W23="",0,$W23))</f>
        <v/>
      </c>
      <c r="Y23" s="54" t="str">
        <f t="shared" si="7"/>
        <v/>
      </c>
      <c r="Z23" s="30"/>
      <c r="AA23" s="33"/>
      <c r="AB23" s="33"/>
    </row>
    <row r="24" spans="1:36" x14ac:dyDescent="0.25">
      <c r="A24" s="31"/>
      <c r="B24" s="29" t="str">
        <f t="shared" si="0"/>
        <v/>
      </c>
      <c r="C24" s="29" t="str">
        <f>IF($A24="","","S"&amp;(INT(($A24-'01. CONFIGURAÇÕES'!$C$12)/7)+1))</f>
        <v/>
      </c>
      <c r="D24" s="30"/>
      <c r="E24" s="30"/>
      <c r="F24" s="10"/>
      <c r="G24" s="49"/>
      <c r="H24" s="49"/>
      <c r="I24" s="52" t="str">
        <f t="shared" si="1"/>
        <v/>
      </c>
      <c r="J24" s="49"/>
      <c r="K24" s="49"/>
      <c r="L24" s="49"/>
      <c r="M24" s="49"/>
      <c r="N24" s="49"/>
      <c r="O24" s="49"/>
      <c r="P24" s="10"/>
      <c r="Q24" s="11" t="str">
        <f t="shared" si="2"/>
        <v/>
      </c>
      <c r="R24" s="11" t="str">
        <f t="shared" si="3"/>
        <v/>
      </c>
      <c r="S24" s="58" t="str">
        <f t="shared" si="4"/>
        <v/>
      </c>
      <c r="T24" s="55" t="str">
        <f t="shared" si="5"/>
        <v/>
      </c>
      <c r="U24" s="55" t="str">
        <f>IF($D24="","",IF($D24='01. CONFIGURAÇÕES'!$C$8,'01. CONFIGURAÇÕES'!$C$38,'01. CONFIGURAÇÕES'!$D$38))</f>
        <v/>
      </c>
      <c r="V24" s="58" t="str">
        <f t="shared" si="6"/>
        <v/>
      </c>
      <c r="W24" s="55" t="str">
        <f>IF($D24="","",IF($D24='01. CONFIGURAÇÕES'!$C$8,'01. CONFIGURAÇÕES'!$C$31,'01. CONFIGURAÇÕES'!$D$31))</f>
        <v/>
      </c>
      <c r="X24" s="54" t="str">
        <f>IF($A24="","",$T24*(1-'01. CONFIGURAÇÕES'!$C$16)-IF($W24="",0,$W24))</f>
        <v/>
      </c>
      <c r="Y24" s="54" t="str">
        <f t="shared" si="7"/>
        <v/>
      </c>
      <c r="Z24" s="30"/>
      <c r="AA24" s="33"/>
      <c r="AB24" s="33"/>
    </row>
    <row r="25" spans="1:36" x14ac:dyDescent="0.25">
      <c r="A25" s="31"/>
      <c r="B25" s="29" t="str">
        <f t="shared" si="0"/>
        <v/>
      </c>
      <c r="C25" s="29" t="str">
        <f>IF($A25="","","S"&amp;(INT(($A25-'01. CONFIGURAÇÕES'!$C$12)/7)+1))</f>
        <v/>
      </c>
      <c r="D25" s="30"/>
      <c r="E25" s="30"/>
      <c r="F25" s="10"/>
      <c r="G25" s="49"/>
      <c r="H25" s="49"/>
      <c r="I25" s="52" t="str">
        <f t="shared" si="1"/>
        <v/>
      </c>
      <c r="J25" s="49"/>
      <c r="K25" s="49"/>
      <c r="L25" s="49"/>
      <c r="M25" s="49"/>
      <c r="N25" s="49"/>
      <c r="O25" s="49"/>
      <c r="P25" s="10"/>
      <c r="Q25" s="11" t="str">
        <f t="shared" si="2"/>
        <v/>
      </c>
      <c r="R25" s="11" t="str">
        <f t="shared" si="3"/>
        <v/>
      </c>
      <c r="S25" s="58" t="str">
        <f t="shared" si="4"/>
        <v/>
      </c>
      <c r="T25" s="55" t="str">
        <f t="shared" si="5"/>
        <v/>
      </c>
      <c r="U25" s="55" t="str">
        <f>IF($D25="","",IF($D25='01. CONFIGURAÇÕES'!$C$8,'01. CONFIGURAÇÕES'!$C$38,'01. CONFIGURAÇÕES'!$D$38))</f>
        <v/>
      </c>
      <c r="V25" s="58" t="str">
        <f t="shared" si="6"/>
        <v/>
      </c>
      <c r="W25" s="55" t="str">
        <f>IF($D25="","",IF($D25='01. CONFIGURAÇÕES'!$C$8,'01. CONFIGURAÇÕES'!$C$31,'01. CONFIGURAÇÕES'!$D$31))</f>
        <v/>
      </c>
      <c r="X25" s="54" t="str">
        <f>IF($A25="","",$T25*(1-'01. CONFIGURAÇÕES'!$C$16)-IF($W25="",0,$W25))</f>
        <v/>
      </c>
      <c r="Y25" s="54" t="str">
        <f t="shared" si="7"/>
        <v/>
      </c>
      <c r="Z25" s="30"/>
      <c r="AA25" s="33"/>
      <c r="AB25" s="33"/>
    </row>
    <row r="26" spans="1:36" x14ac:dyDescent="0.25">
      <c r="A26" s="31"/>
      <c r="B26" s="29" t="str">
        <f t="shared" si="0"/>
        <v/>
      </c>
      <c r="C26" s="29" t="str">
        <f>IF($A26="","","S"&amp;(INT(($A26-'01. CONFIGURAÇÕES'!$C$12)/7)+1))</f>
        <v/>
      </c>
      <c r="D26" s="30"/>
      <c r="E26" s="30"/>
      <c r="F26" s="10"/>
      <c r="G26" s="49"/>
      <c r="H26" s="49"/>
      <c r="I26" s="52" t="str">
        <f t="shared" si="1"/>
        <v/>
      </c>
      <c r="J26" s="49"/>
      <c r="K26" s="49"/>
      <c r="L26" s="49"/>
      <c r="M26" s="49"/>
      <c r="N26" s="49"/>
      <c r="O26" s="49"/>
      <c r="P26" s="10"/>
      <c r="Q26" s="11" t="str">
        <f t="shared" si="2"/>
        <v/>
      </c>
      <c r="R26" s="11" t="str">
        <f t="shared" si="3"/>
        <v/>
      </c>
      <c r="S26" s="58" t="str">
        <f t="shared" si="4"/>
        <v/>
      </c>
      <c r="T26" s="55" t="str">
        <f t="shared" si="5"/>
        <v/>
      </c>
      <c r="U26" s="55" t="str">
        <f>IF($D26="","",IF($D26='01. CONFIGURAÇÕES'!$C$8,'01. CONFIGURAÇÕES'!$C$38,'01. CONFIGURAÇÕES'!$D$38))</f>
        <v/>
      </c>
      <c r="V26" s="58" t="str">
        <f t="shared" si="6"/>
        <v/>
      </c>
      <c r="W26" s="55" t="str">
        <f>IF($D26="","",IF($D26='01. CONFIGURAÇÕES'!$C$8,'01. CONFIGURAÇÕES'!$C$31,'01. CONFIGURAÇÕES'!$D$31))</f>
        <v/>
      </c>
      <c r="X26" s="54" t="str">
        <f>IF($A26="","",$T26*(1-'01. CONFIGURAÇÕES'!$C$16)-IF($W26="",0,$W26))</f>
        <v/>
      </c>
      <c r="Y26" s="54" t="str">
        <f t="shared" si="7"/>
        <v/>
      </c>
      <c r="Z26" s="30"/>
      <c r="AA26" s="33"/>
      <c r="AB26" s="33"/>
    </row>
    <row r="27" spans="1:36" x14ac:dyDescent="0.25">
      <c r="A27" s="31"/>
      <c r="B27" s="29" t="str">
        <f t="shared" si="0"/>
        <v/>
      </c>
      <c r="C27" s="29" t="str">
        <f>IF($A27="","","S"&amp;(INT(($A27-'01. CONFIGURAÇÕES'!$C$12)/7)+1))</f>
        <v/>
      </c>
      <c r="D27" s="30"/>
      <c r="E27" s="30"/>
      <c r="F27" s="10"/>
      <c r="G27" s="49"/>
      <c r="H27" s="49"/>
      <c r="I27" s="52" t="str">
        <f t="shared" si="1"/>
        <v/>
      </c>
      <c r="J27" s="49"/>
      <c r="K27" s="49"/>
      <c r="L27" s="49"/>
      <c r="M27" s="49"/>
      <c r="N27" s="49"/>
      <c r="O27" s="49"/>
      <c r="P27" s="10"/>
      <c r="Q27" s="11" t="str">
        <f t="shared" si="2"/>
        <v/>
      </c>
      <c r="R27" s="11" t="str">
        <f t="shared" si="3"/>
        <v/>
      </c>
      <c r="S27" s="58" t="str">
        <f t="shared" si="4"/>
        <v/>
      </c>
      <c r="T27" s="55" t="str">
        <f t="shared" si="5"/>
        <v/>
      </c>
      <c r="U27" s="55" t="str">
        <f>IF($D27="","",IF($D27='01. CONFIGURAÇÕES'!$C$8,'01. CONFIGURAÇÕES'!$C$38,'01. CONFIGURAÇÕES'!$D$38))</f>
        <v/>
      </c>
      <c r="V27" s="58" t="str">
        <f t="shared" si="6"/>
        <v/>
      </c>
      <c r="W27" s="55" t="str">
        <f>IF($D27="","",IF($D27='01. CONFIGURAÇÕES'!$C$8,'01. CONFIGURAÇÕES'!$C$31,'01. CONFIGURAÇÕES'!$D$31))</f>
        <v/>
      </c>
      <c r="X27" s="54" t="str">
        <f>IF($A27="","",$T27*(1-'01. CONFIGURAÇÕES'!$C$16)-IF($W27="",0,$W27))</f>
        <v/>
      </c>
      <c r="Y27" s="54" t="str">
        <f t="shared" si="7"/>
        <v/>
      </c>
      <c r="Z27" s="30"/>
      <c r="AA27" s="33"/>
      <c r="AB27" s="33"/>
    </row>
    <row r="28" spans="1:36" x14ac:dyDescent="0.25">
      <c r="A28" s="31"/>
      <c r="B28" s="29" t="str">
        <f t="shared" si="0"/>
        <v/>
      </c>
      <c r="C28" s="29" t="str">
        <f>IF($A28="","","S"&amp;(INT(($A28-'01. CONFIGURAÇÕES'!$C$12)/7)+1))</f>
        <v/>
      </c>
      <c r="D28" s="30"/>
      <c r="E28" s="30"/>
      <c r="F28" s="10"/>
      <c r="G28" s="49"/>
      <c r="H28" s="49"/>
      <c r="I28" s="52" t="str">
        <f t="shared" si="1"/>
        <v/>
      </c>
      <c r="J28" s="49"/>
      <c r="K28" s="49"/>
      <c r="L28" s="49"/>
      <c r="M28" s="49"/>
      <c r="N28" s="49"/>
      <c r="O28" s="49"/>
      <c r="P28" s="10"/>
      <c r="Q28" s="11" t="str">
        <f t="shared" si="2"/>
        <v/>
      </c>
      <c r="R28" s="11" t="str">
        <f t="shared" si="3"/>
        <v/>
      </c>
      <c r="S28" s="58" t="str">
        <f t="shared" si="4"/>
        <v/>
      </c>
      <c r="T28" s="55" t="str">
        <f t="shared" si="5"/>
        <v/>
      </c>
      <c r="U28" s="55" t="str">
        <f>IF($D28="","",IF($D28='01. CONFIGURAÇÕES'!$C$8,'01. CONFIGURAÇÕES'!$C$38,'01. CONFIGURAÇÕES'!$D$38))</f>
        <v/>
      </c>
      <c r="V28" s="58" t="str">
        <f t="shared" si="6"/>
        <v/>
      </c>
      <c r="W28" s="55" t="str">
        <f>IF($D28="","",IF($D28='01. CONFIGURAÇÕES'!$C$8,'01. CONFIGURAÇÕES'!$C$31,'01. CONFIGURAÇÕES'!$D$31))</f>
        <v/>
      </c>
      <c r="X28" s="54" t="str">
        <f>IF($A28="","",$T28*(1-'01. CONFIGURAÇÕES'!$C$16)-IF($W28="",0,$W28))</f>
        <v/>
      </c>
      <c r="Y28" s="54" t="str">
        <f t="shared" si="7"/>
        <v/>
      </c>
      <c r="Z28" s="30"/>
      <c r="AA28" s="33"/>
      <c r="AB28" s="33"/>
    </row>
    <row r="29" spans="1:36" x14ac:dyDescent="0.25">
      <c r="A29" s="31"/>
      <c r="B29" s="29" t="str">
        <f t="shared" si="0"/>
        <v/>
      </c>
      <c r="C29" s="29" t="str">
        <f>IF($A29="","","S"&amp;(INT(($A29-'01. CONFIGURAÇÕES'!$C$12)/7)+1))</f>
        <v/>
      </c>
      <c r="D29" s="30"/>
      <c r="E29" s="30"/>
      <c r="F29" s="10"/>
      <c r="G29" s="49"/>
      <c r="H29" s="49"/>
      <c r="I29" s="52" t="str">
        <f t="shared" si="1"/>
        <v/>
      </c>
      <c r="J29" s="49"/>
      <c r="K29" s="49"/>
      <c r="L29" s="49"/>
      <c r="M29" s="49"/>
      <c r="N29" s="49"/>
      <c r="O29" s="49"/>
      <c r="P29" s="10"/>
      <c r="Q29" s="11" t="str">
        <f t="shared" si="2"/>
        <v/>
      </c>
      <c r="R29" s="11" t="str">
        <f t="shared" si="3"/>
        <v/>
      </c>
      <c r="S29" s="58" t="str">
        <f t="shared" si="4"/>
        <v/>
      </c>
      <c r="T29" s="55" t="str">
        <f t="shared" si="5"/>
        <v/>
      </c>
      <c r="U29" s="55" t="str">
        <f>IF($D29="","",IF($D29='01. CONFIGURAÇÕES'!$C$8,'01. CONFIGURAÇÕES'!$C$38,'01. CONFIGURAÇÕES'!$D$38))</f>
        <v/>
      </c>
      <c r="V29" s="58" t="str">
        <f t="shared" si="6"/>
        <v/>
      </c>
      <c r="W29" s="55" t="str">
        <f>IF($D29="","",IF($D29='01. CONFIGURAÇÕES'!$C$8,'01. CONFIGURAÇÕES'!$C$31,'01. CONFIGURAÇÕES'!$D$31))</f>
        <v/>
      </c>
      <c r="X29" s="54" t="str">
        <f>IF($A29="","",$T29*(1-'01. CONFIGURAÇÕES'!$C$16)-IF($W29="",0,$W29))</f>
        <v/>
      </c>
      <c r="Y29" s="54" t="str">
        <f t="shared" si="7"/>
        <v/>
      </c>
      <c r="Z29" s="30"/>
      <c r="AA29" s="33"/>
      <c r="AB29" s="33"/>
    </row>
    <row r="30" spans="1:36" x14ac:dyDescent="0.25">
      <c r="A30" s="31"/>
      <c r="B30" s="29" t="str">
        <f t="shared" si="0"/>
        <v/>
      </c>
      <c r="C30" s="29" t="str">
        <f>IF($A30="","","S"&amp;(INT(($A30-'01. CONFIGURAÇÕES'!$C$12)/7)+1))</f>
        <v/>
      </c>
      <c r="D30" s="30"/>
      <c r="E30" s="30"/>
      <c r="F30" s="10"/>
      <c r="G30" s="49"/>
      <c r="H30" s="49"/>
      <c r="I30" s="52" t="str">
        <f t="shared" si="1"/>
        <v/>
      </c>
      <c r="J30" s="49"/>
      <c r="K30" s="49"/>
      <c r="L30" s="49"/>
      <c r="M30" s="49"/>
      <c r="N30" s="49"/>
      <c r="O30" s="49"/>
      <c r="P30" s="10"/>
      <c r="Q30" s="11" t="str">
        <f t="shared" si="2"/>
        <v/>
      </c>
      <c r="R30" s="11" t="str">
        <f t="shared" si="3"/>
        <v/>
      </c>
      <c r="S30" s="58" t="str">
        <f t="shared" si="4"/>
        <v/>
      </c>
      <c r="T30" s="55" t="str">
        <f t="shared" si="5"/>
        <v/>
      </c>
      <c r="U30" s="55" t="str">
        <f>IF($D30="","",IF($D30='01. CONFIGURAÇÕES'!$C$8,'01. CONFIGURAÇÕES'!$C$38,'01. CONFIGURAÇÕES'!$D$38))</f>
        <v/>
      </c>
      <c r="V30" s="58" t="str">
        <f t="shared" si="6"/>
        <v/>
      </c>
      <c r="W30" s="55" t="str">
        <f>IF($D30="","",IF($D30='01. CONFIGURAÇÕES'!$C$8,'01. CONFIGURAÇÕES'!$C$31,'01. CONFIGURAÇÕES'!$D$31))</f>
        <v/>
      </c>
      <c r="X30" s="54" t="str">
        <f>IF($A30="","",$T30*(1-'01. CONFIGURAÇÕES'!$C$16)-IF($W30="",0,$W30))</f>
        <v/>
      </c>
      <c r="Y30" s="54" t="str">
        <f t="shared" si="7"/>
        <v/>
      </c>
      <c r="Z30" s="30"/>
      <c r="AA30" s="33"/>
      <c r="AB30" s="33"/>
    </row>
    <row r="31" spans="1:36" x14ac:dyDescent="0.25">
      <c r="A31" s="31"/>
      <c r="B31" s="29" t="str">
        <f t="shared" si="0"/>
        <v/>
      </c>
      <c r="C31" s="29" t="str">
        <f>IF($A31="","","S"&amp;(INT(($A31-'01. CONFIGURAÇÕES'!$C$12)/7)+1))</f>
        <v/>
      </c>
      <c r="D31" s="30"/>
      <c r="E31" s="30"/>
      <c r="F31" s="10"/>
      <c r="G31" s="49"/>
      <c r="H31" s="49"/>
      <c r="I31" s="52" t="str">
        <f t="shared" si="1"/>
        <v/>
      </c>
      <c r="J31" s="49"/>
      <c r="K31" s="49"/>
      <c r="L31" s="49"/>
      <c r="M31" s="49"/>
      <c r="N31" s="49"/>
      <c r="O31" s="49"/>
      <c r="P31" s="10"/>
      <c r="Q31" s="11" t="str">
        <f t="shared" si="2"/>
        <v/>
      </c>
      <c r="R31" s="11" t="str">
        <f t="shared" si="3"/>
        <v/>
      </c>
      <c r="S31" s="58" t="str">
        <f t="shared" si="4"/>
        <v/>
      </c>
      <c r="T31" s="55" t="str">
        <f t="shared" si="5"/>
        <v/>
      </c>
      <c r="U31" s="55" t="str">
        <f>IF($D31="","",IF($D31='01. CONFIGURAÇÕES'!$C$8,'01. CONFIGURAÇÕES'!$C$38,'01. CONFIGURAÇÕES'!$D$38))</f>
        <v/>
      </c>
      <c r="V31" s="58" t="str">
        <f t="shared" si="6"/>
        <v/>
      </c>
      <c r="W31" s="55" t="str">
        <f>IF($D31="","",IF($D31='01. CONFIGURAÇÕES'!$C$8,'01. CONFIGURAÇÕES'!$C$31,'01. CONFIGURAÇÕES'!$D$31))</f>
        <v/>
      </c>
      <c r="X31" s="54" t="str">
        <f>IF($A31="","",$T31*(1-'01. CONFIGURAÇÕES'!$C$16)-IF($W31="",0,$W31))</f>
        <v/>
      </c>
      <c r="Y31" s="54" t="str">
        <f t="shared" si="7"/>
        <v/>
      </c>
      <c r="Z31" s="30"/>
      <c r="AA31" s="33"/>
      <c r="AB31" s="33"/>
    </row>
    <row r="32" spans="1:36" x14ac:dyDescent="0.25">
      <c r="A32" s="31"/>
      <c r="B32" s="29" t="str">
        <f t="shared" si="0"/>
        <v/>
      </c>
      <c r="C32" s="29" t="str">
        <f>IF($A32="","","S"&amp;(INT(($A32-'01. CONFIGURAÇÕES'!$C$12)/7)+1))</f>
        <v/>
      </c>
      <c r="D32" s="30"/>
      <c r="E32" s="30"/>
      <c r="F32" s="10"/>
      <c r="G32" s="49"/>
      <c r="H32" s="49"/>
      <c r="I32" s="52" t="str">
        <f t="shared" si="1"/>
        <v/>
      </c>
      <c r="J32" s="49"/>
      <c r="K32" s="49"/>
      <c r="L32" s="49"/>
      <c r="M32" s="49"/>
      <c r="N32" s="49"/>
      <c r="O32" s="49"/>
      <c r="P32" s="10"/>
      <c r="Q32" s="11" t="str">
        <f t="shared" si="2"/>
        <v/>
      </c>
      <c r="R32" s="11" t="str">
        <f t="shared" si="3"/>
        <v/>
      </c>
      <c r="S32" s="58" t="str">
        <f t="shared" si="4"/>
        <v/>
      </c>
      <c r="T32" s="55" t="str">
        <f t="shared" si="5"/>
        <v/>
      </c>
      <c r="U32" s="55" t="str">
        <f>IF($D32="","",IF($D32='01. CONFIGURAÇÕES'!$C$8,'01. CONFIGURAÇÕES'!$C$38,'01. CONFIGURAÇÕES'!$D$38))</f>
        <v/>
      </c>
      <c r="V32" s="58" t="str">
        <f t="shared" si="6"/>
        <v/>
      </c>
      <c r="W32" s="55" t="str">
        <f>IF($D32="","",IF($D32='01. CONFIGURAÇÕES'!$C$8,'01. CONFIGURAÇÕES'!$C$31,'01. CONFIGURAÇÕES'!$D$31))</f>
        <v/>
      </c>
      <c r="X32" s="54" t="str">
        <f>IF($A32="","",$T32*(1-'01. CONFIGURAÇÕES'!$C$16)-IF($W32="",0,$W32))</f>
        <v/>
      </c>
      <c r="Y32" s="54" t="str">
        <f t="shared" si="7"/>
        <v/>
      </c>
      <c r="Z32" s="30"/>
      <c r="AA32" s="33"/>
      <c r="AB32" s="33"/>
    </row>
    <row r="33" spans="1:28" x14ac:dyDescent="0.25">
      <c r="A33" s="31"/>
      <c r="B33" s="29" t="str">
        <f t="shared" si="0"/>
        <v/>
      </c>
      <c r="C33" s="29" t="str">
        <f>IF($A33="","","S"&amp;(INT(($A33-'01. CONFIGURAÇÕES'!$C$12)/7)+1))</f>
        <v/>
      </c>
      <c r="D33" s="30"/>
      <c r="E33" s="30"/>
      <c r="F33" s="10"/>
      <c r="G33" s="49"/>
      <c r="H33" s="49"/>
      <c r="I33" s="52" t="str">
        <f t="shared" si="1"/>
        <v/>
      </c>
      <c r="J33" s="49"/>
      <c r="K33" s="49"/>
      <c r="L33" s="49"/>
      <c r="M33" s="49"/>
      <c r="N33" s="49"/>
      <c r="O33" s="49"/>
      <c r="P33" s="10"/>
      <c r="Q33" s="11" t="str">
        <f t="shared" si="2"/>
        <v/>
      </c>
      <c r="R33" s="11" t="str">
        <f t="shared" si="3"/>
        <v/>
      </c>
      <c r="S33" s="58" t="str">
        <f t="shared" si="4"/>
        <v/>
      </c>
      <c r="T33" s="55" t="str">
        <f t="shared" si="5"/>
        <v/>
      </c>
      <c r="U33" s="55" t="str">
        <f>IF($D33="","",IF($D33='01. CONFIGURAÇÕES'!$C$8,'01. CONFIGURAÇÕES'!$C$38,'01. CONFIGURAÇÕES'!$D$38))</f>
        <v/>
      </c>
      <c r="V33" s="58" t="str">
        <f t="shared" si="6"/>
        <v/>
      </c>
      <c r="W33" s="55" t="str">
        <f>IF($D33="","",IF($D33='01. CONFIGURAÇÕES'!$C$8,'01. CONFIGURAÇÕES'!$C$31,'01. CONFIGURAÇÕES'!$D$31))</f>
        <v/>
      </c>
      <c r="X33" s="54" t="str">
        <f>IF($A33="","",$T33*(1-'01. CONFIGURAÇÕES'!$C$16)-IF($W33="",0,$W33))</f>
        <v/>
      </c>
      <c r="Y33" s="54" t="str">
        <f t="shared" si="7"/>
        <v/>
      </c>
      <c r="Z33" s="30"/>
      <c r="AA33" s="33"/>
      <c r="AB33" s="33"/>
    </row>
    <row r="34" spans="1:28" x14ac:dyDescent="0.25">
      <c r="A34" s="31"/>
      <c r="B34" s="29" t="str">
        <f t="shared" si="0"/>
        <v/>
      </c>
      <c r="C34" s="29" t="str">
        <f>IF($A34="","","S"&amp;(INT(($A34-'01. CONFIGURAÇÕES'!$C$12)/7)+1))</f>
        <v/>
      </c>
      <c r="D34" s="30"/>
      <c r="E34" s="30"/>
      <c r="F34" s="10"/>
      <c r="G34" s="49"/>
      <c r="H34" s="49"/>
      <c r="I34" s="52" t="str">
        <f t="shared" si="1"/>
        <v/>
      </c>
      <c r="J34" s="49"/>
      <c r="K34" s="49"/>
      <c r="L34" s="49"/>
      <c r="M34" s="49"/>
      <c r="N34" s="49"/>
      <c r="O34" s="49"/>
      <c r="P34" s="10"/>
      <c r="Q34" s="11" t="str">
        <f t="shared" si="2"/>
        <v/>
      </c>
      <c r="R34" s="11" t="str">
        <f t="shared" si="3"/>
        <v/>
      </c>
      <c r="S34" s="58" t="str">
        <f t="shared" si="4"/>
        <v/>
      </c>
      <c r="T34" s="55" t="str">
        <f t="shared" si="5"/>
        <v/>
      </c>
      <c r="U34" s="55" t="str">
        <f>IF($D34="","",IF($D34='01. CONFIGURAÇÕES'!$C$8,'01. CONFIGURAÇÕES'!$C$38,'01. CONFIGURAÇÕES'!$D$38))</f>
        <v/>
      </c>
      <c r="V34" s="58" t="str">
        <f t="shared" si="6"/>
        <v/>
      </c>
      <c r="W34" s="55" t="str">
        <f>IF($D34="","",IF($D34='01. CONFIGURAÇÕES'!$C$8,'01. CONFIGURAÇÕES'!$C$31,'01. CONFIGURAÇÕES'!$D$31))</f>
        <v/>
      </c>
      <c r="X34" s="54" t="str">
        <f>IF($A34="","",$T34*(1-'01. CONFIGURAÇÕES'!$C$16)-IF($W34="",0,$W34))</f>
        <v/>
      </c>
      <c r="Y34" s="54" t="str">
        <f t="shared" si="7"/>
        <v/>
      </c>
      <c r="Z34" s="30"/>
      <c r="AA34" s="33"/>
      <c r="AB34" s="33"/>
    </row>
    <row r="35" spans="1:28" x14ac:dyDescent="0.25">
      <c r="A35" s="31"/>
      <c r="B35" s="29" t="str">
        <f t="shared" si="0"/>
        <v/>
      </c>
      <c r="C35" s="29" t="str">
        <f>IF($A35="","","S"&amp;(INT(($A35-'01. CONFIGURAÇÕES'!$C$12)/7)+1))</f>
        <v/>
      </c>
      <c r="D35" s="30"/>
      <c r="E35" s="30"/>
      <c r="F35" s="10"/>
      <c r="G35" s="49"/>
      <c r="H35" s="49"/>
      <c r="I35" s="52" t="str">
        <f t="shared" si="1"/>
        <v/>
      </c>
      <c r="J35" s="49"/>
      <c r="K35" s="49"/>
      <c r="L35" s="49"/>
      <c r="M35" s="49"/>
      <c r="N35" s="49"/>
      <c r="O35" s="49"/>
      <c r="P35" s="10"/>
      <c r="Q35" s="11" t="str">
        <f t="shared" si="2"/>
        <v/>
      </c>
      <c r="R35" s="11" t="str">
        <f t="shared" si="3"/>
        <v/>
      </c>
      <c r="S35" s="58" t="str">
        <f t="shared" si="4"/>
        <v/>
      </c>
      <c r="T35" s="55" t="str">
        <f t="shared" si="5"/>
        <v/>
      </c>
      <c r="U35" s="55" t="str">
        <f>IF($D35="","",IF($D35='01. CONFIGURAÇÕES'!$C$8,'01. CONFIGURAÇÕES'!$C$38,'01. CONFIGURAÇÕES'!$D$38))</f>
        <v/>
      </c>
      <c r="V35" s="58" t="str">
        <f t="shared" si="6"/>
        <v/>
      </c>
      <c r="W35" s="55" t="str">
        <f>IF($D35="","",IF($D35='01. CONFIGURAÇÕES'!$C$8,'01. CONFIGURAÇÕES'!$C$31,'01. CONFIGURAÇÕES'!$D$31))</f>
        <v/>
      </c>
      <c r="X35" s="54" t="str">
        <f>IF($A35="","",$T35*(1-'01. CONFIGURAÇÕES'!$C$16)-IF($W35="",0,$W35))</f>
        <v/>
      </c>
      <c r="Y35" s="54" t="str">
        <f t="shared" si="7"/>
        <v/>
      </c>
      <c r="Z35" s="30"/>
      <c r="AA35" s="33"/>
      <c r="AB35" s="33"/>
    </row>
    <row r="36" spans="1:28" x14ac:dyDescent="0.25">
      <c r="A36" s="31"/>
      <c r="B36" s="29" t="str">
        <f t="shared" si="0"/>
        <v/>
      </c>
      <c r="C36" s="29" t="str">
        <f>IF($A36="","","S"&amp;(INT(($A36-'01. CONFIGURAÇÕES'!$C$12)/7)+1))</f>
        <v/>
      </c>
      <c r="D36" s="30"/>
      <c r="E36" s="30"/>
      <c r="F36" s="10"/>
      <c r="G36" s="49"/>
      <c r="H36" s="49"/>
      <c r="I36" s="52" t="str">
        <f t="shared" si="1"/>
        <v/>
      </c>
      <c r="J36" s="49"/>
      <c r="K36" s="49"/>
      <c r="L36" s="49"/>
      <c r="M36" s="49"/>
      <c r="N36" s="49"/>
      <c r="O36" s="49"/>
      <c r="P36" s="10"/>
      <c r="Q36" s="11" t="str">
        <f t="shared" si="2"/>
        <v/>
      </c>
      <c r="R36" s="11" t="str">
        <f t="shared" si="3"/>
        <v/>
      </c>
      <c r="S36" s="58" t="str">
        <f t="shared" si="4"/>
        <v/>
      </c>
      <c r="T36" s="55" t="str">
        <f t="shared" si="5"/>
        <v/>
      </c>
      <c r="U36" s="55" t="str">
        <f>IF($D36="","",IF($D36='01. CONFIGURAÇÕES'!$C$8,'01. CONFIGURAÇÕES'!$C$38,'01. CONFIGURAÇÕES'!$D$38))</f>
        <v/>
      </c>
      <c r="V36" s="58" t="str">
        <f t="shared" si="6"/>
        <v/>
      </c>
      <c r="W36" s="55" t="str">
        <f>IF($D36="","",IF($D36='01. CONFIGURAÇÕES'!$C$8,'01. CONFIGURAÇÕES'!$C$31,'01. CONFIGURAÇÕES'!$D$31))</f>
        <v/>
      </c>
      <c r="X36" s="54" t="str">
        <f>IF($A36="","",$T36*(1-'01. CONFIGURAÇÕES'!$C$16)-IF($W36="",0,$W36))</f>
        <v/>
      </c>
      <c r="Y36" s="54" t="str">
        <f t="shared" si="7"/>
        <v/>
      </c>
      <c r="Z36" s="30"/>
      <c r="AA36" s="33"/>
      <c r="AB36" s="33"/>
    </row>
    <row r="37" spans="1:28" x14ac:dyDescent="0.25">
      <c r="A37" s="31"/>
      <c r="B37" s="29" t="str">
        <f t="shared" si="0"/>
        <v/>
      </c>
      <c r="C37" s="29" t="str">
        <f>IF($A37="","","S"&amp;(INT(($A37-'01. CONFIGURAÇÕES'!$C$12)/7)+1))</f>
        <v/>
      </c>
      <c r="D37" s="30"/>
      <c r="E37" s="30"/>
      <c r="F37" s="10"/>
      <c r="G37" s="49"/>
      <c r="H37" s="49"/>
      <c r="I37" s="52" t="str">
        <f t="shared" si="1"/>
        <v/>
      </c>
      <c r="J37" s="49"/>
      <c r="K37" s="49"/>
      <c r="L37" s="49"/>
      <c r="M37" s="49"/>
      <c r="N37" s="49"/>
      <c r="O37" s="49"/>
      <c r="P37" s="10"/>
      <c r="Q37" s="11" t="str">
        <f t="shared" si="2"/>
        <v/>
      </c>
      <c r="R37" s="11" t="str">
        <f t="shared" si="3"/>
        <v/>
      </c>
      <c r="S37" s="58" t="str">
        <f t="shared" si="4"/>
        <v/>
      </c>
      <c r="T37" s="55" t="str">
        <f t="shared" si="5"/>
        <v/>
      </c>
      <c r="U37" s="55" t="str">
        <f>IF($D37="","",IF($D37='01. CONFIGURAÇÕES'!$C$8,'01. CONFIGURAÇÕES'!$C$38,'01. CONFIGURAÇÕES'!$D$38))</f>
        <v/>
      </c>
      <c r="V37" s="58" t="str">
        <f t="shared" si="6"/>
        <v/>
      </c>
      <c r="W37" s="55" t="str">
        <f>IF($D37="","",IF($D37='01. CONFIGURAÇÕES'!$C$8,'01. CONFIGURAÇÕES'!$C$31,'01. CONFIGURAÇÕES'!$D$31))</f>
        <v/>
      </c>
      <c r="X37" s="54" t="str">
        <f>IF($A37="","",$T37*(1-'01. CONFIGURAÇÕES'!$C$16)-IF($W37="",0,$W37))</f>
        <v/>
      </c>
      <c r="Y37" s="54" t="str">
        <f t="shared" si="7"/>
        <v/>
      </c>
      <c r="Z37" s="30"/>
      <c r="AA37" s="33"/>
      <c r="AB37" s="33"/>
    </row>
    <row r="38" spans="1:28" x14ac:dyDescent="0.25">
      <c r="A38" s="31"/>
      <c r="B38" s="29" t="str">
        <f t="shared" si="0"/>
        <v/>
      </c>
      <c r="C38" s="29" t="str">
        <f>IF($A38="","","S"&amp;(INT(($A38-'01. CONFIGURAÇÕES'!$C$12)/7)+1))</f>
        <v/>
      </c>
      <c r="D38" s="30"/>
      <c r="E38" s="30"/>
      <c r="F38" s="10"/>
      <c r="G38" s="49"/>
      <c r="H38" s="49"/>
      <c r="I38" s="52" t="str">
        <f t="shared" si="1"/>
        <v/>
      </c>
      <c r="J38" s="49"/>
      <c r="K38" s="49"/>
      <c r="L38" s="49"/>
      <c r="M38" s="49"/>
      <c r="N38" s="49"/>
      <c r="O38" s="49"/>
      <c r="P38" s="10"/>
      <c r="Q38" s="11" t="str">
        <f t="shared" si="2"/>
        <v/>
      </c>
      <c r="R38" s="11" t="str">
        <f t="shared" si="3"/>
        <v/>
      </c>
      <c r="S38" s="58" t="str">
        <f t="shared" si="4"/>
        <v/>
      </c>
      <c r="T38" s="55" t="str">
        <f t="shared" si="5"/>
        <v/>
      </c>
      <c r="U38" s="55" t="str">
        <f>IF($D38="","",IF($D38='01. CONFIGURAÇÕES'!$C$8,'01. CONFIGURAÇÕES'!$C$38,'01. CONFIGURAÇÕES'!$D$38))</f>
        <v/>
      </c>
      <c r="V38" s="58" t="str">
        <f t="shared" si="6"/>
        <v/>
      </c>
      <c r="W38" s="55" t="str">
        <f>IF($D38="","",IF($D38='01. CONFIGURAÇÕES'!$C$8,'01. CONFIGURAÇÕES'!$C$31,'01. CONFIGURAÇÕES'!$D$31))</f>
        <v/>
      </c>
      <c r="X38" s="54" t="str">
        <f>IF($A38="","",$T38*(1-'01. CONFIGURAÇÕES'!$C$16)-IF($W38="",0,$W38))</f>
        <v/>
      </c>
      <c r="Y38" s="54" t="str">
        <f t="shared" si="7"/>
        <v/>
      </c>
      <c r="Z38" s="30"/>
      <c r="AA38" s="33"/>
      <c r="AB38" s="33"/>
    </row>
    <row r="39" spans="1:28" x14ac:dyDescent="0.25">
      <c r="A39" s="31"/>
      <c r="B39" s="29" t="str">
        <f t="shared" si="0"/>
        <v/>
      </c>
      <c r="C39" s="29" t="str">
        <f>IF($A39="","","S"&amp;(INT(($A39-'01. CONFIGURAÇÕES'!$C$12)/7)+1))</f>
        <v/>
      </c>
      <c r="D39" s="30"/>
      <c r="E39" s="30"/>
      <c r="F39" s="10"/>
      <c r="G39" s="49"/>
      <c r="H39" s="49"/>
      <c r="I39" s="52" t="str">
        <f t="shared" si="1"/>
        <v/>
      </c>
      <c r="J39" s="49"/>
      <c r="K39" s="49"/>
      <c r="L39" s="49"/>
      <c r="M39" s="49"/>
      <c r="N39" s="49"/>
      <c r="O39" s="49"/>
      <c r="P39" s="10"/>
      <c r="Q39" s="11" t="str">
        <f t="shared" si="2"/>
        <v/>
      </c>
      <c r="R39" s="11" t="str">
        <f t="shared" si="3"/>
        <v/>
      </c>
      <c r="S39" s="58" t="str">
        <f t="shared" si="4"/>
        <v/>
      </c>
      <c r="T39" s="55" t="str">
        <f t="shared" si="5"/>
        <v/>
      </c>
      <c r="U39" s="55" t="str">
        <f>IF($D39="","",IF($D39='01. CONFIGURAÇÕES'!$C$8,'01. CONFIGURAÇÕES'!$C$38,'01. CONFIGURAÇÕES'!$D$38))</f>
        <v/>
      </c>
      <c r="V39" s="58" t="str">
        <f t="shared" si="6"/>
        <v/>
      </c>
      <c r="W39" s="55" t="str">
        <f>IF($D39="","",IF($D39='01. CONFIGURAÇÕES'!$C$8,'01. CONFIGURAÇÕES'!$C$31,'01. CONFIGURAÇÕES'!$D$31))</f>
        <v/>
      </c>
      <c r="X39" s="54" t="str">
        <f>IF($A39="","",$T39*(1-'01. CONFIGURAÇÕES'!$C$16)-IF($W39="",0,$W39))</f>
        <v/>
      </c>
      <c r="Y39" s="54" t="str">
        <f t="shared" si="7"/>
        <v/>
      </c>
      <c r="Z39" s="30"/>
      <c r="AA39" s="33"/>
      <c r="AB39" s="33"/>
    </row>
    <row r="40" spans="1:28" x14ac:dyDescent="0.25">
      <c r="A40" s="31"/>
      <c r="B40" s="29" t="str">
        <f t="shared" si="0"/>
        <v/>
      </c>
      <c r="C40" s="29" t="str">
        <f>IF($A40="","","S"&amp;(INT(($A40-'01. CONFIGURAÇÕES'!$C$12)/7)+1))</f>
        <v/>
      </c>
      <c r="D40" s="30"/>
      <c r="E40" s="30"/>
      <c r="F40" s="10"/>
      <c r="G40" s="49"/>
      <c r="H40" s="49"/>
      <c r="I40" s="52" t="str">
        <f t="shared" si="1"/>
        <v/>
      </c>
      <c r="J40" s="49"/>
      <c r="K40" s="49"/>
      <c r="L40" s="49"/>
      <c r="M40" s="49"/>
      <c r="N40" s="49"/>
      <c r="O40" s="49"/>
      <c r="P40" s="10"/>
      <c r="Q40" s="11" t="str">
        <f t="shared" si="2"/>
        <v/>
      </c>
      <c r="R40" s="11" t="str">
        <f t="shared" si="3"/>
        <v/>
      </c>
      <c r="S40" s="58" t="str">
        <f t="shared" si="4"/>
        <v/>
      </c>
      <c r="T40" s="55" t="str">
        <f t="shared" si="5"/>
        <v/>
      </c>
      <c r="U40" s="55" t="str">
        <f>IF($D40="","",IF($D40='01. CONFIGURAÇÕES'!$C$8,'01. CONFIGURAÇÕES'!$C$38,'01. CONFIGURAÇÕES'!$D$38))</f>
        <v/>
      </c>
      <c r="V40" s="58" t="str">
        <f t="shared" si="6"/>
        <v/>
      </c>
      <c r="W40" s="55" t="str">
        <f>IF($D40="","",IF($D40='01. CONFIGURAÇÕES'!$C$8,'01. CONFIGURAÇÕES'!$C$31,'01. CONFIGURAÇÕES'!$D$31))</f>
        <v/>
      </c>
      <c r="X40" s="54" t="str">
        <f>IF($A40="","",$T40*(1-'01. CONFIGURAÇÕES'!$C$16)-IF($W40="",0,$W40))</f>
        <v/>
      </c>
      <c r="Y40" s="54" t="str">
        <f t="shared" si="7"/>
        <v/>
      </c>
      <c r="Z40" s="30"/>
      <c r="AA40" s="33"/>
      <c r="AB40" s="33"/>
    </row>
    <row r="41" spans="1:28" x14ac:dyDescent="0.25">
      <c r="A41" s="31"/>
      <c r="B41" s="29" t="str">
        <f t="shared" si="0"/>
        <v/>
      </c>
      <c r="C41" s="29" t="str">
        <f>IF($A41="","","S"&amp;(INT(($A41-'01. CONFIGURAÇÕES'!$C$12)/7)+1))</f>
        <v/>
      </c>
      <c r="D41" s="30"/>
      <c r="E41" s="30"/>
      <c r="F41" s="10"/>
      <c r="G41" s="49"/>
      <c r="H41" s="49"/>
      <c r="I41" s="52" t="str">
        <f t="shared" si="1"/>
        <v/>
      </c>
      <c r="J41" s="49"/>
      <c r="K41" s="49"/>
      <c r="L41" s="49"/>
      <c r="M41" s="49"/>
      <c r="N41" s="49"/>
      <c r="O41" s="49"/>
      <c r="P41" s="10"/>
      <c r="Q41" s="11" t="str">
        <f t="shared" si="2"/>
        <v/>
      </c>
      <c r="R41" s="11" t="str">
        <f t="shared" si="3"/>
        <v/>
      </c>
      <c r="S41" s="58" t="str">
        <f t="shared" si="4"/>
        <v/>
      </c>
      <c r="T41" s="55" t="str">
        <f t="shared" si="5"/>
        <v/>
      </c>
      <c r="U41" s="55" t="str">
        <f>IF($D41="","",IF($D41='01. CONFIGURAÇÕES'!$C$8,'01. CONFIGURAÇÕES'!$C$38,'01. CONFIGURAÇÕES'!$D$38))</f>
        <v/>
      </c>
      <c r="V41" s="58" t="str">
        <f t="shared" si="6"/>
        <v/>
      </c>
      <c r="W41" s="55" t="str">
        <f>IF($D41="","",IF($D41='01. CONFIGURAÇÕES'!$C$8,'01. CONFIGURAÇÕES'!$C$31,'01. CONFIGURAÇÕES'!$D$31))</f>
        <v/>
      </c>
      <c r="X41" s="54" t="str">
        <f>IF($A41="","",$T41*(1-'01. CONFIGURAÇÕES'!$C$16)-IF($W41="",0,$W41))</f>
        <v/>
      </c>
      <c r="Y41" s="54" t="str">
        <f t="shared" si="7"/>
        <v/>
      </c>
      <c r="Z41" s="30"/>
      <c r="AA41" s="33"/>
      <c r="AB41" s="33"/>
    </row>
    <row r="42" spans="1:28" x14ac:dyDescent="0.25">
      <c r="A42" s="31"/>
      <c r="B42" s="29" t="str">
        <f t="shared" si="0"/>
        <v/>
      </c>
      <c r="C42" s="29" t="str">
        <f>IF($A42="","","S"&amp;(INT(($A42-'01. CONFIGURAÇÕES'!$C$12)/7)+1))</f>
        <v/>
      </c>
      <c r="D42" s="30"/>
      <c r="E42" s="30"/>
      <c r="F42" s="10"/>
      <c r="G42" s="49"/>
      <c r="H42" s="49"/>
      <c r="I42" s="52" t="str">
        <f t="shared" si="1"/>
        <v/>
      </c>
      <c r="J42" s="49"/>
      <c r="K42" s="49"/>
      <c r="L42" s="49"/>
      <c r="M42" s="49"/>
      <c r="N42" s="49"/>
      <c r="O42" s="49"/>
      <c r="P42" s="10"/>
      <c r="Q42" s="11" t="str">
        <f t="shared" si="2"/>
        <v/>
      </c>
      <c r="R42" s="11" t="str">
        <f t="shared" si="3"/>
        <v/>
      </c>
      <c r="S42" s="58" t="str">
        <f t="shared" si="4"/>
        <v/>
      </c>
      <c r="T42" s="55" t="str">
        <f t="shared" si="5"/>
        <v/>
      </c>
      <c r="U42" s="55" t="str">
        <f>IF($D42="","",IF($D42='01. CONFIGURAÇÕES'!$C$8,'01. CONFIGURAÇÕES'!$C$38,'01. CONFIGURAÇÕES'!$D$38))</f>
        <v/>
      </c>
      <c r="V42" s="58" t="str">
        <f t="shared" si="6"/>
        <v/>
      </c>
      <c r="W42" s="55" t="str">
        <f>IF($D42="","",IF($D42='01. CONFIGURAÇÕES'!$C$8,'01. CONFIGURAÇÕES'!$C$31,'01. CONFIGURAÇÕES'!$D$31))</f>
        <v/>
      </c>
      <c r="X42" s="54" t="str">
        <f>IF($A42="","",$T42*(1-'01. CONFIGURAÇÕES'!$C$16)-IF($W42="",0,$W42))</f>
        <v/>
      </c>
      <c r="Y42" s="54" t="str">
        <f t="shared" si="7"/>
        <v/>
      </c>
      <c r="Z42" s="30"/>
      <c r="AA42" s="33"/>
      <c r="AB42" s="33"/>
    </row>
    <row r="43" spans="1:28" x14ac:dyDescent="0.25">
      <c r="A43" s="31"/>
      <c r="B43" s="29" t="str">
        <f t="shared" si="0"/>
        <v/>
      </c>
      <c r="C43" s="29" t="str">
        <f>IF($A43="","","S"&amp;(INT(($A43-'01. CONFIGURAÇÕES'!$C$12)/7)+1))</f>
        <v/>
      </c>
      <c r="D43" s="30"/>
      <c r="E43" s="30"/>
      <c r="F43" s="10"/>
      <c r="G43" s="49"/>
      <c r="H43" s="49"/>
      <c r="I43" s="52" t="str">
        <f t="shared" si="1"/>
        <v/>
      </c>
      <c r="J43" s="49"/>
      <c r="K43" s="49"/>
      <c r="L43" s="49"/>
      <c r="M43" s="49"/>
      <c r="N43" s="49"/>
      <c r="O43" s="49"/>
      <c r="P43" s="10"/>
      <c r="Q43" s="11" t="str">
        <f t="shared" si="2"/>
        <v/>
      </c>
      <c r="R43" s="11" t="str">
        <f t="shared" si="3"/>
        <v/>
      </c>
      <c r="S43" s="58" t="str">
        <f t="shared" si="4"/>
        <v/>
      </c>
      <c r="T43" s="55" t="str">
        <f t="shared" si="5"/>
        <v/>
      </c>
      <c r="U43" s="55" t="str">
        <f>IF($D43="","",IF($D43='01. CONFIGURAÇÕES'!$C$8,'01. CONFIGURAÇÕES'!$C$38,'01. CONFIGURAÇÕES'!$D$38))</f>
        <v/>
      </c>
      <c r="V43" s="58" t="str">
        <f t="shared" si="6"/>
        <v/>
      </c>
      <c r="W43" s="55" t="str">
        <f>IF($D43="","",IF($D43='01. CONFIGURAÇÕES'!$C$8,'01. CONFIGURAÇÕES'!$C$31,'01. CONFIGURAÇÕES'!$D$31))</f>
        <v/>
      </c>
      <c r="X43" s="54" t="str">
        <f>IF($A43="","",$T43*(1-'01. CONFIGURAÇÕES'!$C$16)-IF($W43="",0,$W43))</f>
        <v/>
      </c>
      <c r="Y43" s="54" t="str">
        <f t="shared" si="7"/>
        <v/>
      </c>
      <c r="Z43" s="30"/>
      <c r="AA43" s="33"/>
      <c r="AB43" s="33"/>
    </row>
    <row r="44" spans="1:28" x14ac:dyDescent="0.25">
      <c r="A44" s="31"/>
      <c r="B44" s="29" t="str">
        <f t="shared" si="0"/>
        <v/>
      </c>
      <c r="C44" s="29" t="str">
        <f>IF($A44="","","S"&amp;(INT(($A44-'01. CONFIGURAÇÕES'!$C$12)/7)+1))</f>
        <v/>
      </c>
      <c r="D44" s="30"/>
      <c r="E44" s="30"/>
      <c r="F44" s="10"/>
      <c r="G44" s="49"/>
      <c r="H44" s="49"/>
      <c r="I44" s="52" t="str">
        <f t="shared" si="1"/>
        <v/>
      </c>
      <c r="J44" s="49"/>
      <c r="K44" s="49"/>
      <c r="L44" s="49"/>
      <c r="M44" s="49"/>
      <c r="N44" s="49"/>
      <c r="O44" s="49"/>
      <c r="P44" s="10"/>
      <c r="Q44" s="11" t="str">
        <f t="shared" si="2"/>
        <v/>
      </c>
      <c r="R44" s="11" t="str">
        <f t="shared" si="3"/>
        <v/>
      </c>
      <c r="S44" s="58" t="str">
        <f t="shared" si="4"/>
        <v/>
      </c>
      <c r="T44" s="55" t="str">
        <f t="shared" si="5"/>
        <v/>
      </c>
      <c r="U44" s="55" t="str">
        <f>IF($D44="","",IF($D44='01. CONFIGURAÇÕES'!$C$8,'01. CONFIGURAÇÕES'!$C$38,'01. CONFIGURAÇÕES'!$D$38))</f>
        <v/>
      </c>
      <c r="V44" s="58" t="str">
        <f t="shared" si="6"/>
        <v/>
      </c>
      <c r="W44" s="55" t="str">
        <f>IF($D44="","",IF($D44='01. CONFIGURAÇÕES'!$C$8,'01. CONFIGURAÇÕES'!$C$31,'01. CONFIGURAÇÕES'!$D$31))</f>
        <v/>
      </c>
      <c r="X44" s="54" t="str">
        <f>IF($A44="","",$T44*(1-'01. CONFIGURAÇÕES'!$C$16)-IF($W44="",0,$W44))</f>
        <v/>
      </c>
      <c r="Y44" s="54" t="str">
        <f t="shared" si="7"/>
        <v/>
      </c>
      <c r="Z44" s="30"/>
      <c r="AA44" s="33"/>
      <c r="AB44" s="33"/>
    </row>
    <row r="45" spans="1:28" x14ac:dyDescent="0.25">
      <c r="A45" s="31"/>
      <c r="B45" s="29" t="str">
        <f t="shared" si="0"/>
        <v/>
      </c>
      <c r="C45" s="29" t="str">
        <f>IF($A45="","","S"&amp;(INT(($A45-'01. CONFIGURAÇÕES'!$C$12)/7)+1))</f>
        <v/>
      </c>
      <c r="D45" s="30"/>
      <c r="E45" s="30"/>
      <c r="F45" s="10"/>
      <c r="G45" s="49"/>
      <c r="H45" s="49"/>
      <c r="I45" s="52" t="str">
        <f t="shared" si="1"/>
        <v/>
      </c>
      <c r="J45" s="49"/>
      <c r="K45" s="49"/>
      <c r="L45" s="49"/>
      <c r="M45" s="49"/>
      <c r="N45" s="49"/>
      <c r="O45" s="49"/>
      <c r="P45" s="10"/>
      <c r="Q45" s="11" t="str">
        <f t="shared" si="2"/>
        <v/>
      </c>
      <c r="R45" s="11" t="str">
        <f t="shared" si="3"/>
        <v/>
      </c>
      <c r="S45" s="58" t="str">
        <f t="shared" si="4"/>
        <v/>
      </c>
      <c r="T45" s="55" t="str">
        <f t="shared" si="5"/>
        <v/>
      </c>
      <c r="U45" s="55" t="str">
        <f>IF($D45="","",IF($D45='01. CONFIGURAÇÕES'!$C$8,'01. CONFIGURAÇÕES'!$C$38,'01. CONFIGURAÇÕES'!$D$38))</f>
        <v/>
      </c>
      <c r="V45" s="58" t="str">
        <f t="shared" si="6"/>
        <v/>
      </c>
      <c r="W45" s="55" t="str">
        <f>IF($D45="","",IF($D45='01. CONFIGURAÇÕES'!$C$8,'01. CONFIGURAÇÕES'!$C$31,'01. CONFIGURAÇÕES'!$D$31))</f>
        <v/>
      </c>
      <c r="X45" s="54" t="str">
        <f>IF($A45="","",$T45*(1-'01. CONFIGURAÇÕES'!$C$16)-IF($W45="",0,$W45))</f>
        <v/>
      </c>
      <c r="Y45" s="54" t="str">
        <f t="shared" si="7"/>
        <v/>
      </c>
      <c r="Z45" s="30"/>
      <c r="AA45" s="33"/>
      <c r="AB45" s="33"/>
    </row>
    <row r="46" spans="1:28" x14ac:dyDescent="0.25">
      <c r="A46" s="31"/>
      <c r="B46" s="29" t="str">
        <f t="shared" si="0"/>
        <v/>
      </c>
      <c r="C46" s="29" t="str">
        <f>IF($A46="","","S"&amp;(INT(($A46-'01. CONFIGURAÇÕES'!$C$12)/7)+1))</f>
        <v/>
      </c>
      <c r="D46" s="30"/>
      <c r="E46" s="30"/>
      <c r="F46" s="10"/>
      <c r="G46" s="49"/>
      <c r="H46" s="49"/>
      <c r="I46" s="52" t="str">
        <f t="shared" si="1"/>
        <v/>
      </c>
      <c r="J46" s="49"/>
      <c r="K46" s="49"/>
      <c r="L46" s="49"/>
      <c r="M46" s="49"/>
      <c r="N46" s="49"/>
      <c r="O46" s="49"/>
      <c r="P46" s="10"/>
      <c r="Q46" s="11" t="str">
        <f t="shared" si="2"/>
        <v/>
      </c>
      <c r="R46" s="11" t="str">
        <f t="shared" si="3"/>
        <v/>
      </c>
      <c r="S46" s="58" t="str">
        <f t="shared" si="4"/>
        <v/>
      </c>
      <c r="T46" s="55" t="str">
        <f t="shared" si="5"/>
        <v/>
      </c>
      <c r="U46" s="55" t="str">
        <f>IF($D46="","",IF($D46='01. CONFIGURAÇÕES'!$C$8,'01. CONFIGURAÇÕES'!$C$38,'01. CONFIGURAÇÕES'!$D$38))</f>
        <v/>
      </c>
      <c r="V46" s="58" t="str">
        <f t="shared" si="6"/>
        <v/>
      </c>
      <c r="W46" s="55" t="str">
        <f>IF($D46="","",IF($D46='01. CONFIGURAÇÕES'!$C$8,'01. CONFIGURAÇÕES'!$C$31,'01. CONFIGURAÇÕES'!$D$31))</f>
        <v/>
      </c>
      <c r="X46" s="54" t="str">
        <f>IF($A46="","",$T46*(1-'01. CONFIGURAÇÕES'!$C$16)-IF($W46="",0,$W46))</f>
        <v/>
      </c>
      <c r="Y46" s="54" t="str">
        <f t="shared" si="7"/>
        <v/>
      </c>
      <c r="Z46" s="30"/>
      <c r="AA46" s="33"/>
      <c r="AB46" s="33"/>
    </row>
    <row r="47" spans="1:28" x14ac:dyDescent="0.25">
      <c r="A47" s="31"/>
      <c r="B47" s="29" t="str">
        <f t="shared" si="0"/>
        <v/>
      </c>
      <c r="C47" s="29" t="str">
        <f>IF($A47="","","S"&amp;(INT(($A47-'01. CONFIGURAÇÕES'!$C$12)/7)+1))</f>
        <v/>
      </c>
      <c r="D47" s="30"/>
      <c r="E47" s="30"/>
      <c r="F47" s="10"/>
      <c r="G47" s="49"/>
      <c r="H47" s="49"/>
      <c r="I47" s="52" t="str">
        <f t="shared" si="1"/>
        <v/>
      </c>
      <c r="J47" s="49"/>
      <c r="K47" s="49"/>
      <c r="L47" s="49"/>
      <c r="M47" s="49"/>
      <c r="N47" s="49"/>
      <c r="O47" s="49"/>
      <c r="P47" s="10"/>
      <c r="Q47" s="11" t="str">
        <f t="shared" si="2"/>
        <v/>
      </c>
      <c r="R47" s="11" t="str">
        <f t="shared" si="3"/>
        <v/>
      </c>
      <c r="S47" s="58" t="str">
        <f t="shared" si="4"/>
        <v/>
      </c>
      <c r="T47" s="55" t="str">
        <f t="shared" si="5"/>
        <v/>
      </c>
      <c r="U47" s="55" t="str">
        <f>IF($D47="","",IF($D47='01. CONFIGURAÇÕES'!$C$8,'01. CONFIGURAÇÕES'!$C$38,'01. CONFIGURAÇÕES'!$D$38))</f>
        <v/>
      </c>
      <c r="V47" s="58" t="str">
        <f t="shared" si="6"/>
        <v/>
      </c>
      <c r="W47" s="55" t="str">
        <f>IF($D47="","",IF($D47='01. CONFIGURAÇÕES'!$C$8,'01. CONFIGURAÇÕES'!$C$31,'01. CONFIGURAÇÕES'!$D$31))</f>
        <v/>
      </c>
      <c r="X47" s="54" t="str">
        <f>IF($A47="","",$T47*(1-'01. CONFIGURAÇÕES'!$C$16)-IF($W47="",0,$W47))</f>
        <v/>
      </c>
      <c r="Y47" s="54" t="str">
        <f t="shared" si="7"/>
        <v/>
      </c>
      <c r="Z47" s="30"/>
      <c r="AA47" s="33"/>
      <c r="AB47" s="33"/>
    </row>
    <row r="48" spans="1:28" x14ac:dyDescent="0.25">
      <c r="A48" s="31"/>
      <c r="B48" s="29" t="str">
        <f t="shared" si="0"/>
        <v/>
      </c>
      <c r="C48" s="29" t="str">
        <f>IF($A48="","","S"&amp;(INT(($A48-'01. CONFIGURAÇÕES'!$C$12)/7)+1))</f>
        <v/>
      </c>
      <c r="D48" s="30"/>
      <c r="E48" s="30"/>
      <c r="F48" s="10"/>
      <c r="G48" s="49"/>
      <c r="H48" s="49"/>
      <c r="I48" s="52" t="str">
        <f t="shared" si="1"/>
        <v/>
      </c>
      <c r="J48" s="49"/>
      <c r="K48" s="49"/>
      <c r="L48" s="49"/>
      <c r="M48" s="49"/>
      <c r="N48" s="49"/>
      <c r="O48" s="49"/>
      <c r="P48" s="10"/>
      <c r="Q48" s="11" t="str">
        <f t="shared" si="2"/>
        <v/>
      </c>
      <c r="R48" s="11" t="str">
        <f t="shared" si="3"/>
        <v/>
      </c>
      <c r="S48" s="58" t="str">
        <f t="shared" si="4"/>
        <v/>
      </c>
      <c r="T48" s="55" t="str">
        <f t="shared" si="5"/>
        <v/>
      </c>
      <c r="U48" s="55" t="str">
        <f>IF($D48="","",IF($D48='01. CONFIGURAÇÕES'!$C$8,'01. CONFIGURAÇÕES'!$C$38,'01. CONFIGURAÇÕES'!$D$38))</f>
        <v/>
      </c>
      <c r="V48" s="58" t="str">
        <f t="shared" si="6"/>
        <v/>
      </c>
      <c r="W48" s="55" t="str">
        <f>IF($D48="","",IF($D48='01. CONFIGURAÇÕES'!$C$8,'01. CONFIGURAÇÕES'!$C$31,'01. CONFIGURAÇÕES'!$D$31))</f>
        <v/>
      </c>
      <c r="X48" s="54" t="str">
        <f>IF($A48="","",$T48*(1-'01. CONFIGURAÇÕES'!$C$16)-IF($W48="",0,$W48))</f>
        <v/>
      </c>
      <c r="Y48" s="54" t="str">
        <f t="shared" si="7"/>
        <v/>
      </c>
      <c r="Z48" s="30"/>
      <c r="AA48" s="33"/>
      <c r="AB48" s="33"/>
    </row>
    <row r="49" spans="1:28" x14ac:dyDescent="0.25">
      <c r="A49" s="31"/>
      <c r="B49" s="29" t="str">
        <f t="shared" si="0"/>
        <v/>
      </c>
      <c r="C49" s="29" t="str">
        <f>IF($A49="","","S"&amp;(INT(($A49-'01. CONFIGURAÇÕES'!$C$12)/7)+1))</f>
        <v/>
      </c>
      <c r="D49" s="30"/>
      <c r="E49" s="30"/>
      <c r="F49" s="10"/>
      <c r="G49" s="49"/>
      <c r="H49" s="49"/>
      <c r="I49" s="52" t="str">
        <f t="shared" si="1"/>
        <v/>
      </c>
      <c r="J49" s="49"/>
      <c r="K49" s="49"/>
      <c r="L49" s="49"/>
      <c r="M49" s="49"/>
      <c r="N49" s="49"/>
      <c r="O49" s="49"/>
      <c r="P49" s="10"/>
      <c r="Q49" s="11" t="str">
        <f t="shared" si="2"/>
        <v/>
      </c>
      <c r="R49" s="11" t="str">
        <f t="shared" si="3"/>
        <v/>
      </c>
      <c r="S49" s="58" t="str">
        <f t="shared" si="4"/>
        <v/>
      </c>
      <c r="T49" s="55" t="str">
        <f t="shared" si="5"/>
        <v/>
      </c>
      <c r="U49" s="55" t="str">
        <f>IF($D49="","",IF($D49='01. CONFIGURAÇÕES'!$C$8,'01. CONFIGURAÇÕES'!$C$38,'01. CONFIGURAÇÕES'!$D$38))</f>
        <v/>
      </c>
      <c r="V49" s="58" t="str">
        <f t="shared" si="6"/>
        <v/>
      </c>
      <c r="W49" s="55" t="str">
        <f>IF($D49="","",IF($D49='01. CONFIGURAÇÕES'!$C$8,'01. CONFIGURAÇÕES'!$C$31,'01. CONFIGURAÇÕES'!$D$31))</f>
        <v/>
      </c>
      <c r="X49" s="54" t="str">
        <f>IF($A49="","",$T49*(1-'01. CONFIGURAÇÕES'!$C$16)-IF($W49="",0,$W49))</f>
        <v/>
      </c>
      <c r="Y49" s="54" t="str">
        <f t="shared" si="7"/>
        <v/>
      </c>
      <c r="Z49" s="30"/>
      <c r="AA49" s="33"/>
      <c r="AB49" s="33"/>
    </row>
    <row r="50" spans="1:28" x14ac:dyDescent="0.25">
      <c r="A50" s="31"/>
      <c r="B50" s="29" t="str">
        <f t="shared" si="0"/>
        <v/>
      </c>
      <c r="C50" s="29" t="str">
        <f>IF($A50="","","S"&amp;(INT(($A50-'01. CONFIGURAÇÕES'!$C$12)/7)+1))</f>
        <v/>
      </c>
      <c r="D50" s="30"/>
      <c r="E50" s="30"/>
      <c r="F50" s="10"/>
      <c r="G50" s="49"/>
      <c r="H50" s="49"/>
      <c r="I50" s="52" t="str">
        <f t="shared" si="1"/>
        <v/>
      </c>
      <c r="J50" s="49"/>
      <c r="K50" s="49"/>
      <c r="L50" s="49"/>
      <c r="M50" s="49"/>
      <c r="N50" s="49"/>
      <c r="O50" s="49"/>
      <c r="P50" s="10"/>
      <c r="Q50" s="11" t="str">
        <f t="shared" si="2"/>
        <v/>
      </c>
      <c r="R50" s="11" t="str">
        <f t="shared" si="3"/>
        <v/>
      </c>
      <c r="S50" s="58" t="str">
        <f t="shared" si="4"/>
        <v/>
      </c>
      <c r="T50" s="55" t="str">
        <f t="shared" si="5"/>
        <v/>
      </c>
      <c r="U50" s="55" t="str">
        <f>IF($D50="","",IF($D50='01. CONFIGURAÇÕES'!$C$8,'01. CONFIGURAÇÕES'!$C$38,'01. CONFIGURAÇÕES'!$D$38))</f>
        <v/>
      </c>
      <c r="V50" s="58" t="str">
        <f t="shared" si="6"/>
        <v/>
      </c>
      <c r="W50" s="55" t="str">
        <f>IF($D50="","",IF($D50='01. CONFIGURAÇÕES'!$C$8,'01. CONFIGURAÇÕES'!$C$31,'01. CONFIGURAÇÕES'!$D$31))</f>
        <v/>
      </c>
      <c r="X50" s="54" t="str">
        <f>IF($A50="","",$T50*(1-'01. CONFIGURAÇÕES'!$C$16)-IF($W50="",0,$W50))</f>
        <v/>
      </c>
      <c r="Y50" s="54" t="str">
        <f t="shared" si="7"/>
        <v/>
      </c>
      <c r="Z50" s="30"/>
      <c r="AA50" s="33"/>
      <c r="AB50" s="33"/>
    </row>
    <row r="51" spans="1:28" x14ac:dyDescent="0.25">
      <c r="A51" s="31"/>
      <c r="B51" s="29" t="str">
        <f t="shared" si="0"/>
        <v/>
      </c>
      <c r="C51" s="29" t="str">
        <f>IF($A51="","","S"&amp;(INT(($A51-'01. CONFIGURAÇÕES'!$C$12)/7)+1))</f>
        <v/>
      </c>
      <c r="D51" s="30"/>
      <c r="E51" s="30"/>
      <c r="F51" s="10"/>
      <c r="G51" s="49"/>
      <c r="H51" s="49"/>
      <c r="I51" s="52" t="str">
        <f t="shared" si="1"/>
        <v/>
      </c>
      <c r="J51" s="49"/>
      <c r="K51" s="49"/>
      <c r="L51" s="49"/>
      <c r="M51" s="49"/>
      <c r="N51" s="49"/>
      <c r="O51" s="49"/>
      <c r="P51" s="10"/>
      <c r="Q51" s="11" t="str">
        <f t="shared" si="2"/>
        <v/>
      </c>
      <c r="R51" s="11" t="str">
        <f t="shared" si="3"/>
        <v/>
      </c>
      <c r="S51" s="58" t="str">
        <f t="shared" si="4"/>
        <v/>
      </c>
      <c r="T51" s="55" t="str">
        <f t="shared" si="5"/>
        <v/>
      </c>
      <c r="U51" s="55" t="str">
        <f>IF($D51="","",IF($D51='01. CONFIGURAÇÕES'!$C$8,'01. CONFIGURAÇÕES'!$C$38,'01. CONFIGURAÇÕES'!$D$38))</f>
        <v/>
      </c>
      <c r="V51" s="58" t="str">
        <f t="shared" si="6"/>
        <v/>
      </c>
      <c r="W51" s="55" t="str">
        <f>IF($D51="","",IF($D51='01. CONFIGURAÇÕES'!$C$8,'01. CONFIGURAÇÕES'!$C$31,'01. CONFIGURAÇÕES'!$D$31))</f>
        <v/>
      </c>
      <c r="X51" s="54" t="str">
        <f>IF($A51="","",$T51*(1-'01. CONFIGURAÇÕES'!$C$16)-IF($W51="",0,$W51))</f>
        <v/>
      </c>
      <c r="Y51" s="54" t="str">
        <f t="shared" si="7"/>
        <v/>
      </c>
      <c r="Z51" s="30"/>
      <c r="AA51" s="33"/>
      <c r="AB51" s="33"/>
    </row>
    <row r="52" spans="1:28" x14ac:dyDescent="0.25">
      <c r="A52" s="31"/>
      <c r="B52" s="29" t="str">
        <f t="shared" si="0"/>
        <v/>
      </c>
      <c r="C52" s="29" t="str">
        <f>IF($A52="","","S"&amp;(INT(($A52-'01. CONFIGURAÇÕES'!$C$12)/7)+1))</f>
        <v/>
      </c>
      <c r="D52" s="30"/>
      <c r="E52" s="30"/>
      <c r="F52" s="10"/>
      <c r="G52" s="49"/>
      <c r="H52" s="49"/>
      <c r="I52" s="52" t="str">
        <f t="shared" si="1"/>
        <v/>
      </c>
      <c r="J52" s="49"/>
      <c r="K52" s="49"/>
      <c r="L52" s="49"/>
      <c r="M52" s="49"/>
      <c r="N52" s="49"/>
      <c r="O52" s="49"/>
      <c r="P52" s="10"/>
      <c r="Q52" s="11" t="str">
        <f t="shared" si="2"/>
        <v/>
      </c>
      <c r="R52" s="11" t="str">
        <f t="shared" si="3"/>
        <v/>
      </c>
      <c r="S52" s="58" t="str">
        <f t="shared" si="4"/>
        <v/>
      </c>
      <c r="T52" s="55" t="str">
        <f t="shared" si="5"/>
        <v/>
      </c>
      <c r="U52" s="55" t="str">
        <f>IF($D52="","",IF($D52='01. CONFIGURAÇÕES'!$C$8,'01. CONFIGURAÇÕES'!$C$38,'01. CONFIGURAÇÕES'!$D$38))</f>
        <v/>
      </c>
      <c r="V52" s="58" t="str">
        <f t="shared" si="6"/>
        <v/>
      </c>
      <c r="W52" s="55" t="str">
        <f>IF($D52="","",IF($D52='01. CONFIGURAÇÕES'!$C$8,'01. CONFIGURAÇÕES'!$C$31,'01. CONFIGURAÇÕES'!$D$31))</f>
        <v/>
      </c>
      <c r="X52" s="54" t="str">
        <f>IF($A52="","",$T52*(1-'01. CONFIGURAÇÕES'!$C$16)-IF($W52="",0,$W52))</f>
        <v/>
      </c>
      <c r="Y52" s="54" t="str">
        <f t="shared" si="7"/>
        <v/>
      </c>
      <c r="Z52" s="30"/>
      <c r="AA52" s="33"/>
      <c r="AB52" s="33"/>
    </row>
    <row r="53" spans="1:28" x14ac:dyDescent="0.25">
      <c r="A53" s="31"/>
      <c r="B53" s="29" t="str">
        <f t="shared" si="0"/>
        <v/>
      </c>
      <c r="C53" s="29" t="str">
        <f>IF($A53="","","S"&amp;(INT(($A53-'01. CONFIGURAÇÕES'!$C$12)/7)+1))</f>
        <v/>
      </c>
      <c r="D53" s="30"/>
      <c r="E53" s="30"/>
      <c r="F53" s="10"/>
      <c r="G53" s="49"/>
      <c r="H53" s="49"/>
      <c r="I53" s="52" t="str">
        <f t="shared" si="1"/>
        <v/>
      </c>
      <c r="J53" s="49"/>
      <c r="K53" s="49"/>
      <c r="L53" s="49"/>
      <c r="M53" s="49"/>
      <c r="N53" s="49"/>
      <c r="O53" s="49"/>
      <c r="P53" s="10"/>
      <c r="Q53" s="11" t="str">
        <f t="shared" si="2"/>
        <v/>
      </c>
      <c r="R53" s="11" t="str">
        <f t="shared" si="3"/>
        <v/>
      </c>
      <c r="S53" s="58" t="str">
        <f t="shared" si="4"/>
        <v/>
      </c>
      <c r="T53" s="55" t="str">
        <f t="shared" si="5"/>
        <v/>
      </c>
      <c r="U53" s="55" t="str">
        <f>IF($D53="","",IF($D53='01. CONFIGURAÇÕES'!$C$8,'01. CONFIGURAÇÕES'!$C$38,'01. CONFIGURAÇÕES'!$D$38))</f>
        <v/>
      </c>
      <c r="V53" s="58" t="str">
        <f t="shared" si="6"/>
        <v/>
      </c>
      <c r="W53" s="55" t="str">
        <f>IF($D53="","",IF($D53='01. CONFIGURAÇÕES'!$C$8,'01. CONFIGURAÇÕES'!$C$31,'01. CONFIGURAÇÕES'!$D$31))</f>
        <v/>
      </c>
      <c r="X53" s="54" t="str">
        <f>IF($A53="","",$T53*(1-'01. CONFIGURAÇÕES'!$C$16)-IF($W53="",0,$W53))</f>
        <v/>
      </c>
      <c r="Y53" s="54" t="str">
        <f t="shared" si="7"/>
        <v/>
      </c>
      <c r="Z53" s="30"/>
      <c r="AA53" s="33"/>
      <c r="AB53" s="33"/>
    </row>
    <row r="54" spans="1:28" x14ac:dyDescent="0.25">
      <c r="A54" s="31"/>
      <c r="B54" s="29" t="str">
        <f t="shared" si="0"/>
        <v/>
      </c>
      <c r="C54" s="29" t="str">
        <f>IF($A54="","","S"&amp;(INT(($A54-'01. CONFIGURAÇÕES'!$C$12)/7)+1))</f>
        <v/>
      </c>
      <c r="D54" s="30"/>
      <c r="E54" s="30"/>
      <c r="F54" s="10"/>
      <c r="G54" s="49"/>
      <c r="H54" s="49"/>
      <c r="I54" s="52" t="str">
        <f t="shared" si="1"/>
        <v/>
      </c>
      <c r="J54" s="49"/>
      <c r="K54" s="49"/>
      <c r="L54" s="49"/>
      <c r="M54" s="49"/>
      <c r="N54" s="49"/>
      <c r="O54" s="49"/>
      <c r="P54" s="10"/>
      <c r="Q54" s="11" t="str">
        <f t="shared" si="2"/>
        <v/>
      </c>
      <c r="R54" s="11" t="str">
        <f t="shared" si="3"/>
        <v/>
      </c>
      <c r="S54" s="58" t="str">
        <f t="shared" si="4"/>
        <v/>
      </c>
      <c r="T54" s="55" t="str">
        <f t="shared" si="5"/>
        <v/>
      </c>
      <c r="U54" s="55" t="str">
        <f>IF($D54="","",IF($D54='01. CONFIGURAÇÕES'!$C$8,'01. CONFIGURAÇÕES'!$C$38,'01. CONFIGURAÇÕES'!$D$38))</f>
        <v/>
      </c>
      <c r="V54" s="58" t="str">
        <f t="shared" si="6"/>
        <v/>
      </c>
      <c r="W54" s="55" t="str">
        <f>IF($D54="","",IF($D54='01. CONFIGURAÇÕES'!$C$8,'01. CONFIGURAÇÕES'!$C$31,'01. CONFIGURAÇÕES'!$D$31))</f>
        <v/>
      </c>
      <c r="X54" s="54" t="str">
        <f>IF($A54="","",$T54*(1-'01. CONFIGURAÇÕES'!$C$16)-IF($W54="",0,$W54))</f>
        <v/>
      </c>
      <c r="Y54" s="54" t="str">
        <f t="shared" si="7"/>
        <v/>
      </c>
      <c r="Z54" s="30"/>
      <c r="AA54" s="33"/>
      <c r="AB54" s="33"/>
    </row>
    <row r="55" spans="1:28" x14ac:dyDescent="0.25">
      <c r="A55" s="31"/>
      <c r="B55" s="29" t="str">
        <f t="shared" si="0"/>
        <v/>
      </c>
      <c r="C55" s="29" t="str">
        <f>IF($A55="","","S"&amp;(INT(($A55-'01. CONFIGURAÇÕES'!$C$12)/7)+1))</f>
        <v/>
      </c>
      <c r="D55" s="30"/>
      <c r="E55" s="30"/>
      <c r="F55" s="10"/>
      <c r="G55" s="49"/>
      <c r="H55" s="49"/>
      <c r="I55" s="52" t="str">
        <f t="shared" si="1"/>
        <v/>
      </c>
      <c r="J55" s="49"/>
      <c r="K55" s="49"/>
      <c r="L55" s="49"/>
      <c r="M55" s="49"/>
      <c r="N55" s="49"/>
      <c r="O55" s="49"/>
      <c r="P55" s="10"/>
      <c r="Q55" s="11" t="str">
        <f t="shared" si="2"/>
        <v/>
      </c>
      <c r="R55" s="11" t="str">
        <f t="shared" si="3"/>
        <v/>
      </c>
      <c r="S55" s="58" t="str">
        <f t="shared" si="4"/>
        <v/>
      </c>
      <c r="T55" s="55" t="str">
        <f t="shared" si="5"/>
        <v/>
      </c>
      <c r="U55" s="55" t="str">
        <f>IF($D55="","",IF($D55='01. CONFIGURAÇÕES'!$C$8,'01. CONFIGURAÇÕES'!$C$38,'01. CONFIGURAÇÕES'!$D$38))</f>
        <v/>
      </c>
      <c r="V55" s="58" t="str">
        <f t="shared" si="6"/>
        <v/>
      </c>
      <c r="W55" s="55" t="str">
        <f>IF($D55="","",IF($D55='01. CONFIGURAÇÕES'!$C$8,'01. CONFIGURAÇÕES'!$C$31,'01. CONFIGURAÇÕES'!$D$31))</f>
        <v/>
      </c>
      <c r="X55" s="54" t="str">
        <f>IF($A55="","",$T55*(1-'01. CONFIGURAÇÕES'!$C$16)-IF($W55="",0,$W55))</f>
        <v/>
      </c>
      <c r="Y55" s="54" t="str">
        <f t="shared" si="7"/>
        <v/>
      </c>
      <c r="Z55" s="30"/>
      <c r="AA55" s="33"/>
      <c r="AB55" s="33"/>
    </row>
    <row r="56" spans="1:28" x14ac:dyDescent="0.25">
      <c r="A56" s="31"/>
      <c r="B56" s="29" t="str">
        <f t="shared" si="0"/>
        <v/>
      </c>
      <c r="C56" s="29" t="str">
        <f>IF($A56="","","S"&amp;(INT(($A56-'01. CONFIGURAÇÕES'!$C$12)/7)+1))</f>
        <v/>
      </c>
      <c r="D56" s="30"/>
      <c r="E56" s="30"/>
      <c r="F56" s="10"/>
      <c r="G56" s="49"/>
      <c r="H56" s="49"/>
      <c r="I56" s="52" t="str">
        <f t="shared" si="1"/>
        <v/>
      </c>
      <c r="J56" s="49"/>
      <c r="K56" s="49"/>
      <c r="L56" s="49"/>
      <c r="M56" s="49"/>
      <c r="N56" s="49"/>
      <c r="O56" s="49"/>
      <c r="P56" s="10"/>
      <c r="Q56" s="11" t="str">
        <f t="shared" si="2"/>
        <v/>
      </c>
      <c r="R56" s="11" t="str">
        <f t="shared" si="3"/>
        <v/>
      </c>
      <c r="S56" s="58" t="str">
        <f t="shared" si="4"/>
        <v/>
      </c>
      <c r="T56" s="55" t="str">
        <f t="shared" si="5"/>
        <v/>
      </c>
      <c r="U56" s="55" t="str">
        <f>IF($D56="","",IF($D56='01. CONFIGURAÇÕES'!$C$8,'01. CONFIGURAÇÕES'!$C$38,'01. CONFIGURAÇÕES'!$D$38))</f>
        <v/>
      </c>
      <c r="V56" s="58" t="str">
        <f t="shared" si="6"/>
        <v/>
      </c>
      <c r="W56" s="55" t="str">
        <f>IF($D56="","",IF($D56='01. CONFIGURAÇÕES'!$C$8,'01. CONFIGURAÇÕES'!$C$31,'01. CONFIGURAÇÕES'!$D$31))</f>
        <v/>
      </c>
      <c r="X56" s="54" t="str">
        <f>IF($A56="","",$T56*(1-'01. CONFIGURAÇÕES'!$C$16)-IF($W56="",0,$W56))</f>
        <v/>
      </c>
      <c r="Y56" s="54" t="str">
        <f t="shared" si="7"/>
        <v/>
      </c>
      <c r="Z56" s="30"/>
      <c r="AA56" s="33"/>
      <c r="AB56" s="33"/>
    </row>
    <row r="57" spans="1:28" x14ac:dyDescent="0.25">
      <c r="A57" s="31"/>
      <c r="B57" s="29" t="str">
        <f t="shared" si="0"/>
        <v/>
      </c>
      <c r="C57" s="29" t="str">
        <f>IF($A57="","","S"&amp;(INT(($A57-'01. CONFIGURAÇÕES'!$C$12)/7)+1))</f>
        <v/>
      </c>
      <c r="D57" s="30"/>
      <c r="E57" s="30"/>
      <c r="F57" s="10"/>
      <c r="G57" s="49"/>
      <c r="H57" s="49"/>
      <c r="I57" s="52" t="str">
        <f t="shared" si="1"/>
        <v/>
      </c>
      <c r="J57" s="49"/>
      <c r="K57" s="49"/>
      <c r="L57" s="49"/>
      <c r="M57" s="49"/>
      <c r="N57" s="49"/>
      <c r="O57" s="49"/>
      <c r="P57" s="10"/>
      <c r="Q57" s="11" t="str">
        <f t="shared" si="2"/>
        <v/>
      </c>
      <c r="R57" s="11" t="str">
        <f t="shared" si="3"/>
        <v/>
      </c>
      <c r="S57" s="58" t="str">
        <f t="shared" si="4"/>
        <v/>
      </c>
      <c r="T57" s="55" t="str">
        <f t="shared" si="5"/>
        <v/>
      </c>
      <c r="U57" s="55" t="str">
        <f>IF($D57="","",IF($D57='01. CONFIGURAÇÕES'!$C$8,'01. CONFIGURAÇÕES'!$C$38,'01. CONFIGURAÇÕES'!$D$38))</f>
        <v/>
      </c>
      <c r="V57" s="58" t="str">
        <f t="shared" si="6"/>
        <v/>
      </c>
      <c r="W57" s="55" t="str">
        <f>IF($D57="","",IF($D57='01. CONFIGURAÇÕES'!$C$8,'01. CONFIGURAÇÕES'!$C$31,'01. CONFIGURAÇÕES'!$D$31))</f>
        <v/>
      </c>
      <c r="X57" s="54" t="str">
        <f>IF($A57="","",$T57*(1-'01. CONFIGURAÇÕES'!$C$16)-IF($W57="",0,$W57))</f>
        <v/>
      </c>
      <c r="Y57" s="54" t="str">
        <f t="shared" si="7"/>
        <v/>
      </c>
      <c r="Z57" s="30"/>
      <c r="AA57" s="33"/>
      <c r="AB57" s="33"/>
    </row>
    <row r="58" spans="1:28" x14ac:dyDescent="0.25">
      <c r="A58" s="31"/>
      <c r="B58" s="29" t="str">
        <f t="shared" si="0"/>
        <v/>
      </c>
      <c r="C58" s="29" t="str">
        <f>IF($A58="","","S"&amp;(INT(($A58-'01. CONFIGURAÇÕES'!$C$12)/7)+1))</f>
        <v/>
      </c>
      <c r="D58" s="30"/>
      <c r="E58" s="30"/>
      <c r="F58" s="10"/>
      <c r="G58" s="49"/>
      <c r="H58" s="49"/>
      <c r="I58" s="52" t="str">
        <f t="shared" si="1"/>
        <v/>
      </c>
      <c r="J58" s="49"/>
      <c r="K58" s="49"/>
      <c r="L58" s="49"/>
      <c r="M58" s="49"/>
      <c r="N58" s="49"/>
      <c r="O58" s="49"/>
      <c r="P58" s="10"/>
      <c r="Q58" s="11" t="str">
        <f t="shared" si="2"/>
        <v/>
      </c>
      <c r="R58" s="11" t="str">
        <f t="shared" si="3"/>
        <v/>
      </c>
      <c r="S58" s="58" t="str">
        <f t="shared" si="4"/>
        <v/>
      </c>
      <c r="T58" s="55" t="str">
        <f t="shared" si="5"/>
        <v/>
      </c>
      <c r="U58" s="55" t="str">
        <f>IF($D58="","",IF($D58='01. CONFIGURAÇÕES'!$C$8,'01. CONFIGURAÇÕES'!$C$38,'01. CONFIGURAÇÕES'!$D$38))</f>
        <v/>
      </c>
      <c r="V58" s="58" t="str">
        <f t="shared" si="6"/>
        <v/>
      </c>
      <c r="W58" s="55" t="str">
        <f>IF($D58="","",IF($D58='01. CONFIGURAÇÕES'!$C$8,'01. CONFIGURAÇÕES'!$C$31,'01. CONFIGURAÇÕES'!$D$31))</f>
        <v/>
      </c>
      <c r="X58" s="54" t="str">
        <f>IF($A58="","",$T58*(1-'01. CONFIGURAÇÕES'!$C$16)-IF($W58="",0,$W58))</f>
        <v/>
      </c>
      <c r="Y58" s="54" t="str">
        <f t="shared" si="7"/>
        <v/>
      </c>
      <c r="Z58" s="30"/>
      <c r="AA58" s="33"/>
      <c r="AB58" s="33"/>
    </row>
    <row r="59" spans="1:28" x14ac:dyDescent="0.25">
      <c r="A59" s="31"/>
      <c r="B59" s="29" t="str">
        <f t="shared" si="0"/>
        <v/>
      </c>
      <c r="C59" s="29" t="str">
        <f>IF($A59="","","S"&amp;(INT(($A59-'01. CONFIGURAÇÕES'!$C$12)/7)+1))</f>
        <v/>
      </c>
      <c r="D59" s="30"/>
      <c r="E59" s="30"/>
      <c r="F59" s="10"/>
      <c r="G59" s="49"/>
      <c r="H59" s="49"/>
      <c r="I59" s="52" t="str">
        <f t="shared" si="1"/>
        <v/>
      </c>
      <c r="J59" s="49"/>
      <c r="K59" s="49"/>
      <c r="L59" s="49"/>
      <c r="M59" s="49"/>
      <c r="N59" s="49"/>
      <c r="O59" s="49"/>
      <c r="P59" s="10"/>
      <c r="Q59" s="11" t="str">
        <f t="shared" si="2"/>
        <v/>
      </c>
      <c r="R59" s="11" t="str">
        <f t="shared" si="3"/>
        <v/>
      </c>
      <c r="S59" s="58" t="str">
        <f t="shared" si="4"/>
        <v/>
      </c>
      <c r="T59" s="55" t="str">
        <f t="shared" si="5"/>
        <v/>
      </c>
      <c r="U59" s="55" t="str">
        <f>IF($D59="","",IF($D59='01. CONFIGURAÇÕES'!$C$8,'01. CONFIGURAÇÕES'!$C$38,'01. CONFIGURAÇÕES'!$D$38))</f>
        <v/>
      </c>
      <c r="V59" s="58" t="str">
        <f t="shared" si="6"/>
        <v/>
      </c>
      <c r="W59" s="55" t="str">
        <f>IF($D59="","",IF($D59='01. CONFIGURAÇÕES'!$C$8,'01. CONFIGURAÇÕES'!$C$31,'01. CONFIGURAÇÕES'!$D$31))</f>
        <v/>
      </c>
      <c r="X59" s="54" t="str">
        <f>IF($A59="","",$T59*(1-'01. CONFIGURAÇÕES'!$C$16)-IF($W59="",0,$W59))</f>
        <v/>
      </c>
      <c r="Y59" s="54" t="str">
        <f t="shared" si="7"/>
        <v/>
      </c>
      <c r="Z59" s="30"/>
      <c r="AA59" s="33"/>
      <c r="AB59" s="33"/>
    </row>
    <row r="60" spans="1:28" x14ac:dyDescent="0.25">
      <c r="A60" s="31"/>
      <c r="B60" s="29" t="str">
        <f t="shared" si="0"/>
        <v/>
      </c>
      <c r="C60" s="29" t="str">
        <f>IF($A60="","","S"&amp;(INT(($A60-'01. CONFIGURAÇÕES'!$C$12)/7)+1))</f>
        <v/>
      </c>
      <c r="D60" s="30"/>
      <c r="E60" s="30"/>
      <c r="F60" s="10"/>
      <c r="G60" s="49"/>
      <c r="H60" s="49"/>
      <c r="I60" s="52" t="str">
        <f t="shared" si="1"/>
        <v/>
      </c>
      <c r="J60" s="49"/>
      <c r="K60" s="49"/>
      <c r="L60" s="49"/>
      <c r="M60" s="49"/>
      <c r="N60" s="49"/>
      <c r="O60" s="49"/>
      <c r="P60" s="10"/>
      <c r="Q60" s="11" t="str">
        <f t="shared" si="2"/>
        <v/>
      </c>
      <c r="R60" s="11" t="str">
        <f t="shared" si="3"/>
        <v/>
      </c>
      <c r="S60" s="58" t="str">
        <f t="shared" si="4"/>
        <v/>
      </c>
      <c r="T60" s="55" t="str">
        <f t="shared" si="5"/>
        <v/>
      </c>
      <c r="U60" s="55" t="str">
        <f>IF($D60="","",IF($D60='01. CONFIGURAÇÕES'!$C$8,'01. CONFIGURAÇÕES'!$C$38,'01. CONFIGURAÇÕES'!$D$38))</f>
        <v/>
      </c>
      <c r="V60" s="58" t="str">
        <f t="shared" si="6"/>
        <v/>
      </c>
      <c r="W60" s="55" t="str">
        <f>IF($D60="","",IF($D60='01. CONFIGURAÇÕES'!$C$8,'01. CONFIGURAÇÕES'!$C$31,'01. CONFIGURAÇÕES'!$D$31))</f>
        <v/>
      </c>
      <c r="X60" s="54" t="str">
        <f>IF($A60="","",$T60*(1-'01. CONFIGURAÇÕES'!$C$16)-IF($W60="",0,$W60))</f>
        <v/>
      </c>
      <c r="Y60" s="54" t="str">
        <f t="shared" si="7"/>
        <v/>
      </c>
      <c r="Z60" s="30"/>
      <c r="AA60" s="33"/>
      <c r="AB60" s="33"/>
    </row>
    <row r="61" spans="1:28" x14ac:dyDescent="0.25">
      <c r="A61" s="31"/>
      <c r="B61" s="29" t="str">
        <f t="shared" si="0"/>
        <v/>
      </c>
      <c r="C61" s="29" t="str">
        <f>IF($A61="","","S"&amp;(INT(($A61-'01. CONFIGURAÇÕES'!$C$12)/7)+1))</f>
        <v/>
      </c>
      <c r="D61" s="30"/>
      <c r="E61" s="30"/>
      <c r="F61" s="10"/>
      <c r="G61" s="49"/>
      <c r="H61" s="49"/>
      <c r="I61" s="52" t="str">
        <f t="shared" si="1"/>
        <v/>
      </c>
      <c r="J61" s="49"/>
      <c r="K61" s="49"/>
      <c r="L61" s="49"/>
      <c r="M61" s="49"/>
      <c r="N61" s="49"/>
      <c r="O61" s="49"/>
      <c r="P61" s="10"/>
      <c r="Q61" s="11" t="str">
        <f t="shared" si="2"/>
        <v/>
      </c>
      <c r="R61" s="11" t="str">
        <f t="shared" si="3"/>
        <v/>
      </c>
      <c r="S61" s="58" t="str">
        <f t="shared" si="4"/>
        <v/>
      </c>
      <c r="T61" s="55" t="str">
        <f t="shared" si="5"/>
        <v/>
      </c>
      <c r="U61" s="55" t="str">
        <f>IF($D61="","",IF($D61='01. CONFIGURAÇÕES'!$C$8,'01. CONFIGURAÇÕES'!$C$38,'01. CONFIGURAÇÕES'!$D$38))</f>
        <v/>
      </c>
      <c r="V61" s="58" t="str">
        <f t="shared" si="6"/>
        <v/>
      </c>
      <c r="W61" s="55" t="str">
        <f>IF($D61="","",IF($D61='01. CONFIGURAÇÕES'!$C$8,'01. CONFIGURAÇÕES'!$C$31,'01. CONFIGURAÇÕES'!$D$31))</f>
        <v/>
      </c>
      <c r="X61" s="54" t="str">
        <f>IF($A61="","",$T61*(1-'01. CONFIGURAÇÕES'!$C$16)-IF($W61="",0,$W61))</f>
        <v/>
      </c>
      <c r="Y61" s="54" t="str">
        <f t="shared" si="7"/>
        <v/>
      </c>
      <c r="Z61" s="30"/>
      <c r="AA61" s="33"/>
      <c r="AB61" s="33"/>
    </row>
    <row r="62" spans="1:28" x14ac:dyDescent="0.25">
      <c r="A62" s="31"/>
      <c r="B62" s="29" t="str">
        <f t="shared" si="0"/>
        <v/>
      </c>
      <c r="C62" s="29" t="str">
        <f>IF($A62="","","S"&amp;(INT(($A62-'01. CONFIGURAÇÕES'!$C$12)/7)+1))</f>
        <v/>
      </c>
      <c r="D62" s="30"/>
      <c r="E62" s="30"/>
      <c r="F62" s="10"/>
      <c r="G62" s="49"/>
      <c r="H62" s="49"/>
      <c r="I62" s="52" t="str">
        <f t="shared" si="1"/>
        <v/>
      </c>
      <c r="J62" s="49"/>
      <c r="K62" s="49"/>
      <c r="L62" s="49"/>
      <c r="M62" s="49"/>
      <c r="N62" s="49"/>
      <c r="O62" s="49"/>
      <c r="P62" s="10"/>
      <c r="Q62" s="11" t="str">
        <f t="shared" si="2"/>
        <v/>
      </c>
      <c r="R62" s="11" t="str">
        <f t="shared" si="3"/>
        <v/>
      </c>
      <c r="S62" s="58" t="str">
        <f t="shared" si="4"/>
        <v/>
      </c>
      <c r="T62" s="55" t="str">
        <f t="shared" si="5"/>
        <v/>
      </c>
      <c r="U62" s="55" t="str">
        <f>IF($D62="","",IF($D62='01. CONFIGURAÇÕES'!$C$8,'01. CONFIGURAÇÕES'!$C$38,'01. CONFIGURAÇÕES'!$D$38))</f>
        <v/>
      </c>
      <c r="V62" s="58" t="str">
        <f t="shared" si="6"/>
        <v/>
      </c>
      <c r="W62" s="55" t="str">
        <f>IF($D62="","",IF($D62='01. CONFIGURAÇÕES'!$C$8,'01. CONFIGURAÇÕES'!$C$31,'01. CONFIGURAÇÕES'!$D$31))</f>
        <v/>
      </c>
      <c r="X62" s="54" t="str">
        <f>IF($A62="","",$T62*(1-'01. CONFIGURAÇÕES'!$C$16)-IF($W62="",0,$W62))</f>
        <v/>
      </c>
      <c r="Y62" s="54" t="str">
        <f t="shared" si="7"/>
        <v/>
      </c>
      <c r="Z62" s="30"/>
      <c r="AA62" s="33"/>
      <c r="AB62" s="33"/>
    </row>
    <row r="63" spans="1:28" x14ac:dyDescent="0.25">
      <c r="A63" s="31"/>
      <c r="B63" s="29" t="str">
        <f t="shared" si="0"/>
        <v/>
      </c>
      <c r="C63" s="29" t="str">
        <f>IF($A63="","","S"&amp;(INT(($A63-'01. CONFIGURAÇÕES'!$C$12)/7)+1))</f>
        <v/>
      </c>
      <c r="D63" s="30"/>
      <c r="E63" s="30"/>
      <c r="F63" s="10"/>
      <c r="G63" s="49"/>
      <c r="H63" s="49"/>
      <c r="I63" s="52" t="str">
        <f t="shared" si="1"/>
        <v/>
      </c>
      <c r="J63" s="49"/>
      <c r="K63" s="49"/>
      <c r="L63" s="49"/>
      <c r="M63" s="49"/>
      <c r="N63" s="49"/>
      <c r="O63" s="49"/>
      <c r="P63" s="10"/>
      <c r="Q63" s="11" t="str">
        <f t="shared" si="2"/>
        <v/>
      </c>
      <c r="R63" s="11" t="str">
        <f t="shared" si="3"/>
        <v/>
      </c>
      <c r="S63" s="58" t="str">
        <f t="shared" si="4"/>
        <v/>
      </c>
      <c r="T63" s="55" t="str">
        <f t="shared" si="5"/>
        <v/>
      </c>
      <c r="U63" s="55" t="str">
        <f>IF($D63="","",IF($D63='01. CONFIGURAÇÕES'!$C$8,'01. CONFIGURAÇÕES'!$C$38,'01. CONFIGURAÇÕES'!$D$38))</f>
        <v/>
      </c>
      <c r="V63" s="58" t="str">
        <f t="shared" si="6"/>
        <v/>
      </c>
      <c r="W63" s="55" t="str">
        <f>IF($D63="","",IF($D63='01. CONFIGURAÇÕES'!$C$8,'01. CONFIGURAÇÕES'!$C$31,'01. CONFIGURAÇÕES'!$D$31))</f>
        <v/>
      </c>
      <c r="X63" s="54" t="str">
        <f>IF($A63="","",$T63*(1-'01. CONFIGURAÇÕES'!$C$16)-IF($W63="",0,$W63))</f>
        <v/>
      </c>
      <c r="Y63" s="54" t="str">
        <f t="shared" si="7"/>
        <v/>
      </c>
      <c r="Z63" s="30"/>
      <c r="AA63" s="33"/>
      <c r="AB63" s="33"/>
    </row>
    <row r="64" spans="1:28" x14ac:dyDescent="0.25">
      <c r="A64" s="31"/>
      <c r="B64" s="29" t="str">
        <f t="shared" si="0"/>
        <v/>
      </c>
      <c r="C64" s="29" t="str">
        <f>IF($A64="","","S"&amp;(INT(($A64-'01. CONFIGURAÇÕES'!$C$12)/7)+1))</f>
        <v/>
      </c>
      <c r="D64" s="30"/>
      <c r="E64" s="30"/>
      <c r="F64" s="10"/>
      <c r="G64" s="49"/>
      <c r="H64" s="49"/>
      <c r="I64" s="52" t="str">
        <f t="shared" si="1"/>
        <v/>
      </c>
      <c r="J64" s="49"/>
      <c r="K64" s="49"/>
      <c r="L64" s="49"/>
      <c r="M64" s="49"/>
      <c r="N64" s="49"/>
      <c r="O64" s="49"/>
      <c r="P64" s="10"/>
      <c r="Q64" s="11" t="str">
        <f t="shared" si="2"/>
        <v/>
      </c>
      <c r="R64" s="11" t="str">
        <f t="shared" si="3"/>
        <v/>
      </c>
      <c r="S64" s="58" t="str">
        <f t="shared" si="4"/>
        <v/>
      </c>
      <c r="T64" s="55" t="str">
        <f t="shared" si="5"/>
        <v/>
      </c>
      <c r="U64" s="55" t="str">
        <f>IF($D64="","",IF($D64='01. CONFIGURAÇÕES'!$C$8,'01. CONFIGURAÇÕES'!$C$38,'01. CONFIGURAÇÕES'!$D$38))</f>
        <v/>
      </c>
      <c r="V64" s="58" t="str">
        <f t="shared" si="6"/>
        <v/>
      </c>
      <c r="W64" s="55" t="str">
        <f>IF($D64="","",IF($D64='01. CONFIGURAÇÕES'!$C$8,'01. CONFIGURAÇÕES'!$C$31,'01. CONFIGURAÇÕES'!$D$31))</f>
        <v/>
      </c>
      <c r="X64" s="54" t="str">
        <f>IF($A64="","",$T64*(1-'01. CONFIGURAÇÕES'!$C$16)-IF($W64="",0,$W64))</f>
        <v/>
      </c>
      <c r="Y64" s="54" t="str">
        <f t="shared" si="7"/>
        <v/>
      </c>
      <c r="Z64" s="30"/>
      <c r="AA64" s="33"/>
      <c r="AB64" s="33"/>
    </row>
    <row r="65" spans="1:28" x14ac:dyDescent="0.25">
      <c r="A65" s="31"/>
      <c r="B65" s="29" t="str">
        <f t="shared" si="0"/>
        <v/>
      </c>
      <c r="C65" s="29" t="str">
        <f>IF($A65="","","S"&amp;(INT(($A65-'01. CONFIGURAÇÕES'!$C$12)/7)+1))</f>
        <v/>
      </c>
      <c r="D65" s="30"/>
      <c r="E65" s="30"/>
      <c r="F65" s="10"/>
      <c r="G65" s="49"/>
      <c r="H65" s="49"/>
      <c r="I65" s="52" t="str">
        <f t="shared" si="1"/>
        <v/>
      </c>
      <c r="J65" s="49"/>
      <c r="K65" s="49"/>
      <c r="L65" s="49"/>
      <c r="M65" s="49"/>
      <c r="N65" s="49"/>
      <c r="O65" s="49"/>
      <c r="P65" s="10"/>
      <c r="Q65" s="11" t="str">
        <f t="shared" si="2"/>
        <v/>
      </c>
      <c r="R65" s="11" t="str">
        <f t="shared" si="3"/>
        <v/>
      </c>
      <c r="S65" s="58" t="str">
        <f t="shared" si="4"/>
        <v/>
      </c>
      <c r="T65" s="55" t="str">
        <f t="shared" si="5"/>
        <v/>
      </c>
      <c r="U65" s="55" t="str">
        <f>IF($D65="","",IF($D65='01. CONFIGURAÇÕES'!$C$8,'01. CONFIGURAÇÕES'!$C$38,'01. CONFIGURAÇÕES'!$D$38))</f>
        <v/>
      </c>
      <c r="V65" s="58" t="str">
        <f t="shared" si="6"/>
        <v/>
      </c>
      <c r="W65" s="55" t="str">
        <f>IF($D65="","",IF($D65='01. CONFIGURAÇÕES'!$C$8,'01. CONFIGURAÇÕES'!$C$31,'01. CONFIGURAÇÕES'!$D$31))</f>
        <v/>
      </c>
      <c r="X65" s="54" t="str">
        <f>IF($A65="","",$T65*(1-'01. CONFIGURAÇÕES'!$C$16)-IF($W65="",0,$W65))</f>
        <v/>
      </c>
      <c r="Y65" s="54" t="str">
        <f t="shared" si="7"/>
        <v/>
      </c>
      <c r="Z65" s="30"/>
      <c r="AA65" s="33"/>
      <c r="AB65" s="33"/>
    </row>
    <row r="66" spans="1:28" x14ac:dyDescent="0.25">
      <c r="A66" s="31"/>
      <c r="B66" s="29" t="str">
        <f t="shared" si="0"/>
        <v/>
      </c>
      <c r="C66" s="29" t="str">
        <f>IF($A66="","","S"&amp;(INT(($A66-'01. CONFIGURAÇÕES'!$C$12)/7)+1))</f>
        <v/>
      </c>
      <c r="D66" s="30"/>
      <c r="E66" s="30"/>
      <c r="F66" s="10"/>
      <c r="G66" s="49"/>
      <c r="H66" s="49"/>
      <c r="I66" s="52" t="str">
        <f t="shared" si="1"/>
        <v/>
      </c>
      <c r="J66" s="49"/>
      <c r="K66" s="49"/>
      <c r="L66" s="49"/>
      <c r="M66" s="49"/>
      <c r="N66" s="49"/>
      <c r="O66" s="49"/>
      <c r="P66" s="10"/>
      <c r="Q66" s="11" t="str">
        <f t="shared" si="2"/>
        <v/>
      </c>
      <c r="R66" s="11" t="str">
        <f t="shared" si="3"/>
        <v/>
      </c>
      <c r="S66" s="58" t="str">
        <f t="shared" si="4"/>
        <v/>
      </c>
      <c r="T66" s="55" t="str">
        <f t="shared" si="5"/>
        <v/>
      </c>
      <c r="U66" s="55" t="str">
        <f>IF($D66="","",IF($D66='01. CONFIGURAÇÕES'!$C$8,'01. CONFIGURAÇÕES'!$C$38,'01. CONFIGURAÇÕES'!$D$38))</f>
        <v/>
      </c>
      <c r="V66" s="58" t="str">
        <f t="shared" si="6"/>
        <v/>
      </c>
      <c r="W66" s="55" t="str">
        <f>IF($D66="","",IF($D66='01. CONFIGURAÇÕES'!$C$8,'01. CONFIGURAÇÕES'!$C$31,'01. CONFIGURAÇÕES'!$D$31))</f>
        <v/>
      </c>
      <c r="X66" s="54" t="str">
        <f>IF($A66="","",$T66*(1-'01. CONFIGURAÇÕES'!$C$16)-IF($W66="",0,$W66))</f>
        <v/>
      </c>
      <c r="Y66" s="54" t="str">
        <f t="shared" si="7"/>
        <v/>
      </c>
      <c r="Z66" s="30"/>
      <c r="AA66" s="33"/>
      <c r="AB66" s="33"/>
    </row>
    <row r="67" spans="1:28" x14ac:dyDescent="0.25">
      <c r="A67" s="31"/>
      <c r="B67" s="29" t="str">
        <f t="shared" si="0"/>
        <v/>
      </c>
      <c r="C67" s="29" t="str">
        <f>IF($A67="","","S"&amp;(INT(($A67-'01. CONFIGURAÇÕES'!$C$12)/7)+1))</f>
        <v/>
      </c>
      <c r="D67" s="30"/>
      <c r="E67" s="30"/>
      <c r="F67" s="10"/>
      <c r="G67" s="49"/>
      <c r="H67" s="49"/>
      <c r="I67" s="52" t="str">
        <f t="shared" si="1"/>
        <v/>
      </c>
      <c r="J67" s="49"/>
      <c r="K67" s="49"/>
      <c r="L67" s="49"/>
      <c r="M67" s="49"/>
      <c r="N67" s="49"/>
      <c r="O67" s="49"/>
      <c r="P67" s="10"/>
      <c r="Q67" s="11" t="str">
        <f t="shared" si="2"/>
        <v/>
      </c>
      <c r="R67" s="11" t="str">
        <f t="shared" si="3"/>
        <v/>
      </c>
      <c r="S67" s="58" t="str">
        <f t="shared" si="4"/>
        <v/>
      </c>
      <c r="T67" s="55" t="str">
        <f t="shared" si="5"/>
        <v/>
      </c>
      <c r="U67" s="55" t="str">
        <f>IF($D67="","",IF($D67='01. CONFIGURAÇÕES'!$C$8,'01. CONFIGURAÇÕES'!$C$38,'01. CONFIGURAÇÕES'!$D$38))</f>
        <v/>
      </c>
      <c r="V67" s="58" t="str">
        <f t="shared" si="6"/>
        <v/>
      </c>
      <c r="W67" s="55" t="str">
        <f>IF($D67="","",IF($D67='01. CONFIGURAÇÕES'!$C$8,'01. CONFIGURAÇÕES'!$C$31,'01. CONFIGURAÇÕES'!$D$31))</f>
        <v/>
      </c>
      <c r="X67" s="54" t="str">
        <f>IF($A67="","",$T67*(1-'01. CONFIGURAÇÕES'!$C$16)-IF($W67="",0,$W67))</f>
        <v/>
      </c>
      <c r="Y67" s="54" t="str">
        <f t="shared" si="7"/>
        <v/>
      </c>
      <c r="Z67" s="30"/>
      <c r="AA67" s="33"/>
      <c r="AB67" s="33"/>
    </row>
    <row r="68" spans="1:28" x14ac:dyDescent="0.25">
      <c r="A68" s="31"/>
      <c r="B68" s="29" t="str">
        <f t="shared" si="0"/>
        <v/>
      </c>
      <c r="C68" s="29" t="str">
        <f>IF($A68="","","S"&amp;(INT(($A68-'01. CONFIGURAÇÕES'!$C$12)/7)+1))</f>
        <v/>
      </c>
      <c r="D68" s="30"/>
      <c r="E68" s="30"/>
      <c r="F68" s="10"/>
      <c r="G68" s="49"/>
      <c r="H68" s="49"/>
      <c r="I68" s="52" t="str">
        <f t="shared" si="1"/>
        <v/>
      </c>
      <c r="J68" s="49"/>
      <c r="K68" s="49"/>
      <c r="L68" s="49"/>
      <c r="M68" s="49"/>
      <c r="N68" s="49"/>
      <c r="O68" s="49"/>
      <c r="P68" s="10"/>
      <c r="Q68" s="11" t="str">
        <f t="shared" si="2"/>
        <v/>
      </c>
      <c r="R68" s="11" t="str">
        <f t="shared" si="3"/>
        <v/>
      </c>
      <c r="S68" s="58" t="str">
        <f t="shared" si="4"/>
        <v/>
      </c>
      <c r="T68" s="55" t="str">
        <f t="shared" si="5"/>
        <v/>
      </c>
      <c r="U68" s="55" t="str">
        <f>IF($D68="","",IF($D68='01. CONFIGURAÇÕES'!$C$8,'01. CONFIGURAÇÕES'!$C$38,'01. CONFIGURAÇÕES'!$D$38))</f>
        <v/>
      </c>
      <c r="V68" s="58" t="str">
        <f t="shared" si="6"/>
        <v/>
      </c>
      <c r="W68" s="55" t="str">
        <f>IF($D68="","",IF($D68='01. CONFIGURAÇÕES'!$C$8,'01. CONFIGURAÇÕES'!$C$31,'01. CONFIGURAÇÕES'!$D$31))</f>
        <v/>
      </c>
      <c r="X68" s="54" t="str">
        <f>IF($A68="","",$T68*(1-'01. CONFIGURAÇÕES'!$C$16)-IF($W68="",0,$W68))</f>
        <v/>
      </c>
      <c r="Y68" s="54" t="str">
        <f t="shared" si="7"/>
        <v/>
      </c>
      <c r="Z68" s="30"/>
      <c r="AA68" s="33"/>
      <c r="AB68" s="33"/>
    </row>
    <row r="69" spans="1:28" x14ac:dyDescent="0.25">
      <c r="A69" s="31"/>
      <c r="B69" s="29" t="str">
        <f t="shared" ref="B69:B132" si="8">IF($A69="","",CHOOSE(WEEKDAY($A69,1),"DOM","SEG","TER","QUA","QUI","SEX","SÁB"))</f>
        <v/>
      </c>
      <c r="C69" s="29" t="str">
        <f>IF($A69="","","S"&amp;(INT(($A69-'01. CONFIGURAÇÕES'!$C$12)/7)+1))</f>
        <v/>
      </c>
      <c r="D69" s="30"/>
      <c r="E69" s="30"/>
      <c r="F69" s="10"/>
      <c r="G69" s="49"/>
      <c r="H69" s="49"/>
      <c r="I69" s="52" t="str">
        <f t="shared" ref="I69:I132" si="9">IF($A69="","",$F69*($G69+$H69))</f>
        <v/>
      </c>
      <c r="J69" s="49"/>
      <c r="K69" s="49"/>
      <c r="L69" s="49"/>
      <c r="M69" s="49"/>
      <c r="N69" s="49"/>
      <c r="O69" s="49"/>
      <c r="P69" s="10"/>
      <c r="Q69" s="11" t="str">
        <f t="shared" ref="Q69:Q132" si="10">IF($A69="","",COUNTIFS(PROG_DATA,$A69,PROG_EQUIPE,$E69))</f>
        <v/>
      </c>
      <c r="R69" s="11" t="str">
        <f t="shared" ref="R69:R132" si="11">IF($A69="","",COUNTIFS(OS_FIM,$A69,OS_EQUIPE,$E69))</f>
        <v/>
      </c>
      <c r="S69" s="58" t="str">
        <f t="shared" ref="S69:S132" si="12">IF(OR($A69="",$Q69=0),"",$R69/$Q69)</f>
        <v/>
      </c>
      <c r="T69" s="55" t="str">
        <f t="shared" ref="T69:T132" si="13">IF($A69="","",SUMIFS(MED_VLR,MED_DATA,$A69,MED_EQUIPE,$E69))</f>
        <v/>
      </c>
      <c r="U69" s="55" t="str">
        <f>IF($D69="","",IF($D69='01. CONFIGURAÇÕES'!$C$8,'01. CONFIGURAÇÕES'!$C$38,'01. CONFIGURAÇÕES'!$D$38))</f>
        <v/>
      </c>
      <c r="V69" s="58" t="str">
        <f t="shared" ref="V69:V132" si="14">IF(OR($U69="",$U69=0),"",$T69/$U69)</f>
        <v/>
      </c>
      <c r="W69" s="55" t="str">
        <f>IF($D69="","",IF($D69='01. CONFIGURAÇÕES'!$C$8,'01. CONFIGURAÇÕES'!$C$31,'01. CONFIGURAÇÕES'!$D$31))</f>
        <v/>
      </c>
      <c r="X69" s="54" t="str">
        <f>IF($A69="","",$T69*(1-'01. CONFIGURAÇÕES'!$C$16)-IF($W69="",0,$W69))</f>
        <v/>
      </c>
      <c r="Y69" s="54" t="str">
        <f t="shared" ref="Y69:Y132" si="15">IF(OR($I69="",$I69=0),"",$T69/$I69)</f>
        <v/>
      </c>
      <c r="Z69" s="30"/>
      <c r="AA69" s="33"/>
      <c r="AB69" s="33"/>
    </row>
    <row r="70" spans="1:28" x14ac:dyDescent="0.25">
      <c r="A70" s="31"/>
      <c r="B70" s="29" t="str">
        <f t="shared" si="8"/>
        <v/>
      </c>
      <c r="C70" s="29" t="str">
        <f>IF($A70="","","S"&amp;(INT(($A70-'01. CONFIGURAÇÕES'!$C$12)/7)+1))</f>
        <v/>
      </c>
      <c r="D70" s="30"/>
      <c r="E70" s="30"/>
      <c r="F70" s="10"/>
      <c r="G70" s="49"/>
      <c r="H70" s="49"/>
      <c r="I70" s="52" t="str">
        <f t="shared" si="9"/>
        <v/>
      </c>
      <c r="J70" s="49"/>
      <c r="K70" s="49"/>
      <c r="L70" s="49"/>
      <c r="M70" s="49"/>
      <c r="N70" s="49"/>
      <c r="O70" s="49"/>
      <c r="P70" s="10"/>
      <c r="Q70" s="11" t="str">
        <f t="shared" si="10"/>
        <v/>
      </c>
      <c r="R70" s="11" t="str">
        <f t="shared" si="11"/>
        <v/>
      </c>
      <c r="S70" s="58" t="str">
        <f t="shared" si="12"/>
        <v/>
      </c>
      <c r="T70" s="55" t="str">
        <f t="shared" si="13"/>
        <v/>
      </c>
      <c r="U70" s="55" t="str">
        <f>IF($D70="","",IF($D70='01. CONFIGURAÇÕES'!$C$8,'01. CONFIGURAÇÕES'!$C$38,'01. CONFIGURAÇÕES'!$D$38))</f>
        <v/>
      </c>
      <c r="V70" s="58" t="str">
        <f t="shared" si="14"/>
        <v/>
      </c>
      <c r="W70" s="55" t="str">
        <f>IF($D70="","",IF($D70='01. CONFIGURAÇÕES'!$C$8,'01. CONFIGURAÇÕES'!$C$31,'01. CONFIGURAÇÕES'!$D$31))</f>
        <v/>
      </c>
      <c r="X70" s="54" t="str">
        <f>IF($A70="","",$T70*(1-'01. CONFIGURAÇÕES'!$C$16)-IF($W70="",0,$W70))</f>
        <v/>
      </c>
      <c r="Y70" s="54" t="str">
        <f t="shared" si="15"/>
        <v/>
      </c>
      <c r="Z70" s="30"/>
      <c r="AA70" s="33"/>
      <c r="AB70" s="33"/>
    </row>
    <row r="71" spans="1:28" x14ac:dyDescent="0.25">
      <c r="A71" s="31"/>
      <c r="B71" s="29" t="str">
        <f t="shared" si="8"/>
        <v/>
      </c>
      <c r="C71" s="29" t="str">
        <f>IF($A71="","","S"&amp;(INT(($A71-'01. CONFIGURAÇÕES'!$C$12)/7)+1))</f>
        <v/>
      </c>
      <c r="D71" s="30"/>
      <c r="E71" s="30"/>
      <c r="F71" s="10"/>
      <c r="G71" s="49"/>
      <c r="H71" s="49"/>
      <c r="I71" s="52" t="str">
        <f t="shared" si="9"/>
        <v/>
      </c>
      <c r="J71" s="49"/>
      <c r="K71" s="49"/>
      <c r="L71" s="49"/>
      <c r="M71" s="49"/>
      <c r="N71" s="49"/>
      <c r="O71" s="49"/>
      <c r="P71" s="10"/>
      <c r="Q71" s="11" t="str">
        <f t="shared" si="10"/>
        <v/>
      </c>
      <c r="R71" s="11" t="str">
        <f t="shared" si="11"/>
        <v/>
      </c>
      <c r="S71" s="58" t="str">
        <f t="shared" si="12"/>
        <v/>
      </c>
      <c r="T71" s="55" t="str">
        <f t="shared" si="13"/>
        <v/>
      </c>
      <c r="U71" s="55" t="str">
        <f>IF($D71="","",IF($D71='01. CONFIGURAÇÕES'!$C$8,'01. CONFIGURAÇÕES'!$C$38,'01. CONFIGURAÇÕES'!$D$38))</f>
        <v/>
      </c>
      <c r="V71" s="58" t="str">
        <f t="shared" si="14"/>
        <v/>
      </c>
      <c r="W71" s="55" t="str">
        <f>IF($D71="","",IF($D71='01. CONFIGURAÇÕES'!$C$8,'01. CONFIGURAÇÕES'!$C$31,'01. CONFIGURAÇÕES'!$D$31))</f>
        <v/>
      </c>
      <c r="X71" s="54" t="str">
        <f>IF($A71="","",$T71*(1-'01. CONFIGURAÇÕES'!$C$16)-IF($W71="",0,$W71))</f>
        <v/>
      </c>
      <c r="Y71" s="54" t="str">
        <f t="shared" si="15"/>
        <v/>
      </c>
      <c r="Z71" s="30"/>
      <c r="AA71" s="33"/>
      <c r="AB71" s="33"/>
    </row>
    <row r="72" spans="1:28" x14ac:dyDescent="0.25">
      <c r="A72" s="31"/>
      <c r="B72" s="29" t="str">
        <f t="shared" si="8"/>
        <v/>
      </c>
      <c r="C72" s="29" t="str">
        <f>IF($A72="","","S"&amp;(INT(($A72-'01. CONFIGURAÇÕES'!$C$12)/7)+1))</f>
        <v/>
      </c>
      <c r="D72" s="30"/>
      <c r="E72" s="30"/>
      <c r="F72" s="10"/>
      <c r="G72" s="49"/>
      <c r="H72" s="49"/>
      <c r="I72" s="52" t="str">
        <f t="shared" si="9"/>
        <v/>
      </c>
      <c r="J72" s="49"/>
      <c r="K72" s="49"/>
      <c r="L72" s="49"/>
      <c r="M72" s="49"/>
      <c r="N72" s="49"/>
      <c r="O72" s="49"/>
      <c r="P72" s="10"/>
      <c r="Q72" s="11" t="str">
        <f t="shared" si="10"/>
        <v/>
      </c>
      <c r="R72" s="11" t="str">
        <f t="shared" si="11"/>
        <v/>
      </c>
      <c r="S72" s="58" t="str">
        <f t="shared" si="12"/>
        <v/>
      </c>
      <c r="T72" s="55" t="str">
        <f t="shared" si="13"/>
        <v/>
      </c>
      <c r="U72" s="55" t="str">
        <f>IF($D72="","",IF($D72='01. CONFIGURAÇÕES'!$C$8,'01. CONFIGURAÇÕES'!$C$38,'01. CONFIGURAÇÕES'!$D$38))</f>
        <v/>
      </c>
      <c r="V72" s="58" t="str">
        <f t="shared" si="14"/>
        <v/>
      </c>
      <c r="W72" s="55" t="str">
        <f>IF($D72="","",IF($D72='01. CONFIGURAÇÕES'!$C$8,'01. CONFIGURAÇÕES'!$C$31,'01. CONFIGURAÇÕES'!$D$31))</f>
        <v/>
      </c>
      <c r="X72" s="54" t="str">
        <f>IF($A72="","",$T72*(1-'01. CONFIGURAÇÕES'!$C$16)-IF($W72="",0,$W72))</f>
        <v/>
      </c>
      <c r="Y72" s="54" t="str">
        <f t="shared" si="15"/>
        <v/>
      </c>
      <c r="Z72" s="30"/>
      <c r="AA72" s="33"/>
      <c r="AB72" s="33"/>
    </row>
    <row r="73" spans="1:28" x14ac:dyDescent="0.25">
      <c r="A73" s="31"/>
      <c r="B73" s="29" t="str">
        <f t="shared" si="8"/>
        <v/>
      </c>
      <c r="C73" s="29" t="str">
        <f>IF($A73="","","S"&amp;(INT(($A73-'01. CONFIGURAÇÕES'!$C$12)/7)+1))</f>
        <v/>
      </c>
      <c r="D73" s="30"/>
      <c r="E73" s="30"/>
      <c r="F73" s="10"/>
      <c r="G73" s="49"/>
      <c r="H73" s="49"/>
      <c r="I73" s="52" t="str">
        <f t="shared" si="9"/>
        <v/>
      </c>
      <c r="J73" s="49"/>
      <c r="K73" s="49"/>
      <c r="L73" s="49"/>
      <c r="M73" s="49"/>
      <c r="N73" s="49"/>
      <c r="O73" s="49"/>
      <c r="P73" s="10"/>
      <c r="Q73" s="11" t="str">
        <f t="shared" si="10"/>
        <v/>
      </c>
      <c r="R73" s="11" t="str">
        <f t="shared" si="11"/>
        <v/>
      </c>
      <c r="S73" s="58" t="str">
        <f t="shared" si="12"/>
        <v/>
      </c>
      <c r="T73" s="55" t="str">
        <f t="shared" si="13"/>
        <v/>
      </c>
      <c r="U73" s="55" t="str">
        <f>IF($D73="","",IF($D73='01. CONFIGURAÇÕES'!$C$8,'01. CONFIGURAÇÕES'!$C$38,'01. CONFIGURAÇÕES'!$D$38))</f>
        <v/>
      </c>
      <c r="V73" s="58" t="str">
        <f t="shared" si="14"/>
        <v/>
      </c>
      <c r="W73" s="55" t="str">
        <f>IF($D73="","",IF($D73='01. CONFIGURAÇÕES'!$C$8,'01. CONFIGURAÇÕES'!$C$31,'01. CONFIGURAÇÕES'!$D$31))</f>
        <v/>
      </c>
      <c r="X73" s="54" t="str">
        <f>IF($A73="","",$T73*(1-'01. CONFIGURAÇÕES'!$C$16)-IF($W73="",0,$W73))</f>
        <v/>
      </c>
      <c r="Y73" s="54" t="str">
        <f t="shared" si="15"/>
        <v/>
      </c>
      <c r="Z73" s="30"/>
      <c r="AA73" s="33"/>
      <c r="AB73" s="33"/>
    </row>
    <row r="74" spans="1:28" x14ac:dyDescent="0.25">
      <c r="A74" s="31"/>
      <c r="B74" s="29" t="str">
        <f t="shared" si="8"/>
        <v/>
      </c>
      <c r="C74" s="29" t="str">
        <f>IF($A74="","","S"&amp;(INT(($A74-'01. CONFIGURAÇÕES'!$C$12)/7)+1))</f>
        <v/>
      </c>
      <c r="D74" s="30"/>
      <c r="E74" s="30"/>
      <c r="F74" s="10"/>
      <c r="G74" s="49"/>
      <c r="H74" s="49"/>
      <c r="I74" s="52" t="str">
        <f t="shared" si="9"/>
        <v/>
      </c>
      <c r="J74" s="49"/>
      <c r="K74" s="49"/>
      <c r="L74" s="49"/>
      <c r="M74" s="49"/>
      <c r="N74" s="49"/>
      <c r="O74" s="49"/>
      <c r="P74" s="10"/>
      <c r="Q74" s="11" t="str">
        <f t="shared" si="10"/>
        <v/>
      </c>
      <c r="R74" s="11" t="str">
        <f t="shared" si="11"/>
        <v/>
      </c>
      <c r="S74" s="58" t="str">
        <f t="shared" si="12"/>
        <v/>
      </c>
      <c r="T74" s="55" t="str">
        <f t="shared" si="13"/>
        <v/>
      </c>
      <c r="U74" s="55" t="str">
        <f>IF($D74="","",IF($D74='01. CONFIGURAÇÕES'!$C$8,'01. CONFIGURAÇÕES'!$C$38,'01. CONFIGURAÇÕES'!$D$38))</f>
        <v/>
      </c>
      <c r="V74" s="58" t="str">
        <f t="shared" si="14"/>
        <v/>
      </c>
      <c r="W74" s="55" t="str">
        <f>IF($D74="","",IF($D74='01. CONFIGURAÇÕES'!$C$8,'01. CONFIGURAÇÕES'!$C$31,'01. CONFIGURAÇÕES'!$D$31))</f>
        <v/>
      </c>
      <c r="X74" s="54" t="str">
        <f>IF($A74="","",$T74*(1-'01. CONFIGURAÇÕES'!$C$16)-IF($W74="",0,$W74))</f>
        <v/>
      </c>
      <c r="Y74" s="54" t="str">
        <f t="shared" si="15"/>
        <v/>
      </c>
      <c r="Z74" s="30"/>
      <c r="AA74" s="33"/>
      <c r="AB74" s="33"/>
    </row>
    <row r="75" spans="1:28" x14ac:dyDescent="0.25">
      <c r="A75" s="31"/>
      <c r="B75" s="29" t="str">
        <f t="shared" si="8"/>
        <v/>
      </c>
      <c r="C75" s="29" t="str">
        <f>IF($A75="","","S"&amp;(INT(($A75-'01. CONFIGURAÇÕES'!$C$12)/7)+1))</f>
        <v/>
      </c>
      <c r="D75" s="30"/>
      <c r="E75" s="30"/>
      <c r="F75" s="10"/>
      <c r="G75" s="49"/>
      <c r="H75" s="49"/>
      <c r="I75" s="52" t="str">
        <f t="shared" si="9"/>
        <v/>
      </c>
      <c r="J75" s="49"/>
      <c r="K75" s="49"/>
      <c r="L75" s="49"/>
      <c r="M75" s="49"/>
      <c r="N75" s="49"/>
      <c r="O75" s="49"/>
      <c r="P75" s="10"/>
      <c r="Q75" s="11" t="str">
        <f t="shared" si="10"/>
        <v/>
      </c>
      <c r="R75" s="11" t="str">
        <f t="shared" si="11"/>
        <v/>
      </c>
      <c r="S75" s="58" t="str">
        <f t="shared" si="12"/>
        <v/>
      </c>
      <c r="T75" s="55" t="str">
        <f t="shared" si="13"/>
        <v/>
      </c>
      <c r="U75" s="55" t="str">
        <f>IF($D75="","",IF($D75='01. CONFIGURAÇÕES'!$C$8,'01. CONFIGURAÇÕES'!$C$38,'01. CONFIGURAÇÕES'!$D$38))</f>
        <v/>
      </c>
      <c r="V75" s="58" t="str">
        <f t="shared" si="14"/>
        <v/>
      </c>
      <c r="W75" s="55" t="str">
        <f>IF($D75="","",IF($D75='01. CONFIGURAÇÕES'!$C$8,'01. CONFIGURAÇÕES'!$C$31,'01. CONFIGURAÇÕES'!$D$31))</f>
        <v/>
      </c>
      <c r="X75" s="54" t="str">
        <f>IF($A75="","",$T75*(1-'01. CONFIGURAÇÕES'!$C$16)-IF($W75="",0,$W75))</f>
        <v/>
      </c>
      <c r="Y75" s="54" t="str">
        <f t="shared" si="15"/>
        <v/>
      </c>
      <c r="Z75" s="30"/>
      <c r="AA75" s="33"/>
      <c r="AB75" s="33"/>
    </row>
    <row r="76" spans="1:28" x14ac:dyDescent="0.25">
      <c r="A76" s="31"/>
      <c r="B76" s="29" t="str">
        <f t="shared" si="8"/>
        <v/>
      </c>
      <c r="C76" s="29" t="str">
        <f>IF($A76="","","S"&amp;(INT(($A76-'01. CONFIGURAÇÕES'!$C$12)/7)+1))</f>
        <v/>
      </c>
      <c r="D76" s="30"/>
      <c r="E76" s="30"/>
      <c r="F76" s="10"/>
      <c r="G76" s="49"/>
      <c r="H76" s="49"/>
      <c r="I76" s="52" t="str">
        <f t="shared" si="9"/>
        <v/>
      </c>
      <c r="J76" s="49"/>
      <c r="K76" s="49"/>
      <c r="L76" s="49"/>
      <c r="M76" s="49"/>
      <c r="N76" s="49"/>
      <c r="O76" s="49"/>
      <c r="P76" s="10"/>
      <c r="Q76" s="11" t="str">
        <f t="shared" si="10"/>
        <v/>
      </c>
      <c r="R76" s="11" t="str">
        <f t="shared" si="11"/>
        <v/>
      </c>
      <c r="S76" s="58" t="str">
        <f t="shared" si="12"/>
        <v/>
      </c>
      <c r="T76" s="55" t="str">
        <f t="shared" si="13"/>
        <v/>
      </c>
      <c r="U76" s="55" t="str">
        <f>IF($D76="","",IF($D76='01. CONFIGURAÇÕES'!$C$8,'01. CONFIGURAÇÕES'!$C$38,'01. CONFIGURAÇÕES'!$D$38))</f>
        <v/>
      </c>
      <c r="V76" s="58" t="str">
        <f t="shared" si="14"/>
        <v/>
      </c>
      <c r="W76" s="55" t="str">
        <f>IF($D76="","",IF($D76='01. CONFIGURAÇÕES'!$C$8,'01. CONFIGURAÇÕES'!$C$31,'01. CONFIGURAÇÕES'!$D$31))</f>
        <v/>
      </c>
      <c r="X76" s="54" t="str">
        <f>IF($A76="","",$T76*(1-'01. CONFIGURAÇÕES'!$C$16)-IF($W76="",0,$W76))</f>
        <v/>
      </c>
      <c r="Y76" s="54" t="str">
        <f t="shared" si="15"/>
        <v/>
      </c>
      <c r="Z76" s="30"/>
      <c r="AA76" s="33"/>
      <c r="AB76" s="33"/>
    </row>
    <row r="77" spans="1:28" x14ac:dyDescent="0.25">
      <c r="A77" s="31"/>
      <c r="B77" s="29" t="str">
        <f t="shared" si="8"/>
        <v/>
      </c>
      <c r="C77" s="29" t="str">
        <f>IF($A77="","","S"&amp;(INT(($A77-'01. CONFIGURAÇÕES'!$C$12)/7)+1))</f>
        <v/>
      </c>
      <c r="D77" s="30"/>
      <c r="E77" s="30"/>
      <c r="F77" s="10"/>
      <c r="G77" s="49"/>
      <c r="H77" s="49"/>
      <c r="I77" s="52" t="str">
        <f t="shared" si="9"/>
        <v/>
      </c>
      <c r="J77" s="49"/>
      <c r="K77" s="49"/>
      <c r="L77" s="49"/>
      <c r="M77" s="49"/>
      <c r="N77" s="49"/>
      <c r="O77" s="49"/>
      <c r="P77" s="10"/>
      <c r="Q77" s="11" t="str">
        <f t="shared" si="10"/>
        <v/>
      </c>
      <c r="R77" s="11" t="str">
        <f t="shared" si="11"/>
        <v/>
      </c>
      <c r="S77" s="58" t="str">
        <f t="shared" si="12"/>
        <v/>
      </c>
      <c r="T77" s="55" t="str">
        <f t="shared" si="13"/>
        <v/>
      </c>
      <c r="U77" s="55" t="str">
        <f>IF($D77="","",IF($D77='01. CONFIGURAÇÕES'!$C$8,'01. CONFIGURAÇÕES'!$C$38,'01. CONFIGURAÇÕES'!$D$38))</f>
        <v/>
      </c>
      <c r="V77" s="58" t="str">
        <f t="shared" si="14"/>
        <v/>
      </c>
      <c r="W77" s="55" t="str">
        <f>IF($D77="","",IF($D77='01. CONFIGURAÇÕES'!$C$8,'01. CONFIGURAÇÕES'!$C$31,'01. CONFIGURAÇÕES'!$D$31))</f>
        <v/>
      </c>
      <c r="X77" s="54" t="str">
        <f>IF($A77="","",$T77*(1-'01. CONFIGURAÇÕES'!$C$16)-IF($W77="",0,$W77))</f>
        <v/>
      </c>
      <c r="Y77" s="54" t="str">
        <f t="shared" si="15"/>
        <v/>
      </c>
      <c r="Z77" s="30"/>
      <c r="AA77" s="33"/>
      <c r="AB77" s="33"/>
    </row>
    <row r="78" spans="1:28" x14ac:dyDescent="0.25">
      <c r="A78" s="31"/>
      <c r="B78" s="29" t="str">
        <f t="shared" si="8"/>
        <v/>
      </c>
      <c r="C78" s="29" t="str">
        <f>IF($A78="","","S"&amp;(INT(($A78-'01. CONFIGURAÇÕES'!$C$12)/7)+1))</f>
        <v/>
      </c>
      <c r="D78" s="30"/>
      <c r="E78" s="30"/>
      <c r="F78" s="10"/>
      <c r="G78" s="49"/>
      <c r="H78" s="49"/>
      <c r="I78" s="52" t="str">
        <f t="shared" si="9"/>
        <v/>
      </c>
      <c r="J78" s="49"/>
      <c r="K78" s="49"/>
      <c r="L78" s="49"/>
      <c r="M78" s="49"/>
      <c r="N78" s="49"/>
      <c r="O78" s="49"/>
      <c r="P78" s="10"/>
      <c r="Q78" s="11" t="str">
        <f t="shared" si="10"/>
        <v/>
      </c>
      <c r="R78" s="11" t="str">
        <f t="shared" si="11"/>
        <v/>
      </c>
      <c r="S78" s="58" t="str">
        <f t="shared" si="12"/>
        <v/>
      </c>
      <c r="T78" s="55" t="str">
        <f t="shared" si="13"/>
        <v/>
      </c>
      <c r="U78" s="55" t="str">
        <f>IF($D78="","",IF($D78='01. CONFIGURAÇÕES'!$C$8,'01. CONFIGURAÇÕES'!$C$38,'01. CONFIGURAÇÕES'!$D$38))</f>
        <v/>
      </c>
      <c r="V78" s="58" t="str">
        <f t="shared" si="14"/>
        <v/>
      </c>
      <c r="W78" s="55" t="str">
        <f>IF($D78="","",IF($D78='01. CONFIGURAÇÕES'!$C$8,'01. CONFIGURAÇÕES'!$C$31,'01. CONFIGURAÇÕES'!$D$31))</f>
        <v/>
      </c>
      <c r="X78" s="54" t="str">
        <f>IF($A78="","",$T78*(1-'01. CONFIGURAÇÕES'!$C$16)-IF($W78="",0,$W78))</f>
        <v/>
      </c>
      <c r="Y78" s="54" t="str">
        <f t="shared" si="15"/>
        <v/>
      </c>
      <c r="Z78" s="30"/>
      <c r="AA78" s="33"/>
      <c r="AB78" s="33"/>
    </row>
    <row r="79" spans="1:28" x14ac:dyDescent="0.25">
      <c r="A79" s="31"/>
      <c r="B79" s="29" t="str">
        <f t="shared" si="8"/>
        <v/>
      </c>
      <c r="C79" s="29" t="str">
        <f>IF($A79="","","S"&amp;(INT(($A79-'01. CONFIGURAÇÕES'!$C$12)/7)+1))</f>
        <v/>
      </c>
      <c r="D79" s="30"/>
      <c r="E79" s="30"/>
      <c r="F79" s="10"/>
      <c r="G79" s="49"/>
      <c r="H79" s="49"/>
      <c r="I79" s="52" t="str">
        <f t="shared" si="9"/>
        <v/>
      </c>
      <c r="J79" s="49"/>
      <c r="K79" s="49"/>
      <c r="L79" s="49"/>
      <c r="M79" s="49"/>
      <c r="N79" s="49"/>
      <c r="O79" s="49"/>
      <c r="P79" s="10"/>
      <c r="Q79" s="11" t="str">
        <f t="shared" si="10"/>
        <v/>
      </c>
      <c r="R79" s="11" t="str">
        <f t="shared" si="11"/>
        <v/>
      </c>
      <c r="S79" s="58" t="str">
        <f t="shared" si="12"/>
        <v/>
      </c>
      <c r="T79" s="55" t="str">
        <f t="shared" si="13"/>
        <v/>
      </c>
      <c r="U79" s="55" t="str">
        <f>IF($D79="","",IF($D79='01. CONFIGURAÇÕES'!$C$8,'01. CONFIGURAÇÕES'!$C$38,'01. CONFIGURAÇÕES'!$D$38))</f>
        <v/>
      </c>
      <c r="V79" s="58" t="str">
        <f t="shared" si="14"/>
        <v/>
      </c>
      <c r="W79" s="55" t="str">
        <f>IF($D79="","",IF($D79='01. CONFIGURAÇÕES'!$C$8,'01. CONFIGURAÇÕES'!$C$31,'01. CONFIGURAÇÕES'!$D$31))</f>
        <v/>
      </c>
      <c r="X79" s="54" t="str">
        <f>IF($A79="","",$T79*(1-'01. CONFIGURAÇÕES'!$C$16)-IF($W79="",0,$W79))</f>
        <v/>
      </c>
      <c r="Y79" s="54" t="str">
        <f t="shared" si="15"/>
        <v/>
      </c>
      <c r="Z79" s="30"/>
      <c r="AA79" s="33"/>
      <c r="AB79" s="33"/>
    </row>
    <row r="80" spans="1:28" x14ac:dyDescent="0.25">
      <c r="A80" s="31"/>
      <c r="B80" s="29" t="str">
        <f t="shared" si="8"/>
        <v/>
      </c>
      <c r="C80" s="29" t="str">
        <f>IF($A80="","","S"&amp;(INT(($A80-'01. CONFIGURAÇÕES'!$C$12)/7)+1))</f>
        <v/>
      </c>
      <c r="D80" s="30"/>
      <c r="E80" s="30"/>
      <c r="F80" s="10"/>
      <c r="G80" s="49"/>
      <c r="H80" s="49"/>
      <c r="I80" s="52" t="str">
        <f t="shared" si="9"/>
        <v/>
      </c>
      <c r="J80" s="49"/>
      <c r="K80" s="49"/>
      <c r="L80" s="49"/>
      <c r="M80" s="49"/>
      <c r="N80" s="49"/>
      <c r="O80" s="49"/>
      <c r="P80" s="10"/>
      <c r="Q80" s="11" t="str">
        <f t="shared" si="10"/>
        <v/>
      </c>
      <c r="R80" s="11" t="str">
        <f t="shared" si="11"/>
        <v/>
      </c>
      <c r="S80" s="58" t="str">
        <f t="shared" si="12"/>
        <v/>
      </c>
      <c r="T80" s="55" t="str">
        <f t="shared" si="13"/>
        <v/>
      </c>
      <c r="U80" s="55" t="str">
        <f>IF($D80="","",IF($D80='01. CONFIGURAÇÕES'!$C$8,'01. CONFIGURAÇÕES'!$C$38,'01. CONFIGURAÇÕES'!$D$38))</f>
        <v/>
      </c>
      <c r="V80" s="58" t="str">
        <f t="shared" si="14"/>
        <v/>
      </c>
      <c r="W80" s="55" t="str">
        <f>IF($D80="","",IF($D80='01. CONFIGURAÇÕES'!$C$8,'01. CONFIGURAÇÕES'!$C$31,'01. CONFIGURAÇÕES'!$D$31))</f>
        <v/>
      </c>
      <c r="X80" s="54" t="str">
        <f>IF($A80="","",$T80*(1-'01. CONFIGURAÇÕES'!$C$16)-IF($W80="",0,$W80))</f>
        <v/>
      </c>
      <c r="Y80" s="54" t="str">
        <f t="shared" si="15"/>
        <v/>
      </c>
      <c r="Z80" s="30"/>
      <c r="AA80" s="33"/>
      <c r="AB80" s="33"/>
    </row>
    <row r="81" spans="1:28" x14ac:dyDescent="0.25">
      <c r="A81" s="31"/>
      <c r="B81" s="29" t="str">
        <f t="shared" si="8"/>
        <v/>
      </c>
      <c r="C81" s="29" t="str">
        <f>IF($A81="","","S"&amp;(INT(($A81-'01. CONFIGURAÇÕES'!$C$12)/7)+1))</f>
        <v/>
      </c>
      <c r="D81" s="30"/>
      <c r="E81" s="30"/>
      <c r="F81" s="10"/>
      <c r="G81" s="49"/>
      <c r="H81" s="49"/>
      <c r="I81" s="52" t="str">
        <f t="shared" si="9"/>
        <v/>
      </c>
      <c r="J81" s="49"/>
      <c r="K81" s="49"/>
      <c r="L81" s="49"/>
      <c r="M81" s="49"/>
      <c r="N81" s="49"/>
      <c r="O81" s="49"/>
      <c r="P81" s="10"/>
      <c r="Q81" s="11" t="str">
        <f t="shared" si="10"/>
        <v/>
      </c>
      <c r="R81" s="11" t="str">
        <f t="shared" si="11"/>
        <v/>
      </c>
      <c r="S81" s="58" t="str">
        <f t="shared" si="12"/>
        <v/>
      </c>
      <c r="T81" s="55" t="str">
        <f t="shared" si="13"/>
        <v/>
      </c>
      <c r="U81" s="55" t="str">
        <f>IF($D81="","",IF($D81='01. CONFIGURAÇÕES'!$C$8,'01. CONFIGURAÇÕES'!$C$38,'01. CONFIGURAÇÕES'!$D$38))</f>
        <v/>
      </c>
      <c r="V81" s="58" t="str">
        <f t="shared" si="14"/>
        <v/>
      </c>
      <c r="W81" s="55" t="str">
        <f>IF($D81="","",IF($D81='01. CONFIGURAÇÕES'!$C$8,'01. CONFIGURAÇÕES'!$C$31,'01. CONFIGURAÇÕES'!$D$31))</f>
        <v/>
      </c>
      <c r="X81" s="54" t="str">
        <f>IF($A81="","",$T81*(1-'01. CONFIGURAÇÕES'!$C$16)-IF($W81="",0,$W81))</f>
        <v/>
      </c>
      <c r="Y81" s="54" t="str">
        <f t="shared" si="15"/>
        <v/>
      </c>
      <c r="Z81" s="30"/>
      <c r="AA81" s="33"/>
      <c r="AB81" s="33"/>
    </row>
    <row r="82" spans="1:28" x14ac:dyDescent="0.25">
      <c r="A82" s="31"/>
      <c r="B82" s="29" t="str">
        <f t="shared" si="8"/>
        <v/>
      </c>
      <c r="C82" s="29" t="str">
        <f>IF($A82="","","S"&amp;(INT(($A82-'01. CONFIGURAÇÕES'!$C$12)/7)+1))</f>
        <v/>
      </c>
      <c r="D82" s="30"/>
      <c r="E82" s="30"/>
      <c r="F82" s="10"/>
      <c r="G82" s="49"/>
      <c r="H82" s="49"/>
      <c r="I82" s="52" t="str">
        <f t="shared" si="9"/>
        <v/>
      </c>
      <c r="J82" s="49"/>
      <c r="K82" s="49"/>
      <c r="L82" s="49"/>
      <c r="M82" s="49"/>
      <c r="N82" s="49"/>
      <c r="O82" s="49"/>
      <c r="P82" s="10"/>
      <c r="Q82" s="11" t="str">
        <f t="shared" si="10"/>
        <v/>
      </c>
      <c r="R82" s="11" t="str">
        <f t="shared" si="11"/>
        <v/>
      </c>
      <c r="S82" s="58" t="str">
        <f t="shared" si="12"/>
        <v/>
      </c>
      <c r="T82" s="55" t="str">
        <f t="shared" si="13"/>
        <v/>
      </c>
      <c r="U82" s="55" t="str">
        <f>IF($D82="","",IF($D82='01. CONFIGURAÇÕES'!$C$8,'01. CONFIGURAÇÕES'!$C$38,'01. CONFIGURAÇÕES'!$D$38))</f>
        <v/>
      </c>
      <c r="V82" s="58" t="str">
        <f t="shared" si="14"/>
        <v/>
      </c>
      <c r="W82" s="55" t="str">
        <f>IF($D82="","",IF($D82='01. CONFIGURAÇÕES'!$C$8,'01. CONFIGURAÇÕES'!$C$31,'01. CONFIGURAÇÕES'!$D$31))</f>
        <v/>
      </c>
      <c r="X82" s="54" t="str">
        <f>IF($A82="","",$T82*(1-'01. CONFIGURAÇÕES'!$C$16)-IF($W82="",0,$W82))</f>
        <v/>
      </c>
      <c r="Y82" s="54" t="str">
        <f t="shared" si="15"/>
        <v/>
      </c>
      <c r="Z82" s="30"/>
      <c r="AA82" s="33"/>
      <c r="AB82" s="33"/>
    </row>
    <row r="83" spans="1:28" x14ac:dyDescent="0.25">
      <c r="A83" s="31"/>
      <c r="B83" s="29" t="str">
        <f t="shared" si="8"/>
        <v/>
      </c>
      <c r="C83" s="29" t="str">
        <f>IF($A83="","","S"&amp;(INT(($A83-'01. CONFIGURAÇÕES'!$C$12)/7)+1))</f>
        <v/>
      </c>
      <c r="D83" s="30"/>
      <c r="E83" s="30"/>
      <c r="F83" s="10"/>
      <c r="G83" s="49"/>
      <c r="H83" s="49"/>
      <c r="I83" s="52" t="str">
        <f t="shared" si="9"/>
        <v/>
      </c>
      <c r="J83" s="49"/>
      <c r="K83" s="49"/>
      <c r="L83" s="49"/>
      <c r="M83" s="49"/>
      <c r="N83" s="49"/>
      <c r="O83" s="49"/>
      <c r="P83" s="10"/>
      <c r="Q83" s="11" t="str">
        <f t="shared" si="10"/>
        <v/>
      </c>
      <c r="R83" s="11" t="str">
        <f t="shared" si="11"/>
        <v/>
      </c>
      <c r="S83" s="58" t="str">
        <f t="shared" si="12"/>
        <v/>
      </c>
      <c r="T83" s="55" t="str">
        <f t="shared" si="13"/>
        <v/>
      </c>
      <c r="U83" s="55" t="str">
        <f>IF($D83="","",IF($D83='01. CONFIGURAÇÕES'!$C$8,'01. CONFIGURAÇÕES'!$C$38,'01. CONFIGURAÇÕES'!$D$38))</f>
        <v/>
      </c>
      <c r="V83" s="58" t="str">
        <f t="shared" si="14"/>
        <v/>
      </c>
      <c r="W83" s="55" t="str">
        <f>IF($D83="","",IF($D83='01. CONFIGURAÇÕES'!$C$8,'01. CONFIGURAÇÕES'!$C$31,'01. CONFIGURAÇÕES'!$D$31))</f>
        <v/>
      </c>
      <c r="X83" s="54" t="str">
        <f>IF($A83="","",$T83*(1-'01. CONFIGURAÇÕES'!$C$16)-IF($W83="",0,$W83))</f>
        <v/>
      </c>
      <c r="Y83" s="54" t="str">
        <f t="shared" si="15"/>
        <v/>
      </c>
      <c r="Z83" s="30"/>
      <c r="AA83" s="33"/>
      <c r="AB83" s="33"/>
    </row>
    <row r="84" spans="1:28" x14ac:dyDescent="0.25">
      <c r="A84" s="31"/>
      <c r="B84" s="29" t="str">
        <f t="shared" si="8"/>
        <v/>
      </c>
      <c r="C84" s="29" t="str">
        <f>IF($A84="","","S"&amp;(INT(($A84-'01. CONFIGURAÇÕES'!$C$12)/7)+1))</f>
        <v/>
      </c>
      <c r="D84" s="30"/>
      <c r="E84" s="30"/>
      <c r="F84" s="10"/>
      <c r="G84" s="49"/>
      <c r="H84" s="49"/>
      <c r="I84" s="52" t="str">
        <f t="shared" si="9"/>
        <v/>
      </c>
      <c r="J84" s="49"/>
      <c r="K84" s="49"/>
      <c r="L84" s="49"/>
      <c r="M84" s="49"/>
      <c r="N84" s="49"/>
      <c r="O84" s="49"/>
      <c r="P84" s="10"/>
      <c r="Q84" s="11" t="str">
        <f t="shared" si="10"/>
        <v/>
      </c>
      <c r="R84" s="11" t="str">
        <f t="shared" si="11"/>
        <v/>
      </c>
      <c r="S84" s="58" t="str">
        <f t="shared" si="12"/>
        <v/>
      </c>
      <c r="T84" s="55" t="str">
        <f t="shared" si="13"/>
        <v/>
      </c>
      <c r="U84" s="55" t="str">
        <f>IF($D84="","",IF($D84='01. CONFIGURAÇÕES'!$C$8,'01. CONFIGURAÇÕES'!$C$38,'01. CONFIGURAÇÕES'!$D$38))</f>
        <v/>
      </c>
      <c r="V84" s="58" t="str">
        <f t="shared" si="14"/>
        <v/>
      </c>
      <c r="W84" s="55" t="str">
        <f>IF($D84="","",IF($D84='01. CONFIGURAÇÕES'!$C$8,'01. CONFIGURAÇÕES'!$C$31,'01. CONFIGURAÇÕES'!$D$31))</f>
        <v/>
      </c>
      <c r="X84" s="54" t="str">
        <f>IF($A84="","",$T84*(1-'01. CONFIGURAÇÕES'!$C$16)-IF($W84="",0,$W84))</f>
        <v/>
      </c>
      <c r="Y84" s="54" t="str">
        <f t="shared" si="15"/>
        <v/>
      </c>
      <c r="Z84" s="30"/>
      <c r="AA84" s="33"/>
      <c r="AB84" s="33"/>
    </row>
    <row r="85" spans="1:28" x14ac:dyDescent="0.25">
      <c r="A85" s="31"/>
      <c r="B85" s="29" t="str">
        <f t="shared" si="8"/>
        <v/>
      </c>
      <c r="C85" s="29" t="str">
        <f>IF($A85="","","S"&amp;(INT(($A85-'01. CONFIGURAÇÕES'!$C$12)/7)+1))</f>
        <v/>
      </c>
      <c r="D85" s="30"/>
      <c r="E85" s="30"/>
      <c r="F85" s="10"/>
      <c r="G85" s="49"/>
      <c r="H85" s="49"/>
      <c r="I85" s="52" t="str">
        <f t="shared" si="9"/>
        <v/>
      </c>
      <c r="J85" s="49"/>
      <c r="K85" s="49"/>
      <c r="L85" s="49"/>
      <c r="M85" s="49"/>
      <c r="N85" s="49"/>
      <c r="O85" s="49"/>
      <c r="P85" s="10"/>
      <c r="Q85" s="11" t="str">
        <f t="shared" si="10"/>
        <v/>
      </c>
      <c r="R85" s="11" t="str">
        <f t="shared" si="11"/>
        <v/>
      </c>
      <c r="S85" s="58" t="str">
        <f t="shared" si="12"/>
        <v/>
      </c>
      <c r="T85" s="55" t="str">
        <f t="shared" si="13"/>
        <v/>
      </c>
      <c r="U85" s="55" t="str">
        <f>IF($D85="","",IF($D85='01. CONFIGURAÇÕES'!$C$8,'01. CONFIGURAÇÕES'!$C$38,'01. CONFIGURAÇÕES'!$D$38))</f>
        <v/>
      </c>
      <c r="V85" s="58" t="str">
        <f t="shared" si="14"/>
        <v/>
      </c>
      <c r="W85" s="55" t="str">
        <f>IF($D85="","",IF($D85='01. CONFIGURAÇÕES'!$C$8,'01. CONFIGURAÇÕES'!$C$31,'01. CONFIGURAÇÕES'!$D$31))</f>
        <v/>
      </c>
      <c r="X85" s="54" t="str">
        <f>IF($A85="","",$T85*(1-'01. CONFIGURAÇÕES'!$C$16)-IF($W85="",0,$W85))</f>
        <v/>
      </c>
      <c r="Y85" s="54" t="str">
        <f t="shared" si="15"/>
        <v/>
      </c>
      <c r="Z85" s="30"/>
      <c r="AA85" s="33"/>
      <c r="AB85" s="33"/>
    </row>
    <row r="86" spans="1:28" x14ac:dyDescent="0.25">
      <c r="A86" s="31"/>
      <c r="B86" s="29" t="str">
        <f t="shared" si="8"/>
        <v/>
      </c>
      <c r="C86" s="29" t="str">
        <f>IF($A86="","","S"&amp;(INT(($A86-'01. CONFIGURAÇÕES'!$C$12)/7)+1))</f>
        <v/>
      </c>
      <c r="D86" s="30"/>
      <c r="E86" s="30"/>
      <c r="F86" s="10"/>
      <c r="G86" s="49"/>
      <c r="H86" s="49"/>
      <c r="I86" s="52" t="str">
        <f t="shared" si="9"/>
        <v/>
      </c>
      <c r="J86" s="49"/>
      <c r="K86" s="49"/>
      <c r="L86" s="49"/>
      <c r="M86" s="49"/>
      <c r="N86" s="49"/>
      <c r="O86" s="49"/>
      <c r="P86" s="10"/>
      <c r="Q86" s="11" t="str">
        <f t="shared" si="10"/>
        <v/>
      </c>
      <c r="R86" s="11" t="str">
        <f t="shared" si="11"/>
        <v/>
      </c>
      <c r="S86" s="58" t="str">
        <f t="shared" si="12"/>
        <v/>
      </c>
      <c r="T86" s="55" t="str">
        <f t="shared" si="13"/>
        <v/>
      </c>
      <c r="U86" s="55" t="str">
        <f>IF($D86="","",IF($D86='01. CONFIGURAÇÕES'!$C$8,'01. CONFIGURAÇÕES'!$C$38,'01. CONFIGURAÇÕES'!$D$38))</f>
        <v/>
      </c>
      <c r="V86" s="58" t="str">
        <f t="shared" si="14"/>
        <v/>
      </c>
      <c r="W86" s="55" t="str">
        <f>IF($D86="","",IF($D86='01. CONFIGURAÇÕES'!$C$8,'01. CONFIGURAÇÕES'!$C$31,'01. CONFIGURAÇÕES'!$D$31))</f>
        <v/>
      </c>
      <c r="X86" s="54" t="str">
        <f>IF($A86="","",$T86*(1-'01. CONFIGURAÇÕES'!$C$16)-IF($W86="",0,$W86))</f>
        <v/>
      </c>
      <c r="Y86" s="54" t="str">
        <f t="shared" si="15"/>
        <v/>
      </c>
      <c r="Z86" s="30"/>
      <c r="AA86" s="33"/>
      <c r="AB86" s="33"/>
    </row>
    <row r="87" spans="1:28" x14ac:dyDescent="0.25">
      <c r="A87" s="31"/>
      <c r="B87" s="29" t="str">
        <f t="shared" si="8"/>
        <v/>
      </c>
      <c r="C87" s="29" t="str">
        <f>IF($A87="","","S"&amp;(INT(($A87-'01. CONFIGURAÇÕES'!$C$12)/7)+1))</f>
        <v/>
      </c>
      <c r="D87" s="30"/>
      <c r="E87" s="30"/>
      <c r="F87" s="10"/>
      <c r="G87" s="49"/>
      <c r="H87" s="49"/>
      <c r="I87" s="52" t="str">
        <f t="shared" si="9"/>
        <v/>
      </c>
      <c r="J87" s="49"/>
      <c r="K87" s="49"/>
      <c r="L87" s="49"/>
      <c r="M87" s="49"/>
      <c r="N87" s="49"/>
      <c r="O87" s="49"/>
      <c r="P87" s="10"/>
      <c r="Q87" s="11" t="str">
        <f t="shared" si="10"/>
        <v/>
      </c>
      <c r="R87" s="11" t="str">
        <f t="shared" si="11"/>
        <v/>
      </c>
      <c r="S87" s="58" t="str">
        <f t="shared" si="12"/>
        <v/>
      </c>
      <c r="T87" s="55" t="str">
        <f t="shared" si="13"/>
        <v/>
      </c>
      <c r="U87" s="55" t="str">
        <f>IF($D87="","",IF($D87='01. CONFIGURAÇÕES'!$C$8,'01. CONFIGURAÇÕES'!$C$38,'01. CONFIGURAÇÕES'!$D$38))</f>
        <v/>
      </c>
      <c r="V87" s="58" t="str">
        <f t="shared" si="14"/>
        <v/>
      </c>
      <c r="W87" s="55" t="str">
        <f>IF($D87="","",IF($D87='01. CONFIGURAÇÕES'!$C$8,'01. CONFIGURAÇÕES'!$C$31,'01. CONFIGURAÇÕES'!$D$31))</f>
        <v/>
      </c>
      <c r="X87" s="54" t="str">
        <f>IF($A87="","",$T87*(1-'01. CONFIGURAÇÕES'!$C$16)-IF($W87="",0,$W87))</f>
        <v/>
      </c>
      <c r="Y87" s="54" t="str">
        <f t="shared" si="15"/>
        <v/>
      </c>
      <c r="Z87" s="30"/>
      <c r="AA87" s="33"/>
      <c r="AB87" s="33"/>
    </row>
    <row r="88" spans="1:28" x14ac:dyDescent="0.25">
      <c r="A88" s="31"/>
      <c r="B88" s="29" t="str">
        <f t="shared" si="8"/>
        <v/>
      </c>
      <c r="C88" s="29" t="str">
        <f>IF($A88="","","S"&amp;(INT(($A88-'01. CONFIGURAÇÕES'!$C$12)/7)+1))</f>
        <v/>
      </c>
      <c r="D88" s="30"/>
      <c r="E88" s="30"/>
      <c r="F88" s="10"/>
      <c r="G88" s="49"/>
      <c r="H88" s="49"/>
      <c r="I88" s="52" t="str">
        <f t="shared" si="9"/>
        <v/>
      </c>
      <c r="J88" s="49"/>
      <c r="K88" s="49"/>
      <c r="L88" s="49"/>
      <c r="M88" s="49"/>
      <c r="N88" s="49"/>
      <c r="O88" s="49"/>
      <c r="P88" s="10"/>
      <c r="Q88" s="11" t="str">
        <f t="shared" si="10"/>
        <v/>
      </c>
      <c r="R88" s="11" t="str">
        <f t="shared" si="11"/>
        <v/>
      </c>
      <c r="S88" s="58" t="str">
        <f t="shared" si="12"/>
        <v/>
      </c>
      <c r="T88" s="55" t="str">
        <f t="shared" si="13"/>
        <v/>
      </c>
      <c r="U88" s="55" t="str">
        <f>IF($D88="","",IF($D88='01. CONFIGURAÇÕES'!$C$8,'01. CONFIGURAÇÕES'!$C$38,'01. CONFIGURAÇÕES'!$D$38))</f>
        <v/>
      </c>
      <c r="V88" s="58" t="str">
        <f t="shared" si="14"/>
        <v/>
      </c>
      <c r="W88" s="55" t="str">
        <f>IF($D88="","",IF($D88='01. CONFIGURAÇÕES'!$C$8,'01. CONFIGURAÇÕES'!$C$31,'01. CONFIGURAÇÕES'!$D$31))</f>
        <v/>
      </c>
      <c r="X88" s="54" t="str">
        <f>IF($A88="","",$T88*(1-'01. CONFIGURAÇÕES'!$C$16)-IF($W88="",0,$W88))</f>
        <v/>
      </c>
      <c r="Y88" s="54" t="str">
        <f t="shared" si="15"/>
        <v/>
      </c>
      <c r="Z88" s="30"/>
      <c r="AA88" s="33"/>
      <c r="AB88" s="33"/>
    </row>
    <row r="89" spans="1:28" x14ac:dyDescent="0.25">
      <c r="A89" s="31"/>
      <c r="B89" s="29" t="str">
        <f t="shared" si="8"/>
        <v/>
      </c>
      <c r="C89" s="29" t="str">
        <f>IF($A89="","","S"&amp;(INT(($A89-'01. CONFIGURAÇÕES'!$C$12)/7)+1))</f>
        <v/>
      </c>
      <c r="D89" s="30"/>
      <c r="E89" s="30"/>
      <c r="F89" s="10"/>
      <c r="G89" s="49"/>
      <c r="H89" s="49"/>
      <c r="I89" s="52" t="str">
        <f t="shared" si="9"/>
        <v/>
      </c>
      <c r="J89" s="49"/>
      <c r="K89" s="49"/>
      <c r="L89" s="49"/>
      <c r="M89" s="49"/>
      <c r="N89" s="49"/>
      <c r="O89" s="49"/>
      <c r="P89" s="10"/>
      <c r="Q89" s="11" t="str">
        <f t="shared" si="10"/>
        <v/>
      </c>
      <c r="R89" s="11" t="str">
        <f t="shared" si="11"/>
        <v/>
      </c>
      <c r="S89" s="58" t="str">
        <f t="shared" si="12"/>
        <v/>
      </c>
      <c r="T89" s="55" t="str">
        <f t="shared" si="13"/>
        <v/>
      </c>
      <c r="U89" s="55" t="str">
        <f>IF($D89="","",IF($D89='01. CONFIGURAÇÕES'!$C$8,'01. CONFIGURAÇÕES'!$C$38,'01. CONFIGURAÇÕES'!$D$38))</f>
        <v/>
      </c>
      <c r="V89" s="58" t="str">
        <f t="shared" si="14"/>
        <v/>
      </c>
      <c r="W89" s="55" t="str">
        <f>IF($D89="","",IF($D89='01. CONFIGURAÇÕES'!$C$8,'01. CONFIGURAÇÕES'!$C$31,'01. CONFIGURAÇÕES'!$D$31))</f>
        <v/>
      </c>
      <c r="X89" s="54" t="str">
        <f>IF($A89="","",$T89*(1-'01. CONFIGURAÇÕES'!$C$16)-IF($W89="",0,$W89))</f>
        <v/>
      </c>
      <c r="Y89" s="54" t="str">
        <f t="shared" si="15"/>
        <v/>
      </c>
      <c r="Z89" s="30"/>
      <c r="AA89" s="33"/>
      <c r="AB89" s="33"/>
    </row>
    <row r="90" spans="1:28" x14ac:dyDescent="0.25">
      <c r="A90" s="31"/>
      <c r="B90" s="29" t="str">
        <f t="shared" si="8"/>
        <v/>
      </c>
      <c r="C90" s="29" t="str">
        <f>IF($A90="","","S"&amp;(INT(($A90-'01. CONFIGURAÇÕES'!$C$12)/7)+1))</f>
        <v/>
      </c>
      <c r="D90" s="30"/>
      <c r="E90" s="30"/>
      <c r="F90" s="10"/>
      <c r="G90" s="49"/>
      <c r="H90" s="49"/>
      <c r="I90" s="52" t="str">
        <f t="shared" si="9"/>
        <v/>
      </c>
      <c r="J90" s="49"/>
      <c r="K90" s="49"/>
      <c r="L90" s="49"/>
      <c r="M90" s="49"/>
      <c r="N90" s="49"/>
      <c r="O90" s="49"/>
      <c r="P90" s="10"/>
      <c r="Q90" s="11" t="str">
        <f t="shared" si="10"/>
        <v/>
      </c>
      <c r="R90" s="11" t="str">
        <f t="shared" si="11"/>
        <v/>
      </c>
      <c r="S90" s="58" t="str">
        <f t="shared" si="12"/>
        <v/>
      </c>
      <c r="T90" s="55" t="str">
        <f t="shared" si="13"/>
        <v/>
      </c>
      <c r="U90" s="55" t="str">
        <f>IF($D90="","",IF($D90='01. CONFIGURAÇÕES'!$C$8,'01. CONFIGURAÇÕES'!$C$38,'01. CONFIGURAÇÕES'!$D$38))</f>
        <v/>
      </c>
      <c r="V90" s="58" t="str">
        <f t="shared" si="14"/>
        <v/>
      </c>
      <c r="W90" s="55" t="str">
        <f>IF($D90="","",IF($D90='01. CONFIGURAÇÕES'!$C$8,'01. CONFIGURAÇÕES'!$C$31,'01. CONFIGURAÇÕES'!$D$31))</f>
        <v/>
      </c>
      <c r="X90" s="54" t="str">
        <f>IF($A90="","",$T90*(1-'01. CONFIGURAÇÕES'!$C$16)-IF($W90="",0,$W90))</f>
        <v/>
      </c>
      <c r="Y90" s="54" t="str">
        <f t="shared" si="15"/>
        <v/>
      </c>
      <c r="Z90" s="30"/>
      <c r="AA90" s="33"/>
      <c r="AB90" s="33"/>
    </row>
    <row r="91" spans="1:28" x14ac:dyDescent="0.25">
      <c r="A91" s="31"/>
      <c r="B91" s="29" t="str">
        <f t="shared" si="8"/>
        <v/>
      </c>
      <c r="C91" s="29" t="str">
        <f>IF($A91="","","S"&amp;(INT(($A91-'01. CONFIGURAÇÕES'!$C$12)/7)+1))</f>
        <v/>
      </c>
      <c r="D91" s="30"/>
      <c r="E91" s="30"/>
      <c r="F91" s="10"/>
      <c r="G91" s="49"/>
      <c r="H91" s="49"/>
      <c r="I91" s="52" t="str">
        <f t="shared" si="9"/>
        <v/>
      </c>
      <c r="J91" s="49"/>
      <c r="K91" s="49"/>
      <c r="L91" s="49"/>
      <c r="M91" s="49"/>
      <c r="N91" s="49"/>
      <c r="O91" s="49"/>
      <c r="P91" s="10"/>
      <c r="Q91" s="11" t="str">
        <f t="shared" si="10"/>
        <v/>
      </c>
      <c r="R91" s="11" t="str">
        <f t="shared" si="11"/>
        <v/>
      </c>
      <c r="S91" s="58" t="str">
        <f t="shared" si="12"/>
        <v/>
      </c>
      <c r="T91" s="55" t="str">
        <f t="shared" si="13"/>
        <v/>
      </c>
      <c r="U91" s="55" t="str">
        <f>IF($D91="","",IF($D91='01. CONFIGURAÇÕES'!$C$8,'01. CONFIGURAÇÕES'!$C$38,'01. CONFIGURAÇÕES'!$D$38))</f>
        <v/>
      </c>
      <c r="V91" s="58" t="str">
        <f t="shared" si="14"/>
        <v/>
      </c>
      <c r="W91" s="55" t="str">
        <f>IF($D91="","",IF($D91='01. CONFIGURAÇÕES'!$C$8,'01. CONFIGURAÇÕES'!$C$31,'01. CONFIGURAÇÕES'!$D$31))</f>
        <v/>
      </c>
      <c r="X91" s="54" t="str">
        <f>IF($A91="","",$T91*(1-'01. CONFIGURAÇÕES'!$C$16)-IF($W91="",0,$W91))</f>
        <v/>
      </c>
      <c r="Y91" s="54" t="str">
        <f t="shared" si="15"/>
        <v/>
      </c>
      <c r="Z91" s="30"/>
      <c r="AA91" s="33"/>
      <c r="AB91" s="33"/>
    </row>
    <row r="92" spans="1:28" x14ac:dyDescent="0.25">
      <c r="A92" s="31"/>
      <c r="B92" s="29" t="str">
        <f t="shared" si="8"/>
        <v/>
      </c>
      <c r="C92" s="29" t="str">
        <f>IF($A92="","","S"&amp;(INT(($A92-'01. CONFIGURAÇÕES'!$C$12)/7)+1))</f>
        <v/>
      </c>
      <c r="D92" s="30"/>
      <c r="E92" s="30"/>
      <c r="F92" s="10"/>
      <c r="G92" s="49"/>
      <c r="H92" s="49"/>
      <c r="I92" s="52" t="str">
        <f t="shared" si="9"/>
        <v/>
      </c>
      <c r="J92" s="49"/>
      <c r="K92" s="49"/>
      <c r="L92" s="49"/>
      <c r="M92" s="49"/>
      <c r="N92" s="49"/>
      <c r="O92" s="49"/>
      <c r="P92" s="10"/>
      <c r="Q92" s="11" t="str">
        <f t="shared" si="10"/>
        <v/>
      </c>
      <c r="R92" s="11" t="str">
        <f t="shared" si="11"/>
        <v/>
      </c>
      <c r="S92" s="58" t="str">
        <f t="shared" si="12"/>
        <v/>
      </c>
      <c r="T92" s="55" t="str">
        <f t="shared" si="13"/>
        <v/>
      </c>
      <c r="U92" s="55" t="str">
        <f>IF($D92="","",IF($D92='01. CONFIGURAÇÕES'!$C$8,'01. CONFIGURAÇÕES'!$C$38,'01. CONFIGURAÇÕES'!$D$38))</f>
        <v/>
      </c>
      <c r="V92" s="58" t="str">
        <f t="shared" si="14"/>
        <v/>
      </c>
      <c r="W92" s="55" t="str">
        <f>IF($D92="","",IF($D92='01. CONFIGURAÇÕES'!$C$8,'01. CONFIGURAÇÕES'!$C$31,'01. CONFIGURAÇÕES'!$D$31))</f>
        <v/>
      </c>
      <c r="X92" s="54" t="str">
        <f>IF($A92="","",$T92*(1-'01. CONFIGURAÇÕES'!$C$16)-IF($W92="",0,$W92))</f>
        <v/>
      </c>
      <c r="Y92" s="54" t="str">
        <f t="shared" si="15"/>
        <v/>
      </c>
      <c r="Z92" s="30"/>
      <c r="AA92" s="33"/>
      <c r="AB92" s="33"/>
    </row>
    <row r="93" spans="1:28" x14ac:dyDescent="0.25">
      <c r="A93" s="31"/>
      <c r="B93" s="29" t="str">
        <f t="shared" si="8"/>
        <v/>
      </c>
      <c r="C93" s="29" t="str">
        <f>IF($A93="","","S"&amp;(INT(($A93-'01. CONFIGURAÇÕES'!$C$12)/7)+1))</f>
        <v/>
      </c>
      <c r="D93" s="30"/>
      <c r="E93" s="30"/>
      <c r="F93" s="10"/>
      <c r="G93" s="49"/>
      <c r="H93" s="49"/>
      <c r="I93" s="52" t="str">
        <f t="shared" si="9"/>
        <v/>
      </c>
      <c r="J93" s="49"/>
      <c r="K93" s="49"/>
      <c r="L93" s="49"/>
      <c r="M93" s="49"/>
      <c r="N93" s="49"/>
      <c r="O93" s="49"/>
      <c r="P93" s="10"/>
      <c r="Q93" s="11" t="str">
        <f t="shared" si="10"/>
        <v/>
      </c>
      <c r="R93" s="11" t="str">
        <f t="shared" si="11"/>
        <v/>
      </c>
      <c r="S93" s="58" t="str">
        <f t="shared" si="12"/>
        <v/>
      </c>
      <c r="T93" s="55" t="str">
        <f t="shared" si="13"/>
        <v/>
      </c>
      <c r="U93" s="55" t="str">
        <f>IF($D93="","",IF($D93='01. CONFIGURAÇÕES'!$C$8,'01. CONFIGURAÇÕES'!$C$38,'01. CONFIGURAÇÕES'!$D$38))</f>
        <v/>
      </c>
      <c r="V93" s="58" t="str">
        <f t="shared" si="14"/>
        <v/>
      </c>
      <c r="W93" s="55" t="str">
        <f>IF($D93="","",IF($D93='01. CONFIGURAÇÕES'!$C$8,'01. CONFIGURAÇÕES'!$C$31,'01. CONFIGURAÇÕES'!$D$31))</f>
        <v/>
      </c>
      <c r="X93" s="54" t="str">
        <f>IF($A93="","",$T93*(1-'01. CONFIGURAÇÕES'!$C$16)-IF($W93="",0,$W93))</f>
        <v/>
      </c>
      <c r="Y93" s="54" t="str">
        <f t="shared" si="15"/>
        <v/>
      </c>
      <c r="Z93" s="30"/>
      <c r="AA93" s="33"/>
      <c r="AB93" s="33"/>
    </row>
    <row r="94" spans="1:28" x14ac:dyDescent="0.25">
      <c r="A94" s="31"/>
      <c r="B94" s="29" t="str">
        <f t="shared" si="8"/>
        <v/>
      </c>
      <c r="C94" s="29" t="str">
        <f>IF($A94="","","S"&amp;(INT(($A94-'01. CONFIGURAÇÕES'!$C$12)/7)+1))</f>
        <v/>
      </c>
      <c r="D94" s="30"/>
      <c r="E94" s="30"/>
      <c r="F94" s="10"/>
      <c r="G94" s="49"/>
      <c r="H94" s="49"/>
      <c r="I94" s="52" t="str">
        <f t="shared" si="9"/>
        <v/>
      </c>
      <c r="J94" s="49"/>
      <c r="K94" s="49"/>
      <c r="L94" s="49"/>
      <c r="M94" s="49"/>
      <c r="N94" s="49"/>
      <c r="O94" s="49"/>
      <c r="P94" s="10"/>
      <c r="Q94" s="11" t="str">
        <f t="shared" si="10"/>
        <v/>
      </c>
      <c r="R94" s="11" t="str">
        <f t="shared" si="11"/>
        <v/>
      </c>
      <c r="S94" s="58" t="str">
        <f t="shared" si="12"/>
        <v/>
      </c>
      <c r="T94" s="55" t="str">
        <f t="shared" si="13"/>
        <v/>
      </c>
      <c r="U94" s="55" t="str">
        <f>IF($D94="","",IF($D94='01. CONFIGURAÇÕES'!$C$8,'01. CONFIGURAÇÕES'!$C$38,'01. CONFIGURAÇÕES'!$D$38))</f>
        <v/>
      </c>
      <c r="V94" s="58" t="str">
        <f t="shared" si="14"/>
        <v/>
      </c>
      <c r="W94" s="55" t="str">
        <f>IF($D94="","",IF($D94='01. CONFIGURAÇÕES'!$C$8,'01. CONFIGURAÇÕES'!$C$31,'01. CONFIGURAÇÕES'!$D$31))</f>
        <v/>
      </c>
      <c r="X94" s="54" t="str">
        <f>IF($A94="","",$T94*(1-'01. CONFIGURAÇÕES'!$C$16)-IF($W94="",0,$W94))</f>
        <v/>
      </c>
      <c r="Y94" s="54" t="str">
        <f t="shared" si="15"/>
        <v/>
      </c>
      <c r="Z94" s="30"/>
      <c r="AA94" s="33"/>
      <c r="AB94" s="33"/>
    </row>
    <row r="95" spans="1:28" x14ac:dyDescent="0.25">
      <c r="A95" s="31"/>
      <c r="B95" s="29" t="str">
        <f t="shared" si="8"/>
        <v/>
      </c>
      <c r="C95" s="29" t="str">
        <f>IF($A95="","","S"&amp;(INT(($A95-'01. CONFIGURAÇÕES'!$C$12)/7)+1))</f>
        <v/>
      </c>
      <c r="D95" s="30"/>
      <c r="E95" s="30"/>
      <c r="F95" s="10"/>
      <c r="G95" s="49"/>
      <c r="H95" s="49"/>
      <c r="I95" s="52" t="str">
        <f t="shared" si="9"/>
        <v/>
      </c>
      <c r="J95" s="49"/>
      <c r="K95" s="49"/>
      <c r="L95" s="49"/>
      <c r="M95" s="49"/>
      <c r="N95" s="49"/>
      <c r="O95" s="49"/>
      <c r="P95" s="10"/>
      <c r="Q95" s="11" t="str">
        <f t="shared" si="10"/>
        <v/>
      </c>
      <c r="R95" s="11" t="str">
        <f t="shared" si="11"/>
        <v/>
      </c>
      <c r="S95" s="58" t="str">
        <f t="shared" si="12"/>
        <v/>
      </c>
      <c r="T95" s="55" t="str">
        <f t="shared" si="13"/>
        <v/>
      </c>
      <c r="U95" s="55" t="str">
        <f>IF($D95="","",IF($D95='01. CONFIGURAÇÕES'!$C$8,'01. CONFIGURAÇÕES'!$C$38,'01. CONFIGURAÇÕES'!$D$38))</f>
        <v/>
      </c>
      <c r="V95" s="58" t="str">
        <f t="shared" si="14"/>
        <v/>
      </c>
      <c r="W95" s="55" t="str">
        <f>IF($D95="","",IF($D95='01. CONFIGURAÇÕES'!$C$8,'01. CONFIGURAÇÕES'!$C$31,'01. CONFIGURAÇÕES'!$D$31))</f>
        <v/>
      </c>
      <c r="X95" s="54" t="str">
        <f>IF($A95="","",$T95*(1-'01. CONFIGURAÇÕES'!$C$16)-IF($W95="",0,$W95))</f>
        <v/>
      </c>
      <c r="Y95" s="54" t="str">
        <f t="shared" si="15"/>
        <v/>
      </c>
      <c r="Z95" s="30"/>
      <c r="AA95" s="33"/>
      <c r="AB95" s="33"/>
    </row>
    <row r="96" spans="1:28" x14ac:dyDescent="0.25">
      <c r="A96" s="31"/>
      <c r="B96" s="29" t="str">
        <f t="shared" si="8"/>
        <v/>
      </c>
      <c r="C96" s="29" t="str">
        <f>IF($A96="","","S"&amp;(INT(($A96-'01. CONFIGURAÇÕES'!$C$12)/7)+1))</f>
        <v/>
      </c>
      <c r="D96" s="30"/>
      <c r="E96" s="30"/>
      <c r="F96" s="10"/>
      <c r="G96" s="49"/>
      <c r="H96" s="49"/>
      <c r="I96" s="52" t="str">
        <f t="shared" si="9"/>
        <v/>
      </c>
      <c r="J96" s="49"/>
      <c r="K96" s="49"/>
      <c r="L96" s="49"/>
      <c r="M96" s="49"/>
      <c r="N96" s="49"/>
      <c r="O96" s="49"/>
      <c r="P96" s="10"/>
      <c r="Q96" s="11" t="str">
        <f t="shared" si="10"/>
        <v/>
      </c>
      <c r="R96" s="11" t="str">
        <f t="shared" si="11"/>
        <v/>
      </c>
      <c r="S96" s="58" t="str">
        <f t="shared" si="12"/>
        <v/>
      </c>
      <c r="T96" s="55" t="str">
        <f t="shared" si="13"/>
        <v/>
      </c>
      <c r="U96" s="55" t="str">
        <f>IF($D96="","",IF($D96='01. CONFIGURAÇÕES'!$C$8,'01. CONFIGURAÇÕES'!$C$38,'01. CONFIGURAÇÕES'!$D$38))</f>
        <v/>
      </c>
      <c r="V96" s="58" t="str">
        <f t="shared" si="14"/>
        <v/>
      </c>
      <c r="W96" s="55" t="str">
        <f>IF($D96="","",IF($D96='01. CONFIGURAÇÕES'!$C$8,'01. CONFIGURAÇÕES'!$C$31,'01. CONFIGURAÇÕES'!$D$31))</f>
        <v/>
      </c>
      <c r="X96" s="54" t="str">
        <f>IF($A96="","",$T96*(1-'01. CONFIGURAÇÕES'!$C$16)-IF($W96="",0,$W96))</f>
        <v/>
      </c>
      <c r="Y96" s="54" t="str">
        <f t="shared" si="15"/>
        <v/>
      </c>
      <c r="Z96" s="30"/>
      <c r="AA96" s="33"/>
      <c r="AB96" s="33"/>
    </row>
    <row r="97" spans="1:28" x14ac:dyDescent="0.25">
      <c r="A97" s="31"/>
      <c r="B97" s="29" t="str">
        <f t="shared" si="8"/>
        <v/>
      </c>
      <c r="C97" s="29" t="str">
        <f>IF($A97="","","S"&amp;(INT(($A97-'01. CONFIGURAÇÕES'!$C$12)/7)+1))</f>
        <v/>
      </c>
      <c r="D97" s="30"/>
      <c r="E97" s="30"/>
      <c r="F97" s="10"/>
      <c r="G97" s="49"/>
      <c r="H97" s="49"/>
      <c r="I97" s="52" t="str">
        <f t="shared" si="9"/>
        <v/>
      </c>
      <c r="J97" s="49"/>
      <c r="K97" s="49"/>
      <c r="L97" s="49"/>
      <c r="M97" s="49"/>
      <c r="N97" s="49"/>
      <c r="O97" s="49"/>
      <c r="P97" s="10"/>
      <c r="Q97" s="11" t="str">
        <f t="shared" si="10"/>
        <v/>
      </c>
      <c r="R97" s="11" t="str">
        <f t="shared" si="11"/>
        <v/>
      </c>
      <c r="S97" s="58" t="str">
        <f t="shared" si="12"/>
        <v/>
      </c>
      <c r="T97" s="55" t="str">
        <f t="shared" si="13"/>
        <v/>
      </c>
      <c r="U97" s="55" t="str">
        <f>IF($D97="","",IF($D97='01. CONFIGURAÇÕES'!$C$8,'01. CONFIGURAÇÕES'!$C$38,'01. CONFIGURAÇÕES'!$D$38))</f>
        <v/>
      </c>
      <c r="V97" s="58" t="str">
        <f t="shared" si="14"/>
        <v/>
      </c>
      <c r="W97" s="55" t="str">
        <f>IF($D97="","",IF($D97='01. CONFIGURAÇÕES'!$C$8,'01. CONFIGURAÇÕES'!$C$31,'01. CONFIGURAÇÕES'!$D$31))</f>
        <v/>
      </c>
      <c r="X97" s="54" t="str">
        <f>IF($A97="","",$T97*(1-'01. CONFIGURAÇÕES'!$C$16)-IF($W97="",0,$W97))</f>
        <v/>
      </c>
      <c r="Y97" s="54" t="str">
        <f t="shared" si="15"/>
        <v/>
      </c>
      <c r="Z97" s="30"/>
      <c r="AA97" s="33"/>
      <c r="AB97" s="33"/>
    </row>
    <row r="98" spans="1:28" x14ac:dyDescent="0.25">
      <c r="A98" s="31"/>
      <c r="B98" s="29" t="str">
        <f t="shared" si="8"/>
        <v/>
      </c>
      <c r="C98" s="29" t="str">
        <f>IF($A98="","","S"&amp;(INT(($A98-'01. CONFIGURAÇÕES'!$C$12)/7)+1))</f>
        <v/>
      </c>
      <c r="D98" s="30"/>
      <c r="E98" s="30"/>
      <c r="F98" s="10"/>
      <c r="G98" s="49"/>
      <c r="H98" s="49"/>
      <c r="I98" s="52" t="str">
        <f t="shared" si="9"/>
        <v/>
      </c>
      <c r="J98" s="49"/>
      <c r="K98" s="49"/>
      <c r="L98" s="49"/>
      <c r="M98" s="49"/>
      <c r="N98" s="49"/>
      <c r="O98" s="49"/>
      <c r="P98" s="10"/>
      <c r="Q98" s="11" t="str">
        <f t="shared" si="10"/>
        <v/>
      </c>
      <c r="R98" s="11" t="str">
        <f t="shared" si="11"/>
        <v/>
      </c>
      <c r="S98" s="58" t="str">
        <f t="shared" si="12"/>
        <v/>
      </c>
      <c r="T98" s="55" t="str">
        <f t="shared" si="13"/>
        <v/>
      </c>
      <c r="U98" s="55" t="str">
        <f>IF($D98="","",IF($D98='01. CONFIGURAÇÕES'!$C$8,'01. CONFIGURAÇÕES'!$C$38,'01. CONFIGURAÇÕES'!$D$38))</f>
        <v/>
      </c>
      <c r="V98" s="58" t="str">
        <f t="shared" si="14"/>
        <v/>
      </c>
      <c r="W98" s="55" t="str">
        <f>IF($D98="","",IF($D98='01. CONFIGURAÇÕES'!$C$8,'01. CONFIGURAÇÕES'!$C$31,'01. CONFIGURAÇÕES'!$D$31))</f>
        <v/>
      </c>
      <c r="X98" s="54" t="str">
        <f>IF($A98="","",$T98*(1-'01. CONFIGURAÇÕES'!$C$16)-IF($W98="",0,$W98))</f>
        <v/>
      </c>
      <c r="Y98" s="54" t="str">
        <f t="shared" si="15"/>
        <v/>
      </c>
      <c r="Z98" s="30"/>
      <c r="AA98" s="33"/>
      <c r="AB98" s="33"/>
    </row>
    <row r="99" spans="1:28" x14ac:dyDescent="0.25">
      <c r="A99" s="31"/>
      <c r="B99" s="29" t="str">
        <f t="shared" si="8"/>
        <v/>
      </c>
      <c r="C99" s="29" t="str">
        <f>IF($A99="","","S"&amp;(INT(($A99-'01. CONFIGURAÇÕES'!$C$12)/7)+1))</f>
        <v/>
      </c>
      <c r="D99" s="30"/>
      <c r="E99" s="30"/>
      <c r="F99" s="10"/>
      <c r="G99" s="49"/>
      <c r="H99" s="49"/>
      <c r="I99" s="52" t="str">
        <f t="shared" si="9"/>
        <v/>
      </c>
      <c r="J99" s="49"/>
      <c r="K99" s="49"/>
      <c r="L99" s="49"/>
      <c r="M99" s="49"/>
      <c r="N99" s="49"/>
      <c r="O99" s="49"/>
      <c r="P99" s="10"/>
      <c r="Q99" s="11" t="str">
        <f t="shared" si="10"/>
        <v/>
      </c>
      <c r="R99" s="11" t="str">
        <f t="shared" si="11"/>
        <v/>
      </c>
      <c r="S99" s="58" t="str">
        <f t="shared" si="12"/>
        <v/>
      </c>
      <c r="T99" s="55" t="str">
        <f t="shared" si="13"/>
        <v/>
      </c>
      <c r="U99" s="55" t="str">
        <f>IF($D99="","",IF($D99='01. CONFIGURAÇÕES'!$C$8,'01. CONFIGURAÇÕES'!$C$38,'01. CONFIGURAÇÕES'!$D$38))</f>
        <v/>
      </c>
      <c r="V99" s="58" t="str">
        <f t="shared" si="14"/>
        <v/>
      </c>
      <c r="W99" s="55" t="str">
        <f>IF($D99="","",IF($D99='01. CONFIGURAÇÕES'!$C$8,'01. CONFIGURAÇÕES'!$C$31,'01. CONFIGURAÇÕES'!$D$31))</f>
        <v/>
      </c>
      <c r="X99" s="54" t="str">
        <f>IF($A99="","",$T99*(1-'01. CONFIGURAÇÕES'!$C$16)-IF($W99="",0,$W99))</f>
        <v/>
      </c>
      <c r="Y99" s="54" t="str">
        <f t="shared" si="15"/>
        <v/>
      </c>
      <c r="Z99" s="30"/>
      <c r="AA99" s="33"/>
      <c r="AB99" s="33"/>
    </row>
    <row r="100" spans="1:28" x14ac:dyDescent="0.25">
      <c r="A100" s="31"/>
      <c r="B100" s="29" t="str">
        <f t="shared" si="8"/>
        <v/>
      </c>
      <c r="C100" s="29" t="str">
        <f>IF($A100="","","S"&amp;(INT(($A100-'01. CONFIGURAÇÕES'!$C$12)/7)+1))</f>
        <v/>
      </c>
      <c r="D100" s="30"/>
      <c r="E100" s="30"/>
      <c r="F100" s="10"/>
      <c r="G100" s="49"/>
      <c r="H100" s="49"/>
      <c r="I100" s="52" t="str">
        <f t="shared" si="9"/>
        <v/>
      </c>
      <c r="J100" s="49"/>
      <c r="K100" s="49"/>
      <c r="L100" s="49"/>
      <c r="M100" s="49"/>
      <c r="N100" s="49"/>
      <c r="O100" s="49"/>
      <c r="P100" s="10"/>
      <c r="Q100" s="11" t="str">
        <f t="shared" si="10"/>
        <v/>
      </c>
      <c r="R100" s="11" t="str">
        <f t="shared" si="11"/>
        <v/>
      </c>
      <c r="S100" s="58" t="str">
        <f t="shared" si="12"/>
        <v/>
      </c>
      <c r="T100" s="55" t="str">
        <f t="shared" si="13"/>
        <v/>
      </c>
      <c r="U100" s="55" t="str">
        <f>IF($D100="","",IF($D100='01. CONFIGURAÇÕES'!$C$8,'01. CONFIGURAÇÕES'!$C$38,'01. CONFIGURAÇÕES'!$D$38))</f>
        <v/>
      </c>
      <c r="V100" s="58" t="str">
        <f t="shared" si="14"/>
        <v/>
      </c>
      <c r="W100" s="55" t="str">
        <f>IF($D100="","",IF($D100='01. CONFIGURAÇÕES'!$C$8,'01. CONFIGURAÇÕES'!$C$31,'01. CONFIGURAÇÕES'!$D$31))</f>
        <v/>
      </c>
      <c r="X100" s="54" t="str">
        <f>IF($A100="","",$T100*(1-'01. CONFIGURAÇÕES'!$C$16)-IF($W100="",0,$W100))</f>
        <v/>
      </c>
      <c r="Y100" s="54" t="str">
        <f t="shared" si="15"/>
        <v/>
      </c>
      <c r="Z100" s="30"/>
      <c r="AA100" s="33"/>
      <c r="AB100" s="33"/>
    </row>
    <row r="101" spans="1:28" x14ac:dyDescent="0.25">
      <c r="A101" s="31"/>
      <c r="B101" s="29" t="str">
        <f t="shared" si="8"/>
        <v/>
      </c>
      <c r="C101" s="29" t="str">
        <f>IF($A101="","","S"&amp;(INT(($A101-'01. CONFIGURAÇÕES'!$C$12)/7)+1))</f>
        <v/>
      </c>
      <c r="D101" s="30"/>
      <c r="E101" s="30"/>
      <c r="F101" s="10"/>
      <c r="G101" s="49"/>
      <c r="H101" s="49"/>
      <c r="I101" s="52" t="str">
        <f t="shared" si="9"/>
        <v/>
      </c>
      <c r="J101" s="49"/>
      <c r="K101" s="49"/>
      <c r="L101" s="49"/>
      <c r="M101" s="49"/>
      <c r="N101" s="49"/>
      <c r="O101" s="49"/>
      <c r="P101" s="10"/>
      <c r="Q101" s="11" t="str">
        <f t="shared" si="10"/>
        <v/>
      </c>
      <c r="R101" s="11" t="str">
        <f t="shared" si="11"/>
        <v/>
      </c>
      <c r="S101" s="58" t="str">
        <f t="shared" si="12"/>
        <v/>
      </c>
      <c r="T101" s="55" t="str">
        <f t="shared" si="13"/>
        <v/>
      </c>
      <c r="U101" s="55" t="str">
        <f>IF($D101="","",IF($D101='01. CONFIGURAÇÕES'!$C$8,'01. CONFIGURAÇÕES'!$C$38,'01. CONFIGURAÇÕES'!$D$38))</f>
        <v/>
      </c>
      <c r="V101" s="58" t="str">
        <f t="shared" si="14"/>
        <v/>
      </c>
      <c r="W101" s="55" t="str">
        <f>IF($D101="","",IF($D101='01. CONFIGURAÇÕES'!$C$8,'01. CONFIGURAÇÕES'!$C$31,'01. CONFIGURAÇÕES'!$D$31))</f>
        <v/>
      </c>
      <c r="X101" s="54" t="str">
        <f>IF($A101="","",$T101*(1-'01. CONFIGURAÇÕES'!$C$16)-IF($W101="",0,$W101))</f>
        <v/>
      </c>
      <c r="Y101" s="54" t="str">
        <f t="shared" si="15"/>
        <v/>
      </c>
      <c r="Z101" s="30"/>
      <c r="AA101" s="33"/>
      <c r="AB101" s="33"/>
    </row>
    <row r="102" spans="1:28" x14ac:dyDescent="0.25">
      <c r="A102" s="31"/>
      <c r="B102" s="29" t="str">
        <f t="shared" si="8"/>
        <v/>
      </c>
      <c r="C102" s="29" t="str">
        <f>IF($A102="","","S"&amp;(INT(($A102-'01. CONFIGURAÇÕES'!$C$12)/7)+1))</f>
        <v/>
      </c>
      <c r="D102" s="30"/>
      <c r="E102" s="30"/>
      <c r="F102" s="10"/>
      <c r="G102" s="49"/>
      <c r="H102" s="49"/>
      <c r="I102" s="52" t="str">
        <f t="shared" si="9"/>
        <v/>
      </c>
      <c r="J102" s="49"/>
      <c r="K102" s="49"/>
      <c r="L102" s="49"/>
      <c r="M102" s="49"/>
      <c r="N102" s="49"/>
      <c r="O102" s="49"/>
      <c r="P102" s="10"/>
      <c r="Q102" s="11" t="str">
        <f t="shared" si="10"/>
        <v/>
      </c>
      <c r="R102" s="11" t="str">
        <f t="shared" si="11"/>
        <v/>
      </c>
      <c r="S102" s="58" t="str">
        <f t="shared" si="12"/>
        <v/>
      </c>
      <c r="T102" s="55" t="str">
        <f t="shared" si="13"/>
        <v/>
      </c>
      <c r="U102" s="55" t="str">
        <f>IF($D102="","",IF($D102='01. CONFIGURAÇÕES'!$C$8,'01. CONFIGURAÇÕES'!$C$38,'01. CONFIGURAÇÕES'!$D$38))</f>
        <v/>
      </c>
      <c r="V102" s="58" t="str">
        <f t="shared" si="14"/>
        <v/>
      </c>
      <c r="W102" s="55" t="str">
        <f>IF($D102="","",IF($D102='01. CONFIGURAÇÕES'!$C$8,'01. CONFIGURAÇÕES'!$C$31,'01. CONFIGURAÇÕES'!$D$31))</f>
        <v/>
      </c>
      <c r="X102" s="54" t="str">
        <f>IF($A102="","",$T102*(1-'01. CONFIGURAÇÕES'!$C$16)-IF($W102="",0,$W102))</f>
        <v/>
      </c>
      <c r="Y102" s="54" t="str">
        <f t="shared" si="15"/>
        <v/>
      </c>
      <c r="Z102" s="30"/>
      <c r="AA102" s="33"/>
      <c r="AB102" s="33"/>
    </row>
    <row r="103" spans="1:28" x14ac:dyDescent="0.25">
      <c r="A103" s="31"/>
      <c r="B103" s="29" t="str">
        <f t="shared" si="8"/>
        <v/>
      </c>
      <c r="C103" s="29" t="str">
        <f>IF($A103="","","S"&amp;(INT(($A103-'01. CONFIGURAÇÕES'!$C$12)/7)+1))</f>
        <v/>
      </c>
      <c r="D103" s="30"/>
      <c r="E103" s="30"/>
      <c r="F103" s="10"/>
      <c r="G103" s="49"/>
      <c r="H103" s="49"/>
      <c r="I103" s="52" t="str">
        <f t="shared" si="9"/>
        <v/>
      </c>
      <c r="J103" s="49"/>
      <c r="K103" s="49"/>
      <c r="L103" s="49"/>
      <c r="M103" s="49"/>
      <c r="N103" s="49"/>
      <c r="O103" s="49"/>
      <c r="P103" s="10"/>
      <c r="Q103" s="11" t="str">
        <f t="shared" si="10"/>
        <v/>
      </c>
      <c r="R103" s="11" t="str">
        <f t="shared" si="11"/>
        <v/>
      </c>
      <c r="S103" s="58" t="str">
        <f t="shared" si="12"/>
        <v/>
      </c>
      <c r="T103" s="55" t="str">
        <f t="shared" si="13"/>
        <v/>
      </c>
      <c r="U103" s="55" t="str">
        <f>IF($D103="","",IF($D103='01. CONFIGURAÇÕES'!$C$8,'01. CONFIGURAÇÕES'!$C$38,'01. CONFIGURAÇÕES'!$D$38))</f>
        <v/>
      </c>
      <c r="V103" s="58" t="str">
        <f t="shared" si="14"/>
        <v/>
      </c>
      <c r="W103" s="55" t="str">
        <f>IF($D103="","",IF($D103='01. CONFIGURAÇÕES'!$C$8,'01. CONFIGURAÇÕES'!$C$31,'01. CONFIGURAÇÕES'!$D$31))</f>
        <v/>
      </c>
      <c r="X103" s="54" t="str">
        <f>IF($A103="","",$T103*(1-'01. CONFIGURAÇÕES'!$C$16)-IF($W103="",0,$W103))</f>
        <v/>
      </c>
      <c r="Y103" s="54" t="str">
        <f t="shared" si="15"/>
        <v/>
      </c>
      <c r="Z103" s="30"/>
      <c r="AA103" s="33"/>
      <c r="AB103" s="33"/>
    </row>
    <row r="104" spans="1:28" x14ac:dyDescent="0.25">
      <c r="A104" s="31"/>
      <c r="B104" s="29" t="str">
        <f t="shared" si="8"/>
        <v/>
      </c>
      <c r="C104" s="29" t="str">
        <f>IF($A104="","","S"&amp;(INT(($A104-'01. CONFIGURAÇÕES'!$C$12)/7)+1))</f>
        <v/>
      </c>
      <c r="D104" s="30"/>
      <c r="E104" s="30"/>
      <c r="F104" s="10"/>
      <c r="G104" s="49"/>
      <c r="H104" s="49"/>
      <c r="I104" s="52" t="str">
        <f t="shared" si="9"/>
        <v/>
      </c>
      <c r="J104" s="49"/>
      <c r="K104" s="49"/>
      <c r="L104" s="49"/>
      <c r="M104" s="49"/>
      <c r="N104" s="49"/>
      <c r="O104" s="49"/>
      <c r="P104" s="10"/>
      <c r="Q104" s="11" t="str">
        <f t="shared" si="10"/>
        <v/>
      </c>
      <c r="R104" s="11" t="str">
        <f t="shared" si="11"/>
        <v/>
      </c>
      <c r="S104" s="58" t="str">
        <f t="shared" si="12"/>
        <v/>
      </c>
      <c r="T104" s="55" t="str">
        <f t="shared" si="13"/>
        <v/>
      </c>
      <c r="U104" s="55" t="str">
        <f>IF($D104="","",IF($D104='01. CONFIGURAÇÕES'!$C$8,'01. CONFIGURAÇÕES'!$C$38,'01. CONFIGURAÇÕES'!$D$38))</f>
        <v/>
      </c>
      <c r="V104" s="58" t="str">
        <f t="shared" si="14"/>
        <v/>
      </c>
      <c r="W104" s="55" t="str">
        <f>IF($D104="","",IF($D104='01. CONFIGURAÇÕES'!$C$8,'01. CONFIGURAÇÕES'!$C$31,'01. CONFIGURAÇÕES'!$D$31))</f>
        <v/>
      </c>
      <c r="X104" s="54" t="str">
        <f>IF($A104="","",$T104*(1-'01. CONFIGURAÇÕES'!$C$16)-IF($W104="",0,$W104))</f>
        <v/>
      </c>
      <c r="Y104" s="54" t="str">
        <f t="shared" si="15"/>
        <v/>
      </c>
      <c r="Z104" s="30"/>
      <c r="AA104" s="33"/>
      <c r="AB104" s="33"/>
    </row>
    <row r="105" spans="1:28" x14ac:dyDescent="0.25">
      <c r="A105" s="31"/>
      <c r="B105" s="29" t="str">
        <f t="shared" si="8"/>
        <v/>
      </c>
      <c r="C105" s="29" t="str">
        <f>IF($A105="","","S"&amp;(INT(($A105-'01. CONFIGURAÇÕES'!$C$12)/7)+1))</f>
        <v/>
      </c>
      <c r="D105" s="30"/>
      <c r="E105" s="30"/>
      <c r="F105" s="10"/>
      <c r="G105" s="49"/>
      <c r="H105" s="49"/>
      <c r="I105" s="52" t="str">
        <f t="shared" si="9"/>
        <v/>
      </c>
      <c r="J105" s="49"/>
      <c r="K105" s="49"/>
      <c r="L105" s="49"/>
      <c r="M105" s="49"/>
      <c r="N105" s="49"/>
      <c r="O105" s="49"/>
      <c r="P105" s="10"/>
      <c r="Q105" s="11" t="str">
        <f t="shared" si="10"/>
        <v/>
      </c>
      <c r="R105" s="11" t="str">
        <f t="shared" si="11"/>
        <v/>
      </c>
      <c r="S105" s="58" t="str">
        <f t="shared" si="12"/>
        <v/>
      </c>
      <c r="T105" s="55" t="str">
        <f t="shared" si="13"/>
        <v/>
      </c>
      <c r="U105" s="55" t="str">
        <f>IF($D105="","",IF($D105='01. CONFIGURAÇÕES'!$C$8,'01. CONFIGURAÇÕES'!$C$38,'01. CONFIGURAÇÕES'!$D$38))</f>
        <v/>
      </c>
      <c r="V105" s="58" t="str">
        <f t="shared" si="14"/>
        <v/>
      </c>
      <c r="W105" s="55" t="str">
        <f>IF($D105="","",IF($D105='01. CONFIGURAÇÕES'!$C$8,'01. CONFIGURAÇÕES'!$C$31,'01. CONFIGURAÇÕES'!$D$31))</f>
        <v/>
      </c>
      <c r="X105" s="54" t="str">
        <f>IF($A105="","",$T105*(1-'01. CONFIGURAÇÕES'!$C$16)-IF($W105="",0,$W105))</f>
        <v/>
      </c>
      <c r="Y105" s="54" t="str">
        <f t="shared" si="15"/>
        <v/>
      </c>
      <c r="Z105" s="30"/>
      <c r="AA105" s="33"/>
      <c r="AB105" s="33"/>
    </row>
    <row r="106" spans="1:28" x14ac:dyDescent="0.25">
      <c r="A106" s="31"/>
      <c r="B106" s="29" t="str">
        <f t="shared" si="8"/>
        <v/>
      </c>
      <c r="C106" s="29" t="str">
        <f>IF($A106="","","S"&amp;(INT(($A106-'01. CONFIGURAÇÕES'!$C$12)/7)+1))</f>
        <v/>
      </c>
      <c r="D106" s="30"/>
      <c r="E106" s="30"/>
      <c r="F106" s="10"/>
      <c r="G106" s="49"/>
      <c r="H106" s="49"/>
      <c r="I106" s="52" t="str">
        <f t="shared" si="9"/>
        <v/>
      </c>
      <c r="J106" s="49"/>
      <c r="K106" s="49"/>
      <c r="L106" s="49"/>
      <c r="M106" s="49"/>
      <c r="N106" s="49"/>
      <c r="O106" s="49"/>
      <c r="P106" s="10"/>
      <c r="Q106" s="11" t="str">
        <f t="shared" si="10"/>
        <v/>
      </c>
      <c r="R106" s="11" t="str">
        <f t="shared" si="11"/>
        <v/>
      </c>
      <c r="S106" s="58" t="str">
        <f t="shared" si="12"/>
        <v/>
      </c>
      <c r="T106" s="55" t="str">
        <f t="shared" si="13"/>
        <v/>
      </c>
      <c r="U106" s="55" t="str">
        <f>IF($D106="","",IF($D106='01. CONFIGURAÇÕES'!$C$8,'01. CONFIGURAÇÕES'!$C$38,'01. CONFIGURAÇÕES'!$D$38))</f>
        <v/>
      </c>
      <c r="V106" s="58" t="str">
        <f t="shared" si="14"/>
        <v/>
      </c>
      <c r="W106" s="55" t="str">
        <f>IF($D106="","",IF($D106='01. CONFIGURAÇÕES'!$C$8,'01. CONFIGURAÇÕES'!$C$31,'01. CONFIGURAÇÕES'!$D$31))</f>
        <v/>
      </c>
      <c r="X106" s="54" t="str">
        <f>IF($A106="","",$T106*(1-'01. CONFIGURAÇÕES'!$C$16)-IF($W106="",0,$W106))</f>
        <v/>
      </c>
      <c r="Y106" s="54" t="str">
        <f t="shared" si="15"/>
        <v/>
      </c>
      <c r="Z106" s="30"/>
      <c r="AA106" s="33"/>
      <c r="AB106" s="33"/>
    </row>
    <row r="107" spans="1:28" x14ac:dyDescent="0.25">
      <c r="A107" s="31"/>
      <c r="B107" s="29" t="str">
        <f t="shared" si="8"/>
        <v/>
      </c>
      <c r="C107" s="29" t="str">
        <f>IF($A107="","","S"&amp;(INT(($A107-'01. CONFIGURAÇÕES'!$C$12)/7)+1))</f>
        <v/>
      </c>
      <c r="D107" s="30"/>
      <c r="E107" s="30"/>
      <c r="F107" s="10"/>
      <c r="G107" s="49"/>
      <c r="H107" s="49"/>
      <c r="I107" s="52" t="str">
        <f t="shared" si="9"/>
        <v/>
      </c>
      <c r="J107" s="49"/>
      <c r="K107" s="49"/>
      <c r="L107" s="49"/>
      <c r="M107" s="49"/>
      <c r="N107" s="49"/>
      <c r="O107" s="49"/>
      <c r="P107" s="10"/>
      <c r="Q107" s="11" t="str">
        <f t="shared" si="10"/>
        <v/>
      </c>
      <c r="R107" s="11" t="str">
        <f t="shared" si="11"/>
        <v/>
      </c>
      <c r="S107" s="58" t="str">
        <f t="shared" si="12"/>
        <v/>
      </c>
      <c r="T107" s="55" t="str">
        <f t="shared" si="13"/>
        <v/>
      </c>
      <c r="U107" s="55" t="str">
        <f>IF($D107="","",IF($D107='01. CONFIGURAÇÕES'!$C$8,'01. CONFIGURAÇÕES'!$C$38,'01. CONFIGURAÇÕES'!$D$38))</f>
        <v/>
      </c>
      <c r="V107" s="58" t="str">
        <f t="shared" si="14"/>
        <v/>
      </c>
      <c r="W107" s="55" t="str">
        <f>IF($D107="","",IF($D107='01. CONFIGURAÇÕES'!$C$8,'01. CONFIGURAÇÕES'!$C$31,'01. CONFIGURAÇÕES'!$D$31))</f>
        <v/>
      </c>
      <c r="X107" s="54" t="str">
        <f>IF($A107="","",$T107*(1-'01. CONFIGURAÇÕES'!$C$16)-IF($W107="",0,$W107))</f>
        <v/>
      </c>
      <c r="Y107" s="54" t="str">
        <f t="shared" si="15"/>
        <v/>
      </c>
      <c r="Z107" s="30"/>
      <c r="AA107" s="33"/>
      <c r="AB107" s="33"/>
    </row>
    <row r="108" spans="1:28" x14ac:dyDescent="0.25">
      <c r="A108" s="31"/>
      <c r="B108" s="29" t="str">
        <f t="shared" si="8"/>
        <v/>
      </c>
      <c r="C108" s="29" t="str">
        <f>IF($A108="","","S"&amp;(INT(($A108-'01. CONFIGURAÇÕES'!$C$12)/7)+1))</f>
        <v/>
      </c>
      <c r="D108" s="30"/>
      <c r="E108" s="30"/>
      <c r="F108" s="10"/>
      <c r="G108" s="49"/>
      <c r="H108" s="49"/>
      <c r="I108" s="52" t="str">
        <f t="shared" si="9"/>
        <v/>
      </c>
      <c r="J108" s="49"/>
      <c r="K108" s="49"/>
      <c r="L108" s="49"/>
      <c r="M108" s="49"/>
      <c r="N108" s="49"/>
      <c r="O108" s="49"/>
      <c r="P108" s="10"/>
      <c r="Q108" s="11" t="str">
        <f t="shared" si="10"/>
        <v/>
      </c>
      <c r="R108" s="11" t="str">
        <f t="shared" si="11"/>
        <v/>
      </c>
      <c r="S108" s="58" t="str">
        <f t="shared" si="12"/>
        <v/>
      </c>
      <c r="T108" s="55" t="str">
        <f t="shared" si="13"/>
        <v/>
      </c>
      <c r="U108" s="55" t="str">
        <f>IF($D108="","",IF($D108='01. CONFIGURAÇÕES'!$C$8,'01. CONFIGURAÇÕES'!$C$38,'01. CONFIGURAÇÕES'!$D$38))</f>
        <v/>
      </c>
      <c r="V108" s="58" t="str">
        <f t="shared" si="14"/>
        <v/>
      </c>
      <c r="W108" s="55" t="str">
        <f>IF($D108="","",IF($D108='01. CONFIGURAÇÕES'!$C$8,'01. CONFIGURAÇÕES'!$C$31,'01. CONFIGURAÇÕES'!$D$31))</f>
        <v/>
      </c>
      <c r="X108" s="54" t="str">
        <f>IF($A108="","",$T108*(1-'01. CONFIGURAÇÕES'!$C$16)-IF($W108="",0,$W108))</f>
        <v/>
      </c>
      <c r="Y108" s="54" t="str">
        <f t="shared" si="15"/>
        <v/>
      </c>
      <c r="Z108" s="30"/>
      <c r="AA108" s="33"/>
      <c r="AB108" s="33"/>
    </row>
    <row r="109" spans="1:28" x14ac:dyDescent="0.25">
      <c r="A109" s="31"/>
      <c r="B109" s="29" t="str">
        <f t="shared" si="8"/>
        <v/>
      </c>
      <c r="C109" s="29" t="str">
        <f>IF($A109="","","S"&amp;(INT(($A109-'01. CONFIGURAÇÕES'!$C$12)/7)+1))</f>
        <v/>
      </c>
      <c r="D109" s="30"/>
      <c r="E109" s="30"/>
      <c r="F109" s="10"/>
      <c r="G109" s="49"/>
      <c r="H109" s="49"/>
      <c r="I109" s="52" t="str">
        <f t="shared" si="9"/>
        <v/>
      </c>
      <c r="J109" s="49"/>
      <c r="K109" s="49"/>
      <c r="L109" s="49"/>
      <c r="M109" s="49"/>
      <c r="N109" s="49"/>
      <c r="O109" s="49"/>
      <c r="P109" s="10"/>
      <c r="Q109" s="11" t="str">
        <f t="shared" si="10"/>
        <v/>
      </c>
      <c r="R109" s="11" t="str">
        <f t="shared" si="11"/>
        <v/>
      </c>
      <c r="S109" s="58" t="str">
        <f t="shared" si="12"/>
        <v/>
      </c>
      <c r="T109" s="55" t="str">
        <f t="shared" si="13"/>
        <v/>
      </c>
      <c r="U109" s="55" t="str">
        <f>IF($D109="","",IF($D109='01. CONFIGURAÇÕES'!$C$8,'01. CONFIGURAÇÕES'!$C$38,'01. CONFIGURAÇÕES'!$D$38))</f>
        <v/>
      </c>
      <c r="V109" s="58" t="str">
        <f t="shared" si="14"/>
        <v/>
      </c>
      <c r="W109" s="55" t="str">
        <f>IF($D109="","",IF($D109='01. CONFIGURAÇÕES'!$C$8,'01. CONFIGURAÇÕES'!$C$31,'01. CONFIGURAÇÕES'!$D$31))</f>
        <v/>
      </c>
      <c r="X109" s="54" t="str">
        <f>IF($A109="","",$T109*(1-'01. CONFIGURAÇÕES'!$C$16)-IF($W109="",0,$W109))</f>
        <v/>
      </c>
      <c r="Y109" s="54" t="str">
        <f t="shared" si="15"/>
        <v/>
      </c>
      <c r="Z109" s="30"/>
      <c r="AA109" s="33"/>
      <c r="AB109" s="33"/>
    </row>
    <row r="110" spans="1:28" x14ac:dyDescent="0.25">
      <c r="A110" s="31"/>
      <c r="B110" s="29" t="str">
        <f t="shared" si="8"/>
        <v/>
      </c>
      <c r="C110" s="29" t="str">
        <f>IF($A110="","","S"&amp;(INT(($A110-'01. CONFIGURAÇÕES'!$C$12)/7)+1))</f>
        <v/>
      </c>
      <c r="D110" s="30"/>
      <c r="E110" s="30"/>
      <c r="F110" s="10"/>
      <c r="G110" s="49"/>
      <c r="H110" s="49"/>
      <c r="I110" s="52" t="str">
        <f t="shared" si="9"/>
        <v/>
      </c>
      <c r="J110" s="49"/>
      <c r="K110" s="49"/>
      <c r="L110" s="49"/>
      <c r="M110" s="49"/>
      <c r="N110" s="49"/>
      <c r="O110" s="49"/>
      <c r="P110" s="10"/>
      <c r="Q110" s="11" t="str">
        <f t="shared" si="10"/>
        <v/>
      </c>
      <c r="R110" s="11" t="str">
        <f t="shared" si="11"/>
        <v/>
      </c>
      <c r="S110" s="58" t="str">
        <f t="shared" si="12"/>
        <v/>
      </c>
      <c r="T110" s="55" t="str">
        <f t="shared" si="13"/>
        <v/>
      </c>
      <c r="U110" s="55" t="str">
        <f>IF($D110="","",IF($D110='01. CONFIGURAÇÕES'!$C$8,'01. CONFIGURAÇÕES'!$C$38,'01. CONFIGURAÇÕES'!$D$38))</f>
        <v/>
      </c>
      <c r="V110" s="58" t="str">
        <f t="shared" si="14"/>
        <v/>
      </c>
      <c r="W110" s="55" t="str">
        <f>IF($D110="","",IF($D110='01. CONFIGURAÇÕES'!$C$8,'01. CONFIGURAÇÕES'!$C$31,'01. CONFIGURAÇÕES'!$D$31))</f>
        <v/>
      </c>
      <c r="X110" s="54" t="str">
        <f>IF($A110="","",$T110*(1-'01. CONFIGURAÇÕES'!$C$16)-IF($W110="",0,$W110))</f>
        <v/>
      </c>
      <c r="Y110" s="54" t="str">
        <f t="shared" si="15"/>
        <v/>
      </c>
      <c r="Z110" s="30"/>
      <c r="AA110" s="33"/>
      <c r="AB110" s="33"/>
    </row>
    <row r="111" spans="1:28" x14ac:dyDescent="0.25">
      <c r="A111" s="31"/>
      <c r="B111" s="29" t="str">
        <f t="shared" si="8"/>
        <v/>
      </c>
      <c r="C111" s="29" t="str">
        <f>IF($A111="","","S"&amp;(INT(($A111-'01. CONFIGURAÇÕES'!$C$12)/7)+1))</f>
        <v/>
      </c>
      <c r="D111" s="30"/>
      <c r="E111" s="30"/>
      <c r="F111" s="10"/>
      <c r="G111" s="49"/>
      <c r="H111" s="49"/>
      <c r="I111" s="52" t="str">
        <f t="shared" si="9"/>
        <v/>
      </c>
      <c r="J111" s="49"/>
      <c r="K111" s="49"/>
      <c r="L111" s="49"/>
      <c r="M111" s="49"/>
      <c r="N111" s="49"/>
      <c r="O111" s="49"/>
      <c r="P111" s="10"/>
      <c r="Q111" s="11" t="str">
        <f t="shared" si="10"/>
        <v/>
      </c>
      <c r="R111" s="11" t="str">
        <f t="shared" si="11"/>
        <v/>
      </c>
      <c r="S111" s="58" t="str">
        <f t="shared" si="12"/>
        <v/>
      </c>
      <c r="T111" s="55" t="str">
        <f t="shared" si="13"/>
        <v/>
      </c>
      <c r="U111" s="55" t="str">
        <f>IF($D111="","",IF($D111='01. CONFIGURAÇÕES'!$C$8,'01. CONFIGURAÇÕES'!$C$38,'01. CONFIGURAÇÕES'!$D$38))</f>
        <v/>
      </c>
      <c r="V111" s="58" t="str">
        <f t="shared" si="14"/>
        <v/>
      </c>
      <c r="W111" s="55" t="str">
        <f>IF($D111="","",IF($D111='01. CONFIGURAÇÕES'!$C$8,'01. CONFIGURAÇÕES'!$C$31,'01. CONFIGURAÇÕES'!$D$31))</f>
        <v/>
      </c>
      <c r="X111" s="54" t="str">
        <f>IF($A111="","",$T111*(1-'01. CONFIGURAÇÕES'!$C$16)-IF($W111="",0,$W111))</f>
        <v/>
      </c>
      <c r="Y111" s="54" t="str">
        <f t="shared" si="15"/>
        <v/>
      </c>
      <c r="Z111" s="30"/>
      <c r="AA111" s="33"/>
      <c r="AB111" s="33"/>
    </row>
    <row r="112" spans="1:28" x14ac:dyDescent="0.25">
      <c r="A112" s="31"/>
      <c r="B112" s="29" t="str">
        <f t="shared" si="8"/>
        <v/>
      </c>
      <c r="C112" s="29" t="str">
        <f>IF($A112="","","S"&amp;(INT(($A112-'01. CONFIGURAÇÕES'!$C$12)/7)+1))</f>
        <v/>
      </c>
      <c r="D112" s="30"/>
      <c r="E112" s="30"/>
      <c r="F112" s="10"/>
      <c r="G112" s="49"/>
      <c r="H112" s="49"/>
      <c r="I112" s="52" t="str">
        <f t="shared" si="9"/>
        <v/>
      </c>
      <c r="J112" s="49"/>
      <c r="K112" s="49"/>
      <c r="L112" s="49"/>
      <c r="M112" s="49"/>
      <c r="N112" s="49"/>
      <c r="O112" s="49"/>
      <c r="P112" s="10"/>
      <c r="Q112" s="11" t="str">
        <f t="shared" si="10"/>
        <v/>
      </c>
      <c r="R112" s="11" t="str">
        <f t="shared" si="11"/>
        <v/>
      </c>
      <c r="S112" s="58" t="str">
        <f t="shared" si="12"/>
        <v/>
      </c>
      <c r="T112" s="55" t="str">
        <f t="shared" si="13"/>
        <v/>
      </c>
      <c r="U112" s="55" t="str">
        <f>IF($D112="","",IF($D112='01. CONFIGURAÇÕES'!$C$8,'01. CONFIGURAÇÕES'!$C$38,'01. CONFIGURAÇÕES'!$D$38))</f>
        <v/>
      </c>
      <c r="V112" s="58" t="str">
        <f t="shared" si="14"/>
        <v/>
      </c>
      <c r="W112" s="55" t="str">
        <f>IF($D112="","",IF($D112='01. CONFIGURAÇÕES'!$C$8,'01. CONFIGURAÇÕES'!$C$31,'01. CONFIGURAÇÕES'!$D$31))</f>
        <v/>
      </c>
      <c r="X112" s="54" t="str">
        <f>IF($A112="","",$T112*(1-'01. CONFIGURAÇÕES'!$C$16)-IF($W112="",0,$W112))</f>
        <v/>
      </c>
      <c r="Y112" s="54" t="str">
        <f t="shared" si="15"/>
        <v/>
      </c>
      <c r="Z112" s="30"/>
      <c r="AA112" s="33"/>
      <c r="AB112" s="33"/>
    </row>
    <row r="113" spans="1:28" x14ac:dyDescent="0.25">
      <c r="A113" s="31"/>
      <c r="B113" s="29" t="str">
        <f t="shared" si="8"/>
        <v/>
      </c>
      <c r="C113" s="29" t="str">
        <f>IF($A113="","","S"&amp;(INT(($A113-'01. CONFIGURAÇÕES'!$C$12)/7)+1))</f>
        <v/>
      </c>
      <c r="D113" s="30"/>
      <c r="E113" s="30"/>
      <c r="F113" s="10"/>
      <c r="G113" s="49"/>
      <c r="H113" s="49"/>
      <c r="I113" s="52" t="str">
        <f t="shared" si="9"/>
        <v/>
      </c>
      <c r="J113" s="49"/>
      <c r="K113" s="49"/>
      <c r="L113" s="49"/>
      <c r="M113" s="49"/>
      <c r="N113" s="49"/>
      <c r="O113" s="49"/>
      <c r="P113" s="10"/>
      <c r="Q113" s="11" t="str">
        <f t="shared" si="10"/>
        <v/>
      </c>
      <c r="R113" s="11" t="str">
        <f t="shared" si="11"/>
        <v/>
      </c>
      <c r="S113" s="58" t="str">
        <f t="shared" si="12"/>
        <v/>
      </c>
      <c r="T113" s="55" t="str">
        <f t="shared" si="13"/>
        <v/>
      </c>
      <c r="U113" s="55" t="str">
        <f>IF($D113="","",IF($D113='01. CONFIGURAÇÕES'!$C$8,'01. CONFIGURAÇÕES'!$C$38,'01. CONFIGURAÇÕES'!$D$38))</f>
        <v/>
      </c>
      <c r="V113" s="58" t="str">
        <f t="shared" si="14"/>
        <v/>
      </c>
      <c r="W113" s="55" t="str">
        <f>IF($D113="","",IF($D113='01. CONFIGURAÇÕES'!$C$8,'01. CONFIGURAÇÕES'!$C$31,'01. CONFIGURAÇÕES'!$D$31))</f>
        <v/>
      </c>
      <c r="X113" s="54" t="str">
        <f>IF($A113="","",$T113*(1-'01. CONFIGURAÇÕES'!$C$16)-IF($W113="",0,$W113))</f>
        <v/>
      </c>
      <c r="Y113" s="54" t="str">
        <f t="shared" si="15"/>
        <v/>
      </c>
      <c r="Z113" s="30"/>
      <c r="AA113" s="33"/>
      <c r="AB113" s="33"/>
    </row>
    <row r="114" spans="1:28" x14ac:dyDescent="0.25">
      <c r="A114" s="31"/>
      <c r="B114" s="29" t="str">
        <f t="shared" si="8"/>
        <v/>
      </c>
      <c r="C114" s="29" t="str">
        <f>IF($A114="","","S"&amp;(INT(($A114-'01. CONFIGURAÇÕES'!$C$12)/7)+1))</f>
        <v/>
      </c>
      <c r="D114" s="30"/>
      <c r="E114" s="30"/>
      <c r="F114" s="10"/>
      <c r="G114" s="49"/>
      <c r="H114" s="49"/>
      <c r="I114" s="52" t="str">
        <f t="shared" si="9"/>
        <v/>
      </c>
      <c r="J114" s="49"/>
      <c r="K114" s="49"/>
      <c r="L114" s="49"/>
      <c r="M114" s="49"/>
      <c r="N114" s="49"/>
      <c r="O114" s="49"/>
      <c r="P114" s="10"/>
      <c r="Q114" s="11" t="str">
        <f t="shared" si="10"/>
        <v/>
      </c>
      <c r="R114" s="11" t="str">
        <f t="shared" si="11"/>
        <v/>
      </c>
      <c r="S114" s="58" t="str">
        <f t="shared" si="12"/>
        <v/>
      </c>
      <c r="T114" s="55" t="str">
        <f t="shared" si="13"/>
        <v/>
      </c>
      <c r="U114" s="55" t="str">
        <f>IF($D114="","",IF($D114='01. CONFIGURAÇÕES'!$C$8,'01. CONFIGURAÇÕES'!$C$38,'01. CONFIGURAÇÕES'!$D$38))</f>
        <v/>
      </c>
      <c r="V114" s="58" t="str">
        <f t="shared" si="14"/>
        <v/>
      </c>
      <c r="W114" s="55" t="str">
        <f>IF($D114="","",IF($D114='01. CONFIGURAÇÕES'!$C$8,'01. CONFIGURAÇÕES'!$C$31,'01. CONFIGURAÇÕES'!$D$31))</f>
        <v/>
      </c>
      <c r="X114" s="54" t="str">
        <f>IF($A114="","",$T114*(1-'01. CONFIGURAÇÕES'!$C$16)-IF($W114="",0,$W114))</f>
        <v/>
      </c>
      <c r="Y114" s="54" t="str">
        <f t="shared" si="15"/>
        <v/>
      </c>
      <c r="Z114" s="30"/>
      <c r="AA114" s="33"/>
      <c r="AB114" s="33"/>
    </row>
    <row r="115" spans="1:28" x14ac:dyDescent="0.25">
      <c r="A115" s="31"/>
      <c r="B115" s="29" t="str">
        <f t="shared" si="8"/>
        <v/>
      </c>
      <c r="C115" s="29" t="str">
        <f>IF($A115="","","S"&amp;(INT(($A115-'01. CONFIGURAÇÕES'!$C$12)/7)+1))</f>
        <v/>
      </c>
      <c r="D115" s="30"/>
      <c r="E115" s="30"/>
      <c r="F115" s="10"/>
      <c r="G115" s="49"/>
      <c r="H115" s="49"/>
      <c r="I115" s="52" t="str">
        <f t="shared" si="9"/>
        <v/>
      </c>
      <c r="J115" s="49"/>
      <c r="K115" s="49"/>
      <c r="L115" s="49"/>
      <c r="M115" s="49"/>
      <c r="N115" s="49"/>
      <c r="O115" s="49"/>
      <c r="P115" s="10"/>
      <c r="Q115" s="11" t="str">
        <f t="shared" si="10"/>
        <v/>
      </c>
      <c r="R115" s="11" t="str">
        <f t="shared" si="11"/>
        <v/>
      </c>
      <c r="S115" s="58" t="str">
        <f t="shared" si="12"/>
        <v/>
      </c>
      <c r="T115" s="55" t="str">
        <f t="shared" si="13"/>
        <v/>
      </c>
      <c r="U115" s="55" t="str">
        <f>IF($D115="","",IF($D115='01. CONFIGURAÇÕES'!$C$8,'01. CONFIGURAÇÕES'!$C$38,'01. CONFIGURAÇÕES'!$D$38))</f>
        <v/>
      </c>
      <c r="V115" s="58" t="str">
        <f t="shared" si="14"/>
        <v/>
      </c>
      <c r="W115" s="55" t="str">
        <f>IF($D115="","",IF($D115='01. CONFIGURAÇÕES'!$C$8,'01. CONFIGURAÇÕES'!$C$31,'01. CONFIGURAÇÕES'!$D$31))</f>
        <v/>
      </c>
      <c r="X115" s="54" t="str">
        <f>IF($A115="","",$T115*(1-'01. CONFIGURAÇÕES'!$C$16)-IF($W115="",0,$W115))</f>
        <v/>
      </c>
      <c r="Y115" s="54" t="str">
        <f t="shared" si="15"/>
        <v/>
      </c>
      <c r="Z115" s="30"/>
      <c r="AA115" s="33"/>
      <c r="AB115" s="33"/>
    </row>
    <row r="116" spans="1:28" x14ac:dyDescent="0.25">
      <c r="A116" s="31"/>
      <c r="B116" s="29" t="str">
        <f t="shared" si="8"/>
        <v/>
      </c>
      <c r="C116" s="29" t="str">
        <f>IF($A116="","","S"&amp;(INT(($A116-'01. CONFIGURAÇÕES'!$C$12)/7)+1))</f>
        <v/>
      </c>
      <c r="D116" s="30"/>
      <c r="E116" s="30"/>
      <c r="F116" s="10"/>
      <c r="G116" s="49"/>
      <c r="H116" s="49"/>
      <c r="I116" s="52" t="str">
        <f t="shared" si="9"/>
        <v/>
      </c>
      <c r="J116" s="49"/>
      <c r="K116" s="49"/>
      <c r="L116" s="49"/>
      <c r="M116" s="49"/>
      <c r="N116" s="49"/>
      <c r="O116" s="49"/>
      <c r="P116" s="10"/>
      <c r="Q116" s="11" t="str">
        <f t="shared" si="10"/>
        <v/>
      </c>
      <c r="R116" s="11" t="str">
        <f t="shared" si="11"/>
        <v/>
      </c>
      <c r="S116" s="58" t="str">
        <f t="shared" si="12"/>
        <v/>
      </c>
      <c r="T116" s="55" t="str">
        <f t="shared" si="13"/>
        <v/>
      </c>
      <c r="U116" s="55" t="str">
        <f>IF($D116="","",IF($D116='01. CONFIGURAÇÕES'!$C$8,'01. CONFIGURAÇÕES'!$C$38,'01. CONFIGURAÇÕES'!$D$38))</f>
        <v/>
      </c>
      <c r="V116" s="58" t="str">
        <f t="shared" si="14"/>
        <v/>
      </c>
      <c r="W116" s="55" t="str">
        <f>IF($D116="","",IF($D116='01. CONFIGURAÇÕES'!$C$8,'01. CONFIGURAÇÕES'!$C$31,'01. CONFIGURAÇÕES'!$D$31))</f>
        <v/>
      </c>
      <c r="X116" s="54" t="str">
        <f>IF($A116="","",$T116*(1-'01. CONFIGURAÇÕES'!$C$16)-IF($W116="",0,$W116))</f>
        <v/>
      </c>
      <c r="Y116" s="54" t="str">
        <f t="shared" si="15"/>
        <v/>
      </c>
      <c r="Z116" s="30"/>
      <c r="AA116" s="33"/>
      <c r="AB116" s="33"/>
    </row>
    <row r="117" spans="1:28" x14ac:dyDescent="0.25">
      <c r="A117" s="31"/>
      <c r="B117" s="29" t="str">
        <f t="shared" si="8"/>
        <v/>
      </c>
      <c r="C117" s="29" t="str">
        <f>IF($A117="","","S"&amp;(INT(($A117-'01. CONFIGURAÇÕES'!$C$12)/7)+1))</f>
        <v/>
      </c>
      <c r="D117" s="30"/>
      <c r="E117" s="30"/>
      <c r="F117" s="10"/>
      <c r="G117" s="49"/>
      <c r="H117" s="49"/>
      <c r="I117" s="52" t="str">
        <f t="shared" si="9"/>
        <v/>
      </c>
      <c r="J117" s="49"/>
      <c r="K117" s="49"/>
      <c r="L117" s="49"/>
      <c r="M117" s="49"/>
      <c r="N117" s="49"/>
      <c r="O117" s="49"/>
      <c r="P117" s="10"/>
      <c r="Q117" s="11" t="str">
        <f t="shared" si="10"/>
        <v/>
      </c>
      <c r="R117" s="11" t="str">
        <f t="shared" si="11"/>
        <v/>
      </c>
      <c r="S117" s="58" t="str">
        <f t="shared" si="12"/>
        <v/>
      </c>
      <c r="T117" s="55" t="str">
        <f t="shared" si="13"/>
        <v/>
      </c>
      <c r="U117" s="55" t="str">
        <f>IF($D117="","",IF($D117='01. CONFIGURAÇÕES'!$C$8,'01. CONFIGURAÇÕES'!$C$38,'01. CONFIGURAÇÕES'!$D$38))</f>
        <v/>
      </c>
      <c r="V117" s="58" t="str">
        <f t="shared" si="14"/>
        <v/>
      </c>
      <c r="W117" s="55" t="str">
        <f>IF($D117="","",IF($D117='01. CONFIGURAÇÕES'!$C$8,'01. CONFIGURAÇÕES'!$C$31,'01. CONFIGURAÇÕES'!$D$31))</f>
        <v/>
      </c>
      <c r="X117" s="54" t="str">
        <f>IF($A117="","",$T117*(1-'01. CONFIGURAÇÕES'!$C$16)-IF($W117="",0,$W117))</f>
        <v/>
      </c>
      <c r="Y117" s="54" t="str">
        <f t="shared" si="15"/>
        <v/>
      </c>
      <c r="Z117" s="30"/>
      <c r="AA117" s="33"/>
      <c r="AB117" s="33"/>
    </row>
    <row r="118" spans="1:28" x14ac:dyDescent="0.25">
      <c r="A118" s="31"/>
      <c r="B118" s="29" t="str">
        <f t="shared" si="8"/>
        <v/>
      </c>
      <c r="C118" s="29" t="str">
        <f>IF($A118="","","S"&amp;(INT(($A118-'01. CONFIGURAÇÕES'!$C$12)/7)+1))</f>
        <v/>
      </c>
      <c r="D118" s="30"/>
      <c r="E118" s="30"/>
      <c r="F118" s="10"/>
      <c r="G118" s="49"/>
      <c r="H118" s="49"/>
      <c r="I118" s="52" t="str">
        <f t="shared" si="9"/>
        <v/>
      </c>
      <c r="J118" s="49"/>
      <c r="K118" s="49"/>
      <c r="L118" s="49"/>
      <c r="M118" s="49"/>
      <c r="N118" s="49"/>
      <c r="O118" s="49"/>
      <c r="P118" s="10"/>
      <c r="Q118" s="11" t="str">
        <f t="shared" si="10"/>
        <v/>
      </c>
      <c r="R118" s="11" t="str">
        <f t="shared" si="11"/>
        <v/>
      </c>
      <c r="S118" s="58" t="str">
        <f t="shared" si="12"/>
        <v/>
      </c>
      <c r="T118" s="55" t="str">
        <f t="shared" si="13"/>
        <v/>
      </c>
      <c r="U118" s="55" t="str">
        <f>IF($D118="","",IF($D118='01. CONFIGURAÇÕES'!$C$8,'01. CONFIGURAÇÕES'!$C$38,'01. CONFIGURAÇÕES'!$D$38))</f>
        <v/>
      </c>
      <c r="V118" s="58" t="str">
        <f t="shared" si="14"/>
        <v/>
      </c>
      <c r="W118" s="55" t="str">
        <f>IF($D118="","",IF($D118='01. CONFIGURAÇÕES'!$C$8,'01. CONFIGURAÇÕES'!$C$31,'01. CONFIGURAÇÕES'!$D$31))</f>
        <v/>
      </c>
      <c r="X118" s="54" t="str">
        <f>IF($A118="","",$T118*(1-'01. CONFIGURAÇÕES'!$C$16)-IF($W118="",0,$W118))</f>
        <v/>
      </c>
      <c r="Y118" s="54" t="str">
        <f t="shared" si="15"/>
        <v/>
      </c>
      <c r="Z118" s="30"/>
      <c r="AA118" s="33"/>
      <c r="AB118" s="33"/>
    </row>
    <row r="119" spans="1:28" x14ac:dyDescent="0.25">
      <c r="A119" s="31"/>
      <c r="B119" s="29" t="str">
        <f t="shared" si="8"/>
        <v/>
      </c>
      <c r="C119" s="29" t="str">
        <f>IF($A119="","","S"&amp;(INT(($A119-'01. CONFIGURAÇÕES'!$C$12)/7)+1))</f>
        <v/>
      </c>
      <c r="D119" s="30"/>
      <c r="E119" s="30"/>
      <c r="F119" s="10"/>
      <c r="G119" s="49"/>
      <c r="H119" s="49"/>
      <c r="I119" s="52" t="str">
        <f t="shared" si="9"/>
        <v/>
      </c>
      <c r="J119" s="49"/>
      <c r="K119" s="49"/>
      <c r="L119" s="49"/>
      <c r="M119" s="49"/>
      <c r="N119" s="49"/>
      <c r="O119" s="49"/>
      <c r="P119" s="10"/>
      <c r="Q119" s="11" t="str">
        <f t="shared" si="10"/>
        <v/>
      </c>
      <c r="R119" s="11" t="str">
        <f t="shared" si="11"/>
        <v/>
      </c>
      <c r="S119" s="58" t="str">
        <f t="shared" si="12"/>
        <v/>
      </c>
      <c r="T119" s="55" t="str">
        <f t="shared" si="13"/>
        <v/>
      </c>
      <c r="U119" s="55" t="str">
        <f>IF($D119="","",IF($D119='01. CONFIGURAÇÕES'!$C$8,'01. CONFIGURAÇÕES'!$C$38,'01. CONFIGURAÇÕES'!$D$38))</f>
        <v/>
      </c>
      <c r="V119" s="58" t="str">
        <f t="shared" si="14"/>
        <v/>
      </c>
      <c r="W119" s="55" t="str">
        <f>IF($D119="","",IF($D119='01. CONFIGURAÇÕES'!$C$8,'01. CONFIGURAÇÕES'!$C$31,'01. CONFIGURAÇÕES'!$D$31))</f>
        <v/>
      </c>
      <c r="X119" s="54" t="str">
        <f>IF($A119="","",$T119*(1-'01. CONFIGURAÇÕES'!$C$16)-IF($W119="",0,$W119))</f>
        <v/>
      </c>
      <c r="Y119" s="54" t="str">
        <f t="shared" si="15"/>
        <v/>
      </c>
      <c r="Z119" s="30"/>
      <c r="AA119" s="33"/>
      <c r="AB119" s="33"/>
    </row>
    <row r="120" spans="1:28" x14ac:dyDescent="0.25">
      <c r="A120" s="31"/>
      <c r="B120" s="29" t="str">
        <f t="shared" si="8"/>
        <v/>
      </c>
      <c r="C120" s="29" t="str">
        <f>IF($A120="","","S"&amp;(INT(($A120-'01. CONFIGURAÇÕES'!$C$12)/7)+1))</f>
        <v/>
      </c>
      <c r="D120" s="30"/>
      <c r="E120" s="30"/>
      <c r="F120" s="10"/>
      <c r="G120" s="49"/>
      <c r="H120" s="49"/>
      <c r="I120" s="52" t="str">
        <f t="shared" si="9"/>
        <v/>
      </c>
      <c r="J120" s="49"/>
      <c r="K120" s="49"/>
      <c r="L120" s="49"/>
      <c r="M120" s="49"/>
      <c r="N120" s="49"/>
      <c r="O120" s="49"/>
      <c r="P120" s="10"/>
      <c r="Q120" s="11" t="str">
        <f t="shared" si="10"/>
        <v/>
      </c>
      <c r="R120" s="11" t="str">
        <f t="shared" si="11"/>
        <v/>
      </c>
      <c r="S120" s="58" t="str">
        <f t="shared" si="12"/>
        <v/>
      </c>
      <c r="T120" s="55" t="str">
        <f t="shared" si="13"/>
        <v/>
      </c>
      <c r="U120" s="55" t="str">
        <f>IF($D120="","",IF($D120='01. CONFIGURAÇÕES'!$C$8,'01. CONFIGURAÇÕES'!$C$38,'01. CONFIGURAÇÕES'!$D$38))</f>
        <v/>
      </c>
      <c r="V120" s="58" t="str">
        <f t="shared" si="14"/>
        <v/>
      </c>
      <c r="W120" s="55" t="str">
        <f>IF($D120="","",IF($D120='01. CONFIGURAÇÕES'!$C$8,'01. CONFIGURAÇÕES'!$C$31,'01. CONFIGURAÇÕES'!$D$31))</f>
        <v/>
      </c>
      <c r="X120" s="54" t="str">
        <f>IF($A120="","",$T120*(1-'01. CONFIGURAÇÕES'!$C$16)-IF($W120="",0,$W120))</f>
        <v/>
      </c>
      <c r="Y120" s="54" t="str">
        <f t="shared" si="15"/>
        <v/>
      </c>
      <c r="Z120" s="30"/>
      <c r="AA120" s="33"/>
      <c r="AB120" s="33"/>
    </row>
    <row r="121" spans="1:28" x14ac:dyDescent="0.25">
      <c r="A121" s="31"/>
      <c r="B121" s="29" t="str">
        <f t="shared" si="8"/>
        <v/>
      </c>
      <c r="C121" s="29" t="str">
        <f>IF($A121="","","S"&amp;(INT(($A121-'01. CONFIGURAÇÕES'!$C$12)/7)+1))</f>
        <v/>
      </c>
      <c r="D121" s="30"/>
      <c r="E121" s="30"/>
      <c r="F121" s="10"/>
      <c r="G121" s="49"/>
      <c r="H121" s="49"/>
      <c r="I121" s="52" t="str">
        <f t="shared" si="9"/>
        <v/>
      </c>
      <c r="J121" s="49"/>
      <c r="K121" s="49"/>
      <c r="L121" s="49"/>
      <c r="M121" s="49"/>
      <c r="N121" s="49"/>
      <c r="O121" s="49"/>
      <c r="P121" s="10"/>
      <c r="Q121" s="11" t="str">
        <f t="shared" si="10"/>
        <v/>
      </c>
      <c r="R121" s="11" t="str">
        <f t="shared" si="11"/>
        <v/>
      </c>
      <c r="S121" s="58" t="str">
        <f t="shared" si="12"/>
        <v/>
      </c>
      <c r="T121" s="55" t="str">
        <f t="shared" si="13"/>
        <v/>
      </c>
      <c r="U121" s="55" t="str">
        <f>IF($D121="","",IF($D121='01. CONFIGURAÇÕES'!$C$8,'01. CONFIGURAÇÕES'!$C$38,'01. CONFIGURAÇÕES'!$D$38))</f>
        <v/>
      </c>
      <c r="V121" s="58" t="str">
        <f t="shared" si="14"/>
        <v/>
      </c>
      <c r="W121" s="55" t="str">
        <f>IF($D121="","",IF($D121='01. CONFIGURAÇÕES'!$C$8,'01. CONFIGURAÇÕES'!$C$31,'01. CONFIGURAÇÕES'!$D$31))</f>
        <v/>
      </c>
      <c r="X121" s="54" t="str">
        <f>IF($A121="","",$T121*(1-'01. CONFIGURAÇÕES'!$C$16)-IF($W121="",0,$W121))</f>
        <v/>
      </c>
      <c r="Y121" s="54" t="str">
        <f t="shared" si="15"/>
        <v/>
      </c>
      <c r="Z121" s="30"/>
      <c r="AA121" s="33"/>
      <c r="AB121" s="33"/>
    </row>
    <row r="122" spans="1:28" x14ac:dyDescent="0.25">
      <c r="A122" s="31"/>
      <c r="B122" s="29" t="str">
        <f t="shared" si="8"/>
        <v/>
      </c>
      <c r="C122" s="29" t="str">
        <f>IF($A122="","","S"&amp;(INT(($A122-'01. CONFIGURAÇÕES'!$C$12)/7)+1))</f>
        <v/>
      </c>
      <c r="D122" s="30"/>
      <c r="E122" s="30"/>
      <c r="F122" s="10"/>
      <c r="G122" s="49"/>
      <c r="H122" s="49"/>
      <c r="I122" s="52" t="str">
        <f t="shared" si="9"/>
        <v/>
      </c>
      <c r="J122" s="49"/>
      <c r="K122" s="49"/>
      <c r="L122" s="49"/>
      <c r="M122" s="49"/>
      <c r="N122" s="49"/>
      <c r="O122" s="49"/>
      <c r="P122" s="10"/>
      <c r="Q122" s="11" t="str">
        <f t="shared" si="10"/>
        <v/>
      </c>
      <c r="R122" s="11" t="str">
        <f t="shared" si="11"/>
        <v/>
      </c>
      <c r="S122" s="58" t="str">
        <f t="shared" si="12"/>
        <v/>
      </c>
      <c r="T122" s="55" t="str">
        <f t="shared" si="13"/>
        <v/>
      </c>
      <c r="U122" s="55" t="str">
        <f>IF($D122="","",IF($D122='01. CONFIGURAÇÕES'!$C$8,'01. CONFIGURAÇÕES'!$C$38,'01. CONFIGURAÇÕES'!$D$38))</f>
        <v/>
      </c>
      <c r="V122" s="58" t="str">
        <f t="shared" si="14"/>
        <v/>
      </c>
      <c r="W122" s="55" t="str">
        <f>IF($D122="","",IF($D122='01. CONFIGURAÇÕES'!$C$8,'01. CONFIGURAÇÕES'!$C$31,'01. CONFIGURAÇÕES'!$D$31))</f>
        <v/>
      </c>
      <c r="X122" s="54" t="str">
        <f>IF($A122="","",$T122*(1-'01. CONFIGURAÇÕES'!$C$16)-IF($W122="",0,$W122))</f>
        <v/>
      </c>
      <c r="Y122" s="54" t="str">
        <f t="shared" si="15"/>
        <v/>
      </c>
      <c r="Z122" s="30"/>
      <c r="AA122" s="33"/>
      <c r="AB122" s="33"/>
    </row>
    <row r="123" spans="1:28" x14ac:dyDescent="0.25">
      <c r="A123" s="31"/>
      <c r="B123" s="29" t="str">
        <f t="shared" si="8"/>
        <v/>
      </c>
      <c r="C123" s="29" t="str">
        <f>IF($A123="","","S"&amp;(INT(($A123-'01. CONFIGURAÇÕES'!$C$12)/7)+1))</f>
        <v/>
      </c>
      <c r="D123" s="30"/>
      <c r="E123" s="30"/>
      <c r="F123" s="10"/>
      <c r="G123" s="49"/>
      <c r="H123" s="49"/>
      <c r="I123" s="52" t="str">
        <f t="shared" si="9"/>
        <v/>
      </c>
      <c r="J123" s="49"/>
      <c r="K123" s="49"/>
      <c r="L123" s="49"/>
      <c r="M123" s="49"/>
      <c r="N123" s="49"/>
      <c r="O123" s="49"/>
      <c r="P123" s="10"/>
      <c r="Q123" s="11" t="str">
        <f t="shared" si="10"/>
        <v/>
      </c>
      <c r="R123" s="11" t="str">
        <f t="shared" si="11"/>
        <v/>
      </c>
      <c r="S123" s="58" t="str">
        <f t="shared" si="12"/>
        <v/>
      </c>
      <c r="T123" s="55" t="str">
        <f t="shared" si="13"/>
        <v/>
      </c>
      <c r="U123" s="55" t="str">
        <f>IF($D123="","",IF($D123='01. CONFIGURAÇÕES'!$C$8,'01. CONFIGURAÇÕES'!$C$38,'01. CONFIGURAÇÕES'!$D$38))</f>
        <v/>
      </c>
      <c r="V123" s="58" t="str">
        <f t="shared" si="14"/>
        <v/>
      </c>
      <c r="W123" s="55" t="str">
        <f>IF($D123="","",IF($D123='01. CONFIGURAÇÕES'!$C$8,'01. CONFIGURAÇÕES'!$C$31,'01. CONFIGURAÇÕES'!$D$31))</f>
        <v/>
      </c>
      <c r="X123" s="54" t="str">
        <f>IF($A123="","",$T123*(1-'01. CONFIGURAÇÕES'!$C$16)-IF($W123="",0,$W123))</f>
        <v/>
      </c>
      <c r="Y123" s="54" t="str">
        <f t="shared" si="15"/>
        <v/>
      </c>
      <c r="Z123" s="30"/>
      <c r="AA123" s="33"/>
      <c r="AB123" s="33"/>
    </row>
    <row r="124" spans="1:28" x14ac:dyDescent="0.25">
      <c r="A124" s="31"/>
      <c r="B124" s="29" t="str">
        <f t="shared" si="8"/>
        <v/>
      </c>
      <c r="C124" s="29" t="str">
        <f>IF($A124="","","S"&amp;(INT(($A124-'01. CONFIGURAÇÕES'!$C$12)/7)+1))</f>
        <v/>
      </c>
      <c r="D124" s="30"/>
      <c r="E124" s="30"/>
      <c r="F124" s="10"/>
      <c r="G124" s="49"/>
      <c r="H124" s="49"/>
      <c r="I124" s="52" t="str">
        <f t="shared" si="9"/>
        <v/>
      </c>
      <c r="J124" s="49"/>
      <c r="K124" s="49"/>
      <c r="L124" s="49"/>
      <c r="M124" s="49"/>
      <c r="N124" s="49"/>
      <c r="O124" s="49"/>
      <c r="P124" s="10"/>
      <c r="Q124" s="11" t="str">
        <f t="shared" si="10"/>
        <v/>
      </c>
      <c r="R124" s="11" t="str">
        <f t="shared" si="11"/>
        <v/>
      </c>
      <c r="S124" s="58" t="str">
        <f t="shared" si="12"/>
        <v/>
      </c>
      <c r="T124" s="55" t="str">
        <f t="shared" si="13"/>
        <v/>
      </c>
      <c r="U124" s="55" t="str">
        <f>IF($D124="","",IF($D124='01. CONFIGURAÇÕES'!$C$8,'01. CONFIGURAÇÕES'!$C$38,'01. CONFIGURAÇÕES'!$D$38))</f>
        <v/>
      </c>
      <c r="V124" s="58" t="str">
        <f t="shared" si="14"/>
        <v/>
      </c>
      <c r="W124" s="55" t="str">
        <f>IF($D124="","",IF($D124='01. CONFIGURAÇÕES'!$C$8,'01. CONFIGURAÇÕES'!$C$31,'01. CONFIGURAÇÕES'!$D$31))</f>
        <v/>
      </c>
      <c r="X124" s="54" t="str">
        <f>IF($A124="","",$T124*(1-'01. CONFIGURAÇÕES'!$C$16)-IF($W124="",0,$W124))</f>
        <v/>
      </c>
      <c r="Y124" s="54" t="str">
        <f t="shared" si="15"/>
        <v/>
      </c>
      <c r="Z124" s="30"/>
      <c r="AA124" s="33"/>
      <c r="AB124" s="33"/>
    </row>
    <row r="125" spans="1:28" x14ac:dyDescent="0.25">
      <c r="A125" s="31"/>
      <c r="B125" s="29" t="str">
        <f t="shared" si="8"/>
        <v/>
      </c>
      <c r="C125" s="29" t="str">
        <f>IF($A125="","","S"&amp;(INT(($A125-'01. CONFIGURAÇÕES'!$C$12)/7)+1))</f>
        <v/>
      </c>
      <c r="D125" s="30"/>
      <c r="E125" s="30"/>
      <c r="F125" s="10"/>
      <c r="G125" s="49"/>
      <c r="H125" s="49"/>
      <c r="I125" s="52" t="str">
        <f t="shared" si="9"/>
        <v/>
      </c>
      <c r="J125" s="49"/>
      <c r="K125" s="49"/>
      <c r="L125" s="49"/>
      <c r="M125" s="49"/>
      <c r="N125" s="49"/>
      <c r="O125" s="49"/>
      <c r="P125" s="10"/>
      <c r="Q125" s="11" t="str">
        <f t="shared" si="10"/>
        <v/>
      </c>
      <c r="R125" s="11" t="str">
        <f t="shared" si="11"/>
        <v/>
      </c>
      <c r="S125" s="58" t="str">
        <f t="shared" si="12"/>
        <v/>
      </c>
      <c r="T125" s="55" t="str">
        <f t="shared" si="13"/>
        <v/>
      </c>
      <c r="U125" s="55" t="str">
        <f>IF($D125="","",IF($D125='01. CONFIGURAÇÕES'!$C$8,'01. CONFIGURAÇÕES'!$C$38,'01. CONFIGURAÇÕES'!$D$38))</f>
        <v/>
      </c>
      <c r="V125" s="58" t="str">
        <f t="shared" si="14"/>
        <v/>
      </c>
      <c r="W125" s="55" t="str">
        <f>IF($D125="","",IF($D125='01. CONFIGURAÇÕES'!$C$8,'01. CONFIGURAÇÕES'!$C$31,'01. CONFIGURAÇÕES'!$D$31))</f>
        <v/>
      </c>
      <c r="X125" s="54" t="str">
        <f>IF($A125="","",$T125*(1-'01. CONFIGURAÇÕES'!$C$16)-IF($W125="",0,$W125))</f>
        <v/>
      </c>
      <c r="Y125" s="54" t="str">
        <f t="shared" si="15"/>
        <v/>
      </c>
      <c r="Z125" s="30"/>
      <c r="AA125" s="33"/>
      <c r="AB125" s="33"/>
    </row>
    <row r="126" spans="1:28" x14ac:dyDescent="0.25">
      <c r="A126" s="31"/>
      <c r="B126" s="29" t="str">
        <f t="shared" si="8"/>
        <v/>
      </c>
      <c r="C126" s="29" t="str">
        <f>IF($A126="","","S"&amp;(INT(($A126-'01. CONFIGURAÇÕES'!$C$12)/7)+1))</f>
        <v/>
      </c>
      <c r="D126" s="30"/>
      <c r="E126" s="30"/>
      <c r="F126" s="10"/>
      <c r="G126" s="49"/>
      <c r="H126" s="49"/>
      <c r="I126" s="52" t="str">
        <f t="shared" si="9"/>
        <v/>
      </c>
      <c r="J126" s="49"/>
      <c r="K126" s="49"/>
      <c r="L126" s="49"/>
      <c r="M126" s="49"/>
      <c r="N126" s="49"/>
      <c r="O126" s="49"/>
      <c r="P126" s="10"/>
      <c r="Q126" s="11" t="str">
        <f t="shared" si="10"/>
        <v/>
      </c>
      <c r="R126" s="11" t="str">
        <f t="shared" si="11"/>
        <v/>
      </c>
      <c r="S126" s="58" t="str">
        <f t="shared" si="12"/>
        <v/>
      </c>
      <c r="T126" s="55" t="str">
        <f t="shared" si="13"/>
        <v/>
      </c>
      <c r="U126" s="55" t="str">
        <f>IF($D126="","",IF($D126='01. CONFIGURAÇÕES'!$C$8,'01. CONFIGURAÇÕES'!$C$38,'01. CONFIGURAÇÕES'!$D$38))</f>
        <v/>
      </c>
      <c r="V126" s="58" t="str">
        <f t="shared" si="14"/>
        <v/>
      </c>
      <c r="W126" s="55" t="str">
        <f>IF($D126="","",IF($D126='01. CONFIGURAÇÕES'!$C$8,'01. CONFIGURAÇÕES'!$C$31,'01. CONFIGURAÇÕES'!$D$31))</f>
        <v/>
      </c>
      <c r="X126" s="54" t="str">
        <f>IF($A126="","",$T126*(1-'01. CONFIGURAÇÕES'!$C$16)-IF($W126="",0,$W126))</f>
        <v/>
      </c>
      <c r="Y126" s="54" t="str">
        <f t="shared" si="15"/>
        <v/>
      </c>
      <c r="Z126" s="30"/>
      <c r="AA126" s="33"/>
      <c r="AB126" s="33"/>
    </row>
    <row r="127" spans="1:28" x14ac:dyDescent="0.25">
      <c r="A127" s="31"/>
      <c r="B127" s="29" t="str">
        <f t="shared" si="8"/>
        <v/>
      </c>
      <c r="C127" s="29" t="str">
        <f>IF($A127="","","S"&amp;(INT(($A127-'01. CONFIGURAÇÕES'!$C$12)/7)+1))</f>
        <v/>
      </c>
      <c r="D127" s="30"/>
      <c r="E127" s="30"/>
      <c r="F127" s="10"/>
      <c r="G127" s="49"/>
      <c r="H127" s="49"/>
      <c r="I127" s="52" t="str">
        <f t="shared" si="9"/>
        <v/>
      </c>
      <c r="J127" s="49"/>
      <c r="K127" s="49"/>
      <c r="L127" s="49"/>
      <c r="M127" s="49"/>
      <c r="N127" s="49"/>
      <c r="O127" s="49"/>
      <c r="P127" s="10"/>
      <c r="Q127" s="11" t="str">
        <f t="shared" si="10"/>
        <v/>
      </c>
      <c r="R127" s="11" t="str">
        <f t="shared" si="11"/>
        <v/>
      </c>
      <c r="S127" s="58" t="str">
        <f t="shared" si="12"/>
        <v/>
      </c>
      <c r="T127" s="55" t="str">
        <f t="shared" si="13"/>
        <v/>
      </c>
      <c r="U127" s="55" t="str">
        <f>IF($D127="","",IF($D127='01. CONFIGURAÇÕES'!$C$8,'01. CONFIGURAÇÕES'!$C$38,'01. CONFIGURAÇÕES'!$D$38))</f>
        <v/>
      </c>
      <c r="V127" s="58" t="str">
        <f t="shared" si="14"/>
        <v/>
      </c>
      <c r="W127" s="55" t="str">
        <f>IF($D127="","",IF($D127='01. CONFIGURAÇÕES'!$C$8,'01. CONFIGURAÇÕES'!$C$31,'01. CONFIGURAÇÕES'!$D$31))</f>
        <v/>
      </c>
      <c r="X127" s="54" t="str">
        <f>IF($A127="","",$T127*(1-'01. CONFIGURAÇÕES'!$C$16)-IF($W127="",0,$W127))</f>
        <v/>
      </c>
      <c r="Y127" s="54" t="str">
        <f t="shared" si="15"/>
        <v/>
      </c>
      <c r="Z127" s="30"/>
      <c r="AA127" s="33"/>
      <c r="AB127" s="33"/>
    </row>
    <row r="128" spans="1:28" x14ac:dyDescent="0.25">
      <c r="A128" s="31"/>
      <c r="B128" s="29" t="str">
        <f t="shared" si="8"/>
        <v/>
      </c>
      <c r="C128" s="29" t="str">
        <f>IF($A128="","","S"&amp;(INT(($A128-'01. CONFIGURAÇÕES'!$C$12)/7)+1))</f>
        <v/>
      </c>
      <c r="D128" s="30"/>
      <c r="E128" s="30"/>
      <c r="F128" s="10"/>
      <c r="G128" s="49"/>
      <c r="H128" s="49"/>
      <c r="I128" s="52" t="str">
        <f t="shared" si="9"/>
        <v/>
      </c>
      <c r="J128" s="49"/>
      <c r="K128" s="49"/>
      <c r="L128" s="49"/>
      <c r="M128" s="49"/>
      <c r="N128" s="49"/>
      <c r="O128" s="49"/>
      <c r="P128" s="10"/>
      <c r="Q128" s="11" t="str">
        <f t="shared" si="10"/>
        <v/>
      </c>
      <c r="R128" s="11" t="str">
        <f t="shared" si="11"/>
        <v/>
      </c>
      <c r="S128" s="58" t="str">
        <f t="shared" si="12"/>
        <v/>
      </c>
      <c r="T128" s="55" t="str">
        <f t="shared" si="13"/>
        <v/>
      </c>
      <c r="U128" s="55" t="str">
        <f>IF($D128="","",IF($D128='01. CONFIGURAÇÕES'!$C$8,'01. CONFIGURAÇÕES'!$C$38,'01. CONFIGURAÇÕES'!$D$38))</f>
        <v/>
      </c>
      <c r="V128" s="58" t="str">
        <f t="shared" si="14"/>
        <v/>
      </c>
      <c r="W128" s="55" t="str">
        <f>IF($D128="","",IF($D128='01. CONFIGURAÇÕES'!$C$8,'01. CONFIGURAÇÕES'!$C$31,'01. CONFIGURAÇÕES'!$D$31))</f>
        <v/>
      </c>
      <c r="X128" s="54" t="str">
        <f>IF($A128="","",$T128*(1-'01. CONFIGURAÇÕES'!$C$16)-IF($W128="",0,$W128))</f>
        <v/>
      </c>
      <c r="Y128" s="54" t="str">
        <f t="shared" si="15"/>
        <v/>
      </c>
      <c r="Z128" s="30"/>
      <c r="AA128" s="33"/>
      <c r="AB128" s="33"/>
    </row>
    <row r="129" spans="1:28" x14ac:dyDescent="0.25">
      <c r="A129" s="31"/>
      <c r="B129" s="29" t="str">
        <f t="shared" si="8"/>
        <v/>
      </c>
      <c r="C129" s="29" t="str">
        <f>IF($A129="","","S"&amp;(INT(($A129-'01. CONFIGURAÇÕES'!$C$12)/7)+1))</f>
        <v/>
      </c>
      <c r="D129" s="30"/>
      <c r="E129" s="30"/>
      <c r="F129" s="10"/>
      <c r="G129" s="49"/>
      <c r="H129" s="49"/>
      <c r="I129" s="52" t="str">
        <f t="shared" si="9"/>
        <v/>
      </c>
      <c r="J129" s="49"/>
      <c r="K129" s="49"/>
      <c r="L129" s="49"/>
      <c r="M129" s="49"/>
      <c r="N129" s="49"/>
      <c r="O129" s="49"/>
      <c r="P129" s="10"/>
      <c r="Q129" s="11" t="str">
        <f t="shared" si="10"/>
        <v/>
      </c>
      <c r="R129" s="11" t="str">
        <f t="shared" si="11"/>
        <v/>
      </c>
      <c r="S129" s="58" t="str">
        <f t="shared" si="12"/>
        <v/>
      </c>
      <c r="T129" s="55" t="str">
        <f t="shared" si="13"/>
        <v/>
      </c>
      <c r="U129" s="55" t="str">
        <f>IF($D129="","",IF($D129='01. CONFIGURAÇÕES'!$C$8,'01. CONFIGURAÇÕES'!$C$38,'01. CONFIGURAÇÕES'!$D$38))</f>
        <v/>
      </c>
      <c r="V129" s="58" t="str">
        <f t="shared" si="14"/>
        <v/>
      </c>
      <c r="W129" s="55" t="str">
        <f>IF($D129="","",IF($D129='01. CONFIGURAÇÕES'!$C$8,'01. CONFIGURAÇÕES'!$C$31,'01. CONFIGURAÇÕES'!$D$31))</f>
        <v/>
      </c>
      <c r="X129" s="54" t="str">
        <f>IF($A129="","",$T129*(1-'01. CONFIGURAÇÕES'!$C$16)-IF($W129="",0,$W129))</f>
        <v/>
      </c>
      <c r="Y129" s="54" t="str">
        <f t="shared" si="15"/>
        <v/>
      </c>
      <c r="Z129" s="30"/>
      <c r="AA129" s="33"/>
      <c r="AB129" s="33"/>
    </row>
    <row r="130" spans="1:28" x14ac:dyDescent="0.25">
      <c r="A130" s="31"/>
      <c r="B130" s="29" t="str">
        <f t="shared" si="8"/>
        <v/>
      </c>
      <c r="C130" s="29" t="str">
        <f>IF($A130="","","S"&amp;(INT(($A130-'01. CONFIGURAÇÕES'!$C$12)/7)+1))</f>
        <v/>
      </c>
      <c r="D130" s="30"/>
      <c r="E130" s="30"/>
      <c r="F130" s="10"/>
      <c r="G130" s="49"/>
      <c r="H130" s="49"/>
      <c r="I130" s="52" t="str">
        <f t="shared" si="9"/>
        <v/>
      </c>
      <c r="J130" s="49"/>
      <c r="K130" s="49"/>
      <c r="L130" s="49"/>
      <c r="M130" s="49"/>
      <c r="N130" s="49"/>
      <c r="O130" s="49"/>
      <c r="P130" s="10"/>
      <c r="Q130" s="11" t="str">
        <f t="shared" si="10"/>
        <v/>
      </c>
      <c r="R130" s="11" t="str">
        <f t="shared" si="11"/>
        <v/>
      </c>
      <c r="S130" s="58" t="str">
        <f t="shared" si="12"/>
        <v/>
      </c>
      <c r="T130" s="55" t="str">
        <f t="shared" si="13"/>
        <v/>
      </c>
      <c r="U130" s="55" t="str">
        <f>IF($D130="","",IF($D130='01. CONFIGURAÇÕES'!$C$8,'01. CONFIGURAÇÕES'!$C$38,'01. CONFIGURAÇÕES'!$D$38))</f>
        <v/>
      </c>
      <c r="V130" s="58" t="str">
        <f t="shared" si="14"/>
        <v/>
      </c>
      <c r="W130" s="55" t="str">
        <f>IF($D130="","",IF($D130='01. CONFIGURAÇÕES'!$C$8,'01. CONFIGURAÇÕES'!$C$31,'01. CONFIGURAÇÕES'!$D$31))</f>
        <v/>
      </c>
      <c r="X130" s="54" t="str">
        <f>IF($A130="","",$T130*(1-'01. CONFIGURAÇÕES'!$C$16)-IF($W130="",0,$W130))</f>
        <v/>
      </c>
      <c r="Y130" s="54" t="str">
        <f t="shared" si="15"/>
        <v/>
      </c>
      <c r="Z130" s="30"/>
      <c r="AA130" s="33"/>
      <c r="AB130" s="33"/>
    </row>
    <row r="131" spans="1:28" x14ac:dyDescent="0.25">
      <c r="A131" s="31"/>
      <c r="B131" s="29" t="str">
        <f t="shared" si="8"/>
        <v/>
      </c>
      <c r="C131" s="29" t="str">
        <f>IF($A131="","","S"&amp;(INT(($A131-'01. CONFIGURAÇÕES'!$C$12)/7)+1))</f>
        <v/>
      </c>
      <c r="D131" s="30"/>
      <c r="E131" s="30"/>
      <c r="F131" s="10"/>
      <c r="G131" s="49"/>
      <c r="H131" s="49"/>
      <c r="I131" s="52" t="str">
        <f t="shared" si="9"/>
        <v/>
      </c>
      <c r="J131" s="49"/>
      <c r="K131" s="49"/>
      <c r="L131" s="49"/>
      <c r="M131" s="49"/>
      <c r="N131" s="49"/>
      <c r="O131" s="49"/>
      <c r="P131" s="10"/>
      <c r="Q131" s="11" t="str">
        <f t="shared" si="10"/>
        <v/>
      </c>
      <c r="R131" s="11" t="str">
        <f t="shared" si="11"/>
        <v/>
      </c>
      <c r="S131" s="58" t="str">
        <f t="shared" si="12"/>
        <v/>
      </c>
      <c r="T131" s="55" t="str">
        <f t="shared" si="13"/>
        <v/>
      </c>
      <c r="U131" s="55" t="str">
        <f>IF($D131="","",IF($D131='01. CONFIGURAÇÕES'!$C$8,'01. CONFIGURAÇÕES'!$C$38,'01. CONFIGURAÇÕES'!$D$38))</f>
        <v/>
      </c>
      <c r="V131" s="58" t="str">
        <f t="shared" si="14"/>
        <v/>
      </c>
      <c r="W131" s="55" t="str">
        <f>IF($D131="","",IF($D131='01. CONFIGURAÇÕES'!$C$8,'01. CONFIGURAÇÕES'!$C$31,'01. CONFIGURAÇÕES'!$D$31))</f>
        <v/>
      </c>
      <c r="X131" s="54" t="str">
        <f>IF($A131="","",$T131*(1-'01. CONFIGURAÇÕES'!$C$16)-IF($W131="",0,$W131))</f>
        <v/>
      </c>
      <c r="Y131" s="54" t="str">
        <f t="shared" si="15"/>
        <v/>
      </c>
      <c r="Z131" s="30"/>
      <c r="AA131" s="33"/>
      <c r="AB131" s="33"/>
    </row>
    <row r="132" spans="1:28" x14ac:dyDescent="0.25">
      <c r="A132" s="31"/>
      <c r="B132" s="29" t="str">
        <f t="shared" si="8"/>
        <v/>
      </c>
      <c r="C132" s="29" t="str">
        <f>IF($A132="","","S"&amp;(INT(($A132-'01. CONFIGURAÇÕES'!$C$12)/7)+1))</f>
        <v/>
      </c>
      <c r="D132" s="30"/>
      <c r="E132" s="30"/>
      <c r="F132" s="10"/>
      <c r="G132" s="49"/>
      <c r="H132" s="49"/>
      <c r="I132" s="52" t="str">
        <f t="shared" si="9"/>
        <v/>
      </c>
      <c r="J132" s="49"/>
      <c r="K132" s="49"/>
      <c r="L132" s="49"/>
      <c r="M132" s="49"/>
      <c r="N132" s="49"/>
      <c r="O132" s="49"/>
      <c r="P132" s="10"/>
      <c r="Q132" s="11" t="str">
        <f t="shared" si="10"/>
        <v/>
      </c>
      <c r="R132" s="11" t="str">
        <f t="shared" si="11"/>
        <v/>
      </c>
      <c r="S132" s="58" t="str">
        <f t="shared" si="12"/>
        <v/>
      </c>
      <c r="T132" s="55" t="str">
        <f t="shared" si="13"/>
        <v/>
      </c>
      <c r="U132" s="55" t="str">
        <f>IF($D132="","",IF($D132='01. CONFIGURAÇÕES'!$C$8,'01. CONFIGURAÇÕES'!$C$38,'01. CONFIGURAÇÕES'!$D$38))</f>
        <v/>
      </c>
      <c r="V132" s="58" t="str">
        <f t="shared" si="14"/>
        <v/>
      </c>
      <c r="W132" s="55" t="str">
        <f>IF($D132="","",IF($D132='01. CONFIGURAÇÕES'!$C$8,'01. CONFIGURAÇÕES'!$C$31,'01. CONFIGURAÇÕES'!$D$31))</f>
        <v/>
      </c>
      <c r="X132" s="54" t="str">
        <f>IF($A132="","",$T132*(1-'01. CONFIGURAÇÕES'!$C$16)-IF($W132="",0,$W132))</f>
        <v/>
      </c>
      <c r="Y132" s="54" t="str">
        <f t="shared" si="15"/>
        <v/>
      </c>
      <c r="Z132" s="30"/>
      <c r="AA132" s="33"/>
      <c r="AB132" s="33"/>
    </row>
    <row r="133" spans="1:28" x14ac:dyDescent="0.25">
      <c r="A133" s="31"/>
      <c r="B133" s="29" t="str">
        <f t="shared" ref="B133:B196" si="16">IF($A133="","",CHOOSE(WEEKDAY($A133,1),"DOM","SEG","TER","QUA","QUI","SEX","SÁB"))</f>
        <v/>
      </c>
      <c r="C133" s="29" t="str">
        <f>IF($A133="","","S"&amp;(INT(($A133-'01. CONFIGURAÇÕES'!$C$12)/7)+1))</f>
        <v/>
      </c>
      <c r="D133" s="30"/>
      <c r="E133" s="30"/>
      <c r="F133" s="10"/>
      <c r="G133" s="49"/>
      <c r="H133" s="49"/>
      <c r="I133" s="52" t="str">
        <f t="shared" ref="I133:I196" si="17">IF($A133="","",$F133*($G133+$H133))</f>
        <v/>
      </c>
      <c r="J133" s="49"/>
      <c r="K133" s="49"/>
      <c r="L133" s="49"/>
      <c r="M133" s="49"/>
      <c r="N133" s="49"/>
      <c r="O133" s="49"/>
      <c r="P133" s="10"/>
      <c r="Q133" s="11" t="str">
        <f t="shared" ref="Q133:Q196" si="18">IF($A133="","",COUNTIFS(PROG_DATA,$A133,PROG_EQUIPE,$E133))</f>
        <v/>
      </c>
      <c r="R133" s="11" t="str">
        <f t="shared" ref="R133:R196" si="19">IF($A133="","",COUNTIFS(OS_FIM,$A133,OS_EQUIPE,$E133))</f>
        <v/>
      </c>
      <c r="S133" s="58" t="str">
        <f t="shared" ref="S133:S196" si="20">IF(OR($A133="",$Q133=0),"",$R133/$Q133)</f>
        <v/>
      </c>
      <c r="T133" s="55" t="str">
        <f t="shared" ref="T133:T196" si="21">IF($A133="","",SUMIFS(MED_VLR,MED_DATA,$A133,MED_EQUIPE,$E133))</f>
        <v/>
      </c>
      <c r="U133" s="55" t="str">
        <f>IF($D133="","",IF($D133='01. CONFIGURAÇÕES'!$C$8,'01. CONFIGURAÇÕES'!$C$38,'01. CONFIGURAÇÕES'!$D$38))</f>
        <v/>
      </c>
      <c r="V133" s="58" t="str">
        <f t="shared" ref="V133:V196" si="22">IF(OR($U133="",$U133=0),"",$T133/$U133)</f>
        <v/>
      </c>
      <c r="W133" s="55" t="str">
        <f>IF($D133="","",IF($D133='01. CONFIGURAÇÕES'!$C$8,'01. CONFIGURAÇÕES'!$C$31,'01. CONFIGURAÇÕES'!$D$31))</f>
        <v/>
      </c>
      <c r="X133" s="54" t="str">
        <f>IF($A133="","",$T133*(1-'01. CONFIGURAÇÕES'!$C$16)-IF($W133="",0,$W133))</f>
        <v/>
      </c>
      <c r="Y133" s="54" t="str">
        <f t="shared" ref="Y133:Y196" si="23">IF(OR($I133="",$I133=0),"",$T133/$I133)</f>
        <v/>
      </c>
      <c r="Z133" s="30"/>
      <c r="AA133" s="33"/>
      <c r="AB133" s="33"/>
    </row>
    <row r="134" spans="1:28" x14ac:dyDescent="0.25">
      <c r="A134" s="31"/>
      <c r="B134" s="29" t="str">
        <f t="shared" si="16"/>
        <v/>
      </c>
      <c r="C134" s="29" t="str">
        <f>IF($A134="","","S"&amp;(INT(($A134-'01. CONFIGURAÇÕES'!$C$12)/7)+1))</f>
        <v/>
      </c>
      <c r="D134" s="30"/>
      <c r="E134" s="30"/>
      <c r="F134" s="10"/>
      <c r="G134" s="49"/>
      <c r="H134" s="49"/>
      <c r="I134" s="52" t="str">
        <f t="shared" si="17"/>
        <v/>
      </c>
      <c r="J134" s="49"/>
      <c r="K134" s="49"/>
      <c r="L134" s="49"/>
      <c r="M134" s="49"/>
      <c r="N134" s="49"/>
      <c r="O134" s="49"/>
      <c r="P134" s="10"/>
      <c r="Q134" s="11" t="str">
        <f t="shared" si="18"/>
        <v/>
      </c>
      <c r="R134" s="11" t="str">
        <f t="shared" si="19"/>
        <v/>
      </c>
      <c r="S134" s="58" t="str">
        <f t="shared" si="20"/>
        <v/>
      </c>
      <c r="T134" s="55" t="str">
        <f t="shared" si="21"/>
        <v/>
      </c>
      <c r="U134" s="55" t="str">
        <f>IF($D134="","",IF($D134='01. CONFIGURAÇÕES'!$C$8,'01. CONFIGURAÇÕES'!$C$38,'01. CONFIGURAÇÕES'!$D$38))</f>
        <v/>
      </c>
      <c r="V134" s="58" t="str">
        <f t="shared" si="22"/>
        <v/>
      </c>
      <c r="W134" s="55" t="str">
        <f>IF($D134="","",IF($D134='01. CONFIGURAÇÕES'!$C$8,'01. CONFIGURAÇÕES'!$C$31,'01. CONFIGURAÇÕES'!$D$31))</f>
        <v/>
      </c>
      <c r="X134" s="54" t="str">
        <f>IF($A134="","",$T134*(1-'01. CONFIGURAÇÕES'!$C$16)-IF($W134="",0,$W134))</f>
        <v/>
      </c>
      <c r="Y134" s="54" t="str">
        <f t="shared" si="23"/>
        <v/>
      </c>
      <c r="Z134" s="30"/>
      <c r="AA134" s="33"/>
      <c r="AB134" s="33"/>
    </row>
    <row r="135" spans="1:28" x14ac:dyDescent="0.25">
      <c r="A135" s="31"/>
      <c r="B135" s="29" t="str">
        <f t="shared" si="16"/>
        <v/>
      </c>
      <c r="C135" s="29" t="str">
        <f>IF($A135="","","S"&amp;(INT(($A135-'01. CONFIGURAÇÕES'!$C$12)/7)+1))</f>
        <v/>
      </c>
      <c r="D135" s="30"/>
      <c r="E135" s="30"/>
      <c r="F135" s="10"/>
      <c r="G135" s="49"/>
      <c r="H135" s="49"/>
      <c r="I135" s="52" t="str">
        <f t="shared" si="17"/>
        <v/>
      </c>
      <c r="J135" s="49"/>
      <c r="K135" s="49"/>
      <c r="L135" s="49"/>
      <c r="M135" s="49"/>
      <c r="N135" s="49"/>
      <c r="O135" s="49"/>
      <c r="P135" s="10"/>
      <c r="Q135" s="11" t="str">
        <f t="shared" si="18"/>
        <v/>
      </c>
      <c r="R135" s="11" t="str">
        <f t="shared" si="19"/>
        <v/>
      </c>
      <c r="S135" s="58" t="str">
        <f t="shared" si="20"/>
        <v/>
      </c>
      <c r="T135" s="55" t="str">
        <f t="shared" si="21"/>
        <v/>
      </c>
      <c r="U135" s="55" t="str">
        <f>IF($D135="","",IF($D135='01. CONFIGURAÇÕES'!$C$8,'01. CONFIGURAÇÕES'!$C$38,'01. CONFIGURAÇÕES'!$D$38))</f>
        <v/>
      </c>
      <c r="V135" s="58" t="str">
        <f t="shared" si="22"/>
        <v/>
      </c>
      <c r="W135" s="55" t="str">
        <f>IF($D135="","",IF($D135='01. CONFIGURAÇÕES'!$C$8,'01. CONFIGURAÇÕES'!$C$31,'01. CONFIGURAÇÕES'!$D$31))</f>
        <v/>
      </c>
      <c r="X135" s="54" t="str">
        <f>IF($A135="","",$T135*(1-'01. CONFIGURAÇÕES'!$C$16)-IF($W135="",0,$W135))</f>
        <v/>
      </c>
      <c r="Y135" s="54" t="str">
        <f t="shared" si="23"/>
        <v/>
      </c>
      <c r="Z135" s="30"/>
      <c r="AA135" s="33"/>
      <c r="AB135" s="33"/>
    </row>
    <row r="136" spans="1:28" x14ac:dyDescent="0.25">
      <c r="A136" s="31"/>
      <c r="B136" s="29" t="str">
        <f t="shared" si="16"/>
        <v/>
      </c>
      <c r="C136" s="29" t="str">
        <f>IF($A136="","","S"&amp;(INT(($A136-'01. CONFIGURAÇÕES'!$C$12)/7)+1))</f>
        <v/>
      </c>
      <c r="D136" s="30"/>
      <c r="E136" s="30"/>
      <c r="F136" s="10"/>
      <c r="G136" s="49"/>
      <c r="H136" s="49"/>
      <c r="I136" s="52" t="str">
        <f t="shared" si="17"/>
        <v/>
      </c>
      <c r="J136" s="49"/>
      <c r="K136" s="49"/>
      <c r="L136" s="49"/>
      <c r="M136" s="49"/>
      <c r="N136" s="49"/>
      <c r="O136" s="49"/>
      <c r="P136" s="10"/>
      <c r="Q136" s="11" t="str">
        <f t="shared" si="18"/>
        <v/>
      </c>
      <c r="R136" s="11" t="str">
        <f t="shared" si="19"/>
        <v/>
      </c>
      <c r="S136" s="58" t="str">
        <f t="shared" si="20"/>
        <v/>
      </c>
      <c r="T136" s="55" t="str">
        <f t="shared" si="21"/>
        <v/>
      </c>
      <c r="U136" s="55" t="str">
        <f>IF($D136="","",IF($D136='01. CONFIGURAÇÕES'!$C$8,'01. CONFIGURAÇÕES'!$C$38,'01. CONFIGURAÇÕES'!$D$38))</f>
        <v/>
      </c>
      <c r="V136" s="58" t="str">
        <f t="shared" si="22"/>
        <v/>
      </c>
      <c r="W136" s="55" t="str">
        <f>IF($D136="","",IF($D136='01. CONFIGURAÇÕES'!$C$8,'01. CONFIGURAÇÕES'!$C$31,'01. CONFIGURAÇÕES'!$D$31))</f>
        <v/>
      </c>
      <c r="X136" s="54" t="str">
        <f>IF($A136="","",$T136*(1-'01. CONFIGURAÇÕES'!$C$16)-IF($W136="",0,$W136))</f>
        <v/>
      </c>
      <c r="Y136" s="54" t="str">
        <f t="shared" si="23"/>
        <v/>
      </c>
      <c r="Z136" s="30"/>
      <c r="AA136" s="33"/>
      <c r="AB136" s="33"/>
    </row>
    <row r="137" spans="1:28" x14ac:dyDescent="0.25">
      <c r="A137" s="31"/>
      <c r="B137" s="29" t="str">
        <f t="shared" si="16"/>
        <v/>
      </c>
      <c r="C137" s="29" t="str">
        <f>IF($A137="","","S"&amp;(INT(($A137-'01. CONFIGURAÇÕES'!$C$12)/7)+1))</f>
        <v/>
      </c>
      <c r="D137" s="30"/>
      <c r="E137" s="30"/>
      <c r="F137" s="10"/>
      <c r="G137" s="49"/>
      <c r="H137" s="49"/>
      <c r="I137" s="52" t="str">
        <f t="shared" si="17"/>
        <v/>
      </c>
      <c r="J137" s="49"/>
      <c r="K137" s="49"/>
      <c r="L137" s="49"/>
      <c r="M137" s="49"/>
      <c r="N137" s="49"/>
      <c r="O137" s="49"/>
      <c r="P137" s="10"/>
      <c r="Q137" s="11" t="str">
        <f t="shared" si="18"/>
        <v/>
      </c>
      <c r="R137" s="11" t="str">
        <f t="shared" si="19"/>
        <v/>
      </c>
      <c r="S137" s="58" t="str">
        <f t="shared" si="20"/>
        <v/>
      </c>
      <c r="T137" s="55" t="str">
        <f t="shared" si="21"/>
        <v/>
      </c>
      <c r="U137" s="55" t="str">
        <f>IF($D137="","",IF($D137='01. CONFIGURAÇÕES'!$C$8,'01. CONFIGURAÇÕES'!$C$38,'01. CONFIGURAÇÕES'!$D$38))</f>
        <v/>
      </c>
      <c r="V137" s="58" t="str">
        <f t="shared" si="22"/>
        <v/>
      </c>
      <c r="W137" s="55" t="str">
        <f>IF($D137="","",IF($D137='01. CONFIGURAÇÕES'!$C$8,'01. CONFIGURAÇÕES'!$C$31,'01. CONFIGURAÇÕES'!$D$31))</f>
        <v/>
      </c>
      <c r="X137" s="54" t="str">
        <f>IF($A137="","",$T137*(1-'01. CONFIGURAÇÕES'!$C$16)-IF($W137="",0,$W137))</f>
        <v/>
      </c>
      <c r="Y137" s="54" t="str">
        <f t="shared" si="23"/>
        <v/>
      </c>
      <c r="Z137" s="30"/>
      <c r="AA137" s="33"/>
      <c r="AB137" s="33"/>
    </row>
    <row r="138" spans="1:28" x14ac:dyDescent="0.25">
      <c r="A138" s="31"/>
      <c r="B138" s="29" t="str">
        <f t="shared" si="16"/>
        <v/>
      </c>
      <c r="C138" s="29" t="str">
        <f>IF($A138="","","S"&amp;(INT(($A138-'01. CONFIGURAÇÕES'!$C$12)/7)+1))</f>
        <v/>
      </c>
      <c r="D138" s="30"/>
      <c r="E138" s="30"/>
      <c r="F138" s="10"/>
      <c r="G138" s="49"/>
      <c r="H138" s="49"/>
      <c r="I138" s="52" t="str">
        <f t="shared" si="17"/>
        <v/>
      </c>
      <c r="J138" s="49"/>
      <c r="K138" s="49"/>
      <c r="L138" s="49"/>
      <c r="M138" s="49"/>
      <c r="N138" s="49"/>
      <c r="O138" s="49"/>
      <c r="P138" s="10"/>
      <c r="Q138" s="11" t="str">
        <f t="shared" si="18"/>
        <v/>
      </c>
      <c r="R138" s="11" t="str">
        <f t="shared" si="19"/>
        <v/>
      </c>
      <c r="S138" s="58" t="str">
        <f t="shared" si="20"/>
        <v/>
      </c>
      <c r="T138" s="55" t="str">
        <f t="shared" si="21"/>
        <v/>
      </c>
      <c r="U138" s="55" t="str">
        <f>IF($D138="","",IF($D138='01. CONFIGURAÇÕES'!$C$8,'01. CONFIGURAÇÕES'!$C$38,'01. CONFIGURAÇÕES'!$D$38))</f>
        <v/>
      </c>
      <c r="V138" s="58" t="str">
        <f t="shared" si="22"/>
        <v/>
      </c>
      <c r="W138" s="55" t="str">
        <f>IF($D138="","",IF($D138='01. CONFIGURAÇÕES'!$C$8,'01. CONFIGURAÇÕES'!$C$31,'01. CONFIGURAÇÕES'!$D$31))</f>
        <v/>
      </c>
      <c r="X138" s="54" t="str">
        <f>IF($A138="","",$T138*(1-'01. CONFIGURAÇÕES'!$C$16)-IF($W138="",0,$W138))</f>
        <v/>
      </c>
      <c r="Y138" s="54" t="str">
        <f t="shared" si="23"/>
        <v/>
      </c>
      <c r="Z138" s="30"/>
      <c r="AA138" s="33"/>
      <c r="AB138" s="33"/>
    </row>
    <row r="139" spans="1:28" x14ac:dyDescent="0.25">
      <c r="A139" s="31"/>
      <c r="B139" s="29" t="str">
        <f t="shared" si="16"/>
        <v/>
      </c>
      <c r="C139" s="29" t="str">
        <f>IF($A139="","","S"&amp;(INT(($A139-'01. CONFIGURAÇÕES'!$C$12)/7)+1))</f>
        <v/>
      </c>
      <c r="D139" s="30"/>
      <c r="E139" s="30"/>
      <c r="F139" s="10"/>
      <c r="G139" s="49"/>
      <c r="H139" s="49"/>
      <c r="I139" s="52" t="str">
        <f t="shared" si="17"/>
        <v/>
      </c>
      <c r="J139" s="49"/>
      <c r="K139" s="49"/>
      <c r="L139" s="49"/>
      <c r="M139" s="49"/>
      <c r="N139" s="49"/>
      <c r="O139" s="49"/>
      <c r="P139" s="10"/>
      <c r="Q139" s="11" t="str">
        <f t="shared" si="18"/>
        <v/>
      </c>
      <c r="R139" s="11" t="str">
        <f t="shared" si="19"/>
        <v/>
      </c>
      <c r="S139" s="58" t="str">
        <f t="shared" si="20"/>
        <v/>
      </c>
      <c r="T139" s="55" t="str">
        <f t="shared" si="21"/>
        <v/>
      </c>
      <c r="U139" s="55" t="str">
        <f>IF($D139="","",IF($D139='01. CONFIGURAÇÕES'!$C$8,'01. CONFIGURAÇÕES'!$C$38,'01. CONFIGURAÇÕES'!$D$38))</f>
        <v/>
      </c>
      <c r="V139" s="58" t="str">
        <f t="shared" si="22"/>
        <v/>
      </c>
      <c r="W139" s="55" t="str">
        <f>IF($D139="","",IF($D139='01. CONFIGURAÇÕES'!$C$8,'01. CONFIGURAÇÕES'!$C$31,'01. CONFIGURAÇÕES'!$D$31))</f>
        <v/>
      </c>
      <c r="X139" s="54" t="str">
        <f>IF($A139="","",$T139*(1-'01. CONFIGURAÇÕES'!$C$16)-IF($W139="",0,$W139))</f>
        <v/>
      </c>
      <c r="Y139" s="54" t="str">
        <f t="shared" si="23"/>
        <v/>
      </c>
      <c r="Z139" s="30"/>
      <c r="AA139" s="33"/>
      <c r="AB139" s="33"/>
    </row>
    <row r="140" spans="1:28" x14ac:dyDescent="0.25">
      <c r="A140" s="31"/>
      <c r="B140" s="29" t="str">
        <f t="shared" si="16"/>
        <v/>
      </c>
      <c r="C140" s="29" t="str">
        <f>IF($A140="","","S"&amp;(INT(($A140-'01. CONFIGURAÇÕES'!$C$12)/7)+1))</f>
        <v/>
      </c>
      <c r="D140" s="30"/>
      <c r="E140" s="30"/>
      <c r="F140" s="10"/>
      <c r="G140" s="49"/>
      <c r="H140" s="49"/>
      <c r="I140" s="52" t="str">
        <f t="shared" si="17"/>
        <v/>
      </c>
      <c r="J140" s="49"/>
      <c r="K140" s="49"/>
      <c r="L140" s="49"/>
      <c r="M140" s="49"/>
      <c r="N140" s="49"/>
      <c r="O140" s="49"/>
      <c r="P140" s="10"/>
      <c r="Q140" s="11" t="str">
        <f t="shared" si="18"/>
        <v/>
      </c>
      <c r="R140" s="11" t="str">
        <f t="shared" si="19"/>
        <v/>
      </c>
      <c r="S140" s="58" t="str">
        <f t="shared" si="20"/>
        <v/>
      </c>
      <c r="T140" s="55" t="str">
        <f t="shared" si="21"/>
        <v/>
      </c>
      <c r="U140" s="55" t="str">
        <f>IF($D140="","",IF($D140='01. CONFIGURAÇÕES'!$C$8,'01. CONFIGURAÇÕES'!$C$38,'01. CONFIGURAÇÕES'!$D$38))</f>
        <v/>
      </c>
      <c r="V140" s="58" t="str">
        <f t="shared" si="22"/>
        <v/>
      </c>
      <c r="W140" s="55" t="str">
        <f>IF($D140="","",IF($D140='01. CONFIGURAÇÕES'!$C$8,'01. CONFIGURAÇÕES'!$C$31,'01. CONFIGURAÇÕES'!$D$31))</f>
        <v/>
      </c>
      <c r="X140" s="54" t="str">
        <f>IF($A140="","",$T140*(1-'01. CONFIGURAÇÕES'!$C$16)-IF($W140="",0,$W140))</f>
        <v/>
      </c>
      <c r="Y140" s="54" t="str">
        <f t="shared" si="23"/>
        <v/>
      </c>
      <c r="Z140" s="30"/>
      <c r="AA140" s="33"/>
      <c r="AB140" s="33"/>
    </row>
    <row r="141" spans="1:28" x14ac:dyDescent="0.25">
      <c r="A141" s="31"/>
      <c r="B141" s="29" t="str">
        <f t="shared" si="16"/>
        <v/>
      </c>
      <c r="C141" s="29" t="str">
        <f>IF($A141="","","S"&amp;(INT(($A141-'01. CONFIGURAÇÕES'!$C$12)/7)+1))</f>
        <v/>
      </c>
      <c r="D141" s="30"/>
      <c r="E141" s="30"/>
      <c r="F141" s="10"/>
      <c r="G141" s="49"/>
      <c r="H141" s="49"/>
      <c r="I141" s="52" t="str">
        <f t="shared" si="17"/>
        <v/>
      </c>
      <c r="J141" s="49"/>
      <c r="K141" s="49"/>
      <c r="L141" s="49"/>
      <c r="M141" s="49"/>
      <c r="N141" s="49"/>
      <c r="O141" s="49"/>
      <c r="P141" s="10"/>
      <c r="Q141" s="11" t="str">
        <f t="shared" si="18"/>
        <v/>
      </c>
      <c r="R141" s="11" t="str">
        <f t="shared" si="19"/>
        <v/>
      </c>
      <c r="S141" s="58" t="str">
        <f t="shared" si="20"/>
        <v/>
      </c>
      <c r="T141" s="55" t="str">
        <f t="shared" si="21"/>
        <v/>
      </c>
      <c r="U141" s="55" t="str">
        <f>IF($D141="","",IF($D141='01. CONFIGURAÇÕES'!$C$8,'01. CONFIGURAÇÕES'!$C$38,'01. CONFIGURAÇÕES'!$D$38))</f>
        <v/>
      </c>
      <c r="V141" s="58" t="str">
        <f t="shared" si="22"/>
        <v/>
      </c>
      <c r="W141" s="55" t="str">
        <f>IF($D141="","",IF($D141='01. CONFIGURAÇÕES'!$C$8,'01. CONFIGURAÇÕES'!$C$31,'01. CONFIGURAÇÕES'!$D$31))</f>
        <v/>
      </c>
      <c r="X141" s="54" t="str">
        <f>IF($A141="","",$T141*(1-'01. CONFIGURAÇÕES'!$C$16)-IF($W141="",0,$W141))</f>
        <v/>
      </c>
      <c r="Y141" s="54" t="str">
        <f t="shared" si="23"/>
        <v/>
      </c>
      <c r="Z141" s="30"/>
      <c r="AA141" s="33"/>
      <c r="AB141" s="33"/>
    </row>
    <row r="142" spans="1:28" x14ac:dyDescent="0.25">
      <c r="A142" s="31"/>
      <c r="B142" s="29" t="str">
        <f t="shared" si="16"/>
        <v/>
      </c>
      <c r="C142" s="29" t="str">
        <f>IF($A142="","","S"&amp;(INT(($A142-'01. CONFIGURAÇÕES'!$C$12)/7)+1))</f>
        <v/>
      </c>
      <c r="D142" s="30"/>
      <c r="E142" s="30"/>
      <c r="F142" s="10"/>
      <c r="G142" s="49"/>
      <c r="H142" s="49"/>
      <c r="I142" s="52" t="str">
        <f t="shared" si="17"/>
        <v/>
      </c>
      <c r="J142" s="49"/>
      <c r="K142" s="49"/>
      <c r="L142" s="49"/>
      <c r="M142" s="49"/>
      <c r="N142" s="49"/>
      <c r="O142" s="49"/>
      <c r="P142" s="10"/>
      <c r="Q142" s="11" t="str">
        <f t="shared" si="18"/>
        <v/>
      </c>
      <c r="R142" s="11" t="str">
        <f t="shared" si="19"/>
        <v/>
      </c>
      <c r="S142" s="58" t="str">
        <f t="shared" si="20"/>
        <v/>
      </c>
      <c r="T142" s="55" t="str">
        <f t="shared" si="21"/>
        <v/>
      </c>
      <c r="U142" s="55" t="str">
        <f>IF($D142="","",IF($D142='01. CONFIGURAÇÕES'!$C$8,'01. CONFIGURAÇÕES'!$C$38,'01. CONFIGURAÇÕES'!$D$38))</f>
        <v/>
      </c>
      <c r="V142" s="58" t="str">
        <f t="shared" si="22"/>
        <v/>
      </c>
      <c r="W142" s="55" t="str">
        <f>IF($D142="","",IF($D142='01. CONFIGURAÇÕES'!$C$8,'01. CONFIGURAÇÕES'!$C$31,'01. CONFIGURAÇÕES'!$D$31))</f>
        <v/>
      </c>
      <c r="X142" s="54" t="str">
        <f>IF($A142="","",$T142*(1-'01. CONFIGURAÇÕES'!$C$16)-IF($W142="",0,$W142))</f>
        <v/>
      </c>
      <c r="Y142" s="54" t="str">
        <f t="shared" si="23"/>
        <v/>
      </c>
      <c r="Z142" s="30"/>
      <c r="AA142" s="33"/>
      <c r="AB142" s="33"/>
    </row>
    <row r="143" spans="1:28" x14ac:dyDescent="0.25">
      <c r="A143" s="31"/>
      <c r="B143" s="29" t="str">
        <f t="shared" si="16"/>
        <v/>
      </c>
      <c r="C143" s="29" t="str">
        <f>IF($A143="","","S"&amp;(INT(($A143-'01. CONFIGURAÇÕES'!$C$12)/7)+1))</f>
        <v/>
      </c>
      <c r="D143" s="30"/>
      <c r="E143" s="30"/>
      <c r="F143" s="10"/>
      <c r="G143" s="49"/>
      <c r="H143" s="49"/>
      <c r="I143" s="52" t="str">
        <f t="shared" si="17"/>
        <v/>
      </c>
      <c r="J143" s="49"/>
      <c r="K143" s="49"/>
      <c r="L143" s="49"/>
      <c r="M143" s="49"/>
      <c r="N143" s="49"/>
      <c r="O143" s="49"/>
      <c r="P143" s="10"/>
      <c r="Q143" s="11" t="str">
        <f t="shared" si="18"/>
        <v/>
      </c>
      <c r="R143" s="11" t="str">
        <f t="shared" si="19"/>
        <v/>
      </c>
      <c r="S143" s="58" t="str">
        <f t="shared" si="20"/>
        <v/>
      </c>
      <c r="T143" s="55" t="str">
        <f t="shared" si="21"/>
        <v/>
      </c>
      <c r="U143" s="55" t="str">
        <f>IF($D143="","",IF($D143='01. CONFIGURAÇÕES'!$C$8,'01. CONFIGURAÇÕES'!$C$38,'01. CONFIGURAÇÕES'!$D$38))</f>
        <v/>
      </c>
      <c r="V143" s="58" t="str">
        <f t="shared" si="22"/>
        <v/>
      </c>
      <c r="W143" s="55" t="str">
        <f>IF($D143="","",IF($D143='01. CONFIGURAÇÕES'!$C$8,'01. CONFIGURAÇÕES'!$C$31,'01. CONFIGURAÇÕES'!$D$31))</f>
        <v/>
      </c>
      <c r="X143" s="54" t="str">
        <f>IF($A143="","",$T143*(1-'01. CONFIGURAÇÕES'!$C$16)-IF($W143="",0,$W143))</f>
        <v/>
      </c>
      <c r="Y143" s="54" t="str">
        <f t="shared" si="23"/>
        <v/>
      </c>
      <c r="Z143" s="30"/>
      <c r="AA143" s="33"/>
      <c r="AB143" s="33"/>
    </row>
    <row r="144" spans="1:28" x14ac:dyDescent="0.25">
      <c r="A144" s="31"/>
      <c r="B144" s="29" t="str">
        <f t="shared" si="16"/>
        <v/>
      </c>
      <c r="C144" s="29" t="str">
        <f>IF($A144="","","S"&amp;(INT(($A144-'01. CONFIGURAÇÕES'!$C$12)/7)+1))</f>
        <v/>
      </c>
      <c r="D144" s="30"/>
      <c r="E144" s="30"/>
      <c r="F144" s="10"/>
      <c r="G144" s="49"/>
      <c r="H144" s="49"/>
      <c r="I144" s="52" t="str">
        <f t="shared" si="17"/>
        <v/>
      </c>
      <c r="J144" s="49"/>
      <c r="K144" s="49"/>
      <c r="L144" s="49"/>
      <c r="M144" s="49"/>
      <c r="N144" s="49"/>
      <c r="O144" s="49"/>
      <c r="P144" s="10"/>
      <c r="Q144" s="11" t="str">
        <f t="shared" si="18"/>
        <v/>
      </c>
      <c r="R144" s="11" t="str">
        <f t="shared" si="19"/>
        <v/>
      </c>
      <c r="S144" s="58" t="str">
        <f t="shared" si="20"/>
        <v/>
      </c>
      <c r="T144" s="55" t="str">
        <f t="shared" si="21"/>
        <v/>
      </c>
      <c r="U144" s="55" t="str">
        <f>IF($D144="","",IF($D144='01. CONFIGURAÇÕES'!$C$8,'01. CONFIGURAÇÕES'!$C$38,'01. CONFIGURAÇÕES'!$D$38))</f>
        <v/>
      </c>
      <c r="V144" s="58" t="str">
        <f t="shared" si="22"/>
        <v/>
      </c>
      <c r="W144" s="55" t="str">
        <f>IF($D144="","",IF($D144='01. CONFIGURAÇÕES'!$C$8,'01. CONFIGURAÇÕES'!$C$31,'01. CONFIGURAÇÕES'!$D$31))</f>
        <v/>
      </c>
      <c r="X144" s="54" t="str">
        <f>IF($A144="","",$T144*(1-'01. CONFIGURAÇÕES'!$C$16)-IF($W144="",0,$W144))</f>
        <v/>
      </c>
      <c r="Y144" s="54" t="str">
        <f t="shared" si="23"/>
        <v/>
      </c>
      <c r="Z144" s="30"/>
      <c r="AA144" s="33"/>
      <c r="AB144" s="33"/>
    </row>
    <row r="145" spans="1:28" x14ac:dyDescent="0.25">
      <c r="A145" s="31"/>
      <c r="B145" s="29" t="str">
        <f t="shared" si="16"/>
        <v/>
      </c>
      <c r="C145" s="29" t="str">
        <f>IF($A145="","","S"&amp;(INT(($A145-'01. CONFIGURAÇÕES'!$C$12)/7)+1))</f>
        <v/>
      </c>
      <c r="D145" s="30"/>
      <c r="E145" s="30"/>
      <c r="F145" s="10"/>
      <c r="G145" s="49"/>
      <c r="H145" s="49"/>
      <c r="I145" s="52" t="str">
        <f t="shared" si="17"/>
        <v/>
      </c>
      <c r="J145" s="49"/>
      <c r="K145" s="49"/>
      <c r="L145" s="49"/>
      <c r="M145" s="49"/>
      <c r="N145" s="49"/>
      <c r="O145" s="49"/>
      <c r="P145" s="10"/>
      <c r="Q145" s="11" t="str">
        <f t="shared" si="18"/>
        <v/>
      </c>
      <c r="R145" s="11" t="str">
        <f t="shared" si="19"/>
        <v/>
      </c>
      <c r="S145" s="58" t="str">
        <f t="shared" si="20"/>
        <v/>
      </c>
      <c r="T145" s="55" t="str">
        <f t="shared" si="21"/>
        <v/>
      </c>
      <c r="U145" s="55" t="str">
        <f>IF($D145="","",IF($D145='01. CONFIGURAÇÕES'!$C$8,'01. CONFIGURAÇÕES'!$C$38,'01. CONFIGURAÇÕES'!$D$38))</f>
        <v/>
      </c>
      <c r="V145" s="58" t="str">
        <f t="shared" si="22"/>
        <v/>
      </c>
      <c r="W145" s="55" t="str">
        <f>IF($D145="","",IF($D145='01. CONFIGURAÇÕES'!$C$8,'01. CONFIGURAÇÕES'!$C$31,'01. CONFIGURAÇÕES'!$D$31))</f>
        <v/>
      </c>
      <c r="X145" s="54" t="str">
        <f>IF($A145="","",$T145*(1-'01. CONFIGURAÇÕES'!$C$16)-IF($W145="",0,$W145))</f>
        <v/>
      </c>
      <c r="Y145" s="54" t="str">
        <f t="shared" si="23"/>
        <v/>
      </c>
      <c r="Z145" s="30"/>
      <c r="AA145" s="33"/>
      <c r="AB145" s="33"/>
    </row>
    <row r="146" spans="1:28" x14ac:dyDescent="0.25">
      <c r="A146" s="31"/>
      <c r="B146" s="29" t="str">
        <f t="shared" si="16"/>
        <v/>
      </c>
      <c r="C146" s="29" t="str">
        <f>IF($A146="","","S"&amp;(INT(($A146-'01. CONFIGURAÇÕES'!$C$12)/7)+1))</f>
        <v/>
      </c>
      <c r="D146" s="30"/>
      <c r="E146" s="30"/>
      <c r="F146" s="10"/>
      <c r="G146" s="49"/>
      <c r="H146" s="49"/>
      <c r="I146" s="52" t="str">
        <f t="shared" si="17"/>
        <v/>
      </c>
      <c r="J146" s="49"/>
      <c r="K146" s="49"/>
      <c r="L146" s="49"/>
      <c r="M146" s="49"/>
      <c r="N146" s="49"/>
      <c r="O146" s="49"/>
      <c r="P146" s="10"/>
      <c r="Q146" s="11" t="str">
        <f t="shared" si="18"/>
        <v/>
      </c>
      <c r="R146" s="11" t="str">
        <f t="shared" si="19"/>
        <v/>
      </c>
      <c r="S146" s="58" t="str">
        <f t="shared" si="20"/>
        <v/>
      </c>
      <c r="T146" s="55" t="str">
        <f t="shared" si="21"/>
        <v/>
      </c>
      <c r="U146" s="55" t="str">
        <f>IF($D146="","",IF($D146='01. CONFIGURAÇÕES'!$C$8,'01. CONFIGURAÇÕES'!$C$38,'01. CONFIGURAÇÕES'!$D$38))</f>
        <v/>
      </c>
      <c r="V146" s="58" t="str">
        <f t="shared" si="22"/>
        <v/>
      </c>
      <c r="W146" s="55" t="str">
        <f>IF($D146="","",IF($D146='01. CONFIGURAÇÕES'!$C$8,'01. CONFIGURAÇÕES'!$C$31,'01. CONFIGURAÇÕES'!$D$31))</f>
        <v/>
      </c>
      <c r="X146" s="54" t="str">
        <f>IF($A146="","",$T146*(1-'01. CONFIGURAÇÕES'!$C$16)-IF($W146="",0,$W146))</f>
        <v/>
      </c>
      <c r="Y146" s="54" t="str">
        <f t="shared" si="23"/>
        <v/>
      </c>
      <c r="Z146" s="30"/>
      <c r="AA146" s="33"/>
      <c r="AB146" s="33"/>
    </row>
    <row r="147" spans="1:28" x14ac:dyDescent="0.25">
      <c r="A147" s="31"/>
      <c r="B147" s="29" t="str">
        <f t="shared" si="16"/>
        <v/>
      </c>
      <c r="C147" s="29" t="str">
        <f>IF($A147="","","S"&amp;(INT(($A147-'01. CONFIGURAÇÕES'!$C$12)/7)+1))</f>
        <v/>
      </c>
      <c r="D147" s="30"/>
      <c r="E147" s="30"/>
      <c r="F147" s="10"/>
      <c r="G147" s="49"/>
      <c r="H147" s="49"/>
      <c r="I147" s="52" t="str">
        <f t="shared" si="17"/>
        <v/>
      </c>
      <c r="J147" s="49"/>
      <c r="K147" s="49"/>
      <c r="L147" s="49"/>
      <c r="M147" s="49"/>
      <c r="N147" s="49"/>
      <c r="O147" s="49"/>
      <c r="P147" s="10"/>
      <c r="Q147" s="11" t="str">
        <f t="shared" si="18"/>
        <v/>
      </c>
      <c r="R147" s="11" t="str">
        <f t="shared" si="19"/>
        <v/>
      </c>
      <c r="S147" s="58" t="str">
        <f t="shared" si="20"/>
        <v/>
      </c>
      <c r="T147" s="55" t="str">
        <f t="shared" si="21"/>
        <v/>
      </c>
      <c r="U147" s="55" t="str">
        <f>IF($D147="","",IF($D147='01. CONFIGURAÇÕES'!$C$8,'01. CONFIGURAÇÕES'!$C$38,'01. CONFIGURAÇÕES'!$D$38))</f>
        <v/>
      </c>
      <c r="V147" s="58" t="str">
        <f t="shared" si="22"/>
        <v/>
      </c>
      <c r="W147" s="55" t="str">
        <f>IF($D147="","",IF($D147='01. CONFIGURAÇÕES'!$C$8,'01. CONFIGURAÇÕES'!$C$31,'01. CONFIGURAÇÕES'!$D$31))</f>
        <v/>
      </c>
      <c r="X147" s="54" t="str">
        <f>IF($A147="","",$T147*(1-'01. CONFIGURAÇÕES'!$C$16)-IF($W147="",0,$W147))</f>
        <v/>
      </c>
      <c r="Y147" s="54" t="str">
        <f t="shared" si="23"/>
        <v/>
      </c>
      <c r="Z147" s="30"/>
      <c r="AA147" s="33"/>
      <c r="AB147" s="33"/>
    </row>
    <row r="148" spans="1:28" x14ac:dyDescent="0.25">
      <c r="A148" s="31"/>
      <c r="B148" s="29" t="str">
        <f t="shared" si="16"/>
        <v/>
      </c>
      <c r="C148" s="29" t="str">
        <f>IF($A148="","","S"&amp;(INT(($A148-'01. CONFIGURAÇÕES'!$C$12)/7)+1))</f>
        <v/>
      </c>
      <c r="D148" s="30"/>
      <c r="E148" s="30"/>
      <c r="F148" s="10"/>
      <c r="G148" s="49"/>
      <c r="H148" s="49"/>
      <c r="I148" s="52" t="str">
        <f t="shared" si="17"/>
        <v/>
      </c>
      <c r="J148" s="49"/>
      <c r="K148" s="49"/>
      <c r="L148" s="49"/>
      <c r="M148" s="49"/>
      <c r="N148" s="49"/>
      <c r="O148" s="49"/>
      <c r="P148" s="10"/>
      <c r="Q148" s="11" t="str">
        <f t="shared" si="18"/>
        <v/>
      </c>
      <c r="R148" s="11" t="str">
        <f t="shared" si="19"/>
        <v/>
      </c>
      <c r="S148" s="58" t="str">
        <f t="shared" si="20"/>
        <v/>
      </c>
      <c r="T148" s="55" t="str">
        <f t="shared" si="21"/>
        <v/>
      </c>
      <c r="U148" s="55" t="str">
        <f>IF($D148="","",IF($D148='01. CONFIGURAÇÕES'!$C$8,'01. CONFIGURAÇÕES'!$C$38,'01. CONFIGURAÇÕES'!$D$38))</f>
        <v/>
      </c>
      <c r="V148" s="58" t="str">
        <f t="shared" si="22"/>
        <v/>
      </c>
      <c r="W148" s="55" t="str">
        <f>IF($D148="","",IF($D148='01. CONFIGURAÇÕES'!$C$8,'01. CONFIGURAÇÕES'!$C$31,'01. CONFIGURAÇÕES'!$D$31))</f>
        <v/>
      </c>
      <c r="X148" s="54" t="str">
        <f>IF($A148="","",$T148*(1-'01. CONFIGURAÇÕES'!$C$16)-IF($W148="",0,$W148))</f>
        <v/>
      </c>
      <c r="Y148" s="54" t="str">
        <f t="shared" si="23"/>
        <v/>
      </c>
      <c r="Z148" s="30"/>
      <c r="AA148" s="33"/>
      <c r="AB148" s="33"/>
    </row>
    <row r="149" spans="1:28" x14ac:dyDescent="0.25">
      <c r="A149" s="31"/>
      <c r="B149" s="29" t="str">
        <f t="shared" si="16"/>
        <v/>
      </c>
      <c r="C149" s="29" t="str">
        <f>IF($A149="","","S"&amp;(INT(($A149-'01. CONFIGURAÇÕES'!$C$12)/7)+1))</f>
        <v/>
      </c>
      <c r="D149" s="30"/>
      <c r="E149" s="30"/>
      <c r="F149" s="10"/>
      <c r="G149" s="49"/>
      <c r="H149" s="49"/>
      <c r="I149" s="52" t="str">
        <f t="shared" si="17"/>
        <v/>
      </c>
      <c r="J149" s="49"/>
      <c r="K149" s="49"/>
      <c r="L149" s="49"/>
      <c r="M149" s="49"/>
      <c r="N149" s="49"/>
      <c r="O149" s="49"/>
      <c r="P149" s="10"/>
      <c r="Q149" s="11" t="str">
        <f t="shared" si="18"/>
        <v/>
      </c>
      <c r="R149" s="11" t="str">
        <f t="shared" si="19"/>
        <v/>
      </c>
      <c r="S149" s="58" t="str">
        <f t="shared" si="20"/>
        <v/>
      </c>
      <c r="T149" s="55" t="str">
        <f t="shared" si="21"/>
        <v/>
      </c>
      <c r="U149" s="55" t="str">
        <f>IF($D149="","",IF($D149='01. CONFIGURAÇÕES'!$C$8,'01. CONFIGURAÇÕES'!$C$38,'01. CONFIGURAÇÕES'!$D$38))</f>
        <v/>
      </c>
      <c r="V149" s="58" t="str">
        <f t="shared" si="22"/>
        <v/>
      </c>
      <c r="W149" s="55" t="str">
        <f>IF($D149="","",IF($D149='01. CONFIGURAÇÕES'!$C$8,'01. CONFIGURAÇÕES'!$C$31,'01. CONFIGURAÇÕES'!$D$31))</f>
        <v/>
      </c>
      <c r="X149" s="54" t="str">
        <f>IF($A149="","",$T149*(1-'01. CONFIGURAÇÕES'!$C$16)-IF($W149="",0,$W149))</f>
        <v/>
      </c>
      <c r="Y149" s="54" t="str">
        <f t="shared" si="23"/>
        <v/>
      </c>
      <c r="Z149" s="30"/>
      <c r="AA149" s="33"/>
      <c r="AB149" s="33"/>
    </row>
    <row r="150" spans="1:28" x14ac:dyDescent="0.25">
      <c r="A150" s="31"/>
      <c r="B150" s="29" t="str">
        <f t="shared" si="16"/>
        <v/>
      </c>
      <c r="C150" s="29" t="str">
        <f>IF($A150="","","S"&amp;(INT(($A150-'01. CONFIGURAÇÕES'!$C$12)/7)+1))</f>
        <v/>
      </c>
      <c r="D150" s="30"/>
      <c r="E150" s="30"/>
      <c r="F150" s="10"/>
      <c r="G150" s="49"/>
      <c r="H150" s="49"/>
      <c r="I150" s="52" t="str">
        <f t="shared" si="17"/>
        <v/>
      </c>
      <c r="J150" s="49"/>
      <c r="K150" s="49"/>
      <c r="L150" s="49"/>
      <c r="M150" s="49"/>
      <c r="N150" s="49"/>
      <c r="O150" s="49"/>
      <c r="P150" s="10"/>
      <c r="Q150" s="11" t="str">
        <f t="shared" si="18"/>
        <v/>
      </c>
      <c r="R150" s="11" t="str">
        <f t="shared" si="19"/>
        <v/>
      </c>
      <c r="S150" s="58" t="str">
        <f t="shared" si="20"/>
        <v/>
      </c>
      <c r="T150" s="55" t="str">
        <f t="shared" si="21"/>
        <v/>
      </c>
      <c r="U150" s="55" t="str">
        <f>IF($D150="","",IF($D150='01. CONFIGURAÇÕES'!$C$8,'01. CONFIGURAÇÕES'!$C$38,'01. CONFIGURAÇÕES'!$D$38))</f>
        <v/>
      </c>
      <c r="V150" s="58" t="str">
        <f t="shared" si="22"/>
        <v/>
      </c>
      <c r="W150" s="55" t="str">
        <f>IF($D150="","",IF($D150='01. CONFIGURAÇÕES'!$C$8,'01. CONFIGURAÇÕES'!$C$31,'01. CONFIGURAÇÕES'!$D$31))</f>
        <v/>
      </c>
      <c r="X150" s="54" t="str">
        <f>IF($A150="","",$T150*(1-'01. CONFIGURAÇÕES'!$C$16)-IF($W150="",0,$W150))</f>
        <v/>
      </c>
      <c r="Y150" s="54" t="str">
        <f t="shared" si="23"/>
        <v/>
      </c>
      <c r="Z150" s="30"/>
      <c r="AA150" s="33"/>
      <c r="AB150" s="33"/>
    </row>
    <row r="151" spans="1:28" x14ac:dyDescent="0.25">
      <c r="A151" s="31"/>
      <c r="B151" s="29" t="str">
        <f t="shared" si="16"/>
        <v/>
      </c>
      <c r="C151" s="29" t="str">
        <f>IF($A151="","","S"&amp;(INT(($A151-'01. CONFIGURAÇÕES'!$C$12)/7)+1))</f>
        <v/>
      </c>
      <c r="D151" s="30"/>
      <c r="E151" s="30"/>
      <c r="F151" s="10"/>
      <c r="G151" s="49"/>
      <c r="H151" s="49"/>
      <c r="I151" s="52" t="str">
        <f t="shared" si="17"/>
        <v/>
      </c>
      <c r="J151" s="49"/>
      <c r="K151" s="49"/>
      <c r="L151" s="49"/>
      <c r="M151" s="49"/>
      <c r="N151" s="49"/>
      <c r="O151" s="49"/>
      <c r="P151" s="10"/>
      <c r="Q151" s="11" t="str">
        <f t="shared" si="18"/>
        <v/>
      </c>
      <c r="R151" s="11" t="str">
        <f t="shared" si="19"/>
        <v/>
      </c>
      <c r="S151" s="58" t="str">
        <f t="shared" si="20"/>
        <v/>
      </c>
      <c r="T151" s="55" t="str">
        <f t="shared" si="21"/>
        <v/>
      </c>
      <c r="U151" s="55" t="str">
        <f>IF($D151="","",IF($D151='01. CONFIGURAÇÕES'!$C$8,'01. CONFIGURAÇÕES'!$C$38,'01. CONFIGURAÇÕES'!$D$38))</f>
        <v/>
      </c>
      <c r="V151" s="58" t="str">
        <f t="shared" si="22"/>
        <v/>
      </c>
      <c r="W151" s="55" t="str">
        <f>IF($D151="","",IF($D151='01. CONFIGURAÇÕES'!$C$8,'01. CONFIGURAÇÕES'!$C$31,'01. CONFIGURAÇÕES'!$D$31))</f>
        <v/>
      </c>
      <c r="X151" s="54" t="str">
        <f>IF($A151="","",$T151*(1-'01. CONFIGURAÇÕES'!$C$16)-IF($W151="",0,$W151))</f>
        <v/>
      </c>
      <c r="Y151" s="54" t="str">
        <f t="shared" si="23"/>
        <v/>
      </c>
      <c r="Z151" s="30"/>
      <c r="AA151" s="33"/>
      <c r="AB151" s="33"/>
    </row>
    <row r="152" spans="1:28" x14ac:dyDescent="0.25">
      <c r="A152" s="31"/>
      <c r="B152" s="29" t="str">
        <f t="shared" si="16"/>
        <v/>
      </c>
      <c r="C152" s="29" t="str">
        <f>IF($A152="","","S"&amp;(INT(($A152-'01. CONFIGURAÇÕES'!$C$12)/7)+1))</f>
        <v/>
      </c>
      <c r="D152" s="30"/>
      <c r="E152" s="30"/>
      <c r="F152" s="10"/>
      <c r="G152" s="49"/>
      <c r="H152" s="49"/>
      <c r="I152" s="52" t="str">
        <f t="shared" si="17"/>
        <v/>
      </c>
      <c r="J152" s="49"/>
      <c r="K152" s="49"/>
      <c r="L152" s="49"/>
      <c r="M152" s="49"/>
      <c r="N152" s="49"/>
      <c r="O152" s="49"/>
      <c r="P152" s="10"/>
      <c r="Q152" s="11" t="str">
        <f t="shared" si="18"/>
        <v/>
      </c>
      <c r="R152" s="11" t="str">
        <f t="shared" si="19"/>
        <v/>
      </c>
      <c r="S152" s="58" t="str">
        <f t="shared" si="20"/>
        <v/>
      </c>
      <c r="T152" s="55" t="str">
        <f t="shared" si="21"/>
        <v/>
      </c>
      <c r="U152" s="55" t="str">
        <f>IF($D152="","",IF($D152='01. CONFIGURAÇÕES'!$C$8,'01. CONFIGURAÇÕES'!$C$38,'01. CONFIGURAÇÕES'!$D$38))</f>
        <v/>
      </c>
      <c r="V152" s="58" t="str">
        <f t="shared" si="22"/>
        <v/>
      </c>
      <c r="W152" s="55" t="str">
        <f>IF($D152="","",IF($D152='01. CONFIGURAÇÕES'!$C$8,'01. CONFIGURAÇÕES'!$C$31,'01. CONFIGURAÇÕES'!$D$31))</f>
        <v/>
      </c>
      <c r="X152" s="54" t="str">
        <f>IF($A152="","",$T152*(1-'01. CONFIGURAÇÕES'!$C$16)-IF($W152="",0,$W152))</f>
        <v/>
      </c>
      <c r="Y152" s="54" t="str">
        <f t="shared" si="23"/>
        <v/>
      </c>
      <c r="Z152" s="30"/>
      <c r="AA152" s="33"/>
      <c r="AB152" s="33"/>
    </row>
    <row r="153" spans="1:28" x14ac:dyDescent="0.25">
      <c r="A153" s="31"/>
      <c r="B153" s="29" t="str">
        <f t="shared" si="16"/>
        <v/>
      </c>
      <c r="C153" s="29" t="str">
        <f>IF($A153="","","S"&amp;(INT(($A153-'01. CONFIGURAÇÕES'!$C$12)/7)+1))</f>
        <v/>
      </c>
      <c r="D153" s="30"/>
      <c r="E153" s="30"/>
      <c r="F153" s="10"/>
      <c r="G153" s="49"/>
      <c r="H153" s="49"/>
      <c r="I153" s="52" t="str">
        <f t="shared" si="17"/>
        <v/>
      </c>
      <c r="J153" s="49"/>
      <c r="K153" s="49"/>
      <c r="L153" s="49"/>
      <c r="M153" s="49"/>
      <c r="N153" s="49"/>
      <c r="O153" s="49"/>
      <c r="P153" s="10"/>
      <c r="Q153" s="11" t="str">
        <f t="shared" si="18"/>
        <v/>
      </c>
      <c r="R153" s="11" t="str">
        <f t="shared" si="19"/>
        <v/>
      </c>
      <c r="S153" s="58" t="str">
        <f t="shared" si="20"/>
        <v/>
      </c>
      <c r="T153" s="55" t="str">
        <f t="shared" si="21"/>
        <v/>
      </c>
      <c r="U153" s="55" t="str">
        <f>IF($D153="","",IF($D153='01. CONFIGURAÇÕES'!$C$8,'01. CONFIGURAÇÕES'!$C$38,'01. CONFIGURAÇÕES'!$D$38))</f>
        <v/>
      </c>
      <c r="V153" s="58" t="str">
        <f t="shared" si="22"/>
        <v/>
      </c>
      <c r="W153" s="55" t="str">
        <f>IF($D153="","",IF($D153='01. CONFIGURAÇÕES'!$C$8,'01. CONFIGURAÇÕES'!$C$31,'01. CONFIGURAÇÕES'!$D$31))</f>
        <v/>
      </c>
      <c r="X153" s="54" t="str">
        <f>IF($A153="","",$T153*(1-'01. CONFIGURAÇÕES'!$C$16)-IF($W153="",0,$W153))</f>
        <v/>
      </c>
      <c r="Y153" s="54" t="str">
        <f t="shared" si="23"/>
        <v/>
      </c>
      <c r="Z153" s="30"/>
      <c r="AA153" s="33"/>
      <c r="AB153" s="33"/>
    </row>
    <row r="154" spans="1:28" x14ac:dyDescent="0.25">
      <c r="A154" s="31"/>
      <c r="B154" s="29" t="str">
        <f t="shared" si="16"/>
        <v/>
      </c>
      <c r="C154" s="29" t="str">
        <f>IF($A154="","","S"&amp;(INT(($A154-'01. CONFIGURAÇÕES'!$C$12)/7)+1))</f>
        <v/>
      </c>
      <c r="D154" s="30"/>
      <c r="E154" s="30"/>
      <c r="F154" s="10"/>
      <c r="G154" s="49"/>
      <c r="H154" s="49"/>
      <c r="I154" s="52" t="str">
        <f t="shared" si="17"/>
        <v/>
      </c>
      <c r="J154" s="49"/>
      <c r="K154" s="49"/>
      <c r="L154" s="49"/>
      <c r="M154" s="49"/>
      <c r="N154" s="49"/>
      <c r="O154" s="49"/>
      <c r="P154" s="10"/>
      <c r="Q154" s="11" t="str">
        <f t="shared" si="18"/>
        <v/>
      </c>
      <c r="R154" s="11" t="str">
        <f t="shared" si="19"/>
        <v/>
      </c>
      <c r="S154" s="58" t="str">
        <f t="shared" si="20"/>
        <v/>
      </c>
      <c r="T154" s="55" t="str">
        <f t="shared" si="21"/>
        <v/>
      </c>
      <c r="U154" s="55" t="str">
        <f>IF($D154="","",IF($D154='01. CONFIGURAÇÕES'!$C$8,'01. CONFIGURAÇÕES'!$C$38,'01. CONFIGURAÇÕES'!$D$38))</f>
        <v/>
      </c>
      <c r="V154" s="58" t="str">
        <f t="shared" si="22"/>
        <v/>
      </c>
      <c r="W154" s="55" t="str">
        <f>IF($D154="","",IF($D154='01. CONFIGURAÇÕES'!$C$8,'01. CONFIGURAÇÕES'!$C$31,'01. CONFIGURAÇÕES'!$D$31))</f>
        <v/>
      </c>
      <c r="X154" s="54" t="str">
        <f>IF($A154="","",$T154*(1-'01. CONFIGURAÇÕES'!$C$16)-IF($W154="",0,$W154))</f>
        <v/>
      </c>
      <c r="Y154" s="54" t="str">
        <f t="shared" si="23"/>
        <v/>
      </c>
      <c r="Z154" s="30"/>
      <c r="AA154" s="33"/>
      <c r="AB154" s="33"/>
    </row>
    <row r="155" spans="1:28" x14ac:dyDescent="0.25">
      <c r="A155" s="31"/>
      <c r="B155" s="29" t="str">
        <f t="shared" si="16"/>
        <v/>
      </c>
      <c r="C155" s="29" t="str">
        <f>IF($A155="","","S"&amp;(INT(($A155-'01. CONFIGURAÇÕES'!$C$12)/7)+1))</f>
        <v/>
      </c>
      <c r="D155" s="30"/>
      <c r="E155" s="30"/>
      <c r="F155" s="10"/>
      <c r="G155" s="49"/>
      <c r="H155" s="49"/>
      <c r="I155" s="52" t="str">
        <f t="shared" si="17"/>
        <v/>
      </c>
      <c r="J155" s="49"/>
      <c r="K155" s="49"/>
      <c r="L155" s="49"/>
      <c r="M155" s="49"/>
      <c r="N155" s="49"/>
      <c r="O155" s="49"/>
      <c r="P155" s="10"/>
      <c r="Q155" s="11" t="str">
        <f t="shared" si="18"/>
        <v/>
      </c>
      <c r="R155" s="11" t="str">
        <f t="shared" si="19"/>
        <v/>
      </c>
      <c r="S155" s="58" t="str">
        <f t="shared" si="20"/>
        <v/>
      </c>
      <c r="T155" s="55" t="str">
        <f t="shared" si="21"/>
        <v/>
      </c>
      <c r="U155" s="55" t="str">
        <f>IF($D155="","",IF($D155='01. CONFIGURAÇÕES'!$C$8,'01. CONFIGURAÇÕES'!$C$38,'01. CONFIGURAÇÕES'!$D$38))</f>
        <v/>
      </c>
      <c r="V155" s="58" t="str">
        <f t="shared" si="22"/>
        <v/>
      </c>
      <c r="W155" s="55" t="str">
        <f>IF($D155="","",IF($D155='01. CONFIGURAÇÕES'!$C$8,'01. CONFIGURAÇÕES'!$C$31,'01. CONFIGURAÇÕES'!$D$31))</f>
        <v/>
      </c>
      <c r="X155" s="54" t="str">
        <f>IF($A155="","",$T155*(1-'01. CONFIGURAÇÕES'!$C$16)-IF($W155="",0,$W155))</f>
        <v/>
      </c>
      <c r="Y155" s="54" t="str">
        <f t="shared" si="23"/>
        <v/>
      </c>
      <c r="Z155" s="30"/>
      <c r="AA155" s="33"/>
      <c r="AB155" s="33"/>
    </row>
    <row r="156" spans="1:28" x14ac:dyDescent="0.25">
      <c r="A156" s="31"/>
      <c r="B156" s="29" t="str">
        <f t="shared" si="16"/>
        <v/>
      </c>
      <c r="C156" s="29" t="str">
        <f>IF($A156="","","S"&amp;(INT(($A156-'01. CONFIGURAÇÕES'!$C$12)/7)+1))</f>
        <v/>
      </c>
      <c r="D156" s="30"/>
      <c r="E156" s="30"/>
      <c r="F156" s="10"/>
      <c r="G156" s="49"/>
      <c r="H156" s="49"/>
      <c r="I156" s="52" t="str">
        <f t="shared" si="17"/>
        <v/>
      </c>
      <c r="J156" s="49"/>
      <c r="K156" s="49"/>
      <c r="L156" s="49"/>
      <c r="M156" s="49"/>
      <c r="N156" s="49"/>
      <c r="O156" s="49"/>
      <c r="P156" s="10"/>
      <c r="Q156" s="11" t="str">
        <f t="shared" si="18"/>
        <v/>
      </c>
      <c r="R156" s="11" t="str">
        <f t="shared" si="19"/>
        <v/>
      </c>
      <c r="S156" s="58" t="str">
        <f t="shared" si="20"/>
        <v/>
      </c>
      <c r="T156" s="55" t="str">
        <f t="shared" si="21"/>
        <v/>
      </c>
      <c r="U156" s="55" t="str">
        <f>IF($D156="","",IF($D156='01. CONFIGURAÇÕES'!$C$8,'01. CONFIGURAÇÕES'!$C$38,'01. CONFIGURAÇÕES'!$D$38))</f>
        <v/>
      </c>
      <c r="V156" s="58" t="str">
        <f t="shared" si="22"/>
        <v/>
      </c>
      <c r="W156" s="55" t="str">
        <f>IF($D156="","",IF($D156='01. CONFIGURAÇÕES'!$C$8,'01. CONFIGURAÇÕES'!$C$31,'01. CONFIGURAÇÕES'!$D$31))</f>
        <v/>
      </c>
      <c r="X156" s="54" t="str">
        <f>IF($A156="","",$T156*(1-'01. CONFIGURAÇÕES'!$C$16)-IF($W156="",0,$W156))</f>
        <v/>
      </c>
      <c r="Y156" s="54" t="str">
        <f t="shared" si="23"/>
        <v/>
      </c>
      <c r="Z156" s="30"/>
      <c r="AA156" s="33"/>
      <c r="AB156" s="33"/>
    </row>
    <row r="157" spans="1:28" x14ac:dyDescent="0.25">
      <c r="A157" s="31"/>
      <c r="B157" s="29" t="str">
        <f t="shared" si="16"/>
        <v/>
      </c>
      <c r="C157" s="29" t="str">
        <f>IF($A157="","","S"&amp;(INT(($A157-'01. CONFIGURAÇÕES'!$C$12)/7)+1))</f>
        <v/>
      </c>
      <c r="D157" s="30"/>
      <c r="E157" s="30"/>
      <c r="F157" s="10"/>
      <c r="G157" s="49"/>
      <c r="H157" s="49"/>
      <c r="I157" s="52" t="str">
        <f t="shared" si="17"/>
        <v/>
      </c>
      <c r="J157" s="49"/>
      <c r="K157" s="49"/>
      <c r="L157" s="49"/>
      <c r="M157" s="49"/>
      <c r="N157" s="49"/>
      <c r="O157" s="49"/>
      <c r="P157" s="10"/>
      <c r="Q157" s="11" t="str">
        <f t="shared" si="18"/>
        <v/>
      </c>
      <c r="R157" s="11" t="str">
        <f t="shared" si="19"/>
        <v/>
      </c>
      <c r="S157" s="58" t="str">
        <f t="shared" si="20"/>
        <v/>
      </c>
      <c r="T157" s="55" t="str">
        <f t="shared" si="21"/>
        <v/>
      </c>
      <c r="U157" s="55" t="str">
        <f>IF($D157="","",IF($D157='01. CONFIGURAÇÕES'!$C$8,'01. CONFIGURAÇÕES'!$C$38,'01. CONFIGURAÇÕES'!$D$38))</f>
        <v/>
      </c>
      <c r="V157" s="58" t="str">
        <f t="shared" si="22"/>
        <v/>
      </c>
      <c r="W157" s="55" t="str">
        <f>IF($D157="","",IF($D157='01. CONFIGURAÇÕES'!$C$8,'01. CONFIGURAÇÕES'!$C$31,'01. CONFIGURAÇÕES'!$D$31))</f>
        <v/>
      </c>
      <c r="X157" s="54" t="str">
        <f>IF($A157="","",$T157*(1-'01. CONFIGURAÇÕES'!$C$16)-IF($W157="",0,$W157))</f>
        <v/>
      </c>
      <c r="Y157" s="54" t="str">
        <f t="shared" si="23"/>
        <v/>
      </c>
      <c r="Z157" s="30"/>
      <c r="AA157" s="33"/>
      <c r="AB157" s="33"/>
    </row>
    <row r="158" spans="1:28" x14ac:dyDescent="0.25">
      <c r="A158" s="31"/>
      <c r="B158" s="29" t="str">
        <f t="shared" si="16"/>
        <v/>
      </c>
      <c r="C158" s="29" t="str">
        <f>IF($A158="","","S"&amp;(INT(($A158-'01. CONFIGURAÇÕES'!$C$12)/7)+1))</f>
        <v/>
      </c>
      <c r="D158" s="30"/>
      <c r="E158" s="30"/>
      <c r="F158" s="10"/>
      <c r="G158" s="49"/>
      <c r="H158" s="49"/>
      <c r="I158" s="52" t="str">
        <f t="shared" si="17"/>
        <v/>
      </c>
      <c r="J158" s="49"/>
      <c r="K158" s="49"/>
      <c r="L158" s="49"/>
      <c r="M158" s="49"/>
      <c r="N158" s="49"/>
      <c r="O158" s="49"/>
      <c r="P158" s="10"/>
      <c r="Q158" s="11" t="str">
        <f t="shared" si="18"/>
        <v/>
      </c>
      <c r="R158" s="11" t="str">
        <f t="shared" si="19"/>
        <v/>
      </c>
      <c r="S158" s="58" t="str">
        <f t="shared" si="20"/>
        <v/>
      </c>
      <c r="T158" s="55" t="str">
        <f t="shared" si="21"/>
        <v/>
      </c>
      <c r="U158" s="55" t="str">
        <f>IF($D158="","",IF($D158='01. CONFIGURAÇÕES'!$C$8,'01. CONFIGURAÇÕES'!$C$38,'01. CONFIGURAÇÕES'!$D$38))</f>
        <v/>
      </c>
      <c r="V158" s="58" t="str">
        <f t="shared" si="22"/>
        <v/>
      </c>
      <c r="W158" s="55" t="str">
        <f>IF($D158="","",IF($D158='01. CONFIGURAÇÕES'!$C$8,'01. CONFIGURAÇÕES'!$C$31,'01. CONFIGURAÇÕES'!$D$31))</f>
        <v/>
      </c>
      <c r="X158" s="54" t="str">
        <f>IF($A158="","",$T158*(1-'01. CONFIGURAÇÕES'!$C$16)-IF($W158="",0,$W158))</f>
        <v/>
      </c>
      <c r="Y158" s="54" t="str">
        <f t="shared" si="23"/>
        <v/>
      </c>
      <c r="Z158" s="30"/>
      <c r="AA158" s="33"/>
      <c r="AB158" s="33"/>
    </row>
    <row r="159" spans="1:28" x14ac:dyDescent="0.25">
      <c r="A159" s="31"/>
      <c r="B159" s="29" t="str">
        <f t="shared" si="16"/>
        <v/>
      </c>
      <c r="C159" s="29" t="str">
        <f>IF($A159="","","S"&amp;(INT(($A159-'01. CONFIGURAÇÕES'!$C$12)/7)+1))</f>
        <v/>
      </c>
      <c r="D159" s="30"/>
      <c r="E159" s="30"/>
      <c r="F159" s="10"/>
      <c r="G159" s="49"/>
      <c r="H159" s="49"/>
      <c r="I159" s="52" t="str">
        <f t="shared" si="17"/>
        <v/>
      </c>
      <c r="J159" s="49"/>
      <c r="K159" s="49"/>
      <c r="L159" s="49"/>
      <c r="M159" s="49"/>
      <c r="N159" s="49"/>
      <c r="O159" s="49"/>
      <c r="P159" s="10"/>
      <c r="Q159" s="11" t="str">
        <f t="shared" si="18"/>
        <v/>
      </c>
      <c r="R159" s="11" t="str">
        <f t="shared" si="19"/>
        <v/>
      </c>
      <c r="S159" s="58" t="str">
        <f t="shared" si="20"/>
        <v/>
      </c>
      <c r="T159" s="55" t="str">
        <f t="shared" si="21"/>
        <v/>
      </c>
      <c r="U159" s="55" t="str">
        <f>IF($D159="","",IF($D159='01. CONFIGURAÇÕES'!$C$8,'01. CONFIGURAÇÕES'!$C$38,'01. CONFIGURAÇÕES'!$D$38))</f>
        <v/>
      </c>
      <c r="V159" s="58" t="str">
        <f t="shared" si="22"/>
        <v/>
      </c>
      <c r="W159" s="55" t="str">
        <f>IF($D159="","",IF($D159='01. CONFIGURAÇÕES'!$C$8,'01. CONFIGURAÇÕES'!$C$31,'01. CONFIGURAÇÕES'!$D$31))</f>
        <v/>
      </c>
      <c r="X159" s="54" t="str">
        <f>IF($A159="","",$T159*(1-'01. CONFIGURAÇÕES'!$C$16)-IF($W159="",0,$W159))</f>
        <v/>
      </c>
      <c r="Y159" s="54" t="str">
        <f t="shared" si="23"/>
        <v/>
      </c>
      <c r="Z159" s="30"/>
      <c r="AA159" s="33"/>
      <c r="AB159" s="33"/>
    </row>
    <row r="160" spans="1:28" x14ac:dyDescent="0.25">
      <c r="A160" s="31"/>
      <c r="B160" s="29" t="str">
        <f t="shared" si="16"/>
        <v/>
      </c>
      <c r="C160" s="29" t="str">
        <f>IF($A160="","","S"&amp;(INT(($A160-'01. CONFIGURAÇÕES'!$C$12)/7)+1))</f>
        <v/>
      </c>
      <c r="D160" s="30"/>
      <c r="E160" s="30"/>
      <c r="F160" s="10"/>
      <c r="G160" s="49"/>
      <c r="H160" s="49"/>
      <c r="I160" s="52" t="str">
        <f t="shared" si="17"/>
        <v/>
      </c>
      <c r="J160" s="49"/>
      <c r="K160" s="49"/>
      <c r="L160" s="49"/>
      <c r="M160" s="49"/>
      <c r="N160" s="49"/>
      <c r="O160" s="49"/>
      <c r="P160" s="10"/>
      <c r="Q160" s="11" t="str">
        <f t="shared" si="18"/>
        <v/>
      </c>
      <c r="R160" s="11" t="str">
        <f t="shared" si="19"/>
        <v/>
      </c>
      <c r="S160" s="58" t="str">
        <f t="shared" si="20"/>
        <v/>
      </c>
      <c r="T160" s="55" t="str">
        <f t="shared" si="21"/>
        <v/>
      </c>
      <c r="U160" s="55" t="str">
        <f>IF($D160="","",IF($D160='01. CONFIGURAÇÕES'!$C$8,'01. CONFIGURAÇÕES'!$C$38,'01. CONFIGURAÇÕES'!$D$38))</f>
        <v/>
      </c>
      <c r="V160" s="58" t="str">
        <f t="shared" si="22"/>
        <v/>
      </c>
      <c r="W160" s="55" t="str">
        <f>IF($D160="","",IF($D160='01. CONFIGURAÇÕES'!$C$8,'01. CONFIGURAÇÕES'!$C$31,'01. CONFIGURAÇÕES'!$D$31))</f>
        <v/>
      </c>
      <c r="X160" s="54" t="str">
        <f>IF($A160="","",$T160*(1-'01. CONFIGURAÇÕES'!$C$16)-IF($W160="",0,$W160))</f>
        <v/>
      </c>
      <c r="Y160" s="54" t="str">
        <f t="shared" si="23"/>
        <v/>
      </c>
      <c r="Z160" s="30"/>
      <c r="AA160" s="33"/>
      <c r="AB160" s="33"/>
    </row>
    <row r="161" spans="1:28" x14ac:dyDescent="0.25">
      <c r="A161" s="31"/>
      <c r="B161" s="29" t="str">
        <f t="shared" si="16"/>
        <v/>
      </c>
      <c r="C161" s="29" t="str">
        <f>IF($A161="","","S"&amp;(INT(($A161-'01. CONFIGURAÇÕES'!$C$12)/7)+1))</f>
        <v/>
      </c>
      <c r="D161" s="30"/>
      <c r="E161" s="30"/>
      <c r="F161" s="10"/>
      <c r="G161" s="49"/>
      <c r="H161" s="49"/>
      <c r="I161" s="52" t="str">
        <f t="shared" si="17"/>
        <v/>
      </c>
      <c r="J161" s="49"/>
      <c r="K161" s="49"/>
      <c r="L161" s="49"/>
      <c r="M161" s="49"/>
      <c r="N161" s="49"/>
      <c r="O161" s="49"/>
      <c r="P161" s="10"/>
      <c r="Q161" s="11" t="str">
        <f t="shared" si="18"/>
        <v/>
      </c>
      <c r="R161" s="11" t="str">
        <f t="shared" si="19"/>
        <v/>
      </c>
      <c r="S161" s="58" t="str">
        <f t="shared" si="20"/>
        <v/>
      </c>
      <c r="T161" s="55" t="str">
        <f t="shared" si="21"/>
        <v/>
      </c>
      <c r="U161" s="55" t="str">
        <f>IF($D161="","",IF($D161='01. CONFIGURAÇÕES'!$C$8,'01. CONFIGURAÇÕES'!$C$38,'01. CONFIGURAÇÕES'!$D$38))</f>
        <v/>
      </c>
      <c r="V161" s="58" t="str">
        <f t="shared" si="22"/>
        <v/>
      </c>
      <c r="W161" s="55" t="str">
        <f>IF($D161="","",IF($D161='01. CONFIGURAÇÕES'!$C$8,'01. CONFIGURAÇÕES'!$C$31,'01. CONFIGURAÇÕES'!$D$31))</f>
        <v/>
      </c>
      <c r="X161" s="54" t="str">
        <f>IF($A161="","",$T161*(1-'01. CONFIGURAÇÕES'!$C$16)-IF($W161="",0,$W161))</f>
        <v/>
      </c>
      <c r="Y161" s="54" t="str">
        <f t="shared" si="23"/>
        <v/>
      </c>
      <c r="Z161" s="30"/>
      <c r="AA161" s="33"/>
      <c r="AB161" s="33"/>
    </row>
    <row r="162" spans="1:28" x14ac:dyDescent="0.25">
      <c r="A162" s="31"/>
      <c r="B162" s="29" t="str">
        <f t="shared" si="16"/>
        <v/>
      </c>
      <c r="C162" s="29" t="str">
        <f>IF($A162="","","S"&amp;(INT(($A162-'01. CONFIGURAÇÕES'!$C$12)/7)+1))</f>
        <v/>
      </c>
      <c r="D162" s="30"/>
      <c r="E162" s="30"/>
      <c r="F162" s="10"/>
      <c r="G162" s="49"/>
      <c r="H162" s="49"/>
      <c r="I162" s="52" t="str">
        <f t="shared" si="17"/>
        <v/>
      </c>
      <c r="J162" s="49"/>
      <c r="K162" s="49"/>
      <c r="L162" s="49"/>
      <c r="M162" s="49"/>
      <c r="N162" s="49"/>
      <c r="O162" s="49"/>
      <c r="P162" s="10"/>
      <c r="Q162" s="11" t="str">
        <f t="shared" si="18"/>
        <v/>
      </c>
      <c r="R162" s="11" t="str">
        <f t="shared" si="19"/>
        <v/>
      </c>
      <c r="S162" s="58" t="str">
        <f t="shared" si="20"/>
        <v/>
      </c>
      <c r="T162" s="55" t="str">
        <f t="shared" si="21"/>
        <v/>
      </c>
      <c r="U162" s="55" t="str">
        <f>IF($D162="","",IF($D162='01. CONFIGURAÇÕES'!$C$8,'01. CONFIGURAÇÕES'!$C$38,'01. CONFIGURAÇÕES'!$D$38))</f>
        <v/>
      </c>
      <c r="V162" s="58" t="str">
        <f t="shared" si="22"/>
        <v/>
      </c>
      <c r="W162" s="55" t="str">
        <f>IF($D162="","",IF($D162='01. CONFIGURAÇÕES'!$C$8,'01. CONFIGURAÇÕES'!$C$31,'01. CONFIGURAÇÕES'!$D$31))</f>
        <v/>
      </c>
      <c r="X162" s="54" t="str">
        <f>IF($A162="","",$T162*(1-'01. CONFIGURAÇÕES'!$C$16)-IF($W162="",0,$W162))</f>
        <v/>
      </c>
      <c r="Y162" s="54" t="str">
        <f t="shared" si="23"/>
        <v/>
      </c>
      <c r="Z162" s="30"/>
      <c r="AA162" s="33"/>
      <c r="AB162" s="33"/>
    </row>
    <row r="163" spans="1:28" x14ac:dyDescent="0.25">
      <c r="A163" s="31"/>
      <c r="B163" s="29" t="str">
        <f t="shared" si="16"/>
        <v/>
      </c>
      <c r="C163" s="29" t="str">
        <f>IF($A163="","","S"&amp;(INT(($A163-'01. CONFIGURAÇÕES'!$C$12)/7)+1))</f>
        <v/>
      </c>
      <c r="D163" s="30"/>
      <c r="E163" s="30"/>
      <c r="F163" s="10"/>
      <c r="G163" s="49"/>
      <c r="H163" s="49"/>
      <c r="I163" s="52" t="str">
        <f t="shared" si="17"/>
        <v/>
      </c>
      <c r="J163" s="49"/>
      <c r="K163" s="49"/>
      <c r="L163" s="49"/>
      <c r="M163" s="49"/>
      <c r="N163" s="49"/>
      <c r="O163" s="49"/>
      <c r="P163" s="10"/>
      <c r="Q163" s="11" t="str">
        <f t="shared" si="18"/>
        <v/>
      </c>
      <c r="R163" s="11" t="str">
        <f t="shared" si="19"/>
        <v/>
      </c>
      <c r="S163" s="58" t="str">
        <f t="shared" si="20"/>
        <v/>
      </c>
      <c r="T163" s="55" t="str">
        <f t="shared" si="21"/>
        <v/>
      </c>
      <c r="U163" s="55" t="str">
        <f>IF($D163="","",IF($D163='01. CONFIGURAÇÕES'!$C$8,'01. CONFIGURAÇÕES'!$C$38,'01. CONFIGURAÇÕES'!$D$38))</f>
        <v/>
      </c>
      <c r="V163" s="58" t="str">
        <f t="shared" si="22"/>
        <v/>
      </c>
      <c r="W163" s="55" t="str">
        <f>IF($D163="","",IF($D163='01. CONFIGURAÇÕES'!$C$8,'01. CONFIGURAÇÕES'!$C$31,'01. CONFIGURAÇÕES'!$D$31))</f>
        <v/>
      </c>
      <c r="X163" s="54" t="str">
        <f>IF($A163="","",$T163*(1-'01. CONFIGURAÇÕES'!$C$16)-IF($W163="",0,$W163))</f>
        <v/>
      </c>
      <c r="Y163" s="54" t="str">
        <f t="shared" si="23"/>
        <v/>
      </c>
      <c r="Z163" s="30"/>
      <c r="AA163" s="33"/>
      <c r="AB163" s="33"/>
    </row>
    <row r="164" spans="1:28" x14ac:dyDescent="0.25">
      <c r="A164" s="31"/>
      <c r="B164" s="29" t="str">
        <f t="shared" si="16"/>
        <v/>
      </c>
      <c r="C164" s="29" t="str">
        <f>IF($A164="","","S"&amp;(INT(($A164-'01. CONFIGURAÇÕES'!$C$12)/7)+1))</f>
        <v/>
      </c>
      <c r="D164" s="30"/>
      <c r="E164" s="30"/>
      <c r="F164" s="10"/>
      <c r="G164" s="49"/>
      <c r="H164" s="49"/>
      <c r="I164" s="52" t="str">
        <f t="shared" si="17"/>
        <v/>
      </c>
      <c r="J164" s="49"/>
      <c r="K164" s="49"/>
      <c r="L164" s="49"/>
      <c r="M164" s="49"/>
      <c r="N164" s="49"/>
      <c r="O164" s="49"/>
      <c r="P164" s="10"/>
      <c r="Q164" s="11" t="str">
        <f t="shared" si="18"/>
        <v/>
      </c>
      <c r="R164" s="11" t="str">
        <f t="shared" si="19"/>
        <v/>
      </c>
      <c r="S164" s="58" t="str">
        <f t="shared" si="20"/>
        <v/>
      </c>
      <c r="T164" s="55" t="str">
        <f t="shared" si="21"/>
        <v/>
      </c>
      <c r="U164" s="55" t="str">
        <f>IF($D164="","",IF($D164='01. CONFIGURAÇÕES'!$C$8,'01. CONFIGURAÇÕES'!$C$38,'01. CONFIGURAÇÕES'!$D$38))</f>
        <v/>
      </c>
      <c r="V164" s="58" t="str">
        <f t="shared" si="22"/>
        <v/>
      </c>
      <c r="W164" s="55" t="str">
        <f>IF($D164="","",IF($D164='01. CONFIGURAÇÕES'!$C$8,'01. CONFIGURAÇÕES'!$C$31,'01. CONFIGURAÇÕES'!$D$31))</f>
        <v/>
      </c>
      <c r="X164" s="54" t="str">
        <f>IF($A164="","",$T164*(1-'01. CONFIGURAÇÕES'!$C$16)-IF($W164="",0,$W164))</f>
        <v/>
      </c>
      <c r="Y164" s="54" t="str">
        <f t="shared" si="23"/>
        <v/>
      </c>
      <c r="Z164" s="30"/>
      <c r="AA164" s="33"/>
      <c r="AB164" s="33"/>
    </row>
    <row r="165" spans="1:28" x14ac:dyDescent="0.25">
      <c r="A165" s="31"/>
      <c r="B165" s="29" t="str">
        <f t="shared" si="16"/>
        <v/>
      </c>
      <c r="C165" s="29" t="str">
        <f>IF($A165="","","S"&amp;(INT(($A165-'01. CONFIGURAÇÕES'!$C$12)/7)+1))</f>
        <v/>
      </c>
      <c r="D165" s="30"/>
      <c r="E165" s="30"/>
      <c r="F165" s="10"/>
      <c r="G165" s="49"/>
      <c r="H165" s="49"/>
      <c r="I165" s="52" t="str">
        <f t="shared" si="17"/>
        <v/>
      </c>
      <c r="J165" s="49"/>
      <c r="K165" s="49"/>
      <c r="L165" s="49"/>
      <c r="M165" s="49"/>
      <c r="N165" s="49"/>
      <c r="O165" s="49"/>
      <c r="P165" s="10"/>
      <c r="Q165" s="11" t="str">
        <f t="shared" si="18"/>
        <v/>
      </c>
      <c r="R165" s="11" t="str">
        <f t="shared" si="19"/>
        <v/>
      </c>
      <c r="S165" s="58" t="str">
        <f t="shared" si="20"/>
        <v/>
      </c>
      <c r="T165" s="55" t="str">
        <f t="shared" si="21"/>
        <v/>
      </c>
      <c r="U165" s="55" t="str">
        <f>IF($D165="","",IF($D165='01. CONFIGURAÇÕES'!$C$8,'01. CONFIGURAÇÕES'!$C$38,'01. CONFIGURAÇÕES'!$D$38))</f>
        <v/>
      </c>
      <c r="V165" s="58" t="str">
        <f t="shared" si="22"/>
        <v/>
      </c>
      <c r="W165" s="55" t="str">
        <f>IF($D165="","",IF($D165='01. CONFIGURAÇÕES'!$C$8,'01. CONFIGURAÇÕES'!$C$31,'01. CONFIGURAÇÕES'!$D$31))</f>
        <v/>
      </c>
      <c r="X165" s="54" t="str">
        <f>IF($A165="","",$T165*(1-'01. CONFIGURAÇÕES'!$C$16)-IF($W165="",0,$W165))</f>
        <v/>
      </c>
      <c r="Y165" s="54" t="str">
        <f t="shared" si="23"/>
        <v/>
      </c>
      <c r="Z165" s="30"/>
      <c r="AA165" s="33"/>
      <c r="AB165" s="33"/>
    </row>
    <row r="166" spans="1:28" x14ac:dyDescent="0.25">
      <c r="A166" s="31"/>
      <c r="B166" s="29" t="str">
        <f t="shared" si="16"/>
        <v/>
      </c>
      <c r="C166" s="29" t="str">
        <f>IF($A166="","","S"&amp;(INT(($A166-'01. CONFIGURAÇÕES'!$C$12)/7)+1))</f>
        <v/>
      </c>
      <c r="D166" s="30"/>
      <c r="E166" s="30"/>
      <c r="F166" s="10"/>
      <c r="G166" s="49"/>
      <c r="H166" s="49"/>
      <c r="I166" s="52" t="str">
        <f t="shared" si="17"/>
        <v/>
      </c>
      <c r="J166" s="49"/>
      <c r="K166" s="49"/>
      <c r="L166" s="49"/>
      <c r="M166" s="49"/>
      <c r="N166" s="49"/>
      <c r="O166" s="49"/>
      <c r="P166" s="10"/>
      <c r="Q166" s="11" t="str">
        <f t="shared" si="18"/>
        <v/>
      </c>
      <c r="R166" s="11" t="str">
        <f t="shared" si="19"/>
        <v/>
      </c>
      <c r="S166" s="58" t="str">
        <f t="shared" si="20"/>
        <v/>
      </c>
      <c r="T166" s="55" t="str">
        <f t="shared" si="21"/>
        <v/>
      </c>
      <c r="U166" s="55" t="str">
        <f>IF($D166="","",IF($D166='01. CONFIGURAÇÕES'!$C$8,'01. CONFIGURAÇÕES'!$C$38,'01. CONFIGURAÇÕES'!$D$38))</f>
        <v/>
      </c>
      <c r="V166" s="58" t="str">
        <f t="shared" si="22"/>
        <v/>
      </c>
      <c r="W166" s="55" t="str">
        <f>IF($D166="","",IF($D166='01. CONFIGURAÇÕES'!$C$8,'01. CONFIGURAÇÕES'!$C$31,'01. CONFIGURAÇÕES'!$D$31))</f>
        <v/>
      </c>
      <c r="X166" s="54" t="str">
        <f>IF($A166="","",$T166*(1-'01. CONFIGURAÇÕES'!$C$16)-IF($W166="",0,$W166))</f>
        <v/>
      </c>
      <c r="Y166" s="54" t="str">
        <f t="shared" si="23"/>
        <v/>
      </c>
      <c r="Z166" s="30"/>
      <c r="AA166" s="33"/>
      <c r="AB166" s="33"/>
    </row>
    <row r="167" spans="1:28" x14ac:dyDescent="0.25">
      <c r="A167" s="31"/>
      <c r="B167" s="29" t="str">
        <f t="shared" si="16"/>
        <v/>
      </c>
      <c r="C167" s="29" t="str">
        <f>IF($A167="","","S"&amp;(INT(($A167-'01. CONFIGURAÇÕES'!$C$12)/7)+1))</f>
        <v/>
      </c>
      <c r="D167" s="30"/>
      <c r="E167" s="30"/>
      <c r="F167" s="10"/>
      <c r="G167" s="49"/>
      <c r="H167" s="49"/>
      <c r="I167" s="52" t="str">
        <f t="shared" si="17"/>
        <v/>
      </c>
      <c r="J167" s="49"/>
      <c r="K167" s="49"/>
      <c r="L167" s="49"/>
      <c r="M167" s="49"/>
      <c r="N167" s="49"/>
      <c r="O167" s="49"/>
      <c r="P167" s="10"/>
      <c r="Q167" s="11" t="str">
        <f t="shared" si="18"/>
        <v/>
      </c>
      <c r="R167" s="11" t="str">
        <f t="shared" si="19"/>
        <v/>
      </c>
      <c r="S167" s="58" t="str">
        <f t="shared" si="20"/>
        <v/>
      </c>
      <c r="T167" s="55" t="str">
        <f t="shared" si="21"/>
        <v/>
      </c>
      <c r="U167" s="55" t="str">
        <f>IF($D167="","",IF($D167='01. CONFIGURAÇÕES'!$C$8,'01. CONFIGURAÇÕES'!$C$38,'01. CONFIGURAÇÕES'!$D$38))</f>
        <v/>
      </c>
      <c r="V167" s="58" t="str">
        <f t="shared" si="22"/>
        <v/>
      </c>
      <c r="W167" s="55" t="str">
        <f>IF($D167="","",IF($D167='01. CONFIGURAÇÕES'!$C$8,'01. CONFIGURAÇÕES'!$C$31,'01. CONFIGURAÇÕES'!$D$31))</f>
        <v/>
      </c>
      <c r="X167" s="54" t="str">
        <f>IF($A167="","",$T167*(1-'01. CONFIGURAÇÕES'!$C$16)-IF($W167="",0,$W167))</f>
        <v/>
      </c>
      <c r="Y167" s="54" t="str">
        <f t="shared" si="23"/>
        <v/>
      </c>
      <c r="Z167" s="30"/>
      <c r="AA167" s="33"/>
      <c r="AB167" s="33"/>
    </row>
    <row r="168" spans="1:28" x14ac:dyDescent="0.25">
      <c r="A168" s="31"/>
      <c r="B168" s="29" t="str">
        <f t="shared" si="16"/>
        <v/>
      </c>
      <c r="C168" s="29" t="str">
        <f>IF($A168="","","S"&amp;(INT(($A168-'01. CONFIGURAÇÕES'!$C$12)/7)+1))</f>
        <v/>
      </c>
      <c r="D168" s="30"/>
      <c r="E168" s="30"/>
      <c r="F168" s="10"/>
      <c r="G168" s="49"/>
      <c r="H168" s="49"/>
      <c r="I168" s="52" t="str">
        <f t="shared" si="17"/>
        <v/>
      </c>
      <c r="J168" s="49"/>
      <c r="K168" s="49"/>
      <c r="L168" s="49"/>
      <c r="M168" s="49"/>
      <c r="N168" s="49"/>
      <c r="O168" s="49"/>
      <c r="P168" s="10"/>
      <c r="Q168" s="11" t="str">
        <f t="shared" si="18"/>
        <v/>
      </c>
      <c r="R168" s="11" t="str">
        <f t="shared" si="19"/>
        <v/>
      </c>
      <c r="S168" s="58" t="str">
        <f t="shared" si="20"/>
        <v/>
      </c>
      <c r="T168" s="55" t="str">
        <f t="shared" si="21"/>
        <v/>
      </c>
      <c r="U168" s="55" t="str">
        <f>IF($D168="","",IF($D168='01. CONFIGURAÇÕES'!$C$8,'01. CONFIGURAÇÕES'!$C$38,'01. CONFIGURAÇÕES'!$D$38))</f>
        <v/>
      </c>
      <c r="V168" s="58" t="str">
        <f t="shared" si="22"/>
        <v/>
      </c>
      <c r="W168" s="55" t="str">
        <f>IF($D168="","",IF($D168='01. CONFIGURAÇÕES'!$C$8,'01. CONFIGURAÇÕES'!$C$31,'01. CONFIGURAÇÕES'!$D$31))</f>
        <v/>
      </c>
      <c r="X168" s="54" t="str">
        <f>IF($A168="","",$T168*(1-'01. CONFIGURAÇÕES'!$C$16)-IF($W168="",0,$W168))</f>
        <v/>
      </c>
      <c r="Y168" s="54" t="str">
        <f t="shared" si="23"/>
        <v/>
      </c>
      <c r="Z168" s="30"/>
      <c r="AA168" s="33"/>
      <c r="AB168" s="33"/>
    </row>
    <row r="169" spans="1:28" x14ac:dyDescent="0.25">
      <c r="A169" s="31"/>
      <c r="B169" s="29" t="str">
        <f t="shared" si="16"/>
        <v/>
      </c>
      <c r="C169" s="29" t="str">
        <f>IF($A169="","","S"&amp;(INT(($A169-'01. CONFIGURAÇÕES'!$C$12)/7)+1))</f>
        <v/>
      </c>
      <c r="D169" s="30"/>
      <c r="E169" s="30"/>
      <c r="F169" s="10"/>
      <c r="G169" s="49"/>
      <c r="H169" s="49"/>
      <c r="I169" s="52" t="str">
        <f t="shared" si="17"/>
        <v/>
      </c>
      <c r="J169" s="49"/>
      <c r="K169" s="49"/>
      <c r="L169" s="49"/>
      <c r="M169" s="49"/>
      <c r="N169" s="49"/>
      <c r="O169" s="49"/>
      <c r="P169" s="10"/>
      <c r="Q169" s="11" t="str">
        <f t="shared" si="18"/>
        <v/>
      </c>
      <c r="R169" s="11" t="str">
        <f t="shared" si="19"/>
        <v/>
      </c>
      <c r="S169" s="58" t="str">
        <f t="shared" si="20"/>
        <v/>
      </c>
      <c r="T169" s="55" t="str">
        <f t="shared" si="21"/>
        <v/>
      </c>
      <c r="U169" s="55" t="str">
        <f>IF($D169="","",IF($D169='01. CONFIGURAÇÕES'!$C$8,'01. CONFIGURAÇÕES'!$C$38,'01. CONFIGURAÇÕES'!$D$38))</f>
        <v/>
      </c>
      <c r="V169" s="58" t="str">
        <f t="shared" si="22"/>
        <v/>
      </c>
      <c r="W169" s="55" t="str">
        <f>IF($D169="","",IF($D169='01. CONFIGURAÇÕES'!$C$8,'01. CONFIGURAÇÕES'!$C$31,'01. CONFIGURAÇÕES'!$D$31))</f>
        <v/>
      </c>
      <c r="X169" s="54" t="str">
        <f>IF($A169="","",$T169*(1-'01. CONFIGURAÇÕES'!$C$16)-IF($W169="",0,$W169))</f>
        <v/>
      </c>
      <c r="Y169" s="54" t="str">
        <f t="shared" si="23"/>
        <v/>
      </c>
      <c r="Z169" s="30"/>
      <c r="AA169" s="33"/>
      <c r="AB169" s="33"/>
    </row>
    <row r="170" spans="1:28" x14ac:dyDescent="0.25">
      <c r="A170" s="31"/>
      <c r="B170" s="29" t="str">
        <f t="shared" si="16"/>
        <v/>
      </c>
      <c r="C170" s="29" t="str">
        <f>IF($A170="","","S"&amp;(INT(($A170-'01. CONFIGURAÇÕES'!$C$12)/7)+1))</f>
        <v/>
      </c>
      <c r="D170" s="30"/>
      <c r="E170" s="30"/>
      <c r="F170" s="10"/>
      <c r="G170" s="49"/>
      <c r="H170" s="49"/>
      <c r="I170" s="52" t="str">
        <f t="shared" si="17"/>
        <v/>
      </c>
      <c r="J170" s="49"/>
      <c r="K170" s="49"/>
      <c r="L170" s="49"/>
      <c r="M170" s="49"/>
      <c r="N170" s="49"/>
      <c r="O170" s="49"/>
      <c r="P170" s="10"/>
      <c r="Q170" s="11" t="str">
        <f t="shared" si="18"/>
        <v/>
      </c>
      <c r="R170" s="11" t="str">
        <f t="shared" si="19"/>
        <v/>
      </c>
      <c r="S170" s="58" t="str">
        <f t="shared" si="20"/>
        <v/>
      </c>
      <c r="T170" s="55" t="str">
        <f t="shared" si="21"/>
        <v/>
      </c>
      <c r="U170" s="55" t="str">
        <f>IF($D170="","",IF($D170='01. CONFIGURAÇÕES'!$C$8,'01. CONFIGURAÇÕES'!$C$38,'01. CONFIGURAÇÕES'!$D$38))</f>
        <v/>
      </c>
      <c r="V170" s="58" t="str">
        <f t="shared" si="22"/>
        <v/>
      </c>
      <c r="W170" s="55" t="str">
        <f>IF($D170="","",IF($D170='01. CONFIGURAÇÕES'!$C$8,'01. CONFIGURAÇÕES'!$C$31,'01. CONFIGURAÇÕES'!$D$31))</f>
        <v/>
      </c>
      <c r="X170" s="54" t="str">
        <f>IF($A170="","",$T170*(1-'01. CONFIGURAÇÕES'!$C$16)-IF($W170="",0,$W170))</f>
        <v/>
      </c>
      <c r="Y170" s="54" t="str">
        <f t="shared" si="23"/>
        <v/>
      </c>
      <c r="Z170" s="30"/>
      <c r="AA170" s="33"/>
      <c r="AB170" s="33"/>
    </row>
    <row r="171" spans="1:28" x14ac:dyDescent="0.25">
      <c r="A171" s="31"/>
      <c r="B171" s="29" t="str">
        <f t="shared" si="16"/>
        <v/>
      </c>
      <c r="C171" s="29" t="str">
        <f>IF($A171="","","S"&amp;(INT(($A171-'01. CONFIGURAÇÕES'!$C$12)/7)+1))</f>
        <v/>
      </c>
      <c r="D171" s="30"/>
      <c r="E171" s="30"/>
      <c r="F171" s="10"/>
      <c r="G171" s="49"/>
      <c r="H171" s="49"/>
      <c r="I171" s="52" t="str">
        <f t="shared" si="17"/>
        <v/>
      </c>
      <c r="J171" s="49"/>
      <c r="K171" s="49"/>
      <c r="L171" s="49"/>
      <c r="M171" s="49"/>
      <c r="N171" s="49"/>
      <c r="O171" s="49"/>
      <c r="P171" s="10"/>
      <c r="Q171" s="11" t="str">
        <f t="shared" si="18"/>
        <v/>
      </c>
      <c r="R171" s="11" t="str">
        <f t="shared" si="19"/>
        <v/>
      </c>
      <c r="S171" s="58" t="str">
        <f t="shared" si="20"/>
        <v/>
      </c>
      <c r="T171" s="55" t="str">
        <f t="shared" si="21"/>
        <v/>
      </c>
      <c r="U171" s="55" t="str">
        <f>IF($D171="","",IF($D171='01. CONFIGURAÇÕES'!$C$8,'01. CONFIGURAÇÕES'!$C$38,'01. CONFIGURAÇÕES'!$D$38))</f>
        <v/>
      </c>
      <c r="V171" s="58" t="str">
        <f t="shared" si="22"/>
        <v/>
      </c>
      <c r="W171" s="55" t="str">
        <f>IF($D171="","",IF($D171='01. CONFIGURAÇÕES'!$C$8,'01. CONFIGURAÇÕES'!$C$31,'01. CONFIGURAÇÕES'!$D$31))</f>
        <v/>
      </c>
      <c r="X171" s="54" t="str">
        <f>IF($A171="","",$T171*(1-'01. CONFIGURAÇÕES'!$C$16)-IF($W171="",0,$W171))</f>
        <v/>
      </c>
      <c r="Y171" s="54" t="str">
        <f t="shared" si="23"/>
        <v/>
      </c>
      <c r="Z171" s="30"/>
      <c r="AA171" s="33"/>
      <c r="AB171" s="33"/>
    </row>
    <row r="172" spans="1:28" x14ac:dyDescent="0.25">
      <c r="A172" s="31"/>
      <c r="B172" s="29" t="str">
        <f t="shared" si="16"/>
        <v/>
      </c>
      <c r="C172" s="29" t="str">
        <f>IF($A172="","","S"&amp;(INT(($A172-'01. CONFIGURAÇÕES'!$C$12)/7)+1))</f>
        <v/>
      </c>
      <c r="D172" s="30"/>
      <c r="E172" s="30"/>
      <c r="F172" s="10"/>
      <c r="G172" s="49"/>
      <c r="H172" s="49"/>
      <c r="I172" s="52" t="str">
        <f t="shared" si="17"/>
        <v/>
      </c>
      <c r="J172" s="49"/>
      <c r="K172" s="49"/>
      <c r="L172" s="49"/>
      <c r="M172" s="49"/>
      <c r="N172" s="49"/>
      <c r="O172" s="49"/>
      <c r="P172" s="10"/>
      <c r="Q172" s="11" t="str">
        <f t="shared" si="18"/>
        <v/>
      </c>
      <c r="R172" s="11" t="str">
        <f t="shared" si="19"/>
        <v/>
      </c>
      <c r="S172" s="58" t="str">
        <f t="shared" si="20"/>
        <v/>
      </c>
      <c r="T172" s="55" t="str">
        <f t="shared" si="21"/>
        <v/>
      </c>
      <c r="U172" s="55" t="str">
        <f>IF($D172="","",IF($D172='01. CONFIGURAÇÕES'!$C$8,'01. CONFIGURAÇÕES'!$C$38,'01. CONFIGURAÇÕES'!$D$38))</f>
        <v/>
      </c>
      <c r="V172" s="58" t="str">
        <f t="shared" si="22"/>
        <v/>
      </c>
      <c r="W172" s="55" t="str">
        <f>IF($D172="","",IF($D172='01. CONFIGURAÇÕES'!$C$8,'01. CONFIGURAÇÕES'!$C$31,'01. CONFIGURAÇÕES'!$D$31))</f>
        <v/>
      </c>
      <c r="X172" s="54" t="str">
        <f>IF($A172="","",$T172*(1-'01. CONFIGURAÇÕES'!$C$16)-IF($W172="",0,$W172))</f>
        <v/>
      </c>
      <c r="Y172" s="54" t="str">
        <f t="shared" si="23"/>
        <v/>
      </c>
      <c r="Z172" s="30"/>
      <c r="AA172" s="33"/>
      <c r="AB172" s="33"/>
    </row>
    <row r="173" spans="1:28" x14ac:dyDescent="0.25">
      <c r="A173" s="31"/>
      <c r="B173" s="29" t="str">
        <f t="shared" si="16"/>
        <v/>
      </c>
      <c r="C173" s="29" t="str">
        <f>IF($A173="","","S"&amp;(INT(($A173-'01. CONFIGURAÇÕES'!$C$12)/7)+1))</f>
        <v/>
      </c>
      <c r="D173" s="30"/>
      <c r="E173" s="30"/>
      <c r="F173" s="10"/>
      <c r="G173" s="49"/>
      <c r="H173" s="49"/>
      <c r="I173" s="52" t="str">
        <f t="shared" si="17"/>
        <v/>
      </c>
      <c r="J173" s="49"/>
      <c r="K173" s="49"/>
      <c r="L173" s="49"/>
      <c r="M173" s="49"/>
      <c r="N173" s="49"/>
      <c r="O173" s="49"/>
      <c r="P173" s="10"/>
      <c r="Q173" s="11" t="str">
        <f t="shared" si="18"/>
        <v/>
      </c>
      <c r="R173" s="11" t="str">
        <f t="shared" si="19"/>
        <v/>
      </c>
      <c r="S173" s="58" t="str">
        <f t="shared" si="20"/>
        <v/>
      </c>
      <c r="T173" s="55" t="str">
        <f t="shared" si="21"/>
        <v/>
      </c>
      <c r="U173" s="55" t="str">
        <f>IF($D173="","",IF($D173='01. CONFIGURAÇÕES'!$C$8,'01. CONFIGURAÇÕES'!$C$38,'01. CONFIGURAÇÕES'!$D$38))</f>
        <v/>
      </c>
      <c r="V173" s="58" t="str">
        <f t="shared" si="22"/>
        <v/>
      </c>
      <c r="W173" s="55" t="str">
        <f>IF($D173="","",IF($D173='01. CONFIGURAÇÕES'!$C$8,'01. CONFIGURAÇÕES'!$C$31,'01. CONFIGURAÇÕES'!$D$31))</f>
        <v/>
      </c>
      <c r="X173" s="54" t="str">
        <f>IF($A173="","",$T173*(1-'01. CONFIGURAÇÕES'!$C$16)-IF($W173="",0,$W173))</f>
        <v/>
      </c>
      <c r="Y173" s="54" t="str">
        <f t="shared" si="23"/>
        <v/>
      </c>
      <c r="Z173" s="30"/>
      <c r="AA173" s="33"/>
      <c r="AB173" s="33"/>
    </row>
    <row r="174" spans="1:28" x14ac:dyDescent="0.25">
      <c r="A174" s="31"/>
      <c r="B174" s="29" t="str">
        <f t="shared" si="16"/>
        <v/>
      </c>
      <c r="C174" s="29" t="str">
        <f>IF($A174="","","S"&amp;(INT(($A174-'01. CONFIGURAÇÕES'!$C$12)/7)+1))</f>
        <v/>
      </c>
      <c r="D174" s="30"/>
      <c r="E174" s="30"/>
      <c r="F174" s="10"/>
      <c r="G174" s="49"/>
      <c r="H174" s="49"/>
      <c r="I174" s="52" t="str">
        <f t="shared" si="17"/>
        <v/>
      </c>
      <c r="J174" s="49"/>
      <c r="K174" s="49"/>
      <c r="L174" s="49"/>
      <c r="M174" s="49"/>
      <c r="N174" s="49"/>
      <c r="O174" s="49"/>
      <c r="P174" s="10"/>
      <c r="Q174" s="11" t="str">
        <f t="shared" si="18"/>
        <v/>
      </c>
      <c r="R174" s="11" t="str">
        <f t="shared" si="19"/>
        <v/>
      </c>
      <c r="S174" s="58" t="str">
        <f t="shared" si="20"/>
        <v/>
      </c>
      <c r="T174" s="55" t="str">
        <f t="shared" si="21"/>
        <v/>
      </c>
      <c r="U174" s="55" t="str">
        <f>IF($D174="","",IF($D174='01. CONFIGURAÇÕES'!$C$8,'01. CONFIGURAÇÕES'!$C$38,'01. CONFIGURAÇÕES'!$D$38))</f>
        <v/>
      </c>
      <c r="V174" s="58" t="str">
        <f t="shared" si="22"/>
        <v/>
      </c>
      <c r="W174" s="55" t="str">
        <f>IF($D174="","",IF($D174='01. CONFIGURAÇÕES'!$C$8,'01. CONFIGURAÇÕES'!$C$31,'01. CONFIGURAÇÕES'!$D$31))</f>
        <v/>
      </c>
      <c r="X174" s="54" t="str">
        <f>IF($A174="","",$T174*(1-'01. CONFIGURAÇÕES'!$C$16)-IF($W174="",0,$W174))</f>
        <v/>
      </c>
      <c r="Y174" s="54" t="str">
        <f t="shared" si="23"/>
        <v/>
      </c>
      <c r="Z174" s="30"/>
      <c r="AA174" s="33"/>
      <c r="AB174" s="33"/>
    </row>
    <row r="175" spans="1:28" x14ac:dyDescent="0.25">
      <c r="A175" s="31"/>
      <c r="B175" s="29" t="str">
        <f t="shared" si="16"/>
        <v/>
      </c>
      <c r="C175" s="29" t="str">
        <f>IF($A175="","","S"&amp;(INT(($A175-'01. CONFIGURAÇÕES'!$C$12)/7)+1))</f>
        <v/>
      </c>
      <c r="D175" s="30"/>
      <c r="E175" s="30"/>
      <c r="F175" s="10"/>
      <c r="G175" s="49"/>
      <c r="H175" s="49"/>
      <c r="I175" s="52" t="str">
        <f t="shared" si="17"/>
        <v/>
      </c>
      <c r="J175" s="49"/>
      <c r="K175" s="49"/>
      <c r="L175" s="49"/>
      <c r="M175" s="49"/>
      <c r="N175" s="49"/>
      <c r="O175" s="49"/>
      <c r="P175" s="10"/>
      <c r="Q175" s="11" t="str">
        <f t="shared" si="18"/>
        <v/>
      </c>
      <c r="R175" s="11" t="str">
        <f t="shared" si="19"/>
        <v/>
      </c>
      <c r="S175" s="58" t="str">
        <f t="shared" si="20"/>
        <v/>
      </c>
      <c r="T175" s="55" t="str">
        <f t="shared" si="21"/>
        <v/>
      </c>
      <c r="U175" s="55" t="str">
        <f>IF($D175="","",IF($D175='01. CONFIGURAÇÕES'!$C$8,'01. CONFIGURAÇÕES'!$C$38,'01. CONFIGURAÇÕES'!$D$38))</f>
        <v/>
      </c>
      <c r="V175" s="58" t="str">
        <f t="shared" si="22"/>
        <v/>
      </c>
      <c r="W175" s="55" t="str">
        <f>IF($D175="","",IF($D175='01. CONFIGURAÇÕES'!$C$8,'01. CONFIGURAÇÕES'!$C$31,'01. CONFIGURAÇÕES'!$D$31))</f>
        <v/>
      </c>
      <c r="X175" s="54" t="str">
        <f>IF($A175="","",$T175*(1-'01. CONFIGURAÇÕES'!$C$16)-IF($W175="",0,$W175))</f>
        <v/>
      </c>
      <c r="Y175" s="54" t="str">
        <f t="shared" si="23"/>
        <v/>
      </c>
      <c r="Z175" s="30"/>
      <c r="AA175" s="33"/>
      <c r="AB175" s="33"/>
    </row>
    <row r="176" spans="1:28" x14ac:dyDescent="0.25">
      <c r="A176" s="31"/>
      <c r="B176" s="29" t="str">
        <f t="shared" si="16"/>
        <v/>
      </c>
      <c r="C176" s="29" t="str">
        <f>IF($A176="","","S"&amp;(INT(($A176-'01. CONFIGURAÇÕES'!$C$12)/7)+1))</f>
        <v/>
      </c>
      <c r="D176" s="30"/>
      <c r="E176" s="30"/>
      <c r="F176" s="10"/>
      <c r="G176" s="49"/>
      <c r="H176" s="49"/>
      <c r="I176" s="52" t="str">
        <f t="shared" si="17"/>
        <v/>
      </c>
      <c r="J176" s="49"/>
      <c r="K176" s="49"/>
      <c r="L176" s="49"/>
      <c r="M176" s="49"/>
      <c r="N176" s="49"/>
      <c r="O176" s="49"/>
      <c r="P176" s="10"/>
      <c r="Q176" s="11" t="str">
        <f t="shared" si="18"/>
        <v/>
      </c>
      <c r="R176" s="11" t="str">
        <f t="shared" si="19"/>
        <v/>
      </c>
      <c r="S176" s="58" t="str">
        <f t="shared" si="20"/>
        <v/>
      </c>
      <c r="T176" s="55" t="str">
        <f t="shared" si="21"/>
        <v/>
      </c>
      <c r="U176" s="55" t="str">
        <f>IF($D176="","",IF($D176='01. CONFIGURAÇÕES'!$C$8,'01. CONFIGURAÇÕES'!$C$38,'01. CONFIGURAÇÕES'!$D$38))</f>
        <v/>
      </c>
      <c r="V176" s="58" t="str">
        <f t="shared" si="22"/>
        <v/>
      </c>
      <c r="W176" s="55" t="str">
        <f>IF($D176="","",IF($D176='01. CONFIGURAÇÕES'!$C$8,'01. CONFIGURAÇÕES'!$C$31,'01. CONFIGURAÇÕES'!$D$31))</f>
        <v/>
      </c>
      <c r="X176" s="54" t="str">
        <f>IF($A176="","",$T176*(1-'01. CONFIGURAÇÕES'!$C$16)-IF($W176="",0,$W176))</f>
        <v/>
      </c>
      <c r="Y176" s="54" t="str">
        <f t="shared" si="23"/>
        <v/>
      </c>
      <c r="Z176" s="30"/>
      <c r="AA176" s="33"/>
      <c r="AB176" s="33"/>
    </row>
    <row r="177" spans="1:28" x14ac:dyDescent="0.25">
      <c r="A177" s="31"/>
      <c r="B177" s="29" t="str">
        <f t="shared" si="16"/>
        <v/>
      </c>
      <c r="C177" s="29" t="str">
        <f>IF($A177="","","S"&amp;(INT(($A177-'01. CONFIGURAÇÕES'!$C$12)/7)+1))</f>
        <v/>
      </c>
      <c r="D177" s="30"/>
      <c r="E177" s="30"/>
      <c r="F177" s="10"/>
      <c r="G177" s="49"/>
      <c r="H177" s="49"/>
      <c r="I177" s="52" t="str">
        <f t="shared" si="17"/>
        <v/>
      </c>
      <c r="J177" s="49"/>
      <c r="K177" s="49"/>
      <c r="L177" s="49"/>
      <c r="M177" s="49"/>
      <c r="N177" s="49"/>
      <c r="O177" s="49"/>
      <c r="P177" s="10"/>
      <c r="Q177" s="11" t="str">
        <f t="shared" si="18"/>
        <v/>
      </c>
      <c r="R177" s="11" t="str">
        <f t="shared" si="19"/>
        <v/>
      </c>
      <c r="S177" s="58" t="str">
        <f t="shared" si="20"/>
        <v/>
      </c>
      <c r="T177" s="55" t="str">
        <f t="shared" si="21"/>
        <v/>
      </c>
      <c r="U177" s="55" t="str">
        <f>IF($D177="","",IF($D177='01. CONFIGURAÇÕES'!$C$8,'01. CONFIGURAÇÕES'!$C$38,'01. CONFIGURAÇÕES'!$D$38))</f>
        <v/>
      </c>
      <c r="V177" s="58" t="str">
        <f t="shared" si="22"/>
        <v/>
      </c>
      <c r="W177" s="55" t="str">
        <f>IF($D177="","",IF($D177='01. CONFIGURAÇÕES'!$C$8,'01. CONFIGURAÇÕES'!$C$31,'01. CONFIGURAÇÕES'!$D$31))</f>
        <v/>
      </c>
      <c r="X177" s="54" t="str">
        <f>IF($A177="","",$T177*(1-'01. CONFIGURAÇÕES'!$C$16)-IF($W177="",0,$W177))</f>
        <v/>
      </c>
      <c r="Y177" s="54" t="str">
        <f t="shared" si="23"/>
        <v/>
      </c>
      <c r="Z177" s="30"/>
      <c r="AA177" s="33"/>
      <c r="AB177" s="33"/>
    </row>
    <row r="178" spans="1:28" x14ac:dyDescent="0.25">
      <c r="A178" s="31"/>
      <c r="B178" s="29" t="str">
        <f t="shared" si="16"/>
        <v/>
      </c>
      <c r="C178" s="29" t="str">
        <f>IF($A178="","","S"&amp;(INT(($A178-'01. CONFIGURAÇÕES'!$C$12)/7)+1))</f>
        <v/>
      </c>
      <c r="D178" s="30"/>
      <c r="E178" s="30"/>
      <c r="F178" s="10"/>
      <c r="G178" s="49"/>
      <c r="H178" s="49"/>
      <c r="I178" s="52" t="str">
        <f t="shared" si="17"/>
        <v/>
      </c>
      <c r="J178" s="49"/>
      <c r="K178" s="49"/>
      <c r="L178" s="49"/>
      <c r="M178" s="49"/>
      <c r="N178" s="49"/>
      <c r="O178" s="49"/>
      <c r="P178" s="10"/>
      <c r="Q178" s="11" t="str">
        <f t="shared" si="18"/>
        <v/>
      </c>
      <c r="R178" s="11" t="str">
        <f t="shared" si="19"/>
        <v/>
      </c>
      <c r="S178" s="58" t="str">
        <f t="shared" si="20"/>
        <v/>
      </c>
      <c r="T178" s="55" t="str">
        <f t="shared" si="21"/>
        <v/>
      </c>
      <c r="U178" s="55" t="str">
        <f>IF($D178="","",IF($D178='01. CONFIGURAÇÕES'!$C$8,'01. CONFIGURAÇÕES'!$C$38,'01. CONFIGURAÇÕES'!$D$38))</f>
        <v/>
      </c>
      <c r="V178" s="58" t="str">
        <f t="shared" si="22"/>
        <v/>
      </c>
      <c r="W178" s="55" t="str">
        <f>IF($D178="","",IF($D178='01. CONFIGURAÇÕES'!$C$8,'01. CONFIGURAÇÕES'!$C$31,'01. CONFIGURAÇÕES'!$D$31))</f>
        <v/>
      </c>
      <c r="X178" s="54" t="str">
        <f>IF($A178="","",$T178*(1-'01. CONFIGURAÇÕES'!$C$16)-IF($W178="",0,$W178))</f>
        <v/>
      </c>
      <c r="Y178" s="54" t="str">
        <f t="shared" si="23"/>
        <v/>
      </c>
      <c r="Z178" s="30"/>
      <c r="AA178" s="33"/>
      <c r="AB178" s="33"/>
    </row>
    <row r="179" spans="1:28" x14ac:dyDescent="0.25">
      <c r="A179" s="31"/>
      <c r="B179" s="29" t="str">
        <f t="shared" si="16"/>
        <v/>
      </c>
      <c r="C179" s="29" t="str">
        <f>IF($A179="","","S"&amp;(INT(($A179-'01. CONFIGURAÇÕES'!$C$12)/7)+1))</f>
        <v/>
      </c>
      <c r="D179" s="30"/>
      <c r="E179" s="30"/>
      <c r="F179" s="10"/>
      <c r="G179" s="49"/>
      <c r="H179" s="49"/>
      <c r="I179" s="52" t="str">
        <f t="shared" si="17"/>
        <v/>
      </c>
      <c r="J179" s="49"/>
      <c r="K179" s="49"/>
      <c r="L179" s="49"/>
      <c r="M179" s="49"/>
      <c r="N179" s="49"/>
      <c r="O179" s="49"/>
      <c r="P179" s="10"/>
      <c r="Q179" s="11" t="str">
        <f t="shared" si="18"/>
        <v/>
      </c>
      <c r="R179" s="11" t="str">
        <f t="shared" si="19"/>
        <v/>
      </c>
      <c r="S179" s="58" t="str">
        <f t="shared" si="20"/>
        <v/>
      </c>
      <c r="T179" s="55" t="str">
        <f t="shared" si="21"/>
        <v/>
      </c>
      <c r="U179" s="55" t="str">
        <f>IF($D179="","",IF($D179='01. CONFIGURAÇÕES'!$C$8,'01. CONFIGURAÇÕES'!$C$38,'01. CONFIGURAÇÕES'!$D$38))</f>
        <v/>
      </c>
      <c r="V179" s="58" t="str">
        <f t="shared" si="22"/>
        <v/>
      </c>
      <c r="W179" s="55" t="str">
        <f>IF($D179="","",IF($D179='01. CONFIGURAÇÕES'!$C$8,'01. CONFIGURAÇÕES'!$C$31,'01. CONFIGURAÇÕES'!$D$31))</f>
        <v/>
      </c>
      <c r="X179" s="54" t="str">
        <f>IF($A179="","",$T179*(1-'01. CONFIGURAÇÕES'!$C$16)-IF($W179="",0,$W179))</f>
        <v/>
      </c>
      <c r="Y179" s="54" t="str">
        <f t="shared" si="23"/>
        <v/>
      </c>
      <c r="Z179" s="30"/>
      <c r="AA179" s="33"/>
      <c r="AB179" s="33"/>
    </row>
    <row r="180" spans="1:28" x14ac:dyDescent="0.25">
      <c r="A180" s="31"/>
      <c r="B180" s="29" t="str">
        <f t="shared" si="16"/>
        <v/>
      </c>
      <c r="C180" s="29" t="str">
        <f>IF($A180="","","S"&amp;(INT(($A180-'01. CONFIGURAÇÕES'!$C$12)/7)+1))</f>
        <v/>
      </c>
      <c r="D180" s="30"/>
      <c r="E180" s="30"/>
      <c r="F180" s="10"/>
      <c r="G180" s="49"/>
      <c r="H180" s="49"/>
      <c r="I180" s="52" t="str">
        <f t="shared" si="17"/>
        <v/>
      </c>
      <c r="J180" s="49"/>
      <c r="K180" s="49"/>
      <c r="L180" s="49"/>
      <c r="M180" s="49"/>
      <c r="N180" s="49"/>
      <c r="O180" s="49"/>
      <c r="P180" s="10"/>
      <c r="Q180" s="11" t="str">
        <f t="shared" si="18"/>
        <v/>
      </c>
      <c r="R180" s="11" t="str">
        <f t="shared" si="19"/>
        <v/>
      </c>
      <c r="S180" s="58" t="str">
        <f t="shared" si="20"/>
        <v/>
      </c>
      <c r="T180" s="55" t="str">
        <f t="shared" si="21"/>
        <v/>
      </c>
      <c r="U180" s="55" t="str">
        <f>IF($D180="","",IF($D180='01. CONFIGURAÇÕES'!$C$8,'01. CONFIGURAÇÕES'!$C$38,'01. CONFIGURAÇÕES'!$D$38))</f>
        <v/>
      </c>
      <c r="V180" s="58" t="str">
        <f t="shared" si="22"/>
        <v/>
      </c>
      <c r="W180" s="55" t="str">
        <f>IF($D180="","",IF($D180='01. CONFIGURAÇÕES'!$C$8,'01. CONFIGURAÇÕES'!$C$31,'01. CONFIGURAÇÕES'!$D$31))</f>
        <v/>
      </c>
      <c r="X180" s="54" t="str">
        <f>IF($A180="","",$T180*(1-'01. CONFIGURAÇÕES'!$C$16)-IF($W180="",0,$W180))</f>
        <v/>
      </c>
      <c r="Y180" s="54" t="str">
        <f t="shared" si="23"/>
        <v/>
      </c>
      <c r="Z180" s="30"/>
      <c r="AA180" s="33"/>
      <c r="AB180" s="33"/>
    </row>
    <row r="181" spans="1:28" x14ac:dyDescent="0.25">
      <c r="A181" s="31"/>
      <c r="B181" s="29" t="str">
        <f t="shared" si="16"/>
        <v/>
      </c>
      <c r="C181" s="29" t="str">
        <f>IF($A181="","","S"&amp;(INT(($A181-'01. CONFIGURAÇÕES'!$C$12)/7)+1))</f>
        <v/>
      </c>
      <c r="D181" s="30"/>
      <c r="E181" s="30"/>
      <c r="F181" s="10"/>
      <c r="G181" s="49"/>
      <c r="H181" s="49"/>
      <c r="I181" s="52" t="str">
        <f t="shared" si="17"/>
        <v/>
      </c>
      <c r="J181" s="49"/>
      <c r="K181" s="49"/>
      <c r="L181" s="49"/>
      <c r="M181" s="49"/>
      <c r="N181" s="49"/>
      <c r="O181" s="49"/>
      <c r="P181" s="10"/>
      <c r="Q181" s="11" t="str">
        <f t="shared" si="18"/>
        <v/>
      </c>
      <c r="R181" s="11" t="str">
        <f t="shared" si="19"/>
        <v/>
      </c>
      <c r="S181" s="58" t="str">
        <f t="shared" si="20"/>
        <v/>
      </c>
      <c r="T181" s="55" t="str">
        <f t="shared" si="21"/>
        <v/>
      </c>
      <c r="U181" s="55" t="str">
        <f>IF($D181="","",IF($D181='01. CONFIGURAÇÕES'!$C$8,'01. CONFIGURAÇÕES'!$C$38,'01. CONFIGURAÇÕES'!$D$38))</f>
        <v/>
      </c>
      <c r="V181" s="58" t="str">
        <f t="shared" si="22"/>
        <v/>
      </c>
      <c r="W181" s="55" t="str">
        <f>IF($D181="","",IF($D181='01. CONFIGURAÇÕES'!$C$8,'01. CONFIGURAÇÕES'!$C$31,'01. CONFIGURAÇÕES'!$D$31))</f>
        <v/>
      </c>
      <c r="X181" s="54" t="str">
        <f>IF($A181="","",$T181*(1-'01. CONFIGURAÇÕES'!$C$16)-IF($W181="",0,$W181))</f>
        <v/>
      </c>
      <c r="Y181" s="54" t="str">
        <f t="shared" si="23"/>
        <v/>
      </c>
      <c r="Z181" s="30"/>
      <c r="AA181" s="33"/>
      <c r="AB181" s="33"/>
    </row>
    <row r="182" spans="1:28" x14ac:dyDescent="0.25">
      <c r="A182" s="31"/>
      <c r="B182" s="29" t="str">
        <f t="shared" si="16"/>
        <v/>
      </c>
      <c r="C182" s="29" t="str">
        <f>IF($A182="","","S"&amp;(INT(($A182-'01. CONFIGURAÇÕES'!$C$12)/7)+1))</f>
        <v/>
      </c>
      <c r="D182" s="30"/>
      <c r="E182" s="30"/>
      <c r="F182" s="10"/>
      <c r="G182" s="49"/>
      <c r="H182" s="49"/>
      <c r="I182" s="52" t="str">
        <f t="shared" si="17"/>
        <v/>
      </c>
      <c r="J182" s="49"/>
      <c r="K182" s="49"/>
      <c r="L182" s="49"/>
      <c r="M182" s="49"/>
      <c r="N182" s="49"/>
      <c r="O182" s="49"/>
      <c r="P182" s="10"/>
      <c r="Q182" s="11" t="str">
        <f t="shared" si="18"/>
        <v/>
      </c>
      <c r="R182" s="11" t="str">
        <f t="shared" si="19"/>
        <v/>
      </c>
      <c r="S182" s="58" t="str">
        <f t="shared" si="20"/>
        <v/>
      </c>
      <c r="T182" s="55" t="str">
        <f t="shared" si="21"/>
        <v/>
      </c>
      <c r="U182" s="55" t="str">
        <f>IF($D182="","",IF($D182='01. CONFIGURAÇÕES'!$C$8,'01. CONFIGURAÇÕES'!$C$38,'01. CONFIGURAÇÕES'!$D$38))</f>
        <v/>
      </c>
      <c r="V182" s="58" t="str">
        <f t="shared" si="22"/>
        <v/>
      </c>
      <c r="W182" s="55" t="str">
        <f>IF($D182="","",IF($D182='01. CONFIGURAÇÕES'!$C$8,'01. CONFIGURAÇÕES'!$C$31,'01. CONFIGURAÇÕES'!$D$31))</f>
        <v/>
      </c>
      <c r="X182" s="54" t="str">
        <f>IF($A182="","",$T182*(1-'01. CONFIGURAÇÕES'!$C$16)-IF($W182="",0,$W182))</f>
        <v/>
      </c>
      <c r="Y182" s="54" t="str">
        <f t="shared" si="23"/>
        <v/>
      </c>
      <c r="Z182" s="30"/>
      <c r="AA182" s="33"/>
      <c r="AB182" s="33"/>
    </row>
    <row r="183" spans="1:28" x14ac:dyDescent="0.25">
      <c r="A183" s="31"/>
      <c r="B183" s="29" t="str">
        <f t="shared" si="16"/>
        <v/>
      </c>
      <c r="C183" s="29" t="str">
        <f>IF($A183="","","S"&amp;(INT(($A183-'01. CONFIGURAÇÕES'!$C$12)/7)+1))</f>
        <v/>
      </c>
      <c r="D183" s="30"/>
      <c r="E183" s="30"/>
      <c r="F183" s="10"/>
      <c r="G183" s="49"/>
      <c r="H183" s="49"/>
      <c r="I183" s="52" t="str">
        <f t="shared" si="17"/>
        <v/>
      </c>
      <c r="J183" s="49"/>
      <c r="K183" s="49"/>
      <c r="L183" s="49"/>
      <c r="M183" s="49"/>
      <c r="N183" s="49"/>
      <c r="O183" s="49"/>
      <c r="P183" s="10"/>
      <c r="Q183" s="11" t="str">
        <f t="shared" si="18"/>
        <v/>
      </c>
      <c r="R183" s="11" t="str">
        <f t="shared" si="19"/>
        <v/>
      </c>
      <c r="S183" s="58" t="str">
        <f t="shared" si="20"/>
        <v/>
      </c>
      <c r="T183" s="55" t="str">
        <f t="shared" si="21"/>
        <v/>
      </c>
      <c r="U183" s="55" t="str">
        <f>IF($D183="","",IF($D183='01. CONFIGURAÇÕES'!$C$8,'01. CONFIGURAÇÕES'!$C$38,'01. CONFIGURAÇÕES'!$D$38))</f>
        <v/>
      </c>
      <c r="V183" s="58" t="str">
        <f t="shared" si="22"/>
        <v/>
      </c>
      <c r="W183" s="55" t="str">
        <f>IF($D183="","",IF($D183='01. CONFIGURAÇÕES'!$C$8,'01. CONFIGURAÇÕES'!$C$31,'01. CONFIGURAÇÕES'!$D$31))</f>
        <v/>
      </c>
      <c r="X183" s="54" t="str">
        <f>IF($A183="","",$T183*(1-'01. CONFIGURAÇÕES'!$C$16)-IF($W183="",0,$W183))</f>
        <v/>
      </c>
      <c r="Y183" s="54" t="str">
        <f t="shared" si="23"/>
        <v/>
      </c>
      <c r="Z183" s="30"/>
      <c r="AA183" s="33"/>
      <c r="AB183" s="33"/>
    </row>
    <row r="184" spans="1:28" x14ac:dyDescent="0.25">
      <c r="A184" s="31"/>
      <c r="B184" s="29" t="str">
        <f t="shared" si="16"/>
        <v/>
      </c>
      <c r="C184" s="29" t="str">
        <f>IF($A184="","","S"&amp;(INT(($A184-'01. CONFIGURAÇÕES'!$C$12)/7)+1))</f>
        <v/>
      </c>
      <c r="D184" s="30"/>
      <c r="E184" s="30"/>
      <c r="F184" s="10"/>
      <c r="G184" s="49"/>
      <c r="H184" s="49"/>
      <c r="I184" s="52" t="str">
        <f t="shared" si="17"/>
        <v/>
      </c>
      <c r="J184" s="49"/>
      <c r="K184" s="49"/>
      <c r="L184" s="49"/>
      <c r="M184" s="49"/>
      <c r="N184" s="49"/>
      <c r="O184" s="49"/>
      <c r="P184" s="10"/>
      <c r="Q184" s="11" t="str">
        <f t="shared" si="18"/>
        <v/>
      </c>
      <c r="R184" s="11" t="str">
        <f t="shared" si="19"/>
        <v/>
      </c>
      <c r="S184" s="58" t="str">
        <f t="shared" si="20"/>
        <v/>
      </c>
      <c r="T184" s="55" t="str">
        <f t="shared" si="21"/>
        <v/>
      </c>
      <c r="U184" s="55" t="str">
        <f>IF($D184="","",IF($D184='01. CONFIGURAÇÕES'!$C$8,'01. CONFIGURAÇÕES'!$C$38,'01. CONFIGURAÇÕES'!$D$38))</f>
        <v/>
      </c>
      <c r="V184" s="58" t="str">
        <f t="shared" si="22"/>
        <v/>
      </c>
      <c r="W184" s="55" t="str">
        <f>IF($D184="","",IF($D184='01. CONFIGURAÇÕES'!$C$8,'01. CONFIGURAÇÕES'!$C$31,'01. CONFIGURAÇÕES'!$D$31))</f>
        <v/>
      </c>
      <c r="X184" s="54" t="str">
        <f>IF($A184="","",$T184*(1-'01. CONFIGURAÇÕES'!$C$16)-IF($W184="",0,$W184))</f>
        <v/>
      </c>
      <c r="Y184" s="54" t="str">
        <f t="shared" si="23"/>
        <v/>
      </c>
      <c r="Z184" s="30"/>
      <c r="AA184" s="33"/>
      <c r="AB184" s="33"/>
    </row>
    <row r="185" spans="1:28" x14ac:dyDescent="0.25">
      <c r="A185" s="31"/>
      <c r="B185" s="29" t="str">
        <f t="shared" si="16"/>
        <v/>
      </c>
      <c r="C185" s="29" t="str">
        <f>IF($A185="","","S"&amp;(INT(($A185-'01. CONFIGURAÇÕES'!$C$12)/7)+1))</f>
        <v/>
      </c>
      <c r="D185" s="30"/>
      <c r="E185" s="30"/>
      <c r="F185" s="10"/>
      <c r="G185" s="49"/>
      <c r="H185" s="49"/>
      <c r="I185" s="52" t="str">
        <f t="shared" si="17"/>
        <v/>
      </c>
      <c r="J185" s="49"/>
      <c r="K185" s="49"/>
      <c r="L185" s="49"/>
      <c r="M185" s="49"/>
      <c r="N185" s="49"/>
      <c r="O185" s="49"/>
      <c r="P185" s="10"/>
      <c r="Q185" s="11" t="str">
        <f t="shared" si="18"/>
        <v/>
      </c>
      <c r="R185" s="11" t="str">
        <f t="shared" si="19"/>
        <v/>
      </c>
      <c r="S185" s="58" t="str">
        <f t="shared" si="20"/>
        <v/>
      </c>
      <c r="T185" s="55" t="str">
        <f t="shared" si="21"/>
        <v/>
      </c>
      <c r="U185" s="55" t="str">
        <f>IF($D185="","",IF($D185='01. CONFIGURAÇÕES'!$C$8,'01. CONFIGURAÇÕES'!$C$38,'01. CONFIGURAÇÕES'!$D$38))</f>
        <v/>
      </c>
      <c r="V185" s="58" t="str">
        <f t="shared" si="22"/>
        <v/>
      </c>
      <c r="W185" s="55" t="str">
        <f>IF($D185="","",IF($D185='01. CONFIGURAÇÕES'!$C$8,'01. CONFIGURAÇÕES'!$C$31,'01. CONFIGURAÇÕES'!$D$31))</f>
        <v/>
      </c>
      <c r="X185" s="54" t="str">
        <f>IF($A185="","",$T185*(1-'01. CONFIGURAÇÕES'!$C$16)-IF($W185="",0,$W185))</f>
        <v/>
      </c>
      <c r="Y185" s="54" t="str">
        <f t="shared" si="23"/>
        <v/>
      </c>
      <c r="Z185" s="30"/>
      <c r="AA185" s="33"/>
      <c r="AB185" s="33"/>
    </row>
    <row r="186" spans="1:28" x14ac:dyDescent="0.25">
      <c r="A186" s="31"/>
      <c r="B186" s="29" t="str">
        <f t="shared" si="16"/>
        <v/>
      </c>
      <c r="C186" s="29" t="str">
        <f>IF($A186="","","S"&amp;(INT(($A186-'01. CONFIGURAÇÕES'!$C$12)/7)+1))</f>
        <v/>
      </c>
      <c r="D186" s="30"/>
      <c r="E186" s="30"/>
      <c r="F186" s="10"/>
      <c r="G186" s="49"/>
      <c r="H186" s="49"/>
      <c r="I186" s="52" t="str">
        <f t="shared" si="17"/>
        <v/>
      </c>
      <c r="J186" s="49"/>
      <c r="K186" s="49"/>
      <c r="L186" s="49"/>
      <c r="M186" s="49"/>
      <c r="N186" s="49"/>
      <c r="O186" s="49"/>
      <c r="P186" s="10"/>
      <c r="Q186" s="11" t="str">
        <f t="shared" si="18"/>
        <v/>
      </c>
      <c r="R186" s="11" t="str">
        <f t="shared" si="19"/>
        <v/>
      </c>
      <c r="S186" s="58" t="str">
        <f t="shared" si="20"/>
        <v/>
      </c>
      <c r="T186" s="55" t="str">
        <f t="shared" si="21"/>
        <v/>
      </c>
      <c r="U186" s="55" t="str">
        <f>IF($D186="","",IF($D186='01. CONFIGURAÇÕES'!$C$8,'01. CONFIGURAÇÕES'!$C$38,'01. CONFIGURAÇÕES'!$D$38))</f>
        <v/>
      </c>
      <c r="V186" s="58" t="str">
        <f t="shared" si="22"/>
        <v/>
      </c>
      <c r="W186" s="55" t="str">
        <f>IF($D186="","",IF($D186='01. CONFIGURAÇÕES'!$C$8,'01. CONFIGURAÇÕES'!$C$31,'01. CONFIGURAÇÕES'!$D$31))</f>
        <v/>
      </c>
      <c r="X186" s="54" t="str">
        <f>IF($A186="","",$T186*(1-'01. CONFIGURAÇÕES'!$C$16)-IF($W186="",0,$W186))</f>
        <v/>
      </c>
      <c r="Y186" s="54" t="str">
        <f t="shared" si="23"/>
        <v/>
      </c>
      <c r="Z186" s="30"/>
      <c r="AA186" s="33"/>
      <c r="AB186" s="33"/>
    </row>
    <row r="187" spans="1:28" x14ac:dyDescent="0.25">
      <c r="A187" s="31"/>
      <c r="B187" s="29" t="str">
        <f t="shared" si="16"/>
        <v/>
      </c>
      <c r="C187" s="29" t="str">
        <f>IF($A187="","","S"&amp;(INT(($A187-'01. CONFIGURAÇÕES'!$C$12)/7)+1))</f>
        <v/>
      </c>
      <c r="D187" s="30"/>
      <c r="E187" s="30"/>
      <c r="F187" s="10"/>
      <c r="G187" s="49"/>
      <c r="H187" s="49"/>
      <c r="I187" s="52" t="str">
        <f t="shared" si="17"/>
        <v/>
      </c>
      <c r="J187" s="49"/>
      <c r="K187" s="49"/>
      <c r="L187" s="49"/>
      <c r="M187" s="49"/>
      <c r="N187" s="49"/>
      <c r="O187" s="49"/>
      <c r="P187" s="10"/>
      <c r="Q187" s="11" t="str">
        <f t="shared" si="18"/>
        <v/>
      </c>
      <c r="R187" s="11" t="str">
        <f t="shared" si="19"/>
        <v/>
      </c>
      <c r="S187" s="58" t="str">
        <f t="shared" si="20"/>
        <v/>
      </c>
      <c r="T187" s="55" t="str">
        <f t="shared" si="21"/>
        <v/>
      </c>
      <c r="U187" s="55" t="str">
        <f>IF($D187="","",IF($D187='01. CONFIGURAÇÕES'!$C$8,'01. CONFIGURAÇÕES'!$C$38,'01. CONFIGURAÇÕES'!$D$38))</f>
        <v/>
      </c>
      <c r="V187" s="58" t="str">
        <f t="shared" si="22"/>
        <v/>
      </c>
      <c r="W187" s="55" t="str">
        <f>IF($D187="","",IF($D187='01. CONFIGURAÇÕES'!$C$8,'01. CONFIGURAÇÕES'!$C$31,'01. CONFIGURAÇÕES'!$D$31))</f>
        <v/>
      </c>
      <c r="X187" s="54" t="str">
        <f>IF($A187="","",$T187*(1-'01. CONFIGURAÇÕES'!$C$16)-IF($W187="",0,$W187))</f>
        <v/>
      </c>
      <c r="Y187" s="54" t="str">
        <f t="shared" si="23"/>
        <v/>
      </c>
      <c r="Z187" s="30"/>
      <c r="AA187" s="33"/>
      <c r="AB187" s="33"/>
    </row>
    <row r="188" spans="1:28" x14ac:dyDescent="0.25">
      <c r="A188" s="31"/>
      <c r="B188" s="29" t="str">
        <f t="shared" si="16"/>
        <v/>
      </c>
      <c r="C188" s="29" t="str">
        <f>IF($A188="","","S"&amp;(INT(($A188-'01. CONFIGURAÇÕES'!$C$12)/7)+1))</f>
        <v/>
      </c>
      <c r="D188" s="30"/>
      <c r="E188" s="30"/>
      <c r="F188" s="10"/>
      <c r="G188" s="49"/>
      <c r="H188" s="49"/>
      <c r="I188" s="52" t="str">
        <f t="shared" si="17"/>
        <v/>
      </c>
      <c r="J188" s="49"/>
      <c r="K188" s="49"/>
      <c r="L188" s="49"/>
      <c r="M188" s="49"/>
      <c r="N188" s="49"/>
      <c r="O188" s="49"/>
      <c r="P188" s="10"/>
      <c r="Q188" s="11" t="str">
        <f t="shared" si="18"/>
        <v/>
      </c>
      <c r="R188" s="11" t="str">
        <f t="shared" si="19"/>
        <v/>
      </c>
      <c r="S188" s="58" t="str">
        <f t="shared" si="20"/>
        <v/>
      </c>
      <c r="T188" s="55" t="str">
        <f t="shared" si="21"/>
        <v/>
      </c>
      <c r="U188" s="55" t="str">
        <f>IF($D188="","",IF($D188='01. CONFIGURAÇÕES'!$C$8,'01. CONFIGURAÇÕES'!$C$38,'01. CONFIGURAÇÕES'!$D$38))</f>
        <v/>
      </c>
      <c r="V188" s="58" t="str">
        <f t="shared" si="22"/>
        <v/>
      </c>
      <c r="W188" s="55" t="str">
        <f>IF($D188="","",IF($D188='01. CONFIGURAÇÕES'!$C$8,'01. CONFIGURAÇÕES'!$C$31,'01. CONFIGURAÇÕES'!$D$31))</f>
        <v/>
      </c>
      <c r="X188" s="54" t="str">
        <f>IF($A188="","",$T188*(1-'01. CONFIGURAÇÕES'!$C$16)-IF($W188="",0,$W188))</f>
        <v/>
      </c>
      <c r="Y188" s="54" t="str">
        <f t="shared" si="23"/>
        <v/>
      </c>
      <c r="Z188" s="30"/>
      <c r="AA188" s="33"/>
      <c r="AB188" s="33"/>
    </row>
    <row r="189" spans="1:28" x14ac:dyDescent="0.25">
      <c r="A189" s="31"/>
      <c r="B189" s="29" t="str">
        <f t="shared" si="16"/>
        <v/>
      </c>
      <c r="C189" s="29" t="str">
        <f>IF($A189="","","S"&amp;(INT(($A189-'01. CONFIGURAÇÕES'!$C$12)/7)+1))</f>
        <v/>
      </c>
      <c r="D189" s="30"/>
      <c r="E189" s="30"/>
      <c r="F189" s="10"/>
      <c r="G189" s="49"/>
      <c r="H189" s="49"/>
      <c r="I189" s="52" t="str">
        <f t="shared" si="17"/>
        <v/>
      </c>
      <c r="J189" s="49"/>
      <c r="K189" s="49"/>
      <c r="L189" s="49"/>
      <c r="M189" s="49"/>
      <c r="N189" s="49"/>
      <c r="O189" s="49"/>
      <c r="P189" s="10"/>
      <c r="Q189" s="11" t="str">
        <f t="shared" si="18"/>
        <v/>
      </c>
      <c r="R189" s="11" t="str">
        <f t="shared" si="19"/>
        <v/>
      </c>
      <c r="S189" s="58" t="str">
        <f t="shared" si="20"/>
        <v/>
      </c>
      <c r="T189" s="55" t="str">
        <f t="shared" si="21"/>
        <v/>
      </c>
      <c r="U189" s="55" t="str">
        <f>IF($D189="","",IF($D189='01. CONFIGURAÇÕES'!$C$8,'01. CONFIGURAÇÕES'!$C$38,'01. CONFIGURAÇÕES'!$D$38))</f>
        <v/>
      </c>
      <c r="V189" s="58" t="str">
        <f t="shared" si="22"/>
        <v/>
      </c>
      <c r="W189" s="55" t="str">
        <f>IF($D189="","",IF($D189='01. CONFIGURAÇÕES'!$C$8,'01. CONFIGURAÇÕES'!$C$31,'01. CONFIGURAÇÕES'!$D$31))</f>
        <v/>
      </c>
      <c r="X189" s="54" t="str">
        <f>IF($A189="","",$T189*(1-'01. CONFIGURAÇÕES'!$C$16)-IF($W189="",0,$W189))</f>
        <v/>
      </c>
      <c r="Y189" s="54" t="str">
        <f t="shared" si="23"/>
        <v/>
      </c>
      <c r="Z189" s="30"/>
      <c r="AA189" s="33"/>
      <c r="AB189" s="33"/>
    </row>
    <row r="190" spans="1:28" x14ac:dyDescent="0.25">
      <c r="A190" s="31"/>
      <c r="B190" s="29" t="str">
        <f t="shared" si="16"/>
        <v/>
      </c>
      <c r="C190" s="29" t="str">
        <f>IF($A190="","","S"&amp;(INT(($A190-'01. CONFIGURAÇÕES'!$C$12)/7)+1))</f>
        <v/>
      </c>
      <c r="D190" s="30"/>
      <c r="E190" s="30"/>
      <c r="F190" s="10"/>
      <c r="G190" s="49"/>
      <c r="H190" s="49"/>
      <c r="I190" s="52" t="str">
        <f t="shared" si="17"/>
        <v/>
      </c>
      <c r="J190" s="49"/>
      <c r="K190" s="49"/>
      <c r="L190" s="49"/>
      <c r="M190" s="49"/>
      <c r="N190" s="49"/>
      <c r="O190" s="49"/>
      <c r="P190" s="10"/>
      <c r="Q190" s="11" t="str">
        <f t="shared" si="18"/>
        <v/>
      </c>
      <c r="R190" s="11" t="str">
        <f t="shared" si="19"/>
        <v/>
      </c>
      <c r="S190" s="58" t="str">
        <f t="shared" si="20"/>
        <v/>
      </c>
      <c r="T190" s="55" t="str">
        <f t="shared" si="21"/>
        <v/>
      </c>
      <c r="U190" s="55" t="str">
        <f>IF($D190="","",IF($D190='01. CONFIGURAÇÕES'!$C$8,'01. CONFIGURAÇÕES'!$C$38,'01. CONFIGURAÇÕES'!$D$38))</f>
        <v/>
      </c>
      <c r="V190" s="58" t="str">
        <f t="shared" si="22"/>
        <v/>
      </c>
      <c r="W190" s="55" t="str">
        <f>IF($D190="","",IF($D190='01. CONFIGURAÇÕES'!$C$8,'01. CONFIGURAÇÕES'!$C$31,'01. CONFIGURAÇÕES'!$D$31))</f>
        <v/>
      </c>
      <c r="X190" s="54" t="str">
        <f>IF($A190="","",$T190*(1-'01. CONFIGURAÇÕES'!$C$16)-IF($W190="",0,$W190))</f>
        <v/>
      </c>
      <c r="Y190" s="54" t="str">
        <f t="shared" si="23"/>
        <v/>
      </c>
      <c r="Z190" s="30"/>
      <c r="AA190" s="33"/>
      <c r="AB190" s="33"/>
    </row>
    <row r="191" spans="1:28" x14ac:dyDescent="0.25">
      <c r="A191" s="31"/>
      <c r="B191" s="29" t="str">
        <f t="shared" si="16"/>
        <v/>
      </c>
      <c r="C191" s="29" t="str">
        <f>IF($A191="","","S"&amp;(INT(($A191-'01. CONFIGURAÇÕES'!$C$12)/7)+1))</f>
        <v/>
      </c>
      <c r="D191" s="30"/>
      <c r="E191" s="30"/>
      <c r="F191" s="10"/>
      <c r="G191" s="49"/>
      <c r="H191" s="49"/>
      <c r="I191" s="52" t="str">
        <f t="shared" si="17"/>
        <v/>
      </c>
      <c r="J191" s="49"/>
      <c r="K191" s="49"/>
      <c r="L191" s="49"/>
      <c r="M191" s="49"/>
      <c r="N191" s="49"/>
      <c r="O191" s="49"/>
      <c r="P191" s="10"/>
      <c r="Q191" s="11" t="str">
        <f t="shared" si="18"/>
        <v/>
      </c>
      <c r="R191" s="11" t="str">
        <f t="shared" si="19"/>
        <v/>
      </c>
      <c r="S191" s="58" t="str">
        <f t="shared" si="20"/>
        <v/>
      </c>
      <c r="T191" s="55" t="str">
        <f t="shared" si="21"/>
        <v/>
      </c>
      <c r="U191" s="55" t="str">
        <f>IF($D191="","",IF($D191='01. CONFIGURAÇÕES'!$C$8,'01. CONFIGURAÇÕES'!$C$38,'01. CONFIGURAÇÕES'!$D$38))</f>
        <v/>
      </c>
      <c r="V191" s="58" t="str">
        <f t="shared" si="22"/>
        <v/>
      </c>
      <c r="W191" s="55" t="str">
        <f>IF($D191="","",IF($D191='01. CONFIGURAÇÕES'!$C$8,'01. CONFIGURAÇÕES'!$C$31,'01. CONFIGURAÇÕES'!$D$31))</f>
        <v/>
      </c>
      <c r="X191" s="54" t="str">
        <f>IF($A191="","",$T191*(1-'01. CONFIGURAÇÕES'!$C$16)-IF($W191="",0,$W191))</f>
        <v/>
      </c>
      <c r="Y191" s="54" t="str">
        <f t="shared" si="23"/>
        <v/>
      </c>
      <c r="Z191" s="30"/>
      <c r="AA191" s="33"/>
      <c r="AB191" s="33"/>
    </row>
    <row r="192" spans="1:28" x14ac:dyDescent="0.25">
      <c r="A192" s="31"/>
      <c r="B192" s="29" t="str">
        <f t="shared" si="16"/>
        <v/>
      </c>
      <c r="C192" s="29" t="str">
        <f>IF($A192="","","S"&amp;(INT(($A192-'01. CONFIGURAÇÕES'!$C$12)/7)+1))</f>
        <v/>
      </c>
      <c r="D192" s="30"/>
      <c r="E192" s="30"/>
      <c r="F192" s="10"/>
      <c r="G192" s="49"/>
      <c r="H192" s="49"/>
      <c r="I192" s="52" t="str">
        <f t="shared" si="17"/>
        <v/>
      </c>
      <c r="J192" s="49"/>
      <c r="K192" s="49"/>
      <c r="L192" s="49"/>
      <c r="M192" s="49"/>
      <c r="N192" s="49"/>
      <c r="O192" s="49"/>
      <c r="P192" s="10"/>
      <c r="Q192" s="11" t="str">
        <f t="shared" si="18"/>
        <v/>
      </c>
      <c r="R192" s="11" t="str">
        <f t="shared" si="19"/>
        <v/>
      </c>
      <c r="S192" s="58" t="str">
        <f t="shared" si="20"/>
        <v/>
      </c>
      <c r="T192" s="55" t="str">
        <f t="shared" si="21"/>
        <v/>
      </c>
      <c r="U192" s="55" t="str">
        <f>IF($D192="","",IF($D192='01. CONFIGURAÇÕES'!$C$8,'01. CONFIGURAÇÕES'!$C$38,'01. CONFIGURAÇÕES'!$D$38))</f>
        <v/>
      </c>
      <c r="V192" s="58" t="str">
        <f t="shared" si="22"/>
        <v/>
      </c>
      <c r="W192" s="55" t="str">
        <f>IF($D192="","",IF($D192='01. CONFIGURAÇÕES'!$C$8,'01. CONFIGURAÇÕES'!$C$31,'01. CONFIGURAÇÕES'!$D$31))</f>
        <v/>
      </c>
      <c r="X192" s="54" t="str">
        <f>IF($A192="","",$T192*(1-'01. CONFIGURAÇÕES'!$C$16)-IF($W192="",0,$W192))</f>
        <v/>
      </c>
      <c r="Y192" s="54" t="str">
        <f t="shared" si="23"/>
        <v/>
      </c>
      <c r="Z192" s="30"/>
      <c r="AA192" s="33"/>
      <c r="AB192" s="33"/>
    </row>
    <row r="193" spans="1:28" x14ac:dyDescent="0.25">
      <c r="A193" s="31"/>
      <c r="B193" s="29" t="str">
        <f t="shared" si="16"/>
        <v/>
      </c>
      <c r="C193" s="29" t="str">
        <f>IF($A193="","","S"&amp;(INT(($A193-'01. CONFIGURAÇÕES'!$C$12)/7)+1))</f>
        <v/>
      </c>
      <c r="D193" s="30"/>
      <c r="E193" s="30"/>
      <c r="F193" s="10"/>
      <c r="G193" s="49"/>
      <c r="H193" s="49"/>
      <c r="I193" s="52" t="str">
        <f t="shared" si="17"/>
        <v/>
      </c>
      <c r="J193" s="49"/>
      <c r="K193" s="49"/>
      <c r="L193" s="49"/>
      <c r="M193" s="49"/>
      <c r="N193" s="49"/>
      <c r="O193" s="49"/>
      <c r="P193" s="10"/>
      <c r="Q193" s="11" t="str">
        <f t="shared" si="18"/>
        <v/>
      </c>
      <c r="R193" s="11" t="str">
        <f t="shared" si="19"/>
        <v/>
      </c>
      <c r="S193" s="58" t="str">
        <f t="shared" si="20"/>
        <v/>
      </c>
      <c r="T193" s="55" t="str">
        <f t="shared" si="21"/>
        <v/>
      </c>
      <c r="U193" s="55" t="str">
        <f>IF($D193="","",IF($D193='01. CONFIGURAÇÕES'!$C$8,'01. CONFIGURAÇÕES'!$C$38,'01. CONFIGURAÇÕES'!$D$38))</f>
        <v/>
      </c>
      <c r="V193" s="58" t="str">
        <f t="shared" si="22"/>
        <v/>
      </c>
      <c r="W193" s="55" t="str">
        <f>IF($D193="","",IF($D193='01. CONFIGURAÇÕES'!$C$8,'01. CONFIGURAÇÕES'!$C$31,'01. CONFIGURAÇÕES'!$D$31))</f>
        <v/>
      </c>
      <c r="X193" s="54" t="str">
        <f>IF($A193="","",$T193*(1-'01. CONFIGURAÇÕES'!$C$16)-IF($W193="",0,$W193))</f>
        <v/>
      </c>
      <c r="Y193" s="54" t="str">
        <f t="shared" si="23"/>
        <v/>
      </c>
      <c r="Z193" s="30"/>
      <c r="AA193" s="33"/>
      <c r="AB193" s="33"/>
    </row>
    <row r="194" spans="1:28" x14ac:dyDescent="0.25">
      <c r="A194" s="31"/>
      <c r="B194" s="29" t="str">
        <f t="shared" si="16"/>
        <v/>
      </c>
      <c r="C194" s="29" t="str">
        <f>IF($A194="","","S"&amp;(INT(($A194-'01. CONFIGURAÇÕES'!$C$12)/7)+1))</f>
        <v/>
      </c>
      <c r="D194" s="30"/>
      <c r="E194" s="30"/>
      <c r="F194" s="10"/>
      <c r="G194" s="49"/>
      <c r="H194" s="49"/>
      <c r="I194" s="52" t="str">
        <f t="shared" si="17"/>
        <v/>
      </c>
      <c r="J194" s="49"/>
      <c r="K194" s="49"/>
      <c r="L194" s="49"/>
      <c r="M194" s="49"/>
      <c r="N194" s="49"/>
      <c r="O194" s="49"/>
      <c r="P194" s="10"/>
      <c r="Q194" s="11" t="str">
        <f t="shared" si="18"/>
        <v/>
      </c>
      <c r="R194" s="11" t="str">
        <f t="shared" si="19"/>
        <v/>
      </c>
      <c r="S194" s="58" t="str">
        <f t="shared" si="20"/>
        <v/>
      </c>
      <c r="T194" s="55" t="str">
        <f t="shared" si="21"/>
        <v/>
      </c>
      <c r="U194" s="55" t="str">
        <f>IF($D194="","",IF($D194='01. CONFIGURAÇÕES'!$C$8,'01. CONFIGURAÇÕES'!$C$38,'01. CONFIGURAÇÕES'!$D$38))</f>
        <v/>
      </c>
      <c r="V194" s="58" t="str">
        <f t="shared" si="22"/>
        <v/>
      </c>
      <c r="W194" s="55" t="str">
        <f>IF($D194="","",IF($D194='01. CONFIGURAÇÕES'!$C$8,'01. CONFIGURAÇÕES'!$C$31,'01. CONFIGURAÇÕES'!$D$31))</f>
        <v/>
      </c>
      <c r="X194" s="54" t="str">
        <f>IF($A194="","",$T194*(1-'01. CONFIGURAÇÕES'!$C$16)-IF($W194="",0,$W194))</f>
        <v/>
      </c>
      <c r="Y194" s="54" t="str">
        <f t="shared" si="23"/>
        <v/>
      </c>
      <c r="Z194" s="30"/>
      <c r="AA194" s="33"/>
      <c r="AB194" s="33"/>
    </row>
    <row r="195" spans="1:28" x14ac:dyDescent="0.25">
      <c r="A195" s="31"/>
      <c r="B195" s="29" t="str">
        <f t="shared" si="16"/>
        <v/>
      </c>
      <c r="C195" s="29" t="str">
        <f>IF($A195="","","S"&amp;(INT(($A195-'01. CONFIGURAÇÕES'!$C$12)/7)+1))</f>
        <v/>
      </c>
      <c r="D195" s="30"/>
      <c r="E195" s="30"/>
      <c r="F195" s="10"/>
      <c r="G195" s="49"/>
      <c r="H195" s="49"/>
      <c r="I195" s="52" t="str">
        <f t="shared" si="17"/>
        <v/>
      </c>
      <c r="J195" s="49"/>
      <c r="K195" s="49"/>
      <c r="L195" s="49"/>
      <c r="M195" s="49"/>
      <c r="N195" s="49"/>
      <c r="O195" s="49"/>
      <c r="P195" s="10"/>
      <c r="Q195" s="11" t="str">
        <f t="shared" si="18"/>
        <v/>
      </c>
      <c r="R195" s="11" t="str">
        <f t="shared" si="19"/>
        <v/>
      </c>
      <c r="S195" s="58" t="str">
        <f t="shared" si="20"/>
        <v/>
      </c>
      <c r="T195" s="55" t="str">
        <f t="shared" si="21"/>
        <v/>
      </c>
      <c r="U195" s="55" t="str">
        <f>IF($D195="","",IF($D195='01. CONFIGURAÇÕES'!$C$8,'01. CONFIGURAÇÕES'!$C$38,'01. CONFIGURAÇÕES'!$D$38))</f>
        <v/>
      </c>
      <c r="V195" s="58" t="str">
        <f t="shared" si="22"/>
        <v/>
      </c>
      <c r="W195" s="55" t="str">
        <f>IF($D195="","",IF($D195='01. CONFIGURAÇÕES'!$C$8,'01. CONFIGURAÇÕES'!$C$31,'01. CONFIGURAÇÕES'!$D$31))</f>
        <v/>
      </c>
      <c r="X195" s="54" t="str">
        <f>IF($A195="","",$T195*(1-'01. CONFIGURAÇÕES'!$C$16)-IF($W195="",0,$W195))</f>
        <v/>
      </c>
      <c r="Y195" s="54" t="str">
        <f t="shared" si="23"/>
        <v/>
      </c>
      <c r="Z195" s="30"/>
      <c r="AA195" s="33"/>
      <c r="AB195" s="33"/>
    </row>
    <row r="196" spans="1:28" x14ac:dyDescent="0.25">
      <c r="A196" s="31"/>
      <c r="B196" s="29" t="str">
        <f t="shared" si="16"/>
        <v/>
      </c>
      <c r="C196" s="29" t="str">
        <f>IF($A196="","","S"&amp;(INT(($A196-'01. CONFIGURAÇÕES'!$C$12)/7)+1))</f>
        <v/>
      </c>
      <c r="D196" s="30"/>
      <c r="E196" s="30"/>
      <c r="F196" s="10"/>
      <c r="G196" s="49"/>
      <c r="H196" s="49"/>
      <c r="I196" s="52" t="str">
        <f t="shared" si="17"/>
        <v/>
      </c>
      <c r="J196" s="49"/>
      <c r="K196" s="49"/>
      <c r="L196" s="49"/>
      <c r="M196" s="49"/>
      <c r="N196" s="49"/>
      <c r="O196" s="49"/>
      <c r="P196" s="10"/>
      <c r="Q196" s="11" t="str">
        <f t="shared" si="18"/>
        <v/>
      </c>
      <c r="R196" s="11" t="str">
        <f t="shared" si="19"/>
        <v/>
      </c>
      <c r="S196" s="58" t="str">
        <f t="shared" si="20"/>
        <v/>
      </c>
      <c r="T196" s="55" t="str">
        <f t="shared" si="21"/>
        <v/>
      </c>
      <c r="U196" s="55" t="str">
        <f>IF($D196="","",IF($D196='01. CONFIGURAÇÕES'!$C$8,'01. CONFIGURAÇÕES'!$C$38,'01. CONFIGURAÇÕES'!$D$38))</f>
        <v/>
      </c>
      <c r="V196" s="58" t="str">
        <f t="shared" si="22"/>
        <v/>
      </c>
      <c r="W196" s="55" t="str">
        <f>IF($D196="","",IF($D196='01. CONFIGURAÇÕES'!$C$8,'01. CONFIGURAÇÕES'!$C$31,'01. CONFIGURAÇÕES'!$D$31))</f>
        <v/>
      </c>
      <c r="X196" s="54" t="str">
        <f>IF($A196="","",$T196*(1-'01. CONFIGURAÇÕES'!$C$16)-IF($W196="",0,$W196))</f>
        <v/>
      </c>
      <c r="Y196" s="54" t="str">
        <f t="shared" si="23"/>
        <v/>
      </c>
      <c r="Z196" s="30"/>
      <c r="AA196" s="33"/>
      <c r="AB196" s="33"/>
    </row>
    <row r="197" spans="1:28" x14ac:dyDescent="0.25">
      <c r="A197" s="31"/>
      <c r="B197" s="29" t="str">
        <f t="shared" ref="B197:B260" si="24">IF($A197="","",CHOOSE(WEEKDAY($A197,1),"DOM","SEG","TER","QUA","QUI","SEX","SÁB"))</f>
        <v/>
      </c>
      <c r="C197" s="29" t="str">
        <f>IF($A197="","","S"&amp;(INT(($A197-'01. CONFIGURAÇÕES'!$C$12)/7)+1))</f>
        <v/>
      </c>
      <c r="D197" s="30"/>
      <c r="E197" s="30"/>
      <c r="F197" s="10"/>
      <c r="G197" s="49"/>
      <c r="H197" s="49"/>
      <c r="I197" s="52" t="str">
        <f t="shared" ref="I197:I260" si="25">IF($A197="","",$F197*($G197+$H197))</f>
        <v/>
      </c>
      <c r="J197" s="49"/>
      <c r="K197" s="49"/>
      <c r="L197" s="49"/>
      <c r="M197" s="49"/>
      <c r="N197" s="49"/>
      <c r="O197" s="49"/>
      <c r="P197" s="10"/>
      <c r="Q197" s="11" t="str">
        <f t="shared" ref="Q197:Q260" si="26">IF($A197="","",COUNTIFS(PROG_DATA,$A197,PROG_EQUIPE,$E197))</f>
        <v/>
      </c>
      <c r="R197" s="11" t="str">
        <f t="shared" ref="R197:R260" si="27">IF($A197="","",COUNTIFS(OS_FIM,$A197,OS_EQUIPE,$E197))</f>
        <v/>
      </c>
      <c r="S197" s="58" t="str">
        <f t="shared" ref="S197:S260" si="28">IF(OR($A197="",$Q197=0),"",$R197/$Q197)</f>
        <v/>
      </c>
      <c r="T197" s="55" t="str">
        <f t="shared" ref="T197:T260" si="29">IF($A197="","",SUMIFS(MED_VLR,MED_DATA,$A197,MED_EQUIPE,$E197))</f>
        <v/>
      </c>
      <c r="U197" s="55" t="str">
        <f>IF($D197="","",IF($D197='01. CONFIGURAÇÕES'!$C$8,'01. CONFIGURAÇÕES'!$C$38,'01. CONFIGURAÇÕES'!$D$38))</f>
        <v/>
      </c>
      <c r="V197" s="58" t="str">
        <f t="shared" ref="V197:V260" si="30">IF(OR($U197="",$U197=0),"",$T197/$U197)</f>
        <v/>
      </c>
      <c r="W197" s="55" t="str">
        <f>IF($D197="","",IF($D197='01. CONFIGURAÇÕES'!$C$8,'01. CONFIGURAÇÕES'!$C$31,'01. CONFIGURAÇÕES'!$D$31))</f>
        <v/>
      </c>
      <c r="X197" s="54" t="str">
        <f>IF($A197="","",$T197*(1-'01. CONFIGURAÇÕES'!$C$16)-IF($W197="",0,$W197))</f>
        <v/>
      </c>
      <c r="Y197" s="54" t="str">
        <f t="shared" ref="Y197:Y260" si="31">IF(OR($I197="",$I197=0),"",$T197/$I197)</f>
        <v/>
      </c>
      <c r="Z197" s="30"/>
      <c r="AA197" s="33"/>
      <c r="AB197" s="33"/>
    </row>
    <row r="198" spans="1:28" x14ac:dyDescent="0.25">
      <c r="A198" s="31"/>
      <c r="B198" s="29" t="str">
        <f t="shared" si="24"/>
        <v/>
      </c>
      <c r="C198" s="29" t="str">
        <f>IF($A198="","","S"&amp;(INT(($A198-'01. CONFIGURAÇÕES'!$C$12)/7)+1))</f>
        <v/>
      </c>
      <c r="D198" s="30"/>
      <c r="E198" s="30"/>
      <c r="F198" s="10"/>
      <c r="G198" s="49"/>
      <c r="H198" s="49"/>
      <c r="I198" s="52" t="str">
        <f t="shared" si="25"/>
        <v/>
      </c>
      <c r="J198" s="49"/>
      <c r="K198" s="49"/>
      <c r="L198" s="49"/>
      <c r="M198" s="49"/>
      <c r="N198" s="49"/>
      <c r="O198" s="49"/>
      <c r="P198" s="10"/>
      <c r="Q198" s="11" t="str">
        <f t="shared" si="26"/>
        <v/>
      </c>
      <c r="R198" s="11" t="str">
        <f t="shared" si="27"/>
        <v/>
      </c>
      <c r="S198" s="58" t="str">
        <f t="shared" si="28"/>
        <v/>
      </c>
      <c r="T198" s="55" t="str">
        <f t="shared" si="29"/>
        <v/>
      </c>
      <c r="U198" s="55" t="str">
        <f>IF($D198="","",IF($D198='01. CONFIGURAÇÕES'!$C$8,'01. CONFIGURAÇÕES'!$C$38,'01. CONFIGURAÇÕES'!$D$38))</f>
        <v/>
      </c>
      <c r="V198" s="58" t="str">
        <f t="shared" si="30"/>
        <v/>
      </c>
      <c r="W198" s="55" t="str">
        <f>IF($D198="","",IF($D198='01. CONFIGURAÇÕES'!$C$8,'01. CONFIGURAÇÕES'!$C$31,'01. CONFIGURAÇÕES'!$D$31))</f>
        <v/>
      </c>
      <c r="X198" s="54" t="str">
        <f>IF($A198="","",$T198*(1-'01. CONFIGURAÇÕES'!$C$16)-IF($W198="",0,$W198))</f>
        <v/>
      </c>
      <c r="Y198" s="54" t="str">
        <f t="shared" si="31"/>
        <v/>
      </c>
      <c r="Z198" s="30"/>
      <c r="AA198" s="33"/>
      <c r="AB198" s="33"/>
    </row>
    <row r="199" spans="1:28" x14ac:dyDescent="0.25">
      <c r="A199" s="31"/>
      <c r="B199" s="29" t="str">
        <f t="shared" si="24"/>
        <v/>
      </c>
      <c r="C199" s="29" t="str">
        <f>IF($A199="","","S"&amp;(INT(($A199-'01. CONFIGURAÇÕES'!$C$12)/7)+1))</f>
        <v/>
      </c>
      <c r="D199" s="30"/>
      <c r="E199" s="30"/>
      <c r="F199" s="10"/>
      <c r="G199" s="49"/>
      <c r="H199" s="49"/>
      <c r="I199" s="52" t="str">
        <f t="shared" si="25"/>
        <v/>
      </c>
      <c r="J199" s="49"/>
      <c r="K199" s="49"/>
      <c r="L199" s="49"/>
      <c r="M199" s="49"/>
      <c r="N199" s="49"/>
      <c r="O199" s="49"/>
      <c r="P199" s="10"/>
      <c r="Q199" s="11" t="str">
        <f t="shared" si="26"/>
        <v/>
      </c>
      <c r="R199" s="11" t="str">
        <f t="shared" si="27"/>
        <v/>
      </c>
      <c r="S199" s="58" t="str">
        <f t="shared" si="28"/>
        <v/>
      </c>
      <c r="T199" s="55" t="str">
        <f t="shared" si="29"/>
        <v/>
      </c>
      <c r="U199" s="55" t="str">
        <f>IF($D199="","",IF($D199='01. CONFIGURAÇÕES'!$C$8,'01. CONFIGURAÇÕES'!$C$38,'01. CONFIGURAÇÕES'!$D$38))</f>
        <v/>
      </c>
      <c r="V199" s="58" t="str">
        <f t="shared" si="30"/>
        <v/>
      </c>
      <c r="W199" s="55" t="str">
        <f>IF($D199="","",IF($D199='01. CONFIGURAÇÕES'!$C$8,'01. CONFIGURAÇÕES'!$C$31,'01. CONFIGURAÇÕES'!$D$31))</f>
        <v/>
      </c>
      <c r="X199" s="54" t="str">
        <f>IF($A199="","",$T199*(1-'01. CONFIGURAÇÕES'!$C$16)-IF($W199="",0,$W199))</f>
        <v/>
      </c>
      <c r="Y199" s="54" t="str">
        <f t="shared" si="31"/>
        <v/>
      </c>
      <c r="Z199" s="30"/>
      <c r="AA199" s="33"/>
      <c r="AB199" s="33"/>
    </row>
    <row r="200" spans="1:28" x14ac:dyDescent="0.25">
      <c r="A200" s="31"/>
      <c r="B200" s="29" t="str">
        <f t="shared" si="24"/>
        <v/>
      </c>
      <c r="C200" s="29" t="str">
        <f>IF($A200="","","S"&amp;(INT(($A200-'01. CONFIGURAÇÕES'!$C$12)/7)+1))</f>
        <v/>
      </c>
      <c r="D200" s="30"/>
      <c r="E200" s="30"/>
      <c r="F200" s="10"/>
      <c r="G200" s="49"/>
      <c r="H200" s="49"/>
      <c r="I200" s="52" t="str">
        <f t="shared" si="25"/>
        <v/>
      </c>
      <c r="J200" s="49"/>
      <c r="K200" s="49"/>
      <c r="L200" s="49"/>
      <c r="M200" s="49"/>
      <c r="N200" s="49"/>
      <c r="O200" s="49"/>
      <c r="P200" s="10"/>
      <c r="Q200" s="11" t="str">
        <f t="shared" si="26"/>
        <v/>
      </c>
      <c r="R200" s="11" t="str">
        <f t="shared" si="27"/>
        <v/>
      </c>
      <c r="S200" s="58" t="str">
        <f t="shared" si="28"/>
        <v/>
      </c>
      <c r="T200" s="55" t="str">
        <f t="shared" si="29"/>
        <v/>
      </c>
      <c r="U200" s="55" t="str">
        <f>IF($D200="","",IF($D200='01. CONFIGURAÇÕES'!$C$8,'01. CONFIGURAÇÕES'!$C$38,'01. CONFIGURAÇÕES'!$D$38))</f>
        <v/>
      </c>
      <c r="V200" s="58" t="str">
        <f t="shared" si="30"/>
        <v/>
      </c>
      <c r="W200" s="55" t="str">
        <f>IF($D200="","",IF($D200='01. CONFIGURAÇÕES'!$C$8,'01. CONFIGURAÇÕES'!$C$31,'01. CONFIGURAÇÕES'!$D$31))</f>
        <v/>
      </c>
      <c r="X200" s="54" t="str">
        <f>IF($A200="","",$T200*(1-'01. CONFIGURAÇÕES'!$C$16)-IF($W200="",0,$W200))</f>
        <v/>
      </c>
      <c r="Y200" s="54" t="str">
        <f t="shared" si="31"/>
        <v/>
      </c>
      <c r="Z200" s="30"/>
      <c r="AA200" s="33"/>
      <c r="AB200" s="33"/>
    </row>
    <row r="201" spans="1:28" x14ac:dyDescent="0.25">
      <c r="A201" s="31"/>
      <c r="B201" s="29" t="str">
        <f t="shared" si="24"/>
        <v/>
      </c>
      <c r="C201" s="29" t="str">
        <f>IF($A201="","","S"&amp;(INT(($A201-'01. CONFIGURAÇÕES'!$C$12)/7)+1))</f>
        <v/>
      </c>
      <c r="D201" s="30"/>
      <c r="E201" s="30"/>
      <c r="F201" s="10"/>
      <c r="G201" s="49"/>
      <c r="H201" s="49"/>
      <c r="I201" s="52" t="str">
        <f t="shared" si="25"/>
        <v/>
      </c>
      <c r="J201" s="49"/>
      <c r="K201" s="49"/>
      <c r="L201" s="49"/>
      <c r="M201" s="49"/>
      <c r="N201" s="49"/>
      <c r="O201" s="49"/>
      <c r="P201" s="10"/>
      <c r="Q201" s="11" t="str">
        <f t="shared" si="26"/>
        <v/>
      </c>
      <c r="R201" s="11" t="str">
        <f t="shared" si="27"/>
        <v/>
      </c>
      <c r="S201" s="58" t="str">
        <f t="shared" si="28"/>
        <v/>
      </c>
      <c r="T201" s="55" t="str">
        <f t="shared" si="29"/>
        <v/>
      </c>
      <c r="U201" s="55" t="str">
        <f>IF($D201="","",IF($D201='01. CONFIGURAÇÕES'!$C$8,'01. CONFIGURAÇÕES'!$C$38,'01. CONFIGURAÇÕES'!$D$38))</f>
        <v/>
      </c>
      <c r="V201" s="58" t="str">
        <f t="shared" si="30"/>
        <v/>
      </c>
      <c r="W201" s="55" t="str">
        <f>IF($D201="","",IF($D201='01. CONFIGURAÇÕES'!$C$8,'01. CONFIGURAÇÕES'!$C$31,'01. CONFIGURAÇÕES'!$D$31))</f>
        <v/>
      </c>
      <c r="X201" s="54" t="str">
        <f>IF($A201="","",$T201*(1-'01. CONFIGURAÇÕES'!$C$16)-IF($W201="",0,$W201))</f>
        <v/>
      </c>
      <c r="Y201" s="54" t="str">
        <f t="shared" si="31"/>
        <v/>
      </c>
      <c r="Z201" s="30"/>
      <c r="AA201" s="33"/>
      <c r="AB201" s="33"/>
    </row>
    <row r="202" spans="1:28" x14ac:dyDescent="0.25">
      <c r="A202" s="31"/>
      <c r="B202" s="29" t="str">
        <f t="shared" si="24"/>
        <v/>
      </c>
      <c r="C202" s="29" t="str">
        <f>IF($A202="","","S"&amp;(INT(($A202-'01. CONFIGURAÇÕES'!$C$12)/7)+1))</f>
        <v/>
      </c>
      <c r="D202" s="30"/>
      <c r="E202" s="30"/>
      <c r="F202" s="10"/>
      <c r="G202" s="49"/>
      <c r="H202" s="49"/>
      <c r="I202" s="52" t="str">
        <f t="shared" si="25"/>
        <v/>
      </c>
      <c r="J202" s="49"/>
      <c r="K202" s="49"/>
      <c r="L202" s="49"/>
      <c r="M202" s="49"/>
      <c r="N202" s="49"/>
      <c r="O202" s="49"/>
      <c r="P202" s="10"/>
      <c r="Q202" s="11" t="str">
        <f t="shared" si="26"/>
        <v/>
      </c>
      <c r="R202" s="11" t="str">
        <f t="shared" si="27"/>
        <v/>
      </c>
      <c r="S202" s="58" t="str">
        <f t="shared" si="28"/>
        <v/>
      </c>
      <c r="T202" s="55" t="str">
        <f t="shared" si="29"/>
        <v/>
      </c>
      <c r="U202" s="55" t="str">
        <f>IF($D202="","",IF($D202='01. CONFIGURAÇÕES'!$C$8,'01. CONFIGURAÇÕES'!$C$38,'01. CONFIGURAÇÕES'!$D$38))</f>
        <v/>
      </c>
      <c r="V202" s="58" t="str">
        <f t="shared" si="30"/>
        <v/>
      </c>
      <c r="W202" s="55" t="str">
        <f>IF($D202="","",IF($D202='01. CONFIGURAÇÕES'!$C$8,'01. CONFIGURAÇÕES'!$C$31,'01. CONFIGURAÇÕES'!$D$31))</f>
        <v/>
      </c>
      <c r="X202" s="54" t="str">
        <f>IF($A202="","",$T202*(1-'01. CONFIGURAÇÕES'!$C$16)-IF($W202="",0,$W202))</f>
        <v/>
      </c>
      <c r="Y202" s="54" t="str">
        <f t="shared" si="31"/>
        <v/>
      </c>
      <c r="Z202" s="30"/>
      <c r="AA202" s="33"/>
      <c r="AB202" s="33"/>
    </row>
    <row r="203" spans="1:28" x14ac:dyDescent="0.25">
      <c r="A203" s="31"/>
      <c r="B203" s="29" t="str">
        <f t="shared" si="24"/>
        <v/>
      </c>
      <c r="C203" s="29" t="str">
        <f>IF($A203="","","S"&amp;(INT(($A203-'01. CONFIGURAÇÕES'!$C$12)/7)+1))</f>
        <v/>
      </c>
      <c r="D203" s="30"/>
      <c r="E203" s="30"/>
      <c r="F203" s="10"/>
      <c r="G203" s="49"/>
      <c r="H203" s="49"/>
      <c r="I203" s="52" t="str">
        <f t="shared" si="25"/>
        <v/>
      </c>
      <c r="J203" s="49"/>
      <c r="K203" s="49"/>
      <c r="L203" s="49"/>
      <c r="M203" s="49"/>
      <c r="N203" s="49"/>
      <c r="O203" s="49"/>
      <c r="P203" s="10"/>
      <c r="Q203" s="11" t="str">
        <f t="shared" si="26"/>
        <v/>
      </c>
      <c r="R203" s="11" t="str">
        <f t="shared" si="27"/>
        <v/>
      </c>
      <c r="S203" s="58" t="str">
        <f t="shared" si="28"/>
        <v/>
      </c>
      <c r="T203" s="55" t="str">
        <f t="shared" si="29"/>
        <v/>
      </c>
      <c r="U203" s="55" t="str">
        <f>IF($D203="","",IF($D203='01. CONFIGURAÇÕES'!$C$8,'01. CONFIGURAÇÕES'!$C$38,'01. CONFIGURAÇÕES'!$D$38))</f>
        <v/>
      </c>
      <c r="V203" s="58" t="str">
        <f t="shared" si="30"/>
        <v/>
      </c>
      <c r="W203" s="55" t="str">
        <f>IF($D203="","",IF($D203='01. CONFIGURAÇÕES'!$C$8,'01. CONFIGURAÇÕES'!$C$31,'01. CONFIGURAÇÕES'!$D$31))</f>
        <v/>
      </c>
      <c r="X203" s="54" t="str">
        <f>IF($A203="","",$T203*(1-'01. CONFIGURAÇÕES'!$C$16)-IF($W203="",0,$W203))</f>
        <v/>
      </c>
      <c r="Y203" s="54" t="str">
        <f t="shared" si="31"/>
        <v/>
      </c>
      <c r="Z203" s="30"/>
      <c r="AA203" s="33"/>
      <c r="AB203" s="33"/>
    </row>
    <row r="204" spans="1:28" x14ac:dyDescent="0.25">
      <c r="A204" s="31"/>
      <c r="B204" s="29" t="str">
        <f t="shared" si="24"/>
        <v/>
      </c>
      <c r="C204" s="29" t="str">
        <f>IF($A204="","","S"&amp;(INT(($A204-'01. CONFIGURAÇÕES'!$C$12)/7)+1))</f>
        <v/>
      </c>
      <c r="D204" s="30"/>
      <c r="E204" s="30"/>
      <c r="F204" s="10"/>
      <c r="G204" s="49"/>
      <c r="H204" s="49"/>
      <c r="I204" s="52" t="str">
        <f t="shared" si="25"/>
        <v/>
      </c>
      <c r="J204" s="49"/>
      <c r="K204" s="49"/>
      <c r="L204" s="49"/>
      <c r="M204" s="49"/>
      <c r="N204" s="49"/>
      <c r="O204" s="49"/>
      <c r="P204" s="10"/>
      <c r="Q204" s="11" t="str">
        <f t="shared" si="26"/>
        <v/>
      </c>
      <c r="R204" s="11" t="str">
        <f t="shared" si="27"/>
        <v/>
      </c>
      <c r="S204" s="58" t="str">
        <f t="shared" si="28"/>
        <v/>
      </c>
      <c r="T204" s="55" t="str">
        <f t="shared" si="29"/>
        <v/>
      </c>
      <c r="U204" s="55" t="str">
        <f>IF($D204="","",IF($D204='01. CONFIGURAÇÕES'!$C$8,'01. CONFIGURAÇÕES'!$C$38,'01. CONFIGURAÇÕES'!$D$38))</f>
        <v/>
      </c>
      <c r="V204" s="58" t="str">
        <f t="shared" si="30"/>
        <v/>
      </c>
      <c r="W204" s="55" t="str">
        <f>IF($D204="","",IF($D204='01. CONFIGURAÇÕES'!$C$8,'01. CONFIGURAÇÕES'!$C$31,'01. CONFIGURAÇÕES'!$D$31))</f>
        <v/>
      </c>
      <c r="X204" s="54" t="str">
        <f>IF($A204="","",$T204*(1-'01. CONFIGURAÇÕES'!$C$16)-IF($W204="",0,$W204))</f>
        <v/>
      </c>
      <c r="Y204" s="54" t="str">
        <f t="shared" si="31"/>
        <v/>
      </c>
      <c r="Z204" s="30"/>
      <c r="AA204" s="33"/>
      <c r="AB204" s="33"/>
    </row>
    <row r="205" spans="1:28" x14ac:dyDescent="0.25">
      <c r="A205" s="31"/>
      <c r="B205" s="29" t="str">
        <f t="shared" si="24"/>
        <v/>
      </c>
      <c r="C205" s="29" t="str">
        <f>IF($A205="","","S"&amp;(INT(($A205-'01. CONFIGURAÇÕES'!$C$12)/7)+1))</f>
        <v/>
      </c>
      <c r="D205" s="30"/>
      <c r="E205" s="30"/>
      <c r="F205" s="10"/>
      <c r="G205" s="49"/>
      <c r="H205" s="49"/>
      <c r="I205" s="52" t="str">
        <f t="shared" si="25"/>
        <v/>
      </c>
      <c r="J205" s="49"/>
      <c r="K205" s="49"/>
      <c r="L205" s="49"/>
      <c r="M205" s="49"/>
      <c r="N205" s="49"/>
      <c r="O205" s="49"/>
      <c r="P205" s="10"/>
      <c r="Q205" s="11" t="str">
        <f t="shared" si="26"/>
        <v/>
      </c>
      <c r="R205" s="11" t="str">
        <f t="shared" si="27"/>
        <v/>
      </c>
      <c r="S205" s="58" t="str">
        <f t="shared" si="28"/>
        <v/>
      </c>
      <c r="T205" s="55" t="str">
        <f t="shared" si="29"/>
        <v/>
      </c>
      <c r="U205" s="55" t="str">
        <f>IF($D205="","",IF($D205='01. CONFIGURAÇÕES'!$C$8,'01. CONFIGURAÇÕES'!$C$38,'01. CONFIGURAÇÕES'!$D$38))</f>
        <v/>
      </c>
      <c r="V205" s="58" t="str">
        <f t="shared" si="30"/>
        <v/>
      </c>
      <c r="W205" s="55" t="str">
        <f>IF($D205="","",IF($D205='01. CONFIGURAÇÕES'!$C$8,'01. CONFIGURAÇÕES'!$C$31,'01. CONFIGURAÇÕES'!$D$31))</f>
        <v/>
      </c>
      <c r="X205" s="54" t="str">
        <f>IF($A205="","",$T205*(1-'01. CONFIGURAÇÕES'!$C$16)-IF($W205="",0,$W205))</f>
        <v/>
      </c>
      <c r="Y205" s="54" t="str">
        <f t="shared" si="31"/>
        <v/>
      </c>
      <c r="Z205" s="30"/>
      <c r="AA205" s="33"/>
      <c r="AB205" s="33"/>
    </row>
    <row r="206" spans="1:28" x14ac:dyDescent="0.25">
      <c r="A206" s="31"/>
      <c r="B206" s="29" t="str">
        <f t="shared" si="24"/>
        <v/>
      </c>
      <c r="C206" s="29" t="str">
        <f>IF($A206="","","S"&amp;(INT(($A206-'01. CONFIGURAÇÕES'!$C$12)/7)+1))</f>
        <v/>
      </c>
      <c r="D206" s="30"/>
      <c r="E206" s="30"/>
      <c r="F206" s="10"/>
      <c r="G206" s="49"/>
      <c r="H206" s="49"/>
      <c r="I206" s="52" t="str">
        <f t="shared" si="25"/>
        <v/>
      </c>
      <c r="J206" s="49"/>
      <c r="K206" s="49"/>
      <c r="L206" s="49"/>
      <c r="M206" s="49"/>
      <c r="N206" s="49"/>
      <c r="O206" s="49"/>
      <c r="P206" s="10"/>
      <c r="Q206" s="11" t="str">
        <f t="shared" si="26"/>
        <v/>
      </c>
      <c r="R206" s="11" t="str">
        <f t="shared" si="27"/>
        <v/>
      </c>
      <c r="S206" s="58" t="str">
        <f t="shared" si="28"/>
        <v/>
      </c>
      <c r="T206" s="55" t="str">
        <f t="shared" si="29"/>
        <v/>
      </c>
      <c r="U206" s="55" t="str">
        <f>IF($D206="","",IF($D206='01. CONFIGURAÇÕES'!$C$8,'01. CONFIGURAÇÕES'!$C$38,'01. CONFIGURAÇÕES'!$D$38))</f>
        <v/>
      </c>
      <c r="V206" s="58" t="str">
        <f t="shared" si="30"/>
        <v/>
      </c>
      <c r="W206" s="55" t="str">
        <f>IF($D206="","",IF($D206='01. CONFIGURAÇÕES'!$C$8,'01. CONFIGURAÇÕES'!$C$31,'01. CONFIGURAÇÕES'!$D$31))</f>
        <v/>
      </c>
      <c r="X206" s="54" t="str">
        <f>IF($A206="","",$T206*(1-'01. CONFIGURAÇÕES'!$C$16)-IF($W206="",0,$W206))</f>
        <v/>
      </c>
      <c r="Y206" s="54" t="str">
        <f t="shared" si="31"/>
        <v/>
      </c>
      <c r="Z206" s="30"/>
      <c r="AA206" s="33"/>
      <c r="AB206" s="33"/>
    </row>
    <row r="207" spans="1:28" x14ac:dyDescent="0.25">
      <c r="A207" s="31"/>
      <c r="B207" s="29" t="str">
        <f t="shared" si="24"/>
        <v/>
      </c>
      <c r="C207" s="29" t="str">
        <f>IF($A207="","","S"&amp;(INT(($A207-'01. CONFIGURAÇÕES'!$C$12)/7)+1))</f>
        <v/>
      </c>
      <c r="D207" s="30"/>
      <c r="E207" s="30"/>
      <c r="F207" s="10"/>
      <c r="G207" s="49"/>
      <c r="H207" s="49"/>
      <c r="I207" s="52" t="str">
        <f t="shared" si="25"/>
        <v/>
      </c>
      <c r="J207" s="49"/>
      <c r="K207" s="49"/>
      <c r="L207" s="49"/>
      <c r="M207" s="49"/>
      <c r="N207" s="49"/>
      <c r="O207" s="49"/>
      <c r="P207" s="10"/>
      <c r="Q207" s="11" t="str">
        <f t="shared" si="26"/>
        <v/>
      </c>
      <c r="R207" s="11" t="str">
        <f t="shared" si="27"/>
        <v/>
      </c>
      <c r="S207" s="58" t="str">
        <f t="shared" si="28"/>
        <v/>
      </c>
      <c r="T207" s="55" t="str">
        <f t="shared" si="29"/>
        <v/>
      </c>
      <c r="U207" s="55" t="str">
        <f>IF($D207="","",IF($D207='01. CONFIGURAÇÕES'!$C$8,'01. CONFIGURAÇÕES'!$C$38,'01. CONFIGURAÇÕES'!$D$38))</f>
        <v/>
      </c>
      <c r="V207" s="58" t="str">
        <f t="shared" si="30"/>
        <v/>
      </c>
      <c r="W207" s="55" t="str">
        <f>IF($D207="","",IF($D207='01. CONFIGURAÇÕES'!$C$8,'01. CONFIGURAÇÕES'!$C$31,'01. CONFIGURAÇÕES'!$D$31))</f>
        <v/>
      </c>
      <c r="X207" s="54" t="str">
        <f>IF($A207="","",$T207*(1-'01. CONFIGURAÇÕES'!$C$16)-IF($W207="",0,$W207))</f>
        <v/>
      </c>
      <c r="Y207" s="54" t="str">
        <f t="shared" si="31"/>
        <v/>
      </c>
      <c r="Z207" s="30"/>
      <c r="AA207" s="33"/>
      <c r="AB207" s="33"/>
    </row>
    <row r="208" spans="1:28" x14ac:dyDescent="0.25">
      <c r="A208" s="31"/>
      <c r="B208" s="29" t="str">
        <f t="shared" si="24"/>
        <v/>
      </c>
      <c r="C208" s="29" t="str">
        <f>IF($A208="","","S"&amp;(INT(($A208-'01. CONFIGURAÇÕES'!$C$12)/7)+1))</f>
        <v/>
      </c>
      <c r="D208" s="30"/>
      <c r="E208" s="30"/>
      <c r="F208" s="10"/>
      <c r="G208" s="49"/>
      <c r="H208" s="49"/>
      <c r="I208" s="52" t="str">
        <f t="shared" si="25"/>
        <v/>
      </c>
      <c r="J208" s="49"/>
      <c r="K208" s="49"/>
      <c r="L208" s="49"/>
      <c r="M208" s="49"/>
      <c r="N208" s="49"/>
      <c r="O208" s="49"/>
      <c r="P208" s="10"/>
      <c r="Q208" s="11" t="str">
        <f t="shared" si="26"/>
        <v/>
      </c>
      <c r="R208" s="11" t="str">
        <f t="shared" si="27"/>
        <v/>
      </c>
      <c r="S208" s="58" t="str">
        <f t="shared" si="28"/>
        <v/>
      </c>
      <c r="T208" s="55" t="str">
        <f t="shared" si="29"/>
        <v/>
      </c>
      <c r="U208" s="55" t="str">
        <f>IF($D208="","",IF($D208='01. CONFIGURAÇÕES'!$C$8,'01. CONFIGURAÇÕES'!$C$38,'01. CONFIGURAÇÕES'!$D$38))</f>
        <v/>
      </c>
      <c r="V208" s="58" t="str">
        <f t="shared" si="30"/>
        <v/>
      </c>
      <c r="W208" s="55" t="str">
        <f>IF($D208="","",IF($D208='01. CONFIGURAÇÕES'!$C$8,'01. CONFIGURAÇÕES'!$C$31,'01. CONFIGURAÇÕES'!$D$31))</f>
        <v/>
      </c>
      <c r="X208" s="54" t="str">
        <f>IF($A208="","",$T208*(1-'01. CONFIGURAÇÕES'!$C$16)-IF($W208="",0,$W208))</f>
        <v/>
      </c>
      <c r="Y208" s="54" t="str">
        <f t="shared" si="31"/>
        <v/>
      </c>
      <c r="Z208" s="30"/>
      <c r="AA208" s="33"/>
      <c r="AB208" s="33"/>
    </row>
    <row r="209" spans="1:28" x14ac:dyDescent="0.25">
      <c r="A209" s="31"/>
      <c r="B209" s="29" t="str">
        <f t="shared" si="24"/>
        <v/>
      </c>
      <c r="C209" s="29" t="str">
        <f>IF($A209="","","S"&amp;(INT(($A209-'01. CONFIGURAÇÕES'!$C$12)/7)+1))</f>
        <v/>
      </c>
      <c r="D209" s="30"/>
      <c r="E209" s="30"/>
      <c r="F209" s="10"/>
      <c r="G209" s="49"/>
      <c r="H209" s="49"/>
      <c r="I209" s="52" t="str">
        <f t="shared" si="25"/>
        <v/>
      </c>
      <c r="J209" s="49"/>
      <c r="K209" s="49"/>
      <c r="L209" s="49"/>
      <c r="M209" s="49"/>
      <c r="N209" s="49"/>
      <c r="O209" s="49"/>
      <c r="P209" s="10"/>
      <c r="Q209" s="11" t="str">
        <f t="shared" si="26"/>
        <v/>
      </c>
      <c r="R209" s="11" t="str">
        <f t="shared" si="27"/>
        <v/>
      </c>
      <c r="S209" s="58" t="str">
        <f t="shared" si="28"/>
        <v/>
      </c>
      <c r="T209" s="55" t="str">
        <f t="shared" si="29"/>
        <v/>
      </c>
      <c r="U209" s="55" t="str">
        <f>IF($D209="","",IF($D209='01. CONFIGURAÇÕES'!$C$8,'01. CONFIGURAÇÕES'!$C$38,'01. CONFIGURAÇÕES'!$D$38))</f>
        <v/>
      </c>
      <c r="V209" s="58" t="str">
        <f t="shared" si="30"/>
        <v/>
      </c>
      <c r="W209" s="55" t="str">
        <f>IF($D209="","",IF($D209='01. CONFIGURAÇÕES'!$C$8,'01. CONFIGURAÇÕES'!$C$31,'01. CONFIGURAÇÕES'!$D$31))</f>
        <v/>
      </c>
      <c r="X209" s="54" t="str">
        <f>IF($A209="","",$T209*(1-'01. CONFIGURAÇÕES'!$C$16)-IF($W209="",0,$W209))</f>
        <v/>
      </c>
      <c r="Y209" s="54" t="str">
        <f t="shared" si="31"/>
        <v/>
      </c>
      <c r="Z209" s="30"/>
      <c r="AA209" s="33"/>
      <c r="AB209" s="33"/>
    </row>
    <row r="210" spans="1:28" x14ac:dyDescent="0.25">
      <c r="A210" s="31"/>
      <c r="B210" s="29" t="str">
        <f t="shared" si="24"/>
        <v/>
      </c>
      <c r="C210" s="29" t="str">
        <f>IF($A210="","","S"&amp;(INT(($A210-'01. CONFIGURAÇÕES'!$C$12)/7)+1))</f>
        <v/>
      </c>
      <c r="D210" s="30"/>
      <c r="E210" s="30"/>
      <c r="F210" s="10"/>
      <c r="G210" s="49"/>
      <c r="H210" s="49"/>
      <c r="I210" s="52" t="str">
        <f t="shared" si="25"/>
        <v/>
      </c>
      <c r="J210" s="49"/>
      <c r="K210" s="49"/>
      <c r="L210" s="49"/>
      <c r="M210" s="49"/>
      <c r="N210" s="49"/>
      <c r="O210" s="49"/>
      <c r="P210" s="10"/>
      <c r="Q210" s="11" t="str">
        <f t="shared" si="26"/>
        <v/>
      </c>
      <c r="R210" s="11" t="str">
        <f t="shared" si="27"/>
        <v/>
      </c>
      <c r="S210" s="58" t="str">
        <f t="shared" si="28"/>
        <v/>
      </c>
      <c r="T210" s="55" t="str">
        <f t="shared" si="29"/>
        <v/>
      </c>
      <c r="U210" s="55" t="str">
        <f>IF($D210="","",IF($D210='01. CONFIGURAÇÕES'!$C$8,'01. CONFIGURAÇÕES'!$C$38,'01. CONFIGURAÇÕES'!$D$38))</f>
        <v/>
      </c>
      <c r="V210" s="58" t="str">
        <f t="shared" si="30"/>
        <v/>
      </c>
      <c r="W210" s="55" t="str">
        <f>IF($D210="","",IF($D210='01. CONFIGURAÇÕES'!$C$8,'01. CONFIGURAÇÕES'!$C$31,'01. CONFIGURAÇÕES'!$D$31))</f>
        <v/>
      </c>
      <c r="X210" s="54" t="str">
        <f>IF($A210="","",$T210*(1-'01. CONFIGURAÇÕES'!$C$16)-IF($W210="",0,$W210))</f>
        <v/>
      </c>
      <c r="Y210" s="54" t="str">
        <f t="shared" si="31"/>
        <v/>
      </c>
      <c r="Z210" s="30"/>
      <c r="AA210" s="33"/>
      <c r="AB210" s="33"/>
    </row>
    <row r="211" spans="1:28" x14ac:dyDescent="0.25">
      <c r="A211" s="31"/>
      <c r="B211" s="29" t="str">
        <f t="shared" si="24"/>
        <v/>
      </c>
      <c r="C211" s="29" t="str">
        <f>IF($A211="","","S"&amp;(INT(($A211-'01. CONFIGURAÇÕES'!$C$12)/7)+1))</f>
        <v/>
      </c>
      <c r="D211" s="30"/>
      <c r="E211" s="30"/>
      <c r="F211" s="10"/>
      <c r="G211" s="49"/>
      <c r="H211" s="49"/>
      <c r="I211" s="52" t="str">
        <f t="shared" si="25"/>
        <v/>
      </c>
      <c r="J211" s="49"/>
      <c r="K211" s="49"/>
      <c r="L211" s="49"/>
      <c r="M211" s="49"/>
      <c r="N211" s="49"/>
      <c r="O211" s="49"/>
      <c r="P211" s="10"/>
      <c r="Q211" s="11" t="str">
        <f t="shared" si="26"/>
        <v/>
      </c>
      <c r="R211" s="11" t="str">
        <f t="shared" si="27"/>
        <v/>
      </c>
      <c r="S211" s="58" t="str">
        <f t="shared" si="28"/>
        <v/>
      </c>
      <c r="T211" s="55" t="str">
        <f t="shared" si="29"/>
        <v/>
      </c>
      <c r="U211" s="55" t="str">
        <f>IF($D211="","",IF($D211='01. CONFIGURAÇÕES'!$C$8,'01. CONFIGURAÇÕES'!$C$38,'01. CONFIGURAÇÕES'!$D$38))</f>
        <v/>
      </c>
      <c r="V211" s="58" t="str">
        <f t="shared" si="30"/>
        <v/>
      </c>
      <c r="W211" s="55" t="str">
        <f>IF($D211="","",IF($D211='01. CONFIGURAÇÕES'!$C$8,'01. CONFIGURAÇÕES'!$C$31,'01. CONFIGURAÇÕES'!$D$31))</f>
        <v/>
      </c>
      <c r="X211" s="54" t="str">
        <f>IF($A211="","",$T211*(1-'01. CONFIGURAÇÕES'!$C$16)-IF($W211="",0,$W211))</f>
        <v/>
      </c>
      <c r="Y211" s="54" t="str">
        <f t="shared" si="31"/>
        <v/>
      </c>
      <c r="Z211" s="30"/>
      <c r="AA211" s="33"/>
      <c r="AB211" s="33"/>
    </row>
    <row r="212" spans="1:28" x14ac:dyDescent="0.25">
      <c r="A212" s="31"/>
      <c r="B212" s="29" t="str">
        <f t="shared" si="24"/>
        <v/>
      </c>
      <c r="C212" s="29" t="str">
        <f>IF($A212="","","S"&amp;(INT(($A212-'01. CONFIGURAÇÕES'!$C$12)/7)+1))</f>
        <v/>
      </c>
      <c r="D212" s="30"/>
      <c r="E212" s="30"/>
      <c r="F212" s="10"/>
      <c r="G212" s="49"/>
      <c r="H212" s="49"/>
      <c r="I212" s="52" t="str">
        <f t="shared" si="25"/>
        <v/>
      </c>
      <c r="J212" s="49"/>
      <c r="K212" s="49"/>
      <c r="L212" s="49"/>
      <c r="M212" s="49"/>
      <c r="N212" s="49"/>
      <c r="O212" s="49"/>
      <c r="P212" s="10"/>
      <c r="Q212" s="11" t="str">
        <f t="shared" si="26"/>
        <v/>
      </c>
      <c r="R212" s="11" t="str">
        <f t="shared" si="27"/>
        <v/>
      </c>
      <c r="S212" s="58" t="str">
        <f t="shared" si="28"/>
        <v/>
      </c>
      <c r="T212" s="55" t="str">
        <f t="shared" si="29"/>
        <v/>
      </c>
      <c r="U212" s="55" t="str">
        <f>IF($D212="","",IF($D212='01. CONFIGURAÇÕES'!$C$8,'01. CONFIGURAÇÕES'!$C$38,'01. CONFIGURAÇÕES'!$D$38))</f>
        <v/>
      </c>
      <c r="V212" s="58" t="str">
        <f t="shared" si="30"/>
        <v/>
      </c>
      <c r="W212" s="55" t="str">
        <f>IF($D212="","",IF($D212='01. CONFIGURAÇÕES'!$C$8,'01. CONFIGURAÇÕES'!$C$31,'01. CONFIGURAÇÕES'!$D$31))</f>
        <v/>
      </c>
      <c r="X212" s="54" t="str">
        <f>IF($A212="","",$T212*(1-'01. CONFIGURAÇÕES'!$C$16)-IF($W212="",0,$W212))</f>
        <v/>
      </c>
      <c r="Y212" s="54" t="str">
        <f t="shared" si="31"/>
        <v/>
      </c>
      <c r="Z212" s="30"/>
      <c r="AA212" s="33"/>
      <c r="AB212" s="33"/>
    </row>
    <row r="213" spans="1:28" x14ac:dyDescent="0.25">
      <c r="A213" s="31"/>
      <c r="B213" s="29" t="str">
        <f t="shared" si="24"/>
        <v/>
      </c>
      <c r="C213" s="29" t="str">
        <f>IF($A213="","","S"&amp;(INT(($A213-'01. CONFIGURAÇÕES'!$C$12)/7)+1))</f>
        <v/>
      </c>
      <c r="D213" s="30"/>
      <c r="E213" s="30"/>
      <c r="F213" s="10"/>
      <c r="G213" s="49"/>
      <c r="H213" s="49"/>
      <c r="I213" s="52" t="str">
        <f t="shared" si="25"/>
        <v/>
      </c>
      <c r="J213" s="49"/>
      <c r="K213" s="49"/>
      <c r="L213" s="49"/>
      <c r="M213" s="49"/>
      <c r="N213" s="49"/>
      <c r="O213" s="49"/>
      <c r="P213" s="10"/>
      <c r="Q213" s="11" t="str">
        <f t="shared" si="26"/>
        <v/>
      </c>
      <c r="R213" s="11" t="str">
        <f t="shared" si="27"/>
        <v/>
      </c>
      <c r="S213" s="58" t="str">
        <f t="shared" si="28"/>
        <v/>
      </c>
      <c r="T213" s="55" t="str">
        <f t="shared" si="29"/>
        <v/>
      </c>
      <c r="U213" s="55" t="str">
        <f>IF($D213="","",IF($D213='01. CONFIGURAÇÕES'!$C$8,'01. CONFIGURAÇÕES'!$C$38,'01. CONFIGURAÇÕES'!$D$38))</f>
        <v/>
      </c>
      <c r="V213" s="58" t="str">
        <f t="shared" si="30"/>
        <v/>
      </c>
      <c r="W213" s="55" t="str">
        <f>IF($D213="","",IF($D213='01. CONFIGURAÇÕES'!$C$8,'01. CONFIGURAÇÕES'!$C$31,'01. CONFIGURAÇÕES'!$D$31))</f>
        <v/>
      </c>
      <c r="X213" s="54" t="str">
        <f>IF($A213="","",$T213*(1-'01. CONFIGURAÇÕES'!$C$16)-IF($W213="",0,$W213))</f>
        <v/>
      </c>
      <c r="Y213" s="54" t="str">
        <f t="shared" si="31"/>
        <v/>
      </c>
      <c r="Z213" s="30"/>
      <c r="AA213" s="33"/>
      <c r="AB213" s="33"/>
    </row>
    <row r="214" spans="1:28" x14ac:dyDescent="0.25">
      <c r="A214" s="31"/>
      <c r="B214" s="29" t="str">
        <f t="shared" si="24"/>
        <v/>
      </c>
      <c r="C214" s="29" t="str">
        <f>IF($A214="","","S"&amp;(INT(($A214-'01. CONFIGURAÇÕES'!$C$12)/7)+1))</f>
        <v/>
      </c>
      <c r="D214" s="30"/>
      <c r="E214" s="30"/>
      <c r="F214" s="10"/>
      <c r="G214" s="49"/>
      <c r="H214" s="49"/>
      <c r="I214" s="52" t="str">
        <f t="shared" si="25"/>
        <v/>
      </c>
      <c r="J214" s="49"/>
      <c r="K214" s="49"/>
      <c r="L214" s="49"/>
      <c r="M214" s="49"/>
      <c r="N214" s="49"/>
      <c r="O214" s="49"/>
      <c r="P214" s="10"/>
      <c r="Q214" s="11" t="str">
        <f t="shared" si="26"/>
        <v/>
      </c>
      <c r="R214" s="11" t="str">
        <f t="shared" si="27"/>
        <v/>
      </c>
      <c r="S214" s="58" t="str">
        <f t="shared" si="28"/>
        <v/>
      </c>
      <c r="T214" s="55" t="str">
        <f t="shared" si="29"/>
        <v/>
      </c>
      <c r="U214" s="55" t="str">
        <f>IF($D214="","",IF($D214='01. CONFIGURAÇÕES'!$C$8,'01. CONFIGURAÇÕES'!$C$38,'01. CONFIGURAÇÕES'!$D$38))</f>
        <v/>
      </c>
      <c r="V214" s="58" t="str">
        <f t="shared" si="30"/>
        <v/>
      </c>
      <c r="W214" s="55" t="str">
        <f>IF($D214="","",IF($D214='01. CONFIGURAÇÕES'!$C$8,'01. CONFIGURAÇÕES'!$C$31,'01. CONFIGURAÇÕES'!$D$31))</f>
        <v/>
      </c>
      <c r="X214" s="54" t="str">
        <f>IF($A214="","",$T214*(1-'01. CONFIGURAÇÕES'!$C$16)-IF($W214="",0,$W214))</f>
        <v/>
      </c>
      <c r="Y214" s="54" t="str">
        <f t="shared" si="31"/>
        <v/>
      </c>
      <c r="Z214" s="30"/>
      <c r="AA214" s="33"/>
      <c r="AB214" s="33"/>
    </row>
    <row r="215" spans="1:28" x14ac:dyDescent="0.25">
      <c r="A215" s="31"/>
      <c r="B215" s="29" t="str">
        <f t="shared" si="24"/>
        <v/>
      </c>
      <c r="C215" s="29" t="str">
        <f>IF($A215="","","S"&amp;(INT(($A215-'01. CONFIGURAÇÕES'!$C$12)/7)+1))</f>
        <v/>
      </c>
      <c r="D215" s="30"/>
      <c r="E215" s="30"/>
      <c r="F215" s="10"/>
      <c r="G215" s="49"/>
      <c r="H215" s="49"/>
      <c r="I215" s="52" t="str">
        <f t="shared" si="25"/>
        <v/>
      </c>
      <c r="J215" s="49"/>
      <c r="K215" s="49"/>
      <c r="L215" s="49"/>
      <c r="M215" s="49"/>
      <c r="N215" s="49"/>
      <c r="O215" s="49"/>
      <c r="P215" s="10"/>
      <c r="Q215" s="11" t="str">
        <f t="shared" si="26"/>
        <v/>
      </c>
      <c r="R215" s="11" t="str">
        <f t="shared" si="27"/>
        <v/>
      </c>
      <c r="S215" s="58" t="str">
        <f t="shared" si="28"/>
        <v/>
      </c>
      <c r="T215" s="55" t="str">
        <f t="shared" si="29"/>
        <v/>
      </c>
      <c r="U215" s="55" t="str">
        <f>IF($D215="","",IF($D215='01. CONFIGURAÇÕES'!$C$8,'01. CONFIGURAÇÕES'!$C$38,'01. CONFIGURAÇÕES'!$D$38))</f>
        <v/>
      </c>
      <c r="V215" s="58" t="str">
        <f t="shared" si="30"/>
        <v/>
      </c>
      <c r="W215" s="55" t="str">
        <f>IF($D215="","",IF($D215='01. CONFIGURAÇÕES'!$C$8,'01. CONFIGURAÇÕES'!$C$31,'01. CONFIGURAÇÕES'!$D$31))</f>
        <v/>
      </c>
      <c r="X215" s="54" t="str">
        <f>IF($A215="","",$T215*(1-'01. CONFIGURAÇÕES'!$C$16)-IF($W215="",0,$W215))</f>
        <v/>
      </c>
      <c r="Y215" s="54" t="str">
        <f t="shared" si="31"/>
        <v/>
      </c>
      <c r="Z215" s="30"/>
      <c r="AA215" s="33"/>
      <c r="AB215" s="33"/>
    </row>
    <row r="216" spans="1:28" x14ac:dyDescent="0.25">
      <c r="A216" s="31"/>
      <c r="B216" s="29" t="str">
        <f t="shared" si="24"/>
        <v/>
      </c>
      <c r="C216" s="29" t="str">
        <f>IF($A216="","","S"&amp;(INT(($A216-'01. CONFIGURAÇÕES'!$C$12)/7)+1))</f>
        <v/>
      </c>
      <c r="D216" s="30"/>
      <c r="E216" s="30"/>
      <c r="F216" s="10"/>
      <c r="G216" s="49"/>
      <c r="H216" s="49"/>
      <c r="I216" s="52" t="str">
        <f t="shared" si="25"/>
        <v/>
      </c>
      <c r="J216" s="49"/>
      <c r="K216" s="49"/>
      <c r="L216" s="49"/>
      <c r="M216" s="49"/>
      <c r="N216" s="49"/>
      <c r="O216" s="49"/>
      <c r="P216" s="10"/>
      <c r="Q216" s="11" t="str">
        <f t="shared" si="26"/>
        <v/>
      </c>
      <c r="R216" s="11" t="str">
        <f t="shared" si="27"/>
        <v/>
      </c>
      <c r="S216" s="58" t="str">
        <f t="shared" si="28"/>
        <v/>
      </c>
      <c r="T216" s="55" t="str">
        <f t="shared" si="29"/>
        <v/>
      </c>
      <c r="U216" s="55" t="str">
        <f>IF($D216="","",IF($D216='01. CONFIGURAÇÕES'!$C$8,'01. CONFIGURAÇÕES'!$C$38,'01. CONFIGURAÇÕES'!$D$38))</f>
        <v/>
      </c>
      <c r="V216" s="58" t="str">
        <f t="shared" si="30"/>
        <v/>
      </c>
      <c r="W216" s="55" t="str">
        <f>IF($D216="","",IF($D216='01. CONFIGURAÇÕES'!$C$8,'01. CONFIGURAÇÕES'!$C$31,'01. CONFIGURAÇÕES'!$D$31))</f>
        <v/>
      </c>
      <c r="X216" s="54" t="str">
        <f>IF($A216="","",$T216*(1-'01. CONFIGURAÇÕES'!$C$16)-IF($W216="",0,$W216))</f>
        <v/>
      </c>
      <c r="Y216" s="54" t="str">
        <f t="shared" si="31"/>
        <v/>
      </c>
      <c r="Z216" s="30"/>
      <c r="AA216" s="33"/>
      <c r="AB216" s="33"/>
    </row>
    <row r="217" spans="1:28" x14ac:dyDescent="0.25">
      <c r="A217" s="31"/>
      <c r="B217" s="29" t="str">
        <f t="shared" si="24"/>
        <v/>
      </c>
      <c r="C217" s="29" t="str">
        <f>IF($A217="","","S"&amp;(INT(($A217-'01. CONFIGURAÇÕES'!$C$12)/7)+1))</f>
        <v/>
      </c>
      <c r="D217" s="30"/>
      <c r="E217" s="30"/>
      <c r="F217" s="10"/>
      <c r="G217" s="49"/>
      <c r="H217" s="49"/>
      <c r="I217" s="52" t="str">
        <f t="shared" si="25"/>
        <v/>
      </c>
      <c r="J217" s="49"/>
      <c r="K217" s="49"/>
      <c r="L217" s="49"/>
      <c r="M217" s="49"/>
      <c r="N217" s="49"/>
      <c r="O217" s="49"/>
      <c r="P217" s="10"/>
      <c r="Q217" s="11" t="str">
        <f t="shared" si="26"/>
        <v/>
      </c>
      <c r="R217" s="11" t="str">
        <f t="shared" si="27"/>
        <v/>
      </c>
      <c r="S217" s="58" t="str">
        <f t="shared" si="28"/>
        <v/>
      </c>
      <c r="T217" s="55" t="str">
        <f t="shared" si="29"/>
        <v/>
      </c>
      <c r="U217" s="55" t="str">
        <f>IF($D217="","",IF($D217='01. CONFIGURAÇÕES'!$C$8,'01. CONFIGURAÇÕES'!$C$38,'01. CONFIGURAÇÕES'!$D$38))</f>
        <v/>
      </c>
      <c r="V217" s="58" t="str">
        <f t="shared" si="30"/>
        <v/>
      </c>
      <c r="W217" s="55" t="str">
        <f>IF($D217="","",IF($D217='01. CONFIGURAÇÕES'!$C$8,'01. CONFIGURAÇÕES'!$C$31,'01. CONFIGURAÇÕES'!$D$31))</f>
        <v/>
      </c>
      <c r="X217" s="54" t="str">
        <f>IF($A217="","",$T217*(1-'01. CONFIGURAÇÕES'!$C$16)-IF($W217="",0,$W217))</f>
        <v/>
      </c>
      <c r="Y217" s="54" t="str">
        <f t="shared" si="31"/>
        <v/>
      </c>
      <c r="Z217" s="30"/>
      <c r="AA217" s="33"/>
      <c r="AB217" s="33"/>
    </row>
    <row r="218" spans="1:28" x14ac:dyDescent="0.25">
      <c r="A218" s="31"/>
      <c r="B218" s="29" t="str">
        <f t="shared" si="24"/>
        <v/>
      </c>
      <c r="C218" s="29" t="str">
        <f>IF($A218="","","S"&amp;(INT(($A218-'01. CONFIGURAÇÕES'!$C$12)/7)+1))</f>
        <v/>
      </c>
      <c r="D218" s="30"/>
      <c r="E218" s="30"/>
      <c r="F218" s="10"/>
      <c r="G218" s="49"/>
      <c r="H218" s="49"/>
      <c r="I218" s="52" t="str">
        <f t="shared" si="25"/>
        <v/>
      </c>
      <c r="J218" s="49"/>
      <c r="K218" s="49"/>
      <c r="L218" s="49"/>
      <c r="M218" s="49"/>
      <c r="N218" s="49"/>
      <c r="O218" s="49"/>
      <c r="P218" s="10"/>
      <c r="Q218" s="11" t="str">
        <f t="shared" si="26"/>
        <v/>
      </c>
      <c r="R218" s="11" t="str">
        <f t="shared" si="27"/>
        <v/>
      </c>
      <c r="S218" s="58" t="str">
        <f t="shared" si="28"/>
        <v/>
      </c>
      <c r="T218" s="55" t="str">
        <f t="shared" si="29"/>
        <v/>
      </c>
      <c r="U218" s="55" t="str">
        <f>IF($D218="","",IF($D218='01. CONFIGURAÇÕES'!$C$8,'01. CONFIGURAÇÕES'!$C$38,'01. CONFIGURAÇÕES'!$D$38))</f>
        <v/>
      </c>
      <c r="V218" s="58" t="str">
        <f t="shared" si="30"/>
        <v/>
      </c>
      <c r="W218" s="55" t="str">
        <f>IF($D218="","",IF($D218='01. CONFIGURAÇÕES'!$C$8,'01. CONFIGURAÇÕES'!$C$31,'01. CONFIGURAÇÕES'!$D$31))</f>
        <v/>
      </c>
      <c r="X218" s="54" t="str">
        <f>IF($A218="","",$T218*(1-'01. CONFIGURAÇÕES'!$C$16)-IF($W218="",0,$W218))</f>
        <v/>
      </c>
      <c r="Y218" s="54" t="str">
        <f t="shared" si="31"/>
        <v/>
      </c>
      <c r="Z218" s="30"/>
      <c r="AA218" s="33"/>
      <c r="AB218" s="33"/>
    </row>
    <row r="219" spans="1:28" x14ac:dyDescent="0.25">
      <c r="A219" s="31"/>
      <c r="B219" s="29" t="str">
        <f t="shared" si="24"/>
        <v/>
      </c>
      <c r="C219" s="29" t="str">
        <f>IF($A219="","","S"&amp;(INT(($A219-'01. CONFIGURAÇÕES'!$C$12)/7)+1))</f>
        <v/>
      </c>
      <c r="D219" s="30"/>
      <c r="E219" s="30"/>
      <c r="F219" s="10"/>
      <c r="G219" s="49"/>
      <c r="H219" s="49"/>
      <c r="I219" s="52" t="str">
        <f t="shared" si="25"/>
        <v/>
      </c>
      <c r="J219" s="49"/>
      <c r="K219" s="49"/>
      <c r="L219" s="49"/>
      <c r="M219" s="49"/>
      <c r="N219" s="49"/>
      <c r="O219" s="49"/>
      <c r="P219" s="10"/>
      <c r="Q219" s="11" t="str">
        <f t="shared" si="26"/>
        <v/>
      </c>
      <c r="R219" s="11" t="str">
        <f t="shared" si="27"/>
        <v/>
      </c>
      <c r="S219" s="58" t="str">
        <f t="shared" si="28"/>
        <v/>
      </c>
      <c r="T219" s="55" t="str">
        <f t="shared" si="29"/>
        <v/>
      </c>
      <c r="U219" s="55" t="str">
        <f>IF($D219="","",IF($D219='01. CONFIGURAÇÕES'!$C$8,'01. CONFIGURAÇÕES'!$C$38,'01. CONFIGURAÇÕES'!$D$38))</f>
        <v/>
      </c>
      <c r="V219" s="58" t="str">
        <f t="shared" si="30"/>
        <v/>
      </c>
      <c r="W219" s="55" t="str">
        <f>IF($D219="","",IF($D219='01. CONFIGURAÇÕES'!$C$8,'01. CONFIGURAÇÕES'!$C$31,'01. CONFIGURAÇÕES'!$D$31))</f>
        <v/>
      </c>
      <c r="X219" s="54" t="str">
        <f>IF($A219="","",$T219*(1-'01. CONFIGURAÇÕES'!$C$16)-IF($W219="",0,$W219))</f>
        <v/>
      </c>
      <c r="Y219" s="54" t="str">
        <f t="shared" si="31"/>
        <v/>
      </c>
      <c r="Z219" s="30"/>
      <c r="AA219" s="33"/>
      <c r="AB219" s="33"/>
    </row>
    <row r="220" spans="1:28" x14ac:dyDescent="0.25">
      <c r="A220" s="31"/>
      <c r="B220" s="29" t="str">
        <f t="shared" si="24"/>
        <v/>
      </c>
      <c r="C220" s="29" t="str">
        <f>IF($A220="","","S"&amp;(INT(($A220-'01. CONFIGURAÇÕES'!$C$12)/7)+1))</f>
        <v/>
      </c>
      <c r="D220" s="30"/>
      <c r="E220" s="30"/>
      <c r="F220" s="10"/>
      <c r="G220" s="49"/>
      <c r="H220" s="49"/>
      <c r="I220" s="52" t="str">
        <f t="shared" si="25"/>
        <v/>
      </c>
      <c r="J220" s="49"/>
      <c r="K220" s="49"/>
      <c r="L220" s="49"/>
      <c r="M220" s="49"/>
      <c r="N220" s="49"/>
      <c r="O220" s="49"/>
      <c r="P220" s="10"/>
      <c r="Q220" s="11" t="str">
        <f t="shared" si="26"/>
        <v/>
      </c>
      <c r="R220" s="11" t="str">
        <f t="shared" si="27"/>
        <v/>
      </c>
      <c r="S220" s="58" t="str">
        <f t="shared" si="28"/>
        <v/>
      </c>
      <c r="T220" s="55" t="str">
        <f t="shared" si="29"/>
        <v/>
      </c>
      <c r="U220" s="55" t="str">
        <f>IF($D220="","",IF($D220='01. CONFIGURAÇÕES'!$C$8,'01. CONFIGURAÇÕES'!$C$38,'01. CONFIGURAÇÕES'!$D$38))</f>
        <v/>
      </c>
      <c r="V220" s="58" t="str">
        <f t="shared" si="30"/>
        <v/>
      </c>
      <c r="W220" s="55" t="str">
        <f>IF($D220="","",IF($D220='01. CONFIGURAÇÕES'!$C$8,'01. CONFIGURAÇÕES'!$C$31,'01. CONFIGURAÇÕES'!$D$31))</f>
        <v/>
      </c>
      <c r="X220" s="54" t="str">
        <f>IF($A220="","",$T220*(1-'01. CONFIGURAÇÕES'!$C$16)-IF($W220="",0,$W220))</f>
        <v/>
      </c>
      <c r="Y220" s="54" t="str">
        <f t="shared" si="31"/>
        <v/>
      </c>
      <c r="Z220" s="30"/>
      <c r="AA220" s="33"/>
      <c r="AB220" s="33"/>
    </row>
    <row r="221" spans="1:28" x14ac:dyDescent="0.25">
      <c r="A221" s="31"/>
      <c r="B221" s="29" t="str">
        <f t="shared" si="24"/>
        <v/>
      </c>
      <c r="C221" s="29" t="str">
        <f>IF($A221="","","S"&amp;(INT(($A221-'01. CONFIGURAÇÕES'!$C$12)/7)+1))</f>
        <v/>
      </c>
      <c r="D221" s="30"/>
      <c r="E221" s="30"/>
      <c r="F221" s="10"/>
      <c r="G221" s="49"/>
      <c r="H221" s="49"/>
      <c r="I221" s="52" t="str">
        <f t="shared" si="25"/>
        <v/>
      </c>
      <c r="J221" s="49"/>
      <c r="K221" s="49"/>
      <c r="L221" s="49"/>
      <c r="M221" s="49"/>
      <c r="N221" s="49"/>
      <c r="O221" s="49"/>
      <c r="P221" s="10"/>
      <c r="Q221" s="11" t="str">
        <f t="shared" si="26"/>
        <v/>
      </c>
      <c r="R221" s="11" t="str">
        <f t="shared" si="27"/>
        <v/>
      </c>
      <c r="S221" s="58" t="str">
        <f t="shared" si="28"/>
        <v/>
      </c>
      <c r="T221" s="55" t="str">
        <f t="shared" si="29"/>
        <v/>
      </c>
      <c r="U221" s="55" t="str">
        <f>IF($D221="","",IF($D221='01. CONFIGURAÇÕES'!$C$8,'01. CONFIGURAÇÕES'!$C$38,'01. CONFIGURAÇÕES'!$D$38))</f>
        <v/>
      </c>
      <c r="V221" s="58" t="str">
        <f t="shared" si="30"/>
        <v/>
      </c>
      <c r="W221" s="55" t="str">
        <f>IF($D221="","",IF($D221='01. CONFIGURAÇÕES'!$C$8,'01. CONFIGURAÇÕES'!$C$31,'01. CONFIGURAÇÕES'!$D$31))</f>
        <v/>
      </c>
      <c r="X221" s="54" t="str">
        <f>IF($A221="","",$T221*(1-'01. CONFIGURAÇÕES'!$C$16)-IF($W221="",0,$W221))</f>
        <v/>
      </c>
      <c r="Y221" s="54" t="str">
        <f t="shared" si="31"/>
        <v/>
      </c>
      <c r="Z221" s="30"/>
      <c r="AA221" s="33"/>
      <c r="AB221" s="33"/>
    </row>
    <row r="222" spans="1:28" x14ac:dyDescent="0.25">
      <c r="A222" s="31"/>
      <c r="B222" s="29" t="str">
        <f t="shared" si="24"/>
        <v/>
      </c>
      <c r="C222" s="29" t="str">
        <f>IF($A222="","","S"&amp;(INT(($A222-'01. CONFIGURAÇÕES'!$C$12)/7)+1))</f>
        <v/>
      </c>
      <c r="D222" s="30"/>
      <c r="E222" s="30"/>
      <c r="F222" s="10"/>
      <c r="G222" s="49"/>
      <c r="H222" s="49"/>
      <c r="I222" s="52" t="str">
        <f t="shared" si="25"/>
        <v/>
      </c>
      <c r="J222" s="49"/>
      <c r="K222" s="49"/>
      <c r="L222" s="49"/>
      <c r="M222" s="49"/>
      <c r="N222" s="49"/>
      <c r="O222" s="49"/>
      <c r="P222" s="10"/>
      <c r="Q222" s="11" t="str">
        <f t="shared" si="26"/>
        <v/>
      </c>
      <c r="R222" s="11" t="str">
        <f t="shared" si="27"/>
        <v/>
      </c>
      <c r="S222" s="58" t="str">
        <f t="shared" si="28"/>
        <v/>
      </c>
      <c r="T222" s="55" t="str">
        <f t="shared" si="29"/>
        <v/>
      </c>
      <c r="U222" s="55" t="str">
        <f>IF($D222="","",IF($D222='01. CONFIGURAÇÕES'!$C$8,'01. CONFIGURAÇÕES'!$C$38,'01. CONFIGURAÇÕES'!$D$38))</f>
        <v/>
      </c>
      <c r="V222" s="58" t="str">
        <f t="shared" si="30"/>
        <v/>
      </c>
      <c r="W222" s="55" t="str">
        <f>IF($D222="","",IF($D222='01. CONFIGURAÇÕES'!$C$8,'01. CONFIGURAÇÕES'!$C$31,'01. CONFIGURAÇÕES'!$D$31))</f>
        <v/>
      </c>
      <c r="X222" s="54" t="str">
        <f>IF($A222="","",$T222*(1-'01. CONFIGURAÇÕES'!$C$16)-IF($W222="",0,$W222))</f>
        <v/>
      </c>
      <c r="Y222" s="54" t="str">
        <f t="shared" si="31"/>
        <v/>
      </c>
      <c r="Z222" s="30"/>
      <c r="AA222" s="33"/>
      <c r="AB222" s="33"/>
    </row>
    <row r="223" spans="1:28" x14ac:dyDescent="0.25">
      <c r="A223" s="31"/>
      <c r="B223" s="29" t="str">
        <f t="shared" si="24"/>
        <v/>
      </c>
      <c r="C223" s="29" t="str">
        <f>IF($A223="","","S"&amp;(INT(($A223-'01. CONFIGURAÇÕES'!$C$12)/7)+1))</f>
        <v/>
      </c>
      <c r="D223" s="30"/>
      <c r="E223" s="30"/>
      <c r="F223" s="10"/>
      <c r="G223" s="49"/>
      <c r="H223" s="49"/>
      <c r="I223" s="52" t="str">
        <f t="shared" si="25"/>
        <v/>
      </c>
      <c r="J223" s="49"/>
      <c r="K223" s="49"/>
      <c r="L223" s="49"/>
      <c r="M223" s="49"/>
      <c r="N223" s="49"/>
      <c r="O223" s="49"/>
      <c r="P223" s="10"/>
      <c r="Q223" s="11" t="str">
        <f t="shared" si="26"/>
        <v/>
      </c>
      <c r="R223" s="11" t="str">
        <f t="shared" si="27"/>
        <v/>
      </c>
      <c r="S223" s="58" t="str">
        <f t="shared" si="28"/>
        <v/>
      </c>
      <c r="T223" s="55" t="str">
        <f t="shared" si="29"/>
        <v/>
      </c>
      <c r="U223" s="55" t="str">
        <f>IF($D223="","",IF($D223='01. CONFIGURAÇÕES'!$C$8,'01. CONFIGURAÇÕES'!$C$38,'01. CONFIGURAÇÕES'!$D$38))</f>
        <v/>
      </c>
      <c r="V223" s="58" t="str">
        <f t="shared" si="30"/>
        <v/>
      </c>
      <c r="W223" s="55" t="str">
        <f>IF($D223="","",IF($D223='01. CONFIGURAÇÕES'!$C$8,'01. CONFIGURAÇÕES'!$C$31,'01. CONFIGURAÇÕES'!$D$31))</f>
        <v/>
      </c>
      <c r="X223" s="54" t="str">
        <f>IF($A223="","",$T223*(1-'01. CONFIGURAÇÕES'!$C$16)-IF($W223="",0,$W223))</f>
        <v/>
      </c>
      <c r="Y223" s="54" t="str">
        <f t="shared" si="31"/>
        <v/>
      </c>
      <c r="Z223" s="30"/>
      <c r="AA223" s="33"/>
      <c r="AB223" s="33"/>
    </row>
    <row r="224" spans="1:28" x14ac:dyDescent="0.25">
      <c r="A224" s="31"/>
      <c r="B224" s="29" t="str">
        <f t="shared" si="24"/>
        <v/>
      </c>
      <c r="C224" s="29" t="str">
        <f>IF($A224="","","S"&amp;(INT(($A224-'01. CONFIGURAÇÕES'!$C$12)/7)+1))</f>
        <v/>
      </c>
      <c r="D224" s="30"/>
      <c r="E224" s="30"/>
      <c r="F224" s="10"/>
      <c r="G224" s="49"/>
      <c r="H224" s="49"/>
      <c r="I224" s="52" t="str">
        <f t="shared" si="25"/>
        <v/>
      </c>
      <c r="J224" s="49"/>
      <c r="K224" s="49"/>
      <c r="L224" s="49"/>
      <c r="M224" s="49"/>
      <c r="N224" s="49"/>
      <c r="O224" s="49"/>
      <c r="P224" s="10"/>
      <c r="Q224" s="11" t="str">
        <f t="shared" si="26"/>
        <v/>
      </c>
      <c r="R224" s="11" t="str">
        <f t="shared" si="27"/>
        <v/>
      </c>
      <c r="S224" s="58" t="str">
        <f t="shared" si="28"/>
        <v/>
      </c>
      <c r="T224" s="55" t="str">
        <f t="shared" si="29"/>
        <v/>
      </c>
      <c r="U224" s="55" t="str">
        <f>IF($D224="","",IF($D224='01. CONFIGURAÇÕES'!$C$8,'01. CONFIGURAÇÕES'!$C$38,'01. CONFIGURAÇÕES'!$D$38))</f>
        <v/>
      </c>
      <c r="V224" s="58" t="str">
        <f t="shared" si="30"/>
        <v/>
      </c>
      <c r="W224" s="55" t="str">
        <f>IF($D224="","",IF($D224='01. CONFIGURAÇÕES'!$C$8,'01. CONFIGURAÇÕES'!$C$31,'01. CONFIGURAÇÕES'!$D$31))</f>
        <v/>
      </c>
      <c r="X224" s="54" t="str">
        <f>IF($A224="","",$T224*(1-'01. CONFIGURAÇÕES'!$C$16)-IF($W224="",0,$W224))</f>
        <v/>
      </c>
      <c r="Y224" s="54" t="str">
        <f t="shared" si="31"/>
        <v/>
      </c>
      <c r="Z224" s="30"/>
      <c r="AA224" s="33"/>
      <c r="AB224" s="33"/>
    </row>
    <row r="225" spans="1:28" x14ac:dyDescent="0.25">
      <c r="A225" s="31"/>
      <c r="B225" s="29" t="str">
        <f t="shared" si="24"/>
        <v/>
      </c>
      <c r="C225" s="29" t="str">
        <f>IF($A225="","","S"&amp;(INT(($A225-'01. CONFIGURAÇÕES'!$C$12)/7)+1))</f>
        <v/>
      </c>
      <c r="D225" s="30"/>
      <c r="E225" s="30"/>
      <c r="F225" s="10"/>
      <c r="G225" s="49"/>
      <c r="H225" s="49"/>
      <c r="I225" s="52" t="str">
        <f t="shared" si="25"/>
        <v/>
      </c>
      <c r="J225" s="49"/>
      <c r="K225" s="49"/>
      <c r="L225" s="49"/>
      <c r="M225" s="49"/>
      <c r="N225" s="49"/>
      <c r="O225" s="49"/>
      <c r="P225" s="10"/>
      <c r="Q225" s="11" t="str">
        <f t="shared" si="26"/>
        <v/>
      </c>
      <c r="R225" s="11" t="str">
        <f t="shared" si="27"/>
        <v/>
      </c>
      <c r="S225" s="58" t="str">
        <f t="shared" si="28"/>
        <v/>
      </c>
      <c r="T225" s="55" t="str">
        <f t="shared" si="29"/>
        <v/>
      </c>
      <c r="U225" s="55" t="str">
        <f>IF($D225="","",IF($D225='01. CONFIGURAÇÕES'!$C$8,'01. CONFIGURAÇÕES'!$C$38,'01. CONFIGURAÇÕES'!$D$38))</f>
        <v/>
      </c>
      <c r="V225" s="58" t="str">
        <f t="shared" si="30"/>
        <v/>
      </c>
      <c r="W225" s="55" t="str">
        <f>IF($D225="","",IF($D225='01. CONFIGURAÇÕES'!$C$8,'01. CONFIGURAÇÕES'!$C$31,'01. CONFIGURAÇÕES'!$D$31))</f>
        <v/>
      </c>
      <c r="X225" s="54" t="str">
        <f>IF($A225="","",$T225*(1-'01. CONFIGURAÇÕES'!$C$16)-IF($W225="",0,$W225))</f>
        <v/>
      </c>
      <c r="Y225" s="54" t="str">
        <f t="shared" si="31"/>
        <v/>
      </c>
      <c r="Z225" s="30"/>
      <c r="AA225" s="33"/>
      <c r="AB225" s="33"/>
    </row>
    <row r="226" spans="1:28" x14ac:dyDescent="0.25">
      <c r="A226" s="31"/>
      <c r="B226" s="29" t="str">
        <f t="shared" si="24"/>
        <v/>
      </c>
      <c r="C226" s="29" t="str">
        <f>IF($A226="","","S"&amp;(INT(($A226-'01. CONFIGURAÇÕES'!$C$12)/7)+1))</f>
        <v/>
      </c>
      <c r="D226" s="30"/>
      <c r="E226" s="30"/>
      <c r="F226" s="10"/>
      <c r="G226" s="49"/>
      <c r="H226" s="49"/>
      <c r="I226" s="52" t="str">
        <f t="shared" si="25"/>
        <v/>
      </c>
      <c r="J226" s="49"/>
      <c r="K226" s="49"/>
      <c r="L226" s="49"/>
      <c r="M226" s="49"/>
      <c r="N226" s="49"/>
      <c r="O226" s="49"/>
      <c r="P226" s="10"/>
      <c r="Q226" s="11" t="str">
        <f t="shared" si="26"/>
        <v/>
      </c>
      <c r="R226" s="11" t="str">
        <f t="shared" si="27"/>
        <v/>
      </c>
      <c r="S226" s="58" t="str">
        <f t="shared" si="28"/>
        <v/>
      </c>
      <c r="T226" s="55" t="str">
        <f t="shared" si="29"/>
        <v/>
      </c>
      <c r="U226" s="55" t="str">
        <f>IF($D226="","",IF($D226='01. CONFIGURAÇÕES'!$C$8,'01. CONFIGURAÇÕES'!$C$38,'01. CONFIGURAÇÕES'!$D$38))</f>
        <v/>
      </c>
      <c r="V226" s="58" t="str">
        <f t="shared" si="30"/>
        <v/>
      </c>
      <c r="W226" s="55" t="str">
        <f>IF($D226="","",IF($D226='01. CONFIGURAÇÕES'!$C$8,'01. CONFIGURAÇÕES'!$C$31,'01. CONFIGURAÇÕES'!$D$31))</f>
        <v/>
      </c>
      <c r="X226" s="54" t="str">
        <f>IF($A226="","",$T226*(1-'01. CONFIGURAÇÕES'!$C$16)-IF($W226="",0,$W226))</f>
        <v/>
      </c>
      <c r="Y226" s="54" t="str">
        <f t="shared" si="31"/>
        <v/>
      </c>
      <c r="Z226" s="30"/>
      <c r="AA226" s="33"/>
      <c r="AB226" s="33"/>
    </row>
    <row r="227" spans="1:28" x14ac:dyDescent="0.25">
      <c r="A227" s="31"/>
      <c r="B227" s="29" t="str">
        <f t="shared" si="24"/>
        <v/>
      </c>
      <c r="C227" s="29" t="str">
        <f>IF($A227="","","S"&amp;(INT(($A227-'01. CONFIGURAÇÕES'!$C$12)/7)+1))</f>
        <v/>
      </c>
      <c r="D227" s="30"/>
      <c r="E227" s="30"/>
      <c r="F227" s="10"/>
      <c r="G227" s="49"/>
      <c r="H227" s="49"/>
      <c r="I227" s="52" t="str">
        <f t="shared" si="25"/>
        <v/>
      </c>
      <c r="J227" s="49"/>
      <c r="K227" s="49"/>
      <c r="L227" s="49"/>
      <c r="M227" s="49"/>
      <c r="N227" s="49"/>
      <c r="O227" s="49"/>
      <c r="P227" s="10"/>
      <c r="Q227" s="11" t="str">
        <f t="shared" si="26"/>
        <v/>
      </c>
      <c r="R227" s="11" t="str">
        <f t="shared" si="27"/>
        <v/>
      </c>
      <c r="S227" s="58" t="str">
        <f t="shared" si="28"/>
        <v/>
      </c>
      <c r="T227" s="55" t="str">
        <f t="shared" si="29"/>
        <v/>
      </c>
      <c r="U227" s="55" t="str">
        <f>IF($D227="","",IF($D227='01. CONFIGURAÇÕES'!$C$8,'01. CONFIGURAÇÕES'!$C$38,'01. CONFIGURAÇÕES'!$D$38))</f>
        <v/>
      </c>
      <c r="V227" s="58" t="str">
        <f t="shared" si="30"/>
        <v/>
      </c>
      <c r="W227" s="55" t="str">
        <f>IF($D227="","",IF($D227='01. CONFIGURAÇÕES'!$C$8,'01. CONFIGURAÇÕES'!$C$31,'01. CONFIGURAÇÕES'!$D$31))</f>
        <v/>
      </c>
      <c r="X227" s="54" t="str">
        <f>IF($A227="","",$T227*(1-'01. CONFIGURAÇÕES'!$C$16)-IF($W227="",0,$W227))</f>
        <v/>
      </c>
      <c r="Y227" s="54" t="str">
        <f t="shared" si="31"/>
        <v/>
      </c>
      <c r="Z227" s="30"/>
      <c r="AA227" s="33"/>
      <c r="AB227" s="33"/>
    </row>
    <row r="228" spans="1:28" x14ac:dyDescent="0.25">
      <c r="A228" s="31"/>
      <c r="B228" s="29" t="str">
        <f t="shared" si="24"/>
        <v/>
      </c>
      <c r="C228" s="29" t="str">
        <f>IF($A228="","","S"&amp;(INT(($A228-'01. CONFIGURAÇÕES'!$C$12)/7)+1))</f>
        <v/>
      </c>
      <c r="D228" s="30"/>
      <c r="E228" s="30"/>
      <c r="F228" s="10"/>
      <c r="G228" s="49"/>
      <c r="H228" s="49"/>
      <c r="I228" s="52" t="str">
        <f t="shared" si="25"/>
        <v/>
      </c>
      <c r="J228" s="49"/>
      <c r="K228" s="49"/>
      <c r="L228" s="49"/>
      <c r="M228" s="49"/>
      <c r="N228" s="49"/>
      <c r="O228" s="49"/>
      <c r="P228" s="10"/>
      <c r="Q228" s="11" t="str">
        <f t="shared" si="26"/>
        <v/>
      </c>
      <c r="R228" s="11" t="str">
        <f t="shared" si="27"/>
        <v/>
      </c>
      <c r="S228" s="58" t="str">
        <f t="shared" si="28"/>
        <v/>
      </c>
      <c r="T228" s="55" t="str">
        <f t="shared" si="29"/>
        <v/>
      </c>
      <c r="U228" s="55" t="str">
        <f>IF($D228="","",IF($D228='01. CONFIGURAÇÕES'!$C$8,'01. CONFIGURAÇÕES'!$C$38,'01. CONFIGURAÇÕES'!$D$38))</f>
        <v/>
      </c>
      <c r="V228" s="58" t="str">
        <f t="shared" si="30"/>
        <v/>
      </c>
      <c r="W228" s="55" t="str">
        <f>IF($D228="","",IF($D228='01. CONFIGURAÇÕES'!$C$8,'01. CONFIGURAÇÕES'!$C$31,'01. CONFIGURAÇÕES'!$D$31))</f>
        <v/>
      </c>
      <c r="X228" s="54" t="str">
        <f>IF($A228="","",$T228*(1-'01. CONFIGURAÇÕES'!$C$16)-IF($W228="",0,$W228))</f>
        <v/>
      </c>
      <c r="Y228" s="54" t="str">
        <f t="shared" si="31"/>
        <v/>
      </c>
      <c r="Z228" s="30"/>
      <c r="AA228" s="33"/>
      <c r="AB228" s="33"/>
    </row>
    <row r="229" spans="1:28" x14ac:dyDescent="0.25">
      <c r="A229" s="31"/>
      <c r="B229" s="29" t="str">
        <f t="shared" si="24"/>
        <v/>
      </c>
      <c r="C229" s="29" t="str">
        <f>IF($A229="","","S"&amp;(INT(($A229-'01. CONFIGURAÇÕES'!$C$12)/7)+1))</f>
        <v/>
      </c>
      <c r="D229" s="30"/>
      <c r="E229" s="30"/>
      <c r="F229" s="10"/>
      <c r="G229" s="49"/>
      <c r="H229" s="49"/>
      <c r="I229" s="52" t="str">
        <f t="shared" si="25"/>
        <v/>
      </c>
      <c r="J229" s="49"/>
      <c r="K229" s="49"/>
      <c r="L229" s="49"/>
      <c r="M229" s="49"/>
      <c r="N229" s="49"/>
      <c r="O229" s="49"/>
      <c r="P229" s="10"/>
      <c r="Q229" s="11" t="str">
        <f t="shared" si="26"/>
        <v/>
      </c>
      <c r="R229" s="11" t="str">
        <f t="shared" si="27"/>
        <v/>
      </c>
      <c r="S229" s="58" t="str">
        <f t="shared" si="28"/>
        <v/>
      </c>
      <c r="T229" s="55" t="str">
        <f t="shared" si="29"/>
        <v/>
      </c>
      <c r="U229" s="55" t="str">
        <f>IF($D229="","",IF($D229='01. CONFIGURAÇÕES'!$C$8,'01. CONFIGURAÇÕES'!$C$38,'01. CONFIGURAÇÕES'!$D$38))</f>
        <v/>
      </c>
      <c r="V229" s="58" t="str">
        <f t="shared" si="30"/>
        <v/>
      </c>
      <c r="W229" s="55" t="str">
        <f>IF($D229="","",IF($D229='01. CONFIGURAÇÕES'!$C$8,'01. CONFIGURAÇÕES'!$C$31,'01. CONFIGURAÇÕES'!$D$31))</f>
        <v/>
      </c>
      <c r="X229" s="54" t="str">
        <f>IF($A229="","",$T229*(1-'01. CONFIGURAÇÕES'!$C$16)-IF($W229="",0,$W229))</f>
        <v/>
      </c>
      <c r="Y229" s="54" t="str">
        <f t="shared" si="31"/>
        <v/>
      </c>
      <c r="Z229" s="30"/>
      <c r="AA229" s="33"/>
      <c r="AB229" s="33"/>
    </row>
    <row r="230" spans="1:28" x14ac:dyDescent="0.25">
      <c r="A230" s="31"/>
      <c r="B230" s="29" t="str">
        <f t="shared" si="24"/>
        <v/>
      </c>
      <c r="C230" s="29" t="str">
        <f>IF($A230="","","S"&amp;(INT(($A230-'01. CONFIGURAÇÕES'!$C$12)/7)+1))</f>
        <v/>
      </c>
      <c r="D230" s="30"/>
      <c r="E230" s="30"/>
      <c r="F230" s="10"/>
      <c r="G230" s="49"/>
      <c r="H230" s="49"/>
      <c r="I230" s="52" t="str">
        <f t="shared" si="25"/>
        <v/>
      </c>
      <c r="J230" s="49"/>
      <c r="K230" s="49"/>
      <c r="L230" s="49"/>
      <c r="M230" s="49"/>
      <c r="N230" s="49"/>
      <c r="O230" s="49"/>
      <c r="P230" s="10"/>
      <c r="Q230" s="11" t="str">
        <f t="shared" si="26"/>
        <v/>
      </c>
      <c r="R230" s="11" t="str">
        <f t="shared" si="27"/>
        <v/>
      </c>
      <c r="S230" s="58" t="str">
        <f t="shared" si="28"/>
        <v/>
      </c>
      <c r="T230" s="55" t="str">
        <f t="shared" si="29"/>
        <v/>
      </c>
      <c r="U230" s="55" t="str">
        <f>IF($D230="","",IF($D230='01. CONFIGURAÇÕES'!$C$8,'01. CONFIGURAÇÕES'!$C$38,'01. CONFIGURAÇÕES'!$D$38))</f>
        <v/>
      </c>
      <c r="V230" s="58" t="str">
        <f t="shared" si="30"/>
        <v/>
      </c>
      <c r="W230" s="55" t="str">
        <f>IF($D230="","",IF($D230='01. CONFIGURAÇÕES'!$C$8,'01. CONFIGURAÇÕES'!$C$31,'01. CONFIGURAÇÕES'!$D$31))</f>
        <v/>
      </c>
      <c r="X230" s="54" t="str">
        <f>IF($A230="","",$T230*(1-'01. CONFIGURAÇÕES'!$C$16)-IF($W230="",0,$W230))</f>
        <v/>
      </c>
      <c r="Y230" s="54" t="str">
        <f t="shared" si="31"/>
        <v/>
      </c>
      <c r="Z230" s="30"/>
      <c r="AA230" s="33"/>
      <c r="AB230" s="33"/>
    </row>
    <row r="231" spans="1:28" x14ac:dyDescent="0.25">
      <c r="A231" s="31"/>
      <c r="B231" s="29" t="str">
        <f t="shared" si="24"/>
        <v/>
      </c>
      <c r="C231" s="29" t="str">
        <f>IF($A231="","","S"&amp;(INT(($A231-'01. CONFIGURAÇÕES'!$C$12)/7)+1))</f>
        <v/>
      </c>
      <c r="D231" s="30"/>
      <c r="E231" s="30"/>
      <c r="F231" s="10"/>
      <c r="G231" s="49"/>
      <c r="H231" s="49"/>
      <c r="I231" s="52" t="str">
        <f t="shared" si="25"/>
        <v/>
      </c>
      <c r="J231" s="49"/>
      <c r="K231" s="49"/>
      <c r="L231" s="49"/>
      <c r="M231" s="49"/>
      <c r="N231" s="49"/>
      <c r="O231" s="49"/>
      <c r="P231" s="10"/>
      <c r="Q231" s="11" t="str">
        <f t="shared" si="26"/>
        <v/>
      </c>
      <c r="R231" s="11" t="str">
        <f t="shared" si="27"/>
        <v/>
      </c>
      <c r="S231" s="58" t="str">
        <f t="shared" si="28"/>
        <v/>
      </c>
      <c r="T231" s="55" t="str">
        <f t="shared" si="29"/>
        <v/>
      </c>
      <c r="U231" s="55" t="str">
        <f>IF($D231="","",IF($D231='01. CONFIGURAÇÕES'!$C$8,'01. CONFIGURAÇÕES'!$C$38,'01. CONFIGURAÇÕES'!$D$38))</f>
        <v/>
      </c>
      <c r="V231" s="58" t="str">
        <f t="shared" si="30"/>
        <v/>
      </c>
      <c r="W231" s="55" t="str">
        <f>IF($D231="","",IF($D231='01. CONFIGURAÇÕES'!$C$8,'01. CONFIGURAÇÕES'!$C$31,'01. CONFIGURAÇÕES'!$D$31))</f>
        <v/>
      </c>
      <c r="X231" s="54" t="str">
        <f>IF($A231="","",$T231*(1-'01. CONFIGURAÇÕES'!$C$16)-IF($W231="",0,$W231))</f>
        <v/>
      </c>
      <c r="Y231" s="54" t="str">
        <f t="shared" si="31"/>
        <v/>
      </c>
      <c r="Z231" s="30"/>
      <c r="AA231" s="33"/>
      <c r="AB231" s="33"/>
    </row>
    <row r="232" spans="1:28" x14ac:dyDescent="0.25">
      <c r="A232" s="31"/>
      <c r="B232" s="29" t="str">
        <f t="shared" si="24"/>
        <v/>
      </c>
      <c r="C232" s="29" t="str">
        <f>IF($A232="","","S"&amp;(INT(($A232-'01. CONFIGURAÇÕES'!$C$12)/7)+1))</f>
        <v/>
      </c>
      <c r="D232" s="30"/>
      <c r="E232" s="30"/>
      <c r="F232" s="10"/>
      <c r="G232" s="49"/>
      <c r="H232" s="49"/>
      <c r="I232" s="52" t="str">
        <f t="shared" si="25"/>
        <v/>
      </c>
      <c r="J232" s="49"/>
      <c r="K232" s="49"/>
      <c r="L232" s="49"/>
      <c r="M232" s="49"/>
      <c r="N232" s="49"/>
      <c r="O232" s="49"/>
      <c r="P232" s="10"/>
      <c r="Q232" s="11" t="str">
        <f t="shared" si="26"/>
        <v/>
      </c>
      <c r="R232" s="11" t="str">
        <f t="shared" si="27"/>
        <v/>
      </c>
      <c r="S232" s="58" t="str">
        <f t="shared" si="28"/>
        <v/>
      </c>
      <c r="T232" s="55" t="str">
        <f t="shared" si="29"/>
        <v/>
      </c>
      <c r="U232" s="55" t="str">
        <f>IF($D232="","",IF($D232='01. CONFIGURAÇÕES'!$C$8,'01. CONFIGURAÇÕES'!$C$38,'01. CONFIGURAÇÕES'!$D$38))</f>
        <v/>
      </c>
      <c r="V232" s="58" t="str">
        <f t="shared" si="30"/>
        <v/>
      </c>
      <c r="W232" s="55" t="str">
        <f>IF($D232="","",IF($D232='01. CONFIGURAÇÕES'!$C$8,'01. CONFIGURAÇÕES'!$C$31,'01. CONFIGURAÇÕES'!$D$31))</f>
        <v/>
      </c>
      <c r="X232" s="54" t="str">
        <f>IF($A232="","",$T232*(1-'01. CONFIGURAÇÕES'!$C$16)-IF($W232="",0,$W232))</f>
        <v/>
      </c>
      <c r="Y232" s="54" t="str">
        <f t="shared" si="31"/>
        <v/>
      </c>
      <c r="Z232" s="30"/>
      <c r="AA232" s="33"/>
      <c r="AB232" s="33"/>
    </row>
    <row r="233" spans="1:28" x14ac:dyDescent="0.25">
      <c r="A233" s="31"/>
      <c r="B233" s="29" t="str">
        <f t="shared" si="24"/>
        <v/>
      </c>
      <c r="C233" s="29" t="str">
        <f>IF($A233="","","S"&amp;(INT(($A233-'01. CONFIGURAÇÕES'!$C$12)/7)+1))</f>
        <v/>
      </c>
      <c r="D233" s="30"/>
      <c r="E233" s="30"/>
      <c r="F233" s="10"/>
      <c r="G233" s="49"/>
      <c r="H233" s="49"/>
      <c r="I233" s="52" t="str">
        <f t="shared" si="25"/>
        <v/>
      </c>
      <c r="J233" s="49"/>
      <c r="K233" s="49"/>
      <c r="L233" s="49"/>
      <c r="M233" s="49"/>
      <c r="N233" s="49"/>
      <c r="O233" s="49"/>
      <c r="P233" s="10"/>
      <c r="Q233" s="11" t="str">
        <f t="shared" si="26"/>
        <v/>
      </c>
      <c r="R233" s="11" t="str">
        <f t="shared" si="27"/>
        <v/>
      </c>
      <c r="S233" s="58" t="str">
        <f t="shared" si="28"/>
        <v/>
      </c>
      <c r="T233" s="55" t="str">
        <f t="shared" si="29"/>
        <v/>
      </c>
      <c r="U233" s="55" t="str">
        <f>IF($D233="","",IF($D233='01. CONFIGURAÇÕES'!$C$8,'01. CONFIGURAÇÕES'!$C$38,'01. CONFIGURAÇÕES'!$D$38))</f>
        <v/>
      </c>
      <c r="V233" s="58" t="str">
        <f t="shared" si="30"/>
        <v/>
      </c>
      <c r="W233" s="55" t="str">
        <f>IF($D233="","",IF($D233='01. CONFIGURAÇÕES'!$C$8,'01. CONFIGURAÇÕES'!$C$31,'01. CONFIGURAÇÕES'!$D$31))</f>
        <v/>
      </c>
      <c r="X233" s="54" t="str">
        <f>IF($A233="","",$T233*(1-'01. CONFIGURAÇÕES'!$C$16)-IF($W233="",0,$W233))</f>
        <v/>
      </c>
      <c r="Y233" s="54" t="str">
        <f t="shared" si="31"/>
        <v/>
      </c>
      <c r="Z233" s="30"/>
      <c r="AA233" s="33"/>
      <c r="AB233" s="33"/>
    </row>
    <row r="234" spans="1:28" x14ac:dyDescent="0.25">
      <c r="A234" s="31"/>
      <c r="B234" s="29" t="str">
        <f t="shared" si="24"/>
        <v/>
      </c>
      <c r="C234" s="29" t="str">
        <f>IF($A234="","","S"&amp;(INT(($A234-'01. CONFIGURAÇÕES'!$C$12)/7)+1))</f>
        <v/>
      </c>
      <c r="D234" s="30"/>
      <c r="E234" s="30"/>
      <c r="F234" s="10"/>
      <c r="G234" s="49"/>
      <c r="H234" s="49"/>
      <c r="I234" s="52" t="str">
        <f t="shared" si="25"/>
        <v/>
      </c>
      <c r="J234" s="49"/>
      <c r="K234" s="49"/>
      <c r="L234" s="49"/>
      <c r="M234" s="49"/>
      <c r="N234" s="49"/>
      <c r="O234" s="49"/>
      <c r="P234" s="10"/>
      <c r="Q234" s="11" t="str">
        <f t="shared" si="26"/>
        <v/>
      </c>
      <c r="R234" s="11" t="str">
        <f t="shared" si="27"/>
        <v/>
      </c>
      <c r="S234" s="58" t="str">
        <f t="shared" si="28"/>
        <v/>
      </c>
      <c r="T234" s="55" t="str">
        <f t="shared" si="29"/>
        <v/>
      </c>
      <c r="U234" s="55" t="str">
        <f>IF($D234="","",IF($D234='01. CONFIGURAÇÕES'!$C$8,'01. CONFIGURAÇÕES'!$C$38,'01. CONFIGURAÇÕES'!$D$38))</f>
        <v/>
      </c>
      <c r="V234" s="58" t="str">
        <f t="shared" si="30"/>
        <v/>
      </c>
      <c r="W234" s="55" t="str">
        <f>IF($D234="","",IF($D234='01. CONFIGURAÇÕES'!$C$8,'01. CONFIGURAÇÕES'!$C$31,'01. CONFIGURAÇÕES'!$D$31))</f>
        <v/>
      </c>
      <c r="X234" s="54" t="str">
        <f>IF($A234="","",$T234*(1-'01. CONFIGURAÇÕES'!$C$16)-IF($W234="",0,$W234))</f>
        <v/>
      </c>
      <c r="Y234" s="54" t="str">
        <f t="shared" si="31"/>
        <v/>
      </c>
      <c r="Z234" s="30"/>
      <c r="AA234" s="33"/>
      <c r="AB234" s="33"/>
    </row>
    <row r="235" spans="1:28" x14ac:dyDescent="0.25">
      <c r="A235" s="31"/>
      <c r="B235" s="29" t="str">
        <f t="shared" si="24"/>
        <v/>
      </c>
      <c r="C235" s="29" t="str">
        <f>IF($A235="","","S"&amp;(INT(($A235-'01. CONFIGURAÇÕES'!$C$12)/7)+1))</f>
        <v/>
      </c>
      <c r="D235" s="30"/>
      <c r="E235" s="30"/>
      <c r="F235" s="10"/>
      <c r="G235" s="49"/>
      <c r="H235" s="49"/>
      <c r="I235" s="52" t="str">
        <f t="shared" si="25"/>
        <v/>
      </c>
      <c r="J235" s="49"/>
      <c r="K235" s="49"/>
      <c r="L235" s="49"/>
      <c r="M235" s="49"/>
      <c r="N235" s="49"/>
      <c r="O235" s="49"/>
      <c r="P235" s="10"/>
      <c r="Q235" s="11" t="str">
        <f t="shared" si="26"/>
        <v/>
      </c>
      <c r="R235" s="11" t="str">
        <f t="shared" si="27"/>
        <v/>
      </c>
      <c r="S235" s="58" t="str">
        <f t="shared" si="28"/>
        <v/>
      </c>
      <c r="T235" s="55" t="str">
        <f t="shared" si="29"/>
        <v/>
      </c>
      <c r="U235" s="55" t="str">
        <f>IF($D235="","",IF($D235='01. CONFIGURAÇÕES'!$C$8,'01. CONFIGURAÇÕES'!$C$38,'01. CONFIGURAÇÕES'!$D$38))</f>
        <v/>
      </c>
      <c r="V235" s="58" t="str">
        <f t="shared" si="30"/>
        <v/>
      </c>
      <c r="W235" s="55" t="str">
        <f>IF($D235="","",IF($D235='01. CONFIGURAÇÕES'!$C$8,'01. CONFIGURAÇÕES'!$C$31,'01. CONFIGURAÇÕES'!$D$31))</f>
        <v/>
      </c>
      <c r="X235" s="54" t="str">
        <f>IF($A235="","",$T235*(1-'01. CONFIGURAÇÕES'!$C$16)-IF($W235="",0,$W235))</f>
        <v/>
      </c>
      <c r="Y235" s="54" t="str">
        <f t="shared" si="31"/>
        <v/>
      </c>
      <c r="Z235" s="30"/>
      <c r="AA235" s="33"/>
      <c r="AB235" s="33"/>
    </row>
    <row r="236" spans="1:28" x14ac:dyDescent="0.25">
      <c r="A236" s="31"/>
      <c r="B236" s="29" t="str">
        <f t="shared" si="24"/>
        <v/>
      </c>
      <c r="C236" s="29" t="str">
        <f>IF($A236="","","S"&amp;(INT(($A236-'01. CONFIGURAÇÕES'!$C$12)/7)+1))</f>
        <v/>
      </c>
      <c r="D236" s="30"/>
      <c r="E236" s="30"/>
      <c r="F236" s="10"/>
      <c r="G236" s="49"/>
      <c r="H236" s="49"/>
      <c r="I236" s="52" t="str">
        <f t="shared" si="25"/>
        <v/>
      </c>
      <c r="J236" s="49"/>
      <c r="K236" s="49"/>
      <c r="L236" s="49"/>
      <c r="M236" s="49"/>
      <c r="N236" s="49"/>
      <c r="O236" s="49"/>
      <c r="P236" s="10"/>
      <c r="Q236" s="11" t="str">
        <f t="shared" si="26"/>
        <v/>
      </c>
      <c r="R236" s="11" t="str">
        <f t="shared" si="27"/>
        <v/>
      </c>
      <c r="S236" s="58" t="str">
        <f t="shared" si="28"/>
        <v/>
      </c>
      <c r="T236" s="55" t="str">
        <f t="shared" si="29"/>
        <v/>
      </c>
      <c r="U236" s="55" t="str">
        <f>IF($D236="","",IF($D236='01. CONFIGURAÇÕES'!$C$8,'01. CONFIGURAÇÕES'!$C$38,'01. CONFIGURAÇÕES'!$D$38))</f>
        <v/>
      </c>
      <c r="V236" s="58" t="str">
        <f t="shared" si="30"/>
        <v/>
      </c>
      <c r="W236" s="55" t="str">
        <f>IF($D236="","",IF($D236='01. CONFIGURAÇÕES'!$C$8,'01. CONFIGURAÇÕES'!$C$31,'01. CONFIGURAÇÕES'!$D$31))</f>
        <v/>
      </c>
      <c r="X236" s="54" t="str">
        <f>IF($A236="","",$T236*(1-'01. CONFIGURAÇÕES'!$C$16)-IF($W236="",0,$W236))</f>
        <v/>
      </c>
      <c r="Y236" s="54" t="str">
        <f t="shared" si="31"/>
        <v/>
      </c>
      <c r="Z236" s="30"/>
      <c r="AA236" s="33"/>
      <c r="AB236" s="33"/>
    </row>
    <row r="237" spans="1:28" x14ac:dyDescent="0.25">
      <c r="A237" s="31"/>
      <c r="B237" s="29" t="str">
        <f t="shared" si="24"/>
        <v/>
      </c>
      <c r="C237" s="29" t="str">
        <f>IF($A237="","","S"&amp;(INT(($A237-'01. CONFIGURAÇÕES'!$C$12)/7)+1))</f>
        <v/>
      </c>
      <c r="D237" s="30"/>
      <c r="E237" s="30"/>
      <c r="F237" s="10"/>
      <c r="G237" s="49"/>
      <c r="H237" s="49"/>
      <c r="I237" s="52" t="str">
        <f t="shared" si="25"/>
        <v/>
      </c>
      <c r="J237" s="49"/>
      <c r="K237" s="49"/>
      <c r="L237" s="49"/>
      <c r="M237" s="49"/>
      <c r="N237" s="49"/>
      <c r="O237" s="49"/>
      <c r="P237" s="10"/>
      <c r="Q237" s="11" t="str">
        <f t="shared" si="26"/>
        <v/>
      </c>
      <c r="R237" s="11" t="str">
        <f t="shared" si="27"/>
        <v/>
      </c>
      <c r="S237" s="58" t="str">
        <f t="shared" si="28"/>
        <v/>
      </c>
      <c r="T237" s="55" t="str">
        <f t="shared" si="29"/>
        <v/>
      </c>
      <c r="U237" s="55" t="str">
        <f>IF($D237="","",IF($D237='01. CONFIGURAÇÕES'!$C$8,'01. CONFIGURAÇÕES'!$C$38,'01. CONFIGURAÇÕES'!$D$38))</f>
        <v/>
      </c>
      <c r="V237" s="58" t="str">
        <f t="shared" si="30"/>
        <v/>
      </c>
      <c r="W237" s="55" t="str">
        <f>IF($D237="","",IF($D237='01. CONFIGURAÇÕES'!$C$8,'01. CONFIGURAÇÕES'!$C$31,'01. CONFIGURAÇÕES'!$D$31))</f>
        <v/>
      </c>
      <c r="X237" s="54" t="str">
        <f>IF($A237="","",$T237*(1-'01. CONFIGURAÇÕES'!$C$16)-IF($W237="",0,$W237))</f>
        <v/>
      </c>
      <c r="Y237" s="54" t="str">
        <f t="shared" si="31"/>
        <v/>
      </c>
      <c r="Z237" s="30"/>
      <c r="AA237" s="33"/>
      <c r="AB237" s="33"/>
    </row>
    <row r="238" spans="1:28" x14ac:dyDescent="0.25">
      <c r="A238" s="31"/>
      <c r="B238" s="29" t="str">
        <f t="shared" si="24"/>
        <v/>
      </c>
      <c r="C238" s="29" t="str">
        <f>IF($A238="","","S"&amp;(INT(($A238-'01. CONFIGURAÇÕES'!$C$12)/7)+1))</f>
        <v/>
      </c>
      <c r="D238" s="30"/>
      <c r="E238" s="30"/>
      <c r="F238" s="10"/>
      <c r="G238" s="49"/>
      <c r="H238" s="49"/>
      <c r="I238" s="52" t="str">
        <f t="shared" si="25"/>
        <v/>
      </c>
      <c r="J238" s="49"/>
      <c r="K238" s="49"/>
      <c r="L238" s="49"/>
      <c r="M238" s="49"/>
      <c r="N238" s="49"/>
      <c r="O238" s="49"/>
      <c r="P238" s="10"/>
      <c r="Q238" s="11" t="str">
        <f t="shared" si="26"/>
        <v/>
      </c>
      <c r="R238" s="11" t="str">
        <f t="shared" si="27"/>
        <v/>
      </c>
      <c r="S238" s="58" t="str">
        <f t="shared" si="28"/>
        <v/>
      </c>
      <c r="T238" s="55" t="str">
        <f t="shared" si="29"/>
        <v/>
      </c>
      <c r="U238" s="55" t="str">
        <f>IF($D238="","",IF($D238='01. CONFIGURAÇÕES'!$C$8,'01. CONFIGURAÇÕES'!$C$38,'01. CONFIGURAÇÕES'!$D$38))</f>
        <v/>
      </c>
      <c r="V238" s="58" t="str">
        <f t="shared" si="30"/>
        <v/>
      </c>
      <c r="W238" s="55" t="str">
        <f>IF($D238="","",IF($D238='01. CONFIGURAÇÕES'!$C$8,'01. CONFIGURAÇÕES'!$C$31,'01. CONFIGURAÇÕES'!$D$31))</f>
        <v/>
      </c>
      <c r="X238" s="54" t="str">
        <f>IF($A238="","",$T238*(1-'01. CONFIGURAÇÕES'!$C$16)-IF($W238="",0,$W238))</f>
        <v/>
      </c>
      <c r="Y238" s="54" t="str">
        <f t="shared" si="31"/>
        <v/>
      </c>
      <c r="Z238" s="30"/>
      <c r="AA238" s="33"/>
      <c r="AB238" s="33"/>
    </row>
    <row r="239" spans="1:28" x14ac:dyDescent="0.25">
      <c r="A239" s="31"/>
      <c r="B239" s="29" t="str">
        <f t="shared" si="24"/>
        <v/>
      </c>
      <c r="C239" s="29" t="str">
        <f>IF($A239="","","S"&amp;(INT(($A239-'01. CONFIGURAÇÕES'!$C$12)/7)+1))</f>
        <v/>
      </c>
      <c r="D239" s="30"/>
      <c r="E239" s="30"/>
      <c r="F239" s="10"/>
      <c r="G239" s="49"/>
      <c r="H239" s="49"/>
      <c r="I239" s="52" t="str">
        <f t="shared" si="25"/>
        <v/>
      </c>
      <c r="J239" s="49"/>
      <c r="K239" s="49"/>
      <c r="L239" s="49"/>
      <c r="M239" s="49"/>
      <c r="N239" s="49"/>
      <c r="O239" s="49"/>
      <c r="P239" s="10"/>
      <c r="Q239" s="11" t="str">
        <f t="shared" si="26"/>
        <v/>
      </c>
      <c r="R239" s="11" t="str">
        <f t="shared" si="27"/>
        <v/>
      </c>
      <c r="S239" s="58" t="str">
        <f t="shared" si="28"/>
        <v/>
      </c>
      <c r="T239" s="55" t="str">
        <f t="shared" si="29"/>
        <v/>
      </c>
      <c r="U239" s="55" t="str">
        <f>IF($D239="","",IF($D239='01. CONFIGURAÇÕES'!$C$8,'01. CONFIGURAÇÕES'!$C$38,'01. CONFIGURAÇÕES'!$D$38))</f>
        <v/>
      </c>
      <c r="V239" s="58" t="str">
        <f t="shared" si="30"/>
        <v/>
      </c>
      <c r="W239" s="55" t="str">
        <f>IF($D239="","",IF($D239='01. CONFIGURAÇÕES'!$C$8,'01. CONFIGURAÇÕES'!$C$31,'01. CONFIGURAÇÕES'!$D$31))</f>
        <v/>
      </c>
      <c r="X239" s="54" t="str">
        <f>IF($A239="","",$T239*(1-'01. CONFIGURAÇÕES'!$C$16)-IF($W239="",0,$W239))</f>
        <v/>
      </c>
      <c r="Y239" s="54" t="str">
        <f t="shared" si="31"/>
        <v/>
      </c>
      <c r="Z239" s="30"/>
      <c r="AA239" s="33"/>
      <c r="AB239" s="33"/>
    </row>
    <row r="240" spans="1:28" x14ac:dyDescent="0.25">
      <c r="A240" s="31"/>
      <c r="B240" s="29" t="str">
        <f t="shared" si="24"/>
        <v/>
      </c>
      <c r="C240" s="29" t="str">
        <f>IF($A240="","","S"&amp;(INT(($A240-'01. CONFIGURAÇÕES'!$C$12)/7)+1))</f>
        <v/>
      </c>
      <c r="D240" s="30"/>
      <c r="E240" s="30"/>
      <c r="F240" s="10"/>
      <c r="G240" s="49"/>
      <c r="H240" s="49"/>
      <c r="I240" s="52" t="str">
        <f t="shared" si="25"/>
        <v/>
      </c>
      <c r="J240" s="49"/>
      <c r="K240" s="49"/>
      <c r="L240" s="49"/>
      <c r="M240" s="49"/>
      <c r="N240" s="49"/>
      <c r="O240" s="49"/>
      <c r="P240" s="10"/>
      <c r="Q240" s="11" t="str">
        <f t="shared" si="26"/>
        <v/>
      </c>
      <c r="R240" s="11" t="str">
        <f t="shared" si="27"/>
        <v/>
      </c>
      <c r="S240" s="58" t="str">
        <f t="shared" si="28"/>
        <v/>
      </c>
      <c r="T240" s="55" t="str">
        <f t="shared" si="29"/>
        <v/>
      </c>
      <c r="U240" s="55" t="str">
        <f>IF($D240="","",IF($D240='01. CONFIGURAÇÕES'!$C$8,'01. CONFIGURAÇÕES'!$C$38,'01. CONFIGURAÇÕES'!$D$38))</f>
        <v/>
      </c>
      <c r="V240" s="58" t="str">
        <f t="shared" si="30"/>
        <v/>
      </c>
      <c r="W240" s="55" t="str">
        <f>IF($D240="","",IF($D240='01. CONFIGURAÇÕES'!$C$8,'01. CONFIGURAÇÕES'!$C$31,'01. CONFIGURAÇÕES'!$D$31))</f>
        <v/>
      </c>
      <c r="X240" s="54" t="str">
        <f>IF($A240="","",$T240*(1-'01. CONFIGURAÇÕES'!$C$16)-IF($W240="",0,$W240))</f>
        <v/>
      </c>
      <c r="Y240" s="54" t="str">
        <f t="shared" si="31"/>
        <v/>
      </c>
      <c r="Z240" s="30"/>
      <c r="AA240" s="33"/>
      <c r="AB240" s="33"/>
    </row>
    <row r="241" spans="1:28" x14ac:dyDescent="0.25">
      <c r="A241" s="31"/>
      <c r="B241" s="29" t="str">
        <f t="shared" si="24"/>
        <v/>
      </c>
      <c r="C241" s="29" t="str">
        <f>IF($A241="","","S"&amp;(INT(($A241-'01. CONFIGURAÇÕES'!$C$12)/7)+1))</f>
        <v/>
      </c>
      <c r="D241" s="30"/>
      <c r="E241" s="30"/>
      <c r="F241" s="10"/>
      <c r="G241" s="49"/>
      <c r="H241" s="49"/>
      <c r="I241" s="52" t="str">
        <f t="shared" si="25"/>
        <v/>
      </c>
      <c r="J241" s="49"/>
      <c r="K241" s="49"/>
      <c r="L241" s="49"/>
      <c r="M241" s="49"/>
      <c r="N241" s="49"/>
      <c r="O241" s="49"/>
      <c r="P241" s="10"/>
      <c r="Q241" s="11" t="str">
        <f t="shared" si="26"/>
        <v/>
      </c>
      <c r="R241" s="11" t="str">
        <f t="shared" si="27"/>
        <v/>
      </c>
      <c r="S241" s="58" t="str">
        <f t="shared" si="28"/>
        <v/>
      </c>
      <c r="T241" s="55" t="str">
        <f t="shared" si="29"/>
        <v/>
      </c>
      <c r="U241" s="55" t="str">
        <f>IF($D241="","",IF($D241='01. CONFIGURAÇÕES'!$C$8,'01. CONFIGURAÇÕES'!$C$38,'01. CONFIGURAÇÕES'!$D$38))</f>
        <v/>
      </c>
      <c r="V241" s="58" t="str">
        <f t="shared" si="30"/>
        <v/>
      </c>
      <c r="W241" s="55" t="str">
        <f>IF($D241="","",IF($D241='01. CONFIGURAÇÕES'!$C$8,'01. CONFIGURAÇÕES'!$C$31,'01. CONFIGURAÇÕES'!$D$31))</f>
        <v/>
      </c>
      <c r="X241" s="54" t="str">
        <f>IF($A241="","",$T241*(1-'01. CONFIGURAÇÕES'!$C$16)-IF($W241="",0,$W241))</f>
        <v/>
      </c>
      <c r="Y241" s="54" t="str">
        <f t="shared" si="31"/>
        <v/>
      </c>
      <c r="Z241" s="30"/>
      <c r="AA241" s="33"/>
      <c r="AB241" s="33"/>
    </row>
    <row r="242" spans="1:28" x14ac:dyDescent="0.25">
      <c r="A242" s="31"/>
      <c r="B242" s="29" t="str">
        <f t="shared" si="24"/>
        <v/>
      </c>
      <c r="C242" s="29" t="str">
        <f>IF($A242="","","S"&amp;(INT(($A242-'01. CONFIGURAÇÕES'!$C$12)/7)+1))</f>
        <v/>
      </c>
      <c r="D242" s="30"/>
      <c r="E242" s="30"/>
      <c r="F242" s="10"/>
      <c r="G242" s="49"/>
      <c r="H242" s="49"/>
      <c r="I242" s="52" t="str">
        <f t="shared" si="25"/>
        <v/>
      </c>
      <c r="J242" s="49"/>
      <c r="K242" s="49"/>
      <c r="L242" s="49"/>
      <c r="M242" s="49"/>
      <c r="N242" s="49"/>
      <c r="O242" s="49"/>
      <c r="P242" s="10"/>
      <c r="Q242" s="11" t="str">
        <f t="shared" si="26"/>
        <v/>
      </c>
      <c r="R242" s="11" t="str">
        <f t="shared" si="27"/>
        <v/>
      </c>
      <c r="S242" s="58" t="str">
        <f t="shared" si="28"/>
        <v/>
      </c>
      <c r="T242" s="55" t="str">
        <f t="shared" si="29"/>
        <v/>
      </c>
      <c r="U242" s="55" t="str">
        <f>IF($D242="","",IF($D242='01. CONFIGURAÇÕES'!$C$8,'01. CONFIGURAÇÕES'!$C$38,'01. CONFIGURAÇÕES'!$D$38))</f>
        <v/>
      </c>
      <c r="V242" s="58" t="str">
        <f t="shared" si="30"/>
        <v/>
      </c>
      <c r="W242" s="55" t="str">
        <f>IF($D242="","",IF($D242='01. CONFIGURAÇÕES'!$C$8,'01. CONFIGURAÇÕES'!$C$31,'01. CONFIGURAÇÕES'!$D$31))</f>
        <v/>
      </c>
      <c r="X242" s="54" t="str">
        <f>IF($A242="","",$T242*(1-'01. CONFIGURAÇÕES'!$C$16)-IF($W242="",0,$W242))</f>
        <v/>
      </c>
      <c r="Y242" s="54" t="str">
        <f t="shared" si="31"/>
        <v/>
      </c>
      <c r="Z242" s="30"/>
      <c r="AA242" s="33"/>
      <c r="AB242" s="33"/>
    </row>
    <row r="243" spans="1:28" x14ac:dyDescent="0.25">
      <c r="A243" s="31"/>
      <c r="B243" s="29" t="str">
        <f t="shared" si="24"/>
        <v/>
      </c>
      <c r="C243" s="29" t="str">
        <f>IF($A243="","","S"&amp;(INT(($A243-'01. CONFIGURAÇÕES'!$C$12)/7)+1))</f>
        <v/>
      </c>
      <c r="D243" s="30"/>
      <c r="E243" s="30"/>
      <c r="F243" s="10"/>
      <c r="G243" s="49"/>
      <c r="H243" s="49"/>
      <c r="I243" s="52" t="str">
        <f t="shared" si="25"/>
        <v/>
      </c>
      <c r="J243" s="49"/>
      <c r="K243" s="49"/>
      <c r="L243" s="49"/>
      <c r="M243" s="49"/>
      <c r="N243" s="49"/>
      <c r="O243" s="49"/>
      <c r="P243" s="10"/>
      <c r="Q243" s="11" t="str">
        <f t="shared" si="26"/>
        <v/>
      </c>
      <c r="R243" s="11" t="str">
        <f t="shared" si="27"/>
        <v/>
      </c>
      <c r="S243" s="58" t="str">
        <f t="shared" si="28"/>
        <v/>
      </c>
      <c r="T243" s="55" t="str">
        <f t="shared" si="29"/>
        <v/>
      </c>
      <c r="U243" s="55" t="str">
        <f>IF($D243="","",IF($D243='01. CONFIGURAÇÕES'!$C$8,'01. CONFIGURAÇÕES'!$C$38,'01. CONFIGURAÇÕES'!$D$38))</f>
        <v/>
      </c>
      <c r="V243" s="58" t="str">
        <f t="shared" si="30"/>
        <v/>
      </c>
      <c r="W243" s="55" t="str">
        <f>IF($D243="","",IF($D243='01. CONFIGURAÇÕES'!$C$8,'01. CONFIGURAÇÕES'!$C$31,'01. CONFIGURAÇÕES'!$D$31))</f>
        <v/>
      </c>
      <c r="X243" s="54" t="str">
        <f>IF($A243="","",$T243*(1-'01. CONFIGURAÇÕES'!$C$16)-IF($W243="",0,$W243))</f>
        <v/>
      </c>
      <c r="Y243" s="54" t="str">
        <f t="shared" si="31"/>
        <v/>
      </c>
      <c r="Z243" s="30"/>
      <c r="AA243" s="33"/>
      <c r="AB243" s="33"/>
    </row>
    <row r="244" spans="1:28" x14ac:dyDescent="0.25">
      <c r="A244" s="31"/>
      <c r="B244" s="29" t="str">
        <f t="shared" si="24"/>
        <v/>
      </c>
      <c r="C244" s="29" t="str">
        <f>IF($A244="","","S"&amp;(INT(($A244-'01. CONFIGURAÇÕES'!$C$12)/7)+1))</f>
        <v/>
      </c>
      <c r="D244" s="30"/>
      <c r="E244" s="30"/>
      <c r="F244" s="10"/>
      <c r="G244" s="49"/>
      <c r="H244" s="49"/>
      <c r="I244" s="52" t="str">
        <f t="shared" si="25"/>
        <v/>
      </c>
      <c r="J244" s="49"/>
      <c r="K244" s="49"/>
      <c r="L244" s="49"/>
      <c r="M244" s="49"/>
      <c r="N244" s="49"/>
      <c r="O244" s="49"/>
      <c r="P244" s="10"/>
      <c r="Q244" s="11" t="str">
        <f t="shared" si="26"/>
        <v/>
      </c>
      <c r="R244" s="11" t="str">
        <f t="shared" si="27"/>
        <v/>
      </c>
      <c r="S244" s="58" t="str">
        <f t="shared" si="28"/>
        <v/>
      </c>
      <c r="T244" s="55" t="str">
        <f t="shared" si="29"/>
        <v/>
      </c>
      <c r="U244" s="55" t="str">
        <f>IF($D244="","",IF($D244='01. CONFIGURAÇÕES'!$C$8,'01. CONFIGURAÇÕES'!$C$38,'01. CONFIGURAÇÕES'!$D$38))</f>
        <v/>
      </c>
      <c r="V244" s="58" t="str">
        <f t="shared" si="30"/>
        <v/>
      </c>
      <c r="W244" s="55" t="str">
        <f>IF($D244="","",IF($D244='01. CONFIGURAÇÕES'!$C$8,'01. CONFIGURAÇÕES'!$C$31,'01. CONFIGURAÇÕES'!$D$31))</f>
        <v/>
      </c>
      <c r="X244" s="54" t="str">
        <f>IF($A244="","",$T244*(1-'01. CONFIGURAÇÕES'!$C$16)-IF($W244="",0,$W244))</f>
        <v/>
      </c>
      <c r="Y244" s="54" t="str">
        <f t="shared" si="31"/>
        <v/>
      </c>
      <c r="Z244" s="30"/>
      <c r="AA244" s="33"/>
      <c r="AB244" s="33"/>
    </row>
    <row r="245" spans="1:28" x14ac:dyDescent="0.25">
      <c r="A245" s="31"/>
      <c r="B245" s="29" t="str">
        <f t="shared" si="24"/>
        <v/>
      </c>
      <c r="C245" s="29" t="str">
        <f>IF($A245="","","S"&amp;(INT(($A245-'01. CONFIGURAÇÕES'!$C$12)/7)+1))</f>
        <v/>
      </c>
      <c r="D245" s="30"/>
      <c r="E245" s="30"/>
      <c r="F245" s="10"/>
      <c r="G245" s="49"/>
      <c r="H245" s="49"/>
      <c r="I245" s="52" t="str">
        <f t="shared" si="25"/>
        <v/>
      </c>
      <c r="J245" s="49"/>
      <c r="K245" s="49"/>
      <c r="L245" s="49"/>
      <c r="M245" s="49"/>
      <c r="N245" s="49"/>
      <c r="O245" s="49"/>
      <c r="P245" s="10"/>
      <c r="Q245" s="11" t="str">
        <f t="shared" si="26"/>
        <v/>
      </c>
      <c r="R245" s="11" t="str">
        <f t="shared" si="27"/>
        <v/>
      </c>
      <c r="S245" s="58" t="str">
        <f t="shared" si="28"/>
        <v/>
      </c>
      <c r="T245" s="55" t="str">
        <f t="shared" si="29"/>
        <v/>
      </c>
      <c r="U245" s="55" t="str">
        <f>IF($D245="","",IF($D245='01. CONFIGURAÇÕES'!$C$8,'01. CONFIGURAÇÕES'!$C$38,'01. CONFIGURAÇÕES'!$D$38))</f>
        <v/>
      </c>
      <c r="V245" s="58" t="str">
        <f t="shared" si="30"/>
        <v/>
      </c>
      <c r="W245" s="55" t="str">
        <f>IF($D245="","",IF($D245='01. CONFIGURAÇÕES'!$C$8,'01. CONFIGURAÇÕES'!$C$31,'01. CONFIGURAÇÕES'!$D$31))</f>
        <v/>
      </c>
      <c r="X245" s="54" t="str">
        <f>IF($A245="","",$T245*(1-'01. CONFIGURAÇÕES'!$C$16)-IF($W245="",0,$W245))</f>
        <v/>
      </c>
      <c r="Y245" s="54" t="str">
        <f t="shared" si="31"/>
        <v/>
      </c>
      <c r="Z245" s="30"/>
      <c r="AA245" s="33"/>
      <c r="AB245" s="33"/>
    </row>
    <row r="246" spans="1:28" x14ac:dyDescent="0.25">
      <c r="A246" s="31"/>
      <c r="B246" s="29" t="str">
        <f t="shared" si="24"/>
        <v/>
      </c>
      <c r="C246" s="29" t="str">
        <f>IF($A246="","","S"&amp;(INT(($A246-'01. CONFIGURAÇÕES'!$C$12)/7)+1))</f>
        <v/>
      </c>
      <c r="D246" s="30"/>
      <c r="E246" s="30"/>
      <c r="F246" s="10"/>
      <c r="G246" s="49"/>
      <c r="H246" s="49"/>
      <c r="I246" s="52" t="str">
        <f t="shared" si="25"/>
        <v/>
      </c>
      <c r="J246" s="49"/>
      <c r="K246" s="49"/>
      <c r="L246" s="49"/>
      <c r="M246" s="49"/>
      <c r="N246" s="49"/>
      <c r="O246" s="49"/>
      <c r="P246" s="10"/>
      <c r="Q246" s="11" t="str">
        <f t="shared" si="26"/>
        <v/>
      </c>
      <c r="R246" s="11" t="str">
        <f t="shared" si="27"/>
        <v/>
      </c>
      <c r="S246" s="58" t="str">
        <f t="shared" si="28"/>
        <v/>
      </c>
      <c r="T246" s="55" t="str">
        <f t="shared" si="29"/>
        <v/>
      </c>
      <c r="U246" s="55" t="str">
        <f>IF($D246="","",IF($D246='01. CONFIGURAÇÕES'!$C$8,'01. CONFIGURAÇÕES'!$C$38,'01. CONFIGURAÇÕES'!$D$38))</f>
        <v/>
      </c>
      <c r="V246" s="58" t="str">
        <f t="shared" si="30"/>
        <v/>
      </c>
      <c r="W246" s="55" t="str">
        <f>IF($D246="","",IF($D246='01. CONFIGURAÇÕES'!$C$8,'01. CONFIGURAÇÕES'!$C$31,'01. CONFIGURAÇÕES'!$D$31))</f>
        <v/>
      </c>
      <c r="X246" s="54" t="str">
        <f>IF($A246="","",$T246*(1-'01. CONFIGURAÇÕES'!$C$16)-IF($W246="",0,$W246))</f>
        <v/>
      </c>
      <c r="Y246" s="54" t="str">
        <f t="shared" si="31"/>
        <v/>
      </c>
      <c r="Z246" s="30"/>
      <c r="AA246" s="33"/>
      <c r="AB246" s="33"/>
    </row>
    <row r="247" spans="1:28" x14ac:dyDescent="0.25">
      <c r="A247" s="31"/>
      <c r="B247" s="29" t="str">
        <f t="shared" si="24"/>
        <v/>
      </c>
      <c r="C247" s="29" t="str">
        <f>IF($A247="","","S"&amp;(INT(($A247-'01. CONFIGURAÇÕES'!$C$12)/7)+1))</f>
        <v/>
      </c>
      <c r="D247" s="30"/>
      <c r="E247" s="30"/>
      <c r="F247" s="10"/>
      <c r="G247" s="49"/>
      <c r="H247" s="49"/>
      <c r="I247" s="52" t="str">
        <f t="shared" si="25"/>
        <v/>
      </c>
      <c r="J247" s="49"/>
      <c r="K247" s="49"/>
      <c r="L247" s="49"/>
      <c r="M247" s="49"/>
      <c r="N247" s="49"/>
      <c r="O247" s="49"/>
      <c r="P247" s="10"/>
      <c r="Q247" s="11" t="str">
        <f t="shared" si="26"/>
        <v/>
      </c>
      <c r="R247" s="11" t="str">
        <f t="shared" si="27"/>
        <v/>
      </c>
      <c r="S247" s="58" t="str">
        <f t="shared" si="28"/>
        <v/>
      </c>
      <c r="T247" s="55" t="str">
        <f t="shared" si="29"/>
        <v/>
      </c>
      <c r="U247" s="55" t="str">
        <f>IF($D247="","",IF($D247='01. CONFIGURAÇÕES'!$C$8,'01. CONFIGURAÇÕES'!$C$38,'01. CONFIGURAÇÕES'!$D$38))</f>
        <v/>
      </c>
      <c r="V247" s="58" t="str">
        <f t="shared" si="30"/>
        <v/>
      </c>
      <c r="W247" s="55" t="str">
        <f>IF($D247="","",IF($D247='01. CONFIGURAÇÕES'!$C$8,'01. CONFIGURAÇÕES'!$C$31,'01. CONFIGURAÇÕES'!$D$31))</f>
        <v/>
      </c>
      <c r="X247" s="54" t="str">
        <f>IF($A247="","",$T247*(1-'01. CONFIGURAÇÕES'!$C$16)-IF($W247="",0,$W247))</f>
        <v/>
      </c>
      <c r="Y247" s="54" t="str">
        <f t="shared" si="31"/>
        <v/>
      </c>
      <c r="Z247" s="30"/>
      <c r="AA247" s="33"/>
      <c r="AB247" s="33"/>
    </row>
    <row r="248" spans="1:28" x14ac:dyDescent="0.25">
      <c r="A248" s="31"/>
      <c r="B248" s="29" t="str">
        <f t="shared" si="24"/>
        <v/>
      </c>
      <c r="C248" s="29" t="str">
        <f>IF($A248="","","S"&amp;(INT(($A248-'01. CONFIGURAÇÕES'!$C$12)/7)+1))</f>
        <v/>
      </c>
      <c r="D248" s="30"/>
      <c r="E248" s="30"/>
      <c r="F248" s="10"/>
      <c r="G248" s="49"/>
      <c r="H248" s="49"/>
      <c r="I248" s="52" t="str">
        <f t="shared" si="25"/>
        <v/>
      </c>
      <c r="J248" s="49"/>
      <c r="K248" s="49"/>
      <c r="L248" s="49"/>
      <c r="M248" s="49"/>
      <c r="N248" s="49"/>
      <c r="O248" s="49"/>
      <c r="P248" s="10"/>
      <c r="Q248" s="11" t="str">
        <f t="shared" si="26"/>
        <v/>
      </c>
      <c r="R248" s="11" t="str">
        <f t="shared" si="27"/>
        <v/>
      </c>
      <c r="S248" s="58" t="str">
        <f t="shared" si="28"/>
        <v/>
      </c>
      <c r="T248" s="55" t="str">
        <f t="shared" si="29"/>
        <v/>
      </c>
      <c r="U248" s="55" t="str">
        <f>IF($D248="","",IF($D248='01. CONFIGURAÇÕES'!$C$8,'01. CONFIGURAÇÕES'!$C$38,'01. CONFIGURAÇÕES'!$D$38))</f>
        <v/>
      </c>
      <c r="V248" s="58" t="str">
        <f t="shared" si="30"/>
        <v/>
      </c>
      <c r="W248" s="55" t="str">
        <f>IF($D248="","",IF($D248='01. CONFIGURAÇÕES'!$C$8,'01. CONFIGURAÇÕES'!$C$31,'01. CONFIGURAÇÕES'!$D$31))</f>
        <v/>
      </c>
      <c r="X248" s="54" t="str">
        <f>IF($A248="","",$T248*(1-'01. CONFIGURAÇÕES'!$C$16)-IF($W248="",0,$W248))</f>
        <v/>
      </c>
      <c r="Y248" s="54" t="str">
        <f t="shared" si="31"/>
        <v/>
      </c>
      <c r="Z248" s="30"/>
      <c r="AA248" s="33"/>
      <c r="AB248" s="33"/>
    </row>
    <row r="249" spans="1:28" x14ac:dyDescent="0.25">
      <c r="A249" s="31"/>
      <c r="B249" s="29" t="str">
        <f t="shared" si="24"/>
        <v/>
      </c>
      <c r="C249" s="29" t="str">
        <f>IF($A249="","","S"&amp;(INT(($A249-'01. CONFIGURAÇÕES'!$C$12)/7)+1))</f>
        <v/>
      </c>
      <c r="D249" s="30"/>
      <c r="E249" s="30"/>
      <c r="F249" s="10"/>
      <c r="G249" s="49"/>
      <c r="H249" s="49"/>
      <c r="I249" s="52" t="str">
        <f t="shared" si="25"/>
        <v/>
      </c>
      <c r="J249" s="49"/>
      <c r="K249" s="49"/>
      <c r="L249" s="49"/>
      <c r="M249" s="49"/>
      <c r="N249" s="49"/>
      <c r="O249" s="49"/>
      <c r="P249" s="10"/>
      <c r="Q249" s="11" t="str">
        <f t="shared" si="26"/>
        <v/>
      </c>
      <c r="R249" s="11" t="str">
        <f t="shared" si="27"/>
        <v/>
      </c>
      <c r="S249" s="58" t="str">
        <f t="shared" si="28"/>
        <v/>
      </c>
      <c r="T249" s="55" t="str">
        <f t="shared" si="29"/>
        <v/>
      </c>
      <c r="U249" s="55" t="str">
        <f>IF($D249="","",IF($D249='01. CONFIGURAÇÕES'!$C$8,'01. CONFIGURAÇÕES'!$C$38,'01. CONFIGURAÇÕES'!$D$38))</f>
        <v/>
      </c>
      <c r="V249" s="58" t="str">
        <f t="shared" si="30"/>
        <v/>
      </c>
      <c r="W249" s="55" t="str">
        <f>IF($D249="","",IF($D249='01. CONFIGURAÇÕES'!$C$8,'01. CONFIGURAÇÕES'!$C$31,'01. CONFIGURAÇÕES'!$D$31))</f>
        <v/>
      </c>
      <c r="X249" s="54" t="str">
        <f>IF($A249="","",$T249*(1-'01. CONFIGURAÇÕES'!$C$16)-IF($W249="",0,$W249))</f>
        <v/>
      </c>
      <c r="Y249" s="54" t="str">
        <f t="shared" si="31"/>
        <v/>
      </c>
      <c r="Z249" s="30"/>
      <c r="AA249" s="33"/>
      <c r="AB249" s="33"/>
    </row>
    <row r="250" spans="1:28" x14ac:dyDescent="0.25">
      <c r="A250" s="31"/>
      <c r="B250" s="29" t="str">
        <f t="shared" si="24"/>
        <v/>
      </c>
      <c r="C250" s="29" t="str">
        <f>IF($A250="","","S"&amp;(INT(($A250-'01. CONFIGURAÇÕES'!$C$12)/7)+1))</f>
        <v/>
      </c>
      <c r="D250" s="30"/>
      <c r="E250" s="30"/>
      <c r="F250" s="10"/>
      <c r="G250" s="49"/>
      <c r="H250" s="49"/>
      <c r="I250" s="52" t="str">
        <f t="shared" si="25"/>
        <v/>
      </c>
      <c r="J250" s="49"/>
      <c r="K250" s="49"/>
      <c r="L250" s="49"/>
      <c r="M250" s="49"/>
      <c r="N250" s="49"/>
      <c r="O250" s="49"/>
      <c r="P250" s="10"/>
      <c r="Q250" s="11" t="str">
        <f t="shared" si="26"/>
        <v/>
      </c>
      <c r="R250" s="11" t="str">
        <f t="shared" si="27"/>
        <v/>
      </c>
      <c r="S250" s="58" t="str">
        <f t="shared" si="28"/>
        <v/>
      </c>
      <c r="T250" s="55" t="str">
        <f t="shared" si="29"/>
        <v/>
      </c>
      <c r="U250" s="55" t="str">
        <f>IF($D250="","",IF($D250='01. CONFIGURAÇÕES'!$C$8,'01. CONFIGURAÇÕES'!$C$38,'01. CONFIGURAÇÕES'!$D$38))</f>
        <v/>
      </c>
      <c r="V250" s="58" t="str">
        <f t="shared" si="30"/>
        <v/>
      </c>
      <c r="W250" s="55" t="str">
        <f>IF($D250="","",IF($D250='01. CONFIGURAÇÕES'!$C$8,'01. CONFIGURAÇÕES'!$C$31,'01. CONFIGURAÇÕES'!$D$31))</f>
        <v/>
      </c>
      <c r="X250" s="54" t="str">
        <f>IF($A250="","",$T250*(1-'01. CONFIGURAÇÕES'!$C$16)-IF($W250="",0,$W250))</f>
        <v/>
      </c>
      <c r="Y250" s="54" t="str">
        <f t="shared" si="31"/>
        <v/>
      </c>
      <c r="Z250" s="30"/>
      <c r="AA250" s="33"/>
      <c r="AB250" s="33"/>
    </row>
    <row r="251" spans="1:28" x14ac:dyDescent="0.25">
      <c r="A251" s="31"/>
      <c r="B251" s="29" t="str">
        <f t="shared" si="24"/>
        <v/>
      </c>
      <c r="C251" s="29" t="str">
        <f>IF($A251="","","S"&amp;(INT(($A251-'01. CONFIGURAÇÕES'!$C$12)/7)+1))</f>
        <v/>
      </c>
      <c r="D251" s="30"/>
      <c r="E251" s="30"/>
      <c r="F251" s="10"/>
      <c r="G251" s="49"/>
      <c r="H251" s="49"/>
      <c r="I251" s="52" t="str">
        <f t="shared" si="25"/>
        <v/>
      </c>
      <c r="J251" s="49"/>
      <c r="K251" s="49"/>
      <c r="L251" s="49"/>
      <c r="M251" s="49"/>
      <c r="N251" s="49"/>
      <c r="O251" s="49"/>
      <c r="P251" s="10"/>
      <c r="Q251" s="11" t="str">
        <f t="shared" si="26"/>
        <v/>
      </c>
      <c r="R251" s="11" t="str">
        <f t="shared" si="27"/>
        <v/>
      </c>
      <c r="S251" s="58" t="str">
        <f t="shared" si="28"/>
        <v/>
      </c>
      <c r="T251" s="55" t="str">
        <f t="shared" si="29"/>
        <v/>
      </c>
      <c r="U251" s="55" t="str">
        <f>IF($D251="","",IF($D251='01. CONFIGURAÇÕES'!$C$8,'01. CONFIGURAÇÕES'!$C$38,'01. CONFIGURAÇÕES'!$D$38))</f>
        <v/>
      </c>
      <c r="V251" s="58" t="str">
        <f t="shared" si="30"/>
        <v/>
      </c>
      <c r="W251" s="55" t="str">
        <f>IF($D251="","",IF($D251='01. CONFIGURAÇÕES'!$C$8,'01. CONFIGURAÇÕES'!$C$31,'01. CONFIGURAÇÕES'!$D$31))</f>
        <v/>
      </c>
      <c r="X251" s="54" t="str">
        <f>IF($A251="","",$T251*(1-'01. CONFIGURAÇÕES'!$C$16)-IF($W251="",0,$W251))</f>
        <v/>
      </c>
      <c r="Y251" s="54" t="str">
        <f t="shared" si="31"/>
        <v/>
      </c>
      <c r="Z251" s="30"/>
      <c r="AA251" s="33"/>
      <c r="AB251" s="33"/>
    </row>
    <row r="252" spans="1:28" x14ac:dyDescent="0.25">
      <c r="A252" s="31"/>
      <c r="B252" s="29" t="str">
        <f t="shared" si="24"/>
        <v/>
      </c>
      <c r="C252" s="29" t="str">
        <f>IF($A252="","","S"&amp;(INT(($A252-'01. CONFIGURAÇÕES'!$C$12)/7)+1))</f>
        <v/>
      </c>
      <c r="D252" s="30"/>
      <c r="E252" s="30"/>
      <c r="F252" s="10"/>
      <c r="G252" s="49"/>
      <c r="H252" s="49"/>
      <c r="I252" s="52" t="str">
        <f t="shared" si="25"/>
        <v/>
      </c>
      <c r="J252" s="49"/>
      <c r="K252" s="49"/>
      <c r="L252" s="49"/>
      <c r="M252" s="49"/>
      <c r="N252" s="49"/>
      <c r="O252" s="49"/>
      <c r="P252" s="10"/>
      <c r="Q252" s="11" t="str">
        <f t="shared" si="26"/>
        <v/>
      </c>
      <c r="R252" s="11" t="str">
        <f t="shared" si="27"/>
        <v/>
      </c>
      <c r="S252" s="58" t="str">
        <f t="shared" si="28"/>
        <v/>
      </c>
      <c r="T252" s="55" t="str">
        <f t="shared" si="29"/>
        <v/>
      </c>
      <c r="U252" s="55" t="str">
        <f>IF($D252="","",IF($D252='01. CONFIGURAÇÕES'!$C$8,'01. CONFIGURAÇÕES'!$C$38,'01. CONFIGURAÇÕES'!$D$38))</f>
        <v/>
      </c>
      <c r="V252" s="58" t="str">
        <f t="shared" si="30"/>
        <v/>
      </c>
      <c r="W252" s="55" t="str">
        <f>IF($D252="","",IF($D252='01. CONFIGURAÇÕES'!$C$8,'01. CONFIGURAÇÕES'!$C$31,'01. CONFIGURAÇÕES'!$D$31))</f>
        <v/>
      </c>
      <c r="X252" s="54" t="str">
        <f>IF($A252="","",$T252*(1-'01. CONFIGURAÇÕES'!$C$16)-IF($W252="",0,$W252))</f>
        <v/>
      </c>
      <c r="Y252" s="54" t="str">
        <f t="shared" si="31"/>
        <v/>
      </c>
      <c r="Z252" s="30"/>
      <c r="AA252" s="33"/>
      <c r="AB252" s="33"/>
    </row>
    <row r="253" spans="1:28" x14ac:dyDescent="0.25">
      <c r="A253" s="31"/>
      <c r="B253" s="29" t="str">
        <f t="shared" si="24"/>
        <v/>
      </c>
      <c r="C253" s="29" t="str">
        <f>IF($A253="","","S"&amp;(INT(($A253-'01. CONFIGURAÇÕES'!$C$12)/7)+1))</f>
        <v/>
      </c>
      <c r="D253" s="30"/>
      <c r="E253" s="30"/>
      <c r="F253" s="10"/>
      <c r="G253" s="49"/>
      <c r="H253" s="49"/>
      <c r="I253" s="52" t="str">
        <f t="shared" si="25"/>
        <v/>
      </c>
      <c r="J253" s="49"/>
      <c r="K253" s="49"/>
      <c r="L253" s="49"/>
      <c r="M253" s="49"/>
      <c r="N253" s="49"/>
      <c r="O253" s="49"/>
      <c r="P253" s="10"/>
      <c r="Q253" s="11" t="str">
        <f t="shared" si="26"/>
        <v/>
      </c>
      <c r="R253" s="11" t="str">
        <f t="shared" si="27"/>
        <v/>
      </c>
      <c r="S253" s="58" t="str">
        <f t="shared" si="28"/>
        <v/>
      </c>
      <c r="T253" s="55" t="str">
        <f t="shared" si="29"/>
        <v/>
      </c>
      <c r="U253" s="55" t="str">
        <f>IF($D253="","",IF($D253='01. CONFIGURAÇÕES'!$C$8,'01. CONFIGURAÇÕES'!$C$38,'01. CONFIGURAÇÕES'!$D$38))</f>
        <v/>
      </c>
      <c r="V253" s="58" t="str">
        <f t="shared" si="30"/>
        <v/>
      </c>
      <c r="W253" s="55" t="str">
        <f>IF($D253="","",IF($D253='01. CONFIGURAÇÕES'!$C$8,'01. CONFIGURAÇÕES'!$C$31,'01. CONFIGURAÇÕES'!$D$31))</f>
        <v/>
      </c>
      <c r="X253" s="54" t="str">
        <f>IF($A253="","",$T253*(1-'01. CONFIGURAÇÕES'!$C$16)-IF($W253="",0,$W253))</f>
        <v/>
      </c>
      <c r="Y253" s="54" t="str">
        <f t="shared" si="31"/>
        <v/>
      </c>
      <c r="Z253" s="30"/>
      <c r="AA253" s="33"/>
      <c r="AB253" s="33"/>
    </row>
    <row r="254" spans="1:28" x14ac:dyDescent="0.25">
      <c r="A254" s="31"/>
      <c r="B254" s="29" t="str">
        <f t="shared" si="24"/>
        <v/>
      </c>
      <c r="C254" s="29" t="str">
        <f>IF($A254="","","S"&amp;(INT(($A254-'01. CONFIGURAÇÕES'!$C$12)/7)+1))</f>
        <v/>
      </c>
      <c r="D254" s="30"/>
      <c r="E254" s="30"/>
      <c r="F254" s="10"/>
      <c r="G254" s="49"/>
      <c r="H254" s="49"/>
      <c r="I254" s="52" t="str">
        <f t="shared" si="25"/>
        <v/>
      </c>
      <c r="J254" s="49"/>
      <c r="K254" s="49"/>
      <c r="L254" s="49"/>
      <c r="M254" s="49"/>
      <c r="N254" s="49"/>
      <c r="O254" s="49"/>
      <c r="P254" s="10"/>
      <c r="Q254" s="11" t="str">
        <f t="shared" si="26"/>
        <v/>
      </c>
      <c r="R254" s="11" t="str">
        <f t="shared" si="27"/>
        <v/>
      </c>
      <c r="S254" s="58" t="str">
        <f t="shared" si="28"/>
        <v/>
      </c>
      <c r="T254" s="55" t="str">
        <f t="shared" si="29"/>
        <v/>
      </c>
      <c r="U254" s="55" t="str">
        <f>IF($D254="","",IF($D254='01. CONFIGURAÇÕES'!$C$8,'01. CONFIGURAÇÕES'!$C$38,'01. CONFIGURAÇÕES'!$D$38))</f>
        <v/>
      </c>
      <c r="V254" s="58" t="str">
        <f t="shared" si="30"/>
        <v/>
      </c>
      <c r="W254" s="55" t="str">
        <f>IF($D254="","",IF($D254='01. CONFIGURAÇÕES'!$C$8,'01. CONFIGURAÇÕES'!$C$31,'01. CONFIGURAÇÕES'!$D$31))</f>
        <v/>
      </c>
      <c r="X254" s="54" t="str">
        <f>IF($A254="","",$T254*(1-'01. CONFIGURAÇÕES'!$C$16)-IF($W254="",0,$W254))</f>
        <v/>
      </c>
      <c r="Y254" s="54" t="str">
        <f t="shared" si="31"/>
        <v/>
      </c>
      <c r="Z254" s="30"/>
      <c r="AA254" s="33"/>
      <c r="AB254" s="33"/>
    </row>
    <row r="255" spans="1:28" x14ac:dyDescent="0.25">
      <c r="A255" s="31"/>
      <c r="B255" s="29" t="str">
        <f t="shared" si="24"/>
        <v/>
      </c>
      <c r="C255" s="29" t="str">
        <f>IF($A255="","","S"&amp;(INT(($A255-'01. CONFIGURAÇÕES'!$C$12)/7)+1))</f>
        <v/>
      </c>
      <c r="D255" s="30"/>
      <c r="E255" s="30"/>
      <c r="F255" s="10"/>
      <c r="G255" s="49"/>
      <c r="H255" s="49"/>
      <c r="I255" s="52" t="str">
        <f t="shared" si="25"/>
        <v/>
      </c>
      <c r="J255" s="49"/>
      <c r="K255" s="49"/>
      <c r="L255" s="49"/>
      <c r="M255" s="49"/>
      <c r="N255" s="49"/>
      <c r="O255" s="49"/>
      <c r="P255" s="10"/>
      <c r="Q255" s="11" t="str">
        <f t="shared" si="26"/>
        <v/>
      </c>
      <c r="R255" s="11" t="str">
        <f t="shared" si="27"/>
        <v/>
      </c>
      <c r="S255" s="58" t="str">
        <f t="shared" si="28"/>
        <v/>
      </c>
      <c r="T255" s="55" t="str">
        <f t="shared" si="29"/>
        <v/>
      </c>
      <c r="U255" s="55" t="str">
        <f>IF($D255="","",IF($D255='01. CONFIGURAÇÕES'!$C$8,'01. CONFIGURAÇÕES'!$C$38,'01. CONFIGURAÇÕES'!$D$38))</f>
        <v/>
      </c>
      <c r="V255" s="58" t="str">
        <f t="shared" si="30"/>
        <v/>
      </c>
      <c r="W255" s="55" t="str">
        <f>IF($D255="","",IF($D255='01. CONFIGURAÇÕES'!$C$8,'01. CONFIGURAÇÕES'!$C$31,'01. CONFIGURAÇÕES'!$D$31))</f>
        <v/>
      </c>
      <c r="X255" s="54" t="str">
        <f>IF($A255="","",$T255*(1-'01. CONFIGURAÇÕES'!$C$16)-IF($W255="",0,$W255))</f>
        <v/>
      </c>
      <c r="Y255" s="54" t="str">
        <f t="shared" si="31"/>
        <v/>
      </c>
      <c r="Z255" s="30"/>
      <c r="AA255" s="33"/>
      <c r="AB255" s="33"/>
    </row>
    <row r="256" spans="1:28" x14ac:dyDescent="0.25">
      <c r="A256" s="31"/>
      <c r="B256" s="29" t="str">
        <f t="shared" si="24"/>
        <v/>
      </c>
      <c r="C256" s="29" t="str">
        <f>IF($A256="","","S"&amp;(INT(($A256-'01. CONFIGURAÇÕES'!$C$12)/7)+1))</f>
        <v/>
      </c>
      <c r="D256" s="30"/>
      <c r="E256" s="30"/>
      <c r="F256" s="10"/>
      <c r="G256" s="49"/>
      <c r="H256" s="49"/>
      <c r="I256" s="52" t="str">
        <f t="shared" si="25"/>
        <v/>
      </c>
      <c r="J256" s="49"/>
      <c r="K256" s="49"/>
      <c r="L256" s="49"/>
      <c r="M256" s="49"/>
      <c r="N256" s="49"/>
      <c r="O256" s="49"/>
      <c r="P256" s="10"/>
      <c r="Q256" s="11" t="str">
        <f t="shared" si="26"/>
        <v/>
      </c>
      <c r="R256" s="11" t="str">
        <f t="shared" si="27"/>
        <v/>
      </c>
      <c r="S256" s="58" t="str">
        <f t="shared" si="28"/>
        <v/>
      </c>
      <c r="T256" s="55" t="str">
        <f t="shared" si="29"/>
        <v/>
      </c>
      <c r="U256" s="55" t="str">
        <f>IF($D256="","",IF($D256='01. CONFIGURAÇÕES'!$C$8,'01. CONFIGURAÇÕES'!$C$38,'01. CONFIGURAÇÕES'!$D$38))</f>
        <v/>
      </c>
      <c r="V256" s="58" t="str">
        <f t="shared" si="30"/>
        <v/>
      </c>
      <c r="W256" s="55" t="str">
        <f>IF($D256="","",IF($D256='01. CONFIGURAÇÕES'!$C$8,'01. CONFIGURAÇÕES'!$C$31,'01. CONFIGURAÇÕES'!$D$31))</f>
        <v/>
      </c>
      <c r="X256" s="54" t="str">
        <f>IF($A256="","",$T256*(1-'01. CONFIGURAÇÕES'!$C$16)-IF($W256="",0,$W256))</f>
        <v/>
      </c>
      <c r="Y256" s="54" t="str">
        <f t="shared" si="31"/>
        <v/>
      </c>
      <c r="Z256" s="30"/>
      <c r="AA256" s="33"/>
      <c r="AB256" s="33"/>
    </row>
    <row r="257" spans="1:28" x14ac:dyDescent="0.25">
      <c r="A257" s="31"/>
      <c r="B257" s="29" t="str">
        <f t="shared" si="24"/>
        <v/>
      </c>
      <c r="C257" s="29" t="str">
        <f>IF($A257="","","S"&amp;(INT(($A257-'01. CONFIGURAÇÕES'!$C$12)/7)+1))</f>
        <v/>
      </c>
      <c r="D257" s="30"/>
      <c r="E257" s="30"/>
      <c r="F257" s="10"/>
      <c r="G257" s="49"/>
      <c r="H257" s="49"/>
      <c r="I257" s="52" t="str">
        <f t="shared" si="25"/>
        <v/>
      </c>
      <c r="J257" s="49"/>
      <c r="K257" s="49"/>
      <c r="L257" s="49"/>
      <c r="M257" s="49"/>
      <c r="N257" s="49"/>
      <c r="O257" s="49"/>
      <c r="P257" s="10"/>
      <c r="Q257" s="11" t="str">
        <f t="shared" si="26"/>
        <v/>
      </c>
      <c r="R257" s="11" t="str">
        <f t="shared" si="27"/>
        <v/>
      </c>
      <c r="S257" s="58" t="str">
        <f t="shared" si="28"/>
        <v/>
      </c>
      <c r="T257" s="55" t="str">
        <f t="shared" si="29"/>
        <v/>
      </c>
      <c r="U257" s="55" t="str">
        <f>IF($D257="","",IF($D257='01. CONFIGURAÇÕES'!$C$8,'01. CONFIGURAÇÕES'!$C$38,'01. CONFIGURAÇÕES'!$D$38))</f>
        <v/>
      </c>
      <c r="V257" s="58" t="str">
        <f t="shared" si="30"/>
        <v/>
      </c>
      <c r="W257" s="55" t="str">
        <f>IF($D257="","",IF($D257='01. CONFIGURAÇÕES'!$C$8,'01. CONFIGURAÇÕES'!$C$31,'01. CONFIGURAÇÕES'!$D$31))</f>
        <v/>
      </c>
      <c r="X257" s="54" t="str">
        <f>IF($A257="","",$T257*(1-'01. CONFIGURAÇÕES'!$C$16)-IF($W257="",0,$W257))</f>
        <v/>
      </c>
      <c r="Y257" s="54" t="str">
        <f t="shared" si="31"/>
        <v/>
      </c>
      <c r="Z257" s="30"/>
      <c r="AA257" s="33"/>
      <c r="AB257" s="33"/>
    </row>
    <row r="258" spans="1:28" x14ac:dyDescent="0.25">
      <c r="A258" s="31"/>
      <c r="B258" s="29" t="str">
        <f t="shared" si="24"/>
        <v/>
      </c>
      <c r="C258" s="29" t="str">
        <f>IF($A258="","","S"&amp;(INT(($A258-'01. CONFIGURAÇÕES'!$C$12)/7)+1))</f>
        <v/>
      </c>
      <c r="D258" s="30"/>
      <c r="E258" s="30"/>
      <c r="F258" s="10"/>
      <c r="G258" s="49"/>
      <c r="H258" s="49"/>
      <c r="I258" s="52" t="str">
        <f t="shared" si="25"/>
        <v/>
      </c>
      <c r="J258" s="49"/>
      <c r="K258" s="49"/>
      <c r="L258" s="49"/>
      <c r="M258" s="49"/>
      <c r="N258" s="49"/>
      <c r="O258" s="49"/>
      <c r="P258" s="10"/>
      <c r="Q258" s="11" t="str">
        <f t="shared" si="26"/>
        <v/>
      </c>
      <c r="R258" s="11" t="str">
        <f t="shared" si="27"/>
        <v/>
      </c>
      <c r="S258" s="58" t="str">
        <f t="shared" si="28"/>
        <v/>
      </c>
      <c r="T258" s="55" t="str">
        <f t="shared" si="29"/>
        <v/>
      </c>
      <c r="U258" s="55" t="str">
        <f>IF($D258="","",IF($D258='01. CONFIGURAÇÕES'!$C$8,'01. CONFIGURAÇÕES'!$C$38,'01. CONFIGURAÇÕES'!$D$38))</f>
        <v/>
      </c>
      <c r="V258" s="58" t="str">
        <f t="shared" si="30"/>
        <v/>
      </c>
      <c r="W258" s="55" t="str">
        <f>IF($D258="","",IF($D258='01. CONFIGURAÇÕES'!$C$8,'01. CONFIGURAÇÕES'!$C$31,'01. CONFIGURAÇÕES'!$D$31))</f>
        <v/>
      </c>
      <c r="X258" s="54" t="str">
        <f>IF($A258="","",$T258*(1-'01. CONFIGURAÇÕES'!$C$16)-IF($W258="",0,$W258))</f>
        <v/>
      </c>
      <c r="Y258" s="54" t="str">
        <f t="shared" si="31"/>
        <v/>
      </c>
      <c r="Z258" s="30"/>
      <c r="AA258" s="33"/>
      <c r="AB258" s="33"/>
    </row>
    <row r="259" spans="1:28" x14ac:dyDescent="0.25">
      <c r="A259" s="31"/>
      <c r="B259" s="29" t="str">
        <f t="shared" si="24"/>
        <v/>
      </c>
      <c r="C259" s="29" t="str">
        <f>IF($A259="","","S"&amp;(INT(($A259-'01. CONFIGURAÇÕES'!$C$12)/7)+1))</f>
        <v/>
      </c>
      <c r="D259" s="30"/>
      <c r="E259" s="30"/>
      <c r="F259" s="10"/>
      <c r="G259" s="49"/>
      <c r="H259" s="49"/>
      <c r="I259" s="52" t="str">
        <f t="shared" si="25"/>
        <v/>
      </c>
      <c r="J259" s="49"/>
      <c r="K259" s="49"/>
      <c r="L259" s="49"/>
      <c r="M259" s="49"/>
      <c r="N259" s="49"/>
      <c r="O259" s="49"/>
      <c r="P259" s="10"/>
      <c r="Q259" s="11" t="str">
        <f t="shared" si="26"/>
        <v/>
      </c>
      <c r="R259" s="11" t="str">
        <f t="shared" si="27"/>
        <v/>
      </c>
      <c r="S259" s="58" t="str">
        <f t="shared" si="28"/>
        <v/>
      </c>
      <c r="T259" s="55" t="str">
        <f t="shared" si="29"/>
        <v/>
      </c>
      <c r="U259" s="55" t="str">
        <f>IF($D259="","",IF($D259='01. CONFIGURAÇÕES'!$C$8,'01. CONFIGURAÇÕES'!$C$38,'01. CONFIGURAÇÕES'!$D$38))</f>
        <v/>
      </c>
      <c r="V259" s="58" t="str">
        <f t="shared" si="30"/>
        <v/>
      </c>
      <c r="W259" s="55" t="str">
        <f>IF($D259="","",IF($D259='01. CONFIGURAÇÕES'!$C$8,'01. CONFIGURAÇÕES'!$C$31,'01. CONFIGURAÇÕES'!$D$31))</f>
        <v/>
      </c>
      <c r="X259" s="54" t="str">
        <f>IF($A259="","",$T259*(1-'01. CONFIGURAÇÕES'!$C$16)-IF($W259="",0,$W259))</f>
        <v/>
      </c>
      <c r="Y259" s="54" t="str">
        <f t="shared" si="31"/>
        <v/>
      </c>
      <c r="Z259" s="30"/>
      <c r="AA259" s="33"/>
      <c r="AB259" s="33"/>
    </row>
    <row r="260" spans="1:28" x14ac:dyDescent="0.25">
      <c r="A260" s="31"/>
      <c r="B260" s="29" t="str">
        <f t="shared" si="24"/>
        <v/>
      </c>
      <c r="C260" s="29" t="str">
        <f>IF($A260="","","S"&amp;(INT(($A260-'01. CONFIGURAÇÕES'!$C$12)/7)+1))</f>
        <v/>
      </c>
      <c r="D260" s="30"/>
      <c r="E260" s="30"/>
      <c r="F260" s="10"/>
      <c r="G260" s="49"/>
      <c r="H260" s="49"/>
      <c r="I260" s="52" t="str">
        <f t="shared" si="25"/>
        <v/>
      </c>
      <c r="J260" s="49"/>
      <c r="K260" s="49"/>
      <c r="L260" s="49"/>
      <c r="M260" s="49"/>
      <c r="N260" s="49"/>
      <c r="O260" s="49"/>
      <c r="P260" s="10"/>
      <c r="Q260" s="11" t="str">
        <f t="shared" si="26"/>
        <v/>
      </c>
      <c r="R260" s="11" t="str">
        <f t="shared" si="27"/>
        <v/>
      </c>
      <c r="S260" s="58" t="str">
        <f t="shared" si="28"/>
        <v/>
      </c>
      <c r="T260" s="55" t="str">
        <f t="shared" si="29"/>
        <v/>
      </c>
      <c r="U260" s="55" t="str">
        <f>IF($D260="","",IF($D260='01. CONFIGURAÇÕES'!$C$8,'01. CONFIGURAÇÕES'!$C$38,'01. CONFIGURAÇÕES'!$D$38))</f>
        <v/>
      </c>
      <c r="V260" s="58" t="str">
        <f t="shared" si="30"/>
        <v/>
      </c>
      <c r="W260" s="55" t="str">
        <f>IF($D260="","",IF($D260='01. CONFIGURAÇÕES'!$C$8,'01. CONFIGURAÇÕES'!$C$31,'01. CONFIGURAÇÕES'!$D$31))</f>
        <v/>
      </c>
      <c r="X260" s="54" t="str">
        <f>IF($A260="","",$T260*(1-'01. CONFIGURAÇÕES'!$C$16)-IF($W260="",0,$W260))</f>
        <v/>
      </c>
      <c r="Y260" s="54" t="str">
        <f t="shared" si="31"/>
        <v/>
      </c>
      <c r="Z260" s="30"/>
      <c r="AA260" s="33"/>
      <c r="AB260" s="33"/>
    </row>
    <row r="261" spans="1:28" x14ac:dyDescent="0.25">
      <c r="A261" s="31"/>
      <c r="B261" s="29" t="str">
        <f t="shared" ref="B261:B324" si="32">IF($A261="","",CHOOSE(WEEKDAY($A261,1),"DOM","SEG","TER","QUA","QUI","SEX","SÁB"))</f>
        <v/>
      </c>
      <c r="C261" s="29" t="str">
        <f>IF($A261="","","S"&amp;(INT(($A261-'01. CONFIGURAÇÕES'!$C$12)/7)+1))</f>
        <v/>
      </c>
      <c r="D261" s="30"/>
      <c r="E261" s="30"/>
      <c r="F261" s="10"/>
      <c r="G261" s="49"/>
      <c r="H261" s="49"/>
      <c r="I261" s="52" t="str">
        <f t="shared" ref="I261:I324" si="33">IF($A261="","",$F261*($G261+$H261))</f>
        <v/>
      </c>
      <c r="J261" s="49"/>
      <c r="K261" s="49"/>
      <c r="L261" s="49"/>
      <c r="M261" s="49"/>
      <c r="N261" s="49"/>
      <c r="O261" s="49"/>
      <c r="P261" s="10"/>
      <c r="Q261" s="11" t="str">
        <f t="shared" ref="Q261:Q324" si="34">IF($A261="","",COUNTIFS(PROG_DATA,$A261,PROG_EQUIPE,$E261))</f>
        <v/>
      </c>
      <c r="R261" s="11" t="str">
        <f t="shared" ref="R261:R324" si="35">IF($A261="","",COUNTIFS(OS_FIM,$A261,OS_EQUIPE,$E261))</f>
        <v/>
      </c>
      <c r="S261" s="58" t="str">
        <f t="shared" ref="S261:S324" si="36">IF(OR($A261="",$Q261=0),"",$R261/$Q261)</f>
        <v/>
      </c>
      <c r="T261" s="55" t="str">
        <f t="shared" ref="T261:T324" si="37">IF($A261="","",SUMIFS(MED_VLR,MED_DATA,$A261,MED_EQUIPE,$E261))</f>
        <v/>
      </c>
      <c r="U261" s="55" t="str">
        <f>IF($D261="","",IF($D261='01. CONFIGURAÇÕES'!$C$8,'01. CONFIGURAÇÕES'!$C$38,'01. CONFIGURAÇÕES'!$D$38))</f>
        <v/>
      </c>
      <c r="V261" s="58" t="str">
        <f t="shared" ref="V261:V324" si="38">IF(OR($U261="",$U261=0),"",$T261/$U261)</f>
        <v/>
      </c>
      <c r="W261" s="55" t="str">
        <f>IF($D261="","",IF($D261='01. CONFIGURAÇÕES'!$C$8,'01. CONFIGURAÇÕES'!$C$31,'01. CONFIGURAÇÕES'!$D$31))</f>
        <v/>
      </c>
      <c r="X261" s="54" t="str">
        <f>IF($A261="","",$T261*(1-'01. CONFIGURAÇÕES'!$C$16)-IF($W261="",0,$W261))</f>
        <v/>
      </c>
      <c r="Y261" s="54" t="str">
        <f t="shared" ref="Y261:Y324" si="39">IF(OR($I261="",$I261=0),"",$T261/$I261)</f>
        <v/>
      </c>
      <c r="Z261" s="30"/>
      <c r="AA261" s="33"/>
      <c r="AB261" s="33"/>
    </row>
    <row r="262" spans="1:28" x14ac:dyDescent="0.25">
      <c r="A262" s="31"/>
      <c r="B262" s="29" t="str">
        <f t="shared" si="32"/>
        <v/>
      </c>
      <c r="C262" s="29" t="str">
        <f>IF($A262="","","S"&amp;(INT(($A262-'01. CONFIGURAÇÕES'!$C$12)/7)+1))</f>
        <v/>
      </c>
      <c r="D262" s="30"/>
      <c r="E262" s="30"/>
      <c r="F262" s="10"/>
      <c r="G262" s="49"/>
      <c r="H262" s="49"/>
      <c r="I262" s="52" t="str">
        <f t="shared" si="33"/>
        <v/>
      </c>
      <c r="J262" s="49"/>
      <c r="K262" s="49"/>
      <c r="L262" s="49"/>
      <c r="M262" s="49"/>
      <c r="N262" s="49"/>
      <c r="O262" s="49"/>
      <c r="P262" s="10"/>
      <c r="Q262" s="11" t="str">
        <f t="shared" si="34"/>
        <v/>
      </c>
      <c r="R262" s="11" t="str">
        <f t="shared" si="35"/>
        <v/>
      </c>
      <c r="S262" s="58" t="str">
        <f t="shared" si="36"/>
        <v/>
      </c>
      <c r="T262" s="55" t="str">
        <f t="shared" si="37"/>
        <v/>
      </c>
      <c r="U262" s="55" t="str">
        <f>IF($D262="","",IF($D262='01. CONFIGURAÇÕES'!$C$8,'01. CONFIGURAÇÕES'!$C$38,'01. CONFIGURAÇÕES'!$D$38))</f>
        <v/>
      </c>
      <c r="V262" s="58" t="str">
        <f t="shared" si="38"/>
        <v/>
      </c>
      <c r="W262" s="55" t="str">
        <f>IF($D262="","",IF($D262='01. CONFIGURAÇÕES'!$C$8,'01. CONFIGURAÇÕES'!$C$31,'01. CONFIGURAÇÕES'!$D$31))</f>
        <v/>
      </c>
      <c r="X262" s="54" t="str">
        <f>IF($A262="","",$T262*(1-'01. CONFIGURAÇÕES'!$C$16)-IF($W262="",0,$W262))</f>
        <v/>
      </c>
      <c r="Y262" s="54" t="str">
        <f t="shared" si="39"/>
        <v/>
      </c>
      <c r="Z262" s="30"/>
      <c r="AA262" s="33"/>
      <c r="AB262" s="33"/>
    </row>
    <row r="263" spans="1:28" x14ac:dyDescent="0.25">
      <c r="A263" s="31"/>
      <c r="B263" s="29" t="str">
        <f t="shared" si="32"/>
        <v/>
      </c>
      <c r="C263" s="29" t="str">
        <f>IF($A263="","","S"&amp;(INT(($A263-'01. CONFIGURAÇÕES'!$C$12)/7)+1))</f>
        <v/>
      </c>
      <c r="D263" s="30"/>
      <c r="E263" s="30"/>
      <c r="F263" s="10"/>
      <c r="G263" s="49"/>
      <c r="H263" s="49"/>
      <c r="I263" s="52" t="str">
        <f t="shared" si="33"/>
        <v/>
      </c>
      <c r="J263" s="49"/>
      <c r="K263" s="49"/>
      <c r="L263" s="49"/>
      <c r="M263" s="49"/>
      <c r="N263" s="49"/>
      <c r="O263" s="49"/>
      <c r="P263" s="10"/>
      <c r="Q263" s="11" t="str">
        <f t="shared" si="34"/>
        <v/>
      </c>
      <c r="R263" s="11" t="str">
        <f t="shared" si="35"/>
        <v/>
      </c>
      <c r="S263" s="58" t="str">
        <f t="shared" si="36"/>
        <v/>
      </c>
      <c r="T263" s="55" t="str">
        <f t="shared" si="37"/>
        <v/>
      </c>
      <c r="U263" s="55" t="str">
        <f>IF($D263="","",IF($D263='01. CONFIGURAÇÕES'!$C$8,'01. CONFIGURAÇÕES'!$C$38,'01. CONFIGURAÇÕES'!$D$38))</f>
        <v/>
      </c>
      <c r="V263" s="58" t="str">
        <f t="shared" si="38"/>
        <v/>
      </c>
      <c r="W263" s="55" t="str">
        <f>IF($D263="","",IF($D263='01. CONFIGURAÇÕES'!$C$8,'01. CONFIGURAÇÕES'!$C$31,'01. CONFIGURAÇÕES'!$D$31))</f>
        <v/>
      </c>
      <c r="X263" s="54" t="str">
        <f>IF($A263="","",$T263*(1-'01. CONFIGURAÇÕES'!$C$16)-IF($W263="",0,$W263))</f>
        <v/>
      </c>
      <c r="Y263" s="54" t="str">
        <f t="shared" si="39"/>
        <v/>
      </c>
      <c r="Z263" s="30"/>
      <c r="AA263" s="33"/>
      <c r="AB263" s="33"/>
    </row>
    <row r="264" spans="1:28" x14ac:dyDescent="0.25">
      <c r="A264" s="31"/>
      <c r="B264" s="29" t="str">
        <f t="shared" si="32"/>
        <v/>
      </c>
      <c r="C264" s="29" t="str">
        <f>IF($A264="","","S"&amp;(INT(($A264-'01. CONFIGURAÇÕES'!$C$12)/7)+1))</f>
        <v/>
      </c>
      <c r="D264" s="30"/>
      <c r="E264" s="30"/>
      <c r="F264" s="10"/>
      <c r="G264" s="49"/>
      <c r="H264" s="49"/>
      <c r="I264" s="52" t="str">
        <f t="shared" si="33"/>
        <v/>
      </c>
      <c r="J264" s="49"/>
      <c r="K264" s="49"/>
      <c r="L264" s="49"/>
      <c r="M264" s="49"/>
      <c r="N264" s="49"/>
      <c r="O264" s="49"/>
      <c r="P264" s="10"/>
      <c r="Q264" s="11" t="str">
        <f t="shared" si="34"/>
        <v/>
      </c>
      <c r="R264" s="11" t="str">
        <f t="shared" si="35"/>
        <v/>
      </c>
      <c r="S264" s="58" t="str">
        <f t="shared" si="36"/>
        <v/>
      </c>
      <c r="T264" s="55" t="str">
        <f t="shared" si="37"/>
        <v/>
      </c>
      <c r="U264" s="55" t="str">
        <f>IF($D264="","",IF($D264='01. CONFIGURAÇÕES'!$C$8,'01. CONFIGURAÇÕES'!$C$38,'01. CONFIGURAÇÕES'!$D$38))</f>
        <v/>
      </c>
      <c r="V264" s="58" t="str">
        <f t="shared" si="38"/>
        <v/>
      </c>
      <c r="W264" s="55" t="str">
        <f>IF($D264="","",IF($D264='01. CONFIGURAÇÕES'!$C$8,'01. CONFIGURAÇÕES'!$C$31,'01. CONFIGURAÇÕES'!$D$31))</f>
        <v/>
      </c>
      <c r="X264" s="54" t="str">
        <f>IF($A264="","",$T264*(1-'01. CONFIGURAÇÕES'!$C$16)-IF($W264="",0,$W264))</f>
        <v/>
      </c>
      <c r="Y264" s="54" t="str">
        <f t="shared" si="39"/>
        <v/>
      </c>
      <c r="Z264" s="30"/>
      <c r="AA264" s="33"/>
      <c r="AB264" s="33"/>
    </row>
    <row r="265" spans="1:28" x14ac:dyDescent="0.25">
      <c r="A265" s="31"/>
      <c r="B265" s="29" t="str">
        <f t="shared" si="32"/>
        <v/>
      </c>
      <c r="C265" s="29" t="str">
        <f>IF($A265="","","S"&amp;(INT(($A265-'01. CONFIGURAÇÕES'!$C$12)/7)+1))</f>
        <v/>
      </c>
      <c r="D265" s="30"/>
      <c r="E265" s="30"/>
      <c r="F265" s="10"/>
      <c r="G265" s="49"/>
      <c r="H265" s="49"/>
      <c r="I265" s="52" t="str">
        <f t="shared" si="33"/>
        <v/>
      </c>
      <c r="J265" s="49"/>
      <c r="K265" s="49"/>
      <c r="L265" s="49"/>
      <c r="M265" s="49"/>
      <c r="N265" s="49"/>
      <c r="O265" s="49"/>
      <c r="P265" s="10"/>
      <c r="Q265" s="11" t="str">
        <f t="shared" si="34"/>
        <v/>
      </c>
      <c r="R265" s="11" t="str">
        <f t="shared" si="35"/>
        <v/>
      </c>
      <c r="S265" s="58" t="str">
        <f t="shared" si="36"/>
        <v/>
      </c>
      <c r="T265" s="55" t="str">
        <f t="shared" si="37"/>
        <v/>
      </c>
      <c r="U265" s="55" t="str">
        <f>IF($D265="","",IF($D265='01. CONFIGURAÇÕES'!$C$8,'01. CONFIGURAÇÕES'!$C$38,'01. CONFIGURAÇÕES'!$D$38))</f>
        <v/>
      </c>
      <c r="V265" s="58" t="str">
        <f t="shared" si="38"/>
        <v/>
      </c>
      <c r="W265" s="55" t="str">
        <f>IF($D265="","",IF($D265='01. CONFIGURAÇÕES'!$C$8,'01. CONFIGURAÇÕES'!$C$31,'01. CONFIGURAÇÕES'!$D$31))</f>
        <v/>
      </c>
      <c r="X265" s="54" t="str">
        <f>IF($A265="","",$T265*(1-'01. CONFIGURAÇÕES'!$C$16)-IF($W265="",0,$W265))</f>
        <v/>
      </c>
      <c r="Y265" s="54" t="str">
        <f t="shared" si="39"/>
        <v/>
      </c>
      <c r="Z265" s="30"/>
      <c r="AA265" s="33"/>
      <c r="AB265" s="33"/>
    </row>
    <row r="266" spans="1:28" x14ac:dyDescent="0.25">
      <c r="A266" s="31"/>
      <c r="B266" s="29" t="str">
        <f t="shared" si="32"/>
        <v/>
      </c>
      <c r="C266" s="29" t="str">
        <f>IF($A266="","","S"&amp;(INT(($A266-'01. CONFIGURAÇÕES'!$C$12)/7)+1))</f>
        <v/>
      </c>
      <c r="D266" s="30"/>
      <c r="E266" s="30"/>
      <c r="F266" s="10"/>
      <c r="G266" s="49"/>
      <c r="H266" s="49"/>
      <c r="I266" s="52" t="str">
        <f t="shared" si="33"/>
        <v/>
      </c>
      <c r="J266" s="49"/>
      <c r="K266" s="49"/>
      <c r="L266" s="49"/>
      <c r="M266" s="49"/>
      <c r="N266" s="49"/>
      <c r="O266" s="49"/>
      <c r="P266" s="10"/>
      <c r="Q266" s="11" t="str">
        <f t="shared" si="34"/>
        <v/>
      </c>
      <c r="R266" s="11" t="str">
        <f t="shared" si="35"/>
        <v/>
      </c>
      <c r="S266" s="58" t="str">
        <f t="shared" si="36"/>
        <v/>
      </c>
      <c r="T266" s="55" t="str">
        <f t="shared" si="37"/>
        <v/>
      </c>
      <c r="U266" s="55" t="str">
        <f>IF($D266="","",IF($D266='01. CONFIGURAÇÕES'!$C$8,'01. CONFIGURAÇÕES'!$C$38,'01. CONFIGURAÇÕES'!$D$38))</f>
        <v/>
      </c>
      <c r="V266" s="58" t="str">
        <f t="shared" si="38"/>
        <v/>
      </c>
      <c r="W266" s="55" t="str">
        <f>IF($D266="","",IF($D266='01. CONFIGURAÇÕES'!$C$8,'01. CONFIGURAÇÕES'!$C$31,'01. CONFIGURAÇÕES'!$D$31))</f>
        <v/>
      </c>
      <c r="X266" s="54" t="str">
        <f>IF($A266="","",$T266*(1-'01. CONFIGURAÇÕES'!$C$16)-IF($W266="",0,$W266))</f>
        <v/>
      </c>
      <c r="Y266" s="54" t="str">
        <f t="shared" si="39"/>
        <v/>
      </c>
      <c r="Z266" s="30"/>
      <c r="AA266" s="33"/>
      <c r="AB266" s="33"/>
    </row>
    <row r="267" spans="1:28" x14ac:dyDescent="0.25">
      <c r="A267" s="31"/>
      <c r="B267" s="29" t="str">
        <f t="shared" si="32"/>
        <v/>
      </c>
      <c r="C267" s="29" t="str">
        <f>IF($A267="","","S"&amp;(INT(($A267-'01. CONFIGURAÇÕES'!$C$12)/7)+1))</f>
        <v/>
      </c>
      <c r="D267" s="30"/>
      <c r="E267" s="30"/>
      <c r="F267" s="10"/>
      <c r="G267" s="49"/>
      <c r="H267" s="49"/>
      <c r="I267" s="52" t="str">
        <f t="shared" si="33"/>
        <v/>
      </c>
      <c r="J267" s="49"/>
      <c r="K267" s="49"/>
      <c r="L267" s="49"/>
      <c r="M267" s="49"/>
      <c r="N267" s="49"/>
      <c r="O267" s="49"/>
      <c r="P267" s="10"/>
      <c r="Q267" s="11" t="str">
        <f t="shared" si="34"/>
        <v/>
      </c>
      <c r="R267" s="11" t="str">
        <f t="shared" si="35"/>
        <v/>
      </c>
      <c r="S267" s="58" t="str">
        <f t="shared" si="36"/>
        <v/>
      </c>
      <c r="T267" s="55" t="str">
        <f t="shared" si="37"/>
        <v/>
      </c>
      <c r="U267" s="55" t="str">
        <f>IF($D267="","",IF($D267='01. CONFIGURAÇÕES'!$C$8,'01. CONFIGURAÇÕES'!$C$38,'01. CONFIGURAÇÕES'!$D$38))</f>
        <v/>
      </c>
      <c r="V267" s="58" t="str">
        <f t="shared" si="38"/>
        <v/>
      </c>
      <c r="W267" s="55" t="str">
        <f>IF($D267="","",IF($D267='01. CONFIGURAÇÕES'!$C$8,'01. CONFIGURAÇÕES'!$C$31,'01. CONFIGURAÇÕES'!$D$31))</f>
        <v/>
      </c>
      <c r="X267" s="54" t="str">
        <f>IF($A267="","",$T267*(1-'01. CONFIGURAÇÕES'!$C$16)-IF($W267="",0,$W267))</f>
        <v/>
      </c>
      <c r="Y267" s="54" t="str">
        <f t="shared" si="39"/>
        <v/>
      </c>
      <c r="Z267" s="30"/>
      <c r="AA267" s="33"/>
      <c r="AB267" s="33"/>
    </row>
    <row r="268" spans="1:28" x14ac:dyDescent="0.25">
      <c r="A268" s="31"/>
      <c r="B268" s="29" t="str">
        <f t="shared" si="32"/>
        <v/>
      </c>
      <c r="C268" s="29" t="str">
        <f>IF($A268="","","S"&amp;(INT(($A268-'01. CONFIGURAÇÕES'!$C$12)/7)+1))</f>
        <v/>
      </c>
      <c r="D268" s="30"/>
      <c r="E268" s="30"/>
      <c r="F268" s="10"/>
      <c r="G268" s="49"/>
      <c r="H268" s="49"/>
      <c r="I268" s="52" t="str">
        <f t="shared" si="33"/>
        <v/>
      </c>
      <c r="J268" s="49"/>
      <c r="K268" s="49"/>
      <c r="L268" s="49"/>
      <c r="M268" s="49"/>
      <c r="N268" s="49"/>
      <c r="O268" s="49"/>
      <c r="P268" s="10"/>
      <c r="Q268" s="11" t="str">
        <f t="shared" si="34"/>
        <v/>
      </c>
      <c r="R268" s="11" t="str">
        <f t="shared" si="35"/>
        <v/>
      </c>
      <c r="S268" s="58" t="str">
        <f t="shared" si="36"/>
        <v/>
      </c>
      <c r="T268" s="55" t="str">
        <f t="shared" si="37"/>
        <v/>
      </c>
      <c r="U268" s="55" t="str">
        <f>IF($D268="","",IF($D268='01. CONFIGURAÇÕES'!$C$8,'01. CONFIGURAÇÕES'!$C$38,'01. CONFIGURAÇÕES'!$D$38))</f>
        <v/>
      </c>
      <c r="V268" s="58" t="str">
        <f t="shared" si="38"/>
        <v/>
      </c>
      <c r="W268" s="55" t="str">
        <f>IF($D268="","",IF($D268='01. CONFIGURAÇÕES'!$C$8,'01. CONFIGURAÇÕES'!$C$31,'01. CONFIGURAÇÕES'!$D$31))</f>
        <v/>
      </c>
      <c r="X268" s="54" t="str">
        <f>IF($A268="","",$T268*(1-'01. CONFIGURAÇÕES'!$C$16)-IF($W268="",0,$W268))</f>
        <v/>
      </c>
      <c r="Y268" s="54" t="str">
        <f t="shared" si="39"/>
        <v/>
      </c>
      <c r="Z268" s="30"/>
      <c r="AA268" s="33"/>
      <c r="AB268" s="33"/>
    </row>
    <row r="269" spans="1:28" x14ac:dyDescent="0.25">
      <c r="A269" s="31"/>
      <c r="B269" s="29" t="str">
        <f t="shared" si="32"/>
        <v/>
      </c>
      <c r="C269" s="29" t="str">
        <f>IF($A269="","","S"&amp;(INT(($A269-'01. CONFIGURAÇÕES'!$C$12)/7)+1))</f>
        <v/>
      </c>
      <c r="D269" s="30"/>
      <c r="E269" s="30"/>
      <c r="F269" s="10"/>
      <c r="G269" s="49"/>
      <c r="H269" s="49"/>
      <c r="I269" s="52" t="str">
        <f t="shared" si="33"/>
        <v/>
      </c>
      <c r="J269" s="49"/>
      <c r="K269" s="49"/>
      <c r="L269" s="49"/>
      <c r="M269" s="49"/>
      <c r="N269" s="49"/>
      <c r="O269" s="49"/>
      <c r="P269" s="10"/>
      <c r="Q269" s="11" t="str">
        <f t="shared" si="34"/>
        <v/>
      </c>
      <c r="R269" s="11" t="str">
        <f t="shared" si="35"/>
        <v/>
      </c>
      <c r="S269" s="58" t="str">
        <f t="shared" si="36"/>
        <v/>
      </c>
      <c r="T269" s="55" t="str">
        <f t="shared" si="37"/>
        <v/>
      </c>
      <c r="U269" s="55" t="str">
        <f>IF($D269="","",IF($D269='01. CONFIGURAÇÕES'!$C$8,'01. CONFIGURAÇÕES'!$C$38,'01. CONFIGURAÇÕES'!$D$38))</f>
        <v/>
      </c>
      <c r="V269" s="58" t="str">
        <f t="shared" si="38"/>
        <v/>
      </c>
      <c r="W269" s="55" t="str">
        <f>IF($D269="","",IF($D269='01. CONFIGURAÇÕES'!$C$8,'01. CONFIGURAÇÕES'!$C$31,'01. CONFIGURAÇÕES'!$D$31))</f>
        <v/>
      </c>
      <c r="X269" s="54" t="str">
        <f>IF($A269="","",$T269*(1-'01. CONFIGURAÇÕES'!$C$16)-IF($W269="",0,$W269))</f>
        <v/>
      </c>
      <c r="Y269" s="54" t="str">
        <f t="shared" si="39"/>
        <v/>
      </c>
      <c r="Z269" s="30"/>
      <c r="AA269" s="33"/>
      <c r="AB269" s="33"/>
    </row>
    <row r="270" spans="1:28" x14ac:dyDescent="0.25">
      <c r="A270" s="31"/>
      <c r="B270" s="29" t="str">
        <f t="shared" si="32"/>
        <v/>
      </c>
      <c r="C270" s="29" t="str">
        <f>IF($A270="","","S"&amp;(INT(($A270-'01. CONFIGURAÇÕES'!$C$12)/7)+1))</f>
        <v/>
      </c>
      <c r="D270" s="30"/>
      <c r="E270" s="30"/>
      <c r="F270" s="10"/>
      <c r="G270" s="49"/>
      <c r="H270" s="49"/>
      <c r="I270" s="52" t="str">
        <f t="shared" si="33"/>
        <v/>
      </c>
      <c r="J270" s="49"/>
      <c r="K270" s="49"/>
      <c r="L270" s="49"/>
      <c r="M270" s="49"/>
      <c r="N270" s="49"/>
      <c r="O270" s="49"/>
      <c r="P270" s="10"/>
      <c r="Q270" s="11" t="str">
        <f t="shared" si="34"/>
        <v/>
      </c>
      <c r="R270" s="11" t="str">
        <f t="shared" si="35"/>
        <v/>
      </c>
      <c r="S270" s="58" t="str">
        <f t="shared" si="36"/>
        <v/>
      </c>
      <c r="T270" s="55" t="str">
        <f t="shared" si="37"/>
        <v/>
      </c>
      <c r="U270" s="55" t="str">
        <f>IF($D270="","",IF($D270='01. CONFIGURAÇÕES'!$C$8,'01. CONFIGURAÇÕES'!$C$38,'01. CONFIGURAÇÕES'!$D$38))</f>
        <v/>
      </c>
      <c r="V270" s="58" t="str">
        <f t="shared" si="38"/>
        <v/>
      </c>
      <c r="W270" s="55" t="str">
        <f>IF($D270="","",IF($D270='01. CONFIGURAÇÕES'!$C$8,'01. CONFIGURAÇÕES'!$C$31,'01. CONFIGURAÇÕES'!$D$31))</f>
        <v/>
      </c>
      <c r="X270" s="54" t="str">
        <f>IF($A270="","",$T270*(1-'01. CONFIGURAÇÕES'!$C$16)-IF($W270="",0,$W270))</f>
        <v/>
      </c>
      <c r="Y270" s="54" t="str">
        <f t="shared" si="39"/>
        <v/>
      </c>
      <c r="Z270" s="30"/>
      <c r="AA270" s="33"/>
      <c r="AB270" s="33"/>
    </row>
    <row r="271" spans="1:28" x14ac:dyDescent="0.25">
      <c r="A271" s="31"/>
      <c r="B271" s="29" t="str">
        <f t="shared" si="32"/>
        <v/>
      </c>
      <c r="C271" s="29" t="str">
        <f>IF($A271="","","S"&amp;(INT(($A271-'01. CONFIGURAÇÕES'!$C$12)/7)+1))</f>
        <v/>
      </c>
      <c r="D271" s="30"/>
      <c r="E271" s="30"/>
      <c r="F271" s="10"/>
      <c r="G271" s="49"/>
      <c r="H271" s="49"/>
      <c r="I271" s="52" t="str">
        <f t="shared" si="33"/>
        <v/>
      </c>
      <c r="J271" s="49"/>
      <c r="K271" s="49"/>
      <c r="L271" s="49"/>
      <c r="M271" s="49"/>
      <c r="N271" s="49"/>
      <c r="O271" s="49"/>
      <c r="P271" s="10"/>
      <c r="Q271" s="11" t="str">
        <f t="shared" si="34"/>
        <v/>
      </c>
      <c r="R271" s="11" t="str">
        <f t="shared" si="35"/>
        <v/>
      </c>
      <c r="S271" s="58" t="str">
        <f t="shared" si="36"/>
        <v/>
      </c>
      <c r="T271" s="55" t="str">
        <f t="shared" si="37"/>
        <v/>
      </c>
      <c r="U271" s="55" t="str">
        <f>IF($D271="","",IF($D271='01. CONFIGURAÇÕES'!$C$8,'01. CONFIGURAÇÕES'!$C$38,'01. CONFIGURAÇÕES'!$D$38))</f>
        <v/>
      </c>
      <c r="V271" s="58" t="str">
        <f t="shared" si="38"/>
        <v/>
      </c>
      <c r="W271" s="55" t="str">
        <f>IF($D271="","",IF($D271='01. CONFIGURAÇÕES'!$C$8,'01. CONFIGURAÇÕES'!$C$31,'01. CONFIGURAÇÕES'!$D$31))</f>
        <v/>
      </c>
      <c r="X271" s="54" t="str">
        <f>IF($A271="","",$T271*(1-'01. CONFIGURAÇÕES'!$C$16)-IF($W271="",0,$W271))</f>
        <v/>
      </c>
      <c r="Y271" s="54" t="str">
        <f t="shared" si="39"/>
        <v/>
      </c>
      <c r="Z271" s="30"/>
      <c r="AA271" s="33"/>
      <c r="AB271" s="33"/>
    </row>
    <row r="272" spans="1:28" x14ac:dyDescent="0.25">
      <c r="A272" s="31"/>
      <c r="B272" s="29" t="str">
        <f t="shared" si="32"/>
        <v/>
      </c>
      <c r="C272" s="29" t="str">
        <f>IF($A272="","","S"&amp;(INT(($A272-'01. CONFIGURAÇÕES'!$C$12)/7)+1))</f>
        <v/>
      </c>
      <c r="D272" s="30"/>
      <c r="E272" s="30"/>
      <c r="F272" s="10"/>
      <c r="G272" s="49"/>
      <c r="H272" s="49"/>
      <c r="I272" s="52" t="str">
        <f t="shared" si="33"/>
        <v/>
      </c>
      <c r="J272" s="49"/>
      <c r="K272" s="49"/>
      <c r="L272" s="49"/>
      <c r="M272" s="49"/>
      <c r="N272" s="49"/>
      <c r="O272" s="49"/>
      <c r="P272" s="10"/>
      <c r="Q272" s="11" t="str">
        <f t="shared" si="34"/>
        <v/>
      </c>
      <c r="R272" s="11" t="str">
        <f t="shared" si="35"/>
        <v/>
      </c>
      <c r="S272" s="58" t="str">
        <f t="shared" si="36"/>
        <v/>
      </c>
      <c r="T272" s="55" t="str">
        <f t="shared" si="37"/>
        <v/>
      </c>
      <c r="U272" s="55" t="str">
        <f>IF($D272="","",IF($D272='01. CONFIGURAÇÕES'!$C$8,'01. CONFIGURAÇÕES'!$C$38,'01. CONFIGURAÇÕES'!$D$38))</f>
        <v/>
      </c>
      <c r="V272" s="58" t="str">
        <f t="shared" si="38"/>
        <v/>
      </c>
      <c r="W272" s="55" t="str">
        <f>IF($D272="","",IF($D272='01. CONFIGURAÇÕES'!$C$8,'01. CONFIGURAÇÕES'!$C$31,'01. CONFIGURAÇÕES'!$D$31))</f>
        <v/>
      </c>
      <c r="X272" s="54" t="str">
        <f>IF($A272="","",$T272*(1-'01. CONFIGURAÇÕES'!$C$16)-IF($W272="",0,$W272))</f>
        <v/>
      </c>
      <c r="Y272" s="54" t="str">
        <f t="shared" si="39"/>
        <v/>
      </c>
      <c r="Z272" s="30"/>
      <c r="AA272" s="33"/>
      <c r="AB272" s="33"/>
    </row>
    <row r="273" spans="1:28" x14ac:dyDescent="0.25">
      <c r="A273" s="31"/>
      <c r="B273" s="29" t="str">
        <f t="shared" si="32"/>
        <v/>
      </c>
      <c r="C273" s="29" t="str">
        <f>IF($A273="","","S"&amp;(INT(($A273-'01. CONFIGURAÇÕES'!$C$12)/7)+1))</f>
        <v/>
      </c>
      <c r="D273" s="30"/>
      <c r="E273" s="30"/>
      <c r="F273" s="10"/>
      <c r="G273" s="49"/>
      <c r="H273" s="49"/>
      <c r="I273" s="52" t="str">
        <f t="shared" si="33"/>
        <v/>
      </c>
      <c r="J273" s="49"/>
      <c r="K273" s="49"/>
      <c r="L273" s="49"/>
      <c r="M273" s="49"/>
      <c r="N273" s="49"/>
      <c r="O273" s="49"/>
      <c r="P273" s="10"/>
      <c r="Q273" s="11" t="str">
        <f t="shared" si="34"/>
        <v/>
      </c>
      <c r="R273" s="11" t="str">
        <f t="shared" si="35"/>
        <v/>
      </c>
      <c r="S273" s="58" t="str">
        <f t="shared" si="36"/>
        <v/>
      </c>
      <c r="T273" s="55" t="str">
        <f t="shared" si="37"/>
        <v/>
      </c>
      <c r="U273" s="55" t="str">
        <f>IF($D273="","",IF($D273='01. CONFIGURAÇÕES'!$C$8,'01. CONFIGURAÇÕES'!$C$38,'01. CONFIGURAÇÕES'!$D$38))</f>
        <v/>
      </c>
      <c r="V273" s="58" t="str">
        <f t="shared" si="38"/>
        <v/>
      </c>
      <c r="W273" s="55" t="str">
        <f>IF($D273="","",IF($D273='01. CONFIGURAÇÕES'!$C$8,'01. CONFIGURAÇÕES'!$C$31,'01. CONFIGURAÇÕES'!$D$31))</f>
        <v/>
      </c>
      <c r="X273" s="54" t="str">
        <f>IF($A273="","",$T273*(1-'01. CONFIGURAÇÕES'!$C$16)-IF($W273="",0,$W273))</f>
        <v/>
      </c>
      <c r="Y273" s="54" t="str">
        <f t="shared" si="39"/>
        <v/>
      </c>
      <c r="Z273" s="30"/>
      <c r="AA273" s="33"/>
      <c r="AB273" s="33"/>
    </row>
    <row r="274" spans="1:28" x14ac:dyDescent="0.25">
      <c r="A274" s="31"/>
      <c r="B274" s="29" t="str">
        <f t="shared" si="32"/>
        <v/>
      </c>
      <c r="C274" s="29" t="str">
        <f>IF($A274="","","S"&amp;(INT(($A274-'01. CONFIGURAÇÕES'!$C$12)/7)+1))</f>
        <v/>
      </c>
      <c r="D274" s="30"/>
      <c r="E274" s="30"/>
      <c r="F274" s="10"/>
      <c r="G274" s="49"/>
      <c r="H274" s="49"/>
      <c r="I274" s="52" t="str">
        <f t="shared" si="33"/>
        <v/>
      </c>
      <c r="J274" s="49"/>
      <c r="K274" s="49"/>
      <c r="L274" s="49"/>
      <c r="M274" s="49"/>
      <c r="N274" s="49"/>
      <c r="O274" s="49"/>
      <c r="P274" s="10"/>
      <c r="Q274" s="11" t="str">
        <f t="shared" si="34"/>
        <v/>
      </c>
      <c r="R274" s="11" t="str">
        <f t="shared" si="35"/>
        <v/>
      </c>
      <c r="S274" s="58" t="str">
        <f t="shared" si="36"/>
        <v/>
      </c>
      <c r="T274" s="55" t="str">
        <f t="shared" si="37"/>
        <v/>
      </c>
      <c r="U274" s="55" t="str">
        <f>IF($D274="","",IF($D274='01. CONFIGURAÇÕES'!$C$8,'01. CONFIGURAÇÕES'!$C$38,'01. CONFIGURAÇÕES'!$D$38))</f>
        <v/>
      </c>
      <c r="V274" s="58" t="str">
        <f t="shared" si="38"/>
        <v/>
      </c>
      <c r="W274" s="55" t="str">
        <f>IF($D274="","",IF($D274='01. CONFIGURAÇÕES'!$C$8,'01. CONFIGURAÇÕES'!$C$31,'01. CONFIGURAÇÕES'!$D$31))</f>
        <v/>
      </c>
      <c r="X274" s="54" t="str">
        <f>IF($A274="","",$T274*(1-'01. CONFIGURAÇÕES'!$C$16)-IF($W274="",0,$W274))</f>
        <v/>
      </c>
      <c r="Y274" s="54" t="str">
        <f t="shared" si="39"/>
        <v/>
      </c>
      <c r="Z274" s="30"/>
      <c r="AA274" s="33"/>
      <c r="AB274" s="33"/>
    </row>
    <row r="275" spans="1:28" x14ac:dyDescent="0.25">
      <c r="A275" s="31"/>
      <c r="B275" s="29" t="str">
        <f t="shared" si="32"/>
        <v/>
      </c>
      <c r="C275" s="29" t="str">
        <f>IF($A275="","","S"&amp;(INT(($A275-'01. CONFIGURAÇÕES'!$C$12)/7)+1))</f>
        <v/>
      </c>
      <c r="D275" s="30"/>
      <c r="E275" s="30"/>
      <c r="F275" s="10"/>
      <c r="G275" s="49"/>
      <c r="H275" s="49"/>
      <c r="I275" s="52" t="str">
        <f t="shared" si="33"/>
        <v/>
      </c>
      <c r="J275" s="49"/>
      <c r="K275" s="49"/>
      <c r="L275" s="49"/>
      <c r="M275" s="49"/>
      <c r="N275" s="49"/>
      <c r="O275" s="49"/>
      <c r="P275" s="10"/>
      <c r="Q275" s="11" t="str">
        <f t="shared" si="34"/>
        <v/>
      </c>
      <c r="R275" s="11" t="str">
        <f t="shared" si="35"/>
        <v/>
      </c>
      <c r="S275" s="58" t="str">
        <f t="shared" si="36"/>
        <v/>
      </c>
      <c r="T275" s="55" t="str">
        <f t="shared" si="37"/>
        <v/>
      </c>
      <c r="U275" s="55" t="str">
        <f>IF($D275="","",IF($D275='01. CONFIGURAÇÕES'!$C$8,'01. CONFIGURAÇÕES'!$C$38,'01. CONFIGURAÇÕES'!$D$38))</f>
        <v/>
      </c>
      <c r="V275" s="58" t="str">
        <f t="shared" si="38"/>
        <v/>
      </c>
      <c r="W275" s="55" t="str">
        <f>IF($D275="","",IF($D275='01. CONFIGURAÇÕES'!$C$8,'01. CONFIGURAÇÕES'!$C$31,'01. CONFIGURAÇÕES'!$D$31))</f>
        <v/>
      </c>
      <c r="X275" s="54" t="str">
        <f>IF($A275="","",$T275*(1-'01. CONFIGURAÇÕES'!$C$16)-IF($W275="",0,$W275))</f>
        <v/>
      </c>
      <c r="Y275" s="54" t="str">
        <f t="shared" si="39"/>
        <v/>
      </c>
      <c r="Z275" s="30"/>
      <c r="AA275" s="33"/>
      <c r="AB275" s="33"/>
    </row>
    <row r="276" spans="1:28" x14ac:dyDescent="0.25">
      <c r="A276" s="31"/>
      <c r="B276" s="29" t="str">
        <f t="shared" si="32"/>
        <v/>
      </c>
      <c r="C276" s="29" t="str">
        <f>IF($A276="","","S"&amp;(INT(($A276-'01. CONFIGURAÇÕES'!$C$12)/7)+1))</f>
        <v/>
      </c>
      <c r="D276" s="30"/>
      <c r="E276" s="30"/>
      <c r="F276" s="10"/>
      <c r="G276" s="49"/>
      <c r="H276" s="49"/>
      <c r="I276" s="52" t="str">
        <f t="shared" si="33"/>
        <v/>
      </c>
      <c r="J276" s="49"/>
      <c r="K276" s="49"/>
      <c r="L276" s="49"/>
      <c r="M276" s="49"/>
      <c r="N276" s="49"/>
      <c r="O276" s="49"/>
      <c r="P276" s="10"/>
      <c r="Q276" s="11" t="str">
        <f t="shared" si="34"/>
        <v/>
      </c>
      <c r="R276" s="11" t="str">
        <f t="shared" si="35"/>
        <v/>
      </c>
      <c r="S276" s="58" t="str">
        <f t="shared" si="36"/>
        <v/>
      </c>
      <c r="T276" s="55" t="str">
        <f t="shared" si="37"/>
        <v/>
      </c>
      <c r="U276" s="55" t="str">
        <f>IF($D276="","",IF($D276='01. CONFIGURAÇÕES'!$C$8,'01. CONFIGURAÇÕES'!$C$38,'01. CONFIGURAÇÕES'!$D$38))</f>
        <v/>
      </c>
      <c r="V276" s="58" t="str">
        <f t="shared" si="38"/>
        <v/>
      </c>
      <c r="W276" s="55" t="str">
        <f>IF($D276="","",IF($D276='01. CONFIGURAÇÕES'!$C$8,'01. CONFIGURAÇÕES'!$C$31,'01. CONFIGURAÇÕES'!$D$31))</f>
        <v/>
      </c>
      <c r="X276" s="54" t="str">
        <f>IF($A276="","",$T276*(1-'01. CONFIGURAÇÕES'!$C$16)-IF($W276="",0,$W276))</f>
        <v/>
      </c>
      <c r="Y276" s="54" t="str">
        <f t="shared" si="39"/>
        <v/>
      </c>
      <c r="Z276" s="30"/>
      <c r="AA276" s="33"/>
      <c r="AB276" s="33"/>
    </row>
    <row r="277" spans="1:28" x14ac:dyDescent="0.25">
      <c r="A277" s="31"/>
      <c r="B277" s="29" t="str">
        <f t="shared" si="32"/>
        <v/>
      </c>
      <c r="C277" s="29" t="str">
        <f>IF($A277="","","S"&amp;(INT(($A277-'01. CONFIGURAÇÕES'!$C$12)/7)+1))</f>
        <v/>
      </c>
      <c r="D277" s="30"/>
      <c r="E277" s="30"/>
      <c r="F277" s="10"/>
      <c r="G277" s="49"/>
      <c r="H277" s="49"/>
      <c r="I277" s="52" t="str">
        <f t="shared" si="33"/>
        <v/>
      </c>
      <c r="J277" s="49"/>
      <c r="K277" s="49"/>
      <c r="L277" s="49"/>
      <c r="M277" s="49"/>
      <c r="N277" s="49"/>
      <c r="O277" s="49"/>
      <c r="P277" s="10"/>
      <c r="Q277" s="11" t="str">
        <f t="shared" si="34"/>
        <v/>
      </c>
      <c r="R277" s="11" t="str">
        <f t="shared" si="35"/>
        <v/>
      </c>
      <c r="S277" s="58" t="str">
        <f t="shared" si="36"/>
        <v/>
      </c>
      <c r="T277" s="55" t="str">
        <f t="shared" si="37"/>
        <v/>
      </c>
      <c r="U277" s="55" t="str">
        <f>IF($D277="","",IF($D277='01. CONFIGURAÇÕES'!$C$8,'01. CONFIGURAÇÕES'!$C$38,'01. CONFIGURAÇÕES'!$D$38))</f>
        <v/>
      </c>
      <c r="V277" s="58" t="str">
        <f t="shared" si="38"/>
        <v/>
      </c>
      <c r="W277" s="55" t="str">
        <f>IF($D277="","",IF($D277='01. CONFIGURAÇÕES'!$C$8,'01. CONFIGURAÇÕES'!$C$31,'01. CONFIGURAÇÕES'!$D$31))</f>
        <v/>
      </c>
      <c r="X277" s="54" t="str">
        <f>IF($A277="","",$T277*(1-'01. CONFIGURAÇÕES'!$C$16)-IF($W277="",0,$W277))</f>
        <v/>
      </c>
      <c r="Y277" s="54" t="str">
        <f t="shared" si="39"/>
        <v/>
      </c>
      <c r="Z277" s="30"/>
      <c r="AA277" s="33"/>
      <c r="AB277" s="33"/>
    </row>
    <row r="278" spans="1:28" x14ac:dyDescent="0.25">
      <c r="A278" s="31"/>
      <c r="B278" s="29" t="str">
        <f t="shared" si="32"/>
        <v/>
      </c>
      <c r="C278" s="29" t="str">
        <f>IF($A278="","","S"&amp;(INT(($A278-'01. CONFIGURAÇÕES'!$C$12)/7)+1))</f>
        <v/>
      </c>
      <c r="D278" s="30"/>
      <c r="E278" s="30"/>
      <c r="F278" s="10"/>
      <c r="G278" s="49"/>
      <c r="H278" s="49"/>
      <c r="I278" s="52" t="str">
        <f t="shared" si="33"/>
        <v/>
      </c>
      <c r="J278" s="49"/>
      <c r="K278" s="49"/>
      <c r="L278" s="49"/>
      <c r="M278" s="49"/>
      <c r="N278" s="49"/>
      <c r="O278" s="49"/>
      <c r="P278" s="10"/>
      <c r="Q278" s="11" t="str">
        <f t="shared" si="34"/>
        <v/>
      </c>
      <c r="R278" s="11" t="str">
        <f t="shared" si="35"/>
        <v/>
      </c>
      <c r="S278" s="58" t="str">
        <f t="shared" si="36"/>
        <v/>
      </c>
      <c r="T278" s="55" t="str">
        <f t="shared" si="37"/>
        <v/>
      </c>
      <c r="U278" s="55" t="str">
        <f>IF($D278="","",IF($D278='01. CONFIGURAÇÕES'!$C$8,'01. CONFIGURAÇÕES'!$C$38,'01. CONFIGURAÇÕES'!$D$38))</f>
        <v/>
      </c>
      <c r="V278" s="58" t="str">
        <f t="shared" si="38"/>
        <v/>
      </c>
      <c r="W278" s="55" t="str">
        <f>IF($D278="","",IF($D278='01. CONFIGURAÇÕES'!$C$8,'01. CONFIGURAÇÕES'!$C$31,'01. CONFIGURAÇÕES'!$D$31))</f>
        <v/>
      </c>
      <c r="X278" s="54" t="str">
        <f>IF($A278="","",$T278*(1-'01. CONFIGURAÇÕES'!$C$16)-IF($W278="",0,$W278))</f>
        <v/>
      </c>
      <c r="Y278" s="54" t="str">
        <f t="shared" si="39"/>
        <v/>
      </c>
      <c r="Z278" s="30"/>
      <c r="AA278" s="33"/>
      <c r="AB278" s="33"/>
    </row>
    <row r="279" spans="1:28" x14ac:dyDescent="0.25">
      <c r="A279" s="31"/>
      <c r="B279" s="29" t="str">
        <f t="shared" si="32"/>
        <v/>
      </c>
      <c r="C279" s="29" t="str">
        <f>IF($A279="","","S"&amp;(INT(($A279-'01. CONFIGURAÇÕES'!$C$12)/7)+1))</f>
        <v/>
      </c>
      <c r="D279" s="30"/>
      <c r="E279" s="30"/>
      <c r="F279" s="10"/>
      <c r="G279" s="49"/>
      <c r="H279" s="49"/>
      <c r="I279" s="52" t="str">
        <f t="shared" si="33"/>
        <v/>
      </c>
      <c r="J279" s="49"/>
      <c r="K279" s="49"/>
      <c r="L279" s="49"/>
      <c r="M279" s="49"/>
      <c r="N279" s="49"/>
      <c r="O279" s="49"/>
      <c r="P279" s="10"/>
      <c r="Q279" s="11" t="str">
        <f t="shared" si="34"/>
        <v/>
      </c>
      <c r="R279" s="11" t="str">
        <f t="shared" si="35"/>
        <v/>
      </c>
      <c r="S279" s="58" t="str">
        <f t="shared" si="36"/>
        <v/>
      </c>
      <c r="T279" s="55" t="str">
        <f t="shared" si="37"/>
        <v/>
      </c>
      <c r="U279" s="55" t="str">
        <f>IF($D279="","",IF($D279='01. CONFIGURAÇÕES'!$C$8,'01. CONFIGURAÇÕES'!$C$38,'01. CONFIGURAÇÕES'!$D$38))</f>
        <v/>
      </c>
      <c r="V279" s="58" t="str">
        <f t="shared" si="38"/>
        <v/>
      </c>
      <c r="W279" s="55" t="str">
        <f>IF($D279="","",IF($D279='01. CONFIGURAÇÕES'!$C$8,'01. CONFIGURAÇÕES'!$C$31,'01. CONFIGURAÇÕES'!$D$31))</f>
        <v/>
      </c>
      <c r="X279" s="54" t="str">
        <f>IF($A279="","",$T279*(1-'01. CONFIGURAÇÕES'!$C$16)-IF($W279="",0,$W279))</f>
        <v/>
      </c>
      <c r="Y279" s="54" t="str">
        <f t="shared" si="39"/>
        <v/>
      </c>
      <c r="Z279" s="30"/>
      <c r="AA279" s="33"/>
      <c r="AB279" s="33"/>
    </row>
    <row r="280" spans="1:28" x14ac:dyDescent="0.25">
      <c r="A280" s="31"/>
      <c r="B280" s="29" t="str">
        <f t="shared" si="32"/>
        <v/>
      </c>
      <c r="C280" s="29" t="str">
        <f>IF($A280="","","S"&amp;(INT(($A280-'01. CONFIGURAÇÕES'!$C$12)/7)+1))</f>
        <v/>
      </c>
      <c r="D280" s="30"/>
      <c r="E280" s="30"/>
      <c r="F280" s="10"/>
      <c r="G280" s="49"/>
      <c r="H280" s="49"/>
      <c r="I280" s="52" t="str">
        <f t="shared" si="33"/>
        <v/>
      </c>
      <c r="J280" s="49"/>
      <c r="K280" s="49"/>
      <c r="L280" s="49"/>
      <c r="M280" s="49"/>
      <c r="N280" s="49"/>
      <c r="O280" s="49"/>
      <c r="P280" s="10"/>
      <c r="Q280" s="11" t="str">
        <f t="shared" si="34"/>
        <v/>
      </c>
      <c r="R280" s="11" t="str">
        <f t="shared" si="35"/>
        <v/>
      </c>
      <c r="S280" s="58" t="str">
        <f t="shared" si="36"/>
        <v/>
      </c>
      <c r="T280" s="55" t="str">
        <f t="shared" si="37"/>
        <v/>
      </c>
      <c r="U280" s="55" t="str">
        <f>IF($D280="","",IF($D280='01. CONFIGURAÇÕES'!$C$8,'01. CONFIGURAÇÕES'!$C$38,'01. CONFIGURAÇÕES'!$D$38))</f>
        <v/>
      </c>
      <c r="V280" s="58" t="str">
        <f t="shared" si="38"/>
        <v/>
      </c>
      <c r="W280" s="55" t="str">
        <f>IF($D280="","",IF($D280='01. CONFIGURAÇÕES'!$C$8,'01. CONFIGURAÇÕES'!$C$31,'01. CONFIGURAÇÕES'!$D$31))</f>
        <v/>
      </c>
      <c r="X280" s="54" t="str">
        <f>IF($A280="","",$T280*(1-'01. CONFIGURAÇÕES'!$C$16)-IF($W280="",0,$W280))</f>
        <v/>
      </c>
      <c r="Y280" s="54" t="str">
        <f t="shared" si="39"/>
        <v/>
      </c>
      <c r="Z280" s="30"/>
      <c r="AA280" s="33"/>
      <c r="AB280" s="33"/>
    </row>
    <row r="281" spans="1:28" x14ac:dyDescent="0.25">
      <c r="A281" s="31"/>
      <c r="B281" s="29" t="str">
        <f t="shared" si="32"/>
        <v/>
      </c>
      <c r="C281" s="29" t="str">
        <f>IF($A281="","","S"&amp;(INT(($A281-'01. CONFIGURAÇÕES'!$C$12)/7)+1))</f>
        <v/>
      </c>
      <c r="D281" s="30"/>
      <c r="E281" s="30"/>
      <c r="F281" s="10"/>
      <c r="G281" s="49"/>
      <c r="H281" s="49"/>
      <c r="I281" s="52" t="str">
        <f t="shared" si="33"/>
        <v/>
      </c>
      <c r="J281" s="49"/>
      <c r="K281" s="49"/>
      <c r="L281" s="49"/>
      <c r="M281" s="49"/>
      <c r="N281" s="49"/>
      <c r="O281" s="49"/>
      <c r="P281" s="10"/>
      <c r="Q281" s="11" t="str">
        <f t="shared" si="34"/>
        <v/>
      </c>
      <c r="R281" s="11" t="str">
        <f t="shared" si="35"/>
        <v/>
      </c>
      <c r="S281" s="58" t="str">
        <f t="shared" si="36"/>
        <v/>
      </c>
      <c r="T281" s="55" t="str">
        <f t="shared" si="37"/>
        <v/>
      </c>
      <c r="U281" s="55" t="str">
        <f>IF($D281="","",IF($D281='01. CONFIGURAÇÕES'!$C$8,'01. CONFIGURAÇÕES'!$C$38,'01. CONFIGURAÇÕES'!$D$38))</f>
        <v/>
      </c>
      <c r="V281" s="58" t="str">
        <f t="shared" si="38"/>
        <v/>
      </c>
      <c r="W281" s="55" t="str">
        <f>IF($D281="","",IF($D281='01. CONFIGURAÇÕES'!$C$8,'01. CONFIGURAÇÕES'!$C$31,'01. CONFIGURAÇÕES'!$D$31))</f>
        <v/>
      </c>
      <c r="X281" s="54" t="str">
        <f>IF($A281="","",$T281*(1-'01. CONFIGURAÇÕES'!$C$16)-IF($W281="",0,$W281))</f>
        <v/>
      </c>
      <c r="Y281" s="54" t="str">
        <f t="shared" si="39"/>
        <v/>
      </c>
      <c r="Z281" s="30"/>
      <c r="AA281" s="33"/>
      <c r="AB281" s="33"/>
    </row>
    <row r="282" spans="1:28" x14ac:dyDescent="0.25">
      <c r="A282" s="31"/>
      <c r="B282" s="29" t="str">
        <f t="shared" si="32"/>
        <v/>
      </c>
      <c r="C282" s="29" t="str">
        <f>IF($A282="","","S"&amp;(INT(($A282-'01. CONFIGURAÇÕES'!$C$12)/7)+1))</f>
        <v/>
      </c>
      <c r="D282" s="30"/>
      <c r="E282" s="30"/>
      <c r="F282" s="10"/>
      <c r="G282" s="49"/>
      <c r="H282" s="49"/>
      <c r="I282" s="52" t="str">
        <f t="shared" si="33"/>
        <v/>
      </c>
      <c r="J282" s="49"/>
      <c r="K282" s="49"/>
      <c r="L282" s="49"/>
      <c r="M282" s="49"/>
      <c r="N282" s="49"/>
      <c r="O282" s="49"/>
      <c r="P282" s="10"/>
      <c r="Q282" s="11" t="str">
        <f t="shared" si="34"/>
        <v/>
      </c>
      <c r="R282" s="11" t="str">
        <f t="shared" si="35"/>
        <v/>
      </c>
      <c r="S282" s="58" t="str">
        <f t="shared" si="36"/>
        <v/>
      </c>
      <c r="T282" s="55" t="str">
        <f t="shared" si="37"/>
        <v/>
      </c>
      <c r="U282" s="55" t="str">
        <f>IF($D282="","",IF($D282='01. CONFIGURAÇÕES'!$C$8,'01. CONFIGURAÇÕES'!$C$38,'01. CONFIGURAÇÕES'!$D$38))</f>
        <v/>
      </c>
      <c r="V282" s="58" t="str">
        <f t="shared" si="38"/>
        <v/>
      </c>
      <c r="W282" s="55" t="str">
        <f>IF($D282="","",IF($D282='01. CONFIGURAÇÕES'!$C$8,'01. CONFIGURAÇÕES'!$C$31,'01. CONFIGURAÇÕES'!$D$31))</f>
        <v/>
      </c>
      <c r="X282" s="54" t="str">
        <f>IF($A282="","",$T282*(1-'01. CONFIGURAÇÕES'!$C$16)-IF($W282="",0,$W282))</f>
        <v/>
      </c>
      <c r="Y282" s="54" t="str">
        <f t="shared" si="39"/>
        <v/>
      </c>
      <c r="Z282" s="30"/>
      <c r="AA282" s="33"/>
      <c r="AB282" s="33"/>
    </row>
    <row r="283" spans="1:28" x14ac:dyDescent="0.25">
      <c r="A283" s="31"/>
      <c r="B283" s="29" t="str">
        <f t="shared" si="32"/>
        <v/>
      </c>
      <c r="C283" s="29" t="str">
        <f>IF($A283="","","S"&amp;(INT(($A283-'01. CONFIGURAÇÕES'!$C$12)/7)+1))</f>
        <v/>
      </c>
      <c r="D283" s="30"/>
      <c r="E283" s="30"/>
      <c r="F283" s="10"/>
      <c r="G283" s="49"/>
      <c r="H283" s="49"/>
      <c r="I283" s="52" t="str">
        <f t="shared" si="33"/>
        <v/>
      </c>
      <c r="J283" s="49"/>
      <c r="K283" s="49"/>
      <c r="L283" s="49"/>
      <c r="M283" s="49"/>
      <c r="N283" s="49"/>
      <c r="O283" s="49"/>
      <c r="P283" s="10"/>
      <c r="Q283" s="11" t="str">
        <f t="shared" si="34"/>
        <v/>
      </c>
      <c r="R283" s="11" t="str">
        <f t="shared" si="35"/>
        <v/>
      </c>
      <c r="S283" s="58" t="str">
        <f t="shared" si="36"/>
        <v/>
      </c>
      <c r="T283" s="55" t="str">
        <f t="shared" si="37"/>
        <v/>
      </c>
      <c r="U283" s="55" t="str">
        <f>IF($D283="","",IF($D283='01. CONFIGURAÇÕES'!$C$8,'01. CONFIGURAÇÕES'!$C$38,'01. CONFIGURAÇÕES'!$D$38))</f>
        <v/>
      </c>
      <c r="V283" s="58" t="str">
        <f t="shared" si="38"/>
        <v/>
      </c>
      <c r="W283" s="55" t="str">
        <f>IF($D283="","",IF($D283='01. CONFIGURAÇÕES'!$C$8,'01. CONFIGURAÇÕES'!$C$31,'01. CONFIGURAÇÕES'!$D$31))</f>
        <v/>
      </c>
      <c r="X283" s="54" t="str">
        <f>IF($A283="","",$T283*(1-'01. CONFIGURAÇÕES'!$C$16)-IF($W283="",0,$W283))</f>
        <v/>
      </c>
      <c r="Y283" s="54" t="str">
        <f t="shared" si="39"/>
        <v/>
      </c>
      <c r="Z283" s="30"/>
      <c r="AA283" s="33"/>
      <c r="AB283" s="33"/>
    </row>
    <row r="284" spans="1:28" x14ac:dyDescent="0.25">
      <c r="A284" s="31"/>
      <c r="B284" s="29" t="str">
        <f t="shared" si="32"/>
        <v/>
      </c>
      <c r="C284" s="29" t="str">
        <f>IF($A284="","","S"&amp;(INT(($A284-'01. CONFIGURAÇÕES'!$C$12)/7)+1))</f>
        <v/>
      </c>
      <c r="D284" s="30"/>
      <c r="E284" s="30"/>
      <c r="F284" s="10"/>
      <c r="G284" s="49"/>
      <c r="H284" s="49"/>
      <c r="I284" s="52" t="str">
        <f t="shared" si="33"/>
        <v/>
      </c>
      <c r="J284" s="49"/>
      <c r="K284" s="49"/>
      <c r="L284" s="49"/>
      <c r="M284" s="49"/>
      <c r="N284" s="49"/>
      <c r="O284" s="49"/>
      <c r="P284" s="10"/>
      <c r="Q284" s="11" t="str">
        <f t="shared" si="34"/>
        <v/>
      </c>
      <c r="R284" s="11" t="str">
        <f t="shared" si="35"/>
        <v/>
      </c>
      <c r="S284" s="58" t="str">
        <f t="shared" si="36"/>
        <v/>
      </c>
      <c r="T284" s="55" t="str">
        <f t="shared" si="37"/>
        <v/>
      </c>
      <c r="U284" s="55" t="str">
        <f>IF($D284="","",IF($D284='01. CONFIGURAÇÕES'!$C$8,'01. CONFIGURAÇÕES'!$C$38,'01. CONFIGURAÇÕES'!$D$38))</f>
        <v/>
      </c>
      <c r="V284" s="58" t="str">
        <f t="shared" si="38"/>
        <v/>
      </c>
      <c r="W284" s="55" t="str">
        <f>IF($D284="","",IF($D284='01. CONFIGURAÇÕES'!$C$8,'01. CONFIGURAÇÕES'!$C$31,'01. CONFIGURAÇÕES'!$D$31))</f>
        <v/>
      </c>
      <c r="X284" s="54" t="str">
        <f>IF($A284="","",$T284*(1-'01. CONFIGURAÇÕES'!$C$16)-IF($W284="",0,$W284))</f>
        <v/>
      </c>
      <c r="Y284" s="54" t="str">
        <f t="shared" si="39"/>
        <v/>
      </c>
      <c r="Z284" s="30"/>
      <c r="AA284" s="33"/>
      <c r="AB284" s="33"/>
    </row>
    <row r="285" spans="1:28" x14ac:dyDescent="0.25">
      <c r="A285" s="31"/>
      <c r="B285" s="29" t="str">
        <f t="shared" si="32"/>
        <v/>
      </c>
      <c r="C285" s="29" t="str">
        <f>IF($A285="","","S"&amp;(INT(($A285-'01. CONFIGURAÇÕES'!$C$12)/7)+1))</f>
        <v/>
      </c>
      <c r="D285" s="30"/>
      <c r="E285" s="30"/>
      <c r="F285" s="10"/>
      <c r="G285" s="49"/>
      <c r="H285" s="49"/>
      <c r="I285" s="52" t="str">
        <f t="shared" si="33"/>
        <v/>
      </c>
      <c r="J285" s="49"/>
      <c r="K285" s="49"/>
      <c r="L285" s="49"/>
      <c r="M285" s="49"/>
      <c r="N285" s="49"/>
      <c r="O285" s="49"/>
      <c r="P285" s="10"/>
      <c r="Q285" s="11" t="str">
        <f t="shared" si="34"/>
        <v/>
      </c>
      <c r="R285" s="11" t="str">
        <f t="shared" si="35"/>
        <v/>
      </c>
      <c r="S285" s="58" t="str">
        <f t="shared" si="36"/>
        <v/>
      </c>
      <c r="T285" s="55" t="str">
        <f t="shared" si="37"/>
        <v/>
      </c>
      <c r="U285" s="55" t="str">
        <f>IF($D285="","",IF($D285='01. CONFIGURAÇÕES'!$C$8,'01. CONFIGURAÇÕES'!$C$38,'01. CONFIGURAÇÕES'!$D$38))</f>
        <v/>
      </c>
      <c r="V285" s="58" t="str">
        <f t="shared" si="38"/>
        <v/>
      </c>
      <c r="W285" s="55" t="str">
        <f>IF($D285="","",IF($D285='01. CONFIGURAÇÕES'!$C$8,'01. CONFIGURAÇÕES'!$C$31,'01. CONFIGURAÇÕES'!$D$31))</f>
        <v/>
      </c>
      <c r="X285" s="54" t="str">
        <f>IF($A285="","",$T285*(1-'01. CONFIGURAÇÕES'!$C$16)-IF($W285="",0,$W285))</f>
        <v/>
      </c>
      <c r="Y285" s="54" t="str">
        <f t="shared" si="39"/>
        <v/>
      </c>
      <c r="Z285" s="30"/>
      <c r="AA285" s="33"/>
      <c r="AB285" s="33"/>
    </row>
    <row r="286" spans="1:28" x14ac:dyDescent="0.25">
      <c r="A286" s="31"/>
      <c r="B286" s="29" t="str">
        <f t="shared" si="32"/>
        <v/>
      </c>
      <c r="C286" s="29" t="str">
        <f>IF($A286="","","S"&amp;(INT(($A286-'01. CONFIGURAÇÕES'!$C$12)/7)+1))</f>
        <v/>
      </c>
      <c r="D286" s="30"/>
      <c r="E286" s="30"/>
      <c r="F286" s="10"/>
      <c r="G286" s="49"/>
      <c r="H286" s="49"/>
      <c r="I286" s="52" t="str">
        <f t="shared" si="33"/>
        <v/>
      </c>
      <c r="J286" s="49"/>
      <c r="K286" s="49"/>
      <c r="L286" s="49"/>
      <c r="M286" s="49"/>
      <c r="N286" s="49"/>
      <c r="O286" s="49"/>
      <c r="P286" s="10"/>
      <c r="Q286" s="11" t="str">
        <f t="shared" si="34"/>
        <v/>
      </c>
      <c r="R286" s="11" t="str">
        <f t="shared" si="35"/>
        <v/>
      </c>
      <c r="S286" s="58" t="str">
        <f t="shared" si="36"/>
        <v/>
      </c>
      <c r="T286" s="55" t="str">
        <f t="shared" si="37"/>
        <v/>
      </c>
      <c r="U286" s="55" t="str">
        <f>IF($D286="","",IF($D286='01. CONFIGURAÇÕES'!$C$8,'01. CONFIGURAÇÕES'!$C$38,'01. CONFIGURAÇÕES'!$D$38))</f>
        <v/>
      </c>
      <c r="V286" s="58" t="str">
        <f t="shared" si="38"/>
        <v/>
      </c>
      <c r="W286" s="55" t="str">
        <f>IF($D286="","",IF($D286='01. CONFIGURAÇÕES'!$C$8,'01. CONFIGURAÇÕES'!$C$31,'01. CONFIGURAÇÕES'!$D$31))</f>
        <v/>
      </c>
      <c r="X286" s="54" t="str">
        <f>IF($A286="","",$T286*(1-'01. CONFIGURAÇÕES'!$C$16)-IF($W286="",0,$W286))</f>
        <v/>
      </c>
      <c r="Y286" s="54" t="str">
        <f t="shared" si="39"/>
        <v/>
      </c>
      <c r="Z286" s="30"/>
      <c r="AA286" s="33"/>
      <c r="AB286" s="33"/>
    </row>
    <row r="287" spans="1:28" x14ac:dyDescent="0.25">
      <c r="A287" s="31"/>
      <c r="B287" s="29" t="str">
        <f t="shared" si="32"/>
        <v/>
      </c>
      <c r="C287" s="29" t="str">
        <f>IF($A287="","","S"&amp;(INT(($A287-'01. CONFIGURAÇÕES'!$C$12)/7)+1))</f>
        <v/>
      </c>
      <c r="D287" s="30"/>
      <c r="E287" s="30"/>
      <c r="F287" s="10"/>
      <c r="G287" s="49"/>
      <c r="H287" s="49"/>
      <c r="I287" s="52" t="str">
        <f t="shared" si="33"/>
        <v/>
      </c>
      <c r="J287" s="49"/>
      <c r="K287" s="49"/>
      <c r="L287" s="49"/>
      <c r="M287" s="49"/>
      <c r="N287" s="49"/>
      <c r="O287" s="49"/>
      <c r="P287" s="10"/>
      <c r="Q287" s="11" t="str">
        <f t="shared" si="34"/>
        <v/>
      </c>
      <c r="R287" s="11" t="str">
        <f t="shared" si="35"/>
        <v/>
      </c>
      <c r="S287" s="58" t="str">
        <f t="shared" si="36"/>
        <v/>
      </c>
      <c r="T287" s="55" t="str">
        <f t="shared" si="37"/>
        <v/>
      </c>
      <c r="U287" s="55" t="str">
        <f>IF($D287="","",IF($D287='01. CONFIGURAÇÕES'!$C$8,'01. CONFIGURAÇÕES'!$C$38,'01. CONFIGURAÇÕES'!$D$38))</f>
        <v/>
      </c>
      <c r="V287" s="58" t="str">
        <f t="shared" si="38"/>
        <v/>
      </c>
      <c r="W287" s="55" t="str">
        <f>IF($D287="","",IF($D287='01. CONFIGURAÇÕES'!$C$8,'01. CONFIGURAÇÕES'!$C$31,'01. CONFIGURAÇÕES'!$D$31))</f>
        <v/>
      </c>
      <c r="X287" s="54" t="str">
        <f>IF($A287="","",$T287*(1-'01. CONFIGURAÇÕES'!$C$16)-IF($W287="",0,$W287))</f>
        <v/>
      </c>
      <c r="Y287" s="54" t="str">
        <f t="shared" si="39"/>
        <v/>
      </c>
      <c r="Z287" s="30"/>
      <c r="AA287" s="33"/>
      <c r="AB287" s="33"/>
    </row>
    <row r="288" spans="1:28" x14ac:dyDescent="0.25">
      <c r="A288" s="31"/>
      <c r="B288" s="29" t="str">
        <f t="shared" si="32"/>
        <v/>
      </c>
      <c r="C288" s="29" t="str">
        <f>IF($A288="","","S"&amp;(INT(($A288-'01. CONFIGURAÇÕES'!$C$12)/7)+1))</f>
        <v/>
      </c>
      <c r="D288" s="30"/>
      <c r="E288" s="30"/>
      <c r="F288" s="10"/>
      <c r="G288" s="49"/>
      <c r="H288" s="49"/>
      <c r="I288" s="52" t="str">
        <f t="shared" si="33"/>
        <v/>
      </c>
      <c r="J288" s="49"/>
      <c r="K288" s="49"/>
      <c r="L288" s="49"/>
      <c r="M288" s="49"/>
      <c r="N288" s="49"/>
      <c r="O288" s="49"/>
      <c r="P288" s="10"/>
      <c r="Q288" s="11" t="str">
        <f t="shared" si="34"/>
        <v/>
      </c>
      <c r="R288" s="11" t="str">
        <f t="shared" si="35"/>
        <v/>
      </c>
      <c r="S288" s="58" t="str">
        <f t="shared" si="36"/>
        <v/>
      </c>
      <c r="T288" s="55" t="str">
        <f t="shared" si="37"/>
        <v/>
      </c>
      <c r="U288" s="55" t="str">
        <f>IF($D288="","",IF($D288='01. CONFIGURAÇÕES'!$C$8,'01. CONFIGURAÇÕES'!$C$38,'01. CONFIGURAÇÕES'!$D$38))</f>
        <v/>
      </c>
      <c r="V288" s="58" t="str">
        <f t="shared" si="38"/>
        <v/>
      </c>
      <c r="W288" s="55" t="str">
        <f>IF($D288="","",IF($D288='01. CONFIGURAÇÕES'!$C$8,'01. CONFIGURAÇÕES'!$C$31,'01. CONFIGURAÇÕES'!$D$31))</f>
        <v/>
      </c>
      <c r="X288" s="54" t="str">
        <f>IF($A288="","",$T288*(1-'01. CONFIGURAÇÕES'!$C$16)-IF($W288="",0,$W288))</f>
        <v/>
      </c>
      <c r="Y288" s="54" t="str">
        <f t="shared" si="39"/>
        <v/>
      </c>
      <c r="Z288" s="30"/>
      <c r="AA288" s="33"/>
      <c r="AB288" s="33"/>
    </row>
    <row r="289" spans="1:28" x14ac:dyDescent="0.25">
      <c r="A289" s="31"/>
      <c r="B289" s="29" t="str">
        <f t="shared" si="32"/>
        <v/>
      </c>
      <c r="C289" s="29" t="str">
        <f>IF($A289="","","S"&amp;(INT(($A289-'01. CONFIGURAÇÕES'!$C$12)/7)+1))</f>
        <v/>
      </c>
      <c r="D289" s="30"/>
      <c r="E289" s="30"/>
      <c r="F289" s="10"/>
      <c r="G289" s="49"/>
      <c r="H289" s="49"/>
      <c r="I289" s="52" t="str">
        <f t="shared" si="33"/>
        <v/>
      </c>
      <c r="J289" s="49"/>
      <c r="K289" s="49"/>
      <c r="L289" s="49"/>
      <c r="M289" s="49"/>
      <c r="N289" s="49"/>
      <c r="O289" s="49"/>
      <c r="P289" s="10"/>
      <c r="Q289" s="11" t="str">
        <f t="shared" si="34"/>
        <v/>
      </c>
      <c r="R289" s="11" t="str">
        <f t="shared" si="35"/>
        <v/>
      </c>
      <c r="S289" s="58" t="str">
        <f t="shared" si="36"/>
        <v/>
      </c>
      <c r="T289" s="55" t="str">
        <f t="shared" si="37"/>
        <v/>
      </c>
      <c r="U289" s="55" t="str">
        <f>IF($D289="","",IF($D289='01. CONFIGURAÇÕES'!$C$8,'01. CONFIGURAÇÕES'!$C$38,'01. CONFIGURAÇÕES'!$D$38))</f>
        <v/>
      </c>
      <c r="V289" s="58" t="str">
        <f t="shared" si="38"/>
        <v/>
      </c>
      <c r="W289" s="55" t="str">
        <f>IF($D289="","",IF($D289='01. CONFIGURAÇÕES'!$C$8,'01. CONFIGURAÇÕES'!$C$31,'01. CONFIGURAÇÕES'!$D$31))</f>
        <v/>
      </c>
      <c r="X289" s="54" t="str">
        <f>IF($A289="","",$T289*(1-'01. CONFIGURAÇÕES'!$C$16)-IF($W289="",0,$W289))</f>
        <v/>
      </c>
      <c r="Y289" s="54" t="str">
        <f t="shared" si="39"/>
        <v/>
      </c>
      <c r="Z289" s="30"/>
      <c r="AA289" s="33"/>
      <c r="AB289" s="33"/>
    </row>
    <row r="290" spans="1:28" x14ac:dyDescent="0.25">
      <c r="A290" s="31"/>
      <c r="B290" s="29" t="str">
        <f t="shared" si="32"/>
        <v/>
      </c>
      <c r="C290" s="29" t="str">
        <f>IF($A290="","","S"&amp;(INT(($A290-'01. CONFIGURAÇÕES'!$C$12)/7)+1))</f>
        <v/>
      </c>
      <c r="D290" s="30"/>
      <c r="E290" s="30"/>
      <c r="F290" s="10"/>
      <c r="G290" s="49"/>
      <c r="H290" s="49"/>
      <c r="I290" s="52" t="str">
        <f t="shared" si="33"/>
        <v/>
      </c>
      <c r="J290" s="49"/>
      <c r="K290" s="49"/>
      <c r="L290" s="49"/>
      <c r="M290" s="49"/>
      <c r="N290" s="49"/>
      <c r="O290" s="49"/>
      <c r="P290" s="10"/>
      <c r="Q290" s="11" t="str">
        <f t="shared" si="34"/>
        <v/>
      </c>
      <c r="R290" s="11" t="str">
        <f t="shared" si="35"/>
        <v/>
      </c>
      <c r="S290" s="58" t="str">
        <f t="shared" si="36"/>
        <v/>
      </c>
      <c r="T290" s="55" t="str">
        <f t="shared" si="37"/>
        <v/>
      </c>
      <c r="U290" s="55" t="str">
        <f>IF($D290="","",IF($D290='01. CONFIGURAÇÕES'!$C$8,'01. CONFIGURAÇÕES'!$C$38,'01. CONFIGURAÇÕES'!$D$38))</f>
        <v/>
      </c>
      <c r="V290" s="58" t="str">
        <f t="shared" si="38"/>
        <v/>
      </c>
      <c r="W290" s="55" t="str">
        <f>IF($D290="","",IF($D290='01. CONFIGURAÇÕES'!$C$8,'01. CONFIGURAÇÕES'!$C$31,'01. CONFIGURAÇÕES'!$D$31))</f>
        <v/>
      </c>
      <c r="X290" s="54" t="str">
        <f>IF($A290="","",$T290*(1-'01. CONFIGURAÇÕES'!$C$16)-IF($W290="",0,$W290))</f>
        <v/>
      </c>
      <c r="Y290" s="54" t="str">
        <f t="shared" si="39"/>
        <v/>
      </c>
      <c r="Z290" s="30"/>
      <c r="AA290" s="33"/>
      <c r="AB290" s="33"/>
    </row>
    <row r="291" spans="1:28" x14ac:dyDescent="0.25">
      <c r="A291" s="31"/>
      <c r="B291" s="29" t="str">
        <f t="shared" si="32"/>
        <v/>
      </c>
      <c r="C291" s="29" t="str">
        <f>IF($A291="","","S"&amp;(INT(($A291-'01. CONFIGURAÇÕES'!$C$12)/7)+1))</f>
        <v/>
      </c>
      <c r="D291" s="30"/>
      <c r="E291" s="30"/>
      <c r="F291" s="10"/>
      <c r="G291" s="49"/>
      <c r="H291" s="49"/>
      <c r="I291" s="52" t="str">
        <f t="shared" si="33"/>
        <v/>
      </c>
      <c r="J291" s="49"/>
      <c r="K291" s="49"/>
      <c r="L291" s="49"/>
      <c r="M291" s="49"/>
      <c r="N291" s="49"/>
      <c r="O291" s="49"/>
      <c r="P291" s="10"/>
      <c r="Q291" s="11" t="str">
        <f t="shared" si="34"/>
        <v/>
      </c>
      <c r="R291" s="11" t="str">
        <f t="shared" si="35"/>
        <v/>
      </c>
      <c r="S291" s="58" t="str">
        <f t="shared" si="36"/>
        <v/>
      </c>
      <c r="T291" s="55" t="str">
        <f t="shared" si="37"/>
        <v/>
      </c>
      <c r="U291" s="55" t="str">
        <f>IF($D291="","",IF($D291='01. CONFIGURAÇÕES'!$C$8,'01. CONFIGURAÇÕES'!$C$38,'01. CONFIGURAÇÕES'!$D$38))</f>
        <v/>
      </c>
      <c r="V291" s="58" t="str">
        <f t="shared" si="38"/>
        <v/>
      </c>
      <c r="W291" s="55" t="str">
        <f>IF($D291="","",IF($D291='01. CONFIGURAÇÕES'!$C$8,'01. CONFIGURAÇÕES'!$C$31,'01. CONFIGURAÇÕES'!$D$31))</f>
        <v/>
      </c>
      <c r="X291" s="54" t="str">
        <f>IF($A291="","",$T291*(1-'01. CONFIGURAÇÕES'!$C$16)-IF($W291="",0,$W291))</f>
        <v/>
      </c>
      <c r="Y291" s="54" t="str">
        <f t="shared" si="39"/>
        <v/>
      </c>
      <c r="Z291" s="30"/>
      <c r="AA291" s="33"/>
      <c r="AB291" s="33"/>
    </row>
    <row r="292" spans="1:28" x14ac:dyDescent="0.25">
      <c r="A292" s="31"/>
      <c r="B292" s="29" t="str">
        <f t="shared" si="32"/>
        <v/>
      </c>
      <c r="C292" s="29" t="str">
        <f>IF($A292="","","S"&amp;(INT(($A292-'01. CONFIGURAÇÕES'!$C$12)/7)+1))</f>
        <v/>
      </c>
      <c r="D292" s="30"/>
      <c r="E292" s="30"/>
      <c r="F292" s="10"/>
      <c r="G292" s="49"/>
      <c r="H292" s="49"/>
      <c r="I292" s="52" t="str">
        <f t="shared" si="33"/>
        <v/>
      </c>
      <c r="J292" s="49"/>
      <c r="K292" s="49"/>
      <c r="L292" s="49"/>
      <c r="M292" s="49"/>
      <c r="N292" s="49"/>
      <c r="O292" s="49"/>
      <c r="P292" s="10"/>
      <c r="Q292" s="11" t="str">
        <f t="shared" si="34"/>
        <v/>
      </c>
      <c r="R292" s="11" t="str">
        <f t="shared" si="35"/>
        <v/>
      </c>
      <c r="S292" s="58" t="str">
        <f t="shared" si="36"/>
        <v/>
      </c>
      <c r="T292" s="55" t="str">
        <f t="shared" si="37"/>
        <v/>
      </c>
      <c r="U292" s="55" t="str">
        <f>IF($D292="","",IF($D292='01. CONFIGURAÇÕES'!$C$8,'01. CONFIGURAÇÕES'!$C$38,'01. CONFIGURAÇÕES'!$D$38))</f>
        <v/>
      </c>
      <c r="V292" s="58" t="str">
        <f t="shared" si="38"/>
        <v/>
      </c>
      <c r="W292" s="55" t="str">
        <f>IF($D292="","",IF($D292='01. CONFIGURAÇÕES'!$C$8,'01. CONFIGURAÇÕES'!$C$31,'01. CONFIGURAÇÕES'!$D$31))</f>
        <v/>
      </c>
      <c r="X292" s="54" t="str">
        <f>IF($A292="","",$T292*(1-'01. CONFIGURAÇÕES'!$C$16)-IF($W292="",0,$W292))</f>
        <v/>
      </c>
      <c r="Y292" s="54" t="str">
        <f t="shared" si="39"/>
        <v/>
      </c>
      <c r="Z292" s="30"/>
      <c r="AA292" s="33"/>
      <c r="AB292" s="33"/>
    </row>
    <row r="293" spans="1:28" x14ac:dyDescent="0.25">
      <c r="A293" s="31"/>
      <c r="B293" s="29" t="str">
        <f t="shared" si="32"/>
        <v/>
      </c>
      <c r="C293" s="29" t="str">
        <f>IF($A293="","","S"&amp;(INT(($A293-'01. CONFIGURAÇÕES'!$C$12)/7)+1))</f>
        <v/>
      </c>
      <c r="D293" s="30"/>
      <c r="E293" s="30"/>
      <c r="F293" s="10"/>
      <c r="G293" s="49"/>
      <c r="H293" s="49"/>
      <c r="I293" s="52" t="str">
        <f t="shared" si="33"/>
        <v/>
      </c>
      <c r="J293" s="49"/>
      <c r="K293" s="49"/>
      <c r="L293" s="49"/>
      <c r="M293" s="49"/>
      <c r="N293" s="49"/>
      <c r="O293" s="49"/>
      <c r="P293" s="10"/>
      <c r="Q293" s="11" t="str">
        <f t="shared" si="34"/>
        <v/>
      </c>
      <c r="R293" s="11" t="str">
        <f t="shared" si="35"/>
        <v/>
      </c>
      <c r="S293" s="58" t="str">
        <f t="shared" si="36"/>
        <v/>
      </c>
      <c r="T293" s="55" t="str">
        <f t="shared" si="37"/>
        <v/>
      </c>
      <c r="U293" s="55" t="str">
        <f>IF($D293="","",IF($D293='01. CONFIGURAÇÕES'!$C$8,'01. CONFIGURAÇÕES'!$C$38,'01. CONFIGURAÇÕES'!$D$38))</f>
        <v/>
      </c>
      <c r="V293" s="58" t="str">
        <f t="shared" si="38"/>
        <v/>
      </c>
      <c r="W293" s="55" t="str">
        <f>IF($D293="","",IF($D293='01. CONFIGURAÇÕES'!$C$8,'01. CONFIGURAÇÕES'!$C$31,'01. CONFIGURAÇÕES'!$D$31))</f>
        <v/>
      </c>
      <c r="X293" s="54" t="str">
        <f>IF($A293="","",$T293*(1-'01. CONFIGURAÇÕES'!$C$16)-IF($W293="",0,$W293))</f>
        <v/>
      </c>
      <c r="Y293" s="54" t="str">
        <f t="shared" si="39"/>
        <v/>
      </c>
      <c r="Z293" s="30"/>
      <c r="AA293" s="33"/>
      <c r="AB293" s="33"/>
    </row>
    <row r="294" spans="1:28" x14ac:dyDescent="0.25">
      <c r="A294" s="31"/>
      <c r="B294" s="29" t="str">
        <f t="shared" si="32"/>
        <v/>
      </c>
      <c r="C294" s="29" t="str">
        <f>IF($A294="","","S"&amp;(INT(($A294-'01. CONFIGURAÇÕES'!$C$12)/7)+1))</f>
        <v/>
      </c>
      <c r="D294" s="30"/>
      <c r="E294" s="30"/>
      <c r="F294" s="10"/>
      <c r="G294" s="49"/>
      <c r="H294" s="49"/>
      <c r="I294" s="52" t="str">
        <f t="shared" si="33"/>
        <v/>
      </c>
      <c r="J294" s="49"/>
      <c r="K294" s="49"/>
      <c r="L294" s="49"/>
      <c r="M294" s="49"/>
      <c r="N294" s="49"/>
      <c r="O294" s="49"/>
      <c r="P294" s="10"/>
      <c r="Q294" s="11" t="str">
        <f t="shared" si="34"/>
        <v/>
      </c>
      <c r="R294" s="11" t="str">
        <f t="shared" si="35"/>
        <v/>
      </c>
      <c r="S294" s="58" t="str">
        <f t="shared" si="36"/>
        <v/>
      </c>
      <c r="T294" s="55" t="str">
        <f t="shared" si="37"/>
        <v/>
      </c>
      <c r="U294" s="55" t="str">
        <f>IF($D294="","",IF($D294='01. CONFIGURAÇÕES'!$C$8,'01. CONFIGURAÇÕES'!$C$38,'01. CONFIGURAÇÕES'!$D$38))</f>
        <v/>
      </c>
      <c r="V294" s="58" t="str">
        <f t="shared" si="38"/>
        <v/>
      </c>
      <c r="W294" s="55" t="str">
        <f>IF($D294="","",IF($D294='01. CONFIGURAÇÕES'!$C$8,'01. CONFIGURAÇÕES'!$C$31,'01. CONFIGURAÇÕES'!$D$31))</f>
        <v/>
      </c>
      <c r="X294" s="54" t="str">
        <f>IF($A294="","",$T294*(1-'01. CONFIGURAÇÕES'!$C$16)-IF($W294="",0,$W294))</f>
        <v/>
      </c>
      <c r="Y294" s="54" t="str">
        <f t="shared" si="39"/>
        <v/>
      </c>
      <c r="Z294" s="30"/>
      <c r="AA294" s="33"/>
      <c r="AB294" s="33"/>
    </row>
    <row r="295" spans="1:28" x14ac:dyDescent="0.25">
      <c r="A295" s="31"/>
      <c r="B295" s="29" t="str">
        <f t="shared" si="32"/>
        <v/>
      </c>
      <c r="C295" s="29" t="str">
        <f>IF($A295="","","S"&amp;(INT(($A295-'01. CONFIGURAÇÕES'!$C$12)/7)+1))</f>
        <v/>
      </c>
      <c r="D295" s="30"/>
      <c r="E295" s="30"/>
      <c r="F295" s="10"/>
      <c r="G295" s="49"/>
      <c r="H295" s="49"/>
      <c r="I295" s="52" t="str">
        <f t="shared" si="33"/>
        <v/>
      </c>
      <c r="J295" s="49"/>
      <c r="K295" s="49"/>
      <c r="L295" s="49"/>
      <c r="M295" s="49"/>
      <c r="N295" s="49"/>
      <c r="O295" s="49"/>
      <c r="P295" s="10"/>
      <c r="Q295" s="11" t="str">
        <f t="shared" si="34"/>
        <v/>
      </c>
      <c r="R295" s="11" t="str">
        <f t="shared" si="35"/>
        <v/>
      </c>
      <c r="S295" s="58" t="str">
        <f t="shared" si="36"/>
        <v/>
      </c>
      <c r="T295" s="55" t="str">
        <f t="shared" si="37"/>
        <v/>
      </c>
      <c r="U295" s="55" t="str">
        <f>IF($D295="","",IF($D295='01. CONFIGURAÇÕES'!$C$8,'01. CONFIGURAÇÕES'!$C$38,'01. CONFIGURAÇÕES'!$D$38))</f>
        <v/>
      </c>
      <c r="V295" s="58" t="str">
        <f t="shared" si="38"/>
        <v/>
      </c>
      <c r="W295" s="55" t="str">
        <f>IF($D295="","",IF($D295='01. CONFIGURAÇÕES'!$C$8,'01. CONFIGURAÇÕES'!$C$31,'01. CONFIGURAÇÕES'!$D$31))</f>
        <v/>
      </c>
      <c r="X295" s="54" t="str">
        <f>IF($A295="","",$T295*(1-'01. CONFIGURAÇÕES'!$C$16)-IF($W295="",0,$W295))</f>
        <v/>
      </c>
      <c r="Y295" s="54" t="str">
        <f t="shared" si="39"/>
        <v/>
      </c>
      <c r="Z295" s="30"/>
      <c r="AA295" s="33"/>
      <c r="AB295" s="33"/>
    </row>
    <row r="296" spans="1:28" x14ac:dyDescent="0.25">
      <c r="A296" s="31"/>
      <c r="B296" s="29" t="str">
        <f t="shared" si="32"/>
        <v/>
      </c>
      <c r="C296" s="29" t="str">
        <f>IF($A296="","","S"&amp;(INT(($A296-'01. CONFIGURAÇÕES'!$C$12)/7)+1))</f>
        <v/>
      </c>
      <c r="D296" s="30"/>
      <c r="E296" s="30"/>
      <c r="F296" s="10"/>
      <c r="G296" s="49"/>
      <c r="H296" s="49"/>
      <c r="I296" s="52" t="str">
        <f t="shared" si="33"/>
        <v/>
      </c>
      <c r="J296" s="49"/>
      <c r="K296" s="49"/>
      <c r="L296" s="49"/>
      <c r="M296" s="49"/>
      <c r="N296" s="49"/>
      <c r="O296" s="49"/>
      <c r="P296" s="10"/>
      <c r="Q296" s="11" t="str">
        <f t="shared" si="34"/>
        <v/>
      </c>
      <c r="R296" s="11" t="str">
        <f t="shared" si="35"/>
        <v/>
      </c>
      <c r="S296" s="58" t="str">
        <f t="shared" si="36"/>
        <v/>
      </c>
      <c r="T296" s="55" t="str">
        <f t="shared" si="37"/>
        <v/>
      </c>
      <c r="U296" s="55" t="str">
        <f>IF($D296="","",IF($D296='01. CONFIGURAÇÕES'!$C$8,'01. CONFIGURAÇÕES'!$C$38,'01. CONFIGURAÇÕES'!$D$38))</f>
        <v/>
      </c>
      <c r="V296" s="58" t="str">
        <f t="shared" si="38"/>
        <v/>
      </c>
      <c r="W296" s="55" t="str">
        <f>IF($D296="","",IF($D296='01. CONFIGURAÇÕES'!$C$8,'01. CONFIGURAÇÕES'!$C$31,'01. CONFIGURAÇÕES'!$D$31))</f>
        <v/>
      </c>
      <c r="X296" s="54" t="str">
        <f>IF($A296="","",$T296*(1-'01. CONFIGURAÇÕES'!$C$16)-IF($W296="",0,$W296))</f>
        <v/>
      </c>
      <c r="Y296" s="54" t="str">
        <f t="shared" si="39"/>
        <v/>
      </c>
      <c r="Z296" s="30"/>
      <c r="AA296" s="33"/>
      <c r="AB296" s="33"/>
    </row>
    <row r="297" spans="1:28" x14ac:dyDescent="0.25">
      <c r="A297" s="31"/>
      <c r="B297" s="29" t="str">
        <f t="shared" si="32"/>
        <v/>
      </c>
      <c r="C297" s="29" t="str">
        <f>IF($A297="","","S"&amp;(INT(($A297-'01. CONFIGURAÇÕES'!$C$12)/7)+1))</f>
        <v/>
      </c>
      <c r="D297" s="30"/>
      <c r="E297" s="30"/>
      <c r="F297" s="10"/>
      <c r="G297" s="49"/>
      <c r="H297" s="49"/>
      <c r="I297" s="52" t="str">
        <f t="shared" si="33"/>
        <v/>
      </c>
      <c r="J297" s="49"/>
      <c r="K297" s="49"/>
      <c r="L297" s="49"/>
      <c r="M297" s="49"/>
      <c r="N297" s="49"/>
      <c r="O297" s="49"/>
      <c r="P297" s="10"/>
      <c r="Q297" s="11" t="str">
        <f t="shared" si="34"/>
        <v/>
      </c>
      <c r="R297" s="11" t="str">
        <f t="shared" si="35"/>
        <v/>
      </c>
      <c r="S297" s="58" t="str">
        <f t="shared" si="36"/>
        <v/>
      </c>
      <c r="T297" s="55" t="str">
        <f t="shared" si="37"/>
        <v/>
      </c>
      <c r="U297" s="55" t="str">
        <f>IF($D297="","",IF($D297='01. CONFIGURAÇÕES'!$C$8,'01. CONFIGURAÇÕES'!$C$38,'01. CONFIGURAÇÕES'!$D$38))</f>
        <v/>
      </c>
      <c r="V297" s="58" t="str">
        <f t="shared" si="38"/>
        <v/>
      </c>
      <c r="W297" s="55" t="str">
        <f>IF($D297="","",IF($D297='01. CONFIGURAÇÕES'!$C$8,'01. CONFIGURAÇÕES'!$C$31,'01. CONFIGURAÇÕES'!$D$31))</f>
        <v/>
      </c>
      <c r="X297" s="54" t="str">
        <f>IF($A297="","",$T297*(1-'01. CONFIGURAÇÕES'!$C$16)-IF($W297="",0,$W297))</f>
        <v/>
      </c>
      <c r="Y297" s="54" t="str">
        <f t="shared" si="39"/>
        <v/>
      </c>
      <c r="Z297" s="30"/>
      <c r="AA297" s="33"/>
      <c r="AB297" s="33"/>
    </row>
    <row r="298" spans="1:28" x14ac:dyDescent="0.25">
      <c r="A298" s="31"/>
      <c r="B298" s="29" t="str">
        <f t="shared" si="32"/>
        <v/>
      </c>
      <c r="C298" s="29" t="str">
        <f>IF($A298="","","S"&amp;(INT(($A298-'01. CONFIGURAÇÕES'!$C$12)/7)+1))</f>
        <v/>
      </c>
      <c r="D298" s="30"/>
      <c r="E298" s="30"/>
      <c r="F298" s="10"/>
      <c r="G298" s="49"/>
      <c r="H298" s="49"/>
      <c r="I298" s="52" t="str">
        <f t="shared" si="33"/>
        <v/>
      </c>
      <c r="J298" s="49"/>
      <c r="K298" s="49"/>
      <c r="L298" s="49"/>
      <c r="M298" s="49"/>
      <c r="N298" s="49"/>
      <c r="O298" s="49"/>
      <c r="P298" s="10"/>
      <c r="Q298" s="11" t="str">
        <f t="shared" si="34"/>
        <v/>
      </c>
      <c r="R298" s="11" t="str">
        <f t="shared" si="35"/>
        <v/>
      </c>
      <c r="S298" s="58" t="str">
        <f t="shared" si="36"/>
        <v/>
      </c>
      <c r="T298" s="55" t="str">
        <f t="shared" si="37"/>
        <v/>
      </c>
      <c r="U298" s="55" t="str">
        <f>IF($D298="","",IF($D298='01. CONFIGURAÇÕES'!$C$8,'01. CONFIGURAÇÕES'!$C$38,'01. CONFIGURAÇÕES'!$D$38))</f>
        <v/>
      </c>
      <c r="V298" s="58" t="str">
        <f t="shared" si="38"/>
        <v/>
      </c>
      <c r="W298" s="55" t="str">
        <f>IF($D298="","",IF($D298='01. CONFIGURAÇÕES'!$C$8,'01. CONFIGURAÇÕES'!$C$31,'01. CONFIGURAÇÕES'!$D$31))</f>
        <v/>
      </c>
      <c r="X298" s="54" t="str">
        <f>IF($A298="","",$T298*(1-'01. CONFIGURAÇÕES'!$C$16)-IF($W298="",0,$W298))</f>
        <v/>
      </c>
      <c r="Y298" s="54" t="str">
        <f t="shared" si="39"/>
        <v/>
      </c>
      <c r="Z298" s="30"/>
      <c r="AA298" s="33"/>
      <c r="AB298" s="33"/>
    </row>
    <row r="299" spans="1:28" x14ac:dyDescent="0.25">
      <c r="A299" s="31"/>
      <c r="B299" s="29" t="str">
        <f t="shared" si="32"/>
        <v/>
      </c>
      <c r="C299" s="29" t="str">
        <f>IF($A299="","","S"&amp;(INT(($A299-'01. CONFIGURAÇÕES'!$C$12)/7)+1))</f>
        <v/>
      </c>
      <c r="D299" s="30"/>
      <c r="E299" s="30"/>
      <c r="F299" s="10"/>
      <c r="G299" s="49"/>
      <c r="H299" s="49"/>
      <c r="I299" s="52" t="str">
        <f t="shared" si="33"/>
        <v/>
      </c>
      <c r="J299" s="49"/>
      <c r="K299" s="49"/>
      <c r="L299" s="49"/>
      <c r="M299" s="49"/>
      <c r="N299" s="49"/>
      <c r="O299" s="49"/>
      <c r="P299" s="10"/>
      <c r="Q299" s="11" t="str">
        <f t="shared" si="34"/>
        <v/>
      </c>
      <c r="R299" s="11" t="str">
        <f t="shared" si="35"/>
        <v/>
      </c>
      <c r="S299" s="58" t="str">
        <f t="shared" si="36"/>
        <v/>
      </c>
      <c r="T299" s="55" t="str">
        <f t="shared" si="37"/>
        <v/>
      </c>
      <c r="U299" s="55" t="str">
        <f>IF($D299="","",IF($D299='01. CONFIGURAÇÕES'!$C$8,'01. CONFIGURAÇÕES'!$C$38,'01. CONFIGURAÇÕES'!$D$38))</f>
        <v/>
      </c>
      <c r="V299" s="58" t="str">
        <f t="shared" si="38"/>
        <v/>
      </c>
      <c r="W299" s="55" t="str">
        <f>IF($D299="","",IF($D299='01. CONFIGURAÇÕES'!$C$8,'01. CONFIGURAÇÕES'!$C$31,'01. CONFIGURAÇÕES'!$D$31))</f>
        <v/>
      </c>
      <c r="X299" s="54" t="str">
        <f>IF($A299="","",$T299*(1-'01. CONFIGURAÇÕES'!$C$16)-IF($W299="",0,$W299))</f>
        <v/>
      </c>
      <c r="Y299" s="54" t="str">
        <f t="shared" si="39"/>
        <v/>
      </c>
      <c r="Z299" s="30"/>
      <c r="AA299" s="33"/>
      <c r="AB299" s="33"/>
    </row>
    <row r="300" spans="1:28" x14ac:dyDescent="0.25">
      <c r="A300" s="31"/>
      <c r="B300" s="29" t="str">
        <f t="shared" si="32"/>
        <v/>
      </c>
      <c r="C300" s="29" t="str">
        <f>IF($A300="","","S"&amp;(INT(($A300-'01. CONFIGURAÇÕES'!$C$12)/7)+1))</f>
        <v/>
      </c>
      <c r="D300" s="30"/>
      <c r="E300" s="30"/>
      <c r="F300" s="10"/>
      <c r="G300" s="49"/>
      <c r="H300" s="49"/>
      <c r="I300" s="52" t="str">
        <f t="shared" si="33"/>
        <v/>
      </c>
      <c r="J300" s="49"/>
      <c r="K300" s="49"/>
      <c r="L300" s="49"/>
      <c r="M300" s="49"/>
      <c r="N300" s="49"/>
      <c r="O300" s="49"/>
      <c r="P300" s="10"/>
      <c r="Q300" s="11" t="str">
        <f t="shared" si="34"/>
        <v/>
      </c>
      <c r="R300" s="11" t="str">
        <f t="shared" si="35"/>
        <v/>
      </c>
      <c r="S300" s="58" t="str">
        <f t="shared" si="36"/>
        <v/>
      </c>
      <c r="T300" s="55" t="str">
        <f t="shared" si="37"/>
        <v/>
      </c>
      <c r="U300" s="55" t="str">
        <f>IF($D300="","",IF($D300='01. CONFIGURAÇÕES'!$C$8,'01. CONFIGURAÇÕES'!$C$38,'01. CONFIGURAÇÕES'!$D$38))</f>
        <v/>
      </c>
      <c r="V300" s="58" t="str">
        <f t="shared" si="38"/>
        <v/>
      </c>
      <c r="W300" s="55" t="str">
        <f>IF($D300="","",IF($D300='01. CONFIGURAÇÕES'!$C$8,'01. CONFIGURAÇÕES'!$C$31,'01. CONFIGURAÇÕES'!$D$31))</f>
        <v/>
      </c>
      <c r="X300" s="54" t="str">
        <f>IF($A300="","",$T300*(1-'01. CONFIGURAÇÕES'!$C$16)-IF($W300="",0,$W300))</f>
        <v/>
      </c>
      <c r="Y300" s="54" t="str">
        <f t="shared" si="39"/>
        <v/>
      </c>
      <c r="Z300" s="30"/>
      <c r="AA300" s="33"/>
      <c r="AB300" s="33"/>
    </row>
    <row r="301" spans="1:28" x14ac:dyDescent="0.25">
      <c r="A301" s="31"/>
      <c r="B301" s="29" t="str">
        <f t="shared" si="32"/>
        <v/>
      </c>
      <c r="C301" s="29" t="str">
        <f>IF($A301="","","S"&amp;(INT(($A301-'01. CONFIGURAÇÕES'!$C$12)/7)+1))</f>
        <v/>
      </c>
      <c r="D301" s="30"/>
      <c r="E301" s="30"/>
      <c r="F301" s="10"/>
      <c r="G301" s="49"/>
      <c r="H301" s="49"/>
      <c r="I301" s="52" t="str">
        <f t="shared" si="33"/>
        <v/>
      </c>
      <c r="J301" s="49"/>
      <c r="K301" s="49"/>
      <c r="L301" s="49"/>
      <c r="M301" s="49"/>
      <c r="N301" s="49"/>
      <c r="O301" s="49"/>
      <c r="P301" s="10"/>
      <c r="Q301" s="11" t="str">
        <f t="shared" si="34"/>
        <v/>
      </c>
      <c r="R301" s="11" t="str">
        <f t="shared" si="35"/>
        <v/>
      </c>
      <c r="S301" s="58" t="str">
        <f t="shared" si="36"/>
        <v/>
      </c>
      <c r="T301" s="55" t="str">
        <f t="shared" si="37"/>
        <v/>
      </c>
      <c r="U301" s="55" t="str">
        <f>IF($D301="","",IF($D301='01. CONFIGURAÇÕES'!$C$8,'01. CONFIGURAÇÕES'!$C$38,'01. CONFIGURAÇÕES'!$D$38))</f>
        <v/>
      </c>
      <c r="V301" s="58" t="str">
        <f t="shared" si="38"/>
        <v/>
      </c>
      <c r="W301" s="55" t="str">
        <f>IF($D301="","",IF($D301='01. CONFIGURAÇÕES'!$C$8,'01. CONFIGURAÇÕES'!$C$31,'01. CONFIGURAÇÕES'!$D$31))</f>
        <v/>
      </c>
      <c r="X301" s="54" t="str">
        <f>IF($A301="","",$T301*(1-'01. CONFIGURAÇÕES'!$C$16)-IF($W301="",0,$W301))</f>
        <v/>
      </c>
      <c r="Y301" s="54" t="str">
        <f t="shared" si="39"/>
        <v/>
      </c>
      <c r="Z301" s="30"/>
      <c r="AA301" s="33"/>
      <c r="AB301" s="33"/>
    </row>
    <row r="302" spans="1:28" x14ac:dyDescent="0.25">
      <c r="A302" s="31"/>
      <c r="B302" s="29" t="str">
        <f t="shared" si="32"/>
        <v/>
      </c>
      <c r="C302" s="29" t="str">
        <f>IF($A302="","","S"&amp;(INT(($A302-'01. CONFIGURAÇÕES'!$C$12)/7)+1))</f>
        <v/>
      </c>
      <c r="D302" s="30"/>
      <c r="E302" s="30"/>
      <c r="F302" s="10"/>
      <c r="G302" s="49"/>
      <c r="H302" s="49"/>
      <c r="I302" s="52" t="str">
        <f t="shared" si="33"/>
        <v/>
      </c>
      <c r="J302" s="49"/>
      <c r="K302" s="49"/>
      <c r="L302" s="49"/>
      <c r="M302" s="49"/>
      <c r="N302" s="49"/>
      <c r="O302" s="49"/>
      <c r="P302" s="10"/>
      <c r="Q302" s="11" t="str">
        <f t="shared" si="34"/>
        <v/>
      </c>
      <c r="R302" s="11" t="str">
        <f t="shared" si="35"/>
        <v/>
      </c>
      <c r="S302" s="58" t="str">
        <f t="shared" si="36"/>
        <v/>
      </c>
      <c r="T302" s="55" t="str">
        <f t="shared" si="37"/>
        <v/>
      </c>
      <c r="U302" s="55" t="str">
        <f>IF($D302="","",IF($D302='01. CONFIGURAÇÕES'!$C$8,'01. CONFIGURAÇÕES'!$C$38,'01. CONFIGURAÇÕES'!$D$38))</f>
        <v/>
      </c>
      <c r="V302" s="58" t="str">
        <f t="shared" si="38"/>
        <v/>
      </c>
      <c r="W302" s="55" t="str">
        <f>IF($D302="","",IF($D302='01. CONFIGURAÇÕES'!$C$8,'01. CONFIGURAÇÕES'!$C$31,'01. CONFIGURAÇÕES'!$D$31))</f>
        <v/>
      </c>
      <c r="X302" s="54" t="str">
        <f>IF($A302="","",$T302*(1-'01. CONFIGURAÇÕES'!$C$16)-IF($W302="",0,$W302))</f>
        <v/>
      </c>
      <c r="Y302" s="54" t="str">
        <f t="shared" si="39"/>
        <v/>
      </c>
      <c r="Z302" s="30"/>
      <c r="AA302" s="33"/>
      <c r="AB302" s="33"/>
    </row>
    <row r="303" spans="1:28" x14ac:dyDescent="0.25">
      <c r="A303" s="31"/>
      <c r="B303" s="29" t="str">
        <f t="shared" si="32"/>
        <v/>
      </c>
      <c r="C303" s="29" t="str">
        <f>IF($A303="","","S"&amp;(INT(($A303-'01. CONFIGURAÇÕES'!$C$12)/7)+1))</f>
        <v/>
      </c>
      <c r="D303" s="30"/>
      <c r="E303" s="30"/>
      <c r="F303" s="10"/>
      <c r="G303" s="49"/>
      <c r="H303" s="49"/>
      <c r="I303" s="52" t="str">
        <f t="shared" si="33"/>
        <v/>
      </c>
      <c r="J303" s="49"/>
      <c r="K303" s="49"/>
      <c r="L303" s="49"/>
      <c r="M303" s="49"/>
      <c r="N303" s="49"/>
      <c r="O303" s="49"/>
      <c r="P303" s="10"/>
      <c r="Q303" s="11" t="str">
        <f t="shared" si="34"/>
        <v/>
      </c>
      <c r="R303" s="11" t="str">
        <f t="shared" si="35"/>
        <v/>
      </c>
      <c r="S303" s="58" t="str">
        <f t="shared" si="36"/>
        <v/>
      </c>
      <c r="T303" s="55" t="str">
        <f t="shared" si="37"/>
        <v/>
      </c>
      <c r="U303" s="55" t="str">
        <f>IF($D303="","",IF($D303='01. CONFIGURAÇÕES'!$C$8,'01. CONFIGURAÇÕES'!$C$38,'01. CONFIGURAÇÕES'!$D$38))</f>
        <v/>
      </c>
      <c r="V303" s="58" t="str">
        <f t="shared" si="38"/>
        <v/>
      </c>
      <c r="W303" s="55" t="str">
        <f>IF($D303="","",IF($D303='01. CONFIGURAÇÕES'!$C$8,'01. CONFIGURAÇÕES'!$C$31,'01. CONFIGURAÇÕES'!$D$31))</f>
        <v/>
      </c>
      <c r="X303" s="54" t="str">
        <f>IF($A303="","",$T303*(1-'01. CONFIGURAÇÕES'!$C$16)-IF($W303="",0,$W303))</f>
        <v/>
      </c>
      <c r="Y303" s="54" t="str">
        <f t="shared" si="39"/>
        <v/>
      </c>
      <c r="Z303" s="30"/>
      <c r="AA303" s="33"/>
      <c r="AB303" s="33"/>
    </row>
    <row r="304" spans="1:28" x14ac:dyDescent="0.25">
      <c r="A304" s="31"/>
      <c r="B304" s="29" t="str">
        <f t="shared" si="32"/>
        <v/>
      </c>
      <c r="C304" s="29" t="str">
        <f>IF($A304="","","S"&amp;(INT(($A304-'01. CONFIGURAÇÕES'!$C$12)/7)+1))</f>
        <v/>
      </c>
      <c r="D304" s="30"/>
      <c r="E304" s="30"/>
      <c r="F304" s="10"/>
      <c r="G304" s="49"/>
      <c r="H304" s="49"/>
      <c r="I304" s="52" t="str">
        <f t="shared" si="33"/>
        <v/>
      </c>
      <c r="J304" s="49"/>
      <c r="K304" s="49"/>
      <c r="L304" s="49"/>
      <c r="M304" s="49"/>
      <c r="N304" s="49"/>
      <c r="O304" s="49"/>
      <c r="P304" s="10"/>
      <c r="Q304" s="11" t="str">
        <f t="shared" si="34"/>
        <v/>
      </c>
      <c r="R304" s="11" t="str">
        <f t="shared" si="35"/>
        <v/>
      </c>
      <c r="S304" s="58" t="str">
        <f t="shared" si="36"/>
        <v/>
      </c>
      <c r="T304" s="55" t="str">
        <f t="shared" si="37"/>
        <v/>
      </c>
      <c r="U304" s="55" t="str">
        <f>IF($D304="","",IF($D304='01. CONFIGURAÇÕES'!$C$8,'01. CONFIGURAÇÕES'!$C$38,'01. CONFIGURAÇÕES'!$D$38))</f>
        <v/>
      </c>
      <c r="V304" s="58" t="str">
        <f t="shared" si="38"/>
        <v/>
      </c>
      <c r="W304" s="55" t="str">
        <f>IF($D304="","",IF($D304='01. CONFIGURAÇÕES'!$C$8,'01. CONFIGURAÇÕES'!$C$31,'01. CONFIGURAÇÕES'!$D$31))</f>
        <v/>
      </c>
      <c r="X304" s="54" t="str">
        <f>IF($A304="","",$T304*(1-'01. CONFIGURAÇÕES'!$C$16)-IF($W304="",0,$W304))</f>
        <v/>
      </c>
      <c r="Y304" s="54" t="str">
        <f t="shared" si="39"/>
        <v/>
      </c>
      <c r="Z304" s="30"/>
      <c r="AA304" s="33"/>
      <c r="AB304" s="33"/>
    </row>
    <row r="305" spans="1:28" x14ac:dyDescent="0.25">
      <c r="A305" s="31"/>
      <c r="B305" s="29" t="str">
        <f t="shared" si="32"/>
        <v/>
      </c>
      <c r="C305" s="29" t="str">
        <f>IF($A305="","","S"&amp;(INT(($A305-'01. CONFIGURAÇÕES'!$C$12)/7)+1))</f>
        <v/>
      </c>
      <c r="D305" s="30"/>
      <c r="E305" s="30"/>
      <c r="F305" s="10"/>
      <c r="G305" s="49"/>
      <c r="H305" s="49"/>
      <c r="I305" s="52" t="str">
        <f t="shared" si="33"/>
        <v/>
      </c>
      <c r="J305" s="49"/>
      <c r="K305" s="49"/>
      <c r="L305" s="49"/>
      <c r="M305" s="49"/>
      <c r="N305" s="49"/>
      <c r="O305" s="49"/>
      <c r="P305" s="10"/>
      <c r="Q305" s="11" t="str">
        <f t="shared" si="34"/>
        <v/>
      </c>
      <c r="R305" s="11" t="str">
        <f t="shared" si="35"/>
        <v/>
      </c>
      <c r="S305" s="58" t="str">
        <f t="shared" si="36"/>
        <v/>
      </c>
      <c r="T305" s="55" t="str">
        <f t="shared" si="37"/>
        <v/>
      </c>
      <c r="U305" s="55" t="str">
        <f>IF($D305="","",IF($D305='01. CONFIGURAÇÕES'!$C$8,'01. CONFIGURAÇÕES'!$C$38,'01. CONFIGURAÇÕES'!$D$38))</f>
        <v/>
      </c>
      <c r="V305" s="58" t="str">
        <f t="shared" si="38"/>
        <v/>
      </c>
      <c r="W305" s="55" t="str">
        <f>IF($D305="","",IF($D305='01. CONFIGURAÇÕES'!$C$8,'01. CONFIGURAÇÕES'!$C$31,'01. CONFIGURAÇÕES'!$D$31))</f>
        <v/>
      </c>
      <c r="X305" s="54" t="str">
        <f>IF($A305="","",$T305*(1-'01. CONFIGURAÇÕES'!$C$16)-IF($W305="",0,$W305))</f>
        <v/>
      </c>
      <c r="Y305" s="54" t="str">
        <f t="shared" si="39"/>
        <v/>
      </c>
      <c r="Z305" s="30"/>
      <c r="AA305" s="33"/>
      <c r="AB305" s="33"/>
    </row>
    <row r="306" spans="1:28" x14ac:dyDescent="0.25">
      <c r="A306" s="31"/>
      <c r="B306" s="29" t="str">
        <f t="shared" si="32"/>
        <v/>
      </c>
      <c r="C306" s="29" t="str">
        <f>IF($A306="","","S"&amp;(INT(($A306-'01. CONFIGURAÇÕES'!$C$12)/7)+1))</f>
        <v/>
      </c>
      <c r="D306" s="30"/>
      <c r="E306" s="30"/>
      <c r="F306" s="10"/>
      <c r="G306" s="49"/>
      <c r="H306" s="49"/>
      <c r="I306" s="52" t="str">
        <f t="shared" si="33"/>
        <v/>
      </c>
      <c r="J306" s="49"/>
      <c r="K306" s="49"/>
      <c r="L306" s="49"/>
      <c r="M306" s="49"/>
      <c r="N306" s="49"/>
      <c r="O306" s="49"/>
      <c r="P306" s="10"/>
      <c r="Q306" s="11" t="str">
        <f t="shared" si="34"/>
        <v/>
      </c>
      <c r="R306" s="11" t="str">
        <f t="shared" si="35"/>
        <v/>
      </c>
      <c r="S306" s="58" t="str">
        <f t="shared" si="36"/>
        <v/>
      </c>
      <c r="T306" s="55" t="str">
        <f t="shared" si="37"/>
        <v/>
      </c>
      <c r="U306" s="55" t="str">
        <f>IF($D306="","",IF($D306='01. CONFIGURAÇÕES'!$C$8,'01. CONFIGURAÇÕES'!$C$38,'01. CONFIGURAÇÕES'!$D$38))</f>
        <v/>
      </c>
      <c r="V306" s="58" t="str">
        <f t="shared" si="38"/>
        <v/>
      </c>
      <c r="W306" s="55" t="str">
        <f>IF($D306="","",IF($D306='01. CONFIGURAÇÕES'!$C$8,'01. CONFIGURAÇÕES'!$C$31,'01. CONFIGURAÇÕES'!$D$31))</f>
        <v/>
      </c>
      <c r="X306" s="54" t="str">
        <f>IF($A306="","",$T306*(1-'01. CONFIGURAÇÕES'!$C$16)-IF($W306="",0,$W306))</f>
        <v/>
      </c>
      <c r="Y306" s="54" t="str">
        <f t="shared" si="39"/>
        <v/>
      </c>
      <c r="Z306" s="30"/>
      <c r="AA306" s="33"/>
      <c r="AB306" s="33"/>
    </row>
    <row r="307" spans="1:28" x14ac:dyDescent="0.25">
      <c r="A307" s="31"/>
      <c r="B307" s="29" t="str">
        <f t="shared" si="32"/>
        <v/>
      </c>
      <c r="C307" s="29" t="str">
        <f>IF($A307="","","S"&amp;(INT(($A307-'01. CONFIGURAÇÕES'!$C$12)/7)+1))</f>
        <v/>
      </c>
      <c r="D307" s="30"/>
      <c r="E307" s="30"/>
      <c r="F307" s="10"/>
      <c r="G307" s="49"/>
      <c r="H307" s="49"/>
      <c r="I307" s="52" t="str">
        <f t="shared" si="33"/>
        <v/>
      </c>
      <c r="J307" s="49"/>
      <c r="K307" s="49"/>
      <c r="L307" s="49"/>
      <c r="M307" s="49"/>
      <c r="N307" s="49"/>
      <c r="O307" s="49"/>
      <c r="P307" s="10"/>
      <c r="Q307" s="11" t="str">
        <f t="shared" si="34"/>
        <v/>
      </c>
      <c r="R307" s="11" t="str">
        <f t="shared" si="35"/>
        <v/>
      </c>
      <c r="S307" s="58" t="str">
        <f t="shared" si="36"/>
        <v/>
      </c>
      <c r="T307" s="55" t="str">
        <f t="shared" si="37"/>
        <v/>
      </c>
      <c r="U307" s="55" t="str">
        <f>IF($D307="","",IF($D307='01. CONFIGURAÇÕES'!$C$8,'01. CONFIGURAÇÕES'!$C$38,'01. CONFIGURAÇÕES'!$D$38))</f>
        <v/>
      </c>
      <c r="V307" s="58" t="str">
        <f t="shared" si="38"/>
        <v/>
      </c>
      <c r="W307" s="55" t="str">
        <f>IF($D307="","",IF($D307='01. CONFIGURAÇÕES'!$C$8,'01. CONFIGURAÇÕES'!$C$31,'01. CONFIGURAÇÕES'!$D$31))</f>
        <v/>
      </c>
      <c r="X307" s="54" t="str">
        <f>IF($A307="","",$T307*(1-'01. CONFIGURAÇÕES'!$C$16)-IF($W307="",0,$W307))</f>
        <v/>
      </c>
      <c r="Y307" s="54" t="str">
        <f t="shared" si="39"/>
        <v/>
      </c>
      <c r="Z307" s="30"/>
      <c r="AA307" s="33"/>
      <c r="AB307" s="33"/>
    </row>
    <row r="308" spans="1:28" x14ac:dyDescent="0.25">
      <c r="A308" s="31"/>
      <c r="B308" s="29" t="str">
        <f t="shared" si="32"/>
        <v/>
      </c>
      <c r="C308" s="29" t="str">
        <f>IF($A308="","","S"&amp;(INT(($A308-'01. CONFIGURAÇÕES'!$C$12)/7)+1))</f>
        <v/>
      </c>
      <c r="D308" s="30"/>
      <c r="E308" s="30"/>
      <c r="F308" s="10"/>
      <c r="G308" s="49"/>
      <c r="H308" s="49"/>
      <c r="I308" s="52" t="str">
        <f t="shared" si="33"/>
        <v/>
      </c>
      <c r="J308" s="49"/>
      <c r="K308" s="49"/>
      <c r="L308" s="49"/>
      <c r="M308" s="49"/>
      <c r="N308" s="49"/>
      <c r="O308" s="49"/>
      <c r="P308" s="10"/>
      <c r="Q308" s="11" t="str">
        <f t="shared" si="34"/>
        <v/>
      </c>
      <c r="R308" s="11" t="str">
        <f t="shared" si="35"/>
        <v/>
      </c>
      <c r="S308" s="58" t="str">
        <f t="shared" si="36"/>
        <v/>
      </c>
      <c r="T308" s="55" t="str">
        <f t="shared" si="37"/>
        <v/>
      </c>
      <c r="U308" s="55" t="str">
        <f>IF($D308="","",IF($D308='01. CONFIGURAÇÕES'!$C$8,'01. CONFIGURAÇÕES'!$C$38,'01. CONFIGURAÇÕES'!$D$38))</f>
        <v/>
      </c>
      <c r="V308" s="58" t="str">
        <f t="shared" si="38"/>
        <v/>
      </c>
      <c r="W308" s="55" t="str">
        <f>IF($D308="","",IF($D308='01. CONFIGURAÇÕES'!$C$8,'01. CONFIGURAÇÕES'!$C$31,'01. CONFIGURAÇÕES'!$D$31))</f>
        <v/>
      </c>
      <c r="X308" s="54" t="str">
        <f>IF($A308="","",$T308*(1-'01. CONFIGURAÇÕES'!$C$16)-IF($W308="",0,$W308))</f>
        <v/>
      </c>
      <c r="Y308" s="54" t="str">
        <f t="shared" si="39"/>
        <v/>
      </c>
      <c r="Z308" s="30"/>
      <c r="AA308" s="33"/>
      <c r="AB308" s="33"/>
    </row>
    <row r="309" spans="1:28" x14ac:dyDescent="0.25">
      <c r="A309" s="31"/>
      <c r="B309" s="29" t="str">
        <f t="shared" si="32"/>
        <v/>
      </c>
      <c r="C309" s="29" t="str">
        <f>IF($A309="","","S"&amp;(INT(($A309-'01. CONFIGURAÇÕES'!$C$12)/7)+1))</f>
        <v/>
      </c>
      <c r="D309" s="30"/>
      <c r="E309" s="30"/>
      <c r="F309" s="10"/>
      <c r="G309" s="49"/>
      <c r="H309" s="49"/>
      <c r="I309" s="52" t="str">
        <f t="shared" si="33"/>
        <v/>
      </c>
      <c r="J309" s="49"/>
      <c r="K309" s="49"/>
      <c r="L309" s="49"/>
      <c r="M309" s="49"/>
      <c r="N309" s="49"/>
      <c r="O309" s="49"/>
      <c r="P309" s="10"/>
      <c r="Q309" s="11" t="str">
        <f t="shared" si="34"/>
        <v/>
      </c>
      <c r="R309" s="11" t="str">
        <f t="shared" si="35"/>
        <v/>
      </c>
      <c r="S309" s="58" t="str">
        <f t="shared" si="36"/>
        <v/>
      </c>
      <c r="T309" s="55" t="str">
        <f t="shared" si="37"/>
        <v/>
      </c>
      <c r="U309" s="55" t="str">
        <f>IF($D309="","",IF($D309='01. CONFIGURAÇÕES'!$C$8,'01. CONFIGURAÇÕES'!$C$38,'01. CONFIGURAÇÕES'!$D$38))</f>
        <v/>
      </c>
      <c r="V309" s="58" t="str">
        <f t="shared" si="38"/>
        <v/>
      </c>
      <c r="W309" s="55" t="str">
        <f>IF($D309="","",IF($D309='01. CONFIGURAÇÕES'!$C$8,'01. CONFIGURAÇÕES'!$C$31,'01. CONFIGURAÇÕES'!$D$31))</f>
        <v/>
      </c>
      <c r="X309" s="54" t="str">
        <f>IF($A309="","",$T309*(1-'01. CONFIGURAÇÕES'!$C$16)-IF($W309="",0,$W309))</f>
        <v/>
      </c>
      <c r="Y309" s="54" t="str">
        <f t="shared" si="39"/>
        <v/>
      </c>
      <c r="Z309" s="30"/>
      <c r="AA309" s="33"/>
      <c r="AB309" s="33"/>
    </row>
    <row r="310" spans="1:28" x14ac:dyDescent="0.25">
      <c r="A310" s="31"/>
      <c r="B310" s="29" t="str">
        <f t="shared" si="32"/>
        <v/>
      </c>
      <c r="C310" s="29" t="str">
        <f>IF($A310="","","S"&amp;(INT(($A310-'01. CONFIGURAÇÕES'!$C$12)/7)+1))</f>
        <v/>
      </c>
      <c r="D310" s="30"/>
      <c r="E310" s="30"/>
      <c r="F310" s="10"/>
      <c r="G310" s="49"/>
      <c r="H310" s="49"/>
      <c r="I310" s="52" t="str">
        <f t="shared" si="33"/>
        <v/>
      </c>
      <c r="J310" s="49"/>
      <c r="K310" s="49"/>
      <c r="L310" s="49"/>
      <c r="M310" s="49"/>
      <c r="N310" s="49"/>
      <c r="O310" s="49"/>
      <c r="P310" s="10"/>
      <c r="Q310" s="11" t="str">
        <f t="shared" si="34"/>
        <v/>
      </c>
      <c r="R310" s="11" t="str">
        <f t="shared" si="35"/>
        <v/>
      </c>
      <c r="S310" s="58" t="str">
        <f t="shared" si="36"/>
        <v/>
      </c>
      <c r="T310" s="55" t="str">
        <f t="shared" si="37"/>
        <v/>
      </c>
      <c r="U310" s="55" t="str">
        <f>IF($D310="","",IF($D310='01. CONFIGURAÇÕES'!$C$8,'01. CONFIGURAÇÕES'!$C$38,'01. CONFIGURAÇÕES'!$D$38))</f>
        <v/>
      </c>
      <c r="V310" s="58" t="str">
        <f t="shared" si="38"/>
        <v/>
      </c>
      <c r="W310" s="55" t="str">
        <f>IF($D310="","",IF($D310='01. CONFIGURAÇÕES'!$C$8,'01. CONFIGURAÇÕES'!$C$31,'01. CONFIGURAÇÕES'!$D$31))</f>
        <v/>
      </c>
      <c r="X310" s="54" t="str">
        <f>IF($A310="","",$T310*(1-'01. CONFIGURAÇÕES'!$C$16)-IF($W310="",0,$W310))</f>
        <v/>
      </c>
      <c r="Y310" s="54" t="str">
        <f t="shared" si="39"/>
        <v/>
      </c>
      <c r="Z310" s="30"/>
      <c r="AA310" s="33"/>
      <c r="AB310" s="33"/>
    </row>
    <row r="311" spans="1:28" x14ac:dyDescent="0.25">
      <c r="A311" s="31"/>
      <c r="B311" s="29" t="str">
        <f t="shared" si="32"/>
        <v/>
      </c>
      <c r="C311" s="29" t="str">
        <f>IF($A311="","","S"&amp;(INT(($A311-'01. CONFIGURAÇÕES'!$C$12)/7)+1))</f>
        <v/>
      </c>
      <c r="D311" s="30"/>
      <c r="E311" s="30"/>
      <c r="F311" s="10"/>
      <c r="G311" s="49"/>
      <c r="H311" s="49"/>
      <c r="I311" s="52" t="str">
        <f t="shared" si="33"/>
        <v/>
      </c>
      <c r="J311" s="49"/>
      <c r="K311" s="49"/>
      <c r="L311" s="49"/>
      <c r="M311" s="49"/>
      <c r="N311" s="49"/>
      <c r="O311" s="49"/>
      <c r="P311" s="10"/>
      <c r="Q311" s="11" t="str">
        <f t="shared" si="34"/>
        <v/>
      </c>
      <c r="R311" s="11" t="str">
        <f t="shared" si="35"/>
        <v/>
      </c>
      <c r="S311" s="58" t="str">
        <f t="shared" si="36"/>
        <v/>
      </c>
      <c r="T311" s="55" t="str">
        <f t="shared" si="37"/>
        <v/>
      </c>
      <c r="U311" s="55" t="str">
        <f>IF($D311="","",IF($D311='01. CONFIGURAÇÕES'!$C$8,'01. CONFIGURAÇÕES'!$C$38,'01. CONFIGURAÇÕES'!$D$38))</f>
        <v/>
      </c>
      <c r="V311" s="58" t="str">
        <f t="shared" si="38"/>
        <v/>
      </c>
      <c r="W311" s="55" t="str">
        <f>IF($D311="","",IF($D311='01. CONFIGURAÇÕES'!$C$8,'01. CONFIGURAÇÕES'!$C$31,'01. CONFIGURAÇÕES'!$D$31))</f>
        <v/>
      </c>
      <c r="X311" s="54" t="str">
        <f>IF($A311="","",$T311*(1-'01. CONFIGURAÇÕES'!$C$16)-IF($W311="",0,$W311))</f>
        <v/>
      </c>
      <c r="Y311" s="54" t="str">
        <f t="shared" si="39"/>
        <v/>
      </c>
      <c r="Z311" s="30"/>
      <c r="AA311" s="33"/>
      <c r="AB311" s="33"/>
    </row>
    <row r="312" spans="1:28" x14ac:dyDescent="0.25">
      <c r="A312" s="31"/>
      <c r="B312" s="29" t="str">
        <f t="shared" si="32"/>
        <v/>
      </c>
      <c r="C312" s="29" t="str">
        <f>IF($A312="","","S"&amp;(INT(($A312-'01. CONFIGURAÇÕES'!$C$12)/7)+1))</f>
        <v/>
      </c>
      <c r="D312" s="30"/>
      <c r="E312" s="30"/>
      <c r="F312" s="10"/>
      <c r="G312" s="49"/>
      <c r="H312" s="49"/>
      <c r="I312" s="52" t="str">
        <f t="shared" si="33"/>
        <v/>
      </c>
      <c r="J312" s="49"/>
      <c r="K312" s="49"/>
      <c r="L312" s="49"/>
      <c r="M312" s="49"/>
      <c r="N312" s="49"/>
      <c r="O312" s="49"/>
      <c r="P312" s="10"/>
      <c r="Q312" s="11" t="str">
        <f t="shared" si="34"/>
        <v/>
      </c>
      <c r="R312" s="11" t="str">
        <f t="shared" si="35"/>
        <v/>
      </c>
      <c r="S312" s="58" t="str">
        <f t="shared" si="36"/>
        <v/>
      </c>
      <c r="T312" s="55" t="str">
        <f t="shared" si="37"/>
        <v/>
      </c>
      <c r="U312" s="55" t="str">
        <f>IF($D312="","",IF($D312='01. CONFIGURAÇÕES'!$C$8,'01. CONFIGURAÇÕES'!$C$38,'01. CONFIGURAÇÕES'!$D$38))</f>
        <v/>
      </c>
      <c r="V312" s="58" t="str">
        <f t="shared" si="38"/>
        <v/>
      </c>
      <c r="W312" s="55" t="str">
        <f>IF($D312="","",IF($D312='01. CONFIGURAÇÕES'!$C$8,'01. CONFIGURAÇÕES'!$C$31,'01. CONFIGURAÇÕES'!$D$31))</f>
        <v/>
      </c>
      <c r="X312" s="54" t="str">
        <f>IF($A312="","",$T312*(1-'01. CONFIGURAÇÕES'!$C$16)-IF($W312="",0,$W312))</f>
        <v/>
      </c>
      <c r="Y312" s="54" t="str">
        <f t="shared" si="39"/>
        <v/>
      </c>
      <c r="Z312" s="30"/>
      <c r="AA312" s="33"/>
      <c r="AB312" s="33"/>
    </row>
    <row r="313" spans="1:28" x14ac:dyDescent="0.25">
      <c r="A313" s="31"/>
      <c r="B313" s="29" t="str">
        <f t="shared" si="32"/>
        <v/>
      </c>
      <c r="C313" s="29" t="str">
        <f>IF($A313="","","S"&amp;(INT(($A313-'01. CONFIGURAÇÕES'!$C$12)/7)+1))</f>
        <v/>
      </c>
      <c r="D313" s="30"/>
      <c r="E313" s="30"/>
      <c r="F313" s="10"/>
      <c r="G313" s="49"/>
      <c r="H313" s="49"/>
      <c r="I313" s="52" t="str">
        <f t="shared" si="33"/>
        <v/>
      </c>
      <c r="J313" s="49"/>
      <c r="K313" s="49"/>
      <c r="L313" s="49"/>
      <c r="M313" s="49"/>
      <c r="N313" s="49"/>
      <c r="O313" s="49"/>
      <c r="P313" s="10"/>
      <c r="Q313" s="11" t="str">
        <f t="shared" si="34"/>
        <v/>
      </c>
      <c r="R313" s="11" t="str">
        <f t="shared" si="35"/>
        <v/>
      </c>
      <c r="S313" s="58" t="str">
        <f t="shared" si="36"/>
        <v/>
      </c>
      <c r="T313" s="55" t="str">
        <f t="shared" si="37"/>
        <v/>
      </c>
      <c r="U313" s="55" t="str">
        <f>IF($D313="","",IF($D313='01. CONFIGURAÇÕES'!$C$8,'01. CONFIGURAÇÕES'!$C$38,'01. CONFIGURAÇÕES'!$D$38))</f>
        <v/>
      </c>
      <c r="V313" s="58" t="str">
        <f t="shared" si="38"/>
        <v/>
      </c>
      <c r="W313" s="55" t="str">
        <f>IF($D313="","",IF($D313='01. CONFIGURAÇÕES'!$C$8,'01. CONFIGURAÇÕES'!$C$31,'01. CONFIGURAÇÕES'!$D$31))</f>
        <v/>
      </c>
      <c r="X313" s="54" t="str">
        <f>IF($A313="","",$T313*(1-'01. CONFIGURAÇÕES'!$C$16)-IF($W313="",0,$W313))</f>
        <v/>
      </c>
      <c r="Y313" s="54" t="str">
        <f t="shared" si="39"/>
        <v/>
      </c>
      <c r="Z313" s="30"/>
      <c r="AA313" s="33"/>
      <c r="AB313" s="33"/>
    </row>
    <row r="314" spans="1:28" x14ac:dyDescent="0.25">
      <c r="A314" s="31"/>
      <c r="B314" s="29" t="str">
        <f t="shared" si="32"/>
        <v/>
      </c>
      <c r="C314" s="29" t="str">
        <f>IF($A314="","","S"&amp;(INT(($A314-'01. CONFIGURAÇÕES'!$C$12)/7)+1))</f>
        <v/>
      </c>
      <c r="D314" s="30"/>
      <c r="E314" s="30"/>
      <c r="F314" s="10"/>
      <c r="G314" s="49"/>
      <c r="H314" s="49"/>
      <c r="I314" s="52" t="str">
        <f t="shared" si="33"/>
        <v/>
      </c>
      <c r="J314" s="49"/>
      <c r="K314" s="49"/>
      <c r="L314" s="49"/>
      <c r="M314" s="49"/>
      <c r="N314" s="49"/>
      <c r="O314" s="49"/>
      <c r="P314" s="10"/>
      <c r="Q314" s="11" t="str">
        <f t="shared" si="34"/>
        <v/>
      </c>
      <c r="R314" s="11" t="str">
        <f t="shared" si="35"/>
        <v/>
      </c>
      <c r="S314" s="58" t="str">
        <f t="shared" si="36"/>
        <v/>
      </c>
      <c r="T314" s="55" t="str">
        <f t="shared" si="37"/>
        <v/>
      </c>
      <c r="U314" s="55" t="str">
        <f>IF($D314="","",IF($D314='01. CONFIGURAÇÕES'!$C$8,'01. CONFIGURAÇÕES'!$C$38,'01. CONFIGURAÇÕES'!$D$38))</f>
        <v/>
      </c>
      <c r="V314" s="58" t="str">
        <f t="shared" si="38"/>
        <v/>
      </c>
      <c r="W314" s="55" t="str">
        <f>IF($D314="","",IF($D314='01. CONFIGURAÇÕES'!$C$8,'01. CONFIGURAÇÕES'!$C$31,'01. CONFIGURAÇÕES'!$D$31))</f>
        <v/>
      </c>
      <c r="X314" s="54" t="str">
        <f>IF($A314="","",$T314*(1-'01. CONFIGURAÇÕES'!$C$16)-IF($W314="",0,$W314))</f>
        <v/>
      </c>
      <c r="Y314" s="54" t="str">
        <f t="shared" si="39"/>
        <v/>
      </c>
      <c r="Z314" s="30"/>
      <c r="AA314" s="33"/>
      <c r="AB314" s="33"/>
    </row>
    <row r="315" spans="1:28" x14ac:dyDescent="0.25">
      <c r="A315" s="31"/>
      <c r="B315" s="29" t="str">
        <f t="shared" si="32"/>
        <v/>
      </c>
      <c r="C315" s="29" t="str">
        <f>IF($A315="","","S"&amp;(INT(($A315-'01. CONFIGURAÇÕES'!$C$12)/7)+1))</f>
        <v/>
      </c>
      <c r="D315" s="30"/>
      <c r="E315" s="30"/>
      <c r="F315" s="10"/>
      <c r="G315" s="49"/>
      <c r="H315" s="49"/>
      <c r="I315" s="52" t="str">
        <f t="shared" si="33"/>
        <v/>
      </c>
      <c r="J315" s="49"/>
      <c r="K315" s="49"/>
      <c r="L315" s="49"/>
      <c r="M315" s="49"/>
      <c r="N315" s="49"/>
      <c r="O315" s="49"/>
      <c r="P315" s="10"/>
      <c r="Q315" s="11" t="str">
        <f t="shared" si="34"/>
        <v/>
      </c>
      <c r="R315" s="11" t="str">
        <f t="shared" si="35"/>
        <v/>
      </c>
      <c r="S315" s="58" t="str">
        <f t="shared" si="36"/>
        <v/>
      </c>
      <c r="T315" s="55" t="str">
        <f t="shared" si="37"/>
        <v/>
      </c>
      <c r="U315" s="55" t="str">
        <f>IF($D315="","",IF($D315='01. CONFIGURAÇÕES'!$C$8,'01. CONFIGURAÇÕES'!$C$38,'01. CONFIGURAÇÕES'!$D$38))</f>
        <v/>
      </c>
      <c r="V315" s="58" t="str">
        <f t="shared" si="38"/>
        <v/>
      </c>
      <c r="W315" s="55" t="str">
        <f>IF($D315="","",IF($D315='01. CONFIGURAÇÕES'!$C$8,'01. CONFIGURAÇÕES'!$C$31,'01. CONFIGURAÇÕES'!$D$31))</f>
        <v/>
      </c>
      <c r="X315" s="54" t="str">
        <f>IF($A315="","",$T315*(1-'01. CONFIGURAÇÕES'!$C$16)-IF($W315="",0,$W315))</f>
        <v/>
      </c>
      <c r="Y315" s="54" t="str">
        <f t="shared" si="39"/>
        <v/>
      </c>
      <c r="Z315" s="30"/>
      <c r="AA315" s="33"/>
      <c r="AB315" s="33"/>
    </row>
    <row r="316" spans="1:28" x14ac:dyDescent="0.25">
      <c r="A316" s="31"/>
      <c r="B316" s="29" t="str">
        <f t="shared" si="32"/>
        <v/>
      </c>
      <c r="C316" s="29" t="str">
        <f>IF($A316="","","S"&amp;(INT(($A316-'01. CONFIGURAÇÕES'!$C$12)/7)+1))</f>
        <v/>
      </c>
      <c r="D316" s="30"/>
      <c r="E316" s="30"/>
      <c r="F316" s="10"/>
      <c r="G316" s="49"/>
      <c r="H316" s="49"/>
      <c r="I316" s="52" t="str">
        <f t="shared" si="33"/>
        <v/>
      </c>
      <c r="J316" s="49"/>
      <c r="K316" s="49"/>
      <c r="L316" s="49"/>
      <c r="M316" s="49"/>
      <c r="N316" s="49"/>
      <c r="O316" s="49"/>
      <c r="P316" s="10"/>
      <c r="Q316" s="11" t="str">
        <f t="shared" si="34"/>
        <v/>
      </c>
      <c r="R316" s="11" t="str">
        <f t="shared" si="35"/>
        <v/>
      </c>
      <c r="S316" s="58" t="str">
        <f t="shared" si="36"/>
        <v/>
      </c>
      <c r="T316" s="55" t="str">
        <f t="shared" si="37"/>
        <v/>
      </c>
      <c r="U316" s="55" t="str">
        <f>IF($D316="","",IF($D316='01. CONFIGURAÇÕES'!$C$8,'01. CONFIGURAÇÕES'!$C$38,'01. CONFIGURAÇÕES'!$D$38))</f>
        <v/>
      </c>
      <c r="V316" s="58" t="str">
        <f t="shared" si="38"/>
        <v/>
      </c>
      <c r="W316" s="55" t="str">
        <f>IF($D316="","",IF($D316='01. CONFIGURAÇÕES'!$C$8,'01. CONFIGURAÇÕES'!$C$31,'01. CONFIGURAÇÕES'!$D$31))</f>
        <v/>
      </c>
      <c r="X316" s="54" t="str">
        <f>IF($A316="","",$T316*(1-'01. CONFIGURAÇÕES'!$C$16)-IF($W316="",0,$W316))</f>
        <v/>
      </c>
      <c r="Y316" s="54" t="str">
        <f t="shared" si="39"/>
        <v/>
      </c>
      <c r="Z316" s="30"/>
      <c r="AA316" s="33"/>
      <c r="AB316" s="33"/>
    </row>
    <row r="317" spans="1:28" x14ac:dyDescent="0.25">
      <c r="A317" s="31"/>
      <c r="B317" s="29" t="str">
        <f t="shared" si="32"/>
        <v/>
      </c>
      <c r="C317" s="29" t="str">
        <f>IF($A317="","","S"&amp;(INT(($A317-'01. CONFIGURAÇÕES'!$C$12)/7)+1))</f>
        <v/>
      </c>
      <c r="D317" s="30"/>
      <c r="E317" s="30"/>
      <c r="F317" s="10"/>
      <c r="G317" s="49"/>
      <c r="H317" s="49"/>
      <c r="I317" s="52" t="str">
        <f t="shared" si="33"/>
        <v/>
      </c>
      <c r="J317" s="49"/>
      <c r="K317" s="49"/>
      <c r="L317" s="49"/>
      <c r="M317" s="49"/>
      <c r="N317" s="49"/>
      <c r="O317" s="49"/>
      <c r="P317" s="10"/>
      <c r="Q317" s="11" t="str">
        <f t="shared" si="34"/>
        <v/>
      </c>
      <c r="R317" s="11" t="str">
        <f t="shared" si="35"/>
        <v/>
      </c>
      <c r="S317" s="58" t="str">
        <f t="shared" si="36"/>
        <v/>
      </c>
      <c r="T317" s="55" t="str">
        <f t="shared" si="37"/>
        <v/>
      </c>
      <c r="U317" s="55" t="str">
        <f>IF($D317="","",IF($D317='01. CONFIGURAÇÕES'!$C$8,'01. CONFIGURAÇÕES'!$C$38,'01. CONFIGURAÇÕES'!$D$38))</f>
        <v/>
      </c>
      <c r="V317" s="58" t="str">
        <f t="shared" si="38"/>
        <v/>
      </c>
      <c r="W317" s="55" t="str">
        <f>IF($D317="","",IF($D317='01. CONFIGURAÇÕES'!$C$8,'01. CONFIGURAÇÕES'!$C$31,'01. CONFIGURAÇÕES'!$D$31))</f>
        <v/>
      </c>
      <c r="X317" s="54" t="str">
        <f>IF($A317="","",$T317*(1-'01. CONFIGURAÇÕES'!$C$16)-IF($W317="",0,$W317))</f>
        <v/>
      </c>
      <c r="Y317" s="54" t="str">
        <f t="shared" si="39"/>
        <v/>
      </c>
      <c r="Z317" s="30"/>
      <c r="AA317" s="33"/>
      <c r="AB317" s="33"/>
    </row>
    <row r="318" spans="1:28" x14ac:dyDescent="0.25">
      <c r="A318" s="31"/>
      <c r="B318" s="29" t="str">
        <f t="shared" si="32"/>
        <v/>
      </c>
      <c r="C318" s="29" t="str">
        <f>IF($A318="","","S"&amp;(INT(($A318-'01. CONFIGURAÇÕES'!$C$12)/7)+1))</f>
        <v/>
      </c>
      <c r="D318" s="30"/>
      <c r="E318" s="30"/>
      <c r="F318" s="10"/>
      <c r="G318" s="49"/>
      <c r="H318" s="49"/>
      <c r="I318" s="52" t="str">
        <f t="shared" si="33"/>
        <v/>
      </c>
      <c r="J318" s="49"/>
      <c r="K318" s="49"/>
      <c r="L318" s="49"/>
      <c r="M318" s="49"/>
      <c r="N318" s="49"/>
      <c r="O318" s="49"/>
      <c r="P318" s="10"/>
      <c r="Q318" s="11" t="str">
        <f t="shared" si="34"/>
        <v/>
      </c>
      <c r="R318" s="11" t="str">
        <f t="shared" si="35"/>
        <v/>
      </c>
      <c r="S318" s="58" t="str">
        <f t="shared" si="36"/>
        <v/>
      </c>
      <c r="T318" s="55" t="str">
        <f t="shared" si="37"/>
        <v/>
      </c>
      <c r="U318" s="55" t="str">
        <f>IF($D318="","",IF($D318='01. CONFIGURAÇÕES'!$C$8,'01. CONFIGURAÇÕES'!$C$38,'01. CONFIGURAÇÕES'!$D$38))</f>
        <v/>
      </c>
      <c r="V318" s="58" t="str">
        <f t="shared" si="38"/>
        <v/>
      </c>
      <c r="W318" s="55" t="str">
        <f>IF($D318="","",IF($D318='01. CONFIGURAÇÕES'!$C$8,'01. CONFIGURAÇÕES'!$C$31,'01. CONFIGURAÇÕES'!$D$31))</f>
        <v/>
      </c>
      <c r="X318" s="54" t="str">
        <f>IF($A318="","",$T318*(1-'01. CONFIGURAÇÕES'!$C$16)-IF($W318="",0,$W318))</f>
        <v/>
      </c>
      <c r="Y318" s="54" t="str">
        <f t="shared" si="39"/>
        <v/>
      </c>
      <c r="Z318" s="30"/>
      <c r="AA318" s="33"/>
      <c r="AB318" s="33"/>
    </row>
    <row r="319" spans="1:28" x14ac:dyDescent="0.25">
      <c r="A319" s="31"/>
      <c r="B319" s="29" t="str">
        <f t="shared" si="32"/>
        <v/>
      </c>
      <c r="C319" s="29" t="str">
        <f>IF($A319="","","S"&amp;(INT(($A319-'01. CONFIGURAÇÕES'!$C$12)/7)+1))</f>
        <v/>
      </c>
      <c r="D319" s="30"/>
      <c r="E319" s="30"/>
      <c r="F319" s="10"/>
      <c r="G319" s="49"/>
      <c r="H319" s="49"/>
      <c r="I319" s="52" t="str">
        <f t="shared" si="33"/>
        <v/>
      </c>
      <c r="J319" s="49"/>
      <c r="K319" s="49"/>
      <c r="L319" s="49"/>
      <c r="M319" s="49"/>
      <c r="N319" s="49"/>
      <c r="O319" s="49"/>
      <c r="P319" s="10"/>
      <c r="Q319" s="11" t="str">
        <f t="shared" si="34"/>
        <v/>
      </c>
      <c r="R319" s="11" t="str">
        <f t="shared" si="35"/>
        <v/>
      </c>
      <c r="S319" s="58" t="str">
        <f t="shared" si="36"/>
        <v/>
      </c>
      <c r="T319" s="55" t="str">
        <f t="shared" si="37"/>
        <v/>
      </c>
      <c r="U319" s="55" t="str">
        <f>IF($D319="","",IF($D319='01. CONFIGURAÇÕES'!$C$8,'01. CONFIGURAÇÕES'!$C$38,'01. CONFIGURAÇÕES'!$D$38))</f>
        <v/>
      </c>
      <c r="V319" s="58" t="str">
        <f t="shared" si="38"/>
        <v/>
      </c>
      <c r="W319" s="55" t="str">
        <f>IF($D319="","",IF($D319='01. CONFIGURAÇÕES'!$C$8,'01. CONFIGURAÇÕES'!$C$31,'01. CONFIGURAÇÕES'!$D$31))</f>
        <v/>
      </c>
      <c r="X319" s="54" t="str">
        <f>IF($A319="","",$T319*(1-'01. CONFIGURAÇÕES'!$C$16)-IF($W319="",0,$W319))</f>
        <v/>
      </c>
      <c r="Y319" s="54" t="str">
        <f t="shared" si="39"/>
        <v/>
      </c>
      <c r="Z319" s="30"/>
      <c r="AA319" s="33"/>
      <c r="AB319" s="33"/>
    </row>
    <row r="320" spans="1:28" x14ac:dyDescent="0.25">
      <c r="A320" s="31"/>
      <c r="B320" s="29" t="str">
        <f t="shared" si="32"/>
        <v/>
      </c>
      <c r="C320" s="29" t="str">
        <f>IF($A320="","","S"&amp;(INT(($A320-'01. CONFIGURAÇÕES'!$C$12)/7)+1))</f>
        <v/>
      </c>
      <c r="D320" s="30"/>
      <c r="E320" s="30"/>
      <c r="F320" s="10"/>
      <c r="G320" s="49"/>
      <c r="H320" s="49"/>
      <c r="I320" s="52" t="str">
        <f t="shared" si="33"/>
        <v/>
      </c>
      <c r="J320" s="49"/>
      <c r="K320" s="49"/>
      <c r="L320" s="49"/>
      <c r="M320" s="49"/>
      <c r="N320" s="49"/>
      <c r="O320" s="49"/>
      <c r="P320" s="10"/>
      <c r="Q320" s="11" t="str">
        <f t="shared" si="34"/>
        <v/>
      </c>
      <c r="R320" s="11" t="str">
        <f t="shared" si="35"/>
        <v/>
      </c>
      <c r="S320" s="58" t="str">
        <f t="shared" si="36"/>
        <v/>
      </c>
      <c r="T320" s="55" t="str">
        <f t="shared" si="37"/>
        <v/>
      </c>
      <c r="U320" s="55" t="str">
        <f>IF($D320="","",IF($D320='01. CONFIGURAÇÕES'!$C$8,'01. CONFIGURAÇÕES'!$C$38,'01. CONFIGURAÇÕES'!$D$38))</f>
        <v/>
      </c>
      <c r="V320" s="58" t="str">
        <f t="shared" si="38"/>
        <v/>
      </c>
      <c r="W320" s="55" t="str">
        <f>IF($D320="","",IF($D320='01. CONFIGURAÇÕES'!$C$8,'01. CONFIGURAÇÕES'!$C$31,'01. CONFIGURAÇÕES'!$D$31))</f>
        <v/>
      </c>
      <c r="X320" s="54" t="str">
        <f>IF($A320="","",$T320*(1-'01. CONFIGURAÇÕES'!$C$16)-IF($W320="",0,$W320))</f>
        <v/>
      </c>
      <c r="Y320" s="54" t="str">
        <f t="shared" si="39"/>
        <v/>
      </c>
      <c r="Z320" s="30"/>
      <c r="AA320" s="33"/>
      <c r="AB320" s="33"/>
    </row>
    <row r="321" spans="1:28" x14ac:dyDescent="0.25">
      <c r="A321" s="31"/>
      <c r="B321" s="29" t="str">
        <f t="shared" si="32"/>
        <v/>
      </c>
      <c r="C321" s="29" t="str">
        <f>IF($A321="","","S"&amp;(INT(($A321-'01. CONFIGURAÇÕES'!$C$12)/7)+1))</f>
        <v/>
      </c>
      <c r="D321" s="30"/>
      <c r="E321" s="30"/>
      <c r="F321" s="10"/>
      <c r="G321" s="49"/>
      <c r="H321" s="49"/>
      <c r="I321" s="52" t="str">
        <f t="shared" si="33"/>
        <v/>
      </c>
      <c r="J321" s="49"/>
      <c r="K321" s="49"/>
      <c r="L321" s="49"/>
      <c r="M321" s="49"/>
      <c r="N321" s="49"/>
      <c r="O321" s="49"/>
      <c r="P321" s="10"/>
      <c r="Q321" s="11" t="str">
        <f t="shared" si="34"/>
        <v/>
      </c>
      <c r="R321" s="11" t="str">
        <f t="shared" si="35"/>
        <v/>
      </c>
      <c r="S321" s="58" t="str">
        <f t="shared" si="36"/>
        <v/>
      </c>
      <c r="T321" s="55" t="str">
        <f t="shared" si="37"/>
        <v/>
      </c>
      <c r="U321" s="55" t="str">
        <f>IF($D321="","",IF($D321='01. CONFIGURAÇÕES'!$C$8,'01. CONFIGURAÇÕES'!$C$38,'01. CONFIGURAÇÕES'!$D$38))</f>
        <v/>
      </c>
      <c r="V321" s="58" t="str">
        <f t="shared" si="38"/>
        <v/>
      </c>
      <c r="W321" s="55" t="str">
        <f>IF($D321="","",IF($D321='01. CONFIGURAÇÕES'!$C$8,'01. CONFIGURAÇÕES'!$C$31,'01. CONFIGURAÇÕES'!$D$31))</f>
        <v/>
      </c>
      <c r="X321" s="54" t="str">
        <f>IF($A321="","",$T321*(1-'01. CONFIGURAÇÕES'!$C$16)-IF($W321="",0,$W321))</f>
        <v/>
      </c>
      <c r="Y321" s="54" t="str">
        <f t="shared" si="39"/>
        <v/>
      </c>
      <c r="Z321" s="30"/>
      <c r="AA321" s="33"/>
      <c r="AB321" s="33"/>
    </row>
    <row r="322" spans="1:28" x14ac:dyDescent="0.25">
      <c r="A322" s="31"/>
      <c r="B322" s="29" t="str">
        <f t="shared" si="32"/>
        <v/>
      </c>
      <c r="C322" s="29" t="str">
        <f>IF($A322="","","S"&amp;(INT(($A322-'01. CONFIGURAÇÕES'!$C$12)/7)+1))</f>
        <v/>
      </c>
      <c r="D322" s="30"/>
      <c r="E322" s="30"/>
      <c r="F322" s="10"/>
      <c r="G322" s="49"/>
      <c r="H322" s="49"/>
      <c r="I322" s="52" t="str">
        <f t="shared" si="33"/>
        <v/>
      </c>
      <c r="J322" s="49"/>
      <c r="K322" s="49"/>
      <c r="L322" s="49"/>
      <c r="M322" s="49"/>
      <c r="N322" s="49"/>
      <c r="O322" s="49"/>
      <c r="P322" s="10"/>
      <c r="Q322" s="11" t="str">
        <f t="shared" si="34"/>
        <v/>
      </c>
      <c r="R322" s="11" t="str">
        <f t="shared" si="35"/>
        <v/>
      </c>
      <c r="S322" s="58" t="str">
        <f t="shared" si="36"/>
        <v/>
      </c>
      <c r="T322" s="55" t="str">
        <f t="shared" si="37"/>
        <v/>
      </c>
      <c r="U322" s="55" t="str">
        <f>IF($D322="","",IF($D322='01. CONFIGURAÇÕES'!$C$8,'01. CONFIGURAÇÕES'!$C$38,'01. CONFIGURAÇÕES'!$D$38))</f>
        <v/>
      </c>
      <c r="V322" s="58" t="str">
        <f t="shared" si="38"/>
        <v/>
      </c>
      <c r="W322" s="55" t="str">
        <f>IF($D322="","",IF($D322='01. CONFIGURAÇÕES'!$C$8,'01. CONFIGURAÇÕES'!$C$31,'01. CONFIGURAÇÕES'!$D$31))</f>
        <v/>
      </c>
      <c r="X322" s="54" t="str">
        <f>IF($A322="","",$T322*(1-'01. CONFIGURAÇÕES'!$C$16)-IF($W322="",0,$W322))</f>
        <v/>
      </c>
      <c r="Y322" s="54" t="str">
        <f t="shared" si="39"/>
        <v/>
      </c>
      <c r="Z322" s="30"/>
      <c r="AA322" s="33"/>
      <c r="AB322" s="33"/>
    </row>
    <row r="323" spans="1:28" x14ac:dyDescent="0.25">
      <c r="A323" s="31"/>
      <c r="B323" s="29" t="str">
        <f t="shared" si="32"/>
        <v/>
      </c>
      <c r="C323" s="29" t="str">
        <f>IF($A323="","","S"&amp;(INT(($A323-'01. CONFIGURAÇÕES'!$C$12)/7)+1))</f>
        <v/>
      </c>
      <c r="D323" s="30"/>
      <c r="E323" s="30"/>
      <c r="F323" s="10"/>
      <c r="G323" s="49"/>
      <c r="H323" s="49"/>
      <c r="I323" s="52" t="str">
        <f t="shared" si="33"/>
        <v/>
      </c>
      <c r="J323" s="49"/>
      <c r="K323" s="49"/>
      <c r="L323" s="49"/>
      <c r="M323" s="49"/>
      <c r="N323" s="49"/>
      <c r="O323" s="49"/>
      <c r="P323" s="10"/>
      <c r="Q323" s="11" t="str">
        <f t="shared" si="34"/>
        <v/>
      </c>
      <c r="R323" s="11" t="str">
        <f t="shared" si="35"/>
        <v/>
      </c>
      <c r="S323" s="58" t="str">
        <f t="shared" si="36"/>
        <v/>
      </c>
      <c r="T323" s="55" t="str">
        <f t="shared" si="37"/>
        <v/>
      </c>
      <c r="U323" s="55" t="str">
        <f>IF($D323="","",IF($D323='01. CONFIGURAÇÕES'!$C$8,'01. CONFIGURAÇÕES'!$C$38,'01. CONFIGURAÇÕES'!$D$38))</f>
        <v/>
      </c>
      <c r="V323" s="58" t="str">
        <f t="shared" si="38"/>
        <v/>
      </c>
      <c r="W323" s="55" t="str">
        <f>IF($D323="","",IF($D323='01. CONFIGURAÇÕES'!$C$8,'01. CONFIGURAÇÕES'!$C$31,'01. CONFIGURAÇÕES'!$D$31))</f>
        <v/>
      </c>
      <c r="X323" s="54" t="str">
        <f>IF($A323="","",$T323*(1-'01. CONFIGURAÇÕES'!$C$16)-IF($W323="",0,$W323))</f>
        <v/>
      </c>
      <c r="Y323" s="54" t="str">
        <f t="shared" si="39"/>
        <v/>
      </c>
      <c r="Z323" s="30"/>
      <c r="AA323" s="33"/>
      <c r="AB323" s="33"/>
    </row>
    <row r="324" spans="1:28" x14ac:dyDescent="0.25">
      <c r="A324" s="31"/>
      <c r="B324" s="29" t="str">
        <f t="shared" si="32"/>
        <v/>
      </c>
      <c r="C324" s="29" t="str">
        <f>IF($A324="","","S"&amp;(INT(($A324-'01. CONFIGURAÇÕES'!$C$12)/7)+1))</f>
        <v/>
      </c>
      <c r="D324" s="30"/>
      <c r="E324" s="30"/>
      <c r="F324" s="10"/>
      <c r="G324" s="49"/>
      <c r="H324" s="49"/>
      <c r="I324" s="52" t="str">
        <f t="shared" si="33"/>
        <v/>
      </c>
      <c r="J324" s="49"/>
      <c r="K324" s="49"/>
      <c r="L324" s="49"/>
      <c r="M324" s="49"/>
      <c r="N324" s="49"/>
      <c r="O324" s="49"/>
      <c r="P324" s="10"/>
      <c r="Q324" s="11" t="str">
        <f t="shared" si="34"/>
        <v/>
      </c>
      <c r="R324" s="11" t="str">
        <f t="shared" si="35"/>
        <v/>
      </c>
      <c r="S324" s="58" t="str">
        <f t="shared" si="36"/>
        <v/>
      </c>
      <c r="T324" s="55" t="str">
        <f t="shared" si="37"/>
        <v/>
      </c>
      <c r="U324" s="55" t="str">
        <f>IF($D324="","",IF($D324='01. CONFIGURAÇÕES'!$C$8,'01. CONFIGURAÇÕES'!$C$38,'01. CONFIGURAÇÕES'!$D$38))</f>
        <v/>
      </c>
      <c r="V324" s="58" t="str">
        <f t="shared" si="38"/>
        <v/>
      </c>
      <c r="W324" s="55" t="str">
        <f>IF($D324="","",IF($D324='01. CONFIGURAÇÕES'!$C$8,'01. CONFIGURAÇÕES'!$C$31,'01. CONFIGURAÇÕES'!$D$31))</f>
        <v/>
      </c>
      <c r="X324" s="54" t="str">
        <f>IF($A324="","",$T324*(1-'01. CONFIGURAÇÕES'!$C$16)-IF($W324="",0,$W324))</f>
        <v/>
      </c>
      <c r="Y324" s="54" t="str">
        <f t="shared" si="39"/>
        <v/>
      </c>
      <c r="Z324" s="30"/>
      <c r="AA324" s="33"/>
      <c r="AB324" s="33"/>
    </row>
    <row r="325" spans="1:28" x14ac:dyDescent="0.25">
      <c r="A325" s="31"/>
      <c r="B325" s="29" t="str">
        <f t="shared" ref="B325:B388" si="40">IF($A325="","",CHOOSE(WEEKDAY($A325,1),"DOM","SEG","TER","QUA","QUI","SEX","SÁB"))</f>
        <v/>
      </c>
      <c r="C325" s="29" t="str">
        <f>IF($A325="","","S"&amp;(INT(($A325-'01. CONFIGURAÇÕES'!$C$12)/7)+1))</f>
        <v/>
      </c>
      <c r="D325" s="30"/>
      <c r="E325" s="30"/>
      <c r="F325" s="10"/>
      <c r="G325" s="49"/>
      <c r="H325" s="49"/>
      <c r="I325" s="52" t="str">
        <f t="shared" ref="I325:I388" si="41">IF($A325="","",$F325*($G325+$H325))</f>
        <v/>
      </c>
      <c r="J325" s="49"/>
      <c r="K325" s="49"/>
      <c r="L325" s="49"/>
      <c r="M325" s="49"/>
      <c r="N325" s="49"/>
      <c r="O325" s="49"/>
      <c r="P325" s="10"/>
      <c r="Q325" s="11" t="str">
        <f t="shared" ref="Q325:Q388" si="42">IF($A325="","",COUNTIFS(PROG_DATA,$A325,PROG_EQUIPE,$E325))</f>
        <v/>
      </c>
      <c r="R325" s="11" t="str">
        <f t="shared" ref="R325:R388" si="43">IF($A325="","",COUNTIFS(OS_FIM,$A325,OS_EQUIPE,$E325))</f>
        <v/>
      </c>
      <c r="S325" s="58" t="str">
        <f t="shared" ref="S325:S388" si="44">IF(OR($A325="",$Q325=0),"",$R325/$Q325)</f>
        <v/>
      </c>
      <c r="T325" s="55" t="str">
        <f t="shared" ref="T325:T388" si="45">IF($A325="","",SUMIFS(MED_VLR,MED_DATA,$A325,MED_EQUIPE,$E325))</f>
        <v/>
      </c>
      <c r="U325" s="55" t="str">
        <f>IF($D325="","",IF($D325='01. CONFIGURAÇÕES'!$C$8,'01. CONFIGURAÇÕES'!$C$38,'01. CONFIGURAÇÕES'!$D$38))</f>
        <v/>
      </c>
      <c r="V325" s="58" t="str">
        <f t="shared" ref="V325:V388" si="46">IF(OR($U325="",$U325=0),"",$T325/$U325)</f>
        <v/>
      </c>
      <c r="W325" s="55" t="str">
        <f>IF($D325="","",IF($D325='01. CONFIGURAÇÕES'!$C$8,'01. CONFIGURAÇÕES'!$C$31,'01. CONFIGURAÇÕES'!$D$31))</f>
        <v/>
      </c>
      <c r="X325" s="54" t="str">
        <f>IF($A325="","",$T325*(1-'01. CONFIGURAÇÕES'!$C$16)-IF($W325="",0,$W325))</f>
        <v/>
      </c>
      <c r="Y325" s="54" t="str">
        <f t="shared" ref="Y325:Y388" si="47">IF(OR($I325="",$I325=0),"",$T325/$I325)</f>
        <v/>
      </c>
      <c r="Z325" s="30"/>
      <c r="AA325" s="33"/>
      <c r="AB325" s="33"/>
    </row>
    <row r="326" spans="1:28" x14ac:dyDescent="0.25">
      <c r="A326" s="31"/>
      <c r="B326" s="29" t="str">
        <f t="shared" si="40"/>
        <v/>
      </c>
      <c r="C326" s="29" t="str">
        <f>IF($A326="","","S"&amp;(INT(($A326-'01. CONFIGURAÇÕES'!$C$12)/7)+1))</f>
        <v/>
      </c>
      <c r="D326" s="30"/>
      <c r="E326" s="30"/>
      <c r="F326" s="10"/>
      <c r="G326" s="49"/>
      <c r="H326" s="49"/>
      <c r="I326" s="52" t="str">
        <f t="shared" si="41"/>
        <v/>
      </c>
      <c r="J326" s="49"/>
      <c r="K326" s="49"/>
      <c r="L326" s="49"/>
      <c r="M326" s="49"/>
      <c r="N326" s="49"/>
      <c r="O326" s="49"/>
      <c r="P326" s="10"/>
      <c r="Q326" s="11" t="str">
        <f t="shared" si="42"/>
        <v/>
      </c>
      <c r="R326" s="11" t="str">
        <f t="shared" si="43"/>
        <v/>
      </c>
      <c r="S326" s="58" t="str">
        <f t="shared" si="44"/>
        <v/>
      </c>
      <c r="T326" s="55" t="str">
        <f t="shared" si="45"/>
        <v/>
      </c>
      <c r="U326" s="55" t="str">
        <f>IF($D326="","",IF($D326='01. CONFIGURAÇÕES'!$C$8,'01. CONFIGURAÇÕES'!$C$38,'01. CONFIGURAÇÕES'!$D$38))</f>
        <v/>
      </c>
      <c r="V326" s="58" t="str">
        <f t="shared" si="46"/>
        <v/>
      </c>
      <c r="W326" s="55" t="str">
        <f>IF($D326="","",IF($D326='01. CONFIGURAÇÕES'!$C$8,'01. CONFIGURAÇÕES'!$C$31,'01. CONFIGURAÇÕES'!$D$31))</f>
        <v/>
      </c>
      <c r="X326" s="54" t="str">
        <f>IF($A326="","",$T326*(1-'01. CONFIGURAÇÕES'!$C$16)-IF($W326="",0,$W326))</f>
        <v/>
      </c>
      <c r="Y326" s="54" t="str">
        <f t="shared" si="47"/>
        <v/>
      </c>
      <c r="Z326" s="30"/>
      <c r="AA326" s="33"/>
      <c r="AB326" s="33"/>
    </row>
    <row r="327" spans="1:28" x14ac:dyDescent="0.25">
      <c r="A327" s="31"/>
      <c r="B327" s="29" t="str">
        <f t="shared" si="40"/>
        <v/>
      </c>
      <c r="C327" s="29" t="str">
        <f>IF($A327="","","S"&amp;(INT(($A327-'01. CONFIGURAÇÕES'!$C$12)/7)+1))</f>
        <v/>
      </c>
      <c r="D327" s="30"/>
      <c r="E327" s="30"/>
      <c r="F327" s="10"/>
      <c r="G327" s="49"/>
      <c r="H327" s="49"/>
      <c r="I327" s="52" t="str">
        <f t="shared" si="41"/>
        <v/>
      </c>
      <c r="J327" s="49"/>
      <c r="K327" s="49"/>
      <c r="L327" s="49"/>
      <c r="M327" s="49"/>
      <c r="N327" s="49"/>
      <c r="O327" s="49"/>
      <c r="P327" s="10"/>
      <c r="Q327" s="11" t="str">
        <f t="shared" si="42"/>
        <v/>
      </c>
      <c r="R327" s="11" t="str">
        <f t="shared" si="43"/>
        <v/>
      </c>
      <c r="S327" s="58" t="str">
        <f t="shared" si="44"/>
        <v/>
      </c>
      <c r="T327" s="55" t="str">
        <f t="shared" si="45"/>
        <v/>
      </c>
      <c r="U327" s="55" t="str">
        <f>IF($D327="","",IF($D327='01. CONFIGURAÇÕES'!$C$8,'01. CONFIGURAÇÕES'!$C$38,'01. CONFIGURAÇÕES'!$D$38))</f>
        <v/>
      </c>
      <c r="V327" s="58" t="str">
        <f t="shared" si="46"/>
        <v/>
      </c>
      <c r="W327" s="55" t="str">
        <f>IF($D327="","",IF($D327='01. CONFIGURAÇÕES'!$C$8,'01. CONFIGURAÇÕES'!$C$31,'01. CONFIGURAÇÕES'!$D$31))</f>
        <v/>
      </c>
      <c r="X327" s="54" t="str">
        <f>IF($A327="","",$T327*(1-'01. CONFIGURAÇÕES'!$C$16)-IF($W327="",0,$W327))</f>
        <v/>
      </c>
      <c r="Y327" s="54" t="str">
        <f t="shared" si="47"/>
        <v/>
      </c>
      <c r="Z327" s="30"/>
      <c r="AA327" s="33"/>
      <c r="AB327" s="33"/>
    </row>
    <row r="328" spans="1:28" x14ac:dyDescent="0.25">
      <c r="A328" s="31"/>
      <c r="B328" s="29" t="str">
        <f t="shared" si="40"/>
        <v/>
      </c>
      <c r="C328" s="29" t="str">
        <f>IF($A328="","","S"&amp;(INT(($A328-'01. CONFIGURAÇÕES'!$C$12)/7)+1))</f>
        <v/>
      </c>
      <c r="D328" s="30"/>
      <c r="E328" s="30"/>
      <c r="F328" s="10"/>
      <c r="G328" s="49"/>
      <c r="H328" s="49"/>
      <c r="I328" s="52" t="str">
        <f t="shared" si="41"/>
        <v/>
      </c>
      <c r="J328" s="49"/>
      <c r="K328" s="49"/>
      <c r="L328" s="49"/>
      <c r="M328" s="49"/>
      <c r="N328" s="49"/>
      <c r="O328" s="49"/>
      <c r="P328" s="10"/>
      <c r="Q328" s="11" t="str">
        <f t="shared" si="42"/>
        <v/>
      </c>
      <c r="R328" s="11" t="str">
        <f t="shared" si="43"/>
        <v/>
      </c>
      <c r="S328" s="58" t="str">
        <f t="shared" si="44"/>
        <v/>
      </c>
      <c r="T328" s="55" t="str">
        <f t="shared" si="45"/>
        <v/>
      </c>
      <c r="U328" s="55" t="str">
        <f>IF($D328="","",IF($D328='01. CONFIGURAÇÕES'!$C$8,'01. CONFIGURAÇÕES'!$C$38,'01. CONFIGURAÇÕES'!$D$38))</f>
        <v/>
      </c>
      <c r="V328" s="58" t="str">
        <f t="shared" si="46"/>
        <v/>
      </c>
      <c r="W328" s="55" t="str">
        <f>IF($D328="","",IF($D328='01. CONFIGURAÇÕES'!$C$8,'01. CONFIGURAÇÕES'!$C$31,'01. CONFIGURAÇÕES'!$D$31))</f>
        <v/>
      </c>
      <c r="X328" s="54" t="str">
        <f>IF($A328="","",$T328*(1-'01. CONFIGURAÇÕES'!$C$16)-IF($W328="",0,$W328))</f>
        <v/>
      </c>
      <c r="Y328" s="54" t="str">
        <f t="shared" si="47"/>
        <v/>
      </c>
      <c r="Z328" s="30"/>
      <c r="AA328" s="33"/>
      <c r="AB328" s="33"/>
    </row>
    <row r="329" spans="1:28" x14ac:dyDescent="0.25">
      <c r="A329" s="31"/>
      <c r="B329" s="29" t="str">
        <f t="shared" si="40"/>
        <v/>
      </c>
      <c r="C329" s="29" t="str">
        <f>IF($A329="","","S"&amp;(INT(($A329-'01. CONFIGURAÇÕES'!$C$12)/7)+1))</f>
        <v/>
      </c>
      <c r="D329" s="30"/>
      <c r="E329" s="30"/>
      <c r="F329" s="10"/>
      <c r="G329" s="49"/>
      <c r="H329" s="49"/>
      <c r="I329" s="52" t="str">
        <f t="shared" si="41"/>
        <v/>
      </c>
      <c r="J329" s="49"/>
      <c r="K329" s="49"/>
      <c r="L329" s="49"/>
      <c r="M329" s="49"/>
      <c r="N329" s="49"/>
      <c r="O329" s="49"/>
      <c r="P329" s="10"/>
      <c r="Q329" s="11" t="str">
        <f t="shared" si="42"/>
        <v/>
      </c>
      <c r="R329" s="11" t="str">
        <f t="shared" si="43"/>
        <v/>
      </c>
      <c r="S329" s="58" t="str">
        <f t="shared" si="44"/>
        <v/>
      </c>
      <c r="T329" s="55" t="str">
        <f t="shared" si="45"/>
        <v/>
      </c>
      <c r="U329" s="55" t="str">
        <f>IF($D329="","",IF($D329='01. CONFIGURAÇÕES'!$C$8,'01. CONFIGURAÇÕES'!$C$38,'01. CONFIGURAÇÕES'!$D$38))</f>
        <v/>
      </c>
      <c r="V329" s="58" t="str">
        <f t="shared" si="46"/>
        <v/>
      </c>
      <c r="W329" s="55" t="str">
        <f>IF($D329="","",IF($D329='01. CONFIGURAÇÕES'!$C$8,'01. CONFIGURAÇÕES'!$C$31,'01. CONFIGURAÇÕES'!$D$31))</f>
        <v/>
      </c>
      <c r="X329" s="54" t="str">
        <f>IF($A329="","",$T329*(1-'01. CONFIGURAÇÕES'!$C$16)-IF($W329="",0,$W329))</f>
        <v/>
      </c>
      <c r="Y329" s="54" t="str">
        <f t="shared" si="47"/>
        <v/>
      </c>
      <c r="Z329" s="30"/>
      <c r="AA329" s="33"/>
      <c r="AB329" s="33"/>
    </row>
    <row r="330" spans="1:28" x14ac:dyDescent="0.25">
      <c r="A330" s="31"/>
      <c r="B330" s="29" t="str">
        <f t="shared" si="40"/>
        <v/>
      </c>
      <c r="C330" s="29" t="str">
        <f>IF($A330="","","S"&amp;(INT(($A330-'01. CONFIGURAÇÕES'!$C$12)/7)+1))</f>
        <v/>
      </c>
      <c r="D330" s="30"/>
      <c r="E330" s="30"/>
      <c r="F330" s="10"/>
      <c r="G330" s="49"/>
      <c r="H330" s="49"/>
      <c r="I330" s="52" t="str">
        <f t="shared" si="41"/>
        <v/>
      </c>
      <c r="J330" s="49"/>
      <c r="K330" s="49"/>
      <c r="L330" s="49"/>
      <c r="M330" s="49"/>
      <c r="N330" s="49"/>
      <c r="O330" s="49"/>
      <c r="P330" s="10"/>
      <c r="Q330" s="11" t="str">
        <f t="shared" si="42"/>
        <v/>
      </c>
      <c r="R330" s="11" t="str">
        <f t="shared" si="43"/>
        <v/>
      </c>
      <c r="S330" s="58" t="str">
        <f t="shared" si="44"/>
        <v/>
      </c>
      <c r="T330" s="55" t="str">
        <f t="shared" si="45"/>
        <v/>
      </c>
      <c r="U330" s="55" t="str">
        <f>IF($D330="","",IF($D330='01. CONFIGURAÇÕES'!$C$8,'01. CONFIGURAÇÕES'!$C$38,'01. CONFIGURAÇÕES'!$D$38))</f>
        <v/>
      </c>
      <c r="V330" s="58" t="str">
        <f t="shared" si="46"/>
        <v/>
      </c>
      <c r="W330" s="55" t="str">
        <f>IF($D330="","",IF($D330='01. CONFIGURAÇÕES'!$C$8,'01. CONFIGURAÇÕES'!$C$31,'01. CONFIGURAÇÕES'!$D$31))</f>
        <v/>
      </c>
      <c r="X330" s="54" t="str">
        <f>IF($A330="","",$T330*(1-'01. CONFIGURAÇÕES'!$C$16)-IF($W330="",0,$W330))</f>
        <v/>
      </c>
      <c r="Y330" s="54" t="str">
        <f t="shared" si="47"/>
        <v/>
      </c>
      <c r="Z330" s="30"/>
      <c r="AA330" s="33"/>
      <c r="AB330" s="33"/>
    </row>
    <row r="331" spans="1:28" x14ac:dyDescent="0.25">
      <c r="A331" s="31"/>
      <c r="B331" s="29" t="str">
        <f t="shared" si="40"/>
        <v/>
      </c>
      <c r="C331" s="29" t="str">
        <f>IF($A331="","","S"&amp;(INT(($A331-'01. CONFIGURAÇÕES'!$C$12)/7)+1))</f>
        <v/>
      </c>
      <c r="D331" s="30"/>
      <c r="E331" s="30"/>
      <c r="F331" s="10"/>
      <c r="G331" s="49"/>
      <c r="H331" s="49"/>
      <c r="I331" s="52" t="str">
        <f t="shared" si="41"/>
        <v/>
      </c>
      <c r="J331" s="49"/>
      <c r="K331" s="49"/>
      <c r="L331" s="49"/>
      <c r="M331" s="49"/>
      <c r="N331" s="49"/>
      <c r="O331" s="49"/>
      <c r="P331" s="10"/>
      <c r="Q331" s="11" t="str">
        <f t="shared" si="42"/>
        <v/>
      </c>
      <c r="R331" s="11" t="str">
        <f t="shared" si="43"/>
        <v/>
      </c>
      <c r="S331" s="58" t="str">
        <f t="shared" si="44"/>
        <v/>
      </c>
      <c r="T331" s="55" t="str">
        <f t="shared" si="45"/>
        <v/>
      </c>
      <c r="U331" s="55" t="str">
        <f>IF($D331="","",IF($D331='01. CONFIGURAÇÕES'!$C$8,'01. CONFIGURAÇÕES'!$C$38,'01. CONFIGURAÇÕES'!$D$38))</f>
        <v/>
      </c>
      <c r="V331" s="58" t="str">
        <f t="shared" si="46"/>
        <v/>
      </c>
      <c r="W331" s="55" t="str">
        <f>IF($D331="","",IF($D331='01. CONFIGURAÇÕES'!$C$8,'01. CONFIGURAÇÕES'!$C$31,'01. CONFIGURAÇÕES'!$D$31))</f>
        <v/>
      </c>
      <c r="X331" s="54" t="str">
        <f>IF($A331="","",$T331*(1-'01. CONFIGURAÇÕES'!$C$16)-IF($W331="",0,$W331))</f>
        <v/>
      </c>
      <c r="Y331" s="54" t="str">
        <f t="shared" si="47"/>
        <v/>
      </c>
      <c r="Z331" s="30"/>
      <c r="AA331" s="33"/>
      <c r="AB331" s="33"/>
    </row>
    <row r="332" spans="1:28" x14ac:dyDescent="0.25">
      <c r="A332" s="31"/>
      <c r="B332" s="29" t="str">
        <f t="shared" si="40"/>
        <v/>
      </c>
      <c r="C332" s="29" t="str">
        <f>IF($A332="","","S"&amp;(INT(($A332-'01. CONFIGURAÇÕES'!$C$12)/7)+1))</f>
        <v/>
      </c>
      <c r="D332" s="30"/>
      <c r="E332" s="30"/>
      <c r="F332" s="10"/>
      <c r="G332" s="49"/>
      <c r="H332" s="49"/>
      <c r="I332" s="52" t="str">
        <f t="shared" si="41"/>
        <v/>
      </c>
      <c r="J332" s="49"/>
      <c r="K332" s="49"/>
      <c r="L332" s="49"/>
      <c r="M332" s="49"/>
      <c r="N332" s="49"/>
      <c r="O332" s="49"/>
      <c r="P332" s="10"/>
      <c r="Q332" s="11" t="str">
        <f t="shared" si="42"/>
        <v/>
      </c>
      <c r="R332" s="11" t="str">
        <f t="shared" si="43"/>
        <v/>
      </c>
      <c r="S332" s="58" t="str">
        <f t="shared" si="44"/>
        <v/>
      </c>
      <c r="T332" s="55" t="str">
        <f t="shared" si="45"/>
        <v/>
      </c>
      <c r="U332" s="55" t="str">
        <f>IF($D332="","",IF($D332='01. CONFIGURAÇÕES'!$C$8,'01. CONFIGURAÇÕES'!$C$38,'01. CONFIGURAÇÕES'!$D$38))</f>
        <v/>
      </c>
      <c r="V332" s="58" t="str">
        <f t="shared" si="46"/>
        <v/>
      </c>
      <c r="W332" s="55" t="str">
        <f>IF($D332="","",IF($D332='01. CONFIGURAÇÕES'!$C$8,'01. CONFIGURAÇÕES'!$C$31,'01. CONFIGURAÇÕES'!$D$31))</f>
        <v/>
      </c>
      <c r="X332" s="54" t="str">
        <f>IF($A332="","",$T332*(1-'01. CONFIGURAÇÕES'!$C$16)-IF($W332="",0,$W332))</f>
        <v/>
      </c>
      <c r="Y332" s="54" t="str">
        <f t="shared" si="47"/>
        <v/>
      </c>
      <c r="Z332" s="30"/>
      <c r="AA332" s="33"/>
      <c r="AB332" s="33"/>
    </row>
    <row r="333" spans="1:28" x14ac:dyDescent="0.25">
      <c r="A333" s="31"/>
      <c r="B333" s="29" t="str">
        <f t="shared" si="40"/>
        <v/>
      </c>
      <c r="C333" s="29" t="str">
        <f>IF($A333="","","S"&amp;(INT(($A333-'01. CONFIGURAÇÕES'!$C$12)/7)+1))</f>
        <v/>
      </c>
      <c r="D333" s="30"/>
      <c r="E333" s="30"/>
      <c r="F333" s="10"/>
      <c r="G333" s="49"/>
      <c r="H333" s="49"/>
      <c r="I333" s="52" t="str">
        <f t="shared" si="41"/>
        <v/>
      </c>
      <c r="J333" s="49"/>
      <c r="K333" s="49"/>
      <c r="L333" s="49"/>
      <c r="M333" s="49"/>
      <c r="N333" s="49"/>
      <c r="O333" s="49"/>
      <c r="P333" s="10"/>
      <c r="Q333" s="11" t="str">
        <f t="shared" si="42"/>
        <v/>
      </c>
      <c r="R333" s="11" t="str">
        <f t="shared" si="43"/>
        <v/>
      </c>
      <c r="S333" s="58" t="str">
        <f t="shared" si="44"/>
        <v/>
      </c>
      <c r="T333" s="55" t="str">
        <f t="shared" si="45"/>
        <v/>
      </c>
      <c r="U333" s="55" t="str">
        <f>IF($D333="","",IF($D333='01. CONFIGURAÇÕES'!$C$8,'01. CONFIGURAÇÕES'!$C$38,'01. CONFIGURAÇÕES'!$D$38))</f>
        <v/>
      </c>
      <c r="V333" s="58" t="str">
        <f t="shared" si="46"/>
        <v/>
      </c>
      <c r="W333" s="55" t="str">
        <f>IF($D333="","",IF($D333='01. CONFIGURAÇÕES'!$C$8,'01. CONFIGURAÇÕES'!$C$31,'01. CONFIGURAÇÕES'!$D$31))</f>
        <v/>
      </c>
      <c r="X333" s="54" t="str">
        <f>IF($A333="","",$T333*(1-'01. CONFIGURAÇÕES'!$C$16)-IF($W333="",0,$W333))</f>
        <v/>
      </c>
      <c r="Y333" s="54" t="str">
        <f t="shared" si="47"/>
        <v/>
      </c>
      <c r="Z333" s="30"/>
      <c r="AA333" s="33"/>
      <c r="AB333" s="33"/>
    </row>
    <row r="334" spans="1:28" x14ac:dyDescent="0.25">
      <c r="A334" s="31"/>
      <c r="B334" s="29" t="str">
        <f t="shared" si="40"/>
        <v/>
      </c>
      <c r="C334" s="29" t="str">
        <f>IF($A334="","","S"&amp;(INT(($A334-'01. CONFIGURAÇÕES'!$C$12)/7)+1))</f>
        <v/>
      </c>
      <c r="D334" s="30"/>
      <c r="E334" s="30"/>
      <c r="F334" s="10"/>
      <c r="G334" s="49"/>
      <c r="H334" s="49"/>
      <c r="I334" s="52" t="str">
        <f t="shared" si="41"/>
        <v/>
      </c>
      <c r="J334" s="49"/>
      <c r="K334" s="49"/>
      <c r="L334" s="49"/>
      <c r="M334" s="49"/>
      <c r="N334" s="49"/>
      <c r="O334" s="49"/>
      <c r="P334" s="10"/>
      <c r="Q334" s="11" t="str">
        <f t="shared" si="42"/>
        <v/>
      </c>
      <c r="R334" s="11" t="str">
        <f t="shared" si="43"/>
        <v/>
      </c>
      <c r="S334" s="58" t="str">
        <f t="shared" si="44"/>
        <v/>
      </c>
      <c r="T334" s="55" t="str">
        <f t="shared" si="45"/>
        <v/>
      </c>
      <c r="U334" s="55" t="str">
        <f>IF($D334="","",IF($D334='01. CONFIGURAÇÕES'!$C$8,'01. CONFIGURAÇÕES'!$C$38,'01. CONFIGURAÇÕES'!$D$38))</f>
        <v/>
      </c>
      <c r="V334" s="58" t="str">
        <f t="shared" si="46"/>
        <v/>
      </c>
      <c r="W334" s="55" t="str">
        <f>IF($D334="","",IF($D334='01. CONFIGURAÇÕES'!$C$8,'01. CONFIGURAÇÕES'!$C$31,'01. CONFIGURAÇÕES'!$D$31))</f>
        <v/>
      </c>
      <c r="X334" s="54" t="str">
        <f>IF($A334="","",$T334*(1-'01. CONFIGURAÇÕES'!$C$16)-IF($W334="",0,$W334))</f>
        <v/>
      </c>
      <c r="Y334" s="54" t="str">
        <f t="shared" si="47"/>
        <v/>
      </c>
      <c r="Z334" s="30"/>
      <c r="AA334" s="33"/>
      <c r="AB334" s="33"/>
    </row>
    <row r="335" spans="1:28" x14ac:dyDescent="0.25">
      <c r="A335" s="31"/>
      <c r="B335" s="29" t="str">
        <f t="shared" si="40"/>
        <v/>
      </c>
      <c r="C335" s="29" t="str">
        <f>IF($A335="","","S"&amp;(INT(($A335-'01. CONFIGURAÇÕES'!$C$12)/7)+1))</f>
        <v/>
      </c>
      <c r="D335" s="30"/>
      <c r="E335" s="30"/>
      <c r="F335" s="10"/>
      <c r="G335" s="49"/>
      <c r="H335" s="49"/>
      <c r="I335" s="52" t="str">
        <f t="shared" si="41"/>
        <v/>
      </c>
      <c r="J335" s="49"/>
      <c r="K335" s="49"/>
      <c r="L335" s="49"/>
      <c r="M335" s="49"/>
      <c r="N335" s="49"/>
      <c r="O335" s="49"/>
      <c r="P335" s="10"/>
      <c r="Q335" s="11" t="str">
        <f t="shared" si="42"/>
        <v/>
      </c>
      <c r="R335" s="11" t="str">
        <f t="shared" si="43"/>
        <v/>
      </c>
      <c r="S335" s="58" t="str">
        <f t="shared" si="44"/>
        <v/>
      </c>
      <c r="T335" s="55" t="str">
        <f t="shared" si="45"/>
        <v/>
      </c>
      <c r="U335" s="55" t="str">
        <f>IF($D335="","",IF($D335='01. CONFIGURAÇÕES'!$C$8,'01. CONFIGURAÇÕES'!$C$38,'01. CONFIGURAÇÕES'!$D$38))</f>
        <v/>
      </c>
      <c r="V335" s="58" t="str">
        <f t="shared" si="46"/>
        <v/>
      </c>
      <c r="W335" s="55" t="str">
        <f>IF($D335="","",IF($D335='01. CONFIGURAÇÕES'!$C$8,'01. CONFIGURAÇÕES'!$C$31,'01. CONFIGURAÇÕES'!$D$31))</f>
        <v/>
      </c>
      <c r="X335" s="54" t="str">
        <f>IF($A335="","",$T335*(1-'01. CONFIGURAÇÕES'!$C$16)-IF($W335="",0,$W335))</f>
        <v/>
      </c>
      <c r="Y335" s="54" t="str">
        <f t="shared" si="47"/>
        <v/>
      </c>
      <c r="Z335" s="30"/>
      <c r="AA335" s="33"/>
      <c r="AB335" s="33"/>
    </row>
    <row r="336" spans="1:28" x14ac:dyDescent="0.25">
      <c r="A336" s="31"/>
      <c r="B336" s="29" t="str">
        <f t="shared" si="40"/>
        <v/>
      </c>
      <c r="C336" s="29" t="str">
        <f>IF($A336="","","S"&amp;(INT(($A336-'01. CONFIGURAÇÕES'!$C$12)/7)+1))</f>
        <v/>
      </c>
      <c r="D336" s="30"/>
      <c r="E336" s="30"/>
      <c r="F336" s="10"/>
      <c r="G336" s="49"/>
      <c r="H336" s="49"/>
      <c r="I336" s="52" t="str">
        <f t="shared" si="41"/>
        <v/>
      </c>
      <c r="J336" s="49"/>
      <c r="K336" s="49"/>
      <c r="L336" s="49"/>
      <c r="M336" s="49"/>
      <c r="N336" s="49"/>
      <c r="O336" s="49"/>
      <c r="P336" s="10"/>
      <c r="Q336" s="11" t="str">
        <f t="shared" si="42"/>
        <v/>
      </c>
      <c r="R336" s="11" t="str">
        <f t="shared" si="43"/>
        <v/>
      </c>
      <c r="S336" s="58" t="str">
        <f t="shared" si="44"/>
        <v/>
      </c>
      <c r="T336" s="55" t="str">
        <f t="shared" si="45"/>
        <v/>
      </c>
      <c r="U336" s="55" t="str">
        <f>IF($D336="","",IF($D336='01. CONFIGURAÇÕES'!$C$8,'01. CONFIGURAÇÕES'!$C$38,'01. CONFIGURAÇÕES'!$D$38))</f>
        <v/>
      </c>
      <c r="V336" s="58" t="str">
        <f t="shared" si="46"/>
        <v/>
      </c>
      <c r="W336" s="55" t="str">
        <f>IF($D336="","",IF($D336='01. CONFIGURAÇÕES'!$C$8,'01. CONFIGURAÇÕES'!$C$31,'01. CONFIGURAÇÕES'!$D$31))</f>
        <v/>
      </c>
      <c r="X336" s="54" t="str">
        <f>IF($A336="","",$T336*(1-'01. CONFIGURAÇÕES'!$C$16)-IF($W336="",0,$W336))</f>
        <v/>
      </c>
      <c r="Y336" s="54" t="str">
        <f t="shared" si="47"/>
        <v/>
      </c>
      <c r="Z336" s="30"/>
      <c r="AA336" s="33"/>
      <c r="AB336" s="33"/>
    </row>
    <row r="337" spans="1:28" x14ac:dyDescent="0.25">
      <c r="A337" s="31"/>
      <c r="B337" s="29" t="str">
        <f t="shared" si="40"/>
        <v/>
      </c>
      <c r="C337" s="29" t="str">
        <f>IF($A337="","","S"&amp;(INT(($A337-'01. CONFIGURAÇÕES'!$C$12)/7)+1))</f>
        <v/>
      </c>
      <c r="D337" s="30"/>
      <c r="E337" s="30"/>
      <c r="F337" s="10"/>
      <c r="G337" s="49"/>
      <c r="H337" s="49"/>
      <c r="I337" s="52" t="str">
        <f t="shared" si="41"/>
        <v/>
      </c>
      <c r="J337" s="49"/>
      <c r="K337" s="49"/>
      <c r="L337" s="49"/>
      <c r="M337" s="49"/>
      <c r="N337" s="49"/>
      <c r="O337" s="49"/>
      <c r="P337" s="10"/>
      <c r="Q337" s="11" t="str">
        <f t="shared" si="42"/>
        <v/>
      </c>
      <c r="R337" s="11" t="str">
        <f t="shared" si="43"/>
        <v/>
      </c>
      <c r="S337" s="58" t="str">
        <f t="shared" si="44"/>
        <v/>
      </c>
      <c r="T337" s="55" t="str">
        <f t="shared" si="45"/>
        <v/>
      </c>
      <c r="U337" s="55" t="str">
        <f>IF($D337="","",IF($D337='01. CONFIGURAÇÕES'!$C$8,'01. CONFIGURAÇÕES'!$C$38,'01. CONFIGURAÇÕES'!$D$38))</f>
        <v/>
      </c>
      <c r="V337" s="58" t="str">
        <f t="shared" si="46"/>
        <v/>
      </c>
      <c r="W337" s="55" t="str">
        <f>IF($D337="","",IF($D337='01. CONFIGURAÇÕES'!$C$8,'01. CONFIGURAÇÕES'!$C$31,'01. CONFIGURAÇÕES'!$D$31))</f>
        <v/>
      </c>
      <c r="X337" s="54" t="str">
        <f>IF($A337="","",$T337*(1-'01. CONFIGURAÇÕES'!$C$16)-IF($W337="",0,$W337))</f>
        <v/>
      </c>
      <c r="Y337" s="54" t="str">
        <f t="shared" si="47"/>
        <v/>
      </c>
      <c r="Z337" s="30"/>
      <c r="AA337" s="33"/>
      <c r="AB337" s="33"/>
    </row>
    <row r="338" spans="1:28" x14ac:dyDescent="0.25">
      <c r="A338" s="31"/>
      <c r="B338" s="29" t="str">
        <f t="shared" si="40"/>
        <v/>
      </c>
      <c r="C338" s="29" t="str">
        <f>IF($A338="","","S"&amp;(INT(($A338-'01. CONFIGURAÇÕES'!$C$12)/7)+1))</f>
        <v/>
      </c>
      <c r="D338" s="30"/>
      <c r="E338" s="30"/>
      <c r="F338" s="10"/>
      <c r="G338" s="49"/>
      <c r="H338" s="49"/>
      <c r="I338" s="52" t="str">
        <f t="shared" si="41"/>
        <v/>
      </c>
      <c r="J338" s="49"/>
      <c r="K338" s="49"/>
      <c r="L338" s="49"/>
      <c r="M338" s="49"/>
      <c r="N338" s="49"/>
      <c r="O338" s="49"/>
      <c r="P338" s="10"/>
      <c r="Q338" s="11" t="str">
        <f t="shared" si="42"/>
        <v/>
      </c>
      <c r="R338" s="11" t="str">
        <f t="shared" si="43"/>
        <v/>
      </c>
      <c r="S338" s="58" t="str">
        <f t="shared" si="44"/>
        <v/>
      </c>
      <c r="T338" s="55" t="str">
        <f t="shared" si="45"/>
        <v/>
      </c>
      <c r="U338" s="55" t="str">
        <f>IF($D338="","",IF($D338='01. CONFIGURAÇÕES'!$C$8,'01. CONFIGURAÇÕES'!$C$38,'01. CONFIGURAÇÕES'!$D$38))</f>
        <v/>
      </c>
      <c r="V338" s="58" t="str">
        <f t="shared" si="46"/>
        <v/>
      </c>
      <c r="W338" s="55" t="str">
        <f>IF($D338="","",IF($D338='01. CONFIGURAÇÕES'!$C$8,'01. CONFIGURAÇÕES'!$C$31,'01. CONFIGURAÇÕES'!$D$31))</f>
        <v/>
      </c>
      <c r="X338" s="54" t="str">
        <f>IF($A338="","",$T338*(1-'01. CONFIGURAÇÕES'!$C$16)-IF($W338="",0,$W338))</f>
        <v/>
      </c>
      <c r="Y338" s="54" t="str">
        <f t="shared" si="47"/>
        <v/>
      </c>
      <c r="Z338" s="30"/>
      <c r="AA338" s="33"/>
      <c r="AB338" s="33"/>
    </row>
    <row r="339" spans="1:28" x14ac:dyDescent="0.25">
      <c r="A339" s="31"/>
      <c r="B339" s="29" t="str">
        <f t="shared" si="40"/>
        <v/>
      </c>
      <c r="C339" s="29" t="str">
        <f>IF($A339="","","S"&amp;(INT(($A339-'01. CONFIGURAÇÕES'!$C$12)/7)+1))</f>
        <v/>
      </c>
      <c r="D339" s="30"/>
      <c r="E339" s="30"/>
      <c r="F339" s="10"/>
      <c r="G339" s="49"/>
      <c r="H339" s="49"/>
      <c r="I339" s="52" t="str">
        <f t="shared" si="41"/>
        <v/>
      </c>
      <c r="J339" s="49"/>
      <c r="K339" s="49"/>
      <c r="L339" s="49"/>
      <c r="M339" s="49"/>
      <c r="N339" s="49"/>
      <c r="O339" s="49"/>
      <c r="P339" s="10"/>
      <c r="Q339" s="11" t="str">
        <f t="shared" si="42"/>
        <v/>
      </c>
      <c r="R339" s="11" t="str">
        <f t="shared" si="43"/>
        <v/>
      </c>
      <c r="S339" s="58" t="str">
        <f t="shared" si="44"/>
        <v/>
      </c>
      <c r="T339" s="55" t="str">
        <f t="shared" si="45"/>
        <v/>
      </c>
      <c r="U339" s="55" t="str">
        <f>IF($D339="","",IF($D339='01. CONFIGURAÇÕES'!$C$8,'01. CONFIGURAÇÕES'!$C$38,'01. CONFIGURAÇÕES'!$D$38))</f>
        <v/>
      </c>
      <c r="V339" s="58" t="str">
        <f t="shared" si="46"/>
        <v/>
      </c>
      <c r="W339" s="55" t="str">
        <f>IF($D339="","",IF($D339='01. CONFIGURAÇÕES'!$C$8,'01. CONFIGURAÇÕES'!$C$31,'01. CONFIGURAÇÕES'!$D$31))</f>
        <v/>
      </c>
      <c r="X339" s="54" t="str">
        <f>IF($A339="","",$T339*(1-'01. CONFIGURAÇÕES'!$C$16)-IF($W339="",0,$W339))</f>
        <v/>
      </c>
      <c r="Y339" s="54" t="str">
        <f t="shared" si="47"/>
        <v/>
      </c>
      <c r="Z339" s="30"/>
      <c r="AA339" s="33"/>
      <c r="AB339" s="33"/>
    </row>
    <row r="340" spans="1:28" x14ac:dyDescent="0.25">
      <c r="A340" s="31"/>
      <c r="B340" s="29" t="str">
        <f t="shared" si="40"/>
        <v/>
      </c>
      <c r="C340" s="29" t="str">
        <f>IF($A340="","","S"&amp;(INT(($A340-'01. CONFIGURAÇÕES'!$C$12)/7)+1))</f>
        <v/>
      </c>
      <c r="D340" s="30"/>
      <c r="E340" s="30"/>
      <c r="F340" s="10"/>
      <c r="G340" s="49"/>
      <c r="H340" s="49"/>
      <c r="I340" s="52" t="str">
        <f t="shared" si="41"/>
        <v/>
      </c>
      <c r="J340" s="49"/>
      <c r="K340" s="49"/>
      <c r="L340" s="49"/>
      <c r="M340" s="49"/>
      <c r="N340" s="49"/>
      <c r="O340" s="49"/>
      <c r="P340" s="10"/>
      <c r="Q340" s="11" t="str">
        <f t="shared" si="42"/>
        <v/>
      </c>
      <c r="R340" s="11" t="str">
        <f t="shared" si="43"/>
        <v/>
      </c>
      <c r="S340" s="58" t="str">
        <f t="shared" si="44"/>
        <v/>
      </c>
      <c r="T340" s="55" t="str">
        <f t="shared" si="45"/>
        <v/>
      </c>
      <c r="U340" s="55" t="str">
        <f>IF($D340="","",IF($D340='01. CONFIGURAÇÕES'!$C$8,'01. CONFIGURAÇÕES'!$C$38,'01. CONFIGURAÇÕES'!$D$38))</f>
        <v/>
      </c>
      <c r="V340" s="58" t="str">
        <f t="shared" si="46"/>
        <v/>
      </c>
      <c r="W340" s="55" t="str">
        <f>IF($D340="","",IF($D340='01. CONFIGURAÇÕES'!$C$8,'01. CONFIGURAÇÕES'!$C$31,'01. CONFIGURAÇÕES'!$D$31))</f>
        <v/>
      </c>
      <c r="X340" s="54" t="str">
        <f>IF($A340="","",$T340*(1-'01. CONFIGURAÇÕES'!$C$16)-IF($W340="",0,$W340))</f>
        <v/>
      </c>
      <c r="Y340" s="54" t="str">
        <f t="shared" si="47"/>
        <v/>
      </c>
      <c r="Z340" s="30"/>
      <c r="AA340" s="33"/>
      <c r="AB340" s="33"/>
    </row>
    <row r="341" spans="1:28" x14ac:dyDescent="0.25">
      <c r="A341" s="31"/>
      <c r="B341" s="29" t="str">
        <f t="shared" si="40"/>
        <v/>
      </c>
      <c r="C341" s="29" t="str">
        <f>IF($A341="","","S"&amp;(INT(($A341-'01. CONFIGURAÇÕES'!$C$12)/7)+1))</f>
        <v/>
      </c>
      <c r="D341" s="30"/>
      <c r="E341" s="30"/>
      <c r="F341" s="10"/>
      <c r="G341" s="49"/>
      <c r="H341" s="49"/>
      <c r="I341" s="52" t="str">
        <f t="shared" si="41"/>
        <v/>
      </c>
      <c r="J341" s="49"/>
      <c r="K341" s="49"/>
      <c r="L341" s="49"/>
      <c r="M341" s="49"/>
      <c r="N341" s="49"/>
      <c r="O341" s="49"/>
      <c r="P341" s="10"/>
      <c r="Q341" s="11" t="str">
        <f t="shared" si="42"/>
        <v/>
      </c>
      <c r="R341" s="11" t="str">
        <f t="shared" si="43"/>
        <v/>
      </c>
      <c r="S341" s="58" t="str">
        <f t="shared" si="44"/>
        <v/>
      </c>
      <c r="T341" s="55" t="str">
        <f t="shared" si="45"/>
        <v/>
      </c>
      <c r="U341" s="55" t="str">
        <f>IF($D341="","",IF($D341='01. CONFIGURAÇÕES'!$C$8,'01. CONFIGURAÇÕES'!$C$38,'01. CONFIGURAÇÕES'!$D$38))</f>
        <v/>
      </c>
      <c r="V341" s="58" t="str">
        <f t="shared" si="46"/>
        <v/>
      </c>
      <c r="W341" s="55" t="str">
        <f>IF($D341="","",IF($D341='01. CONFIGURAÇÕES'!$C$8,'01. CONFIGURAÇÕES'!$C$31,'01. CONFIGURAÇÕES'!$D$31))</f>
        <v/>
      </c>
      <c r="X341" s="54" t="str">
        <f>IF($A341="","",$T341*(1-'01. CONFIGURAÇÕES'!$C$16)-IF($W341="",0,$W341))</f>
        <v/>
      </c>
      <c r="Y341" s="54" t="str">
        <f t="shared" si="47"/>
        <v/>
      </c>
      <c r="Z341" s="30"/>
      <c r="AA341" s="33"/>
      <c r="AB341" s="33"/>
    </row>
    <row r="342" spans="1:28" x14ac:dyDescent="0.25">
      <c r="A342" s="31"/>
      <c r="B342" s="29" t="str">
        <f t="shared" si="40"/>
        <v/>
      </c>
      <c r="C342" s="29" t="str">
        <f>IF($A342="","","S"&amp;(INT(($A342-'01. CONFIGURAÇÕES'!$C$12)/7)+1))</f>
        <v/>
      </c>
      <c r="D342" s="30"/>
      <c r="E342" s="30"/>
      <c r="F342" s="10"/>
      <c r="G342" s="49"/>
      <c r="H342" s="49"/>
      <c r="I342" s="52" t="str">
        <f t="shared" si="41"/>
        <v/>
      </c>
      <c r="J342" s="49"/>
      <c r="K342" s="49"/>
      <c r="L342" s="49"/>
      <c r="M342" s="49"/>
      <c r="N342" s="49"/>
      <c r="O342" s="49"/>
      <c r="P342" s="10"/>
      <c r="Q342" s="11" t="str">
        <f t="shared" si="42"/>
        <v/>
      </c>
      <c r="R342" s="11" t="str">
        <f t="shared" si="43"/>
        <v/>
      </c>
      <c r="S342" s="58" t="str">
        <f t="shared" si="44"/>
        <v/>
      </c>
      <c r="T342" s="55" t="str">
        <f t="shared" si="45"/>
        <v/>
      </c>
      <c r="U342" s="55" t="str">
        <f>IF($D342="","",IF($D342='01. CONFIGURAÇÕES'!$C$8,'01. CONFIGURAÇÕES'!$C$38,'01. CONFIGURAÇÕES'!$D$38))</f>
        <v/>
      </c>
      <c r="V342" s="58" t="str">
        <f t="shared" si="46"/>
        <v/>
      </c>
      <c r="W342" s="55" t="str">
        <f>IF($D342="","",IF($D342='01. CONFIGURAÇÕES'!$C$8,'01. CONFIGURAÇÕES'!$C$31,'01. CONFIGURAÇÕES'!$D$31))</f>
        <v/>
      </c>
      <c r="X342" s="54" t="str">
        <f>IF($A342="","",$T342*(1-'01. CONFIGURAÇÕES'!$C$16)-IF($W342="",0,$W342))</f>
        <v/>
      </c>
      <c r="Y342" s="54" t="str">
        <f t="shared" si="47"/>
        <v/>
      </c>
      <c r="Z342" s="30"/>
      <c r="AA342" s="33"/>
      <c r="AB342" s="33"/>
    </row>
    <row r="343" spans="1:28" x14ac:dyDescent="0.25">
      <c r="A343" s="31"/>
      <c r="B343" s="29" t="str">
        <f t="shared" si="40"/>
        <v/>
      </c>
      <c r="C343" s="29" t="str">
        <f>IF($A343="","","S"&amp;(INT(($A343-'01. CONFIGURAÇÕES'!$C$12)/7)+1))</f>
        <v/>
      </c>
      <c r="D343" s="30"/>
      <c r="E343" s="30"/>
      <c r="F343" s="10"/>
      <c r="G343" s="49"/>
      <c r="H343" s="49"/>
      <c r="I343" s="52" t="str">
        <f t="shared" si="41"/>
        <v/>
      </c>
      <c r="J343" s="49"/>
      <c r="K343" s="49"/>
      <c r="L343" s="49"/>
      <c r="M343" s="49"/>
      <c r="N343" s="49"/>
      <c r="O343" s="49"/>
      <c r="P343" s="10"/>
      <c r="Q343" s="11" t="str">
        <f t="shared" si="42"/>
        <v/>
      </c>
      <c r="R343" s="11" t="str">
        <f t="shared" si="43"/>
        <v/>
      </c>
      <c r="S343" s="58" t="str">
        <f t="shared" si="44"/>
        <v/>
      </c>
      <c r="T343" s="55" t="str">
        <f t="shared" si="45"/>
        <v/>
      </c>
      <c r="U343" s="55" t="str">
        <f>IF($D343="","",IF($D343='01. CONFIGURAÇÕES'!$C$8,'01. CONFIGURAÇÕES'!$C$38,'01. CONFIGURAÇÕES'!$D$38))</f>
        <v/>
      </c>
      <c r="V343" s="58" t="str">
        <f t="shared" si="46"/>
        <v/>
      </c>
      <c r="W343" s="55" t="str">
        <f>IF($D343="","",IF($D343='01. CONFIGURAÇÕES'!$C$8,'01. CONFIGURAÇÕES'!$C$31,'01. CONFIGURAÇÕES'!$D$31))</f>
        <v/>
      </c>
      <c r="X343" s="54" t="str">
        <f>IF($A343="","",$T343*(1-'01. CONFIGURAÇÕES'!$C$16)-IF($W343="",0,$W343))</f>
        <v/>
      </c>
      <c r="Y343" s="54" t="str">
        <f t="shared" si="47"/>
        <v/>
      </c>
      <c r="Z343" s="30"/>
      <c r="AA343" s="33"/>
      <c r="AB343" s="33"/>
    </row>
    <row r="344" spans="1:28" x14ac:dyDescent="0.25">
      <c r="A344" s="31"/>
      <c r="B344" s="29" t="str">
        <f t="shared" si="40"/>
        <v/>
      </c>
      <c r="C344" s="29" t="str">
        <f>IF($A344="","","S"&amp;(INT(($A344-'01. CONFIGURAÇÕES'!$C$12)/7)+1))</f>
        <v/>
      </c>
      <c r="D344" s="30"/>
      <c r="E344" s="30"/>
      <c r="F344" s="10"/>
      <c r="G344" s="49"/>
      <c r="H344" s="49"/>
      <c r="I344" s="52" t="str">
        <f t="shared" si="41"/>
        <v/>
      </c>
      <c r="J344" s="49"/>
      <c r="K344" s="49"/>
      <c r="L344" s="49"/>
      <c r="M344" s="49"/>
      <c r="N344" s="49"/>
      <c r="O344" s="49"/>
      <c r="P344" s="10"/>
      <c r="Q344" s="11" t="str">
        <f t="shared" si="42"/>
        <v/>
      </c>
      <c r="R344" s="11" t="str">
        <f t="shared" si="43"/>
        <v/>
      </c>
      <c r="S344" s="58" t="str">
        <f t="shared" si="44"/>
        <v/>
      </c>
      <c r="T344" s="55" t="str">
        <f t="shared" si="45"/>
        <v/>
      </c>
      <c r="U344" s="55" t="str">
        <f>IF($D344="","",IF($D344='01. CONFIGURAÇÕES'!$C$8,'01. CONFIGURAÇÕES'!$C$38,'01. CONFIGURAÇÕES'!$D$38))</f>
        <v/>
      </c>
      <c r="V344" s="58" t="str">
        <f t="shared" si="46"/>
        <v/>
      </c>
      <c r="W344" s="55" t="str">
        <f>IF($D344="","",IF($D344='01. CONFIGURAÇÕES'!$C$8,'01. CONFIGURAÇÕES'!$C$31,'01. CONFIGURAÇÕES'!$D$31))</f>
        <v/>
      </c>
      <c r="X344" s="54" t="str">
        <f>IF($A344="","",$T344*(1-'01. CONFIGURAÇÕES'!$C$16)-IF($W344="",0,$W344))</f>
        <v/>
      </c>
      <c r="Y344" s="54" t="str">
        <f t="shared" si="47"/>
        <v/>
      </c>
      <c r="Z344" s="30"/>
      <c r="AA344" s="33"/>
      <c r="AB344" s="33"/>
    </row>
    <row r="345" spans="1:28" x14ac:dyDescent="0.25">
      <c r="A345" s="31"/>
      <c r="B345" s="29" t="str">
        <f t="shared" si="40"/>
        <v/>
      </c>
      <c r="C345" s="29" t="str">
        <f>IF($A345="","","S"&amp;(INT(($A345-'01. CONFIGURAÇÕES'!$C$12)/7)+1))</f>
        <v/>
      </c>
      <c r="D345" s="30"/>
      <c r="E345" s="30"/>
      <c r="F345" s="10"/>
      <c r="G345" s="49"/>
      <c r="H345" s="49"/>
      <c r="I345" s="52" t="str">
        <f t="shared" si="41"/>
        <v/>
      </c>
      <c r="J345" s="49"/>
      <c r="K345" s="49"/>
      <c r="L345" s="49"/>
      <c r="M345" s="49"/>
      <c r="N345" s="49"/>
      <c r="O345" s="49"/>
      <c r="P345" s="10"/>
      <c r="Q345" s="11" t="str">
        <f t="shared" si="42"/>
        <v/>
      </c>
      <c r="R345" s="11" t="str">
        <f t="shared" si="43"/>
        <v/>
      </c>
      <c r="S345" s="58" t="str">
        <f t="shared" si="44"/>
        <v/>
      </c>
      <c r="T345" s="55" t="str">
        <f t="shared" si="45"/>
        <v/>
      </c>
      <c r="U345" s="55" t="str">
        <f>IF($D345="","",IF($D345='01. CONFIGURAÇÕES'!$C$8,'01. CONFIGURAÇÕES'!$C$38,'01. CONFIGURAÇÕES'!$D$38))</f>
        <v/>
      </c>
      <c r="V345" s="58" t="str">
        <f t="shared" si="46"/>
        <v/>
      </c>
      <c r="W345" s="55" t="str">
        <f>IF($D345="","",IF($D345='01. CONFIGURAÇÕES'!$C$8,'01. CONFIGURAÇÕES'!$C$31,'01. CONFIGURAÇÕES'!$D$31))</f>
        <v/>
      </c>
      <c r="X345" s="54" t="str">
        <f>IF($A345="","",$T345*(1-'01. CONFIGURAÇÕES'!$C$16)-IF($W345="",0,$W345))</f>
        <v/>
      </c>
      <c r="Y345" s="54" t="str">
        <f t="shared" si="47"/>
        <v/>
      </c>
      <c r="Z345" s="30"/>
      <c r="AA345" s="33"/>
      <c r="AB345" s="33"/>
    </row>
    <row r="346" spans="1:28" x14ac:dyDescent="0.25">
      <c r="A346" s="31"/>
      <c r="B346" s="29" t="str">
        <f t="shared" si="40"/>
        <v/>
      </c>
      <c r="C346" s="29" t="str">
        <f>IF($A346="","","S"&amp;(INT(($A346-'01. CONFIGURAÇÕES'!$C$12)/7)+1))</f>
        <v/>
      </c>
      <c r="D346" s="30"/>
      <c r="E346" s="30"/>
      <c r="F346" s="10"/>
      <c r="G346" s="49"/>
      <c r="H346" s="49"/>
      <c r="I346" s="52" t="str">
        <f t="shared" si="41"/>
        <v/>
      </c>
      <c r="J346" s="49"/>
      <c r="K346" s="49"/>
      <c r="L346" s="49"/>
      <c r="M346" s="49"/>
      <c r="N346" s="49"/>
      <c r="O346" s="49"/>
      <c r="P346" s="10"/>
      <c r="Q346" s="11" t="str">
        <f t="shared" si="42"/>
        <v/>
      </c>
      <c r="R346" s="11" t="str">
        <f t="shared" si="43"/>
        <v/>
      </c>
      <c r="S346" s="58" t="str">
        <f t="shared" si="44"/>
        <v/>
      </c>
      <c r="T346" s="55" t="str">
        <f t="shared" si="45"/>
        <v/>
      </c>
      <c r="U346" s="55" t="str">
        <f>IF($D346="","",IF($D346='01. CONFIGURAÇÕES'!$C$8,'01. CONFIGURAÇÕES'!$C$38,'01. CONFIGURAÇÕES'!$D$38))</f>
        <v/>
      </c>
      <c r="V346" s="58" t="str">
        <f t="shared" si="46"/>
        <v/>
      </c>
      <c r="W346" s="55" t="str">
        <f>IF($D346="","",IF($D346='01. CONFIGURAÇÕES'!$C$8,'01. CONFIGURAÇÕES'!$C$31,'01. CONFIGURAÇÕES'!$D$31))</f>
        <v/>
      </c>
      <c r="X346" s="54" t="str">
        <f>IF($A346="","",$T346*(1-'01. CONFIGURAÇÕES'!$C$16)-IF($W346="",0,$W346))</f>
        <v/>
      </c>
      <c r="Y346" s="54" t="str">
        <f t="shared" si="47"/>
        <v/>
      </c>
      <c r="Z346" s="30"/>
      <c r="AA346" s="33"/>
      <c r="AB346" s="33"/>
    </row>
    <row r="347" spans="1:28" x14ac:dyDescent="0.25">
      <c r="A347" s="31"/>
      <c r="B347" s="29" t="str">
        <f t="shared" si="40"/>
        <v/>
      </c>
      <c r="C347" s="29" t="str">
        <f>IF($A347="","","S"&amp;(INT(($A347-'01. CONFIGURAÇÕES'!$C$12)/7)+1))</f>
        <v/>
      </c>
      <c r="D347" s="30"/>
      <c r="E347" s="30"/>
      <c r="F347" s="10"/>
      <c r="G347" s="49"/>
      <c r="H347" s="49"/>
      <c r="I347" s="52" t="str">
        <f t="shared" si="41"/>
        <v/>
      </c>
      <c r="J347" s="49"/>
      <c r="K347" s="49"/>
      <c r="L347" s="49"/>
      <c r="M347" s="49"/>
      <c r="N347" s="49"/>
      <c r="O347" s="49"/>
      <c r="P347" s="10"/>
      <c r="Q347" s="11" t="str">
        <f t="shared" si="42"/>
        <v/>
      </c>
      <c r="R347" s="11" t="str">
        <f t="shared" si="43"/>
        <v/>
      </c>
      <c r="S347" s="58" t="str">
        <f t="shared" si="44"/>
        <v/>
      </c>
      <c r="T347" s="55" t="str">
        <f t="shared" si="45"/>
        <v/>
      </c>
      <c r="U347" s="55" t="str">
        <f>IF($D347="","",IF($D347='01. CONFIGURAÇÕES'!$C$8,'01. CONFIGURAÇÕES'!$C$38,'01. CONFIGURAÇÕES'!$D$38))</f>
        <v/>
      </c>
      <c r="V347" s="58" t="str">
        <f t="shared" si="46"/>
        <v/>
      </c>
      <c r="W347" s="55" t="str">
        <f>IF($D347="","",IF($D347='01. CONFIGURAÇÕES'!$C$8,'01. CONFIGURAÇÕES'!$C$31,'01. CONFIGURAÇÕES'!$D$31))</f>
        <v/>
      </c>
      <c r="X347" s="54" t="str">
        <f>IF($A347="","",$T347*(1-'01. CONFIGURAÇÕES'!$C$16)-IF($W347="",0,$W347))</f>
        <v/>
      </c>
      <c r="Y347" s="54" t="str">
        <f t="shared" si="47"/>
        <v/>
      </c>
      <c r="Z347" s="30"/>
      <c r="AA347" s="33"/>
      <c r="AB347" s="33"/>
    </row>
    <row r="348" spans="1:28" x14ac:dyDescent="0.25">
      <c r="A348" s="31"/>
      <c r="B348" s="29" t="str">
        <f t="shared" si="40"/>
        <v/>
      </c>
      <c r="C348" s="29" t="str">
        <f>IF($A348="","","S"&amp;(INT(($A348-'01. CONFIGURAÇÕES'!$C$12)/7)+1))</f>
        <v/>
      </c>
      <c r="D348" s="30"/>
      <c r="E348" s="30"/>
      <c r="F348" s="10"/>
      <c r="G348" s="49"/>
      <c r="H348" s="49"/>
      <c r="I348" s="52" t="str">
        <f t="shared" si="41"/>
        <v/>
      </c>
      <c r="J348" s="49"/>
      <c r="K348" s="49"/>
      <c r="L348" s="49"/>
      <c r="M348" s="49"/>
      <c r="N348" s="49"/>
      <c r="O348" s="49"/>
      <c r="P348" s="10"/>
      <c r="Q348" s="11" t="str">
        <f t="shared" si="42"/>
        <v/>
      </c>
      <c r="R348" s="11" t="str">
        <f t="shared" si="43"/>
        <v/>
      </c>
      <c r="S348" s="58" t="str">
        <f t="shared" si="44"/>
        <v/>
      </c>
      <c r="T348" s="55" t="str">
        <f t="shared" si="45"/>
        <v/>
      </c>
      <c r="U348" s="55" t="str">
        <f>IF($D348="","",IF($D348='01. CONFIGURAÇÕES'!$C$8,'01. CONFIGURAÇÕES'!$C$38,'01. CONFIGURAÇÕES'!$D$38))</f>
        <v/>
      </c>
      <c r="V348" s="58" t="str">
        <f t="shared" si="46"/>
        <v/>
      </c>
      <c r="W348" s="55" t="str">
        <f>IF($D348="","",IF($D348='01. CONFIGURAÇÕES'!$C$8,'01. CONFIGURAÇÕES'!$C$31,'01. CONFIGURAÇÕES'!$D$31))</f>
        <v/>
      </c>
      <c r="X348" s="54" t="str">
        <f>IF($A348="","",$T348*(1-'01. CONFIGURAÇÕES'!$C$16)-IF($W348="",0,$W348))</f>
        <v/>
      </c>
      <c r="Y348" s="54" t="str">
        <f t="shared" si="47"/>
        <v/>
      </c>
      <c r="Z348" s="30"/>
      <c r="AA348" s="33"/>
      <c r="AB348" s="33"/>
    </row>
    <row r="349" spans="1:28" x14ac:dyDescent="0.25">
      <c r="A349" s="31"/>
      <c r="B349" s="29" t="str">
        <f t="shared" si="40"/>
        <v/>
      </c>
      <c r="C349" s="29" t="str">
        <f>IF($A349="","","S"&amp;(INT(($A349-'01. CONFIGURAÇÕES'!$C$12)/7)+1))</f>
        <v/>
      </c>
      <c r="D349" s="30"/>
      <c r="E349" s="30"/>
      <c r="F349" s="10"/>
      <c r="G349" s="49"/>
      <c r="H349" s="49"/>
      <c r="I349" s="52" t="str">
        <f t="shared" si="41"/>
        <v/>
      </c>
      <c r="J349" s="49"/>
      <c r="K349" s="49"/>
      <c r="L349" s="49"/>
      <c r="M349" s="49"/>
      <c r="N349" s="49"/>
      <c r="O349" s="49"/>
      <c r="P349" s="10"/>
      <c r="Q349" s="11" t="str">
        <f t="shared" si="42"/>
        <v/>
      </c>
      <c r="R349" s="11" t="str">
        <f t="shared" si="43"/>
        <v/>
      </c>
      <c r="S349" s="58" t="str">
        <f t="shared" si="44"/>
        <v/>
      </c>
      <c r="T349" s="55" t="str">
        <f t="shared" si="45"/>
        <v/>
      </c>
      <c r="U349" s="55" t="str">
        <f>IF($D349="","",IF($D349='01. CONFIGURAÇÕES'!$C$8,'01. CONFIGURAÇÕES'!$C$38,'01. CONFIGURAÇÕES'!$D$38))</f>
        <v/>
      </c>
      <c r="V349" s="58" t="str">
        <f t="shared" si="46"/>
        <v/>
      </c>
      <c r="W349" s="55" t="str">
        <f>IF($D349="","",IF($D349='01. CONFIGURAÇÕES'!$C$8,'01. CONFIGURAÇÕES'!$C$31,'01. CONFIGURAÇÕES'!$D$31))</f>
        <v/>
      </c>
      <c r="X349" s="54" t="str">
        <f>IF($A349="","",$T349*(1-'01. CONFIGURAÇÕES'!$C$16)-IF($W349="",0,$W349))</f>
        <v/>
      </c>
      <c r="Y349" s="54" t="str">
        <f t="shared" si="47"/>
        <v/>
      </c>
      <c r="Z349" s="30"/>
      <c r="AA349" s="33"/>
      <c r="AB349" s="33"/>
    </row>
    <row r="350" spans="1:28" x14ac:dyDescent="0.25">
      <c r="A350" s="31"/>
      <c r="B350" s="29" t="str">
        <f t="shared" si="40"/>
        <v/>
      </c>
      <c r="C350" s="29" t="str">
        <f>IF($A350="","","S"&amp;(INT(($A350-'01. CONFIGURAÇÕES'!$C$12)/7)+1))</f>
        <v/>
      </c>
      <c r="D350" s="30"/>
      <c r="E350" s="30"/>
      <c r="F350" s="10"/>
      <c r="G350" s="49"/>
      <c r="H350" s="49"/>
      <c r="I350" s="52" t="str">
        <f t="shared" si="41"/>
        <v/>
      </c>
      <c r="J350" s="49"/>
      <c r="K350" s="49"/>
      <c r="L350" s="49"/>
      <c r="M350" s="49"/>
      <c r="N350" s="49"/>
      <c r="O350" s="49"/>
      <c r="P350" s="10"/>
      <c r="Q350" s="11" t="str">
        <f t="shared" si="42"/>
        <v/>
      </c>
      <c r="R350" s="11" t="str">
        <f t="shared" si="43"/>
        <v/>
      </c>
      <c r="S350" s="58" t="str">
        <f t="shared" si="44"/>
        <v/>
      </c>
      <c r="T350" s="55" t="str">
        <f t="shared" si="45"/>
        <v/>
      </c>
      <c r="U350" s="55" t="str">
        <f>IF($D350="","",IF($D350='01. CONFIGURAÇÕES'!$C$8,'01. CONFIGURAÇÕES'!$C$38,'01. CONFIGURAÇÕES'!$D$38))</f>
        <v/>
      </c>
      <c r="V350" s="58" t="str">
        <f t="shared" si="46"/>
        <v/>
      </c>
      <c r="W350" s="55" t="str">
        <f>IF($D350="","",IF($D350='01. CONFIGURAÇÕES'!$C$8,'01. CONFIGURAÇÕES'!$C$31,'01. CONFIGURAÇÕES'!$D$31))</f>
        <v/>
      </c>
      <c r="X350" s="54" t="str">
        <f>IF($A350="","",$T350*(1-'01. CONFIGURAÇÕES'!$C$16)-IF($W350="",0,$W350))</f>
        <v/>
      </c>
      <c r="Y350" s="54" t="str">
        <f t="shared" si="47"/>
        <v/>
      </c>
      <c r="Z350" s="30"/>
      <c r="AA350" s="33"/>
      <c r="AB350" s="33"/>
    </row>
    <row r="351" spans="1:28" x14ac:dyDescent="0.25">
      <c r="A351" s="31"/>
      <c r="B351" s="29" t="str">
        <f t="shared" si="40"/>
        <v/>
      </c>
      <c r="C351" s="29" t="str">
        <f>IF($A351="","","S"&amp;(INT(($A351-'01. CONFIGURAÇÕES'!$C$12)/7)+1))</f>
        <v/>
      </c>
      <c r="D351" s="30"/>
      <c r="E351" s="30"/>
      <c r="F351" s="10"/>
      <c r="G351" s="49"/>
      <c r="H351" s="49"/>
      <c r="I351" s="52" t="str">
        <f t="shared" si="41"/>
        <v/>
      </c>
      <c r="J351" s="49"/>
      <c r="K351" s="49"/>
      <c r="L351" s="49"/>
      <c r="M351" s="49"/>
      <c r="N351" s="49"/>
      <c r="O351" s="49"/>
      <c r="P351" s="10"/>
      <c r="Q351" s="11" t="str">
        <f t="shared" si="42"/>
        <v/>
      </c>
      <c r="R351" s="11" t="str">
        <f t="shared" si="43"/>
        <v/>
      </c>
      <c r="S351" s="58" t="str">
        <f t="shared" si="44"/>
        <v/>
      </c>
      <c r="T351" s="55" t="str">
        <f t="shared" si="45"/>
        <v/>
      </c>
      <c r="U351" s="55" t="str">
        <f>IF($D351="","",IF($D351='01. CONFIGURAÇÕES'!$C$8,'01. CONFIGURAÇÕES'!$C$38,'01. CONFIGURAÇÕES'!$D$38))</f>
        <v/>
      </c>
      <c r="V351" s="58" t="str">
        <f t="shared" si="46"/>
        <v/>
      </c>
      <c r="W351" s="55" t="str">
        <f>IF($D351="","",IF($D351='01. CONFIGURAÇÕES'!$C$8,'01. CONFIGURAÇÕES'!$C$31,'01. CONFIGURAÇÕES'!$D$31))</f>
        <v/>
      </c>
      <c r="X351" s="54" t="str">
        <f>IF($A351="","",$T351*(1-'01. CONFIGURAÇÕES'!$C$16)-IF($W351="",0,$W351))</f>
        <v/>
      </c>
      <c r="Y351" s="54" t="str">
        <f t="shared" si="47"/>
        <v/>
      </c>
      <c r="Z351" s="30"/>
      <c r="AA351" s="33"/>
      <c r="AB351" s="33"/>
    </row>
    <row r="352" spans="1:28" x14ac:dyDescent="0.25">
      <c r="A352" s="31"/>
      <c r="B352" s="29" t="str">
        <f t="shared" si="40"/>
        <v/>
      </c>
      <c r="C352" s="29" t="str">
        <f>IF($A352="","","S"&amp;(INT(($A352-'01. CONFIGURAÇÕES'!$C$12)/7)+1))</f>
        <v/>
      </c>
      <c r="D352" s="30"/>
      <c r="E352" s="30"/>
      <c r="F352" s="10"/>
      <c r="G352" s="49"/>
      <c r="H352" s="49"/>
      <c r="I352" s="52" t="str">
        <f t="shared" si="41"/>
        <v/>
      </c>
      <c r="J352" s="49"/>
      <c r="K352" s="49"/>
      <c r="L352" s="49"/>
      <c r="M352" s="49"/>
      <c r="N352" s="49"/>
      <c r="O352" s="49"/>
      <c r="P352" s="10"/>
      <c r="Q352" s="11" t="str">
        <f t="shared" si="42"/>
        <v/>
      </c>
      <c r="R352" s="11" t="str">
        <f t="shared" si="43"/>
        <v/>
      </c>
      <c r="S352" s="58" t="str">
        <f t="shared" si="44"/>
        <v/>
      </c>
      <c r="T352" s="55" t="str">
        <f t="shared" si="45"/>
        <v/>
      </c>
      <c r="U352" s="55" t="str">
        <f>IF($D352="","",IF($D352='01. CONFIGURAÇÕES'!$C$8,'01. CONFIGURAÇÕES'!$C$38,'01. CONFIGURAÇÕES'!$D$38))</f>
        <v/>
      </c>
      <c r="V352" s="58" t="str">
        <f t="shared" si="46"/>
        <v/>
      </c>
      <c r="W352" s="55" t="str">
        <f>IF($D352="","",IF($D352='01. CONFIGURAÇÕES'!$C$8,'01. CONFIGURAÇÕES'!$C$31,'01. CONFIGURAÇÕES'!$D$31))</f>
        <v/>
      </c>
      <c r="X352" s="54" t="str">
        <f>IF($A352="","",$T352*(1-'01. CONFIGURAÇÕES'!$C$16)-IF($W352="",0,$W352))</f>
        <v/>
      </c>
      <c r="Y352" s="54" t="str">
        <f t="shared" si="47"/>
        <v/>
      </c>
      <c r="Z352" s="30"/>
      <c r="AA352" s="33"/>
      <c r="AB352" s="33"/>
    </row>
    <row r="353" spans="1:28" x14ac:dyDescent="0.25">
      <c r="A353" s="31"/>
      <c r="B353" s="29" t="str">
        <f t="shared" si="40"/>
        <v/>
      </c>
      <c r="C353" s="29" t="str">
        <f>IF($A353="","","S"&amp;(INT(($A353-'01. CONFIGURAÇÕES'!$C$12)/7)+1))</f>
        <v/>
      </c>
      <c r="D353" s="30"/>
      <c r="E353" s="30"/>
      <c r="F353" s="10"/>
      <c r="G353" s="49"/>
      <c r="H353" s="49"/>
      <c r="I353" s="52" t="str">
        <f t="shared" si="41"/>
        <v/>
      </c>
      <c r="J353" s="49"/>
      <c r="K353" s="49"/>
      <c r="L353" s="49"/>
      <c r="M353" s="49"/>
      <c r="N353" s="49"/>
      <c r="O353" s="49"/>
      <c r="P353" s="10"/>
      <c r="Q353" s="11" t="str">
        <f t="shared" si="42"/>
        <v/>
      </c>
      <c r="R353" s="11" t="str">
        <f t="shared" si="43"/>
        <v/>
      </c>
      <c r="S353" s="58" t="str">
        <f t="shared" si="44"/>
        <v/>
      </c>
      <c r="T353" s="55" t="str">
        <f t="shared" si="45"/>
        <v/>
      </c>
      <c r="U353" s="55" t="str">
        <f>IF($D353="","",IF($D353='01. CONFIGURAÇÕES'!$C$8,'01. CONFIGURAÇÕES'!$C$38,'01. CONFIGURAÇÕES'!$D$38))</f>
        <v/>
      </c>
      <c r="V353" s="58" t="str">
        <f t="shared" si="46"/>
        <v/>
      </c>
      <c r="W353" s="55" t="str">
        <f>IF($D353="","",IF($D353='01. CONFIGURAÇÕES'!$C$8,'01. CONFIGURAÇÕES'!$C$31,'01. CONFIGURAÇÕES'!$D$31))</f>
        <v/>
      </c>
      <c r="X353" s="54" t="str">
        <f>IF($A353="","",$T353*(1-'01. CONFIGURAÇÕES'!$C$16)-IF($W353="",0,$W353))</f>
        <v/>
      </c>
      <c r="Y353" s="54" t="str">
        <f t="shared" si="47"/>
        <v/>
      </c>
      <c r="Z353" s="30"/>
      <c r="AA353" s="33"/>
      <c r="AB353" s="33"/>
    </row>
    <row r="354" spans="1:28" x14ac:dyDescent="0.25">
      <c r="A354" s="31"/>
      <c r="B354" s="29" t="str">
        <f t="shared" si="40"/>
        <v/>
      </c>
      <c r="C354" s="29" t="str">
        <f>IF($A354="","","S"&amp;(INT(($A354-'01. CONFIGURAÇÕES'!$C$12)/7)+1))</f>
        <v/>
      </c>
      <c r="D354" s="30"/>
      <c r="E354" s="30"/>
      <c r="F354" s="10"/>
      <c r="G354" s="49"/>
      <c r="H354" s="49"/>
      <c r="I354" s="52" t="str">
        <f t="shared" si="41"/>
        <v/>
      </c>
      <c r="J354" s="49"/>
      <c r="K354" s="49"/>
      <c r="L354" s="49"/>
      <c r="M354" s="49"/>
      <c r="N354" s="49"/>
      <c r="O354" s="49"/>
      <c r="P354" s="10"/>
      <c r="Q354" s="11" t="str">
        <f t="shared" si="42"/>
        <v/>
      </c>
      <c r="R354" s="11" t="str">
        <f t="shared" si="43"/>
        <v/>
      </c>
      <c r="S354" s="58" t="str">
        <f t="shared" si="44"/>
        <v/>
      </c>
      <c r="T354" s="55" t="str">
        <f t="shared" si="45"/>
        <v/>
      </c>
      <c r="U354" s="55" t="str">
        <f>IF($D354="","",IF($D354='01. CONFIGURAÇÕES'!$C$8,'01. CONFIGURAÇÕES'!$C$38,'01. CONFIGURAÇÕES'!$D$38))</f>
        <v/>
      </c>
      <c r="V354" s="58" t="str">
        <f t="shared" si="46"/>
        <v/>
      </c>
      <c r="W354" s="55" t="str">
        <f>IF($D354="","",IF($D354='01. CONFIGURAÇÕES'!$C$8,'01. CONFIGURAÇÕES'!$C$31,'01. CONFIGURAÇÕES'!$D$31))</f>
        <v/>
      </c>
      <c r="X354" s="54" t="str">
        <f>IF($A354="","",$T354*(1-'01. CONFIGURAÇÕES'!$C$16)-IF($W354="",0,$W354))</f>
        <v/>
      </c>
      <c r="Y354" s="54" t="str">
        <f t="shared" si="47"/>
        <v/>
      </c>
      <c r="Z354" s="30"/>
      <c r="AA354" s="33"/>
      <c r="AB354" s="33"/>
    </row>
    <row r="355" spans="1:28" x14ac:dyDescent="0.25">
      <c r="A355" s="31"/>
      <c r="B355" s="29" t="str">
        <f t="shared" si="40"/>
        <v/>
      </c>
      <c r="C355" s="29" t="str">
        <f>IF($A355="","","S"&amp;(INT(($A355-'01. CONFIGURAÇÕES'!$C$12)/7)+1))</f>
        <v/>
      </c>
      <c r="D355" s="30"/>
      <c r="E355" s="30"/>
      <c r="F355" s="10"/>
      <c r="G355" s="49"/>
      <c r="H355" s="49"/>
      <c r="I355" s="52" t="str">
        <f t="shared" si="41"/>
        <v/>
      </c>
      <c r="J355" s="49"/>
      <c r="K355" s="49"/>
      <c r="L355" s="49"/>
      <c r="M355" s="49"/>
      <c r="N355" s="49"/>
      <c r="O355" s="49"/>
      <c r="P355" s="10"/>
      <c r="Q355" s="11" t="str">
        <f t="shared" si="42"/>
        <v/>
      </c>
      <c r="R355" s="11" t="str">
        <f t="shared" si="43"/>
        <v/>
      </c>
      <c r="S355" s="58" t="str">
        <f t="shared" si="44"/>
        <v/>
      </c>
      <c r="T355" s="55" t="str">
        <f t="shared" si="45"/>
        <v/>
      </c>
      <c r="U355" s="55" t="str">
        <f>IF($D355="","",IF($D355='01. CONFIGURAÇÕES'!$C$8,'01. CONFIGURAÇÕES'!$C$38,'01. CONFIGURAÇÕES'!$D$38))</f>
        <v/>
      </c>
      <c r="V355" s="58" t="str">
        <f t="shared" si="46"/>
        <v/>
      </c>
      <c r="W355" s="55" t="str">
        <f>IF($D355="","",IF($D355='01. CONFIGURAÇÕES'!$C$8,'01. CONFIGURAÇÕES'!$C$31,'01. CONFIGURAÇÕES'!$D$31))</f>
        <v/>
      </c>
      <c r="X355" s="54" t="str">
        <f>IF($A355="","",$T355*(1-'01. CONFIGURAÇÕES'!$C$16)-IF($W355="",0,$W355))</f>
        <v/>
      </c>
      <c r="Y355" s="54" t="str">
        <f t="shared" si="47"/>
        <v/>
      </c>
      <c r="Z355" s="30"/>
      <c r="AA355" s="33"/>
      <c r="AB355" s="33"/>
    </row>
    <row r="356" spans="1:28" x14ac:dyDescent="0.25">
      <c r="A356" s="31"/>
      <c r="B356" s="29" t="str">
        <f t="shared" si="40"/>
        <v/>
      </c>
      <c r="C356" s="29" t="str">
        <f>IF($A356="","","S"&amp;(INT(($A356-'01. CONFIGURAÇÕES'!$C$12)/7)+1))</f>
        <v/>
      </c>
      <c r="D356" s="30"/>
      <c r="E356" s="30"/>
      <c r="F356" s="10"/>
      <c r="G356" s="49"/>
      <c r="H356" s="49"/>
      <c r="I356" s="52" t="str">
        <f t="shared" si="41"/>
        <v/>
      </c>
      <c r="J356" s="49"/>
      <c r="K356" s="49"/>
      <c r="L356" s="49"/>
      <c r="M356" s="49"/>
      <c r="N356" s="49"/>
      <c r="O356" s="49"/>
      <c r="P356" s="10"/>
      <c r="Q356" s="11" t="str">
        <f t="shared" si="42"/>
        <v/>
      </c>
      <c r="R356" s="11" t="str">
        <f t="shared" si="43"/>
        <v/>
      </c>
      <c r="S356" s="58" t="str">
        <f t="shared" si="44"/>
        <v/>
      </c>
      <c r="T356" s="55" t="str">
        <f t="shared" si="45"/>
        <v/>
      </c>
      <c r="U356" s="55" t="str">
        <f>IF($D356="","",IF($D356='01. CONFIGURAÇÕES'!$C$8,'01. CONFIGURAÇÕES'!$C$38,'01. CONFIGURAÇÕES'!$D$38))</f>
        <v/>
      </c>
      <c r="V356" s="58" t="str">
        <f t="shared" si="46"/>
        <v/>
      </c>
      <c r="W356" s="55" t="str">
        <f>IF($D356="","",IF($D356='01. CONFIGURAÇÕES'!$C$8,'01. CONFIGURAÇÕES'!$C$31,'01. CONFIGURAÇÕES'!$D$31))</f>
        <v/>
      </c>
      <c r="X356" s="54" t="str">
        <f>IF($A356="","",$T356*(1-'01. CONFIGURAÇÕES'!$C$16)-IF($W356="",0,$W356))</f>
        <v/>
      </c>
      <c r="Y356" s="54" t="str">
        <f t="shared" si="47"/>
        <v/>
      </c>
      <c r="Z356" s="30"/>
      <c r="AA356" s="33"/>
      <c r="AB356" s="33"/>
    </row>
    <row r="357" spans="1:28" x14ac:dyDescent="0.25">
      <c r="A357" s="31"/>
      <c r="B357" s="29" t="str">
        <f t="shared" si="40"/>
        <v/>
      </c>
      <c r="C357" s="29" t="str">
        <f>IF($A357="","","S"&amp;(INT(($A357-'01. CONFIGURAÇÕES'!$C$12)/7)+1))</f>
        <v/>
      </c>
      <c r="D357" s="30"/>
      <c r="E357" s="30"/>
      <c r="F357" s="10"/>
      <c r="G357" s="49"/>
      <c r="H357" s="49"/>
      <c r="I357" s="52" t="str">
        <f t="shared" si="41"/>
        <v/>
      </c>
      <c r="J357" s="49"/>
      <c r="K357" s="49"/>
      <c r="L357" s="49"/>
      <c r="M357" s="49"/>
      <c r="N357" s="49"/>
      <c r="O357" s="49"/>
      <c r="P357" s="10"/>
      <c r="Q357" s="11" t="str">
        <f t="shared" si="42"/>
        <v/>
      </c>
      <c r="R357" s="11" t="str">
        <f t="shared" si="43"/>
        <v/>
      </c>
      <c r="S357" s="58" t="str">
        <f t="shared" si="44"/>
        <v/>
      </c>
      <c r="T357" s="55" t="str">
        <f t="shared" si="45"/>
        <v/>
      </c>
      <c r="U357" s="55" t="str">
        <f>IF($D357="","",IF($D357='01. CONFIGURAÇÕES'!$C$8,'01. CONFIGURAÇÕES'!$C$38,'01. CONFIGURAÇÕES'!$D$38))</f>
        <v/>
      </c>
      <c r="V357" s="58" t="str">
        <f t="shared" si="46"/>
        <v/>
      </c>
      <c r="W357" s="55" t="str">
        <f>IF($D357="","",IF($D357='01. CONFIGURAÇÕES'!$C$8,'01. CONFIGURAÇÕES'!$C$31,'01. CONFIGURAÇÕES'!$D$31))</f>
        <v/>
      </c>
      <c r="X357" s="54" t="str">
        <f>IF($A357="","",$T357*(1-'01. CONFIGURAÇÕES'!$C$16)-IF($W357="",0,$W357))</f>
        <v/>
      </c>
      <c r="Y357" s="54" t="str">
        <f t="shared" si="47"/>
        <v/>
      </c>
      <c r="Z357" s="30"/>
      <c r="AA357" s="33"/>
      <c r="AB357" s="33"/>
    </row>
    <row r="358" spans="1:28" x14ac:dyDescent="0.25">
      <c r="A358" s="31"/>
      <c r="B358" s="29" t="str">
        <f t="shared" si="40"/>
        <v/>
      </c>
      <c r="C358" s="29" t="str">
        <f>IF($A358="","","S"&amp;(INT(($A358-'01. CONFIGURAÇÕES'!$C$12)/7)+1))</f>
        <v/>
      </c>
      <c r="D358" s="30"/>
      <c r="E358" s="30"/>
      <c r="F358" s="10"/>
      <c r="G358" s="49"/>
      <c r="H358" s="49"/>
      <c r="I358" s="52" t="str">
        <f t="shared" si="41"/>
        <v/>
      </c>
      <c r="J358" s="49"/>
      <c r="K358" s="49"/>
      <c r="L358" s="49"/>
      <c r="M358" s="49"/>
      <c r="N358" s="49"/>
      <c r="O358" s="49"/>
      <c r="P358" s="10"/>
      <c r="Q358" s="11" t="str">
        <f t="shared" si="42"/>
        <v/>
      </c>
      <c r="R358" s="11" t="str">
        <f t="shared" si="43"/>
        <v/>
      </c>
      <c r="S358" s="58" t="str">
        <f t="shared" si="44"/>
        <v/>
      </c>
      <c r="T358" s="55" t="str">
        <f t="shared" si="45"/>
        <v/>
      </c>
      <c r="U358" s="55" t="str">
        <f>IF($D358="","",IF($D358='01. CONFIGURAÇÕES'!$C$8,'01. CONFIGURAÇÕES'!$C$38,'01. CONFIGURAÇÕES'!$D$38))</f>
        <v/>
      </c>
      <c r="V358" s="58" t="str">
        <f t="shared" si="46"/>
        <v/>
      </c>
      <c r="W358" s="55" t="str">
        <f>IF($D358="","",IF($D358='01. CONFIGURAÇÕES'!$C$8,'01. CONFIGURAÇÕES'!$C$31,'01. CONFIGURAÇÕES'!$D$31))</f>
        <v/>
      </c>
      <c r="X358" s="54" t="str">
        <f>IF($A358="","",$T358*(1-'01. CONFIGURAÇÕES'!$C$16)-IF($W358="",0,$W358))</f>
        <v/>
      </c>
      <c r="Y358" s="54" t="str">
        <f t="shared" si="47"/>
        <v/>
      </c>
      <c r="Z358" s="30"/>
      <c r="AA358" s="33"/>
      <c r="AB358" s="33"/>
    </row>
    <row r="359" spans="1:28" x14ac:dyDescent="0.25">
      <c r="A359" s="31"/>
      <c r="B359" s="29" t="str">
        <f t="shared" si="40"/>
        <v/>
      </c>
      <c r="C359" s="29" t="str">
        <f>IF($A359="","","S"&amp;(INT(($A359-'01. CONFIGURAÇÕES'!$C$12)/7)+1))</f>
        <v/>
      </c>
      <c r="D359" s="30"/>
      <c r="E359" s="30"/>
      <c r="F359" s="10"/>
      <c r="G359" s="49"/>
      <c r="H359" s="49"/>
      <c r="I359" s="52" t="str">
        <f t="shared" si="41"/>
        <v/>
      </c>
      <c r="J359" s="49"/>
      <c r="K359" s="49"/>
      <c r="L359" s="49"/>
      <c r="M359" s="49"/>
      <c r="N359" s="49"/>
      <c r="O359" s="49"/>
      <c r="P359" s="10"/>
      <c r="Q359" s="11" t="str">
        <f t="shared" si="42"/>
        <v/>
      </c>
      <c r="R359" s="11" t="str">
        <f t="shared" si="43"/>
        <v/>
      </c>
      <c r="S359" s="58" t="str">
        <f t="shared" si="44"/>
        <v/>
      </c>
      <c r="T359" s="55" t="str">
        <f t="shared" si="45"/>
        <v/>
      </c>
      <c r="U359" s="55" t="str">
        <f>IF($D359="","",IF($D359='01. CONFIGURAÇÕES'!$C$8,'01. CONFIGURAÇÕES'!$C$38,'01. CONFIGURAÇÕES'!$D$38))</f>
        <v/>
      </c>
      <c r="V359" s="58" t="str">
        <f t="shared" si="46"/>
        <v/>
      </c>
      <c r="W359" s="55" t="str">
        <f>IF($D359="","",IF($D359='01. CONFIGURAÇÕES'!$C$8,'01. CONFIGURAÇÕES'!$C$31,'01. CONFIGURAÇÕES'!$D$31))</f>
        <v/>
      </c>
      <c r="X359" s="54" t="str">
        <f>IF($A359="","",$T359*(1-'01. CONFIGURAÇÕES'!$C$16)-IF($W359="",0,$W359))</f>
        <v/>
      </c>
      <c r="Y359" s="54" t="str">
        <f t="shared" si="47"/>
        <v/>
      </c>
      <c r="Z359" s="30"/>
      <c r="AA359" s="33"/>
      <c r="AB359" s="33"/>
    </row>
    <row r="360" spans="1:28" x14ac:dyDescent="0.25">
      <c r="A360" s="31"/>
      <c r="B360" s="29" t="str">
        <f t="shared" si="40"/>
        <v/>
      </c>
      <c r="C360" s="29" t="str">
        <f>IF($A360="","","S"&amp;(INT(($A360-'01. CONFIGURAÇÕES'!$C$12)/7)+1))</f>
        <v/>
      </c>
      <c r="D360" s="30"/>
      <c r="E360" s="30"/>
      <c r="F360" s="10"/>
      <c r="G360" s="49"/>
      <c r="H360" s="49"/>
      <c r="I360" s="52" t="str">
        <f t="shared" si="41"/>
        <v/>
      </c>
      <c r="J360" s="49"/>
      <c r="K360" s="49"/>
      <c r="L360" s="49"/>
      <c r="M360" s="49"/>
      <c r="N360" s="49"/>
      <c r="O360" s="49"/>
      <c r="P360" s="10"/>
      <c r="Q360" s="11" t="str">
        <f t="shared" si="42"/>
        <v/>
      </c>
      <c r="R360" s="11" t="str">
        <f t="shared" si="43"/>
        <v/>
      </c>
      <c r="S360" s="58" t="str">
        <f t="shared" si="44"/>
        <v/>
      </c>
      <c r="T360" s="55" t="str">
        <f t="shared" si="45"/>
        <v/>
      </c>
      <c r="U360" s="55" t="str">
        <f>IF($D360="","",IF($D360='01. CONFIGURAÇÕES'!$C$8,'01. CONFIGURAÇÕES'!$C$38,'01. CONFIGURAÇÕES'!$D$38))</f>
        <v/>
      </c>
      <c r="V360" s="58" t="str">
        <f t="shared" si="46"/>
        <v/>
      </c>
      <c r="W360" s="55" t="str">
        <f>IF($D360="","",IF($D360='01. CONFIGURAÇÕES'!$C$8,'01. CONFIGURAÇÕES'!$C$31,'01. CONFIGURAÇÕES'!$D$31))</f>
        <v/>
      </c>
      <c r="X360" s="54" t="str">
        <f>IF($A360="","",$T360*(1-'01. CONFIGURAÇÕES'!$C$16)-IF($W360="",0,$W360))</f>
        <v/>
      </c>
      <c r="Y360" s="54" t="str">
        <f t="shared" si="47"/>
        <v/>
      </c>
      <c r="Z360" s="30"/>
      <c r="AA360" s="33"/>
      <c r="AB360" s="33"/>
    </row>
    <row r="361" spans="1:28" x14ac:dyDescent="0.25">
      <c r="A361" s="31"/>
      <c r="B361" s="29" t="str">
        <f t="shared" si="40"/>
        <v/>
      </c>
      <c r="C361" s="29" t="str">
        <f>IF($A361="","","S"&amp;(INT(($A361-'01. CONFIGURAÇÕES'!$C$12)/7)+1))</f>
        <v/>
      </c>
      <c r="D361" s="30"/>
      <c r="E361" s="30"/>
      <c r="F361" s="10"/>
      <c r="G361" s="49"/>
      <c r="H361" s="49"/>
      <c r="I361" s="52" t="str">
        <f t="shared" si="41"/>
        <v/>
      </c>
      <c r="J361" s="49"/>
      <c r="K361" s="49"/>
      <c r="L361" s="49"/>
      <c r="M361" s="49"/>
      <c r="N361" s="49"/>
      <c r="O361" s="49"/>
      <c r="P361" s="10"/>
      <c r="Q361" s="11" t="str">
        <f t="shared" si="42"/>
        <v/>
      </c>
      <c r="R361" s="11" t="str">
        <f t="shared" si="43"/>
        <v/>
      </c>
      <c r="S361" s="58" t="str">
        <f t="shared" si="44"/>
        <v/>
      </c>
      <c r="T361" s="55" t="str">
        <f t="shared" si="45"/>
        <v/>
      </c>
      <c r="U361" s="55" t="str">
        <f>IF($D361="","",IF($D361='01. CONFIGURAÇÕES'!$C$8,'01. CONFIGURAÇÕES'!$C$38,'01. CONFIGURAÇÕES'!$D$38))</f>
        <v/>
      </c>
      <c r="V361" s="58" t="str">
        <f t="shared" si="46"/>
        <v/>
      </c>
      <c r="W361" s="55" t="str">
        <f>IF($D361="","",IF($D361='01. CONFIGURAÇÕES'!$C$8,'01. CONFIGURAÇÕES'!$C$31,'01. CONFIGURAÇÕES'!$D$31))</f>
        <v/>
      </c>
      <c r="X361" s="54" t="str">
        <f>IF($A361="","",$T361*(1-'01. CONFIGURAÇÕES'!$C$16)-IF($W361="",0,$W361))</f>
        <v/>
      </c>
      <c r="Y361" s="54" t="str">
        <f t="shared" si="47"/>
        <v/>
      </c>
      <c r="Z361" s="30"/>
      <c r="AA361" s="33"/>
      <c r="AB361" s="33"/>
    </row>
    <row r="362" spans="1:28" x14ac:dyDescent="0.25">
      <c r="A362" s="31"/>
      <c r="B362" s="29" t="str">
        <f t="shared" si="40"/>
        <v/>
      </c>
      <c r="C362" s="29" t="str">
        <f>IF($A362="","","S"&amp;(INT(($A362-'01. CONFIGURAÇÕES'!$C$12)/7)+1))</f>
        <v/>
      </c>
      <c r="D362" s="30"/>
      <c r="E362" s="30"/>
      <c r="F362" s="10"/>
      <c r="G362" s="49"/>
      <c r="H362" s="49"/>
      <c r="I362" s="52" t="str">
        <f t="shared" si="41"/>
        <v/>
      </c>
      <c r="J362" s="49"/>
      <c r="K362" s="49"/>
      <c r="L362" s="49"/>
      <c r="M362" s="49"/>
      <c r="N362" s="49"/>
      <c r="O362" s="49"/>
      <c r="P362" s="10"/>
      <c r="Q362" s="11" t="str">
        <f t="shared" si="42"/>
        <v/>
      </c>
      <c r="R362" s="11" t="str">
        <f t="shared" si="43"/>
        <v/>
      </c>
      <c r="S362" s="58" t="str">
        <f t="shared" si="44"/>
        <v/>
      </c>
      <c r="T362" s="55" t="str">
        <f t="shared" si="45"/>
        <v/>
      </c>
      <c r="U362" s="55" t="str">
        <f>IF($D362="","",IF($D362='01. CONFIGURAÇÕES'!$C$8,'01. CONFIGURAÇÕES'!$C$38,'01. CONFIGURAÇÕES'!$D$38))</f>
        <v/>
      </c>
      <c r="V362" s="58" t="str">
        <f t="shared" si="46"/>
        <v/>
      </c>
      <c r="W362" s="55" t="str">
        <f>IF($D362="","",IF($D362='01. CONFIGURAÇÕES'!$C$8,'01. CONFIGURAÇÕES'!$C$31,'01. CONFIGURAÇÕES'!$D$31))</f>
        <v/>
      </c>
      <c r="X362" s="54" t="str">
        <f>IF($A362="","",$T362*(1-'01. CONFIGURAÇÕES'!$C$16)-IF($W362="",0,$W362))</f>
        <v/>
      </c>
      <c r="Y362" s="54" t="str">
        <f t="shared" si="47"/>
        <v/>
      </c>
      <c r="Z362" s="30"/>
      <c r="AA362" s="33"/>
      <c r="AB362" s="33"/>
    </row>
    <row r="363" spans="1:28" x14ac:dyDescent="0.25">
      <c r="A363" s="31"/>
      <c r="B363" s="29" t="str">
        <f t="shared" si="40"/>
        <v/>
      </c>
      <c r="C363" s="29" t="str">
        <f>IF($A363="","","S"&amp;(INT(($A363-'01. CONFIGURAÇÕES'!$C$12)/7)+1))</f>
        <v/>
      </c>
      <c r="D363" s="30"/>
      <c r="E363" s="30"/>
      <c r="F363" s="10"/>
      <c r="G363" s="49"/>
      <c r="H363" s="49"/>
      <c r="I363" s="52" t="str">
        <f t="shared" si="41"/>
        <v/>
      </c>
      <c r="J363" s="49"/>
      <c r="K363" s="49"/>
      <c r="L363" s="49"/>
      <c r="M363" s="49"/>
      <c r="N363" s="49"/>
      <c r="O363" s="49"/>
      <c r="P363" s="10"/>
      <c r="Q363" s="11" t="str">
        <f t="shared" si="42"/>
        <v/>
      </c>
      <c r="R363" s="11" t="str">
        <f t="shared" si="43"/>
        <v/>
      </c>
      <c r="S363" s="58" t="str">
        <f t="shared" si="44"/>
        <v/>
      </c>
      <c r="T363" s="55" t="str">
        <f t="shared" si="45"/>
        <v/>
      </c>
      <c r="U363" s="55" t="str">
        <f>IF($D363="","",IF($D363='01. CONFIGURAÇÕES'!$C$8,'01. CONFIGURAÇÕES'!$C$38,'01. CONFIGURAÇÕES'!$D$38))</f>
        <v/>
      </c>
      <c r="V363" s="58" t="str">
        <f t="shared" si="46"/>
        <v/>
      </c>
      <c r="W363" s="55" t="str">
        <f>IF($D363="","",IF($D363='01. CONFIGURAÇÕES'!$C$8,'01. CONFIGURAÇÕES'!$C$31,'01. CONFIGURAÇÕES'!$D$31))</f>
        <v/>
      </c>
      <c r="X363" s="54" t="str">
        <f>IF($A363="","",$T363*(1-'01. CONFIGURAÇÕES'!$C$16)-IF($W363="",0,$W363))</f>
        <v/>
      </c>
      <c r="Y363" s="54" t="str">
        <f t="shared" si="47"/>
        <v/>
      </c>
      <c r="Z363" s="30"/>
      <c r="AA363" s="33"/>
      <c r="AB363" s="33"/>
    </row>
    <row r="364" spans="1:28" x14ac:dyDescent="0.25">
      <c r="A364" s="31"/>
      <c r="B364" s="29" t="str">
        <f t="shared" si="40"/>
        <v/>
      </c>
      <c r="C364" s="29" t="str">
        <f>IF($A364="","","S"&amp;(INT(($A364-'01. CONFIGURAÇÕES'!$C$12)/7)+1))</f>
        <v/>
      </c>
      <c r="D364" s="30"/>
      <c r="E364" s="30"/>
      <c r="F364" s="10"/>
      <c r="G364" s="49"/>
      <c r="H364" s="49"/>
      <c r="I364" s="52" t="str">
        <f t="shared" si="41"/>
        <v/>
      </c>
      <c r="J364" s="49"/>
      <c r="K364" s="49"/>
      <c r="L364" s="49"/>
      <c r="M364" s="49"/>
      <c r="N364" s="49"/>
      <c r="O364" s="49"/>
      <c r="P364" s="10"/>
      <c r="Q364" s="11" t="str">
        <f t="shared" si="42"/>
        <v/>
      </c>
      <c r="R364" s="11" t="str">
        <f t="shared" si="43"/>
        <v/>
      </c>
      <c r="S364" s="58" t="str">
        <f t="shared" si="44"/>
        <v/>
      </c>
      <c r="T364" s="55" t="str">
        <f t="shared" si="45"/>
        <v/>
      </c>
      <c r="U364" s="55" t="str">
        <f>IF($D364="","",IF($D364='01. CONFIGURAÇÕES'!$C$8,'01. CONFIGURAÇÕES'!$C$38,'01. CONFIGURAÇÕES'!$D$38))</f>
        <v/>
      </c>
      <c r="V364" s="58" t="str">
        <f t="shared" si="46"/>
        <v/>
      </c>
      <c r="W364" s="55" t="str">
        <f>IF($D364="","",IF($D364='01. CONFIGURAÇÕES'!$C$8,'01. CONFIGURAÇÕES'!$C$31,'01. CONFIGURAÇÕES'!$D$31))</f>
        <v/>
      </c>
      <c r="X364" s="54" t="str">
        <f>IF($A364="","",$T364*(1-'01. CONFIGURAÇÕES'!$C$16)-IF($W364="",0,$W364))</f>
        <v/>
      </c>
      <c r="Y364" s="54" t="str">
        <f t="shared" si="47"/>
        <v/>
      </c>
      <c r="Z364" s="30"/>
      <c r="AA364" s="33"/>
      <c r="AB364" s="33"/>
    </row>
    <row r="365" spans="1:28" x14ac:dyDescent="0.25">
      <c r="A365" s="31"/>
      <c r="B365" s="29" t="str">
        <f t="shared" si="40"/>
        <v/>
      </c>
      <c r="C365" s="29" t="str">
        <f>IF($A365="","","S"&amp;(INT(($A365-'01. CONFIGURAÇÕES'!$C$12)/7)+1))</f>
        <v/>
      </c>
      <c r="D365" s="30"/>
      <c r="E365" s="30"/>
      <c r="F365" s="10"/>
      <c r="G365" s="49"/>
      <c r="H365" s="49"/>
      <c r="I365" s="52" t="str">
        <f t="shared" si="41"/>
        <v/>
      </c>
      <c r="J365" s="49"/>
      <c r="K365" s="49"/>
      <c r="L365" s="49"/>
      <c r="M365" s="49"/>
      <c r="N365" s="49"/>
      <c r="O365" s="49"/>
      <c r="P365" s="10"/>
      <c r="Q365" s="11" t="str">
        <f t="shared" si="42"/>
        <v/>
      </c>
      <c r="R365" s="11" t="str">
        <f t="shared" si="43"/>
        <v/>
      </c>
      <c r="S365" s="58" t="str">
        <f t="shared" si="44"/>
        <v/>
      </c>
      <c r="T365" s="55" t="str">
        <f t="shared" si="45"/>
        <v/>
      </c>
      <c r="U365" s="55" t="str">
        <f>IF($D365="","",IF($D365='01. CONFIGURAÇÕES'!$C$8,'01. CONFIGURAÇÕES'!$C$38,'01. CONFIGURAÇÕES'!$D$38))</f>
        <v/>
      </c>
      <c r="V365" s="58" t="str">
        <f t="shared" si="46"/>
        <v/>
      </c>
      <c r="W365" s="55" t="str">
        <f>IF($D365="","",IF($D365='01. CONFIGURAÇÕES'!$C$8,'01. CONFIGURAÇÕES'!$C$31,'01. CONFIGURAÇÕES'!$D$31))</f>
        <v/>
      </c>
      <c r="X365" s="54" t="str">
        <f>IF($A365="","",$T365*(1-'01. CONFIGURAÇÕES'!$C$16)-IF($W365="",0,$W365))</f>
        <v/>
      </c>
      <c r="Y365" s="54" t="str">
        <f t="shared" si="47"/>
        <v/>
      </c>
      <c r="Z365" s="30"/>
      <c r="AA365" s="33"/>
      <c r="AB365" s="33"/>
    </row>
    <row r="366" spans="1:28" x14ac:dyDescent="0.25">
      <c r="A366" s="31"/>
      <c r="B366" s="29" t="str">
        <f t="shared" si="40"/>
        <v/>
      </c>
      <c r="C366" s="29" t="str">
        <f>IF($A366="","","S"&amp;(INT(($A366-'01. CONFIGURAÇÕES'!$C$12)/7)+1))</f>
        <v/>
      </c>
      <c r="D366" s="30"/>
      <c r="E366" s="30"/>
      <c r="F366" s="10"/>
      <c r="G366" s="49"/>
      <c r="H366" s="49"/>
      <c r="I366" s="52" t="str">
        <f t="shared" si="41"/>
        <v/>
      </c>
      <c r="J366" s="49"/>
      <c r="K366" s="49"/>
      <c r="L366" s="49"/>
      <c r="M366" s="49"/>
      <c r="N366" s="49"/>
      <c r="O366" s="49"/>
      <c r="P366" s="10"/>
      <c r="Q366" s="11" t="str">
        <f t="shared" si="42"/>
        <v/>
      </c>
      <c r="R366" s="11" t="str">
        <f t="shared" si="43"/>
        <v/>
      </c>
      <c r="S366" s="58" t="str">
        <f t="shared" si="44"/>
        <v/>
      </c>
      <c r="T366" s="55" t="str">
        <f t="shared" si="45"/>
        <v/>
      </c>
      <c r="U366" s="55" t="str">
        <f>IF($D366="","",IF($D366='01. CONFIGURAÇÕES'!$C$8,'01. CONFIGURAÇÕES'!$C$38,'01. CONFIGURAÇÕES'!$D$38))</f>
        <v/>
      </c>
      <c r="V366" s="58" t="str">
        <f t="shared" si="46"/>
        <v/>
      </c>
      <c r="W366" s="55" t="str">
        <f>IF($D366="","",IF($D366='01. CONFIGURAÇÕES'!$C$8,'01. CONFIGURAÇÕES'!$C$31,'01. CONFIGURAÇÕES'!$D$31))</f>
        <v/>
      </c>
      <c r="X366" s="54" t="str">
        <f>IF($A366="","",$T366*(1-'01. CONFIGURAÇÕES'!$C$16)-IF($W366="",0,$W366))</f>
        <v/>
      </c>
      <c r="Y366" s="54" t="str">
        <f t="shared" si="47"/>
        <v/>
      </c>
      <c r="Z366" s="30"/>
      <c r="AA366" s="33"/>
      <c r="AB366" s="33"/>
    </row>
    <row r="367" spans="1:28" x14ac:dyDescent="0.25">
      <c r="A367" s="31"/>
      <c r="B367" s="29" t="str">
        <f t="shared" si="40"/>
        <v/>
      </c>
      <c r="C367" s="29" t="str">
        <f>IF($A367="","","S"&amp;(INT(($A367-'01. CONFIGURAÇÕES'!$C$12)/7)+1))</f>
        <v/>
      </c>
      <c r="D367" s="30"/>
      <c r="E367" s="30"/>
      <c r="F367" s="10"/>
      <c r="G367" s="49"/>
      <c r="H367" s="49"/>
      <c r="I367" s="52" t="str">
        <f t="shared" si="41"/>
        <v/>
      </c>
      <c r="J367" s="49"/>
      <c r="K367" s="49"/>
      <c r="L367" s="49"/>
      <c r="M367" s="49"/>
      <c r="N367" s="49"/>
      <c r="O367" s="49"/>
      <c r="P367" s="10"/>
      <c r="Q367" s="11" t="str">
        <f t="shared" si="42"/>
        <v/>
      </c>
      <c r="R367" s="11" t="str">
        <f t="shared" si="43"/>
        <v/>
      </c>
      <c r="S367" s="58" t="str">
        <f t="shared" si="44"/>
        <v/>
      </c>
      <c r="T367" s="55" t="str">
        <f t="shared" si="45"/>
        <v/>
      </c>
      <c r="U367" s="55" t="str">
        <f>IF($D367="","",IF($D367='01. CONFIGURAÇÕES'!$C$8,'01. CONFIGURAÇÕES'!$C$38,'01. CONFIGURAÇÕES'!$D$38))</f>
        <v/>
      </c>
      <c r="V367" s="58" t="str">
        <f t="shared" si="46"/>
        <v/>
      </c>
      <c r="W367" s="55" t="str">
        <f>IF($D367="","",IF($D367='01. CONFIGURAÇÕES'!$C$8,'01. CONFIGURAÇÕES'!$C$31,'01. CONFIGURAÇÕES'!$D$31))</f>
        <v/>
      </c>
      <c r="X367" s="54" t="str">
        <f>IF($A367="","",$T367*(1-'01. CONFIGURAÇÕES'!$C$16)-IF($W367="",0,$W367))</f>
        <v/>
      </c>
      <c r="Y367" s="54" t="str">
        <f t="shared" si="47"/>
        <v/>
      </c>
      <c r="Z367" s="30"/>
      <c r="AA367" s="33"/>
      <c r="AB367" s="33"/>
    </row>
    <row r="368" spans="1:28" x14ac:dyDescent="0.25">
      <c r="A368" s="31"/>
      <c r="B368" s="29" t="str">
        <f t="shared" si="40"/>
        <v/>
      </c>
      <c r="C368" s="29" t="str">
        <f>IF($A368="","","S"&amp;(INT(($A368-'01. CONFIGURAÇÕES'!$C$12)/7)+1))</f>
        <v/>
      </c>
      <c r="D368" s="30"/>
      <c r="E368" s="30"/>
      <c r="F368" s="10"/>
      <c r="G368" s="49"/>
      <c r="H368" s="49"/>
      <c r="I368" s="52" t="str">
        <f t="shared" si="41"/>
        <v/>
      </c>
      <c r="J368" s="49"/>
      <c r="K368" s="49"/>
      <c r="L368" s="49"/>
      <c r="M368" s="49"/>
      <c r="N368" s="49"/>
      <c r="O368" s="49"/>
      <c r="P368" s="10"/>
      <c r="Q368" s="11" t="str">
        <f t="shared" si="42"/>
        <v/>
      </c>
      <c r="R368" s="11" t="str">
        <f t="shared" si="43"/>
        <v/>
      </c>
      <c r="S368" s="58" t="str">
        <f t="shared" si="44"/>
        <v/>
      </c>
      <c r="T368" s="55" t="str">
        <f t="shared" si="45"/>
        <v/>
      </c>
      <c r="U368" s="55" t="str">
        <f>IF($D368="","",IF($D368='01. CONFIGURAÇÕES'!$C$8,'01. CONFIGURAÇÕES'!$C$38,'01. CONFIGURAÇÕES'!$D$38))</f>
        <v/>
      </c>
      <c r="V368" s="58" t="str">
        <f t="shared" si="46"/>
        <v/>
      </c>
      <c r="W368" s="55" t="str">
        <f>IF($D368="","",IF($D368='01. CONFIGURAÇÕES'!$C$8,'01. CONFIGURAÇÕES'!$C$31,'01. CONFIGURAÇÕES'!$D$31))</f>
        <v/>
      </c>
      <c r="X368" s="54" t="str">
        <f>IF($A368="","",$T368*(1-'01. CONFIGURAÇÕES'!$C$16)-IF($W368="",0,$W368))</f>
        <v/>
      </c>
      <c r="Y368" s="54" t="str">
        <f t="shared" si="47"/>
        <v/>
      </c>
      <c r="Z368" s="30"/>
      <c r="AA368" s="33"/>
      <c r="AB368" s="33"/>
    </row>
    <row r="369" spans="1:28" x14ac:dyDescent="0.25">
      <c r="A369" s="31"/>
      <c r="B369" s="29" t="str">
        <f t="shared" si="40"/>
        <v/>
      </c>
      <c r="C369" s="29" t="str">
        <f>IF($A369="","","S"&amp;(INT(($A369-'01. CONFIGURAÇÕES'!$C$12)/7)+1))</f>
        <v/>
      </c>
      <c r="D369" s="30"/>
      <c r="E369" s="30"/>
      <c r="F369" s="10"/>
      <c r="G369" s="49"/>
      <c r="H369" s="49"/>
      <c r="I369" s="52" t="str">
        <f t="shared" si="41"/>
        <v/>
      </c>
      <c r="J369" s="49"/>
      <c r="K369" s="49"/>
      <c r="L369" s="49"/>
      <c r="M369" s="49"/>
      <c r="N369" s="49"/>
      <c r="O369" s="49"/>
      <c r="P369" s="10"/>
      <c r="Q369" s="11" t="str">
        <f t="shared" si="42"/>
        <v/>
      </c>
      <c r="R369" s="11" t="str">
        <f t="shared" si="43"/>
        <v/>
      </c>
      <c r="S369" s="58" t="str">
        <f t="shared" si="44"/>
        <v/>
      </c>
      <c r="T369" s="55" t="str">
        <f t="shared" si="45"/>
        <v/>
      </c>
      <c r="U369" s="55" t="str">
        <f>IF($D369="","",IF($D369='01. CONFIGURAÇÕES'!$C$8,'01. CONFIGURAÇÕES'!$C$38,'01. CONFIGURAÇÕES'!$D$38))</f>
        <v/>
      </c>
      <c r="V369" s="58" t="str">
        <f t="shared" si="46"/>
        <v/>
      </c>
      <c r="W369" s="55" t="str">
        <f>IF($D369="","",IF($D369='01. CONFIGURAÇÕES'!$C$8,'01. CONFIGURAÇÕES'!$C$31,'01. CONFIGURAÇÕES'!$D$31))</f>
        <v/>
      </c>
      <c r="X369" s="54" t="str">
        <f>IF($A369="","",$T369*(1-'01. CONFIGURAÇÕES'!$C$16)-IF($W369="",0,$W369))</f>
        <v/>
      </c>
      <c r="Y369" s="54" t="str">
        <f t="shared" si="47"/>
        <v/>
      </c>
      <c r="Z369" s="30"/>
      <c r="AA369" s="33"/>
      <c r="AB369" s="33"/>
    </row>
    <row r="370" spans="1:28" x14ac:dyDescent="0.25">
      <c r="A370" s="31"/>
      <c r="B370" s="29" t="str">
        <f t="shared" si="40"/>
        <v/>
      </c>
      <c r="C370" s="29" t="str">
        <f>IF($A370="","","S"&amp;(INT(($A370-'01. CONFIGURAÇÕES'!$C$12)/7)+1))</f>
        <v/>
      </c>
      <c r="D370" s="30"/>
      <c r="E370" s="30"/>
      <c r="F370" s="10"/>
      <c r="G370" s="49"/>
      <c r="H370" s="49"/>
      <c r="I370" s="52" t="str">
        <f t="shared" si="41"/>
        <v/>
      </c>
      <c r="J370" s="49"/>
      <c r="K370" s="49"/>
      <c r="L370" s="49"/>
      <c r="M370" s="49"/>
      <c r="N370" s="49"/>
      <c r="O370" s="49"/>
      <c r="P370" s="10"/>
      <c r="Q370" s="11" t="str">
        <f t="shared" si="42"/>
        <v/>
      </c>
      <c r="R370" s="11" t="str">
        <f t="shared" si="43"/>
        <v/>
      </c>
      <c r="S370" s="58" t="str">
        <f t="shared" si="44"/>
        <v/>
      </c>
      <c r="T370" s="55" t="str">
        <f t="shared" si="45"/>
        <v/>
      </c>
      <c r="U370" s="55" t="str">
        <f>IF($D370="","",IF($D370='01. CONFIGURAÇÕES'!$C$8,'01. CONFIGURAÇÕES'!$C$38,'01. CONFIGURAÇÕES'!$D$38))</f>
        <v/>
      </c>
      <c r="V370" s="58" t="str">
        <f t="shared" si="46"/>
        <v/>
      </c>
      <c r="W370" s="55" t="str">
        <f>IF($D370="","",IF($D370='01. CONFIGURAÇÕES'!$C$8,'01. CONFIGURAÇÕES'!$C$31,'01. CONFIGURAÇÕES'!$D$31))</f>
        <v/>
      </c>
      <c r="X370" s="54" t="str">
        <f>IF($A370="","",$T370*(1-'01. CONFIGURAÇÕES'!$C$16)-IF($W370="",0,$W370))</f>
        <v/>
      </c>
      <c r="Y370" s="54" t="str">
        <f t="shared" si="47"/>
        <v/>
      </c>
      <c r="Z370" s="30"/>
      <c r="AA370" s="33"/>
      <c r="AB370" s="33"/>
    </row>
    <row r="371" spans="1:28" x14ac:dyDescent="0.25">
      <c r="A371" s="31"/>
      <c r="B371" s="29" t="str">
        <f t="shared" si="40"/>
        <v/>
      </c>
      <c r="C371" s="29" t="str">
        <f>IF($A371="","","S"&amp;(INT(($A371-'01. CONFIGURAÇÕES'!$C$12)/7)+1))</f>
        <v/>
      </c>
      <c r="D371" s="30"/>
      <c r="E371" s="30"/>
      <c r="F371" s="10"/>
      <c r="G371" s="49"/>
      <c r="H371" s="49"/>
      <c r="I371" s="52" t="str">
        <f t="shared" si="41"/>
        <v/>
      </c>
      <c r="J371" s="49"/>
      <c r="K371" s="49"/>
      <c r="L371" s="49"/>
      <c r="M371" s="49"/>
      <c r="N371" s="49"/>
      <c r="O371" s="49"/>
      <c r="P371" s="10"/>
      <c r="Q371" s="11" t="str">
        <f t="shared" si="42"/>
        <v/>
      </c>
      <c r="R371" s="11" t="str">
        <f t="shared" si="43"/>
        <v/>
      </c>
      <c r="S371" s="58" t="str">
        <f t="shared" si="44"/>
        <v/>
      </c>
      <c r="T371" s="55" t="str">
        <f t="shared" si="45"/>
        <v/>
      </c>
      <c r="U371" s="55" t="str">
        <f>IF($D371="","",IF($D371='01. CONFIGURAÇÕES'!$C$8,'01. CONFIGURAÇÕES'!$C$38,'01. CONFIGURAÇÕES'!$D$38))</f>
        <v/>
      </c>
      <c r="V371" s="58" t="str">
        <f t="shared" si="46"/>
        <v/>
      </c>
      <c r="W371" s="55" t="str">
        <f>IF($D371="","",IF($D371='01. CONFIGURAÇÕES'!$C$8,'01. CONFIGURAÇÕES'!$C$31,'01. CONFIGURAÇÕES'!$D$31))</f>
        <v/>
      </c>
      <c r="X371" s="54" t="str">
        <f>IF($A371="","",$T371*(1-'01. CONFIGURAÇÕES'!$C$16)-IF($W371="",0,$W371))</f>
        <v/>
      </c>
      <c r="Y371" s="54" t="str">
        <f t="shared" si="47"/>
        <v/>
      </c>
      <c r="Z371" s="30"/>
      <c r="AA371" s="33"/>
      <c r="AB371" s="33"/>
    </row>
    <row r="372" spans="1:28" x14ac:dyDescent="0.25">
      <c r="A372" s="31"/>
      <c r="B372" s="29" t="str">
        <f t="shared" si="40"/>
        <v/>
      </c>
      <c r="C372" s="29" t="str">
        <f>IF($A372="","","S"&amp;(INT(($A372-'01. CONFIGURAÇÕES'!$C$12)/7)+1))</f>
        <v/>
      </c>
      <c r="D372" s="30"/>
      <c r="E372" s="30"/>
      <c r="F372" s="10"/>
      <c r="G372" s="49"/>
      <c r="H372" s="49"/>
      <c r="I372" s="52" t="str">
        <f t="shared" si="41"/>
        <v/>
      </c>
      <c r="J372" s="49"/>
      <c r="K372" s="49"/>
      <c r="L372" s="49"/>
      <c r="M372" s="49"/>
      <c r="N372" s="49"/>
      <c r="O372" s="49"/>
      <c r="P372" s="10"/>
      <c r="Q372" s="11" t="str">
        <f t="shared" si="42"/>
        <v/>
      </c>
      <c r="R372" s="11" t="str">
        <f t="shared" si="43"/>
        <v/>
      </c>
      <c r="S372" s="58" t="str">
        <f t="shared" si="44"/>
        <v/>
      </c>
      <c r="T372" s="55" t="str">
        <f t="shared" si="45"/>
        <v/>
      </c>
      <c r="U372" s="55" t="str">
        <f>IF($D372="","",IF($D372='01. CONFIGURAÇÕES'!$C$8,'01. CONFIGURAÇÕES'!$C$38,'01. CONFIGURAÇÕES'!$D$38))</f>
        <v/>
      </c>
      <c r="V372" s="58" t="str">
        <f t="shared" si="46"/>
        <v/>
      </c>
      <c r="W372" s="55" t="str">
        <f>IF($D372="","",IF($D372='01. CONFIGURAÇÕES'!$C$8,'01. CONFIGURAÇÕES'!$C$31,'01. CONFIGURAÇÕES'!$D$31))</f>
        <v/>
      </c>
      <c r="X372" s="54" t="str">
        <f>IF($A372="","",$T372*(1-'01. CONFIGURAÇÕES'!$C$16)-IF($W372="",0,$W372))</f>
        <v/>
      </c>
      <c r="Y372" s="54" t="str">
        <f t="shared" si="47"/>
        <v/>
      </c>
      <c r="Z372" s="30"/>
      <c r="AA372" s="33"/>
      <c r="AB372" s="33"/>
    </row>
    <row r="373" spans="1:28" x14ac:dyDescent="0.25">
      <c r="A373" s="31"/>
      <c r="B373" s="29" t="str">
        <f t="shared" si="40"/>
        <v/>
      </c>
      <c r="C373" s="29" t="str">
        <f>IF($A373="","","S"&amp;(INT(($A373-'01. CONFIGURAÇÕES'!$C$12)/7)+1))</f>
        <v/>
      </c>
      <c r="D373" s="30"/>
      <c r="E373" s="30"/>
      <c r="F373" s="10"/>
      <c r="G373" s="49"/>
      <c r="H373" s="49"/>
      <c r="I373" s="52" t="str">
        <f t="shared" si="41"/>
        <v/>
      </c>
      <c r="J373" s="49"/>
      <c r="K373" s="49"/>
      <c r="L373" s="49"/>
      <c r="M373" s="49"/>
      <c r="N373" s="49"/>
      <c r="O373" s="49"/>
      <c r="P373" s="10"/>
      <c r="Q373" s="11" t="str">
        <f t="shared" si="42"/>
        <v/>
      </c>
      <c r="R373" s="11" t="str">
        <f t="shared" si="43"/>
        <v/>
      </c>
      <c r="S373" s="58" t="str">
        <f t="shared" si="44"/>
        <v/>
      </c>
      <c r="T373" s="55" t="str">
        <f t="shared" si="45"/>
        <v/>
      </c>
      <c r="U373" s="55" t="str">
        <f>IF($D373="","",IF($D373='01. CONFIGURAÇÕES'!$C$8,'01. CONFIGURAÇÕES'!$C$38,'01. CONFIGURAÇÕES'!$D$38))</f>
        <v/>
      </c>
      <c r="V373" s="58" t="str">
        <f t="shared" si="46"/>
        <v/>
      </c>
      <c r="W373" s="55" t="str">
        <f>IF($D373="","",IF($D373='01. CONFIGURAÇÕES'!$C$8,'01. CONFIGURAÇÕES'!$C$31,'01. CONFIGURAÇÕES'!$D$31))</f>
        <v/>
      </c>
      <c r="X373" s="54" t="str">
        <f>IF($A373="","",$T373*(1-'01. CONFIGURAÇÕES'!$C$16)-IF($W373="",0,$W373))</f>
        <v/>
      </c>
      <c r="Y373" s="54" t="str">
        <f t="shared" si="47"/>
        <v/>
      </c>
      <c r="Z373" s="30"/>
      <c r="AA373" s="33"/>
      <c r="AB373" s="33"/>
    </row>
    <row r="374" spans="1:28" x14ac:dyDescent="0.25">
      <c r="A374" s="31"/>
      <c r="B374" s="29" t="str">
        <f t="shared" si="40"/>
        <v/>
      </c>
      <c r="C374" s="29" t="str">
        <f>IF($A374="","","S"&amp;(INT(($A374-'01. CONFIGURAÇÕES'!$C$12)/7)+1))</f>
        <v/>
      </c>
      <c r="D374" s="30"/>
      <c r="E374" s="30"/>
      <c r="F374" s="10"/>
      <c r="G374" s="49"/>
      <c r="H374" s="49"/>
      <c r="I374" s="52" t="str">
        <f t="shared" si="41"/>
        <v/>
      </c>
      <c r="J374" s="49"/>
      <c r="K374" s="49"/>
      <c r="L374" s="49"/>
      <c r="M374" s="49"/>
      <c r="N374" s="49"/>
      <c r="O374" s="49"/>
      <c r="P374" s="10"/>
      <c r="Q374" s="11" t="str">
        <f t="shared" si="42"/>
        <v/>
      </c>
      <c r="R374" s="11" t="str">
        <f t="shared" si="43"/>
        <v/>
      </c>
      <c r="S374" s="58" t="str">
        <f t="shared" si="44"/>
        <v/>
      </c>
      <c r="T374" s="55" t="str">
        <f t="shared" si="45"/>
        <v/>
      </c>
      <c r="U374" s="55" t="str">
        <f>IF($D374="","",IF($D374='01. CONFIGURAÇÕES'!$C$8,'01. CONFIGURAÇÕES'!$C$38,'01. CONFIGURAÇÕES'!$D$38))</f>
        <v/>
      </c>
      <c r="V374" s="58" t="str">
        <f t="shared" si="46"/>
        <v/>
      </c>
      <c r="W374" s="55" t="str">
        <f>IF($D374="","",IF($D374='01. CONFIGURAÇÕES'!$C$8,'01. CONFIGURAÇÕES'!$C$31,'01. CONFIGURAÇÕES'!$D$31))</f>
        <v/>
      </c>
      <c r="X374" s="54" t="str">
        <f>IF($A374="","",$T374*(1-'01. CONFIGURAÇÕES'!$C$16)-IF($W374="",0,$W374))</f>
        <v/>
      </c>
      <c r="Y374" s="54" t="str">
        <f t="shared" si="47"/>
        <v/>
      </c>
      <c r="Z374" s="30"/>
      <c r="AA374" s="33"/>
      <c r="AB374" s="33"/>
    </row>
    <row r="375" spans="1:28" x14ac:dyDescent="0.25">
      <c r="A375" s="31"/>
      <c r="B375" s="29" t="str">
        <f t="shared" si="40"/>
        <v/>
      </c>
      <c r="C375" s="29" t="str">
        <f>IF($A375="","","S"&amp;(INT(($A375-'01. CONFIGURAÇÕES'!$C$12)/7)+1))</f>
        <v/>
      </c>
      <c r="D375" s="30"/>
      <c r="E375" s="30"/>
      <c r="F375" s="10"/>
      <c r="G375" s="49"/>
      <c r="H375" s="49"/>
      <c r="I375" s="52" t="str">
        <f t="shared" si="41"/>
        <v/>
      </c>
      <c r="J375" s="49"/>
      <c r="K375" s="49"/>
      <c r="L375" s="49"/>
      <c r="M375" s="49"/>
      <c r="N375" s="49"/>
      <c r="O375" s="49"/>
      <c r="P375" s="10"/>
      <c r="Q375" s="11" t="str">
        <f t="shared" si="42"/>
        <v/>
      </c>
      <c r="R375" s="11" t="str">
        <f t="shared" si="43"/>
        <v/>
      </c>
      <c r="S375" s="58" t="str">
        <f t="shared" si="44"/>
        <v/>
      </c>
      <c r="T375" s="55" t="str">
        <f t="shared" si="45"/>
        <v/>
      </c>
      <c r="U375" s="55" t="str">
        <f>IF($D375="","",IF($D375='01. CONFIGURAÇÕES'!$C$8,'01. CONFIGURAÇÕES'!$C$38,'01. CONFIGURAÇÕES'!$D$38))</f>
        <v/>
      </c>
      <c r="V375" s="58" t="str">
        <f t="shared" si="46"/>
        <v/>
      </c>
      <c r="W375" s="55" t="str">
        <f>IF($D375="","",IF($D375='01. CONFIGURAÇÕES'!$C$8,'01. CONFIGURAÇÕES'!$C$31,'01. CONFIGURAÇÕES'!$D$31))</f>
        <v/>
      </c>
      <c r="X375" s="54" t="str">
        <f>IF($A375="","",$T375*(1-'01. CONFIGURAÇÕES'!$C$16)-IF($W375="",0,$W375))</f>
        <v/>
      </c>
      <c r="Y375" s="54" t="str">
        <f t="shared" si="47"/>
        <v/>
      </c>
      <c r="Z375" s="30"/>
      <c r="AA375" s="33"/>
      <c r="AB375" s="33"/>
    </row>
    <row r="376" spans="1:28" x14ac:dyDescent="0.25">
      <c r="A376" s="31"/>
      <c r="B376" s="29" t="str">
        <f t="shared" si="40"/>
        <v/>
      </c>
      <c r="C376" s="29" t="str">
        <f>IF($A376="","","S"&amp;(INT(($A376-'01. CONFIGURAÇÕES'!$C$12)/7)+1))</f>
        <v/>
      </c>
      <c r="D376" s="30"/>
      <c r="E376" s="30"/>
      <c r="F376" s="10"/>
      <c r="G376" s="49"/>
      <c r="H376" s="49"/>
      <c r="I376" s="52" t="str">
        <f t="shared" si="41"/>
        <v/>
      </c>
      <c r="J376" s="49"/>
      <c r="K376" s="49"/>
      <c r="L376" s="49"/>
      <c r="M376" s="49"/>
      <c r="N376" s="49"/>
      <c r="O376" s="49"/>
      <c r="P376" s="10"/>
      <c r="Q376" s="11" t="str">
        <f t="shared" si="42"/>
        <v/>
      </c>
      <c r="R376" s="11" t="str">
        <f t="shared" si="43"/>
        <v/>
      </c>
      <c r="S376" s="58" t="str">
        <f t="shared" si="44"/>
        <v/>
      </c>
      <c r="T376" s="55" t="str">
        <f t="shared" si="45"/>
        <v/>
      </c>
      <c r="U376" s="55" t="str">
        <f>IF($D376="","",IF($D376='01. CONFIGURAÇÕES'!$C$8,'01. CONFIGURAÇÕES'!$C$38,'01. CONFIGURAÇÕES'!$D$38))</f>
        <v/>
      </c>
      <c r="V376" s="58" t="str">
        <f t="shared" si="46"/>
        <v/>
      </c>
      <c r="W376" s="55" t="str">
        <f>IF($D376="","",IF($D376='01. CONFIGURAÇÕES'!$C$8,'01. CONFIGURAÇÕES'!$C$31,'01. CONFIGURAÇÕES'!$D$31))</f>
        <v/>
      </c>
      <c r="X376" s="54" t="str">
        <f>IF($A376="","",$T376*(1-'01. CONFIGURAÇÕES'!$C$16)-IF($W376="",0,$W376))</f>
        <v/>
      </c>
      <c r="Y376" s="54" t="str">
        <f t="shared" si="47"/>
        <v/>
      </c>
      <c r="Z376" s="30"/>
      <c r="AA376" s="33"/>
      <c r="AB376" s="33"/>
    </row>
    <row r="377" spans="1:28" x14ac:dyDescent="0.25">
      <c r="A377" s="31"/>
      <c r="B377" s="29" t="str">
        <f t="shared" si="40"/>
        <v/>
      </c>
      <c r="C377" s="29" t="str">
        <f>IF($A377="","","S"&amp;(INT(($A377-'01. CONFIGURAÇÕES'!$C$12)/7)+1))</f>
        <v/>
      </c>
      <c r="D377" s="30"/>
      <c r="E377" s="30"/>
      <c r="F377" s="10"/>
      <c r="G377" s="49"/>
      <c r="H377" s="49"/>
      <c r="I377" s="52" t="str">
        <f t="shared" si="41"/>
        <v/>
      </c>
      <c r="J377" s="49"/>
      <c r="K377" s="49"/>
      <c r="L377" s="49"/>
      <c r="M377" s="49"/>
      <c r="N377" s="49"/>
      <c r="O377" s="49"/>
      <c r="P377" s="10"/>
      <c r="Q377" s="11" t="str">
        <f t="shared" si="42"/>
        <v/>
      </c>
      <c r="R377" s="11" t="str">
        <f t="shared" si="43"/>
        <v/>
      </c>
      <c r="S377" s="58" t="str">
        <f t="shared" si="44"/>
        <v/>
      </c>
      <c r="T377" s="55" t="str">
        <f t="shared" si="45"/>
        <v/>
      </c>
      <c r="U377" s="55" t="str">
        <f>IF($D377="","",IF($D377='01. CONFIGURAÇÕES'!$C$8,'01. CONFIGURAÇÕES'!$C$38,'01. CONFIGURAÇÕES'!$D$38))</f>
        <v/>
      </c>
      <c r="V377" s="58" t="str">
        <f t="shared" si="46"/>
        <v/>
      </c>
      <c r="W377" s="55" t="str">
        <f>IF($D377="","",IF($D377='01. CONFIGURAÇÕES'!$C$8,'01. CONFIGURAÇÕES'!$C$31,'01. CONFIGURAÇÕES'!$D$31))</f>
        <v/>
      </c>
      <c r="X377" s="54" t="str">
        <f>IF($A377="","",$T377*(1-'01. CONFIGURAÇÕES'!$C$16)-IF($W377="",0,$W377))</f>
        <v/>
      </c>
      <c r="Y377" s="54" t="str">
        <f t="shared" si="47"/>
        <v/>
      </c>
      <c r="Z377" s="30"/>
      <c r="AA377" s="33"/>
      <c r="AB377" s="33"/>
    </row>
    <row r="378" spans="1:28" x14ac:dyDescent="0.25">
      <c r="A378" s="31"/>
      <c r="B378" s="29" t="str">
        <f t="shared" si="40"/>
        <v/>
      </c>
      <c r="C378" s="29" t="str">
        <f>IF($A378="","","S"&amp;(INT(($A378-'01. CONFIGURAÇÕES'!$C$12)/7)+1))</f>
        <v/>
      </c>
      <c r="D378" s="30"/>
      <c r="E378" s="30"/>
      <c r="F378" s="10"/>
      <c r="G378" s="49"/>
      <c r="H378" s="49"/>
      <c r="I378" s="52" t="str">
        <f t="shared" si="41"/>
        <v/>
      </c>
      <c r="J378" s="49"/>
      <c r="K378" s="49"/>
      <c r="L378" s="49"/>
      <c r="M378" s="49"/>
      <c r="N378" s="49"/>
      <c r="O378" s="49"/>
      <c r="P378" s="10"/>
      <c r="Q378" s="11" t="str">
        <f t="shared" si="42"/>
        <v/>
      </c>
      <c r="R378" s="11" t="str">
        <f t="shared" si="43"/>
        <v/>
      </c>
      <c r="S378" s="58" t="str">
        <f t="shared" si="44"/>
        <v/>
      </c>
      <c r="T378" s="55" t="str">
        <f t="shared" si="45"/>
        <v/>
      </c>
      <c r="U378" s="55" t="str">
        <f>IF($D378="","",IF($D378='01. CONFIGURAÇÕES'!$C$8,'01. CONFIGURAÇÕES'!$C$38,'01. CONFIGURAÇÕES'!$D$38))</f>
        <v/>
      </c>
      <c r="V378" s="58" t="str">
        <f t="shared" si="46"/>
        <v/>
      </c>
      <c r="W378" s="55" t="str">
        <f>IF($D378="","",IF($D378='01. CONFIGURAÇÕES'!$C$8,'01. CONFIGURAÇÕES'!$C$31,'01. CONFIGURAÇÕES'!$D$31))</f>
        <v/>
      </c>
      <c r="X378" s="54" t="str">
        <f>IF($A378="","",$T378*(1-'01. CONFIGURAÇÕES'!$C$16)-IF($W378="",0,$W378))</f>
        <v/>
      </c>
      <c r="Y378" s="54" t="str">
        <f t="shared" si="47"/>
        <v/>
      </c>
      <c r="Z378" s="30"/>
      <c r="AA378" s="33"/>
      <c r="AB378" s="33"/>
    </row>
    <row r="379" spans="1:28" x14ac:dyDescent="0.25">
      <c r="A379" s="31"/>
      <c r="B379" s="29" t="str">
        <f t="shared" si="40"/>
        <v/>
      </c>
      <c r="C379" s="29" t="str">
        <f>IF($A379="","","S"&amp;(INT(($A379-'01. CONFIGURAÇÕES'!$C$12)/7)+1))</f>
        <v/>
      </c>
      <c r="D379" s="30"/>
      <c r="E379" s="30"/>
      <c r="F379" s="10"/>
      <c r="G379" s="49"/>
      <c r="H379" s="49"/>
      <c r="I379" s="52" t="str">
        <f t="shared" si="41"/>
        <v/>
      </c>
      <c r="J379" s="49"/>
      <c r="K379" s="49"/>
      <c r="L379" s="49"/>
      <c r="M379" s="49"/>
      <c r="N379" s="49"/>
      <c r="O379" s="49"/>
      <c r="P379" s="10"/>
      <c r="Q379" s="11" t="str">
        <f t="shared" si="42"/>
        <v/>
      </c>
      <c r="R379" s="11" t="str">
        <f t="shared" si="43"/>
        <v/>
      </c>
      <c r="S379" s="58" t="str">
        <f t="shared" si="44"/>
        <v/>
      </c>
      <c r="T379" s="55" t="str">
        <f t="shared" si="45"/>
        <v/>
      </c>
      <c r="U379" s="55" t="str">
        <f>IF($D379="","",IF($D379='01. CONFIGURAÇÕES'!$C$8,'01. CONFIGURAÇÕES'!$C$38,'01. CONFIGURAÇÕES'!$D$38))</f>
        <v/>
      </c>
      <c r="V379" s="58" t="str">
        <f t="shared" si="46"/>
        <v/>
      </c>
      <c r="W379" s="55" t="str">
        <f>IF($D379="","",IF($D379='01. CONFIGURAÇÕES'!$C$8,'01. CONFIGURAÇÕES'!$C$31,'01. CONFIGURAÇÕES'!$D$31))</f>
        <v/>
      </c>
      <c r="X379" s="54" t="str">
        <f>IF($A379="","",$T379*(1-'01. CONFIGURAÇÕES'!$C$16)-IF($W379="",0,$W379))</f>
        <v/>
      </c>
      <c r="Y379" s="54" t="str">
        <f t="shared" si="47"/>
        <v/>
      </c>
      <c r="Z379" s="30"/>
      <c r="AA379" s="33"/>
      <c r="AB379" s="33"/>
    </row>
    <row r="380" spans="1:28" x14ac:dyDescent="0.25">
      <c r="A380" s="31"/>
      <c r="B380" s="29" t="str">
        <f t="shared" si="40"/>
        <v/>
      </c>
      <c r="C380" s="29" t="str">
        <f>IF($A380="","","S"&amp;(INT(($A380-'01. CONFIGURAÇÕES'!$C$12)/7)+1))</f>
        <v/>
      </c>
      <c r="D380" s="30"/>
      <c r="E380" s="30"/>
      <c r="F380" s="10"/>
      <c r="G380" s="49"/>
      <c r="H380" s="49"/>
      <c r="I380" s="52" t="str">
        <f t="shared" si="41"/>
        <v/>
      </c>
      <c r="J380" s="49"/>
      <c r="K380" s="49"/>
      <c r="L380" s="49"/>
      <c r="M380" s="49"/>
      <c r="N380" s="49"/>
      <c r="O380" s="49"/>
      <c r="P380" s="10"/>
      <c r="Q380" s="11" t="str">
        <f t="shared" si="42"/>
        <v/>
      </c>
      <c r="R380" s="11" t="str">
        <f t="shared" si="43"/>
        <v/>
      </c>
      <c r="S380" s="58" t="str">
        <f t="shared" si="44"/>
        <v/>
      </c>
      <c r="T380" s="55" t="str">
        <f t="shared" si="45"/>
        <v/>
      </c>
      <c r="U380" s="55" t="str">
        <f>IF($D380="","",IF($D380='01. CONFIGURAÇÕES'!$C$8,'01. CONFIGURAÇÕES'!$C$38,'01. CONFIGURAÇÕES'!$D$38))</f>
        <v/>
      </c>
      <c r="V380" s="58" t="str">
        <f t="shared" si="46"/>
        <v/>
      </c>
      <c r="W380" s="55" t="str">
        <f>IF($D380="","",IF($D380='01. CONFIGURAÇÕES'!$C$8,'01. CONFIGURAÇÕES'!$C$31,'01. CONFIGURAÇÕES'!$D$31))</f>
        <v/>
      </c>
      <c r="X380" s="54" t="str">
        <f>IF($A380="","",$T380*(1-'01. CONFIGURAÇÕES'!$C$16)-IF($W380="",0,$W380))</f>
        <v/>
      </c>
      <c r="Y380" s="54" t="str">
        <f t="shared" si="47"/>
        <v/>
      </c>
      <c r="Z380" s="30"/>
      <c r="AA380" s="33"/>
      <c r="AB380" s="33"/>
    </row>
    <row r="381" spans="1:28" x14ac:dyDescent="0.25">
      <c r="A381" s="31"/>
      <c r="B381" s="29" t="str">
        <f t="shared" si="40"/>
        <v/>
      </c>
      <c r="C381" s="29" t="str">
        <f>IF($A381="","","S"&amp;(INT(($A381-'01. CONFIGURAÇÕES'!$C$12)/7)+1))</f>
        <v/>
      </c>
      <c r="D381" s="30"/>
      <c r="E381" s="30"/>
      <c r="F381" s="10"/>
      <c r="G381" s="49"/>
      <c r="H381" s="49"/>
      <c r="I381" s="52" t="str">
        <f t="shared" si="41"/>
        <v/>
      </c>
      <c r="J381" s="49"/>
      <c r="K381" s="49"/>
      <c r="L381" s="49"/>
      <c r="M381" s="49"/>
      <c r="N381" s="49"/>
      <c r="O381" s="49"/>
      <c r="P381" s="10"/>
      <c r="Q381" s="11" t="str">
        <f t="shared" si="42"/>
        <v/>
      </c>
      <c r="R381" s="11" t="str">
        <f t="shared" si="43"/>
        <v/>
      </c>
      <c r="S381" s="58" t="str">
        <f t="shared" si="44"/>
        <v/>
      </c>
      <c r="T381" s="55" t="str">
        <f t="shared" si="45"/>
        <v/>
      </c>
      <c r="U381" s="55" t="str">
        <f>IF($D381="","",IF($D381='01. CONFIGURAÇÕES'!$C$8,'01. CONFIGURAÇÕES'!$C$38,'01. CONFIGURAÇÕES'!$D$38))</f>
        <v/>
      </c>
      <c r="V381" s="58" t="str">
        <f t="shared" si="46"/>
        <v/>
      </c>
      <c r="W381" s="55" t="str">
        <f>IF($D381="","",IF($D381='01. CONFIGURAÇÕES'!$C$8,'01. CONFIGURAÇÕES'!$C$31,'01. CONFIGURAÇÕES'!$D$31))</f>
        <v/>
      </c>
      <c r="X381" s="54" t="str">
        <f>IF($A381="","",$T381*(1-'01. CONFIGURAÇÕES'!$C$16)-IF($W381="",0,$W381))</f>
        <v/>
      </c>
      <c r="Y381" s="54" t="str">
        <f t="shared" si="47"/>
        <v/>
      </c>
      <c r="Z381" s="30"/>
      <c r="AA381" s="33"/>
      <c r="AB381" s="33"/>
    </row>
    <row r="382" spans="1:28" x14ac:dyDescent="0.25">
      <c r="A382" s="31"/>
      <c r="B382" s="29" t="str">
        <f t="shared" si="40"/>
        <v/>
      </c>
      <c r="C382" s="29" t="str">
        <f>IF($A382="","","S"&amp;(INT(($A382-'01. CONFIGURAÇÕES'!$C$12)/7)+1))</f>
        <v/>
      </c>
      <c r="D382" s="30"/>
      <c r="E382" s="30"/>
      <c r="F382" s="10"/>
      <c r="G382" s="49"/>
      <c r="H382" s="49"/>
      <c r="I382" s="52" t="str">
        <f t="shared" si="41"/>
        <v/>
      </c>
      <c r="J382" s="49"/>
      <c r="K382" s="49"/>
      <c r="L382" s="49"/>
      <c r="M382" s="49"/>
      <c r="N382" s="49"/>
      <c r="O382" s="49"/>
      <c r="P382" s="10"/>
      <c r="Q382" s="11" t="str">
        <f t="shared" si="42"/>
        <v/>
      </c>
      <c r="R382" s="11" t="str">
        <f t="shared" si="43"/>
        <v/>
      </c>
      <c r="S382" s="58" t="str">
        <f t="shared" si="44"/>
        <v/>
      </c>
      <c r="T382" s="55" t="str">
        <f t="shared" si="45"/>
        <v/>
      </c>
      <c r="U382" s="55" t="str">
        <f>IF($D382="","",IF($D382='01. CONFIGURAÇÕES'!$C$8,'01. CONFIGURAÇÕES'!$C$38,'01. CONFIGURAÇÕES'!$D$38))</f>
        <v/>
      </c>
      <c r="V382" s="58" t="str">
        <f t="shared" si="46"/>
        <v/>
      </c>
      <c r="W382" s="55" t="str">
        <f>IF($D382="","",IF($D382='01. CONFIGURAÇÕES'!$C$8,'01. CONFIGURAÇÕES'!$C$31,'01. CONFIGURAÇÕES'!$D$31))</f>
        <v/>
      </c>
      <c r="X382" s="54" t="str">
        <f>IF($A382="","",$T382*(1-'01. CONFIGURAÇÕES'!$C$16)-IF($W382="",0,$W382))</f>
        <v/>
      </c>
      <c r="Y382" s="54" t="str">
        <f t="shared" si="47"/>
        <v/>
      </c>
      <c r="Z382" s="30"/>
      <c r="AA382" s="33"/>
      <c r="AB382" s="33"/>
    </row>
    <row r="383" spans="1:28" x14ac:dyDescent="0.25">
      <c r="A383" s="31"/>
      <c r="B383" s="29" t="str">
        <f t="shared" si="40"/>
        <v/>
      </c>
      <c r="C383" s="29" t="str">
        <f>IF($A383="","","S"&amp;(INT(($A383-'01. CONFIGURAÇÕES'!$C$12)/7)+1))</f>
        <v/>
      </c>
      <c r="D383" s="30"/>
      <c r="E383" s="30"/>
      <c r="F383" s="10"/>
      <c r="G383" s="49"/>
      <c r="H383" s="49"/>
      <c r="I383" s="52" t="str">
        <f t="shared" si="41"/>
        <v/>
      </c>
      <c r="J383" s="49"/>
      <c r="K383" s="49"/>
      <c r="L383" s="49"/>
      <c r="M383" s="49"/>
      <c r="N383" s="49"/>
      <c r="O383" s="49"/>
      <c r="P383" s="10"/>
      <c r="Q383" s="11" t="str">
        <f t="shared" si="42"/>
        <v/>
      </c>
      <c r="R383" s="11" t="str">
        <f t="shared" si="43"/>
        <v/>
      </c>
      <c r="S383" s="58" t="str">
        <f t="shared" si="44"/>
        <v/>
      </c>
      <c r="T383" s="55" t="str">
        <f t="shared" si="45"/>
        <v/>
      </c>
      <c r="U383" s="55" t="str">
        <f>IF($D383="","",IF($D383='01. CONFIGURAÇÕES'!$C$8,'01. CONFIGURAÇÕES'!$C$38,'01. CONFIGURAÇÕES'!$D$38))</f>
        <v/>
      </c>
      <c r="V383" s="58" t="str">
        <f t="shared" si="46"/>
        <v/>
      </c>
      <c r="W383" s="55" t="str">
        <f>IF($D383="","",IF($D383='01. CONFIGURAÇÕES'!$C$8,'01. CONFIGURAÇÕES'!$C$31,'01. CONFIGURAÇÕES'!$D$31))</f>
        <v/>
      </c>
      <c r="X383" s="54" t="str">
        <f>IF($A383="","",$T383*(1-'01. CONFIGURAÇÕES'!$C$16)-IF($W383="",0,$W383))</f>
        <v/>
      </c>
      <c r="Y383" s="54" t="str">
        <f t="shared" si="47"/>
        <v/>
      </c>
      <c r="Z383" s="30"/>
      <c r="AA383" s="33"/>
      <c r="AB383" s="33"/>
    </row>
    <row r="384" spans="1:28" x14ac:dyDescent="0.25">
      <c r="A384" s="31"/>
      <c r="B384" s="29" t="str">
        <f t="shared" si="40"/>
        <v/>
      </c>
      <c r="C384" s="29" t="str">
        <f>IF($A384="","","S"&amp;(INT(($A384-'01. CONFIGURAÇÕES'!$C$12)/7)+1))</f>
        <v/>
      </c>
      <c r="D384" s="30"/>
      <c r="E384" s="30"/>
      <c r="F384" s="10"/>
      <c r="G384" s="49"/>
      <c r="H384" s="49"/>
      <c r="I384" s="52" t="str">
        <f t="shared" si="41"/>
        <v/>
      </c>
      <c r="J384" s="49"/>
      <c r="K384" s="49"/>
      <c r="L384" s="49"/>
      <c r="M384" s="49"/>
      <c r="N384" s="49"/>
      <c r="O384" s="49"/>
      <c r="P384" s="10"/>
      <c r="Q384" s="11" t="str">
        <f t="shared" si="42"/>
        <v/>
      </c>
      <c r="R384" s="11" t="str">
        <f t="shared" si="43"/>
        <v/>
      </c>
      <c r="S384" s="58" t="str">
        <f t="shared" si="44"/>
        <v/>
      </c>
      <c r="T384" s="55" t="str">
        <f t="shared" si="45"/>
        <v/>
      </c>
      <c r="U384" s="55" t="str">
        <f>IF($D384="","",IF($D384='01. CONFIGURAÇÕES'!$C$8,'01. CONFIGURAÇÕES'!$C$38,'01. CONFIGURAÇÕES'!$D$38))</f>
        <v/>
      </c>
      <c r="V384" s="58" t="str">
        <f t="shared" si="46"/>
        <v/>
      </c>
      <c r="W384" s="55" t="str">
        <f>IF($D384="","",IF($D384='01. CONFIGURAÇÕES'!$C$8,'01. CONFIGURAÇÕES'!$C$31,'01. CONFIGURAÇÕES'!$D$31))</f>
        <v/>
      </c>
      <c r="X384" s="54" t="str">
        <f>IF($A384="","",$T384*(1-'01. CONFIGURAÇÕES'!$C$16)-IF($W384="",0,$W384))</f>
        <v/>
      </c>
      <c r="Y384" s="54" t="str">
        <f t="shared" si="47"/>
        <v/>
      </c>
      <c r="Z384" s="30"/>
      <c r="AA384" s="33"/>
      <c r="AB384" s="33"/>
    </row>
    <row r="385" spans="1:28" x14ac:dyDescent="0.25">
      <c r="A385" s="31"/>
      <c r="B385" s="29" t="str">
        <f t="shared" si="40"/>
        <v/>
      </c>
      <c r="C385" s="29" t="str">
        <f>IF($A385="","","S"&amp;(INT(($A385-'01. CONFIGURAÇÕES'!$C$12)/7)+1))</f>
        <v/>
      </c>
      <c r="D385" s="30"/>
      <c r="E385" s="30"/>
      <c r="F385" s="10"/>
      <c r="G385" s="49"/>
      <c r="H385" s="49"/>
      <c r="I385" s="52" t="str">
        <f t="shared" si="41"/>
        <v/>
      </c>
      <c r="J385" s="49"/>
      <c r="K385" s="49"/>
      <c r="L385" s="49"/>
      <c r="M385" s="49"/>
      <c r="N385" s="49"/>
      <c r="O385" s="49"/>
      <c r="P385" s="10"/>
      <c r="Q385" s="11" t="str">
        <f t="shared" si="42"/>
        <v/>
      </c>
      <c r="R385" s="11" t="str">
        <f t="shared" si="43"/>
        <v/>
      </c>
      <c r="S385" s="58" t="str">
        <f t="shared" si="44"/>
        <v/>
      </c>
      <c r="T385" s="55" t="str">
        <f t="shared" si="45"/>
        <v/>
      </c>
      <c r="U385" s="55" t="str">
        <f>IF($D385="","",IF($D385='01. CONFIGURAÇÕES'!$C$8,'01. CONFIGURAÇÕES'!$C$38,'01. CONFIGURAÇÕES'!$D$38))</f>
        <v/>
      </c>
      <c r="V385" s="58" t="str">
        <f t="shared" si="46"/>
        <v/>
      </c>
      <c r="W385" s="55" t="str">
        <f>IF($D385="","",IF($D385='01. CONFIGURAÇÕES'!$C$8,'01. CONFIGURAÇÕES'!$C$31,'01. CONFIGURAÇÕES'!$D$31))</f>
        <v/>
      </c>
      <c r="X385" s="54" t="str">
        <f>IF($A385="","",$T385*(1-'01. CONFIGURAÇÕES'!$C$16)-IF($W385="",0,$W385))</f>
        <v/>
      </c>
      <c r="Y385" s="54" t="str">
        <f t="shared" si="47"/>
        <v/>
      </c>
      <c r="Z385" s="30"/>
      <c r="AA385" s="33"/>
      <c r="AB385" s="33"/>
    </row>
    <row r="386" spans="1:28" x14ac:dyDescent="0.25">
      <c r="A386" s="31"/>
      <c r="B386" s="29" t="str">
        <f t="shared" si="40"/>
        <v/>
      </c>
      <c r="C386" s="29" t="str">
        <f>IF($A386="","","S"&amp;(INT(($A386-'01. CONFIGURAÇÕES'!$C$12)/7)+1))</f>
        <v/>
      </c>
      <c r="D386" s="30"/>
      <c r="E386" s="30"/>
      <c r="F386" s="10"/>
      <c r="G386" s="49"/>
      <c r="H386" s="49"/>
      <c r="I386" s="52" t="str">
        <f t="shared" si="41"/>
        <v/>
      </c>
      <c r="J386" s="49"/>
      <c r="K386" s="49"/>
      <c r="L386" s="49"/>
      <c r="M386" s="49"/>
      <c r="N386" s="49"/>
      <c r="O386" s="49"/>
      <c r="P386" s="10"/>
      <c r="Q386" s="11" t="str">
        <f t="shared" si="42"/>
        <v/>
      </c>
      <c r="R386" s="11" t="str">
        <f t="shared" si="43"/>
        <v/>
      </c>
      <c r="S386" s="58" t="str">
        <f t="shared" si="44"/>
        <v/>
      </c>
      <c r="T386" s="55" t="str">
        <f t="shared" si="45"/>
        <v/>
      </c>
      <c r="U386" s="55" t="str">
        <f>IF($D386="","",IF($D386='01. CONFIGURAÇÕES'!$C$8,'01. CONFIGURAÇÕES'!$C$38,'01. CONFIGURAÇÕES'!$D$38))</f>
        <v/>
      </c>
      <c r="V386" s="58" t="str">
        <f t="shared" si="46"/>
        <v/>
      </c>
      <c r="W386" s="55" t="str">
        <f>IF($D386="","",IF($D386='01. CONFIGURAÇÕES'!$C$8,'01. CONFIGURAÇÕES'!$C$31,'01. CONFIGURAÇÕES'!$D$31))</f>
        <v/>
      </c>
      <c r="X386" s="54" t="str">
        <f>IF($A386="","",$T386*(1-'01. CONFIGURAÇÕES'!$C$16)-IF($W386="",0,$W386))</f>
        <v/>
      </c>
      <c r="Y386" s="54" t="str">
        <f t="shared" si="47"/>
        <v/>
      </c>
      <c r="Z386" s="30"/>
      <c r="AA386" s="33"/>
      <c r="AB386" s="33"/>
    </row>
    <row r="387" spans="1:28" x14ac:dyDescent="0.25">
      <c r="A387" s="31"/>
      <c r="B387" s="29" t="str">
        <f t="shared" si="40"/>
        <v/>
      </c>
      <c r="C387" s="29" t="str">
        <f>IF($A387="","","S"&amp;(INT(($A387-'01. CONFIGURAÇÕES'!$C$12)/7)+1))</f>
        <v/>
      </c>
      <c r="D387" s="30"/>
      <c r="E387" s="30"/>
      <c r="F387" s="10"/>
      <c r="G387" s="49"/>
      <c r="H387" s="49"/>
      <c r="I387" s="52" t="str">
        <f t="shared" si="41"/>
        <v/>
      </c>
      <c r="J387" s="49"/>
      <c r="K387" s="49"/>
      <c r="L387" s="49"/>
      <c r="M387" s="49"/>
      <c r="N387" s="49"/>
      <c r="O387" s="49"/>
      <c r="P387" s="10"/>
      <c r="Q387" s="11" t="str">
        <f t="shared" si="42"/>
        <v/>
      </c>
      <c r="R387" s="11" t="str">
        <f t="shared" si="43"/>
        <v/>
      </c>
      <c r="S387" s="58" t="str">
        <f t="shared" si="44"/>
        <v/>
      </c>
      <c r="T387" s="55" t="str">
        <f t="shared" si="45"/>
        <v/>
      </c>
      <c r="U387" s="55" t="str">
        <f>IF($D387="","",IF($D387='01. CONFIGURAÇÕES'!$C$8,'01. CONFIGURAÇÕES'!$C$38,'01. CONFIGURAÇÕES'!$D$38))</f>
        <v/>
      </c>
      <c r="V387" s="58" t="str">
        <f t="shared" si="46"/>
        <v/>
      </c>
      <c r="W387" s="55" t="str">
        <f>IF($D387="","",IF($D387='01. CONFIGURAÇÕES'!$C$8,'01. CONFIGURAÇÕES'!$C$31,'01. CONFIGURAÇÕES'!$D$31))</f>
        <v/>
      </c>
      <c r="X387" s="54" t="str">
        <f>IF($A387="","",$T387*(1-'01. CONFIGURAÇÕES'!$C$16)-IF($W387="",0,$W387))</f>
        <v/>
      </c>
      <c r="Y387" s="54" t="str">
        <f t="shared" si="47"/>
        <v/>
      </c>
      <c r="Z387" s="30"/>
      <c r="AA387" s="33"/>
      <c r="AB387" s="33"/>
    </row>
    <row r="388" spans="1:28" x14ac:dyDescent="0.25">
      <c r="A388" s="31"/>
      <c r="B388" s="29" t="str">
        <f t="shared" si="40"/>
        <v/>
      </c>
      <c r="C388" s="29" t="str">
        <f>IF($A388="","","S"&amp;(INT(($A388-'01. CONFIGURAÇÕES'!$C$12)/7)+1))</f>
        <v/>
      </c>
      <c r="D388" s="30"/>
      <c r="E388" s="30"/>
      <c r="F388" s="10"/>
      <c r="G388" s="49"/>
      <c r="H388" s="49"/>
      <c r="I388" s="52" t="str">
        <f t="shared" si="41"/>
        <v/>
      </c>
      <c r="J388" s="49"/>
      <c r="K388" s="49"/>
      <c r="L388" s="49"/>
      <c r="M388" s="49"/>
      <c r="N388" s="49"/>
      <c r="O388" s="49"/>
      <c r="P388" s="10"/>
      <c r="Q388" s="11" t="str">
        <f t="shared" si="42"/>
        <v/>
      </c>
      <c r="R388" s="11" t="str">
        <f t="shared" si="43"/>
        <v/>
      </c>
      <c r="S388" s="58" t="str">
        <f t="shared" si="44"/>
        <v/>
      </c>
      <c r="T388" s="55" t="str">
        <f t="shared" si="45"/>
        <v/>
      </c>
      <c r="U388" s="55" t="str">
        <f>IF($D388="","",IF($D388='01. CONFIGURAÇÕES'!$C$8,'01. CONFIGURAÇÕES'!$C$38,'01. CONFIGURAÇÕES'!$D$38))</f>
        <v/>
      </c>
      <c r="V388" s="58" t="str">
        <f t="shared" si="46"/>
        <v/>
      </c>
      <c r="W388" s="55" t="str">
        <f>IF($D388="","",IF($D388='01. CONFIGURAÇÕES'!$C$8,'01. CONFIGURAÇÕES'!$C$31,'01. CONFIGURAÇÕES'!$D$31))</f>
        <v/>
      </c>
      <c r="X388" s="54" t="str">
        <f>IF($A388="","",$T388*(1-'01. CONFIGURAÇÕES'!$C$16)-IF($W388="",0,$W388))</f>
        <v/>
      </c>
      <c r="Y388" s="54" t="str">
        <f t="shared" si="47"/>
        <v/>
      </c>
      <c r="Z388" s="30"/>
      <c r="AA388" s="33"/>
      <c r="AB388" s="33"/>
    </row>
    <row r="389" spans="1:28" x14ac:dyDescent="0.25">
      <c r="A389" s="31"/>
      <c r="B389" s="29" t="str">
        <f t="shared" ref="B389:B452" si="48">IF($A389="","",CHOOSE(WEEKDAY($A389,1),"DOM","SEG","TER","QUA","QUI","SEX","SÁB"))</f>
        <v/>
      </c>
      <c r="C389" s="29" t="str">
        <f>IF($A389="","","S"&amp;(INT(($A389-'01. CONFIGURAÇÕES'!$C$12)/7)+1))</f>
        <v/>
      </c>
      <c r="D389" s="30"/>
      <c r="E389" s="30"/>
      <c r="F389" s="10"/>
      <c r="G389" s="49"/>
      <c r="H389" s="49"/>
      <c r="I389" s="52" t="str">
        <f t="shared" ref="I389:I452" si="49">IF($A389="","",$F389*($G389+$H389))</f>
        <v/>
      </c>
      <c r="J389" s="49"/>
      <c r="K389" s="49"/>
      <c r="L389" s="49"/>
      <c r="M389" s="49"/>
      <c r="N389" s="49"/>
      <c r="O389" s="49"/>
      <c r="P389" s="10"/>
      <c r="Q389" s="11" t="str">
        <f t="shared" ref="Q389:Q452" si="50">IF($A389="","",COUNTIFS(PROG_DATA,$A389,PROG_EQUIPE,$E389))</f>
        <v/>
      </c>
      <c r="R389" s="11" t="str">
        <f t="shared" ref="R389:R452" si="51">IF($A389="","",COUNTIFS(OS_FIM,$A389,OS_EQUIPE,$E389))</f>
        <v/>
      </c>
      <c r="S389" s="58" t="str">
        <f t="shared" ref="S389:S452" si="52">IF(OR($A389="",$Q389=0),"",$R389/$Q389)</f>
        <v/>
      </c>
      <c r="T389" s="55" t="str">
        <f t="shared" ref="T389:T452" si="53">IF($A389="","",SUMIFS(MED_VLR,MED_DATA,$A389,MED_EQUIPE,$E389))</f>
        <v/>
      </c>
      <c r="U389" s="55" t="str">
        <f>IF($D389="","",IF($D389='01. CONFIGURAÇÕES'!$C$8,'01. CONFIGURAÇÕES'!$C$38,'01. CONFIGURAÇÕES'!$D$38))</f>
        <v/>
      </c>
      <c r="V389" s="58" t="str">
        <f t="shared" ref="V389:V452" si="54">IF(OR($U389="",$U389=0),"",$T389/$U389)</f>
        <v/>
      </c>
      <c r="W389" s="55" t="str">
        <f>IF($D389="","",IF($D389='01. CONFIGURAÇÕES'!$C$8,'01. CONFIGURAÇÕES'!$C$31,'01. CONFIGURAÇÕES'!$D$31))</f>
        <v/>
      </c>
      <c r="X389" s="54" t="str">
        <f>IF($A389="","",$T389*(1-'01. CONFIGURAÇÕES'!$C$16)-IF($W389="",0,$W389))</f>
        <v/>
      </c>
      <c r="Y389" s="54" t="str">
        <f t="shared" ref="Y389:Y452" si="55">IF(OR($I389="",$I389=0),"",$T389/$I389)</f>
        <v/>
      </c>
      <c r="Z389" s="30"/>
      <c r="AA389" s="33"/>
      <c r="AB389" s="33"/>
    </row>
    <row r="390" spans="1:28" x14ac:dyDescent="0.25">
      <c r="A390" s="31"/>
      <c r="B390" s="29" t="str">
        <f t="shared" si="48"/>
        <v/>
      </c>
      <c r="C390" s="29" t="str">
        <f>IF($A390="","","S"&amp;(INT(($A390-'01. CONFIGURAÇÕES'!$C$12)/7)+1))</f>
        <v/>
      </c>
      <c r="D390" s="30"/>
      <c r="E390" s="30"/>
      <c r="F390" s="10"/>
      <c r="G390" s="49"/>
      <c r="H390" s="49"/>
      <c r="I390" s="52" t="str">
        <f t="shared" si="49"/>
        <v/>
      </c>
      <c r="J390" s="49"/>
      <c r="K390" s="49"/>
      <c r="L390" s="49"/>
      <c r="M390" s="49"/>
      <c r="N390" s="49"/>
      <c r="O390" s="49"/>
      <c r="P390" s="10"/>
      <c r="Q390" s="11" t="str">
        <f t="shared" si="50"/>
        <v/>
      </c>
      <c r="R390" s="11" t="str">
        <f t="shared" si="51"/>
        <v/>
      </c>
      <c r="S390" s="58" t="str">
        <f t="shared" si="52"/>
        <v/>
      </c>
      <c r="T390" s="55" t="str">
        <f t="shared" si="53"/>
        <v/>
      </c>
      <c r="U390" s="55" t="str">
        <f>IF($D390="","",IF($D390='01. CONFIGURAÇÕES'!$C$8,'01. CONFIGURAÇÕES'!$C$38,'01. CONFIGURAÇÕES'!$D$38))</f>
        <v/>
      </c>
      <c r="V390" s="58" t="str">
        <f t="shared" si="54"/>
        <v/>
      </c>
      <c r="W390" s="55" t="str">
        <f>IF($D390="","",IF($D390='01. CONFIGURAÇÕES'!$C$8,'01. CONFIGURAÇÕES'!$C$31,'01. CONFIGURAÇÕES'!$D$31))</f>
        <v/>
      </c>
      <c r="X390" s="54" t="str">
        <f>IF($A390="","",$T390*(1-'01. CONFIGURAÇÕES'!$C$16)-IF($W390="",0,$W390))</f>
        <v/>
      </c>
      <c r="Y390" s="54" t="str">
        <f t="shared" si="55"/>
        <v/>
      </c>
      <c r="Z390" s="30"/>
      <c r="AA390" s="33"/>
      <c r="AB390" s="33"/>
    </row>
    <row r="391" spans="1:28" x14ac:dyDescent="0.25">
      <c r="A391" s="31"/>
      <c r="B391" s="29" t="str">
        <f t="shared" si="48"/>
        <v/>
      </c>
      <c r="C391" s="29" t="str">
        <f>IF($A391="","","S"&amp;(INT(($A391-'01. CONFIGURAÇÕES'!$C$12)/7)+1))</f>
        <v/>
      </c>
      <c r="D391" s="30"/>
      <c r="E391" s="30"/>
      <c r="F391" s="10"/>
      <c r="G391" s="49"/>
      <c r="H391" s="49"/>
      <c r="I391" s="52" t="str">
        <f t="shared" si="49"/>
        <v/>
      </c>
      <c r="J391" s="49"/>
      <c r="K391" s="49"/>
      <c r="L391" s="49"/>
      <c r="M391" s="49"/>
      <c r="N391" s="49"/>
      <c r="O391" s="49"/>
      <c r="P391" s="10"/>
      <c r="Q391" s="11" t="str">
        <f t="shared" si="50"/>
        <v/>
      </c>
      <c r="R391" s="11" t="str">
        <f t="shared" si="51"/>
        <v/>
      </c>
      <c r="S391" s="58" t="str">
        <f t="shared" si="52"/>
        <v/>
      </c>
      <c r="T391" s="55" t="str">
        <f t="shared" si="53"/>
        <v/>
      </c>
      <c r="U391" s="55" t="str">
        <f>IF($D391="","",IF($D391='01. CONFIGURAÇÕES'!$C$8,'01. CONFIGURAÇÕES'!$C$38,'01. CONFIGURAÇÕES'!$D$38))</f>
        <v/>
      </c>
      <c r="V391" s="58" t="str">
        <f t="shared" si="54"/>
        <v/>
      </c>
      <c r="W391" s="55" t="str">
        <f>IF($D391="","",IF($D391='01. CONFIGURAÇÕES'!$C$8,'01. CONFIGURAÇÕES'!$C$31,'01. CONFIGURAÇÕES'!$D$31))</f>
        <v/>
      </c>
      <c r="X391" s="54" t="str">
        <f>IF($A391="","",$T391*(1-'01. CONFIGURAÇÕES'!$C$16)-IF($W391="",0,$W391))</f>
        <v/>
      </c>
      <c r="Y391" s="54" t="str">
        <f t="shared" si="55"/>
        <v/>
      </c>
      <c r="Z391" s="30"/>
      <c r="AA391" s="33"/>
      <c r="AB391" s="33"/>
    </row>
    <row r="392" spans="1:28" x14ac:dyDescent="0.25">
      <c r="A392" s="31"/>
      <c r="B392" s="29" t="str">
        <f t="shared" si="48"/>
        <v/>
      </c>
      <c r="C392" s="29" t="str">
        <f>IF($A392="","","S"&amp;(INT(($A392-'01. CONFIGURAÇÕES'!$C$12)/7)+1))</f>
        <v/>
      </c>
      <c r="D392" s="30"/>
      <c r="E392" s="30"/>
      <c r="F392" s="10"/>
      <c r="G392" s="49"/>
      <c r="H392" s="49"/>
      <c r="I392" s="52" t="str">
        <f t="shared" si="49"/>
        <v/>
      </c>
      <c r="J392" s="49"/>
      <c r="K392" s="49"/>
      <c r="L392" s="49"/>
      <c r="M392" s="49"/>
      <c r="N392" s="49"/>
      <c r="O392" s="49"/>
      <c r="P392" s="10"/>
      <c r="Q392" s="11" t="str">
        <f t="shared" si="50"/>
        <v/>
      </c>
      <c r="R392" s="11" t="str">
        <f t="shared" si="51"/>
        <v/>
      </c>
      <c r="S392" s="58" t="str">
        <f t="shared" si="52"/>
        <v/>
      </c>
      <c r="T392" s="55" t="str">
        <f t="shared" si="53"/>
        <v/>
      </c>
      <c r="U392" s="55" t="str">
        <f>IF($D392="","",IF($D392='01. CONFIGURAÇÕES'!$C$8,'01. CONFIGURAÇÕES'!$C$38,'01. CONFIGURAÇÕES'!$D$38))</f>
        <v/>
      </c>
      <c r="V392" s="58" t="str">
        <f t="shared" si="54"/>
        <v/>
      </c>
      <c r="W392" s="55" t="str">
        <f>IF($D392="","",IF($D392='01. CONFIGURAÇÕES'!$C$8,'01. CONFIGURAÇÕES'!$C$31,'01. CONFIGURAÇÕES'!$D$31))</f>
        <v/>
      </c>
      <c r="X392" s="54" t="str">
        <f>IF($A392="","",$T392*(1-'01. CONFIGURAÇÕES'!$C$16)-IF($W392="",0,$W392))</f>
        <v/>
      </c>
      <c r="Y392" s="54" t="str">
        <f t="shared" si="55"/>
        <v/>
      </c>
      <c r="Z392" s="30"/>
      <c r="AA392" s="33"/>
      <c r="AB392" s="33"/>
    </row>
    <row r="393" spans="1:28" x14ac:dyDescent="0.25">
      <c r="A393" s="31"/>
      <c r="B393" s="29" t="str">
        <f t="shared" si="48"/>
        <v/>
      </c>
      <c r="C393" s="29" t="str">
        <f>IF($A393="","","S"&amp;(INT(($A393-'01. CONFIGURAÇÕES'!$C$12)/7)+1))</f>
        <v/>
      </c>
      <c r="D393" s="30"/>
      <c r="E393" s="30"/>
      <c r="F393" s="10"/>
      <c r="G393" s="49"/>
      <c r="H393" s="49"/>
      <c r="I393" s="52" t="str">
        <f t="shared" si="49"/>
        <v/>
      </c>
      <c r="J393" s="49"/>
      <c r="K393" s="49"/>
      <c r="L393" s="49"/>
      <c r="M393" s="49"/>
      <c r="N393" s="49"/>
      <c r="O393" s="49"/>
      <c r="P393" s="10"/>
      <c r="Q393" s="11" t="str">
        <f t="shared" si="50"/>
        <v/>
      </c>
      <c r="R393" s="11" t="str">
        <f t="shared" si="51"/>
        <v/>
      </c>
      <c r="S393" s="58" t="str">
        <f t="shared" si="52"/>
        <v/>
      </c>
      <c r="T393" s="55" t="str">
        <f t="shared" si="53"/>
        <v/>
      </c>
      <c r="U393" s="55" t="str">
        <f>IF($D393="","",IF($D393='01. CONFIGURAÇÕES'!$C$8,'01. CONFIGURAÇÕES'!$C$38,'01. CONFIGURAÇÕES'!$D$38))</f>
        <v/>
      </c>
      <c r="V393" s="58" t="str">
        <f t="shared" si="54"/>
        <v/>
      </c>
      <c r="W393" s="55" t="str">
        <f>IF($D393="","",IF($D393='01. CONFIGURAÇÕES'!$C$8,'01. CONFIGURAÇÕES'!$C$31,'01. CONFIGURAÇÕES'!$D$31))</f>
        <v/>
      </c>
      <c r="X393" s="54" t="str">
        <f>IF($A393="","",$T393*(1-'01. CONFIGURAÇÕES'!$C$16)-IF($W393="",0,$W393))</f>
        <v/>
      </c>
      <c r="Y393" s="54" t="str">
        <f t="shared" si="55"/>
        <v/>
      </c>
      <c r="Z393" s="30"/>
      <c r="AA393" s="33"/>
      <c r="AB393" s="33"/>
    </row>
    <row r="394" spans="1:28" x14ac:dyDescent="0.25">
      <c r="A394" s="31"/>
      <c r="B394" s="29" t="str">
        <f t="shared" si="48"/>
        <v/>
      </c>
      <c r="C394" s="29" t="str">
        <f>IF($A394="","","S"&amp;(INT(($A394-'01. CONFIGURAÇÕES'!$C$12)/7)+1))</f>
        <v/>
      </c>
      <c r="D394" s="30"/>
      <c r="E394" s="30"/>
      <c r="F394" s="10"/>
      <c r="G394" s="49"/>
      <c r="H394" s="49"/>
      <c r="I394" s="52" t="str">
        <f t="shared" si="49"/>
        <v/>
      </c>
      <c r="J394" s="49"/>
      <c r="K394" s="49"/>
      <c r="L394" s="49"/>
      <c r="M394" s="49"/>
      <c r="N394" s="49"/>
      <c r="O394" s="49"/>
      <c r="P394" s="10"/>
      <c r="Q394" s="11" t="str">
        <f t="shared" si="50"/>
        <v/>
      </c>
      <c r="R394" s="11" t="str">
        <f t="shared" si="51"/>
        <v/>
      </c>
      <c r="S394" s="58" t="str">
        <f t="shared" si="52"/>
        <v/>
      </c>
      <c r="T394" s="55" t="str">
        <f t="shared" si="53"/>
        <v/>
      </c>
      <c r="U394" s="55" t="str">
        <f>IF($D394="","",IF($D394='01. CONFIGURAÇÕES'!$C$8,'01. CONFIGURAÇÕES'!$C$38,'01. CONFIGURAÇÕES'!$D$38))</f>
        <v/>
      </c>
      <c r="V394" s="58" t="str">
        <f t="shared" si="54"/>
        <v/>
      </c>
      <c r="W394" s="55" t="str">
        <f>IF($D394="","",IF($D394='01. CONFIGURAÇÕES'!$C$8,'01. CONFIGURAÇÕES'!$C$31,'01. CONFIGURAÇÕES'!$D$31))</f>
        <v/>
      </c>
      <c r="X394" s="54" t="str">
        <f>IF($A394="","",$T394*(1-'01. CONFIGURAÇÕES'!$C$16)-IF($W394="",0,$W394))</f>
        <v/>
      </c>
      <c r="Y394" s="54" t="str">
        <f t="shared" si="55"/>
        <v/>
      </c>
      <c r="Z394" s="30"/>
      <c r="AA394" s="33"/>
      <c r="AB394" s="33"/>
    </row>
    <row r="395" spans="1:28" x14ac:dyDescent="0.25">
      <c r="A395" s="31"/>
      <c r="B395" s="29" t="str">
        <f t="shared" si="48"/>
        <v/>
      </c>
      <c r="C395" s="29" t="str">
        <f>IF($A395="","","S"&amp;(INT(($A395-'01. CONFIGURAÇÕES'!$C$12)/7)+1))</f>
        <v/>
      </c>
      <c r="D395" s="30"/>
      <c r="E395" s="30"/>
      <c r="F395" s="10"/>
      <c r="G395" s="49"/>
      <c r="H395" s="49"/>
      <c r="I395" s="52" t="str">
        <f t="shared" si="49"/>
        <v/>
      </c>
      <c r="J395" s="49"/>
      <c r="K395" s="49"/>
      <c r="L395" s="49"/>
      <c r="M395" s="49"/>
      <c r="N395" s="49"/>
      <c r="O395" s="49"/>
      <c r="P395" s="10"/>
      <c r="Q395" s="11" t="str">
        <f t="shared" si="50"/>
        <v/>
      </c>
      <c r="R395" s="11" t="str">
        <f t="shared" si="51"/>
        <v/>
      </c>
      <c r="S395" s="58" t="str">
        <f t="shared" si="52"/>
        <v/>
      </c>
      <c r="T395" s="55" t="str">
        <f t="shared" si="53"/>
        <v/>
      </c>
      <c r="U395" s="55" t="str">
        <f>IF($D395="","",IF($D395='01. CONFIGURAÇÕES'!$C$8,'01. CONFIGURAÇÕES'!$C$38,'01. CONFIGURAÇÕES'!$D$38))</f>
        <v/>
      </c>
      <c r="V395" s="58" t="str">
        <f t="shared" si="54"/>
        <v/>
      </c>
      <c r="W395" s="55" t="str">
        <f>IF($D395="","",IF($D395='01. CONFIGURAÇÕES'!$C$8,'01. CONFIGURAÇÕES'!$C$31,'01. CONFIGURAÇÕES'!$D$31))</f>
        <v/>
      </c>
      <c r="X395" s="54" t="str">
        <f>IF($A395="","",$T395*(1-'01. CONFIGURAÇÕES'!$C$16)-IF($W395="",0,$W395))</f>
        <v/>
      </c>
      <c r="Y395" s="54" t="str">
        <f t="shared" si="55"/>
        <v/>
      </c>
      <c r="Z395" s="30"/>
      <c r="AA395" s="33"/>
      <c r="AB395" s="33"/>
    </row>
    <row r="396" spans="1:28" x14ac:dyDescent="0.25">
      <c r="A396" s="31"/>
      <c r="B396" s="29" t="str">
        <f t="shared" si="48"/>
        <v/>
      </c>
      <c r="C396" s="29" t="str">
        <f>IF($A396="","","S"&amp;(INT(($A396-'01. CONFIGURAÇÕES'!$C$12)/7)+1))</f>
        <v/>
      </c>
      <c r="D396" s="30"/>
      <c r="E396" s="30"/>
      <c r="F396" s="10"/>
      <c r="G396" s="49"/>
      <c r="H396" s="49"/>
      <c r="I396" s="52" t="str">
        <f t="shared" si="49"/>
        <v/>
      </c>
      <c r="J396" s="49"/>
      <c r="K396" s="49"/>
      <c r="L396" s="49"/>
      <c r="M396" s="49"/>
      <c r="N396" s="49"/>
      <c r="O396" s="49"/>
      <c r="P396" s="10"/>
      <c r="Q396" s="11" t="str">
        <f t="shared" si="50"/>
        <v/>
      </c>
      <c r="R396" s="11" t="str">
        <f t="shared" si="51"/>
        <v/>
      </c>
      <c r="S396" s="58" t="str">
        <f t="shared" si="52"/>
        <v/>
      </c>
      <c r="T396" s="55" t="str">
        <f t="shared" si="53"/>
        <v/>
      </c>
      <c r="U396" s="55" t="str">
        <f>IF($D396="","",IF($D396='01. CONFIGURAÇÕES'!$C$8,'01. CONFIGURAÇÕES'!$C$38,'01. CONFIGURAÇÕES'!$D$38))</f>
        <v/>
      </c>
      <c r="V396" s="58" t="str">
        <f t="shared" si="54"/>
        <v/>
      </c>
      <c r="W396" s="55" t="str">
        <f>IF($D396="","",IF($D396='01. CONFIGURAÇÕES'!$C$8,'01. CONFIGURAÇÕES'!$C$31,'01. CONFIGURAÇÕES'!$D$31))</f>
        <v/>
      </c>
      <c r="X396" s="54" t="str">
        <f>IF($A396="","",$T396*(1-'01. CONFIGURAÇÕES'!$C$16)-IF($W396="",0,$W396))</f>
        <v/>
      </c>
      <c r="Y396" s="54" t="str">
        <f t="shared" si="55"/>
        <v/>
      </c>
      <c r="Z396" s="30"/>
      <c r="AA396" s="33"/>
      <c r="AB396" s="33"/>
    </row>
    <row r="397" spans="1:28" x14ac:dyDescent="0.25">
      <c r="A397" s="31"/>
      <c r="B397" s="29" t="str">
        <f t="shared" si="48"/>
        <v/>
      </c>
      <c r="C397" s="29" t="str">
        <f>IF($A397="","","S"&amp;(INT(($A397-'01. CONFIGURAÇÕES'!$C$12)/7)+1))</f>
        <v/>
      </c>
      <c r="D397" s="30"/>
      <c r="E397" s="30"/>
      <c r="F397" s="10"/>
      <c r="G397" s="49"/>
      <c r="H397" s="49"/>
      <c r="I397" s="52" t="str">
        <f t="shared" si="49"/>
        <v/>
      </c>
      <c r="J397" s="49"/>
      <c r="K397" s="49"/>
      <c r="L397" s="49"/>
      <c r="M397" s="49"/>
      <c r="N397" s="49"/>
      <c r="O397" s="49"/>
      <c r="P397" s="10"/>
      <c r="Q397" s="11" t="str">
        <f t="shared" si="50"/>
        <v/>
      </c>
      <c r="R397" s="11" t="str">
        <f t="shared" si="51"/>
        <v/>
      </c>
      <c r="S397" s="58" t="str">
        <f t="shared" si="52"/>
        <v/>
      </c>
      <c r="T397" s="55" t="str">
        <f t="shared" si="53"/>
        <v/>
      </c>
      <c r="U397" s="55" t="str">
        <f>IF($D397="","",IF($D397='01. CONFIGURAÇÕES'!$C$8,'01. CONFIGURAÇÕES'!$C$38,'01. CONFIGURAÇÕES'!$D$38))</f>
        <v/>
      </c>
      <c r="V397" s="58" t="str">
        <f t="shared" si="54"/>
        <v/>
      </c>
      <c r="W397" s="55" t="str">
        <f>IF($D397="","",IF($D397='01. CONFIGURAÇÕES'!$C$8,'01. CONFIGURAÇÕES'!$C$31,'01. CONFIGURAÇÕES'!$D$31))</f>
        <v/>
      </c>
      <c r="X397" s="54" t="str">
        <f>IF($A397="","",$T397*(1-'01. CONFIGURAÇÕES'!$C$16)-IF($W397="",0,$W397))</f>
        <v/>
      </c>
      <c r="Y397" s="54" t="str">
        <f t="shared" si="55"/>
        <v/>
      </c>
      <c r="Z397" s="30"/>
      <c r="AA397" s="33"/>
      <c r="AB397" s="33"/>
    </row>
    <row r="398" spans="1:28" x14ac:dyDescent="0.25">
      <c r="A398" s="31"/>
      <c r="B398" s="29" t="str">
        <f t="shared" si="48"/>
        <v/>
      </c>
      <c r="C398" s="29" t="str">
        <f>IF($A398="","","S"&amp;(INT(($A398-'01. CONFIGURAÇÕES'!$C$12)/7)+1))</f>
        <v/>
      </c>
      <c r="D398" s="30"/>
      <c r="E398" s="30"/>
      <c r="F398" s="10"/>
      <c r="G398" s="49"/>
      <c r="H398" s="49"/>
      <c r="I398" s="52" t="str">
        <f t="shared" si="49"/>
        <v/>
      </c>
      <c r="J398" s="49"/>
      <c r="K398" s="49"/>
      <c r="L398" s="49"/>
      <c r="M398" s="49"/>
      <c r="N398" s="49"/>
      <c r="O398" s="49"/>
      <c r="P398" s="10"/>
      <c r="Q398" s="11" t="str">
        <f t="shared" si="50"/>
        <v/>
      </c>
      <c r="R398" s="11" t="str">
        <f t="shared" si="51"/>
        <v/>
      </c>
      <c r="S398" s="58" t="str">
        <f t="shared" si="52"/>
        <v/>
      </c>
      <c r="T398" s="55" t="str">
        <f t="shared" si="53"/>
        <v/>
      </c>
      <c r="U398" s="55" t="str">
        <f>IF($D398="","",IF($D398='01. CONFIGURAÇÕES'!$C$8,'01. CONFIGURAÇÕES'!$C$38,'01. CONFIGURAÇÕES'!$D$38))</f>
        <v/>
      </c>
      <c r="V398" s="58" t="str">
        <f t="shared" si="54"/>
        <v/>
      </c>
      <c r="W398" s="55" t="str">
        <f>IF($D398="","",IF($D398='01. CONFIGURAÇÕES'!$C$8,'01. CONFIGURAÇÕES'!$C$31,'01. CONFIGURAÇÕES'!$D$31))</f>
        <v/>
      </c>
      <c r="X398" s="54" t="str">
        <f>IF($A398="","",$T398*(1-'01. CONFIGURAÇÕES'!$C$16)-IF($W398="",0,$W398))</f>
        <v/>
      </c>
      <c r="Y398" s="54" t="str">
        <f t="shared" si="55"/>
        <v/>
      </c>
      <c r="Z398" s="30"/>
      <c r="AA398" s="33"/>
      <c r="AB398" s="33"/>
    </row>
    <row r="399" spans="1:28" x14ac:dyDescent="0.25">
      <c r="A399" s="31"/>
      <c r="B399" s="29" t="str">
        <f t="shared" si="48"/>
        <v/>
      </c>
      <c r="C399" s="29" t="str">
        <f>IF($A399="","","S"&amp;(INT(($A399-'01. CONFIGURAÇÕES'!$C$12)/7)+1))</f>
        <v/>
      </c>
      <c r="D399" s="30"/>
      <c r="E399" s="30"/>
      <c r="F399" s="10"/>
      <c r="G399" s="49"/>
      <c r="H399" s="49"/>
      <c r="I399" s="52" t="str">
        <f t="shared" si="49"/>
        <v/>
      </c>
      <c r="J399" s="49"/>
      <c r="K399" s="49"/>
      <c r="L399" s="49"/>
      <c r="M399" s="49"/>
      <c r="N399" s="49"/>
      <c r="O399" s="49"/>
      <c r="P399" s="10"/>
      <c r="Q399" s="11" t="str">
        <f t="shared" si="50"/>
        <v/>
      </c>
      <c r="R399" s="11" t="str">
        <f t="shared" si="51"/>
        <v/>
      </c>
      <c r="S399" s="58" t="str">
        <f t="shared" si="52"/>
        <v/>
      </c>
      <c r="T399" s="55" t="str">
        <f t="shared" si="53"/>
        <v/>
      </c>
      <c r="U399" s="55" t="str">
        <f>IF($D399="","",IF($D399='01. CONFIGURAÇÕES'!$C$8,'01. CONFIGURAÇÕES'!$C$38,'01. CONFIGURAÇÕES'!$D$38))</f>
        <v/>
      </c>
      <c r="V399" s="58" t="str">
        <f t="shared" si="54"/>
        <v/>
      </c>
      <c r="W399" s="55" t="str">
        <f>IF($D399="","",IF($D399='01. CONFIGURAÇÕES'!$C$8,'01. CONFIGURAÇÕES'!$C$31,'01. CONFIGURAÇÕES'!$D$31))</f>
        <v/>
      </c>
      <c r="X399" s="54" t="str">
        <f>IF($A399="","",$T399*(1-'01. CONFIGURAÇÕES'!$C$16)-IF($W399="",0,$W399))</f>
        <v/>
      </c>
      <c r="Y399" s="54" t="str">
        <f t="shared" si="55"/>
        <v/>
      </c>
      <c r="Z399" s="30"/>
      <c r="AA399" s="33"/>
      <c r="AB399" s="33"/>
    </row>
    <row r="400" spans="1:28" x14ac:dyDescent="0.25">
      <c r="A400" s="31"/>
      <c r="B400" s="29" t="str">
        <f t="shared" si="48"/>
        <v/>
      </c>
      <c r="C400" s="29" t="str">
        <f>IF($A400="","","S"&amp;(INT(($A400-'01. CONFIGURAÇÕES'!$C$12)/7)+1))</f>
        <v/>
      </c>
      <c r="D400" s="30"/>
      <c r="E400" s="30"/>
      <c r="F400" s="10"/>
      <c r="G400" s="49"/>
      <c r="H400" s="49"/>
      <c r="I400" s="52" t="str">
        <f t="shared" si="49"/>
        <v/>
      </c>
      <c r="J400" s="49"/>
      <c r="K400" s="49"/>
      <c r="L400" s="49"/>
      <c r="M400" s="49"/>
      <c r="N400" s="49"/>
      <c r="O400" s="49"/>
      <c r="P400" s="10"/>
      <c r="Q400" s="11" t="str">
        <f t="shared" si="50"/>
        <v/>
      </c>
      <c r="R400" s="11" t="str">
        <f t="shared" si="51"/>
        <v/>
      </c>
      <c r="S400" s="58" t="str">
        <f t="shared" si="52"/>
        <v/>
      </c>
      <c r="T400" s="55" t="str">
        <f t="shared" si="53"/>
        <v/>
      </c>
      <c r="U400" s="55" t="str">
        <f>IF($D400="","",IF($D400='01. CONFIGURAÇÕES'!$C$8,'01. CONFIGURAÇÕES'!$C$38,'01. CONFIGURAÇÕES'!$D$38))</f>
        <v/>
      </c>
      <c r="V400" s="58" t="str">
        <f t="shared" si="54"/>
        <v/>
      </c>
      <c r="W400" s="55" t="str">
        <f>IF($D400="","",IF($D400='01. CONFIGURAÇÕES'!$C$8,'01. CONFIGURAÇÕES'!$C$31,'01. CONFIGURAÇÕES'!$D$31))</f>
        <v/>
      </c>
      <c r="X400" s="54" t="str">
        <f>IF($A400="","",$T400*(1-'01. CONFIGURAÇÕES'!$C$16)-IF($W400="",0,$W400))</f>
        <v/>
      </c>
      <c r="Y400" s="54" t="str">
        <f t="shared" si="55"/>
        <v/>
      </c>
      <c r="Z400" s="30"/>
      <c r="AA400" s="33"/>
      <c r="AB400" s="33"/>
    </row>
    <row r="401" spans="1:28" x14ac:dyDescent="0.25">
      <c r="A401" s="31"/>
      <c r="B401" s="29" t="str">
        <f t="shared" si="48"/>
        <v/>
      </c>
      <c r="C401" s="29" t="str">
        <f>IF($A401="","","S"&amp;(INT(($A401-'01. CONFIGURAÇÕES'!$C$12)/7)+1))</f>
        <v/>
      </c>
      <c r="D401" s="30"/>
      <c r="E401" s="30"/>
      <c r="F401" s="10"/>
      <c r="G401" s="49"/>
      <c r="H401" s="49"/>
      <c r="I401" s="52" t="str">
        <f t="shared" si="49"/>
        <v/>
      </c>
      <c r="J401" s="49"/>
      <c r="K401" s="49"/>
      <c r="L401" s="49"/>
      <c r="M401" s="49"/>
      <c r="N401" s="49"/>
      <c r="O401" s="49"/>
      <c r="P401" s="10"/>
      <c r="Q401" s="11" t="str">
        <f t="shared" si="50"/>
        <v/>
      </c>
      <c r="R401" s="11" t="str">
        <f t="shared" si="51"/>
        <v/>
      </c>
      <c r="S401" s="58" t="str">
        <f t="shared" si="52"/>
        <v/>
      </c>
      <c r="T401" s="55" t="str">
        <f t="shared" si="53"/>
        <v/>
      </c>
      <c r="U401" s="55" t="str">
        <f>IF($D401="","",IF($D401='01. CONFIGURAÇÕES'!$C$8,'01. CONFIGURAÇÕES'!$C$38,'01. CONFIGURAÇÕES'!$D$38))</f>
        <v/>
      </c>
      <c r="V401" s="58" t="str">
        <f t="shared" si="54"/>
        <v/>
      </c>
      <c r="W401" s="55" t="str">
        <f>IF($D401="","",IF($D401='01. CONFIGURAÇÕES'!$C$8,'01. CONFIGURAÇÕES'!$C$31,'01. CONFIGURAÇÕES'!$D$31))</f>
        <v/>
      </c>
      <c r="X401" s="54" t="str">
        <f>IF($A401="","",$T401*(1-'01. CONFIGURAÇÕES'!$C$16)-IF($W401="",0,$W401))</f>
        <v/>
      </c>
      <c r="Y401" s="54" t="str">
        <f t="shared" si="55"/>
        <v/>
      </c>
      <c r="Z401" s="30"/>
      <c r="AA401" s="33"/>
      <c r="AB401" s="33"/>
    </row>
    <row r="402" spans="1:28" x14ac:dyDescent="0.25">
      <c r="A402" s="31"/>
      <c r="B402" s="29" t="str">
        <f t="shared" si="48"/>
        <v/>
      </c>
      <c r="C402" s="29" t="str">
        <f>IF($A402="","","S"&amp;(INT(($A402-'01. CONFIGURAÇÕES'!$C$12)/7)+1))</f>
        <v/>
      </c>
      <c r="D402" s="30"/>
      <c r="E402" s="30"/>
      <c r="F402" s="10"/>
      <c r="G402" s="49"/>
      <c r="H402" s="49"/>
      <c r="I402" s="52" t="str">
        <f t="shared" si="49"/>
        <v/>
      </c>
      <c r="J402" s="49"/>
      <c r="K402" s="49"/>
      <c r="L402" s="49"/>
      <c r="M402" s="49"/>
      <c r="N402" s="49"/>
      <c r="O402" s="49"/>
      <c r="P402" s="10"/>
      <c r="Q402" s="11" t="str">
        <f t="shared" si="50"/>
        <v/>
      </c>
      <c r="R402" s="11" t="str">
        <f t="shared" si="51"/>
        <v/>
      </c>
      <c r="S402" s="58" t="str">
        <f t="shared" si="52"/>
        <v/>
      </c>
      <c r="T402" s="55" t="str">
        <f t="shared" si="53"/>
        <v/>
      </c>
      <c r="U402" s="55" t="str">
        <f>IF($D402="","",IF($D402='01. CONFIGURAÇÕES'!$C$8,'01. CONFIGURAÇÕES'!$C$38,'01. CONFIGURAÇÕES'!$D$38))</f>
        <v/>
      </c>
      <c r="V402" s="58" t="str">
        <f t="shared" si="54"/>
        <v/>
      </c>
      <c r="W402" s="55" t="str">
        <f>IF($D402="","",IF($D402='01. CONFIGURAÇÕES'!$C$8,'01. CONFIGURAÇÕES'!$C$31,'01. CONFIGURAÇÕES'!$D$31))</f>
        <v/>
      </c>
      <c r="X402" s="54" t="str">
        <f>IF($A402="","",$T402*(1-'01. CONFIGURAÇÕES'!$C$16)-IF($W402="",0,$W402))</f>
        <v/>
      </c>
      <c r="Y402" s="54" t="str">
        <f t="shared" si="55"/>
        <v/>
      </c>
      <c r="Z402" s="30"/>
      <c r="AA402" s="33"/>
      <c r="AB402" s="33"/>
    </row>
    <row r="403" spans="1:28" x14ac:dyDescent="0.25">
      <c r="A403" s="31"/>
      <c r="B403" s="29" t="str">
        <f t="shared" si="48"/>
        <v/>
      </c>
      <c r="C403" s="29" t="str">
        <f>IF($A403="","","S"&amp;(INT(($A403-'01. CONFIGURAÇÕES'!$C$12)/7)+1))</f>
        <v/>
      </c>
      <c r="D403" s="30"/>
      <c r="E403" s="30"/>
      <c r="F403" s="10"/>
      <c r="G403" s="49"/>
      <c r="H403" s="49"/>
      <c r="I403" s="52" t="str">
        <f t="shared" si="49"/>
        <v/>
      </c>
      <c r="J403" s="49"/>
      <c r="K403" s="49"/>
      <c r="L403" s="49"/>
      <c r="M403" s="49"/>
      <c r="N403" s="49"/>
      <c r="O403" s="49"/>
      <c r="P403" s="10"/>
      <c r="Q403" s="11" t="str">
        <f t="shared" si="50"/>
        <v/>
      </c>
      <c r="R403" s="11" t="str">
        <f t="shared" si="51"/>
        <v/>
      </c>
      <c r="S403" s="58" t="str">
        <f t="shared" si="52"/>
        <v/>
      </c>
      <c r="T403" s="55" t="str">
        <f t="shared" si="53"/>
        <v/>
      </c>
      <c r="U403" s="55" t="str">
        <f>IF($D403="","",IF($D403='01. CONFIGURAÇÕES'!$C$8,'01. CONFIGURAÇÕES'!$C$38,'01. CONFIGURAÇÕES'!$D$38))</f>
        <v/>
      </c>
      <c r="V403" s="58" t="str">
        <f t="shared" si="54"/>
        <v/>
      </c>
      <c r="W403" s="55" t="str">
        <f>IF($D403="","",IF($D403='01. CONFIGURAÇÕES'!$C$8,'01. CONFIGURAÇÕES'!$C$31,'01. CONFIGURAÇÕES'!$D$31))</f>
        <v/>
      </c>
      <c r="X403" s="54" t="str">
        <f>IF($A403="","",$T403*(1-'01. CONFIGURAÇÕES'!$C$16)-IF($W403="",0,$W403))</f>
        <v/>
      </c>
      <c r="Y403" s="54" t="str">
        <f t="shared" si="55"/>
        <v/>
      </c>
      <c r="Z403" s="30"/>
      <c r="AA403" s="33"/>
      <c r="AB403" s="33"/>
    </row>
    <row r="404" spans="1:28" x14ac:dyDescent="0.25">
      <c r="A404" s="31"/>
      <c r="B404" s="29" t="str">
        <f t="shared" si="48"/>
        <v/>
      </c>
      <c r="C404" s="29" t="str">
        <f>IF($A404="","","S"&amp;(INT(($A404-'01. CONFIGURAÇÕES'!$C$12)/7)+1))</f>
        <v/>
      </c>
      <c r="D404" s="30"/>
      <c r="E404" s="30"/>
      <c r="F404" s="10"/>
      <c r="G404" s="49"/>
      <c r="H404" s="49"/>
      <c r="I404" s="52" t="str">
        <f t="shared" si="49"/>
        <v/>
      </c>
      <c r="J404" s="49"/>
      <c r="K404" s="49"/>
      <c r="L404" s="49"/>
      <c r="M404" s="49"/>
      <c r="N404" s="49"/>
      <c r="O404" s="49"/>
      <c r="P404" s="10"/>
      <c r="Q404" s="11" t="str">
        <f t="shared" si="50"/>
        <v/>
      </c>
      <c r="R404" s="11" t="str">
        <f t="shared" si="51"/>
        <v/>
      </c>
      <c r="S404" s="58" t="str">
        <f t="shared" si="52"/>
        <v/>
      </c>
      <c r="T404" s="55" t="str">
        <f t="shared" si="53"/>
        <v/>
      </c>
      <c r="U404" s="55" t="str">
        <f>IF($D404="","",IF($D404='01. CONFIGURAÇÕES'!$C$8,'01. CONFIGURAÇÕES'!$C$38,'01. CONFIGURAÇÕES'!$D$38))</f>
        <v/>
      </c>
      <c r="V404" s="58" t="str">
        <f t="shared" si="54"/>
        <v/>
      </c>
      <c r="W404" s="55" t="str">
        <f>IF($D404="","",IF($D404='01. CONFIGURAÇÕES'!$C$8,'01. CONFIGURAÇÕES'!$C$31,'01. CONFIGURAÇÕES'!$D$31))</f>
        <v/>
      </c>
      <c r="X404" s="54" t="str">
        <f>IF($A404="","",$T404*(1-'01. CONFIGURAÇÕES'!$C$16)-IF($W404="",0,$W404))</f>
        <v/>
      </c>
      <c r="Y404" s="54" t="str">
        <f t="shared" si="55"/>
        <v/>
      </c>
      <c r="Z404" s="30"/>
      <c r="AA404" s="33"/>
      <c r="AB404" s="33"/>
    </row>
    <row r="405" spans="1:28" x14ac:dyDescent="0.25">
      <c r="A405" s="31"/>
      <c r="B405" s="29" t="str">
        <f t="shared" si="48"/>
        <v/>
      </c>
      <c r="C405" s="29" t="str">
        <f>IF($A405="","","S"&amp;(INT(($A405-'01. CONFIGURAÇÕES'!$C$12)/7)+1))</f>
        <v/>
      </c>
      <c r="D405" s="30"/>
      <c r="E405" s="30"/>
      <c r="F405" s="10"/>
      <c r="G405" s="49"/>
      <c r="H405" s="49"/>
      <c r="I405" s="52" t="str">
        <f t="shared" si="49"/>
        <v/>
      </c>
      <c r="J405" s="49"/>
      <c r="K405" s="49"/>
      <c r="L405" s="49"/>
      <c r="M405" s="49"/>
      <c r="N405" s="49"/>
      <c r="O405" s="49"/>
      <c r="P405" s="10"/>
      <c r="Q405" s="11" t="str">
        <f t="shared" si="50"/>
        <v/>
      </c>
      <c r="R405" s="11" t="str">
        <f t="shared" si="51"/>
        <v/>
      </c>
      <c r="S405" s="58" t="str">
        <f t="shared" si="52"/>
        <v/>
      </c>
      <c r="T405" s="55" t="str">
        <f t="shared" si="53"/>
        <v/>
      </c>
      <c r="U405" s="55" t="str">
        <f>IF($D405="","",IF($D405='01. CONFIGURAÇÕES'!$C$8,'01. CONFIGURAÇÕES'!$C$38,'01. CONFIGURAÇÕES'!$D$38))</f>
        <v/>
      </c>
      <c r="V405" s="58" t="str">
        <f t="shared" si="54"/>
        <v/>
      </c>
      <c r="W405" s="55" t="str">
        <f>IF($D405="","",IF($D405='01. CONFIGURAÇÕES'!$C$8,'01. CONFIGURAÇÕES'!$C$31,'01. CONFIGURAÇÕES'!$D$31))</f>
        <v/>
      </c>
      <c r="X405" s="54" t="str">
        <f>IF($A405="","",$T405*(1-'01. CONFIGURAÇÕES'!$C$16)-IF($W405="",0,$W405))</f>
        <v/>
      </c>
      <c r="Y405" s="54" t="str">
        <f t="shared" si="55"/>
        <v/>
      </c>
      <c r="Z405" s="30"/>
      <c r="AA405" s="33"/>
      <c r="AB405" s="33"/>
    </row>
    <row r="406" spans="1:28" x14ac:dyDescent="0.25">
      <c r="A406" s="31"/>
      <c r="B406" s="29" t="str">
        <f t="shared" si="48"/>
        <v/>
      </c>
      <c r="C406" s="29" t="str">
        <f>IF($A406="","","S"&amp;(INT(($A406-'01. CONFIGURAÇÕES'!$C$12)/7)+1))</f>
        <v/>
      </c>
      <c r="D406" s="30"/>
      <c r="E406" s="30"/>
      <c r="F406" s="10"/>
      <c r="G406" s="49"/>
      <c r="H406" s="49"/>
      <c r="I406" s="52" t="str">
        <f t="shared" si="49"/>
        <v/>
      </c>
      <c r="J406" s="49"/>
      <c r="K406" s="49"/>
      <c r="L406" s="49"/>
      <c r="M406" s="49"/>
      <c r="N406" s="49"/>
      <c r="O406" s="49"/>
      <c r="P406" s="10"/>
      <c r="Q406" s="11" t="str">
        <f t="shared" si="50"/>
        <v/>
      </c>
      <c r="R406" s="11" t="str">
        <f t="shared" si="51"/>
        <v/>
      </c>
      <c r="S406" s="58" t="str">
        <f t="shared" si="52"/>
        <v/>
      </c>
      <c r="T406" s="55" t="str">
        <f t="shared" si="53"/>
        <v/>
      </c>
      <c r="U406" s="55" t="str">
        <f>IF($D406="","",IF($D406='01. CONFIGURAÇÕES'!$C$8,'01. CONFIGURAÇÕES'!$C$38,'01. CONFIGURAÇÕES'!$D$38))</f>
        <v/>
      </c>
      <c r="V406" s="58" t="str">
        <f t="shared" si="54"/>
        <v/>
      </c>
      <c r="W406" s="55" t="str">
        <f>IF($D406="","",IF($D406='01. CONFIGURAÇÕES'!$C$8,'01. CONFIGURAÇÕES'!$C$31,'01. CONFIGURAÇÕES'!$D$31))</f>
        <v/>
      </c>
      <c r="X406" s="54" t="str">
        <f>IF($A406="","",$T406*(1-'01. CONFIGURAÇÕES'!$C$16)-IF($W406="",0,$W406))</f>
        <v/>
      </c>
      <c r="Y406" s="54" t="str">
        <f t="shared" si="55"/>
        <v/>
      </c>
      <c r="Z406" s="30"/>
      <c r="AA406" s="33"/>
      <c r="AB406" s="33"/>
    </row>
    <row r="407" spans="1:28" x14ac:dyDescent="0.25">
      <c r="A407" s="31"/>
      <c r="B407" s="29" t="str">
        <f t="shared" si="48"/>
        <v/>
      </c>
      <c r="C407" s="29" t="str">
        <f>IF($A407="","","S"&amp;(INT(($A407-'01. CONFIGURAÇÕES'!$C$12)/7)+1))</f>
        <v/>
      </c>
      <c r="D407" s="30"/>
      <c r="E407" s="30"/>
      <c r="F407" s="10"/>
      <c r="G407" s="49"/>
      <c r="H407" s="49"/>
      <c r="I407" s="52" t="str">
        <f t="shared" si="49"/>
        <v/>
      </c>
      <c r="J407" s="49"/>
      <c r="K407" s="49"/>
      <c r="L407" s="49"/>
      <c r="M407" s="49"/>
      <c r="N407" s="49"/>
      <c r="O407" s="49"/>
      <c r="P407" s="10"/>
      <c r="Q407" s="11" t="str">
        <f t="shared" si="50"/>
        <v/>
      </c>
      <c r="R407" s="11" t="str">
        <f t="shared" si="51"/>
        <v/>
      </c>
      <c r="S407" s="58" t="str">
        <f t="shared" si="52"/>
        <v/>
      </c>
      <c r="T407" s="55" t="str">
        <f t="shared" si="53"/>
        <v/>
      </c>
      <c r="U407" s="55" t="str">
        <f>IF($D407="","",IF($D407='01. CONFIGURAÇÕES'!$C$8,'01. CONFIGURAÇÕES'!$C$38,'01. CONFIGURAÇÕES'!$D$38))</f>
        <v/>
      </c>
      <c r="V407" s="58" t="str">
        <f t="shared" si="54"/>
        <v/>
      </c>
      <c r="W407" s="55" t="str">
        <f>IF($D407="","",IF($D407='01. CONFIGURAÇÕES'!$C$8,'01. CONFIGURAÇÕES'!$C$31,'01. CONFIGURAÇÕES'!$D$31))</f>
        <v/>
      </c>
      <c r="X407" s="54" t="str">
        <f>IF($A407="","",$T407*(1-'01. CONFIGURAÇÕES'!$C$16)-IF($W407="",0,$W407))</f>
        <v/>
      </c>
      <c r="Y407" s="54" t="str">
        <f t="shared" si="55"/>
        <v/>
      </c>
      <c r="Z407" s="30"/>
      <c r="AA407" s="33"/>
      <c r="AB407" s="33"/>
    </row>
    <row r="408" spans="1:28" x14ac:dyDescent="0.25">
      <c r="A408" s="31"/>
      <c r="B408" s="29" t="str">
        <f t="shared" si="48"/>
        <v/>
      </c>
      <c r="C408" s="29" t="str">
        <f>IF($A408="","","S"&amp;(INT(($A408-'01. CONFIGURAÇÕES'!$C$12)/7)+1))</f>
        <v/>
      </c>
      <c r="D408" s="30"/>
      <c r="E408" s="30"/>
      <c r="F408" s="10"/>
      <c r="G408" s="49"/>
      <c r="H408" s="49"/>
      <c r="I408" s="52" t="str">
        <f t="shared" si="49"/>
        <v/>
      </c>
      <c r="J408" s="49"/>
      <c r="K408" s="49"/>
      <c r="L408" s="49"/>
      <c r="M408" s="49"/>
      <c r="N408" s="49"/>
      <c r="O408" s="49"/>
      <c r="P408" s="10"/>
      <c r="Q408" s="11" t="str">
        <f t="shared" si="50"/>
        <v/>
      </c>
      <c r="R408" s="11" t="str">
        <f t="shared" si="51"/>
        <v/>
      </c>
      <c r="S408" s="58" t="str">
        <f t="shared" si="52"/>
        <v/>
      </c>
      <c r="T408" s="55" t="str">
        <f t="shared" si="53"/>
        <v/>
      </c>
      <c r="U408" s="55" t="str">
        <f>IF($D408="","",IF($D408='01. CONFIGURAÇÕES'!$C$8,'01. CONFIGURAÇÕES'!$C$38,'01. CONFIGURAÇÕES'!$D$38))</f>
        <v/>
      </c>
      <c r="V408" s="58" t="str">
        <f t="shared" si="54"/>
        <v/>
      </c>
      <c r="W408" s="55" t="str">
        <f>IF($D408="","",IF($D408='01. CONFIGURAÇÕES'!$C$8,'01. CONFIGURAÇÕES'!$C$31,'01. CONFIGURAÇÕES'!$D$31))</f>
        <v/>
      </c>
      <c r="X408" s="54" t="str">
        <f>IF($A408="","",$T408*(1-'01. CONFIGURAÇÕES'!$C$16)-IF($W408="",0,$W408))</f>
        <v/>
      </c>
      <c r="Y408" s="54" t="str">
        <f t="shared" si="55"/>
        <v/>
      </c>
      <c r="Z408" s="30"/>
      <c r="AA408" s="33"/>
      <c r="AB408" s="33"/>
    </row>
    <row r="409" spans="1:28" x14ac:dyDescent="0.25">
      <c r="A409" s="31"/>
      <c r="B409" s="29" t="str">
        <f t="shared" si="48"/>
        <v/>
      </c>
      <c r="C409" s="29" t="str">
        <f>IF($A409="","","S"&amp;(INT(($A409-'01. CONFIGURAÇÕES'!$C$12)/7)+1))</f>
        <v/>
      </c>
      <c r="D409" s="30"/>
      <c r="E409" s="30"/>
      <c r="F409" s="10"/>
      <c r="G409" s="49"/>
      <c r="H409" s="49"/>
      <c r="I409" s="52" t="str">
        <f t="shared" si="49"/>
        <v/>
      </c>
      <c r="J409" s="49"/>
      <c r="K409" s="49"/>
      <c r="L409" s="49"/>
      <c r="M409" s="49"/>
      <c r="N409" s="49"/>
      <c r="O409" s="49"/>
      <c r="P409" s="10"/>
      <c r="Q409" s="11" t="str">
        <f t="shared" si="50"/>
        <v/>
      </c>
      <c r="R409" s="11" t="str">
        <f t="shared" si="51"/>
        <v/>
      </c>
      <c r="S409" s="58" t="str">
        <f t="shared" si="52"/>
        <v/>
      </c>
      <c r="T409" s="55" t="str">
        <f t="shared" si="53"/>
        <v/>
      </c>
      <c r="U409" s="55" t="str">
        <f>IF($D409="","",IF($D409='01. CONFIGURAÇÕES'!$C$8,'01. CONFIGURAÇÕES'!$C$38,'01. CONFIGURAÇÕES'!$D$38))</f>
        <v/>
      </c>
      <c r="V409" s="58" t="str">
        <f t="shared" si="54"/>
        <v/>
      </c>
      <c r="W409" s="55" t="str">
        <f>IF($D409="","",IF($D409='01. CONFIGURAÇÕES'!$C$8,'01. CONFIGURAÇÕES'!$C$31,'01. CONFIGURAÇÕES'!$D$31))</f>
        <v/>
      </c>
      <c r="X409" s="54" t="str">
        <f>IF($A409="","",$T409*(1-'01. CONFIGURAÇÕES'!$C$16)-IF($W409="",0,$W409))</f>
        <v/>
      </c>
      <c r="Y409" s="54" t="str">
        <f t="shared" si="55"/>
        <v/>
      </c>
      <c r="Z409" s="30"/>
      <c r="AA409" s="33"/>
      <c r="AB409" s="33"/>
    </row>
    <row r="410" spans="1:28" x14ac:dyDescent="0.25">
      <c r="A410" s="31"/>
      <c r="B410" s="29" t="str">
        <f t="shared" si="48"/>
        <v/>
      </c>
      <c r="C410" s="29" t="str">
        <f>IF($A410="","","S"&amp;(INT(($A410-'01. CONFIGURAÇÕES'!$C$12)/7)+1))</f>
        <v/>
      </c>
      <c r="D410" s="30"/>
      <c r="E410" s="30"/>
      <c r="F410" s="10"/>
      <c r="G410" s="49"/>
      <c r="H410" s="49"/>
      <c r="I410" s="52" t="str">
        <f t="shared" si="49"/>
        <v/>
      </c>
      <c r="J410" s="49"/>
      <c r="K410" s="49"/>
      <c r="L410" s="49"/>
      <c r="M410" s="49"/>
      <c r="N410" s="49"/>
      <c r="O410" s="49"/>
      <c r="P410" s="10"/>
      <c r="Q410" s="11" t="str">
        <f t="shared" si="50"/>
        <v/>
      </c>
      <c r="R410" s="11" t="str">
        <f t="shared" si="51"/>
        <v/>
      </c>
      <c r="S410" s="58" t="str">
        <f t="shared" si="52"/>
        <v/>
      </c>
      <c r="T410" s="55" t="str">
        <f t="shared" si="53"/>
        <v/>
      </c>
      <c r="U410" s="55" t="str">
        <f>IF($D410="","",IF($D410='01. CONFIGURAÇÕES'!$C$8,'01. CONFIGURAÇÕES'!$C$38,'01. CONFIGURAÇÕES'!$D$38))</f>
        <v/>
      </c>
      <c r="V410" s="58" t="str">
        <f t="shared" si="54"/>
        <v/>
      </c>
      <c r="W410" s="55" t="str">
        <f>IF($D410="","",IF($D410='01. CONFIGURAÇÕES'!$C$8,'01. CONFIGURAÇÕES'!$C$31,'01. CONFIGURAÇÕES'!$D$31))</f>
        <v/>
      </c>
      <c r="X410" s="54" t="str">
        <f>IF($A410="","",$T410*(1-'01. CONFIGURAÇÕES'!$C$16)-IF($W410="",0,$W410))</f>
        <v/>
      </c>
      <c r="Y410" s="54" t="str">
        <f t="shared" si="55"/>
        <v/>
      </c>
      <c r="Z410" s="30"/>
      <c r="AA410" s="33"/>
      <c r="AB410" s="33"/>
    </row>
    <row r="411" spans="1:28" x14ac:dyDescent="0.25">
      <c r="A411" s="31"/>
      <c r="B411" s="29" t="str">
        <f t="shared" si="48"/>
        <v/>
      </c>
      <c r="C411" s="29" t="str">
        <f>IF($A411="","","S"&amp;(INT(($A411-'01. CONFIGURAÇÕES'!$C$12)/7)+1))</f>
        <v/>
      </c>
      <c r="D411" s="30"/>
      <c r="E411" s="30"/>
      <c r="F411" s="10"/>
      <c r="G411" s="49"/>
      <c r="H411" s="49"/>
      <c r="I411" s="52" t="str">
        <f t="shared" si="49"/>
        <v/>
      </c>
      <c r="J411" s="49"/>
      <c r="K411" s="49"/>
      <c r="L411" s="49"/>
      <c r="M411" s="49"/>
      <c r="N411" s="49"/>
      <c r="O411" s="49"/>
      <c r="P411" s="10"/>
      <c r="Q411" s="11" t="str">
        <f t="shared" si="50"/>
        <v/>
      </c>
      <c r="R411" s="11" t="str">
        <f t="shared" si="51"/>
        <v/>
      </c>
      <c r="S411" s="58" t="str">
        <f t="shared" si="52"/>
        <v/>
      </c>
      <c r="T411" s="55" t="str">
        <f t="shared" si="53"/>
        <v/>
      </c>
      <c r="U411" s="55" t="str">
        <f>IF($D411="","",IF($D411='01. CONFIGURAÇÕES'!$C$8,'01. CONFIGURAÇÕES'!$C$38,'01. CONFIGURAÇÕES'!$D$38))</f>
        <v/>
      </c>
      <c r="V411" s="58" t="str">
        <f t="shared" si="54"/>
        <v/>
      </c>
      <c r="W411" s="55" t="str">
        <f>IF($D411="","",IF($D411='01. CONFIGURAÇÕES'!$C$8,'01. CONFIGURAÇÕES'!$C$31,'01. CONFIGURAÇÕES'!$D$31))</f>
        <v/>
      </c>
      <c r="X411" s="54" t="str">
        <f>IF($A411="","",$T411*(1-'01. CONFIGURAÇÕES'!$C$16)-IF($W411="",0,$W411))</f>
        <v/>
      </c>
      <c r="Y411" s="54" t="str">
        <f t="shared" si="55"/>
        <v/>
      </c>
      <c r="Z411" s="30"/>
      <c r="AA411" s="33"/>
      <c r="AB411" s="33"/>
    </row>
    <row r="412" spans="1:28" x14ac:dyDescent="0.25">
      <c r="A412" s="31"/>
      <c r="B412" s="29" t="str">
        <f t="shared" si="48"/>
        <v/>
      </c>
      <c r="C412" s="29" t="str">
        <f>IF($A412="","","S"&amp;(INT(($A412-'01. CONFIGURAÇÕES'!$C$12)/7)+1))</f>
        <v/>
      </c>
      <c r="D412" s="30"/>
      <c r="E412" s="30"/>
      <c r="F412" s="10"/>
      <c r="G412" s="49"/>
      <c r="H412" s="49"/>
      <c r="I412" s="52" t="str">
        <f t="shared" si="49"/>
        <v/>
      </c>
      <c r="J412" s="49"/>
      <c r="K412" s="49"/>
      <c r="L412" s="49"/>
      <c r="M412" s="49"/>
      <c r="N412" s="49"/>
      <c r="O412" s="49"/>
      <c r="P412" s="10"/>
      <c r="Q412" s="11" t="str">
        <f t="shared" si="50"/>
        <v/>
      </c>
      <c r="R412" s="11" t="str">
        <f t="shared" si="51"/>
        <v/>
      </c>
      <c r="S412" s="58" t="str">
        <f t="shared" si="52"/>
        <v/>
      </c>
      <c r="T412" s="55" t="str">
        <f t="shared" si="53"/>
        <v/>
      </c>
      <c r="U412" s="55" t="str">
        <f>IF($D412="","",IF($D412='01. CONFIGURAÇÕES'!$C$8,'01. CONFIGURAÇÕES'!$C$38,'01. CONFIGURAÇÕES'!$D$38))</f>
        <v/>
      </c>
      <c r="V412" s="58" t="str">
        <f t="shared" si="54"/>
        <v/>
      </c>
      <c r="W412" s="55" t="str">
        <f>IF($D412="","",IF($D412='01. CONFIGURAÇÕES'!$C$8,'01. CONFIGURAÇÕES'!$C$31,'01. CONFIGURAÇÕES'!$D$31))</f>
        <v/>
      </c>
      <c r="X412" s="54" t="str">
        <f>IF($A412="","",$T412*(1-'01. CONFIGURAÇÕES'!$C$16)-IF($W412="",0,$W412))</f>
        <v/>
      </c>
      <c r="Y412" s="54" t="str">
        <f t="shared" si="55"/>
        <v/>
      </c>
      <c r="Z412" s="30"/>
      <c r="AA412" s="33"/>
      <c r="AB412" s="33"/>
    </row>
    <row r="413" spans="1:28" x14ac:dyDescent="0.25">
      <c r="A413" s="31"/>
      <c r="B413" s="29" t="str">
        <f t="shared" si="48"/>
        <v/>
      </c>
      <c r="C413" s="29" t="str">
        <f>IF($A413="","","S"&amp;(INT(($A413-'01. CONFIGURAÇÕES'!$C$12)/7)+1))</f>
        <v/>
      </c>
      <c r="D413" s="30"/>
      <c r="E413" s="30"/>
      <c r="F413" s="10"/>
      <c r="G413" s="49"/>
      <c r="H413" s="49"/>
      <c r="I413" s="52" t="str">
        <f t="shared" si="49"/>
        <v/>
      </c>
      <c r="J413" s="49"/>
      <c r="K413" s="49"/>
      <c r="L413" s="49"/>
      <c r="M413" s="49"/>
      <c r="N413" s="49"/>
      <c r="O413" s="49"/>
      <c r="P413" s="10"/>
      <c r="Q413" s="11" t="str">
        <f t="shared" si="50"/>
        <v/>
      </c>
      <c r="R413" s="11" t="str">
        <f t="shared" si="51"/>
        <v/>
      </c>
      <c r="S413" s="58" t="str">
        <f t="shared" si="52"/>
        <v/>
      </c>
      <c r="T413" s="55" t="str">
        <f t="shared" si="53"/>
        <v/>
      </c>
      <c r="U413" s="55" t="str">
        <f>IF($D413="","",IF($D413='01. CONFIGURAÇÕES'!$C$8,'01. CONFIGURAÇÕES'!$C$38,'01. CONFIGURAÇÕES'!$D$38))</f>
        <v/>
      </c>
      <c r="V413" s="58" t="str">
        <f t="shared" si="54"/>
        <v/>
      </c>
      <c r="W413" s="55" t="str">
        <f>IF($D413="","",IF($D413='01. CONFIGURAÇÕES'!$C$8,'01. CONFIGURAÇÕES'!$C$31,'01. CONFIGURAÇÕES'!$D$31))</f>
        <v/>
      </c>
      <c r="X413" s="54" t="str">
        <f>IF($A413="","",$T413*(1-'01. CONFIGURAÇÕES'!$C$16)-IF($W413="",0,$W413))</f>
        <v/>
      </c>
      <c r="Y413" s="54" t="str">
        <f t="shared" si="55"/>
        <v/>
      </c>
      <c r="Z413" s="30"/>
      <c r="AA413" s="33"/>
      <c r="AB413" s="33"/>
    </row>
    <row r="414" spans="1:28" x14ac:dyDescent="0.25">
      <c r="A414" s="31"/>
      <c r="B414" s="29" t="str">
        <f t="shared" si="48"/>
        <v/>
      </c>
      <c r="C414" s="29" t="str">
        <f>IF($A414="","","S"&amp;(INT(($A414-'01. CONFIGURAÇÕES'!$C$12)/7)+1))</f>
        <v/>
      </c>
      <c r="D414" s="30"/>
      <c r="E414" s="30"/>
      <c r="F414" s="10"/>
      <c r="G414" s="49"/>
      <c r="H414" s="49"/>
      <c r="I414" s="52" t="str">
        <f t="shared" si="49"/>
        <v/>
      </c>
      <c r="J414" s="49"/>
      <c r="K414" s="49"/>
      <c r="L414" s="49"/>
      <c r="M414" s="49"/>
      <c r="N414" s="49"/>
      <c r="O414" s="49"/>
      <c r="P414" s="10"/>
      <c r="Q414" s="11" t="str">
        <f t="shared" si="50"/>
        <v/>
      </c>
      <c r="R414" s="11" t="str">
        <f t="shared" si="51"/>
        <v/>
      </c>
      <c r="S414" s="58" t="str">
        <f t="shared" si="52"/>
        <v/>
      </c>
      <c r="T414" s="55" t="str">
        <f t="shared" si="53"/>
        <v/>
      </c>
      <c r="U414" s="55" t="str">
        <f>IF($D414="","",IF($D414='01. CONFIGURAÇÕES'!$C$8,'01. CONFIGURAÇÕES'!$C$38,'01. CONFIGURAÇÕES'!$D$38))</f>
        <v/>
      </c>
      <c r="V414" s="58" t="str">
        <f t="shared" si="54"/>
        <v/>
      </c>
      <c r="W414" s="55" t="str">
        <f>IF($D414="","",IF($D414='01. CONFIGURAÇÕES'!$C$8,'01. CONFIGURAÇÕES'!$C$31,'01. CONFIGURAÇÕES'!$D$31))</f>
        <v/>
      </c>
      <c r="X414" s="54" t="str">
        <f>IF($A414="","",$T414*(1-'01. CONFIGURAÇÕES'!$C$16)-IF($W414="",0,$W414))</f>
        <v/>
      </c>
      <c r="Y414" s="54" t="str">
        <f t="shared" si="55"/>
        <v/>
      </c>
      <c r="Z414" s="30"/>
      <c r="AA414" s="33"/>
      <c r="AB414" s="33"/>
    </row>
    <row r="415" spans="1:28" x14ac:dyDescent="0.25">
      <c r="A415" s="31"/>
      <c r="B415" s="29" t="str">
        <f t="shared" si="48"/>
        <v/>
      </c>
      <c r="C415" s="29" t="str">
        <f>IF($A415="","","S"&amp;(INT(($A415-'01. CONFIGURAÇÕES'!$C$12)/7)+1))</f>
        <v/>
      </c>
      <c r="D415" s="30"/>
      <c r="E415" s="30"/>
      <c r="F415" s="10"/>
      <c r="G415" s="49"/>
      <c r="H415" s="49"/>
      <c r="I415" s="52" t="str">
        <f t="shared" si="49"/>
        <v/>
      </c>
      <c r="J415" s="49"/>
      <c r="K415" s="49"/>
      <c r="L415" s="49"/>
      <c r="M415" s="49"/>
      <c r="N415" s="49"/>
      <c r="O415" s="49"/>
      <c r="P415" s="10"/>
      <c r="Q415" s="11" t="str">
        <f t="shared" si="50"/>
        <v/>
      </c>
      <c r="R415" s="11" t="str">
        <f t="shared" si="51"/>
        <v/>
      </c>
      <c r="S415" s="58" t="str">
        <f t="shared" si="52"/>
        <v/>
      </c>
      <c r="T415" s="55" t="str">
        <f t="shared" si="53"/>
        <v/>
      </c>
      <c r="U415" s="55" t="str">
        <f>IF($D415="","",IF($D415='01. CONFIGURAÇÕES'!$C$8,'01. CONFIGURAÇÕES'!$C$38,'01. CONFIGURAÇÕES'!$D$38))</f>
        <v/>
      </c>
      <c r="V415" s="58" t="str">
        <f t="shared" si="54"/>
        <v/>
      </c>
      <c r="W415" s="55" t="str">
        <f>IF($D415="","",IF($D415='01. CONFIGURAÇÕES'!$C$8,'01. CONFIGURAÇÕES'!$C$31,'01. CONFIGURAÇÕES'!$D$31))</f>
        <v/>
      </c>
      <c r="X415" s="54" t="str">
        <f>IF($A415="","",$T415*(1-'01. CONFIGURAÇÕES'!$C$16)-IF($W415="",0,$W415))</f>
        <v/>
      </c>
      <c r="Y415" s="54" t="str">
        <f t="shared" si="55"/>
        <v/>
      </c>
      <c r="Z415" s="30"/>
      <c r="AA415" s="33"/>
      <c r="AB415" s="33"/>
    </row>
    <row r="416" spans="1:28" x14ac:dyDescent="0.25">
      <c r="A416" s="31"/>
      <c r="B416" s="29" t="str">
        <f t="shared" si="48"/>
        <v/>
      </c>
      <c r="C416" s="29" t="str">
        <f>IF($A416="","","S"&amp;(INT(($A416-'01. CONFIGURAÇÕES'!$C$12)/7)+1))</f>
        <v/>
      </c>
      <c r="D416" s="30"/>
      <c r="E416" s="30"/>
      <c r="F416" s="10"/>
      <c r="G416" s="49"/>
      <c r="H416" s="49"/>
      <c r="I416" s="52" t="str">
        <f t="shared" si="49"/>
        <v/>
      </c>
      <c r="J416" s="49"/>
      <c r="K416" s="49"/>
      <c r="L416" s="49"/>
      <c r="M416" s="49"/>
      <c r="N416" s="49"/>
      <c r="O416" s="49"/>
      <c r="P416" s="10"/>
      <c r="Q416" s="11" t="str">
        <f t="shared" si="50"/>
        <v/>
      </c>
      <c r="R416" s="11" t="str">
        <f t="shared" si="51"/>
        <v/>
      </c>
      <c r="S416" s="58" t="str">
        <f t="shared" si="52"/>
        <v/>
      </c>
      <c r="T416" s="55" t="str">
        <f t="shared" si="53"/>
        <v/>
      </c>
      <c r="U416" s="55" t="str">
        <f>IF($D416="","",IF($D416='01. CONFIGURAÇÕES'!$C$8,'01. CONFIGURAÇÕES'!$C$38,'01. CONFIGURAÇÕES'!$D$38))</f>
        <v/>
      </c>
      <c r="V416" s="58" t="str">
        <f t="shared" si="54"/>
        <v/>
      </c>
      <c r="W416" s="55" t="str">
        <f>IF($D416="","",IF($D416='01. CONFIGURAÇÕES'!$C$8,'01. CONFIGURAÇÕES'!$C$31,'01. CONFIGURAÇÕES'!$D$31))</f>
        <v/>
      </c>
      <c r="X416" s="54" t="str">
        <f>IF($A416="","",$T416*(1-'01. CONFIGURAÇÕES'!$C$16)-IF($W416="",0,$W416))</f>
        <v/>
      </c>
      <c r="Y416" s="54" t="str">
        <f t="shared" si="55"/>
        <v/>
      </c>
      <c r="Z416" s="30"/>
      <c r="AA416" s="33"/>
      <c r="AB416" s="33"/>
    </row>
    <row r="417" spans="1:28" x14ac:dyDescent="0.25">
      <c r="A417" s="31"/>
      <c r="B417" s="29" t="str">
        <f t="shared" si="48"/>
        <v/>
      </c>
      <c r="C417" s="29" t="str">
        <f>IF($A417="","","S"&amp;(INT(($A417-'01. CONFIGURAÇÕES'!$C$12)/7)+1))</f>
        <v/>
      </c>
      <c r="D417" s="30"/>
      <c r="E417" s="30"/>
      <c r="F417" s="10"/>
      <c r="G417" s="49"/>
      <c r="H417" s="49"/>
      <c r="I417" s="52" t="str">
        <f t="shared" si="49"/>
        <v/>
      </c>
      <c r="J417" s="49"/>
      <c r="K417" s="49"/>
      <c r="L417" s="49"/>
      <c r="M417" s="49"/>
      <c r="N417" s="49"/>
      <c r="O417" s="49"/>
      <c r="P417" s="10"/>
      <c r="Q417" s="11" t="str">
        <f t="shared" si="50"/>
        <v/>
      </c>
      <c r="R417" s="11" t="str">
        <f t="shared" si="51"/>
        <v/>
      </c>
      <c r="S417" s="58" t="str">
        <f t="shared" si="52"/>
        <v/>
      </c>
      <c r="T417" s="55" t="str">
        <f t="shared" si="53"/>
        <v/>
      </c>
      <c r="U417" s="55" t="str">
        <f>IF($D417="","",IF($D417='01. CONFIGURAÇÕES'!$C$8,'01. CONFIGURAÇÕES'!$C$38,'01. CONFIGURAÇÕES'!$D$38))</f>
        <v/>
      </c>
      <c r="V417" s="58" t="str">
        <f t="shared" si="54"/>
        <v/>
      </c>
      <c r="W417" s="55" t="str">
        <f>IF($D417="","",IF($D417='01. CONFIGURAÇÕES'!$C$8,'01. CONFIGURAÇÕES'!$C$31,'01. CONFIGURAÇÕES'!$D$31))</f>
        <v/>
      </c>
      <c r="X417" s="54" t="str">
        <f>IF($A417="","",$T417*(1-'01. CONFIGURAÇÕES'!$C$16)-IF($W417="",0,$W417))</f>
        <v/>
      </c>
      <c r="Y417" s="54" t="str">
        <f t="shared" si="55"/>
        <v/>
      </c>
      <c r="Z417" s="30"/>
      <c r="AA417" s="33"/>
      <c r="AB417" s="33"/>
    </row>
    <row r="418" spans="1:28" x14ac:dyDescent="0.25">
      <c r="A418" s="31"/>
      <c r="B418" s="29" t="str">
        <f t="shared" si="48"/>
        <v/>
      </c>
      <c r="C418" s="29" t="str">
        <f>IF($A418="","","S"&amp;(INT(($A418-'01. CONFIGURAÇÕES'!$C$12)/7)+1))</f>
        <v/>
      </c>
      <c r="D418" s="30"/>
      <c r="E418" s="30"/>
      <c r="F418" s="10"/>
      <c r="G418" s="49"/>
      <c r="H418" s="49"/>
      <c r="I418" s="52" t="str">
        <f t="shared" si="49"/>
        <v/>
      </c>
      <c r="J418" s="49"/>
      <c r="K418" s="49"/>
      <c r="L418" s="49"/>
      <c r="M418" s="49"/>
      <c r="N418" s="49"/>
      <c r="O418" s="49"/>
      <c r="P418" s="10"/>
      <c r="Q418" s="11" t="str">
        <f t="shared" si="50"/>
        <v/>
      </c>
      <c r="R418" s="11" t="str">
        <f t="shared" si="51"/>
        <v/>
      </c>
      <c r="S418" s="58" t="str">
        <f t="shared" si="52"/>
        <v/>
      </c>
      <c r="T418" s="55" t="str">
        <f t="shared" si="53"/>
        <v/>
      </c>
      <c r="U418" s="55" t="str">
        <f>IF($D418="","",IF($D418='01. CONFIGURAÇÕES'!$C$8,'01. CONFIGURAÇÕES'!$C$38,'01. CONFIGURAÇÕES'!$D$38))</f>
        <v/>
      </c>
      <c r="V418" s="58" t="str">
        <f t="shared" si="54"/>
        <v/>
      </c>
      <c r="W418" s="55" t="str">
        <f>IF($D418="","",IF($D418='01. CONFIGURAÇÕES'!$C$8,'01. CONFIGURAÇÕES'!$C$31,'01. CONFIGURAÇÕES'!$D$31))</f>
        <v/>
      </c>
      <c r="X418" s="54" t="str">
        <f>IF($A418="","",$T418*(1-'01. CONFIGURAÇÕES'!$C$16)-IF($W418="",0,$W418))</f>
        <v/>
      </c>
      <c r="Y418" s="54" t="str">
        <f t="shared" si="55"/>
        <v/>
      </c>
      <c r="Z418" s="30"/>
      <c r="AA418" s="33"/>
      <c r="AB418" s="33"/>
    </row>
    <row r="419" spans="1:28" x14ac:dyDescent="0.25">
      <c r="A419" s="31"/>
      <c r="B419" s="29" t="str">
        <f t="shared" si="48"/>
        <v/>
      </c>
      <c r="C419" s="29" t="str">
        <f>IF($A419="","","S"&amp;(INT(($A419-'01. CONFIGURAÇÕES'!$C$12)/7)+1))</f>
        <v/>
      </c>
      <c r="D419" s="30"/>
      <c r="E419" s="30"/>
      <c r="F419" s="10"/>
      <c r="G419" s="49"/>
      <c r="H419" s="49"/>
      <c r="I419" s="52" t="str">
        <f t="shared" si="49"/>
        <v/>
      </c>
      <c r="J419" s="49"/>
      <c r="K419" s="49"/>
      <c r="L419" s="49"/>
      <c r="M419" s="49"/>
      <c r="N419" s="49"/>
      <c r="O419" s="49"/>
      <c r="P419" s="10"/>
      <c r="Q419" s="11" t="str">
        <f t="shared" si="50"/>
        <v/>
      </c>
      <c r="R419" s="11" t="str">
        <f t="shared" si="51"/>
        <v/>
      </c>
      <c r="S419" s="58" t="str">
        <f t="shared" si="52"/>
        <v/>
      </c>
      <c r="T419" s="55" t="str">
        <f t="shared" si="53"/>
        <v/>
      </c>
      <c r="U419" s="55" t="str">
        <f>IF($D419="","",IF($D419='01. CONFIGURAÇÕES'!$C$8,'01. CONFIGURAÇÕES'!$C$38,'01. CONFIGURAÇÕES'!$D$38))</f>
        <v/>
      </c>
      <c r="V419" s="58" t="str">
        <f t="shared" si="54"/>
        <v/>
      </c>
      <c r="W419" s="55" t="str">
        <f>IF($D419="","",IF($D419='01. CONFIGURAÇÕES'!$C$8,'01. CONFIGURAÇÕES'!$C$31,'01. CONFIGURAÇÕES'!$D$31))</f>
        <v/>
      </c>
      <c r="X419" s="54" t="str">
        <f>IF($A419="","",$T419*(1-'01. CONFIGURAÇÕES'!$C$16)-IF($W419="",0,$W419))</f>
        <v/>
      </c>
      <c r="Y419" s="54" t="str">
        <f t="shared" si="55"/>
        <v/>
      </c>
      <c r="Z419" s="30"/>
      <c r="AA419" s="33"/>
      <c r="AB419" s="33"/>
    </row>
    <row r="420" spans="1:28" x14ac:dyDescent="0.25">
      <c r="A420" s="31"/>
      <c r="B420" s="29" t="str">
        <f t="shared" si="48"/>
        <v/>
      </c>
      <c r="C420" s="29" t="str">
        <f>IF($A420="","","S"&amp;(INT(($A420-'01. CONFIGURAÇÕES'!$C$12)/7)+1))</f>
        <v/>
      </c>
      <c r="D420" s="30"/>
      <c r="E420" s="30"/>
      <c r="F420" s="10"/>
      <c r="G420" s="49"/>
      <c r="H420" s="49"/>
      <c r="I420" s="52" t="str">
        <f t="shared" si="49"/>
        <v/>
      </c>
      <c r="J420" s="49"/>
      <c r="K420" s="49"/>
      <c r="L420" s="49"/>
      <c r="M420" s="49"/>
      <c r="N420" s="49"/>
      <c r="O420" s="49"/>
      <c r="P420" s="10"/>
      <c r="Q420" s="11" t="str">
        <f t="shared" si="50"/>
        <v/>
      </c>
      <c r="R420" s="11" t="str">
        <f t="shared" si="51"/>
        <v/>
      </c>
      <c r="S420" s="58" t="str">
        <f t="shared" si="52"/>
        <v/>
      </c>
      <c r="T420" s="55" t="str">
        <f t="shared" si="53"/>
        <v/>
      </c>
      <c r="U420" s="55" t="str">
        <f>IF($D420="","",IF($D420='01. CONFIGURAÇÕES'!$C$8,'01. CONFIGURAÇÕES'!$C$38,'01. CONFIGURAÇÕES'!$D$38))</f>
        <v/>
      </c>
      <c r="V420" s="58" t="str">
        <f t="shared" si="54"/>
        <v/>
      </c>
      <c r="W420" s="55" t="str">
        <f>IF($D420="","",IF($D420='01. CONFIGURAÇÕES'!$C$8,'01. CONFIGURAÇÕES'!$C$31,'01. CONFIGURAÇÕES'!$D$31))</f>
        <v/>
      </c>
      <c r="X420" s="54" t="str">
        <f>IF($A420="","",$T420*(1-'01. CONFIGURAÇÕES'!$C$16)-IF($W420="",0,$W420))</f>
        <v/>
      </c>
      <c r="Y420" s="54" t="str">
        <f t="shared" si="55"/>
        <v/>
      </c>
      <c r="Z420" s="30"/>
      <c r="AA420" s="33"/>
      <c r="AB420" s="33"/>
    </row>
    <row r="421" spans="1:28" x14ac:dyDescent="0.25">
      <c r="A421" s="31"/>
      <c r="B421" s="29" t="str">
        <f t="shared" si="48"/>
        <v/>
      </c>
      <c r="C421" s="29" t="str">
        <f>IF($A421="","","S"&amp;(INT(($A421-'01. CONFIGURAÇÕES'!$C$12)/7)+1))</f>
        <v/>
      </c>
      <c r="D421" s="30"/>
      <c r="E421" s="30"/>
      <c r="F421" s="10"/>
      <c r="G421" s="49"/>
      <c r="H421" s="49"/>
      <c r="I421" s="52" t="str">
        <f t="shared" si="49"/>
        <v/>
      </c>
      <c r="J421" s="49"/>
      <c r="K421" s="49"/>
      <c r="L421" s="49"/>
      <c r="M421" s="49"/>
      <c r="N421" s="49"/>
      <c r="O421" s="49"/>
      <c r="P421" s="10"/>
      <c r="Q421" s="11" t="str">
        <f t="shared" si="50"/>
        <v/>
      </c>
      <c r="R421" s="11" t="str">
        <f t="shared" si="51"/>
        <v/>
      </c>
      <c r="S421" s="58" t="str">
        <f t="shared" si="52"/>
        <v/>
      </c>
      <c r="T421" s="55" t="str">
        <f t="shared" si="53"/>
        <v/>
      </c>
      <c r="U421" s="55" t="str">
        <f>IF($D421="","",IF($D421='01. CONFIGURAÇÕES'!$C$8,'01. CONFIGURAÇÕES'!$C$38,'01. CONFIGURAÇÕES'!$D$38))</f>
        <v/>
      </c>
      <c r="V421" s="58" t="str">
        <f t="shared" si="54"/>
        <v/>
      </c>
      <c r="W421" s="55" t="str">
        <f>IF($D421="","",IF($D421='01. CONFIGURAÇÕES'!$C$8,'01. CONFIGURAÇÕES'!$C$31,'01. CONFIGURAÇÕES'!$D$31))</f>
        <v/>
      </c>
      <c r="X421" s="54" t="str">
        <f>IF($A421="","",$T421*(1-'01. CONFIGURAÇÕES'!$C$16)-IF($W421="",0,$W421))</f>
        <v/>
      </c>
      <c r="Y421" s="54" t="str">
        <f t="shared" si="55"/>
        <v/>
      </c>
      <c r="Z421" s="30"/>
      <c r="AA421" s="33"/>
      <c r="AB421" s="33"/>
    </row>
    <row r="422" spans="1:28" x14ac:dyDescent="0.25">
      <c r="A422" s="31"/>
      <c r="B422" s="29" t="str">
        <f t="shared" si="48"/>
        <v/>
      </c>
      <c r="C422" s="29" t="str">
        <f>IF($A422="","","S"&amp;(INT(($A422-'01. CONFIGURAÇÕES'!$C$12)/7)+1))</f>
        <v/>
      </c>
      <c r="D422" s="30"/>
      <c r="E422" s="30"/>
      <c r="F422" s="10"/>
      <c r="G422" s="49"/>
      <c r="H422" s="49"/>
      <c r="I422" s="52" t="str">
        <f t="shared" si="49"/>
        <v/>
      </c>
      <c r="J422" s="49"/>
      <c r="K422" s="49"/>
      <c r="L422" s="49"/>
      <c r="M422" s="49"/>
      <c r="N422" s="49"/>
      <c r="O422" s="49"/>
      <c r="P422" s="10"/>
      <c r="Q422" s="11" t="str">
        <f t="shared" si="50"/>
        <v/>
      </c>
      <c r="R422" s="11" t="str">
        <f t="shared" si="51"/>
        <v/>
      </c>
      <c r="S422" s="58" t="str">
        <f t="shared" si="52"/>
        <v/>
      </c>
      <c r="T422" s="55" t="str">
        <f t="shared" si="53"/>
        <v/>
      </c>
      <c r="U422" s="55" t="str">
        <f>IF($D422="","",IF($D422='01. CONFIGURAÇÕES'!$C$8,'01. CONFIGURAÇÕES'!$C$38,'01. CONFIGURAÇÕES'!$D$38))</f>
        <v/>
      </c>
      <c r="V422" s="58" t="str">
        <f t="shared" si="54"/>
        <v/>
      </c>
      <c r="W422" s="55" t="str">
        <f>IF($D422="","",IF($D422='01. CONFIGURAÇÕES'!$C$8,'01. CONFIGURAÇÕES'!$C$31,'01. CONFIGURAÇÕES'!$D$31))</f>
        <v/>
      </c>
      <c r="X422" s="54" t="str">
        <f>IF($A422="","",$T422*(1-'01. CONFIGURAÇÕES'!$C$16)-IF($W422="",0,$W422))</f>
        <v/>
      </c>
      <c r="Y422" s="54" t="str">
        <f t="shared" si="55"/>
        <v/>
      </c>
      <c r="Z422" s="30"/>
      <c r="AA422" s="33"/>
      <c r="AB422" s="33"/>
    </row>
    <row r="423" spans="1:28" x14ac:dyDescent="0.25">
      <c r="A423" s="31"/>
      <c r="B423" s="29" t="str">
        <f t="shared" si="48"/>
        <v/>
      </c>
      <c r="C423" s="29" t="str">
        <f>IF($A423="","","S"&amp;(INT(($A423-'01. CONFIGURAÇÕES'!$C$12)/7)+1))</f>
        <v/>
      </c>
      <c r="D423" s="30"/>
      <c r="E423" s="30"/>
      <c r="F423" s="10"/>
      <c r="G423" s="49"/>
      <c r="H423" s="49"/>
      <c r="I423" s="52" t="str">
        <f t="shared" si="49"/>
        <v/>
      </c>
      <c r="J423" s="49"/>
      <c r="K423" s="49"/>
      <c r="L423" s="49"/>
      <c r="M423" s="49"/>
      <c r="N423" s="49"/>
      <c r="O423" s="49"/>
      <c r="P423" s="10"/>
      <c r="Q423" s="11" t="str">
        <f t="shared" si="50"/>
        <v/>
      </c>
      <c r="R423" s="11" t="str">
        <f t="shared" si="51"/>
        <v/>
      </c>
      <c r="S423" s="58" t="str">
        <f t="shared" si="52"/>
        <v/>
      </c>
      <c r="T423" s="55" t="str">
        <f t="shared" si="53"/>
        <v/>
      </c>
      <c r="U423" s="55" t="str">
        <f>IF($D423="","",IF($D423='01. CONFIGURAÇÕES'!$C$8,'01. CONFIGURAÇÕES'!$C$38,'01. CONFIGURAÇÕES'!$D$38))</f>
        <v/>
      </c>
      <c r="V423" s="58" t="str">
        <f t="shared" si="54"/>
        <v/>
      </c>
      <c r="W423" s="55" t="str">
        <f>IF($D423="","",IF($D423='01. CONFIGURAÇÕES'!$C$8,'01. CONFIGURAÇÕES'!$C$31,'01. CONFIGURAÇÕES'!$D$31))</f>
        <v/>
      </c>
      <c r="X423" s="54" t="str">
        <f>IF($A423="","",$T423*(1-'01. CONFIGURAÇÕES'!$C$16)-IF($W423="",0,$W423))</f>
        <v/>
      </c>
      <c r="Y423" s="54" t="str">
        <f t="shared" si="55"/>
        <v/>
      </c>
      <c r="Z423" s="30"/>
      <c r="AA423" s="33"/>
      <c r="AB423" s="33"/>
    </row>
    <row r="424" spans="1:28" x14ac:dyDescent="0.25">
      <c r="A424" s="31"/>
      <c r="B424" s="29" t="str">
        <f t="shared" si="48"/>
        <v/>
      </c>
      <c r="C424" s="29" t="str">
        <f>IF($A424="","","S"&amp;(INT(($A424-'01. CONFIGURAÇÕES'!$C$12)/7)+1))</f>
        <v/>
      </c>
      <c r="D424" s="30"/>
      <c r="E424" s="30"/>
      <c r="F424" s="10"/>
      <c r="G424" s="49"/>
      <c r="H424" s="49"/>
      <c r="I424" s="52" t="str">
        <f t="shared" si="49"/>
        <v/>
      </c>
      <c r="J424" s="49"/>
      <c r="K424" s="49"/>
      <c r="L424" s="49"/>
      <c r="M424" s="49"/>
      <c r="N424" s="49"/>
      <c r="O424" s="49"/>
      <c r="P424" s="10"/>
      <c r="Q424" s="11" t="str">
        <f t="shared" si="50"/>
        <v/>
      </c>
      <c r="R424" s="11" t="str">
        <f t="shared" si="51"/>
        <v/>
      </c>
      <c r="S424" s="58" t="str">
        <f t="shared" si="52"/>
        <v/>
      </c>
      <c r="T424" s="55" t="str">
        <f t="shared" si="53"/>
        <v/>
      </c>
      <c r="U424" s="55" t="str">
        <f>IF($D424="","",IF($D424='01. CONFIGURAÇÕES'!$C$8,'01. CONFIGURAÇÕES'!$C$38,'01. CONFIGURAÇÕES'!$D$38))</f>
        <v/>
      </c>
      <c r="V424" s="58" t="str">
        <f t="shared" si="54"/>
        <v/>
      </c>
      <c r="W424" s="55" t="str">
        <f>IF($D424="","",IF($D424='01. CONFIGURAÇÕES'!$C$8,'01. CONFIGURAÇÕES'!$C$31,'01. CONFIGURAÇÕES'!$D$31))</f>
        <v/>
      </c>
      <c r="X424" s="54" t="str">
        <f>IF($A424="","",$T424*(1-'01. CONFIGURAÇÕES'!$C$16)-IF($W424="",0,$W424))</f>
        <v/>
      </c>
      <c r="Y424" s="54" t="str">
        <f t="shared" si="55"/>
        <v/>
      </c>
      <c r="Z424" s="30"/>
      <c r="AA424" s="33"/>
      <c r="AB424" s="33"/>
    </row>
    <row r="425" spans="1:28" x14ac:dyDescent="0.25">
      <c r="A425" s="31"/>
      <c r="B425" s="29" t="str">
        <f t="shared" si="48"/>
        <v/>
      </c>
      <c r="C425" s="29" t="str">
        <f>IF($A425="","","S"&amp;(INT(($A425-'01. CONFIGURAÇÕES'!$C$12)/7)+1))</f>
        <v/>
      </c>
      <c r="D425" s="30"/>
      <c r="E425" s="30"/>
      <c r="F425" s="10"/>
      <c r="G425" s="49"/>
      <c r="H425" s="49"/>
      <c r="I425" s="52" t="str">
        <f t="shared" si="49"/>
        <v/>
      </c>
      <c r="J425" s="49"/>
      <c r="K425" s="49"/>
      <c r="L425" s="49"/>
      <c r="M425" s="49"/>
      <c r="N425" s="49"/>
      <c r="O425" s="49"/>
      <c r="P425" s="10"/>
      <c r="Q425" s="11" t="str">
        <f t="shared" si="50"/>
        <v/>
      </c>
      <c r="R425" s="11" t="str">
        <f t="shared" si="51"/>
        <v/>
      </c>
      <c r="S425" s="58" t="str">
        <f t="shared" si="52"/>
        <v/>
      </c>
      <c r="T425" s="55" t="str">
        <f t="shared" si="53"/>
        <v/>
      </c>
      <c r="U425" s="55" t="str">
        <f>IF($D425="","",IF($D425='01. CONFIGURAÇÕES'!$C$8,'01. CONFIGURAÇÕES'!$C$38,'01. CONFIGURAÇÕES'!$D$38))</f>
        <v/>
      </c>
      <c r="V425" s="58" t="str">
        <f t="shared" si="54"/>
        <v/>
      </c>
      <c r="W425" s="55" t="str">
        <f>IF($D425="","",IF($D425='01. CONFIGURAÇÕES'!$C$8,'01. CONFIGURAÇÕES'!$C$31,'01. CONFIGURAÇÕES'!$D$31))</f>
        <v/>
      </c>
      <c r="X425" s="54" t="str">
        <f>IF($A425="","",$T425*(1-'01. CONFIGURAÇÕES'!$C$16)-IF($W425="",0,$W425))</f>
        <v/>
      </c>
      <c r="Y425" s="54" t="str">
        <f t="shared" si="55"/>
        <v/>
      </c>
      <c r="Z425" s="30"/>
      <c r="AA425" s="33"/>
      <c r="AB425" s="33"/>
    </row>
    <row r="426" spans="1:28" x14ac:dyDescent="0.25">
      <c r="A426" s="31"/>
      <c r="B426" s="29" t="str">
        <f t="shared" si="48"/>
        <v/>
      </c>
      <c r="C426" s="29" t="str">
        <f>IF($A426="","","S"&amp;(INT(($A426-'01. CONFIGURAÇÕES'!$C$12)/7)+1))</f>
        <v/>
      </c>
      <c r="D426" s="30"/>
      <c r="E426" s="30"/>
      <c r="F426" s="10"/>
      <c r="G426" s="49"/>
      <c r="H426" s="49"/>
      <c r="I426" s="52" t="str">
        <f t="shared" si="49"/>
        <v/>
      </c>
      <c r="J426" s="49"/>
      <c r="K426" s="49"/>
      <c r="L426" s="49"/>
      <c r="M426" s="49"/>
      <c r="N426" s="49"/>
      <c r="O426" s="49"/>
      <c r="P426" s="10"/>
      <c r="Q426" s="11" t="str">
        <f t="shared" si="50"/>
        <v/>
      </c>
      <c r="R426" s="11" t="str">
        <f t="shared" si="51"/>
        <v/>
      </c>
      <c r="S426" s="58" t="str">
        <f t="shared" si="52"/>
        <v/>
      </c>
      <c r="T426" s="55" t="str">
        <f t="shared" si="53"/>
        <v/>
      </c>
      <c r="U426" s="55" t="str">
        <f>IF($D426="","",IF($D426='01. CONFIGURAÇÕES'!$C$8,'01. CONFIGURAÇÕES'!$C$38,'01. CONFIGURAÇÕES'!$D$38))</f>
        <v/>
      </c>
      <c r="V426" s="58" t="str">
        <f t="shared" si="54"/>
        <v/>
      </c>
      <c r="W426" s="55" t="str">
        <f>IF($D426="","",IF($D426='01. CONFIGURAÇÕES'!$C$8,'01. CONFIGURAÇÕES'!$C$31,'01. CONFIGURAÇÕES'!$D$31))</f>
        <v/>
      </c>
      <c r="X426" s="54" t="str">
        <f>IF($A426="","",$T426*(1-'01. CONFIGURAÇÕES'!$C$16)-IF($W426="",0,$W426))</f>
        <v/>
      </c>
      <c r="Y426" s="54" t="str">
        <f t="shared" si="55"/>
        <v/>
      </c>
      <c r="Z426" s="30"/>
      <c r="AA426" s="33"/>
      <c r="AB426" s="33"/>
    </row>
    <row r="427" spans="1:28" x14ac:dyDescent="0.25">
      <c r="A427" s="31"/>
      <c r="B427" s="29" t="str">
        <f t="shared" si="48"/>
        <v/>
      </c>
      <c r="C427" s="29" t="str">
        <f>IF($A427="","","S"&amp;(INT(($A427-'01. CONFIGURAÇÕES'!$C$12)/7)+1))</f>
        <v/>
      </c>
      <c r="D427" s="30"/>
      <c r="E427" s="30"/>
      <c r="F427" s="10"/>
      <c r="G427" s="49"/>
      <c r="H427" s="49"/>
      <c r="I427" s="52" t="str">
        <f t="shared" si="49"/>
        <v/>
      </c>
      <c r="J427" s="49"/>
      <c r="K427" s="49"/>
      <c r="L427" s="49"/>
      <c r="M427" s="49"/>
      <c r="N427" s="49"/>
      <c r="O427" s="49"/>
      <c r="P427" s="10"/>
      <c r="Q427" s="11" t="str">
        <f t="shared" si="50"/>
        <v/>
      </c>
      <c r="R427" s="11" t="str">
        <f t="shared" si="51"/>
        <v/>
      </c>
      <c r="S427" s="58" t="str">
        <f t="shared" si="52"/>
        <v/>
      </c>
      <c r="T427" s="55" t="str">
        <f t="shared" si="53"/>
        <v/>
      </c>
      <c r="U427" s="55" t="str">
        <f>IF($D427="","",IF($D427='01. CONFIGURAÇÕES'!$C$8,'01. CONFIGURAÇÕES'!$C$38,'01. CONFIGURAÇÕES'!$D$38))</f>
        <v/>
      </c>
      <c r="V427" s="58" t="str">
        <f t="shared" si="54"/>
        <v/>
      </c>
      <c r="W427" s="55" t="str">
        <f>IF($D427="","",IF($D427='01. CONFIGURAÇÕES'!$C$8,'01. CONFIGURAÇÕES'!$C$31,'01. CONFIGURAÇÕES'!$D$31))</f>
        <v/>
      </c>
      <c r="X427" s="54" t="str">
        <f>IF($A427="","",$T427*(1-'01. CONFIGURAÇÕES'!$C$16)-IF($W427="",0,$W427))</f>
        <v/>
      </c>
      <c r="Y427" s="54" t="str">
        <f t="shared" si="55"/>
        <v/>
      </c>
      <c r="Z427" s="30"/>
      <c r="AA427" s="33"/>
      <c r="AB427" s="33"/>
    </row>
    <row r="428" spans="1:28" x14ac:dyDescent="0.25">
      <c r="A428" s="31"/>
      <c r="B428" s="29" t="str">
        <f t="shared" si="48"/>
        <v/>
      </c>
      <c r="C428" s="29" t="str">
        <f>IF($A428="","","S"&amp;(INT(($A428-'01. CONFIGURAÇÕES'!$C$12)/7)+1))</f>
        <v/>
      </c>
      <c r="D428" s="30"/>
      <c r="E428" s="30"/>
      <c r="F428" s="10"/>
      <c r="G428" s="49"/>
      <c r="H428" s="49"/>
      <c r="I428" s="52" t="str">
        <f t="shared" si="49"/>
        <v/>
      </c>
      <c r="J428" s="49"/>
      <c r="K428" s="49"/>
      <c r="L428" s="49"/>
      <c r="M428" s="49"/>
      <c r="N428" s="49"/>
      <c r="O428" s="49"/>
      <c r="P428" s="10"/>
      <c r="Q428" s="11" t="str">
        <f t="shared" si="50"/>
        <v/>
      </c>
      <c r="R428" s="11" t="str">
        <f t="shared" si="51"/>
        <v/>
      </c>
      <c r="S428" s="58" t="str">
        <f t="shared" si="52"/>
        <v/>
      </c>
      <c r="T428" s="55" t="str">
        <f t="shared" si="53"/>
        <v/>
      </c>
      <c r="U428" s="55" t="str">
        <f>IF($D428="","",IF($D428='01. CONFIGURAÇÕES'!$C$8,'01. CONFIGURAÇÕES'!$C$38,'01. CONFIGURAÇÕES'!$D$38))</f>
        <v/>
      </c>
      <c r="V428" s="58" t="str">
        <f t="shared" si="54"/>
        <v/>
      </c>
      <c r="W428" s="55" t="str">
        <f>IF($D428="","",IF($D428='01. CONFIGURAÇÕES'!$C$8,'01. CONFIGURAÇÕES'!$C$31,'01. CONFIGURAÇÕES'!$D$31))</f>
        <v/>
      </c>
      <c r="X428" s="54" t="str">
        <f>IF($A428="","",$T428*(1-'01. CONFIGURAÇÕES'!$C$16)-IF($W428="",0,$W428))</f>
        <v/>
      </c>
      <c r="Y428" s="54" t="str">
        <f t="shared" si="55"/>
        <v/>
      </c>
      <c r="Z428" s="30"/>
      <c r="AA428" s="33"/>
      <c r="AB428" s="33"/>
    </row>
    <row r="429" spans="1:28" x14ac:dyDescent="0.25">
      <c r="A429" s="31"/>
      <c r="B429" s="29" t="str">
        <f t="shared" si="48"/>
        <v/>
      </c>
      <c r="C429" s="29" t="str">
        <f>IF($A429="","","S"&amp;(INT(($A429-'01. CONFIGURAÇÕES'!$C$12)/7)+1))</f>
        <v/>
      </c>
      <c r="D429" s="30"/>
      <c r="E429" s="30"/>
      <c r="F429" s="10"/>
      <c r="G429" s="49"/>
      <c r="H429" s="49"/>
      <c r="I429" s="52" t="str">
        <f t="shared" si="49"/>
        <v/>
      </c>
      <c r="J429" s="49"/>
      <c r="K429" s="49"/>
      <c r="L429" s="49"/>
      <c r="M429" s="49"/>
      <c r="N429" s="49"/>
      <c r="O429" s="49"/>
      <c r="P429" s="10"/>
      <c r="Q429" s="11" t="str">
        <f t="shared" si="50"/>
        <v/>
      </c>
      <c r="R429" s="11" t="str">
        <f t="shared" si="51"/>
        <v/>
      </c>
      <c r="S429" s="58" t="str">
        <f t="shared" si="52"/>
        <v/>
      </c>
      <c r="T429" s="55" t="str">
        <f t="shared" si="53"/>
        <v/>
      </c>
      <c r="U429" s="55" t="str">
        <f>IF($D429="","",IF($D429='01. CONFIGURAÇÕES'!$C$8,'01. CONFIGURAÇÕES'!$C$38,'01. CONFIGURAÇÕES'!$D$38))</f>
        <v/>
      </c>
      <c r="V429" s="58" t="str">
        <f t="shared" si="54"/>
        <v/>
      </c>
      <c r="W429" s="55" t="str">
        <f>IF($D429="","",IF($D429='01. CONFIGURAÇÕES'!$C$8,'01. CONFIGURAÇÕES'!$C$31,'01. CONFIGURAÇÕES'!$D$31))</f>
        <v/>
      </c>
      <c r="X429" s="54" t="str">
        <f>IF($A429="","",$T429*(1-'01. CONFIGURAÇÕES'!$C$16)-IF($W429="",0,$W429))</f>
        <v/>
      </c>
      <c r="Y429" s="54" t="str">
        <f t="shared" si="55"/>
        <v/>
      </c>
      <c r="Z429" s="30"/>
      <c r="AA429" s="33"/>
      <c r="AB429" s="33"/>
    </row>
    <row r="430" spans="1:28" x14ac:dyDescent="0.25">
      <c r="A430" s="31"/>
      <c r="B430" s="29" t="str">
        <f t="shared" si="48"/>
        <v/>
      </c>
      <c r="C430" s="29" t="str">
        <f>IF($A430="","","S"&amp;(INT(($A430-'01. CONFIGURAÇÕES'!$C$12)/7)+1))</f>
        <v/>
      </c>
      <c r="D430" s="30"/>
      <c r="E430" s="30"/>
      <c r="F430" s="10"/>
      <c r="G430" s="49"/>
      <c r="H430" s="49"/>
      <c r="I430" s="52" t="str">
        <f t="shared" si="49"/>
        <v/>
      </c>
      <c r="J430" s="49"/>
      <c r="K430" s="49"/>
      <c r="L430" s="49"/>
      <c r="M430" s="49"/>
      <c r="N430" s="49"/>
      <c r="O430" s="49"/>
      <c r="P430" s="10"/>
      <c r="Q430" s="11" t="str">
        <f t="shared" si="50"/>
        <v/>
      </c>
      <c r="R430" s="11" t="str">
        <f t="shared" si="51"/>
        <v/>
      </c>
      <c r="S430" s="58" t="str">
        <f t="shared" si="52"/>
        <v/>
      </c>
      <c r="T430" s="55" t="str">
        <f t="shared" si="53"/>
        <v/>
      </c>
      <c r="U430" s="55" t="str">
        <f>IF($D430="","",IF($D430='01. CONFIGURAÇÕES'!$C$8,'01. CONFIGURAÇÕES'!$C$38,'01. CONFIGURAÇÕES'!$D$38))</f>
        <v/>
      </c>
      <c r="V430" s="58" t="str">
        <f t="shared" si="54"/>
        <v/>
      </c>
      <c r="W430" s="55" t="str">
        <f>IF($D430="","",IF($D430='01. CONFIGURAÇÕES'!$C$8,'01. CONFIGURAÇÕES'!$C$31,'01. CONFIGURAÇÕES'!$D$31))</f>
        <v/>
      </c>
      <c r="X430" s="54" t="str">
        <f>IF($A430="","",$T430*(1-'01. CONFIGURAÇÕES'!$C$16)-IF($W430="",0,$W430))</f>
        <v/>
      </c>
      <c r="Y430" s="54" t="str">
        <f t="shared" si="55"/>
        <v/>
      </c>
      <c r="Z430" s="30"/>
      <c r="AA430" s="33"/>
      <c r="AB430" s="33"/>
    </row>
    <row r="431" spans="1:28" x14ac:dyDescent="0.25">
      <c r="A431" s="31"/>
      <c r="B431" s="29" t="str">
        <f t="shared" si="48"/>
        <v/>
      </c>
      <c r="C431" s="29" t="str">
        <f>IF($A431="","","S"&amp;(INT(($A431-'01. CONFIGURAÇÕES'!$C$12)/7)+1))</f>
        <v/>
      </c>
      <c r="D431" s="30"/>
      <c r="E431" s="30"/>
      <c r="F431" s="10"/>
      <c r="G431" s="49"/>
      <c r="H431" s="49"/>
      <c r="I431" s="52" t="str">
        <f t="shared" si="49"/>
        <v/>
      </c>
      <c r="J431" s="49"/>
      <c r="K431" s="49"/>
      <c r="L431" s="49"/>
      <c r="M431" s="49"/>
      <c r="N431" s="49"/>
      <c r="O431" s="49"/>
      <c r="P431" s="10"/>
      <c r="Q431" s="11" t="str">
        <f t="shared" si="50"/>
        <v/>
      </c>
      <c r="R431" s="11" t="str">
        <f t="shared" si="51"/>
        <v/>
      </c>
      <c r="S431" s="58" t="str">
        <f t="shared" si="52"/>
        <v/>
      </c>
      <c r="T431" s="55" t="str">
        <f t="shared" si="53"/>
        <v/>
      </c>
      <c r="U431" s="55" t="str">
        <f>IF($D431="","",IF($D431='01. CONFIGURAÇÕES'!$C$8,'01. CONFIGURAÇÕES'!$C$38,'01. CONFIGURAÇÕES'!$D$38))</f>
        <v/>
      </c>
      <c r="V431" s="58" t="str">
        <f t="shared" si="54"/>
        <v/>
      </c>
      <c r="W431" s="55" t="str">
        <f>IF($D431="","",IF($D431='01. CONFIGURAÇÕES'!$C$8,'01. CONFIGURAÇÕES'!$C$31,'01. CONFIGURAÇÕES'!$D$31))</f>
        <v/>
      </c>
      <c r="X431" s="54" t="str">
        <f>IF($A431="","",$T431*(1-'01. CONFIGURAÇÕES'!$C$16)-IF($W431="",0,$W431))</f>
        <v/>
      </c>
      <c r="Y431" s="54" t="str">
        <f t="shared" si="55"/>
        <v/>
      </c>
      <c r="Z431" s="30"/>
      <c r="AA431" s="33"/>
      <c r="AB431" s="33"/>
    </row>
    <row r="432" spans="1:28" x14ac:dyDescent="0.25">
      <c r="A432" s="31"/>
      <c r="B432" s="29" t="str">
        <f t="shared" si="48"/>
        <v/>
      </c>
      <c r="C432" s="29" t="str">
        <f>IF($A432="","","S"&amp;(INT(($A432-'01. CONFIGURAÇÕES'!$C$12)/7)+1))</f>
        <v/>
      </c>
      <c r="D432" s="30"/>
      <c r="E432" s="30"/>
      <c r="F432" s="10"/>
      <c r="G432" s="49"/>
      <c r="H432" s="49"/>
      <c r="I432" s="52" t="str">
        <f t="shared" si="49"/>
        <v/>
      </c>
      <c r="J432" s="49"/>
      <c r="K432" s="49"/>
      <c r="L432" s="49"/>
      <c r="M432" s="49"/>
      <c r="N432" s="49"/>
      <c r="O432" s="49"/>
      <c r="P432" s="10"/>
      <c r="Q432" s="11" t="str">
        <f t="shared" si="50"/>
        <v/>
      </c>
      <c r="R432" s="11" t="str">
        <f t="shared" si="51"/>
        <v/>
      </c>
      <c r="S432" s="58" t="str">
        <f t="shared" si="52"/>
        <v/>
      </c>
      <c r="T432" s="55" t="str">
        <f t="shared" si="53"/>
        <v/>
      </c>
      <c r="U432" s="55" t="str">
        <f>IF($D432="","",IF($D432='01. CONFIGURAÇÕES'!$C$8,'01. CONFIGURAÇÕES'!$C$38,'01. CONFIGURAÇÕES'!$D$38))</f>
        <v/>
      </c>
      <c r="V432" s="58" t="str">
        <f t="shared" si="54"/>
        <v/>
      </c>
      <c r="W432" s="55" t="str">
        <f>IF($D432="","",IF($D432='01. CONFIGURAÇÕES'!$C$8,'01. CONFIGURAÇÕES'!$C$31,'01. CONFIGURAÇÕES'!$D$31))</f>
        <v/>
      </c>
      <c r="X432" s="54" t="str">
        <f>IF($A432="","",$T432*(1-'01. CONFIGURAÇÕES'!$C$16)-IF($W432="",0,$W432))</f>
        <v/>
      </c>
      <c r="Y432" s="54" t="str">
        <f t="shared" si="55"/>
        <v/>
      </c>
      <c r="Z432" s="30"/>
      <c r="AA432" s="33"/>
      <c r="AB432" s="33"/>
    </row>
    <row r="433" spans="1:28" x14ac:dyDescent="0.25">
      <c r="A433" s="31"/>
      <c r="B433" s="29" t="str">
        <f t="shared" si="48"/>
        <v/>
      </c>
      <c r="C433" s="29" t="str">
        <f>IF($A433="","","S"&amp;(INT(($A433-'01. CONFIGURAÇÕES'!$C$12)/7)+1))</f>
        <v/>
      </c>
      <c r="D433" s="30"/>
      <c r="E433" s="30"/>
      <c r="F433" s="10"/>
      <c r="G433" s="49"/>
      <c r="H433" s="49"/>
      <c r="I433" s="52" t="str">
        <f t="shared" si="49"/>
        <v/>
      </c>
      <c r="J433" s="49"/>
      <c r="K433" s="49"/>
      <c r="L433" s="49"/>
      <c r="M433" s="49"/>
      <c r="N433" s="49"/>
      <c r="O433" s="49"/>
      <c r="P433" s="10"/>
      <c r="Q433" s="11" t="str">
        <f t="shared" si="50"/>
        <v/>
      </c>
      <c r="R433" s="11" t="str">
        <f t="shared" si="51"/>
        <v/>
      </c>
      <c r="S433" s="58" t="str">
        <f t="shared" si="52"/>
        <v/>
      </c>
      <c r="T433" s="55" t="str">
        <f t="shared" si="53"/>
        <v/>
      </c>
      <c r="U433" s="55" t="str">
        <f>IF($D433="","",IF($D433='01. CONFIGURAÇÕES'!$C$8,'01. CONFIGURAÇÕES'!$C$38,'01. CONFIGURAÇÕES'!$D$38))</f>
        <v/>
      </c>
      <c r="V433" s="58" t="str">
        <f t="shared" si="54"/>
        <v/>
      </c>
      <c r="W433" s="55" t="str">
        <f>IF($D433="","",IF($D433='01. CONFIGURAÇÕES'!$C$8,'01. CONFIGURAÇÕES'!$C$31,'01. CONFIGURAÇÕES'!$D$31))</f>
        <v/>
      </c>
      <c r="X433" s="54" t="str">
        <f>IF($A433="","",$T433*(1-'01. CONFIGURAÇÕES'!$C$16)-IF($W433="",0,$W433))</f>
        <v/>
      </c>
      <c r="Y433" s="54" t="str">
        <f t="shared" si="55"/>
        <v/>
      </c>
      <c r="Z433" s="30"/>
      <c r="AA433" s="33"/>
      <c r="AB433" s="33"/>
    </row>
    <row r="434" spans="1:28" x14ac:dyDescent="0.25">
      <c r="A434" s="31"/>
      <c r="B434" s="29" t="str">
        <f t="shared" si="48"/>
        <v/>
      </c>
      <c r="C434" s="29" t="str">
        <f>IF($A434="","","S"&amp;(INT(($A434-'01. CONFIGURAÇÕES'!$C$12)/7)+1))</f>
        <v/>
      </c>
      <c r="D434" s="30"/>
      <c r="E434" s="30"/>
      <c r="F434" s="10"/>
      <c r="G434" s="49"/>
      <c r="H434" s="49"/>
      <c r="I434" s="52" t="str">
        <f t="shared" si="49"/>
        <v/>
      </c>
      <c r="J434" s="49"/>
      <c r="K434" s="49"/>
      <c r="L434" s="49"/>
      <c r="M434" s="49"/>
      <c r="N434" s="49"/>
      <c r="O434" s="49"/>
      <c r="P434" s="10"/>
      <c r="Q434" s="11" t="str">
        <f t="shared" si="50"/>
        <v/>
      </c>
      <c r="R434" s="11" t="str">
        <f t="shared" si="51"/>
        <v/>
      </c>
      <c r="S434" s="58" t="str">
        <f t="shared" si="52"/>
        <v/>
      </c>
      <c r="T434" s="55" t="str">
        <f t="shared" si="53"/>
        <v/>
      </c>
      <c r="U434" s="55" t="str">
        <f>IF($D434="","",IF($D434='01. CONFIGURAÇÕES'!$C$8,'01. CONFIGURAÇÕES'!$C$38,'01. CONFIGURAÇÕES'!$D$38))</f>
        <v/>
      </c>
      <c r="V434" s="58" t="str">
        <f t="shared" si="54"/>
        <v/>
      </c>
      <c r="W434" s="55" t="str">
        <f>IF($D434="","",IF($D434='01. CONFIGURAÇÕES'!$C$8,'01. CONFIGURAÇÕES'!$C$31,'01. CONFIGURAÇÕES'!$D$31))</f>
        <v/>
      </c>
      <c r="X434" s="54" t="str">
        <f>IF($A434="","",$T434*(1-'01. CONFIGURAÇÕES'!$C$16)-IF($W434="",0,$W434))</f>
        <v/>
      </c>
      <c r="Y434" s="54" t="str">
        <f t="shared" si="55"/>
        <v/>
      </c>
      <c r="Z434" s="30"/>
      <c r="AA434" s="33"/>
      <c r="AB434" s="33"/>
    </row>
    <row r="435" spans="1:28" x14ac:dyDescent="0.25">
      <c r="A435" s="31"/>
      <c r="B435" s="29" t="str">
        <f t="shared" si="48"/>
        <v/>
      </c>
      <c r="C435" s="29" t="str">
        <f>IF($A435="","","S"&amp;(INT(($A435-'01. CONFIGURAÇÕES'!$C$12)/7)+1))</f>
        <v/>
      </c>
      <c r="D435" s="30"/>
      <c r="E435" s="30"/>
      <c r="F435" s="10"/>
      <c r="G435" s="49"/>
      <c r="H435" s="49"/>
      <c r="I435" s="52" t="str">
        <f t="shared" si="49"/>
        <v/>
      </c>
      <c r="J435" s="49"/>
      <c r="K435" s="49"/>
      <c r="L435" s="49"/>
      <c r="M435" s="49"/>
      <c r="N435" s="49"/>
      <c r="O435" s="49"/>
      <c r="P435" s="10"/>
      <c r="Q435" s="11" t="str">
        <f t="shared" si="50"/>
        <v/>
      </c>
      <c r="R435" s="11" t="str">
        <f t="shared" si="51"/>
        <v/>
      </c>
      <c r="S435" s="58" t="str">
        <f t="shared" si="52"/>
        <v/>
      </c>
      <c r="T435" s="55" t="str">
        <f t="shared" si="53"/>
        <v/>
      </c>
      <c r="U435" s="55" t="str">
        <f>IF($D435="","",IF($D435='01. CONFIGURAÇÕES'!$C$8,'01. CONFIGURAÇÕES'!$C$38,'01. CONFIGURAÇÕES'!$D$38))</f>
        <v/>
      </c>
      <c r="V435" s="58" t="str">
        <f t="shared" si="54"/>
        <v/>
      </c>
      <c r="W435" s="55" t="str">
        <f>IF($D435="","",IF($D435='01. CONFIGURAÇÕES'!$C$8,'01. CONFIGURAÇÕES'!$C$31,'01. CONFIGURAÇÕES'!$D$31))</f>
        <v/>
      </c>
      <c r="X435" s="54" t="str">
        <f>IF($A435="","",$T435*(1-'01. CONFIGURAÇÕES'!$C$16)-IF($W435="",0,$W435))</f>
        <v/>
      </c>
      <c r="Y435" s="54" t="str">
        <f t="shared" si="55"/>
        <v/>
      </c>
      <c r="Z435" s="30"/>
      <c r="AA435" s="33"/>
      <c r="AB435" s="33"/>
    </row>
    <row r="436" spans="1:28" x14ac:dyDescent="0.25">
      <c r="A436" s="31"/>
      <c r="B436" s="29" t="str">
        <f t="shared" si="48"/>
        <v/>
      </c>
      <c r="C436" s="29" t="str">
        <f>IF($A436="","","S"&amp;(INT(($A436-'01. CONFIGURAÇÕES'!$C$12)/7)+1))</f>
        <v/>
      </c>
      <c r="D436" s="30"/>
      <c r="E436" s="30"/>
      <c r="F436" s="10"/>
      <c r="G436" s="49"/>
      <c r="H436" s="49"/>
      <c r="I436" s="52" t="str">
        <f t="shared" si="49"/>
        <v/>
      </c>
      <c r="J436" s="49"/>
      <c r="K436" s="49"/>
      <c r="L436" s="49"/>
      <c r="M436" s="49"/>
      <c r="N436" s="49"/>
      <c r="O436" s="49"/>
      <c r="P436" s="10"/>
      <c r="Q436" s="11" t="str">
        <f t="shared" si="50"/>
        <v/>
      </c>
      <c r="R436" s="11" t="str">
        <f t="shared" si="51"/>
        <v/>
      </c>
      <c r="S436" s="58" t="str">
        <f t="shared" si="52"/>
        <v/>
      </c>
      <c r="T436" s="55" t="str">
        <f t="shared" si="53"/>
        <v/>
      </c>
      <c r="U436" s="55" t="str">
        <f>IF($D436="","",IF($D436='01. CONFIGURAÇÕES'!$C$8,'01. CONFIGURAÇÕES'!$C$38,'01. CONFIGURAÇÕES'!$D$38))</f>
        <v/>
      </c>
      <c r="V436" s="58" t="str">
        <f t="shared" si="54"/>
        <v/>
      </c>
      <c r="W436" s="55" t="str">
        <f>IF($D436="","",IF($D436='01. CONFIGURAÇÕES'!$C$8,'01. CONFIGURAÇÕES'!$C$31,'01. CONFIGURAÇÕES'!$D$31))</f>
        <v/>
      </c>
      <c r="X436" s="54" t="str">
        <f>IF($A436="","",$T436*(1-'01. CONFIGURAÇÕES'!$C$16)-IF($W436="",0,$W436))</f>
        <v/>
      </c>
      <c r="Y436" s="54" t="str">
        <f t="shared" si="55"/>
        <v/>
      </c>
      <c r="Z436" s="30"/>
      <c r="AA436" s="33"/>
      <c r="AB436" s="33"/>
    </row>
    <row r="437" spans="1:28" x14ac:dyDescent="0.25">
      <c r="A437" s="31"/>
      <c r="B437" s="29" t="str">
        <f t="shared" si="48"/>
        <v/>
      </c>
      <c r="C437" s="29" t="str">
        <f>IF($A437="","","S"&amp;(INT(($A437-'01. CONFIGURAÇÕES'!$C$12)/7)+1))</f>
        <v/>
      </c>
      <c r="D437" s="30"/>
      <c r="E437" s="30"/>
      <c r="F437" s="10"/>
      <c r="G437" s="49"/>
      <c r="H437" s="49"/>
      <c r="I437" s="52" t="str">
        <f t="shared" si="49"/>
        <v/>
      </c>
      <c r="J437" s="49"/>
      <c r="K437" s="49"/>
      <c r="L437" s="49"/>
      <c r="M437" s="49"/>
      <c r="N437" s="49"/>
      <c r="O437" s="49"/>
      <c r="P437" s="10"/>
      <c r="Q437" s="11" t="str">
        <f t="shared" si="50"/>
        <v/>
      </c>
      <c r="R437" s="11" t="str">
        <f t="shared" si="51"/>
        <v/>
      </c>
      <c r="S437" s="58" t="str">
        <f t="shared" si="52"/>
        <v/>
      </c>
      <c r="T437" s="55" t="str">
        <f t="shared" si="53"/>
        <v/>
      </c>
      <c r="U437" s="55" t="str">
        <f>IF($D437="","",IF($D437='01. CONFIGURAÇÕES'!$C$8,'01. CONFIGURAÇÕES'!$C$38,'01. CONFIGURAÇÕES'!$D$38))</f>
        <v/>
      </c>
      <c r="V437" s="58" t="str">
        <f t="shared" si="54"/>
        <v/>
      </c>
      <c r="W437" s="55" t="str">
        <f>IF($D437="","",IF($D437='01. CONFIGURAÇÕES'!$C$8,'01. CONFIGURAÇÕES'!$C$31,'01. CONFIGURAÇÕES'!$D$31))</f>
        <v/>
      </c>
      <c r="X437" s="54" t="str">
        <f>IF($A437="","",$T437*(1-'01. CONFIGURAÇÕES'!$C$16)-IF($W437="",0,$W437))</f>
        <v/>
      </c>
      <c r="Y437" s="54" t="str">
        <f t="shared" si="55"/>
        <v/>
      </c>
      <c r="Z437" s="30"/>
      <c r="AA437" s="33"/>
      <c r="AB437" s="33"/>
    </row>
    <row r="438" spans="1:28" x14ac:dyDescent="0.25">
      <c r="A438" s="31"/>
      <c r="B438" s="29" t="str">
        <f t="shared" si="48"/>
        <v/>
      </c>
      <c r="C438" s="29" t="str">
        <f>IF($A438="","","S"&amp;(INT(($A438-'01. CONFIGURAÇÕES'!$C$12)/7)+1))</f>
        <v/>
      </c>
      <c r="D438" s="30"/>
      <c r="E438" s="30"/>
      <c r="F438" s="10"/>
      <c r="G438" s="49"/>
      <c r="H438" s="49"/>
      <c r="I438" s="52" t="str">
        <f t="shared" si="49"/>
        <v/>
      </c>
      <c r="J438" s="49"/>
      <c r="K438" s="49"/>
      <c r="L438" s="49"/>
      <c r="M438" s="49"/>
      <c r="N438" s="49"/>
      <c r="O438" s="49"/>
      <c r="P438" s="10"/>
      <c r="Q438" s="11" t="str">
        <f t="shared" si="50"/>
        <v/>
      </c>
      <c r="R438" s="11" t="str">
        <f t="shared" si="51"/>
        <v/>
      </c>
      <c r="S438" s="58" t="str">
        <f t="shared" si="52"/>
        <v/>
      </c>
      <c r="T438" s="55" t="str">
        <f t="shared" si="53"/>
        <v/>
      </c>
      <c r="U438" s="55" t="str">
        <f>IF($D438="","",IF($D438='01. CONFIGURAÇÕES'!$C$8,'01. CONFIGURAÇÕES'!$C$38,'01. CONFIGURAÇÕES'!$D$38))</f>
        <v/>
      </c>
      <c r="V438" s="58" t="str">
        <f t="shared" si="54"/>
        <v/>
      </c>
      <c r="W438" s="55" t="str">
        <f>IF($D438="","",IF($D438='01. CONFIGURAÇÕES'!$C$8,'01. CONFIGURAÇÕES'!$C$31,'01. CONFIGURAÇÕES'!$D$31))</f>
        <v/>
      </c>
      <c r="X438" s="54" t="str">
        <f>IF($A438="","",$T438*(1-'01. CONFIGURAÇÕES'!$C$16)-IF($W438="",0,$W438))</f>
        <v/>
      </c>
      <c r="Y438" s="54" t="str">
        <f t="shared" si="55"/>
        <v/>
      </c>
      <c r="Z438" s="30"/>
      <c r="AA438" s="33"/>
      <c r="AB438" s="33"/>
    </row>
    <row r="439" spans="1:28" x14ac:dyDescent="0.25">
      <c r="A439" s="31"/>
      <c r="B439" s="29" t="str">
        <f t="shared" si="48"/>
        <v/>
      </c>
      <c r="C439" s="29" t="str">
        <f>IF($A439="","","S"&amp;(INT(($A439-'01. CONFIGURAÇÕES'!$C$12)/7)+1))</f>
        <v/>
      </c>
      <c r="D439" s="30"/>
      <c r="E439" s="30"/>
      <c r="F439" s="10"/>
      <c r="G439" s="49"/>
      <c r="H439" s="49"/>
      <c r="I439" s="52" t="str">
        <f t="shared" si="49"/>
        <v/>
      </c>
      <c r="J439" s="49"/>
      <c r="K439" s="49"/>
      <c r="L439" s="49"/>
      <c r="M439" s="49"/>
      <c r="N439" s="49"/>
      <c r="O439" s="49"/>
      <c r="P439" s="10"/>
      <c r="Q439" s="11" t="str">
        <f t="shared" si="50"/>
        <v/>
      </c>
      <c r="R439" s="11" t="str">
        <f t="shared" si="51"/>
        <v/>
      </c>
      <c r="S439" s="58" t="str">
        <f t="shared" si="52"/>
        <v/>
      </c>
      <c r="T439" s="55" t="str">
        <f t="shared" si="53"/>
        <v/>
      </c>
      <c r="U439" s="55" t="str">
        <f>IF($D439="","",IF($D439='01. CONFIGURAÇÕES'!$C$8,'01. CONFIGURAÇÕES'!$C$38,'01. CONFIGURAÇÕES'!$D$38))</f>
        <v/>
      </c>
      <c r="V439" s="58" t="str">
        <f t="shared" si="54"/>
        <v/>
      </c>
      <c r="W439" s="55" t="str">
        <f>IF($D439="","",IF($D439='01. CONFIGURAÇÕES'!$C$8,'01. CONFIGURAÇÕES'!$C$31,'01. CONFIGURAÇÕES'!$D$31))</f>
        <v/>
      </c>
      <c r="X439" s="54" t="str">
        <f>IF($A439="","",$T439*(1-'01. CONFIGURAÇÕES'!$C$16)-IF($W439="",0,$W439))</f>
        <v/>
      </c>
      <c r="Y439" s="54" t="str">
        <f t="shared" si="55"/>
        <v/>
      </c>
      <c r="Z439" s="30"/>
      <c r="AA439" s="33"/>
      <c r="AB439" s="33"/>
    </row>
    <row r="440" spans="1:28" x14ac:dyDescent="0.25">
      <c r="A440" s="31"/>
      <c r="B440" s="29" t="str">
        <f t="shared" si="48"/>
        <v/>
      </c>
      <c r="C440" s="29" t="str">
        <f>IF($A440="","","S"&amp;(INT(($A440-'01. CONFIGURAÇÕES'!$C$12)/7)+1))</f>
        <v/>
      </c>
      <c r="D440" s="30"/>
      <c r="E440" s="30"/>
      <c r="F440" s="10"/>
      <c r="G440" s="49"/>
      <c r="H440" s="49"/>
      <c r="I440" s="52" t="str">
        <f t="shared" si="49"/>
        <v/>
      </c>
      <c r="J440" s="49"/>
      <c r="K440" s="49"/>
      <c r="L440" s="49"/>
      <c r="M440" s="49"/>
      <c r="N440" s="49"/>
      <c r="O440" s="49"/>
      <c r="P440" s="10"/>
      <c r="Q440" s="11" t="str">
        <f t="shared" si="50"/>
        <v/>
      </c>
      <c r="R440" s="11" t="str">
        <f t="shared" si="51"/>
        <v/>
      </c>
      <c r="S440" s="58" t="str">
        <f t="shared" si="52"/>
        <v/>
      </c>
      <c r="T440" s="55" t="str">
        <f t="shared" si="53"/>
        <v/>
      </c>
      <c r="U440" s="55" t="str">
        <f>IF($D440="","",IF($D440='01. CONFIGURAÇÕES'!$C$8,'01. CONFIGURAÇÕES'!$C$38,'01. CONFIGURAÇÕES'!$D$38))</f>
        <v/>
      </c>
      <c r="V440" s="58" t="str">
        <f t="shared" si="54"/>
        <v/>
      </c>
      <c r="W440" s="55" t="str">
        <f>IF($D440="","",IF($D440='01. CONFIGURAÇÕES'!$C$8,'01. CONFIGURAÇÕES'!$C$31,'01. CONFIGURAÇÕES'!$D$31))</f>
        <v/>
      </c>
      <c r="X440" s="54" t="str">
        <f>IF($A440="","",$T440*(1-'01. CONFIGURAÇÕES'!$C$16)-IF($W440="",0,$W440))</f>
        <v/>
      </c>
      <c r="Y440" s="54" t="str">
        <f t="shared" si="55"/>
        <v/>
      </c>
      <c r="Z440" s="30"/>
      <c r="AA440" s="33"/>
      <c r="AB440" s="33"/>
    </row>
    <row r="441" spans="1:28" x14ac:dyDescent="0.25">
      <c r="A441" s="31"/>
      <c r="B441" s="29" t="str">
        <f t="shared" si="48"/>
        <v/>
      </c>
      <c r="C441" s="29" t="str">
        <f>IF($A441="","","S"&amp;(INT(($A441-'01. CONFIGURAÇÕES'!$C$12)/7)+1))</f>
        <v/>
      </c>
      <c r="D441" s="30"/>
      <c r="E441" s="30"/>
      <c r="F441" s="10"/>
      <c r="G441" s="49"/>
      <c r="H441" s="49"/>
      <c r="I441" s="52" t="str">
        <f t="shared" si="49"/>
        <v/>
      </c>
      <c r="J441" s="49"/>
      <c r="K441" s="49"/>
      <c r="L441" s="49"/>
      <c r="M441" s="49"/>
      <c r="N441" s="49"/>
      <c r="O441" s="49"/>
      <c r="P441" s="10"/>
      <c r="Q441" s="11" t="str">
        <f t="shared" si="50"/>
        <v/>
      </c>
      <c r="R441" s="11" t="str">
        <f t="shared" si="51"/>
        <v/>
      </c>
      <c r="S441" s="58" t="str">
        <f t="shared" si="52"/>
        <v/>
      </c>
      <c r="T441" s="55" t="str">
        <f t="shared" si="53"/>
        <v/>
      </c>
      <c r="U441" s="55" t="str">
        <f>IF($D441="","",IF($D441='01. CONFIGURAÇÕES'!$C$8,'01. CONFIGURAÇÕES'!$C$38,'01. CONFIGURAÇÕES'!$D$38))</f>
        <v/>
      </c>
      <c r="V441" s="58" t="str">
        <f t="shared" si="54"/>
        <v/>
      </c>
      <c r="W441" s="55" t="str">
        <f>IF($D441="","",IF($D441='01. CONFIGURAÇÕES'!$C$8,'01. CONFIGURAÇÕES'!$C$31,'01. CONFIGURAÇÕES'!$D$31))</f>
        <v/>
      </c>
      <c r="X441" s="54" t="str">
        <f>IF($A441="","",$T441*(1-'01. CONFIGURAÇÕES'!$C$16)-IF($W441="",0,$W441))</f>
        <v/>
      </c>
      <c r="Y441" s="54" t="str">
        <f t="shared" si="55"/>
        <v/>
      </c>
      <c r="Z441" s="30"/>
      <c r="AA441" s="33"/>
      <c r="AB441" s="33"/>
    </row>
    <row r="442" spans="1:28" x14ac:dyDescent="0.25">
      <c r="A442" s="31"/>
      <c r="B442" s="29" t="str">
        <f t="shared" si="48"/>
        <v/>
      </c>
      <c r="C442" s="29" t="str">
        <f>IF($A442="","","S"&amp;(INT(($A442-'01. CONFIGURAÇÕES'!$C$12)/7)+1))</f>
        <v/>
      </c>
      <c r="D442" s="30"/>
      <c r="E442" s="30"/>
      <c r="F442" s="10"/>
      <c r="G442" s="49"/>
      <c r="H442" s="49"/>
      <c r="I442" s="52" t="str">
        <f t="shared" si="49"/>
        <v/>
      </c>
      <c r="J442" s="49"/>
      <c r="K442" s="49"/>
      <c r="L442" s="49"/>
      <c r="M442" s="49"/>
      <c r="N442" s="49"/>
      <c r="O442" s="49"/>
      <c r="P442" s="10"/>
      <c r="Q442" s="11" t="str">
        <f t="shared" si="50"/>
        <v/>
      </c>
      <c r="R442" s="11" t="str">
        <f t="shared" si="51"/>
        <v/>
      </c>
      <c r="S442" s="58" t="str">
        <f t="shared" si="52"/>
        <v/>
      </c>
      <c r="T442" s="55" t="str">
        <f t="shared" si="53"/>
        <v/>
      </c>
      <c r="U442" s="55" t="str">
        <f>IF($D442="","",IF($D442='01. CONFIGURAÇÕES'!$C$8,'01. CONFIGURAÇÕES'!$C$38,'01. CONFIGURAÇÕES'!$D$38))</f>
        <v/>
      </c>
      <c r="V442" s="58" t="str">
        <f t="shared" si="54"/>
        <v/>
      </c>
      <c r="W442" s="55" t="str">
        <f>IF($D442="","",IF($D442='01. CONFIGURAÇÕES'!$C$8,'01. CONFIGURAÇÕES'!$C$31,'01. CONFIGURAÇÕES'!$D$31))</f>
        <v/>
      </c>
      <c r="X442" s="54" t="str">
        <f>IF($A442="","",$T442*(1-'01. CONFIGURAÇÕES'!$C$16)-IF($W442="",0,$W442))</f>
        <v/>
      </c>
      <c r="Y442" s="54" t="str">
        <f t="shared" si="55"/>
        <v/>
      </c>
      <c r="Z442" s="30"/>
      <c r="AA442" s="33"/>
      <c r="AB442" s="33"/>
    </row>
    <row r="443" spans="1:28" x14ac:dyDescent="0.25">
      <c r="A443" s="31"/>
      <c r="B443" s="29" t="str">
        <f t="shared" si="48"/>
        <v/>
      </c>
      <c r="C443" s="29" t="str">
        <f>IF($A443="","","S"&amp;(INT(($A443-'01. CONFIGURAÇÕES'!$C$12)/7)+1))</f>
        <v/>
      </c>
      <c r="D443" s="30"/>
      <c r="E443" s="30"/>
      <c r="F443" s="10"/>
      <c r="G443" s="49"/>
      <c r="H443" s="49"/>
      <c r="I443" s="52" t="str">
        <f t="shared" si="49"/>
        <v/>
      </c>
      <c r="J443" s="49"/>
      <c r="K443" s="49"/>
      <c r="L443" s="49"/>
      <c r="M443" s="49"/>
      <c r="N443" s="49"/>
      <c r="O443" s="49"/>
      <c r="P443" s="10"/>
      <c r="Q443" s="11" t="str">
        <f t="shared" si="50"/>
        <v/>
      </c>
      <c r="R443" s="11" t="str">
        <f t="shared" si="51"/>
        <v/>
      </c>
      <c r="S443" s="58" t="str">
        <f t="shared" si="52"/>
        <v/>
      </c>
      <c r="T443" s="55" t="str">
        <f t="shared" si="53"/>
        <v/>
      </c>
      <c r="U443" s="55" t="str">
        <f>IF($D443="","",IF($D443='01. CONFIGURAÇÕES'!$C$8,'01. CONFIGURAÇÕES'!$C$38,'01. CONFIGURAÇÕES'!$D$38))</f>
        <v/>
      </c>
      <c r="V443" s="58" t="str">
        <f t="shared" si="54"/>
        <v/>
      </c>
      <c r="W443" s="55" t="str">
        <f>IF($D443="","",IF($D443='01. CONFIGURAÇÕES'!$C$8,'01. CONFIGURAÇÕES'!$C$31,'01. CONFIGURAÇÕES'!$D$31))</f>
        <v/>
      </c>
      <c r="X443" s="54" t="str">
        <f>IF($A443="","",$T443*(1-'01. CONFIGURAÇÕES'!$C$16)-IF($W443="",0,$W443))</f>
        <v/>
      </c>
      <c r="Y443" s="54" t="str">
        <f t="shared" si="55"/>
        <v/>
      </c>
      <c r="Z443" s="30"/>
      <c r="AA443" s="33"/>
      <c r="AB443" s="33"/>
    </row>
    <row r="444" spans="1:28" x14ac:dyDescent="0.25">
      <c r="A444" s="31"/>
      <c r="B444" s="29" t="str">
        <f t="shared" si="48"/>
        <v/>
      </c>
      <c r="C444" s="29" t="str">
        <f>IF($A444="","","S"&amp;(INT(($A444-'01. CONFIGURAÇÕES'!$C$12)/7)+1))</f>
        <v/>
      </c>
      <c r="D444" s="30"/>
      <c r="E444" s="30"/>
      <c r="F444" s="10"/>
      <c r="G444" s="49"/>
      <c r="H444" s="49"/>
      <c r="I444" s="52" t="str">
        <f t="shared" si="49"/>
        <v/>
      </c>
      <c r="J444" s="49"/>
      <c r="K444" s="49"/>
      <c r="L444" s="49"/>
      <c r="M444" s="49"/>
      <c r="N444" s="49"/>
      <c r="O444" s="49"/>
      <c r="P444" s="10"/>
      <c r="Q444" s="11" t="str">
        <f t="shared" si="50"/>
        <v/>
      </c>
      <c r="R444" s="11" t="str">
        <f t="shared" si="51"/>
        <v/>
      </c>
      <c r="S444" s="58" t="str">
        <f t="shared" si="52"/>
        <v/>
      </c>
      <c r="T444" s="55" t="str">
        <f t="shared" si="53"/>
        <v/>
      </c>
      <c r="U444" s="55" t="str">
        <f>IF($D444="","",IF($D444='01. CONFIGURAÇÕES'!$C$8,'01. CONFIGURAÇÕES'!$C$38,'01. CONFIGURAÇÕES'!$D$38))</f>
        <v/>
      </c>
      <c r="V444" s="58" t="str">
        <f t="shared" si="54"/>
        <v/>
      </c>
      <c r="W444" s="55" t="str">
        <f>IF($D444="","",IF($D444='01. CONFIGURAÇÕES'!$C$8,'01. CONFIGURAÇÕES'!$C$31,'01. CONFIGURAÇÕES'!$D$31))</f>
        <v/>
      </c>
      <c r="X444" s="54" t="str">
        <f>IF($A444="","",$T444*(1-'01. CONFIGURAÇÕES'!$C$16)-IF($W444="",0,$W444))</f>
        <v/>
      </c>
      <c r="Y444" s="54" t="str">
        <f t="shared" si="55"/>
        <v/>
      </c>
      <c r="Z444" s="30"/>
      <c r="AA444" s="33"/>
      <c r="AB444" s="33"/>
    </row>
    <row r="445" spans="1:28" x14ac:dyDescent="0.25">
      <c r="A445" s="31"/>
      <c r="B445" s="29" t="str">
        <f t="shared" si="48"/>
        <v/>
      </c>
      <c r="C445" s="29" t="str">
        <f>IF($A445="","","S"&amp;(INT(($A445-'01. CONFIGURAÇÕES'!$C$12)/7)+1))</f>
        <v/>
      </c>
      <c r="D445" s="30"/>
      <c r="E445" s="30"/>
      <c r="F445" s="10"/>
      <c r="G445" s="49"/>
      <c r="H445" s="49"/>
      <c r="I445" s="52" t="str">
        <f t="shared" si="49"/>
        <v/>
      </c>
      <c r="J445" s="49"/>
      <c r="K445" s="49"/>
      <c r="L445" s="49"/>
      <c r="M445" s="49"/>
      <c r="N445" s="49"/>
      <c r="O445" s="49"/>
      <c r="P445" s="10"/>
      <c r="Q445" s="11" t="str">
        <f t="shared" si="50"/>
        <v/>
      </c>
      <c r="R445" s="11" t="str">
        <f t="shared" si="51"/>
        <v/>
      </c>
      <c r="S445" s="58" t="str">
        <f t="shared" si="52"/>
        <v/>
      </c>
      <c r="T445" s="55" t="str">
        <f t="shared" si="53"/>
        <v/>
      </c>
      <c r="U445" s="55" t="str">
        <f>IF($D445="","",IF($D445='01. CONFIGURAÇÕES'!$C$8,'01. CONFIGURAÇÕES'!$C$38,'01. CONFIGURAÇÕES'!$D$38))</f>
        <v/>
      </c>
      <c r="V445" s="58" t="str">
        <f t="shared" si="54"/>
        <v/>
      </c>
      <c r="W445" s="55" t="str">
        <f>IF($D445="","",IF($D445='01. CONFIGURAÇÕES'!$C$8,'01. CONFIGURAÇÕES'!$C$31,'01. CONFIGURAÇÕES'!$D$31))</f>
        <v/>
      </c>
      <c r="X445" s="54" t="str">
        <f>IF($A445="","",$T445*(1-'01. CONFIGURAÇÕES'!$C$16)-IF($W445="",0,$W445))</f>
        <v/>
      </c>
      <c r="Y445" s="54" t="str">
        <f t="shared" si="55"/>
        <v/>
      </c>
      <c r="Z445" s="30"/>
      <c r="AA445" s="33"/>
      <c r="AB445" s="33"/>
    </row>
    <row r="446" spans="1:28" x14ac:dyDescent="0.25">
      <c r="A446" s="31"/>
      <c r="B446" s="29" t="str">
        <f t="shared" si="48"/>
        <v/>
      </c>
      <c r="C446" s="29" t="str">
        <f>IF($A446="","","S"&amp;(INT(($A446-'01. CONFIGURAÇÕES'!$C$12)/7)+1))</f>
        <v/>
      </c>
      <c r="D446" s="30"/>
      <c r="E446" s="30"/>
      <c r="F446" s="10"/>
      <c r="G446" s="49"/>
      <c r="H446" s="49"/>
      <c r="I446" s="52" t="str">
        <f t="shared" si="49"/>
        <v/>
      </c>
      <c r="J446" s="49"/>
      <c r="K446" s="49"/>
      <c r="L446" s="49"/>
      <c r="M446" s="49"/>
      <c r="N446" s="49"/>
      <c r="O446" s="49"/>
      <c r="P446" s="10"/>
      <c r="Q446" s="11" t="str">
        <f t="shared" si="50"/>
        <v/>
      </c>
      <c r="R446" s="11" t="str">
        <f t="shared" si="51"/>
        <v/>
      </c>
      <c r="S446" s="58" t="str">
        <f t="shared" si="52"/>
        <v/>
      </c>
      <c r="T446" s="55" t="str">
        <f t="shared" si="53"/>
        <v/>
      </c>
      <c r="U446" s="55" t="str">
        <f>IF($D446="","",IF($D446='01. CONFIGURAÇÕES'!$C$8,'01. CONFIGURAÇÕES'!$C$38,'01. CONFIGURAÇÕES'!$D$38))</f>
        <v/>
      </c>
      <c r="V446" s="58" t="str">
        <f t="shared" si="54"/>
        <v/>
      </c>
      <c r="W446" s="55" t="str">
        <f>IF($D446="","",IF($D446='01. CONFIGURAÇÕES'!$C$8,'01. CONFIGURAÇÕES'!$C$31,'01. CONFIGURAÇÕES'!$D$31))</f>
        <v/>
      </c>
      <c r="X446" s="54" t="str">
        <f>IF($A446="","",$T446*(1-'01. CONFIGURAÇÕES'!$C$16)-IF($W446="",0,$W446))</f>
        <v/>
      </c>
      <c r="Y446" s="54" t="str">
        <f t="shared" si="55"/>
        <v/>
      </c>
      <c r="Z446" s="30"/>
      <c r="AA446" s="33"/>
      <c r="AB446" s="33"/>
    </row>
    <row r="447" spans="1:28" x14ac:dyDescent="0.25">
      <c r="A447" s="31"/>
      <c r="B447" s="29" t="str">
        <f t="shared" si="48"/>
        <v/>
      </c>
      <c r="C447" s="29" t="str">
        <f>IF($A447="","","S"&amp;(INT(($A447-'01. CONFIGURAÇÕES'!$C$12)/7)+1))</f>
        <v/>
      </c>
      <c r="D447" s="30"/>
      <c r="E447" s="30"/>
      <c r="F447" s="10"/>
      <c r="G447" s="49"/>
      <c r="H447" s="49"/>
      <c r="I447" s="52" t="str">
        <f t="shared" si="49"/>
        <v/>
      </c>
      <c r="J447" s="49"/>
      <c r="K447" s="49"/>
      <c r="L447" s="49"/>
      <c r="M447" s="49"/>
      <c r="N447" s="49"/>
      <c r="O447" s="49"/>
      <c r="P447" s="10"/>
      <c r="Q447" s="11" t="str">
        <f t="shared" si="50"/>
        <v/>
      </c>
      <c r="R447" s="11" t="str">
        <f t="shared" si="51"/>
        <v/>
      </c>
      <c r="S447" s="58" t="str">
        <f t="shared" si="52"/>
        <v/>
      </c>
      <c r="T447" s="55" t="str">
        <f t="shared" si="53"/>
        <v/>
      </c>
      <c r="U447" s="55" t="str">
        <f>IF($D447="","",IF($D447='01. CONFIGURAÇÕES'!$C$8,'01. CONFIGURAÇÕES'!$C$38,'01. CONFIGURAÇÕES'!$D$38))</f>
        <v/>
      </c>
      <c r="V447" s="58" t="str">
        <f t="shared" si="54"/>
        <v/>
      </c>
      <c r="W447" s="55" t="str">
        <f>IF($D447="","",IF($D447='01. CONFIGURAÇÕES'!$C$8,'01. CONFIGURAÇÕES'!$C$31,'01. CONFIGURAÇÕES'!$D$31))</f>
        <v/>
      </c>
      <c r="X447" s="54" t="str">
        <f>IF($A447="","",$T447*(1-'01. CONFIGURAÇÕES'!$C$16)-IF($W447="",0,$W447))</f>
        <v/>
      </c>
      <c r="Y447" s="54" t="str">
        <f t="shared" si="55"/>
        <v/>
      </c>
      <c r="Z447" s="30"/>
      <c r="AA447" s="33"/>
      <c r="AB447" s="33"/>
    </row>
    <row r="448" spans="1:28" x14ac:dyDescent="0.25">
      <c r="A448" s="31"/>
      <c r="B448" s="29" t="str">
        <f t="shared" si="48"/>
        <v/>
      </c>
      <c r="C448" s="29" t="str">
        <f>IF($A448="","","S"&amp;(INT(($A448-'01. CONFIGURAÇÕES'!$C$12)/7)+1))</f>
        <v/>
      </c>
      <c r="D448" s="30"/>
      <c r="E448" s="30"/>
      <c r="F448" s="10"/>
      <c r="G448" s="49"/>
      <c r="H448" s="49"/>
      <c r="I448" s="52" t="str">
        <f t="shared" si="49"/>
        <v/>
      </c>
      <c r="J448" s="49"/>
      <c r="K448" s="49"/>
      <c r="L448" s="49"/>
      <c r="M448" s="49"/>
      <c r="N448" s="49"/>
      <c r="O448" s="49"/>
      <c r="P448" s="10"/>
      <c r="Q448" s="11" t="str">
        <f t="shared" si="50"/>
        <v/>
      </c>
      <c r="R448" s="11" t="str">
        <f t="shared" si="51"/>
        <v/>
      </c>
      <c r="S448" s="58" t="str">
        <f t="shared" si="52"/>
        <v/>
      </c>
      <c r="T448" s="55" t="str">
        <f t="shared" si="53"/>
        <v/>
      </c>
      <c r="U448" s="55" t="str">
        <f>IF($D448="","",IF($D448='01. CONFIGURAÇÕES'!$C$8,'01. CONFIGURAÇÕES'!$C$38,'01. CONFIGURAÇÕES'!$D$38))</f>
        <v/>
      </c>
      <c r="V448" s="58" t="str">
        <f t="shared" si="54"/>
        <v/>
      </c>
      <c r="W448" s="55" t="str">
        <f>IF($D448="","",IF($D448='01. CONFIGURAÇÕES'!$C$8,'01. CONFIGURAÇÕES'!$C$31,'01. CONFIGURAÇÕES'!$D$31))</f>
        <v/>
      </c>
      <c r="X448" s="54" t="str">
        <f>IF($A448="","",$T448*(1-'01. CONFIGURAÇÕES'!$C$16)-IF($W448="",0,$W448))</f>
        <v/>
      </c>
      <c r="Y448" s="54" t="str">
        <f t="shared" si="55"/>
        <v/>
      </c>
      <c r="Z448" s="30"/>
      <c r="AA448" s="33"/>
      <c r="AB448" s="33"/>
    </row>
    <row r="449" spans="1:28" x14ac:dyDescent="0.25">
      <c r="A449" s="31"/>
      <c r="B449" s="29" t="str">
        <f t="shared" si="48"/>
        <v/>
      </c>
      <c r="C449" s="29" t="str">
        <f>IF($A449="","","S"&amp;(INT(($A449-'01. CONFIGURAÇÕES'!$C$12)/7)+1))</f>
        <v/>
      </c>
      <c r="D449" s="30"/>
      <c r="E449" s="30"/>
      <c r="F449" s="10"/>
      <c r="G449" s="49"/>
      <c r="H449" s="49"/>
      <c r="I449" s="52" t="str">
        <f t="shared" si="49"/>
        <v/>
      </c>
      <c r="J449" s="49"/>
      <c r="K449" s="49"/>
      <c r="L449" s="49"/>
      <c r="M449" s="49"/>
      <c r="N449" s="49"/>
      <c r="O449" s="49"/>
      <c r="P449" s="10"/>
      <c r="Q449" s="11" t="str">
        <f t="shared" si="50"/>
        <v/>
      </c>
      <c r="R449" s="11" t="str">
        <f t="shared" si="51"/>
        <v/>
      </c>
      <c r="S449" s="58" t="str">
        <f t="shared" si="52"/>
        <v/>
      </c>
      <c r="T449" s="55" t="str">
        <f t="shared" si="53"/>
        <v/>
      </c>
      <c r="U449" s="55" t="str">
        <f>IF($D449="","",IF($D449='01. CONFIGURAÇÕES'!$C$8,'01. CONFIGURAÇÕES'!$C$38,'01. CONFIGURAÇÕES'!$D$38))</f>
        <v/>
      </c>
      <c r="V449" s="58" t="str">
        <f t="shared" si="54"/>
        <v/>
      </c>
      <c r="W449" s="55" t="str">
        <f>IF($D449="","",IF($D449='01. CONFIGURAÇÕES'!$C$8,'01. CONFIGURAÇÕES'!$C$31,'01. CONFIGURAÇÕES'!$D$31))</f>
        <v/>
      </c>
      <c r="X449" s="54" t="str">
        <f>IF($A449="","",$T449*(1-'01. CONFIGURAÇÕES'!$C$16)-IF($W449="",0,$W449))</f>
        <v/>
      </c>
      <c r="Y449" s="54" t="str">
        <f t="shared" si="55"/>
        <v/>
      </c>
      <c r="Z449" s="30"/>
      <c r="AA449" s="33"/>
      <c r="AB449" s="33"/>
    </row>
    <row r="450" spans="1:28" x14ac:dyDescent="0.25">
      <c r="A450" s="31"/>
      <c r="B450" s="29" t="str">
        <f t="shared" si="48"/>
        <v/>
      </c>
      <c r="C450" s="29" t="str">
        <f>IF($A450="","","S"&amp;(INT(($A450-'01. CONFIGURAÇÕES'!$C$12)/7)+1))</f>
        <v/>
      </c>
      <c r="D450" s="30"/>
      <c r="E450" s="30"/>
      <c r="F450" s="10"/>
      <c r="G450" s="49"/>
      <c r="H450" s="49"/>
      <c r="I450" s="52" t="str">
        <f t="shared" si="49"/>
        <v/>
      </c>
      <c r="J450" s="49"/>
      <c r="K450" s="49"/>
      <c r="L450" s="49"/>
      <c r="M450" s="49"/>
      <c r="N450" s="49"/>
      <c r="O450" s="49"/>
      <c r="P450" s="10"/>
      <c r="Q450" s="11" t="str">
        <f t="shared" si="50"/>
        <v/>
      </c>
      <c r="R450" s="11" t="str">
        <f t="shared" si="51"/>
        <v/>
      </c>
      <c r="S450" s="58" t="str">
        <f t="shared" si="52"/>
        <v/>
      </c>
      <c r="T450" s="55" t="str">
        <f t="shared" si="53"/>
        <v/>
      </c>
      <c r="U450" s="55" t="str">
        <f>IF($D450="","",IF($D450='01. CONFIGURAÇÕES'!$C$8,'01. CONFIGURAÇÕES'!$C$38,'01. CONFIGURAÇÕES'!$D$38))</f>
        <v/>
      </c>
      <c r="V450" s="58" t="str">
        <f t="shared" si="54"/>
        <v/>
      </c>
      <c r="W450" s="55" t="str">
        <f>IF($D450="","",IF($D450='01. CONFIGURAÇÕES'!$C$8,'01. CONFIGURAÇÕES'!$C$31,'01. CONFIGURAÇÕES'!$D$31))</f>
        <v/>
      </c>
      <c r="X450" s="54" t="str">
        <f>IF($A450="","",$T450*(1-'01. CONFIGURAÇÕES'!$C$16)-IF($W450="",0,$W450))</f>
        <v/>
      </c>
      <c r="Y450" s="54" t="str">
        <f t="shared" si="55"/>
        <v/>
      </c>
      <c r="Z450" s="30"/>
      <c r="AA450" s="33"/>
      <c r="AB450" s="33"/>
    </row>
    <row r="451" spans="1:28" x14ac:dyDescent="0.25">
      <c r="A451" s="31"/>
      <c r="B451" s="29" t="str">
        <f t="shared" si="48"/>
        <v/>
      </c>
      <c r="C451" s="29" t="str">
        <f>IF($A451="","","S"&amp;(INT(($A451-'01. CONFIGURAÇÕES'!$C$12)/7)+1))</f>
        <v/>
      </c>
      <c r="D451" s="30"/>
      <c r="E451" s="30"/>
      <c r="F451" s="10"/>
      <c r="G451" s="49"/>
      <c r="H451" s="49"/>
      <c r="I451" s="52" t="str">
        <f t="shared" si="49"/>
        <v/>
      </c>
      <c r="J451" s="49"/>
      <c r="K451" s="49"/>
      <c r="L451" s="49"/>
      <c r="M451" s="49"/>
      <c r="N451" s="49"/>
      <c r="O451" s="49"/>
      <c r="P451" s="10"/>
      <c r="Q451" s="11" t="str">
        <f t="shared" si="50"/>
        <v/>
      </c>
      <c r="R451" s="11" t="str">
        <f t="shared" si="51"/>
        <v/>
      </c>
      <c r="S451" s="58" t="str">
        <f t="shared" si="52"/>
        <v/>
      </c>
      <c r="T451" s="55" t="str">
        <f t="shared" si="53"/>
        <v/>
      </c>
      <c r="U451" s="55" t="str">
        <f>IF($D451="","",IF($D451='01. CONFIGURAÇÕES'!$C$8,'01. CONFIGURAÇÕES'!$C$38,'01. CONFIGURAÇÕES'!$D$38))</f>
        <v/>
      </c>
      <c r="V451" s="58" t="str">
        <f t="shared" si="54"/>
        <v/>
      </c>
      <c r="W451" s="55" t="str">
        <f>IF($D451="","",IF($D451='01. CONFIGURAÇÕES'!$C$8,'01. CONFIGURAÇÕES'!$C$31,'01. CONFIGURAÇÕES'!$D$31))</f>
        <v/>
      </c>
      <c r="X451" s="54" t="str">
        <f>IF($A451="","",$T451*(1-'01. CONFIGURAÇÕES'!$C$16)-IF($W451="",0,$W451))</f>
        <v/>
      </c>
      <c r="Y451" s="54" t="str">
        <f t="shared" si="55"/>
        <v/>
      </c>
      <c r="Z451" s="30"/>
      <c r="AA451" s="33"/>
      <c r="AB451" s="33"/>
    </row>
    <row r="452" spans="1:28" x14ac:dyDescent="0.25">
      <c r="A452" s="31"/>
      <c r="B452" s="29" t="str">
        <f t="shared" si="48"/>
        <v/>
      </c>
      <c r="C452" s="29" t="str">
        <f>IF($A452="","","S"&amp;(INT(($A452-'01. CONFIGURAÇÕES'!$C$12)/7)+1))</f>
        <v/>
      </c>
      <c r="D452" s="30"/>
      <c r="E452" s="30"/>
      <c r="F452" s="10"/>
      <c r="G452" s="49"/>
      <c r="H452" s="49"/>
      <c r="I452" s="52" t="str">
        <f t="shared" si="49"/>
        <v/>
      </c>
      <c r="J452" s="49"/>
      <c r="K452" s="49"/>
      <c r="L452" s="49"/>
      <c r="M452" s="49"/>
      <c r="N452" s="49"/>
      <c r="O452" s="49"/>
      <c r="P452" s="10"/>
      <c r="Q452" s="11" t="str">
        <f t="shared" si="50"/>
        <v/>
      </c>
      <c r="R452" s="11" t="str">
        <f t="shared" si="51"/>
        <v/>
      </c>
      <c r="S452" s="58" t="str">
        <f t="shared" si="52"/>
        <v/>
      </c>
      <c r="T452" s="55" t="str">
        <f t="shared" si="53"/>
        <v/>
      </c>
      <c r="U452" s="55" t="str">
        <f>IF($D452="","",IF($D452='01. CONFIGURAÇÕES'!$C$8,'01. CONFIGURAÇÕES'!$C$38,'01. CONFIGURAÇÕES'!$D$38))</f>
        <v/>
      </c>
      <c r="V452" s="58" t="str">
        <f t="shared" si="54"/>
        <v/>
      </c>
      <c r="W452" s="55" t="str">
        <f>IF($D452="","",IF($D452='01. CONFIGURAÇÕES'!$C$8,'01. CONFIGURAÇÕES'!$C$31,'01. CONFIGURAÇÕES'!$D$31))</f>
        <v/>
      </c>
      <c r="X452" s="54" t="str">
        <f>IF($A452="","",$T452*(1-'01. CONFIGURAÇÕES'!$C$16)-IF($W452="",0,$W452))</f>
        <v/>
      </c>
      <c r="Y452" s="54" t="str">
        <f t="shared" si="55"/>
        <v/>
      </c>
      <c r="Z452" s="30"/>
      <c r="AA452" s="33"/>
      <c r="AB452" s="33"/>
    </row>
    <row r="453" spans="1:28" x14ac:dyDescent="0.25">
      <c r="A453" s="31"/>
      <c r="B453" s="29" t="str">
        <f t="shared" ref="B453:B504" si="56">IF($A453="","",CHOOSE(WEEKDAY($A453,1),"DOM","SEG","TER","QUA","QUI","SEX","SÁB"))</f>
        <v/>
      </c>
      <c r="C453" s="29" t="str">
        <f>IF($A453="","","S"&amp;(INT(($A453-'01. CONFIGURAÇÕES'!$C$12)/7)+1))</f>
        <v/>
      </c>
      <c r="D453" s="30"/>
      <c r="E453" s="30"/>
      <c r="F453" s="10"/>
      <c r="G453" s="49"/>
      <c r="H453" s="49"/>
      <c r="I453" s="52" t="str">
        <f t="shared" ref="I453:I504" si="57">IF($A453="","",$F453*($G453+$H453))</f>
        <v/>
      </c>
      <c r="J453" s="49"/>
      <c r="K453" s="49"/>
      <c r="L453" s="49"/>
      <c r="M453" s="49"/>
      <c r="N453" s="49"/>
      <c r="O453" s="49"/>
      <c r="P453" s="10"/>
      <c r="Q453" s="11" t="str">
        <f t="shared" ref="Q453:Q504" si="58">IF($A453="","",COUNTIFS(PROG_DATA,$A453,PROG_EQUIPE,$E453))</f>
        <v/>
      </c>
      <c r="R453" s="11" t="str">
        <f t="shared" ref="R453:R504" si="59">IF($A453="","",COUNTIFS(OS_FIM,$A453,OS_EQUIPE,$E453))</f>
        <v/>
      </c>
      <c r="S453" s="58" t="str">
        <f t="shared" ref="S453:S504" si="60">IF(OR($A453="",$Q453=0),"",$R453/$Q453)</f>
        <v/>
      </c>
      <c r="T453" s="55" t="str">
        <f t="shared" ref="T453:T504" si="61">IF($A453="","",SUMIFS(MED_VLR,MED_DATA,$A453,MED_EQUIPE,$E453))</f>
        <v/>
      </c>
      <c r="U453" s="55" t="str">
        <f>IF($D453="","",IF($D453='01. CONFIGURAÇÕES'!$C$8,'01. CONFIGURAÇÕES'!$C$38,'01. CONFIGURAÇÕES'!$D$38))</f>
        <v/>
      </c>
      <c r="V453" s="58" t="str">
        <f t="shared" ref="V453:V504" si="62">IF(OR($U453="",$U453=0),"",$T453/$U453)</f>
        <v/>
      </c>
      <c r="W453" s="55" t="str">
        <f>IF($D453="","",IF($D453='01. CONFIGURAÇÕES'!$C$8,'01. CONFIGURAÇÕES'!$C$31,'01. CONFIGURAÇÕES'!$D$31))</f>
        <v/>
      </c>
      <c r="X453" s="54" t="str">
        <f>IF($A453="","",$T453*(1-'01. CONFIGURAÇÕES'!$C$16)-IF($W453="",0,$W453))</f>
        <v/>
      </c>
      <c r="Y453" s="54" t="str">
        <f t="shared" ref="Y453:Y504" si="63">IF(OR($I453="",$I453=0),"",$T453/$I453)</f>
        <v/>
      </c>
      <c r="Z453" s="30"/>
      <c r="AA453" s="33"/>
      <c r="AB453" s="33"/>
    </row>
    <row r="454" spans="1:28" x14ac:dyDescent="0.25">
      <c r="A454" s="31"/>
      <c r="B454" s="29" t="str">
        <f t="shared" si="56"/>
        <v/>
      </c>
      <c r="C454" s="29" t="str">
        <f>IF($A454="","","S"&amp;(INT(($A454-'01. CONFIGURAÇÕES'!$C$12)/7)+1))</f>
        <v/>
      </c>
      <c r="D454" s="30"/>
      <c r="E454" s="30"/>
      <c r="F454" s="10"/>
      <c r="G454" s="49"/>
      <c r="H454" s="49"/>
      <c r="I454" s="52" t="str">
        <f t="shared" si="57"/>
        <v/>
      </c>
      <c r="J454" s="49"/>
      <c r="K454" s="49"/>
      <c r="L454" s="49"/>
      <c r="M454" s="49"/>
      <c r="N454" s="49"/>
      <c r="O454" s="49"/>
      <c r="P454" s="10"/>
      <c r="Q454" s="11" t="str">
        <f t="shared" si="58"/>
        <v/>
      </c>
      <c r="R454" s="11" t="str">
        <f t="shared" si="59"/>
        <v/>
      </c>
      <c r="S454" s="58" t="str">
        <f t="shared" si="60"/>
        <v/>
      </c>
      <c r="T454" s="55" t="str">
        <f t="shared" si="61"/>
        <v/>
      </c>
      <c r="U454" s="55" t="str">
        <f>IF($D454="","",IF($D454='01. CONFIGURAÇÕES'!$C$8,'01. CONFIGURAÇÕES'!$C$38,'01. CONFIGURAÇÕES'!$D$38))</f>
        <v/>
      </c>
      <c r="V454" s="58" t="str">
        <f t="shared" si="62"/>
        <v/>
      </c>
      <c r="W454" s="55" t="str">
        <f>IF($D454="","",IF($D454='01. CONFIGURAÇÕES'!$C$8,'01. CONFIGURAÇÕES'!$C$31,'01. CONFIGURAÇÕES'!$D$31))</f>
        <v/>
      </c>
      <c r="X454" s="54" t="str">
        <f>IF($A454="","",$T454*(1-'01. CONFIGURAÇÕES'!$C$16)-IF($W454="",0,$W454))</f>
        <v/>
      </c>
      <c r="Y454" s="54" t="str">
        <f t="shared" si="63"/>
        <v/>
      </c>
      <c r="Z454" s="30"/>
      <c r="AA454" s="33"/>
      <c r="AB454" s="33"/>
    </row>
    <row r="455" spans="1:28" x14ac:dyDescent="0.25">
      <c r="A455" s="31"/>
      <c r="B455" s="29" t="str">
        <f t="shared" si="56"/>
        <v/>
      </c>
      <c r="C455" s="29" t="str">
        <f>IF($A455="","","S"&amp;(INT(($A455-'01. CONFIGURAÇÕES'!$C$12)/7)+1))</f>
        <v/>
      </c>
      <c r="D455" s="30"/>
      <c r="E455" s="30"/>
      <c r="F455" s="10"/>
      <c r="G455" s="49"/>
      <c r="H455" s="49"/>
      <c r="I455" s="52" t="str">
        <f t="shared" si="57"/>
        <v/>
      </c>
      <c r="J455" s="49"/>
      <c r="K455" s="49"/>
      <c r="L455" s="49"/>
      <c r="M455" s="49"/>
      <c r="N455" s="49"/>
      <c r="O455" s="49"/>
      <c r="P455" s="10"/>
      <c r="Q455" s="11" t="str">
        <f t="shared" si="58"/>
        <v/>
      </c>
      <c r="R455" s="11" t="str">
        <f t="shared" si="59"/>
        <v/>
      </c>
      <c r="S455" s="58" t="str">
        <f t="shared" si="60"/>
        <v/>
      </c>
      <c r="T455" s="55" t="str">
        <f t="shared" si="61"/>
        <v/>
      </c>
      <c r="U455" s="55" t="str">
        <f>IF($D455="","",IF($D455='01. CONFIGURAÇÕES'!$C$8,'01. CONFIGURAÇÕES'!$C$38,'01. CONFIGURAÇÕES'!$D$38))</f>
        <v/>
      </c>
      <c r="V455" s="58" t="str">
        <f t="shared" si="62"/>
        <v/>
      </c>
      <c r="W455" s="55" t="str">
        <f>IF($D455="","",IF($D455='01. CONFIGURAÇÕES'!$C$8,'01. CONFIGURAÇÕES'!$C$31,'01. CONFIGURAÇÕES'!$D$31))</f>
        <v/>
      </c>
      <c r="X455" s="54" t="str">
        <f>IF($A455="","",$T455*(1-'01. CONFIGURAÇÕES'!$C$16)-IF($W455="",0,$W455))</f>
        <v/>
      </c>
      <c r="Y455" s="54" t="str">
        <f t="shared" si="63"/>
        <v/>
      </c>
      <c r="Z455" s="30"/>
      <c r="AA455" s="33"/>
      <c r="AB455" s="33"/>
    </row>
    <row r="456" spans="1:28" x14ac:dyDescent="0.25">
      <c r="A456" s="31"/>
      <c r="B456" s="29" t="str">
        <f t="shared" si="56"/>
        <v/>
      </c>
      <c r="C456" s="29" t="str">
        <f>IF($A456="","","S"&amp;(INT(($A456-'01. CONFIGURAÇÕES'!$C$12)/7)+1))</f>
        <v/>
      </c>
      <c r="D456" s="30"/>
      <c r="E456" s="30"/>
      <c r="F456" s="10"/>
      <c r="G456" s="49"/>
      <c r="H456" s="49"/>
      <c r="I456" s="52" t="str">
        <f t="shared" si="57"/>
        <v/>
      </c>
      <c r="J456" s="49"/>
      <c r="K456" s="49"/>
      <c r="L456" s="49"/>
      <c r="M456" s="49"/>
      <c r="N456" s="49"/>
      <c r="O456" s="49"/>
      <c r="P456" s="10"/>
      <c r="Q456" s="11" t="str">
        <f t="shared" si="58"/>
        <v/>
      </c>
      <c r="R456" s="11" t="str">
        <f t="shared" si="59"/>
        <v/>
      </c>
      <c r="S456" s="58" t="str">
        <f t="shared" si="60"/>
        <v/>
      </c>
      <c r="T456" s="55" t="str">
        <f t="shared" si="61"/>
        <v/>
      </c>
      <c r="U456" s="55" t="str">
        <f>IF($D456="","",IF($D456='01. CONFIGURAÇÕES'!$C$8,'01. CONFIGURAÇÕES'!$C$38,'01. CONFIGURAÇÕES'!$D$38))</f>
        <v/>
      </c>
      <c r="V456" s="58" t="str">
        <f t="shared" si="62"/>
        <v/>
      </c>
      <c r="W456" s="55" t="str">
        <f>IF($D456="","",IF($D456='01. CONFIGURAÇÕES'!$C$8,'01. CONFIGURAÇÕES'!$C$31,'01. CONFIGURAÇÕES'!$D$31))</f>
        <v/>
      </c>
      <c r="X456" s="54" t="str">
        <f>IF($A456="","",$T456*(1-'01. CONFIGURAÇÕES'!$C$16)-IF($W456="",0,$W456))</f>
        <v/>
      </c>
      <c r="Y456" s="54" t="str">
        <f t="shared" si="63"/>
        <v/>
      </c>
      <c r="Z456" s="30"/>
      <c r="AA456" s="33"/>
      <c r="AB456" s="33"/>
    </row>
    <row r="457" spans="1:28" x14ac:dyDescent="0.25">
      <c r="A457" s="31"/>
      <c r="B457" s="29" t="str">
        <f t="shared" si="56"/>
        <v/>
      </c>
      <c r="C457" s="29" t="str">
        <f>IF($A457="","","S"&amp;(INT(($A457-'01. CONFIGURAÇÕES'!$C$12)/7)+1))</f>
        <v/>
      </c>
      <c r="D457" s="30"/>
      <c r="E457" s="30"/>
      <c r="F457" s="10"/>
      <c r="G457" s="49"/>
      <c r="H457" s="49"/>
      <c r="I457" s="52" t="str">
        <f t="shared" si="57"/>
        <v/>
      </c>
      <c r="J457" s="49"/>
      <c r="K457" s="49"/>
      <c r="L457" s="49"/>
      <c r="M457" s="49"/>
      <c r="N457" s="49"/>
      <c r="O457" s="49"/>
      <c r="P457" s="10"/>
      <c r="Q457" s="11" t="str">
        <f t="shared" si="58"/>
        <v/>
      </c>
      <c r="R457" s="11" t="str">
        <f t="shared" si="59"/>
        <v/>
      </c>
      <c r="S457" s="58" t="str">
        <f t="shared" si="60"/>
        <v/>
      </c>
      <c r="T457" s="55" t="str">
        <f t="shared" si="61"/>
        <v/>
      </c>
      <c r="U457" s="55" t="str">
        <f>IF($D457="","",IF($D457='01. CONFIGURAÇÕES'!$C$8,'01. CONFIGURAÇÕES'!$C$38,'01. CONFIGURAÇÕES'!$D$38))</f>
        <v/>
      </c>
      <c r="V457" s="58" t="str">
        <f t="shared" si="62"/>
        <v/>
      </c>
      <c r="W457" s="55" t="str">
        <f>IF($D457="","",IF($D457='01. CONFIGURAÇÕES'!$C$8,'01. CONFIGURAÇÕES'!$C$31,'01. CONFIGURAÇÕES'!$D$31))</f>
        <v/>
      </c>
      <c r="X457" s="54" t="str">
        <f>IF($A457="","",$T457*(1-'01. CONFIGURAÇÕES'!$C$16)-IF($W457="",0,$W457))</f>
        <v/>
      </c>
      <c r="Y457" s="54" t="str">
        <f t="shared" si="63"/>
        <v/>
      </c>
      <c r="Z457" s="30"/>
      <c r="AA457" s="33"/>
      <c r="AB457" s="33"/>
    </row>
    <row r="458" spans="1:28" x14ac:dyDescent="0.25">
      <c r="A458" s="31"/>
      <c r="B458" s="29" t="str">
        <f t="shared" si="56"/>
        <v/>
      </c>
      <c r="C458" s="29" t="str">
        <f>IF($A458="","","S"&amp;(INT(($A458-'01. CONFIGURAÇÕES'!$C$12)/7)+1))</f>
        <v/>
      </c>
      <c r="D458" s="30"/>
      <c r="E458" s="30"/>
      <c r="F458" s="10"/>
      <c r="G458" s="49"/>
      <c r="H458" s="49"/>
      <c r="I458" s="52" t="str">
        <f t="shared" si="57"/>
        <v/>
      </c>
      <c r="J458" s="49"/>
      <c r="K458" s="49"/>
      <c r="L458" s="49"/>
      <c r="M458" s="49"/>
      <c r="N458" s="49"/>
      <c r="O458" s="49"/>
      <c r="P458" s="10"/>
      <c r="Q458" s="11" t="str">
        <f t="shared" si="58"/>
        <v/>
      </c>
      <c r="R458" s="11" t="str">
        <f t="shared" si="59"/>
        <v/>
      </c>
      <c r="S458" s="58" t="str">
        <f t="shared" si="60"/>
        <v/>
      </c>
      <c r="T458" s="55" t="str">
        <f t="shared" si="61"/>
        <v/>
      </c>
      <c r="U458" s="55" t="str">
        <f>IF($D458="","",IF($D458='01. CONFIGURAÇÕES'!$C$8,'01. CONFIGURAÇÕES'!$C$38,'01. CONFIGURAÇÕES'!$D$38))</f>
        <v/>
      </c>
      <c r="V458" s="58" t="str">
        <f t="shared" si="62"/>
        <v/>
      </c>
      <c r="W458" s="55" t="str">
        <f>IF($D458="","",IF($D458='01. CONFIGURAÇÕES'!$C$8,'01. CONFIGURAÇÕES'!$C$31,'01. CONFIGURAÇÕES'!$D$31))</f>
        <v/>
      </c>
      <c r="X458" s="54" t="str">
        <f>IF($A458="","",$T458*(1-'01. CONFIGURAÇÕES'!$C$16)-IF($W458="",0,$W458))</f>
        <v/>
      </c>
      <c r="Y458" s="54" t="str">
        <f t="shared" si="63"/>
        <v/>
      </c>
      <c r="Z458" s="30"/>
      <c r="AA458" s="33"/>
      <c r="AB458" s="33"/>
    </row>
    <row r="459" spans="1:28" x14ac:dyDescent="0.25">
      <c r="A459" s="31"/>
      <c r="B459" s="29" t="str">
        <f t="shared" si="56"/>
        <v/>
      </c>
      <c r="C459" s="29" t="str">
        <f>IF($A459="","","S"&amp;(INT(($A459-'01. CONFIGURAÇÕES'!$C$12)/7)+1))</f>
        <v/>
      </c>
      <c r="D459" s="30"/>
      <c r="E459" s="30"/>
      <c r="F459" s="10"/>
      <c r="G459" s="49"/>
      <c r="H459" s="49"/>
      <c r="I459" s="52" t="str">
        <f t="shared" si="57"/>
        <v/>
      </c>
      <c r="J459" s="49"/>
      <c r="K459" s="49"/>
      <c r="L459" s="49"/>
      <c r="M459" s="49"/>
      <c r="N459" s="49"/>
      <c r="O459" s="49"/>
      <c r="P459" s="10"/>
      <c r="Q459" s="11" t="str">
        <f t="shared" si="58"/>
        <v/>
      </c>
      <c r="R459" s="11" t="str">
        <f t="shared" si="59"/>
        <v/>
      </c>
      <c r="S459" s="58" t="str">
        <f t="shared" si="60"/>
        <v/>
      </c>
      <c r="T459" s="55" t="str">
        <f t="shared" si="61"/>
        <v/>
      </c>
      <c r="U459" s="55" t="str">
        <f>IF($D459="","",IF($D459='01. CONFIGURAÇÕES'!$C$8,'01. CONFIGURAÇÕES'!$C$38,'01. CONFIGURAÇÕES'!$D$38))</f>
        <v/>
      </c>
      <c r="V459" s="58" t="str">
        <f t="shared" si="62"/>
        <v/>
      </c>
      <c r="W459" s="55" t="str">
        <f>IF($D459="","",IF($D459='01. CONFIGURAÇÕES'!$C$8,'01. CONFIGURAÇÕES'!$C$31,'01. CONFIGURAÇÕES'!$D$31))</f>
        <v/>
      </c>
      <c r="X459" s="54" t="str">
        <f>IF($A459="","",$T459*(1-'01. CONFIGURAÇÕES'!$C$16)-IF($W459="",0,$W459))</f>
        <v/>
      </c>
      <c r="Y459" s="54" t="str">
        <f t="shared" si="63"/>
        <v/>
      </c>
      <c r="Z459" s="30"/>
      <c r="AA459" s="33"/>
      <c r="AB459" s="33"/>
    </row>
    <row r="460" spans="1:28" x14ac:dyDescent="0.25">
      <c r="A460" s="31"/>
      <c r="B460" s="29" t="str">
        <f t="shared" si="56"/>
        <v/>
      </c>
      <c r="C460" s="29" t="str">
        <f>IF($A460="","","S"&amp;(INT(($A460-'01. CONFIGURAÇÕES'!$C$12)/7)+1))</f>
        <v/>
      </c>
      <c r="D460" s="30"/>
      <c r="E460" s="30"/>
      <c r="F460" s="10"/>
      <c r="G460" s="49"/>
      <c r="H460" s="49"/>
      <c r="I460" s="52" t="str">
        <f t="shared" si="57"/>
        <v/>
      </c>
      <c r="J460" s="49"/>
      <c r="K460" s="49"/>
      <c r="L460" s="49"/>
      <c r="M460" s="49"/>
      <c r="N460" s="49"/>
      <c r="O460" s="49"/>
      <c r="P460" s="10"/>
      <c r="Q460" s="11" t="str">
        <f t="shared" si="58"/>
        <v/>
      </c>
      <c r="R460" s="11" t="str">
        <f t="shared" si="59"/>
        <v/>
      </c>
      <c r="S460" s="58" t="str">
        <f t="shared" si="60"/>
        <v/>
      </c>
      <c r="T460" s="55" t="str">
        <f t="shared" si="61"/>
        <v/>
      </c>
      <c r="U460" s="55" t="str">
        <f>IF($D460="","",IF($D460='01. CONFIGURAÇÕES'!$C$8,'01. CONFIGURAÇÕES'!$C$38,'01. CONFIGURAÇÕES'!$D$38))</f>
        <v/>
      </c>
      <c r="V460" s="58" t="str">
        <f t="shared" si="62"/>
        <v/>
      </c>
      <c r="W460" s="55" t="str">
        <f>IF($D460="","",IF($D460='01. CONFIGURAÇÕES'!$C$8,'01. CONFIGURAÇÕES'!$C$31,'01. CONFIGURAÇÕES'!$D$31))</f>
        <v/>
      </c>
      <c r="X460" s="54" t="str">
        <f>IF($A460="","",$T460*(1-'01. CONFIGURAÇÕES'!$C$16)-IF($W460="",0,$W460))</f>
        <v/>
      </c>
      <c r="Y460" s="54" t="str">
        <f t="shared" si="63"/>
        <v/>
      </c>
      <c r="Z460" s="30"/>
      <c r="AA460" s="33"/>
      <c r="AB460" s="33"/>
    </row>
    <row r="461" spans="1:28" x14ac:dyDescent="0.25">
      <c r="A461" s="31"/>
      <c r="B461" s="29" t="str">
        <f t="shared" si="56"/>
        <v/>
      </c>
      <c r="C461" s="29" t="str">
        <f>IF($A461="","","S"&amp;(INT(($A461-'01. CONFIGURAÇÕES'!$C$12)/7)+1))</f>
        <v/>
      </c>
      <c r="D461" s="30"/>
      <c r="E461" s="30"/>
      <c r="F461" s="10"/>
      <c r="G461" s="49"/>
      <c r="H461" s="49"/>
      <c r="I461" s="52" t="str">
        <f t="shared" si="57"/>
        <v/>
      </c>
      <c r="J461" s="49"/>
      <c r="K461" s="49"/>
      <c r="L461" s="49"/>
      <c r="M461" s="49"/>
      <c r="N461" s="49"/>
      <c r="O461" s="49"/>
      <c r="P461" s="10"/>
      <c r="Q461" s="11" t="str">
        <f t="shared" si="58"/>
        <v/>
      </c>
      <c r="R461" s="11" t="str">
        <f t="shared" si="59"/>
        <v/>
      </c>
      <c r="S461" s="58" t="str">
        <f t="shared" si="60"/>
        <v/>
      </c>
      <c r="T461" s="55" t="str">
        <f t="shared" si="61"/>
        <v/>
      </c>
      <c r="U461" s="55" t="str">
        <f>IF($D461="","",IF($D461='01. CONFIGURAÇÕES'!$C$8,'01. CONFIGURAÇÕES'!$C$38,'01. CONFIGURAÇÕES'!$D$38))</f>
        <v/>
      </c>
      <c r="V461" s="58" t="str">
        <f t="shared" si="62"/>
        <v/>
      </c>
      <c r="W461" s="55" t="str">
        <f>IF($D461="","",IF($D461='01. CONFIGURAÇÕES'!$C$8,'01. CONFIGURAÇÕES'!$C$31,'01. CONFIGURAÇÕES'!$D$31))</f>
        <v/>
      </c>
      <c r="X461" s="54" t="str">
        <f>IF($A461="","",$T461*(1-'01. CONFIGURAÇÕES'!$C$16)-IF($W461="",0,$W461))</f>
        <v/>
      </c>
      <c r="Y461" s="54" t="str">
        <f t="shared" si="63"/>
        <v/>
      </c>
      <c r="Z461" s="30"/>
      <c r="AA461" s="33"/>
      <c r="AB461" s="33"/>
    </row>
    <row r="462" spans="1:28" x14ac:dyDescent="0.25">
      <c r="A462" s="31"/>
      <c r="B462" s="29" t="str">
        <f t="shared" si="56"/>
        <v/>
      </c>
      <c r="C462" s="29" t="str">
        <f>IF($A462="","","S"&amp;(INT(($A462-'01. CONFIGURAÇÕES'!$C$12)/7)+1))</f>
        <v/>
      </c>
      <c r="D462" s="30"/>
      <c r="E462" s="30"/>
      <c r="F462" s="10"/>
      <c r="G462" s="49"/>
      <c r="H462" s="49"/>
      <c r="I462" s="52" t="str">
        <f t="shared" si="57"/>
        <v/>
      </c>
      <c r="J462" s="49"/>
      <c r="K462" s="49"/>
      <c r="L462" s="49"/>
      <c r="M462" s="49"/>
      <c r="N462" s="49"/>
      <c r="O462" s="49"/>
      <c r="P462" s="10"/>
      <c r="Q462" s="11" t="str">
        <f t="shared" si="58"/>
        <v/>
      </c>
      <c r="R462" s="11" t="str">
        <f t="shared" si="59"/>
        <v/>
      </c>
      <c r="S462" s="58" t="str">
        <f t="shared" si="60"/>
        <v/>
      </c>
      <c r="T462" s="55" t="str">
        <f t="shared" si="61"/>
        <v/>
      </c>
      <c r="U462" s="55" t="str">
        <f>IF($D462="","",IF($D462='01. CONFIGURAÇÕES'!$C$8,'01. CONFIGURAÇÕES'!$C$38,'01. CONFIGURAÇÕES'!$D$38))</f>
        <v/>
      </c>
      <c r="V462" s="58" t="str">
        <f t="shared" si="62"/>
        <v/>
      </c>
      <c r="W462" s="55" t="str">
        <f>IF($D462="","",IF($D462='01. CONFIGURAÇÕES'!$C$8,'01. CONFIGURAÇÕES'!$C$31,'01. CONFIGURAÇÕES'!$D$31))</f>
        <v/>
      </c>
      <c r="X462" s="54" t="str">
        <f>IF($A462="","",$T462*(1-'01. CONFIGURAÇÕES'!$C$16)-IF($W462="",0,$W462))</f>
        <v/>
      </c>
      <c r="Y462" s="54" t="str">
        <f t="shared" si="63"/>
        <v/>
      </c>
      <c r="Z462" s="30"/>
      <c r="AA462" s="33"/>
      <c r="AB462" s="33"/>
    </row>
    <row r="463" spans="1:28" x14ac:dyDescent="0.25">
      <c r="A463" s="31"/>
      <c r="B463" s="29" t="str">
        <f t="shared" si="56"/>
        <v/>
      </c>
      <c r="C463" s="29" t="str">
        <f>IF($A463="","","S"&amp;(INT(($A463-'01. CONFIGURAÇÕES'!$C$12)/7)+1))</f>
        <v/>
      </c>
      <c r="D463" s="30"/>
      <c r="E463" s="30"/>
      <c r="F463" s="10"/>
      <c r="G463" s="49"/>
      <c r="H463" s="49"/>
      <c r="I463" s="52" t="str">
        <f t="shared" si="57"/>
        <v/>
      </c>
      <c r="J463" s="49"/>
      <c r="K463" s="49"/>
      <c r="L463" s="49"/>
      <c r="M463" s="49"/>
      <c r="N463" s="49"/>
      <c r="O463" s="49"/>
      <c r="P463" s="10"/>
      <c r="Q463" s="11" t="str">
        <f t="shared" si="58"/>
        <v/>
      </c>
      <c r="R463" s="11" t="str">
        <f t="shared" si="59"/>
        <v/>
      </c>
      <c r="S463" s="58" t="str">
        <f t="shared" si="60"/>
        <v/>
      </c>
      <c r="T463" s="55" t="str">
        <f t="shared" si="61"/>
        <v/>
      </c>
      <c r="U463" s="55" t="str">
        <f>IF($D463="","",IF($D463='01. CONFIGURAÇÕES'!$C$8,'01. CONFIGURAÇÕES'!$C$38,'01. CONFIGURAÇÕES'!$D$38))</f>
        <v/>
      </c>
      <c r="V463" s="58" t="str">
        <f t="shared" si="62"/>
        <v/>
      </c>
      <c r="W463" s="55" t="str">
        <f>IF($D463="","",IF($D463='01. CONFIGURAÇÕES'!$C$8,'01. CONFIGURAÇÕES'!$C$31,'01. CONFIGURAÇÕES'!$D$31))</f>
        <v/>
      </c>
      <c r="X463" s="54" t="str">
        <f>IF($A463="","",$T463*(1-'01. CONFIGURAÇÕES'!$C$16)-IF($W463="",0,$W463))</f>
        <v/>
      </c>
      <c r="Y463" s="54" t="str">
        <f t="shared" si="63"/>
        <v/>
      </c>
      <c r="Z463" s="30"/>
      <c r="AA463" s="33"/>
      <c r="AB463" s="33"/>
    </row>
    <row r="464" spans="1:28" x14ac:dyDescent="0.25">
      <c r="A464" s="31"/>
      <c r="B464" s="29" t="str">
        <f t="shared" si="56"/>
        <v/>
      </c>
      <c r="C464" s="29" t="str">
        <f>IF($A464="","","S"&amp;(INT(($A464-'01. CONFIGURAÇÕES'!$C$12)/7)+1))</f>
        <v/>
      </c>
      <c r="D464" s="30"/>
      <c r="E464" s="30"/>
      <c r="F464" s="10"/>
      <c r="G464" s="49"/>
      <c r="H464" s="49"/>
      <c r="I464" s="52" t="str">
        <f t="shared" si="57"/>
        <v/>
      </c>
      <c r="J464" s="49"/>
      <c r="K464" s="49"/>
      <c r="L464" s="49"/>
      <c r="M464" s="49"/>
      <c r="N464" s="49"/>
      <c r="O464" s="49"/>
      <c r="P464" s="10"/>
      <c r="Q464" s="11" t="str">
        <f t="shared" si="58"/>
        <v/>
      </c>
      <c r="R464" s="11" t="str">
        <f t="shared" si="59"/>
        <v/>
      </c>
      <c r="S464" s="58" t="str">
        <f t="shared" si="60"/>
        <v/>
      </c>
      <c r="T464" s="55" t="str">
        <f t="shared" si="61"/>
        <v/>
      </c>
      <c r="U464" s="55" t="str">
        <f>IF($D464="","",IF($D464='01. CONFIGURAÇÕES'!$C$8,'01. CONFIGURAÇÕES'!$C$38,'01. CONFIGURAÇÕES'!$D$38))</f>
        <v/>
      </c>
      <c r="V464" s="58" t="str">
        <f t="shared" si="62"/>
        <v/>
      </c>
      <c r="W464" s="55" t="str">
        <f>IF($D464="","",IF($D464='01. CONFIGURAÇÕES'!$C$8,'01. CONFIGURAÇÕES'!$C$31,'01. CONFIGURAÇÕES'!$D$31))</f>
        <v/>
      </c>
      <c r="X464" s="54" t="str">
        <f>IF($A464="","",$T464*(1-'01. CONFIGURAÇÕES'!$C$16)-IF($W464="",0,$W464))</f>
        <v/>
      </c>
      <c r="Y464" s="54" t="str">
        <f t="shared" si="63"/>
        <v/>
      </c>
      <c r="Z464" s="30"/>
      <c r="AA464" s="33"/>
      <c r="AB464" s="33"/>
    </row>
    <row r="465" spans="1:28" x14ac:dyDescent="0.25">
      <c r="A465" s="31"/>
      <c r="B465" s="29" t="str">
        <f t="shared" si="56"/>
        <v/>
      </c>
      <c r="C465" s="29" t="str">
        <f>IF($A465="","","S"&amp;(INT(($A465-'01. CONFIGURAÇÕES'!$C$12)/7)+1))</f>
        <v/>
      </c>
      <c r="D465" s="30"/>
      <c r="E465" s="30"/>
      <c r="F465" s="10"/>
      <c r="G465" s="49"/>
      <c r="H465" s="49"/>
      <c r="I465" s="52" t="str">
        <f t="shared" si="57"/>
        <v/>
      </c>
      <c r="J465" s="49"/>
      <c r="K465" s="49"/>
      <c r="L465" s="49"/>
      <c r="M465" s="49"/>
      <c r="N465" s="49"/>
      <c r="O465" s="49"/>
      <c r="P465" s="10"/>
      <c r="Q465" s="11" t="str">
        <f t="shared" si="58"/>
        <v/>
      </c>
      <c r="R465" s="11" t="str">
        <f t="shared" si="59"/>
        <v/>
      </c>
      <c r="S465" s="58" t="str">
        <f t="shared" si="60"/>
        <v/>
      </c>
      <c r="T465" s="55" t="str">
        <f t="shared" si="61"/>
        <v/>
      </c>
      <c r="U465" s="55" t="str">
        <f>IF($D465="","",IF($D465='01. CONFIGURAÇÕES'!$C$8,'01. CONFIGURAÇÕES'!$C$38,'01. CONFIGURAÇÕES'!$D$38))</f>
        <v/>
      </c>
      <c r="V465" s="58" t="str">
        <f t="shared" si="62"/>
        <v/>
      </c>
      <c r="W465" s="55" t="str">
        <f>IF($D465="","",IF($D465='01. CONFIGURAÇÕES'!$C$8,'01. CONFIGURAÇÕES'!$C$31,'01. CONFIGURAÇÕES'!$D$31))</f>
        <v/>
      </c>
      <c r="X465" s="54" t="str">
        <f>IF($A465="","",$T465*(1-'01. CONFIGURAÇÕES'!$C$16)-IF($W465="",0,$W465))</f>
        <v/>
      </c>
      <c r="Y465" s="54" t="str">
        <f t="shared" si="63"/>
        <v/>
      </c>
      <c r="Z465" s="30"/>
      <c r="AA465" s="33"/>
      <c r="AB465" s="33"/>
    </row>
    <row r="466" spans="1:28" x14ac:dyDescent="0.25">
      <c r="A466" s="31"/>
      <c r="B466" s="29" t="str">
        <f t="shared" si="56"/>
        <v/>
      </c>
      <c r="C466" s="29" t="str">
        <f>IF($A466="","","S"&amp;(INT(($A466-'01. CONFIGURAÇÕES'!$C$12)/7)+1))</f>
        <v/>
      </c>
      <c r="D466" s="30"/>
      <c r="E466" s="30"/>
      <c r="F466" s="10"/>
      <c r="G466" s="49"/>
      <c r="H466" s="49"/>
      <c r="I466" s="52" t="str">
        <f t="shared" si="57"/>
        <v/>
      </c>
      <c r="J466" s="49"/>
      <c r="K466" s="49"/>
      <c r="L466" s="49"/>
      <c r="M466" s="49"/>
      <c r="N466" s="49"/>
      <c r="O466" s="49"/>
      <c r="P466" s="10"/>
      <c r="Q466" s="11" t="str">
        <f t="shared" si="58"/>
        <v/>
      </c>
      <c r="R466" s="11" t="str">
        <f t="shared" si="59"/>
        <v/>
      </c>
      <c r="S466" s="58" t="str">
        <f t="shared" si="60"/>
        <v/>
      </c>
      <c r="T466" s="55" t="str">
        <f t="shared" si="61"/>
        <v/>
      </c>
      <c r="U466" s="55" t="str">
        <f>IF($D466="","",IF($D466='01. CONFIGURAÇÕES'!$C$8,'01. CONFIGURAÇÕES'!$C$38,'01. CONFIGURAÇÕES'!$D$38))</f>
        <v/>
      </c>
      <c r="V466" s="58" t="str">
        <f t="shared" si="62"/>
        <v/>
      </c>
      <c r="W466" s="55" t="str">
        <f>IF($D466="","",IF($D466='01. CONFIGURAÇÕES'!$C$8,'01. CONFIGURAÇÕES'!$C$31,'01. CONFIGURAÇÕES'!$D$31))</f>
        <v/>
      </c>
      <c r="X466" s="54" t="str">
        <f>IF($A466="","",$T466*(1-'01. CONFIGURAÇÕES'!$C$16)-IF($W466="",0,$W466))</f>
        <v/>
      </c>
      <c r="Y466" s="54" t="str">
        <f t="shared" si="63"/>
        <v/>
      </c>
      <c r="Z466" s="30"/>
      <c r="AA466" s="33"/>
      <c r="AB466" s="33"/>
    </row>
    <row r="467" spans="1:28" x14ac:dyDescent="0.25">
      <c r="A467" s="31"/>
      <c r="B467" s="29" t="str">
        <f t="shared" si="56"/>
        <v/>
      </c>
      <c r="C467" s="29" t="str">
        <f>IF($A467="","","S"&amp;(INT(($A467-'01. CONFIGURAÇÕES'!$C$12)/7)+1))</f>
        <v/>
      </c>
      <c r="D467" s="30"/>
      <c r="E467" s="30"/>
      <c r="F467" s="10"/>
      <c r="G467" s="49"/>
      <c r="H467" s="49"/>
      <c r="I467" s="52" t="str">
        <f t="shared" si="57"/>
        <v/>
      </c>
      <c r="J467" s="49"/>
      <c r="K467" s="49"/>
      <c r="L467" s="49"/>
      <c r="M467" s="49"/>
      <c r="N467" s="49"/>
      <c r="O467" s="49"/>
      <c r="P467" s="10"/>
      <c r="Q467" s="11" t="str">
        <f t="shared" si="58"/>
        <v/>
      </c>
      <c r="R467" s="11" t="str">
        <f t="shared" si="59"/>
        <v/>
      </c>
      <c r="S467" s="58" t="str">
        <f t="shared" si="60"/>
        <v/>
      </c>
      <c r="T467" s="55" t="str">
        <f t="shared" si="61"/>
        <v/>
      </c>
      <c r="U467" s="55" t="str">
        <f>IF($D467="","",IF($D467='01. CONFIGURAÇÕES'!$C$8,'01. CONFIGURAÇÕES'!$C$38,'01. CONFIGURAÇÕES'!$D$38))</f>
        <v/>
      </c>
      <c r="V467" s="58" t="str">
        <f t="shared" si="62"/>
        <v/>
      </c>
      <c r="W467" s="55" t="str">
        <f>IF($D467="","",IF($D467='01. CONFIGURAÇÕES'!$C$8,'01. CONFIGURAÇÕES'!$C$31,'01. CONFIGURAÇÕES'!$D$31))</f>
        <v/>
      </c>
      <c r="X467" s="54" t="str">
        <f>IF($A467="","",$T467*(1-'01. CONFIGURAÇÕES'!$C$16)-IF($W467="",0,$W467))</f>
        <v/>
      </c>
      <c r="Y467" s="54" t="str">
        <f t="shared" si="63"/>
        <v/>
      </c>
      <c r="Z467" s="30"/>
      <c r="AA467" s="33"/>
      <c r="AB467" s="33"/>
    </row>
    <row r="468" spans="1:28" x14ac:dyDescent="0.25">
      <c r="A468" s="31"/>
      <c r="B468" s="29" t="str">
        <f t="shared" si="56"/>
        <v/>
      </c>
      <c r="C468" s="29" t="str">
        <f>IF($A468="","","S"&amp;(INT(($A468-'01. CONFIGURAÇÕES'!$C$12)/7)+1))</f>
        <v/>
      </c>
      <c r="D468" s="30"/>
      <c r="E468" s="30"/>
      <c r="F468" s="10"/>
      <c r="G468" s="49"/>
      <c r="H468" s="49"/>
      <c r="I468" s="52" t="str">
        <f t="shared" si="57"/>
        <v/>
      </c>
      <c r="J468" s="49"/>
      <c r="K468" s="49"/>
      <c r="L468" s="49"/>
      <c r="M468" s="49"/>
      <c r="N468" s="49"/>
      <c r="O468" s="49"/>
      <c r="P468" s="10"/>
      <c r="Q468" s="11" t="str">
        <f t="shared" si="58"/>
        <v/>
      </c>
      <c r="R468" s="11" t="str">
        <f t="shared" si="59"/>
        <v/>
      </c>
      <c r="S468" s="58" t="str">
        <f t="shared" si="60"/>
        <v/>
      </c>
      <c r="T468" s="55" t="str">
        <f t="shared" si="61"/>
        <v/>
      </c>
      <c r="U468" s="55" t="str">
        <f>IF($D468="","",IF($D468='01. CONFIGURAÇÕES'!$C$8,'01. CONFIGURAÇÕES'!$C$38,'01. CONFIGURAÇÕES'!$D$38))</f>
        <v/>
      </c>
      <c r="V468" s="58" t="str">
        <f t="shared" si="62"/>
        <v/>
      </c>
      <c r="W468" s="55" t="str">
        <f>IF($D468="","",IF($D468='01. CONFIGURAÇÕES'!$C$8,'01. CONFIGURAÇÕES'!$C$31,'01. CONFIGURAÇÕES'!$D$31))</f>
        <v/>
      </c>
      <c r="X468" s="54" t="str">
        <f>IF($A468="","",$T468*(1-'01. CONFIGURAÇÕES'!$C$16)-IF($W468="",0,$W468))</f>
        <v/>
      </c>
      <c r="Y468" s="54" t="str">
        <f t="shared" si="63"/>
        <v/>
      </c>
      <c r="Z468" s="30"/>
      <c r="AA468" s="33"/>
      <c r="AB468" s="33"/>
    </row>
    <row r="469" spans="1:28" x14ac:dyDescent="0.25">
      <c r="A469" s="31"/>
      <c r="B469" s="29" t="str">
        <f t="shared" si="56"/>
        <v/>
      </c>
      <c r="C469" s="29" t="str">
        <f>IF($A469="","","S"&amp;(INT(($A469-'01. CONFIGURAÇÕES'!$C$12)/7)+1))</f>
        <v/>
      </c>
      <c r="D469" s="30"/>
      <c r="E469" s="30"/>
      <c r="F469" s="10"/>
      <c r="G469" s="49"/>
      <c r="H469" s="49"/>
      <c r="I469" s="52" t="str">
        <f t="shared" si="57"/>
        <v/>
      </c>
      <c r="J469" s="49"/>
      <c r="K469" s="49"/>
      <c r="L469" s="49"/>
      <c r="M469" s="49"/>
      <c r="N469" s="49"/>
      <c r="O469" s="49"/>
      <c r="P469" s="10"/>
      <c r="Q469" s="11" t="str">
        <f t="shared" si="58"/>
        <v/>
      </c>
      <c r="R469" s="11" t="str">
        <f t="shared" si="59"/>
        <v/>
      </c>
      <c r="S469" s="58" t="str">
        <f t="shared" si="60"/>
        <v/>
      </c>
      <c r="T469" s="55" t="str">
        <f t="shared" si="61"/>
        <v/>
      </c>
      <c r="U469" s="55" t="str">
        <f>IF($D469="","",IF($D469='01. CONFIGURAÇÕES'!$C$8,'01. CONFIGURAÇÕES'!$C$38,'01. CONFIGURAÇÕES'!$D$38))</f>
        <v/>
      </c>
      <c r="V469" s="58" t="str">
        <f t="shared" si="62"/>
        <v/>
      </c>
      <c r="W469" s="55" t="str">
        <f>IF($D469="","",IF($D469='01. CONFIGURAÇÕES'!$C$8,'01. CONFIGURAÇÕES'!$C$31,'01. CONFIGURAÇÕES'!$D$31))</f>
        <v/>
      </c>
      <c r="X469" s="54" t="str">
        <f>IF($A469="","",$T469*(1-'01. CONFIGURAÇÕES'!$C$16)-IF($W469="",0,$W469))</f>
        <v/>
      </c>
      <c r="Y469" s="54" t="str">
        <f t="shared" si="63"/>
        <v/>
      </c>
      <c r="Z469" s="30"/>
      <c r="AA469" s="33"/>
      <c r="AB469" s="33"/>
    </row>
    <row r="470" spans="1:28" x14ac:dyDescent="0.25">
      <c r="A470" s="31"/>
      <c r="B470" s="29" t="str">
        <f t="shared" si="56"/>
        <v/>
      </c>
      <c r="C470" s="29" t="str">
        <f>IF($A470="","","S"&amp;(INT(($A470-'01. CONFIGURAÇÕES'!$C$12)/7)+1))</f>
        <v/>
      </c>
      <c r="D470" s="30"/>
      <c r="E470" s="30"/>
      <c r="F470" s="10"/>
      <c r="G470" s="49"/>
      <c r="H470" s="49"/>
      <c r="I470" s="52" t="str">
        <f t="shared" si="57"/>
        <v/>
      </c>
      <c r="J470" s="49"/>
      <c r="K470" s="49"/>
      <c r="L470" s="49"/>
      <c r="M470" s="49"/>
      <c r="N470" s="49"/>
      <c r="O470" s="49"/>
      <c r="P470" s="10"/>
      <c r="Q470" s="11" t="str">
        <f t="shared" si="58"/>
        <v/>
      </c>
      <c r="R470" s="11" t="str">
        <f t="shared" si="59"/>
        <v/>
      </c>
      <c r="S470" s="58" t="str">
        <f t="shared" si="60"/>
        <v/>
      </c>
      <c r="T470" s="55" t="str">
        <f t="shared" si="61"/>
        <v/>
      </c>
      <c r="U470" s="55" t="str">
        <f>IF($D470="","",IF($D470='01. CONFIGURAÇÕES'!$C$8,'01. CONFIGURAÇÕES'!$C$38,'01. CONFIGURAÇÕES'!$D$38))</f>
        <v/>
      </c>
      <c r="V470" s="58" t="str">
        <f t="shared" si="62"/>
        <v/>
      </c>
      <c r="W470" s="55" t="str">
        <f>IF($D470="","",IF($D470='01. CONFIGURAÇÕES'!$C$8,'01. CONFIGURAÇÕES'!$C$31,'01. CONFIGURAÇÕES'!$D$31))</f>
        <v/>
      </c>
      <c r="X470" s="54" t="str">
        <f>IF($A470="","",$T470*(1-'01. CONFIGURAÇÕES'!$C$16)-IF($W470="",0,$W470))</f>
        <v/>
      </c>
      <c r="Y470" s="54" t="str">
        <f t="shared" si="63"/>
        <v/>
      </c>
      <c r="Z470" s="30"/>
      <c r="AA470" s="33"/>
      <c r="AB470" s="33"/>
    </row>
    <row r="471" spans="1:28" x14ac:dyDescent="0.25">
      <c r="A471" s="31"/>
      <c r="B471" s="29" t="str">
        <f t="shared" si="56"/>
        <v/>
      </c>
      <c r="C471" s="29" t="str">
        <f>IF($A471="","","S"&amp;(INT(($A471-'01. CONFIGURAÇÕES'!$C$12)/7)+1))</f>
        <v/>
      </c>
      <c r="D471" s="30"/>
      <c r="E471" s="30"/>
      <c r="F471" s="10"/>
      <c r="G471" s="49"/>
      <c r="H471" s="49"/>
      <c r="I471" s="52" t="str">
        <f t="shared" si="57"/>
        <v/>
      </c>
      <c r="J471" s="49"/>
      <c r="K471" s="49"/>
      <c r="L471" s="49"/>
      <c r="M471" s="49"/>
      <c r="N471" s="49"/>
      <c r="O471" s="49"/>
      <c r="P471" s="10"/>
      <c r="Q471" s="11" t="str">
        <f t="shared" si="58"/>
        <v/>
      </c>
      <c r="R471" s="11" t="str">
        <f t="shared" si="59"/>
        <v/>
      </c>
      <c r="S471" s="58" t="str">
        <f t="shared" si="60"/>
        <v/>
      </c>
      <c r="T471" s="55" t="str">
        <f t="shared" si="61"/>
        <v/>
      </c>
      <c r="U471" s="55" t="str">
        <f>IF($D471="","",IF($D471='01. CONFIGURAÇÕES'!$C$8,'01. CONFIGURAÇÕES'!$C$38,'01. CONFIGURAÇÕES'!$D$38))</f>
        <v/>
      </c>
      <c r="V471" s="58" t="str">
        <f t="shared" si="62"/>
        <v/>
      </c>
      <c r="W471" s="55" t="str">
        <f>IF($D471="","",IF($D471='01. CONFIGURAÇÕES'!$C$8,'01. CONFIGURAÇÕES'!$C$31,'01. CONFIGURAÇÕES'!$D$31))</f>
        <v/>
      </c>
      <c r="X471" s="54" t="str">
        <f>IF($A471="","",$T471*(1-'01. CONFIGURAÇÕES'!$C$16)-IF($W471="",0,$W471))</f>
        <v/>
      </c>
      <c r="Y471" s="54" t="str">
        <f t="shared" si="63"/>
        <v/>
      </c>
      <c r="Z471" s="30"/>
      <c r="AA471" s="33"/>
      <c r="AB471" s="33"/>
    </row>
    <row r="472" spans="1:28" x14ac:dyDescent="0.25">
      <c r="A472" s="31"/>
      <c r="B472" s="29" t="str">
        <f t="shared" si="56"/>
        <v/>
      </c>
      <c r="C472" s="29" t="str">
        <f>IF($A472="","","S"&amp;(INT(($A472-'01. CONFIGURAÇÕES'!$C$12)/7)+1))</f>
        <v/>
      </c>
      <c r="D472" s="30"/>
      <c r="E472" s="30"/>
      <c r="F472" s="10"/>
      <c r="G472" s="49"/>
      <c r="H472" s="49"/>
      <c r="I472" s="52" t="str">
        <f t="shared" si="57"/>
        <v/>
      </c>
      <c r="J472" s="49"/>
      <c r="K472" s="49"/>
      <c r="L472" s="49"/>
      <c r="M472" s="49"/>
      <c r="N472" s="49"/>
      <c r="O472" s="49"/>
      <c r="P472" s="10"/>
      <c r="Q472" s="11" t="str">
        <f t="shared" si="58"/>
        <v/>
      </c>
      <c r="R472" s="11" t="str">
        <f t="shared" si="59"/>
        <v/>
      </c>
      <c r="S472" s="58" t="str">
        <f t="shared" si="60"/>
        <v/>
      </c>
      <c r="T472" s="55" t="str">
        <f t="shared" si="61"/>
        <v/>
      </c>
      <c r="U472" s="55" t="str">
        <f>IF($D472="","",IF($D472='01. CONFIGURAÇÕES'!$C$8,'01. CONFIGURAÇÕES'!$C$38,'01. CONFIGURAÇÕES'!$D$38))</f>
        <v/>
      </c>
      <c r="V472" s="58" t="str">
        <f t="shared" si="62"/>
        <v/>
      </c>
      <c r="W472" s="55" t="str">
        <f>IF($D472="","",IF($D472='01. CONFIGURAÇÕES'!$C$8,'01. CONFIGURAÇÕES'!$C$31,'01. CONFIGURAÇÕES'!$D$31))</f>
        <v/>
      </c>
      <c r="X472" s="54" t="str">
        <f>IF($A472="","",$T472*(1-'01. CONFIGURAÇÕES'!$C$16)-IF($W472="",0,$W472))</f>
        <v/>
      </c>
      <c r="Y472" s="54" t="str">
        <f t="shared" si="63"/>
        <v/>
      </c>
      <c r="Z472" s="30"/>
      <c r="AA472" s="33"/>
      <c r="AB472" s="33"/>
    </row>
    <row r="473" spans="1:28" x14ac:dyDescent="0.25">
      <c r="A473" s="31"/>
      <c r="B473" s="29" t="str">
        <f t="shared" si="56"/>
        <v/>
      </c>
      <c r="C473" s="29" t="str">
        <f>IF($A473="","","S"&amp;(INT(($A473-'01. CONFIGURAÇÕES'!$C$12)/7)+1))</f>
        <v/>
      </c>
      <c r="D473" s="30"/>
      <c r="E473" s="30"/>
      <c r="F473" s="10"/>
      <c r="G473" s="49"/>
      <c r="H473" s="49"/>
      <c r="I473" s="52" t="str">
        <f t="shared" si="57"/>
        <v/>
      </c>
      <c r="J473" s="49"/>
      <c r="K473" s="49"/>
      <c r="L473" s="49"/>
      <c r="M473" s="49"/>
      <c r="N473" s="49"/>
      <c r="O473" s="49"/>
      <c r="P473" s="10"/>
      <c r="Q473" s="11" t="str">
        <f t="shared" si="58"/>
        <v/>
      </c>
      <c r="R473" s="11" t="str">
        <f t="shared" si="59"/>
        <v/>
      </c>
      <c r="S473" s="58" t="str">
        <f t="shared" si="60"/>
        <v/>
      </c>
      <c r="T473" s="55" t="str">
        <f t="shared" si="61"/>
        <v/>
      </c>
      <c r="U473" s="55" t="str">
        <f>IF($D473="","",IF($D473='01. CONFIGURAÇÕES'!$C$8,'01. CONFIGURAÇÕES'!$C$38,'01. CONFIGURAÇÕES'!$D$38))</f>
        <v/>
      </c>
      <c r="V473" s="58" t="str">
        <f t="shared" si="62"/>
        <v/>
      </c>
      <c r="W473" s="55" t="str">
        <f>IF($D473="","",IF($D473='01. CONFIGURAÇÕES'!$C$8,'01. CONFIGURAÇÕES'!$C$31,'01. CONFIGURAÇÕES'!$D$31))</f>
        <v/>
      </c>
      <c r="X473" s="54" t="str">
        <f>IF($A473="","",$T473*(1-'01. CONFIGURAÇÕES'!$C$16)-IF($W473="",0,$W473))</f>
        <v/>
      </c>
      <c r="Y473" s="54" t="str">
        <f t="shared" si="63"/>
        <v/>
      </c>
      <c r="Z473" s="30"/>
      <c r="AA473" s="33"/>
      <c r="AB473" s="33"/>
    </row>
    <row r="474" spans="1:28" x14ac:dyDescent="0.25">
      <c r="A474" s="31"/>
      <c r="B474" s="29" t="str">
        <f t="shared" si="56"/>
        <v/>
      </c>
      <c r="C474" s="29" t="str">
        <f>IF($A474="","","S"&amp;(INT(($A474-'01. CONFIGURAÇÕES'!$C$12)/7)+1))</f>
        <v/>
      </c>
      <c r="D474" s="30"/>
      <c r="E474" s="30"/>
      <c r="F474" s="10"/>
      <c r="G474" s="49"/>
      <c r="H474" s="49"/>
      <c r="I474" s="52" t="str">
        <f t="shared" si="57"/>
        <v/>
      </c>
      <c r="J474" s="49"/>
      <c r="K474" s="49"/>
      <c r="L474" s="49"/>
      <c r="M474" s="49"/>
      <c r="N474" s="49"/>
      <c r="O474" s="49"/>
      <c r="P474" s="10"/>
      <c r="Q474" s="11" t="str">
        <f t="shared" si="58"/>
        <v/>
      </c>
      <c r="R474" s="11" t="str">
        <f t="shared" si="59"/>
        <v/>
      </c>
      <c r="S474" s="58" t="str">
        <f t="shared" si="60"/>
        <v/>
      </c>
      <c r="T474" s="55" t="str">
        <f t="shared" si="61"/>
        <v/>
      </c>
      <c r="U474" s="55" t="str">
        <f>IF($D474="","",IF($D474='01. CONFIGURAÇÕES'!$C$8,'01. CONFIGURAÇÕES'!$C$38,'01. CONFIGURAÇÕES'!$D$38))</f>
        <v/>
      </c>
      <c r="V474" s="58" t="str">
        <f t="shared" si="62"/>
        <v/>
      </c>
      <c r="W474" s="55" t="str">
        <f>IF($D474="","",IF($D474='01. CONFIGURAÇÕES'!$C$8,'01. CONFIGURAÇÕES'!$C$31,'01. CONFIGURAÇÕES'!$D$31))</f>
        <v/>
      </c>
      <c r="X474" s="54" t="str">
        <f>IF($A474="","",$T474*(1-'01. CONFIGURAÇÕES'!$C$16)-IF($W474="",0,$W474))</f>
        <v/>
      </c>
      <c r="Y474" s="54" t="str">
        <f t="shared" si="63"/>
        <v/>
      </c>
      <c r="Z474" s="30"/>
      <c r="AA474" s="33"/>
      <c r="AB474" s="33"/>
    </row>
    <row r="475" spans="1:28" x14ac:dyDescent="0.25">
      <c r="A475" s="31"/>
      <c r="B475" s="29" t="str">
        <f t="shared" si="56"/>
        <v/>
      </c>
      <c r="C475" s="29" t="str">
        <f>IF($A475="","","S"&amp;(INT(($A475-'01. CONFIGURAÇÕES'!$C$12)/7)+1))</f>
        <v/>
      </c>
      <c r="D475" s="30"/>
      <c r="E475" s="30"/>
      <c r="F475" s="10"/>
      <c r="G475" s="49"/>
      <c r="H475" s="49"/>
      <c r="I475" s="52" t="str">
        <f t="shared" si="57"/>
        <v/>
      </c>
      <c r="J475" s="49"/>
      <c r="K475" s="49"/>
      <c r="L475" s="49"/>
      <c r="M475" s="49"/>
      <c r="N475" s="49"/>
      <c r="O475" s="49"/>
      <c r="P475" s="10"/>
      <c r="Q475" s="11" t="str">
        <f t="shared" si="58"/>
        <v/>
      </c>
      <c r="R475" s="11" t="str">
        <f t="shared" si="59"/>
        <v/>
      </c>
      <c r="S475" s="58" t="str">
        <f t="shared" si="60"/>
        <v/>
      </c>
      <c r="T475" s="55" t="str">
        <f t="shared" si="61"/>
        <v/>
      </c>
      <c r="U475" s="55" t="str">
        <f>IF($D475="","",IF($D475='01. CONFIGURAÇÕES'!$C$8,'01. CONFIGURAÇÕES'!$C$38,'01. CONFIGURAÇÕES'!$D$38))</f>
        <v/>
      </c>
      <c r="V475" s="58" t="str">
        <f t="shared" si="62"/>
        <v/>
      </c>
      <c r="W475" s="55" t="str">
        <f>IF($D475="","",IF($D475='01. CONFIGURAÇÕES'!$C$8,'01. CONFIGURAÇÕES'!$C$31,'01. CONFIGURAÇÕES'!$D$31))</f>
        <v/>
      </c>
      <c r="X475" s="54" t="str">
        <f>IF($A475="","",$T475*(1-'01. CONFIGURAÇÕES'!$C$16)-IF($W475="",0,$W475))</f>
        <v/>
      </c>
      <c r="Y475" s="54" t="str">
        <f t="shared" si="63"/>
        <v/>
      </c>
      <c r="Z475" s="30"/>
      <c r="AA475" s="33"/>
      <c r="AB475" s="33"/>
    </row>
    <row r="476" spans="1:28" x14ac:dyDescent="0.25">
      <c r="A476" s="31"/>
      <c r="B476" s="29" t="str">
        <f t="shared" si="56"/>
        <v/>
      </c>
      <c r="C476" s="29" t="str">
        <f>IF($A476="","","S"&amp;(INT(($A476-'01. CONFIGURAÇÕES'!$C$12)/7)+1))</f>
        <v/>
      </c>
      <c r="D476" s="30"/>
      <c r="E476" s="30"/>
      <c r="F476" s="10"/>
      <c r="G476" s="49"/>
      <c r="H476" s="49"/>
      <c r="I476" s="52" t="str">
        <f t="shared" si="57"/>
        <v/>
      </c>
      <c r="J476" s="49"/>
      <c r="K476" s="49"/>
      <c r="L476" s="49"/>
      <c r="M476" s="49"/>
      <c r="N476" s="49"/>
      <c r="O476" s="49"/>
      <c r="P476" s="10"/>
      <c r="Q476" s="11" t="str">
        <f t="shared" si="58"/>
        <v/>
      </c>
      <c r="R476" s="11" t="str">
        <f t="shared" si="59"/>
        <v/>
      </c>
      <c r="S476" s="58" t="str">
        <f t="shared" si="60"/>
        <v/>
      </c>
      <c r="T476" s="55" t="str">
        <f t="shared" si="61"/>
        <v/>
      </c>
      <c r="U476" s="55" t="str">
        <f>IF($D476="","",IF($D476='01. CONFIGURAÇÕES'!$C$8,'01. CONFIGURAÇÕES'!$C$38,'01. CONFIGURAÇÕES'!$D$38))</f>
        <v/>
      </c>
      <c r="V476" s="58" t="str">
        <f t="shared" si="62"/>
        <v/>
      </c>
      <c r="W476" s="55" t="str">
        <f>IF($D476="","",IF($D476='01. CONFIGURAÇÕES'!$C$8,'01. CONFIGURAÇÕES'!$C$31,'01. CONFIGURAÇÕES'!$D$31))</f>
        <v/>
      </c>
      <c r="X476" s="54" t="str">
        <f>IF($A476="","",$T476*(1-'01. CONFIGURAÇÕES'!$C$16)-IF($W476="",0,$W476))</f>
        <v/>
      </c>
      <c r="Y476" s="54" t="str">
        <f t="shared" si="63"/>
        <v/>
      </c>
      <c r="Z476" s="30"/>
      <c r="AA476" s="33"/>
      <c r="AB476" s="33"/>
    </row>
    <row r="477" spans="1:28" x14ac:dyDescent="0.25">
      <c r="A477" s="31"/>
      <c r="B477" s="29" t="str">
        <f t="shared" si="56"/>
        <v/>
      </c>
      <c r="C477" s="29" t="str">
        <f>IF($A477="","","S"&amp;(INT(($A477-'01. CONFIGURAÇÕES'!$C$12)/7)+1))</f>
        <v/>
      </c>
      <c r="D477" s="30"/>
      <c r="E477" s="30"/>
      <c r="F477" s="10"/>
      <c r="G477" s="49"/>
      <c r="H477" s="49"/>
      <c r="I477" s="52" t="str">
        <f t="shared" si="57"/>
        <v/>
      </c>
      <c r="J477" s="49"/>
      <c r="K477" s="49"/>
      <c r="L477" s="49"/>
      <c r="M477" s="49"/>
      <c r="N477" s="49"/>
      <c r="O477" s="49"/>
      <c r="P477" s="10"/>
      <c r="Q477" s="11" t="str">
        <f t="shared" si="58"/>
        <v/>
      </c>
      <c r="R477" s="11" t="str">
        <f t="shared" si="59"/>
        <v/>
      </c>
      <c r="S477" s="58" t="str">
        <f t="shared" si="60"/>
        <v/>
      </c>
      <c r="T477" s="55" t="str">
        <f t="shared" si="61"/>
        <v/>
      </c>
      <c r="U477" s="55" t="str">
        <f>IF($D477="","",IF($D477='01. CONFIGURAÇÕES'!$C$8,'01. CONFIGURAÇÕES'!$C$38,'01. CONFIGURAÇÕES'!$D$38))</f>
        <v/>
      </c>
      <c r="V477" s="58" t="str">
        <f t="shared" si="62"/>
        <v/>
      </c>
      <c r="W477" s="55" t="str">
        <f>IF($D477="","",IF($D477='01. CONFIGURAÇÕES'!$C$8,'01. CONFIGURAÇÕES'!$C$31,'01. CONFIGURAÇÕES'!$D$31))</f>
        <v/>
      </c>
      <c r="X477" s="54" t="str">
        <f>IF($A477="","",$T477*(1-'01. CONFIGURAÇÕES'!$C$16)-IF($W477="",0,$W477))</f>
        <v/>
      </c>
      <c r="Y477" s="54" t="str">
        <f t="shared" si="63"/>
        <v/>
      </c>
      <c r="Z477" s="30"/>
      <c r="AA477" s="33"/>
      <c r="AB477" s="33"/>
    </row>
    <row r="478" spans="1:28" x14ac:dyDescent="0.25">
      <c r="A478" s="31"/>
      <c r="B478" s="29" t="str">
        <f t="shared" si="56"/>
        <v/>
      </c>
      <c r="C478" s="29" t="str">
        <f>IF($A478="","","S"&amp;(INT(($A478-'01. CONFIGURAÇÕES'!$C$12)/7)+1))</f>
        <v/>
      </c>
      <c r="D478" s="30"/>
      <c r="E478" s="30"/>
      <c r="F478" s="10"/>
      <c r="G478" s="49"/>
      <c r="H478" s="49"/>
      <c r="I478" s="52" t="str">
        <f t="shared" si="57"/>
        <v/>
      </c>
      <c r="J478" s="49"/>
      <c r="K478" s="49"/>
      <c r="L478" s="49"/>
      <c r="M478" s="49"/>
      <c r="N478" s="49"/>
      <c r="O478" s="49"/>
      <c r="P478" s="10"/>
      <c r="Q478" s="11" t="str">
        <f t="shared" si="58"/>
        <v/>
      </c>
      <c r="R478" s="11" t="str">
        <f t="shared" si="59"/>
        <v/>
      </c>
      <c r="S478" s="58" t="str">
        <f t="shared" si="60"/>
        <v/>
      </c>
      <c r="T478" s="55" t="str">
        <f t="shared" si="61"/>
        <v/>
      </c>
      <c r="U478" s="55" t="str">
        <f>IF($D478="","",IF($D478='01. CONFIGURAÇÕES'!$C$8,'01. CONFIGURAÇÕES'!$C$38,'01. CONFIGURAÇÕES'!$D$38))</f>
        <v/>
      </c>
      <c r="V478" s="58" t="str">
        <f t="shared" si="62"/>
        <v/>
      </c>
      <c r="W478" s="55" t="str">
        <f>IF($D478="","",IF($D478='01. CONFIGURAÇÕES'!$C$8,'01. CONFIGURAÇÕES'!$C$31,'01. CONFIGURAÇÕES'!$D$31))</f>
        <v/>
      </c>
      <c r="X478" s="54" t="str">
        <f>IF($A478="","",$T478*(1-'01. CONFIGURAÇÕES'!$C$16)-IF($W478="",0,$W478))</f>
        <v/>
      </c>
      <c r="Y478" s="54" t="str">
        <f t="shared" si="63"/>
        <v/>
      </c>
      <c r="Z478" s="30"/>
      <c r="AA478" s="33"/>
      <c r="AB478" s="33"/>
    </row>
    <row r="479" spans="1:28" x14ac:dyDescent="0.25">
      <c r="A479" s="31"/>
      <c r="B479" s="29" t="str">
        <f t="shared" si="56"/>
        <v/>
      </c>
      <c r="C479" s="29" t="str">
        <f>IF($A479="","","S"&amp;(INT(($A479-'01. CONFIGURAÇÕES'!$C$12)/7)+1))</f>
        <v/>
      </c>
      <c r="D479" s="30"/>
      <c r="E479" s="30"/>
      <c r="F479" s="10"/>
      <c r="G479" s="49"/>
      <c r="H479" s="49"/>
      <c r="I479" s="52" t="str">
        <f t="shared" si="57"/>
        <v/>
      </c>
      <c r="J479" s="49"/>
      <c r="K479" s="49"/>
      <c r="L479" s="49"/>
      <c r="M479" s="49"/>
      <c r="N479" s="49"/>
      <c r="O479" s="49"/>
      <c r="P479" s="10"/>
      <c r="Q479" s="11" t="str">
        <f t="shared" si="58"/>
        <v/>
      </c>
      <c r="R479" s="11" t="str">
        <f t="shared" si="59"/>
        <v/>
      </c>
      <c r="S479" s="58" t="str">
        <f t="shared" si="60"/>
        <v/>
      </c>
      <c r="T479" s="55" t="str">
        <f t="shared" si="61"/>
        <v/>
      </c>
      <c r="U479" s="55" t="str">
        <f>IF($D479="","",IF($D479='01. CONFIGURAÇÕES'!$C$8,'01. CONFIGURAÇÕES'!$C$38,'01. CONFIGURAÇÕES'!$D$38))</f>
        <v/>
      </c>
      <c r="V479" s="58" t="str">
        <f t="shared" si="62"/>
        <v/>
      </c>
      <c r="W479" s="55" t="str">
        <f>IF($D479="","",IF($D479='01. CONFIGURAÇÕES'!$C$8,'01. CONFIGURAÇÕES'!$C$31,'01. CONFIGURAÇÕES'!$D$31))</f>
        <v/>
      </c>
      <c r="X479" s="54" t="str">
        <f>IF($A479="","",$T479*(1-'01. CONFIGURAÇÕES'!$C$16)-IF($W479="",0,$W479))</f>
        <v/>
      </c>
      <c r="Y479" s="54" t="str">
        <f t="shared" si="63"/>
        <v/>
      </c>
      <c r="Z479" s="30"/>
      <c r="AA479" s="33"/>
      <c r="AB479" s="33"/>
    </row>
    <row r="480" spans="1:28" x14ac:dyDescent="0.25">
      <c r="A480" s="31"/>
      <c r="B480" s="29" t="str">
        <f t="shared" si="56"/>
        <v/>
      </c>
      <c r="C480" s="29" t="str">
        <f>IF($A480="","","S"&amp;(INT(($A480-'01. CONFIGURAÇÕES'!$C$12)/7)+1))</f>
        <v/>
      </c>
      <c r="D480" s="30"/>
      <c r="E480" s="30"/>
      <c r="F480" s="10"/>
      <c r="G480" s="49"/>
      <c r="H480" s="49"/>
      <c r="I480" s="52" t="str">
        <f t="shared" si="57"/>
        <v/>
      </c>
      <c r="J480" s="49"/>
      <c r="K480" s="49"/>
      <c r="L480" s="49"/>
      <c r="M480" s="49"/>
      <c r="N480" s="49"/>
      <c r="O480" s="49"/>
      <c r="P480" s="10"/>
      <c r="Q480" s="11" t="str">
        <f t="shared" si="58"/>
        <v/>
      </c>
      <c r="R480" s="11" t="str">
        <f t="shared" si="59"/>
        <v/>
      </c>
      <c r="S480" s="58" t="str">
        <f t="shared" si="60"/>
        <v/>
      </c>
      <c r="T480" s="55" t="str">
        <f t="shared" si="61"/>
        <v/>
      </c>
      <c r="U480" s="55" t="str">
        <f>IF($D480="","",IF($D480='01. CONFIGURAÇÕES'!$C$8,'01. CONFIGURAÇÕES'!$C$38,'01. CONFIGURAÇÕES'!$D$38))</f>
        <v/>
      </c>
      <c r="V480" s="58" t="str">
        <f t="shared" si="62"/>
        <v/>
      </c>
      <c r="W480" s="55" t="str">
        <f>IF($D480="","",IF($D480='01. CONFIGURAÇÕES'!$C$8,'01. CONFIGURAÇÕES'!$C$31,'01. CONFIGURAÇÕES'!$D$31))</f>
        <v/>
      </c>
      <c r="X480" s="54" t="str">
        <f>IF($A480="","",$T480*(1-'01. CONFIGURAÇÕES'!$C$16)-IF($W480="",0,$W480))</f>
        <v/>
      </c>
      <c r="Y480" s="54" t="str">
        <f t="shared" si="63"/>
        <v/>
      </c>
      <c r="Z480" s="30"/>
      <c r="AA480" s="33"/>
      <c r="AB480" s="33"/>
    </row>
    <row r="481" spans="1:28" x14ac:dyDescent="0.25">
      <c r="A481" s="31"/>
      <c r="B481" s="29" t="str">
        <f t="shared" si="56"/>
        <v/>
      </c>
      <c r="C481" s="29" t="str">
        <f>IF($A481="","","S"&amp;(INT(($A481-'01. CONFIGURAÇÕES'!$C$12)/7)+1))</f>
        <v/>
      </c>
      <c r="D481" s="30"/>
      <c r="E481" s="30"/>
      <c r="F481" s="10"/>
      <c r="G481" s="49"/>
      <c r="H481" s="49"/>
      <c r="I481" s="52" t="str">
        <f t="shared" si="57"/>
        <v/>
      </c>
      <c r="J481" s="49"/>
      <c r="K481" s="49"/>
      <c r="L481" s="49"/>
      <c r="M481" s="49"/>
      <c r="N481" s="49"/>
      <c r="O481" s="49"/>
      <c r="P481" s="10"/>
      <c r="Q481" s="11" t="str">
        <f t="shared" si="58"/>
        <v/>
      </c>
      <c r="R481" s="11" t="str">
        <f t="shared" si="59"/>
        <v/>
      </c>
      <c r="S481" s="58" t="str">
        <f t="shared" si="60"/>
        <v/>
      </c>
      <c r="T481" s="55" t="str">
        <f t="shared" si="61"/>
        <v/>
      </c>
      <c r="U481" s="55" t="str">
        <f>IF($D481="","",IF($D481='01. CONFIGURAÇÕES'!$C$8,'01. CONFIGURAÇÕES'!$C$38,'01. CONFIGURAÇÕES'!$D$38))</f>
        <v/>
      </c>
      <c r="V481" s="58" t="str">
        <f t="shared" si="62"/>
        <v/>
      </c>
      <c r="W481" s="55" t="str">
        <f>IF($D481="","",IF($D481='01. CONFIGURAÇÕES'!$C$8,'01. CONFIGURAÇÕES'!$C$31,'01. CONFIGURAÇÕES'!$D$31))</f>
        <v/>
      </c>
      <c r="X481" s="54" t="str">
        <f>IF($A481="","",$T481*(1-'01. CONFIGURAÇÕES'!$C$16)-IF($W481="",0,$W481))</f>
        <v/>
      </c>
      <c r="Y481" s="54" t="str">
        <f t="shared" si="63"/>
        <v/>
      </c>
      <c r="Z481" s="30"/>
      <c r="AA481" s="33"/>
      <c r="AB481" s="33"/>
    </row>
    <row r="482" spans="1:28" x14ac:dyDescent="0.25">
      <c r="A482" s="31"/>
      <c r="B482" s="29" t="str">
        <f t="shared" si="56"/>
        <v/>
      </c>
      <c r="C482" s="29" t="str">
        <f>IF($A482="","","S"&amp;(INT(($A482-'01. CONFIGURAÇÕES'!$C$12)/7)+1))</f>
        <v/>
      </c>
      <c r="D482" s="30"/>
      <c r="E482" s="30"/>
      <c r="F482" s="10"/>
      <c r="G482" s="49"/>
      <c r="H482" s="49"/>
      <c r="I482" s="52" t="str">
        <f t="shared" si="57"/>
        <v/>
      </c>
      <c r="J482" s="49"/>
      <c r="K482" s="49"/>
      <c r="L482" s="49"/>
      <c r="M482" s="49"/>
      <c r="N482" s="49"/>
      <c r="O482" s="49"/>
      <c r="P482" s="10"/>
      <c r="Q482" s="11" t="str">
        <f t="shared" si="58"/>
        <v/>
      </c>
      <c r="R482" s="11" t="str">
        <f t="shared" si="59"/>
        <v/>
      </c>
      <c r="S482" s="58" t="str">
        <f t="shared" si="60"/>
        <v/>
      </c>
      <c r="T482" s="55" t="str">
        <f t="shared" si="61"/>
        <v/>
      </c>
      <c r="U482" s="55" t="str">
        <f>IF($D482="","",IF($D482='01. CONFIGURAÇÕES'!$C$8,'01. CONFIGURAÇÕES'!$C$38,'01. CONFIGURAÇÕES'!$D$38))</f>
        <v/>
      </c>
      <c r="V482" s="58" t="str">
        <f t="shared" si="62"/>
        <v/>
      </c>
      <c r="W482" s="55" t="str">
        <f>IF($D482="","",IF($D482='01. CONFIGURAÇÕES'!$C$8,'01. CONFIGURAÇÕES'!$C$31,'01. CONFIGURAÇÕES'!$D$31))</f>
        <v/>
      </c>
      <c r="X482" s="54" t="str">
        <f>IF($A482="","",$T482*(1-'01. CONFIGURAÇÕES'!$C$16)-IF($W482="",0,$W482))</f>
        <v/>
      </c>
      <c r="Y482" s="54" t="str">
        <f t="shared" si="63"/>
        <v/>
      </c>
      <c r="Z482" s="30"/>
      <c r="AA482" s="33"/>
      <c r="AB482" s="33"/>
    </row>
    <row r="483" spans="1:28" x14ac:dyDescent="0.25">
      <c r="A483" s="31"/>
      <c r="B483" s="29" t="str">
        <f t="shared" si="56"/>
        <v/>
      </c>
      <c r="C483" s="29" t="str">
        <f>IF($A483="","","S"&amp;(INT(($A483-'01. CONFIGURAÇÕES'!$C$12)/7)+1))</f>
        <v/>
      </c>
      <c r="D483" s="30"/>
      <c r="E483" s="30"/>
      <c r="F483" s="10"/>
      <c r="G483" s="49"/>
      <c r="H483" s="49"/>
      <c r="I483" s="52" t="str">
        <f t="shared" si="57"/>
        <v/>
      </c>
      <c r="J483" s="49"/>
      <c r="K483" s="49"/>
      <c r="L483" s="49"/>
      <c r="M483" s="49"/>
      <c r="N483" s="49"/>
      <c r="O483" s="49"/>
      <c r="P483" s="10"/>
      <c r="Q483" s="11" t="str">
        <f t="shared" si="58"/>
        <v/>
      </c>
      <c r="R483" s="11" t="str">
        <f t="shared" si="59"/>
        <v/>
      </c>
      <c r="S483" s="58" t="str">
        <f t="shared" si="60"/>
        <v/>
      </c>
      <c r="T483" s="55" t="str">
        <f t="shared" si="61"/>
        <v/>
      </c>
      <c r="U483" s="55" t="str">
        <f>IF($D483="","",IF($D483='01. CONFIGURAÇÕES'!$C$8,'01. CONFIGURAÇÕES'!$C$38,'01. CONFIGURAÇÕES'!$D$38))</f>
        <v/>
      </c>
      <c r="V483" s="58" t="str">
        <f t="shared" si="62"/>
        <v/>
      </c>
      <c r="W483" s="55" t="str">
        <f>IF($D483="","",IF($D483='01. CONFIGURAÇÕES'!$C$8,'01. CONFIGURAÇÕES'!$C$31,'01. CONFIGURAÇÕES'!$D$31))</f>
        <v/>
      </c>
      <c r="X483" s="54" t="str">
        <f>IF($A483="","",$T483*(1-'01. CONFIGURAÇÕES'!$C$16)-IF($W483="",0,$W483))</f>
        <v/>
      </c>
      <c r="Y483" s="54" t="str">
        <f t="shared" si="63"/>
        <v/>
      </c>
      <c r="Z483" s="30"/>
      <c r="AA483" s="33"/>
      <c r="AB483" s="33"/>
    </row>
    <row r="484" spans="1:28" x14ac:dyDescent="0.25">
      <c r="A484" s="31"/>
      <c r="B484" s="29" t="str">
        <f t="shared" si="56"/>
        <v/>
      </c>
      <c r="C484" s="29" t="str">
        <f>IF($A484="","","S"&amp;(INT(($A484-'01. CONFIGURAÇÕES'!$C$12)/7)+1))</f>
        <v/>
      </c>
      <c r="D484" s="30"/>
      <c r="E484" s="30"/>
      <c r="F484" s="10"/>
      <c r="G484" s="49"/>
      <c r="H484" s="49"/>
      <c r="I484" s="52" t="str">
        <f t="shared" si="57"/>
        <v/>
      </c>
      <c r="J484" s="49"/>
      <c r="K484" s="49"/>
      <c r="L484" s="49"/>
      <c r="M484" s="49"/>
      <c r="N484" s="49"/>
      <c r="O484" s="49"/>
      <c r="P484" s="10"/>
      <c r="Q484" s="11" t="str">
        <f t="shared" si="58"/>
        <v/>
      </c>
      <c r="R484" s="11" t="str">
        <f t="shared" si="59"/>
        <v/>
      </c>
      <c r="S484" s="58" t="str">
        <f t="shared" si="60"/>
        <v/>
      </c>
      <c r="T484" s="55" t="str">
        <f t="shared" si="61"/>
        <v/>
      </c>
      <c r="U484" s="55" t="str">
        <f>IF($D484="","",IF($D484='01. CONFIGURAÇÕES'!$C$8,'01. CONFIGURAÇÕES'!$C$38,'01. CONFIGURAÇÕES'!$D$38))</f>
        <v/>
      </c>
      <c r="V484" s="58" t="str">
        <f t="shared" si="62"/>
        <v/>
      </c>
      <c r="W484" s="55" t="str">
        <f>IF($D484="","",IF($D484='01. CONFIGURAÇÕES'!$C$8,'01. CONFIGURAÇÕES'!$C$31,'01. CONFIGURAÇÕES'!$D$31))</f>
        <v/>
      </c>
      <c r="X484" s="54" t="str">
        <f>IF($A484="","",$T484*(1-'01. CONFIGURAÇÕES'!$C$16)-IF($W484="",0,$W484))</f>
        <v/>
      </c>
      <c r="Y484" s="54" t="str">
        <f t="shared" si="63"/>
        <v/>
      </c>
      <c r="Z484" s="30"/>
      <c r="AA484" s="33"/>
      <c r="AB484" s="33"/>
    </row>
    <row r="485" spans="1:28" x14ac:dyDescent="0.25">
      <c r="A485" s="31"/>
      <c r="B485" s="29" t="str">
        <f t="shared" si="56"/>
        <v/>
      </c>
      <c r="C485" s="29" t="str">
        <f>IF($A485="","","S"&amp;(INT(($A485-'01. CONFIGURAÇÕES'!$C$12)/7)+1))</f>
        <v/>
      </c>
      <c r="D485" s="30"/>
      <c r="E485" s="30"/>
      <c r="F485" s="10"/>
      <c r="G485" s="49"/>
      <c r="H485" s="49"/>
      <c r="I485" s="52" t="str">
        <f t="shared" si="57"/>
        <v/>
      </c>
      <c r="J485" s="49"/>
      <c r="K485" s="49"/>
      <c r="L485" s="49"/>
      <c r="M485" s="49"/>
      <c r="N485" s="49"/>
      <c r="O485" s="49"/>
      <c r="P485" s="10"/>
      <c r="Q485" s="11" t="str">
        <f t="shared" si="58"/>
        <v/>
      </c>
      <c r="R485" s="11" t="str">
        <f t="shared" si="59"/>
        <v/>
      </c>
      <c r="S485" s="58" t="str">
        <f t="shared" si="60"/>
        <v/>
      </c>
      <c r="T485" s="55" t="str">
        <f t="shared" si="61"/>
        <v/>
      </c>
      <c r="U485" s="55" t="str">
        <f>IF($D485="","",IF($D485='01. CONFIGURAÇÕES'!$C$8,'01. CONFIGURAÇÕES'!$C$38,'01. CONFIGURAÇÕES'!$D$38))</f>
        <v/>
      </c>
      <c r="V485" s="58" t="str">
        <f t="shared" si="62"/>
        <v/>
      </c>
      <c r="W485" s="55" t="str">
        <f>IF($D485="","",IF($D485='01. CONFIGURAÇÕES'!$C$8,'01. CONFIGURAÇÕES'!$C$31,'01. CONFIGURAÇÕES'!$D$31))</f>
        <v/>
      </c>
      <c r="X485" s="54" t="str">
        <f>IF($A485="","",$T485*(1-'01. CONFIGURAÇÕES'!$C$16)-IF($W485="",0,$W485))</f>
        <v/>
      </c>
      <c r="Y485" s="54" t="str">
        <f t="shared" si="63"/>
        <v/>
      </c>
      <c r="Z485" s="30"/>
      <c r="AA485" s="33"/>
      <c r="AB485" s="33"/>
    </row>
    <row r="486" spans="1:28" x14ac:dyDescent="0.25">
      <c r="A486" s="31"/>
      <c r="B486" s="29" t="str">
        <f t="shared" si="56"/>
        <v/>
      </c>
      <c r="C486" s="29" t="str">
        <f>IF($A486="","","S"&amp;(INT(($A486-'01. CONFIGURAÇÕES'!$C$12)/7)+1))</f>
        <v/>
      </c>
      <c r="D486" s="30"/>
      <c r="E486" s="30"/>
      <c r="F486" s="10"/>
      <c r="G486" s="49"/>
      <c r="H486" s="49"/>
      <c r="I486" s="52" t="str">
        <f t="shared" si="57"/>
        <v/>
      </c>
      <c r="J486" s="49"/>
      <c r="K486" s="49"/>
      <c r="L486" s="49"/>
      <c r="M486" s="49"/>
      <c r="N486" s="49"/>
      <c r="O486" s="49"/>
      <c r="P486" s="10"/>
      <c r="Q486" s="11" t="str">
        <f t="shared" si="58"/>
        <v/>
      </c>
      <c r="R486" s="11" t="str">
        <f t="shared" si="59"/>
        <v/>
      </c>
      <c r="S486" s="58" t="str">
        <f t="shared" si="60"/>
        <v/>
      </c>
      <c r="T486" s="55" t="str">
        <f t="shared" si="61"/>
        <v/>
      </c>
      <c r="U486" s="55" t="str">
        <f>IF($D486="","",IF($D486='01. CONFIGURAÇÕES'!$C$8,'01. CONFIGURAÇÕES'!$C$38,'01. CONFIGURAÇÕES'!$D$38))</f>
        <v/>
      </c>
      <c r="V486" s="58" t="str">
        <f t="shared" si="62"/>
        <v/>
      </c>
      <c r="W486" s="55" t="str">
        <f>IF($D486="","",IF($D486='01. CONFIGURAÇÕES'!$C$8,'01. CONFIGURAÇÕES'!$C$31,'01. CONFIGURAÇÕES'!$D$31))</f>
        <v/>
      </c>
      <c r="X486" s="54" t="str">
        <f>IF($A486="","",$T486*(1-'01. CONFIGURAÇÕES'!$C$16)-IF($W486="",0,$W486))</f>
        <v/>
      </c>
      <c r="Y486" s="54" t="str">
        <f t="shared" si="63"/>
        <v/>
      </c>
      <c r="Z486" s="30"/>
      <c r="AA486" s="33"/>
      <c r="AB486" s="33"/>
    </row>
    <row r="487" spans="1:28" x14ac:dyDescent="0.25">
      <c r="A487" s="31"/>
      <c r="B487" s="29" t="str">
        <f t="shared" si="56"/>
        <v/>
      </c>
      <c r="C487" s="29" t="str">
        <f>IF($A487="","","S"&amp;(INT(($A487-'01. CONFIGURAÇÕES'!$C$12)/7)+1))</f>
        <v/>
      </c>
      <c r="D487" s="30"/>
      <c r="E487" s="30"/>
      <c r="F487" s="10"/>
      <c r="G487" s="49"/>
      <c r="H487" s="49"/>
      <c r="I487" s="52" t="str">
        <f t="shared" si="57"/>
        <v/>
      </c>
      <c r="J487" s="49"/>
      <c r="K487" s="49"/>
      <c r="L487" s="49"/>
      <c r="M487" s="49"/>
      <c r="N487" s="49"/>
      <c r="O487" s="49"/>
      <c r="P487" s="10"/>
      <c r="Q487" s="11" t="str">
        <f t="shared" si="58"/>
        <v/>
      </c>
      <c r="R487" s="11" t="str">
        <f t="shared" si="59"/>
        <v/>
      </c>
      <c r="S487" s="58" t="str">
        <f t="shared" si="60"/>
        <v/>
      </c>
      <c r="T487" s="55" t="str">
        <f t="shared" si="61"/>
        <v/>
      </c>
      <c r="U487" s="55" t="str">
        <f>IF($D487="","",IF($D487='01. CONFIGURAÇÕES'!$C$8,'01. CONFIGURAÇÕES'!$C$38,'01. CONFIGURAÇÕES'!$D$38))</f>
        <v/>
      </c>
      <c r="V487" s="58" t="str">
        <f t="shared" si="62"/>
        <v/>
      </c>
      <c r="W487" s="55" t="str">
        <f>IF($D487="","",IF($D487='01. CONFIGURAÇÕES'!$C$8,'01. CONFIGURAÇÕES'!$C$31,'01. CONFIGURAÇÕES'!$D$31))</f>
        <v/>
      </c>
      <c r="X487" s="54" t="str">
        <f>IF($A487="","",$T487*(1-'01. CONFIGURAÇÕES'!$C$16)-IF($W487="",0,$W487))</f>
        <v/>
      </c>
      <c r="Y487" s="54" t="str">
        <f t="shared" si="63"/>
        <v/>
      </c>
      <c r="Z487" s="30"/>
      <c r="AA487" s="33"/>
      <c r="AB487" s="33"/>
    </row>
    <row r="488" spans="1:28" x14ac:dyDescent="0.25">
      <c r="A488" s="31"/>
      <c r="B488" s="29" t="str">
        <f t="shared" si="56"/>
        <v/>
      </c>
      <c r="C488" s="29" t="str">
        <f>IF($A488="","","S"&amp;(INT(($A488-'01. CONFIGURAÇÕES'!$C$12)/7)+1))</f>
        <v/>
      </c>
      <c r="D488" s="30"/>
      <c r="E488" s="30"/>
      <c r="F488" s="10"/>
      <c r="G488" s="49"/>
      <c r="H488" s="49"/>
      <c r="I488" s="52" t="str">
        <f t="shared" si="57"/>
        <v/>
      </c>
      <c r="J488" s="49"/>
      <c r="K488" s="49"/>
      <c r="L488" s="49"/>
      <c r="M488" s="49"/>
      <c r="N488" s="49"/>
      <c r="O488" s="49"/>
      <c r="P488" s="10"/>
      <c r="Q488" s="11" t="str">
        <f t="shared" si="58"/>
        <v/>
      </c>
      <c r="R488" s="11" t="str">
        <f t="shared" si="59"/>
        <v/>
      </c>
      <c r="S488" s="58" t="str">
        <f t="shared" si="60"/>
        <v/>
      </c>
      <c r="T488" s="55" t="str">
        <f t="shared" si="61"/>
        <v/>
      </c>
      <c r="U488" s="55" t="str">
        <f>IF($D488="","",IF($D488='01. CONFIGURAÇÕES'!$C$8,'01. CONFIGURAÇÕES'!$C$38,'01. CONFIGURAÇÕES'!$D$38))</f>
        <v/>
      </c>
      <c r="V488" s="58" t="str">
        <f t="shared" si="62"/>
        <v/>
      </c>
      <c r="W488" s="55" t="str">
        <f>IF($D488="","",IF($D488='01. CONFIGURAÇÕES'!$C$8,'01. CONFIGURAÇÕES'!$C$31,'01. CONFIGURAÇÕES'!$D$31))</f>
        <v/>
      </c>
      <c r="X488" s="54" t="str">
        <f>IF($A488="","",$T488*(1-'01. CONFIGURAÇÕES'!$C$16)-IF($W488="",0,$W488))</f>
        <v/>
      </c>
      <c r="Y488" s="54" t="str">
        <f t="shared" si="63"/>
        <v/>
      </c>
      <c r="Z488" s="30"/>
      <c r="AA488" s="33"/>
      <c r="AB488" s="33"/>
    </row>
    <row r="489" spans="1:28" x14ac:dyDescent="0.25">
      <c r="A489" s="31"/>
      <c r="B489" s="29" t="str">
        <f t="shared" si="56"/>
        <v/>
      </c>
      <c r="C489" s="29" t="str">
        <f>IF($A489="","","S"&amp;(INT(($A489-'01. CONFIGURAÇÕES'!$C$12)/7)+1))</f>
        <v/>
      </c>
      <c r="D489" s="30"/>
      <c r="E489" s="30"/>
      <c r="F489" s="10"/>
      <c r="G489" s="49"/>
      <c r="H489" s="49"/>
      <c r="I489" s="52" t="str">
        <f t="shared" si="57"/>
        <v/>
      </c>
      <c r="J489" s="49"/>
      <c r="K489" s="49"/>
      <c r="L489" s="49"/>
      <c r="M489" s="49"/>
      <c r="N489" s="49"/>
      <c r="O489" s="49"/>
      <c r="P489" s="10"/>
      <c r="Q489" s="11" t="str">
        <f t="shared" si="58"/>
        <v/>
      </c>
      <c r="R489" s="11" t="str">
        <f t="shared" si="59"/>
        <v/>
      </c>
      <c r="S489" s="58" t="str">
        <f t="shared" si="60"/>
        <v/>
      </c>
      <c r="T489" s="55" t="str">
        <f t="shared" si="61"/>
        <v/>
      </c>
      <c r="U489" s="55" t="str">
        <f>IF($D489="","",IF($D489='01. CONFIGURAÇÕES'!$C$8,'01. CONFIGURAÇÕES'!$C$38,'01. CONFIGURAÇÕES'!$D$38))</f>
        <v/>
      </c>
      <c r="V489" s="58" t="str">
        <f t="shared" si="62"/>
        <v/>
      </c>
      <c r="W489" s="55" t="str">
        <f>IF($D489="","",IF($D489='01. CONFIGURAÇÕES'!$C$8,'01. CONFIGURAÇÕES'!$C$31,'01. CONFIGURAÇÕES'!$D$31))</f>
        <v/>
      </c>
      <c r="X489" s="54" t="str">
        <f>IF($A489="","",$T489*(1-'01. CONFIGURAÇÕES'!$C$16)-IF($W489="",0,$W489))</f>
        <v/>
      </c>
      <c r="Y489" s="54" t="str">
        <f t="shared" si="63"/>
        <v/>
      </c>
      <c r="Z489" s="30"/>
      <c r="AA489" s="33"/>
      <c r="AB489" s="33"/>
    </row>
    <row r="490" spans="1:28" x14ac:dyDescent="0.25">
      <c r="A490" s="31"/>
      <c r="B490" s="29" t="str">
        <f t="shared" si="56"/>
        <v/>
      </c>
      <c r="C490" s="29" t="str">
        <f>IF($A490="","","S"&amp;(INT(($A490-'01. CONFIGURAÇÕES'!$C$12)/7)+1))</f>
        <v/>
      </c>
      <c r="D490" s="30"/>
      <c r="E490" s="30"/>
      <c r="F490" s="10"/>
      <c r="G490" s="49"/>
      <c r="H490" s="49"/>
      <c r="I490" s="52" t="str">
        <f t="shared" si="57"/>
        <v/>
      </c>
      <c r="J490" s="49"/>
      <c r="K490" s="49"/>
      <c r="L490" s="49"/>
      <c r="M490" s="49"/>
      <c r="N490" s="49"/>
      <c r="O490" s="49"/>
      <c r="P490" s="10"/>
      <c r="Q490" s="11" t="str">
        <f t="shared" si="58"/>
        <v/>
      </c>
      <c r="R490" s="11" t="str">
        <f t="shared" si="59"/>
        <v/>
      </c>
      <c r="S490" s="58" t="str">
        <f t="shared" si="60"/>
        <v/>
      </c>
      <c r="T490" s="55" t="str">
        <f t="shared" si="61"/>
        <v/>
      </c>
      <c r="U490" s="55" t="str">
        <f>IF($D490="","",IF($D490='01. CONFIGURAÇÕES'!$C$8,'01. CONFIGURAÇÕES'!$C$38,'01. CONFIGURAÇÕES'!$D$38))</f>
        <v/>
      </c>
      <c r="V490" s="58" t="str">
        <f t="shared" si="62"/>
        <v/>
      </c>
      <c r="W490" s="55" t="str">
        <f>IF($D490="","",IF($D490='01. CONFIGURAÇÕES'!$C$8,'01. CONFIGURAÇÕES'!$C$31,'01. CONFIGURAÇÕES'!$D$31))</f>
        <v/>
      </c>
      <c r="X490" s="54" t="str">
        <f>IF($A490="","",$T490*(1-'01. CONFIGURAÇÕES'!$C$16)-IF($W490="",0,$W490))</f>
        <v/>
      </c>
      <c r="Y490" s="54" t="str">
        <f t="shared" si="63"/>
        <v/>
      </c>
      <c r="Z490" s="30"/>
      <c r="AA490" s="33"/>
      <c r="AB490" s="33"/>
    </row>
    <row r="491" spans="1:28" x14ac:dyDescent="0.25">
      <c r="A491" s="31"/>
      <c r="B491" s="29" t="str">
        <f t="shared" si="56"/>
        <v/>
      </c>
      <c r="C491" s="29" t="str">
        <f>IF($A491="","","S"&amp;(INT(($A491-'01. CONFIGURAÇÕES'!$C$12)/7)+1))</f>
        <v/>
      </c>
      <c r="D491" s="30"/>
      <c r="E491" s="30"/>
      <c r="F491" s="10"/>
      <c r="G491" s="49"/>
      <c r="H491" s="49"/>
      <c r="I491" s="52" t="str">
        <f t="shared" si="57"/>
        <v/>
      </c>
      <c r="J491" s="49"/>
      <c r="K491" s="49"/>
      <c r="L491" s="49"/>
      <c r="M491" s="49"/>
      <c r="N491" s="49"/>
      <c r="O491" s="49"/>
      <c r="P491" s="10"/>
      <c r="Q491" s="11" t="str">
        <f t="shared" si="58"/>
        <v/>
      </c>
      <c r="R491" s="11" t="str">
        <f t="shared" si="59"/>
        <v/>
      </c>
      <c r="S491" s="58" t="str">
        <f t="shared" si="60"/>
        <v/>
      </c>
      <c r="T491" s="55" t="str">
        <f t="shared" si="61"/>
        <v/>
      </c>
      <c r="U491" s="55" t="str">
        <f>IF($D491="","",IF($D491='01. CONFIGURAÇÕES'!$C$8,'01. CONFIGURAÇÕES'!$C$38,'01. CONFIGURAÇÕES'!$D$38))</f>
        <v/>
      </c>
      <c r="V491" s="58" t="str">
        <f t="shared" si="62"/>
        <v/>
      </c>
      <c r="W491" s="55" t="str">
        <f>IF($D491="","",IF($D491='01. CONFIGURAÇÕES'!$C$8,'01. CONFIGURAÇÕES'!$C$31,'01. CONFIGURAÇÕES'!$D$31))</f>
        <v/>
      </c>
      <c r="X491" s="54" t="str">
        <f>IF($A491="","",$T491*(1-'01. CONFIGURAÇÕES'!$C$16)-IF($W491="",0,$W491))</f>
        <v/>
      </c>
      <c r="Y491" s="54" t="str">
        <f t="shared" si="63"/>
        <v/>
      </c>
      <c r="Z491" s="30"/>
      <c r="AA491" s="33"/>
      <c r="AB491" s="33"/>
    </row>
    <row r="492" spans="1:28" x14ac:dyDescent="0.25">
      <c r="A492" s="31"/>
      <c r="B492" s="29" t="str">
        <f t="shared" si="56"/>
        <v/>
      </c>
      <c r="C492" s="29" t="str">
        <f>IF($A492="","","S"&amp;(INT(($A492-'01. CONFIGURAÇÕES'!$C$12)/7)+1))</f>
        <v/>
      </c>
      <c r="D492" s="30"/>
      <c r="E492" s="30"/>
      <c r="F492" s="10"/>
      <c r="G492" s="49"/>
      <c r="H492" s="49"/>
      <c r="I492" s="52" t="str">
        <f t="shared" si="57"/>
        <v/>
      </c>
      <c r="J492" s="49"/>
      <c r="K492" s="49"/>
      <c r="L492" s="49"/>
      <c r="M492" s="49"/>
      <c r="N492" s="49"/>
      <c r="O492" s="49"/>
      <c r="P492" s="10"/>
      <c r="Q492" s="11" t="str">
        <f t="shared" si="58"/>
        <v/>
      </c>
      <c r="R492" s="11" t="str">
        <f t="shared" si="59"/>
        <v/>
      </c>
      <c r="S492" s="58" t="str">
        <f t="shared" si="60"/>
        <v/>
      </c>
      <c r="T492" s="55" t="str">
        <f t="shared" si="61"/>
        <v/>
      </c>
      <c r="U492" s="55" t="str">
        <f>IF($D492="","",IF($D492='01. CONFIGURAÇÕES'!$C$8,'01. CONFIGURAÇÕES'!$C$38,'01. CONFIGURAÇÕES'!$D$38))</f>
        <v/>
      </c>
      <c r="V492" s="58" t="str">
        <f t="shared" si="62"/>
        <v/>
      </c>
      <c r="W492" s="55" t="str">
        <f>IF($D492="","",IF($D492='01. CONFIGURAÇÕES'!$C$8,'01. CONFIGURAÇÕES'!$C$31,'01. CONFIGURAÇÕES'!$D$31))</f>
        <v/>
      </c>
      <c r="X492" s="54" t="str">
        <f>IF($A492="","",$T492*(1-'01. CONFIGURAÇÕES'!$C$16)-IF($W492="",0,$W492))</f>
        <v/>
      </c>
      <c r="Y492" s="54" t="str">
        <f t="shared" si="63"/>
        <v/>
      </c>
      <c r="Z492" s="30"/>
      <c r="AA492" s="33"/>
      <c r="AB492" s="33"/>
    </row>
    <row r="493" spans="1:28" x14ac:dyDescent="0.25">
      <c r="A493" s="31"/>
      <c r="B493" s="29" t="str">
        <f t="shared" si="56"/>
        <v/>
      </c>
      <c r="C493" s="29" t="str">
        <f>IF($A493="","","S"&amp;(INT(($A493-'01. CONFIGURAÇÕES'!$C$12)/7)+1))</f>
        <v/>
      </c>
      <c r="D493" s="30"/>
      <c r="E493" s="30"/>
      <c r="F493" s="10"/>
      <c r="G493" s="49"/>
      <c r="H493" s="49"/>
      <c r="I493" s="52" t="str">
        <f t="shared" si="57"/>
        <v/>
      </c>
      <c r="J493" s="49"/>
      <c r="K493" s="49"/>
      <c r="L493" s="49"/>
      <c r="M493" s="49"/>
      <c r="N493" s="49"/>
      <c r="O493" s="49"/>
      <c r="P493" s="10"/>
      <c r="Q493" s="11" t="str">
        <f t="shared" si="58"/>
        <v/>
      </c>
      <c r="R493" s="11" t="str">
        <f t="shared" si="59"/>
        <v/>
      </c>
      <c r="S493" s="58" t="str">
        <f t="shared" si="60"/>
        <v/>
      </c>
      <c r="T493" s="55" t="str">
        <f t="shared" si="61"/>
        <v/>
      </c>
      <c r="U493" s="55" t="str">
        <f>IF($D493="","",IF($D493='01. CONFIGURAÇÕES'!$C$8,'01. CONFIGURAÇÕES'!$C$38,'01. CONFIGURAÇÕES'!$D$38))</f>
        <v/>
      </c>
      <c r="V493" s="58" t="str">
        <f t="shared" si="62"/>
        <v/>
      </c>
      <c r="W493" s="55" t="str">
        <f>IF($D493="","",IF($D493='01. CONFIGURAÇÕES'!$C$8,'01. CONFIGURAÇÕES'!$C$31,'01. CONFIGURAÇÕES'!$D$31))</f>
        <v/>
      </c>
      <c r="X493" s="54" t="str">
        <f>IF($A493="","",$T493*(1-'01. CONFIGURAÇÕES'!$C$16)-IF($W493="",0,$W493))</f>
        <v/>
      </c>
      <c r="Y493" s="54" t="str">
        <f t="shared" si="63"/>
        <v/>
      </c>
      <c r="Z493" s="30"/>
      <c r="AA493" s="33"/>
      <c r="AB493" s="33"/>
    </row>
    <row r="494" spans="1:28" x14ac:dyDescent="0.25">
      <c r="A494" s="31"/>
      <c r="B494" s="29" t="str">
        <f t="shared" si="56"/>
        <v/>
      </c>
      <c r="C494" s="29" t="str">
        <f>IF($A494="","","S"&amp;(INT(($A494-'01. CONFIGURAÇÕES'!$C$12)/7)+1))</f>
        <v/>
      </c>
      <c r="D494" s="30"/>
      <c r="E494" s="30"/>
      <c r="F494" s="10"/>
      <c r="G494" s="49"/>
      <c r="H494" s="49"/>
      <c r="I494" s="52" t="str">
        <f t="shared" si="57"/>
        <v/>
      </c>
      <c r="J494" s="49"/>
      <c r="K494" s="49"/>
      <c r="L494" s="49"/>
      <c r="M494" s="49"/>
      <c r="N494" s="49"/>
      <c r="O494" s="49"/>
      <c r="P494" s="10"/>
      <c r="Q494" s="11" t="str">
        <f t="shared" si="58"/>
        <v/>
      </c>
      <c r="R494" s="11" t="str">
        <f t="shared" si="59"/>
        <v/>
      </c>
      <c r="S494" s="58" t="str">
        <f t="shared" si="60"/>
        <v/>
      </c>
      <c r="T494" s="55" t="str">
        <f t="shared" si="61"/>
        <v/>
      </c>
      <c r="U494" s="55" t="str">
        <f>IF($D494="","",IF($D494='01. CONFIGURAÇÕES'!$C$8,'01. CONFIGURAÇÕES'!$C$38,'01. CONFIGURAÇÕES'!$D$38))</f>
        <v/>
      </c>
      <c r="V494" s="58" t="str">
        <f t="shared" si="62"/>
        <v/>
      </c>
      <c r="W494" s="55" t="str">
        <f>IF($D494="","",IF($D494='01. CONFIGURAÇÕES'!$C$8,'01. CONFIGURAÇÕES'!$C$31,'01. CONFIGURAÇÕES'!$D$31))</f>
        <v/>
      </c>
      <c r="X494" s="54" t="str">
        <f>IF($A494="","",$T494*(1-'01. CONFIGURAÇÕES'!$C$16)-IF($W494="",0,$W494))</f>
        <v/>
      </c>
      <c r="Y494" s="54" t="str">
        <f t="shared" si="63"/>
        <v/>
      </c>
      <c r="Z494" s="30"/>
      <c r="AA494" s="33"/>
      <c r="AB494" s="33"/>
    </row>
    <row r="495" spans="1:28" x14ac:dyDescent="0.25">
      <c r="A495" s="31"/>
      <c r="B495" s="29" t="str">
        <f t="shared" si="56"/>
        <v/>
      </c>
      <c r="C495" s="29" t="str">
        <f>IF($A495="","","S"&amp;(INT(($A495-'01. CONFIGURAÇÕES'!$C$12)/7)+1))</f>
        <v/>
      </c>
      <c r="D495" s="30"/>
      <c r="E495" s="30"/>
      <c r="F495" s="10"/>
      <c r="G495" s="49"/>
      <c r="H495" s="49"/>
      <c r="I495" s="52" t="str">
        <f t="shared" si="57"/>
        <v/>
      </c>
      <c r="J495" s="49"/>
      <c r="K495" s="49"/>
      <c r="L495" s="49"/>
      <c r="M495" s="49"/>
      <c r="N495" s="49"/>
      <c r="O495" s="49"/>
      <c r="P495" s="10"/>
      <c r="Q495" s="11" t="str">
        <f t="shared" si="58"/>
        <v/>
      </c>
      <c r="R495" s="11" t="str">
        <f t="shared" si="59"/>
        <v/>
      </c>
      <c r="S495" s="58" t="str">
        <f t="shared" si="60"/>
        <v/>
      </c>
      <c r="T495" s="55" t="str">
        <f t="shared" si="61"/>
        <v/>
      </c>
      <c r="U495" s="55" t="str">
        <f>IF($D495="","",IF($D495='01. CONFIGURAÇÕES'!$C$8,'01. CONFIGURAÇÕES'!$C$38,'01. CONFIGURAÇÕES'!$D$38))</f>
        <v/>
      </c>
      <c r="V495" s="58" t="str">
        <f t="shared" si="62"/>
        <v/>
      </c>
      <c r="W495" s="55" t="str">
        <f>IF($D495="","",IF($D495='01. CONFIGURAÇÕES'!$C$8,'01. CONFIGURAÇÕES'!$C$31,'01. CONFIGURAÇÕES'!$D$31))</f>
        <v/>
      </c>
      <c r="X495" s="54" t="str">
        <f>IF($A495="","",$T495*(1-'01. CONFIGURAÇÕES'!$C$16)-IF($W495="",0,$W495))</f>
        <v/>
      </c>
      <c r="Y495" s="54" t="str">
        <f t="shared" si="63"/>
        <v/>
      </c>
      <c r="Z495" s="30"/>
      <c r="AA495" s="33"/>
      <c r="AB495" s="33"/>
    </row>
    <row r="496" spans="1:28" x14ac:dyDescent="0.25">
      <c r="A496" s="31"/>
      <c r="B496" s="29" t="str">
        <f t="shared" si="56"/>
        <v/>
      </c>
      <c r="C496" s="29" t="str">
        <f>IF($A496="","","S"&amp;(INT(($A496-'01. CONFIGURAÇÕES'!$C$12)/7)+1))</f>
        <v/>
      </c>
      <c r="D496" s="30"/>
      <c r="E496" s="30"/>
      <c r="F496" s="10"/>
      <c r="G496" s="49"/>
      <c r="H496" s="49"/>
      <c r="I496" s="52" t="str">
        <f t="shared" si="57"/>
        <v/>
      </c>
      <c r="J496" s="49"/>
      <c r="K496" s="49"/>
      <c r="L496" s="49"/>
      <c r="M496" s="49"/>
      <c r="N496" s="49"/>
      <c r="O496" s="49"/>
      <c r="P496" s="10"/>
      <c r="Q496" s="11" t="str">
        <f t="shared" si="58"/>
        <v/>
      </c>
      <c r="R496" s="11" t="str">
        <f t="shared" si="59"/>
        <v/>
      </c>
      <c r="S496" s="58" t="str">
        <f t="shared" si="60"/>
        <v/>
      </c>
      <c r="T496" s="55" t="str">
        <f t="shared" si="61"/>
        <v/>
      </c>
      <c r="U496" s="55" t="str">
        <f>IF($D496="","",IF($D496='01. CONFIGURAÇÕES'!$C$8,'01. CONFIGURAÇÕES'!$C$38,'01. CONFIGURAÇÕES'!$D$38))</f>
        <v/>
      </c>
      <c r="V496" s="58" t="str">
        <f t="shared" si="62"/>
        <v/>
      </c>
      <c r="W496" s="55" t="str">
        <f>IF($D496="","",IF($D496='01. CONFIGURAÇÕES'!$C$8,'01. CONFIGURAÇÕES'!$C$31,'01. CONFIGURAÇÕES'!$D$31))</f>
        <v/>
      </c>
      <c r="X496" s="54" t="str">
        <f>IF($A496="","",$T496*(1-'01. CONFIGURAÇÕES'!$C$16)-IF($W496="",0,$W496))</f>
        <v/>
      </c>
      <c r="Y496" s="54" t="str">
        <f t="shared" si="63"/>
        <v/>
      </c>
      <c r="Z496" s="30"/>
      <c r="AA496" s="33"/>
      <c r="AB496" s="33"/>
    </row>
    <row r="497" spans="1:28" x14ac:dyDescent="0.25">
      <c r="A497" s="31"/>
      <c r="B497" s="29" t="str">
        <f t="shared" si="56"/>
        <v/>
      </c>
      <c r="C497" s="29" t="str">
        <f>IF($A497="","","S"&amp;(INT(($A497-'01. CONFIGURAÇÕES'!$C$12)/7)+1))</f>
        <v/>
      </c>
      <c r="D497" s="30"/>
      <c r="E497" s="30"/>
      <c r="F497" s="10"/>
      <c r="G497" s="49"/>
      <c r="H497" s="49"/>
      <c r="I497" s="52" t="str">
        <f t="shared" si="57"/>
        <v/>
      </c>
      <c r="J497" s="49"/>
      <c r="K497" s="49"/>
      <c r="L497" s="49"/>
      <c r="M497" s="49"/>
      <c r="N497" s="49"/>
      <c r="O497" s="49"/>
      <c r="P497" s="10"/>
      <c r="Q497" s="11" t="str">
        <f t="shared" si="58"/>
        <v/>
      </c>
      <c r="R497" s="11" t="str">
        <f t="shared" si="59"/>
        <v/>
      </c>
      <c r="S497" s="58" t="str">
        <f t="shared" si="60"/>
        <v/>
      </c>
      <c r="T497" s="55" t="str">
        <f t="shared" si="61"/>
        <v/>
      </c>
      <c r="U497" s="55" t="str">
        <f>IF($D497="","",IF($D497='01. CONFIGURAÇÕES'!$C$8,'01. CONFIGURAÇÕES'!$C$38,'01. CONFIGURAÇÕES'!$D$38))</f>
        <v/>
      </c>
      <c r="V497" s="58" t="str">
        <f t="shared" si="62"/>
        <v/>
      </c>
      <c r="W497" s="55" t="str">
        <f>IF($D497="","",IF($D497='01. CONFIGURAÇÕES'!$C$8,'01. CONFIGURAÇÕES'!$C$31,'01. CONFIGURAÇÕES'!$D$31))</f>
        <v/>
      </c>
      <c r="X497" s="54" t="str">
        <f>IF($A497="","",$T497*(1-'01. CONFIGURAÇÕES'!$C$16)-IF($W497="",0,$W497))</f>
        <v/>
      </c>
      <c r="Y497" s="54" t="str">
        <f t="shared" si="63"/>
        <v/>
      </c>
      <c r="Z497" s="30"/>
      <c r="AA497" s="33"/>
      <c r="AB497" s="33"/>
    </row>
    <row r="498" spans="1:28" x14ac:dyDescent="0.25">
      <c r="A498" s="31"/>
      <c r="B498" s="29" t="str">
        <f t="shared" si="56"/>
        <v/>
      </c>
      <c r="C498" s="29" t="str">
        <f>IF($A498="","","S"&amp;(INT(($A498-'01. CONFIGURAÇÕES'!$C$12)/7)+1))</f>
        <v/>
      </c>
      <c r="D498" s="30"/>
      <c r="E498" s="30"/>
      <c r="F498" s="10"/>
      <c r="G498" s="49"/>
      <c r="H498" s="49"/>
      <c r="I498" s="52" t="str">
        <f t="shared" si="57"/>
        <v/>
      </c>
      <c r="J498" s="49"/>
      <c r="K498" s="49"/>
      <c r="L498" s="49"/>
      <c r="M498" s="49"/>
      <c r="N498" s="49"/>
      <c r="O498" s="49"/>
      <c r="P498" s="10"/>
      <c r="Q498" s="11" t="str">
        <f t="shared" si="58"/>
        <v/>
      </c>
      <c r="R498" s="11" t="str">
        <f t="shared" si="59"/>
        <v/>
      </c>
      <c r="S498" s="58" t="str">
        <f t="shared" si="60"/>
        <v/>
      </c>
      <c r="T498" s="55" t="str">
        <f t="shared" si="61"/>
        <v/>
      </c>
      <c r="U498" s="55" t="str">
        <f>IF($D498="","",IF($D498='01. CONFIGURAÇÕES'!$C$8,'01. CONFIGURAÇÕES'!$C$38,'01. CONFIGURAÇÕES'!$D$38))</f>
        <v/>
      </c>
      <c r="V498" s="58" t="str">
        <f t="shared" si="62"/>
        <v/>
      </c>
      <c r="W498" s="55" t="str">
        <f>IF($D498="","",IF($D498='01. CONFIGURAÇÕES'!$C$8,'01. CONFIGURAÇÕES'!$C$31,'01. CONFIGURAÇÕES'!$D$31))</f>
        <v/>
      </c>
      <c r="X498" s="54" t="str">
        <f>IF($A498="","",$T498*(1-'01. CONFIGURAÇÕES'!$C$16)-IF($W498="",0,$W498))</f>
        <v/>
      </c>
      <c r="Y498" s="54" t="str">
        <f t="shared" si="63"/>
        <v/>
      </c>
      <c r="Z498" s="30"/>
      <c r="AA498" s="33"/>
      <c r="AB498" s="33"/>
    </row>
    <row r="499" spans="1:28" x14ac:dyDescent="0.25">
      <c r="A499" s="31"/>
      <c r="B499" s="29" t="str">
        <f t="shared" si="56"/>
        <v/>
      </c>
      <c r="C499" s="29" t="str">
        <f>IF($A499="","","S"&amp;(INT(($A499-'01. CONFIGURAÇÕES'!$C$12)/7)+1))</f>
        <v/>
      </c>
      <c r="D499" s="30"/>
      <c r="E499" s="30"/>
      <c r="F499" s="10"/>
      <c r="G499" s="49"/>
      <c r="H499" s="49"/>
      <c r="I499" s="52" t="str">
        <f t="shared" si="57"/>
        <v/>
      </c>
      <c r="J499" s="49"/>
      <c r="K499" s="49"/>
      <c r="L499" s="49"/>
      <c r="M499" s="49"/>
      <c r="N499" s="49"/>
      <c r="O499" s="49"/>
      <c r="P499" s="10"/>
      <c r="Q499" s="11" t="str">
        <f t="shared" si="58"/>
        <v/>
      </c>
      <c r="R499" s="11" t="str">
        <f t="shared" si="59"/>
        <v/>
      </c>
      <c r="S499" s="58" t="str">
        <f t="shared" si="60"/>
        <v/>
      </c>
      <c r="T499" s="55" t="str">
        <f t="shared" si="61"/>
        <v/>
      </c>
      <c r="U499" s="55" t="str">
        <f>IF($D499="","",IF($D499='01. CONFIGURAÇÕES'!$C$8,'01. CONFIGURAÇÕES'!$C$38,'01. CONFIGURAÇÕES'!$D$38))</f>
        <v/>
      </c>
      <c r="V499" s="58" t="str">
        <f t="shared" si="62"/>
        <v/>
      </c>
      <c r="W499" s="55" t="str">
        <f>IF($D499="","",IF($D499='01. CONFIGURAÇÕES'!$C$8,'01. CONFIGURAÇÕES'!$C$31,'01. CONFIGURAÇÕES'!$D$31))</f>
        <v/>
      </c>
      <c r="X499" s="54" t="str">
        <f>IF($A499="","",$T499*(1-'01. CONFIGURAÇÕES'!$C$16)-IF($W499="",0,$W499))</f>
        <v/>
      </c>
      <c r="Y499" s="54" t="str">
        <f t="shared" si="63"/>
        <v/>
      </c>
      <c r="Z499" s="30"/>
      <c r="AA499" s="33"/>
      <c r="AB499" s="33"/>
    </row>
    <row r="500" spans="1:28" x14ac:dyDescent="0.25">
      <c r="A500" s="31"/>
      <c r="B500" s="29" t="str">
        <f t="shared" si="56"/>
        <v/>
      </c>
      <c r="C500" s="29" t="str">
        <f>IF($A500="","","S"&amp;(INT(($A500-'01. CONFIGURAÇÕES'!$C$12)/7)+1))</f>
        <v/>
      </c>
      <c r="D500" s="30"/>
      <c r="E500" s="30"/>
      <c r="F500" s="10"/>
      <c r="G500" s="49"/>
      <c r="H500" s="49"/>
      <c r="I500" s="52" t="str">
        <f t="shared" si="57"/>
        <v/>
      </c>
      <c r="J500" s="49"/>
      <c r="K500" s="49"/>
      <c r="L500" s="49"/>
      <c r="M500" s="49"/>
      <c r="N500" s="49"/>
      <c r="O500" s="49"/>
      <c r="P500" s="10"/>
      <c r="Q500" s="11" t="str">
        <f t="shared" si="58"/>
        <v/>
      </c>
      <c r="R500" s="11" t="str">
        <f t="shared" si="59"/>
        <v/>
      </c>
      <c r="S500" s="58" t="str">
        <f t="shared" si="60"/>
        <v/>
      </c>
      <c r="T500" s="55" t="str">
        <f t="shared" si="61"/>
        <v/>
      </c>
      <c r="U500" s="55" t="str">
        <f>IF($D500="","",IF($D500='01. CONFIGURAÇÕES'!$C$8,'01. CONFIGURAÇÕES'!$C$38,'01. CONFIGURAÇÕES'!$D$38))</f>
        <v/>
      </c>
      <c r="V500" s="58" t="str">
        <f t="shared" si="62"/>
        <v/>
      </c>
      <c r="W500" s="55" t="str">
        <f>IF($D500="","",IF($D500='01. CONFIGURAÇÕES'!$C$8,'01. CONFIGURAÇÕES'!$C$31,'01. CONFIGURAÇÕES'!$D$31))</f>
        <v/>
      </c>
      <c r="X500" s="54" t="str">
        <f>IF($A500="","",$T500*(1-'01. CONFIGURAÇÕES'!$C$16)-IF($W500="",0,$W500))</f>
        <v/>
      </c>
      <c r="Y500" s="54" t="str">
        <f t="shared" si="63"/>
        <v/>
      </c>
      <c r="Z500" s="30"/>
      <c r="AA500" s="33"/>
      <c r="AB500" s="33"/>
    </row>
    <row r="501" spans="1:28" x14ac:dyDescent="0.25">
      <c r="A501" s="31"/>
      <c r="B501" s="29" t="str">
        <f t="shared" si="56"/>
        <v/>
      </c>
      <c r="C501" s="29" t="str">
        <f>IF($A501="","","S"&amp;(INT(($A501-'01. CONFIGURAÇÕES'!$C$12)/7)+1))</f>
        <v/>
      </c>
      <c r="D501" s="30"/>
      <c r="E501" s="30"/>
      <c r="F501" s="10"/>
      <c r="G501" s="49"/>
      <c r="H501" s="49"/>
      <c r="I501" s="52" t="str">
        <f t="shared" si="57"/>
        <v/>
      </c>
      <c r="J501" s="49"/>
      <c r="K501" s="49"/>
      <c r="L501" s="49"/>
      <c r="M501" s="49"/>
      <c r="N501" s="49"/>
      <c r="O501" s="49"/>
      <c r="P501" s="10"/>
      <c r="Q501" s="11" t="str">
        <f t="shared" si="58"/>
        <v/>
      </c>
      <c r="R501" s="11" t="str">
        <f t="shared" si="59"/>
        <v/>
      </c>
      <c r="S501" s="58" t="str">
        <f t="shared" si="60"/>
        <v/>
      </c>
      <c r="T501" s="55" t="str">
        <f t="shared" si="61"/>
        <v/>
      </c>
      <c r="U501" s="55" t="str">
        <f>IF($D501="","",IF($D501='01. CONFIGURAÇÕES'!$C$8,'01. CONFIGURAÇÕES'!$C$38,'01. CONFIGURAÇÕES'!$D$38))</f>
        <v/>
      </c>
      <c r="V501" s="58" t="str">
        <f t="shared" si="62"/>
        <v/>
      </c>
      <c r="W501" s="55" t="str">
        <f>IF($D501="","",IF($D501='01. CONFIGURAÇÕES'!$C$8,'01. CONFIGURAÇÕES'!$C$31,'01. CONFIGURAÇÕES'!$D$31))</f>
        <v/>
      </c>
      <c r="X501" s="54" t="str">
        <f>IF($A501="","",$T501*(1-'01. CONFIGURAÇÕES'!$C$16)-IF($W501="",0,$W501))</f>
        <v/>
      </c>
      <c r="Y501" s="54" t="str">
        <f t="shared" si="63"/>
        <v/>
      </c>
      <c r="Z501" s="30"/>
      <c r="AA501" s="33"/>
      <c r="AB501" s="33"/>
    </row>
    <row r="502" spans="1:28" x14ac:dyDescent="0.25">
      <c r="A502" s="31"/>
      <c r="B502" s="29" t="str">
        <f t="shared" si="56"/>
        <v/>
      </c>
      <c r="C502" s="29" t="str">
        <f>IF($A502="","","S"&amp;(INT(($A502-'01. CONFIGURAÇÕES'!$C$12)/7)+1))</f>
        <v/>
      </c>
      <c r="D502" s="30"/>
      <c r="E502" s="30"/>
      <c r="F502" s="10"/>
      <c r="G502" s="49"/>
      <c r="H502" s="49"/>
      <c r="I502" s="52" t="str">
        <f t="shared" si="57"/>
        <v/>
      </c>
      <c r="J502" s="49"/>
      <c r="K502" s="49"/>
      <c r="L502" s="49"/>
      <c r="M502" s="49"/>
      <c r="N502" s="49"/>
      <c r="O502" s="49"/>
      <c r="P502" s="10"/>
      <c r="Q502" s="11" t="str">
        <f t="shared" si="58"/>
        <v/>
      </c>
      <c r="R502" s="11" t="str">
        <f t="shared" si="59"/>
        <v/>
      </c>
      <c r="S502" s="58" t="str">
        <f t="shared" si="60"/>
        <v/>
      </c>
      <c r="T502" s="55" t="str">
        <f t="shared" si="61"/>
        <v/>
      </c>
      <c r="U502" s="55" t="str">
        <f>IF($D502="","",IF($D502='01. CONFIGURAÇÕES'!$C$8,'01. CONFIGURAÇÕES'!$C$38,'01. CONFIGURAÇÕES'!$D$38))</f>
        <v/>
      </c>
      <c r="V502" s="58" t="str">
        <f t="shared" si="62"/>
        <v/>
      </c>
      <c r="W502" s="55" t="str">
        <f>IF($D502="","",IF($D502='01. CONFIGURAÇÕES'!$C$8,'01. CONFIGURAÇÕES'!$C$31,'01. CONFIGURAÇÕES'!$D$31))</f>
        <v/>
      </c>
      <c r="X502" s="54" t="str">
        <f>IF($A502="","",$T502*(1-'01. CONFIGURAÇÕES'!$C$16)-IF($W502="",0,$W502))</f>
        <v/>
      </c>
      <c r="Y502" s="54" t="str">
        <f t="shared" si="63"/>
        <v/>
      </c>
      <c r="Z502" s="30"/>
      <c r="AA502" s="33"/>
      <c r="AB502" s="33"/>
    </row>
    <row r="503" spans="1:28" x14ac:dyDescent="0.25">
      <c r="A503" s="31"/>
      <c r="B503" s="29" t="str">
        <f t="shared" si="56"/>
        <v/>
      </c>
      <c r="C503" s="29" t="str">
        <f>IF($A503="","","S"&amp;(INT(($A503-'01. CONFIGURAÇÕES'!$C$12)/7)+1))</f>
        <v/>
      </c>
      <c r="D503" s="30"/>
      <c r="E503" s="30"/>
      <c r="F503" s="10"/>
      <c r="G503" s="49"/>
      <c r="H503" s="49"/>
      <c r="I503" s="52" t="str">
        <f t="shared" si="57"/>
        <v/>
      </c>
      <c r="J503" s="49"/>
      <c r="K503" s="49"/>
      <c r="L503" s="49"/>
      <c r="M503" s="49"/>
      <c r="N503" s="49"/>
      <c r="O503" s="49"/>
      <c r="P503" s="10"/>
      <c r="Q503" s="11" t="str">
        <f t="shared" si="58"/>
        <v/>
      </c>
      <c r="R503" s="11" t="str">
        <f t="shared" si="59"/>
        <v/>
      </c>
      <c r="S503" s="58" t="str">
        <f t="shared" si="60"/>
        <v/>
      </c>
      <c r="T503" s="55" t="str">
        <f t="shared" si="61"/>
        <v/>
      </c>
      <c r="U503" s="55" t="str">
        <f>IF($D503="","",IF($D503='01. CONFIGURAÇÕES'!$C$8,'01. CONFIGURAÇÕES'!$C$38,'01. CONFIGURAÇÕES'!$D$38))</f>
        <v/>
      </c>
      <c r="V503" s="58" t="str">
        <f t="shared" si="62"/>
        <v/>
      </c>
      <c r="W503" s="55" t="str">
        <f>IF($D503="","",IF($D503='01. CONFIGURAÇÕES'!$C$8,'01. CONFIGURAÇÕES'!$C$31,'01. CONFIGURAÇÕES'!$D$31))</f>
        <v/>
      </c>
      <c r="X503" s="54" t="str">
        <f>IF($A503="","",$T503*(1-'01. CONFIGURAÇÕES'!$C$16)-IF($W503="",0,$W503))</f>
        <v/>
      </c>
      <c r="Y503" s="54" t="str">
        <f t="shared" si="63"/>
        <v/>
      </c>
      <c r="Z503" s="30"/>
      <c r="AA503" s="33"/>
      <c r="AB503" s="33"/>
    </row>
    <row r="504" spans="1:28" x14ac:dyDescent="0.25">
      <c r="A504" s="31"/>
      <c r="B504" s="29" t="str">
        <f t="shared" si="56"/>
        <v/>
      </c>
      <c r="C504" s="29" t="str">
        <f>IF($A504="","","S"&amp;(INT(($A504-'01. CONFIGURAÇÕES'!$C$12)/7)+1))</f>
        <v/>
      </c>
      <c r="D504" s="30"/>
      <c r="E504" s="30"/>
      <c r="F504" s="10"/>
      <c r="G504" s="49"/>
      <c r="H504" s="49"/>
      <c r="I504" s="52" t="str">
        <f t="shared" si="57"/>
        <v/>
      </c>
      <c r="J504" s="49"/>
      <c r="K504" s="49"/>
      <c r="L504" s="49"/>
      <c r="M504" s="49"/>
      <c r="N504" s="49"/>
      <c r="O504" s="49"/>
      <c r="P504" s="10"/>
      <c r="Q504" s="11" t="str">
        <f t="shared" si="58"/>
        <v/>
      </c>
      <c r="R504" s="11" t="str">
        <f t="shared" si="59"/>
        <v/>
      </c>
      <c r="S504" s="58" t="str">
        <f t="shared" si="60"/>
        <v/>
      </c>
      <c r="T504" s="55" t="str">
        <f t="shared" si="61"/>
        <v/>
      </c>
      <c r="U504" s="55" t="str">
        <f>IF($D504="","",IF($D504='01. CONFIGURAÇÕES'!$C$8,'01. CONFIGURAÇÕES'!$C$38,'01. CONFIGURAÇÕES'!$D$38))</f>
        <v/>
      </c>
      <c r="V504" s="58" t="str">
        <f t="shared" si="62"/>
        <v/>
      </c>
      <c r="W504" s="55" t="str">
        <f>IF($D504="","",IF($D504='01. CONFIGURAÇÕES'!$C$8,'01. CONFIGURAÇÕES'!$C$31,'01. CONFIGURAÇÕES'!$D$31))</f>
        <v/>
      </c>
      <c r="X504" s="54" t="str">
        <f>IF($A504="","",$T504*(1-'01. CONFIGURAÇÕES'!$C$16)-IF($W504="",0,$W504))</f>
        <v/>
      </c>
      <c r="Y504" s="54" t="str">
        <f t="shared" si="63"/>
        <v/>
      </c>
      <c r="Z504" s="30"/>
      <c r="AA504" s="33"/>
      <c r="AB504" s="33"/>
    </row>
  </sheetData>
  <autoFilter ref="A4:AB4"/>
  <mergeCells count="24">
    <mergeCell ref="AE22:AJ22"/>
    <mergeCell ref="AE18:AJ18"/>
    <mergeCell ref="AE3:AJ3"/>
    <mergeCell ref="AE21:AJ21"/>
    <mergeCell ref="AE12:AJ12"/>
    <mergeCell ref="A1:AB1"/>
    <mergeCell ref="AE4:AJ4"/>
    <mergeCell ref="AE20:AJ20"/>
    <mergeCell ref="AE16:AJ16"/>
    <mergeCell ref="AE7:AJ7"/>
    <mergeCell ref="AE1:AJ1"/>
    <mergeCell ref="AE19:AJ19"/>
    <mergeCell ref="AE13:AJ13"/>
    <mergeCell ref="AE9:AJ9"/>
    <mergeCell ref="AE6:AJ6"/>
    <mergeCell ref="AE15:AJ15"/>
    <mergeCell ref="AE5:AJ5"/>
    <mergeCell ref="AE11:AJ11"/>
    <mergeCell ref="A2:AB2"/>
    <mergeCell ref="AE2:AJ2"/>
    <mergeCell ref="AE8:AJ8"/>
    <mergeCell ref="AE14:AJ14"/>
    <mergeCell ref="AE17:AJ17"/>
    <mergeCell ref="AE10:AJ10"/>
  </mergeCells>
  <conditionalFormatting sqref="A5:A504">
    <cfRule type="expression" dxfId="54" priority="5">
      <formula>AND($A5&lt;&gt;"",WEEKDAY($A5,2)&gt;5)</formula>
    </cfRule>
  </conditionalFormatting>
  <conditionalFormatting sqref="V5:V504">
    <cfRule type="cellIs" dxfId="53" priority="1" operator="greaterThanOrEqual">
      <formula>1</formula>
    </cfRule>
    <cfRule type="cellIs" dxfId="52" priority="2" operator="between">
      <formula>0.8</formula>
      <formula>0.9999</formula>
    </cfRule>
    <cfRule type="cellIs" dxfId="51" priority="3" operator="lessThan">
      <formula>0.8</formula>
    </cfRule>
  </conditionalFormatting>
  <conditionalFormatting sqref="X5:X504">
    <cfRule type="cellIs" dxfId="50" priority="4" operator="lessThan">
      <formula>0</formula>
    </cfRule>
  </conditionalFormatting>
  <dataValidations count="8">
    <dataValidation type="list" allowBlank="1" errorTitle="Entrada invalida" error="Valor fora da lista padronizada. Use a seta para escolher." sqref="D5:D504">
      <formula1>LST_CONTRATO</formula1>
    </dataValidation>
    <dataValidation type="list" allowBlank="1" errorTitle="Entrada invalida" error="Valor fora da lista padronizada. Use a seta para escolher." sqref="E5:E504">
      <formula1>LST_EQUIPE</formula1>
    </dataValidation>
    <dataValidation type="list" allowBlank="1" errorTitle="Entrada invalida" error="Valor fora da lista padronizada. Use a seta para escolher." sqref="Z5:Z504">
      <formula1>LST_DIA</formula1>
    </dataValidation>
    <dataValidation type="list" allowBlank="1" errorTitle="Entrada invalida" error="Valor fora da lista padronizada. Use a seta para escolher." sqref="AA5:AA504">
      <formula1>LST_MOTIVO_PARADA</formula1>
    </dataValidation>
    <dataValidation type="date" allowBlank="1" errorTitle="Data invalida" error="Informe uma data valida (dd/mm/aaaa) entre 2026 e 2030." sqref="A5:A504">
      <formula1>DATE(2026,1,1)</formula1>
      <formula2>DATE(2030,12,31)</formula2>
    </dataValidation>
    <dataValidation type="decimal" allowBlank="1" errorTitle="Valor invalido" error="Informe um numero entre 0 e 30." sqref="F5:F504">
      <formula1>0</formula1>
      <formula2>30</formula2>
    </dataValidation>
    <dataValidation type="decimal" allowBlank="1" errorTitle="Valor invalido" error="Informe um numero entre 0 e 12." sqref="G5:G504">
      <formula1>0</formula1>
      <formula2>12</formula2>
    </dataValidation>
    <dataValidation type="decimal" allowBlank="1" errorTitle="Valor invalido" error="Informe um numero entre 0 e 8." sqref="H5:H504">
      <formula1>0</formula1>
      <formula2>8</formula2>
    </dataValidation>
  </dataValidations>
  <printOptions horizontalCentered="1"/>
  <pageMargins left="0.3" right="0.3" top="0.5" bottom="0.5" header="0.5" footer="0.5"/>
  <pageSetup paperSize="9" fitToHeight="0" orientation="landscape"/>
  <headerFooter>
    <oddFooter>&amp;L&amp;8 WCR Saneamento — Controle Operacional SABESP&amp;R&amp;8 Página &amp;P de &amp;N</oddFooter>
  </headerFooter>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2E75B6"/>
    <pageSetUpPr fitToPage="1"/>
  </sheetPr>
  <dimension ref="A1:AD704"/>
  <sheetViews>
    <sheetView showGridLines="0" workbookViewId="0">
      <pane ySplit="4" topLeftCell="A5" activePane="bottomLeft" state="frozen"/>
      <selection pane="bottomLeft" activeCell="B5" sqref="B5"/>
    </sheetView>
  </sheetViews>
  <sheetFormatPr defaultRowHeight="15" x14ac:dyDescent="0.25"/>
  <cols>
    <col min="1" max="1" width="11" style="109" customWidth="1"/>
    <col min="2" max="2" width="12" style="109" customWidth="1"/>
    <col min="3" max="3" width="15" style="109" customWidth="1"/>
    <col min="4" max="4" width="16" style="109" customWidth="1"/>
    <col min="5" max="5" width="30" style="109" customWidth="1"/>
    <col min="6" max="6" width="7" style="109" customWidth="1"/>
    <col min="7" max="7" width="11" style="109" customWidth="1"/>
    <col min="8" max="9" width="10" style="109" customWidth="1"/>
    <col min="10" max="10" width="12" style="109" customWidth="1"/>
    <col min="11" max="11" width="13" style="109" customWidth="1"/>
    <col min="12" max="12" width="20" style="109" customWidth="1"/>
    <col min="13" max="13" width="24" style="109" customWidth="1"/>
    <col min="14" max="14" width="15" style="109" customWidth="1"/>
    <col min="15" max="15" width="17" style="109" customWidth="1"/>
    <col min="16" max="16" width="30" style="109" customWidth="1"/>
    <col min="17" max="17" width="3" style="109" customWidth="1"/>
    <col min="18" max="18" width="30" style="109" customWidth="1"/>
    <col min="19" max="21" width="11" style="109" customWidth="1"/>
    <col min="22" max="22" width="14" style="109" customWidth="1"/>
    <col min="25" max="30" width="10.42578125" style="109" customWidth="1"/>
  </cols>
  <sheetData>
    <row r="1" spans="1:30" ht="26.1" customHeight="1" x14ac:dyDescent="0.25">
      <c r="A1" s="151" t="s">
        <v>2659</v>
      </c>
      <c r="B1" s="149"/>
      <c r="C1" s="149"/>
      <c r="D1" s="149"/>
      <c r="E1" s="149"/>
      <c r="F1" s="149"/>
      <c r="G1" s="149"/>
      <c r="H1" s="149"/>
      <c r="I1" s="149"/>
      <c r="J1" s="149"/>
      <c r="K1" s="149"/>
      <c r="L1" s="149"/>
      <c r="M1" s="149"/>
      <c r="N1" s="149"/>
      <c r="O1" s="149"/>
      <c r="P1" s="149"/>
      <c r="Y1" s="154" t="s">
        <v>280</v>
      </c>
      <c r="Z1" s="155"/>
      <c r="AA1" s="155"/>
      <c r="AB1" s="155"/>
      <c r="AC1" s="155"/>
      <c r="AD1" s="156"/>
    </row>
    <row r="2" spans="1:30" ht="14.1" customHeight="1" x14ac:dyDescent="0.25">
      <c r="A2" s="153" t="s">
        <v>2660</v>
      </c>
      <c r="B2" s="149"/>
      <c r="C2" s="149"/>
      <c r="D2" s="149"/>
      <c r="E2" s="149"/>
      <c r="F2" s="149"/>
      <c r="G2" s="149"/>
      <c r="H2" s="149"/>
      <c r="I2" s="149"/>
      <c r="J2" s="149"/>
      <c r="K2" s="149"/>
      <c r="L2" s="149"/>
      <c r="M2" s="149"/>
      <c r="N2" s="149"/>
      <c r="O2" s="149"/>
      <c r="P2" s="149"/>
      <c r="Y2" s="158" t="s">
        <v>122</v>
      </c>
      <c r="Z2" s="155"/>
      <c r="AA2" s="155"/>
      <c r="AB2" s="155"/>
      <c r="AC2" s="155"/>
      <c r="AD2" s="156"/>
    </row>
    <row r="3" spans="1:30" x14ac:dyDescent="0.25">
      <c r="Y3" s="157" t="s">
        <v>102</v>
      </c>
      <c r="Z3" s="155"/>
      <c r="AA3" s="155"/>
      <c r="AB3" s="155"/>
      <c r="AC3" s="155"/>
      <c r="AD3" s="156"/>
    </row>
    <row r="4" spans="1:30" ht="32.1" customHeight="1" x14ac:dyDescent="0.25">
      <c r="A4" s="46" t="s">
        <v>2536</v>
      </c>
      <c r="B4" s="46" t="s">
        <v>591</v>
      </c>
      <c r="C4" s="46" t="s">
        <v>607</v>
      </c>
      <c r="D4" s="46" t="s">
        <v>2661</v>
      </c>
      <c r="E4" s="46" t="s">
        <v>606</v>
      </c>
      <c r="F4" s="46" t="s">
        <v>560</v>
      </c>
      <c r="G4" s="46" t="s">
        <v>2662</v>
      </c>
      <c r="H4" s="46" t="s">
        <v>633</v>
      </c>
      <c r="I4" s="46" t="s">
        <v>655</v>
      </c>
      <c r="J4" s="46" t="s">
        <v>2663</v>
      </c>
      <c r="K4" s="46" t="s">
        <v>2664</v>
      </c>
      <c r="L4" s="46" t="s">
        <v>2665</v>
      </c>
      <c r="M4" s="46" t="s">
        <v>2666</v>
      </c>
      <c r="N4" s="46" t="s">
        <v>2667</v>
      </c>
      <c r="O4" s="46" t="s">
        <v>2668</v>
      </c>
      <c r="P4" s="46" t="s">
        <v>561</v>
      </c>
      <c r="R4" s="166" t="s">
        <v>2669</v>
      </c>
      <c r="S4" s="149"/>
      <c r="T4" s="149"/>
      <c r="U4" s="149"/>
      <c r="V4" s="149"/>
      <c r="Y4" s="157" t="s">
        <v>123</v>
      </c>
      <c r="Z4" s="155"/>
      <c r="AA4" s="155"/>
      <c r="AB4" s="155"/>
      <c r="AC4" s="155"/>
      <c r="AD4" s="156"/>
    </row>
    <row r="5" spans="1:30" x14ac:dyDescent="0.25">
      <c r="A5" s="31"/>
      <c r="B5" s="30"/>
      <c r="C5" s="30"/>
      <c r="D5" s="30"/>
      <c r="E5" s="33"/>
      <c r="F5" s="30"/>
      <c r="G5" s="49"/>
      <c r="H5" s="52" t="str">
        <f t="shared" ref="H5:H68" si="0">IF($A5="","",IF(OR($C5="ENTRADA",$C5="DEVOLUÇÃO"),$G5,0))</f>
        <v/>
      </c>
      <c r="I5" s="52" t="str">
        <f t="shared" ref="I5:I68" si="1">IF($A5="","",IF(OR($C5="SAÍDA",$C5="PERDA / QUEBRA",$C5="TRANSFERÊNCIA"),$G5,0))</f>
        <v/>
      </c>
      <c r="J5" s="53"/>
      <c r="K5" s="54" t="str">
        <f t="shared" ref="K5:K68" si="2">IF($A5="","",$G5*$J5)</f>
        <v/>
      </c>
      <c r="L5" s="33"/>
      <c r="M5" s="33"/>
      <c r="N5" s="30"/>
      <c r="O5" s="30"/>
      <c r="P5" s="33"/>
      <c r="R5" s="46" t="s">
        <v>606</v>
      </c>
      <c r="S5" s="46" t="s">
        <v>2670</v>
      </c>
      <c r="T5" s="46" t="s">
        <v>2671</v>
      </c>
      <c r="U5" s="46" t="s">
        <v>2672</v>
      </c>
      <c r="V5" s="46" t="s">
        <v>2673</v>
      </c>
      <c r="Y5" s="157" t="s">
        <v>124</v>
      </c>
      <c r="Z5" s="155"/>
      <c r="AA5" s="155"/>
      <c r="AB5" s="155"/>
      <c r="AC5" s="155"/>
      <c r="AD5" s="156"/>
    </row>
    <row r="6" spans="1:30" x14ac:dyDescent="0.25">
      <c r="A6" s="31"/>
      <c r="B6" s="30"/>
      <c r="C6" s="30"/>
      <c r="D6" s="30"/>
      <c r="E6" s="33"/>
      <c r="F6" s="30"/>
      <c r="G6" s="49"/>
      <c r="H6" s="52" t="str">
        <f t="shared" si="0"/>
        <v/>
      </c>
      <c r="I6" s="52" t="str">
        <f t="shared" si="1"/>
        <v/>
      </c>
      <c r="J6" s="53"/>
      <c r="K6" s="54" t="str">
        <f t="shared" si="2"/>
        <v/>
      </c>
      <c r="L6" s="33"/>
      <c r="M6" s="33"/>
      <c r="N6" s="30"/>
      <c r="O6" s="30"/>
      <c r="P6" s="33"/>
      <c r="R6" s="28" t="s">
        <v>632</v>
      </c>
      <c r="S6" s="52">
        <f t="shared" ref="S6:S34" si="3">SUMIFS($H$5:$H$704,$E$5:$E$704,$R6)</f>
        <v>0</v>
      </c>
      <c r="T6" s="52">
        <f t="shared" ref="T6:T34" si="4">SUMIFS($I$5:$I$704,$E$5:$E$704,$R6)</f>
        <v>0</v>
      </c>
      <c r="U6" s="52">
        <f t="shared" ref="U6:U34" si="5">$S6-$T6</f>
        <v>0</v>
      </c>
      <c r="V6" s="54">
        <f t="shared" ref="V6:V34" si="6">SUMIFS($K$5:$K$704,$E$5:$E$704,$R6)</f>
        <v>0</v>
      </c>
      <c r="Y6" s="157" t="s">
        <v>125</v>
      </c>
      <c r="Z6" s="155"/>
      <c r="AA6" s="155"/>
      <c r="AB6" s="155"/>
      <c r="AC6" s="155"/>
      <c r="AD6" s="156"/>
    </row>
    <row r="7" spans="1:30" x14ac:dyDescent="0.25">
      <c r="A7" s="31"/>
      <c r="B7" s="30"/>
      <c r="C7" s="30"/>
      <c r="D7" s="30"/>
      <c r="E7" s="33"/>
      <c r="F7" s="30"/>
      <c r="G7" s="49"/>
      <c r="H7" s="52" t="str">
        <f t="shared" si="0"/>
        <v/>
      </c>
      <c r="I7" s="52" t="str">
        <f t="shared" si="1"/>
        <v/>
      </c>
      <c r="J7" s="53"/>
      <c r="K7" s="54" t="str">
        <f t="shared" si="2"/>
        <v/>
      </c>
      <c r="L7" s="33"/>
      <c r="M7" s="33"/>
      <c r="N7" s="30"/>
      <c r="O7" s="30"/>
      <c r="P7" s="33"/>
      <c r="R7" s="28" t="s">
        <v>654</v>
      </c>
      <c r="S7" s="52">
        <f t="shared" si="3"/>
        <v>0</v>
      </c>
      <c r="T7" s="52">
        <f t="shared" si="4"/>
        <v>0</v>
      </c>
      <c r="U7" s="52">
        <f t="shared" si="5"/>
        <v>0</v>
      </c>
      <c r="V7" s="54">
        <f t="shared" si="6"/>
        <v>0</v>
      </c>
      <c r="Y7" s="157" t="s">
        <v>126</v>
      </c>
      <c r="Z7" s="155"/>
      <c r="AA7" s="155"/>
      <c r="AB7" s="155"/>
      <c r="AC7" s="155"/>
      <c r="AD7" s="156"/>
    </row>
    <row r="8" spans="1:30" x14ac:dyDescent="0.25">
      <c r="A8" s="31"/>
      <c r="B8" s="30"/>
      <c r="C8" s="30"/>
      <c r="D8" s="30"/>
      <c r="E8" s="33"/>
      <c r="F8" s="30"/>
      <c r="G8" s="49"/>
      <c r="H8" s="52" t="str">
        <f t="shared" si="0"/>
        <v/>
      </c>
      <c r="I8" s="52" t="str">
        <f t="shared" si="1"/>
        <v/>
      </c>
      <c r="J8" s="53"/>
      <c r="K8" s="54" t="str">
        <f t="shared" si="2"/>
        <v/>
      </c>
      <c r="L8" s="33"/>
      <c r="M8" s="33"/>
      <c r="N8" s="30"/>
      <c r="O8" s="30"/>
      <c r="P8" s="33"/>
      <c r="R8" s="28" t="s">
        <v>675</v>
      </c>
      <c r="S8" s="52">
        <f t="shared" si="3"/>
        <v>0</v>
      </c>
      <c r="T8" s="52">
        <f t="shared" si="4"/>
        <v>0</v>
      </c>
      <c r="U8" s="52">
        <f t="shared" si="5"/>
        <v>0</v>
      </c>
      <c r="V8" s="54">
        <f t="shared" si="6"/>
        <v>0</v>
      </c>
      <c r="Y8" s="157" t="s">
        <v>127</v>
      </c>
      <c r="Z8" s="155"/>
      <c r="AA8" s="155"/>
      <c r="AB8" s="155"/>
      <c r="AC8" s="155"/>
      <c r="AD8" s="156"/>
    </row>
    <row r="9" spans="1:30" x14ac:dyDescent="0.25">
      <c r="A9" s="31"/>
      <c r="B9" s="30"/>
      <c r="C9" s="30"/>
      <c r="D9" s="30"/>
      <c r="E9" s="33"/>
      <c r="F9" s="30"/>
      <c r="G9" s="49"/>
      <c r="H9" s="52" t="str">
        <f t="shared" si="0"/>
        <v/>
      </c>
      <c r="I9" s="52" t="str">
        <f t="shared" si="1"/>
        <v/>
      </c>
      <c r="J9" s="53"/>
      <c r="K9" s="54" t="str">
        <f t="shared" si="2"/>
        <v/>
      </c>
      <c r="L9" s="33"/>
      <c r="M9" s="33"/>
      <c r="N9" s="30"/>
      <c r="O9" s="30"/>
      <c r="P9" s="33"/>
      <c r="R9" s="28" t="s">
        <v>696</v>
      </c>
      <c r="S9" s="52">
        <f t="shared" si="3"/>
        <v>0</v>
      </c>
      <c r="T9" s="52">
        <f t="shared" si="4"/>
        <v>0</v>
      </c>
      <c r="U9" s="52">
        <f t="shared" si="5"/>
        <v>0</v>
      </c>
      <c r="V9" s="54">
        <f t="shared" si="6"/>
        <v>0</v>
      </c>
      <c r="Y9" s="157" t="s">
        <v>128</v>
      </c>
      <c r="Z9" s="155"/>
      <c r="AA9" s="155"/>
      <c r="AB9" s="155"/>
      <c r="AC9" s="155"/>
      <c r="AD9" s="156"/>
    </row>
    <row r="10" spans="1:30" x14ac:dyDescent="0.25">
      <c r="A10" s="31"/>
      <c r="B10" s="30"/>
      <c r="C10" s="30"/>
      <c r="D10" s="30"/>
      <c r="E10" s="33"/>
      <c r="F10" s="30"/>
      <c r="G10" s="49"/>
      <c r="H10" s="52" t="str">
        <f t="shared" si="0"/>
        <v/>
      </c>
      <c r="I10" s="52" t="str">
        <f t="shared" si="1"/>
        <v/>
      </c>
      <c r="J10" s="53"/>
      <c r="K10" s="54" t="str">
        <f t="shared" si="2"/>
        <v/>
      </c>
      <c r="L10" s="33"/>
      <c r="M10" s="33"/>
      <c r="N10" s="30"/>
      <c r="O10" s="30"/>
      <c r="P10" s="33"/>
      <c r="R10" s="28" t="s">
        <v>720</v>
      </c>
      <c r="S10" s="52">
        <f t="shared" si="3"/>
        <v>0</v>
      </c>
      <c r="T10" s="52">
        <f t="shared" si="4"/>
        <v>0</v>
      </c>
      <c r="U10" s="52">
        <f t="shared" si="5"/>
        <v>0</v>
      </c>
      <c r="V10" s="54">
        <f t="shared" si="6"/>
        <v>0</v>
      </c>
      <c r="Y10" s="157" t="s">
        <v>129</v>
      </c>
      <c r="Z10" s="155"/>
      <c r="AA10" s="155"/>
      <c r="AB10" s="155"/>
      <c r="AC10" s="155"/>
      <c r="AD10" s="156"/>
    </row>
    <row r="11" spans="1:30" x14ac:dyDescent="0.25">
      <c r="A11" s="31"/>
      <c r="B11" s="30"/>
      <c r="C11" s="30"/>
      <c r="D11" s="30"/>
      <c r="E11" s="33"/>
      <c r="F11" s="30"/>
      <c r="G11" s="49"/>
      <c r="H11" s="52" t="str">
        <f t="shared" si="0"/>
        <v/>
      </c>
      <c r="I11" s="52" t="str">
        <f t="shared" si="1"/>
        <v/>
      </c>
      <c r="J11" s="53"/>
      <c r="K11" s="54" t="str">
        <f t="shared" si="2"/>
        <v/>
      </c>
      <c r="L11" s="33"/>
      <c r="M11" s="33"/>
      <c r="N11" s="30"/>
      <c r="O11" s="30"/>
      <c r="P11" s="33"/>
      <c r="R11" s="28" t="s">
        <v>736</v>
      </c>
      <c r="S11" s="52">
        <f t="shared" si="3"/>
        <v>0</v>
      </c>
      <c r="T11" s="52">
        <f t="shared" si="4"/>
        <v>0</v>
      </c>
      <c r="U11" s="52">
        <f t="shared" si="5"/>
        <v>0</v>
      </c>
      <c r="V11" s="54">
        <f t="shared" si="6"/>
        <v>0</v>
      </c>
      <c r="Y11" s="157" t="s">
        <v>130</v>
      </c>
      <c r="Z11" s="155"/>
      <c r="AA11" s="155"/>
      <c r="AB11" s="155"/>
      <c r="AC11" s="155"/>
      <c r="AD11" s="156"/>
    </row>
    <row r="12" spans="1:30" x14ac:dyDescent="0.25">
      <c r="A12" s="31"/>
      <c r="B12" s="30"/>
      <c r="C12" s="30"/>
      <c r="D12" s="30"/>
      <c r="E12" s="33"/>
      <c r="F12" s="30"/>
      <c r="G12" s="49"/>
      <c r="H12" s="52" t="str">
        <f t="shared" si="0"/>
        <v/>
      </c>
      <c r="I12" s="52" t="str">
        <f t="shared" si="1"/>
        <v/>
      </c>
      <c r="J12" s="53"/>
      <c r="K12" s="54" t="str">
        <f t="shared" si="2"/>
        <v/>
      </c>
      <c r="L12" s="33"/>
      <c r="M12" s="33"/>
      <c r="N12" s="30"/>
      <c r="O12" s="30"/>
      <c r="P12" s="33"/>
      <c r="R12" s="28" t="s">
        <v>750</v>
      </c>
      <c r="S12" s="52">
        <f t="shared" si="3"/>
        <v>0</v>
      </c>
      <c r="T12" s="52">
        <f t="shared" si="4"/>
        <v>0</v>
      </c>
      <c r="U12" s="52">
        <f t="shared" si="5"/>
        <v>0</v>
      </c>
      <c r="V12" s="54">
        <f t="shared" si="6"/>
        <v>0</v>
      </c>
      <c r="Y12" s="157" t="s">
        <v>131</v>
      </c>
      <c r="Z12" s="155"/>
      <c r="AA12" s="155"/>
      <c r="AB12" s="155"/>
      <c r="AC12" s="155"/>
      <c r="AD12" s="156"/>
    </row>
    <row r="13" spans="1:30" x14ac:dyDescent="0.25">
      <c r="A13" s="31"/>
      <c r="B13" s="30"/>
      <c r="C13" s="30"/>
      <c r="D13" s="30"/>
      <c r="E13" s="33"/>
      <c r="F13" s="30"/>
      <c r="G13" s="49"/>
      <c r="H13" s="52" t="str">
        <f t="shared" si="0"/>
        <v/>
      </c>
      <c r="I13" s="52" t="str">
        <f t="shared" si="1"/>
        <v/>
      </c>
      <c r="J13" s="53"/>
      <c r="K13" s="54" t="str">
        <f t="shared" si="2"/>
        <v/>
      </c>
      <c r="L13" s="33"/>
      <c r="M13" s="33"/>
      <c r="N13" s="30"/>
      <c r="O13" s="30"/>
      <c r="P13" s="33"/>
      <c r="R13" s="28" t="s">
        <v>760</v>
      </c>
      <c r="S13" s="52">
        <f t="shared" si="3"/>
        <v>0</v>
      </c>
      <c r="T13" s="52">
        <f t="shared" si="4"/>
        <v>0</v>
      </c>
      <c r="U13" s="52">
        <f t="shared" si="5"/>
        <v>0</v>
      </c>
      <c r="V13" s="54">
        <f t="shared" si="6"/>
        <v>0</v>
      </c>
      <c r="Y13" s="157" t="s">
        <v>132</v>
      </c>
      <c r="Z13" s="155"/>
      <c r="AA13" s="155"/>
      <c r="AB13" s="155"/>
      <c r="AC13" s="155"/>
      <c r="AD13" s="156"/>
    </row>
    <row r="14" spans="1:30" x14ac:dyDescent="0.25">
      <c r="A14" s="31"/>
      <c r="B14" s="30"/>
      <c r="C14" s="30"/>
      <c r="D14" s="30"/>
      <c r="E14" s="33"/>
      <c r="F14" s="30"/>
      <c r="G14" s="49"/>
      <c r="H14" s="52" t="str">
        <f t="shared" si="0"/>
        <v/>
      </c>
      <c r="I14" s="52" t="str">
        <f t="shared" si="1"/>
        <v/>
      </c>
      <c r="J14" s="53"/>
      <c r="K14" s="54" t="str">
        <f t="shared" si="2"/>
        <v/>
      </c>
      <c r="L14" s="33"/>
      <c r="M14" s="33"/>
      <c r="N14" s="30"/>
      <c r="O14" s="30"/>
      <c r="P14" s="33"/>
      <c r="R14" s="28" t="s">
        <v>770</v>
      </c>
      <c r="S14" s="52">
        <f t="shared" si="3"/>
        <v>0</v>
      </c>
      <c r="T14" s="52">
        <f t="shared" si="4"/>
        <v>0</v>
      </c>
      <c r="U14" s="52">
        <f t="shared" si="5"/>
        <v>0</v>
      </c>
      <c r="V14" s="54">
        <f t="shared" si="6"/>
        <v>0</v>
      </c>
      <c r="Y14" s="157" t="s">
        <v>133</v>
      </c>
      <c r="Z14" s="155"/>
      <c r="AA14" s="155"/>
      <c r="AB14" s="155"/>
      <c r="AC14" s="155"/>
      <c r="AD14" s="156"/>
    </row>
    <row r="15" spans="1:30" x14ac:dyDescent="0.25">
      <c r="A15" s="31"/>
      <c r="B15" s="30"/>
      <c r="C15" s="30"/>
      <c r="D15" s="30"/>
      <c r="E15" s="33"/>
      <c r="F15" s="30"/>
      <c r="G15" s="49"/>
      <c r="H15" s="52" t="str">
        <f t="shared" si="0"/>
        <v/>
      </c>
      <c r="I15" s="52" t="str">
        <f t="shared" si="1"/>
        <v/>
      </c>
      <c r="J15" s="53"/>
      <c r="K15" s="54" t="str">
        <f t="shared" si="2"/>
        <v/>
      </c>
      <c r="L15" s="33"/>
      <c r="M15" s="33"/>
      <c r="N15" s="30"/>
      <c r="O15" s="30"/>
      <c r="P15" s="33"/>
      <c r="R15" s="28" t="s">
        <v>781</v>
      </c>
      <c r="S15" s="52">
        <f t="shared" si="3"/>
        <v>0</v>
      </c>
      <c r="T15" s="52">
        <f t="shared" si="4"/>
        <v>0</v>
      </c>
      <c r="U15" s="52">
        <f t="shared" si="5"/>
        <v>0</v>
      </c>
      <c r="V15" s="54">
        <f t="shared" si="6"/>
        <v>0</v>
      </c>
      <c r="Y15" s="159" t="s">
        <v>134</v>
      </c>
      <c r="Z15" s="155"/>
      <c r="AA15" s="155"/>
      <c r="AB15" s="155"/>
      <c r="AC15" s="155"/>
      <c r="AD15" s="156"/>
    </row>
    <row r="16" spans="1:30" x14ac:dyDescent="0.25">
      <c r="A16" s="31"/>
      <c r="B16" s="30"/>
      <c r="C16" s="30"/>
      <c r="D16" s="30"/>
      <c r="E16" s="33"/>
      <c r="F16" s="30"/>
      <c r="G16" s="49"/>
      <c r="H16" s="52" t="str">
        <f t="shared" si="0"/>
        <v/>
      </c>
      <c r="I16" s="52" t="str">
        <f t="shared" si="1"/>
        <v/>
      </c>
      <c r="J16" s="53"/>
      <c r="K16" s="54" t="str">
        <f t="shared" si="2"/>
        <v/>
      </c>
      <c r="L16" s="33"/>
      <c r="M16" s="33"/>
      <c r="N16" s="30"/>
      <c r="O16" s="30"/>
      <c r="P16" s="33"/>
      <c r="R16" s="28" t="s">
        <v>789</v>
      </c>
      <c r="S16" s="52">
        <f t="shared" si="3"/>
        <v>0</v>
      </c>
      <c r="T16" s="52">
        <f t="shared" si="4"/>
        <v>0</v>
      </c>
      <c r="U16" s="52">
        <f t="shared" si="5"/>
        <v>0</v>
      </c>
      <c r="V16" s="54">
        <f t="shared" si="6"/>
        <v>0</v>
      </c>
    </row>
    <row r="17" spans="1:22" x14ac:dyDescent="0.25">
      <c r="A17" s="31"/>
      <c r="B17" s="30"/>
      <c r="C17" s="30"/>
      <c r="D17" s="30"/>
      <c r="E17" s="33"/>
      <c r="F17" s="30"/>
      <c r="G17" s="49"/>
      <c r="H17" s="52" t="str">
        <f t="shared" si="0"/>
        <v/>
      </c>
      <c r="I17" s="52" t="str">
        <f t="shared" si="1"/>
        <v/>
      </c>
      <c r="J17" s="53"/>
      <c r="K17" s="54" t="str">
        <f t="shared" si="2"/>
        <v/>
      </c>
      <c r="L17" s="33"/>
      <c r="M17" s="33"/>
      <c r="N17" s="30"/>
      <c r="O17" s="30"/>
      <c r="P17" s="33"/>
      <c r="R17" s="28" t="s">
        <v>797</v>
      </c>
      <c r="S17" s="52">
        <f t="shared" si="3"/>
        <v>0</v>
      </c>
      <c r="T17" s="52">
        <f t="shared" si="4"/>
        <v>0</v>
      </c>
      <c r="U17" s="52">
        <f t="shared" si="5"/>
        <v>0</v>
      </c>
      <c r="V17" s="54">
        <f t="shared" si="6"/>
        <v>0</v>
      </c>
    </row>
    <row r="18" spans="1:22" x14ac:dyDescent="0.25">
      <c r="A18" s="31"/>
      <c r="B18" s="30"/>
      <c r="C18" s="30"/>
      <c r="D18" s="30"/>
      <c r="E18" s="33"/>
      <c r="F18" s="30"/>
      <c r="G18" s="49"/>
      <c r="H18" s="52" t="str">
        <f t="shared" si="0"/>
        <v/>
      </c>
      <c r="I18" s="52" t="str">
        <f t="shared" si="1"/>
        <v/>
      </c>
      <c r="J18" s="53"/>
      <c r="K18" s="54" t="str">
        <f t="shared" si="2"/>
        <v/>
      </c>
      <c r="L18" s="33"/>
      <c r="M18" s="33"/>
      <c r="N18" s="30"/>
      <c r="O18" s="30"/>
      <c r="P18" s="33"/>
      <c r="R18" s="28" t="s">
        <v>803</v>
      </c>
      <c r="S18" s="52">
        <f t="shared" si="3"/>
        <v>0</v>
      </c>
      <c r="T18" s="52">
        <f t="shared" si="4"/>
        <v>0</v>
      </c>
      <c r="U18" s="52">
        <f t="shared" si="5"/>
        <v>0</v>
      </c>
      <c r="V18" s="54">
        <f t="shared" si="6"/>
        <v>0</v>
      </c>
    </row>
    <row r="19" spans="1:22" x14ac:dyDescent="0.25">
      <c r="A19" s="31"/>
      <c r="B19" s="30"/>
      <c r="C19" s="30"/>
      <c r="D19" s="30"/>
      <c r="E19" s="33"/>
      <c r="F19" s="30"/>
      <c r="G19" s="49"/>
      <c r="H19" s="52" t="str">
        <f t="shared" si="0"/>
        <v/>
      </c>
      <c r="I19" s="52" t="str">
        <f t="shared" si="1"/>
        <v/>
      </c>
      <c r="J19" s="53"/>
      <c r="K19" s="54" t="str">
        <f t="shared" si="2"/>
        <v/>
      </c>
      <c r="L19" s="33"/>
      <c r="M19" s="33"/>
      <c r="N19" s="30"/>
      <c r="O19" s="30"/>
      <c r="P19" s="33"/>
      <c r="R19" s="28" t="s">
        <v>807</v>
      </c>
      <c r="S19" s="52">
        <f t="shared" si="3"/>
        <v>0</v>
      </c>
      <c r="T19" s="52">
        <f t="shared" si="4"/>
        <v>0</v>
      </c>
      <c r="U19" s="52">
        <f t="shared" si="5"/>
        <v>0</v>
      </c>
      <c r="V19" s="54">
        <f t="shared" si="6"/>
        <v>0</v>
      </c>
    </row>
    <row r="20" spans="1:22" x14ac:dyDescent="0.25">
      <c r="A20" s="31"/>
      <c r="B20" s="30"/>
      <c r="C20" s="30"/>
      <c r="D20" s="30"/>
      <c r="E20" s="33"/>
      <c r="F20" s="30"/>
      <c r="G20" s="49"/>
      <c r="H20" s="52" t="str">
        <f t="shared" si="0"/>
        <v/>
      </c>
      <c r="I20" s="52" t="str">
        <f t="shared" si="1"/>
        <v/>
      </c>
      <c r="J20" s="53"/>
      <c r="K20" s="54" t="str">
        <f t="shared" si="2"/>
        <v/>
      </c>
      <c r="L20" s="33"/>
      <c r="M20" s="33"/>
      <c r="N20" s="30"/>
      <c r="O20" s="30"/>
      <c r="P20" s="33"/>
      <c r="R20" s="28" t="s">
        <v>810</v>
      </c>
      <c r="S20" s="52">
        <f t="shared" si="3"/>
        <v>0</v>
      </c>
      <c r="T20" s="52">
        <f t="shared" si="4"/>
        <v>0</v>
      </c>
      <c r="U20" s="52">
        <f t="shared" si="5"/>
        <v>0</v>
      </c>
      <c r="V20" s="54">
        <f t="shared" si="6"/>
        <v>0</v>
      </c>
    </row>
    <row r="21" spans="1:22" x14ac:dyDescent="0.25">
      <c r="A21" s="31"/>
      <c r="B21" s="30"/>
      <c r="C21" s="30"/>
      <c r="D21" s="30"/>
      <c r="E21" s="33"/>
      <c r="F21" s="30"/>
      <c r="G21" s="49"/>
      <c r="H21" s="52" t="str">
        <f t="shared" si="0"/>
        <v/>
      </c>
      <c r="I21" s="52" t="str">
        <f t="shared" si="1"/>
        <v/>
      </c>
      <c r="J21" s="53"/>
      <c r="K21" s="54" t="str">
        <f t="shared" si="2"/>
        <v/>
      </c>
      <c r="L21" s="33"/>
      <c r="M21" s="33"/>
      <c r="N21" s="30"/>
      <c r="O21" s="30"/>
      <c r="P21" s="33"/>
      <c r="R21" s="28" t="s">
        <v>813</v>
      </c>
      <c r="S21" s="52">
        <f t="shared" si="3"/>
        <v>0</v>
      </c>
      <c r="T21" s="52">
        <f t="shared" si="4"/>
        <v>0</v>
      </c>
      <c r="U21" s="52">
        <f t="shared" si="5"/>
        <v>0</v>
      </c>
      <c r="V21" s="54">
        <f t="shared" si="6"/>
        <v>0</v>
      </c>
    </row>
    <row r="22" spans="1:22" x14ac:dyDescent="0.25">
      <c r="A22" s="31"/>
      <c r="B22" s="30"/>
      <c r="C22" s="30"/>
      <c r="D22" s="30"/>
      <c r="E22" s="33"/>
      <c r="F22" s="30"/>
      <c r="G22" s="49"/>
      <c r="H22" s="52" t="str">
        <f t="shared" si="0"/>
        <v/>
      </c>
      <c r="I22" s="52" t="str">
        <f t="shared" si="1"/>
        <v/>
      </c>
      <c r="J22" s="53"/>
      <c r="K22" s="54" t="str">
        <f t="shared" si="2"/>
        <v/>
      </c>
      <c r="L22" s="33"/>
      <c r="M22" s="33"/>
      <c r="N22" s="30"/>
      <c r="O22" s="30"/>
      <c r="P22" s="33"/>
      <c r="R22" s="28" t="s">
        <v>816</v>
      </c>
      <c r="S22" s="52">
        <f t="shared" si="3"/>
        <v>0</v>
      </c>
      <c r="T22" s="52">
        <f t="shared" si="4"/>
        <v>0</v>
      </c>
      <c r="U22" s="52">
        <f t="shared" si="5"/>
        <v>0</v>
      </c>
      <c r="V22" s="54">
        <f t="shared" si="6"/>
        <v>0</v>
      </c>
    </row>
    <row r="23" spans="1:22" x14ac:dyDescent="0.25">
      <c r="A23" s="31"/>
      <c r="B23" s="30"/>
      <c r="C23" s="30"/>
      <c r="D23" s="30"/>
      <c r="E23" s="33"/>
      <c r="F23" s="30"/>
      <c r="G23" s="49"/>
      <c r="H23" s="52" t="str">
        <f t="shared" si="0"/>
        <v/>
      </c>
      <c r="I23" s="52" t="str">
        <f t="shared" si="1"/>
        <v/>
      </c>
      <c r="J23" s="53"/>
      <c r="K23" s="54" t="str">
        <f t="shared" si="2"/>
        <v/>
      </c>
      <c r="L23" s="33"/>
      <c r="M23" s="33"/>
      <c r="N23" s="30"/>
      <c r="O23" s="30"/>
      <c r="P23" s="33"/>
      <c r="R23" s="28" t="s">
        <v>819</v>
      </c>
      <c r="S23" s="52">
        <f t="shared" si="3"/>
        <v>0</v>
      </c>
      <c r="T23" s="52">
        <f t="shared" si="4"/>
        <v>0</v>
      </c>
      <c r="U23" s="52">
        <f t="shared" si="5"/>
        <v>0</v>
      </c>
      <c r="V23" s="54">
        <f t="shared" si="6"/>
        <v>0</v>
      </c>
    </row>
    <row r="24" spans="1:22" x14ac:dyDescent="0.25">
      <c r="A24" s="31"/>
      <c r="B24" s="30"/>
      <c r="C24" s="30"/>
      <c r="D24" s="30"/>
      <c r="E24" s="33"/>
      <c r="F24" s="30"/>
      <c r="G24" s="49"/>
      <c r="H24" s="52" t="str">
        <f t="shared" si="0"/>
        <v/>
      </c>
      <c r="I24" s="52" t="str">
        <f t="shared" si="1"/>
        <v/>
      </c>
      <c r="J24" s="53"/>
      <c r="K24" s="54" t="str">
        <f t="shared" si="2"/>
        <v/>
      </c>
      <c r="L24" s="33"/>
      <c r="M24" s="33"/>
      <c r="N24" s="30"/>
      <c r="O24" s="30"/>
      <c r="P24" s="33"/>
      <c r="R24" s="28" t="s">
        <v>822</v>
      </c>
      <c r="S24" s="52">
        <f t="shared" si="3"/>
        <v>0</v>
      </c>
      <c r="T24" s="52">
        <f t="shared" si="4"/>
        <v>0</v>
      </c>
      <c r="U24" s="52">
        <f t="shared" si="5"/>
        <v>0</v>
      </c>
      <c r="V24" s="54">
        <f t="shared" si="6"/>
        <v>0</v>
      </c>
    </row>
    <row r="25" spans="1:22" x14ac:dyDescent="0.25">
      <c r="A25" s="31"/>
      <c r="B25" s="30"/>
      <c r="C25" s="30"/>
      <c r="D25" s="30"/>
      <c r="E25" s="33"/>
      <c r="F25" s="30"/>
      <c r="G25" s="49"/>
      <c r="H25" s="52" t="str">
        <f t="shared" si="0"/>
        <v/>
      </c>
      <c r="I25" s="52" t="str">
        <f t="shared" si="1"/>
        <v/>
      </c>
      <c r="J25" s="53"/>
      <c r="K25" s="54" t="str">
        <f t="shared" si="2"/>
        <v/>
      </c>
      <c r="L25" s="33"/>
      <c r="M25" s="33"/>
      <c r="N25" s="30"/>
      <c r="O25" s="30"/>
      <c r="P25" s="33"/>
      <c r="R25" s="28" t="s">
        <v>825</v>
      </c>
      <c r="S25" s="52">
        <f t="shared" si="3"/>
        <v>0</v>
      </c>
      <c r="T25" s="52">
        <f t="shared" si="4"/>
        <v>0</v>
      </c>
      <c r="U25" s="52">
        <f t="shared" si="5"/>
        <v>0</v>
      </c>
      <c r="V25" s="54">
        <f t="shared" si="6"/>
        <v>0</v>
      </c>
    </row>
    <row r="26" spans="1:22" x14ac:dyDescent="0.25">
      <c r="A26" s="31"/>
      <c r="B26" s="30"/>
      <c r="C26" s="30"/>
      <c r="D26" s="30"/>
      <c r="E26" s="33"/>
      <c r="F26" s="30"/>
      <c r="G26" s="49"/>
      <c r="H26" s="52" t="str">
        <f t="shared" si="0"/>
        <v/>
      </c>
      <c r="I26" s="52" t="str">
        <f t="shared" si="1"/>
        <v/>
      </c>
      <c r="J26" s="53"/>
      <c r="K26" s="54" t="str">
        <f t="shared" si="2"/>
        <v/>
      </c>
      <c r="L26" s="33"/>
      <c r="M26" s="33"/>
      <c r="N26" s="30"/>
      <c r="O26" s="30"/>
      <c r="P26" s="33"/>
      <c r="R26" s="28" t="s">
        <v>828</v>
      </c>
      <c r="S26" s="52">
        <f t="shared" si="3"/>
        <v>0</v>
      </c>
      <c r="T26" s="52">
        <f t="shared" si="4"/>
        <v>0</v>
      </c>
      <c r="U26" s="52">
        <f t="shared" si="5"/>
        <v>0</v>
      </c>
      <c r="V26" s="54">
        <f t="shared" si="6"/>
        <v>0</v>
      </c>
    </row>
    <row r="27" spans="1:22" x14ac:dyDescent="0.25">
      <c r="A27" s="31"/>
      <c r="B27" s="30"/>
      <c r="C27" s="30"/>
      <c r="D27" s="30"/>
      <c r="E27" s="33"/>
      <c r="F27" s="30"/>
      <c r="G27" s="49"/>
      <c r="H27" s="52" t="str">
        <f t="shared" si="0"/>
        <v/>
      </c>
      <c r="I27" s="52" t="str">
        <f t="shared" si="1"/>
        <v/>
      </c>
      <c r="J27" s="53"/>
      <c r="K27" s="54" t="str">
        <f t="shared" si="2"/>
        <v/>
      </c>
      <c r="L27" s="33"/>
      <c r="M27" s="33"/>
      <c r="N27" s="30"/>
      <c r="O27" s="30"/>
      <c r="P27" s="33"/>
      <c r="R27" s="28" t="s">
        <v>831</v>
      </c>
      <c r="S27" s="52">
        <f t="shared" si="3"/>
        <v>0</v>
      </c>
      <c r="T27" s="52">
        <f t="shared" si="4"/>
        <v>0</v>
      </c>
      <c r="U27" s="52">
        <f t="shared" si="5"/>
        <v>0</v>
      </c>
      <c r="V27" s="54">
        <f t="shared" si="6"/>
        <v>0</v>
      </c>
    </row>
    <row r="28" spans="1:22" x14ac:dyDescent="0.25">
      <c r="A28" s="31"/>
      <c r="B28" s="30"/>
      <c r="C28" s="30"/>
      <c r="D28" s="30"/>
      <c r="E28" s="33"/>
      <c r="F28" s="30"/>
      <c r="G28" s="49"/>
      <c r="H28" s="52" t="str">
        <f t="shared" si="0"/>
        <v/>
      </c>
      <c r="I28" s="52" t="str">
        <f t="shared" si="1"/>
        <v/>
      </c>
      <c r="J28" s="53"/>
      <c r="K28" s="54" t="str">
        <f t="shared" si="2"/>
        <v/>
      </c>
      <c r="L28" s="33"/>
      <c r="M28" s="33"/>
      <c r="N28" s="30"/>
      <c r="O28" s="30"/>
      <c r="P28" s="33"/>
      <c r="R28" s="28" t="s">
        <v>834</v>
      </c>
      <c r="S28" s="52">
        <f t="shared" si="3"/>
        <v>0</v>
      </c>
      <c r="T28" s="52">
        <f t="shared" si="4"/>
        <v>0</v>
      </c>
      <c r="U28" s="52">
        <f t="shared" si="5"/>
        <v>0</v>
      </c>
      <c r="V28" s="54">
        <f t="shared" si="6"/>
        <v>0</v>
      </c>
    </row>
    <row r="29" spans="1:22" x14ac:dyDescent="0.25">
      <c r="A29" s="31"/>
      <c r="B29" s="30"/>
      <c r="C29" s="30"/>
      <c r="D29" s="30"/>
      <c r="E29" s="33"/>
      <c r="F29" s="30"/>
      <c r="G29" s="49"/>
      <c r="H29" s="52" t="str">
        <f t="shared" si="0"/>
        <v/>
      </c>
      <c r="I29" s="52" t="str">
        <f t="shared" si="1"/>
        <v/>
      </c>
      <c r="J29" s="53"/>
      <c r="K29" s="54" t="str">
        <f t="shared" si="2"/>
        <v/>
      </c>
      <c r="L29" s="33"/>
      <c r="M29" s="33"/>
      <c r="N29" s="30"/>
      <c r="O29" s="30"/>
      <c r="P29" s="33"/>
      <c r="R29" s="28" t="s">
        <v>837</v>
      </c>
      <c r="S29" s="52">
        <f t="shared" si="3"/>
        <v>0</v>
      </c>
      <c r="T29" s="52">
        <f t="shared" si="4"/>
        <v>0</v>
      </c>
      <c r="U29" s="52">
        <f t="shared" si="5"/>
        <v>0</v>
      </c>
      <c r="V29" s="54">
        <f t="shared" si="6"/>
        <v>0</v>
      </c>
    </row>
    <row r="30" spans="1:22" x14ac:dyDescent="0.25">
      <c r="A30" s="31"/>
      <c r="B30" s="30"/>
      <c r="C30" s="30"/>
      <c r="D30" s="30"/>
      <c r="E30" s="33"/>
      <c r="F30" s="30"/>
      <c r="G30" s="49"/>
      <c r="H30" s="52" t="str">
        <f t="shared" si="0"/>
        <v/>
      </c>
      <c r="I30" s="52" t="str">
        <f t="shared" si="1"/>
        <v/>
      </c>
      <c r="J30" s="53"/>
      <c r="K30" s="54" t="str">
        <f t="shared" si="2"/>
        <v/>
      </c>
      <c r="L30" s="33"/>
      <c r="M30" s="33"/>
      <c r="N30" s="30"/>
      <c r="O30" s="30"/>
      <c r="P30" s="33"/>
      <c r="R30" s="28" t="s">
        <v>839</v>
      </c>
      <c r="S30" s="52">
        <f t="shared" si="3"/>
        <v>0</v>
      </c>
      <c r="T30" s="52">
        <f t="shared" si="4"/>
        <v>0</v>
      </c>
      <c r="U30" s="52">
        <f t="shared" si="5"/>
        <v>0</v>
      </c>
      <c r="V30" s="54">
        <f t="shared" si="6"/>
        <v>0</v>
      </c>
    </row>
    <row r="31" spans="1:22" x14ac:dyDescent="0.25">
      <c r="A31" s="31"/>
      <c r="B31" s="30"/>
      <c r="C31" s="30"/>
      <c r="D31" s="30"/>
      <c r="E31" s="33"/>
      <c r="F31" s="30"/>
      <c r="G31" s="49"/>
      <c r="H31" s="52" t="str">
        <f t="shared" si="0"/>
        <v/>
      </c>
      <c r="I31" s="52" t="str">
        <f t="shared" si="1"/>
        <v/>
      </c>
      <c r="J31" s="53"/>
      <c r="K31" s="54" t="str">
        <f t="shared" si="2"/>
        <v/>
      </c>
      <c r="L31" s="33"/>
      <c r="M31" s="33"/>
      <c r="N31" s="30"/>
      <c r="O31" s="30"/>
      <c r="P31" s="33"/>
      <c r="R31" s="28" t="s">
        <v>841</v>
      </c>
      <c r="S31" s="52">
        <f t="shared" si="3"/>
        <v>0</v>
      </c>
      <c r="T31" s="52">
        <f t="shared" si="4"/>
        <v>0</v>
      </c>
      <c r="U31" s="52">
        <f t="shared" si="5"/>
        <v>0</v>
      </c>
      <c r="V31" s="54">
        <f t="shared" si="6"/>
        <v>0</v>
      </c>
    </row>
    <row r="32" spans="1:22" x14ac:dyDescent="0.25">
      <c r="A32" s="31"/>
      <c r="B32" s="30"/>
      <c r="C32" s="30"/>
      <c r="D32" s="30"/>
      <c r="E32" s="33"/>
      <c r="F32" s="30"/>
      <c r="G32" s="49"/>
      <c r="H32" s="52" t="str">
        <f t="shared" si="0"/>
        <v/>
      </c>
      <c r="I32" s="52" t="str">
        <f t="shared" si="1"/>
        <v/>
      </c>
      <c r="J32" s="53"/>
      <c r="K32" s="54" t="str">
        <f t="shared" si="2"/>
        <v/>
      </c>
      <c r="L32" s="33"/>
      <c r="M32" s="33"/>
      <c r="N32" s="30"/>
      <c r="O32" s="30"/>
      <c r="P32" s="33"/>
      <c r="R32" s="28" t="s">
        <v>843</v>
      </c>
      <c r="S32" s="52">
        <f t="shared" si="3"/>
        <v>0</v>
      </c>
      <c r="T32" s="52">
        <f t="shared" si="4"/>
        <v>0</v>
      </c>
      <c r="U32" s="52">
        <f t="shared" si="5"/>
        <v>0</v>
      </c>
      <c r="V32" s="54">
        <f t="shared" si="6"/>
        <v>0</v>
      </c>
    </row>
    <row r="33" spans="1:22" x14ac:dyDescent="0.25">
      <c r="A33" s="31"/>
      <c r="B33" s="30"/>
      <c r="C33" s="30"/>
      <c r="D33" s="30"/>
      <c r="E33" s="33"/>
      <c r="F33" s="30"/>
      <c r="G33" s="49"/>
      <c r="H33" s="52" t="str">
        <f t="shared" si="0"/>
        <v/>
      </c>
      <c r="I33" s="52" t="str">
        <f t="shared" si="1"/>
        <v/>
      </c>
      <c r="J33" s="53"/>
      <c r="K33" s="54" t="str">
        <f t="shared" si="2"/>
        <v/>
      </c>
      <c r="L33" s="33"/>
      <c r="M33" s="33"/>
      <c r="N33" s="30"/>
      <c r="O33" s="30"/>
      <c r="P33" s="33"/>
      <c r="R33" s="28" t="s">
        <v>845</v>
      </c>
      <c r="S33" s="52">
        <f t="shared" si="3"/>
        <v>0</v>
      </c>
      <c r="T33" s="52">
        <f t="shared" si="4"/>
        <v>0</v>
      </c>
      <c r="U33" s="52">
        <f t="shared" si="5"/>
        <v>0</v>
      </c>
      <c r="V33" s="54">
        <f t="shared" si="6"/>
        <v>0</v>
      </c>
    </row>
    <row r="34" spans="1:22" x14ac:dyDescent="0.25">
      <c r="A34" s="31"/>
      <c r="B34" s="30"/>
      <c r="C34" s="30"/>
      <c r="D34" s="30"/>
      <c r="E34" s="33"/>
      <c r="F34" s="30"/>
      <c r="G34" s="49"/>
      <c r="H34" s="52" t="str">
        <f t="shared" si="0"/>
        <v/>
      </c>
      <c r="I34" s="52" t="str">
        <f t="shared" si="1"/>
        <v/>
      </c>
      <c r="J34" s="53"/>
      <c r="K34" s="54" t="str">
        <f t="shared" si="2"/>
        <v/>
      </c>
      <c r="L34" s="33"/>
      <c r="M34" s="33"/>
      <c r="N34" s="30"/>
      <c r="O34" s="30"/>
      <c r="P34" s="33"/>
      <c r="R34" s="28" t="s">
        <v>777</v>
      </c>
      <c r="S34" s="52">
        <f t="shared" si="3"/>
        <v>0</v>
      </c>
      <c r="T34" s="52">
        <f t="shared" si="4"/>
        <v>0</v>
      </c>
      <c r="U34" s="52">
        <f t="shared" si="5"/>
        <v>0</v>
      </c>
      <c r="V34" s="54">
        <f t="shared" si="6"/>
        <v>0</v>
      </c>
    </row>
    <row r="35" spans="1:22" x14ac:dyDescent="0.25">
      <c r="A35" s="31"/>
      <c r="B35" s="30"/>
      <c r="C35" s="30"/>
      <c r="D35" s="30"/>
      <c r="E35" s="33"/>
      <c r="F35" s="30"/>
      <c r="G35" s="49"/>
      <c r="H35" s="52" t="str">
        <f t="shared" si="0"/>
        <v/>
      </c>
      <c r="I35" s="52" t="str">
        <f t="shared" si="1"/>
        <v/>
      </c>
      <c r="J35" s="53"/>
      <c r="K35" s="54" t="str">
        <f t="shared" si="2"/>
        <v/>
      </c>
      <c r="L35" s="33"/>
      <c r="M35" s="33"/>
      <c r="N35" s="30"/>
      <c r="O35" s="30"/>
      <c r="P35" s="33"/>
    </row>
    <row r="36" spans="1:22" x14ac:dyDescent="0.25">
      <c r="A36" s="31"/>
      <c r="B36" s="30"/>
      <c r="C36" s="30"/>
      <c r="D36" s="30"/>
      <c r="E36" s="33"/>
      <c r="F36" s="30"/>
      <c r="G36" s="49"/>
      <c r="H36" s="52" t="str">
        <f t="shared" si="0"/>
        <v/>
      </c>
      <c r="I36" s="52" t="str">
        <f t="shared" si="1"/>
        <v/>
      </c>
      <c r="J36" s="53"/>
      <c r="K36" s="54" t="str">
        <f t="shared" si="2"/>
        <v/>
      </c>
      <c r="L36" s="33"/>
      <c r="M36" s="33"/>
      <c r="N36" s="30"/>
      <c r="O36" s="30"/>
      <c r="P36" s="33"/>
    </row>
    <row r="37" spans="1:22" x14ac:dyDescent="0.25">
      <c r="A37" s="31"/>
      <c r="B37" s="30"/>
      <c r="C37" s="30"/>
      <c r="D37" s="30"/>
      <c r="E37" s="33"/>
      <c r="F37" s="30"/>
      <c r="G37" s="49"/>
      <c r="H37" s="52" t="str">
        <f t="shared" si="0"/>
        <v/>
      </c>
      <c r="I37" s="52" t="str">
        <f t="shared" si="1"/>
        <v/>
      </c>
      <c r="J37" s="53"/>
      <c r="K37" s="54" t="str">
        <f t="shared" si="2"/>
        <v/>
      </c>
      <c r="L37" s="33"/>
      <c r="M37" s="33"/>
      <c r="N37" s="30"/>
      <c r="O37" s="30"/>
      <c r="P37" s="33"/>
    </row>
    <row r="38" spans="1:22" x14ac:dyDescent="0.25">
      <c r="A38" s="31"/>
      <c r="B38" s="30"/>
      <c r="C38" s="30"/>
      <c r="D38" s="30"/>
      <c r="E38" s="33"/>
      <c r="F38" s="30"/>
      <c r="G38" s="49"/>
      <c r="H38" s="52" t="str">
        <f t="shared" si="0"/>
        <v/>
      </c>
      <c r="I38" s="52" t="str">
        <f t="shared" si="1"/>
        <v/>
      </c>
      <c r="J38" s="53"/>
      <c r="K38" s="54" t="str">
        <f t="shared" si="2"/>
        <v/>
      </c>
      <c r="L38" s="33"/>
      <c r="M38" s="33"/>
      <c r="N38" s="30"/>
      <c r="O38" s="30"/>
      <c r="P38" s="33"/>
    </row>
    <row r="39" spans="1:22" x14ac:dyDescent="0.25">
      <c r="A39" s="31"/>
      <c r="B39" s="30"/>
      <c r="C39" s="30"/>
      <c r="D39" s="30"/>
      <c r="E39" s="33"/>
      <c r="F39" s="30"/>
      <c r="G39" s="49"/>
      <c r="H39" s="52" t="str">
        <f t="shared" si="0"/>
        <v/>
      </c>
      <c r="I39" s="52" t="str">
        <f t="shared" si="1"/>
        <v/>
      </c>
      <c r="J39" s="53"/>
      <c r="K39" s="54" t="str">
        <f t="shared" si="2"/>
        <v/>
      </c>
      <c r="L39" s="33"/>
      <c r="M39" s="33"/>
      <c r="N39" s="30"/>
      <c r="O39" s="30"/>
      <c r="P39" s="33"/>
    </row>
    <row r="40" spans="1:22" x14ac:dyDescent="0.25">
      <c r="A40" s="31"/>
      <c r="B40" s="30"/>
      <c r="C40" s="30"/>
      <c r="D40" s="30"/>
      <c r="E40" s="33"/>
      <c r="F40" s="30"/>
      <c r="G40" s="49"/>
      <c r="H40" s="52" t="str">
        <f t="shared" si="0"/>
        <v/>
      </c>
      <c r="I40" s="52" t="str">
        <f t="shared" si="1"/>
        <v/>
      </c>
      <c r="J40" s="53"/>
      <c r="K40" s="54" t="str">
        <f t="shared" si="2"/>
        <v/>
      </c>
      <c r="L40" s="33"/>
      <c r="M40" s="33"/>
      <c r="N40" s="30"/>
      <c r="O40" s="30"/>
      <c r="P40" s="33"/>
    </row>
    <row r="41" spans="1:22" x14ac:dyDescent="0.25">
      <c r="A41" s="31"/>
      <c r="B41" s="30"/>
      <c r="C41" s="30"/>
      <c r="D41" s="30"/>
      <c r="E41" s="33"/>
      <c r="F41" s="30"/>
      <c r="G41" s="49"/>
      <c r="H41" s="52" t="str">
        <f t="shared" si="0"/>
        <v/>
      </c>
      <c r="I41" s="52" t="str">
        <f t="shared" si="1"/>
        <v/>
      </c>
      <c r="J41" s="53"/>
      <c r="K41" s="54" t="str">
        <f t="shared" si="2"/>
        <v/>
      </c>
      <c r="L41" s="33"/>
      <c r="M41" s="33"/>
      <c r="N41" s="30"/>
      <c r="O41" s="30"/>
      <c r="P41" s="33"/>
    </row>
    <row r="42" spans="1:22" x14ac:dyDescent="0.25">
      <c r="A42" s="31"/>
      <c r="B42" s="30"/>
      <c r="C42" s="30"/>
      <c r="D42" s="30"/>
      <c r="E42" s="33"/>
      <c r="F42" s="30"/>
      <c r="G42" s="49"/>
      <c r="H42" s="52" t="str">
        <f t="shared" si="0"/>
        <v/>
      </c>
      <c r="I42" s="52" t="str">
        <f t="shared" si="1"/>
        <v/>
      </c>
      <c r="J42" s="53"/>
      <c r="K42" s="54" t="str">
        <f t="shared" si="2"/>
        <v/>
      </c>
      <c r="L42" s="33"/>
      <c r="M42" s="33"/>
      <c r="N42" s="30"/>
      <c r="O42" s="30"/>
      <c r="P42" s="33"/>
    </row>
    <row r="43" spans="1:22" x14ac:dyDescent="0.25">
      <c r="A43" s="31"/>
      <c r="B43" s="30"/>
      <c r="C43" s="30"/>
      <c r="D43" s="30"/>
      <c r="E43" s="33"/>
      <c r="F43" s="30"/>
      <c r="G43" s="49"/>
      <c r="H43" s="52" t="str">
        <f t="shared" si="0"/>
        <v/>
      </c>
      <c r="I43" s="52" t="str">
        <f t="shared" si="1"/>
        <v/>
      </c>
      <c r="J43" s="53"/>
      <c r="K43" s="54" t="str">
        <f t="shared" si="2"/>
        <v/>
      </c>
      <c r="L43" s="33"/>
      <c r="M43" s="33"/>
      <c r="N43" s="30"/>
      <c r="O43" s="30"/>
      <c r="P43" s="33"/>
    </row>
    <row r="44" spans="1:22" x14ac:dyDescent="0.25">
      <c r="A44" s="31"/>
      <c r="B44" s="30"/>
      <c r="C44" s="30"/>
      <c r="D44" s="30"/>
      <c r="E44" s="33"/>
      <c r="F44" s="30"/>
      <c r="G44" s="49"/>
      <c r="H44" s="52" t="str">
        <f t="shared" si="0"/>
        <v/>
      </c>
      <c r="I44" s="52" t="str">
        <f t="shared" si="1"/>
        <v/>
      </c>
      <c r="J44" s="53"/>
      <c r="K44" s="54" t="str">
        <f t="shared" si="2"/>
        <v/>
      </c>
      <c r="L44" s="33"/>
      <c r="M44" s="33"/>
      <c r="N44" s="30"/>
      <c r="O44" s="30"/>
      <c r="P44" s="33"/>
    </row>
    <row r="45" spans="1:22" x14ac:dyDescent="0.25">
      <c r="A45" s="31"/>
      <c r="B45" s="30"/>
      <c r="C45" s="30"/>
      <c r="D45" s="30"/>
      <c r="E45" s="33"/>
      <c r="F45" s="30"/>
      <c r="G45" s="49"/>
      <c r="H45" s="52" t="str">
        <f t="shared" si="0"/>
        <v/>
      </c>
      <c r="I45" s="52" t="str">
        <f t="shared" si="1"/>
        <v/>
      </c>
      <c r="J45" s="53"/>
      <c r="K45" s="54" t="str">
        <f t="shared" si="2"/>
        <v/>
      </c>
      <c r="L45" s="33"/>
      <c r="M45" s="33"/>
      <c r="N45" s="30"/>
      <c r="O45" s="30"/>
      <c r="P45" s="33"/>
    </row>
    <row r="46" spans="1:22" x14ac:dyDescent="0.25">
      <c r="A46" s="31"/>
      <c r="B46" s="30"/>
      <c r="C46" s="30"/>
      <c r="D46" s="30"/>
      <c r="E46" s="33"/>
      <c r="F46" s="30"/>
      <c r="G46" s="49"/>
      <c r="H46" s="52" t="str">
        <f t="shared" si="0"/>
        <v/>
      </c>
      <c r="I46" s="52" t="str">
        <f t="shared" si="1"/>
        <v/>
      </c>
      <c r="J46" s="53"/>
      <c r="K46" s="54" t="str">
        <f t="shared" si="2"/>
        <v/>
      </c>
      <c r="L46" s="33"/>
      <c r="M46" s="33"/>
      <c r="N46" s="30"/>
      <c r="O46" s="30"/>
      <c r="P46" s="33"/>
    </row>
    <row r="47" spans="1:22" x14ac:dyDescent="0.25">
      <c r="A47" s="31"/>
      <c r="B47" s="30"/>
      <c r="C47" s="30"/>
      <c r="D47" s="30"/>
      <c r="E47" s="33"/>
      <c r="F47" s="30"/>
      <c r="G47" s="49"/>
      <c r="H47" s="52" t="str">
        <f t="shared" si="0"/>
        <v/>
      </c>
      <c r="I47" s="52" t="str">
        <f t="shared" si="1"/>
        <v/>
      </c>
      <c r="J47" s="53"/>
      <c r="K47" s="54" t="str">
        <f t="shared" si="2"/>
        <v/>
      </c>
      <c r="L47" s="33"/>
      <c r="M47" s="33"/>
      <c r="N47" s="30"/>
      <c r="O47" s="30"/>
      <c r="P47" s="33"/>
    </row>
    <row r="48" spans="1:22" x14ac:dyDescent="0.25">
      <c r="A48" s="31"/>
      <c r="B48" s="30"/>
      <c r="C48" s="30"/>
      <c r="D48" s="30"/>
      <c r="E48" s="33"/>
      <c r="F48" s="30"/>
      <c r="G48" s="49"/>
      <c r="H48" s="52" t="str">
        <f t="shared" si="0"/>
        <v/>
      </c>
      <c r="I48" s="52" t="str">
        <f t="shared" si="1"/>
        <v/>
      </c>
      <c r="J48" s="53"/>
      <c r="K48" s="54" t="str">
        <f t="shared" si="2"/>
        <v/>
      </c>
      <c r="L48" s="33"/>
      <c r="M48" s="33"/>
      <c r="N48" s="30"/>
      <c r="O48" s="30"/>
      <c r="P48" s="33"/>
    </row>
    <row r="49" spans="1:16" x14ac:dyDescent="0.25">
      <c r="A49" s="31"/>
      <c r="B49" s="30"/>
      <c r="C49" s="30"/>
      <c r="D49" s="30"/>
      <c r="E49" s="33"/>
      <c r="F49" s="30"/>
      <c r="G49" s="49"/>
      <c r="H49" s="52" t="str">
        <f t="shared" si="0"/>
        <v/>
      </c>
      <c r="I49" s="52" t="str">
        <f t="shared" si="1"/>
        <v/>
      </c>
      <c r="J49" s="53"/>
      <c r="K49" s="54" t="str">
        <f t="shared" si="2"/>
        <v/>
      </c>
      <c r="L49" s="33"/>
      <c r="M49" s="33"/>
      <c r="N49" s="30"/>
      <c r="O49" s="30"/>
      <c r="P49" s="33"/>
    </row>
    <row r="50" spans="1:16" x14ac:dyDescent="0.25">
      <c r="A50" s="31"/>
      <c r="B50" s="30"/>
      <c r="C50" s="30"/>
      <c r="D50" s="30"/>
      <c r="E50" s="33"/>
      <c r="F50" s="30"/>
      <c r="G50" s="49"/>
      <c r="H50" s="52" t="str">
        <f t="shared" si="0"/>
        <v/>
      </c>
      <c r="I50" s="52" t="str">
        <f t="shared" si="1"/>
        <v/>
      </c>
      <c r="J50" s="53"/>
      <c r="K50" s="54" t="str">
        <f t="shared" si="2"/>
        <v/>
      </c>
      <c r="L50" s="33"/>
      <c r="M50" s="33"/>
      <c r="N50" s="30"/>
      <c r="O50" s="30"/>
      <c r="P50" s="33"/>
    </row>
    <row r="51" spans="1:16" x14ac:dyDescent="0.25">
      <c r="A51" s="31"/>
      <c r="B51" s="30"/>
      <c r="C51" s="30"/>
      <c r="D51" s="30"/>
      <c r="E51" s="33"/>
      <c r="F51" s="30"/>
      <c r="G51" s="49"/>
      <c r="H51" s="52" t="str">
        <f t="shared" si="0"/>
        <v/>
      </c>
      <c r="I51" s="52" t="str">
        <f t="shared" si="1"/>
        <v/>
      </c>
      <c r="J51" s="53"/>
      <c r="K51" s="54" t="str">
        <f t="shared" si="2"/>
        <v/>
      </c>
      <c r="L51" s="33"/>
      <c r="M51" s="33"/>
      <c r="N51" s="30"/>
      <c r="O51" s="30"/>
      <c r="P51" s="33"/>
    </row>
    <row r="52" spans="1:16" x14ac:dyDescent="0.25">
      <c r="A52" s="31"/>
      <c r="B52" s="30"/>
      <c r="C52" s="30"/>
      <c r="D52" s="30"/>
      <c r="E52" s="33"/>
      <c r="F52" s="30"/>
      <c r="G52" s="49"/>
      <c r="H52" s="52" t="str">
        <f t="shared" si="0"/>
        <v/>
      </c>
      <c r="I52" s="52" t="str">
        <f t="shared" si="1"/>
        <v/>
      </c>
      <c r="J52" s="53"/>
      <c r="K52" s="54" t="str">
        <f t="shared" si="2"/>
        <v/>
      </c>
      <c r="L52" s="33"/>
      <c r="M52" s="33"/>
      <c r="N52" s="30"/>
      <c r="O52" s="30"/>
      <c r="P52" s="33"/>
    </row>
    <row r="53" spans="1:16" x14ac:dyDescent="0.25">
      <c r="A53" s="31"/>
      <c r="B53" s="30"/>
      <c r="C53" s="30"/>
      <c r="D53" s="30"/>
      <c r="E53" s="33"/>
      <c r="F53" s="30"/>
      <c r="G53" s="49"/>
      <c r="H53" s="52" t="str">
        <f t="shared" si="0"/>
        <v/>
      </c>
      <c r="I53" s="52" t="str">
        <f t="shared" si="1"/>
        <v/>
      </c>
      <c r="J53" s="53"/>
      <c r="K53" s="54" t="str">
        <f t="shared" si="2"/>
        <v/>
      </c>
      <c r="L53" s="33"/>
      <c r="M53" s="33"/>
      <c r="N53" s="30"/>
      <c r="O53" s="30"/>
      <c r="P53" s="33"/>
    </row>
    <row r="54" spans="1:16" x14ac:dyDescent="0.25">
      <c r="A54" s="31"/>
      <c r="B54" s="30"/>
      <c r="C54" s="30"/>
      <c r="D54" s="30"/>
      <c r="E54" s="33"/>
      <c r="F54" s="30"/>
      <c r="G54" s="49"/>
      <c r="H54" s="52" t="str">
        <f t="shared" si="0"/>
        <v/>
      </c>
      <c r="I54" s="52" t="str">
        <f t="shared" si="1"/>
        <v/>
      </c>
      <c r="J54" s="53"/>
      <c r="K54" s="54" t="str">
        <f t="shared" si="2"/>
        <v/>
      </c>
      <c r="L54" s="33"/>
      <c r="M54" s="33"/>
      <c r="N54" s="30"/>
      <c r="O54" s="30"/>
      <c r="P54" s="33"/>
    </row>
    <row r="55" spans="1:16" x14ac:dyDescent="0.25">
      <c r="A55" s="31"/>
      <c r="B55" s="30"/>
      <c r="C55" s="30"/>
      <c r="D55" s="30"/>
      <c r="E55" s="33"/>
      <c r="F55" s="30"/>
      <c r="G55" s="49"/>
      <c r="H55" s="52" t="str">
        <f t="shared" si="0"/>
        <v/>
      </c>
      <c r="I55" s="52" t="str">
        <f t="shared" si="1"/>
        <v/>
      </c>
      <c r="J55" s="53"/>
      <c r="K55" s="54" t="str">
        <f t="shared" si="2"/>
        <v/>
      </c>
      <c r="L55" s="33"/>
      <c r="M55" s="33"/>
      <c r="N55" s="30"/>
      <c r="O55" s="30"/>
      <c r="P55" s="33"/>
    </row>
    <row r="56" spans="1:16" x14ac:dyDescent="0.25">
      <c r="A56" s="31"/>
      <c r="B56" s="30"/>
      <c r="C56" s="30"/>
      <c r="D56" s="30"/>
      <c r="E56" s="33"/>
      <c r="F56" s="30"/>
      <c r="G56" s="49"/>
      <c r="H56" s="52" t="str">
        <f t="shared" si="0"/>
        <v/>
      </c>
      <c r="I56" s="52" t="str">
        <f t="shared" si="1"/>
        <v/>
      </c>
      <c r="J56" s="53"/>
      <c r="K56" s="54" t="str">
        <f t="shared" si="2"/>
        <v/>
      </c>
      <c r="L56" s="33"/>
      <c r="M56" s="33"/>
      <c r="N56" s="30"/>
      <c r="O56" s="30"/>
      <c r="P56" s="33"/>
    </row>
    <row r="57" spans="1:16" x14ac:dyDescent="0.25">
      <c r="A57" s="31"/>
      <c r="B57" s="30"/>
      <c r="C57" s="30"/>
      <c r="D57" s="30"/>
      <c r="E57" s="33"/>
      <c r="F57" s="30"/>
      <c r="G57" s="49"/>
      <c r="H57" s="52" t="str">
        <f t="shared" si="0"/>
        <v/>
      </c>
      <c r="I57" s="52" t="str">
        <f t="shared" si="1"/>
        <v/>
      </c>
      <c r="J57" s="53"/>
      <c r="K57" s="54" t="str">
        <f t="shared" si="2"/>
        <v/>
      </c>
      <c r="L57" s="33"/>
      <c r="M57" s="33"/>
      <c r="N57" s="30"/>
      <c r="O57" s="30"/>
      <c r="P57" s="33"/>
    </row>
    <row r="58" spans="1:16" x14ac:dyDescent="0.25">
      <c r="A58" s="31"/>
      <c r="B58" s="30"/>
      <c r="C58" s="30"/>
      <c r="D58" s="30"/>
      <c r="E58" s="33"/>
      <c r="F58" s="30"/>
      <c r="G58" s="49"/>
      <c r="H58" s="52" t="str">
        <f t="shared" si="0"/>
        <v/>
      </c>
      <c r="I58" s="52" t="str">
        <f t="shared" si="1"/>
        <v/>
      </c>
      <c r="J58" s="53"/>
      <c r="K58" s="54" t="str">
        <f t="shared" si="2"/>
        <v/>
      </c>
      <c r="L58" s="33"/>
      <c r="M58" s="33"/>
      <c r="N58" s="30"/>
      <c r="O58" s="30"/>
      <c r="P58" s="33"/>
    </row>
    <row r="59" spans="1:16" x14ac:dyDescent="0.25">
      <c r="A59" s="31"/>
      <c r="B59" s="30"/>
      <c r="C59" s="30"/>
      <c r="D59" s="30"/>
      <c r="E59" s="33"/>
      <c r="F59" s="30"/>
      <c r="G59" s="49"/>
      <c r="H59" s="52" t="str">
        <f t="shared" si="0"/>
        <v/>
      </c>
      <c r="I59" s="52" t="str">
        <f t="shared" si="1"/>
        <v/>
      </c>
      <c r="J59" s="53"/>
      <c r="K59" s="54" t="str">
        <f t="shared" si="2"/>
        <v/>
      </c>
      <c r="L59" s="33"/>
      <c r="M59" s="33"/>
      <c r="N59" s="30"/>
      <c r="O59" s="30"/>
      <c r="P59" s="33"/>
    </row>
    <row r="60" spans="1:16" x14ac:dyDescent="0.25">
      <c r="A60" s="31"/>
      <c r="B60" s="30"/>
      <c r="C60" s="30"/>
      <c r="D60" s="30"/>
      <c r="E60" s="33"/>
      <c r="F60" s="30"/>
      <c r="G60" s="49"/>
      <c r="H60" s="52" t="str">
        <f t="shared" si="0"/>
        <v/>
      </c>
      <c r="I60" s="52" t="str">
        <f t="shared" si="1"/>
        <v/>
      </c>
      <c r="J60" s="53"/>
      <c r="K60" s="54" t="str">
        <f t="shared" si="2"/>
        <v/>
      </c>
      <c r="L60" s="33"/>
      <c r="M60" s="33"/>
      <c r="N60" s="30"/>
      <c r="O60" s="30"/>
      <c r="P60" s="33"/>
    </row>
    <row r="61" spans="1:16" x14ac:dyDescent="0.25">
      <c r="A61" s="31"/>
      <c r="B61" s="30"/>
      <c r="C61" s="30"/>
      <c r="D61" s="30"/>
      <c r="E61" s="33"/>
      <c r="F61" s="30"/>
      <c r="G61" s="49"/>
      <c r="H61" s="52" t="str">
        <f t="shared" si="0"/>
        <v/>
      </c>
      <c r="I61" s="52" t="str">
        <f t="shared" si="1"/>
        <v/>
      </c>
      <c r="J61" s="53"/>
      <c r="K61" s="54" t="str">
        <f t="shared" si="2"/>
        <v/>
      </c>
      <c r="L61" s="33"/>
      <c r="M61" s="33"/>
      <c r="N61" s="30"/>
      <c r="O61" s="30"/>
      <c r="P61" s="33"/>
    </row>
    <row r="62" spans="1:16" x14ac:dyDescent="0.25">
      <c r="A62" s="31"/>
      <c r="B62" s="30"/>
      <c r="C62" s="30"/>
      <c r="D62" s="30"/>
      <c r="E62" s="33"/>
      <c r="F62" s="30"/>
      <c r="G62" s="49"/>
      <c r="H62" s="52" t="str">
        <f t="shared" si="0"/>
        <v/>
      </c>
      <c r="I62" s="52" t="str">
        <f t="shared" si="1"/>
        <v/>
      </c>
      <c r="J62" s="53"/>
      <c r="K62" s="54" t="str">
        <f t="shared" si="2"/>
        <v/>
      </c>
      <c r="L62" s="33"/>
      <c r="M62" s="33"/>
      <c r="N62" s="30"/>
      <c r="O62" s="30"/>
      <c r="P62" s="33"/>
    </row>
    <row r="63" spans="1:16" x14ac:dyDescent="0.25">
      <c r="A63" s="31"/>
      <c r="B63" s="30"/>
      <c r="C63" s="30"/>
      <c r="D63" s="30"/>
      <c r="E63" s="33"/>
      <c r="F63" s="30"/>
      <c r="G63" s="49"/>
      <c r="H63" s="52" t="str">
        <f t="shared" si="0"/>
        <v/>
      </c>
      <c r="I63" s="52" t="str">
        <f t="shared" si="1"/>
        <v/>
      </c>
      <c r="J63" s="53"/>
      <c r="K63" s="54" t="str">
        <f t="shared" si="2"/>
        <v/>
      </c>
      <c r="L63" s="33"/>
      <c r="M63" s="33"/>
      <c r="N63" s="30"/>
      <c r="O63" s="30"/>
      <c r="P63" s="33"/>
    </row>
    <row r="64" spans="1:16" x14ac:dyDescent="0.25">
      <c r="A64" s="31"/>
      <c r="B64" s="30"/>
      <c r="C64" s="30"/>
      <c r="D64" s="30"/>
      <c r="E64" s="33"/>
      <c r="F64" s="30"/>
      <c r="G64" s="49"/>
      <c r="H64" s="52" t="str">
        <f t="shared" si="0"/>
        <v/>
      </c>
      <c r="I64" s="52" t="str">
        <f t="shared" si="1"/>
        <v/>
      </c>
      <c r="J64" s="53"/>
      <c r="K64" s="54" t="str">
        <f t="shared" si="2"/>
        <v/>
      </c>
      <c r="L64" s="33"/>
      <c r="M64" s="33"/>
      <c r="N64" s="30"/>
      <c r="O64" s="30"/>
      <c r="P64" s="33"/>
    </row>
    <row r="65" spans="1:16" x14ac:dyDescent="0.25">
      <c r="A65" s="31"/>
      <c r="B65" s="30"/>
      <c r="C65" s="30"/>
      <c r="D65" s="30"/>
      <c r="E65" s="33"/>
      <c r="F65" s="30"/>
      <c r="G65" s="49"/>
      <c r="H65" s="52" t="str">
        <f t="shared" si="0"/>
        <v/>
      </c>
      <c r="I65" s="52" t="str">
        <f t="shared" si="1"/>
        <v/>
      </c>
      <c r="J65" s="53"/>
      <c r="K65" s="54" t="str">
        <f t="shared" si="2"/>
        <v/>
      </c>
      <c r="L65" s="33"/>
      <c r="M65" s="33"/>
      <c r="N65" s="30"/>
      <c r="O65" s="30"/>
      <c r="P65" s="33"/>
    </row>
    <row r="66" spans="1:16" x14ac:dyDescent="0.25">
      <c r="A66" s="31"/>
      <c r="B66" s="30"/>
      <c r="C66" s="30"/>
      <c r="D66" s="30"/>
      <c r="E66" s="33"/>
      <c r="F66" s="30"/>
      <c r="G66" s="49"/>
      <c r="H66" s="52" t="str">
        <f t="shared" si="0"/>
        <v/>
      </c>
      <c r="I66" s="52" t="str">
        <f t="shared" si="1"/>
        <v/>
      </c>
      <c r="J66" s="53"/>
      <c r="K66" s="54" t="str">
        <f t="shared" si="2"/>
        <v/>
      </c>
      <c r="L66" s="33"/>
      <c r="M66" s="33"/>
      <c r="N66" s="30"/>
      <c r="O66" s="30"/>
      <c r="P66" s="33"/>
    </row>
    <row r="67" spans="1:16" x14ac:dyDescent="0.25">
      <c r="A67" s="31"/>
      <c r="B67" s="30"/>
      <c r="C67" s="30"/>
      <c r="D67" s="30"/>
      <c r="E67" s="33"/>
      <c r="F67" s="30"/>
      <c r="G67" s="49"/>
      <c r="H67" s="52" t="str">
        <f t="shared" si="0"/>
        <v/>
      </c>
      <c r="I67" s="52" t="str">
        <f t="shared" si="1"/>
        <v/>
      </c>
      <c r="J67" s="53"/>
      <c r="K67" s="54" t="str">
        <f t="shared" si="2"/>
        <v/>
      </c>
      <c r="L67" s="33"/>
      <c r="M67" s="33"/>
      <c r="N67" s="30"/>
      <c r="O67" s="30"/>
      <c r="P67" s="33"/>
    </row>
    <row r="68" spans="1:16" x14ac:dyDescent="0.25">
      <c r="A68" s="31"/>
      <c r="B68" s="30"/>
      <c r="C68" s="30"/>
      <c r="D68" s="30"/>
      <c r="E68" s="33"/>
      <c r="F68" s="30"/>
      <c r="G68" s="49"/>
      <c r="H68" s="52" t="str">
        <f t="shared" si="0"/>
        <v/>
      </c>
      <c r="I68" s="52" t="str">
        <f t="shared" si="1"/>
        <v/>
      </c>
      <c r="J68" s="53"/>
      <c r="K68" s="54" t="str">
        <f t="shared" si="2"/>
        <v/>
      </c>
      <c r="L68" s="33"/>
      <c r="M68" s="33"/>
      <c r="N68" s="30"/>
      <c r="O68" s="30"/>
      <c r="P68" s="33"/>
    </row>
    <row r="69" spans="1:16" x14ac:dyDescent="0.25">
      <c r="A69" s="31"/>
      <c r="B69" s="30"/>
      <c r="C69" s="30"/>
      <c r="D69" s="30"/>
      <c r="E69" s="33"/>
      <c r="F69" s="30"/>
      <c r="G69" s="49"/>
      <c r="H69" s="52" t="str">
        <f t="shared" ref="H69:H132" si="7">IF($A69="","",IF(OR($C69="ENTRADA",$C69="DEVOLUÇÃO"),$G69,0))</f>
        <v/>
      </c>
      <c r="I69" s="52" t="str">
        <f t="shared" ref="I69:I132" si="8">IF($A69="","",IF(OR($C69="SAÍDA",$C69="PERDA / QUEBRA",$C69="TRANSFERÊNCIA"),$G69,0))</f>
        <v/>
      </c>
      <c r="J69" s="53"/>
      <c r="K69" s="54" t="str">
        <f t="shared" ref="K69:K132" si="9">IF($A69="","",$G69*$J69)</f>
        <v/>
      </c>
      <c r="L69" s="33"/>
      <c r="M69" s="33"/>
      <c r="N69" s="30"/>
      <c r="O69" s="30"/>
      <c r="P69" s="33"/>
    </row>
    <row r="70" spans="1:16" x14ac:dyDescent="0.25">
      <c r="A70" s="31"/>
      <c r="B70" s="30"/>
      <c r="C70" s="30"/>
      <c r="D70" s="30"/>
      <c r="E70" s="33"/>
      <c r="F70" s="30"/>
      <c r="G70" s="49"/>
      <c r="H70" s="52" t="str">
        <f t="shared" si="7"/>
        <v/>
      </c>
      <c r="I70" s="52" t="str">
        <f t="shared" si="8"/>
        <v/>
      </c>
      <c r="J70" s="53"/>
      <c r="K70" s="54" t="str">
        <f t="shared" si="9"/>
        <v/>
      </c>
      <c r="L70" s="33"/>
      <c r="M70" s="33"/>
      <c r="N70" s="30"/>
      <c r="O70" s="30"/>
      <c r="P70" s="33"/>
    </row>
    <row r="71" spans="1:16" x14ac:dyDescent="0.25">
      <c r="A71" s="31"/>
      <c r="B71" s="30"/>
      <c r="C71" s="30"/>
      <c r="D71" s="30"/>
      <c r="E71" s="33"/>
      <c r="F71" s="30"/>
      <c r="G71" s="49"/>
      <c r="H71" s="52" t="str">
        <f t="shared" si="7"/>
        <v/>
      </c>
      <c r="I71" s="52" t="str">
        <f t="shared" si="8"/>
        <v/>
      </c>
      <c r="J71" s="53"/>
      <c r="K71" s="54" t="str">
        <f t="shared" si="9"/>
        <v/>
      </c>
      <c r="L71" s="33"/>
      <c r="M71" s="33"/>
      <c r="N71" s="30"/>
      <c r="O71" s="30"/>
      <c r="P71" s="33"/>
    </row>
    <row r="72" spans="1:16" x14ac:dyDescent="0.25">
      <c r="A72" s="31"/>
      <c r="B72" s="30"/>
      <c r="C72" s="30"/>
      <c r="D72" s="30"/>
      <c r="E72" s="33"/>
      <c r="F72" s="30"/>
      <c r="G72" s="49"/>
      <c r="H72" s="52" t="str">
        <f t="shared" si="7"/>
        <v/>
      </c>
      <c r="I72" s="52" t="str">
        <f t="shared" si="8"/>
        <v/>
      </c>
      <c r="J72" s="53"/>
      <c r="K72" s="54" t="str">
        <f t="shared" si="9"/>
        <v/>
      </c>
      <c r="L72" s="33"/>
      <c r="M72" s="33"/>
      <c r="N72" s="30"/>
      <c r="O72" s="30"/>
      <c r="P72" s="33"/>
    </row>
    <row r="73" spans="1:16" x14ac:dyDescent="0.25">
      <c r="A73" s="31"/>
      <c r="B73" s="30"/>
      <c r="C73" s="30"/>
      <c r="D73" s="30"/>
      <c r="E73" s="33"/>
      <c r="F73" s="30"/>
      <c r="G73" s="49"/>
      <c r="H73" s="52" t="str">
        <f t="shared" si="7"/>
        <v/>
      </c>
      <c r="I73" s="52" t="str">
        <f t="shared" si="8"/>
        <v/>
      </c>
      <c r="J73" s="53"/>
      <c r="K73" s="54" t="str">
        <f t="shared" si="9"/>
        <v/>
      </c>
      <c r="L73" s="33"/>
      <c r="M73" s="33"/>
      <c r="N73" s="30"/>
      <c r="O73" s="30"/>
      <c r="P73" s="33"/>
    </row>
    <row r="74" spans="1:16" x14ac:dyDescent="0.25">
      <c r="A74" s="31"/>
      <c r="B74" s="30"/>
      <c r="C74" s="30"/>
      <c r="D74" s="30"/>
      <c r="E74" s="33"/>
      <c r="F74" s="30"/>
      <c r="G74" s="49"/>
      <c r="H74" s="52" t="str">
        <f t="shared" si="7"/>
        <v/>
      </c>
      <c r="I74" s="52" t="str">
        <f t="shared" si="8"/>
        <v/>
      </c>
      <c r="J74" s="53"/>
      <c r="K74" s="54" t="str">
        <f t="shared" si="9"/>
        <v/>
      </c>
      <c r="L74" s="33"/>
      <c r="M74" s="33"/>
      <c r="N74" s="30"/>
      <c r="O74" s="30"/>
      <c r="P74" s="33"/>
    </row>
    <row r="75" spans="1:16" x14ac:dyDescent="0.25">
      <c r="A75" s="31"/>
      <c r="B75" s="30"/>
      <c r="C75" s="30"/>
      <c r="D75" s="30"/>
      <c r="E75" s="33"/>
      <c r="F75" s="30"/>
      <c r="G75" s="49"/>
      <c r="H75" s="52" t="str">
        <f t="shared" si="7"/>
        <v/>
      </c>
      <c r="I75" s="52" t="str">
        <f t="shared" si="8"/>
        <v/>
      </c>
      <c r="J75" s="53"/>
      <c r="K75" s="54" t="str">
        <f t="shared" si="9"/>
        <v/>
      </c>
      <c r="L75" s="33"/>
      <c r="M75" s="33"/>
      <c r="N75" s="30"/>
      <c r="O75" s="30"/>
      <c r="P75" s="33"/>
    </row>
    <row r="76" spans="1:16" x14ac:dyDescent="0.25">
      <c r="A76" s="31"/>
      <c r="B76" s="30"/>
      <c r="C76" s="30"/>
      <c r="D76" s="30"/>
      <c r="E76" s="33"/>
      <c r="F76" s="30"/>
      <c r="G76" s="49"/>
      <c r="H76" s="52" t="str">
        <f t="shared" si="7"/>
        <v/>
      </c>
      <c r="I76" s="52" t="str">
        <f t="shared" si="8"/>
        <v/>
      </c>
      <c r="J76" s="53"/>
      <c r="K76" s="54" t="str">
        <f t="shared" si="9"/>
        <v/>
      </c>
      <c r="L76" s="33"/>
      <c r="M76" s="33"/>
      <c r="N76" s="30"/>
      <c r="O76" s="30"/>
      <c r="P76" s="33"/>
    </row>
    <row r="77" spans="1:16" x14ac:dyDescent="0.25">
      <c r="A77" s="31"/>
      <c r="B77" s="30"/>
      <c r="C77" s="30"/>
      <c r="D77" s="30"/>
      <c r="E77" s="33"/>
      <c r="F77" s="30"/>
      <c r="G77" s="49"/>
      <c r="H77" s="52" t="str">
        <f t="shared" si="7"/>
        <v/>
      </c>
      <c r="I77" s="52" t="str">
        <f t="shared" si="8"/>
        <v/>
      </c>
      <c r="J77" s="53"/>
      <c r="K77" s="54" t="str">
        <f t="shared" si="9"/>
        <v/>
      </c>
      <c r="L77" s="33"/>
      <c r="M77" s="33"/>
      <c r="N77" s="30"/>
      <c r="O77" s="30"/>
      <c r="P77" s="33"/>
    </row>
    <row r="78" spans="1:16" x14ac:dyDescent="0.25">
      <c r="A78" s="31"/>
      <c r="B78" s="30"/>
      <c r="C78" s="30"/>
      <c r="D78" s="30"/>
      <c r="E78" s="33"/>
      <c r="F78" s="30"/>
      <c r="G78" s="49"/>
      <c r="H78" s="52" t="str">
        <f t="shared" si="7"/>
        <v/>
      </c>
      <c r="I78" s="52" t="str">
        <f t="shared" si="8"/>
        <v/>
      </c>
      <c r="J78" s="53"/>
      <c r="K78" s="54" t="str">
        <f t="shared" si="9"/>
        <v/>
      </c>
      <c r="L78" s="33"/>
      <c r="M78" s="33"/>
      <c r="N78" s="30"/>
      <c r="O78" s="30"/>
      <c r="P78" s="33"/>
    </row>
    <row r="79" spans="1:16" x14ac:dyDescent="0.25">
      <c r="A79" s="31"/>
      <c r="B79" s="30"/>
      <c r="C79" s="30"/>
      <c r="D79" s="30"/>
      <c r="E79" s="33"/>
      <c r="F79" s="30"/>
      <c r="G79" s="49"/>
      <c r="H79" s="52" t="str">
        <f t="shared" si="7"/>
        <v/>
      </c>
      <c r="I79" s="52" t="str">
        <f t="shared" si="8"/>
        <v/>
      </c>
      <c r="J79" s="53"/>
      <c r="K79" s="54" t="str">
        <f t="shared" si="9"/>
        <v/>
      </c>
      <c r="L79" s="33"/>
      <c r="M79" s="33"/>
      <c r="N79" s="30"/>
      <c r="O79" s="30"/>
      <c r="P79" s="33"/>
    </row>
    <row r="80" spans="1:16" x14ac:dyDescent="0.25">
      <c r="A80" s="31"/>
      <c r="B80" s="30"/>
      <c r="C80" s="30"/>
      <c r="D80" s="30"/>
      <c r="E80" s="33"/>
      <c r="F80" s="30"/>
      <c r="G80" s="49"/>
      <c r="H80" s="52" t="str">
        <f t="shared" si="7"/>
        <v/>
      </c>
      <c r="I80" s="52" t="str">
        <f t="shared" si="8"/>
        <v/>
      </c>
      <c r="J80" s="53"/>
      <c r="K80" s="54" t="str">
        <f t="shared" si="9"/>
        <v/>
      </c>
      <c r="L80" s="33"/>
      <c r="M80" s="33"/>
      <c r="N80" s="30"/>
      <c r="O80" s="30"/>
      <c r="P80" s="33"/>
    </row>
    <row r="81" spans="1:16" x14ac:dyDescent="0.25">
      <c r="A81" s="31"/>
      <c r="B81" s="30"/>
      <c r="C81" s="30"/>
      <c r="D81" s="30"/>
      <c r="E81" s="33"/>
      <c r="F81" s="30"/>
      <c r="G81" s="49"/>
      <c r="H81" s="52" t="str">
        <f t="shared" si="7"/>
        <v/>
      </c>
      <c r="I81" s="52" t="str">
        <f t="shared" si="8"/>
        <v/>
      </c>
      <c r="J81" s="53"/>
      <c r="K81" s="54" t="str">
        <f t="shared" si="9"/>
        <v/>
      </c>
      <c r="L81" s="33"/>
      <c r="M81" s="33"/>
      <c r="N81" s="30"/>
      <c r="O81" s="30"/>
      <c r="P81" s="33"/>
    </row>
    <row r="82" spans="1:16" x14ac:dyDescent="0.25">
      <c r="A82" s="31"/>
      <c r="B82" s="30"/>
      <c r="C82" s="30"/>
      <c r="D82" s="30"/>
      <c r="E82" s="33"/>
      <c r="F82" s="30"/>
      <c r="G82" s="49"/>
      <c r="H82" s="52" t="str">
        <f t="shared" si="7"/>
        <v/>
      </c>
      <c r="I82" s="52" t="str">
        <f t="shared" si="8"/>
        <v/>
      </c>
      <c r="J82" s="53"/>
      <c r="K82" s="54" t="str">
        <f t="shared" si="9"/>
        <v/>
      </c>
      <c r="L82" s="33"/>
      <c r="M82" s="33"/>
      <c r="N82" s="30"/>
      <c r="O82" s="30"/>
      <c r="P82" s="33"/>
    </row>
    <row r="83" spans="1:16" x14ac:dyDescent="0.25">
      <c r="A83" s="31"/>
      <c r="B83" s="30"/>
      <c r="C83" s="30"/>
      <c r="D83" s="30"/>
      <c r="E83" s="33"/>
      <c r="F83" s="30"/>
      <c r="G83" s="49"/>
      <c r="H83" s="52" t="str">
        <f t="shared" si="7"/>
        <v/>
      </c>
      <c r="I83" s="52" t="str">
        <f t="shared" si="8"/>
        <v/>
      </c>
      <c r="J83" s="53"/>
      <c r="K83" s="54" t="str">
        <f t="shared" si="9"/>
        <v/>
      </c>
      <c r="L83" s="33"/>
      <c r="M83" s="33"/>
      <c r="N83" s="30"/>
      <c r="O83" s="30"/>
      <c r="P83" s="33"/>
    </row>
    <row r="84" spans="1:16" x14ac:dyDescent="0.25">
      <c r="A84" s="31"/>
      <c r="B84" s="30"/>
      <c r="C84" s="30"/>
      <c r="D84" s="30"/>
      <c r="E84" s="33"/>
      <c r="F84" s="30"/>
      <c r="G84" s="49"/>
      <c r="H84" s="52" t="str">
        <f t="shared" si="7"/>
        <v/>
      </c>
      <c r="I84" s="52" t="str">
        <f t="shared" si="8"/>
        <v/>
      </c>
      <c r="J84" s="53"/>
      <c r="K84" s="54" t="str">
        <f t="shared" si="9"/>
        <v/>
      </c>
      <c r="L84" s="33"/>
      <c r="M84" s="33"/>
      <c r="N84" s="30"/>
      <c r="O84" s="30"/>
      <c r="P84" s="33"/>
    </row>
    <row r="85" spans="1:16" x14ac:dyDescent="0.25">
      <c r="A85" s="31"/>
      <c r="B85" s="30"/>
      <c r="C85" s="30"/>
      <c r="D85" s="30"/>
      <c r="E85" s="33"/>
      <c r="F85" s="30"/>
      <c r="G85" s="49"/>
      <c r="H85" s="52" t="str">
        <f t="shared" si="7"/>
        <v/>
      </c>
      <c r="I85" s="52" t="str">
        <f t="shared" si="8"/>
        <v/>
      </c>
      <c r="J85" s="53"/>
      <c r="K85" s="54" t="str">
        <f t="shared" si="9"/>
        <v/>
      </c>
      <c r="L85" s="33"/>
      <c r="M85" s="33"/>
      <c r="N85" s="30"/>
      <c r="O85" s="30"/>
      <c r="P85" s="33"/>
    </row>
    <row r="86" spans="1:16" x14ac:dyDescent="0.25">
      <c r="A86" s="31"/>
      <c r="B86" s="30"/>
      <c r="C86" s="30"/>
      <c r="D86" s="30"/>
      <c r="E86" s="33"/>
      <c r="F86" s="30"/>
      <c r="G86" s="49"/>
      <c r="H86" s="52" t="str">
        <f t="shared" si="7"/>
        <v/>
      </c>
      <c r="I86" s="52" t="str">
        <f t="shared" si="8"/>
        <v/>
      </c>
      <c r="J86" s="53"/>
      <c r="K86" s="54" t="str">
        <f t="shared" si="9"/>
        <v/>
      </c>
      <c r="L86" s="33"/>
      <c r="M86" s="33"/>
      <c r="N86" s="30"/>
      <c r="O86" s="30"/>
      <c r="P86" s="33"/>
    </row>
    <row r="87" spans="1:16" x14ac:dyDescent="0.25">
      <c r="A87" s="31"/>
      <c r="B87" s="30"/>
      <c r="C87" s="30"/>
      <c r="D87" s="30"/>
      <c r="E87" s="33"/>
      <c r="F87" s="30"/>
      <c r="G87" s="49"/>
      <c r="H87" s="52" t="str">
        <f t="shared" si="7"/>
        <v/>
      </c>
      <c r="I87" s="52" t="str">
        <f t="shared" si="8"/>
        <v/>
      </c>
      <c r="J87" s="53"/>
      <c r="K87" s="54" t="str">
        <f t="shared" si="9"/>
        <v/>
      </c>
      <c r="L87" s="33"/>
      <c r="M87" s="33"/>
      <c r="N87" s="30"/>
      <c r="O87" s="30"/>
      <c r="P87" s="33"/>
    </row>
    <row r="88" spans="1:16" x14ac:dyDescent="0.25">
      <c r="A88" s="31"/>
      <c r="B88" s="30"/>
      <c r="C88" s="30"/>
      <c r="D88" s="30"/>
      <c r="E88" s="33"/>
      <c r="F88" s="30"/>
      <c r="G88" s="49"/>
      <c r="H88" s="52" t="str">
        <f t="shared" si="7"/>
        <v/>
      </c>
      <c r="I88" s="52" t="str">
        <f t="shared" si="8"/>
        <v/>
      </c>
      <c r="J88" s="53"/>
      <c r="K88" s="54" t="str">
        <f t="shared" si="9"/>
        <v/>
      </c>
      <c r="L88" s="33"/>
      <c r="M88" s="33"/>
      <c r="N88" s="30"/>
      <c r="O88" s="30"/>
      <c r="P88" s="33"/>
    </row>
    <row r="89" spans="1:16" x14ac:dyDescent="0.25">
      <c r="A89" s="31"/>
      <c r="B89" s="30"/>
      <c r="C89" s="30"/>
      <c r="D89" s="30"/>
      <c r="E89" s="33"/>
      <c r="F89" s="30"/>
      <c r="G89" s="49"/>
      <c r="H89" s="52" t="str">
        <f t="shared" si="7"/>
        <v/>
      </c>
      <c r="I89" s="52" t="str">
        <f t="shared" si="8"/>
        <v/>
      </c>
      <c r="J89" s="53"/>
      <c r="K89" s="54" t="str">
        <f t="shared" si="9"/>
        <v/>
      </c>
      <c r="L89" s="33"/>
      <c r="M89" s="33"/>
      <c r="N89" s="30"/>
      <c r="O89" s="30"/>
      <c r="P89" s="33"/>
    </row>
    <row r="90" spans="1:16" x14ac:dyDescent="0.25">
      <c r="A90" s="31"/>
      <c r="B90" s="30"/>
      <c r="C90" s="30"/>
      <c r="D90" s="30"/>
      <c r="E90" s="33"/>
      <c r="F90" s="30"/>
      <c r="G90" s="49"/>
      <c r="H90" s="52" t="str">
        <f t="shared" si="7"/>
        <v/>
      </c>
      <c r="I90" s="52" t="str">
        <f t="shared" si="8"/>
        <v/>
      </c>
      <c r="J90" s="53"/>
      <c r="K90" s="54" t="str">
        <f t="shared" si="9"/>
        <v/>
      </c>
      <c r="L90" s="33"/>
      <c r="M90" s="33"/>
      <c r="N90" s="30"/>
      <c r="O90" s="30"/>
      <c r="P90" s="33"/>
    </row>
    <row r="91" spans="1:16" x14ac:dyDescent="0.25">
      <c r="A91" s="31"/>
      <c r="B91" s="30"/>
      <c r="C91" s="30"/>
      <c r="D91" s="30"/>
      <c r="E91" s="33"/>
      <c r="F91" s="30"/>
      <c r="G91" s="49"/>
      <c r="H91" s="52" t="str">
        <f t="shared" si="7"/>
        <v/>
      </c>
      <c r="I91" s="52" t="str">
        <f t="shared" si="8"/>
        <v/>
      </c>
      <c r="J91" s="53"/>
      <c r="K91" s="54" t="str">
        <f t="shared" si="9"/>
        <v/>
      </c>
      <c r="L91" s="33"/>
      <c r="M91" s="33"/>
      <c r="N91" s="30"/>
      <c r="O91" s="30"/>
      <c r="P91" s="33"/>
    </row>
    <row r="92" spans="1:16" x14ac:dyDescent="0.25">
      <c r="A92" s="31"/>
      <c r="B92" s="30"/>
      <c r="C92" s="30"/>
      <c r="D92" s="30"/>
      <c r="E92" s="33"/>
      <c r="F92" s="30"/>
      <c r="G92" s="49"/>
      <c r="H92" s="52" t="str">
        <f t="shared" si="7"/>
        <v/>
      </c>
      <c r="I92" s="52" t="str">
        <f t="shared" si="8"/>
        <v/>
      </c>
      <c r="J92" s="53"/>
      <c r="K92" s="54" t="str">
        <f t="shared" si="9"/>
        <v/>
      </c>
      <c r="L92" s="33"/>
      <c r="M92" s="33"/>
      <c r="N92" s="30"/>
      <c r="O92" s="30"/>
      <c r="P92" s="33"/>
    </row>
    <row r="93" spans="1:16" x14ac:dyDescent="0.25">
      <c r="A93" s="31"/>
      <c r="B93" s="30"/>
      <c r="C93" s="30"/>
      <c r="D93" s="30"/>
      <c r="E93" s="33"/>
      <c r="F93" s="30"/>
      <c r="G93" s="49"/>
      <c r="H93" s="52" t="str">
        <f t="shared" si="7"/>
        <v/>
      </c>
      <c r="I93" s="52" t="str">
        <f t="shared" si="8"/>
        <v/>
      </c>
      <c r="J93" s="53"/>
      <c r="K93" s="54" t="str">
        <f t="shared" si="9"/>
        <v/>
      </c>
      <c r="L93" s="33"/>
      <c r="M93" s="33"/>
      <c r="N93" s="30"/>
      <c r="O93" s="30"/>
      <c r="P93" s="33"/>
    </row>
    <row r="94" spans="1:16" x14ac:dyDescent="0.25">
      <c r="A94" s="31"/>
      <c r="B94" s="30"/>
      <c r="C94" s="30"/>
      <c r="D94" s="30"/>
      <c r="E94" s="33"/>
      <c r="F94" s="30"/>
      <c r="G94" s="49"/>
      <c r="H94" s="52" t="str">
        <f t="shared" si="7"/>
        <v/>
      </c>
      <c r="I94" s="52" t="str">
        <f t="shared" si="8"/>
        <v/>
      </c>
      <c r="J94" s="53"/>
      <c r="K94" s="54" t="str">
        <f t="shared" si="9"/>
        <v/>
      </c>
      <c r="L94" s="33"/>
      <c r="M94" s="33"/>
      <c r="N94" s="30"/>
      <c r="O94" s="30"/>
      <c r="P94" s="33"/>
    </row>
    <row r="95" spans="1:16" x14ac:dyDescent="0.25">
      <c r="A95" s="31"/>
      <c r="B95" s="30"/>
      <c r="C95" s="30"/>
      <c r="D95" s="30"/>
      <c r="E95" s="33"/>
      <c r="F95" s="30"/>
      <c r="G95" s="49"/>
      <c r="H95" s="52" t="str">
        <f t="shared" si="7"/>
        <v/>
      </c>
      <c r="I95" s="52" t="str">
        <f t="shared" si="8"/>
        <v/>
      </c>
      <c r="J95" s="53"/>
      <c r="K95" s="54" t="str">
        <f t="shared" si="9"/>
        <v/>
      </c>
      <c r="L95" s="33"/>
      <c r="M95" s="33"/>
      <c r="N95" s="30"/>
      <c r="O95" s="30"/>
      <c r="P95" s="33"/>
    </row>
    <row r="96" spans="1:16" x14ac:dyDescent="0.25">
      <c r="A96" s="31"/>
      <c r="B96" s="30"/>
      <c r="C96" s="30"/>
      <c r="D96" s="30"/>
      <c r="E96" s="33"/>
      <c r="F96" s="30"/>
      <c r="G96" s="49"/>
      <c r="H96" s="52" t="str">
        <f t="shared" si="7"/>
        <v/>
      </c>
      <c r="I96" s="52" t="str">
        <f t="shared" si="8"/>
        <v/>
      </c>
      <c r="J96" s="53"/>
      <c r="K96" s="54" t="str">
        <f t="shared" si="9"/>
        <v/>
      </c>
      <c r="L96" s="33"/>
      <c r="M96" s="33"/>
      <c r="N96" s="30"/>
      <c r="O96" s="30"/>
      <c r="P96" s="33"/>
    </row>
    <row r="97" spans="1:16" x14ac:dyDescent="0.25">
      <c r="A97" s="31"/>
      <c r="B97" s="30"/>
      <c r="C97" s="30"/>
      <c r="D97" s="30"/>
      <c r="E97" s="33"/>
      <c r="F97" s="30"/>
      <c r="G97" s="49"/>
      <c r="H97" s="52" t="str">
        <f t="shared" si="7"/>
        <v/>
      </c>
      <c r="I97" s="52" t="str">
        <f t="shared" si="8"/>
        <v/>
      </c>
      <c r="J97" s="53"/>
      <c r="K97" s="54" t="str">
        <f t="shared" si="9"/>
        <v/>
      </c>
      <c r="L97" s="33"/>
      <c r="M97" s="33"/>
      <c r="N97" s="30"/>
      <c r="O97" s="30"/>
      <c r="P97" s="33"/>
    </row>
    <row r="98" spans="1:16" x14ac:dyDescent="0.25">
      <c r="A98" s="31"/>
      <c r="B98" s="30"/>
      <c r="C98" s="30"/>
      <c r="D98" s="30"/>
      <c r="E98" s="33"/>
      <c r="F98" s="30"/>
      <c r="G98" s="49"/>
      <c r="H98" s="52" t="str">
        <f t="shared" si="7"/>
        <v/>
      </c>
      <c r="I98" s="52" t="str">
        <f t="shared" si="8"/>
        <v/>
      </c>
      <c r="J98" s="53"/>
      <c r="K98" s="54" t="str">
        <f t="shared" si="9"/>
        <v/>
      </c>
      <c r="L98" s="33"/>
      <c r="M98" s="33"/>
      <c r="N98" s="30"/>
      <c r="O98" s="30"/>
      <c r="P98" s="33"/>
    </row>
    <row r="99" spans="1:16" x14ac:dyDescent="0.25">
      <c r="A99" s="31"/>
      <c r="B99" s="30"/>
      <c r="C99" s="30"/>
      <c r="D99" s="30"/>
      <c r="E99" s="33"/>
      <c r="F99" s="30"/>
      <c r="G99" s="49"/>
      <c r="H99" s="52" t="str">
        <f t="shared" si="7"/>
        <v/>
      </c>
      <c r="I99" s="52" t="str">
        <f t="shared" si="8"/>
        <v/>
      </c>
      <c r="J99" s="53"/>
      <c r="K99" s="54" t="str">
        <f t="shared" si="9"/>
        <v/>
      </c>
      <c r="L99" s="33"/>
      <c r="M99" s="33"/>
      <c r="N99" s="30"/>
      <c r="O99" s="30"/>
      <c r="P99" s="33"/>
    </row>
    <row r="100" spans="1:16" x14ac:dyDescent="0.25">
      <c r="A100" s="31"/>
      <c r="B100" s="30"/>
      <c r="C100" s="30"/>
      <c r="D100" s="30"/>
      <c r="E100" s="33"/>
      <c r="F100" s="30"/>
      <c r="G100" s="49"/>
      <c r="H100" s="52" t="str">
        <f t="shared" si="7"/>
        <v/>
      </c>
      <c r="I100" s="52" t="str">
        <f t="shared" si="8"/>
        <v/>
      </c>
      <c r="J100" s="53"/>
      <c r="K100" s="54" t="str">
        <f t="shared" si="9"/>
        <v/>
      </c>
      <c r="L100" s="33"/>
      <c r="M100" s="33"/>
      <c r="N100" s="30"/>
      <c r="O100" s="30"/>
      <c r="P100" s="33"/>
    </row>
    <row r="101" spans="1:16" x14ac:dyDescent="0.25">
      <c r="A101" s="31"/>
      <c r="B101" s="30"/>
      <c r="C101" s="30"/>
      <c r="D101" s="30"/>
      <c r="E101" s="33"/>
      <c r="F101" s="30"/>
      <c r="G101" s="49"/>
      <c r="H101" s="52" t="str">
        <f t="shared" si="7"/>
        <v/>
      </c>
      <c r="I101" s="52" t="str">
        <f t="shared" si="8"/>
        <v/>
      </c>
      <c r="J101" s="53"/>
      <c r="K101" s="54" t="str">
        <f t="shared" si="9"/>
        <v/>
      </c>
      <c r="L101" s="33"/>
      <c r="M101" s="33"/>
      <c r="N101" s="30"/>
      <c r="O101" s="30"/>
      <c r="P101" s="33"/>
    </row>
    <row r="102" spans="1:16" x14ac:dyDescent="0.25">
      <c r="A102" s="31"/>
      <c r="B102" s="30"/>
      <c r="C102" s="30"/>
      <c r="D102" s="30"/>
      <c r="E102" s="33"/>
      <c r="F102" s="30"/>
      <c r="G102" s="49"/>
      <c r="H102" s="52" t="str">
        <f t="shared" si="7"/>
        <v/>
      </c>
      <c r="I102" s="52" t="str">
        <f t="shared" si="8"/>
        <v/>
      </c>
      <c r="J102" s="53"/>
      <c r="K102" s="54" t="str">
        <f t="shared" si="9"/>
        <v/>
      </c>
      <c r="L102" s="33"/>
      <c r="M102" s="33"/>
      <c r="N102" s="30"/>
      <c r="O102" s="30"/>
      <c r="P102" s="33"/>
    </row>
    <row r="103" spans="1:16" x14ac:dyDescent="0.25">
      <c r="A103" s="31"/>
      <c r="B103" s="30"/>
      <c r="C103" s="30"/>
      <c r="D103" s="30"/>
      <c r="E103" s="33"/>
      <c r="F103" s="30"/>
      <c r="G103" s="49"/>
      <c r="H103" s="52" t="str">
        <f t="shared" si="7"/>
        <v/>
      </c>
      <c r="I103" s="52" t="str">
        <f t="shared" si="8"/>
        <v/>
      </c>
      <c r="J103" s="53"/>
      <c r="K103" s="54" t="str">
        <f t="shared" si="9"/>
        <v/>
      </c>
      <c r="L103" s="33"/>
      <c r="M103" s="33"/>
      <c r="N103" s="30"/>
      <c r="O103" s="30"/>
      <c r="P103" s="33"/>
    </row>
    <row r="104" spans="1:16" x14ac:dyDescent="0.25">
      <c r="A104" s="31"/>
      <c r="B104" s="30"/>
      <c r="C104" s="30"/>
      <c r="D104" s="30"/>
      <c r="E104" s="33"/>
      <c r="F104" s="30"/>
      <c r="G104" s="49"/>
      <c r="H104" s="52" t="str">
        <f t="shared" si="7"/>
        <v/>
      </c>
      <c r="I104" s="52" t="str">
        <f t="shared" si="8"/>
        <v/>
      </c>
      <c r="J104" s="53"/>
      <c r="K104" s="54" t="str">
        <f t="shared" si="9"/>
        <v/>
      </c>
      <c r="L104" s="33"/>
      <c r="M104" s="33"/>
      <c r="N104" s="30"/>
      <c r="O104" s="30"/>
      <c r="P104" s="33"/>
    </row>
    <row r="105" spans="1:16" x14ac:dyDescent="0.25">
      <c r="A105" s="31"/>
      <c r="B105" s="30"/>
      <c r="C105" s="30"/>
      <c r="D105" s="30"/>
      <c r="E105" s="33"/>
      <c r="F105" s="30"/>
      <c r="G105" s="49"/>
      <c r="H105" s="52" t="str">
        <f t="shared" si="7"/>
        <v/>
      </c>
      <c r="I105" s="52" t="str">
        <f t="shared" si="8"/>
        <v/>
      </c>
      <c r="J105" s="53"/>
      <c r="K105" s="54" t="str">
        <f t="shared" si="9"/>
        <v/>
      </c>
      <c r="L105" s="33"/>
      <c r="M105" s="33"/>
      <c r="N105" s="30"/>
      <c r="O105" s="30"/>
      <c r="P105" s="33"/>
    </row>
    <row r="106" spans="1:16" x14ac:dyDescent="0.25">
      <c r="A106" s="31"/>
      <c r="B106" s="30"/>
      <c r="C106" s="30"/>
      <c r="D106" s="30"/>
      <c r="E106" s="33"/>
      <c r="F106" s="30"/>
      <c r="G106" s="49"/>
      <c r="H106" s="52" t="str">
        <f t="shared" si="7"/>
        <v/>
      </c>
      <c r="I106" s="52" t="str">
        <f t="shared" si="8"/>
        <v/>
      </c>
      <c r="J106" s="53"/>
      <c r="K106" s="54" t="str">
        <f t="shared" si="9"/>
        <v/>
      </c>
      <c r="L106" s="33"/>
      <c r="M106" s="33"/>
      <c r="N106" s="30"/>
      <c r="O106" s="30"/>
      <c r="P106" s="33"/>
    </row>
    <row r="107" spans="1:16" x14ac:dyDescent="0.25">
      <c r="A107" s="31"/>
      <c r="B107" s="30"/>
      <c r="C107" s="30"/>
      <c r="D107" s="30"/>
      <c r="E107" s="33"/>
      <c r="F107" s="30"/>
      <c r="G107" s="49"/>
      <c r="H107" s="52" t="str">
        <f t="shared" si="7"/>
        <v/>
      </c>
      <c r="I107" s="52" t="str">
        <f t="shared" si="8"/>
        <v/>
      </c>
      <c r="J107" s="53"/>
      <c r="K107" s="54" t="str">
        <f t="shared" si="9"/>
        <v/>
      </c>
      <c r="L107" s="33"/>
      <c r="M107" s="33"/>
      <c r="N107" s="30"/>
      <c r="O107" s="30"/>
      <c r="P107" s="33"/>
    </row>
    <row r="108" spans="1:16" x14ac:dyDescent="0.25">
      <c r="A108" s="31"/>
      <c r="B108" s="30"/>
      <c r="C108" s="30"/>
      <c r="D108" s="30"/>
      <c r="E108" s="33"/>
      <c r="F108" s="30"/>
      <c r="G108" s="49"/>
      <c r="H108" s="52" t="str">
        <f t="shared" si="7"/>
        <v/>
      </c>
      <c r="I108" s="52" t="str">
        <f t="shared" si="8"/>
        <v/>
      </c>
      <c r="J108" s="53"/>
      <c r="K108" s="54" t="str">
        <f t="shared" si="9"/>
        <v/>
      </c>
      <c r="L108" s="33"/>
      <c r="M108" s="33"/>
      <c r="N108" s="30"/>
      <c r="O108" s="30"/>
      <c r="P108" s="33"/>
    </row>
    <row r="109" spans="1:16" x14ac:dyDescent="0.25">
      <c r="A109" s="31"/>
      <c r="B109" s="30"/>
      <c r="C109" s="30"/>
      <c r="D109" s="30"/>
      <c r="E109" s="33"/>
      <c r="F109" s="30"/>
      <c r="G109" s="49"/>
      <c r="H109" s="52" t="str">
        <f t="shared" si="7"/>
        <v/>
      </c>
      <c r="I109" s="52" t="str">
        <f t="shared" si="8"/>
        <v/>
      </c>
      <c r="J109" s="53"/>
      <c r="K109" s="54" t="str">
        <f t="shared" si="9"/>
        <v/>
      </c>
      <c r="L109" s="33"/>
      <c r="M109" s="33"/>
      <c r="N109" s="30"/>
      <c r="O109" s="30"/>
      <c r="P109" s="33"/>
    </row>
    <row r="110" spans="1:16" x14ac:dyDescent="0.25">
      <c r="A110" s="31"/>
      <c r="B110" s="30"/>
      <c r="C110" s="30"/>
      <c r="D110" s="30"/>
      <c r="E110" s="33"/>
      <c r="F110" s="30"/>
      <c r="G110" s="49"/>
      <c r="H110" s="52" t="str">
        <f t="shared" si="7"/>
        <v/>
      </c>
      <c r="I110" s="52" t="str">
        <f t="shared" si="8"/>
        <v/>
      </c>
      <c r="J110" s="53"/>
      <c r="K110" s="54" t="str">
        <f t="shared" si="9"/>
        <v/>
      </c>
      <c r="L110" s="33"/>
      <c r="M110" s="33"/>
      <c r="N110" s="30"/>
      <c r="O110" s="30"/>
      <c r="P110" s="33"/>
    </row>
    <row r="111" spans="1:16" x14ac:dyDescent="0.25">
      <c r="A111" s="31"/>
      <c r="B111" s="30"/>
      <c r="C111" s="30"/>
      <c r="D111" s="30"/>
      <c r="E111" s="33"/>
      <c r="F111" s="30"/>
      <c r="G111" s="49"/>
      <c r="H111" s="52" t="str">
        <f t="shared" si="7"/>
        <v/>
      </c>
      <c r="I111" s="52" t="str">
        <f t="shared" si="8"/>
        <v/>
      </c>
      <c r="J111" s="53"/>
      <c r="K111" s="54" t="str">
        <f t="shared" si="9"/>
        <v/>
      </c>
      <c r="L111" s="33"/>
      <c r="M111" s="33"/>
      <c r="N111" s="30"/>
      <c r="O111" s="30"/>
      <c r="P111" s="33"/>
    </row>
    <row r="112" spans="1:16" x14ac:dyDescent="0.25">
      <c r="A112" s="31"/>
      <c r="B112" s="30"/>
      <c r="C112" s="30"/>
      <c r="D112" s="30"/>
      <c r="E112" s="33"/>
      <c r="F112" s="30"/>
      <c r="G112" s="49"/>
      <c r="H112" s="52" t="str">
        <f t="shared" si="7"/>
        <v/>
      </c>
      <c r="I112" s="52" t="str">
        <f t="shared" si="8"/>
        <v/>
      </c>
      <c r="J112" s="53"/>
      <c r="K112" s="54" t="str">
        <f t="shared" si="9"/>
        <v/>
      </c>
      <c r="L112" s="33"/>
      <c r="M112" s="33"/>
      <c r="N112" s="30"/>
      <c r="O112" s="30"/>
      <c r="P112" s="33"/>
    </row>
    <row r="113" spans="1:16" x14ac:dyDescent="0.25">
      <c r="A113" s="31"/>
      <c r="B113" s="30"/>
      <c r="C113" s="30"/>
      <c r="D113" s="30"/>
      <c r="E113" s="33"/>
      <c r="F113" s="30"/>
      <c r="G113" s="49"/>
      <c r="H113" s="52" t="str">
        <f t="shared" si="7"/>
        <v/>
      </c>
      <c r="I113" s="52" t="str">
        <f t="shared" si="8"/>
        <v/>
      </c>
      <c r="J113" s="53"/>
      <c r="K113" s="54" t="str">
        <f t="shared" si="9"/>
        <v/>
      </c>
      <c r="L113" s="33"/>
      <c r="M113" s="33"/>
      <c r="N113" s="30"/>
      <c r="O113" s="30"/>
      <c r="P113" s="33"/>
    </row>
    <row r="114" spans="1:16" x14ac:dyDescent="0.25">
      <c r="A114" s="31"/>
      <c r="B114" s="30"/>
      <c r="C114" s="30"/>
      <c r="D114" s="30"/>
      <c r="E114" s="33"/>
      <c r="F114" s="30"/>
      <c r="G114" s="49"/>
      <c r="H114" s="52" t="str">
        <f t="shared" si="7"/>
        <v/>
      </c>
      <c r="I114" s="52" t="str">
        <f t="shared" si="8"/>
        <v/>
      </c>
      <c r="J114" s="53"/>
      <c r="K114" s="54" t="str">
        <f t="shared" si="9"/>
        <v/>
      </c>
      <c r="L114" s="33"/>
      <c r="M114" s="33"/>
      <c r="N114" s="30"/>
      <c r="O114" s="30"/>
      <c r="P114" s="33"/>
    </row>
    <row r="115" spans="1:16" x14ac:dyDescent="0.25">
      <c r="A115" s="31"/>
      <c r="B115" s="30"/>
      <c r="C115" s="30"/>
      <c r="D115" s="30"/>
      <c r="E115" s="33"/>
      <c r="F115" s="30"/>
      <c r="G115" s="49"/>
      <c r="H115" s="52" t="str">
        <f t="shared" si="7"/>
        <v/>
      </c>
      <c r="I115" s="52" t="str">
        <f t="shared" si="8"/>
        <v/>
      </c>
      <c r="J115" s="53"/>
      <c r="K115" s="54" t="str">
        <f t="shared" si="9"/>
        <v/>
      </c>
      <c r="L115" s="33"/>
      <c r="M115" s="33"/>
      <c r="N115" s="30"/>
      <c r="O115" s="30"/>
      <c r="P115" s="33"/>
    </row>
    <row r="116" spans="1:16" x14ac:dyDescent="0.25">
      <c r="A116" s="31"/>
      <c r="B116" s="30"/>
      <c r="C116" s="30"/>
      <c r="D116" s="30"/>
      <c r="E116" s="33"/>
      <c r="F116" s="30"/>
      <c r="G116" s="49"/>
      <c r="H116" s="52" t="str">
        <f t="shared" si="7"/>
        <v/>
      </c>
      <c r="I116" s="52" t="str">
        <f t="shared" si="8"/>
        <v/>
      </c>
      <c r="J116" s="53"/>
      <c r="K116" s="54" t="str">
        <f t="shared" si="9"/>
        <v/>
      </c>
      <c r="L116" s="33"/>
      <c r="M116" s="33"/>
      <c r="N116" s="30"/>
      <c r="O116" s="30"/>
      <c r="P116" s="33"/>
    </row>
    <row r="117" spans="1:16" x14ac:dyDescent="0.25">
      <c r="A117" s="31"/>
      <c r="B117" s="30"/>
      <c r="C117" s="30"/>
      <c r="D117" s="30"/>
      <c r="E117" s="33"/>
      <c r="F117" s="30"/>
      <c r="G117" s="49"/>
      <c r="H117" s="52" t="str">
        <f t="shared" si="7"/>
        <v/>
      </c>
      <c r="I117" s="52" t="str">
        <f t="shared" si="8"/>
        <v/>
      </c>
      <c r="J117" s="53"/>
      <c r="K117" s="54" t="str">
        <f t="shared" si="9"/>
        <v/>
      </c>
      <c r="L117" s="33"/>
      <c r="M117" s="33"/>
      <c r="N117" s="30"/>
      <c r="O117" s="30"/>
      <c r="P117" s="33"/>
    </row>
    <row r="118" spans="1:16" x14ac:dyDescent="0.25">
      <c r="A118" s="31"/>
      <c r="B118" s="30"/>
      <c r="C118" s="30"/>
      <c r="D118" s="30"/>
      <c r="E118" s="33"/>
      <c r="F118" s="30"/>
      <c r="G118" s="49"/>
      <c r="H118" s="52" t="str">
        <f t="shared" si="7"/>
        <v/>
      </c>
      <c r="I118" s="52" t="str">
        <f t="shared" si="8"/>
        <v/>
      </c>
      <c r="J118" s="53"/>
      <c r="K118" s="54" t="str">
        <f t="shared" si="9"/>
        <v/>
      </c>
      <c r="L118" s="33"/>
      <c r="M118" s="33"/>
      <c r="N118" s="30"/>
      <c r="O118" s="30"/>
      <c r="P118" s="33"/>
    </row>
    <row r="119" spans="1:16" x14ac:dyDescent="0.25">
      <c r="A119" s="31"/>
      <c r="B119" s="30"/>
      <c r="C119" s="30"/>
      <c r="D119" s="30"/>
      <c r="E119" s="33"/>
      <c r="F119" s="30"/>
      <c r="G119" s="49"/>
      <c r="H119" s="52" t="str">
        <f t="shared" si="7"/>
        <v/>
      </c>
      <c r="I119" s="52" t="str">
        <f t="shared" si="8"/>
        <v/>
      </c>
      <c r="J119" s="53"/>
      <c r="K119" s="54" t="str">
        <f t="shared" si="9"/>
        <v/>
      </c>
      <c r="L119" s="33"/>
      <c r="M119" s="33"/>
      <c r="N119" s="30"/>
      <c r="O119" s="30"/>
      <c r="P119" s="33"/>
    </row>
    <row r="120" spans="1:16" x14ac:dyDescent="0.25">
      <c r="A120" s="31"/>
      <c r="B120" s="30"/>
      <c r="C120" s="30"/>
      <c r="D120" s="30"/>
      <c r="E120" s="33"/>
      <c r="F120" s="30"/>
      <c r="G120" s="49"/>
      <c r="H120" s="52" t="str">
        <f t="shared" si="7"/>
        <v/>
      </c>
      <c r="I120" s="52" t="str">
        <f t="shared" si="8"/>
        <v/>
      </c>
      <c r="J120" s="53"/>
      <c r="K120" s="54" t="str">
        <f t="shared" si="9"/>
        <v/>
      </c>
      <c r="L120" s="33"/>
      <c r="M120" s="33"/>
      <c r="N120" s="30"/>
      <c r="O120" s="30"/>
      <c r="P120" s="33"/>
    </row>
    <row r="121" spans="1:16" x14ac:dyDescent="0.25">
      <c r="A121" s="31"/>
      <c r="B121" s="30"/>
      <c r="C121" s="30"/>
      <c r="D121" s="30"/>
      <c r="E121" s="33"/>
      <c r="F121" s="30"/>
      <c r="G121" s="49"/>
      <c r="H121" s="52" t="str">
        <f t="shared" si="7"/>
        <v/>
      </c>
      <c r="I121" s="52" t="str">
        <f t="shared" si="8"/>
        <v/>
      </c>
      <c r="J121" s="53"/>
      <c r="K121" s="54" t="str">
        <f t="shared" si="9"/>
        <v/>
      </c>
      <c r="L121" s="33"/>
      <c r="M121" s="33"/>
      <c r="N121" s="30"/>
      <c r="O121" s="30"/>
      <c r="P121" s="33"/>
    </row>
    <row r="122" spans="1:16" x14ac:dyDescent="0.25">
      <c r="A122" s="31"/>
      <c r="B122" s="30"/>
      <c r="C122" s="30"/>
      <c r="D122" s="30"/>
      <c r="E122" s="33"/>
      <c r="F122" s="30"/>
      <c r="G122" s="49"/>
      <c r="H122" s="52" t="str">
        <f t="shared" si="7"/>
        <v/>
      </c>
      <c r="I122" s="52" t="str">
        <f t="shared" si="8"/>
        <v/>
      </c>
      <c r="J122" s="53"/>
      <c r="K122" s="54" t="str">
        <f t="shared" si="9"/>
        <v/>
      </c>
      <c r="L122" s="33"/>
      <c r="M122" s="33"/>
      <c r="N122" s="30"/>
      <c r="O122" s="30"/>
      <c r="P122" s="33"/>
    </row>
    <row r="123" spans="1:16" x14ac:dyDescent="0.25">
      <c r="A123" s="31"/>
      <c r="B123" s="30"/>
      <c r="C123" s="30"/>
      <c r="D123" s="30"/>
      <c r="E123" s="33"/>
      <c r="F123" s="30"/>
      <c r="G123" s="49"/>
      <c r="H123" s="52" t="str">
        <f t="shared" si="7"/>
        <v/>
      </c>
      <c r="I123" s="52" t="str">
        <f t="shared" si="8"/>
        <v/>
      </c>
      <c r="J123" s="53"/>
      <c r="K123" s="54" t="str">
        <f t="shared" si="9"/>
        <v/>
      </c>
      <c r="L123" s="33"/>
      <c r="M123" s="33"/>
      <c r="N123" s="30"/>
      <c r="O123" s="30"/>
      <c r="P123" s="33"/>
    </row>
    <row r="124" spans="1:16" x14ac:dyDescent="0.25">
      <c r="A124" s="31"/>
      <c r="B124" s="30"/>
      <c r="C124" s="30"/>
      <c r="D124" s="30"/>
      <c r="E124" s="33"/>
      <c r="F124" s="30"/>
      <c r="G124" s="49"/>
      <c r="H124" s="52" t="str">
        <f t="shared" si="7"/>
        <v/>
      </c>
      <c r="I124" s="52" t="str">
        <f t="shared" si="8"/>
        <v/>
      </c>
      <c r="J124" s="53"/>
      <c r="K124" s="54" t="str">
        <f t="shared" si="9"/>
        <v/>
      </c>
      <c r="L124" s="33"/>
      <c r="M124" s="33"/>
      <c r="N124" s="30"/>
      <c r="O124" s="30"/>
      <c r="P124" s="33"/>
    </row>
    <row r="125" spans="1:16" x14ac:dyDescent="0.25">
      <c r="A125" s="31"/>
      <c r="B125" s="30"/>
      <c r="C125" s="30"/>
      <c r="D125" s="30"/>
      <c r="E125" s="33"/>
      <c r="F125" s="30"/>
      <c r="G125" s="49"/>
      <c r="H125" s="52" t="str">
        <f t="shared" si="7"/>
        <v/>
      </c>
      <c r="I125" s="52" t="str">
        <f t="shared" si="8"/>
        <v/>
      </c>
      <c r="J125" s="53"/>
      <c r="K125" s="54" t="str">
        <f t="shared" si="9"/>
        <v/>
      </c>
      <c r="L125" s="33"/>
      <c r="M125" s="33"/>
      <c r="N125" s="30"/>
      <c r="O125" s="30"/>
      <c r="P125" s="33"/>
    </row>
    <row r="126" spans="1:16" x14ac:dyDescent="0.25">
      <c r="A126" s="31"/>
      <c r="B126" s="30"/>
      <c r="C126" s="30"/>
      <c r="D126" s="30"/>
      <c r="E126" s="33"/>
      <c r="F126" s="30"/>
      <c r="G126" s="49"/>
      <c r="H126" s="52" t="str">
        <f t="shared" si="7"/>
        <v/>
      </c>
      <c r="I126" s="52" t="str">
        <f t="shared" si="8"/>
        <v/>
      </c>
      <c r="J126" s="53"/>
      <c r="K126" s="54" t="str">
        <f t="shared" si="9"/>
        <v/>
      </c>
      <c r="L126" s="33"/>
      <c r="M126" s="33"/>
      <c r="N126" s="30"/>
      <c r="O126" s="30"/>
      <c r="P126" s="33"/>
    </row>
    <row r="127" spans="1:16" x14ac:dyDescent="0.25">
      <c r="A127" s="31"/>
      <c r="B127" s="30"/>
      <c r="C127" s="30"/>
      <c r="D127" s="30"/>
      <c r="E127" s="33"/>
      <c r="F127" s="30"/>
      <c r="G127" s="49"/>
      <c r="H127" s="52" t="str">
        <f t="shared" si="7"/>
        <v/>
      </c>
      <c r="I127" s="52" t="str">
        <f t="shared" si="8"/>
        <v/>
      </c>
      <c r="J127" s="53"/>
      <c r="K127" s="54" t="str">
        <f t="shared" si="9"/>
        <v/>
      </c>
      <c r="L127" s="33"/>
      <c r="M127" s="33"/>
      <c r="N127" s="30"/>
      <c r="O127" s="30"/>
      <c r="P127" s="33"/>
    </row>
    <row r="128" spans="1:16" x14ac:dyDescent="0.25">
      <c r="A128" s="31"/>
      <c r="B128" s="30"/>
      <c r="C128" s="30"/>
      <c r="D128" s="30"/>
      <c r="E128" s="33"/>
      <c r="F128" s="30"/>
      <c r="G128" s="49"/>
      <c r="H128" s="52" t="str">
        <f t="shared" si="7"/>
        <v/>
      </c>
      <c r="I128" s="52" t="str">
        <f t="shared" si="8"/>
        <v/>
      </c>
      <c r="J128" s="53"/>
      <c r="K128" s="54" t="str">
        <f t="shared" si="9"/>
        <v/>
      </c>
      <c r="L128" s="33"/>
      <c r="M128" s="33"/>
      <c r="N128" s="30"/>
      <c r="O128" s="30"/>
      <c r="P128" s="33"/>
    </row>
    <row r="129" spans="1:16" x14ac:dyDescent="0.25">
      <c r="A129" s="31"/>
      <c r="B129" s="30"/>
      <c r="C129" s="30"/>
      <c r="D129" s="30"/>
      <c r="E129" s="33"/>
      <c r="F129" s="30"/>
      <c r="G129" s="49"/>
      <c r="H129" s="52" t="str">
        <f t="shared" si="7"/>
        <v/>
      </c>
      <c r="I129" s="52" t="str">
        <f t="shared" si="8"/>
        <v/>
      </c>
      <c r="J129" s="53"/>
      <c r="K129" s="54" t="str">
        <f t="shared" si="9"/>
        <v/>
      </c>
      <c r="L129" s="33"/>
      <c r="M129" s="33"/>
      <c r="N129" s="30"/>
      <c r="O129" s="30"/>
      <c r="P129" s="33"/>
    </row>
    <row r="130" spans="1:16" x14ac:dyDescent="0.25">
      <c r="A130" s="31"/>
      <c r="B130" s="30"/>
      <c r="C130" s="30"/>
      <c r="D130" s="30"/>
      <c r="E130" s="33"/>
      <c r="F130" s="30"/>
      <c r="G130" s="49"/>
      <c r="H130" s="52" t="str">
        <f t="shared" si="7"/>
        <v/>
      </c>
      <c r="I130" s="52" t="str">
        <f t="shared" si="8"/>
        <v/>
      </c>
      <c r="J130" s="53"/>
      <c r="K130" s="54" t="str">
        <f t="shared" si="9"/>
        <v/>
      </c>
      <c r="L130" s="33"/>
      <c r="M130" s="33"/>
      <c r="N130" s="30"/>
      <c r="O130" s="30"/>
      <c r="P130" s="33"/>
    </row>
    <row r="131" spans="1:16" x14ac:dyDescent="0.25">
      <c r="A131" s="31"/>
      <c r="B131" s="30"/>
      <c r="C131" s="30"/>
      <c r="D131" s="30"/>
      <c r="E131" s="33"/>
      <c r="F131" s="30"/>
      <c r="G131" s="49"/>
      <c r="H131" s="52" t="str">
        <f t="shared" si="7"/>
        <v/>
      </c>
      <c r="I131" s="52" t="str">
        <f t="shared" si="8"/>
        <v/>
      </c>
      <c r="J131" s="53"/>
      <c r="K131" s="54" t="str">
        <f t="shared" si="9"/>
        <v/>
      </c>
      <c r="L131" s="33"/>
      <c r="M131" s="33"/>
      <c r="N131" s="30"/>
      <c r="O131" s="30"/>
      <c r="P131" s="33"/>
    </row>
    <row r="132" spans="1:16" x14ac:dyDescent="0.25">
      <c r="A132" s="31"/>
      <c r="B132" s="30"/>
      <c r="C132" s="30"/>
      <c r="D132" s="30"/>
      <c r="E132" s="33"/>
      <c r="F132" s="30"/>
      <c r="G132" s="49"/>
      <c r="H132" s="52" t="str">
        <f t="shared" si="7"/>
        <v/>
      </c>
      <c r="I132" s="52" t="str">
        <f t="shared" si="8"/>
        <v/>
      </c>
      <c r="J132" s="53"/>
      <c r="K132" s="54" t="str">
        <f t="shared" si="9"/>
        <v/>
      </c>
      <c r="L132" s="33"/>
      <c r="M132" s="33"/>
      <c r="N132" s="30"/>
      <c r="O132" s="30"/>
      <c r="P132" s="33"/>
    </row>
    <row r="133" spans="1:16" x14ac:dyDescent="0.25">
      <c r="A133" s="31"/>
      <c r="B133" s="30"/>
      <c r="C133" s="30"/>
      <c r="D133" s="30"/>
      <c r="E133" s="33"/>
      <c r="F133" s="30"/>
      <c r="G133" s="49"/>
      <c r="H133" s="52" t="str">
        <f t="shared" ref="H133:H196" si="10">IF($A133="","",IF(OR($C133="ENTRADA",$C133="DEVOLUÇÃO"),$G133,0))</f>
        <v/>
      </c>
      <c r="I133" s="52" t="str">
        <f t="shared" ref="I133:I196" si="11">IF($A133="","",IF(OR($C133="SAÍDA",$C133="PERDA / QUEBRA",$C133="TRANSFERÊNCIA"),$G133,0))</f>
        <v/>
      </c>
      <c r="J133" s="53"/>
      <c r="K133" s="54" t="str">
        <f t="shared" ref="K133:K196" si="12">IF($A133="","",$G133*$J133)</f>
        <v/>
      </c>
      <c r="L133" s="33"/>
      <c r="M133" s="33"/>
      <c r="N133" s="30"/>
      <c r="O133" s="30"/>
      <c r="P133" s="33"/>
    </row>
    <row r="134" spans="1:16" x14ac:dyDescent="0.25">
      <c r="A134" s="31"/>
      <c r="B134" s="30"/>
      <c r="C134" s="30"/>
      <c r="D134" s="30"/>
      <c r="E134" s="33"/>
      <c r="F134" s="30"/>
      <c r="G134" s="49"/>
      <c r="H134" s="52" t="str">
        <f t="shared" si="10"/>
        <v/>
      </c>
      <c r="I134" s="52" t="str">
        <f t="shared" si="11"/>
        <v/>
      </c>
      <c r="J134" s="53"/>
      <c r="K134" s="54" t="str">
        <f t="shared" si="12"/>
        <v/>
      </c>
      <c r="L134" s="33"/>
      <c r="M134" s="33"/>
      <c r="N134" s="30"/>
      <c r="O134" s="30"/>
      <c r="P134" s="33"/>
    </row>
    <row r="135" spans="1:16" x14ac:dyDescent="0.25">
      <c r="A135" s="31"/>
      <c r="B135" s="30"/>
      <c r="C135" s="30"/>
      <c r="D135" s="30"/>
      <c r="E135" s="33"/>
      <c r="F135" s="30"/>
      <c r="G135" s="49"/>
      <c r="H135" s="52" t="str">
        <f t="shared" si="10"/>
        <v/>
      </c>
      <c r="I135" s="52" t="str">
        <f t="shared" si="11"/>
        <v/>
      </c>
      <c r="J135" s="53"/>
      <c r="K135" s="54" t="str">
        <f t="shared" si="12"/>
        <v/>
      </c>
      <c r="L135" s="33"/>
      <c r="M135" s="33"/>
      <c r="N135" s="30"/>
      <c r="O135" s="30"/>
      <c r="P135" s="33"/>
    </row>
    <row r="136" spans="1:16" x14ac:dyDescent="0.25">
      <c r="A136" s="31"/>
      <c r="B136" s="30"/>
      <c r="C136" s="30"/>
      <c r="D136" s="30"/>
      <c r="E136" s="33"/>
      <c r="F136" s="30"/>
      <c r="G136" s="49"/>
      <c r="H136" s="52" t="str">
        <f t="shared" si="10"/>
        <v/>
      </c>
      <c r="I136" s="52" t="str">
        <f t="shared" si="11"/>
        <v/>
      </c>
      <c r="J136" s="53"/>
      <c r="K136" s="54" t="str">
        <f t="shared" si="12"/>
        <v/>
      </c>
      <c r="L136" s="33"/>
      <c r="M136" s="33"/>
      <c r="N136" s="30"/>
      <c r="O136" s="30"/>
      <c r="P136" s="33"/>
    </row>
    <row r="137" spans="1:16" x14ac:dyDescent="0.25">
      <c r="A137" s="31"/>
      <c r="B137" s="30"/>
      <c r="C137" s="30"/>
      <c r="D137" s="30"/>
      <c r="E137" s="33"/>
      <c r="F137" s="30"/>
      <c r="G137" s="49"/>
      <c r="H137" s="52" t="str">
        <f t="shared" si="10"/>
        <v/>
      </c>
      <c r="I137" s="52" t="str">
        <f t="shared" si="11"/>
        <v/>
      </c>
      <c r="J137" s="53"/>
      <c r="K137" s="54" t="str">
        <f t="shared" si="12"/>
        <v/>
      </c>
      <c r="L137" s="33"/>
      <c r="M137" s="33"/>
      <c r="N137" s="30"/>
      <c r="O137" s="30"/>
      <c r="P137" s="33"/>
    </row>
    <row r="138" spans="1:16" x14ac:dyDescent="0.25">
      <c r="A138" s="31"/>
      <c r="B138" s="30"/>
      <c r="C138" s="30"/>
      <c r="D138" s="30"/>
      <c r="E138" s="33"/>
      <c r="F138" s="30"/>
      <c r="G138" s="49"/>
      <c r="H138" s="52" t="str">
        <f t="shared" si="10"/>
        <v/>
      </c>
      <c r="I138" s="52" t="str">
        <f t="shared" si="11"/>
        <v/>
      </c>
      <c r="J138" s="53"/>
      <c r="K138" s="54" t="str">
        <f t="shared" si="12"/>
        <v/>
      </c>
      <c r="L138" s="33"/>
      <c r="M138" s="33"/>
      <c r="N138" s="30"/>
      <c r="O138" s="30"/>
      <c r="P138" s="33"/>
    </row>
    <row r="139" spans="1:16" x14ac:dyDescent="0.25">
      <c r="A139" s="31"/>
      <c r="B139" s="30"/>
      <c r="C139" s="30"/>
      <c r="D139" s="30"/>
      <c r="E139" s="33"/>
      <c r="F139" s="30"/>
      <c r="G139" s="49"/>
      <c r="H139" s="52" t="str">
        <f t="shared" si="10"/>
        <v/>
      </c>
      <c r="I139" s="52" t="str">
        <f t="shared" si="11"/>
        <v/>
      </c>
      <c r="J139" s="53"/>
      <c r="K139" s="54" t="str">
        <f t="shared" si="12"/>
        <v/>
      </c>
      <c r="L139" s="33"/>
      <c r="M139" s="33"/>
      <c r="N139" s="30"/>
      <c r="O139" s="30"/>
      <c r="P139" s="33"/>
    </row>
    <row r="140" spans="1:16" x14ac:dyDescent="0.25">
      <c r="A140" s="31"/>
      <c r="B140" s="30"/>
      <c r="C140" s="30"/>
      <c r="D140" s="30"/>
      <c r="E140" s="33"/>
      <c r="F140" s="30"/>
      <c r="G140" s="49"/>
      <c r="H140" s="52" t="str">
        <f t="shared" si="10"/>
        <v/>
      </c>
      <c r="I140" s="52" t="str">
        <f t="shared" si="11"/>
        <v/>
      </c>
      <c r="J140" s="53"/>
      <c r="K140" s="54" t="str">
        <f t="shared" si="12"/>
        <v/>
      </c>
      <c r="L140" s="33"/>
      <c r="M140" s="33"/>
      <c r="N140" s="30"/>
      <c r="O140" s="30"/>
      <c r="P140" s="33"/>
    </row>
    <row r="141" spans="1:16" x14ac:dyDescent="0.25">
      <c r="A141" s="31"/>
      <c r="B141" s="30"/>
      <c r="C141" s="30"/>
      <c r="D141" s="30"/>
      <c r="E141" s="33"/>
      <c r="F141" s="30"/>
      <c r="G141" s="49"/>
      <c r="H141" s="52" t="str">
        <f t="shared" si="10"/>
        <v/>
      </c>
      <c r="I141" s="52" t="str">
        <f t="shared" si="11"/>
        <v/>
      </c>
      <c r="J141" s="53"/>
      <c r="K141" s="54" t="str">
        <f t="shared" si="12"/>
        <v/>
      </c>
      <c r="L141" s="33"/>
      <c r="M141" s="33"/>
      <c r="N141" s="30"/>
      <c r="O141" s="30"/>
      <c r="P141" s="33"/>
    </row>
    <row r="142" spans="1:16" x14ac:dyDescent="0.25">
      <c r="A142" s="31"/>
      <c r="B142" s="30"/>
      <c r="C142" s="30"/>
      <c r="D142" s="30"/>
      <c r="E142" s="33"/>
      <c r="F142" s="30"/>
      <c r="G142" s="49"/>
      <c r="H142" s="52" t="str">
        <f t="shared" si="10"/>
        <v/>
      </c>
      <c r="I142" s="52" t="str">
        <f t="shared" si="11"/>
        <v/>
      </c>
      <c r="J142" s="53"/>
      <c r="K142" s="54" t="str">
        <f t="shared" si="12"/>
        <v/>
      </c>
      <c r="L142" s="33"/>
      <c r="M142" s="33"/>
      <c r="N142" s="30"/>
      <c r="O142" s="30"/>
      <c r="P142" s="33"/>
    </row>
    <row r="143" spans="1:16" x14ac:dyDescent="0.25">
      <c r="A143" s="31"/>
      <c r="B143" s="30"/>
      <c r="C143" s="30"/>
      <c r="D143" s="30"/>
      <c r="E143" s="33"/>
      <c r="F143" s="30"/>
      <c r="G143" s="49"/>
      <c r="H143" s="52" t="str">
        <f t="shared" si="10"/>
        <v/>
      </c>
      <c r="I143" s="52" t="str">
        <f t="shared" si="11"/>
        <v/>
      </c>
      <c r="J143" s="53"/>
      <c r="K143" s="54" t="str">
        <f t="shared" si="12"/>
        <v/>
      </c>
      <c r="L143" s="33"/>
      <c r="M143" s="33"/>
      <c r="N143" s="30"/>
      <c r="O143" s="30"/>
      <c r="P143" s="33"/>
    </row>
    <row r="144" spans="1:16" x14ac:dyDescent="0.25">
      <c r="A144" s="31"/>
      <c r="B144" s="30"/>
      <c r="C144" s="30"/>
      <c r="D144" s="30"/>
      <c r="E144" s="33"/>
      <c r="F144" s="30"/>
      <c r="G144" s="49"/>
      <c r="H144" s="52" t="str">
        <f t="shared" si="10"/>
        <v/>
      </c>
      <c r="I144" s="52" t="str">
        <f t="shared" si="11"/>
        <v/>
      </c>
      <c r="J144" s="53"/>
      <c r="K144" s="54" t="str">
        <f t="shared" si="12"/>
        <v/>
      </c>
      <c r="L144" s="33"/>
      <c r="M144" s="33"/>
      <c r="N144" s="30"/>
      <c r="O144" s="30"/>
      <c r="P144" s="33"/>
    </row>
    <row r="145" spans="1:16" x14ac:dyDescent="0.25">
      <c r="A145" s="31"/>
      <c r="B145" s="30"/>
      <c r="C145" s="30"/>
      <c r="D145" s="30"/>
      <c r="E145" s="33"/>
      <c r="F145" s="30"/>
      <c r="G145" s="49"/>
      <c r="H145" s="52" t="str">
        <f t="shared" si="10"/>
        <v/>
      </c>
      <c r="I145" s="52" t="str">
        <f t="shared" si="11"/>
        <v/>
      </c>
      <c r="J145" s="53"/>
      <c r="K145" s="54" t="str">
        <f t="shared" si="12"/>
        <v/>
      </c>
      <c r="L145" s="33"/>
      <c r="M145" s="33"/>
      <c r="N145" s="30"/>
      <c r="O145" s="30"/>
      <c r="P145" s="33"/>
    </row>
    <row r="146" spans="1:16" x14ac:dyDescent="0.25">
      <c r="A146" s="31"/>
      <c r="B146" s="30"/>
      <c r="C146" s="30"/>
      <c r="D146" s="30"/>
      <c r="E146" s="33"/>
      <c r="F146" s="30"/>
      <c r="G146" s="49"/>
      <c r="H146" s="52" t="str">
        <f t="shared" si="10"/>
        <v/>
      </c>
      <c r="I146" s="52" t="str">
        <f t="shared" si="11"/>
        <v/>
      </c>
      <c r="J146" s="53"/>
      <c r="K146" s="54" t="str">
        <f t="shared" si="12"/>
        <v/>
      </c>
      <c r="L146" s="33"/>
      <c r="M146" s="33"/>
      <c r="N146" s="30"/>
      <c r="O146" s="30"/>
      <c r="P146" s="33"/>
    </row>
    <row r="147" spans="1:16" x14ac:dyDescent="0.25">
      <c r="A147" s="31"/>
      <c r="B147" s="30"/>
      <c r="C147" s="30"/>
      <c r="D147" s="30"/>
      <c r="E147" s="33"/>
      <c r="F147" s="30"/>
      <c r="G147" s="49"/>
      <c r="H147" s="52" t="str">
        <f t="shared" si="10"/>
        <v/>
      </c>
      <c r="I147" s="52" t="str">
        <f t="shared" si="11"/>
        <v/>
      </c>
      <c r="J147" s="53"/>
      <c r="K147" s="54" t="str">
        <f t="shared" si="12"/>
        <v/>
      </c>
      <c r="L147" s="33"/>
      <c r="M147" s="33"/>
      <c r="N147" s="30"/>
      <c r="O147" s="30"/>
      <c r="P147" s="33"/>
    </row>
    <row r="148" spans="1:16" x14ac:dyDescent="0.25">
      <c r="A148" s="31"/>
      <c r="B148" s="30"/>
      <c r="C148" s="30"/>
      <c r="D148" s="30"/>
      <c r="E148" s="33"/>
      <c r="F148" s="30"/>
      <c r="G148" s="49"/>
      <c r="H148" s="52" t="str">
        <f t="shared" si="10"/>
        <v/>
      </c>
      <c r="I148" s="52" t="str">
        <f t="shared" si="11"/>
        <v/>
      </c>
      <c r="J148" s="53"/>
      <c r="K148" s="54" t="str">
        <f t="shared" si="12"/>
        <v/>
      </c>
      <c r="L148" s="33"/>
      <c r="M148" s="33"/>
      <c r="N148" s="30"/>
      <c r="O148" s="30"/>
      <c r="P148" s="33"/>
    </row>
    <row r="149" spans="1:16" x14ac:dyDescent="0.25">
      <c r="A149" s="31"/>
      <c r="B149" s="30"/>
      <c r="C149" s="30"/>
      <c r="D149" s="30"/>
      <c r="E149" s="33"/>
      <c r="F149" s="30"/>
      <c r="G149" s="49"/>
      <c r="H149" s="52" t="str">
        <f t="shared" si="10"/>
        <v/>
      </c>
      <c r="I149" s="52" t="str">
        <f t="shared" si="11"/>
        <v/>
      </c>
      <c r="J149" s="53"/>
      <c r="K149" s="54" t="str">
        <f t="shared" si="12"/>
        <v/>
      </c>
      <c r="L149" s="33"/>
      <c r="M149" s="33"/>
      <c r="N149" s="30"/>
      <c r="O149" s="30"/>
      <c r="P149" s="33"/>
    </row>
    <row r="150" spans="1:16" x14ac:dyDescent="0.25">
      <c r="A150" s="31"/>
      <c r="B150" s="30"/>
      <c r="C150" s="30"/>
      <c r="D150" s="30"/>
      <c r="E150" s="33"/>
      <c r="F150" s="30"/>
      <c r="G150" s="49"/>
      <c r="H150" s="52" t="str">
        <f t="shared" si="10"/>
        <v/>
      </c>
      <c r="I150" s="52" t="str">
        <f t="shared" si="11"/>
        <v/>
      </c>
      <c r="J150" s="53"/>
      <c r="K150" s="54" t="str">
        <f t="shared" si="12"/>
        <v/>
      </c>
      <c r="L150" s="33"/>
      <c r="M150" s="33"/>
      <c r="N150" s="30"/>
      <c r="O150" s="30"/>
      <c r="P150" s="33"/>
    </row>
    <row r="151" spans="1:16" x14ac:dyDescent="0.25">
      <c r="A151" s="31"/>
      <c r="B151" s="30"/>
      <c r="C151" s="30"/>
      <c r="D151" s="30"/>
      <c r="E151" s="33"/>
      <c r="F151" s="30"/>
      <c r="G151" s="49"/>
      <c r="H151" s="52" t="str">
        <f t="shared" si="10"/>
        <v/>
      </c>
      <c r="I151" s="52" t="str">
        <f t="shared" si="11"/>
        <v/>
      </c>
      <c r="J151" s="53"/>
      <c r="K151" s="54" t="str">
        <f t="shared" si="12"/>
        <v/>
      </c>
      <c r="L151" s="33"/>
      <c r="M151" s="33"/>
      <c r="N151" s="30"/>
      <c r="O151" s="30"/>
      <c r="P151" s="33"/>
    </row>
    <row r="152" spans="1:16" x14ac:dyDescent="0.25">
      <c r="A152" s="31"/>
      <c r="B152" s="30"/>
      <c r="C152" s="30"/>
      <c r="D152" s="30"/>
      <c r="E152" s="33"/>
      <c r="F152" s="30"/>
      <c r="G152" s="49"/>
      <c r="H152" s="52" t="str">
        <f t="shared" si="10"/>
        <v/>
      </c>
      <c r="I152" s="52" t="str">
        <f t="shared" si="11"/>
        <v/>
      </c>
      <c r="J152" s="53"/>
      <c r="K152" s="54" t="str">
        <f t="shared" si="12"/>
        <v/>
      </c>
      <c r="L152" s="33"/>
      <c r="M152" s="33"/>
      <c r="N152" s="30"/>
      <c r="O152" s="30"/>
      <c r="P152" s="33"/>
    </row>
    <row r="153" spans="1:16" x14ac:dyDescent="0.25">
      <c r="A153" s="31"/>
      <c r="B153" s="30"/>
      <c r="C153" s="30"/>
      <c r="D153" s="30"/>
      <c r="E153" s="33"/>
      <c r="F153" s="30"/>
      <c r="G153" s="49"/>
      <c r="H153" s="52" t="str">
        <f t="shared" si="10"/>
        <v/>
      </c>
      <c r="I153" s="52" t="str">
        <f t="shared" si="11"/>
        <v/>
      </c>
      <c r="J153" s="53"/>
      <c r="K153" s="54" t="str">
        <f t="shared" si="12"/>
        <v/>
      </c>
      <c r="L153" s="33"/>
      <c r="M153" s="33"/>
      <c r="N153" s="30"/>
      <c r="O153" s="30"/>
      <c r="P153" s="33"/>
    </row>
    <row r="154" spans="1:16" x14ac:dyDescent="0.25">
      <c r="A154" s="31"/>
      <c r="B154" s="30"/>
      <c r="C154" s="30"/>
      <c r="D154" s="30"/>
      <c r="E154" s="33"/>
      <c r="F154" s="30"/>
      <c r="G154" s="49"/>
      <c r="H154" s="52" t="str">
        <f t="shared" si="10"/>
        <v/>
      </c>
      <c r="I154" s="52" t="str">
        <f t="shared" si="11"/>
        <v/>
      </c>
      <c r="J154" s="53"/>
      <c r="K154" s="54" t="str">
        <f t="shared" si="12"/>
        <v/>
      </c>
      <c r="L154" s="33"/>
      <c r="M154" s="33"/>
      <c r="N154" s="30"/>
      <c r="O154" s="30"/>
      <c r="P154" s="33"/>
    </row>
    <row r="155" spans="1:16" x14ac:dyDescent="0.25">
      <c r="A155" s="31"/>
      <c r="B155" s="30"/>
      <c r="C155" s="30"/>
      <c r="D155" s="30"/>
      <c r="E155" s="33"/>
      <c r="F155" s="30"/>
      <c r="G155" s="49"/>
      <c r="H155" s="52" t="str">
        <f t="shared" si="10"/>
        <v/>
      </c>
      <c r="I155" s="52" t="str">
        <f t="shared" si="11"/>
        <v/>
      </c>
      <c r="J155" s="53"/>
      <c r="K155" s="54" t="str">
        <f t="shared" si="12"/>
        <v/>
      </c>
      <c r="L155" s="33"/>
      <c r="M155" s="33"/>
      <c r="N155" s="30"/>
      <c r="O155" s="30"/>
      <c r="P155" s="33"/>
    </row>
    <row r="156" spans="1:16" x14ac:dyDescent="0.25">
      <c r="A156" s="31"/>
      <c r="B156" s="30"/>
      <c r="C156" s="30"/>
      <c r="D156" s="30"/>
      <c r="E156" s="33"/>
      <c r="F156" s="30"/>
      <c r="G156" s="49"/>
      <c r="H156" s="52" t="str">
        <f t="shared" si="10"/>
        <v/>
      </c>
      <c r="I156" s="52" t="str">
        <f t="shared" si="11"/>
        <v/>
      </c>
      <c r="J156" s="53"/>
      <c r="K156" s="54" t="str">
        <f t="shared" si="12"/>
        <v/>
      </c>
      <c r="L156" s="33"/>
      <c r="M156" s="33"/>
      <c r="N156" s="30"/>
      <c r="O156" s="30"/>
      <c r="P156" s="33"/>
    </row>
    <row r="157" spans="1:16" x14ac:dyDescent="0.25">
      <c r="A157" s="31"/>
      <c r="B157" s="30"/>
      <c r="C157" s="30"/>
      <c r="D157" s="30"/>
      <c r="E157" s="33"/>
      <c r="F157" s="30"/>
      <c r="G157" s="49"/>
      <c r="H157" s="52" t="str">
        <f t="shared" si="10"/>
        <v/>
      </c>
      <c r="I157" s="52" t="str">
        <f t="shared" si="11"/>
        <v/>
      </c>
      <c r="J157" s="53"/>
      <c r="K157" s="54" t="str">
        <f t="shared" si="12"/>
        <v/>
      </c>
      <c r="L157" s="33"/>
      <c r="M157" s="33"/>
      <c r="N157" s="30"/>
      <c r="O157" s="30"/>
      <c r="P157" s="33"/>
    </row>
    <row r="158" spans="1:16" x14ac:dyDescent="0.25">
      <c r="A158" s="31"/>
      <c r="B158" s="30"/>
      <c r="C158" s="30"/>
      <c r="D158" s="30"/>
      <c r="E158" s="33"/>
      <c r="F158" s="30"/>
      <c r="G158" s="49"/>
      <c r="H158" s="52" t="str">
        <f t="shared" si="10"/>
        <v/>
      </c>
      <c r="I158" s="52" t="str">
        <f t="shared" si="11"/>
        <v/>
      </c>
      <c r="J158" s="53"/>
      <c r="K158" s="54" t="str">
        <f t="shared" si="12"/>
        <v/>
      </c>
      <c r="L158" s="33"/>
      <c r="M158" s="33"/>
      <c r="N158" s="30"/>
      <c r="O158" s="30"/>
      <c r="P158" s="33"/>
    </row>
    <row r="159" spans="1:16" x14ac:dyDescent="0.25">
      <c r="A159" s="31"/>
      <c r="B159" s="30"/>
      <c r="C159" s="30"/>
      <c r="D159" s="30"/>
      <c r="E159" s="33"/>
      <c r="F159" s="30"/>
      <c r="G159" s="49"/>
      <c r="H159" s="52" t="str">
        <f t="shared" si="10"/>
        <v/>
      </c>
      <c r="I159" s="52" t="str">
        <f t="shared" si="11"/>
        <v/>
      </c>
      <c r="J159" s="53"/>
      <c r="K159" s="54" t="str">
        <f t="shared" si="12"/>
        <v/>
      </c>
      <c r="L159" s="33"/>
      <c r="M159" s="33"/>
      <c r="N159" s="30"/>
      <c r="O159" s="30"/>
      <c r="P159" s="33"/>
    </row>
    <row r="160" spans="1:16" x14ac:dyDescent="0.25">
      <c r="A160" s="31"/>
      <c r="B160" s="30"/>
      <c r="C160" s="30"/>
      <c r="D160" s="30"/>
      <c r="E160" s="33"/>
      <c r="F160" s="30"/>
      <c r="G160" s="49"/>
      <c r="H160" s="52" t="str">
        <f t="shared" si="10"/>
        <v/>
      </c>
      <c r="I160" s="52" t="str">
        <f t="shared" si="11"/>
        <v/>
      </c>
      <c r="J160" s="53"/>
      <c r="K160" s="54" t="str">
        <f t="shared" si="12"/>
        <v/>
      </c>
      <c r="L160" s="33"/>
      <c r="M160" s="33"/>
      <c r="N160" s="30"/>
      <c r="O160" s="30"/>
      <c r="P160" s="33"/>
    </row>
    <row r="161" spans="1:16" x14ac:dyDescent="0.25">
      <c r="A161" s="31"/>
      <c r="B161" s="30"/>
      <c r="C161" s="30"/>
      <c r="D161" s="30"/>
      <c r="E161" s="33"/>
      <c r="F161" s="30"/>
      <c r="G161" s="49"/>
      <c r="H161" s="52" t="str">
        <f t="shared" si="10"/>
        <v/>
      </c>
      <c r="I161" s="52" t="str">
        <f t="shared" si="11"/>
        <v/>
      </c>
      <c r="J161" s="53"/>
      <c r="K161" s="54" t="str">
        <f t="shared" si="12"/>
        <v/>
      </c>
      <c r="L161" s="33"/>
      <c r="M161" s="33"/>
      <c r="N161" s="30"/>
      <c r="O161" s="30"/>
      <c r="P161" s="33"/>
    </row>
    <row r="162" spans="1:16" x14ac:dyDescent="0.25">
      <c r="A162" s="31"/>
      <c r="B162" s="30"/>
      <c r="C162" s="30"/>
      <c r="D162" s="30"/>
      <c r="E162" s="33"/>
      <c r="F162" s="30"/>
      <c r="G162" s="49"/>
      <c r="H162" s="52" t="str">
        <f t="shared" si="10"/>
        <v/>
      </c>
      <c r="I162" s="52" t="str">
        <f t="shared" si="11"/>
        <v/>
      </c>
      <c r="J162" s="53"/>
      <c r="K162" s="54" t="str">
        <f t="shared" si="12"/>
        <v/>
      </c>
      <c r="L162" s="33"/>
      <c r="M162" s="33"/>
      <c r="N162" s="30"/>
      <c r="O162" s="30"/>
      <c r="P162" s="33"/>
    </row>
    <row r="163" spans="1:16" x14ac:dyDescent="0.25">
      <c r="A163" s="31"/>
      <c r="B163" s="30"/>
      <c r="C163" s="30"/>
      <c r="D163" s="30"/>
      <c r="E163" s="33"/>
      <c r="F163" s="30"/>
      <c r="G163" s="49"/>
      <c r="H163" s="52" t="str">
        <f t="shared" si="10"/>
        <v/>
      </c>
      <c r="I163" s="52" t="str">
        <f t="shared" si="11"/>
        <v/>
      </c>
      <c r="J163" s="53"/>
      <c r="K163" s="54" t="str">
        <f t="shared" si="12"/>
        <v/>
      </c>
      <c r="L163" s="33"/>
      <c r="M163" s="33"/>
      <c r="N163" s="30"/>
      <c r="O163" s="30"/>
      <c r="P163" s="33"/>
    </row>
    <row r="164" spans="1:16" x14ac:dyDescent="0.25">
      <c r="A164" s="31"/>
      <c r="B164" s="30"/>
      <c r="C164" s="30"/>
      <c r="D164" s="30"/>
      <c r="E164" s="33"/>
      <c r="F164" s="30"/>
      <c r="G164" s="49"/>
      <c r="H164" s="52" t="str">
        <f t="shared" si="10"/>
        <v/>
      </c>
      <c r="I164" s="52" t="str">
        <f t="shared" si="11"/>
        <v/>
      </c>
      <c r="J164" s="53"/>
      <c r="K164" s="54" t="str">
        <f t="shared" si="12"/>
        <v/>
      </c>
      <c r="L164" s="33"/>
      <c r="M164" s="33"/>
      <c r="N164" s="30"/>
      <c r="O164" s="30"/>
      <c r="P164" s="33"/>
    </row>
    <row r="165" spans="1:16" x14ac:dyDescent="0.25">
      <c r="A165" s="31"/>
      <c r="B165" s="30"/>
      <c r="C165" s="30"/>
      <c r="D165" s="30"/>
      <c r="E165" s="33"/>
      <c r="F165" s="30"/>
      <c r="G165" s="49"/>
      <c r="H165" s="52" t="str">
        <f t="shared" si="10"/>
        <v/>
      </c>
      <c r="I165" s="52" t="str">
        <f t="shared" si="11"/>
        <v/>
      </c>
      <c r="J165" s="53"/>
      <c r="K165" s="54" t="str">
        <f t="shared" si="12"/>
        <v/>
      </c>
      <c r="L165" s="33"/>
      <c r="M165" s="33"/>
      <c r="N165" s="30"/>
      <c r="O165" s="30"/>
      <c r="P165" s="33"/>
    </row>
    <row r="166" spans="1:16" x14ac:dyDescent="0.25">
      <c r="A166" s="31"/>
      <c r="B166" s="30"/>
      <c r="C166" s="30"/>
      <c r="D166" s="30"/>
      <c r="E166" s="33"/>
      <c r="F166" s="30"/>
      <c r="G166" s="49"/>
      <c r="H166" s="52" t="str">
        <f t="shared" si="10"/>
        <v/>
      </c>
      <c r="I166" s="52" t="str">
        <f t="shared" si="11"/>
        <v/>
      </c>
      <c r="J166" s="53"/>
      <c r="K166" s="54" t="str">
        <f t="shared" si="12"/>
        <v/>
      </c>
      <c r="L166" s="33"/>
      <c r="M166" s="33"/>
      <c r="N166" s="30"/>
      <c r="O166" s="30"/>
      <c r="P166" s="33"/>
    </row>
    <row r="167" spans="1:16" x14ac:dyDescent="0.25">
      <c r="A167" s="31"/>
      <c r="B167" s="30"/>
      <c r="C167" s="30"/>
      <c r="D167" s="30"/>
      <c r="E167" s="33"/>
      <c r="F167" s="30"/>
      <c r="G167" s="49"/>
      <c r="H167" s="52" t="str">
        <f t="shared" si="10"/>
        <v/>
      </c>
      <c r="I167" s="52" t="str">
        <f t="shared" si="11"/>
        <v/>
      </c>
      <c r="J167" s="53"/>
      <c r="K167" s="54" t="str">
        <f t="shared" si="12"/>
        <v/>
      </c>
      <c r="L167" s="33"/>
      <c r="M167" s="33"/>
      <c r="N167" s="30"/>
      <c r="O167" s="30"/>
      <c r="P167" s="33"/>
    </row>
    <row r="168" spans="1:16" x14ac:dyDescent="0.25">
      <c r="A168" s="31"/>
      <c r="B168" s="30"/>
      <c r="C168" s="30"/>
      <c r="D168" s="30"/>
      <c r="E168" s="33"/>
      <c r="F168" s="30"/>
      <c r="G168" s="49"/>
      <c r="H168" s="52" t="str">
        <f t="shared" si="10"/>
        <v/>
      </c>
      <c r="I168" s="52" t="str">
        <f t="shared" si="11"/>
        <v/>
      </c>
      <c r="J168" s="53"/>
      <c r="K168" s="54" t="str">
        <f t="shared" si="12"/>
        <v/>
      </c>
      <c r="L168" s="33"/>
      <c r="M168" s="33"/>
      <c r="N168" s="30"/>
      <c r="O168" s="30"/>
      <c r="P168" s="33"/>
    </row>
    <row r="169" spans="1:16" x14ac:dyDescent="0.25">
      <c r="A169" s="31"/>
      <c r="B169" s="30"/>
      <c r="C169" s="30"/>
      <c r="D169" s="30"/>
      <c r="E169" s="33"/>
      <c r="F169" s="30"/>
      <c r="G169" s="49"/>
      <c r="H169" s="52" t="str">
        <f t="shared" si="10"/>
        <v/>
      </c>
      <c r="I169" s="52" t="str">
        <f t="shared" si="11"/>
        <v/>
      </c>
      <c r="J169" s="53"/>
      <c r="K169" s="54" t="str">
        <f t="shared" si="12"/>
        <v/>
      </c>
      <c r="L169" s="33"/>
      <c r="M169" s="33"/>
      <c r="N169" s="30"/>
      <c r="O169" s="30"/>
      <c r="P169" s="33"/>
    </row>
    <row r="170" spans="1:16" x14ac:dyDescent="0.25">
      <c r="A170" s="31"/>
      <c r="B170" s="30"/>
      <c r="C170" s="30"/>
      <c r="D170" s="30"/>
      <c r="E170" s="33"/>
      <c r="F170" s="30"/>
      <c r="G170" s="49"/>
      <c r="H170" s="52" t="str">
        <f t="shared" si="10"/>
        <v/>
      </c>
      <c r="I170" s="52" t="str">
        <f t="shared" si="11"/>
        <v/>
      </c>
      <c r="J170" s="53"/>
      <c r="K170" s="54" t="str">
        <f t="shared" si="12"/>
        <v/>
      </c>
      <c r="L170" s="33"/>
      <c r="M170" s="33"/>
      <c r="N170" s="30"/>
      <c r="O170" s="30"/>
      <c r="P170" s="33"/>
    </row>
    <row r="171" spans="1:16" x14ac:dyDescent="0.25">
      <c r="A171" s="31"/>
      <c r="B171" s="30"/>
      <c r="C171" s="30"/>
      <c r="D171" s="30"/>
      <c r="E171" s="33"/>
      <c r="F171" s="30"/>
      <c r="G171" s="49"/>
      <c r="H171" s="52" t="str">
        <f t="shared" si="10"/>
        <v/>
      </c>
      <c r="I171" s="52" t="str">
        <f t="shared" si="11"/>
        <v/>
      </c>
      <c r="J171" s="53"/>
      <c r="K171" s="54" t="str">
        <f t="shared" si="12"/>
        <v/>
      </c>
      <c r="L171" s="33"/>
      <c r="M171" s="33"/>
      <c r="N171" s="30"/>
      <c r="O171" s="30"/>
      <c r="P171" s="33"/>
    </row>
    <row r="172" spans="1:16" x14ac:dyDescent="0.25">
      <c r="A172" s="31"/>
      <c r="B172" s="30"/>
      <c r="C172" s="30"/>
      <c r="D172" s="30"/>
      <c r="E172" s="33"/>
      <c r="F172" s="30"/>
      <c r="G172" s="49"/>
      <c r="H172" s="52" t="str">
        <f t="shared" si="10"/>
        <v/>
      </c>
      <c r="I172" s="52" t="str">
        <f t="shared" si="11"/>
        <v/>
      </c>
      <c r="J172" s="53"/>
      <c r="K172" s="54" t="str">
        <f t="shared" si="12"/>
        <v/>
      </c>
      <c r="L172" s="33"/>
      <c r="M172" s="33"/>
      <c r="N172" s="30"/>
      <c r="O172" s="30"/>
      <c r="P172" s="33"/>
    </row>
    <row r="173" spans="1:16" x14ac:dyDescent="0.25">
      <c r="A173" s="31"/>
      <c r="B173" s="30"/>
      <c r="C173" s="30"/>
      <c r="D173" s="30"/>
      <c r="E173" s="33"/>
      <c r="F173" s="30"/>
      <c r="G173" s="49"/>
      <c r="H173" s="52" t="str">
        <f t="shared" si="10"/>
        <v/>
      </c>
      <c r="I173" s="52" t="str">
        <f t="shared" si="11"/>
        <v/>
      </c>
      <c r="J173" s="53"/>
      <c r="K173" s="54" t="str">
        <f t="shared" si="12"/>
        <v/>
      </c>
      <c r="L173" s="33"/>
      <c r="M173" s="33"/>
      <c r="N173" s="30"/>
      <c r="O173" s="30"/>
      <c r="P173" s="33"/>
    </row>
    <row r="174" spans="1:16" x14ac:dyDescent="0.25">
      <c r="A174" s="31"/>
      <c r="B174" s="30"/>
      <c r="C174" s="30"/>
      <c r="D174" s="30"/>
      <c r="E174" s="33"/>
      <c r="F174" s="30"/>
      <c r="G174" s="49"/>
      <c r="H174" s="52" t="str">
        <f t="shared" si="10"/>
        <v/>
      </c>
      <c r="I174" s="52" t="str">
        <f t="shared" si="11"/>
        <v/>
      </c>
      <c r="J174" s="53"/>
      <c r="K174" s="54" t="str">
        <f t="shared" si="12"/>
        <v/>
      </c>
      <c r="L174" s="33"/>
      <c r="M174" s="33"/>
      <c r="N174" s="30"/>
      <c r="O174" s="30"/>
      <c r="P174" s="33"/>
    </row>
    <row r="175" spans="1:16" x14ac:dyDescent="0.25">
      <c r="A175" s="31"/>
      <c r="B175" s="30"/>
      <c r="C175" s="30"/>
      <c r="D175" s="30"/>
      <c r="E175" s="33"/>
      <c r="F175" s="30"/>
      <c r="G175" s="49"/>
      <c r="H175" s="52" t="str">
        <f t="shared" si="10"/>
        <v/>
      </c>
      <c r="I175" s="52" t="str">
        <f t="shared" si="11"/>
        <v/>
      </c>
      <c r="J175" s="53"/>
      <c r="K175" s="54" t="str">
        <f t="shared" si="12"/>
        <v/>
      </c>
      <c r="L175" s="33"/>
      <c r="M175" s="33"/>
      <c r="N175" s="30"/>
      <c r="O175" s="30"/>
      <c r="P175" s="33"/>
    </row>
    <row r="176" spans="1:16" x14ac:dyDescent="0.25">
      <c r="A176" s="31"/>
      <c r="B176" s="30"/>
      <c r="C176" s="30"/>
      <c r="D176" s="30"/>
      <c r="E176" s="33"/>
      <c r="F176" s="30"/>
      <c r="G176" s="49"/>
      <c r="H176" s="52" t="str">
        <f t="shared" si="10"/>
        <v/>
      </c>
      <c r="I176" s="52" t="str">
        <f t="shared" si="11"/>
        <v/>
      </c>
      <c r="J176" s="53"/>
      <c r="K176" s="54" t="str">
        <f t="shared" si="12"/>
        <v/>
      </c>
      <c r="L176" s="33"/>
      <c r="M176" s="33"/>
      <c r="N176" s="30"/>
      <c r="O176" s="30"/>
      <c r="P176" s="33"/>
    </row>
    <row r="177" spans="1:16" x14ac:dyDescent="0.25">
      <c r="A177" s="31"/>
      <c r="B177" s="30"/>
      <c r="C177" s="30"/>
      <c r="D177" s="30"/>
      <c r="E177" s="33"/>
      <c r="F177" s="30"/>
      <c r="G177" s="49"/>
      <c r="H177" s="52" t="str">
        <f t="shared" si="10"/>
        <v/>
      </c>
      <c r="I177" s="52" t="str">
        <f t="shared" si="11"/>
        <v/>
      </c>
      <c r="J177" s="53"/>
      <c r="K177" s="54" t="str">
        <f t="shared" si="12"/>
        <v/>
      </c>
      <c r="L177" s="33"/>
      <c r="M177" s="33"/>
      <c r="N177" s="30"/>
      <c r="O177" s="30"/>
      <c r="P177" s="33"/>
    </row>
    <row r="178" spans="1:16" x14ac:dyDescent="0.25">
      <c r="A178" s="31"/>
      <c r="B178" s="30"/>
      <c r="C178" s="30"/>
      <c r="D178" s="30"/>
      <c r="E178" s="33"/>
      <c r="F178" s="30"/>
      <c r="G178" s="49"/>
      <c r="H178" s="52" t="str">
        <f t="shared" si="10"/>
        <v/>
      </c>
      <c r="I178" s="52" t="str">
        <f t="shared" si="11"/>
        <v/>
      </c>
      <c r="J178" s="53"/>
      <c r="K178" s="54" t="str">
        <f t="shared" si="12"/>
        <v/>
      </c>
      <c r="L178" s="33"/>
      <c r="M178" s="33"/>
      <c r="N178" s="30"/>
      <c r="O178" s="30"/>
      <c r="P178" s="33"/>
    </row>
    <row r="179" spans="1:16" x14ac:dyDescent="0.25">
      <c r="A179" s="31"/>
      <c r="B179" s="30"/>
      <c r="C179" s="30"/>
      <c r="D179" s="30"/>
      <c r="E179" s="33"/>
      <c r="F179" s="30"/>
      <c r="G179" s="49"/>
      <c r="H179" s="52" t="str">
        <f t="shared" si="10"/>
        <v/>
      </c>
      <c r="I179" s="52" t="str">
        <f t="shared" si="11"/>
        <v/>
      </c>
      <c r="J179" s="53"/>
      <c r="K179" s="54" t="str">
        <f t="shared" si="12"/>
        <v/>
      </c>
      <c r="L179" s="33"/>
      <c r="M179" s="33"/>
      <c r="N179" s="30"/>
      <c r="O179" s="30"/>
      <c r="P179" s="33"/>
    </row>
    <row r="180" spans="1:16" x14ac:dyDescent="0.25">
      <c r="A180" s="31"/>
      <c r="B180" s="30"/>
      <c r="C180" s="30"/>
      <c r="D180" s="30"/>
      <c r="E180" s="33"/>
      <c r="F180" s="30"/>
      <c r="G180" s="49"/>
      <c r="H180" s="52" t="str">
        <f t="shared" si="10"/>
        <v/>
      </c>
      <c r="I180" s="52" t="str">
        <f t="shared" si="11"/>
        <v/>
      </c>
      <c r="J180" s="53"/>
      <c r="K180" s="54" t="str">
        <f t="shared" si="12"/>
        <v/>
      </c>
      <c r="L180" s="33"/>
      <c r="M180" s="33"/>
      <c r="N180" s="30"/>
      <c r="O180" s="30"/>
      <c r="P180" s="33"/>
    </row>
    <row r="181" spans="1:16" x14ac:dyDescent="0.25">
      <c r="A181" s="31"/>
      <c r="B181" s="30"/>
      <c r="C181" s="30"/>
      <c r="D181" s="30"/>
      <c r="E181" s="33"/>
      <c r="F181" s="30"/>
      <c r="G181" s="49"/>
      <c r="H181" s="52" t="str">
        <f t="shared" si="10"/>
        <v/>
      </c>
      <c r="I181" s="52" t="str">
        <f t="shared" si="11"/>
        <v/>
      </c>
      <c r="J181" s="53"/>
      <c r="K181" s="54" t="str">
        <f t="shared" si="12"/>
        <v/>
      </c>
      <c r="L181" s="33"/>
      <c r="M181" s="33"/>
      <c r="N181" s="30"/>
      <c r="O181" s="30"/>
      <c r="P181" s="33"/>
    </row>
    <row r="182" spans="1:16" x14ac:dyDescent="0.25">
      <c r="A182" s="31"/>
      <c r="B182" s="30"/>
      <c r="C182" s="30"/>
      <c r="D182" s="30"/>
      <c r="E182" s="33"/>
      <c r="F182" s="30"/>
      <c r="G182" s="49"/>
      <c r="H182" s="52" t="str">
        <f t="shared" si="10"/>
        <v/>
      </c>
      <c r="I182" s="52" t="str">
        <f t="shared" si="11"/>
        <v/>
      </c>
      <c r="J182" s="53"/>
      <c r="K182" s="54" t="str">
        <f t="shared" si="12"/>
        <v/>
      </c>
      <c r="L182" s="33"/>
      <c r="M182" s="33"/>
      <c r="N182" s="30"/>
      <c r="O182" s="30"/>
      <c r="P182" s="33"/>
    </row>
    <row r="183" spans="1:16" x14ac:dyDescent="0.25">
      <c r="A183" s="31"/>
      <c r="B183" s="30"/>
      <c r="C183" s="30"/>
      <c r="D183" s="30"/>
      <c r="E183" s="33"/>
      <c r="F183" s="30"/>
      <c r="G183" s="49"/>
      <c r="H183" s="52" t="str">
        <f t="shared" si="10"/>
        <v/>
      </c>
      <c r="I183" s="52" t="str">
        <f t="shared" si="11"/>
        <v/>
      </c>
      <c r="J183" s="53"/>
      <c r="K183" s="54" t="str">
        <f t="shared" si="12"/>
        <v/>
      </c>
      <c r="L183" s="33"/>
      <c r="M183" s="33"/>
      <c r="N183" s="30"/>
      <c r="O183" s="30"/>
      <c r="P183" s="33"/>
    </row>
    <row r="184" spans="1:16" x14ac:dyDescent="0.25">
      <c r="A184" s="31"/>
      <c r="B184" s="30"/>
      <c r="C184" s="30"/>
      <c r="D184" s="30"/>
      <c r="E184" s="33"/>
      <c r="F184" s="30"/>
      <c r="G184" s="49"/>
      <c r="H184" s="52" t="str">
        <f t="shared" si="10"/>
        <v/>
      </c>
      <c r="I184" s="52" t="str">
        <f t="shared" si="11"/>
        <v/>
      </c>
      <c r="J184" s="53"/>
      <c r="K184" s="54" t="str">
        <f t="shared" si="12"/>
        <v/>
      </c>
      <c r="L184" s="33"/>
      <c r="M184" s="33"/>
      <c r="N184" s="30"/>
      <c r="O184" s="30"/>
      <c r="P184" s="33"/>
    </row>
    <row r="185" spans="1:16" x14ac:dyDescent="0.25">
      <c r="A185" s="31"/>
      <c r="B185" s="30"/>
      <c r="C185" s="30"/>
      <c r="D185" s="30"/>
      <c r="E185" s="33"/>
      <c r="F185" s="30"/>
      <c r="G185" s="49"/>
      <c r="H185" s="52" t="str">
        <f t="shared" si="10"/>
        <v/>
      </c>
      <c r="I185" s="52" t="str">
        <f t="shared" si="11"/>
        <v/>
      </c>
      <c r="J185" s="53"/>
      <c r="K185" s="54" t="str">
        <f t="shared" si="12"/>
        <v/>
      </c>
      <c r="L185" s="33"/>
      <c r="M185" s="33"/>
      <c r="N185" s="30"/>
      <c r="O185" s="30"/>
      <c r="P185" s="33"/>
    </row>
    <row r="186" spans="1:16" x14ac:dyDescent="0.25">
      <c r="A186" s="31"/>
      <c r="B186" s="30"/>
      <c r="C186" s="30"/>
      <c r="D186" s="30"/>
      <c r="E186" s="33"/>
      <c r="F186" s="30"/>
      <c r="G186" s="49"/>
      <c r="H186" s="52" t="str">
        <f t="shared" si="10"/>
        <v/>
      </c>
      <c r="I186" s="52" t="str">
        <f t="shared" si="11"/>
        <v/>
      </c>
      <c r="J186" s="53"/>
      <c r="K186" s="54" t="str">
        <f t="shared" si="12"/>
        <v/>
      </c>
      <c r="L186" s="33"/>
      <c r="M186" s="33"/>
      <c r="N186" s="30"/>
      <c r="O186" s="30"/>
      <c r="P186" s="33"/>
    </row>
    <row r="187" spans="1:16" x14ac:dyDescent="0.25">
      <c r="A187" s="31"/>
      <c r="B187" s="30"/>
      <c r="C187" s="30"/>
      <c r="D187" s="30"/>
      <c r="E187" s="33"/>
      <c r="F187" s="30"/>
      <c r="G187" s="49"/>
      <c r="H187" s="52" t="str">
        <f t="shared" si="10"/>
        <v/>
      </c>
      <c r="I187" s="52" t="str">
        <f t="shared" si="11"/>
        <v/>
      </c>
      <c r="J187" s="53"/>
      <c r="K187" s="54" t="str">
        <f t="shared" si="12"/>
        <v/>
      </c>
      <c r="L187" s="33"/>
      <c r="M187" s="33"/>
      <c r="N187" s="30"/>
      <c r="O187" s="30"/>
      <c r="P187" s="33"/>
    </row>
    <row r="188" spans="1:16" x14ac:dyDescent="0.25">
      <c r="A188" s="31"/>
      <c r="B188" s="30"/>
      <c r="C188" s="30"/>
      <c r="D188" s="30"/>
      <c r="E188" s="33"/>
      <c r="F188" s="30"/>
      <c r="G188" s="49"/>
      <c r="H188" s="52" t="str">
        <f t="shared" si="10"/>
        <v/>
      </c>
      <c r="I188" s="52" t="str">
        <f t="shared" si="11"/>
        <v/>
      </c>
      <c r="J188" s="53"/>
      <c r="K188" s="54" t="str">
        <f t="shared" si="12"/>
        <v/>
      </c>
      <c r="L188" s="33"/>
      <c r="M188" s="33"/>
      <c r="N188" s="30"/>
      <c r="O188" s="30"/>
      <c r="P188" s="33"/>
    </row>
    <row r="189" spans="1:16" x14ac:dyDescent="0.25">
      <c r="A189" s="31"/>
      <c r="B189" s="30"/>
      <c r="C189" s="30"/>
      <c r="D189" s="30"/>
      <c r="E189" s="33"/>
      <c r="F189" s="30"/>
      <c r="G189" s="49"/>
      <c r="H189" s="52" t="str">
        <f t="shared" si="10"/>
        <v/>
      </c>
      <c r="I189" s="52" t="str">
        <f t="shared" si="11"/>
        <v/>
      </c>
      <c r="J189" s="53"/>
      <c r="K189" s="54" t="str">
        <f t="shared" si="12"/>
        <v/>
      </c>
      <c r="L189" s="33"/>
      <c r="M189" s="33"/>
      <c r="N189" s="30"/>
      <c r="O189" s="30"/>
      <c r="P189" s="33"/>
    </row>
    <row r="190" spans="1:16" x14ac:dyDescent="0.25">
      <c r="A190" s="31"/>
      <c r="B190" s="30"/>
      <c r="C190" s="30"/>
      <c r="D190" s="30"/>
      <c r="E190" s="33"/>
      <c r="F190" s="30"/>
      <c r="G190" s="49"/>
      <c r="H190" s="52" t="str">
        <f t="shared" si="10"/>
        <v/>
      </c>
      <c r="I190" s="52" t="str">
        <f t="shared" si="11"/>
        <v/>
      </c>
      <c r="J190" s="53"/>
      <c r="K190" s="54" t="str">
        <f t="shared" si="12"/>
        <v/>
      </c>
      <c r="L190" s="33"/>
      <c r="M190" s="33"/>
      <c r="N190" s="30"/>
      <c r="O190" s="30"/>
      <c r="P190" s="33"/>
    </row>
    <row r="191" spans="1:16" x14ac:dyDescent="0.25">
      <c r="A191" s="31"/>
      <c r="B191" s="30"/>
      <c r="C191" s="30"/>
      <c r="D191" s="30"/>
      <c r="E191" s="33"/>
      <c r="F191" s="30"/>
      <c r="G191" s="49"/>
      <c r="H191" s="52" t="str">
        <f t="shared" si="10"/>
        <v/>
      </c>
      <c r="I191" s="52" t="str">
        <f t="shared" si="11"/>
        <v/>
      </c>
      <c r="J191" s="53"/>
      <c r="K191" s="54" t="str">
        <f t="shared" si="12"/>
        <v/>
      </c>
      <c r="L191" s="33"/>
      <c r="M191" s="33"/>
      <c r="N191" s="30"/>
      <c r="O191" s="30"/>
      <c r="P191" s="33"/>
    </row>
    <row r="192" spans="1:16" x14ac:dyDescent="0.25">
      <c r="A192" s="31"/>
      <c r="B192" s="30"/>
      <c r="C192" s="30"/>
      <c r="D192" s="30"/>
      <c r="E192" s="33"/>
      <c r="F192" s="30"/>
      <c r="G192" s="49"/>
      <c r="H192" s="52" t="str">
        <f t="shared" si="10"/>
        <v/>
      </c>
      <c r="I192" s="52" t="str">
        <f t="shared" si="11"/>
        <v/>
      </c>
      <c r="J192" s="53"/>
      <c r="K192" s="54" t="str">
        <f t="shared" si="12"/>
        <v/>
      </c>
      <c r="L192" s="33"/>
      <c r="M192" s="33"/>
      <c r="N192" s="30"/>
      <c r="O192" s="30"/>
      <c r="P192" s="33"/>
    </row>
    <row r="193" spans="1:16" x14ac:dyDescent="0.25">
      <c r="A193" s="31"/>
      <c r="B193" s="30"/>
      <c r="C193" s="30"/>
      <c r="D193" s="30"/>
      <c r="E193" s="33"/>
      <c r="F193" s="30"/>
      <c r="G193" s="49"/>
      <c r="H193" s="52" t="str">
        <f t="shared" si="10"/>
        <v/>
      </c>
      <c r="I193" s="52" t="str">
        <f t="shared" si="11"/>
        <v/>
      </c>
      <c r="J193" s="53"/>
      <c r="K193" s="54" t="str">
        <f t="shared" si="12"/>
        <v/>
      </c>
      <c r="L193" s="33"/>
      <c r="M193" s="33"/>
      <c r="N193" s="30"/>
      <c r="O193" s="30"/>
      <c r="P193" s="33"/>
    </row>
    <row r="194" spans="1:16" x14ac:dyDescent="0.25">
      <c r="A194" s="31"/>
      <c r="B194" s="30"/>
      <c r="C194" s="30"/>
      <c r="D194" s="30"/>
      <c r="E194" s="33"/>
      <c r="F194" s="30"/>
      <c r="G194" s="49"/>
      <c r="H194" s="52" t="str">
        <f t="shared" si="10"/>
        <v/>
      </c>
      <c r="I194" s="52" t="str">
        <f t="shared" si="11"/>
        <v/>
      </c>
      <c r="J194" s="53"/>
      <c r="K194" s="54" t="str">
        <f t="shared" si="12"/>
        <v/>
      </c>
      <c r="L194" s="33"/>
      <c r="M194" s="33"/>
      <c r="N194" s="30"/>
      <c r="O194" s="30"/>
      <c r="P194" s="33"/>
    </row>
    <row r="195" spans="1:16" x14ac:dyDescent="0.25">
      <c r="A195" s="31"/>
      <c r="B195" s="30"/>
      <c r="C195" s="30"/>
      <c r="D195" s="30"/>
      <c r="E195" s="33"/>
      <c r="F195" s="30"/>
      <c r="G195" s="49"/>
      <c r="H195" s="52" t="str">
        <f t="shared" si="10"/>
        <v/>
      </c>
      <c r="I195" s="52" t="str">
        <f t="shared" si="11"/>
        <v/>
      </c>
      <c r="J195" s="53"/>
      <c r="K195" s="54" t="str">
        <f t="shared" si="12"/>
        <v/>
      </c>
      <c r="L195" s="33"/>
      <c r="M195" s="33"/>
      <c r="N195" s="30"/>
      <c r="O195" s="30"/>
      <c r="P195" s="33"/>
    </row>
    <row r="196" spans="1:16" x14ac:dyDescent="0.25">
      <c r="A196" s="31"/>
      <c r="B196" s="30"/>
      <c r="C196" s="30"/>
      <c r="D196" s="30"/>
      <c r="E196" s="33"/>
      <c r="F196" s="30"/>
      <c r="G196" s="49"/>
      <c r="H196" s="52" t="str">
        <f t="shared" si="10"/>
        <v/>
      </c>
      <c r="I196" s="52" t="str">
        <f t="shared" si="11"/>
        <v/>
      </c>
      <c r="J196" s="53"/>
      <c r="K196" s="54" t="str">
        <f t="shared" si="12"/>
        <v/>
      </c>
      <c r="L196" s="33"/>
      <c r="M196" s="33"/>
      <c r="N196" s="30"/>
      <c r="O196" s="30"/>
      <c r="P196" s="33"/>
    </row>
    <row r="197" spans="1:16" x14ac:dyDescent="0.25">
      <c r="A197" s="31"/>
      <c r="B197" s="30"/>
      <c r="C197" s="30"/>
      <c r="D197" s="30"/>
      <c r="E197" s="33"/>
      <c r="F197" s="30"/>
      <c r="G197" s="49"/>
      <c r="H197" s="52" t="str">
        <f t="shared" ref="H197:H260" si="13">IF($A197="","",IF(OR($C197="ENTRADA",$C197="DEVOLUÇÃO"),$G197,0))</f>
        <v/>
      </c>
      <c r="I197" s="52" t="str">
        <f t="shared" ref="I197:I260" si="14">IF($A197="","",IF(OR($C197="SAÍDA",$C197="PERDA / QUEBRA",$C197="TRANSFERÊNCIA"),$G197,0))</f>
        <v/>
      </c>
      <c r="J197" s="53"/>
      <c r="K197" s="54" t="str">
        <f t="shared" ref="K197:K260" si="15">IF($A197="","",$G197*$J197)</f>
        <v/>
      </c>
      <c r="L197" s="33"/>
      <c r="M197" s="33"/>
      <c r="N197" s="30"/>
      <c r="O197" s="30"/>
      <c r="P197" s="33"/>
    </row>
    <row r="198" spans="1:16" x14ac:dyDescent="0.25">
      <c r="A198" s="31"/>
      <c r="B198" s="30"/>
      <c r="C198" s="30"/>
      <c r="D198" s="30"/>
      <c r="E198" s="33"/>
      <c r="F198" s="30"/>
      <c r="G198" s="49"/>
      <c r="H198" s="52" t="str">
        <f t="shared" si="13"/>
        <v/>
      </c>
      <c r="I198" s="52" t="str">
        <f t="shared" si="14"/>
        <v/>
      </c>
      <c r="J198" s="53"/>
      <c r="K198" s="54" t="str">
        <f t="shared" si="15"/>
        <v/>
      </c>
      <c r="L198" s="33"/>
      <c r="M198" s="33"/>
      <c r="N198" s="30"/>
      <c r="O198" s="30"/>
      <c r="P198" s="33"/>
    </row>
    <row r="199" spans="1:16" x14ac:dyDescent="0.25">
      <c r="A199" s="31"/>
      <c r="B199" s="30"/>
      <c r="C199" s="30"/>
      <c r="D199" s="30"/>
      <c r="E199" s="33"/>
      <c r="F199" s="30"/>
      <c r="G199" s="49"/>
      <c r="H199" s="52" t="str">
        <f t="shared" si="13"/>
        <v/>
      </c>
      <c r="I199" s="52" t="str">
        <f t="shared" si="14"/>
        <v/>
      </c>
      <c r="J199" s="53"/>
      <c r="K199" s="54" t="str">
        <f t="shared" si="15"/>
        <v/>
      </c>
      <c r="L199" s="33"/>
      <c r="M199" s="33"/>
      <c r="N199" s="30"/>
      <c r="O199" s="30"/>
      <c r="P199" s="33"/>
    </row>
    <row r="200" spans="1:16" x14ac:dyDescent="0.25">
      <c r="A200" s="31"/>
      <c r="B200" s="30"/>
      <c r="C200" s="30"/>
      <c r="D200" s="30"/>
      <c r="E200" s="33"/>
      <c r="F200" s="30"/>
      <c r="G200" s="49"/>
      <c r="H200" s="52" t="str">
        <f t="shared" si="13"/>
        <v/>
      </c>
      <c r="I200" s="52" t="str">
        <f t="shared" si="14"/>
        <v/>
      </c>
      <c r="J200" s="53"/>
      <c r="K200" s="54" t="str">
        <f t="shared" si="15"/>
        <v/>
      </c>
      <c r="L200" s="33"/>
      <c r="M200" s="33"/>
      <c r="N200" s="30"/>
      <c r="O200" s="30"/>
      <c r="P200" s="33"/>
    </row>
    <row r="201" spans="1:16" x14ac:dyDescent="0.25">
      <c r="A201" s="31"/>
      <c r="B201" s="30"/>
      <c r="C201" s="30"/>
      <c r="D201" s="30"/>
      <c r="E201" s="33"/>
      <c r="F201" s="30"/>
      <c r="G201" s="49"/>
      <c r="H201" s="52" t="str">
        <f t="shared" si="13"/>
        <v/>
      </c>
      <c r="I201" s="52" t="str">
        <f t="shared" si="14"/>
        <v/>
      </c>
      <c r="J201" s="53"/>
      <c r="K201" s="54" t="str">
        <f t="shared" si="15"/>
        <v/>
      </c>
      <c r="L201" s="33"/>
      <c r="M201" s="33"/>
      <c r="N201" s="30"/>
      <c r="O201" s="30"/>
      <c r="P201" s="33"/>
    </row>
    <row r="202" spans="1:16" x14ac:dyDescent="0.25">
      <c r="A202" s="31"/>
      <c r="B202" s="30"/>
      <c r="C202" s="30"/>
      <c r="D202" s="30"/>
      <c r="E202" s="33"/>
      <c r="F202" s="30"/>
      <c r="G202" s="49"/>
      <c r="H202" s="52" t="str">
        <f t="shared" si="13"/>
        <v/>
      </c>
      <c r="I202" s="52" t="str">
        <f t="shared" si="14"/>
        <v/>
      </c>
      <c r="J202" s="53"/>
      <c r="K202" s="54" t="str">
        <f t="shared" si="15"/>
        <v/>
      </c>
      <c r="L202" s="33"/>
      <c r="M202" s="33"/>
      <c r="N202" s="30"/>
      <c r="O202" s="30"/>
      <c r="P202" s="33"/>
    </row>
    <row r="203" spans="1:16" x14ac:dyDescent="0.25">
      <c r="A203" s="31"/>
      <c r="B203" s="30"/>
      <c r="C203" s="30"/>
      <c r="D203" s="30"/>
      <c r="E203" s="33"/>
      <c r="F203" s="30"/>
      <c r="G203" s="49"/>
      <c r="H203" s="52" t="str">
        <f t="shared" si="13"/>
        <v/>
      </c>
      <c r="I203" s="52" t="str">
        <f t="shared" si="14"/>
        <v/>
      </c>
      <c r="J203" s="53"/>
      <c r="K203" s="54" t="str">
        <f t="shared" si="15"/>
        <v/>
      </c>
      <c r="L203" s="33"/>
      <c r="M203" s="33"/>
      <c r="N203" s="30"/>
      <c r="O203" s="30"/>
      <c r="P203" s="33"/>
    </row>
    <row r="204" spans="1:16" x14ac:dyDescent="0.25">
      <c r="A204" s="31"/>
      <c r="B204" s="30"/>
      <c r="C204" s="30"/>
      <c r="D204" s="30"/>
      <c r="E204" s="33"/>
      <c r="F204" s="30"/>
      <c r="G204" s="49"/>
      <c r="H204" s="52" t="str">
        <f t="shared" si="13"/>
        <v/>
      </c>
      <c r="I204" s="52" t="str">
        <f t="shared" si="14"/>
        <v/>
      </c>
      <c r="J204" s="53"/>
      <c r="K204" s="54" t="str">
        <f t="shared" si="15"/>
        <v/>
      </c>
      <c r="L204" s="33"/>
      <c r="M204" s="33"/>
      <c r="N204" s="30"/>
      <c r="O204" s="30"/>
      <c r="P204" s="33"/>
    </row>
    <row r="205" spans="1:16" x14ac:dyDescent="0.25">
      <c r="A205" s="31"/>
      <c r="B205" s="30"/>
      <c r="C205" s="30"/>
      <c r="D205" s="30"/>
      <c r="E205" s="33"/>
      <c r="F205" s="30"/>
      <c r="G205" s="49"/>
      <c r="H205" s="52" t="str">
        <f t="shared" si="13"/>
        <v/>
      </c>
      <c r="I205" s="52" t="str">
        <f t="shared" si="14"/>
        <v/>
      </c>
      <c r="J205" s="53"/>
      <c r="K205" s="54" t="str">
        <f t="shared" si="15"/>
        <v/>
      </c>
      <c r="L205" s="33"/>
      <c r="M205" s="33"/>
      <c r="N205" s="30"/>
      <c r="O205" s="30"/>
      <c r="P205" s="33"/>
    </row>
    <row r="206" spans="1:16" x14ac:dyDescent="0.25">
      <c r="A206" s="31"/>
      <c r="B206" s="30"/>
      <c r="C206" s="30"/>
      <c r="D206" s="30"/>
      <c r="E206" s="33"/>
      <c r="F206" s="30"/>
      <c r="G206" s="49"/>
      <c r="H206" s="52" t="str">
        <f t="shared" si="13"/>
        <v/>
      </c>
      <c r="I206" s="52" t="str">
        <f t="shared" si="14"/>
        <v/>
      </c>
      <c r="J206" s="53"/>
      <c r="K206" s="54" t="str">
        <f t="shared" si="15"/>
        <v/>
      </c>
      <c r="L206" s="33"/>
      <c r="M206" s="33"/>
      <c r="N206" s="30"/>
      <c r="O206" s="30"/>
      <c r="P206" s="33"/>
    </row>
    <row r="207" spans="1:16" x14ac:dyDescent="0.25">
      <c r="A207" s="31"/>
      <c r="B207" s="30"/>
      <c r="C207" s="30"/>
      <c r="D207" s="30"/>
      <c r="E207" s="33"/>
      <c r="F207" s="30"/>
      <c r="G207" s="49"/>
      <c r="H207" s="52" t="str">
        <f t="shared" si="13"/>
        <v/>
      </c>
      <c r="I207" s="52" t="str">
        <f t="shared" si="14"/>
        <v/>
      </c>
      <c r="J207" s="53"/>
      <c r="K207" s="54" t="str">
        <f t="shared" si="15"/>
        <v/>
      </c>
      <c r="L207" s="33"/>
      <c r="M207" s="33"/>
      <c r="N207" s="30"/>
      <c r="O207" s="30"/>
      <c r="P207" s="33"/>
    </row>
    <row r="208" spans="1:16" x14ac:dyDescent="0.25">
      <c r="A208" s="31"/>
      <c r="B208" s="30"/>
      <c r="C208" s="30"/>
      <c r="D208" s="30"/>
      <c r="E208" s="33"/>
      <c r="F208" s="30"/>
      <c r="G208" s="49"/>
      <c r="H208" s="52" t="str">
        <f t="shared" si="13"/>
        <v/>
      </c>
      <c r="I208" s="52" t="str">
        <f t="shared" si="14"/>
        <v/>
      </c>
      <c r="J208" s="53"/>
      <c r="K208" s="54" t="str">
        <f t="shared" si="15"/>
        <v/>
      </c>
      <c r="L208" s="33"/>
      <c r="M208" s="33"/>
      <c r="N208" s="30"/>
      <c r="O208" s="30"/>
      <c r="P208" s="33"/>
    </row>
    <row r="209" spans="1:16" x14ac:dyDescent="0.25">
      <c r="A209" s="31"/>
      <c r="B209" s="30"/>
      <c r="C209" s="30"/>
      <c r="D209" s="30"/>
      <c r="E209" s="33"/>
      <c r="F209" s="30"/>
      <c r="G209" s="49"/>
      <c r="H209" s="52" t="str">
        <f t="shared" si="13"/>
        <v/>
      </c>
      <c r="I209" s="52" t="str">
        <f t="shared" si="14"/>
        <v/>
      </c>
      <c r="J209" s="53"/>
      <c r="K209" s="54" t="str">
        <f t="shared" si="15"/>
        <v/>
      </c>
      <c r="L209" s="33"/>
      <c r="M209" s="33"/>
      <c r="N209" s="30"/>
      <c r="O209" s="30"/>
      <c r="P209" s="33"/>
    </row>
    <row r="210" spans="1:16" x14ac:dyDescent="0.25">
      <c r="A210" s="31"/>
      <c r="B210" s="30"/>
      <c r="C210" s="30"/>
      <c r="D210" s="30"/>
      <c r="E210" s="33"/>
      <c r="F210" s="30"/>
      <c r="G210" s="49"/>
      <c r="H210" s="52" t="str">
        <f t="shared" si="13"/>
        <v/>
      </c>
      <c r="I210" s="52" t="str">
        <f t="shared" si="14"/>
        <v/>
      </c>
      <c r="J210" s="53"/>
      <c r="K210" s="54" t="str">
        <f t="shared" si="15"/>
        <v/>
      </c>
      <c r="L210" s="33"/>
      <c r="M210" s="33"/>
      <c r="N210" s="30"/>
      <c r="O210" s="30"/>
      <c r="P210" s="33"/>
    </row>
    <row r="211" spans="1:16" x14ac:dyDescent="0.25">
      <c r="A211" s="31"/>
      <c r="B211" s="30"/>
      <c r="C211" s="30"/>
      <c r="D211" s="30"/>
      <c r="E211" s="33"/>
      <c r="F211" s="30"/>
      <c r="G211" s="49"/>
      <c r="H211" s="52" t="str">
        <f t="shared" si="13"/>
        <v/>
      </c>
      <c r="I211" s="52" t="str">
        <f t="shared" si="14"/>
        <v/>
      </c>
      <c r="J211" s="53"/>
      <c r="K211" s="54" t="str">
        <f t="shared" si="15"/>
        <v/>
      </c>
      <c r="L211" s="33"/>
      <c r="M211" s="33"/>
      <c r="N211" s="30"/>
      <c r="O211" s="30"/>
      <c r="P211" s="33"/>
    </row>
    <row r="212" spans="1:16" x14ac:dyDescent="0.25">
      <c r="A212" s="31"/>
      <c r="B212" s="30"/>
      <c r="C212" s="30"/>
      <c r="D212" s="30"/>
      <c r="E212" s="33"/>
      <c r="F212" s="30"/>
      <c r="G212" s="49"/>
      <c r="H212" s="52" t="str">
        <f t="shared" si="13"/>
        <v/>
      </c>
      <c r="I212" s="52" t="str">
        <f t="shared" si="14"/>
        <v/>
      </c>
      <c r="J212" s="53"/>
      <c r="K212" s="54" t="str">
        <f t="shared" si="15"/>
        <v/>
      </c>
      <c r="L212" s="33"/>
      <c r="M212" s="33"/>
      <c r="N212" s="30"/>
      <c r="O212" s="30"/>
      <c r="P212" s="33"/>
    </row>
    <row r="213" spans="1:16" x14ac:dyDescent="0.25">
      <c r="A213" s="31"/>
      <c r="B213" s="30"/>
      <c r="C213" s="30"/>
      <c r="D213" s="30"/>
      <c r="E213" s="33"/>
      <c r="F213" s="30"/>
      <c r="G213" s="49"/>
      <c r="H213" s="52" t="str">
        <f t="shared" si="13"/>
        <v/>
      </c>
      <c r="I213" s="52" t="str">
        <f t="shared" si="14"/>
        <v/>
      </c>
      <c r="J213" s="53"/>
      <c r="K213" s="54" t="str">
        <f t="shared" si="15"/>
        <v/>
      </c>
      <c r="L213" s="33"/>
      <c r="M213" s="33"/>
      <c r="N213" s="30"/>
      <c r="O213" s="30"/>
      <c r="P213" s="33"/>
    </row>
    <row r="214" spans="1:16" x14ac:dyDescent="0.25">
      <c r="A214" s="31"/>
      <c r="B214" s="30"/>
      <c r="C214" s="30"/>
      <c r="D214" s="30"/>
      <c r="E214" s="33"/>
      <c r="F214" s="30"/>
      <c r="G214" s="49"/>
      <c r="H214" s="52" t="str">
        <f t="shared" si="13"/>
        <v/>
      </c>
      <c r="I214" s="52" t="str">
        <f t="shared" si="14"/>
        <v/>
      </c>
      <c r="J214" s="53"/>
      <c r="K214" s="54" t="str">
        <f t="shared" si="15"/>
        <v/>
      </c>
      <c r="L214" s="33"/>
      <c r="M214" s="33"/>
      <c r="N214" s="30"/>
      <c r="O214" s="30"/>
      <c r="P214" s="33"/>
    </row>
    <row r="215" spans="1:16" x14ac:dyDescent="0.25">
      <c r="A215" s="31"/>
      <c r="B215" s="30"/>
      <c r="C215" s="30"/>
      <c r="D215" s="30"/>
      <c r="E215" s="33"/>
      <c r="F215" s="30"/>
      <c r="G215" s="49"/>
      <c r="H215" s="52" t="str">
        <f t="shared" si="13"/>
        <v/>
      </c>
      <c r="I215" s="52" t="str">
        <f t="shared" si="14"/>
        <v/>
      </c>
      <c r="J215" s="53"/>
      <c r="K215" s="54" t="str">
        <f t="shared" si="15"/>
        <v/>
      </c>
      <c r="L215" s="33"/>
      <c r="M215" s="33"/>
      <c r="N215" s="30"/>
      <c r="O215" s="30"/>
      <c r="P215" s="33"/>
    </row>
    <row r="216" spans="1:16" x14ac:dyDescent="0.25">
      <c r="A216" s="31"/>
      <c r="B216" s="30"/>
      <c r="C216" s="30"/>
      <c r="D216" s="30"/>
      <c r="E216" s="33"/>
      <c r="F216" s="30"/>
      <c r="G216" s="49"/>
      <c r="H216" s="52" t="str">
        <f t="shared" si="13"/>
        <v/>
      </c>
      <c r="I216" s="52" t="str">
        <f t="shared" si="14"/>
        <v/>
      </c>
      <c r="J216" s="53"/>
      <c r="K216" s="54" t="str">
        <f t="shared" si="15"/>
        <v/>
      </c>
      <c r="L216" s="33"/>
      <c r="M216" s="33"/>
      <c r="N216" s="30"/>
      <c r="O216" s="30"/>
      <c r="P216" s="33"/>
    </row>
    <row r="217" spans="1:16" x14ac:dyDescent="0.25">
      <c r="A217" s="31"/>
      <c r="B217" s="30"/>
      <c r="C217" s="30"/>
      <c r="D217" s="30"/>
      <c r="E217" s="33"/>
      <c r="F217" s="30"/>
      <c r="G217" s="49"/>
      <c r="H217" s="52" t="str">
        <f t="shared" si="13"/>
        <v/>
      </c>
      <c r="I217" s="52" t="str">
        <f t="shared" si="14"/>
        <v/>
      </c>
      <c r="J217" s="53"/>
      <c r="K217" s="54" t="str">
        <f t="shared" si="15"/>
        <v/>
      </c>
      <c r="L217" s="33"/>
      <c r="M217" s="33"/>
      <c r="N217" s="30"/>
      <c r="O217" s="30"/>
      <c r="P217" s="33"/>
    </row>
    <row r="218" spans="1:16" x14ac:dyDescent="0.25">
      <c r="A218" s="31"/>
      <c r="B218" s="30"/>
      <c r="C218" s="30"/>
      <c r="D218" s="30"/>
      <c r="E218" s="33"/>
      <c r="F218" s="30"/>
      <c r="G218" s="49"/>
      <c r="H218" s="52" t="str">
        <f t="shared" si="13"/>
        <v/>
      </c>
      <c r="I218" s="52" t="str">
        <f t="shared" si="14"/>
        <v/>
      </c>
      <c r="J218" s="53"/>
      <c r="K218" s="54" t="str">
        <f t="shared" si="15"/>
        <v/>
      </c>
      <c r="L218" s="33"/>
      <c r="M218" s="33"/>
      <c r="N218" s="30"/>
      <c r="O218" s="30"/>
      <c r="P218" s="33"/>
    </row>
    <row r="219" spans="1:16" x14ac:dyDescent="0.25">
      <c r="A219" s="31"/>
      <c r="B219" s="30"/>
      <c r="C219" s="30"/>
      <c r="D219" s="30"/>
      <c r="E219" s="33"/>
      <c r="F219" s="30"/>
      <c r="G219" s="49"/>
      <c r="H219" s="52" t="str">
        <f t="shared" si="13"/>
        <v/>
      </c>
      <c r="I219" s="52" t="str">
        <f t="shared" si="14"/>
        <v/>
      </c>
      <c r="J219" s="53"/>
      <c r="K219" s="54" t="str">
        <f t="shared" si="15"/>
        <v/>
      </c>
      <c r="L219" s="33"/>
      <c r="M219" s="33"/>
      <c r="N219" s="30"/>
      <c r="O219" s="30"/>
      <c r="P219" s="33"/>
    </row>
    <row r="220" spans="1:16" x14ac:dyDescent="0.25">
      <c r="A220" s="31"/>
      <c r="B220" s="30"/>
      <c r="C220" s="30"/>
      <c r="D220" s="30"/>
      <c r="E220" s="33"/>
      <c r="F220" s="30"/>
      <c r="G220" s="49"/>
      <c r="H220" s="52" t="str">
        <f t="shared" si="13"/>
        <v/>
      </c>
      <c r="I220" s="52" t="str">
        <f t="shared" si="14"/>
        <v/>
      </c>
      <c r="J220" s="53"/>
      <c r="K220" s="54" t="str">
        <f t="shared" si="15"/>
        <v/>
      </c>
      <c r="L220" s="33"/>
      <c r="M220" s="33"/>
      <c r="N220" s="30"/>
      <c r="O220" s="30"/>
      <c r="P220" s="33"/>
    </row>
    <row r="221" spans="1:16" x14ac:dyDescent="0.25">
      <c r="A221" s="31"/>
      <c r="B221" s="30"/>
      <c r="C221" s="30"/>
      <c r="D221" s="30"/>
      <c r="E221" s="33"/>
      <c r="F221" s="30"/>
      <c r="G221" s="49"/>
      <c r="H221" s="52" t="str">
        <f t="shared" si="13"/>
        <v/>
      </c>
      <c r="I221" s="52" t="str">
        <f t="shared" si="14"/>
        <v/>
      </c>
      <c r="J221" s="53"/>
      <c r="K221" s="54" t="str">
        <f t="shared" si="15"/>
        <v/>
      </c>
      <c r="L221" s="33"/>
      <c r="M221" s="33"/>
      <c r="N221" s="30"/>
      <c r="O221" s="30"/>
      <c r="P221" s="33"/>
    </row>
    <row r="222" spans="1:16" x14ac:dyDescent="0.25">
      <c r="A222" s="31"/>
      <c r="B222" s="30"/>
      <c r="C222" s="30"/>
      <c r="D222" s="30"/>
      <c r="E222" s="33"/>
      <c r="F222" s="30"/>
      <c r="G222" s="49"/>
      <c r="H222" s="52" t="str">
        <f t="shared" si="13"/>
        <v/>
      </c>
      <c r="I222" s="52" t="str">
        <f t="shared" si="14"/>
        <v/>
      </c>
      <c r="J222" s="53"/>
      <c r="K222" s="54" t="str">
        <f t="shared" si="15"/>
        <v/>
      </c>
      <c r="L222" s="33"/>
      <c r="M222" s="33"/>
      <c r="N222" s="30"/>
      <c r="O222" s="30"/>
      <c r="P222" s="33"/>
    </row>
    <row r="223" spans="1:16" x14ac:dyDescent="0.25">
      <c r="A223" s="31"/>
      <c r="B223" s="30"/>
      <c r="C223" s="30"/>
      <c r="D223" s="30"/>
      <c r="E223" s="33"/>
      <c r="F223" s="30"/>
      <c r="G223" s="49"/>
      <c r="H223" s="52" t="str">
        <f t="shared" si="13"/>
        <v/>
      </c>
      <c r="I223" s="52" t="str">
        <f t="shared" si="14"/>
        <v/>
      </c>
      <c r="J223" s="53"/>
      <c r="K223" s="54" t="str">
        <f t="shared" si="15"/>
        <v/>
      </c>
      <c r="L223" s="33"/>
      <c r="M223" s="33"/>
      <c r="N223" s="30"/>
      <c r="O223" s="30"/>
      <c r="P223" s="33"/>
    </row>
    <row r="224" spans="1:16" x14ac:dyDescent="0.25">
      <c r="A224" s="31"/>
      <c r="B224" s="30"/>
      <c r="C224" s="30"/>
      <c r="D224" s="30"/>
      <c r="E224" s="33"/>
      <c r="F224" s="30"/>
      <c r="G224" s="49"/>
      <c r="H224" s="52" t="str">
        <f t="shared" si="13"/>
        <v/>
      </c>
      <c r="I224" s="52" t="str">
        <f t="shared" si="14"/>
        <v/>
      </c>
      <c r="J224" s="53"/>
      <c r="K224" s="54" t="str">
        <f t="shared" si="15"/>
        <v/>
      </c>
      <c r="L224" s="33"/>
      <c r="M224" s="33"/>
      <c r="N224" s="30"/>
      <c r="O224" s="30"/>
      <c r="P224" s="33"/>
    </row>
    <row r="225" spans="1:16" x14ac:dyDescent="0.25">
      <c r="A225" s="31"/>
      <c r="B225" s="30"/>
      <c r="C225" s="30"/>
      <c r="D225" s="30"/>
      <c r="E225" s="33"/>
      <c r="F225" s="30"/>
      <c r="G225" s="49"/>
      <c r="H225" s="52" t="str">
        <f t="shared" si="13"/>
        <v/>
      </c>
      <c r="I225" s="52" t="str">
        <f t="shared" si="14"/>
        <v/>
      </c>
      <c r="J225" s="53"/>
      <c r="K225" s="54" t="str">
        <f t="shared" si="15"/>
        <v/>
      </c>
      <c r="L225" s="33"/>
      <c r="M225" s="33"/>
      <c r="N225" s="30"/>
      <c r="O225" s="30"/>
      <c r="P225" s="33"/>
    </row>
    <row r="226" spans="1:16" x14ac:dyDescent="0.25">
      <c r="A226" s="31"/>
      <c r="B226" s="30"/>
      <c r="C226" s="30"/>
      <c r="D226" s="30"/>
      <c r="E226" s="33"/>
      <c r="F226" s="30"/>
      <c r="G226" s="49"/>
      <c r="H226" s="52" t="str">
        <f t="shared" si="13"/>
        <v/>
      </c>
      <c r="I226" s="52" t="str">
        <f t="shared" si="14"/>
        <v/>
      </c>
      <c r="J226" s="53"/>
      <c r="K226" s="54" t="str">
        <f t="shared" si="15"/>
        <v/>
      </c>
      <c r="L226" s="33"/>
      <c r="M226" s="33"/>
      <c r="N226" s="30"/>
      <c r="O226" s="30"/>
      <c r="P226" s="33"/>
    </row>
    <row r="227" spans="1:16" x14ac:dyDescent="0.25">
      <c r="A227" s="31"/>
      <c r="B227" s="30"/>
      <c r="C227" s="30"/>
      <c r="D227" s="30"/>
      <c r="E227" s="33"/>
      <c r="F227" s="30"/>
      <c r="G227" s="49"/>
      <c r="H227" s="52" t="str">
        <f t="shared" si="13"/>
        <v/>
      </c>
      <c r="I227" s="52" t="str">
        <f t="shared" si="14"/>
        <v/>
      </c>
      <c r="J227" s="53"/>
      <c r="K227" s="54" t="str">
        <f t="shared" si="15"/>
        <v/>
      </c>
      <c r="L227" s="33"/>
      <c r="M227" s="33"/>
      <c r="N227" s="30"/>
      <c r="O227" s="30"/>
      <c r="P227" s="33"/>
    </row>
    <row r="228" spans="1:16" x14ac:dyDescent="0.25">
      <c r="A228" s="31"/>
      <c r="B228" s="30"/>
      <c r="C228" s="30"/>
      <c r="D228" s="30"/>
      <c r="E228" s="33"/>
      <c r="F228" s="30"/>
      <c r="G228" s="49"/>
      <c r="H228" s="52" t="str">
        <f t="shared" si="13"/>
        <v/>
      </c>
      <c r="I228" s="52" t="str">
        <f t="shared" si="14"/>
        <v/>
      </c>
      <c r="J228" s="53"/>
      <c r="K228" s="54" t="str">
        <f t="shared" si="15"/>
        <v/>
      </c>
      <c r="L228" s="33"/>
      <c r="M228" s="33"/>
      <c r="N228" s="30"/>
      <c r="O228" s="30"/>
      <c r="P228" s="33"/>
    </row>
    <row r="229" spans="1:16" x14ac:dyDescent="0.25">
      <c r="A229" s="31"/>
      <c r="B229" s="30"/>
      <c r="C229" s="30"/>
      <c r="D229" s="30"/>
      <c r="E229" s="33"/>
      <c r="F229" s="30"/>
      <c r="G229" s="49"/>
      <c r="H229" s="52" t="str">
        <f t="shared" si="13"/>
        <v/>
      </c>
      <c r="I229" s="52" t="str">
        <f t="shared" si="14"/>
        <v/>
      </c>
      <c r="J229" s="53"/>
      <c r="K229" s="54" t="str">
        <f t="shared" si="15"/>
        <v/>
      </c>
      <c r="L229" s="33"/>
      <c r="M229" s="33"/>
      <c r="N229" s="30"/>
      <c r="O229" s="30"/>
      <c r="P229" s="33"/>
    </row>
    <row r="230" spans="1:16" x14ac:dyDescent="0.25">
      <c r="A230" s="31"/>
      <c r="B230" s="30"/>
      <c r="C230" s="30"/>
      <c r="D230" s="30"/>
      <c r="E230" s="33"/>
      <c r="F230" s="30"/>
      <c r="G230" s="49"/>
      <c r="H230" s="52" t="str">
        <f t="shared" si="13"/>
        <v/>
      </c>
      <c r="I230" s="52" t="str">
        <f t="shared" si="14"/>
        <v/>
      </c>
      <c r="J230" s="53"/>
      <c r="K230" s="54" t="str">
        <f t="shared" si="15"/>
        <v/>
      </c>
      <c r="L230" s="33"/>
      <c r="M230" s="33"/>
      <c r="N230" s="30"/>
      <c r="O230" s="30"/>
      <c r="P230" s="33"/>
    </row>
    <row r="231" spans="1:16" x14ac:dyDescent="0.25">
      <c r="A231" s="31"/>
      <c r="B231" s="30"/>
      <c r="C231" s="30"/>
      <c r="D231" s="30"/>
      <c r="E231" s="33"/>
      <c r="F231" s="30"/>
      <c r="G231" s="49"/>
      <c r="H231" s="52" t="str">
        <f t="shared" si="13"/>
        <v/>
      </c>
      <c r="I231" s="52" t="str">
        <f t="shared" si="14"/>
        <v/>
      </c>
      <c r="J231" s="53"/>
      <c r="K231" s="54" t="str">
        <f t="shared" si="15"/>
        <v/>
      </c>
      <c r="L231" s="33"/>
      <c r="M231" s="33"/>
      <c r="N231" s="30"/>
      <c r="O231" s="30"/>
      <c r="P231" s="33"/>
    </row>
    <row r="232" spans="1:16" x14ac:dyDescent="0.25">
      <c r="A232" s="31"/>
      <c r="B232" s="30"/>
      <c r="C232" s="30"/>
      <c r="D232" s="30"/>
      <c r="E232" s="33"/>
      <c r="F232" s="30"/>
      <c r="G232" s="49"/>
      <c r="H232" s="52" t="str">
        <f t="shared" si="13"/>
        <v/>
      </c>
      <c r="I232" s="52" t="str">
        <f t="shared" si="14"/>
        <v/>
      </c>
      <c r="J232" s="53"/>
      <c r="K232" s="54" t="str">
        <f t="shared" si="15"/>
        <v/>
      </c>
      <c r="L232" s="33"/>
      <c r="M232" s="33"/>
      <c r="N232" s="30"/>
      <c r="O232" s="30"/>
      <c r="P232" s="33"/>
    </row>
    <row r="233" spans="1:16" x14ac:dyDescent="0.25">
      <c r="A233" s="31"/>
      <c r="B233" s="30"/>
      <c r="C233" s="30"/>
      <c r="D233" s="30"/>
      <c r="E233" s="33"/>
      <c r="F233" s="30"/>
      <c r="G233" s="49"/>
      <c r="H233" s="52" t="str">
        <f t="shared" si="13"/>
        <v/>
      </c>
      <c r="I233" s="52" t="str">
        <f t="shared" si="14"/>
        <v/>
      </c>
      <c r="J233" s="53"/>
      <c r="K233" s="54" t="str">
        <f t="shared" si="15"/>
        <v/>
      </c>
      <c r="L233" s="33"/>
      <c r="M233" s="33"/>
      <c r="N233" s="30"/>
      <c r="O233" s="30"/>
      <c r="P233" s="33"/>
    </row>
    <row r="234" spans="1:16" x14ac:dyDescent="0.25">
      <c r="A234" s="31"/>
      <c r="B234" s="30"/>
      <c r="C234" s="30"/>
      <c r="D234" s="30"/>
      <c r="E234" s="33"/>
      <c r="F234" s="30"/>
      <c r="G234" s="49"/>
      <c r="H234" s="52" t="str">
        <f t="shared" si="13"/>
        <v/>
      </c>
      <c r="I234" s="52" t="str">
        <f t="shared" si="14"/>
        <v/>
      </c>
      <c r="J234" s="53"/>
      <c r="K234" s="54" t="str">
        <f t="shared" si="15"/>
        <v/>
      </c>
      <c r="L234" s="33"/>
      <c r="M234" s="33"/>
      <c r="N234" s="30"/>
      <c r="O234" s="30"/>
      <c r="P234" s="33"/>
    </row>
    <row r="235" spans="1:16" x14ac:dyDescent="0.25">
      <c r="A235" s="31"/>
      <c r="B235" s="30"/>
      <c r="C235" s="30"/>
      <c r="D235" s="30"/>
      <c r="E235" s="33"/>
      <c r="F235" s="30"/>
      <c r="G235" s="49"/>
      <c r="H235" s="52" t="str">
        <f t="shared" si="13"/>
        <v/>
      </c>
      <c r="I235" s="52" t="str">
        <f t="shared" si="14"/>
        <v/>
      </c>
      <c r="J235" s="53"/>
      <c r="K235" s="54" t="str">
        <f t="shared" si="15"/>
        <v/>
      </c>
      <c r="L235" s="33"/>
      <c r="M235" s="33"/>
      <c r="N235" s="30"/>
      <c r="O235" s="30"/>
      <c r="P235" s="33"/>
    </row>
    <row r="236" spans="1:16" x14ac:dyDescent="0.25">
      <c r="A236" s="31"/>
      <c r="B236" s="30"/>
      <c r="C236" s="30"/>
      <c r="D236" s="30"/>
      <c r="E236" s="33"/>
      <c r="F236" s="30"/>
      <c r="G236" s="49"/>
      <c r="H236" s="52" t="str">
        <f t="shared" si="13"/>
        <v/>
      </c>
      <c r="I236" s="52" t="str">
        <f t="shared" si="14"/>
        <v/>
      </c>
      <c r="J236" s="53"/>
      <c r="K236" s="54" t="str">
        <f t="shared" si="15"/>
        <v/>
      </c>
      <c r="L236" s="33"/>
      <c r="M236" s="33"/>
      <c r="N236" s="30"/>
      <c r="O236" s="30"/>
      <c r="P236" s="33"/>
    </row>
    <row r="237" spans="1:16" x14ac:dyDescent="0.25">
      <c r="A237" s="31"/>
      <c r="B237" s="30"/>
      <c r="C237" s="30"/>
      <c r="D237" s="30"/>
      <c r="E237" s="33"/>
      <c r="F237" s="30"/>
      <c r="G237" s="49"/>
      <c r="H237" s="52" t="str">
        <f t="shared" si="13"/>
        <v/>
      </c>
      <c r="I237" s="52" t="str">
        <f t="shared" si="14"/>
        <v/>
      </c>
      <c r="J237" s="53"/>
      <c r="K237" s="54" t="str">
        <f t="shared" si="15"/>
        <v/>
      </c>
      <c r="L237" s="33"/>
      <c r="M237" s="33"/>
      <c r="N237" s="30"/>
      <c r="O237" s="30"/>
      <c r="P237" s="33"/>
    </row>
    <row r="238" spans="1:16" x14ac:dyDescent="0.25">
      <c r="A238" s="31"/>
      <c r="B238" s="30"/>
      <c r="C238" s="30"/>
      <c r="D238" s="30"/>
      <c r="E238" s="33"/>
      <c r="F238" s="30"/>
      <c r="G238" s="49"/>
      <c r="H238" s="52" t="str">
        <f t="shared" si="13"/>
        <v/>
      </c>
      <c r="I238" s="52" t="str">
        <f t="shared" si="14"/>
        <v/>
      </c>
      <c r="J238" s="53"/>
      <c r="K238" s="54" t="str">
        <f t="shared" si="15"/>
        <v/>
      </c>
      <c r="L238" s="33"/>
      <c r="M238" s="33"/>
      <c r="N238" s="30"/>
      <c r="O238" s="30"/>
      <c r="P238" s="33"/>
    </row>
    <row r="239" spans="1:16" x14ac:dyDescent="0.25">
      <c r="A239" s="31"/>
      <c r="B239" s="30"/>
      <c r="C239" s="30"/>
      <c r="D239" s="30"/>
      <c r="E239" s="33"/>
      <c r="F239" s="30"/>
      <c r="G239" s="49"/>
      <c r="H239" s="52" t="str">
        <f t="shared" si="13"/>
        <v/>
      </c>
      <c r="I239" s="52" t="str">
        <f t="shared" si="14"/>
        <v/>
      </c>
      <c r="J239" s="53"/>
      <c r="K239" s="54" t="str">
        <f t="shared" si="15"/>
        <v/>
      </c>
      <c r="L239" s="33"/>
      <c r="M239" s="33"/>
      <c r="N239" s="30"/>
      <c r="O239" s="30"/>
      <c r="P239" s="33"/>
    </row>
    <row r="240" spans="1:16" x14ac:dyDescent="0.25">
      <c r="A240" s="31"/>
      <c r="B240" s="30"/>
      <c r="C240" s="30"/>
      <c r="D240" s="30"/>
      <c r="E240" s="33"/>
      <c r="F240" s="30"/>
      <c r="G240" s="49"/>
      <c r="H240" s="52" t="str">
        <f t="shared" si="13"/>
        <v/>
      </c>
      <c r="I240" s="52" t="str">
        <f t="shared" si="14"/>
        <v/>
      </c>
      <c r="J240" s="53"/>
      <c r="K240" s="54" t="str">
        <f t="shared" si="15"/>
        <v/>
      </c>
      <c r="L240" s="33"/>
      <c r="M240" s="33"/>
      <c r="N240" s="30"/>
      <c r="O240" s="30"/>
      <c r="P240" s="33"/>
    </row>
    <row r="241" spans="1:16" x14ac:dyDescent="0.25">
      <c r="A241" s="31"/>
      <c r="B241" s="30"/>
      <c r="C241" s="30"/>
      <c r="D241" s="30"/>
      <c r="E241" s="33"/>
      <c r="F241" s="30"/>
      <c r="G241" s="49"/>
      <c r="H241" s="52" t="str">
        <f t="shared" si="13"/>
        <v/>
      </c>
      <c r="I241" s="52" t="str">
        <f t="shared" si="14"/>
        <v/>
      </c>
      <c r="J241" s="53"/>
      <c r="K241" s="54" t="str">
        <f t="shared" si="15"/>
        <v/>
      </c>
      <c r="L241" s="33"/>
      <c r="M241" s="33"/>
      <c r="N241" s="30"/>
      <c r="O241" s="30"/>
      <c r="P241" s="33"/>
    </row>
    <row r="242" spans="1:16" x14ac:dyDescent="0.25">
      <c r="A242" s="31"/>
      <c r="B242" s="30"/>
      <c r="C242" s="30"/>
      <c r="D242" s="30"/>
      <c r="E242" s="33"/>
      <c r="F242" s="30"/>
      <c r="G242" s="49"/>
      <c r="H242" s="52" t="str">
        <f t="shared" si="13"/>
        <v/>
      </c>
      <c r="I242" s="52" t="str">
        <f t="shared" si="14"/>
        <v/>
      </c>
      <c r="J242" s="53"/>
      <c r="K242" s="54" t="str">
        <f t="shared" si="15"/>
        <v/>
      </c>
      <c r="L242" s="33"/>
      <c r="M242" s="33"/>
      <c r="N242" s="30"/>
      <c r="O242" s="30"/>
      <c r="P242" s="33"/>
    </row>
    <row r="243" spans="1:16" x14ac:dyDescent="0.25">
      <c r="A243" s="31"/>
      <c r="B243" s="30"/>
      <c r="C243" s="30"/>
      <c r="D243" s="30"/>
      <c r="E243" s="33"/>
      <c r="F243" s="30"/>
      <c r="G243" s="49"/>
      <c r="H243" s="52" t="str">
        <f t="shared" si="13"/>
        <v/>
      </c>
      <c r="I243" s="52" t="str">
        <f t="shared" si="14"/>
        <v/>
      </c>
      <c r="J243" s="53"/>
      <c r="K243" s="54" t="str">
        <f t="shared" si="15"/>
        <v/>
      </c>
      <c r="L243" s="33"/>
      <c r="M243" s="33"/>
      <c r="N243" s="30"/>
      <c r="O243" s="30"/>
      <c r="P243" s="33"/>
    </row>
    <row r="244" spans="1:16" x14ac:dyDescent="0.25">
      <c r="A244" s="31"/>
      <c r="B244" s="30"/>
      <c r="C244" s="30"/>
      <c r="D244" s="30"/>
      <c r="E244" s="33"/>
      <c r="F244" s="30"/>
      <c r="G244" s="49"/>
      <c r="H244" s="52" t="str">
        <f t="shared" si="13"/>
        <v/>
      </c>
      <c r="I244" s="52" t="str">
        <f t="shared" si="14"/>
        <v/>
      </c>
      <c r="J244" s="53"/>
      <c r="K244" s="54" t="str">
        <f t="shared" si="15"/>
        <v/>
      </c>
      <c r="L244" s="33"/>
      <c r="M244" s="33"/>
      <c r="N244" s="30"/>
      <c r="O244" s="30"/>
      <c r="P244" s="33"/>
    </row>
    <row r="245" spans="1:16" x14ac:dyDescent="0.25">
      <c r="A245" s="31"/>
      <c r="B245" s="30"/>
      <c r="C245" s="30"/>
      <c r="D245" s="30"/>
      <c r="E245" s="33"/>
      <c r="F245" s="30"/>
      <c r="G245" s="49"/>
      <c r="H245" s="52" t="str">
        <f t="shared" si="13"/>
        <v/>
      </c>
      <c r="I245" s="52" t="str">
        <f t="shared" si="14"/>
        <v/>
      </c>
      <c r="J245" s="53"/>
      <c r="K245" s="54" t="str">
        <f t="shared" si="15"/>
        <v/>
      </c>
      <c r="L245" s="33"/>
      <c r="M245" s="33"/>
      <c r="N245" s="30"/>
      <c r="O245" s="30"/>
      <c r="P245" s="33"/>
    </row>
    <row r="246" spans="1:16" x14ac:dyDescent="0.25">
      <c r="A246" s="31"/>
      <c r="B246" s="30"/>
      <c r="C246" s="30"/>
      <c r="D246" s="30"/>
      <c r="E246" s="33"/>
      <c r="F246" s="30"/>
      <c r="G246" s="49"/>
      <c r="H246" s="52" t="str">
        <f t="shared" si="13"/>
        <v/>
      </c>
      <c r="I246" s="52" t="str">
        <f t="shared" si="14"/>
        <v/>
      </c>
      <c r="J246" s="53"/>
      <c r="K246" s="54" t="str">
        <f t="shared" si="15"/>
        <v/>
      </c>
      <c r="L246" s="33"/>
      <c r="M246" s="33"/>
      <c r="N246" s="30"/>
      <c r="O246" s="30"/>
      <c r="P246" s="33"/>
    </row>
    <row r="247" spans="1:16" x14ac:dyDescent="0.25">
      <c r="A247" s="31"/>
      <c r="B247" s="30"/>
      <c r="C247" s="30"/>
      <c r="D247" s="30"/>
      <c r="E247" s="33"/>
      <c r="F247" s="30"/>
      <c r="G247" s="49"/>
      <c r="H247" s="52" t="str">
        <f t="shared" si="13"/>
        <v/>
      </c>
      <c r="I247" s="52" t="str">
        <f t="shared" si="14"/>
        <v/>
      </c>
      <c r="J247" s="53"/>
      <c r="K247" s="54" t="str">
        <f t="shared" si="15"/>
        <v/>
      </c>
      <c r="L247" s="33"/>
      <c r="M247" s="33"/>
      <c r="N247" s="30"/>
      <c r="O247" s="30"/>
      <c r="P247" s="33"/>
    </row>
    <row r="248" spans="1:16" x14ac:dyDescent="0.25">
      <c r="A248" s="31"/>
      <c r="B248" s="30"/>
      <c r="C248" s="30"/>
      <c r="D248" s="30"/>
      <c r="E248" s="33"/>
      <c r="F248" s="30"/>
      <c r="G248" s="49"/>
      <c r="H248" s="52" t="str">
        <f t="shared" si="13"/>
        <v/>
      </c>
      <c r="I248" s="52" t="str">
        <f t="shared" si="14"/>
        <v/>
      </c>
      <c r="J248" s="53"/>
      <c r="K248" s="54" t="str">
        <f t="shared" si="15"/>
        <v/>
      </c>
      <c r="L248" s="33"/>
      <c r="M248" s="33"/>
      <c r="N248" s="30"/>
      <c r="O248" s="30"/>
      <c r="P248" s="33"/>
    </row>
    <row r="249" spans="1:16" x14ac:dyDescent="0.25">
      <c r="A249" s="31"/>
      <c r="B249" s="30"/>
      <c r="C249" s="30"/>
      <c r="D249" s="30"/>
      <c r="E249" s="33"/>
      <c r="F249" s="30"/>
      <c r="G249" s="49"/>
      <c r="H249" s="52" t="str">
        <f t="shared" si="13"/>
        <v/>
      </c>
      <c r="I249" s="52" t="str">
        <f t="shared" si="14"/>
        <v/>
      </c>
      <c r="J249" s="53"/>
      <c r="K249" s="54" t="str">
        <f t="shared" si="15"/>
        <v/>
      </c>
      <c r="L249" s="33"/>
      <c r="M249" s="33"/>
      <c r="N249" s="30"/>
      <c r="O249" s="30"/>
      <c r="P249" s="33"/>
    </row>
    <row r="250" spans="1:16" x14ac:dyDescent="0.25">
      <c r="A250" s="31"/>
      <c r="B250" s="30"/>
      <c r="C250" s="30"/>
      <c r="D250" s="30"/>
      <c r="E250" s="33"/>
      <c r="F250" s="30"/>
      <c r="G250" s="49"/>
      <c r="H250" s="52" t="str">
        <f t="shared" si="13"/>
        <v/>
      </c>
      <c r="I250" s="52" t="str">
        <f t="shared" si="14"/>
        <v/>
      </c>
      <c r="J250" s="53"/>
      <c r="K250" s="54" t="str">
        <f t="shared" si="15"/>
        <v/>
      </c>
      <c r="L250" s="33"/>
      <c r="M250" s="33"/>
      <c r="N250" s="30"/>
      <c r="O250" s="30"/>
      <c r="P250" s="33"/>
    </row>
    <row r="251" spans="1:16" x14ac:dyDescent="0.25">
      <c r="A251" s="31"/>
      <c r="B251" s="30"/>
      <c r="C251" s="30"/>
      <c r="D251" s="30"/>
      <c r="E251" s="33"/>
      <c r="F251" s="30"/>
      <c r="G251" s="49"/>
      <c r="H251" s="52" t="str">
        <f t="shared" si="13"/>
        <v/>
      </c>
      <c r="I251" s="52" t="str">
        <f t="shared" si="14"/>
        <v/>
      </c>
      <c r="J251" s="53"/>
      <c r="K251" s="54" t="str">
        <f t="shared" si="15"/>
        <v/>
      </c>
      <c r="L251" s="33"/>
      <c r="M251" s="33"/>
      <c r="N251" s="30"/>
      <c r="O251" s="30"/>
      <c r="P251" s="33"/>
    </row>
    <row r="252" spans="1:16" x14ac:dyDescent="0.25">
      <c r="A252" s="31"/>
      <c r="B252" s="30"/>
      <c r="C252" s="30"/>
      <c r="D252" s="30"/>
      <c r="E252" s="33"/>
      <c r="F252" s="30"/>
      <c r="G252" s="49"/>
      <c r="H252" s="52" t="str">
        <f t="shared" si="13"/>
        <v/>
      </c>
      <c r="I252" s="52" t="str">
        <f t="shared" si="14"/>
        <v/>
      </c>
      <c r="J252" s="53"/>
      <c r="K252" s="54" t="str">
        <f t="shared" si="15"/>
        <v/>
      </c>
      <c r="L252" s="33"/>
      <c r="M252" s="33"/>
      <c r="N252" s="30"/>
      <c r="O252" s="30"/>
      <c r="P252" s="33"/>
    </row>
    <row r="253" spans="1:16" x14ac:dyDescent="0.25">
      <c r="A253" s="31"/>
      <c r="B253" s="30"/>
      <c r="C253" s="30"/>
      <c r="D253" s="30"/>
      <c r="E253" s="33"/>
      <c r="F253" s="30"/>
      <c r="G253" s="49"/>
      <c r="H253" s="52" t="str">
        <f t="shared" si="13"/>
        <v/>
      </c>
      <c r="I253" s="52" t="str">
        <f t="shared" si="14"/>
        <v/>
      </c>
      <c r="J253" s="53"/>
      <c r="K253" s="54" t="str">
        <f t="shared" si="15"/>
        <v/>
      </c>
      <c r="L253" s="33"/>
      <c r="M253" s="33"/>
      <c r="N253" s="30"/>
      <c r="O253" s="30"/>
      <c r="P253" s="33"/>
    </row>
    <row r="254" spans="1:16" x14ac:dyDescent="0.25">
      <c r="A254" s="31"/>
      <c r="B254" s="30"/>
      <c r="C254" s="30"/>
      <c r="D254" s="30"/>
      <c r="E254" s="33"/>
      <c r="F254" s="30"/>
      <c r="G254" s="49"/>
      <c r="H254" s="52" t="str">
        <f t="shared" si="13"/>
        <v/>
      </c>
      <c r="I254" s="52" t="str">
        <f t="shared" si="14"/>
        <v/>
      </c>
      <c r="J254" s="53"/>
      <c r="K254" s="54" t="str">
        <f t="shared" si="15"/>
        <v/>
      </c>
      <c r="L254" s="33"/>
      <c r="M254" s="33"/>
      <c r="N254" s="30"/>
      <c r="O254" s="30"/>
      <c r="P254" s="33"/>
    </row>
    <row r="255" spans="1:16" x14ac:dyDescent="0.25">
      <c r="A255" s="31"/>
      <c r="B255" s="30"/>
      <c r="C255" s="30"/>
      <c r="D255" s="30"/>
      <c r="E255" s="33"/>
      <c r="F255" s="30"/>
      <c r="G255" s="49"/>
      <c r="H255" s="52" t="str">
        <f t="shared" si="13"/>
        <v/>
      </c>
      <c r="I255" s="52" t="str">
        <f t="shared" si="14"/>
        <v/>
      </c>
      <c r="J255" s="53"/>
      <c r="K255" s="54" t="str">
        <f t="shared" si="15"/>
        <v/>
      </c>
      <c r="L255" s="33"/>
      <c r="M255" s="33"/>
      <c r="N255" s="30"/>
      <c r="O255" s="30"/>
      <c r="P255" s="33"/>
    </row>
    <row r="256" spans="1:16" x14ac:dyDescent="0.25">
      <c r="A256" s="31"/>
      <c r="B256" s="30"/>
      <c r="C256" s="30"/>
      <c r="D256" s="30"/>
      <c r="E256" s="33"/>
      <c r="F256" s="30"/>
      <c r="G256" s="49"/>
      <c r="H256" s="52" t="str">
        <f t="shared" si="13"/>
        <v/>
      </c>
      <c r="I256" s="52" t="str">
        <f t="shared" si="14"/>
        <v/>
      </c>
      <c r="J256" s="53"/>
      <c r="K256" s="54" t="str">
        <f t="shared" si="15"/>
        <v/>
      </c>
      <c r="L256" s="33"/>
      <c r="M256" s="33"/>
      <c r="N256" s="30"/>
      <c r="O256" s="30"/>
      <c r="P256" s="33"/>
    </row>
    <row r="257" spans="1:16" x14ac:dyDescent="0.25">
      <c r="A257" s="31"/>
      <c r="B257" s="30"/>
      <c r="C257" s="30"/>
      <c r="D257" s="30"/>
      <c r="E257" s="33"/>
      <c r="F257" s="30"/>
      <c r="G257" s="49"/>
      <c r="H257" s="52" t="str">
        <f t="shared" si="13"/>
        <v/>
      </c>
      <c r="I257" s="52" t="str">
        <f t="shared" si="14"/>
        <v/>
      </c>
      <c r="J257" s="53"/>
      <c r="K257" s="54" t="str">
        <f t="shared" si="15"/>
        <v/>
      </c>
      <c r="L257" s="33"/>
      <c r="M257" s="33"/>
      <c r="N257" s="30"/>
      <c r="O257" s="30"/>
      <c r="P257" s="33"/>
    </row>
    <row r="258" spans="1:16" x14ac:dyDescent="0.25">
      <c r="A258" s="31"/>
      <c r="B258" s="30"/>
      <c r="C258" s="30"/>
      <c r="D258" s="30"/>
      <c r="E258" s="33"/>
      <c r="F258" s="30"/>
      <c r="G258" s="49"/>
      <c r="H258" s="52" t="str">
        <f t="shared" si="13"/>
        <v/>
      </c>
      <c r="I258" s="52" t="str">
        <f t="shared" si="14"/>
        <v/>
      </c>
      <c r="J258" s="53"/>
      <c r="K258" s="54" t="str">
        <f t="shared" si="15"/>
        <v/>
      </c>
      <c r="L258" s="33"/>
      <c r="M258" s="33"/>
      <c r="N258" s="30"/>
      <c r="O258" s="30"/>
      <c r="P258" s="33"/>
    </row>
    <row r="259" spans="1:16" x14ac:dyDescent="0.25">
      <c r="A259" s="31"/>
      <c r="B259" s="30"/>
      <c r="C259" s="30"/>
      <c r="D259" s="30"/>
      <c r="E259" s="33"/>
      <c r="F259" s="30"/>
      <c r="G259" s="49"/>
      <c r="H259" s="52" t="str">
        <f t="shared" si="13"/>
        <v/>
      </c>
      <c r="I259" s="52" t="str">
        <f t="shared" si="14"/>
        <v/>
      </c>
      <c r="J259" s="53"/>
      <c r="K259" s="54" t="str">
        <f t="shared" si="15"/>
        <v/>
      </c>
      <c r="L259" s="33"/>
      <c r="M259" s="33"/>
      <c r="N259" s="30"/>
      <c r="O259" s="30"/>
      <c r="P259" s="33"/>
    </row>
    <row r="260" spans="1:16" x14ac:dyDescent="0.25">
      <c r="A260" s="31"/>
      <c r="B260" s="30"/>
      <c r="C260" s="30"/>
      <c r="D260" s="30"/>
      <c r="E260" s="33"/>
      <c r="F260" s="30"/>
      <c r="G260" s="49"/>
      <c r="H260" s="52" t="str">
        <f t="shared" si="13"/>
        <v/>
      </c>
      <c r="I260" s="52" t="str">
        <f t="shared" si="14"/>
        <v/>
      </c>
      <c r="J260" s="53"/>
      <c r="K260" s="54" t="str">
        <f t="shared" si="15"/>
        <v/>
      </c>
      <c r="L260" s="33"/>
      <c r="M260" s="33"/>
      <c r="N260" s="30"/>
      <c r="O260" s="30"/>
      <c r="P260" s="33"/>
    </row>
    <row r="261" spans="1:16" x14ac:dyDescent="0.25">
      <c r="A261" s="31"/>
      <c r="B261" s="30"/>
      <c r="C261" s="30"/>
      <c r="D261" s="30"/>
      <c r="E261" s="33"/>
      <c r="F261" s="30"/>
      <c r="G261" s="49"/>
      <c r="H261" s="52" t="str">
        <f t="shared" ref="H261:H324" si="16">IF($A261="","",IF(OR($C261="ENTRADA",$C261="DEVOLUÇÃO"),$G261,0))</f>
        <v/>
      </c>
      <c r="I261" s="52" t="str">
        <f t="shared" ref="I261:I324" si="17">IF($A261="","",IF(OR($C261="SAÍDA",$C261="PERDA / QUEBRA",$C261="TRANSFERÊNCIA"),$G261,0))</f>
        <v/>
      </c>
      <c r="J261" s="53"/>
      <c r="K261" s="54" t="str">
        <f t="shared" ref="K261:K324" si="18">IF($A261="","",$G261*$J261)</f>
        <v/>
      </c>
      <c r="L261" s="33"/>
      <c r="M261" s="33"/>
      <c r="N261" s="30"/>
      <c r="O261" s="30"/>
      <c r="P261" s="33"/>
    </row>
    <row r="262" spans="1:16" x14ac:dyDescent="0.25">
      <c r="A262" s="31"/>
      <c r="B262" s="30"/>
      <c r="C262" s="30"/>
      <c r="D262" s="30"/>
      <c r="E262" s="33"/>
      <c r="F262" s="30"/>
      <c r="G262" s="49"/>
      <c r="H262" s="52" t="str">
        <f t="shared" si="16"/>
        <v/>
      </c>
      <c r="I262" s="52" t="str">
        <f t="shared" si="17"/>
        <v/>
      </c>
      <c r="J262" s="53"/>
      <c r="K262" s="54" t="str">
        <f t="shared" si="18"/>
        <v/>
      </c>
      <c r="L262" s="33"/>
      <c r="M262" s="33"/>
      <c r="N262" s="30"/>
      <c r="O262" s="30"/>
      <c r="P262" s="33"/>
    </row>
    <row r="263" spans="1:16" x14ac:dyDescent="0.25">
      <c r="A263" s="31"/>
      <c r="B263" s="30"/>
      <c r="C263" s="30"/>
      <c r="D263" s="30"/>
      <c r="E263" s="33"/>
      <c r="F263" s="30"/>
      <c r="G263" s="49"/>
      <c r="H263" s="52" t="str">
        <f t="shared" si="16"/>
        <v/>
      </c>
      <c r="I263" s="52" t="str">
        <f t="shared" si="17"/>
        <v/>
      </c>
      <c r="J263" s="53"/>
      <c r="K263" s="54" t="str">
        <f t="shared" si="18"/>
        <v/>
      </c>
      <c r="L263" s="33"/>
      <c r="M263" s="33"/>
      <c r="N263" s="30"/>
      <c r="O263" s="30"/>
      <c r="P263" s="33"/>
    </row>
    <row r="264" spans="1:16" x14ac:dyDescent="0.25">
      <c r="A264" s="31"/>
      <c r="B264" s="30"/>
      <c r="C264" s="30"/>
      <c r="D264" s="30"/>
      <c r="E264" s="33"/>
      <c r="F264" s="30"/>
      <c r="G264" s="49"/>
      <c r="H264" s="52" t="str">
        <f t="shared" si="16"/>
        <v/>
      </c>
      <c r="I264" s="52" t="str">
        <f t="shared" si="17"/>
        <v/>
      </c>
      <c r="J264" s="53"/>
      <c r="K264" s="54" t="str">
        <f t="shared" si="18"/>
        <v/>
      </c>
      <c r="L264" s="33"/>
      <c r="M264" s="33"/>
      <c r="N264" s="30"/>
      <c r="O264" s="30"/>
      <c r="P264" s="33"/>
    </row>
    <row r="265" spans="1:16" x14ac:dyDescent="0.25">
      <c r="A265" s="31"/>
      <c r="B265" s="30"/>
      <c r="C265" s="30"/>
      <c r="D265" s="30"/>
      <c r="E265" s="33"/>
      <c r="F265" s="30"/>
      <c r="G265" s="49"/>
      <c r="H265" s="52" t="str">
        <f t="shared" si="16"/>
        <v/>
      </c>
      <c r="I265" s="52" t="str">
        <f t="shared" si="17"/>
        <v/>
      </c>
      <c r="J265" s="53"/>
      <c r="K265" s="54" t="str">
        <f t="shared" si="18"/>
        <v/>
      </c>
      <c r="L265" s="33"/>
      <c r="M265" s="33"/>
      <c r="N265" s="30"/>
      <c r="O265" s="30"/>
      <c r="P265" s="33"/>
    </row>
    <row r="266" spans="1:16" x14ac:dyDescent="0.25">
      <c r="A266" s="31"/>
      <c r="B266" s="30"/>
      <c r="C266" s="30"/>
      <c r="D266" s="30"/>
      <c r="E266" s="33"/>
      <c r="F266" s="30"/>
      <c r="G266" s="49"/>
      <c r="H266" s="52" t="str">
        <f t="shared" si="16"/>
        <v/>
      </c>
      <c r="I266" s="52" t="str">
        <f t="shared" si="17"/>
        <v/>
      </c>
      <c r="J266" s="53"/>
      <c r="K266" s="54" t="str">
        <f t="shared" si="18"/>
        <v/>
      </c>
      <c r="L266" s="33"/>
      <c r="M266" s="33"/>
      <c r="N266" s="30"/>
      <c r="O266" s="30"/>
      <c r="P266" s="33"/>
    </row>
    <row r="267" spans="1:16" x14ac:dyDescent="0.25">
      <c r="A267" s="31"/>
      <c r="B267" s="30"/>
      <c r="C267" s="30"/>
      <c r="D267" s="30"/>
      <c r="E267" s="33"/>
      <c r="F267" s="30"/>
      <c r="G267" s="49"/>
      <c r="H267" s="52" t="str">
        <f t="shared" si="16"/>
        <v/>
      </c>
      <c r="I267" s="52" t="str">
        <f t="shared" si="17"/>
        <v/>
      </c>
      <c r="J267" s="53"/>
      <c r="K267" s="54" t="str">
        <f t="shared" si="18"/>
        <v/>
      </c>
      <c r="L267" s="33"/>
      <c r="M267" s="33"/>
      <c r="N267" s="30"/>
      <c r="O267" s="30"/>
      <c r="P267" s="33"/>
    </row>
    <row r="268" spans="1:16" x14ac:dyDescent="0.25">
      <c r="A268" s="31"/>
      <c r="B268" s="30"/>
      <c r="C268" s="30"/>
      <c r="D268" s="30"/>
      <c r="E268" s="33"/>
      <c r="F268" s="30"/>
      <c r="G268" s="49"/>
      <c r="H268" s="52" t="str">
        <f t="shared" si="16"/>
        <v/>
      </c>
      <c r="I268" s="52" t="str">
        <f t="shared" si="17"/>
        <v/>
      </c>
      <c r="J268" s="53"/>
      <c r="K268" s="54" t="str">
        <f t="shared" si="18"/>
        <v/>
      </c>
      <c r="L268" s="33"/>
      <c r="M268" s="33"/>
      <c r="N268" s="30"/>
      <c r="O268" s="30"/>
      <c r="P268" s="33"/>
    </row>
    <row r="269" spans="1:16" x14ac:dyDescent="0.25">
      <c r="A269" s="31"/>
      <c r="B269" s="30"/>
      <c r="C269" s="30"/>
      <c r="D269" s="30"/>
      <c r="E269" s="33"/>
      <c r="F269" s="30"/>
      <c r="G269" s="49"/>
      <c r="H269" s="52" t="str">
        <f t="shared" si="16"/>
        <v/>
      </c>
      <c r="I269" s="52" t="str">
        <f t="shared" si="17"/>
        <v/>
      </c>
      <c r="J269" s="53"/>
      <c r="K269" s="54" t="str">
        <f t="shared" si="18"/>
        <v/>
      </c>
      <c r="L269" s="33"/>
      <c r="M269" s="33"/>
      <c r="N269" s="30"/>
      <c r="O269" s="30"/>
      <c r="P269" s="33"/>
    </row>
    <row r="270" spans="1:16" x14ac:dyDescent="0.25">
      <c r="A270" s="31"/>
      <c r="B270" s="30"/>
      <c r="C270" s="30"/>
      <c r="D270" s="30"/>
      <c r="E270" s="33"/>
      <c r="F270" s="30"/>
      <c r="G270" s="49"/>
      <c r="H270" s="52" t="str">
        <f t="shared" si="16"/>
        <v/>
      </c>
      <c r="I270" s="52" t="str">
        <f t="shared" si="17"/>
        <v/>
      </c>
      <c r="J270" s="53"/>
      <c r="K270" s="54" t="str">
        <f t="shared" si="18"/>
        <v/>
      </c>
      <c r="L270" s="33"/>
      <c r="M270" s="33"/>
      <c r="N270" s="30"/>
      <c r="O270" s="30"/>
      <c r="P270" s="33"/>
    </row>
    <row r="271" spans="1:16" x14ac:dyDescent="0.25">
      <c r="A271" s="31"/>
      <c r="B271" s="30"/>
      <c r="C271" s="30"/>
      <c r="D271" s="30"/>
      <c r="E271" s="33"/>
      <c r="F271" s="30"/>
      <c r="G271" s="49"/>
      <c r="H271" s="52" t="str">
        <f t="shared" si="16"/>
        <v/>
      </c>
      <c r="I271" s="52" t="str">
        <f t="shared" si="17"/>
        <v/>
      </c>
      <c r="J271" s="53"/>
      <c r="K271" s="54" t="str">
        <f t="shared" si="18"/>
        <v/>
      </c>
      <c r="L271" s="33"/>
      <c r="M271" s="33"/>
      <c r="N271" s="30"/>
      <c r="O271" s="30"/>
      <c r="P271" s="33"/>
    </row>
    <row r="272" spans="1:16" x14ac:dyDescent="0.25">
      <c r="A272" s="31"/>
      <c r="B272" s="30"/>
      <c r="C272" s="30"/>
      <c r="D272" s="30"/>
      <c r="E272" s="33"/>
      <c r="F272" s="30"/>
      <c r="G272" s="49"/>
      <c r="H272" s="52" t="str">
        <f t="shared" si="16"/>
        <v/>
      </c>
      <c r="I272" s="52" t="str">
        <f t="shared" si="17"/>
        <v/>
      </c>
      <c r="J272" s="53"/>
      <c r="K272" s="54" t="str">
        <f t="shared" si="18"/>
        <v/>
      </c>
      <c r="L272" s="33"/>
      <c r="M272" s="33"/>
      <c r="N272" s="30"/>
      <c r="O272" s="30"/>
      <c r="P272" s="33"/>
    </row>
    <row r="273" spans="1:16" x14ac:dyDescent="0.25">
      <c r="A273" s="31"/>
      <c r="B273" s="30"/>
      <c r="C273" s="30"/>
      <c r="D273" s="30"/>
      <c r="E273" s="33"/>
      <c r="F273" s="30"/>
      <c r="G273" s="49"/>
      <c r="H273" s="52" t="str">
        <f t="shared" si="16"/>
        <v/>
      </c>
      <c r="I273" s="52" t="str">
        <f t="shared" si="17"/>
        <v/>
      </c>
      <c r="J273" s="53"/>
      <c r="K273" s="54" t="str">
        <f t="shared" si="18"/>
        <v/>
      </c>
      <c r="L273" s="33"/>
      <c r="M273" s="33"/>
      <c r="N273" s="30"/>
      <c r="O273" s="30"/>
      <c r="P273" s="33"/>
    </row>
    <row r="274" spans="1:16" x14ac:dyDescent="0.25">
      <c r="A274" s="31"/>
      <c r="B274" s="30"/>
      <c r="C274" s="30"/>
      <c r="D274" s="30"/>
      <c r="E274" s="33"/>
      <c r="F274" s="30"/>
      <c r="G274" s="49"/>
      <c r="H274" s="52" t="str">
        <f t="shared" si="16"/>
        <v/>
      </c>
      <c r="I274" s="52" t="str">
        <f t="shared" si="17"/>
        <v/>
      </c>
      <c r="J274" s="53"/>
      <c r="K274" s="54" t="str">
        <f t="shared" si="18"/>
        <v/>
      </c>
      <c r="L274" s="33"/>
      <c r="M274" s="33"/>
      <c r="N274" s="30"/>
      <c r="O274" s="30"/>
      <c r="P274" s="33"/>
    </row>
    <row r="275" spans="1:16" x14ac:dyDescent="0.25">
      <c r="A275" s="31"/>
      <c r="B275" s="30"/>
      <c r="C275" s="30"/>
      <c r="D275" s="30"/>
      <c r="E275" s="33"/>
      <c r="F275" s="30"/>
      <c r="G275" s="49"/>
      <c r="H275" s="52" t="str">
        <f t="shared" si="16"/>
        <v/>
      </c>
      <c r="I275" s="52" t="str">
        <f t="shared" si="17"/>
        <v/>
      </c>
      <c r="J275" s="53"/>
      <c r="K275" s="54" t="str">
        <f t="shared" si="18"/>
        <v/>
      </c>
      <c r="L275" s="33"/>
      <c r="M275" s="33"/>
      <c r="N275" s="30"/>
      <c r="O275" s="30"/>
      <c r="P275" s="33"/>
    </row>
    <row r="276" spans="1:16" x14ac:dyDescent="0.25">
      <c r="A276" s="31"/>
      <c r="B276" s="30"/>
      <c r="C276" s="30"/>
      <c r="D276" s="30"/>
      <c r="E276" s="33"/>
      <c r="F276" s="30"/>
      <c r="G276" s="49"/>
      <c r="H276" s="52" t="str">
        <f t="shared" si="16"/>
        <v/>
      </c>
      <c r="I276" s="52" t="str">
        <f t="shared" si="17"/>
        <v/>
      </c>
      <c r="J276" s="53"/>
      <c r="K276" s="54" t="str">
        <f t="shared" si="18"/>
        <v/>
      </c>
      <c r="L276" s="33"/>
      <c r="M276" s="33"/>
      <c r="N276" s="30"/>
      <c r="O276" s="30"/>
      <c r="P276" s="33"/>
    </row>
    <row r="277" spans="1:16" x14ac:dyDescent="0.25">
      <c r="A277" s="31"/>
      <c r="B277" s="30"/>
      <c r="C277" s="30"/>
      <c r="D277" s="30"/>
      <c r="E277" s="33"/>
      <c r="F277" s="30"/>
      <c r="G277" s="49"/>
      <c r="H277" s="52" t="str">
        <f t="shared" si="16"/>
        <v/>
      </c>
      <c r="I277" s="52" t="str">
        <f t="shared" si="17"/>
        <v/>
      </c>
      <c r="J277" s="53"/>
      <c r="K277" s="54" t="str">
        <f t="shared" si="18"/>
        <v/>
      </c>
      <c r="L277" s="33"/>
      <c r="M277" s="33"/>
      <c r="N277" s="30"/>
      <c r="O277" s="30"/>
      <c r="P277" s="33"/>
    </row>
    <row r="278" spans="1:16" x14ac:dyDescent="0.25">
      <c r="A278" s="31"/>
      <c r="B278" s="30"/>
      <c r="C278" s="30"/>
      <c r="D278" s="30"/>
      <c r="E278" s="33"/>
      <c r="F278" s="30"/>
      <c r="G278" s="49"/>
      <c r="H278" s="52" t="str">
        <f t="shared" si="16"/>
        <v/>
      </c>
      <c r="I278" s="52" t="str">
        <f t="shared" si="17"/>
        <v/>
      </c>
      <c r="J278" s="53"/>
      <c r="K278" s="54" t="str">
        <f t="shared" si="18"/>
        <v/>
      </c>
      <c r="L278" s="33"/>
      <c r="M278" s="33"/>
      <c r="N278" s="30"/>
      <c r="O278" s="30"/>
      <c r="P278" s="33"/>
    </row>
    <row r="279" spans="1:16" x14ac:dyDescent="0.25">
      <c r="A279" s="31"/>
      <c r="B279" s="30"/>
      <c r="C279" s="30"/>
      <c r="D279" s="30"/>
      <c r="E279" s="33"/>
      <c r="F279" s="30"/>
      <c r="G279" s="49"/>
      <c r="H279" s="52" t="str">
        <f t="shared" si="16"/>
        <v/>
      </c>
      <c r="I279" s="52" t="str">
        <f t="shared" si="17"/>
        <v/>
      </c>
      <c r="J279" s="53"/>
      <c r="K279" s="54" t="str">
        <f t="shared" si="18"/>
        <v/>
      </c>
      <c r="L279" s="33"/>
      <c r="M279" s="33"/>
      <c r="N279" s="30"/>
      <c r="O279" s="30"/>
      <c r="P279" s="33"/>
    </row>
    <row r="280" spans="1:16" x14ac:dyDescent="0.25">
      <c r="A280" s="31"/>
      <c r="B280" s="30"/>
      <c r="C280" s="30"/>
      <c r="D280" s="30"/>
      <c r="E280" s="33"/>
      <c r="F280" s="30"/>
      <c r="G280" s="49"/>
      <c r="H280" s="52" t="str">
        <f t="shared" si="16"/>
        <v/>
      </c>
      <c r="I280" s="52" t="str">
        <f t="shared" si="17"/>
        <v/>
      </c>
      <c r="J280" s="53"/>
      <c r="K280" s="54" t="str">
        <f t="shared" si="18"/>
        <v/>
      </c>
      <c r="L280" s="33"/>
      <c r="M280" s="33"/>
      <c r="N280" s="30"/>
      <c r="O280" s="30"/>
      <c r="P280" s="33"/>
    </row>
    <row r="281" spans="1:16" x14ac:dyDescent="0.25">
      <c r="A281" s="31"/>
      <c r="B281" s="30"/>
      <c r="C281" s="30"/>
      <c r="D281" s="30"/>
      <c r="E281" s="33"/>
      <c r="F281" s="30"/>
      <c r="G281" s="49"/>
      <c r="H281" s="52" t="str">
        <f t="shared" si="16"/>
        <v/>
      </c>
      <c r="I281" s="52" t="str">
        <f t="shared" si="17"/>
        <v/>
      </c>
      <c r="J281" s="53"/>
      <c r="K281" s="54" t="str">
        <f t="shared" si="18"/>
        <v/>
      </c>
      <c r="L281" s="33"/>
      <c r="M281" s="33"/>
      <c r="N281" s="30"/>
      <c r="O281" s="30"/>
      <c r="P281" s="33"/>
    </row>
    <row r="282" spans="1:16" x14ac:dyDescent="0.25">
      <c r="A282" s="31"/>
      <c r="B282" s="30"/>
      <c r="C282" s="30"/>
      <c r="D282" s="30"/>
      <c r="E282" s="33"/>
      <c r="F282" s="30"/>
      <c r="G282" s="49"/>
      <c r="H282" s="52" t="str">
        <f t="shared" si="16"/>
        <v/>
      </c>
      <c r="I282" s="52" t="str">
        <f t="shared" si="17"/>
        <v/>
      </c>
      <c r="J282" s="53"/>
      <c r="K282" s="54" t="str">
        <f t="shared" si="18"/>
        <v/>
      </c>
      <c r="L282" s="33"/>
      <c r="M282" s="33"/>
      <c r="N282" s="30"/>
      <c r="O282" s="30"/>
      <c r="P282" s="33"/>
    </row>
    <row r="283" spans="1:16" x14ac:dyDescent="0.25">
      <c r="A283" s="31"/>
      <c r="B283" s="30"/>
      <c r="C283" s="30"/>
      <c r="D283" s="30"/>
      <c r="E283" s="33"/>
      <c r="F283" s="30"/>
      <c r="G283" s="49"/>
      <c r="H283" s="52" t="str">
        <f t="shared" si="16"/>
        <v/>
      </c>
      <c r="I283" s="52" t="str">
        <f t="shared" si="17"/>
        <v/>
      </c>
      <c r="J283" s="53"/>
      <c r="K283" s="54" t="str">
        <f t="shared" si="18"/>
        <v/>
      </c>
      <c r="L283" s="33"/>
      <c r="M283" s="33"/>
      <c r="N283" s="30"/>
      <c r="O283" s="30"/>
      <c r="P283" s="33"/>
    </row>
    <row r="284" spans="1:16" x14ac:dyDescent="0.25">
      <c r="A284" s="31"/>
      <c r="B284" s="30"/>
      <c r="C284" s="30"/>
      <c r="D284" s="30"/>
      <c r="E284" s="33"/>
      <c r="F284" s="30"/>
      <c r="G284" s="49"/>
      <c r="H284" s="52" t="str">
        <f t="shared" si="16"/>
        <v/>
      </c>
      <c r="I284" s="52" t="str">
        <f t="shared" si="17"/>
        <v/>
      </c>
      <c r="J284" s="53"/>
      <c r="K284" s="54" t="str">
        <f t="shared" si="18"/>
        <v/>
      </c>
      <c r="L284" s="33"/>
      <c r="M284" s="33"/>
      <c r="N284" s="30"/>
      <c r="O284" s="30"/>
      <c r="P284" s="33"/>
    </row>
    <row r="285" spans="1:16" x14ac:dyDescent="0.25">
      <c r="A285" s="31"/>
      <c r="B285" s="30"/>
      <c r="C285" s="30"/>
      <c r="D285" s="30"/>
      <c r="E285" s="33"/>
      <c r="F285" s="30"/>
      <c r="G285" s="49"/>
      <c r="H285" s="52" t="str">
        <f t="shared" si="16"/>
        <v/>
      </c>
      <c r="I285" s="52" t="str">
        <f t="shared" si="17"/>
        <v/>
      </c>
      <c r="J285" s="53"/>
      <c r="K285" s="54" t="str">
        <f t="shared" si="18"/>
        <v/>
      </c>
      <c r="L285" s="33"/>
      <c r="M285" s="33"/>
      <c r="N285" s="30"/>
      <c r="O285" s="30"/>
      <c r="P285" s="33"/>
    </row>
    <row r="286" spans="1:16" x14ac:dyDescent="0.25">
      <c r="A286" s="31"/>
      <c r="B286" s="30"/>
      <c r="C286" s="30"/>
      <c r="D286" s="30"/>
      <c r="E286" s="33"/>
      <c r="F286" s="30"/>
      <c r="G286" s="49"/>
      <c r="H286" s="52" t="str">
        <f t="shared" si="16"/>
        <v/>
      </c>
      <c r="I286" s="52" t="str">
        <f t="shared" si="17"/>
        <v/>
      </c>
      <c r="J286" s="53"/>
      <c r="K286" s="54" t="str">
        <f t="shared" si="18"/>
        <v/>
      </c>
      <c r="L286" s="33"/>
      <c r="M286" s="33"/>
      <c r="N286" s="30"/>
      <c r="O286" s="30"/>
      <c r="P286" s="33"/>
    </row>
    <row r="287" spans="1:16" x14ac:dyDescent="0.25">
      <c r="A287" s="31"/>
      <c r="B287" s="30"/>
      <c r="C287" s="30"/>
      <c r="D287" s="30"/>
      <c r="E287" s="33"/>
      <c r="F287" s="30"/>
      <c r="G287" s="49"/>
      <c r="H287" s="52" t="str">
        <f t="shared" si="16"/>
        <v/>
      </c>
      <c r="I287" s="52" t="str">
        <f t="shared" si="17"/>
        <v/>
      </c>
      <c r="J287" s="53"/>
      <c r="K287" s="54" t="str">
        <f t="shared" si="18"/>
        <v/>
      </c>
      <c r="L287" s="33"/>
      <c r="M287" s="33"/>
      <c r="N287" s="30"/>
      <c r="O287" s="30"/>
      <c r="P287" s="33"/>
    </row>
    <row r="288" spans="1:16" x14ac:dyDescent="0.25">
      <c r="A288" s="31"/>
      <c r="B288" s="30"/>
      <c r="C288" s="30"/>
      <c r="D288" s="30"/>
      <c r="E288" s="33"/>
      <c r="F288" s="30"/>
      <c r="G288" s="49"/>
      <c r="H288" s="52" t="str">
        <f t="shared" si="16"/>
        <v/>
      </c>
      <c r="I288" s="52" t="str">
        <f t="shared" si="17"/>
        <v/>
      </c>
      <c r="J288" s="53"/>
      <c r="K288" s="54" t="str">
        <f t="shared" si="18"/>
        <v/>
      </c>
      <c r="L288" s="33"/>
      <c r="M288" s="33"/>
      <c r="N288" s="30"/>
      <c r="O288" s="30"/>
      <c r="P288" s="33"/>
    </row>
    <row r="289" spans="1:16" x14ac:dyDescent="0.25">
      <c r="A289" s="31"/>
      <c r="B289" s="30"/>
      <c r="C289" s="30"/>
      <c r="D289" s="30"/>
      <c r="E289" s="33"/>
      <c r="F289" s="30"/>
      <c r="G289" s="49"/>
      <c r="H289" s="52" t="str">
        <f t="shared" si="16"/>
        <v/>
      </c>
      <c r="I289" s="52" t="str">
        <f t="shared" si="17"/>
        <v/>
      </c>
      <c r="J289" s="53"/>
      <c r="K289" s="54" t="str">
        <f t="shared" si="18"/>
        <v/>
      </c>
      <c r="L289" s="33"/>
      <c r="M289" s="33"/>
      <c r="N289" s="30"/>
      <c r="O289" s="30"/>
      <c r="P289" s="33"/>
    </row>
    <row r="290" spans="1:16" x14ac:dyDescent="0.25">
      <c r="A290" s="31"/>
      <c r="B290" s="30"/>
      <c r="C290" s="30"/>
      <c r="D290" s="30"/>
      <c r="E290" s="33"/>
      <c r="F290" s="30"/>
      <c r="G290" s="49"/>
      <c r="H290" s="52" t="str">
        <f t="shared" si="16"/>
        <v/>
      </c>
      <c r="I290" s="52" t="str">
        <f t="shared" si="17"/>
        <v/>
      </c>
      <c r="J290" s="53"/>
      <c r="K290" s="54" t="str">
        <f t="shared" si="18"/>
        <v/>
      </c>
      <c r="L290" s="33"/>
      <c r="M290" s="33"/>
      <c r="N290" s="30"/>
      <c r="O290" s="30"/>
      <c r="P290" s="33"/>
    </row>
    <row r="291" spans="1:16" x14ac:dyDescent="0.25">
      <c r="A291" s="31"/>
      <c r="B291" s="30"/>
      <c r="C291" s="30"/>
      <c r="D291" s="30"/>
      <c r="E291" s="33"/>
      <c r="F291" s="30"/>
      <c r="G291" s="49"/>
      <c r="H291" s="52" t="str">
        <f t="shared" si="16"/>
        <v/>
      </c>
      <c r="I291" s="52" t="str">
        <f t="shared" si="17"/>
        <v/>
      </c>
      <c r="J291" s="53"/>
      <c r="K291" s="54" t="str">
        <f t="shared" si="18"/>
        <v/>
      </c>
      <c r="L291" s="33"/>
      <c r="M291" s="33"/>
      <c r="N291" s="30"/>
      <c r="O291" s="30"/>
      <c r="P291" s="33"/>
    </row>
    <row r="292" spans="1:16" x14ac:dyDescent="0.25">
      <c r="A292" s="31"/>
      <c r="B292" s="30"/>
      <c r="C292" s="30"/>
      <c r="D292" s="30"/>
      <c r="E292" s="33"/>
      <c r="F292" s="30"/>
      <c r="G292" s="49"/>
      <c r="H292" s="52" t="str">
        <f t="shared" si="16"/>
        <v/>
      </c>
      <c r="I292" s="52" t="str">
        <f t="shared" si="17"/>
        <v/>
      </c>
      <c r="J292" s="53"/>
      <c r="K292" s="54" t="str">
        <f t="shared" si="18"/>
        <v/>
      </c>
      <c r="L292" s="33"/>
      <c r="M292" s="33"/>
      <c r="N292" s="30"/>
      <c r="O292" s="30"/>
      <c r="P292" s="33"/>
    </row>
    <row r="293" spans="1:16" x14ac:dyDescent="0.25">
      <c r="A293" s="31"/>
      <c r="B293" s="30"/>
      <c r="C293" s="30"/>
      <c r="D293" s="30"/>
      <c r="E293" s="33"/>
      <c r="F293" s="30"/>
      <c r="G293" s="49"/>
      <c r="H293" s="52" t="str">
        <f t="shared" si="16"/>
        <v/>
      </c>
      <c r="I293" s="52" t="str">
        <f t="shared" si="17"/>
        <v/>
      </c>
      <c r="J293" s="53"/>
      <c r="K293" s="54" t="str">
        <f t="shared" si="18"/>
        <v/>
      </c>
      <c r="L293" s="33"/>
      <c r="M293" s="33"/>
      <c r="N293" s="30"/>
      <c r="O293" s="30"/>
      <c r="P293" s="33"/>
    </row>
    <row r="294" spans="1:16" x14ac:dyDescent="0.25">
      <c r="A294" s="31"/>
      <c r="B294" s="30"/>
      <c r="C294" s="30"/>
      <c r="D294" s="30"/>
      <c r="E294" s="33"/>
      <c r="F294" s="30"/>
      <c r="G294" s="49"/>
      <c r="H294" s="52" t="str">
        <f t="shared" si="16"/>
        <v/>
      </c>
      <c r="I294" s="52" t="str">
        <f t="shared" si="17"/>
        <v/>
      </c>
      <c r="J294" s="53"/>
      <c r="K294" s="54" t="str">
        <f t="shared" si="18"/>
        <v/>
      </c>
      <c r="L294" s="33"/>
      <c r="M294" s="33"/>
      <c r="N294" s="30"/>
      <c r="O294" s="30"/>
      <c r="P294" s="33"/>
    </row>
    <row r="295" spans="1:16" x14ac:dyDescent="0.25">
      <c r="A295" s="31"/>
      <c r="B295" s="30"/>
      <c r="C295" s="30"/>
      <c r="D295" s="30"/>
      <c r="E295" s="33"/>
      <c r="F295" s="30"/>
      <c r="G295" s="49"/>
      <c r="H295" s="52" t="str">
        <f t="shared" si="16"/>
        <v/>
      </c>
      <c r="I295" s="52" t="str">
        <f t="shared" si="17"/>
        <v/>
      </c>
      <c r="J295" s="53"/>
      <c r="K295" s="54" t="str">
        <f t="shared" si="18"/>
        <v/>
      </c>
      <c r="L295" s="33"/>
      <c r="M295" s="33"/>
      <c r="N295" s="30"/>
      <c r="O295" s="30"/>
      <c r="P295" s="33"/>
    </row>
    <row r="296" spans="1:16" x14ac:dyDescent="0.25">
      <c r="A296" s="31"/>
      <c r="B296" s="30"/>
      <c r="C296" s="30"/>
      <c r="D296" s="30"/>
      <c r="E296" s="33"/>
      <c r="F296" s="30"/>
      <c r="G296" s="49"/>
      <c r="H296" s="52" t="str">
        <f t="shared" si="16"/>
        <v/>
      </c>
      <c r="I296" s="52" t="str">
        <f t="shared" si="17"/>
        <v/>
      </c>
      <c r="J296" s="53"/>
      <c r="K296" s="54" t="str">
        <f t="shared" si="18"/>
        <v/>
      </c>
      <c r="L296" s="33"/>
      <c r="M296" s="33"/>
      <c r="N296" s="30"/>
      <c r="O296" s="30"/>
      <c r="P296" s="33"/>
    </row>
    <row r="297" spans="1:16" x14ac:dyDescent="0.25">
      <c r="A297" s="31"/>
      <c r="B297" s="30"/>
      <c r="C297" s="30"/>
      <c r="D297" s="30"/>
      <c r="E297" s="33"/>
      <c r="F297" s="30"/>
      <c r="G297" s="49"/>
      <c r="H297" s="52" t="str">
        <f t="shared" si="16"/>
        <v/>
      </c>
      <c r="I297" s="52" t="str">
        <f t="shared" si="17"/>
        <v/>
      </c>
      <c r="J297" s="53"/>
      <c r="K297" s="54" t="str">
        <f t="shared" si="18"/>
        <v/>
      </c>
      <c r="L297" s="33"/>
      <c r="M297" s="33"/>
      <c r="N297" s="30"/>
      <c r="O297" s="30"/>
      <c r="P297" s="33"/>
    </row>
    <row r="298" spans="1:16" x14ac:dyDescent="0.25">
      <c r="A298" s="31"/>
      <c r="B298" s="30"/>
      <c r="C298" s="30"/>
      <c r="D298" s="30"/>
      <c r="E298" s="33"/>
      <c r="F298" s="30"/>
      <c r="G298" s="49"/>
      <c r="H298" s="52" t="str">
        <f t="shared" si="16"/>
        <v/>
      </c>
      <c r="I298" s="52" t="str">
        <f t="shared" si="17"/>
        <v/>
      </c>
      <c r="J298" s="53"/>
      <c r="K298" s="54" t="str">
        <f t="shared" si="18"/>
        <v/>
      </c>
      <c r="L298" s="33"/>
      <c r="M298" s="33"/>
      <c r="N298" s="30"/>
      <c r="O298" s="30"/>
      <c r="P298" s="33"/>
    </row>
    <row r="299" spans="1:16" x14ac:dyDescent="0.25">
      <c r="A299" s="31"/>
      <c r="B299" s="30"/>
      <c r="C299" s="30"/>
      <c r="D299" s="30"/>
      <c r="E299" s="33"/>
      <c r="F299" s="30"/>
      <c r="G299" s="49"/>
      <c r="H299" s="52" t="str">
        <f t="shared" si="16"/>
        <v/>
      </c>
      <c r="I299" s="52" t="str">
        <f t="shared" si="17"/>
        <v/>
      </c>
      <c r="J299" s="53"/>
      <c r="K299" s="54" t="str">
        <f t="shared" si="18"/>
        <v/>
      </c>
      <c r="L299" s="33"/>
      <c r="M299" s="33"/>
      <c r="N299" s="30"/>
      <c r="O299" s="30"/>
      <c r="P299" s="33"/>
    </row>
    <row r="300" spans="1:16" x14ac:dyDescent="0.25">
      <c r="A300" s="31"/>
      <c r="B300" s="30"/>
      <c r="C300" s="30"/>
      <c r="D300" s="30"/>
      <c r="E300" s="33"/>
      <c r="F300" s="30"/>
      <c r="G300" s="49"/>
      <c r="H300" s="52" t="str">
        <f t="shared" si="16"/>
        <v/>
      </c>
      <c r="I300" s="52" t="str">
        <f t="shared" si="17"/>
        <v/>
      </c>
      <c r="J300" s="53"/>
      <c r="K300" s="54" t="str">
        <f t="shared" si="18"/>
        <v/>
      </c>
      <c r="L300" s="33"/>
      <c r="M300" s="33"/>
      <c r="N300" s="30"/>
      <c r="O300" s="30"/>
      <c r="P300" s="33"/>
    </row>
    <row r="301" spans="1:16" x14ac:dyDescent="0.25">
      <c r="A301" s="31"/>
      <c r="B301" s="30"/>
      <c r="C301" s="30"/>
      <c r="D301" s="30"/>
      <c r="E301" s="33"/>
      <c r="F301" s="30"/>
      <c r="G301" s="49"/>
      <c r="H301" s="52" t="str">
        <f t="shared" si="16"/>
        <v/>
      </c>
      <c r="I301" s="52" t="str">
        <f t="shared" si="17"/>
        <v/>
      </c>
      <c r="J301" s="53"/>
      <c r="K301" s="54" t="str">
        <f t="shared" si="18"/>
        <v/>
      </c>
      <c r="L301" s="33"/>
      <c r="M301" s="33"/>
      <c r="N301" s="30"/>
      <c r="O301" s="30"/>
      <c r="P301" s="33"/>
    </row>
    <row r="302" spans="1:16" x14ac:dyDescent="0.25">
      <c r="A302" s="31"/>
      <c r="B302" s="30"/>
      <c r="C302" s="30"/>
      <c r="D302" s="30"/>
      <c r="E302" s="33"/>
      <c r="F302" s="30"/>
      <c r="G302" s="49"/>
      <c r="H302" s="52" t="str">
        <f t="shared" si="16"/>
        <v/>
      </c>
      <c r="I302" s="52" t="str">
        <f t="shared" si="17"/>
        <v/>
      </c>
      <c r="J302" s="53"/>
      <c r="K302" s="54" t="str">
        <f t="shared" si="18"/>
        <v/>
      </c>
      <c r="L302" s="33"/>
      <c r="M302" s="33"/>
      <c r="N302" s="30"/>
      <c r="O302" s="30"/>
      <c r="P302" s="33"/>
    </row>
    <row r="303" spans="1:16" x14ac:dyDescent="0.25">
      <c r="A303" s="31"/>
      <c r="B303" s="30"/>
      <c r="C303" s="30"/>
      <c r="D303" s="30"/>
      <c r="E303" s="33"/>
      <c r="F303" s="30"/>
      <c r="G303" s="49"/>
      <c r="H303" s="52" t="str">
        <f t="shared" si="16"/>
        <v/>
      </c>
      <c r="I303" s="52" t="str">
        <f t="shared" si="17"/>
        <v/>
      </c>
      <c r="J303" s="53"/>
      <c r="K303" s="54" t="str">
        <f t="shared" si="18"/>
        <v/>
      </c>
      <c r="L303" s="33"/>
      <c r="M303" s="33"/>
      <c r="N303" s="30"/>
      <c r="O303" s="30"/>
      <c r="P303" s="33"/>
    </row>
    <row r="304" spans="1:16" x14ac:dyDescent="0.25">
      <c r="A304" s="31"/>
      <c r="B304" s="30"/>
      <c r="C304" s="30"/>
      <c r="D304" s="30"/>
      <c r="E304" s="33"/>
      <c r="F304" s="30"/>
      <c r="G304" s="49"/>
      <c r="H304" s="52" t="str">
        <f t="shared" si="16"/>
        <v/>
      </c>
      <c r="I304" s="52" t="str">
        <f t="shared" si="17"/>
        <v/>
      </c>
      <c r="J304" s="53"/>
      <c r="K304" s="54" t="str">
        <f t="shared" si="18"/>
        <v/>
      </c>
      <c r="L304" s="33"/>
      <c r="M304" s="33"/>
      <c r="N304" s="30"/>
      <c r="O304" s="30"/>
      <c r="P304" s="33"/>
    </row>
    <row r="305" spans="1:16" x14ac:dyDescent="0.25">
      <c r="A305" s="31"/>
      <c r="B305" s="30"/>
      <c r="C305" s="30"/>
      <c r="D305" s="30"/>
      <c r="E305" s="33"/>
      <c r="F305" s="30"/>
      <c r="G305" s="49"/>
      <c r="H305" s="52" t="str">
        <f t="shared" si="16"/>
        <v/>
      </c>
      <c r="I305" s="52" t="str">
        <f t="shared" si="17"/>
        <v/>
      </c>
      <c r="J305" s="53"/>
      <c r="K305" s="54" t="str">
        <f t="shared" si="18"/>
        <v/>
      </c>
      <c r="L305" s="33"/>
      <c r="M305" s="33"/>
      <c r="N305" s="30"/>
      <c r="O305" s="30"/>
      <c r="P305" s="33"/>
    </row>
    <row r="306" spans="1:16" x14ac:dyDescent="0.25">
      <c r="A306" s="31"/>
      <c r="B306" s="30"/>
      <c r="C306" s="30"/>
      <c r="D306" s="30"/>
      <c r="E306" s="33"/>
      <c r="F306" s="30"/>
      <c r="G306" s="49"/>
      <c r="H306" s="52" t="str">
        <f t="shared" si="16"/>
        <v/>
      </c>
      <c r="I306" s="52" t="str">
        <f t="shared" si="17"/>
        <v/>
      </c>
      <c r="J306" s="53"/>
      <c r="K306" s="54" t="str">
        <f t="shared" si="18"/>
        <v/>
      </c>
      <c r="L306" s="33"/>
      <c r="M306" s="33"/>
      <c r="N306" s="30"/>
      <c r="O306" s="30"/>
      <c r="P306" s="33"/>
    </row>
    <row r="307" spans="1:16" x14ac:dyDescent="0.25">
      <c r="A307" s="31"/>
      <c r="B307" s="30"/>
      <c r="C307" s="30"/>
      <c r="D307" s="30"/>
      <c r="E307" s="33"/>
      <c r="F307" s="30"/>
      <c r="G307" s="49"/>
      <c r="H307" s="52" t="str">
        <f t="shared" si="16"/>
        <v/>
      </c>
      <c r="I307" s="52" t="str">
        <f t="shared" si="17"/>
        <v/>
      </c>
      <c r="J307" s="53"/>
      <c r="K307" s="54" t="str">
        <f t="shared" si="18"/>
        <v/>
      </c>
      <c r="L307" s="33"/>
      <c r="M307" s="33"/>
      <c r="N307" s="30"/>
      <c r="O307" s="30"/>
      <c r="P307" s="33"/>
    </row>
    <row r="308" spans="1:16" x14ac:dyDescent="0.25">
      <c r="A308" s="31"/>
      <c r="B308" s="30"/>
      <c r="C308" s="30"/>
      <c r="D308" s="30"/>
      <c r="E308" s="33"/>
      <c r="F308" s="30"/>
      <c r="G308" s="49"/>
      <c r="H308" s="52" t="str">
        <f t="shared" si="16"/>
        <v/>
      </c>
      <c r="I308" s="52" t="str">
        <f t="shared" si="17"/>
        <v/>
      </c>
      <c r="J308" s="53"/>
      <c r="K308" s="54" t="str">
        <f t="shared" si="18"/>
        <v/>
      </c>
      <c r="L308" s="33"/>
      <c r="M308" s="33"/>
      <c r="N308" s="30"/>
      <c r="O308" s="30"/>
      <c r="P308" s="33"/>
    </row>
    <row r="309" spans="1:16" x14ac:dyDescent="0.25">
      <c r="A309" s="31"/>
      <c r="B309" s="30"/>
      <c r="C309" s="30"/>
      <c r="D309" s="30"/>
      <c r="E309" s="33"/>
      <c r="F309" s="30"/>
      <c r="G309" s="49"/>
      <c r="H309" s="52" t="str">
        <f t="shared" si="16"/>
        <v/>
      </c>
      <c r="I309" s="52" t="str">
        <f t="shared" si="17"/>
        <v/>
      </c>
      <c r="J309" s="53"/>
      <c r="K309" s="54" t="str">
        <f t="shared" si="18"/>
        <v/>
      </c>
      <c r="L309" s="33"/>
      <c r="M309" s="33"/>
      <c r="N309" s="30"/>
      <c r="O309" s="30"/>
      <c r="P309" s="33"/>
    </row>
    <row r="310" spans="1:16" x14ac:dyDescent="0.25">
      <c r="A310" s="31"/>
      <c r="B310" s="30"/>
      <c r="C310" s="30"/>
      <c r="D310" s="30"/>
      <c r="E310" s="33"/>
      <c r="F310" s="30"/>
      <c r="G310" s="49"/>
      <c r="H310" s="52" t="str">
        <f t="shared" si="16"/>
        <v/>
      </c>
      <c r="I310" s="52" t="str">
        <f t="shared" si="17"/>
        <v/>
      </c>
      <c r="J310" s="53"/>
      <c r="K310" s="54" t="str">
        <f t="shared" si="18"/>
        <v/>
      </c>
      <c r="L310" s="33"/>
      <c r="M310" s="33"/>
      <c r="N310" s="30"/>
      <c r="O310" s="30"/>
      <c r="P310" s="33"/>
    </row>
    <row r="311" spans="1:16" x14ac:dyDescent="0.25">
      <c r="A311" s="31"/>
      <c r="B311" s="30"/>
      <c r="C311" s="30"/>
      <c r="D311" s="30"/>
      <c r="E311" s="33"/>
      <c r="F311" s="30"/>
      <c r="G311" s="49"/>
      <c r="H311" s="52" t="str">
        <f t="shared" si="16"/>
        <v/>
      </c>
      <c r="I311" s="52" t="str">
        <f t="shared" si="17"/>
        <v/>
      </c>
      <c r="J311" s="53"/>
      <c r="K311" s="54" t="str">
        <f t="shared" si="18"/>
        <v/>
      </c>
      <c r="L311" s="33"/>
      <c r="M311" s="33"/>
      <c r="N311" s="30"/>
      <c r="O311" s="30"/>
      <c r="P311" s="33"/>
    </row>
    <row r="312" spans="1:16" x14ac:dyDescent="0.25">
      <c r="A312" s="31"/>
      <c r="B312" s="30"/>
      <c r="C312" s="30"/>
      <c r="D312" s="30"/>
      <c r="E312" s="33"/>
      <c r="F312" s="30"/>
      <c r="G312" s="49"/>
      <c r="H312" s="52" t="str">
        <f t="shared" si="16"/>
        <v/>
      </c>
      <c r="I312" s="52" t="str">
        <f t="shared" si="17"/>
        <v/>
      </c>
      <c r="J312" s="53"/>
      <c r="K312" s="54" t="str">
        <f t="shared" si="18"/>
        <v/>
      </c>
      <c r="L312" s="33"/>
      <c r="M312" s="33"/>
      <c r="N312" s="30"/>
      <c r="O312" s="30"/>
      <c r="P312" s="33"/>
    </row>
    <row r="313" spans="1:16" x14ac:dyDescent="0.25">
      <c r="A313" s="31"/>
      <c r="B313" s="30"/>
      <c r="C313" s="30"/>
      <c r="D313" s="30"/>
      <c r="E313" s="33"/>
      <c r="F313" s="30"/>
      <c r="G313" s="49"/>
      <c r="H313" s="52" t="str">
        <f t="shared" si="16"/>
        <v/>
      </c>
      <c r="I313" s="52" t="str">
        <f t="shared" si="17"/>
        <v/>
      </c>
      <c r="J313" s="53"/>
      <c r="K313" s="54" t="str">
        <f t="shared" si="18"/>
        <v/>
      </c>
      <c r="L313" s="33"/>
      <c r="M313" s="33"/>
      <c r="N313" s="30"/>
      <c r="O313" s="30"/>
      <c r="P313" s="33"/>
    </row>
    <row r="314" spans="1:16" x14ac:dyDescent="0.25">
      <c r="A314" s="31"/>
      <c r="B314" s="30"/>
      <c r="C314" s="30"/>
      <c r="D314" s="30"/>
      <c r="E314" s="33"/>
      <c r="F314" s="30"/>
      <c r="G314" s="49"/>
      <c r="H314" s="52" t="str">
        <f t="shared" si="16"/>
        <v/>
      </c>
      <c r="I314" s="52" t="str">
        <f t="shared" si="17"/>
        <v/>
      </c>
      <c r="J314" s="53"/>
      <c r="K314" s="54" t="str">
        <f t="shared" si="18"/>
        <v/>
      </c>
      <c r="L314" s="33"/>
      <c r="M314" s="33"/>
      <c r="N314" s="30"/>
      <c r="O314" s="30"/>
      <c r="P314" s="33"/>
    </row>
    <row r="315" spans="1:16" x14ac:dyDescent="0.25">
      <c r="A315" s="31"/>
      <c r="B315" s="30"/>
      <c r="C315" s="30"/>
      <c r="D315" s="30"/>
      <c r="E315" s="33"/>
      <c r="F315" s="30"/>
      <c r="G315" s="49"/>
      <c r="H315" s="52" t="str">
        <f t="shared" si="16"/>
        <v/>
      </c>
      <c r="I315" s="52" t="str">
        <f t="shared" si="17"/>
        <v/>
      </c>
      <c r="J315" s="53"/>
      <c r="K315" s="54" t="str">
        <f t="shared" si="18"/>
        <v/>
      </c>
      <c r="L315" s="33"/>
      <c r="M315" s="33"/>
      <c r="N315" s="30"/>
      <c r="O315" s="30"/>
      <c r="P315" s="33"/>
    </row>
    <row r="316" spans="1:16" x14ac:dyDescent="0.25">
      <c r="A316" s="31"/>
      <c r="B316" s="30"/>
      <c r="C316" s="30"/>
      <c r="D316" s="30"/>
      <c r="E316" s="33"/>
      <c r="F316" s="30"/>
      <c r="G316" s="49"/>
      <c r="H316" s="52" t="str">
        <f t="shared" si="16"/>
        <v/>
      </c>
      <c r="I316" s="52" t="str">
        <f t="shared" si="17"/>
        <v/>
      </c>
      <c r="J316" s="53"/>
      <c r="K316" s="54" t="str">
        <f t="shared" si="18"/>
        <v/>
      </c>
      <c r="L316" s="33"/>
      <c r="M316" s="33"/>
      <c r="N316" s="30"/>
      <c r="O316" s="30"/>
      <c r="P316" s="33"/>
    </row>
    <row r="317" spans="1:16" x14ac:dyDescent="0.25">
      <c r="A317" s="31"/>
      <c r="B317" s="30"/>
      <c r="C317" s="30"/>
      <c r="D317" s="30"/>
      <c r="E317" s="33"/>
      <c r="F317" s="30"/>
      <c r="G317" s="49"/>
      <c r="H317" s="52" t="str">
        <f t="shared" si="16"/>
        <v/>
      </c>
      <c r="I317" s="52" t="str">
        <f t="shared" si="17"/>
        <v/>
      </c>
      <c r="J317" s="53"/>
      <c r="K317" s="54" t="str">
        <f t="shared" si="18"/>
        <v/>
      </c>
      <c r="L317" s="33"/>
      <c r="M317" s="33"/>
      <c r="N317" s="30"/>
      <c r="O317" s="30"/>
      <c r="P317" s="33"/>
    </row>
    <row r="318" spans="1:16" x14ac:dyDescent="0.25">
      <c r="A318" s="31"/>
      <c r="B318" s="30"/>
      <c r="C318" s="30"/>
      <c r="D318" s="30"/>
      <c r="E318" s="33"/>
      <c r="F318" s="30"/>
      <c r="G318" s="49"/>
      <c r="H318" s="52" t="str">
        <f t="shared" si="16"/>
        <v/>
      </c>
      <c r="I318" s="52" t="str">
        <f t="shared" si="17"/>
        <v/>
      </c>
      <c r="J318" s="53"/>
      <c r="K318" s="54" t="str">
        <f t="shared" si="18"/>
        <v/>
      </c>
      <c r="L318" s="33"/>
      <c r="M318" s="33"/>
      <c r="N318" s="30"/>
      <c r="O318" s="30"/>
      <c r="P318" s="33"/>
    </row>
    <row r="319" spans="1:16" x14ac:dyDescent="0.25">
      <c r="A319" s="31"/>
      <c r="B319" s="30"/>
      <c r="C319" s="30"/>
      <c r="D319" s="30"/>
      <c r="E319" s="33"/>
      <c r="F319" s="30"/>
      <c r="G319" s="49"/>
      <c r="H319" s="52" t="str">
        <f t="shared" si="16"/>
        <v/>
      </c>
      <c r="I319" s="52" t="str">
        <f t="shared" si="17"/>
        <v/>
      </c>
      <c r="J319" s="53"/>
      <c r="K319" s="54" t="str">
        <f t="shared" si="18"/>
        <v/>
      </c>
      <c r="L319" s="33"/>
      <c r="M319" s="33"/>
      <c r="N319" s="30"/>
      <c r="O319" s="30"/>
      <c r="P319" s="33"/>
    </row>
    <row r="320" spans="1:16" x14ac:dyDescent="0.25">
      <c r="A320" s="31"/>
      <c r="B320" s="30"/>
      <c r="C320" s="30"/>
      <c r="D320" s="30"/>
      <c r="E320" s="33"/>
      <c r="F320" s="30"/>
      <c r="G320" s="49"/>
      <c r="H320" s="52" t="str">
        <f t="shared" si="16"/>
        <v/>
      </c>
      <c r="I320" s="52" t="str">
        <f t="shared" si="17"/>
        <v/>
      </c>
      <c r="J320" s="53"/>
      <c r="K320" s="54" t="str">
        <f t="shared" si="18"/>
        <v/>
      </c>
      <c r="L320" s="33"/>
      <c r="M320" s="33"/>
      <c r="N320" s="30"/>
      <c r="O320" s="30"/>
      <c r="P320" s="33"/>
    </row>
    <row r="321" spans="1:16" x14ac:dyDescent="0.25">
      <c r="A321" s="31"/>
      <c r="B321" s="30"/>
      <c r="C321" s="30"/>
      <c r="D321" s="30"/>
      <c r="E321" s="33"/>
      <c r="F321" s="30"/>
      <c r="G321" s="49"/>
      <c r="H321" s="52" t="str">
        <f t="shared" si="16"/>
        <v/>
      </c>
      <c r="I321" s="52" t="str">
        <f t="shared" si="17"/>
        <v/>
      </c>
      <c r="J321" s="53"/>
      <c r="K321" s="54" t="str">
        <f t="shared" si="18"/>
        <v/>
      </c>
      <c r="L321" s="33"/>
      <c r="M321" s="33"/>
      <c r="N321" s="30"/>
      <c r="O321" s="30"/>
      <c r="P321" s="33"/>
    </row>
    <row r="322" spans="1:16" x14ac:dyDescent="0.25">
      <c r="A322" s="31"/>
      <c r="B322" s="30"/>
      <c r="C322" s="30"/>
      <c r="D322" s="30"/>
      <c r="E322" s="33"/>
      <c r="F322" s="30"/>
      <c r="G322" s="49"/>
      <c r="H322" s="52" t="str">
        <f t="shared" si="16"/>
        <v/>
      </c>
      <c r="I322" s="52" t="str">
        <f t="shared" si="17"/>
        <v/>
      </c>
      <c r="J322" s="53"/>
      <c r="K322" s="54" t="str">
        <f t="shared" si="18"/>
        <v/>
      </c>
      <c r="L322" s="33"/>
      <c r="M322" s="33"/>
      <c r="N322" s="30"/>
      <c r="O322" s="30"/>
      <c r="P322" s="33"/>
    </row>
    <row r="323" spans="1:16" x14ac:dyDescent="0.25">
      <c r="A323" s="31"/>
      <c r="B323" s="30"/>
      <c r="C323" s="30"/>
      <c r="D323" s="30"/>
      <c r="E323" s="33"/>
      <c r="F323" s="30"/>
      <c r="G323" s="49"/>
      <c r="H323" s="52" t="str">
        <f t="shared" si="16"/>
        <v/>
      </c>
      <c r="I323" s="52" t="str">
        <f t="shared" si="17"/>
        <v/>
      </c>
      <c r="J323" s="53"/>
      <c r="K323" s="54" t="str">
        <f t="shared" si="18"/>
        <v/>
      </c>
      <c r="L323" s="33"/>
      <c r="M323" s="33"/>
      <c r="N323" s="30"/>
      <c r="O323" s="30"/>
      <c r="P323" s="33"/>
    </row>
    <row r="324" spans="1:16" x14ac:dyDescent="0.25">
      <c r="A324" s="31"/>
      <c r="B324" s="30"/>
      <c r="C324" s="30"/>
      <c r="D324" s="30"/>
      <c r="E324" s="33"/>
      <c r="F324" s="30"/>
      <c r="G324" s="49"/>
      <c r="H324" s="52" t="str">
        <f t="shared" si="16"/>
        <v/>
      </c>
      <c r="I324" s="52" t="str">
        <f t="shared" si="17"/>
        <v/>
      </c>
      <c r="J324" s="53"/>
      <c r="K324" s="54" t="str">
        <f t="shared" si="18"/>
        <v/>
      </c>
      <c r="L324" s="33"/>
      <c r="M324" s="33"/>
      <c r="N324" s="30"/>
      <c r="O324" s="30"/>
      <c r="P324" s="33"/>
    </row>
    <row r="325" spans="1:16" x14ac:dyDescent="0.25">
      <c r="A325" s="31"/>
      <c r="B325" s="30"/>
      <c r="C325" s="30"/>
      <c r="D325" s="30"/>
      <c r="E325" s="33"/>
      <c r="F325" s="30"/>
      <c r="G325" s="49"/>
      <c r="H325" s="52" t="str">
        <f t="shared" ref="H325:H388" si="19">IF($A325="","",IF(OR($C325="ENTRADA",$C325="DEVOLUÇÃO"),$G325,0))</f>
        <v/>
      </c>
      <c r="I325" s="52" t="str">
        <f t="shared" ref="I325:I388" si="20">IF($A325="","",IF(OR($C325="SAÍDA",$C325="PERDA / QUEBRA",$C325="TRANSFERÊNCIA"),$G325,0))</f>
        <v/>
      </c>
      <c r="J325" s="53"/>
      <c r="K325" s="54" t="str">
        <f t="shared" ref="K325:K388" si="21">IF($A325="","",$G325*$J325)</f>
        <v/>
      </c>
      <c r="L325" s="33"/>
      <c r="M325" s="33"/>
      <c r="N325" s="30"/>
      <c r="O325" s="30"/>
      <c r="P325" s="33"/>
    </row>
    <row r="326" spans="1:16" x14ac:dyDescent="0.25">
      <c r="A326" s="31"/>
      <c r="B326" s="30"/>
      <c r="C326" s="30"/>
      <c r="D326" s="30"/>
      <c r="E326" s="33"/>
      <c r="F326" s="30"/>
      <c r="G326" s="49"/>
      <c r="H326" s="52" t="str">
        <f t="shared" si="19"/>
        <v/>
      </c>
      <c r="I326" s="52" t="str">
        <f t="shared" si="20"/>
        <v/>
      </c>
      <c r="J326" s="53"/>
      <c r="K326" s="54" t="str">
        <f t="shared" si="21"/>
        <v/>
      </c>
      <c r="L326" s="33"/>
      <c r="M326" s="33"/>
      <c r="N326" s="30"/>
      <c r="O326" s="30"/>
      <c r="P326" s="33"/>
    </row>
    <row r="327" spans="1:16" x14ac:dyDescent="0.25">
      <c r="A327" s="31"/>
      <c r="B327" s="30"/>
      <c r="C327" s="30"/>
      <c r="D327" s="30"/>
      <c r="E327" s="33"/>
      <c r="F327" s="30"/>
      <c r="G327" s="49"/>
      <c r="H327" s="52" t="str">
        <f t="shared" si="19"/>
        <v/>
      </c>
      <c r="I327" s="52" t="str">
        <f t="shared" si="20"/>
        <v/>
      </c>
      <c r="J327" s="53"/>
      <c r="K327" s="54" t="str">
        <f t="shared" si="21"/>
        <v/>
      </c>
      <c r="L327" s="33"/>
      <c r="M327" s="33"/>
      <c r="N327" s="30"/>
      <c r="O327" s="30"/>
      <c r="P327" s="33"/>
    </row>
    <row r="328" spans="1:16" x14ac:dyDescent="0.25">
      <c r="A328" s="31"/>
      <c r="B328" s="30"/>
      <c r="C328" s="30"/>
      <c r="D328" s="30"/>
      <c r="E328" s="33"/>
      <c r="F328" s="30"/>
      <c r="G328" s="49"/>
      <c r="H328" s="52" t="str">
        <f t="shared" si="19"/>
        <v/>
      </c>
      <c r="I328" s="52" t="str">
        <f t="shared" si="20"/>
        <v/>
      </c>
      <c r="J328" s="53"/>
      <c r="K328" s="54" t="str">
        <f t="shared" si="21"/>
        <v/>
      </c>
      <c r="L328" s="33"/>
      <c r="M328" s="33"/>
      <c r="N328" s="30"/>
      <c r="O328" s="30"/>
      <c r="P328" s="33"/>
    </row>
    <row r="329" spans="1:16" x14ac:dyDescent="0.25">
      <c r="A329" s="31"/>
      <c r="B329" s="30"/>
      <c r="C329" s="30"/>
      <c r="D329" s="30"/>
      <c r="E329" s="33"/>
      <c r="F329" s="30"/>
      <c r="G329" s="49"/>
      <c r="H329" s="52" t="str">
        <f t="shared" si="19"/>
        <v/>
      </c>
      <c r="I329" s="52" t="str">
        <f t="shared" si="20"/>
        <v/>
      </c>
      <c r="J329" s="53"/>
      <c r="K329" s="54" t="str">
        <f t="shared" si="21"/>
        <v/>
      </c>
      <c r="L329" s="33"/>
      <c r="M329" s="33"/>
      <c r="N329" s="30"/>
      <c r="O329" s="30"/>
      <c r="P329" s="33"/>
    </row>
    <row r="330" spans="1:16" x14ac:dyDescent="0.25">
      <c r="A330" s="31"/>
      <c r="B330" s="30"/>
      <c r="C330" s="30"/>
      <c r="D330" s="30"/>
      <c r="E330" s="33"/>
      <c r="F330" s="30"/>
      <c r="G330" s="49"/>
      <c r="H330" s="52" t="str">
        <f t="shared" si="19"/>
        <v/>
      </c>
      <c r="I330" s="52" t="str">
        <f t="shared" si="20"/>
        <v/>
      </c>
      <c r="J330" s="53"/>
      <c r="K330" s="54" t="str">
        <f t="shared" si="21"/>
        <v/>
      </c>
      <c r="L330" s="33"/>
      <c r="M330" s="33"/>
      <c r="N330" s="30"/>
      <c r="O330" s="30"/>
      <c r="P330" s="33"/>
    </row>
    <row r="331" spans="1:16" x14ac:dyDescent="0.25">
      <c r="A331" s="31"/>
      <c r="B331" s="30"/>
      <c r="C331" s="30"/>
      <c r="D331" s="30"/>
      <c r="E331" s="33"/>
      <c r="F331" s="30"/>
      <c r="G331" s="49"/>
      <c r="H331" s="52" t="str">
        <f t="shared" si="19"/>
        <v/>
      </c>
      <c r="I331" s="52" t="str">
        <f t="shared" si="20"/>
        <v/>
      </c>
      <c r="J331" s="53"/>
      <c r="K331" s="54" t="str">
        <f t="shared" si="21"/>
        <v/>
      </c>
      <c r="L331" s="33"/>
      <c r="M331" s="33"/>
      <c r="N331" s="30"/>
      <c r="O331" s="30"/>
      <c r="P331" s="33"/>
    </row>
    <row r="332" spans="1:16" x14ac:dyDescent="0.25">
      <c r="A332" s="31"/>
      <c r="B332" s="30"/>
      <c r="C332" s="30"/>
      <c r="D332" s="30"/>
      <c r="E332" s="33"/>
      <c r="F332" s="30"/>
      <c r="G332" s="49"/>
      <c r="H332" s="52" t="str">
        <f t="shared" si="19"/>
        <v/>
      </c>
      <c r="I332" s="52" t="str">
        <f t="shared" si="20"/>
        <v/>
      </c>
      <c r="J332" s="53"/>
      <c r="K332" s="54" t="str">
        <f t="shared" si="21"/>
        <v/>
      </c>
      <c r="L332" s="33"/>
      <c r="M332" s="33"/>
      <c r="N332" s="30"/>
      <c r="O332" s="30"/>
      <c r="P332" s="33"/>
    </row>
    <row r="333" spans="1:16" x14ac:dyDescent="0.25">
      <c r="A333" s="31"/>
      <c r="B333" s="30"/>
      <c r="C333" s="30"/>
      <c r="D333" s="30"/>
      <c r="E333" s="33"/>
      <c r="F333" s="30"/>
      <c r="G333" s="49"/>
      <c r="H333" s="52" t="str">
        <f t="shared" si="19"/>
        <v/>
      </c>
      <c r="I333" s="52" t="str">
        <f t="shared" si="20"/>
        <v/>
      </c>
      <c r="J333" s="53"/>
      <c r="K333" s="54" t="str">
        <f t="shared" si="21"/>
        <v/>
      </c>
      <c r="L333" s="33"/>
      <c r="M333" s="33"/>
      <c r="N333" s="30"/>
      <c r="O333" s="30"/>
      <c r="P333" s="33"/>
    </row>
    <row r="334" spans="1:16" x14ac:dyDescent="0.25">
      <c r="A334" s="31"/>
      <c r="B334" s="30"/>
      <c r="C334" s="30"/>
      <c r="D334" s="30"/>
      <c r="E334" s="33"/>
      <c r="F334" s="30"/>
      <c r="G334" s="49"/>
      <c r="H334" s="52" t="str">
        <f t="shared" si="19"/>
        <v/>
      </c>
      <c r="I334" s="52" t="str">
        <f t="shared" si="20"/>
        <v/>
      </c>
      <c r="J334" s="53"/>
      <c r="K334" s="54" t="str">
        <f t="shared" si="21"/>
        <v/>
      </c>
      <c r="L334" s="33"/>
      <c r="M334" s="33"/>
      <c r="N334" s="30"/>
      <c r="O334" s="30"/>
      <c r="P334" s="33"/>
    </row>
    <row r="335" spans="1:16" x14ac:dyDescent="0.25">
      <c r="A335" s="31"/>
      <c r="B335" s="30"/>
      <c r="C335" s="30"/>
      <c r="D335" s="30"/>
      <c r="E335" s="33"/>
      <c r="F335" s="30"/>
      <c r="G335" s="49"/>
      <c r="H335" s="52" t="str">
        <f t="shared" si="19"/>
        <v/>
      </c>
      <c r="I335" s="52" t="str">
        <f t="shared" si="20"/>
        <v/>
      </c>
      <c r="J335" s="53"/>
      <c r="K335" s="54" t="str">
        <f t="shared" si="21"/>
        <v/>
      </c>
      <c r="L335" s="33"/>
      <c r="M335" s="33"/>
      <c r="N335" s="30"/>
      <c r="O335" s="30"/>
      <c r="P335" s="33"/>
    </row>
    <row r="336" spans="1:16" x14ac:dyDescent="0.25">
      <c r="A336" s="31"/>
      <c r="B336" s="30"/>
      <c r="C336" s="30"/>
      <c r="D336" s="30"/>
      <c r="E336" s="33"/>
      <c r="F336" s="30"/>
      <c r="G336" s="49"/>
      <c r="H336" s="52" t="str">
        <f t="shared" si="19"/>
        <v/>
      </c>
      <c r="I336" s="52" t="str">
        <f t="shared" si="20"/>
        <v/>
      </c>
      <c r="J336" s="53"/>
      <c r="K336" s="54" t="str">
        <f t="shared" si="21"/>
        <v/>
      </c>
      <c r="L336" s="33"/>
      <c r="M336" s="33"/>
      <c r="N336" s="30"/>
      <c r="O336" s="30"/>
      <c r="P336" s="33"/>
    </row>
    <row r="337" spans="1:16" x14ac:dyDescent="0.25">
      <c r="A337" s="31"/>
      <c r="B337" s="30"/>
      <c r="C337" s="30"/>
      <c r="D337" s="30"/>
      <c r="E337" s="33"/>
      <c r="F337" s="30"/>
      <c r="G337" s="49"/>
      <c r="H337" s="52" t="str">
        <f t="shared" si="19"/>
        <v/>
      </c>
      <c r="I337" s="52" t="str">
        <f t="shared" si="20"/>
        <v/>
      </c>
      <c r="J337" s="53"/>
      <c r="K337" s="54" t="str">
        <f t="shared" si="21"/>
        <v/>
      </c>
      <c r="L337" s="33"/>
      <c r="M337" s="33"/>
      <c r="N337" s="30"/>
      <c r="O337" s="30"/>
      <c r="P337" s="33"/>
    </row>
    <row r="338" spans="1:16" x14ac:dyDescent="0.25">
      <c r="A338" s="31"/>
      <c r="B338" s="30"/>
      <c r="C338" s="30"/>
      <c r="D338" s="30"/>
      <c r="E338" s="33"/>
      <c r="F338" s="30"/>
      <c r="G338" s="49"/>
      <c r="H338" s="52" t="str">
        <f t="shared" si="19"/>
        <v/>
      </c>
      <c r="I338" s="52" t="str">
        <f t="shared" si="20"/>
        <v/>
      </c>
      <c r="J338" s="53"/>
      <c r="K338" s="54" t="str">
        <f t="shared" si="21"/>
        <v/>
      </c>
      <c r="L338" s="33"/>
      <c r="M338" s="33"/>
      <c r="N338" s="30"/>
      <c r="O338" s="30"/>
      <c r="P338" s="33"/>
    </row>
    <row r="339" spans="1:16" x14ac:dyDescent="0.25">
      <c r="A339" s="31"/>
      <c r="B339" s="30"/>
      <c r="C339" s="30"/>
      <c r="D339" s="30"/>
      <c r="E339" s="33"/>
      <c r="F339" s="30"/>
      <c r="G339" s="49"/>
      <c r="H339" s="52" t="str">
        <f t="shared" si="19"/>
        <v/>
      </c>
      <c r="I339" s="52" t="str">
        <f t="shared" si="20"/>
        <v/>
      </c>
      <c r="J339" s="53"/>
      <c r="K339" s="54" t="str">
        <f t="shared" si="21"/>
        <v/>
      </c>
      <c r="L339" s="33"/>
      <c r="M339" s="33"/>
      <c r="N339" s="30"/>
      <c r="O339" s="30"/>
      <c r="P339" s="33"/>
    </row>
    <row r="340" spans="1:16" x14ac:dyDescent="0.25">
      <c r="A340" s="31"/>
      <c r="B340" s="30"/>
      <c r="C340" s="30"/>
      <c r="D340" s="30"/>
      <c r="E340" s="33"/>
      <c r="F340" s="30"/>
      <c r="G340" s="49"/>
      <c r="H340" s="52" t="str">
        <f t="shared" si="19"/>
        <v/>
      </c>
      <c r="I340" s="52" t="str">
        <f t="shared" si="20"/>
        <v/>
      </c>
      <c r="J340" s="53"/>
      <c r="K340" s="54" t="str">
        <f t="shared" si="21"/>
        <v/>
      </c>
      <c r="L340" s="33"/>
      <c r="M340" s="33"/>
      <c r="N340" s="30"/>
      <c r="O340" s="30"/>
      <c r="P340" s="33"/>
    </row>
    <row r="341" spans="1:16" x14ac:dyDescent="0.25">
      <c r="A341" s="31"/>
      <c r="B341" s="30"/>
      <c r="C341" s="30"/>
      <c r="D341" s="30"/>
      <c r="E341" s="33"/>
      <c r="F341" s="30"/>
      <c r="G341" s="49"/>
      <c r="H341" s="52" t="str">
        <f t="shared" si="19"/>
        <v/>
      </c>
      <c r="I341" s="52" t="str">
        <f t="shared" si="20"/>
        <v/>
      </c>
      <c r="J341" s="53"/>
      <c r="K341" s="54" t="str">
        <f t="shared" si="21"/>
        <v/>
      </c>
      <c r="L341" s="33"/>
      <c r="M341" s="33"/>
      <c r="N341" s="30"/>
      <c r="O341" s="30"/>
      <c r="P341" s="33"/>
    </row>
    <row r="342" spans="1:16" x14ac:dyDescent="0.25">
      <c r="A342" s="31"/>
      <c r="B342" s="30"/>
      <c r="C342" s="30"/>
      <c r="D342" s="30"/>
      <c r="E342" s="33"/>
      <c r="F342" s="30"/>
      <c r="G342" s="49"/>
      <c r="H342" s="52" t="str">
        <f t="shared" si="19"/>
        <v/>
      </c>
      <c r="I342" s="52" t="str">
        <f t="shared" si="20"/>
        <v/>
      </c>
      <c r="J342" s="53"/>
      <c r="K342" s="54" t="str">
        <f t="shared" si="21"/>
        <v/>
      </c>
      <c r="L342" s="33"/>
      <c r="M342" s="33"/>
      <c r="N342" s="30"/>
      <c r="O342" s="30"/>
      <c r="P342" s="33"/>
    </row>
    <row r="343" spans="1:16" x14ac:dyDescent="0.25">
      <c r="A343" s="31"/>
      <c r="B343" s="30"/>
      <c r="C343" s="30"/>
      <c r="D343" s="30"/>
      <c r="E343" s="33"/>
      <c r="F343" s="30"/>
      <c r="G343" s="49"/>
      <c r="H343" s="52" t="str">
        <f t="shared" si="19"/>
        <v/>
      </c>
      <c r="I343" s="52" t="str">
        <f t="shared" si="20"/>
        <v/>
      </c>
      <c r="J343" s="53"/>
      <c r="K343" s="54" t="str">
        <f t="shared" si="21"/>
        <v/>
      </c>
      <c r="L343" s="33"/>
      <c r="M343" s="33"/>
      <c r="N343" s="30"/>
      <c r="O343" s="30"/>
      <c r="P343" s="33"/>
    </row>
    <row r="344" spans="1:16" x14ac:dyDescent="0.25">
      <c r="A344" s="31"/>
      <c r="B344" s="30"/>
      <c r="C344" s="30"/>
      <c r="D344" s="30"/>
      <c r="E344" s="33"/>
      <c r="F344" s="30"/>
      <c r="G344" s="49"/>
      <c r="H344" s="52" t="str">
        <f t="shared" si="19"/>
        <v/>
      </c>
      <c r="I344" s="52" t="str">
        <f t="shared" si="20"/>
        <v/>
      </c>
      <c r="J344" s="53"/>
      <c r="K344" s="54" t="str">
        <f t="shared" si="21"/>
        <v/>
      </c>
      <c r="L344" s="33"/>
      <c r="M344" s="33"/>
      <c r="N344" s="30"/>
      <c r="O344" s="30"/>
      <c r="P344" s="33"/>
    </row>
    <row r="345" spans="1:16" x14ac:dyDescent="0.25">
      <c r="A345" s="31"/>
      <c r="B345" s="30"/>
      <c r="C345" s="30"/>
      <c r="D345" s="30"/>
      <c r="E345" s="33"/>
      <c r="F345" s="30"/>
      <c r="G345" s="49"/>
      <c r="H345" s="52" t="str">
        <f t="shared" si="19"/>
        <v/>
      </c>
      <c r="I345" s="52" t="str">
        <f t="shared" si="20"/>
        <v/>
      </c>
      <c r="J345" s="53"/>
      <c r="K345" s="54" t="str">
        <f t="shared" si="21"/>
        <v/>
      </c>
      <c r="L345" s="33"/>
      <c r="M345" s="33"/>
      <c r="N345" s="30"/>
      <c r="O345" s="30"/>
      <c r="P345" s="33"/>
    </row>
    <row r="346" spans="1:16" x14ac:dyDescent="0.25">
      <c r="A346" s="31"/>
      <c r="B346" s="30"/>
      <c r="C346" s="30"/>
      <c r="D346" s="30"/>
      <c r="E346" s="33"/>
      <c r="F346" s="30"/>
      <c r="G346" s="49"/>
      <c r="H346" s="52" t="str">
        <f t="shared" si="19"/>
        <v/>
      </c>
      <c r="I346" s="52" t="str">
        <f t="shared" si="20"/>
        <v/>
      </c>
      <c r="J346" s="53"/>
      <c r="K346" s="54" t="str">
        <f t="shared" si="21"/>
        <v/>
      </c>
      <c r="L346" s="33"/>
      <c r="M346" s="33"/>
      <c r="N346" s="30"/>
      <c r="O346" s="30"/>
      <c r="P346" s="33"/>
    </row>
    <row r="347" spans="1:16" x14ac:dyDescent="0.25">
      <c r="A347" s="31"/>
      <c r="B347" s="30"/>
      <c r="C347" s="30"/>
      <c r="D347" s="30"/>
      <c r="E347" s="33"/>
      <c r="F347" s="30"/>
      <c r="G347" s="49"/>
      <c r="H347" s="52" t="str">
        <f t="shared" si="19"/>
        <v/>
      </c>
      <c r="I347" s="52" t="str">
        <f t="shared" si="20"/>
        <v/>
      </c>
      <c r="J347" s="53"/>
      <c r="K347" s="54" t="str">
        <f t="shared" si="21"/>
        <v/>
      </c>
      <c r="L347" s="33"/>
      <c r="M347" s="33"/>
      <c r="N347" s="30"/>
      <c r="O347" s="30"/>
      <c r="P347" s="33"/>
    </row>
    <row r="348" spans="1:16" x14ac:dyDescent="0.25">
      <c r="A348" s="31"/>
      <c r="B348" s="30"/>
      <c r="C348" s="30"/>
      <c r="D348" s="30"/>
      <c r="E348" s="33"/>
      <c r="F348" s="30"/>
      <c r="G348" s="49"/>
      <c r="H348" s="52" t="str">
        <f t="shared" si="19"/>
        <v/>
      </c>
      <c r="I348" s="52" t="str">
        <f t="shared" si="20"/>
        <v/>
      </c>
      <c r="J348" s="53"/>
      <c r="K348" s="54" t="str">
        <f t="shared" si="21"/>
        <v/>
      </c>
      <c r="L348" s="33"/>
      <c r="M348" s="33"/>
      <c r="N348" s="30"/>
      <c r="O348" s="30"/>
      <c r="P348" s="33"/>
    </row>
    <row r="349" spans="1:16" x14ac:dyDescent="0.25">
      <c r="A349" s="31"/>
      <c r="B349" s="30"/>
      <c r="C349" s="30"/>
      <c r="D349" s="30"/>
      <c r="E349" s="33"/>
      <c r="F349" s="30"/>
      <c r="G349" s="49"/>
      <c r="H349" s="52" t="str">
        <f t="shared" si="19"/>
        <v/>
      </c>
      <c r="I349" s="52" t="str">
        <f t="shared" si="20"/>
        <v/>
      </c>
      <c r="J349" s="53"/>
      <c r="K349" s="54" t="str">
        <f t="shared" si="21"/>
        <v/>
      </c>
      <c r="L349" s="33"/>
      <c r="M349" s="33"/>
      <c r="N349" s="30"/>
      <c r="O349" s="30"/>
      <c r="P349" s="33"/>
    </row>
    <row r="350" spans="1:16" x14ac:dyDescent="0.25">
      <c r="A350" s="31"/>
      <c r="B350" s="30"/>
      <c r="C350" s="30"/>
      <c r="D350" s="30"/>
      <c r="E350" s="33"/>
      <c r="F350" s="30"/>
      <c r="G350" s="49"/>
      <c r="H350" s="52" t="str">
        <f t="shared" si="19"/>
        <v/>
      </c>
      <c r="I350" s="52" t="str">
        <f t="shared" si="20"/>
        <v/>
      </c>
      <c r="J350" s="53"/>
      <c r="K350" s="54" t="str">
        <f t="shared" si="21"/>
        <v/>
      </c>
      <c r="L350" s="33"/>
      <c r="M350" s="33"/>
      <c r="N350" s="30"/>
      <c r="O350" s="30"/>
      <c r="P350" s="33"/>
    </row>
    <row r="351" spans="1:16" x14ac:dyDescent="0.25">
      <c r="A351" s="31"/>
      <c r="B351" s="30"/>
      <c r="C351" s="30"/>
      <c r="D351" s="30"/>
      <c r="E351" s="33"/>
      <c r="F351" s="30"/>
      <c r="G351" s="49"/>
      <c r="H351" s="52" t="str">
        <f t="shared" si="19"/>
        <v/>
      </c>
      <c r="I351" s="52" t="str">
        <f t="shared" si="20"/>
        <v/>
      </c>
      <c r="J351" s="53"/>
      <c r="K351" s="54" t="str">
        <f t="shared" si="21"/>
        <v/>
      </c>
      <c r="L351" s="33"/>
      <c r="M351" s="33"/>
      <c r="N351" s="30"/>
      <c r="O351" s="30"/>
      <c r="P351" s="33"/>
    </row>
    <row r="352" spans="1:16" x14ac:dyDescent="0.25">
      <c r="A352" s="31"/>
      <c r="B352" s="30"/>
      <c r="C352" s="30"/>
      <c r="D352" s="30"/>
      <c r="E352" s="33"/>
      <c r="F352" s="30"/>
      <c r="G352" s="49"/>
      <c r="H352" s="52" t="str">
        <f t="shared" si="19"/>
        <v/>
      </c>
      <c r="I352" s="52" t="str">
        <f t="shared" si="20"/>
        <v/>
      </c>
      <c r="J352" s="53"/>
      <c r="K352" s="54" t="str">
        <f t="shared" si="21"/>
        <v/>
      </c>
      <c r="L352" s="33"/>
      <c r="M352" s="33"/>
      <c r="N352" s="30"/>
      <c r="O352" s="30"/>
      <c r="P352" s="33"/>
    </row>
    <row r="353" spans="1:16" x14ac:dyDescent="0.25">
      <c r="A353" s="31"/>
      <c r="B353" s="30"/>
      <c r="C353" s="30"/>
      <c r="D353" s="30"/>
      <c r="E353" s="33"/>
      <c r="F353" s="30"/>
      <c r="G353" s="49"/>
      <c r="H353" s="52" t="str">
        <f t="shared" si="19"/>
        <v/>
      </c>
      <c r="I353" s="52" t="str">
        <f t="shared" si="20"/>
        <v/>
      </c>
      <c r="J353" s="53"/>
      <c r="K353" s="54" t="str">
        <f t="shared" si="21"/>
        <v/>
      </c>
      <c r="L353" s="33"/>
      <c r="M353" s="33"/>
      <c r="N353" s="30"/>
      <c r="O353" s="30"/>
      <c r="P353" s="33"/>
    </row>
    <row r="354" spans="1:16" x14ac:dyDescent="0.25">
      <c r="A354" s="31"/>
      <c r="B354" s="30"/>
      <c r="C354" s="30"/>
      <c r="D354" s="30"/>
      <c r="E354" s="33"/>
      <c r="F354" s="30"/>
      <c r="G354" s="49"/>
      <c r="H354" s="52" t="str">
        <f t="shared" si="19"/>
        <v/>
      </c>
      <c r="I354" s="52" t="str">
        <f t="shared" si="20"/>
        <v/>
      </c>
      <c r="J354" s="53"/>
      <c r="K354" s="54" t="str">
        <f t="shared" si="21"/>
        <v/>
      </c>
      <c r="L354" s="33"/>
      <c r="M354" s="33"/>
      <c r="N354" s="30"/>
      <c r="O354" s="30"/>
      <c r="P354" s="33"/>
    </row>
    <row r="355" spans="1:16" x14ac:dyDescent="0.25">
      <c r="A355" s="31"/>
      <c r="B355" s="30"/>
      <c r="C355" s="30"/>
      <c r="D355" s="30"/>
      <c r="E355" s="33"/>
      <c r="F355" s="30"/>
      <c r="G355" s="49"/>
      <c r="H355" s="52" t="str">
        <f t="shared" si="19"/>
        <v/>
      </c>
      <c r="I355" s="52" t="str">
        <f t="shared" si="20"/>
        <v/>
      </c>
      <c r="J355" s="53"/>
      <c r="K355" s="54" t="str">
        <f t="shared" si="21"/>
        <v/>
      </c>
      <c r="L355" s="33"/>
      <c r="M355" s="33"/>
      <c r="N355" s="30"/>
      <c r="O355" s="30"/>
      <c r="P355" s="33"/>
    </row>
    <row r="356" spans="1:16" x14ac:dyDescent="0.25">
      <c r="A356" s="31"/>
      <c r="B356" s="30"/>
      <c r="C356" s="30"/>
      <c r="D356" s="30"/>
      <c r="E356" s="33"/>
      <c r="F356" s="30"/>
      <c r="G356" s="49"/>
      <c r="H356" s="52" t="str">
        <f t="shared" si="19"/>
        <v/>
      </c>
      <c r="I356" s="52" t="str">
        <f t="shared" si="20"/>
        <v/>
      </c>
      <c r="J356" s="53"/>
      <c r="K356" s="54" t="str">
        <f t="shared" si="21"/>
        <v/>
      </c>
      <c r="L356" s="33"/>
      <c r="M356" s="33"/>
      <c r="N356" s="30"/>
      <c r="O356" s="30"/>
      <c r="P356" s="33"/>
    </row>
    <row r="357" spans="1:16" x14ac:dyDescent="0.25">
      <c r="A357" s="31"/>
      <c r="B357" s="30"/>
      <c r="C357" s="30"/>
      <c r="D357" s="30"/>
      <c r="E357" s="33"/>
      <c r="F357" s="30"/>
      <c r="G357" s="49"/>
      <c r="H357" s="52" t="str">
        <f t="shared" si="19"/>
        <v/>
      </c>
      <c r="I357" s="52" t="str">
        <f t="shared" si="20"/>
        <v/>
      </c>
      <c r="J357" s="53"/>
      <c r="K357" s="54" t="str">
        <f t="shared" si="21"/>
        <v/>
      </c>
      <c r="L357" s="33"/>
      <c r="M357" s="33"/>
      <c r="N357" s="30"/>
      <c r="O357" s="30"/>
      <c r="P357" s="33"/>
    </row>
    <row r="358" spans="1:16" x14ac:dyDescent="0.25">
      <c r="A358" s="31"/>
      <c r="B358" s="30"/>
      <c r="C358" s="30"/>
      <c r="D358" s="30"/>
      <c r="E358" s="33"/>
      <c r="F358" s="30"/>
      <c r="G358" s="49"/>
      <c r="H358" s="52" t="str">
        <f t="shared" si="19"/>
        <v/>
      </c>
      <c r="I358" s="52" t="str">
        <f t="shared" si="20"/>
        <v/>
      </c>
      <c r="J358" s="53"/>
      <c r="K358" s="54" t="str">
        <f t="shared" si="21"/>
        <v/>
      </c>
      <c r="L358" s="33"/>
      <c r="M358" s="33"/>
      <c r="N358" s="30"/>
      <c r="O358" s="30"/>
      <c r="P358" s="33"/>
    </row>
    <row r="359" spans="1:16" x14ac:dyDescent="0.25">
      <c r="A359" s="31"/>
      <c r="B359" s="30"/>
      <c r="C359" s="30"/>
      <c r="D359" s="30"/>
      <c r="E359" s="33"/>
      <c r="F359" s="30"/>
      <c r="G359" s="49"/>
      <c r="H359" s="52" t="str">
        <f t="shared" si="19"/>
        <v/>
      </c>
      <c r="I359" s="52" t="str">
        <f t="shared" si="20"/>
        <v/>
      </c>
      <c r="J359" s="53"/>
      <c r="K359" s="54" t="str">
        <f t="shared" si="21"/>
        <v/>
      </c>
      <c r="L359" s="33"/>
      <c r="M359" s="33"/>
      <c r="N359" s="30"/>
      <c r="O359" s="30"/>
      <c r="P359" s="33"/>
    </row>
    <row r="360" spans="1:16" x14ac:dyDescent="0.25">
      <c r="A360" s="31"/>
      <c r="B360" s="30"/>
      <c r="C360" s="30"/>
      <c r="D360" s="30"/>
      <c r="E360" s="33"/>
      <c r="F360" s="30"/>
      <c r="G360" s="49"/>
      <c r="H360" s="52" t="str">
        <f t="shared" si="19"/>
        <v/>
      </c>
      <c r="I360" s="52" t="str">
        <f t="shared" si="20"/>
        <v/>
      </c>
      <c r="J360" s="53"/>
      <c r="K360" s="54" t="str">
        <f t="shared" si="21"/>
        <v/>
      </c>
      <c r="L360" s="33"/>
      <c r="M360" s="33"/>
      <c r="N360" s="30"/>
      <c r="O360" s="30"/>
      <c r="P360" s="33"/>
    </row>
    <row r="361" spans="1:16" x14ac:dyDescent="0.25">
      <c r="A361" s="31"/>
      <c r="B361" s="30"/>
      <c r="C361" s="30"/>
      <c r="D361" s="30"/>
      <c r="E361" s="33"/>
      <c r="F361" s="30"/>
      <c r="G361" s="49"/>
      <c r="H361" s="52" t="str">
        <f t="shared" si="19"/>
        <v/>
      </c>
      <c r="I361" s="52" t="str">
        <f t="shared" si="20"/>
        <v/>
      </c>
      <c r="J361" s="53"/>
      <c r="K361" s="54" t="str">
        <f t="shared" si="21"/>
        <v/>
      </c>
      <c r="L361" s="33"/>
      <c r="M361" s="33"/>
      <c r="N361" s="30"/>
      <c r="O361" s="30"/>
      <c r="P361" s="33"/>
    </row>
    <row r="362" spans="1:16" x14ac:dyDescent="0.25">
      <c r="A362" s="31"/>
      <c r="B362" s="30"/>
      <c r="C362" s="30"/>
      <c r="D362" s="30"/>
      <c r="E362" s="33"/>
      <c r="F362" s="30"/>
      <c r="G362" s="49"/>
      <c r="H362" s="52" t="str">
        <f t="shared" si="19"/>
        <v/>
      </c>
      <c r="I362" s="52" t="str">
        <f t="shared" si="20"/>
        <v/>
      </c>
      <c r="J362" s="53"/>
      <c r="K362" s="54" t="str">
        <f t="shared" si="21"/>
        <v/>
      </c>
      <c r="L362" s="33"/>
      <c r="M362" s="33"/>
      <c r="N362" s="30"/>
      <c r="O362" s="30"/>
      <c r="P362" s="33"/>
    </row>
    <row r="363" spans="1:16" x14ac:dyDescent="0.25">
      <c r="A363" s="31"/>
      <c r="B363" s="30"/>
      <c r="C363" s="30"/>
      <c r="D363" s="30"/>
      <c r="E363" s="33"/>
      <c r="F363" s="30"/>
      <c r="G363" s="49"/>
      <c r="H363" s="52" t="str">
        <f t="shared" si="19"/>
        <v/>
      </c>
      <c r="I363" s="52" t="str">
        <f t="shared" si="20"/>
        <v/>
      </c>
      <c r="J363" s="53"/>
      <c r="K363" s="54" t="str">
        <f t="shared" si="21"/>
        <v/>
      </c>
      <c r="L363" s="33"/>
      <c r="M363" s="33"/>
      <c r="N363" s="30"/>
      <c r="O363" s="30"/>
      <c r="P363" s="33"/>
    </row>
    <row r="364" spans="1:16" x14ac:dyDescent="0.25">
      <c r="A364" s="31"/>
      <c r="B364" s="30"/>
      <c r="C364" s="30"/>
      <c r="D364" s="30"/>
      <c r="E364" s="33"/>
      <c r="F364" s="30"/>
      <c r="G364" s="49"/>
      <c r="H364" s="52" t="str">
        <f t="shared" si="19"/>
        <v/>
      </c>
      <c r="I364" s="52" t="str">
        <f t="shared" si="20"/>
        <v/>
      </c>
      <c r="J364" s="53"/>
      <c r="K364" s="54" t="str">
        <f t="shared" si="21"/>
        <v/>
      </c>
      <c r="L364" s="33"/>
      <c r="M364" s="33"/>
      <c r="N364" s="30"/>
      <c r="O364" s="30"/>
      <c r="P364" s="33"/>
    </row>
    <row r="365" spans="1:16" x14ac:dyDescent="0.25">
      <c r="A365" s="31"/>
      <c r="B365" s="30"/>
      <c r="C365" s="30"/>
      <c r="D365" s="30"/>
      <c r="E365" s="33"/>
      <c r="F365" s="30"/>
      <c r="G365" s="49"/>
      <c r="H365" s="52" t="str">
        <f t="shared" si="19"/>
        <v/>
      </c>
      <c r="I365" s="52" t="str">
        <f t="shared" si="20"/>
        <v/>
      </c>
      <c r="J365" s="53"/>
      <c r="K365" s="54" t="str">
        <f t="shared" si="21"/>
        <v/>
      </c>
      <c r="L365" s="33"/>
      <c r="M365" s="33"/>
      <c r="N365" s="30"/>
      <c r="O365" s="30"/>
      <c r="P365" s="33"/>
    </row>
    <row r="366" spans="1:16" x14ac:dyDescent="0.25">
      <c r="A366" s="31"/>
      <c r="B366" s="30"/>
      <c r="C366" s="30"/>
      <c r="D366" s="30"/>
      <c r="E366" s="33"/>
      <c r="F366" s="30"/>
      <c r="G366" s="49"/>
      <c r="H366" s="52" t="str">
        <f t="shared" si="19"/>
        <v/>
      </c>
      <c r="I366" s="52" t="str">
        <f t="shared" si="20"/>
        <v/>
      </c>
      <c r="J366" s="53"/>
      <c r="K366" s="54" t="str">
        <f t="shared" si="21"/>
        <v/>
      </c>
      <c r="L366" s="33"/>
      <c r="M366" s="33"/>
      <c r="N366" s="30"/>
      <c r="O366" s="30"/>
      <c r="P366" s="33"/>
    </row>
    <row r="367" spans="1:16" x14ac:dyDescent="0.25">
      <c r="A367" s="31"/>
      <c r="B367" s="30"/>
      <c r="C367" s="30"/>
      <c r="D367" s="30"/>
      <c r="E367" s="33"/>
      <c r="F367" s="30"/>
      <c r="G367" s="49"/>
      <c r="H367" s="52" t="str">
        <f t="shared" si="19"/>
        <v/>
      </c>
      <c r="I367" s="52" t="str">
        <f t="shared" si="20"/>
        <v/>
      </c>
      <c r="J367" s="53"/>
      <c r="K367" s="54" t="str">
        <f t="shared" si="21"/>
        <v/>
      </c>
      <c r="L367" s="33"/>
      <c r="M367" s="33"/>
      <c r="N367" s="30"/>
      <c r="O367" s="30"/>
      <c r="P367" s="33"/>
    </row>
    <row r="368" spans="1:16" x14ac:dyDescent="0.25">
      <c r="A368" s="31"/>
      <c r="B368" s="30"/>
      <c r="C368" s="30"/>
      <c r="D368" s="30"/>
      <c r="E368" s="33"/>
      <c r="F368" s="30"/>
      <c r="G368" s="49"/>
      <c r="H368" s="52" t="str">
        <f t="shared" si="19"/>
        <v/>
      </c>
      <c r="I368" s="52" t="str">
        <f t="shared" si="20"/>
        <v/>
      </c>
      <c r="J368" s="53"/>
      <c r="K368" s="54" t="str">
        <f t="shared" si="21"/>
        <v/>
      </c>
      <c r="L368" s="33"/>
      <c r="M368" s="33"/>
      <c r="N368" s="30"/>
      <c r="O368" s="30"/>
      <c r="P368" s="33"/>
    </row>
    <row r="369" spans="1:16" x14ac:dyDescent="0.25">
      <c r="A369" s="31"/>
      <c r="B369" s="30"/>
      <c r="C369" s="30"/>
      <c r="D369" s="30"/>
      <c r="E369" s="33"/>
      <c r="F369" s="30"/>
      <c r="G369" s="49"/>
      <c r="H369" s="52" t="str">
        <f t="shared" si="19"/>
        <v/>
      </c>
      <c r="I369" s="52" t="str">
        <f t="shared" si="20"/>
        <v/>
      </c>
      <c r="J369" s="53"/>
      <c r="K369" s="54" t="str">
        <f t="shared" si="21"/>
        <v/>
      </c>
      <c r="L369" s="33"/>
      <c r="M369" s="33"/>
      <c r="N369" s="30"/>
      <c r="O369" s="30"/>
      <c r="P369" s="33"/>
    </row>
    <row r="370" spans="1:16" x14ac:dyDescent="0.25">
      <c r="A370" s="31"/>
      <c r="B370" s="30"/>
      <c r="C370" s="30"/>
      <c r="D370" s="30"/>
      <c r="E370" s="33"/>
      <c r="F370" s="30"/>
      <c r="G370" s="49"/>
      <c r="H370" s="52" t="str">
        <f t="shared" si="19"/>
        <v/>
      </c>
      <c r="I370" s="52" t="str">
        <f t="shared" si="20"/>
        <v/>
      </c>
      <c r="J370" s="53"/>
      <c r="K370" s="54" t="str">
        <f t="shared" si="21"/>
        <v/>
      </c>
      <c r="L370" s="33"/>
      <c r="M370" s="33"/>
      <c r="N370" s="30"/>
      <c r="O370" s="30"/>
      <c r="P370" s="33"/>
    </row>
    <row r="371" spans="1:16" x14ac:dyDescent="0.25">
      <c r="A371" s="31"/>
      <c r="B371" s="30"/>
      <c r="C371" s="30"/>
      <c r="D371" s="30"/>
      <c r="E371" s="33"/>
      <c r="F371" s="30"/>
      <c r="G371" s="49"/>
      <c r="H371" s="52" t="str">
        <f t="shared" si="19"/>
        <v/>
      </c>
      <c r="I371" s="52" t="str">
        <f t="shared" si="20"/>
        <v/>
      </c>
      <c r="J371" s="53"/>
      <c r="K371" s="54" t="str">
        <f t="shared" si="21"/>
        <v/>
      </c>
      <c r="L371" s="33"/>
      <c r="M371" s="33"/>
      <c r="N371" s="30"/>
      <c r="O371" s="30"/>
      <c r="P371" s="33"/>
    </row>
    <row r="372" spans="1:16" x14ac:dyDescent="0.25">
      <c r="A372" s="31"/>
      <c r="B372" s="30"/>
      <c r="C372" s="30"/>
      <c r="D372" s="30"/>
      <c r="E372" s="33"/>
      <c r="F372" s="30"/>
      <c r="G372" s="49"/>
      <c r="H372" s="52" t="str">
        <f t="shared" si="19"/>
        <v/>
      </c>
      <c r="I372" s="52" t="str">
        <f t="shared" si="20"/>
        <v/>
      </c>
      <c r="J372" s="53"/>
      <c r="K372" s="54" t="str">
        <f t="shared" si="21"/>
        <v/>
      </c>
      <c r="L372" s="33"/>
      <c r="M372" s="33"/>
      <c r="N372" s="30"/>
      <c r="O372" s="30"/>
      <c r="P372" s="33"/>
    </row>
    <row r="373" spans="1:16" x14ac:dyDescent="0.25">
      <c r="A373" s="31"/>
      <c r="B373" s="30"/>
      <c r="C373" s="30"/>
      <c r="D373" s="30"/>
      <c r="E373" s="33"/>
      <c r="F373" s="30"/>
      <c r="G373" s="49"/>
      <c r="H373" s="52" t="str">
        <f t="shared" si="19"/>
        <v/>
      </c>
      <c r="I373" s="52" t="str">
        <f t="shared" si="20"/>
        <v/>
      </c>
      <c r="J373" s="53"/>
      <c r="K373" s="54" t="str">
        <f t="shared" si="21"/>
        <v/>
      </c>
      <c r="L373" s="33"/>
      <c r="M373" s="33"/>
      <c r="N373" s="30"/>
      <c r="O373" s="30"/>
      <c r="P373" s="33"/>
    </row>
    <row r="374" spans="1:16" x14ac:dyDescent="0.25">
      <c r="A374" s="31"/>
      <c r="B374" s="30"/>
      <c r="C374" s="30"/>
      <c r="D374" s="30"/>
      <c r="E374" s="33"/>
      <c r="F374" s="30"/>
      <c r="G374" s="49"/>
      <c r="H374" s="52" t="str">
        <f t="shared" si="19"/>
        <v/>
      </c>
      <c r="I374" s="52" t="str">
        <f t="shared" si="20"/>
        <v/>
      </c>
      <c r="J374" s="53"/>
      <c r="K374" s="54" t="str">
        <f t="shared" si="21"/>
        <v/>
      </c>
      <c r="L374" s="33"/>
      <c r="M374" s="33"/>
      <c r="N374" s="30"/>
      <c r="O374" s="30"/>
      <c r="P374" s="33"/>
    </row>
    <row r="375" spans="1:16" x14ac:dyDescent="0.25">
      <c r="A375" s="31"/>
      <c r="B375" s="30"/>
      <c r="C375" s="30"/>
      <c r="D375" s="30"/>
      <c r="E375" s="33"/>
      <c r="F375" s="30"/>
      <c r="G375" s="49"/>
      <c r="H375" s="52" t="str">
        <f t="shared" si="19"/>
        <v/>
      </c>
      <c r="I375" s="52" t="str">
        <f t="shared" si="20"/>
        <v/>
      </c>
      <c r="J375" s="53"/>
      <c r="K375" s="54" t="str">
        <f t="shared" si="21"/>
        <v/>
      </c>
      <c r="L375" s="33"/>
      <c r="M375" s="33"/>
      <c r="N375" s="30"/>
      <c r="O375" s="30"/>
      <c r="P375" s="33"/>
    </row>
    <row r="376" spans="1:16" x14ac:dyDescent="0.25">
      <c r="A376" s="31"/>
      <c r="B376" s="30"/>
      <c r="C376" s="30"/>
      <c r="D376" s="30"/>
      <c r="E376" s="33"/>
      <c r="F376" s="30"/>
      <c r="G376" s="49"/>
      <c r="H376" s="52" t="str">
        <f t="shared" si="19"/>
        <v/>
      </c>
      <c r="I376" s="52" t="str">
        <f t="shared" si="20"/>
        <v/>
      </c>
      <c r="J376" s="53"/>
      <c r="K376" s="54" t="str">
        <f t="shared" si="21"/>
        <v/>
      </c>
      <c r="L376" s="33"/>
      <c r="M376" s="33"/>
      <c r="N376" s="30"/>
      <c r="O376" s="30"/>
      <c r="P376" s="33"/>
    </row>
    <row r="377" spans="1:16" x14ac:dyDescent="0.25">
      <c r="A377" s="31"/>
      <c r="B377" s="30"/>
      <c r="C377" s="30"/>
      <c r="D377" s="30"/>
      <c r="E377" s="33"/>
      <c r="F377" s="30"/>
      <c r="G377" s="49"/>
      <c r="H377" s="52" t="str">
        <f t="shared" si="19"/>
        <v/>
      </c>
      <c r="I377" s="52" t="str">
        <f t="shared" si="20"/>
        <v/>
      </c>
      <c r="J377" s="53"/>
      <c r="K377" s="54" t="str">
        <f t="shared" si="21"/>
        <v/>
      </c>
      <c r="L377" s="33"/>
      <c r="M377" s="33"/>
      <c r="N377" s="30"/>
      <c r="O377" s="30"/>
      <c r="P377" s="33"/>
    </row>
    <row r="378" spans="1:16" x14ac:dyDescent="0.25">
      <c r="A378" s="31"/>
      <c r="B378" s="30"/>
      <c r="C378" s="30"/>
      <c r="D378" s="30"/>
      <c r="E378" s="33"/>
      <c r="F378" s="30"/>
      <c r="G378" s="49"/>
      <c r="H378" s="52" t="str">
        <f t="shared" si="19"/>
        <v/>
      </c>
      <c r="I378" s="52" t="str">
        <f t="shared" si="20"/>
        <v/>
      </c>
      <c r="J378" s="53"/>
      <c r="K378" s="54" t="str">
        <f t="shared" si="21"/>
        <v/>
      </c>
      <c r="L378" s="33"/>
      <c r="M378" s="33"/>
      <c r="N378" s="30"/>
      <c r="O378" s="30"/>
      <c r="P378" s="33"/>
    </row>
    <row r="379" spans="1:16" x14ac:dyDescent="0.25">
      <c r="A379" s="31"/>
      <c r="B379" s="30"/>
      <c r="C379" s="30"/>
      <c r="D379" s="30"/>
      <c r="E379" s="33"/>
      <c r="F379" s="30"/>
      <c r="G379" s="49"/>
      <c r="H379" s="52" t="str">
        <f t="shared" si="19"/>
        <v/>
      </c>
      <c r="I379" s="52" t="str">
        <f t="shared" si="20"/>
        <v/>
      </c>
      <c r="J379" s="53"/>
      <c r="K379" s="54" t="str">
        <f t="shared" si="21"/>
        <v/>
      </c>
      <c r="L379" s="33"/>
      <c r="M379" s="33"/>
      <c r="N379" s="30"/>
      <c r="O379" s="30"/>
      <c r="P379" s="33"/>
    </row>
    <row r="380" spans="1:16" x14ac:dyDescent="0.25">
      <c r="A380" s="31"/>
      <c r="B380" s="30"/>
      <c r="C380" s="30"/>
      <c r="D380" s="30"/>
      <c r="E380" s="33"/>
      <c r="F380" s="30"/>
      <c r="G380" s="49"/>
      <c r="H380" s="52" t="str">
        <f t="shared" si="19"/>
        <v/>
      </c>
      <c r="I380" s="52" t="str">
        <f t="shared" si="20"/>
        <v/>
      </c>
      <c r="J380" s="53"/>
      <c r="K380" s="54" t="str">
        <f t="shared" si="21"/>
        <v/>
      </c>
      <c r="L380" s="33"/>
      <c r="M380" s="33"/>
      <c r="N380" s="30"/>
      <c r="O380" s="30"/>
      <c r="P380" s="33"/>
    </row>
    <row r="381" spans="1:16" x14ac:dyDescent="0.25">
      <c r="A381" s="31"/>
      <c r="B381" s="30"/>
      <c r="C381" s="30"/>
      <c r="D381" s="30"/>
      <c r="E381" s="33"/>
      <c r="F381" s="30"/>
      <c r="G381" s="49"/>
      <c r="H381" s="52" t="str">
        <f t="shared" si="19"/>
        <v/>
      </c>
      <c r="I381" s="52" t="str">
        <f t="shared" si="20"/>
        <v/>
      </c>
      <c r="J381" s="53"/>
      <c r="K381" s="54" t="str">
        <f t="shared" si="21"/>
        <v/>
      </c>
      <c r="L381" s="33"/>
      <c r="M381" s="33"/>
      <c r="N381" s="30"/>
      <c r="O381" s="30"/>
      <c r="P381" s="33"/>
    </row>
    <row r="382" spans="1:16" x14ac:dyDescent="0.25">
      <c r="A382" s="31"/>
      <c r="B382" s="30"/>
      <c r="C382" s="30"/>
      <c r="D382" s="30"/>
      <c r="E382" s="33"/>
      <c r="F382" s="30"/>
      <c r="G382" s="49"/>
      <c r="H382" s="52" t="str">
        <f t="shared" si="19"/>
        <v/>
      </c>
      <c r="I382" s="52" t="str">
        <f t="shared" si="20"/>
        <v/>
      </c>
      <c r="J382" s="53"/>
      <c r="K382" s="54" t="str">
        <f t="shared" si="21"/>
        <v/>
      </c>
      <c r="L382" s="33"/>
      <c r="M382" s="33"/>
      <c r="N382" s="30"/>
      <c r="O382" s="30"/>
      <c r="P382" s="33"/>
    </row>
    <row r="383" spans="1:16" x14ac:dyDescent="0.25">
      <c r="A383" s="31"/>
      <c r="B383" s="30"/>
      <c r="C383" s="30"/>
      <c r="D383" s="30"/>
      <c r="E383" s="33"/>
      <c r="F383" s="30"/>
      <c r="G383" s="49"/>
      <c r="H383" s="52" t="str">
        <f t="shared" si="19"/>
        <v/>
      </c>
      <c r="I383" s="52" t="str">
        <f t="shared" si="20"/>
        <v/>
      </c>
      <c r="J383" s="53"/>
      <c r="K383" s="54" t="str">
        <f t="shared" si="21"/>
        <v/>
      </c>
      <c r="L383" s="33"/>
      <c r="M383" s="33"/>
      <c r="N383" s="30"/>
      <c r="O383" s="30"/>
      <c r="P383" s="33"/>
    </row>
    <row r="384" spans="1:16" x14ac:dyDescent="0.25">
      <c r="A384" s="31"/>
      <c r="B384" s="30"/>
      <c r="C384" s="30"/>
      <c r="D384" s="30"/>
      <c r="E384" s="33"/>
      <c r="F384" s="30"/>
      <c r="G384" s="49"/>
      <c r="H384" s="52" t="str">
        <f t="shared" si="19"/>
        <v/>
      </c>
      <c r="I384" s="52" t="str">
        <f t="shared" si="20"/>
        <v/>
      </c>
      <c r="J384" s="53"/>
      <c r="K384" s="54" t="str">
        <f t="shared" si="21"/>
        <v/>
      </c>
      <c r="L384" s="33"/>
      <c r="M384" s="33"/>
      <c r="N384" s="30"/>
      <c r="O384" s="30"/>
      <c r="P384" s="33"/>
    </row>
    <row r="385" spans="1:16" x14ac:dyDescent="0.25">
      <c r="A385" s="31"/>
      <c r="B385" s="30"/>
      <c r="C385" s="30"/>
      <c r="D385" s="30"/>
      <c r="E385" s="33"/>
      <c r="F385" s="30"/>
      <c r="G385" s="49"/>
      <c r="H385" s="52" t="str">
        <f t="shared" si="19"/>
        <v/>
      </c>
      <c r="I385" s="52" t="str">
        <f t="shared" si="20"/>
        <v/>
      </c>
      <c r="J385" s="53"/>
      <c r="K385" s="54" t="str">
        <f t="shared" si="21"/>
        <v/>
      </c>
      <c r="L385" s="33"/>
      <c r="M385" s="33"/>
      <c r="N385" s="30"/>
      <c r="O385" s="30"/>
      <c r="P385" s="33"/>
    </row>
    <row r="386" spans="1:16" x14ac:dyDescent="0.25">
      <c r="A386" s="31"/>
      <c r="B386" s="30"/>
      <c r="C386" s="30"/>
      <c r="D386" s="30"/>
      <c r="E386" s="33"/>
      <c r="F386" s="30"/>
      <c r="G386" s="49"/>
      <c r="H386" s="52" t="str">
        <f t="shared" si="19"/>
        <v/>
      </c>
      <c r="I386" s="52" t="str">
        <f t="shared" si="20"/>
        <v/>
      </c>
      <c r="J386" s="53"/>
      <c r="K386" s="54" t="str">
        <f t="shared" si="21"/>
        <v/>
      </c>
      <c r="L386" s="33"/>
      <c r="M386" s="33"/>
      <c r="N386" s="30"/>
      <c r="O386" s="30"/>
      <c r="P386" s="33"/>
    </row>
    <row r="387" spans="1:16" x14ac:dyDescent="0.25">
      <c r="A387" s="31"/>
      <c r="B387" s="30"/>
      <c r="C387" s="30"/>
      <c r="D387" s="30"/>
      <c r="E387" s="33"/>
      <c r="F387" s="30"/>
      <c r="G387" s="49"/>
      <c r="H387" s="52" t="str">
        <f t="shared" si="19"/>
        <v/>
      </c>
      <c r="I387" s="52" t="str">
        <f t="shared" si="20"/>
        <v/>
      </c>
      <c r="J387" s="53"/>
      <c r="K387" s="54" t="str">
        <f t="shared" si="21"/>
        <v/>
      </c>
      <c r="L387" s="33"/>
      <c r="M387" s="33"/>
      <c r="N387" s="30"/>
      <c r="O387" s="30"/>
      <c r="P387" s="33"/>
    </row>
    <row r="388" spans="1:16" x14ac:dyDescent="0.25">
      <c r="A388" s="31"/>
      <c r="B388" s="30"/>
      <c r="C388" s="30"/>
      <c r="D388" s="30"/>
      <c r="E388" s="33"/>
      <c r="F388" s="30"/>
      <c r="G388" s="49"/>
      <c r="H388" s="52" t="str">
        <f t="shared" si="19"/>
        <v/>
      </c>
      <c r="I388" s="52" t="str">
        <f t="shared" si="20"/>
        <v/>
      </c>
      <c r="J388" s="53"/>
      <c r="K388" s="54" t="str">
        <f t="shared" si="21"/>
        <v/>
      </c>
      <c r="L388" s="33"/>
      <c r="M388" s="33"/>
      <c r="N388" s="30"/>
      <c r="O388" s="30"/>
      <c r="P388" s="33"/>
    </row>
    <row r="389" spans="1:16" x14ac:dyDescent="0.25">
      <c r="A389" s="31"/>
      <c r="B389" s="30"/>
      <c r="C389" s="30"/>
      <c r="D389" s="30"/>
      <c r="E389" s="33"/>
      <c r="F389" s="30"/>
      <c r="G389" s="49"/>
      <c r="H389" s="52" t="str">
        <f t="shared" ref="H389:H452" si="22">IF($A389="","",IF(OR($C389="ENTRADA",$C389="DEVOLUÇÃO"),$G389,0))</f>
        <v/>
      </c>
      <c r="I389" s="52" t="str">
        <f t="shared" ref="I389:I452" si="23">IF($A389="","",IF(OR($C389="SAÍDA",$C389="PERDA / QUEBRA",$C389="TRANSFERÊNCIA"),$G389,0))</f>
        <v/>
      </c>
      <c r="J389" s="53"/>
      <c r="K389" s="54" t="str">
        <f t="shared" ref="K389:K452" si="24">IF($A389="","",$G389*$J389)</f>
        <v/>
      </c>
      <c r="L389" s="33"/>
      <c r="M389" s="33"/>
      <c r="N389" s="30"/>
      <c r="O389" s="30"/>
      <c r="P389" s="33"/>
    </row>
    <row r="390" spans="1:16" x14ac:dyDescent="0.25">
      <c r="A390" s="31"/>
      <c r="B390" s="30"/>
      <c r="C390" s="30"/>
      <c r="D390" s="30"/>
      <c r="E390" s="33"/>
      <c r="F390" s="30"/>
      <c r="G390" s="49"/>
      <c r="H390" s="52" t="str">
        <f t="shared" si="22"/>
        <v/>
      </c>
      <c r="I390" s="52" t="str">
        <f t="shared" si="23"/>
        <v/>
      </c>
      <c r="J390" s="53"/>
      <c r="K390" s="54" t="str">
        <f t="shared" si="24"/>
        <v/>
      </c>
      <c r="L390" s="33"/>
      <c r="M390" s="33"/>
      <c r="N390" s="30"/>
      <c r="O390" s="30"/>
      <c r="P390" s="33"/>
    </row>
    <row r="391" spans="1:16" x14ac:dyDescent="0.25">
      <c r="A391" s="31"/>
      <c r="B391" s="30"/>
      <c r="C391" s="30"/>
      <c r="D391" s="30"/>
      <c r="E391" s="33"/>
      <c r="F391" s="30"/>
      <c r="G391" s="49"/>
      <c r="H391" s="52" t="str">
        <f t="shared" si="22"/>
        <v/>
      </c>
      <c r="I391" s="52" t="str">
        <f t="shared" si="23"/>
        <v/>
      </c>
      <c r="J391" s="53"/>
      <c r="K391" s="54" t="str">
        <f t="shared" si="24"/>
        <v/>
      </c>
      <c r="L391" s="33"/>
      <c r="M391" s="33"/>
      <c r="N391" s="30"/>
      <c r="O391" s="30"/>
      <c r="P391" s="33"/>
    </row>
    <row r="392" spans="1:16" x14ac:dyDescent="0.25">
      <c r="A392" s="31"/>
      <c r="B392" s="30"/>
      <c r="C392" s="30"/>
      <c r="D392" s="30"/>
      <c r="E392" s="33"/>
      <c r="F392" s="30"/>
      <c r="G392" s="49"/>
      <c r="H392" s="52" t="str">
        <f t="shared" si="22"/>
        <v/>
      </c>
      <c r="I392" s="52" t="str">
        <f t="shared" si="23"/>
        <v/>
      </c>
      <c r="J392" s="53"/>
      <c r="K392" s="54" t="str">
        <f t="shared" si="24"/>
        <v/>
      </c>
      <c r="L392" s="33"/>
      <c r="M392" s="33"/>
      <c r="N392" s="30"/>
      <c r="O392" s="30"/>
      <c r="P392" s="33"/>
    </row>
    <row r="393" spans="1:16" x14ac:dyDescent="0.25">
      <c r="A393" s="31"/>
      <c r="B393" s="30"/>
      <c r="C393" s="30"/>
      <c r="D393" s="30"/>
      <c r="E393" s="33"/>
      <c r="F393" s="30"/>
      <c r="G393" s="49"/>
      <c r="H393" s="52" t="str">
        <f t="shared" si="22"/>
        <v/>
      </c>
      <c r="I393" s="52" t="str">
        <f t="shared" si="23"/>
        <v/>
      </c>
      <c r="J393" s="53"/>
      <c r="K393" s="54" t="str">
        <f t="shared" si="24"/>
        <v/>
      </c>
      <c r="L393" s="33"/>
      <c r="M393" s="33"/>
      <c r="N393" s="30"/>
      <c r="O393" s="30"/>
      <c r="P393" s="33"/>
    </row>
    <row r="394" spans="1:16" x14ac:dyDescent="0.25">
      <c r="A394" s="31"/>
      <c r="B394" s="30"/>
      <c r="C394" s="30"/>
      <c r="D394" s="30"/>
      <c r="E394" s="33"/>
      <c r="F394" s="30"/>
      <c r="G394" s="49"/>
      <c r="H394" s="52" t="str">
        <f t="shared" si="22"/>
        <v/>
      </c>
      <c r="I394" s="52" t="str">
        <f t="shared" si="23"/>
        <v/>
      </c>
      <c r="J394" s="53"/>
      <c r="K394" s="54" t="str">
        <f t="shared" si="24"/>
        <v/>
      </c>
      <c r="L394" s="33"/>
      <c r="M394" s="33"/>
      <c r="N394" s="30"/>
      <c r="O394" s="30"/>
      <c r="P394" s="33"/>
    </row>
    <row r="395" spans="1:16" x14ac:dyDescent="0.25">
      <c r="A395" s="31"/>
      <c r="B395" s="30"/>
      <c r="C395" s="30"/>
      <c r="D395" s="30"/>
      <c r="E395" s="33"/>
      <c r="F395" s="30"/>
      <c r="G395" s="49"/>
      <c r="H395" s="52" t="str">
        <f t="shared" si="22"/>
        <v/>
      </c>
      <c r="I395" s="52" t="str">
        <f t="shared" si="23"/>
        <v/>
      </c>
      <c r="J395" s="53"/>
      <c r="K395" s="54" t="str">
        <f t="shared" si="24"/>
        <v/>
      </c>
      <c r="L395" s="33"/>
      <c r="M395" s="33"/>
      <c r="N395" s="30"/>
      <c r="O395" s="30"/>
      <c r="P395" s="33"/>
    </row>
    <row r="396" spans="1:16" x14ac:dyDescent="0.25">
      <c r="A396" s="31"/>
      <c r="B396" s="30"/>
      <c r="C396" s="30"/>
      <c r="D396" s="30"/>
      <c r="E396" s="33"/>
      <c r="F396" s="30"/>
      <c r="G396" s="49"/>
      <c r="H396" s="52" t="str">
        <f t="shared" si="22"/>
        <v/>
      </c>
      <c r="I396" s="52" t="str">
        <f t="shared" si="23"/>
        <v/>
      </c>
      <c r="J396" s="53"/>
      <c r="K396" s="54" t="str">
        <f t="shared" si="24"/>
        <v/>
      </c>
      <c r="L396" s="33"/>
      <c r="M396" s="33"/>
      <c r="N396" s="30"/>
      <c r="O396" s="30"/>
      <c r="P396" s="33"/>
    </row>
    <row r="397" spans="1:16" x14ac:dyDescent="0.25">
      <c r="A397" s="31"/>
      <c r="B397" s="30"/>
      <c r="C397" s="30"/>
      <c r="D397" s="30"/>
      <c r="E397" s="33"/>
      <c r="F397" s="30"/>
      <c r="G397" s="49"/>
      <c r="H397" s="52" t="str">
        <f t="shared" si="22"/>
        <v/>
      </c>
      <c r="I397" s="52" t="str">
        <f t="shared" si="23"/>
        <v/>
      </c>
      <c r="J397" s="53"/>
      <c r="K397" s="54" t="str">
        <f t="shared" si="24"/>
        <v/>
      </c>
      <c r="L397" s="33"/>
      <c r="M397" s="33"/>
      <c r="N397" s="30"/>
      <c r="O397" s="30"/>
      <c r="P397" s="33"/>
    </row>
    <row r="398" spans="1:16" x14ac:dyDescent="0.25">
      <c r="A398" s="31"/>
      <c r="B398" s="30"/>
      <c r="C398" s="30"/>
      <c r="D398" s="30"/>
      <c r="E398" s="33"/>
      <c r="F398" s="30"/>
      <c r="G398" s="49"/>
      <c r="H398" s="52" t="str">
        <f t="shared" si="22"/>
        <v/>
      </c>
      <c r="I398" s="52" t="str">
        <f t="shared" si="23"/>
        <v/>
      </c>
      <c r="J398" s="53"/>
      <c r="K398" s="54" t="str">
        <f t="shared" si="24"/>
        <v/>
      </c>
      <c r="L398" s="33"/>
      <c r="M398" s="33"/>
      <c r="N398" s="30"/>
      <c r="O398" s="30"/>
      <c r="P398" s="33"/>
    </row>
    <row r="399" spans="1:16" x14ac:dyDescent="0.25">
      <c r="A399" s="31"/>
      <c r="B399" s="30"/>
      <c r="C399" s="30"/>
      <c r="D399" s="30"/>
      <c r="E399" s="33"/>
      <c r="F399" s="30"/>
      <c r="G399" s="49"/>
      <c r="H399" s="52" t="str">
        <f t="shared" si="22"/>
        <v/>
      </c>
      <c r="I399" s="52" t="str">
        <f t="shared" si="23"/>
        <v/>
      </c>
      <c r="J399" s="53"/>
      <c r="K399" s="54" t="str">
        <f t="shared" si="24"/>
        <v/>
      </c>
      <c r="L399" s="33"/>
      <c r="M399" s="33"/>
      <c r="N399" s="30"/>
      <c r="O399" s="30"/>
      <c r="P399" s="33"/>
    </row>
    <row r="400" spans="1:16" x14ac:dyDescent="0.25">
      <c r="A400" s="31"/>
      <c r="B400" s="30"/>
      <c r="C400" s="30"/>
      <c r="D400" s="30"/>
      <c r="E400" s="33"/>
      <c r="F400" s="30"/>
      <c r="G400" s="49"/>
      <c r="H400" s="52" t="str">
        <f t="shared" si="22"/>
        <v/>
      </c>
      <c r="I400" s="52" t="str">
        <f t="shared" si="23"/>
        <v/>
      </c>
      <c r="J400" s="53"/>
      <c r="K400" s="54" t="str">
        <f t="shared" si="24"/>
        <v/>
      </c>
      <c r="L400" s="33"/>
      <c r="M400" s="33"/>
      <c r="N400" s="30"/>
      <c r="O400" s="30"/>
      <c r="P400" s="33"/>
    </row>
    <row r="401" spans="1:16" x14ac:dyDescent="0.25">
      <c r="A401" s="31"/>
      <c r="B401" s="30"/>
      <c r="C401" s="30"/>
      <c r="D401" s="30"/>
      <c r="E401" s="33"/>
      <c r="F401" s="30"/>
      <c r="G401" s="49"/>
      <c r="H401" s="52" t="str">
        <f t="shared" si="22"/>
        <v/>
      </c>
      <c r="I401" s="52" t="str">
        <f t="shared" si="23"/>
        <v/>
      </c>
      <c r="J401" s="53"/>
      <c r="K401" s="54" t="str">
        <f t="shared" si="24"/>
        <v/>
      </c>
      <c r="L401" s="33"/>
      <c r="M401" s="33"/>
      <c r="N401" s="30"/>
      <c r="O401" s="30"/>
      <c r="P401" s="33"/>
    </row>
    <row r="402" spans="1:16" x14ac:dyDescent="0.25">
      <c r="A402" s="31"/>
      <c r="B402" s="30"/>
      <c r="C402" s="30"/>
      <c r="D402" s="30"/>
      <c r="E402" s="33"/>
      <c r="F402" s="30"/>
      <c r="G402" s="49"/>
      <c r="H402" s="52" t="str">
        <f t="shared" si="22"/>
        <v/>
      </c>
      <c r="I402" s="52" t="str">
        <f t="shared" si="23"/>
        <v/>
      </c>
      <c r="J402" s="53"/>
      <c r="K402" s="54" t="str">
        <f t="shared" si="24"/>
        <v/>
      </c>
      <c r="L402" s="33"/>
      <c r="M402" s="33"/>
      <c r="N402" s="30"/>
      <c r="O402" s="30"/>
      <c r="P402" s="33"/>
    </row>
    <row r="403" spans="1:16" x14ac:dyDescent="0.25">
      <c r="A403" s="31"/>
      <c r="B403" s="30"/>
      <c r="C403" s="30"/>
      <c r="D403" s="30"/>
      <c r="E403" s="33"/>
      <c r="F403" s="30"/>
      <c r="G403" s="49"/>
      <c r="H403" s="52" t="str">
        <f t="shared" si="22"/>
        <v/>
      </c>
      <c r="I403" s="52" t="str">
        <f t="shared" si="23"/>
        <v/>
      </c>
      <c r="J403" s="53"/>
      <c r="K403" s="54" t="str">
        <f t="shared" si="24"/>
        <v/>
      </c>
      <c r="L403" s="33"/>
      <c r="M403" s="33"/>
      <c r="N403" s="30"/>
      <c r="O403" s="30"/>
      <c r="P403" s="33"/>
    </row>
    <row r="404" spans="1:16" x14ac:dyDescent="0.25">
      <c r="A404" s="31"/>
      <c r="B404" s="30"/>
      <c r="C404" s="30"/>
      <c r="D404" s="30"/>
      <c r="E404" s="33"/>
      <c r="F404" s="30"/>
      <c r="G404" s="49"/>
      <c r="H404" s="52" t="str">
        <f t="shared" si="22"/>
        <v/>
      </c>
      <c r="I404" s="52" t="str">
        <f t="shared" si="23"/>
        <v/>
      </c>
      <c r="J404" s="53"/>
      <c r="K404" s="54" t="str">
        <f t="shared" si="24"/>
        <v/>
      </c>
      <c r="L404" s="33"/>
      <c r="M404" s="33"/>
      <c r="N404" s="30"/>
      <c r="O404" s="30"/>
      <c r="P404" s="33"/>
    </row>
    <row r="405" spans="1:16" x14ac:dyDescent="0.25">
      <c r="A405" s="31"/>
      <c r="B405" s="30"/>
      <c r="C405" s="30"/>
      <c r="D405" s="30"/>
      <c r="E405" s="33"/>
      <c r="F405" s="30"/>
      <c r="G405" s="49"/>
      <c r="H405" s="52" t="str">
        <f t="shared" si="22"/>
        <v/>
      </c>
      <c r="I405" s="52" t="str">
        <f t="shared" si="23"/>
        <v/>
      </c>
      <c r="J405" s="53"/>
      <c r="K405" s="54" t="str">
        <f t="shared" si="24"/>
        <v/>
      </c>
      <c r="L405" s="33"/>
      <c r="M405" s="33"/>
      <c r="N405" s="30"/>
      <c r="O405" s="30"/>
      <c r="P405" s="33"/>
    </row>
    <row r="406" spans="1:16" x14ac:dyDescent="0.25">
      <c r="A406" s="31"/>
      <c r="B406" s="30"/>
      <c r="C406" s="30"/>
      <c r="D406" s="30"/>
      <c r="E406" s="33"/>
      <c r="F406" s="30"/>
      <c r="G406" s="49"/>
      <c r="H406" s="52" t="str">
        <f t="shared" si="22"/>
        <v/>
      </c>
      <c r="I406" s="52" t="str">
        <f t="shared" si="23"/>
        <v/>
      </c>
      <c r="J406" s="53"/>
      <c r="K406" s="54" t="str">
        <f t="shared" si="24"/>
        <v/>
      </c>
      <c r="L406" s="33"/>
      <c r="M406" s="33"/>
      <c r="N406" s="30"/>
      <c r="O406" s="30"/>
      <c r="P406" s="33"/>
    </row>
    <row r="407" spans="1:16" x14ac:dyDescent="0.25">
      <c r="A407" s="31"/>
      <c r="B407" s="30"/>
      <c r="C407" s="30"/>
      <c r="D407" s="30"/>
      <c r="E407" s="33"/>
      <c r="F407" s="30"/>
      <c r="G407" s="49"/>
      <c r="H407" s="52" t="str">
        <f t="shared" si="22"/>
        <v/>
      </c>
      <c r="I407" s="52" t="str">
        <f t="shared" si="23"/>
        <v/>
      </c>
      <c r="J407" s="53"/>
      <c r="K407" s="54" t="str">
        <f t="shared" si="24"/>
        <v/>
      </c>
      <c r="L407" s="33"/>
      <c r="M407" s="33"/>
      <c r="N407" s="30"/>
      <c r="O407" s="30"/>
      <c r="P407" s="33"/>
    </row>
    <row r="408" spans="1:16" x14ac:dyDescent="0.25">
      <c r="A408" s="31"/>
      <c r="B408" s="30"/>
      <c r="C408" s="30"/>
      <c r="D408" s="30"/>
      <c r="E408" s="33"/>
      <c r="F408" s="30"/>
      <c r="G408" s="49"/>
      <c r="H408" s="52" t="str">
        <f t="shared" si="22"/>
        <v/>
      </c>
      <c r="I408" s="52" t="str">
        <f t="shared" si="23"/>
        <v/>
      </c>
      <c r="J408" s="53"/>
      <c r="K408" s="54" t="str">
        <f t="shared" si="24"/>
        <v/>
      </c>
      <c r="L408" s="33"/>
      <c r="M408" s="33"/>
      <c r="N408" s="30"/>
      <c r="O408" s="30"/>
      <c r="P408" s="33"/>
    </row>
    <row r="409" spans="1:16" x14ac:dyDescent="0.25">
      <c r="A409" s="31"/>
      <c r="B409" s="30"/>
      <c r="C409" s="30"/>
      <c r="D409" s="30"/>
      <c r="E409" s="33"/>
      <c r="F409" s="30"/>
      <c r="G409" s="49"/>
      <c r="H409" s="52" t="str">
        <f t="shared" si="22"/>
        <v/>
      </c>
      <c r="I409" s="52" t="str">
        <f t="shared" si="23"/>
        <v/>
      </c>
      <c r="J409" s="53"/>
      <c r="K409" s="54" t="str">
        <f t="shared" si="24"/>
        <v/>
      </c>
      <c r="L409" s="33"/>
      <c r="M409" s="33"/>
      <c r="N409" s="30"/>
      <c r="O409" s="30"/>
      <c r="P409" s="33"/>
    </row>
    <row r="410" spans="1:16" x14ac:dyDescent="0.25">
      <c r="A410" s="31"/>
      <c r="B410" s="30"/>
      <c r="C410" s="30"/>
      <c r="D410" s="30"/>
      <c r="E410" s="33"/>
      <c r="F410" s="30"/>
      <c r="G410" s="49"/>
      <c r="H410" s="52" t="str">
        <f t="shared" si="22"/>
        <v/>
      </c>
      <c r="I410" s="52" t="str">
        <f t="shared" si="23"/>
        <v/>
      </c>
      <c r="J410" s="53"/>
      <c r="K410" s="54" t="str">
        <f t="shared" si="24"/>
        <v/>
      </c>
      <c r="L410" s="33"/>
      <c r="M410" s="33"/>
      <c r="N410" s="30"/>
      <c r="O410" s="30"/>
      <c r="P410" s="33"/>
    </row>
    <row r="411" spans="1:16" x14ac:dyDescent="0.25">
      <c r="A411" s="31"/>
      <c r="B411" s="30"/>
      <c r="C411" s="30"/>
      <c r="D411" s="30"/>
      <c r="E411" s="33"/>
      <c r="F411" s="30"/>
      <c r="G411" s="49"/>
      <c r="H411" s="52" t="str">
        <f t="shared" si="22"/>
        <v/>
      </c>
      <c r="I411" s="52" t="str">
        <f t="shared" si="23"/>
        <v/>
      </c>
      <c r="J411" s="53"/>
      <c r="K411" s="54" t="str">
        <f t="shared" si="24"/>
        <v/>
      </c>
      <c r="L411" s="33"/>
      <c r="M411" s="33"/>
      <c r="N411" s="30"/>
      <c r="O411" s="30"/>
      <c r="P411" s="33"/>
    </row>
    <row r="412" spans="1:16" x14ac:dyDescent="0.25">
      <c r="A412" s="31"/>
      <c r="B412" s="30"/>
      <c r="C412" s="30"/>
      <c r="D412" s="30"/>
      <c r="E412" s="33"/>
      <c r="F412" s="30"/>
      <c r="G412" s="49"/>
      <c r="H412" s="52" t="str">
        <f t="shared" si="22"/>
        <v/>
      </c>
      <c r="I412" s="52" t="str">
        <f t="shared" si="23"/>
        <v/>
      </c>
      <c r="J412" s="53"/>
      <c r="K412" s="54" t="str">
        <f t="shared" si="24"/>
        <v/>
      </c>
      <c r="L412" s="33"/>
      <c r="M412" s="33"/>
      <c r="N412" s="30"/>
      <c r="O412" s="30"/>
      <c r="P412" s="33"/>
    </row>
    <row r="413" spans="1:16" x14ac:dyDescent="0.25">
      <c r="A413" s="31"/>
      <c r="B413" s="30"/>
      <c r="C413" s="30"/>
      <c r="D413" s="30"/>
      <c r="E413" s="33"/>
      <c r="F413" s="30"/>
      <c r="G413" s="49"/>
      <c r="H413" s="52" t="str">
        <f t="shared" si="22"/>
        <v/>
      </c>
      <c r="I413" s="52" t="str">
        <f t="shared" si="23"/>
        <v/>
      </c>
      <c r="J413" s="53"/>
      <c r="K413" s="54" t="str">
        <f t="shared" si="24"/>
        <v/>
      </c>
      <c r="L413" s="33"/>
      <c r="M413" s="33"/>
      <c r="N413" s="30"/>
      <c r="O413" s="30"/>
      <c r="P413" s="33"/>
    </row>
    <row r="414" spans="1:16" x14ac:dyDescent="0.25">
      <c r="A414" s="31"/>
      <c r="B414" s="30"/>
      <c r="C414" s="30"/>
      <c r="D414" s="30"/>
      <c r="E414" s="33"/>
      <c r="F414" s="30"/>
      <c r="G414" s="49"/>
      <c r="H414" s="52" t="str">
        <f t="shared" si="22"/>
        <v/>
      </c>
      <c r="I414" s="52" t="str">
        <f t="shared" si="23"/>
        <v/>
      </c>
      <c r="J414" s="53"/>
      <c r="K414" s="54" t="str">
        <f t="shared" si="24"/>
        <v/>
      </c>
      <c r="L414" s="33"/>
      <c r="M414" s="33"/>
      <c r="N414" s="30"/>
      <c r="O414" s="30"/>
      <c r="P414" s="33"/>
    </row>
    <row r="415" spans="1:16" x14ac:dyDescent="0.25">
      <c r="A415" s="31"/>
      <c r="B415" s="30"/>
      <c r="C415" s="30"/>
      <c r="D415" s="30"/>
      <c r="E415" s="33"/>
      <c r="F415" s="30"/>
      <c r="G415" s="49"/>
      <c r="H415" s="52" t="str">
        <f t="shared" si="22"/>
        <v/>
      </c>
      <c r="I415" s="52" t="str">
        <f t="shared" si="23"/>
        <v/>
      </c>
      <c r="J415" s="53"/>
      <c r="K415" s="54" t="str">
        <f t="shared" si="24"/>
        <v/>
      </c>
      <c r="L415" s="33"/>
      <c r="M415" s="33"/>
      <c r="N415" s="30"/>
      <c r="O415" s="30"/>
      <c r="P415" s="33"/>
    </row>
    <row r="416" spans="1:16" x14ac:dyDescent="0.25">
      <c r="A416" s="31"/>
      <c r="B416" s="30"/>
      <c r="C416" s="30"/>
      <c r="D416" s="30"/>
      <c r="E416" s="33"/>
      <c r="F416" s="30"/>
      <c r="G416" s="49"/>
      <c r="H416" s="52" t="str">
        <f t="shared" si="22"/>
        <v/>
      </c>
      <c r="I416" s="52" t="str">
        <f t="shared" si="23"/>
        <v/>
      </c>
      <c r="J416" s="53"/>
      <c r="K416" s="54" t="str">
        <f t="shared" si="24"/>
        <v/>
      </c>
      <c r="L416" s="33"/>
      <c r="M416" s="33"/>
      <c r="N416" s="30"/>
      <c r="O416" s="30"/>
      <c r="P416" s="33"/>
    </row>
    <row r="417" spans="1:16" x14ac:dyDescent="0.25">
      <c r="A417" s="31"/>
      <c r="B417" s="30"/>
      <c r="C417" s="30"/>
      <c r="D417" s="30"/>
      <c r="E417" s="33"/>
      <c r="F417" s="30"/>
      <c r="G417" s="49"/>
      <c r="H417" s="52" t="str">
        <f t="shared" si="22"/>
        <v/>
      </c>
      <c r="I417" s="52" t="str">
        <f t="shared" si="23"/>
        <v/>
      </c>
      <c r="J417" s="53"/>
      <c r="K417" s="54" t="str">
        <f t="shared" si="24"/>
        <v/>
      </c>
      <c r="L417" s="33"/>
      <c r="M417" s="33"/>
      <c r="N417" s="30"/>
      <c r="O417" s="30"/>
      <c r="P417" s="33"/>
    </row>
    <row r="418" spans="1:16" x14ac:dyDescent="0.25">
      <c r="A418" s="31"/>
      <c r="B418" s="30"/>
      <c r="C418" s="30"/>
      <c r="D418" s="30"/>
      <c r="E418" s="33"/>
      <c r="F418" s="30"/>
      <c r="G418" s="49"/>
      <c r="H418" s="52" t="str">
        <f t="shared" si="22"/>
        <v/>
      </c>
      <c r="I418" s="52" t="str">
        <f t="shared" si="23"/>
        <v/>
      </c>
      <c r="J418" s="53"/>
      <c r="K418" s="54" t="str">
        <f t="shared" si="24"/>
        <v/>
      </c>
      <c r="L418" s="33"/>
      <c r="M418" s="33"/>
      <c r="N418" s="30"/>
      <c r="O418" s="30"/>
      <c r="P418" s="33"/>
    </row>
    <row r="419" spans="1:16" x14ac:dyDescent="0.25">
      <c r="A419" s="31"/>
      <c r="B419" s="30"/>
      <c r="C419" s="30"/>
      <c r="D419" s="30"/>
      <c r="E419" s="33"/>
      <c r="F419" s="30"/>
      <c r="G419" s="49"/>
      <c r="H419" s="52" t="str">
        <f t="shared" si="22"/>
        <v/>
      </c>
      <c r="I419" s="52" t="str">
        <f t="shared" si="23"/>
        <v/>
      </c>
      <c r="J419" s="53"/>
      <c r="K419" s="54" t="str">
        <f t="shared" si="24"/>
        <v/>
      </c>
      <c r="L419" s="33"/>
      <c r="M419" s="33"/>
      <c r="N419" s="30"/>
      <c r="O419" s="30"/>
      <c r="P419" s="33"/>
    </row>
    <row r="420" spans="1:16" x14ac:dyDescent="0.25">
      <c r="A420" s="31"/>
      <c r="B420" s="30"/>
      <c r="C420" s="30"/>
      <c r="D420" s="30"/>
      <c r="E420" s="33"/>
      <c r="F420" s="30"/>
      <c r="G420" s="49"/>
      <c r="H420" s="52" t="str">
        <f t="shared" si="22"/>
        <v/>
      </c>
      <c r="I420" s="52" t="str">
        <f t="shared" si="23"/>
        <v/>
      </c>
      <c r="J420" s="53"/>
      <c r="K420" s="54" t="str">
        <f t="shared" si="24"/>
        <v/>
      </c>
      <c r="L420" s="33"/>
      <c r="M420" s="33"/>
      <c r="N420" s="30"/>
      <c r="O420" s="30"/>
      <c r="P420" s="33"/>
    </row>
    <row r="421" spans="1:16" x14ac:dyDescent="0.25">
      <c r="A421" s="31"/>
      <c r="B421" s="30"/>
      <c r="C421" s="30"/>
      <c r="D421" s="30"/>
      <c r="E421" s="33"/>
      <c r="F421" s="30"/>
      <c r="G421" s="49"/>
      <c r="H421" s="52" t="str">
        <f t="shared" si="22"/>
        <v/>
      </c>
      <c r="I421" s="52" t="str">
        <f t="shared" si="23"/>
        <v/>
      </c>
      <c r="J421" s="53"/>
      <c r="K421" s="54" t="str">
        <f t="shared" si="24"/>
        <v/>
      </c>
      <c r="L421" s="33"/>
      <c r="M421" s="33"/>
      <c r="N421" s="30"/>
      <c r="O421" s="30"/>
      <c r="P421" s="33"/>
    </row>
    <row r="422" spans="1:16" x14ac:dyDescent="0.25">
      <c r="A422" s="31"/>
      <c r="B422" s="30"/>
      <c r="C422" s="30"/>
      <c r="D422" s="30"/>
      <c r="E422" s="33"/>
      <c r="F422" s="30"/>
      <c r="G422" s="49"/>
      <c r="H422" s="52" t="str">
        <f t="shared" si="22"/>
        <v/>
      </c>
      <c r="I422" s="52" t="str">
        <f t="shared" si="23"/>
        <v/>
      </c>
      <c r="J422" s="53"/>
      <c r="K422" s="54" t="str">
        <f t="shared" si="24"/>
        <v/>
      </c>
      <c r="L422" s="33"/>
      <c r="M422" s="33"/>
      <c r="N422" s="30"/>
      <c r="O422" s="30"/>
      <c r="P422" s="33"/>
    </row>
    <row r="423" spans="1:16" x14ac:dyDescent="0.25">
      <c r="A423" s="31"/>
      <c r="B423" s="30"/>
      <c r="C423" s="30"/>
      <c r="D423" s="30"/>
      <c r="E423" s="33"/>
      <c r="F423" s="30"/>
      <c r="G423" s="49"/>
      <c r="H423" s="52" t="str">
        <f t="shared" si="22"/>
        <v/>
      </c>
      <c r="I423" s="52" t="str">
        <f t="shared" si="23"/>
        <v/>
      </c>
      <c r="J423" s="53"/>
      <c r="K423" s="54" t="str">
        <f t="shared" si="24"/>
        <v/>
      </c>
      <c r="L423" s="33"/>
      <c r="M423" s="33"/>
      <c r="N423" s="30"/>
      <c r="O423" s="30"/>
      <c r="P423" s="33"/>
    </row>
    <row r="424" spans="1:16" x14ac:dyDescent="0.25">
      <c r="A424" s="31"/>
      <c r="B424" s="30"/>
      <c r="C424" s="30"/>
      <c r="D424" s="30"/>
      <c r="E424" s="33"/>
      <c r="F424" s="30"/>
      <c r="G424" s="49"/>
      <c r="H424" s="52" t="str">
        <f t="shared" si="22"/>
        <v/>
      </c>
      <c r="I424" s="52" t="str">
        <f t="shared" si="23"/>
        <v/>
      </c>
      <c r="J424" s="53"/>
      <c r="K424" s="54" t="str">
        <f t="shared" si="24"/>
        <v/>
      </c>
      <c r="L424" s="33"/>
      <c r="M424" s="33"/>
      <c r="N424" s="30"/>
      <c r="O424" s="30"/>
      <c r="P424" s="33"/>
    </row>
    <row r="425" spans="1:16" x14ac:dyDescent="0.25">
      <c r="A425" s="31"/>
      <c r="B425" s="30"/>
      <c r="C425" s="30"/>
      <c r="D425" s="30"/>
      <c r="E425" s="33"/>
      <c r="F425" s="30"/>
      <c r="G425" s="49"/>
      <c r="H425" s="52" t="str">
        <f t="shared" si="22"/>
        <v/>
      </c>
      <c r="I425" s="52" t="str">
        <f t="shared" si="23"/>
        <v/>
      </c>
      <c r="J425" s="53"/>
      <c r="K425" s="54" t="str">
        <f t="shared" si="24"/>
        <v/>
      </c>
      <c r="L425" s="33"/>
      <c r="M425" s="33"/>
      <c r="N425" s="30"/>
      <c r="O425" s="30"/>
      <c r="P425" s="33"/>
    </row>
    <row r="426" spans="1:16" x14ac:dyDescent="0.25">
      <c r="A426" s="31"/>
      <c r="B426" s="30"/>
      <c r="C426" s="30"/>
      <c r="D426" s="30"/>
      <c r="E426" s="33"/>
      <c r="F426" s="30"/>
      <c r="G426" s="49"/>
      <c r="H426" s="52" t="str">
        <f t="shared" si="22"/>
        <v/>
      </c>
      <c r="I426" s="52" t="str">
        <f t="shared" si="23"/>
        <v/>
      </c>
      <c r="J426" s="53"/>
      <c r="K426" s="54" t="str">
        <f t="shared" si="24"/>
        <v/>
      </c>
      <c r="L426" s="33"/>
      <c r="M426" s="33"/>
      <c r="N426" s="30"/>
      <c r="O426" s="30"/>
      <c r="P426" s="33"/>
    </row>
    <row r="427" spans="1:16" x14ac:dyDescent="0.25">
      <c r="A427" s="31"/>
      <c r="B427" s="30"/>
      <c r="C427" s="30"/>
      <c r="D427" s="30"/>
      <c r="E427" s="33"/>
      <c r="F427" s="30"/>
      <c r="G427" s="49"/>
      <c r="H427" s="52" t="str">
        <f t="shared" si="22"/>
        <v/>
      </c>
      <c r="I427" s="52" t="str">
        <f t="shared" si="23"/>
        <v/>
      </c>
      <c r="J427" s="53"/>
      <c r="K427" s="54" t="str">
        <f t="shared" si="24"/>
        <v/>
      </c>
      <c r="L427" s="33"/>
      <c r="M427" s="33"/>
      <c r="N427" s="30"/>
      <c r="O427" s="30"/>
      <c r="P427" s="33"/>
    </row>
    <row r="428" spans="1:16" x14ac:dyDescent="0.25">
      <c r="A428" s="31"/>
      <c r="B428" s="30"/>
      <c r="C428" s="30"/>
      <c r="D428" s="30"/>
      <c r="E428" s="33"/>
      <c r="F428" s="30"/>
      <c r="G428" s="49"/>
      <c r="H428" s="52" t="str">
        <f t="shared" si="22"/>
        <v/>
      </c>
      <c r="I428" s="52" t="str">
        <f t="shared" si="23"/>
        <v/>
      </c>
      <c r="J428" s="53"/>
      <c r="K428" s="54" t="str">
        <f t="shared" si="24"/>
        <v/>
      </c>
      <c r="L428" s="33"/>
      <c r="M428" s="33"/>
      <c r="N428" s="30"/>
      <c r="O428" s="30"/>
      <c r="P428" s="33"/>
    </row>
    <row r="429" spans="1:16" x14ac:dyDescent="0.25">
      <c r="A429" s="31"/>
      <c r="B429" s="30"/>
      <c r="C429" s="30"/>
      <c r="D429" s="30"/>
      <c r="E429" s="33"/>
      <c r="F429" s="30"/>
      <c r="G429" s="49"/>
      <c r="H429" s="52" t="str">
        <f t="shared" si="22"/>
        <v/>
      </c>
      <c r="I429" s="52" t="str">
        <f t="shared" si="23"/>
        <v/>
      </c>
      <c r="J429" s="53"/>
      <c r="K429" s="54" t="str">
        <f t="shared" si="24"/>
        <v/>
      </c>
      <c r="L429" s="33"/>
      <c r="M429" s="33"/>
      <c r="N429" s="30"/>
      <c r="O429" s="30"/>
      <c r="P429" s="33"/>
    </row>
    <row r="430" spans="1:16" x14ac:dyDescent="0.25">
      <c r="A430" s="31"/>
      <c r="B430" s="30"/>
      <c r="C430" s="30"/>
      <c r="D430" s="30"/>
      <c r="E430" s="33"/>
      <c r="F430" s="30"/>
      <c r="G430" s="49"/>
      <c r="H430" s="52" t="str">
        <f t="shared" si="22"/>
        <v/>
      </c>
      <c r="I430" s="52" t="str">
        <f t="shared" si="23"/>
        <v/>
      </c>
      <c r="J430" s="53"/>
      <c r="K430" s="54" t="str">
        <f t="shared" si="24"/>
        <v/>
      </c>
      <c r="L430" s="33"/>
      <c r="M430" s="33"/>
      <c r="N430" s="30"/>
      <c r="O430" s="30"/>
      <c r="P430" s="33"/>
    </row>
    <row r="431" spans="1:16" x14ac:dyDescent="0.25">
      <c r="A431" s="31"/>
      <c r="B431" s="30"/>
      <c r="C431" s="30"/>
      <c r="D431" s="30"/>
      <c r="E431" s="33"/>
      <c r="F431" s="30"/>
      <c r="G431" s="49"/>
      <c r="H431" s="52" t="str">
        <f t="shared" si="22"/>
        <v/>
      </c>
      <c r="I431" s="52" t="str">
        <f t="shared" si="23"/>
        <v/>
      </c>
      <c r="J431" s="53"/>
      <c r="K431" s="54" t="str">
        <f t="shared" si="24"/>
        <v/>
      </c>
      <c r="L431" s="33"/>
      <c r="M431" s="33"/>
      <c r="N431" s="30"/>
      <c r="O431" s="30"/>
      <c r="P431" s="33"/>
    </row>
    <row r="432" spans="1:16" x14ac:dyDescent="0.25">
      <c r="A432" s="31"/>
      <c r="B432" s="30"/>
      <c r="C432" s="30"/>
      <c r="D432" s="30"/>
      <c r="E432" s="33"/>
      <c r="F432" s="30"/>
      <c r="G432" s="49"/>
      <c r="H432" s="52" t="str">
        <f t="shared" si="22"/>
        <v/>
      </c>
      <c r="I432" s="52" t="str">
        <f t="shared" si="23"/>
        <v/>
      </c>
      <c r="J432" s="53"/>
      <c r="K432" s="54" t="str">
        <f t="shared" si="24"/>
        <v/>
      </c>
      <c r="L432" s="33"/>
      <c r="M432" s="33"/>
      <c r="N432" s="30"/>
      <c r="O432" s="30"/>
      <c r="P432" s="33"/>
    </row>
    <row r="433" spans="1:16" x14ac:dyDescent="0.25">
      <c r="A433" s="31"/>
      <c r="B433" s="30"/>
      <c r="C433" s="30"/>
      <c r="D433" s="30"/>
      <c r="E433" s="33"/>
      <c r="F433" s="30"/>
      <c r="G433" s="49"/>
      <c r="H433" s="52" t="str">
        <f t="shared" si="22"/>
        <v/>
      </c>
      <c r="I433" s="52" t="str">
        <f t="shared" si="23"/>
        <v/>
      </c>
      <c r="J433" s="53"/>
      <c r="K433" s="54" t="str">
        <f t="shared" si="24"/>
        <v/>
      </c>
      <c r="L433" s="33"/>
      <c r="M433" s="33"/>
      <c r="N433" s="30"/>
      <c r="O433" s="30"/>
      <c r="P433" s="33"/>
    </row>
    <row r="434" spans="1:16" x14ac:dyDescent="0.25">
      <c r="A434" s="31"/>
      <c r="B434" s="30"/>
      <c r="C434" s="30"/>
      <c r="D434" s="30"/>
      <c r="E434" s="33"/>
      <c r="F434" s="30"/>
      <c r="G434" s="49"/>
      <c r="H434" s="52" t="str">
        <f t="shared" si="22"/>
        <v/>
      </c>
      <c r="I434" s="52" t="str">
        <f t="shared" si="23"/>
        <v/>
      </c>
      <c r="J434" s="53"/>
      <c r="K434" s="54" t="str">
        <f t="shared" si="24"/>
        <v/>
      </c>
      <c r="L434" s="33"/>
      <c r="M434" s="33"/>
      <c r="N434" s="30"/>
      <c r="O434" s="30"/>
      <c r="P434" s="33"/>
    </row>
    <row r="435" spans="1:16" x14ac:dyDescent="0.25">
      <c r="A435" s="31"/>
      <c r="B435" s="30"/>
      <c r="C435" s="30"/>
      <c r="D435" s="30"/>
      <c r="E435" s="33"/>
      <c r="F435" s="30"/>
      <c r="G435" s="49"/>
      <c r="H435" s="52" t="str">
        <f t="shared" si="22"/>
        <v/>
      </c>
      <c r="I435" s="52" t="str">
        <f t="shared" si="23"/>
        <v/>
      </c>
      <c r="J435" s="53"/>
      <c r="K435" s="54" t="str">
        <f t="shared" si="24"/>
        <v/>
      </c>
      <c r="L435" s="33"/>
      <c r="M435" s="33"/>
      <c r="N435" s="30"/>
      <c r="O435" s="30"/>
      <c r="P435" s="33"/>
    </row>
    <row r="436" spans="1:16" x14ac:dyDescent="0.25">
      <c r="A436" s="31"/>
      <c r="B436" s="30"/>
      <c r="C436" s="30"/>
      <c r="D436" s="30"/>
      <c r="E436" s="33"/>
      <c r="F436" s="30"/>
      <c r="G436" s="49"/>
      <c r="H436" s="52" t="str">
        <f t="shared" si="22"/>
        <v/>
      </c>
      <c r="I436" s="52" t="str">
        <f t="shared" si="23"/>
        <v/>
      </c>
      <c r="J436" s="53"/>
      <c r="K436" s="54" t="str">
        <f t="shared" si="24"/>
        <v/>
      </c>
      <c r="L436" s="33"/>
      <c r="M436" s="33"/>
      <c r="N436" s="30"/>
      <c r="O436" s="30"/>
      <c r="P436" s="33"/>
    </row>
    <row r="437" spans="1:16" x14ac:dyDescent="0.25">
      <c r="A437" s="31"/>
      <c r="B437" s="30"/>
      <c r="C437" s="30"/>
      <c r="D437" s="30"/>
      <c r="E437" s="33"/>
      <c r="F437" s="30"/>
      <c r="G437" s="49"/>
      <c r="H437" s="52" t="str">
        <f t="shared" si="22"/>
        <v/>
      </c>
      <c r="I437" s="52" t="str">
        <f t="shared" si="23"/>
        <v/>
      </c>
      <c r="J437" s="53"/>
      <c r="K437" s="54" t="str">
        <f t="shared" si="24"/>
        <v/>
      </c>
      <c r="L437" s="33"/>
      <c r="M437" s="33"/>
      <c r="N437" s="30"/>
      <c r="O437" s="30"/>
      <c r="P437" s="33"/>
    </row>
    <row r="438" spans="1:16" x14ac:dyDescent="0.25">
      <c r="A438" s="31"/>
      <c r="B438" s="30"/>
      <c r="C438" s="30"/>
      <c r="D438" s="30"/>
      <c r="E438" s="33"/>
      <c r="F438" s="30"/>
      <c r="G438" s="49"/>
      <c r="H438" s="52" t="str">
        <f t="shared" si="22"/>
        <v/>
      </c>
      <c r="I438" s="52" t="str">
        <f t="shared" si="23"/>
        <v/>
      </c>
      <c r="J438" s="53"/>
      <c r="K438" s="54" t="str">
        <f t="shared" si="24"/>
        <v/>
      </c>
      <c r="L438" s="33"/>
      <c r="M438" s="33"/>
      <c r="N438" s="30"/>
      <c r="O438" s="30"/>
      <c r="P438" s="33"/>
    </row>
    <row r="439" spans="1:16" x14ac:dyDescent="0.25">
      <c r="A439" s="31"/>
      <c r="B439" s="30"/>
      <c r="C439" s="30"/>
      <c r="D439" s="30"/>
      <c r="E439" s="33"/>
      <c r="F439" s="30"/>
      <c r="G439" s="49"/>
      <c r="H439" s="52" t="str">
        <f t="shared" si="22"/>
        <v/>
      </c>
      <c r="I439" s="52" t="str">
        <f t="shared" si="23"/>
        <v/>
      </c>
      <c r="J439" s="53"/>
      <c r="K439" s="54" t="str">
        <f t="shared" si="24"/>
        <v/>
      </c>
      <c r="L439" s="33"/>
      <c r="M439" s="33"/>
      <c r="N439" s="30"/>
      <c r="O439" s="30"/>
      <c r="P439" s="33"/>
    </row>
    <row r="440" spans="1:16" x14ac:dyDescent="0.25">
      <c r="A440" s="31"/>
      <c r="B440" s="30"/>
      <c r="C440" s="30"/>
      <c r="D440" s="30"/>
      <c r="E440" s="33"/>
      <c r="F440" s="30"/>
      <c r="G440" s="49"/>
      <c r="H440" s="52" t="str">
        <f t="shared" si="22"/>
        <v/>
      </c>
      <c r="I440" s="52" t="str">
        <f t="shared" si="23"/>
        <v/>
      </c>
      <c r="J440" s="53"/>
      <c r="K440" s="54" t="str">
        <f t="shared" si="24"/>
        <v/>
      </c>
      <c r="L440" s="33"/>
      <c r="M440" s="33"/>
      <c r="N440" s="30"/>
      <c r="O440" s="30"/>
      <c r="P440" s="33"/>
    </row>
    <row r="441" spans="1:16" x14ac:dyDescent="0.25">
      <c r="A441" s="31"/>
      <c r="B441" s="30"/>
      <c r="C441" s="30"/>
      <c r="D441" s="30"/>
      <c r="E441" s="33"/>
      <c r="F441" s="30"/>
      <c r="G441" s="49"/>
      <c r="H441" s="52" t="str">
        <f t="shared" si="22"/>
        <v/>
      </c>
      <c r="I441" s="52" t="str">
        <f t="shared" si="23"/>
        <v/>
      </c>
      <c r="J441" s="53"/>
      <c r="K441" s="54" t="str">
        <f t="shared" si="24"/>
        <v/>
      </c>
      <c r="L441" s="33"/>
      <c r="M441" s="33"/>
      <c r="N441" s="30"/>
      <c r="O441" s="30"/>
      <c r="P441" s="33"/>
    </row>
    <row r="442" spans="1:16" x14ac:dyDescent="0.25">
      <c r="A442" s="31"/>
      <c r="B442" s="30"/>
      <c r="C442" s="30"/>
      <c r="D442" s="30"/>
      <c r="E442" s="33"/>
      <c r="F442" s="30"/>
      <c r="G442" s="49"/>
      <c r="H442" s="52" t="str">
        <f t="shared" si="22"/>
        <v/>
      </c>
      <c r="I442" s="52" t="str">
        <f t="shared" si="23"/>
        <v/>
      </c>
      <c r="J442" s="53"/>
      <c r="K442" s="54" t="str">
        <f t="shared" si="24"/>
        <v/>
      </c>
      <c r="L442" s="33"/>
      <c r="M442" s="33"/>
      <c r="N442" s="30"/>
      <c r="O442" s="30"/>
      <c r="P442" s="33"/>
    </row>
    <row r="443" spans="1:16" x14ac:dyDescent="0.25">
      <c r="A443" s="31"/>
      <c r="B443" s="30"/>
      <c r="C443" s="30"/>
      <c r="D443" s="30"/>
      <c r="E443" s="33"/>
      <c r="F443" s="30"/>
      <c r="G443" s="49"/>
      <c r="H443" s="52" t="str">
        <f t="shared" si="22"/>
        <v/>
      </c>
      <c r="I443" s="52" t="str">
        <f t="shared" si="23"/>
        <v/>
      </c>
      <c r="J443" s="53"/>
      <c r="K443" s="54" t="str">
        <f t="shared" si="24"/>
        <v/>
      </c>
      <c r="L443" s="33"/>
      <c r="M443" s="33"/>
      <c r="N443" s="30"/>
      <c r="O443" s="30"/>
      <c r="P443" s="33"/>
    </row>
    <row r="444" spans="1:16" x14ac:dyDescent="0.25">
      <c r="A444" s="31"/>
      <c r="B444" s="30"/>
      <c r="C444" s="30"/>
      <c r="D444" s="30"/>
      <c r="E444" s="33"/>
      <c r="F444" s="30"/>
      <c r="G444" s="49"/>
      <c r="H444" s="52" t="str">
        <f t="shared" si="22"/>
        <v/>
      </c>
      <c r="I444" s="52" t="str">
        <f t="shared" si="23"/>
        <v/>
      </c>
      <c r="J444" s="53"/>
      <c r="K444" s="54" t="str">
        <f t="shared" si="24"/>
        <v/>
      </c>
      <c r="L444" s="33"/>
      <c r="M444" s="33"/>
      <c r="N444" s="30"/>
      <c r="O444" s="30"/>
      <c r="P444" s="33"/>
    </row>
    <row r="445" spans="1:16" x14ac:dyDescent="0.25">
      <c r="A445" s="31"/>
      <c r="B445" s="30"/>
      <c r="C445" s="30"/>
      <c r="D445" s="30"/>
      <c r="E445" s="33"/>
      <c r="F445" s="30"/>
      <c r="G445" s="49"/>
      <c r="H445" s="52" t="str">
        <f t="shared" si="22"/>
        <v/>
      </c>
      <c r="I445" s="52" t="str">
        <f t="shared" si="23"/>
        <v/>
      </c>
      <c r="J445" s="53"/>
      <c r="K445" s="54" t="str">
        <f t="shared" si="24"/>
        <v/>
      </c>
      <c r="L445" s="33"/>
      <c r="M445" s="33"/>
      <c r="N445" s="30"/>
      <c r="O445" s="30"/>
      <c r="P445" s="33"/>
    </row>
    <row r="446" spans="1:16" x14ac:dyDescent="0.25">
      <c r="A446" s="31"/>
      <c r="B446" s="30"/>
      <c r="C446" s="30"/>
      <c r="D446" s="30"/>
      <c r="E446" s="33"/>
      <c r="F446" s="30"/>
      <c r="G446" s="49"/>
      <c r="H446" s="52" t="str">
        <f t="shared" si="22"/>
        <v/>
      </c>
      <c r="I446" s="52" t="str">
        <f t="shared" si="23"/>
        <v/>
      </c>
      <c r="J446" s="53"/>
      <c r="K446" s="54" t="str">
        <f t="shared" si="24"/>
        <v/>
      </c>
      <c r="L446" s="33"/>
      <c r="M446" s="33"/>
      <c r="N446" s="30"/>
      <c r="O446" s="30"/>
      <c r="P446" s="33"/>
    </row>
    <row r="447" spans="1:16" x14ac:dyDescent="0.25">
      <c r="A447" s="31"/>
      <c r="B447" s="30"/>
      <c r="C447" s="30"/>
      <c r="D447" s="30"/>
      <c r="E447" s="33"/>
      <c r="F447" s="30"/>
      <c r="G447" s="49"/>
      <c r="H447" s="52" t="str">
        <f t="shared" si="22"/>
        <v/>
      </c>
      <c r="I447" s="52" t="str">
        <f t="shared" si="23"/>
        <v/>
      </c>
      <c r="J447" s="53"/>
      <c r="K447" s="54" t="str">
        <f t="shared" si="24"/>
        <v/>
      </c>
      <c r="L447" s="33"/>
      <c r="M447" s="33"/>
      <c r="N447" s="30"/>
      <c r="O447" s="30"/>
      <c r="P447" s="33"/>
    </row>
    <row r="448" spans="1:16" x14ac:dyDescent="0.25">
      <c r="A448" s="31"/>
      <c r="B448" s="30"/>
      <c r="C448" s="30"/>
      <c r="D448" s="30"/>
      <c r="E448" s="33"/>
      <c r="F448" s="30"/>
      <c r="G448" s="49"/>
      <c r="H448" s="52" t="str">
        <f t="shared" si="22"/>
        <v/>
      </c>
      <c r="I448" s="52" t="str">
        <f t="shared" si="23"/>
        <v/>
      </c>
      <c r="J448" s="53"/>
      <c r="K448" s="54" t="str">
        <f t="shared" si="24"/>
        <v/>
      </c>
      <c r="L448" s="33"/>
      <c r="M448" s="33"/>
      <c r="N448" s="30"/>
      <c r="O448" s="30"/>
      <c r="P448" s="33"/>
    </row>
    <row r="449" spans="1:16" x14ac:dyDescent="0.25">
      <c r="A449" s="31"/>
      <c r="B449" s="30"/>
      <c r="C449" s="30"/>
      <c r="D449" s="30"/>
      <c r="E449" s="33"/>
      <c r="F449" s="30"/>
      <c r="G449" s="49"/>
      <c r="H449" s="52" t="str">
        <f t="shared" si="22"/>
        <v/>
      </c>
      <c r="I449" s="52" t="str">
        <f t="shared" si="23"/>
        <v/>
      </c>
      <c r="J449" s="53"/>
      <c r="K449" s="54" t="str">
        <f t="shared" si="24"/>
        <v/>
      </c>
      <c r="L449" s="33"/>
      <c r="M449" s="33"/>
      <c r="N449" s="30"/>
      <c r="O449" s="30"/>
      <c r="P449" s="33"/>
    </row>
    <row r="450" spans="1:16" x14ac:dyDescent="0.25">
      <c r="A450" s="31"/>
      <c r="B450" s="30"/>
      <c r="C450" s="30"/>
      <c r="D450" s="30"/>
      <c r="E450" s="33"/>
      <c r="F450" s="30"/>
      <c r="G450" s="49"/>
      <c r="H450" s="52" t="str">
        <f t="shared" si="22"/>
        <v/>
      </c>
      <c r="I450" s="52" t="str">
        <f t="shared" si="23"/>
        <v/>
      </c>
      <c r="J450" s="53"/>
      <c r="K450" s="54" t="str">
        <f t="shared" si="24"/>
        <v/>
      </c>
      <c r="L450" s="33"/>
      <c r="M450" s="33"/>
      <c r="N450" s="30"/>
      <c r="O450" s="30"/>
      <c r="P450" s="33"/>
    </row>
    <row r="451" spans="1:16" x14ac:dyDescent="0.25">
      <c r="A451" s="31"/>
      <c r="B451" s="30"/>
      <c r="C451" s="30"/>
      <c r="D451" s="30"/>
      <c r="E451" s="33"/>
      <c r="F451" s="30"/>
      <c r="G451" s="49"/>
      <c r="H451" s="52" t="str">
        <f t="shared" si="22"/>
        <v/>
      </c>
      <c r="I451" s="52" t="str">
        <f t="shared" si="23"/>
        <v/>
      </c>
      <c r="J451" s="53"/>
      <c r="K451" s="54" t="str">
        <f t="shared" si="24"/>
        <v/>
      </c>
      <c r="L451" s="33"/>
      <c r="M451" s="33"/>
      <c r="N451" s="30"/>
      <c r="O451" s="30"/>
      <c r="P451" s="33"/>
    </row>
    <row r="452" spans="1:16" x14ac:dyDescent="0.25">
      <c r="A452" s="31"/>
      <c r="B452" s="30"/>
      <c r="C452" s="30"/>
      <c r="D452" s="30"/>
      <c r="E452" s="33"/>
      <c r="F452" s="30"/>
      <c r="G452" s="49"/>
      <c r="H452" s="52" t="str">
        <f t="shared" si="22"/>
        <v/>
      </c>
      <c r="I452" s="52" t="str">
        <f t="shared" si="23"/>
        <v/>
      </c>
      <c r="J452" s="53"/>
      <c r="K452" s="54" t="str">
        <f t="shared" si="24"/>
        <v/>
      </c>
      <c r="L452" s="33"/>
      <c r="M452" s="33"/>
      <c r="N452" s="30"/>
      <c r="O452" s="30"/>
      <c r="P452" s="33"/>
    </row>
    <row r="453" spans="1:16" x14ac:dyDescent="0.25">
      <c r="A453" s="31"/>
      <c r="B453" s="30"/>
      <c r="C453" s="30"/>
      <c r="D453" s="30"/>
      <c r="E453" s="33"/>
      <c r="F453" s="30"/>
      <c r="G453" s="49"/>
      <c r="H453" s="52" t="str">
        <f t="shared" ref="H453:H516" si="25">IF($A453="","",IF(OR($C453="ENTRADA",$C453="DEVOLUÇÃO"),$G453,0))</f>
        <v/>
      </c>
      <c r="I453" s="52" t="str">
        <f t="shared" ref="I453:I516" si="26">IF($A453="","",IF(OR($C453="SAÍDA",$C453="PERDA / QUEBRA",$C453="TRANSFERÊNCIA"),$G453,0))</f>
        <v/>
      </c>
      <c r="J453" s="53"/>
      <c r="K453" s="54" t="str">
        <f t="shared" ref="K453:K516" si="27">IF($A453="","",$G453*$J453)</f>
        <v/>
      </c>
      <c r="L453" s="33"/>
      <c r="M453" s="33"/>
      <c r="N453" s="30"/>
      <c r="O453" s="30"/>
      <c r="P453" s="33"/>
    </row>
    <row r="454" spans="1:16" x14ac:dyDescent="0.25">
      <c r="A454" s="31"/>
      <c r="B454" s="30"/>
      <c r="C454" s="30"/>
      <c r="D454" s="30"/>
      <c r="E454" s="33"/>
      <c r="F454" s="30"/>
      <c r="G454" s="49"/>
      <c r="H454" s="52" t="str">
        <f t="shared" si="25"/>
        <v/>
      </c>
      <c r="I454" s="52" t="str">
        <f t="shared" si="26"/>
        <v/>
      </c>
      <c r="J454" s="53"/>
      <c r="K454" s="54" t="str">
        <f t="shared" si="27"/>
        <v/>
      </c>
      <c r="L454" s="33"/>
      <c r="M454" s="33"/>
      <c r="N454" s="30"/>
      <c r="O454" s="30"/>
      <c r="P454" s="33"/>
    </row>
    <row r="455" spans="1:16" x14ac:dyDescent="0.25">
      <c r="A455" s="31"/>
      <c r="B455" s="30"/>
      <c r="C455" s="30"/>
      <c r="D455" s="30"/>
      <c r="E455" s="33"/>
      <c r="F455" s="30"/>
      <c r="G455" s="49"/>
      <c r="H455" s="52" t="str">
        <f t="shared" si="25"/>
        <v/>
      </c>
      <c r="I455" s="52" t="str">
        <f t="shared" si="26"/>
        <v/>
      </c>
      <c r="J455" s="53"/>
      <c r="K455" s="54" t="str">
        <f t="shared" si="27"/>
        <v/>
      </c>
      <c r="L455" s="33"/>
      <c r="M455" s="33"/>
      <c r="N455" s="30"/>
      <c r="O455" s="30"/>
      <c r="P455" s="33"/>
    </row>
    <row r="456" spans="1:16" x14ac:dyDescent="0.25">
      <c r="A456" s="31"/>
      <c r="B456" s="30"/>
      <c r="C456" s="30"/>
      <c r="D456" s="30"/>
      <c r="E456" s="33"/>
      <c r="F456" s="30"/>
      <c r="G456" s="49"/>
      <c r="H456" s="52" t="str">
        <f t="shared" si="25"/>
        <v/>
      </c>
      <c r="I456" s="52" t="str">
        <f t="shared" si="26"/>
        <v/>
      </c>
      <c r="J456" s="53"/>
      <c r="K456" s="54" t="str">
        <f t="shared" si="27"/>
        <v/>
      </c>
      <c r="L456" s="33"/>
      <c r="M456" s="33"/>
      <c r="N456" s="30"/>
      <c r="O456" s="30"/>
      <c r="P456" s="33"/>
    </row>
    <row r="457" spans="1:16" x14ac:dyDescent="0.25">
      <c r="A457" s="31"/>
      <c r="B457" s="30"/>
      <c r="C457" s="30"/>
      <c r="D457" s="30"/>
      <c r="E457" s="33"/>
      <c r="F457" s="30"/>
      <c r="G457" s="49"/>
      <c r="H457" s="52" t="str">
        <f t="shared" si="25"/>
        <v/>
      </c>
      <c r="I457" s="52" t="str">
        <f t="shared" si="26"/>
        <v/>
      </c>
      <c r="J457" s="53"/>
      <c r="K457" s="54" t="str">
        <f t="shared" si="27"/>
        <v/>
      </c>
      <c r="L457" s="33"/>
      <c r="M457" s="33"/>
      <c r="N457" s="30"/>
      <c r="O457" s="30"/>
      <c r="P457" s="33"/>
    </row>
    <row r="458" spans="1:16" x14ac:dyDescent="0.25">
      <c r="A458" s="31"/>
      <c r="B458" s="30"/>
      <c r="C458" s="30"/>
      <c r="D458" s="30"/>
      <c r="E458" s="33"/>
      <c r="F458" s="30"/>
      <c r="G458" s="49"/>
      <c r="H458" s="52" t="str">
        <f t="shared" si="25"/>
        <v/>
      </c>
      <c r="I458" s="52" t="str">
        <f t="shared" si="26"/>
        <v/>
      </c>
      <c r="J458" s="53"/>
      <c r="K458" s="54" t="str">
        <f t="shared" si="27"/>
        <v/>
      </c>
      <c r="L458" s="33"/>
      <c r="M458" s="33"/>
      <c r="N458" s="30"/>
      <c r="O458" s="30"/>
      <c r="P458" s="33"/>
    </row>
    <row r="459" spans="1:16" x14ac:dyDescent="0.25">
      <c r="A459" s="31"/>
      <c r="B459" s="30"/>
      <c r="C459" s="30"/>
      <c r="D459" s="30"/>
      <c r="E459" s="33"/>
      <c r="F459" s="30"/>
      <c r="G459" s="49"/>
      <c r="H459" s="52" t="str">
        <f t="shared" si="25"/>
        <v/>
      </c>
      <c r="I459" s="52" t="str">
        <f t="shared" si="26"/>
        <v/>
      </c>
      <c r="J459" s="53"/>
      <c r="K459" s="54" t="str">
        <f t="shared" si="27"/>
        <v/>
      </c>
      <c r="L459" s="33"/>
      <c r="M459" s="33"/>
      <c r="N459" s="30"/>
      <c r="O459" s="30"/>
      <c r="P459" s="33"/>
    </row>
    <row r="460" spans="1:16" x14ac:dyDescent="0.25">
      <c r="A460" s="31"/>
      <c r="B460" s="30"/>
      <c r="C460" s="30"/>
      <c r="D460" s="30"/>
      <c r="E460" s="33"/>
      <c r="F460" s="30"/>
      <c r="G460" s="49"/>
      <c r="H460" s="52" t="str">
        <f t="shared" si="25"/>
        <v/>
      </c>
      <c r="I460" s="52" t="str">
        <f t="shared" si="26"/>
        <v/>
      </c>
      <c r="J460" s="53"/>
      <c r="K460" s="54" t="str">
        <f t="shared" si="27"/>
        <v/>
      </c>
      <c r="L460" s="33"/>
      <c r="M460" s="33"/>
      <c r="N460" s="30"/>
      <c r="O460" s="30"/>
      <c r="P460" s="33"/>
    </row>
    <row r="461" spans="1:16" x14ac:dyDescent="0.25">
      <c r="A461" s="31"/>
      <c r="B461" s="30"/>
      <c r="C461" s="30"/>
      <c r="D461" s="30"/>
      <c r="E461" s="33"/>
      <c r="F461" s="30"/>
      <c r="G461" s="49"/>
      <c r="H461" s="52" t="str">
        <f t="shared" si="25"/>
        <v/>
      </c>
      <c r="I461" s="52" t="str">
        <f t="shared" si="26"/>
        <v/>
      </c>
      <c r="J461" s="53"/>
      <c r="K461" s="54" t="str">
        <f t="shared" si="27"/>
        <v/>
      </c>
      <c r="L461" s="33"/>
      <c r="M461" s="33"/>
      <c r="N461" s="30"/>
      <c r="O461" s="30"/>
      <c r="P461" s="33"/>
    </row>
    <row r="462" spans="1:16" x14ac:dyDescent="0.25">
      <c r="A462" s="31"/>
      <c r="B462" s="30"/>
      <c r="C462" s="30"/>
      <c r="D462" s="30"/>
      <c r="E462" s="33"/>
      <c r="F462" s="30"/>
      <c r="G462" s="49"/>
      <c r="H462" s="52" t="str">
        <f t="shared" si="25"/>
        <v/>
      </c>
      <c r="I462" s="52" t="str">
        <f t="shared" si="26"/>
        <v/>
      </c>
      <c r="J462" s="53"/>
      <c r="K462" s="54" t="str">
        <f t="shared" si="27"/>
        <v/>
      </c>
      <c r="L462" s="33"/>
      <c r="M462" s="33"/>
      <c r="N462" s="30"/>
      <c r="O462" s="30"/>
      <c r="P462" s="33"/>
    </row>
    <row r="463" spans="1:16" x14ac:dyDescent="0.25">
      <c r="A463" s="31"/>
      <c r="B463" s="30"/>
      <c r="C463" s="30"/>
      <c r="D463" s="30"/>
      <c r="E463" s="33"/>
      <c r="F463" s="30"/>
      <c r="G463" s="49"/>
      <c r="H463" s="52" t="str">
        <f t="shared" si="25"/>
        <v/>
      </c>
      <c r="I463" s="52" t="str">
        <f t="shared" si="26"/>
        <v/>
      </c>
      <c r="J463" s="53"/>
      <c r="K463" s="54" t="str">
        <f t="shared" si="27"/>
        <v/>
      </c>
      <c r="L463" s="33"/>
      <c r="M463" s="33"/>
      <c r="N463" s="30"/>
      <c r="O463" s="30"/>
      <c r="P463" s="33"/>
    </row>
    <row r="464" spans="1:16" x14ac:dyDescent="0.25">
      <c r="A464" s="31"/>
      <c r="B464" s="30"/>
      <c r="C464" s="30"/>
      <c r="D464" s="30"/>
      <c r="E464" s="33"/>
      <c r="F464" s="30"/>
      <c r="G464" s="49"/>
      <c r="H464" s="52" t="str">
        <f t="shared" si="25"/>
        <v/>
      </c>
      <c r="I464" s="52" t="str">
        <f t="shared" si="26"/>
        <v/>
      </c>
      <c r="J464" s="53"/>
      <c r="K464" s="54" t="str">
        <f t="shared" si="27"/>
        <v/>
      </c>
      <c r="L464" s="33"/>
      <c r="M464" s="33"/>
      <c r="N464" s="30"/>
      <c r="O464" s="30"/>
      <c r="P464" s="33"/>
    </row>
    <row r="465" spans="1:16" x14ac:dyDescent="0.25">
      <c r="A465" s="31"/>
      <c r="B465" s="30"/>
      <c r="C465" s="30"/>
      <c r="D465" s="30"/>
      <c r="E465" s="33"/>
      <c r="F465" s="30"/>
      <c r="G465" s="49"/>
      <c r="H465" s="52" t="str">
        <f t="shared" si="25"/>
        <v/>
      </c>
      <c r="I465" s="52" t="str">
        <f t="shared" si="26"/>
        <v/>
      </c>
      <c r="J465" s="53"/>
      <c r="K465" s="54" t="str">
        <f t="shared" si="27"/>
        <v/>
      </c>
      <c r="L465" s="33"/>
      <c r="M465" s="33"/>
      <c r="N465" s="30"/>
      <c r="O465" s="30"/>
      <c r="P465" s="33"/>
    </row>
    <row r="466" spans="1:16" x14ac:dyDescent="0.25">
      <c r="A466" s="31"/>
      <c r="B466" s="30"/>
      <c r="C466" s="30"/>
      <c r="D466" s="30"/>
      <c r="E466" s="33"/>
      <c r="F466" s="30"/>
      <c r="G466" s="49"/>
      <c r="H466" s="52" t="str">
        <f t="shared" si="25"/>
        <v/>
      </c>
      <c r="I466" s="52" t="str">
        <f t="shared" si="26"/>
        <v/>
      </c>
      <c r="J466" s="53"/>
      <c r="K466" s="54" t="str">
        <f t="shared" si="27"/>
        <v/>
      </c>
      <c r="L466" s="33"/>
      <c r="M466" s="33"/>
      <c r="N466" s="30"/>
      <c r="O466" s="30"/>
      <c r="P466" s="33"/>
    </row>
    <row r="467" spans="1:16" x14ac:dyDescent="0.25">
      <c r="A467" s="31"/>
      <c r="B467" s="30"/>
      <c r="C467" s="30"/>
      <c r="D467" s="30"/>
      <c r="E467" s="33"/>
      <c r="F467" s="30"/>
      <c r="G467" s="49"/>
      <c r="H467" s="52" t="str">
        <f t="shared" si="25"/>
        <v/>
      </c>
      <c r="I467" s="52" t="str">
        <f t="shared" si="26"/>
        <v/>
      </c>
      <c r="J467" s="53"/>
      <c r="K467" s="54" t="str">
        <f t="shared" si="27"/>
        <v/>
      </c>
      <c r="L467" s="33"/>
      <c r="M467" s="33"/>
      <c r="N467" s="30"/>
      <c r="O467" s="30"/>
      <c r="P467" s="33"/>
    </row>
    <row r="468" spans="1:16" x14ac:dyDescent="0.25">
      <c r="A468" s="31"/>
      <c r="B468" s="30"/>
      <c r="C468" s="30"/>
      <c r="D468" s="30"/>
      <c r="E468" s="33"/>
      <c r="F468" s="30"/>
      <c r="G468" s="49"/>
      <c r="H468" s="52" t="str">
        <f t="shared" si="25"/>
        <v/>
      </c>
      <c r="I468" s="52" t="str">
        <f t="shared" si="26"/>
        <v/>
      </c>
      <c r="J468" s="53"/>
      <c r="K468" s="54" t="str">
        <f t="shared" si="27"/>
        <v/>
      </c>
      <c r="L468" s="33"/>
      <c r="M468" s="33"/>
      <c r="N468" s="30"/>
      <c r="O468" s="30"/>
      <c r="P468" s="33"/>
    </row>
    <row r="469" spans="1:16" x14ac:dyDescent="0.25">
      <c r="A469" s="31"/>
      <c r="B469" s="30"/>
      <c r="C469" s="30"/>
      <c r="D469" s="30"/>
      <c r="E469" s="33"/>
      <c r="F469" s="30"/>
      <c r="G469" s="49"/>
      <c r="H469" s="52" t="str">
        <f t="shared" si="25"/>
        <v/>
      </c>
      <c r="I469" s="52" t="str">
        <f t="shared" si="26"/>
        <v/>
      </c>
      <c r="J469" s="53"/>
      <c r="K469" s="54" t="str">
        <f t="shared" si="27"/>
        <v/>
      </c>
      <c r="L469" s="33"/>
      <c r="M469" s="33"/>
      <c r="N469" s="30"/>
      <c r="O469" s="30"/>
      <c r="P469" s="33"/>
    </row>
    <row r="470" spans="1:16" x14ac:dyDescent="0.25">
      <c r="A470" s="31"/>
      <c r="B470" s="30"/>
      <c r="C470" s="30"/>
      <c r="D470" s="30"/>
      <c r="E470" s="33"/>
      <c r="F470" s="30"/>
      <c r="G470" s="49"/>
      <c r="H470" s="52" t="str">
        <f t="shared" si="25"/>
        <v/>
      </c>
      <c r="I470" s="52" t="str">
        <f t="shared" si="26"/>
        <v/>
      </c>
      <c r="J470" s="53"/>
      <c r="K470" s="54" t="str">
        <f t="shared" si="27"/>
        <v/>
      </c>
      <c r="L470" s="33"/>
      <c r="M470" s="33"/>
      <c r="N470" s="30"/>
      <c r="O470" s="30"/>
      <c r="P470" s="33"/>
    </row>
    <row r="471" spans="1:16" x14ac:dyDescent="0.25">
      <c r="A471" s="31"/>
      <c r="B471" s="30"/>
      <c r="C471" s="30"/>
      <c r="D471" s="30"/>
      <c r="E471" s="33"/>
      <c r="F471" s="30"/>
      <c r="G471" s="49"/>
      <c r="H471" s="52" t="str">
        <f t="shared" si="25"/>
        <v/>
      </c>
      <c r="I471" s="52" t="str">
        <f t="shared" si="26"/>
        <v/>
      </c>
      <c r="J471" s="53"/>
      <c r="K471" s="54" t="str">
        <f t="shared" si="27"/>
        <v/>
      </c>
      <c r="L471" s="33"/>
      <c r="M471" s="33"/>
      <c r="N471" s="30"/>
      <c r="O471" s="30"/>
      <c r="P471" s="33"/>
    </row>
    <row r="472" spans="1:16" x14ac:dyDescent="0.25">
      <c r="A472" s="31"/>
      <c r="B472" s="30"/>
      <c r="C472" s="30"/>
      <c r="D472" s="30"/>
      <c r="E472" s="33"/>
      <c r="F472" s="30"/>
      <c r="G472" s="49"/>
      <c r="H472" s="52" t="str">
        <f t="shared" si="25"/>
        <v/>
      </c>
      <c r="I472" s="52" t="str">
        <f t="shared" si="26"/>
        <v/>
      </c>
      <c r="J472" s="53"/>
      <c r="K472" s="54" t="str">
        <f t="shared" si="27"/>
        <v/>
      </c>
      <c r="L472" s="33"/>
      <c r="M472" s="33"/>
      <c r="N472" s="30"/>
      <c r="O472" s="30"/>
      <c r="P472" s="33"/>
    </row>
    <row r="473" spans="1:16" x14ac:dyDescent="0.25">
      <c r="A473" s="31"/>
      <c r="B473" s="30"/>
      <c r="C473" s="30"/>
      <c r="D473" s="30"/>
      <c r="E473" s="33"/>
      <c r="F473" s="30"/>
      <c r="G473" s="49"/>
      <c r="H473" s="52" t="str">
        <f t="shared" si="25"/>
        <v/>
      </c>
      <c r="I473" s="52" t="str">
        <f t="shared" si="26"/>
        <v/>
      </c>
      <c r="J473" s="53"/>
      <c r="K473" s="54" t="str">
        <f t="shared" si="27"/>
        <v/>
      </c>
      <c r="L473" s="33"/>
      <c r="M473" s="33"/>
      <c r="N473" s="30"/>
      <c r="O473" s="30"/>
      <c r="P473" s="33"/>
    </row>
    <row r="474" spans="1:16" x14ac:dyDescent="0.25">
      <c r="A474" s="31"/>
      <c r="B474" s="30"/>
      <c r="C474" s="30"/>
      <c r="D474" s="30"/>
      <c r="E474" s="33"/>
      <c r="F474" s="30"/>
      <c r="G474" s="49"/>
      <c r="H474" s="52" t="str">
        <f t="shared" si="25"/>
        <v/>
      </c>
      <c r="I474" s="52" t="str">
        <f t="shared" si="26"/>
        <v/>
      </c>
      <c r="J474" s="53"/>
      <c r="K474" s="54" t="str">
        <f t="shared" si="27"/>
        <v/>
      </c>
      <c r="L474" s="33"/>
      <c r="M474" s="33"/>
      <c r="N474" s="30"/>
      <c r="O474" s="30"/>
      <c r="P474" s="33"/>
    </row>
    <row r="475" spans="1:16" x14ac:dyDescent="0.25">
      <c r="A475" s="31"/>
      <c r="B475" s="30"/>
      <c r="C475" s="30"/>
      <c r="D475" s="30"/>
      <c r="E475" s="33"/>
      <c r="F475" s="30"/>
      <c r="G475" s="49"/>
      <c r="H475" s="52" t="str">
        <f t="shared" si="25"/>
        <v/>
      </c>
      <c r="I475" s="52" t="str">
        <f t="shared" si="26"/>
        <v/>
      </c>
      <c r="J475" s="53"/>
      <c r="K475" s="54" t="str">
        <f t="shared" si="27"/>
        <v/>
      </c>
      <c r="L475" s="33"/>
      <c r="M475" s="33"/>
      <c r="N475" s="30"/>
      <c r="O475" s="30"/>
      <c r="P475" s="33"/>
    </row>
    <row r="476" spans="1:16" x14ac:dyDescent="0.25">
      <c r="A476" s="31"/>
      <c r="B476" s="30"/>
      <c r="C476" s="30"/>
      <c r="D476" s="30"/>
      <c r="E476" s="33"/>
      <c r="F476" s="30"/>
      <c r="G476" s="49"/>
      <c r="H476" s="52" t="str">
        <f t="shared" si="25"/>
        <v/>
      </c>
      <c r="I476" s="52" t="str">
        <f t="shared" si="26"/>
        <v/>
      </c>
      <c r="J476" s="53"/>
      <c r="K476" s="54" t="str">
        <f t="shared" si="27"/>
        <v/>
      </c>
      <c r="L476" s="33"/>
      <c r="M476" s="33"/>
      <c r="N476" s="30"/>
      <c r="O476" s="30"/>
      <c r="P476" s="33"/>
    </row>
    <row r="477" spans="1:16" x14ac:dyDescent="0.25">
      <c r="A477" s="31"/>
      <c r="B477" s="30"/>
      <c r="C477" s="30"/>
      <c r="D477" s="30"/>
      <c r="E477" s="33"/>
      <c r="F477" s="30"/>
      <c r="G477" s="49"/>
      <c r="H477" s="52" t="str">
        <f t="shared" si="25"/>
        <v/>
      </c>
      <c r="I477" s="52" t="str">
        <f t="shared" si="26"/>
        <v/>
      </c>
      <c r="J477" s="53"/>
      <c r="K477" s="54" t="str">
        <f t="shared" si="27"/>
        <v/>
      </c>
      <c r="L477" s="33"/>
      <c r="M477" s="33"/>
      <c r="N477" s="30"/>
      <c r="O477" s="30"/>
      <c r="P477" s="33"/>
    </row>
    <row r="478" spans="1:16" x14ac:dyDescent="0.25">
      <c r="A478" s="31"/>
      <c r="B478" s="30"/>
      <c r="C478" s="30"/>
      <c r="D478" s="30"/>
      <c r="E478" s="33"/>
      <c r="F478" s="30"/>
      <c r="G478" s="49"/>
      <c r="H478" s="52" t="str">
        <f t="shared" si="25"/>
        <v/>
      </c>
      <c r="I478" s="52" t="str">
        <f t="shared" si="26"/>
        <v/>
      </c>
      <c r="J478" s="53"/>
      <c r="K478" s="54" t="str">
        <f t="shared" si="27"/>
        <v/>
      </c>
      <c r="L478" s="33"/>
      <c r="M478" s="33"/>
      <c r="N478" s="30"/>
      <c r="O478" s="30"/>
      <c r="P478" s="33"/>
    </row>
    <row r="479" spans="1:16" x14ac:dyDescent="0.25">
      <c r="A479" s="31"/>
      <c r="B479" s="30"/>
      <c r="C479" s="30"/>
      <c r="D479" s="30"/>
      <c r="E479" s="33"/>
      <c r="F479" s="30"/>
      <c r="G479" s="49"/>
      <c r="H479" s="52" t="str">
        <f t="shared" si="25"/>
        <v/>
      </c>
      <c r="I479" s="52" t="str">
        <f t="shared" si="26"/>
        <v/>
      </c>
      <c r="J479" s="53"/>
      <c r="K479" s="54" t="str">
        <f t="shared" si="27"/>
        <v/>
      </c>
      <c r="L479" s="33"/>
      <c r="M479" s="33"/>
      <c r="N479" s="30"/>
      <c r="O479" s="30"/>
      <c r="P479" s="33"/>
    </row>
    <row r="480" spans="1:16" x14ac:dyDescent="0.25">
      <c r="A480" s="31"/>
      <c r="B480" s="30"/>
      <c r="C480" s="30"/>
      <c r="D480" s="30"/>
      <c r="E480" s="33"/>
      <c r="F480" s="30"/>
      <c r="G480" s="49"/>
      <c r="H480" s="52" t="str">
        <f t="shared" si="25"/>
        <v/>
      </c>
      <c r="I480" s="52" t="str">
        <f t="shared" si="26"/>
        <v/>
      </c>
      <c r="J480" s="53"/>
      <c r="K480" s="54" t="str">
        <f t="shared" si="27"/>
        <v/>
      </c>
      <c r="L480" s="33"/>
      <c r="M480" s="33"/>
      <c r="N480" s="30"/>
      <c r="O480" s="30"/>
      <c r="P480" s="33"/>
    </row>
    <row r="481" spans="1:16" x14ac:dyDescent="0.25">
      <c r="A481" s="31"/>
      <c r="B481" s="30"/>
      <c r="C481" s="30"/>
      <c r="D481" s="30"/>
      <c r="E481" s="33"/>
      <c r="F481" s="30"/>
      <c r="G481" s="49"/>
      <c r="H481" s="52" t="str">
        <f t="shared" si="25"/>
        <v/>
      </c>
      <c r="I481" s="52" t="str">
        <f t="shared" si="26"/>
        <v/>
      </c>
      <c r="J481" s="53"/>
      <c r="K481" s="54" t="str">
        <f t="shared" si="27"/>
        <v/>
      </c>
      <c r="L481" s="33"/>
      <c r="M481" s="33"/>
      <c r="N481" s="30"/>
      <c r="O481" s="30"/>
      <c r="P481" s="33"/>
    </row>
    <row r="482" spans="1:16" x14ac:dyDescent="0.25">
      <c r="A482" s="31"/>
      <c r="B482" s="30"/>
      <c r="C482" s="30"/>
      <c r="D482" s="30"/>
      <c r="E482" s="33"/>
      <c r="F482" s="30"/>
      <c r="G482" s="49"/>
      <c r="H482" s="52" t="str">
        <f t="shared" si="25"/>
        <v/>
      </c>
      <c r="I482" s="52" t="str">
        <f t="shared" si="26"/>
        <v/>
      </c>
      <c r="J482" s="53"/>
      <c r="K482" s="54" t="str">
        <f t="shared" si="27"/>
        <v/>
      </c>
      <c r="L482" s="33"/>
      <c r="M482" s="33"/>
      <c r="N482" s="30"/>
      <c r="O482" s="30"/>
      <c r="P482" s="33"/>
    </row>
    <row r="483" spans="1:16" x14ac:dyDescent="0.25">
      <c r="A483" s="31"/>
      <c r="B483" s="30"/>
      <c r="C483" s="30"/>
      <c r="D483" s="30"/>
      <c r="E483" s="33"/>
      <c r="F483" s="30"/>
      <c r="G483" s="49"/>
      <c r="H483" s="52" t="str">
        <f t="shared" si="25"/>
        <v/>
      </c>
      <c r="I483" s="52" t="str">
        <f t="shared" si="26"/>
        <v/>
      </c>
      <c r="J483" s="53"/>
      <c r="K483" s="54" t="str">
        <f t="shared" si="27"/>
        <v/>
      </c>
      <c r="L483" s="33"/>
      <c r="M483" s="33"/>
      <c r="N483" s="30"/>
      <c r="O483" s="30"/>
      <c r="P483" s="33"/>
    </row>
    <row r="484" spans="1:16" x14ac:dyDescent="0.25">
      <c r="A484" s="31"/>
      <c r="B484" s="30"/>
      <c r="C484" s="30"/>
      <c r="D484" s="30"/>
      <c r="E484" s="33"/>
      <c r="F484" s="30"/>
      <c r="G484" s="49"/>
      <c r="H484" s="52" t="str">
        <f t="shared" si="25"/>
        <v/>
      </c>
      <c r="I484" s="52" t="str">
        <f t="shared" si="26"/>
        <v/>
      </c>
      <c r="J484" s="53"/>
      <c r="K484" s="54" t="str">
        <f t="shared" si="27"/>
        <v/>
      </c>
      <c r="L484" s="33"/>
      <c r="M484" s="33"/>
      <c r="N484" s="30"/>
      <c r="O484" s="30"/>
      <c r="P484" s="33"/>
    </row>
    <row r="485" spans="1:16" x14ac:dyDescent="0.25">
      <c r="A485" s="31"/>
      <c r="B485" s="30"/>
      <c r="C485" s="30"/>
      <c r="D485" s="30"/>
      <c r="E485" s="33"/>
      <c r="F485" s="30"/>
      <c r="G485" s="49"/>
      <c r="H485" s="52" t="str">
        <f t="shared" si="25"/>
        <v/>
      </c>
      <c r="I485" s="52" t="str">
        <f t="shared" si="26"/>
        <v/>
      </c>
      <c r="J485" s="53"/>
      <c r="K485" s="54" t="str">
        <f t="shared" si="27"/>
        <v/>
      </c>
      <c r="L485" s="33"/>
      <c r="M485" s="33"/>
      <c r="N485" s="30"/>
      <c r="O485" s="30"/>
      <c r="P485" s="33"/>
    </row>
    <row r="486" spans="1:16" x14ac:dyDescent="0.25">
      <c r="A486" s="31"/>
      <c r="B486" s="30"/>
      <c r="C486" s="30"/>
      <c r="D486" s="30"/>
      <c r="E486" s="33"/>
      <c r="F486" s="30"/>
      <c r="G486" s="49"/>
      <c r="H486" s="52" t="str">
        <f t="shared" si="25"/>
        <v/>
      </c>
      <c r="I486" s="52" t="str">
        <f t="shared" si="26"/>
        <v/>
      </c>
      <c r="J486" s="53"/>
      <c r="K486" s="54" t="str">
        <f t="shared" si="27"/>
        <v/>
      </c>
      <c r="L486" s="33"/>
      <c r="M486" s="33"/>
      <c r="N486" s="30"/>
      <c r="O486" s="30"/>
      <c r="P486" s="33"/>
    </row>
    <row r="487" spans="1:16" x14ac:dyDescent="0.25">
      <c r="A487" s="31"/>
      <c r="B487" s="30"/>
      <c r="C487" s="30"/>
      <c r="D487" s="30"/>
      <c r="E487" s="33"/>
      <c r="F487" s="30"/>
      <c r="G487" s="49"/>
      <c r="H487" s="52" t="str">
        <f t="shared" si="25"/>
        <v/>
      </c>
      <c r="I487" s="52" t="str">
        <f t="shared" si="26"/>
        <v/>
      </c>
      <c r="J487" s="53"/>
      <c r="K487" s="54" t="str">
        <f t="shared" si="27"/>
        <v/>
      </c>
      <c r="L487" s="33"/>
      <c r="M487" s="33"/>
      <c r="N487" s="30"/>
      <c r="O487" s="30"/>
      <c r="P487" s="33"/>
    </row>
    <row r="488" spans="1:16" x14ac:dyDescent="0.25">
      <c r="A488" s="31"/>
      <c r="B488" s="30"/>
      <c r="C488" s="30"/>
      <c r="D488" s="30"/>
      <c r="E488" s="33"/>
      <c r="F488" s="30"/>
      <c r="G488" s="49"/>
      <c r="H488" s="52" t="str">
        <f t="shared" si="25"/>
        <v/>
      </c>
      <c r="I488" s="52" t="str">
        <f t="shared" si="26"/>
        <v/>
      </c>
      <c r="J488" s="53"/>
      <c r="K488" s="54" t="str">
        <f t="shared" si="27"/>
        <v/>
      </c>
      <c r="L488" s="33"/>
      <c r="M488" s="33"/>
      <c r="N488" s="30"/>
      <c r="O488" s="30"/>
      <c r="P488" s="33"/>
    </row>
    <row r="489" spans="1:16" x14ac:dyDescent="0.25">
      <c r="A489" s="31"/>
      <c r="B489" s="30"/>
      <c r="C489" s="30"/>
      <c r="D489" s="30"/>
      <c r="E489" s="33"/>
      <c r="F489" s="30"/>
      <c r="G489" s="49"/>
      <c r="H489" s="52" t="str">
        <f t="shared" si="25"/>
        <v/>
      </c>
      <c r="I489" s="52" t="str">
        <f t="shared" si="26"/>
        <v/>
      </c>
      <c r="J489" s="53"/>
      <c r="K489" s="54" t="str">
        <f t="shared" si="27"/>
        <v/>
      </c>
      <c r="L489" s="33"/>
      <c r="M489" s="33"/>
      <c r="N489" s="30"/>
      <c r="O489" s="30"/>
      <c r="P489" s="33"/>
    </row>
    <row r="490" spans="1:16" x14ac:dyDescent="0.25">
      <c r="A490" s="31"/>
      <c r="B490" s="30"/>
      <c r="C490" s="30"/>
      <c r="D490" s="30"/>
      <c r="E490" s="33"/>
      <c r="F490" s="30"/>
      <c r="G490" s="49"/>
      <c r="H490" s="52" t="str">
        <f t="shared" si="25"/>
        <v/>
      </c>
      <c r="I490" s="52" t="str">
        <f t="shared" si="26"/>
        <v/>
      </c>
      <c r="J490" s="53"/>
      <c r="K490" s="54" t="str">
        <f t="shared" si="27"/>
        <v/>
      </c>
      <c r="L490" s="33"/>
      <c r="M490" s="33"/>
      <c r="N490" s="30"/>
      <c r="O490" s="30"/>
      <c r="P490" s="33"/>
    </row>
    <row r="491" spans="1:16" x14ac:dyDescent="0.25">
      <c r="A491" s="31"/>
      <c r="B491" s="30"/>
      <c r="C491" s="30"/>
      <c r="D491" s="30"/>
      <c r="E491" s="33"/>
      <c r="F491" s="30"/>
      <c r="G491" s="49"/>
      <c r="H491" s="52" t="str">
        <f t="shared" si="25"/>
        <v/>
      </c>
      <c r="I491" s="52" t="str">
        <f t="shared" si="26"/>
        <v/>
      </c>
      <c r="J491" s="53"/>
      <c r="K491" s="54" t="str">
        <f t="shared" si="27"/>
        <v/>
      </c>
      <c r="L491" s="33"/>
      <c r="M491" s="33"/>
      <c r="N491" s="30"/>
      <c r="O491" s="30"/>
      <c r="P491" s="33"/>
    </row>
    <row r="492" spans="1:16" x14ac:dyDescent="0.25">
      <c r="A492" s="31"/>
      <c r="B492" s="30"/>
      <c r="C492" s="30"/>
      <c r="D492" s="30"/>
      <c r="E492" s="33"/>
      <c r="F492" s="30"/>
      <c r="G492" s="49"/>
      <c r="H492" s="52" t="str">
        <f t="shared" si="25"/>
        <v/>
      </c>
      <c r="I492" s="52" t="str">
        <f t="shared" si="26"/>
        <v/>
      </c>
      <c r="J492" s="53"/>
      <c r="K492" s="54" t="str">
        <f t="shared" si="27"/>
        <v/>
      </c>
      <c r="L492" s="33"/>
      <c r="M492" s="33"/>
      <c r="N492" s="30"/>
      <c r="O492" s="30"/>
      <c r="P492" s="33"/>
    </row>
    <row r="493" spans="1:16" x14ac:dyDescent="0.25">
      <c r="A493" s="31"/>
      <c r="B493" s="30"/>
      <c r="C493" s="30"/>
      <c r="D493" s="30"/>
      <c r="E493" s="33"/>
      <c r="F493" s="30"/>
      <c r="G493" s="49"/>
      <c r="H493" s="52" t="str">
        <f t="shared" si="25"/>
        <v/>
      </c>
      <c r="I493" s="52" t="str">
        <f t="shared" si="26"/>
        <v/>
      </c>
      <c r="J493" s="53"/>
      <c r="K493" s="54" t="str">
        <f t="shared" si="27"/>
        <v/>
      </c>
      <c r="L493" s="33"/>
      <c r="M493" s="33"/>
      <c r="N493" s="30"/>
      <c r="O493" s="30"/>
      <c r="P493" s="33"/>
    </row>
    <row r="494" spans="1:16" x14ac:dyDescent="0.25">
      <c r="A494" s="31"/>
      <c r="B494" s="30"/>
      <c r="C494" s="30"/>
      <c r="D494" s="30"/>
      <c r="E494" s="33"/>
      <c r="F494" s="30"/>
      <c r="G494" s="49"/>
      <c r="H494" s="52" t="str">
        <f t="shared" si="25"/>
        <v/>
      </c>
      <c r="I494" s="52" t="str">
        <f t="shared" si="26"/>
        <v/>
      </c>
      <c r="J494" s="53"/>
      <c r="K494" s="54" t="str">
        <f t="shared" si="27"/>
        <v/>
      </c>
      <c r="L494" s="33"/>
      <c r="M494" s="33"/>
      <c r="N494" s="30"/>
      <c r="O494" s="30"/>
      <c r="P494" s="33"/>
    </row>
    <row r="495" spans="1:16" x14ac:dyDescent="0.25">
      <c r="A495" s="31"/>
      <c r="B495" s="30"/>
      <c r="C495" s="30"/>
      <c r="D495" s="30"/>
      <c r="E495" s="33"/>
      <c r="F495" s="30"/>
      <c r="G495" s="49"/>
      <c r="H495" s="52" t="str">
        <f t="shared" si="25"/>
        <v/>
      </c>
      <c r="I495" s="52" t="str">
        <f t="shared" si="26"/>
        <v/>
      </c>
      <c r="J495" s="53"/>
      <c r="K495" s="54" t="str">
        <f t="shared" si="27"/>
        <v/>
      </c>
      <c r="L495" s="33"/>
      <c r="M495" s="33"/>
      <c r="N495" s="30"/>
      <c r="O495" s="30"/>
      <c r="P495" s="33"/>
    </row>
    <row r="496" spans="1:16" x14ac:dyDescent="0.25">
      <c r="A496" s="31"/>
      <c r="B496" s="30"/>
      <c r="C496" s="30"/>
      <c r="D496" s="30"/>
      <c r="E496" s="33"/>
      <c r="F496" s="30"/>
      <c r="G496" s="49"/>
      <c r="H496" s="52" t="str">
        <f t="shared" si="25"/>
        <v/>
      </c>
      <c r="I496" s="52" t="str">
        <f t="shared" si="26"/>
        <v/>
      </c>
      <c r="J496" s="53"/>
      <c r="K496" s="54" t="str">
        <f t="shared" si="27"/>
        <v/>
      </c>
      <c r="L496" s="33"/>
      <c r="M496" s="33"/>
      <c r="N496" s="30"/>
      <c r="O496" s="30"/>
      <c r="P496" s="33"/>
    </row>
    <row r="497" spans="1:16" x14ac:dyDescent="0.25">
      <c r="A497" s="31"/>
      <c r="B497" s="30"/>
      <c r="C497" s="30"/>
      <c r="D497" s="30"/>
      <c r="E497" s="33"/>
      <c r="F497" s="30"/>
      <c r="G497" s="49"/>
      <c r="H497" s="52" t="str">
        <f t="shared" si="25"/>
        <v/>
      </c>
      <c r="I497" s="52" t="str">
        <f t="shared" si="26"/>
        <v/>
      </c>
      <c r="J497" s="53"/>
      <c r="K497" s="54" t="str">
        <f t="shared" si="27"/>
        <v/>
      </c>
      <c r="L497" s="33"/>
      <c r="M497" s="33"/>
      <c r="N497" s="30"/>
      <c r="O497" s="30"/>
      <c r="P497" s="33"/>
    </row>
    <row r="498" spans="1:16" x14ac:dyDescent="0.25">
      <c r="A498" s="31"/>
      <c r="B498" s="30"/>
      <c r="C498" s="30"/>
      <c r="D498" s="30"/>
      <c r="E498" s="33"/>
      <c r="F498" s="30"/>
      <c r="G498" s="49"/>
      <c r="H498" s="52" t="str">
        <f t="shared" si="25"/>
        <v/>
      </c>
      <c r="I498" s="52" t="str">
        <f t="shared" si="26"/>
        <v/>
      </c>
      <c r="J498" s="53"/>
      <c r="K498" s="54" t="str">
        <f t="shared" si="27"/>
        <v/>
      </c>
      <c r="L498" s="33"/>
      <c r="M498" s="33"/>
      <c r="N498" s="30"/>
      <c r="O498" s="30"/>
      <c r="P498" s="33"/>
    </row>
    <row r="499" spans="1:16" x14ac:dyDescent="0.25">
      <c r="A499" s="31"/>
      <c r="B499" s="30"/>
      <c r="C499" s="30"/>
      <c r="D499" s="30"/>
      <c r="E499" s="33"/>
      <c r="F499" s="30"/>
      <c r="G499" s="49"/>
      <c r="H499" s="52" t="str">
        <f t="shared" si="25"/>
        <v/>
      </c>
      <c r="I499" s="52" t="str">
        <f t="shared" si="26"/>
        <v/>
      </c>
      <c r="J499" s="53"/>
      <c r="K499" s="54" t="str">
        <f t="shared" si="27"/>
        <v/>
      </c>
      <c r="L499" s="33"/>
      <c r="M499" s="33"/>
      <c r="N499" s="30"/>
      <c r="O499" s="30"/>
      <c r="P499" s="33"/>
    </row>
    <row r="500" spans="1:16" x14ac:dyDescent="0.25">
      <c r="A500" s="31"/>
      <c r="B500" s="30"/>
      <c r="C500" s="30"/>
      <c r="D500" s="30"/>
      <c r="E500" s="33"/>
      <c r="F500" s="30"/>
      <c r="G500" s="49"/>
      <c r="H500" s="52" t="str">
        <f t="shared" si="25"/>
        <v/>
      </c>
      <c r="I500" s="52" t="str">
        <f t="shared" si="26"/>
        <v/>
      </c>
      <c r="J500" s="53"/>
      <c r="K500" s="54" t="str">
        <f t="shared" si="27"/>
        <v/>
      </c>
      <c r="L500" s="33"/>
      <c r="M500" s="33"/>
      <c r="N500" s="30"/>
      <c r="O500" s="30"/>
      <c r="P500" s="33"/>
    </row>
    <row r="501" spans="1:16" x14ac:dyDescent="0.25">
      <c r="A501" s="31"/>
      <c r="B501" s="30"/>
      <c r="C501" s="30"/>
      <c r="D501" s="30"/>
      <c r="E501" s="33"/>
      <c r="F501" s="30"/>
      <c r="G501" s="49"/>
      <c r="H501" s="52" t="str">
        <f t="shared" si="25"/>
        <v/>
      </c>
      <c r="I501" s="52" t="str">
        <f t="shared" si="26"/>
        <v/>
      </c>
      <c r="J501" s="53"/>
      <c r="K501" s="54" t="str">
        <f t="shared" si="27"/>
        <v/>
      </c>
      <c r="L501" s="33"/>
      <c r="M501" s="33"/>
      <c r="N501" s="30"/>
      <c r="O501" s="30"/>
      <c r="P501" s="33"/>
    </row>
    <row r="502" spans="1:16" x14ac:dyDescent="0.25">
      <c r="A502" s="31"/>
      <c r="B502" s="30"/>
      <c r="C502" s="30"/>
      <c r="D502" s="30"/>
      <c r="E502" s="33"/>
      <c r="F502" s="30"/>
      <c r="G502" s="49"/>
      <c r="H502" s="52" t="str">
        <f t="shared" si="25"/>
        <v/>
      </c>
      <c r="I502" s="52" t="str">
        <f t="shared" si="26"/>
        <v/>
      </c>
      <c r="J502" s="53"/>
      <c r="K502" s="54" t="str">
        <f t="shared" si="27"/>
        <v/>
      </c>
      <c r="L502" s="33"/>
      <c r="M502" s="33"/>
      <c r="N502" s="30"/>
      <c r="O502" s="30"/>
      <c r="P502" s="33"/>
    </row>
    <row r="503" spans="1:16" x14ac:dyDescent="0.25">
      <c r="A503" s="31"/>
      <c r="B503" s="30"/>
      <c r="C503" s="30"/>
      <c r="D503" s="30"/>
      <c r="E503" s="33"/>
      <c r="F503" s="30"/>
      <c r="G503" s="49"/>
      <c r="H503" s="52" t="str">
        <f t="shared" si="25"/>
        <v/>
      </c>
      <c r="I503" s="52" t="str">
        <f t="shared" si="26"/>
        <v/>
      </c>
      <c r="J503" s="53"/>
      <c r="K503" s="54" t="str">
        <f t="shared" si="27"/>
        <v/>
      </c>
      <c r="L503" s="33"/>
      <c r="M503" s="33"/>
      <c r="N503" s="30"/>
      <c r="O503" s="30"/>
      <c r="P503" s="33"/>
    </row>
    <row r="504" spans="1:16" x14ac:dyDescent="0.25">
      <c r="A504" s="31"/>
      <c r="B504" s="30"/>
      <c r="C504" s="30"/>
      <c r="D504" s="30"/>
      <c r="E504" s="33"/>
      <c r="F504" s="30"/>
      <c r="G504" s="49"/>
      <c r="H504" s="52" t="str">
        <f t="shared" si="25"/>
        <v/>
      </c>
      <c r="I504" s="52" t="str">
        <f t="shared" si="26"/>
        <v/>
      </c>
      <c r="J504" s="53"/>
      <c r="K504" s="54" t="str">
        <f t="shared" si="27"/>
        <v/>
      </c>
      <c r="L504" s="33"/>
      <c r="M504" s="33"/>
      <c r="N504" s="30"/>
      <c r="O504" s="30"/>
      <c r="P504" s="33"/>
    </row>
    <row r="505" spans="1:16" x14ac:dyDescent="0.25">
      <c r="A505" s="31"/>
      <c r="B505" s="30"/>
      <c r="C505" s="30"/>
      <c r="D505" s="30"/>
      <c r="E505" s="33"/>
      <c r="F505" s="30"/>
      <c r="G505" s="49"/>
      <c r="H505" s="52" t="str">
        <f t="shared" si="25"/>
        <v/>
      </c>
      <c r="I505" s="52" t="str">
        <f t="shared" si="26"/>
        <v/>
      </c>
      <c r="J505" s="53"/>
      <c r="K505" s="54" t="str">
        <f t="shared" si="27"/>
        <v/>
      </c>
      <c r="L505" s="33"/>
      <c r="M505" s="33"/>
      <c r="N505" s="30"/>
      <c r="O505" s="30"/>
      <c r="P505" s="33"/>
    </row>
    <row r="506" spans="1:16" x14ac:dyDescent="0.25">
      <c r="A506" s="31"/>
      <c r="B506" s="30"/>
      <c r="C506" s="30"/>
      <c r="D506" s="30"/>
      <c r="E506" s="33"/>
      <c r="F506" s="30"/>
      <c r="G506" s="49"/>
      <c r="H506" s="52" t="str">
        <f t="shared" si="25"/>
        <v/>
      </c>
      <c r="I506" s="52" t="str">
        <f t="shared" si="26"/>
        <v/>
      </c>
      <c r="J506" s="53"/>
      <c r="K506" s="54" t="str">
        <f t="shared" si="27"/>
        <v/>
      </c>
      <c r="L506" s="33"/>
      <c r="M506" s="33"/>
      <c r="N506" s="30"/>
      <c r="O506" s="30"/>
      <c r="P506" s="33"/>
    </row>
    <row r="507" spans="1:16" x14ac:dyDescent="0.25">
      <c r="A507" s="31"/>
      <c r="B507" s="30"/>
      <c r="C507" s="30"/>
      <c r="D507" s="30"/>
      <c r="E507" s="33"/>
      <c r="F507" s="30"/>
      <c r="G507" s="49"/>
      <c r="H507" s="52" t="str">
        <f t="shared" si="25"/>
        <v/>
      </c>
      <c r="I507" s="52" t="str">
        <f t="shared" si="26"/>
        <v/>
      </c>
      <c r="J507" s="53"/>
      <c r="K507" s="54" t="str">
        <f t="shared" si="27"/>
        <v/>
      </c>
      <c r="L507" s="33"/>
      <c r="M507" s="33"/>
      <c r="N507" s="30"/>
      <c r="O507" s="30"/>
      <c r="P507" s="33"/>
    </row>
    <row r="508" spans="1:16" x14ac:dyDescent="0.25">
      <c r="A508" s="31"/>
      <c r="B508" s="30"/>
      <c r="C508" s="30"/>
      <c r="D508" s="30"/>
      <c r="E508" s="33"/>
      <c r="F508" s="30"/>
      <c r="G508" s="49"/>
      <c r="H508" s="52" t="str">
        <f t="shared" si="25"/>
        <v/>
      </c>
      <c r="I508" s="52" t="str">
        <f t="shared" si="26"/>
        <v/>
      </c>
      <c r="J508" s="53"/>
      <c r="K508" s="54" t="str">
        <f t="shared" si="27"/>
        <v/>
      </c>
      <c r="L508" s="33"/>
      <c r="M508" s="33"/>
      <c r="N508" s="30"/>
      <c r="O508" s="30"/>
      <c r="P508" s="33"/>
    </row>
    <row r="509" spans="1:16" x14ac:dyDescent="0.25">
      <c r="A509" s="31"/>
      <c r="B509" s="30"/>
      <c r="C509" s="30"/>
      <c r="D509" s="30"/>
      <c r="E509" s="33"/>
      <c r="F509" s="30"/>
      <c r="G509" s="49"/>
      <c r="H509" s="52" t="str">
        <f t="shared" si="25"/>
        <v/>
      </c>
      <c r="I509" s="52" t="str">
        <f t="shared" si="26"/>
        <v/>
      </c>
      <c r="J509" s="53"/>
      <c r="K509" s="54" t="str">
        <f t="shared" si="27"/>
        <v/>
      </c>
      <c r="L509" s="33"/>
      <c r="M509" s="33"/>
      <c r="N509" s="30"/>
      <c r="O509" s="30"/>
      <c r="P509" s="33"/>
    </row>
    <row r="510" spans="1:16" x14ac:dyDescent="0.25">
      <c r="A510" s="31"/>
      <c r="B510" s="30"/>
      <c r="C510" s="30"/>
      <c r="D510" s="30"/>
      <c r="E510" s="33"/>
      <c r="F510" s="30"/>
      <c r="G510" s="49"/>
      <c r="H510" s="52" t="str">
        <f t="shared" si="25"/>
        <v/>
      </c>
      <c r="I510" s="52" t="str">
        <f t="shared" si="26"/>
        <v/>
      </c>
      <c r="J510" s="53"/>
      <c r="K510" s="54" t="str">
        <f t="shared" si="27"/>
        <v/>
      </c>
      <c r="L510" s="33"/>
      <c r="M510" s="33"/>
      <c r="N510" s="30"/>
      <c r="O510" s="30"/>
      <c r="P510" s="33"/>
    </row>
    <row r="511" spans="1:16" x14ac:dyDescent="0.25">
      <c r="A511" s="31"/>
      <c r="B511" s="30"/>
      <c r="C511" s="30"/>
      <c r="D511" s="30"/>
      <c r="E511" s="33"/>
      <c r="F511" s="30"/>
      <c r="G511" s="49"/>
      <c r="H511" s="52" t="str">
        <f t="shared" si="25"/>
        <v/>
      </c>
      <c r="I511" s="52" t="str">
        <f t="shared" si="26"/>
        <v/>
      </c>
      <c r="J511" s="53"/>
      <c r="K511" s="54" t="str">
        <f t="shared" si="27"/>
        <v/>
      </c>
      <c r="L511" s="33"/>
      <c r="M511" s="33"/>
      <c r="N511" s="30"/>
      <c r="O511" s="30"/>
      <c r="P511" s="33"/>
    </row>
    <row r="512" spans="1:16" x14ac:dyDescent="0.25">
      <c r="A512" s="31"/>
      <c r="B512" s="30"/>
      <c r="C512" s="30"/>
      <c r="D512" s="30"/>
      <c r="E512" s="33"/>
      <c r="F512" s="30"/>
      <c r="G512" s="49"/>
      <c r="H512" s="52" t="str">
        <f t="shared" si="25"/>
        <v/>
      </c>
      <c r="I512" s="52" t="str">
        <f t="shared" si="26"/>
        <v/>
      </c>
      <c r="J512" s="53"/>
      <c r="K512" s="54" t="str">
        <f t="shared" si="27"/>
        <v/>
      </c>
      <c r="L512" s="33"/>
      <c r="M512" s="33"/>
      <c r="N512" s="30"/>
      <c r="O512" s="30"/>
      <c r="P512" s="33"/>
    </row>
    <row r="513" spans="1:16" x14ac:dyDescent="0.25">
      <c r="A513" s="31"/>
      <c r="B513" s="30"/>
      <c r="C513" s="30"/>
      <c r="D513" s="30"/>
      <c r="E513" s="33"/>
      <c r="F513" s="30"/>
      <c r="G513" s="49"/>
      <c r="H513" s="52" t="str">
        <f t="shared" si="25"/>
        <v/>
      </c>
      <c r="I513" s="52" t="str">
        <f t="shared" si="26"/>
        <v/>
      </c>
      <c r="J513" s="53"/>
      <c r="K513" s="54" t="str">
        <f t="shared" si="27"/>
        <v/>
      </c>
      <c r="L513" s="33"/>
      <c r="M513" s="33"/>
      <c r="N513" s="30"/>
      <c r="O513" s="30"/>
      <c r="P513" s="33"/>
    </row>
    <row r="514" spans="1:16" x14ac:dyDescent="0.25">
      <c r="A514" s="31"/>
      <c r="B514" s="30"/>
      <c r="C514" s="30"/>
      <c r="D514" s="30"/>
      <c r="E514" s="33"/>
      <c r="F514" s="30"/>
      <c r="G514" s="49"/>
      <c r="H514" s="52" t="str">
        <f t="shared" si="25"/>
        <v/>
      </c>
      <c r="I514" s="52" t="str">
        <f t="shared" si="26"/>
        <v/>
      </c>
      <c r="J514" s="53"/>
      <c r="K514" s="54" t="str">
        <f t="shared" si="27"/>
        <v/>
      </c>
      <c r="L514" s="33"/>
      <c r="M514" s="33"/>
      <c r="N514" s="30"/>
      <c r="O514" s="30"/>
      <c r="P514" s="33"/>
    </row>
    <row r="515" spans="1:16" x14ac:dyDescent="0.25">
      <c r="A515" s="31"/>
      <c r="B515" s="30"/>
      <c r="C515" s="30"/>
      <c r="D515" s="30"/>
      <c r="E515" s="33"/>
      <c r="F515" s="30"/>
      <c r="G515" s="49"/>
      <c r="H515" s="52" t="str">
        <f t="shared" si="25"/>
        <v/>
      </c>
      <c r="I515" s="52" t="str">
        <f t="shared" si="26"/>
        <v/>
      </c>
      <c r="J515" s="53"/>
      <c r="K515" s="54" t="str">
        <f t="shared" si="27"/>
        <v/>
      </c>
      <c r="L515" s="33"/>
      <c r="M515" s="33"/>
      <c r="N515" s="30"/>
      <c r="O515" s="30"/>
      <c r="P515" s="33"/>
    </row>
    <row r="516" spans="1:16" x14ac:dyDescent="0.25">
      <c r="A516" s="31"/>
      <c r="B516" s="30"/>
      <c r="C516" s="30"/>
      <c r="D516" s="30"/>
      <c r="E516" s="33"/>
      <c r="F516" s="30"/>
      <c r="G516" s="49"/>
      <c r="H516" s="52" t="str">
        <f t="shared" si="25"/>
        <v/>
      </c>
      <c r="I516" s="52" t="str">
        <f t="shared" si="26"/>
        <v/>
      </c>
      <c r="J516" s="53"/>
      <c r="K516" s="54" t="str">
        <f t="shared" si="27"/>
        <v/>
      </c>
      <c r="L516" s="33"/>
      <c r="M516" s="33"/>
      <c r="N516" s="30"/>
      <c r="O516" s="30"/>
      <c r="P516" s="33"/>
    </row>
    <row r="517" spans="1:16" x14ac:dyDescent="0.25">
      <c r="A517" s="31"/>
      <c r="B517" s="30"/>
      <c r="C517" s="30"/>
      <c r="D517" s="30"/>
      <c r="E517" s="33"/>
      <c r="F517" s="30"/>
      <c r="G517" s="49"/>
      <c r="H517" s="52" t="str">
        <f t="shared" ref="H517:H580" si="28">IF($A517="","",IF(OR($C517="ENTRADA",$C517="DEVOLUÇÃO"),$G517,0))</f>
        <v/>
      </c>
      <c r="I517" s="52" t="str">
        <f t="shared" ref="I517:I580" si="29">IF($A517="","",IF(OR($C517="SAÍDA",$C517="PERDA / QUEBRA",$C517="TRANSFERÊNCIA"),$G517,0))</f>
        <v/>
      </c>
      <c r="J517" s="53"/>
      <c r="K517" s="54" t="str">
        <f t="shared" ref="K517:K580" si="30">IF($A517="","",$G517*$J517)</f>
        <v/>
      </c>
      <c r="L517" s="33"/>
      <c r="M517" s="33"/>
      <c r="N517" s="30"/>
      <c r="O517" s="30"/>
      <c r="P517" s="33"/>
    </row>
    <row r="518" spans="1:16" x14ac:dyDescent="0.25">
      <c r="A518" s="31"/>
      <c r="B518" s="30"/>
      <c r="C518" s="30"/>
      <c r="D518" s="30"/>
      <c r="E518" s="33"/>
      <c r="F518" s="30"/>
      <c r="G518" s="49"/>
      <c r="H518" s="52" t="str">
        <f t="shared" si="28"/>
        <v/>
      </c>
      <c r="I518" s="52" t="str">
        <f t="shared" si="29"/>
        <v/>
      </c>
      <c r="J518" s="53"/>
      <c r="K518" s="54" t="str">
        <f t="shared" si="30"/>
        <v/>
      </c>
      <c r="L518" s="33"/>
      <c r="M518" s="33"/>
      <c r="N518" s="30"/>
      <c r="O518" s="30"/>
      <c r="P518" s="33"/>
    </row>
    <row r="519" spans="1:16" x14ac:dyDescent="0.25">
      <c r="A519" s="31"/>
      <c r="B519" s="30"/>
      <c r="C519" s="30"/>
      <c r="D519" s="30"/>
      <c r="E519" s="33"/>
      <c r="F519" s="30"/>
      <c r="G519" s="49"/>
      <c r="H519" s="52" t="str">
        <f t="shared" si="28"/>
        <v/>
      </c>
      <c r="I519" s="52" t="str">
        <f t="shared" si="29"/>
        <v/>
      </c>
      <c r="J519" s="53"/>
      <c r="K519" s="54" t="str">
        <f t="shared" si="30"/>
        <v/>
      </c>
      <c r="L519" s="33"/>
      <c r="M519" s="33"/>
      <c r="N519" s="30"/>
      <c r="O519" s="30"/>
      <c r="P519" s="33"/>
    </row>
    <row r="520" spans="1:16" x14ac:dyDescent="0.25">
      <c r="A520" s="31"/>
      <c r="B520" s="30"/>
      <c r="C520" s="30"/>
      <c r="D520" s="30"/>
      <c r="E520" s="33"/>
      <c r="F520" s="30"/>
      <c r="G520" s="49"/>
      <c r="H520" s="52" t="str">
        <f t="shared" si="28"/>
        <v/>
      </c>
      <c r="I520" s="52" t="str">
        <f t="shared" si="29"/>
        <v/>
      </c>
      <c r="J520" s="53"/>
      <c r="K520" s="54" t="str">
        <f t="shared" si="30"/>
        <v/>
      </c>
      <c r="L520" s="33"/>
      <c r="M520" s="33"/>
      <c r="N520" s="30"/>
      <c r="O520" s="30"/>
      <c r="P520" s="33"/>
    </row>
    <row r="521" spans="1:16" x14ac:dyDescent="0.25">
      <c r="A521" s="31"/>
      <c r="B521" s="30"/>
      <c r="C521" s="30"/>
      <c r="D521" s="30"/>
      <c r="E521" s="33"/>
      <c r="F521" s="30"/>
      <c r="G521" s="49"/>
      <c r="H521" s="52" t="str">
        <f t="shared" si="28"/>
        <v/>
      </c>
      <c r="I521" s="52" t="str">
        <f t="shared" si="29"/>
        <v/>
      </c>
      <c r="J521" s="53"/>
      <c r="K521" s="54" t="str">
        <f t="shared" si="30"/>
        <v/>
      </c>
      <c r="L521" s="33"/>
      <c r="M521" s="33"/>
      <c r="N521" s="30"/>
      <c r="O521" s="30"/>
      <c r="P521" s="33"/>
    </row>
    <row r="522" spans="1:16" x14ac:dyDescent="0.25">
      <c r="A522" s="31"/>
      <c r="B522" s="30"/>
      <c r="C522" s="30"/>
      <c r="D522" s="30"/>
      <c r="E522" s="33"/>
      <c r="F522" s="30"/>
      <c r="G522" s="49"/>
      <c r="H522" s="52" t="str">
        <f t="shared" si="28"/>
        <v/>
      </c>
      <c r="I522" s="52" t="str">
        <f t="shared" si="29"/>
        <v/>
      </c>
      <c r="J522" s="53"/>
      <c r="K522" s="54" t="str">
        <f t="shared" si="30"/>
        <v/>
      </c>
      <c r="L522" s="33"/>
      <c r="M522" s="33"/>
      <c r="N522" s="30"/>
      <c r="O522" s="30"/>
      <c r="P522" s="33"/>
    </row>
    <row r="523" spans="1:16" x14ac:dyDescent="0.25">
      <c r="A523" s="31"/>
      <c r="B523" s="30"/>
      <c r="C523" s="30"/>
      <c r="D523" s="30"/>
      <c r="E523" s="33"/>
      <c r="F523" s="30"/>
      <c r="G523" s="49"/>
      <c r="H523" s="52" t="str">
        <f t="shared" si="28"/>
        <v/>
      </c>
      <c r="I523" s="52" t="str">
        <f t="shared" si="29"/>
        <v/>
      </c>
      <c r="J523" s="53"/>
      <c r="K523" s="54" t="str">
        <f t="shared" si="30"/>
        <v/>
      </c>
      <c r="L523" s="33"/>
      <c r="M523" s="33"/>
      <c r="N523" s="30"/>
      <c r="O523" s="30"/>
      <c r="P523" s="33"/>
    </row>
    <row r="524" spans="1:16" x14ac:dyDescent="0.25">
      <c r="A524" s="31"/>
      <c r="B524" s="30"/>
      <c r="C524" s="30"/>
      <c r="D524" s="30"/>
      <c r="E524" s="33"/>
      <c r="F524" s="30"/>
      <c r="G524" s="49"/>
      <c r="H524" s="52" t="str">
        <f t="shared" si="28"/>
        <v/>
      </c>
      <c r="I524" s="52" t="str">
        <f t="shared" si="29"/>
        <v/>
      </c>
      <c r="J524" s="53"/>
      <c r="K524" s="54" t="str">
        <f t="shared" si="30"/>
        <v/>
      </c>
      <c r="L524" s="33"/>
      <c r="M524" s="33"/>
      <c r="N524" s="30"/>
      <c r="O524" s="30"/>
      <c r="P524" s="33"/>
    </row>
    <row r="525" spans="1:16" x14ac:dyDescent="0.25">
      <c r="A525" s="31"/>
      <c r="B525" s="30"/>
      <c r="C525" s="30"/>
      <c r="D525" s="30"/>
      <c r="E525" s="33"/>
      <c r="F525" s="30"/>
      <c r="G525" s="49"/>
      <c r="H525" s="52" t="str">
        <f t="shared" si="28"/>
        <v/>
      </c>
      <c r="I525" s="52" t="str">
        <f t="shared" si="29"/>
        <v/>
      </c>
      <c r="J525" s="53"/>
      <c r="K525" s="54" t="str">
        <f t="shared" si="30"/>
        <v/>
      </c>
      <c r="L525" s="33"/>
      <c r="M525" s="33"/>
      <c r="N525" s="30"/>
      <c r="O525" s="30"/>
      <c r="P525" s="33"/>
    </row>
    <row r="526" spans="1:16" x14ac:dyDescent="0.25">
      <c r="A526" s="31"/>
      <c r="B526" s="30"/>
      <c r="C526" s="30"/>
      <c r="D526" s="30"/>
      <c r="E526" s="33"/>
      <c r="F526" s="30"/>
      <c r="G526" s="49"/>
      <c r="H526" s="52" t="str">
        <f t="shared" si="28"/>
        <v/>
      </c>
      <c r="I526" s="52" t="str">
        <f t="shared" si="29"/>
        <v/>
      </c>
      <c r="J526" s="53"/>
      <c r="K526" s="54" t="str">
        <f t="shared" si="30"/>
        <v/>
      </c>
      <c r="L526" s="33"/>
      <c r="M526" s="33"/>
      <c r="N526" s="30"/>
      <c r="O526" s="30"/>
      <c r="P526" s="33"/>
    </row>
    <row r="527" spans="1:16" x14ac:dyDescent="0.25">
      <c r="A527" s="31"/>
      <c r="B527" s="30"/>
      <c r="C527" s="30"/>
      <c r="D527" s="30"/>
      <c r="E527" s="33"/>
      <c r="F527" s="30"/>
      <c r="G527" s="49"/>
      <c r="H527" s="52" t="str">
        <f t="shared" si="28"/>
        <v/>
      </c>
      <c r="I527" s="52" t="str">
        <f t="shared" si="29"/>
        <v/>
      </c>
      <c r="J527" s="53"/>
      <c r="K527" s="54" t="str">
        <f t="shared" si="30"/>
        <v/>
      </c>
      <c r="L527" s="33"/>
      <c r="M527" s="33"/>
      <c r="N527" s="30"/>
      <c r="O527" s="30"/>
      <c r="P527" s="33"/>
    </row>
    <row r="528" spans="1:16" x14ac:dyDescent="0.25">
      <c r="A528" s="31"/>
      <c r="B528" s="30"/>
      <c r="C528" s="30"/>
      <c r="D528" s="30"/>
      <c r="E528" s="33"/>
      <c r="F528" s="30"/>
      <c r="G528" s="49"/>
      <c r="H528" s="52" t="str">
        <f t="shared" si="28"/>
        <v/>
      </c>
      <c r="I528" s="52" t="str">
        <f t="shared" si="29"/>
        <v/>
      </c>
      <c r="J528" s="53"/>
      <c r="K528" s="54" t="str">
        <f t="shared" si="30"/>
        <v/>
      </c>
      <c r="L528" s="33"/>
      <c r="M528" s="33"/>
      <c r="N528" s="30"/>
      <c r="O528" s="30"/>
      <c r="P528" s="33"/>
    </row>
    <row r="529" spans="1:16" x14ac:dyDescent="0.25">
      <c r="A529" s="31"/>
      <c r="B529" s="30"/>
      <c r="C529" s="30"/>
      <c r="D529" s="30"/>
      <c r="E529" s="33"/>
      <c r="F529" s="30"/>
      <c r="G529" s="49"/>
      <c r="H529" s="52" t="str">
        <f t="shared" si="28"/>
        <v/>
      </c>
      <c r="I529" s="52" t="str">
        <f t="shared" si="29"/>
        <v/>
      </c>
      <c r="J529" s="53"/>
      <c r="K529" s="54" t="str">
        <f t="shared" si="30"/>
        <v/>
      </c>
      <c r="L529" s="33"/>
      <c r="M529" s="33"/>
      <c r="N529" s="30"/>
      <c r="O529" s="30"/>
      <c r="P529" s="33"/>
    </row>
    <row r="530" spans="1:16" x14ac:dyDescent="0.25">
      <c r="A530" s="31"/>
      <c r="B530" s="30"/>
      <c r="C530" s="30"/>
      <c r="D530" s="30"/>
      <c r="E530" s="33"/>
      <c r="F530" s="30"/>
      <c r="G530" s="49"/>
      <c r="H530" s="52" t="str">
        <f t="shared" si="28"/>
        <v/>
      </c>
      <c r="I530" s="52" t="str">
        <f t="shared" si="29"/>
        <v/>
      </c>
      <c r="J530" s="53"/>
      <c r="K530" s="54" t="str">
        <f t="shared" si="30"/>
        <v/>
      </c>
      <c r="L530" s="33"/>
      <c r="M530" s="33"/>
      <c r="N530" s="30"/>
      <c r="O530" s="30"/>
      <c r="P530" s="33"/>
    </row>
    <row r="531" spans="1:16" x14ac:dyDescent="0.25">
      <c r="A531" s="31"/>
      <c r="B531" s="30"/>
      <c r="C531" s="30"/>
      <c r="D531" s="30"/>
      <c r="E531" s="33"/>
      <c r="F531" s="30"/>
      <c r="G531" s="49"/>
      <c r="H531" s="52" t="str">
        <f t="shared" si="28"/>
        <v/>
      </c>
      <c r="I531" s="52" t="str">
        <f t="shared" si="29"/>
        <v/>
      </c>
      <c r="J531" s="53"/>
      <c r="K531" s="54" t="str">
        <f t="shared" si="30"/>
        <v/>
      </c>
      <c r="L531" s="33"/>
      <c r="M531" s="33"/>
      <c r="N531" s="30"/>
      <c r="O531" s="30"/>
      <c r="P531" s="33"/>
    </row>
    <row r="532" spans="1:16" x14ac:dyDescent="0.25">
      <c r="A532" s="31"/>
      <c r="B532" s="30"/>
      <c r="C532" s="30"/>
      <c r="D532" s="30"/>
      <c r="E532" s="33"/>
      <c r="F532" s="30"/>
      <c r="G532" s="49"/>
      <c r="H532" s="52" t="str">
        <f t="shared" si="28"/>
        <v/>
      </c>
      <c r="I532" s="52" t="str">
        <f t="shared" si="29"/>
        <v/>
      </c>
      <c r="J532" s="53"/>
      <c r="K532" s="54" t="str">
        <f t="shared" si="30"/>
        <v/>
      </c>
      <c r="L532" s="33"/>
      <c r="M532" s="33"/>
      <c r="N532" s="30"/>
      <c r="O532" s="30"/>
      <c r="P532" s="33"/>
    </row>
    <row r="533" spans="1:16" x14ac:dyDescent="0.25">
      <c r="A533" s="31"/>
      <c r="B533" s="30"/>
      <c r="C533" s="30"/>
      <c r="D533" s="30"/>
      <c r="E533" s="33"/>
      <c r="F533" s="30"/>
      <c r="G533" s="49"/>
      <c r="H533" s="52" t="str">
        <f t="shared" si="28"/>
        <v/>
      </c>
      <c r="I533" s="52" t="str">
        <f t="shared" si="29"/>
        <v/>
      </c>
      <c r="J533" s="53"/>
      <c r="K533" s="54" t="str">
        <f t="shared" si="30"/>
        <v/>
      </c>
      <c r="L533" s="33"/>
      <c r="M533" s="33"/>
      <c r="N533" s="30"/>
      <c r="O533" s="30"/>
      <c r="P533" s="33"/>
    </row>
    <row r="534" spans="1:16" x14ac:dyDescent="0.25">
      <c r="A534" s="31"/>
      <c r="B534" s="30"/>
      <c r="C534" s="30"/>
      <c r="D534" s="30"/>
      <c r="E534" s="33"/>
      <c r="F534" s="30"/>
      <c r="G534" s="49"/>
      <c r="H534" s="52" t="str">
        <f t="shared" si="28"/>
        <v/>
      </c>
      <c r="I534" s="52" t="str">
        <f t="shared" si="29"/>
        <v/>
      </c>
      <c r="J534" s="53"/>
      <c r="K534" s="54" t="str">
        <f t="shared" si="30"/>
        <v/>
      </c>
      <c r="L534" s="33"/>
      <c r="M534" s="33"/>
      <c r="N534" s="30"/>
      <c r="O534" s="30"/>
      <c r="P534" s="33"/>
    </row>
    <row r="535" spans="1:16" x14ac:dyDescent="0.25">
      <c r="A535" s="31"/>
      <c r="B535" s="30"/>
      <c r="C535" s="30"/>
      <c r="D535" s="30"/>
      <c r="E535" s="33"/>
      <c r="F535" s="30"/>
      <c r="G535" s="49"/>
      <c r="H535" s="52" t="str">
        <f t="shared" si="28"/>
        <v/>
      </c>
      <c r="I535" s="52" t="str">
        <f t="shared" si="29"/>
        <v/>
      </c>
      <c r="J535" s="53"/>
      <c r="K535" s="54" t="str">
        <f t="shared" si="30"/>
        <v/>
      </c>
      <c r="L535" s="33"/>
      <c r="M535" s="33"/>
      <c r="N535" s="30"/>
      <c r="O535" s="30"/>
      <c r="P535" s="33"/>
    </row>
    <row r="536" spans="1:16" x14ac:dyDescent="0.25">
      <c r="A536" s="31"/>
      <c r="B536" s="30"/>
      <c r="C536" s="30"/>
      <c r="D536" s="30"/>
      <c r="E536" s="33"/>
      <c r="F536" s="30"/>
      <c r="G536" s="49"/>
      <c r="H536" s="52" t="str">
        <f t="shared" si="28"/>
        <v/>
      </c>
      <c r="I536" s="52" t="str">
        <f t="shared" si="29"/>
        <v/>
      </c>
      <c r="J536" s="53"/>
      <c r="K536" s="54" t="str">
        <f t="shared" si="30"/>
        <v/>
      </c>
      <c r="L536" s="33"/>
      <c r="M536" s="33"/>
      <c r="N536" s="30"/>
      <c r="O536" s="30"/>
      <c r="P536" s="33"/>
    </row>
    <row r="537" spans="1:16" x14ac:dyDescent="0.25">
      <c r="A537" s="31"/>
      <c r="B537" s="30"/>
      <c r="C537" s="30"/>
      <c r="D537" s="30"/>
      <c r="E537" s="33"/>
      <c r="F537" s="30"/>
      <c r="G537" s="49"/>
      <c r="H537" s="52" t="str">
        <f t="shared" si="28"/>
        <v/>
      </c>
      <c r="I537" s="52" t="str">
        <f t="shared" si="29"/>
        <v/>
      </c>
      <c r="J537" s="53"/>
      <c r="K537" s="54" t="str">
        <f t="shared" si="30"/>
        <v/>
      </c>
      <c r="L537" s="33"/>
      <c r="M537" s="33"/>
      <c r="N537" s="30"/>
      <c r="O537" s="30"/>
      <c r="P537" s="33"/>
    </row>
    <row r="538" spans="1:16" x14ac:dyDescent="0.25">
      <c r="A538" s="31"/>
      <c r="B538" s="30"/>
      <c r="C538" s="30"/>
      <c r="D538" s="30"/>
      <c r="E538" s="33"/>
      <c r="F538" s="30"/>
      <c r="G538" s="49"/>
      <c r="H538" s="52" t="str">
        <f t="shared" si="28"/>
        <v/>
      </c>
      <c r="I538" s="52" t="str">
        <f t="shared" si="29"/>
        <v/>
      </c>
      <c r="J538" s="53"/>
      <c r="K538" s="54" t="str">
        <f t="shared" si="30"/>
        <v/>
      </c>
      <c r="L538" s="33"/>
      <c r="M538" s="33"/>
      <c r="N538" s="30"/>
      <c r="O538" s="30"/>
      <c r="P538" s="33"/>
    </row>
    <row r="539" spans="1:16" x14ac:dyDescent="0.25">
      <c r="A539" s="31"/>
      <c r="B539" s="30"/>
      <c r="C539" s="30"/>
      <c r="D539" s="30"/>
      <c r="E539" s="33"/>
      <c r="F539" s="30"/>
      <c r="G539" s="49"/>
      <c r="H539" s="52" t="str">
        <f t="shared" si="28"/>
        <v/>
      </c>
      <c r="I539" s="52" t="str">
        <f t="shared" si="29"/>
        <v/>
      </c>
      <c r="J539" s="53"/>
      <c r="K539" s="54" t="str">
        <f t="shared" si="30"/>
        <v/>
      </c>
      <c r="L539" s="33"/>
      <c r="M539" s="33"/>
      <c r="N539" s="30"/>
      <c r="O539" s="30"/>
      <c r="P539" s="33"/>
    </row>
    <row r="540" spans="1:16" x14ac:dyDescent="0.25">
      <c r="A540" s="31"/>
      <c r="B540" s="30"/>
      <c r="C540" s="30"/>
      <c r="D540" s="30"/>
      <c r="E540" s="33"/>
      <c r="F540" s="30"/>
      <c r="G540" s="49"/>
      <c r="H540" s="52" t="str">
        <f t="shared" si="28"/>
        <v/>
      </c>
      <c r="I540" s="52" t="str">
        <f t="shared" si="29"/>
        <v/>
      </c>
      <c r="J540" s="53"/>
      <c r="K540" s="54" t="str">
        <f t="shared" si="30"/>
        <v/>
      </c>
      <c r="L540" s="33"/>
      <c r="M540" s="33"/>
      <c r="N540" s="30"/>
      <c r="O540" s="30"/>
      <c r="P540" s="33"/>
    </row>
    <row r="541" spans="1:16" x14ac:dyDescent="0.25">
      <c r="A541" s="31"/>
      <c r="B541" s="30"/>
      <c r="C541" s="30"/>
      <c r="D541" s="30"/>
      <c r="E541" s="33"/>
      <c r="F541" s="30"/>
      <c r="G541" s="49"/>
      <c r="H541" s="52" t="str">
        <f t="shared" si="28"/>
        <v/>
      </c>
      <c r="I541" s="52" t="str">
        <f t="shared" si="29"/>
        <v/>
      </c>
      <c r="J541" s="53"/>
      <c r="K541" s="54" t="str">
        <f t="shared" si="30"/>
        <v/>
      </c>
      <c r="L541" s="33"/>
      <c r="M541" s="33"/>
      <c r="N541" s="30"/>
      <c r="O541" s="30"/>
      <c r="P541" s="33"/>
    </row>
    <row r="542" spans="1:16" x14ac:dyDescent="0.25">
      <c r="A542" s="31"/>
      <c r="B542" s="30"/>
      <c r="C542" s="30"/>
      <c r="D542" s="30"/>
      <c r="E542" s="33"/>
      <c r="F542" s="30"/>
      <c r="G542" s="49"/>
      <c r="H542" s="52" t="str">
        <f t="shared" si="28"/>
        <v/>
      </c>
      <c r="I542" s="52" t="str">
        <f t="shared" si="29"/>
        <v/>
      </c>
      <c r="J542" s="53"/>
      <c r="K542" s="54" t="str">
        <f t="shared" si="30"/>
        <v/>
      </c>
      <c r="L542" s="33"/>
      <c r="M542" s="33"/>
      <c r="N542" s="30"/>
      <c r="O542" s="30"/>
      <c r="P542" s="33"/>
    </row>
    <row r="543" spans="1:16" x14ac:dyDescent="0.25">
      <c r="A543" s="31"/>
      <c r="B543" s="30"/>
      <c r="C543" s="30"/>
      <c r="D543" s="30"/>
      <c r="E543" s="33"/>
      <c r="F543" s="30"/>
      <c r="G543" s="49"/>
      <c r="H543" s="52" t="str">
        <f t="shared" si="28"/>
        <v/>
      </c>
      <c r="I543" s="52" t="str">
        <f t="shared" si="29"/>
        <v/>
      </c>
      <c r="J543" s="53"/>
      <c r="K543" s="54" t="str">
        <f t="shared" si="30"/>
        <v/>
      </c>
      <c r="L543" s="33"/>
      <c r="M543" s="33"/>
      <c r="N543" s="30"/>
      <c r="O543" s="30"/>
      <c r="P543" s="33"/>
    </row>
    <row r="544" spans="1:16" x14ac:dyDescent="0.25">
      <c r="A544" s="31"/>
      <c r="B544" s="30"/>
      <c r="C544" s="30"/>
      <c r="D544" s="30"/>
      <c r="E544" s="33"/>
      <c r="F544" s="30"/>
      <c r="G544" s="49"/>
      <c r="H544" s="52" t="str">
        <f t="shared" si="28"/>
        <v/>
      </c>
      <c r="I544" s="52" t="str">
        <f t="shared" si="29"/>
        <v/>
      </c>
      <c r="J544" s="53"/>
      <c r="K544" s="54" t="str">
        <f t="shared" si="30"/>
        <v/>
      </c>
      <c r="L544" s="33"/>
      <c r="M544" s="33"/>
      <c r="N544" s="30"/>
      <c r="O544" s="30"/>
      <c r="P544" s="33"/>
    </row>
    <row r="545" spans="1:16" x14ac:dyDescent="0.25">
      <c r="A545" s="31"/>
      <c r="B545" s="30"/>
      <c r="C545" s="30"/>
      <c r="D545" s="30"/>
      <c r="E545" s="33"/>
      <c r="F545" s="30"/>
      <c r="G545" s="49"/>
      <c r="H545" s="52" t="str">
        <f t="shared" si="28"/>
        <v/>
      </c>
      <c r="I545" s="52" t="str">
        <f t="shared" si="29"/>
        <v/>
      </c>
      <c r="J545" s="53"/>
      <c r="K545" s="54" t="str">
        <f t="shared" si="30"/>
        <v/>
      </c>
      <c r="L545" s="33"/>
      <c r="M545" s="33"/>
      <c r="N545" s="30"/>
      <c r="O545" s="30"/>
      <c r="P545" s="33"/>
    </row>
    <row r="546" spans="1:16" x14ac:dyDescent="0.25">
      <c r="A546" s="31"/>
      <c r="B546" s="30"/>
      <c r="C546" s="30"/>
      <c r="D546" s="30"/>
      <c r="E546" s="33"/>
      <c r="F546" s="30"/>
      <c r="G546" s="49"/>
      <c r="H546" s="52" t="str">
        <f t="shared" si="28"/>
        <v/>
      </c>
      <c r="I546" s="52" t="str">
        <f t="shared" si="29"/>
        <v/>
      </c>
      <c r="J546" s="53"/>
      <c r="K546" s="54" t="str">
        <f t="shared" si="30"/>
        <v/>
      </c>
      <c r="L546" s="33"/>
      <c r="M546" s="33"/>
      <c r="N546" s="30"/>
      <c r="O546" s="30"/>
      <c r="P546" s="33"/>
    </row>
    <row r="547" spans="1:16" x14ac:dyDescent="0.25">
      <c r="A547" s="31"/>
      <c r="B547" s="30"/>
      <c r="C547" s="30"/>
      <c r="D547" s="30"/>
      <c r="E547" s="33"/>
      <c r="F547" s="30"/>
      <c r="G547" s="49"/>
      <c r="H547" s="52" t="str">
        <f t="shared" si="28"/>
        <v/>
      </c>
      <c r="I547" s="52" t="str">
        <f t="shared" si="29"/>
        <v/>
      </c>
      <c r="J547" s="53"/>
      <c r="K547" s="54" t="str">
        <f t="shared" si="30"/>
        <v/>
      </c>
      <c r="L547" s="33"/>
      <c r="M547" s="33"/>
      <c r="N547" s="30"/>
      <c r="O547" s="30"/>
      <c r="P547" s="33"/>
    </row>
    <row r="548" spans="1:16" x14ac:dyDescent="0.25">
      <c r="A548" s="31"/>
      <c r="B548" s="30"/>
      <c r="C548" s="30"/>
      <c r="D548" s="30"/>
      <c r="E548" s="33"/>
      <c r="F548" s="30"/>
      <c r="G548" s="49"/>
      <c r="H548" s="52" t="str">
        <f t="shared" si="28"/>
        <v/>
      </c>
      <c r="I548" s="52" t="str">
        <f t="shared" si="29"/>
        <v/>
      </c>
      <c r="J548" s="53"/>
      <c r="K548" s="54" t="str">
        <f t="shared" si="30"/>
        <v/>
      </c>
      <c r="L548" s="33"/>
      <c r="M548" s="33"/>
      <c r="N548" s="30"/>
      <c r="O548" s="30"/>
      <c r="P548" s="33"/>
    </row>
    <row r="549" spans="1:16" x14ac:dyDescent="0.25">
      <c r="A549" s="31"/>
      <c r="B549" s="30"/>
      <c r="C549" s="30"/>
      <c r="D549" s="30"/>
      <c r="E549" s="33"/>
      <c r="F549" s="30"/>
      <c r="G549" s="49"/>
      <c r="H549" s="52" t="str">
        <f t="shared" si="28"/>
        <v/>
      </c>
      <c r="I549" s="52" t="str">
        <f t="shared" si="29"/>
        <v/>
      </c>
      <c r="J549" s="53"/>
      <c r="K549" s="54" t="str">
        <f t="shared" si="30"/>
        <v/>
      </c>
      <c r="L549" s="33"/>
      <c r="M549" s="33"/>
      <c r="N549" s="30"/>
      <c r="O549" s="30"/>
      <c r="P549" s="33"/>
    </row>
    <row r="550" spans="1:16" x14ac:dyDescent="0.25">
      <c r="A550" s="31"/>
      <c r="B550" s="30"/>
      <c r="C550" s="30"/>
      <c r="D550" s="30"/>
      <c r="E550" s="33"/>
      <c r="F550" s="30"/>
      <c r="G550" s="49"/>
      <c r="H550" s="52" t="str">
        <f t="shared" si="28"/>
        <v/>
      </c>
      <c r="I550" s="52" t="str">
        <f t="shared" si="29"/>
        <v/>
      </c>
      <c r="J550" s="53"/>
      <c r="K550" s="54" t="str">
        <f t="shared" si="30"/>
        <v/>
      </c>
      <c r="L550" s="33"/>
      <c r="M550" s="33"/>
      <c r="N550" s="30"/>
      <c r="O550" s="30"/>
      <c r="P550" s="33"/>
    </row>
    <row r="551" spans="1:16" x14ac:dyDescent="0.25">
      <c r="A551" s="31"/>
      <c r="B551" s="30"/>
      <c r="C551" s="30"/>
      <c r="D551" s="30"/>
      <c r="E551" s="33"/>
      <c r="F551" s="30"/>
      <c r="G551" s="49"/>
      <c r="H551" s="52" t="str">
        <f t="shared" si="28"/>
        <v/>
      </c>
      <c r="I551" s="52" t="str">
        <f t="shared" si="29"/>
        <v/>
      </c>
      <c r="J551" s="53"/>
      <c r="K551" s="54" t="str">
        <f t="shared" si="30"/>
        <v/>
      </c>
      <c r="L551" s="33"/>
      <c r="M551" s="33"/>
      <c r="N551" s="30"/>
      <c r="O551" s="30"/>
      <c r="P551" s="33"/>
    </row>
    <row r="552" spans="1:16" x14ac:dyDescent="0.25">
      <c r="A552" s="31"/>
      <c r="B552" s="30"/>
      <c r="C552" s="30"/>
      <c r="D552" s="30"/>
      <c r="E552" s="33"/>
      <c r="F552" s="30"/>
      <c r="G552" s="49"/>
      <c r="H552" s="52" t="str">
        <f t="shared" si="28"/>
        <v/>
      </c>
      <c r="I552" s="52" t="str">
        <f t="shared" si="29"/>
        <v/>
      </c>
      <c r="J552" s="53"/>
      <c r="K552" s="54" t="str">
        <f t="shared" si="30"/>
        <v/>
      </c>
      <c r="L552" s="33"/>
      <c r="M552" s="33"/>
      <c r="N552" s="30"/>
      <c r="O552" s="30"/>
      <c r="P552" s="33"/>
    </row>
    <row r="553" spans="1:16" x14ac:dyDescent="0.25">
      <c r="A553" s="31"/>
      <c r="B553" s="30"/>
      <c r="C553" s="30"/>
      <c r="D553" s="30"/>
      <c r="E553" s="33"/>
      <c r="F553" s="30"/>
      <c r="G553" s="49"/>
      <c r="H553" s="52" t="str">
        <f t="shared" si="28"/>
        <v/>
      </c>
      <c r="I553" s="52" t="str">
        <f t="shared" si="29"/>
        <v/>
      </c>
      <c r="J553" s="53"/>
      <c r="K553" s="54" t="str">
        <f t="shared" si="30"/>
        <v/>
      </c>
      <c r="L553" s="33"/>
      <c r="M553" s="33"/>
      <c r="N553" s="30"/>
      <c r="O553" s="30"/>
      <c r="P553" s="33"/>
    </row>
    <row r="554" spans="1:16" x14ac:dyDescent="0.25">
      <c r="A554" s="31"/>
      <c r="B554" s="30"/>
      <c r="C554" s="30"/>
      <c r="D554" s="30"/>
      <c r="E554" s="33"/>
      <c r="F554" s="30"/>
      <c r="G554" s="49"/>
      <c r="H554" s="52" t="str">
        <f t="shared" si="28"/>
        <v/>
      </c>
      <c r="I554" s="52" t="str">
        <f t="shared" si="29"/>
        <v/>
      </c>
      <c r="J554" s="53"/>
      <c r="K554" s="54" t="str">
        <f t="shared" si="30"/>
        <v/>
      </c>
      <c r="L554" s="33"/>
      <c r="M554" s="33"/>
      <c r="N554" s="30"/>
      <c r="O554" s="30"/>
      <c r="P554" s="33"/>
    </row>
    <row r="555" spans="1:16" x14ac:dyDescent="0.25">
      <c r="A555" s="31"/>
      <c r="B555" s="30"/>
      <c r="C555" s="30"/>
      <c r="D555" s="30"/>
      <c r="E555" s="33"/>
      <c r="F555" s="30"/>
      <c r="G555" s="49"/>
      <c r="H555" s="52" t="str">
        <f t="shared" si="28"/>
        <v/>
      </c>
      <c r="I555" s="52" t="str">
        <f t="shared" si="29"/>
        <v/>
      </c>
      <c r="J555" s="53"/>
      <c r="K555" s="54" t="str">
        <f t="shared" si="30"/>
        <v/>
      </c>
      <c r="L555" s="33"/>
      <c r="M555" s="33"/>
      <c r="N555" s="30"/>
      <c r="O555" s="30"/>
      <c r="P555" s="33"/>
    </row>
    <row r="556" spans="1:16" x14ac:dyDescent="0.25">
      <c r="A556" s="31"/>
      <c r="B556" s="30"/>
      <c r="C556" s="30"/>
      <c r="D556" s="30"/>
      <c r="E556" s="33"/>
      <c r="F556" s="30"/>
      <c r="G556" s="49"/>
      <c r="H556" s="52" t="str">
        <f t="shared" si="28"/>
        <v/>
      </c>
      <c r="I556" s="52" t="str">
        <f t="shared" si="29"/>
        <v/>
      </c>
      <c r="J556" s="53"/>
      <c r="K556" s="54" t="str">
        <f t="shared" si="30"/>
        <v/>
      </c>
      <c r="L556" s="33"/>
      <c r="M556" s="33"/>
      <c r="N556" s="30"/>
      <c r="O556" s="30"/>
      <c r="P556" s="33"/>
    </row>
    <row r="557" spans="1:16" x14ac:dyDescent="0.25">
      <c r="A557" s="31"/>
      <c r="B557" s="30"/>
      <c r="C557" s="30"/>
      <c r="D557" s="30"/>
      <c r="E557" s="33"/>
      <c r="F557" s="30"/>
      <c r="G557" s="49"/>
      <c r="H557" s="52" t="str">
        <f t="shared" si="28"/>
        <v/>
      </c>
      <c r="I557" s="52" t="str">
        <f t="shared" si="29"/>
        <v/>
      </c>
      <c r="J557" s="53"/>
      <c r="K557" s="54" t="str">
        <f t="shared" si="30"/>
        <v/>
      </c>
      <c r="L557" s="33"/>
      <c r="M557" s="33"/>
      <c r="N557" s="30"/>
      <c r="O557" s="30"/>
      <c r="P557" s="33"/>
    </row>
    <row r="558" spans="1:16" x14ac:dyDescent="0.25">
      <c r="A558" s="31"/>
      <c r="B558" s="30"/>
      <c r="C558" s="30"/>
      <c r="D558" s="30"/>
      <c r="E558" s="33"/>
      <c r="F558" s="30"/>
      <c r="G558" s="49"/>
      <c r="H558" s="52" t="str">
        <f t="shared" si="28"/>
        <v/>
      </c>
      <c r="I558" s="52" t="str">
        <f t="shared" si="29"/>
        <v/>
      </c>
      <c r="J558" s="53"/>
      <c r="K558" s="54" t="str">
        <f t="shared" si="30"/>
        <v/>
      </c>
      <c r="L558" s="33"/>
      <c r="M558" s="33"/>
      <c r="N558" s="30"/>
      <c r="O558" s="30"/>
      <c r="P558" s="33"/>
    </row>
    <row r="559" spans="1:16" x14ac:dyDescent="0.25">
      <c r="A559" s="31"/>
      <c r="B559" s="30"/>
      <c r="C559" s="30"/>
      <c r="D559" s="30"/>
      <c r="E559" s="33"/>
      <c r="F559" s="30"/>
      <c r="G559" s="49"/>
      <c r="H559" s="52" t="str">
        <f t="shared" si="28"/>
        <v/>
      </c>
      <c r="I559" s="52" t="str">
        <f t="shared" si="29"/>
        <v/>
      </c>
      <c r="J559" s="53"/>
      <c r="K559" s="54" t="str">
        <f t="shared" si="30"/>
        <v/>
      </c>
      <c r="L559" s="33"/>
      <c r="M559" s="33"/>
      <c r="N559" s="30"/>
      <c r="O559" s="30"/>
      <c r="P559" s="33"/>
    </row>
    <row r="560" spans="1:16" x14ac:dyDescent="0.25">
      <c r="A560" s="31"/>
      <c r="B560" s="30"/>
      <c r="C560" s="30"/>
      <c r="D560" s="30"/>
      <c r="E560" s="33"/>
      <c r="F560" s="30"/>
      <c r="G560" s="49"/>
      <c r="H560" s="52" t="str">
        <f t="shared" si="28"/>
        <v/>
      </c>
      <c r="I560" s="52" t="str">
        <f t="shared" si="29"/>
        <v/>
      </c>
      <c r="J560" s="53"/>
      <c r="K560" s="54" t="str">
        <f t="shared" si="30"/>
        <v/>
      </c>
      <c r="L560" s="33"/>
      <c r="M560" s="33"/>
      <c r="N560" s="30"/>
      <c r="O560" s="30"/>
      <c r="P560" s="33"/>
    </row>
    <row r="561" spans="1:16" x14ac:dyDescent="0.25">
      <c r="A561" s="31"/>
      <c r="B561" s="30"/>
      <c r="C561" s="30"/>
      <c r="D561" s="30"/>
      <c r="E561" s="33"/>
      <c r="F561" s="30"/>
      <c r="G561" s="49"/>
      <c r="H561" s="52" t="str">
        <f t="shared" si="28"/>
        <v/>
      </c>
      <c r="I561" s="52" t="str">
        <f t="shared" si="29"/>
        <v/>
      </c>
      <c r="J561" s="53"/>
      <c r="K561" s="54" t="str">
        <f t="shared" si="30"/>
        <v/>
      </c>
      <c r="L561" s="33"/>
      <c r="M561" s="33"/>
      <c r="N561" s="30"/>
      <c r="O561" s="30"/>
      <c r="P561" s="33"/>
    </row>
    <row r="562" spans="1:16" x14ac:dyDescent="0.25">
      <c r="A562" s="31"/>
      <c r="B562" s="30"/>
      <c r="C562" s="30"/>
      <c r="D562" s="30"/>
      <c r="E562" s="33"/>
      <c r="F562" s="30"/>
      <c r="G562" s="49"/>
      <c r="H562" s="52" t="str">
        <f t="shared" si="28"/>
        <v/>
      </c>
      <c r="I562" s="52" t="str">
        <f t="shared" si="29"/>
        <v/>
      </c>
      <c r="J562" s="53"/>
      <c r="K562" s="54" t="str">
        <f t="shared" si="30"/>
        <v/>
      </c>
      <c r="L562" s="33"/>
      <c r="M562" s="33"/>
      <c r="N562" s="30"/>
      <c r="O562" s="30"/>
      <c r="P562" s="33"/>
    </row>
    <row r="563" spans="1:16" x14ac:dyDescent="0.25">
      <c r="A563" s="31"/>
      <c r="B563" s="30"/>
      <c r="C563" s="30"/>
      <c r="D563" s="30"/>
      <c r="E563" s="33"/>
      <c r="F563" s="30"/>
      <c r="G563" s="49"/>
      <c r="H563" s="52" t="str">
        <f t="shared" si="28"/>
        <v/>
      </c>
      <c r="I563" s="52" t="str">
        <f t="shared" si="29"/>
        <v/>
      </c>
      <c r="J563" s="53"/>
      <c r="K563" s="54" t="str">
        <f t="shared" si="30"/>
        <v/>
      </c>
      <c r="L563" s="33"/>
      <c r="M563" s="33"/>
      <c r="N563" s="30"/>
      <c r="O563" s="30"/>
      <c r="P563" s="33"/>
    </row>
    <row r="564" spans="1:16" x14ac:dyDescent="0.25">
      <c r="A564" s="31"/>
      <c r="B564" s="30"/>
      <c r="C564" s="30"/>
      <c r="D564" s="30"/>
      <c r="E564" s="33"/>
      <c r="F564" s="30"/>
      <c r="G564" s="49"/>
      <c r="H564" s="52" t="str">
        <f t="shared" si="28"/>
        <v/>
      </c>
      <c r="I564" s="52" t="str">
        <f t="shared" si="29"/>
        <v/>
      </c>
      <c r="J564" s="53"/>
      <c r="K564" s="54" t="str">
        <f t="shared" si="30"/>
        <v/>
      </c>
      <c r="L564" s="33"/>
      <c r="M564" s="33"/>
      <c r="N564" s="30"/>
      <c r="O564" s="30"/>
      <c r="P564" s="33"/>
    </row>
    <row r="565" spans="1:16" x14ac:dyDescent="0.25">
      <c r="A565" s="31"/>
      <c r="B565" s="30"/>
      <c r="C565" s="30"/>
      <c r="D565" s="30"/>
      <c r="E565" s="33"/>
      <c r="F565" s="30"/>
      <c r="G565" s="49"/>
      <c r="H565" s="52" t="str">
        <f t="shared" si="28"/>
        <v/>
      </c>
      <c r="I565" s="52" t="str">
        <f t="shared" si="29"/>
        <v/>
      </c>
      <c r="J565" s="53"/>
      <c r="K565" s="54" t="str">
        <f t="shared" si="30"/>
        <v/>
      </c>
      <c r="L565" s="33"/>
      <c r="M565" s="33"/>
      <c r="N565" s="30"/>
      <c r="O565" s="30"/>
      <c r="P565" s="33"/>
    </row>
    <row r="566" spans="1:16" x14ac:dyDescent="0.25">
      <c r="A566" s="31"/>
      <c r="B566" s="30"/>
      <c r="C566" s="30"/>
      <c r="D566" s="30"/>
      <c r="E566" s="33"/>
      <c r="F566" s="30"/>
      <c r="G566" s="49"/>
      <c r="H566" s="52" t="str">
        <f t="shared" si="28"/>
        <v/>
      </c>
      <c r="I566" s="52" t="str">
        <f t="shared" si="29"/>
        <v/>
      </c>
      <c r="J566" s="53"/>
      <c r="K566" s="54" t="str">
        <f t="shared" si="30"/>
        <v/>
      </c>
      <c r="L566" s="33"/>
      <c r="M566" s="33"/>
      <c r="N566" s="30"/>
      <c r="O566" s="30"/>
      <c r="P566" s="33"/>
    </row>
    <row r="567" spans="1:16" x14ac:dyDescent="0.25">
      <c r="A567" s="31"/>
      <c r="B567" s="30"/>
      <c r="C567" s="30"/>
      <c r="D567" s="30"/>
      <c r="E567" s="33"/>
      <c r="F567" s="30"/>
      <c r="G567" s="49"/>
      <c r="H567" s="52" t="str">
        <f t="shared" si="28"/>
        <v/>
      </c>
      <c r="I567" s="52" t="str">
        <f t="shared" si="29"/>
        <v/>
      </c>
      <c r="J567" s="53"/>
      <c r="K567" s="54" t="str">
        <f t="shared" si="30"/>
        <v/>
      </c>
      <c r="L567" s="33"/>
      <c r="M567" s="33"/>
      <c r="N567" s="30"/>
      <c r="O567" s="30"/>
      <c r="P567" s="33"/>
    </row>
    <row r="568" spans="1:16" x14ac:dyDescent="0.25">
      <c r="A568" s="31"/>
      <c r="B568" s="30"/>
      <c r="C568" s="30"/>
      <c r="D568" s="30"/>
      <c r="E568" s="33"/>
      <c r="F568" s="30"/>
      <c r="G568" s="49"/>
      <c r="H568" s="52" t="str">
        <f t="shared" si="28"/>
        <v/>
      </c>
      <c r="I568" s="52" t="str">
        <f t="shared" si="29"/>
        <v/>
      </c>
      <c r="J568" s="53"/>
      <c r="K568" s="54" t="str">
        <f t="shared" si="30"/>
        <v/>
      </c>
      <c r="L568" s="33"/>
      <c r="M568" s="33"/>
      <c r="N568" s="30"/>
      <c r="O568" s="30"/>
      <c r="P568" s="33"/>
    </row>
    <row r="569" spans="1:16" x14ac:dyDescent="0.25">
      <c r="A569" s="31"/>
      <c r="B569" s="30"/>
      <c r="C569" s="30"/>
      <c r="D569" s="30"/>
      <c r="E569" s="33"/>
      <c r="F569" s="30"/>
      <c r="G569" s="49"/>
      <c r="H569" s="52" t="str">
        <f t="shared" si="28"/>
        <v/>
      </c>
      <c r="I569" s="52" t="str">
        <f t="shared" si="29"/>
        <v/>
      </c>
      <c r="J569" s="53"/>
      <c r="K569" s="54" t="str">
        <f t="shared" si="30"/>
        <v/>
      </c>
      <c r="L569" s="33"/>
      <c r="M569" s="33"/>
      <c r="N569" s="30"/>
      <c r="O569" s="30"/>
      <c r="P569" s="33"/>
    </row>
    <row r="570" spans="1:16" x14ac:dyDescent="0.25">
      <c r="A570" s="31"/>
      <c r="B570" s="30"/>
      <c r="C570" s="30"/>
      <c r="D570" s="30"/>
      <c r="E570" s="33"/>
      <c r="F570" s="30"/>
      <c r="G570" s="49"/>
      <c r="H570" s="52" t="str">
        <f t="shared" si="28"/>
        <v/>
      </c>
      <c r="I570" s="52" t="str">
        <f t="shared" si="29"/>
        <v/>
      </c>
      <c r="J570" s="53"/>
      <c r="K570" s="54" t="str">
        <f t="shared" si="30"/>
        <v/>
      </c>
      <c r="L570" s="33"/>
      <c r="M570" s="33"/>
      <c r="N570" s="30"/>
      <c r="O570" s="30"/>
      <c r="P570" s="33"/>
    </row>
    <row r="571" spans="1:16" x14ac:dyDescent="0.25">
      <c r="A571" s="31"/>
      <c r="B571" s="30"/>
      <c r="C571" s="30"/>
      <c r="D571" s="30"/>
      <c r="E571" s="33"/>
      <c r="F571" s="30"/>
      <c r="G571" s="49"/>
      <c r="H571" s="52" t="str">
        <f t="shared" si="28"/>
        <v/>
      </c>
      <c r="I571" s="52" t="str">
        <f t="shared" si="29"/>
        <v/>
      </c>
      <c r="J571" s="53"/>
      <c r="K571" s="54" t="str">
        <f t="shared" si="30"/>
        <v/>
      </c>
      <c r="L571" s="33"/>
      <c r="M571" s="33"/>
      <c r="N571" s="30"/>
      <c r="O571" s="30"/>
      <c r="P571" s="33"/>
    </row>
    <row r="572" spans="1:16" x14ac:dyDescent="0.25">
      <c r="A572" s="31"/>
      <c r="B572" s="30"/>
      <c r="C572" s="30"/>
      <c r="D572" s="30"/>
      <c r="E572" s="33"/>
      <c r="F572" s="30"/>
      <c r="G572" s="49"/>
      <c r="H572" s="52" t="str">
        <f t="shared" si="28"/>
        <v/>
      </c>
      <c r="I572" s="52" t="str">
        <f t="shared" si="29"/>
        <v/>
      </c>
      <c r="J572" s="53"/>
      <c r="K572" s="54" t="str">
        <f t="shared" si="30"/>
        <v/>
      </c>
      <c r="L572" s="33"/>
      <c r="M572" s="33"/>
      <c r="N572" s="30"/>
      <c r="O572" s="30"/>
      <c r="P572" s="33"/>
    </row>
    <row r="573" spans="1:16" x14ac:dyDescent="0.25">
      <c r="A573" s="31"/>
      <c r="B573" s="30"/>
      <c r="C573" s="30"/>
      <c r="D573" s="30"/>
      <c r="E573" s="33"/>
      <c r="F573" s="30"/>
      <c r="G573" s="49"/>
      <c r="H573" s="52" t="str">
        <f t="shared" si="28"/>
        <v/>
      </c>
      <c r="I573" s="52" t="str">
        <f t="shared" si="29"/>
        <v/>
      </c>
      <c r="J573" s="53"/>
      <c r="K573" s="54" t="str">
        <f t="shared" si="30"/>
        <v/>
      </c>
      <c r="L573" s="33"/>
      <c r="M573" s="33"/>
      <c r="N573" s="30"/>
      <c r="O573" s="30"/>
      <c r="P573" s="33"/>
    </row>
    <row r="574" spans="1:16" x14ac:dyDescent="0.25">
      <c r="A574" s="31"/>
      <c r="B574" s="30"/>
      <c r="C574" s="30"/>
      <c r="D574" s="30"/>
      <c r="E574" s="33"/>
      <c r="F574" s="30"/>
      <c r="G574" s="49"/>
      <c r="H574" s="52" t="str">
        <f t="shared" si="28"/>
        <v/>
      </c>
      <c r="I574" s="52" t="str">
        <f t="shared" si="29"/>
        <v/>
      </c>
      <c r="J574" s="53"/>
      <c r="K574" s="54" t="str">
        <f t="shared" si="30"/>
        <v/>
      </c>
      <c r="L574" s="33"/>
      <c r="M574" s="33"/>
      <c r="N574" s="30"/>
      <c r="O574" s="30"/>
      <c r="P574" s="33"/>
    </row>
    <row r="575" spans="1:16" x14ac:dyDescent="0.25">
      <c r="A575" s="31"/>
      <c r="B575" s="30"/>
      <c r="C575" s="30"/>
      <c r="D575" s="30"/>
      <c r="E575" s="33"/>
      <c r="F575" s="30"/>
      <c r="G575" s="49"/>
      <c r="H575" s="52" t="str">
        <f t="shared" si="28"/>
        <v/>
      </c>
      <c r="I575" s="52" t="str">
        <f t="shared" si="29"/>
        <v/>
      </c>
      <c r="J575" s="53"/>
      <c r="K575" s="54" t="str">
        <f t="shared" si="30"/>
        <v/>
      </c>
      <c r="L575" s="33"/>
      <c r="M575" s="33"/>
      <c r="N575" s="30"/>
      <c r="O575" s="30"/>
      <c r="P575" s="33"/>
    </row>
    <row r="576" spans="1:16" x14ac:dyDescent="0.25">
      <c r="A576" s="31"/>
      <c r="B576" s="30"/>
      <c r="C576" s="30"/>
      <c r="D576" s="30"/>
      <c r="E576" s="33"/>
      <c r="F576" s="30"/>
      <c r="G576" s="49"/>
      <c r="H576" s="52" t="str">
        <f t="shared" si="28"/>
        <v/>
      </c>
      <c r="I576" s="52" t="str">
        <f t="shared" si="29"/>
        <v/>
      </c>
      <c r="J576" s="53"/>
      <c r="K576" s="54" t="str">
        <f t="shared" si="30"/>
        <v/>
      </c>
      <c r="L576" s="33"/>
      <c r="M576" s="33"/>
      <c r="N576" s="30"/>
      <c r="O576" s="30"/>
      <c r="P576" s="33"/>
    </row>
    <row r="577" spans="1:16" x14ac:dyDescent="0.25">
      <c r="A577" s="31"/>
      <c r="B577" s="30"/>
      <c r="C577" s="30"/>
      <c r="D577" s="30"/>
      <c r="E577" s="33"/>
      <c r="F577" s="30"/>
      <c r="G577" s="49"/>
      <c r="H577" s="52" t="str">
        <f t="shared" si="28"/>
        <v/>
      </c>
      <c r="I577" s="52" t="str">
        <f t="shared" si="29"/>
        <v/>
      </c>
      <c r="J577" s="53"/>
      <c r="K577" s="54" t="str">
        <f t="shared" si="30"/>
        <v/>
      </c>
      <c r="L577" s="33"/>
      <c r="M577" s="33"/>
      <c r="N577" s="30"/>
      <c r="O577" s="30"/>
      <c r="P577" s="33"/>
    </row>
    <row r="578" spans="1:16" x14ac:dyDescent="0.25">
      <c r="A578" s="31"/>
      <c r="B578" s="30"/>
      <c r="C578" s="30"/>
      <c r="D578" s="30"/>
      <c r="E578" s="33"/>
      <c r="F578" s="30"/>
      <c r="G578" s="49"/>
      <c r="H578" s="52" t="str">
        <f t="shared" si="28"/>
        <v/>
      </c>
      <c r="I578" s="52" t="str">
        <f t="shared" si="29"/>
        <v/>
      </c>
      <c r="J578" s="53"/>
      <c r="K578" s="54" t="str">
        <f t="shared" si="30"/>
        <v/>
      </c>
      <c r="L578" s="33"/>
      <c r="M578" s="33"/>
      <c r="N578" s="30"/>
      <c r="O578" s="30"/>
      <c r="P578" s="33"/>
    </row>
    <row r="579" spans="1:16" x14ac:dyDescent="0.25">
      <c r="A579" s="31"/>
      <c r="B579" s="30"/>
      <c r="C579" s="30"/>
      <c r="D579" s="30"/>
      <c r="E579" s="33"/>
      <c r="F579" s="30"/>
      <c r="G579" s="49"/>
      <c r="H579" s="52" t="str">
        <f t="shared" si="28"/>
        <v/>
      </c>
      <c r="I579" s="52" t="str">
        <f t="shared" si="29"/>
        <v/>
      </c>
      <c r="J579" s="53"/>
      <c r="K579" s="54" t="str">
        <f t="shared" si="30"/>
        <v/>
      </c>
      <c r="L579" s="33"/>
      <c r="M579" s="33"/>
      <c r="N579" s="30"/>
      <c r="O579" s="30"/>
      <c r="P579" s="33"/>
    </row>
    <row r="580" spans="1:16" x14ac:dyDescent="0.25">
      <c r="A580" s="31"/>
      <c r="B580" s="30"/>
      <c r="C580" s="30"/>
      <c r="D580" s="30"/>
      <c r="E580" s="33"/>
      <c r="F580" s="30"/>
      <c r="G580" s="49"/>
      <c r="H580" s="52" t="str">
        <f t="shared" si="28"/>
        <v/>
      </c>
      <c r="I580" s="52" t="str">
        <f t="shared" si="29"/>
        <v/>
      </c>
      <c r="J580" s="53"/>
      <c r="K580" s="54" t="str">
        <f t="shared" si="30"/>
        <v/>
      </c>
      <c r="L580" s="33"/>
      <c r="M580" s="33"/>
      <c r="N580" s="30"/>
      <c r="O580" s="30"/>
      <c r="P580" s="33"/>
    </row>
    <row r="581" spans="1:16" x14ac:dyDescent="0.25">
      <c r="A581" s="31"/>
      <c r="B581" s="30"/>
      <c r="C581" s="30"/>
      <c r="D581" s="30"/>
      <c r="E581" s="33"/>
      <c r="F581" s="30"/>
      <c r="G581" s="49"/>
      <c r="H581" s="52" t="str">
        <f t="shared" ref="H581:H644" si="31">IF($A581="","",IF(OR($C581="ENTRADA",$C581="DEVOLUÇÃO"),$G581,0))</f>
        <v/>
      </c>
      <c r="I581" s="52" t="str">
        <f t="shared" ref="I581:I644" si="32">IF($A581="","",IF(OR($C581="SAÍDA",$C581="PERDA / QUEBRA",$C581="TRANSFERÊNCIA"),$G581,0))</f>
        <v/>
      </c>
      <c r="J581" s="53"/>
      <c r="K581" s="54" t="str">
        <f t="shared" ref="K581:K644" si="33">IF($A581="","",$G581*$J581)</f>
        <v/>
      </c>
      <c r="L581" s="33"/>
      <c r="M581" s="33"/>
      <c r="N581" s="30"/>
      <c r="O581" s="30"/>
      <c r="P581" s="33"/>
    </row>
    <row r="582" spans="1:16" x14ac:dyDescent="0.25">
      <c r="A582" s="31"/>
      <c r="B582" s="30"/>
      <c r="C582" s="30"/>
      <c r="D582" s="30"/>
      <c r="E582" s="33"/>
      <c r="F582" s="30"/>
      <c r="G582" s="49"/>
      <c r="H582" s="52" t="str">
        <f t="shared" si="31"/>
        <v/>
      </c>
      <c r="I582" s="52" t="str">
        <f t="shared" si="32"/>
        <v/>
      </c>
      <c r="J582" s="53"/>
      <c r="K582" s="54" t="str">
        <f t="shared" si="33"/>
        <v/>
      </c>
      <c r="L582" s="33"/>
      <c r="M582" s="33"/>
      <c r="N582" s="30"/>
      <c r="O582" s="30"/>
      <c r="P582" s="33"/>
    </row>
    <row r="583" spans="1:16" x14ac:dyDescent="0.25">
      <c r="A583" s="31"/>
      <c r="B583" s="30"/>
      <c r="C583" s="30"/>
      <c r="D583" s="30"/>
      <c r="E583" s="33"/>
      <c r="F583" s="30"/>
      <c r="G583" s="49"/>
      <c r="H583" s="52" t="str">
        <f t="shared" si="31"/>
        <v/>
      </c>
      <c r="I583" s="52" t="str">
        <f t="shared" si="32"/>
        <v/>
      </c>
      <c r="J583" s="53"/>
      <c r="K583" s="54" t="str">
        <f t="shared" si="33"/>
        <v/>
      </c>
      <c r="L583" s="33"/>
      <c r="M583" s="33"/>
      <c r="N583" s="30"/>
      <c r="O583" s="30"/>
      <c r="P583" s="33"/>
    </row>
    <row r="584" spans="1:16" x14ac:dyDescent="0.25">
      <c r="A584" s="31"/>
      <c r="B584" s="30"/>
      <c r="C584" s="30"/>
      <c r="D584" s="30"/>
      <c r="E584" s="33"/>
      <c r="F584" s="30"/>
      <c r="G584" s="49"/>
      <c r="H584" s="52" t="str">
        <f t="shared" si="31"/>
        <v/>
      </c>
      <c r="I584" s="52" t="str">
        <f t="shared" si="32"/>
        <v/>
      </c>
      <c r="J584" s="53"/>
      <c r="K584" s="54" t="str">
        <f t="shared" si="33"/>
        <v/>
      </c>
      <c r="L584" s="33"/>
      <c r="M584" s="33"/>
      <c r="N584" s="30"/>
      <c r="O584" s="30"/>
      <c r="P584" s="33"/>
    </row>
    <row r="585" spans="1:16" x14ac:dyDescent="0.25">
      <c r="A585" s="31"/>
      <c r="B585" s="30"/>
      <c r="C585" s="30"/>
      <c r="D585" s="30"/>
      <c r="E585" s="33"/>
      <c r="F585" s="30"/>
      <c r="G585" s="49"/>
      <c r="H585" s="52" t="str">
        <f t="shared" si="31"/>
        <v/>
      </c>
      <c r="I585" s="52" t="str">
        <f t="shared" si="32"/>
        <v/>
      </c>
      <c r="J585" s="53"/>
      <c r="K585" s="54" t="str">
        <f t="shared" si="33"/>
        <v/>
      </c>
      <c r="L585" s="33"/>
      <c r="M585" s="33"/>
      <c r="N585" s="30"/>
      <c r="O585" s="30"/>
      <c r="P585" s="33"/>
    </row>
    <row r="586" spans="1:16" x14ac:dyDescent="0.25">
      <c r="A586" s="31"/>
      <c r="B586" s="30"/>
      <c r="C586" s="30"/>
      <c r="D586" s="30"/>
      <c r="E586" s="33"/>
      <c r="F586" s="30"/>
      <c r="G586" s="49"/>
      <c r="H586" s="52" t="str">
        <f t="shared" si="31"/>
        <v/>
      </c>
      <c r="I586" s="52" t="str">
        <f t="shared" si="32"/>
        <v/>
      </c>
      <c r="J586" s="53"/>
      <c r="K586" s="54" t="str">
        <f t="shared" si="33"/>
        <v/>
      </c>
      <c r="L586" s="33"/>
      <c r="M586" s="33"/>
      <c r="N586" s="30"/>
      <c r="O586" s="30"/>
      <c r="P586" s="33"/>
    </row>
    <row r="587" spans="1:16" x14ac:dyDescent="0.25">
      <c r="A587" s="31"/>
      <c r="B587" s="30"/>
      <c r="C587" s="30"/>
      <c r="D587" s="30"/>
      <c r="E587" s="33"/>
      <c r="F587" s="30"/>
      <c r="G587" s="49"/>
      <c r="H587" s="52" t="str">
        <f t="shared" si="31"/>
        <v/>
      </c>
      <c r="I587" s="52" t="str">
        <f t="shared" si="32"/>
        <v/>
      </c>
      <c r="J587" s="53"/>
      <c r="K587" s="54" t="str">
        <f t="shared" si="33"/>
        <v/>
      </c>
      <c r="L587" s="33"/>
      <c r="M587" s="33"/>
      <c r="N587" s="30"/>
      <c r="O587" s="30"/>
      <c r="P587" s="33"/>
    </row>
    <row r="588" spans="1:16" x14ac:dyDescent="0.25">
      <c r="A588" s="31"/>
      <c r="B588" s="30"/>
      <c r="C588" s="30"/>
      <c r="D588" s="30"/>
      <c r="E588" s="33"/>
      <c r="F588" s="30"/>
      <c r="G588" s="49"/>
      <c r="H588" s="52" t="str">
        <f t="shared" si="31"/>
        <v/>
      </c>
      <c r="I588" s="52" t="str">
        <f t="shared" si="32"/>
        <v/>
      </c>
      <c r="J588" s="53"/>
      <c r="K588" s="54" t="str">
        <f t="shared" si="33"/>
        <v/>
      </c>
      <c r="L588" s="33"/>
      <c r="M588" s="33"/>
      <c r="N588" s="30"/>
      <c r="O588" s="30"/>
      <c r="P588" s="33"/>
    </row>
    <row r="589" spans="1:16" x14ac:dyDescent="0.25">
      <c r="A589" s="31"/>
      <c r="B589" s="30"/>
      <c r="C589" s="30"/>
      <c r="D589" s="30"/>
      <c r="E589" s="33"/>
      <c r="F589" s="30"/>
      <c r="G589" s="49"/>
      <c r="H589" s="52" t="str">
        <f t="shared" si="31"/>
        <v/>
      </c>
      <c r="I589" s="52" t="str">
        <f t="shared" si="32"/>
        <v/>
      </c>
      <c r="J589" s="53"/>
      <c r="K589" s="54" t="str">
        <f t="shared" si="33"/>
        <v/>
      </c>
      <c r="L589" s="33"/>
      <c r="M589" s="33"/>
      <c r="N589" s="30"/>
      <c r="O589" s="30"/>
      <c r="P589" s="33"/>
    </row>
    <row r="590" spans="1:16" x14ac:dyDescent="0.25">
      <c r="A590" s="31"/>
      <c r="B590" s="30"/>
      <c r="C590" s="30"/>
      <c r="D590" s="30"/>
      <c r="E590" s="33"/>
      <c r="F590" s="30"/>
      <c r="G590" s="49"/>
      <c r="H590" s="52" t="str">
        <f t="shared" si="31"/>
        <v/>
      </c>
      <c r="I590" s="52" t="str">
        <f t="shared" si="32"/>
        <v/>
      </c>
      <c r="J590" s="53"/>
      <c r="K590" s="54" t="str">
        <f t="shared" si="33"/>
        <v/>
      </c>
      <c r="L590" s="33"/>
      <c r="M590" s="33"/>
      <c r="N590" s="30"/>
      <c r="O590" s="30"/>
      <c r="P590" s="33"/>
    </row>
    <row r="591" spans="1:16" x14ac:dyDescent="0.25">
      <c r="A591" s="31"/>
      <c r="B591" s="30"/>
      <c r="C591" s="30"/>
      <c r="D591" s="30"/>
      <c r="E591" s="33"/>
      <c r="F591" s="30"/>
      <c r="G591" s="49"/>
      <c r="H591" s="52" t="str">
        <f t="shared" si="31"/>
        <v/>
      </c>
      <c r="I591" s="52" t="str">
        <f t="shared" si="32"/>
        <v/>
      </c>
      <c r="J591" s="53"/>
      <c r="K591" s="54" t="str">
        <f t="shared" si="33"/>
        <v/>
      </c>
      <c r="L591" s="33"/>
      <c r="M591" s="33"/>
      <c r="N591" s="30"/>
      <c r="O591" s="30"/>
      <c r="P591" s="33"/>
    </row>
    <row r="592" spans="1:16" x14ac:dyDescent="0.25">
      <c r="A592" s="31"/>
      <c r="B592" s="30"/>
      <c r="C592" s="30"/>
      <c r="D592" s="30"/>
      <c r="E592" s="33"/>
      <c r="F592" s="30"/>
      <c r="G592" s="49"/>
      <c r="H592" s="52" t="str">
        <f t="shared" si="31"/>
        <v/>
      </c>
      <c r="I592" s="52" t="str">
        <f t="shared" si="32"/>
        <v/>
      </c>
      <c r="J592" s="53"/>
      <c r="K592" s="54" t="str">
        <f t="shared" si="33"/>
        <v/>
      </c>
      <c r="L592" s="33"/>
      <c r="M592" s="33"/>
      <c r="N592" s="30"/>
      <c r="O592" s="30"/>
      <c r="P592" s="33"/>
    </row>
    <row r="593" spans="1:16" x14ac:dyDescent="0.25">
      <c r="A593" s="31"/>
      <c r="B593" s="30"/>
      <c r="C593" s="30"/>
      <c r="D593" s="30"/>
      <c r="E593" s="33"/>
      <c r="F593" s="30"/>
      <c r="G593" s="49"/>
      <c r="H593" s="52" t="str">
        <f t="shared" si="31"/>
        <v/>
      </c>
      <c r="I593" s="52" t="str">
        <f t="shared" si="32"/>
        <v/>
      </c>
      <c r="J593" s="53"/>
      <c r="K593" s="54" t="str">
        <f t="shared" si="33"/>
        <v/>
      </c>
      <c r="L593" s="33"/>
      <c r="M593" s="33"/>
      <c r="N593" s="30"/>
      <c r="O593" s="30"/>
      <c r="P593" s="33"/>
    </row>
    <row r="594" spans="1:16" x14ac:dyDescent="0.25">
      <c r="A594" s="31"/>
      <c r="B594" s="30"/>
      <c r="C594" s="30"/>
      <c r="D594" s="30"/>
      <c r="E594" s="33"/>
      <c r="F594" s="30"/>
      <c r="G594" s="49"/>
      <c r="H594" s="52" t="str">
        <f t="shared" si="31"/>
        <v/>
      </c>
      <c r="I594" s="52" t="str">
        <f t="shared" si="32"/>
        <v/>
      </c>
      <c r="J594" s="53"/>
      <c r="K594" s="54" t="str">
        <f t="shared" si="33"/>
        <v/>
      </c>
      <c r="L594" s="33"/>
      <c r="M594" s="33"/>
      <c r="N594" s="30"/>
      <c r="O594" s="30"/>
      <c r="P594" s="33"/>
    </row>
    <row r="595" spans="1:16" x14ac:dyDescent="0.25">
      <c r="A595" s="31"/>
      <c r="B595" s="30"/>
      <c r="C595" s="30"/>
      <c r="D595" s="30"/>
      <c r="E595" s="33"/>
      <c r="F595" s="30"/>
      <c r="G595" s="49"/>
      <c r="H595" s="52" t="str">
        <f t="shared" si="31"/>
        <v/>
      </c>
      <c r="I595" s="52" t="str">
        <f t="shared" si="32"/>
        <v/>
      </c>
      <c r="J595" s="53"/>
      <c r="K595" s="54" t="str">
        <f t="shared" si="33"/>
        <v/>
      </c>
      <c r="L595" s="33"/>
      <c r="M595" s="33"/>
      <c r="N595" s="30"/>
      <c r="O595" s="30"/>
      <c r="P595" s="33"/>
    </row>
    <row r="596" spans="1:16" x14ac:dyDescent="0.25">
      <c r="A596" s="31"/>
      <c r="B596" s="30"/>
      <c r="C596" s="30"/>
      <c r="D596" s="30"/>
      <c r="E596" s="33"/>
      <c r="F596" s="30"/>
      <c r="G596" s="49"/>
      <c r="H596" s="52" t="str">
        <f t="shared" si="31"/>
        <v/>
      </c>
      <c r="I596" s="52" t="str">
        <f t="shared" si="32"/>
        <v/>
      </c>
      <c r="J596" s="53"/>
      <c r="K596" s="54" t="str">
        <f t="shared" si="33"/>
        <v/>
      </c>
      <c r="L596" s="33"/>
      <c r="M596" s="33"/>
      <c r="N596" s="30"/>
      <c r="O596" s="30"/>
      <c r="P596" s="33"/>
    </row>
    <row r="597" spans="1:16" x14ac:dyDescent="0.25">
      <c r="A597" s="31"/>
      <c r="B597" s="30"/>
      <c r="C597" s="30"/>
      <c r="D597" s="30"/>
      <c r="E597" s="33"/>
      <c r="F597" s="30"/>
      <c r="G597" s="49"/>
      <c r="H597" s="52" t="str">
        <f t="shared" si="31"/>
        <v/>
      </c>
      <c r="I597" s="52" t="str">
        <f t="shared" si="32"/>
        <v/>
      </c>
      <c r="J597" s="53"/>
      <c r="K597" s="54" t="str">
        <f t="shared" si="33"/>
        <v/>
      </c>
      <c r="L597" s="33"/>
      <c r="M597" s="33"/>
      <c r="N597" s="30"/>
      <c r="O597" s="30"/>
      <c r="P597" s="33"/>
    </row>
    <row r="598" spans="1:16" x14ac:dyDescent="0.25">
      <c r="A598" s="31"/>
      <c r="B598" s="30"/>
      <c r="C598" s="30"/>
      <c r="D598" s="30"/>
      <c r="E598" s="33"/>
      <c r="F598" s="30"/>
      <c r="G598" s="49"/>
      <c r="H598" s="52" t="str">
        <f t="shared" si="31"/>
        <v/>
      </c>
      <c r="I598" s="52" t="str">
        <f t="shared" si="32"/>
        <v/>
      </c>
      <c r="J598" s="53"/>
      <c r="K598" s="54" t="str">
        <f t="shared" si="33"/>
        <v/>
      </c>
      <c r="L598" s="33"/>
      <c r="M598" s="33"/>
      <c r="N598" s="30"/>
      <c r="O598" s="30"/>
      <c r="P598" s="33"/>
    </row>
    <row r="599" spans="1:16" x14ac:dyDescent="0.25">
      <c r="A599" s="31"/>
      <c r="B599" s="30"/>
      <c r="C599" s="30"/>
      <c r="D599" s="30"/>
      <c r="E599" s="33"/>
      <c r="F599" s="30"/>
      <c r="G599" s="49"/>
      <c r="H599" s="52" t="str">
        <f t="shared" si="31"/>
        <v/>
      </c>
      <c r="I599" s="52" t="str">
        <f t="shared" si="32"/>
        <v/>
      </c>
      <c r="J599" s="53"/>
      <c r="K599" s="54" t="str">
        <f t="shared" si="33"/>
        <v/>
      </c>
      <c r="L599" s="33"/>
      <c r="M599" s="33"/>
      <c r="N599" s="30"/>
      <c r="O599" s="30"/>
      <c r="P599" s="33"/>
    </row>
    <row r="600" spans="1:16" x14ac:dyDescent="0.25">
      <c r="A600" s="31"/>
      <c r="B600" s="30"/>
      <c r="C600" s="30"/>
      <c r="D600" s="30"/>
      <c r="E600" s="33"/>
      <c r="F600" s="30"/>
      <c r="G600" s="49"/>
      <c r="H600" s="52" t="str">
        <f t="shared" si="31"/>
        <v/>
      </c>
      <c r="I600" s="52" t="str">
        <f t="shared" si="32"/>
        <v/>
      </c>
      <c r="J600" s="53"/>
      <c r="K600" s="54" t="str">
        <f t="shared" si="33"/>
        <v/>
      </c>
      <c r="L600" s="33"/>
      <c r="M600" s="33"/>
      <c r="N600" s="30"/>
      <c r="O600" s="30"/>
      <c r="P600" s="33"/>
    </row>
    <row r="601" spans="1:16" x14ac:dyDescent="0.25">
      <c r="A601" s="31"/>
      <c r="B601" s="30"/>
      <c r="C601" s="30"/>
      <c r="D601" s="30"/>
      <c r="E601" s="33"/>
      <c r="F601" s="30"/>
      <c r="G601" s="49"/>
      <c r="H601" s="52" t="str">
        <f t="shared" si="31"/>
        <v/>
      </c>
      <c r="I601" s="52" t="str">
        <f t="shared" si="32"/>
        <v/>
      </c>
      <c r="J601" s="53"/>
      <c r="K601" s="54" t="str">
        <f t="shared" si="33"/>
        <v/>
      </c>
      <c r="L601" s="33"/>
      <c r="M601" s="33"/>
      <c r="N601" s="30"/>
      <c r="O601" s="30"/>
      <c r="P601" s="33"/>
    </row>
    <row r="602" spans="1:16" x14ac:dyDescent="0.25">
      <c r="A602" s="31"/>
      <c r="B602" s="30"/>
      <c r="C602" s="30"/>
      <c r="D602" s="30"/>
      <c r="E602" s="33"/>
      <c r="F602" s="30"/>
      <c r="G602" s="49"/>
      <c r="H602" s="52" t="str">
        <f t="shared" si="31"/>
        <v/>
      </c>
      <c r="I602" s="52" t="str">
        <f t="shared" si="32"/>
        <v/>
      </c>
      <c r="J602" s="53"/>
      <c r="K602" s="54" t="str">
        <f t="shared" si="33"/>
        <v/>
      </c>
      <c r="L602" s="33"/>
      <c r="M602" s="33"/>
      <c r="N602" s="30"/>
      <c r="O602" s="30"/>
      <c r="P602" s="33"/>
    </row>
    <row r="603" spans="1:16" x14ac:dyDescent="0.25">
      <c r="A603" s="31"/>
      <c r="B603" s="30"/>
      <c r="C603" s="30"/>
      <c r="D603" s="30"/>
      <c r="E603" s="33"/>
      <c r="F603" s="30"/>
      <c r="G603" s="49"/>
      <c r="H603" s="52" t="str">
        <f t="shared" si="31"/>
        <v/>
      </c>
      <c r="I603" s="52" t="str">
        <f t="shared" si="32"/>
        <v/>
      </c>
      <c r="J603" s="53"/>
      <c r="K603" s="54" t="str">
        <f t="shared" si="33"/>
        <v/>
      </c>
      <c r="L603" s="33"/>
      <c r="M603" s="33"/>
      <c r="N603" s="30"/>
      <c r="O603" s="30"/>
      <c r="P603" s="33"/>
    </row>
    <row r="604" spans="1:16" x14ac:dyDescent="0.25">
      <c r="A604" s="31"/>
      <c r="B604" s="30"/>
      <c r="C604" s="30"/>
      <c r="D604" s="30"/>
      <c r="E604" s="33"/>
      <c r="F604" s="30"/>
      <c r="G604" s="49"/>
      <c r="H604" s="52" t="str">
        <f t="shared" si="31"/>
        <v/>
      </c>
      <c r="I604" s="52" t="str">
        <f t="shared" si="32"/>
        <v/>
      </c>
      <c r="J604" s="53"/>
      <c r="K604" s="54" t="str">
        <f t="shared" si="33"/>
        <v/>
      </c>
      <c r="L604" s="33"/>
      <c r="M604" s="33"/>
      <c r="N604" s="30"/>
      <c r="O604" s="30"/>
      <c r="P604" s="33"/>
    </row>
    <row r="605" spans="1:16" x14ac:dyDescent="0.25">
      <c r="A605" s="31"/>
      <c r="B605" s="30"/>
      <c r="C605" s="30"/>
      <c r="D605" s="30"/>
      <c r="E605" s="33"/>
      <c r="F605" s="30"/>
      <c r="G605" s="49"/>
      <c r="H605" s="52" t="str">
        <f t="shared" si="31"/>
        <v/>
      </c>
      <c r="I605" s="52" t="str">
        <f t="shared" si="32"/>
        <v/>
      </c>
      <c r="J605" s="53"/>
      <c r="K605" s="54" t="str">
        <f t="shared" si="33"/>
        <v/>
      </c>
      <c r="L605" s="33"/>
      <c r="M605" s="33"/>
      <c r="N605" s="30"/>
      <c r="O605" s="30"/>
      <c r="P605" s="33"/>
    </row>
    <row r="606" spans="1:16" x14ac:dyDescent="0.25">
      <c r="A606" s="31"/>
      <c r="B606" s="30"/>
      <c r="C606" s="30"/>
      <c r="D606" s="30"/>
      <c r="E606" s="33"/>
      <c r="F606" s="30"/>
      <c r="G606" s="49"/>
      <c r="H606" s="52" t="str">
        <f t="shared" si="31"/>
        <v/>
      </c>
      <c r="I606" s="52" t="str">
        <f t="shared" si="32"/>
        <v/>
      </c>
      <c r="J606" s="53"/>
      <c r="K606" s="54" t="str">
        <f t="shared" si="33"/>
        <v/>
      </c>
      <c r="L606" s="33"/>
      <c r="M606" s="33"/>
      <c r="N606" s="30"/>
      <c r="O606" s="30"/>
      <c r="P606" s="33"/>
    </row>
    <row r="607" spans="1:16" x14ac:dyDescent="0.25">
      <c r="A607" s="31"/>
      <c r="B607" s="30"/>
      <c r="C607" s="30"/>
      <c r="D607" s="30"/>
      <c r="E607" s="33"/>
      <c r="F607" s="30"/>
      <c r="G607" s="49"/>
      <c r="H607" s="52" t="str">
        <f t="shared" si="31"/>
        <v/>
      </c>
      <c r="I607" s="52" t="str">
        <f t="shared" si="32"/>
        <v/>
      </c>
      <c r="J607" s="53"/>
      <c r="K607" s="54" t="str">
        <f t="shared" si="33"/>
        <v/>
      </c>
      <c r="L607" s="33"/>
      <c r="M607" s="33"/>
      <c r="N607" s="30"/>
      <c r="O607" s="30"/>
      <c r="P607" s="33"/>
    </row>
    <row r="608" spans="1:16" x14ac:dyDescent="0.25">
      <c r="A608" s="31"/>
      <c r="B608" s="30"/>
      <c r="C608" s="30"/>
      <c r="D608" s="30"/>
      <c r="E608" s="33"/>
      <c r="F608" s="30"/>
      <c r="G608" s="49"/>
      <c r="H608" s="52" t="str">
        <f t="shared" si="31"/>
        <v/>
      </c>
      <c r="I608" s="52" t="str">
        <f t="shared" si="32"/>
        <v/>
      </c>
      <c r="J608" s="53"/>
      <c r="K608" s="54" t="str">
        <f t="shared" si="33"/>
        <v/>
      </c>
      <c r="L608" s="33"/>
      <c r="M608" s="33"/>
      <c r="N608" s="30"/>
      <c r="O608" s="30"/>
      <c r="P608" s="33"/>
    </row>
    <row r="609" spans="1:16" x14ac:dyDescent="0.25">
      <c r="A609" s="31"/>
      <c r="B609" s="30"/>
      <c r="C609" s="30"/>
      <c r="D609" s="30"/>
      <c r="E609" s="33"/>
      <c r="F609" s="30"/>
      <c r="G609" s="49"/>
      <c r="H609" s="52" t="str">
        <f t="shared" si="31"/>
        <v/>
      </c>
      <c r="I609" s="52" t="str">
        <f t="shared" si="32"/>
        <v/>
      </c>
      <c r="J609" s="53"/>
      <c r="K609" s="54" t="str">
        <f t="shared" si="33"/>
        <v/>
      </c>
      <c r="L609" s="33"/>
      <c r="M609" s="33"/>
      <c r="N609" s="30"/>
      <c r="O609" s="30"/>
      <c r="P609" s="33"/>
    </row>
    <row r="610" spans="1:16" x14ac:dyDescent="0.25">
      <c r="A610" s="31"/>
      <c r="B610" s="30"/>
      <c r="C610" s="30"/>
      <c r="D610" s="30"/>
      <c r="E610" s="33"/>
      <c r="F610" s="30"/>
      <c r="G610" s="49"/>
      <c r="H610" s="52" t="str">
        <f t="shared" si="31"/>
        <v/>
      </c>
      <c r="I610" s="52" t="str">
        <f t="shared" si="32"/>
        <v/>
      </c>
      <c r="J610" s="53"/>
      <c r="K610" s="54" t="str">
        <f t="shared" si="33"/>
        <v/>
      </c>
      <c r="L610" s="33"/>
      <c r="M610" s="33"/>
      <c r="N610" s="30"/>
      <c r="O610" s="30"/>
      <c r="P610" s="33"/>
    </row>
    <row r="611" spans="1:16" x14ac:dyDescent="0.25">
      <c r="A611" s="31"/>
      <c r="B611" s="30"/>
      <c r="C611" s="30"/>
      <c r="D611" s="30"/>
      <c r="E611" s="33"/>
      <c r="F611" s="30"/>
      <c r="G611" s="49"/>
      <c r="H611" s="52" t="str">
        <f t="shared" si="31"/>
        <v/>
      </c>
      <c r="I611" s="52" t="str">
        <f t="shared" si="32"/>
        <v/>
      </c>
      <c r="J611" s="53"/>
      <c r="K611" s="54" t="str">
        <f t="shared" si="33"/>
        <v/>
      </c>
      <c r="L611" s="33"/>
      <c r="M611" s="33"/>
      <c r="N611" s="30"/>
      <c r="O611" s="30"/>
      <c r="P611" s="33"/>
    </row>
    <row r="612" spans="1:16" x14ac:dyDescent="0.25">
      <c r="A612" s="31"/>
      <c r="B612" s="30"/>
      <c r="C612" s="30"/>
      <c r="D612" s="30"/>
      <c r="E612" s="33"/>
      <c r="F612" s="30"/>
      <c r="G612" s="49"/>
      <c r="H612" s="52" t="str">
        <f t="shared" si="31"/>
        <v/>
      </c>
      <c r="I612" s="52" t="str">
        <f t="shared" si="32"/>
        <v/>
      </c>
      <c r="J612" s="53"/>
      <c r="K612" s="54" t="str">
        <f t="shared" si="33"/>
        <v/>
      </c>
      <c r="L612" s="33"/>
      <c r="M612" s="33"/>
      <c r="N612" s="30"/>
      <c r="O612" s="30"/>
      <c r="P612" s="33"/>
    </row>
    <row r="613" spans="1:16" x14ac:dyDescent="0.25">
      <c r="A613" s="31"/>
      <c r="B613" s="30"/>
      <c r="C613" s="30"/>
      <c r="D613" s="30"/>
      <c r="E613" s="33"/>
      <c r="F613" s="30"/>
      <c r="G613" s="49"/>
      <c r="H613" s="52" t="str">
        <f t="shared" si="31"/>
        <v/>
      </c>
      <c r="I613" s="52" t="str">
        <f t="shared" si="32"/>
        <v/>
      </c>
      <c r="J613" s="53"/>
      <c r="K613" s="54" t="str">
        <f t="shared" si="33"/>
        <v/>
      </c>
      <c r="L613" s="33"/>
      <c r="M613" s="33"/>
      <c r="N613" s="30"/>
      <c r="O613" s="30"/>
      <c r="P613" s="33"/>
    </row>
    <row r="614" spans="1:16" x14ac:dyDescent="0.25">
      <c r="A614" s="31"/>
      <c r="B614" s="30"/>
      <c r="C614" s="30"/>
      <c r="D614" s="30"/>
      <c r="E614" s="33"/>
      <c r="F614" s="30"/>
      <c r="G614" s="49"/>
      <c r="H614" s="52" t="str">
        <f t="shared" si="31"/>
        <v/>
      </c>
      <c r="I614" s="52" t="str">
        <f t="shared" si="32"/>
        <v/>
      </c>
      <c r="J614" s="53"/>
      <c r="K614" s="54" t="str">
        <f t="shared" si="33"/>
        <v/>
      </c>
      <c r="L614" s="33"/>
      <c r="M614" s="33"/>
      <c r="N614" s="30"/>
      <c r="O614" s="30"/>
      <c r="P614" s="33"/>
    </row>
    <row r="615" spans="1:16" x14ac:dyDescent="0.25">
      <c r="A615" s="31"/>
      <c r="B615" s="30"/>
      <c r="C615" s="30"/>
      <c r="D615" s="30"/>
      <c r="E615" s="33"/>
      <c r="F615" s="30"/>
      <c r="G615" s="49"/>
      <c r="H615" s="52" t="str">
        <f t="shared" si="31"/>
        <v/>
      </c>
      <c r="I615" s="52" t="str">
        <f t="shared" si="32"/>
        <v/>
      </c>
      <c r="J615" s="53"/>
      <c r="K615" s="54" t="str">
        <f t="shared" si="33"/>
        <v/>
      </c>
      <c r="L615" s="33"/>
      <c r="M615" s="33"/>
      <c r="N615" s="30"/>
      <c r="O615" s="30"/>
      <c r="P615" s="33"/>
    </row>
    <row r="616" spans="1:16" x14ac:dyDescent="0.25">
      <c r="A616" s="31"/>
      <c r="B616" s="30"/>
      <c r="C616" s="30"/>
      <c r="D616" s="30"/>
      <c r="E616" s="33"/>
      <c r="F616" s="30"/>
      <c r="G616" s="49"/>
      <c r="H616" s="52" t="str">
        <f t="shared" si="31"/>
        <v/>
      </c>
      <c r="I616" s="52" t="str">
        <f t="shared" si="32"/>
        <v/>
      </c>
      <c r="J616" s="53"/>
      <c r="K616" s="54" t="str">
        <f t="shared" si="33"/>
        <v/>
      </c>
      <c r="L616" s="33"/>
      <c r="M616" s="33"/>
      <c r="N616" s="30"/>
      <c r="O616" s="30"/>
      <c r="P616" s="33"/>
    </row>
    <row r="617" spans="1:16" x14ac:dyDescent="0.25">
      <c r="A617" s="31"/>
      <c r="B617" s="30"/>
      <c r="C617" s="30"/>
      <c r="D617" s="30"/>
      <c r="E617" s="33"/>
      <c r="F617" s="30"/>
      <c r="G617" s="49"/>
      <c r="H617" s="52" t="str">
        <f t="shared" si="31"/>
        <v/>
      </c>
      <c r="I617" s="52" t="str">
        <f t="shared" si="32"/>
        <v/>
      </c>
      <c r="J617" s="53"/>
      <c r="K617" s="54" t="str">
        <f t="shared" si="33"/>
        <v/>
      </c>
      <c r="L617" s="33"/>
      <c r="M617" s="33"/>
      <c r="N617" s="30"/>
      <c r="O617" s="30"/>
      <c r="P617" s="33"/>
    </row>
    <row r="618" spans="1:16" x14ac:dyDescent="0.25">
      <c r="A618" s="31"/>
      <c r="B618" s="30"/>
      <c r="C618" s="30"/>
      <c r="D618" s="30"/>
      <c r="E618" s="33"/>
      <c r="F618" s="30"/>
      <c r="G618" s="49"/>
      <c r="H618" s="52" t="str">
        <f t="shared" si="31"/>
        <v/>
      </c>
      <c r="I618" s="52" t="str">
        <f t="shared" si="32"/>
        <v/>
      </c>
      <c r="J618" s="53"/>
      <c r="K618" s="54" t="str">
        <f t="shared" si="33"/>
        <v/>
      </c>
      <c r="L618" s="33"/>
      <c r="M618" s="33"/>
      <c r="N618" s="30"/>
      <c r="O618" s="30"/>
      <c r="P618" s="33"/>
    </row>
    <row r="619" spans="1:16" x14ac:dyDescent="0.25">
      <c r="A619" s="31"/>
      <c r="B619" s="30"/>
      <c r="C619" s="30"/>
      <c r="D619" s="30"/>
      <c r="E619" s="33"/>
      <c r="F619" s="30"/>
      <c r="G619" s="49"/>
      <c r="H619" s="52" t="str">
        <f t="shared" si="31"/>
        <v/>
      </c>
      <c r="I619" s="52" t="str">
        <f t="shared" si="32"/>
        <v/>
      </c>
      <c r="J619" s="53"/>
      <c r="K619" s="54" t="str">
        <f t="shared" si="33"/>
        <v/>
      </c>
      <c r="L619" s="33"/>
      <c r="M619" s="33"/>
      <c r="N619" s="30"/>
      <c r="O619" s="30"/>
      <c r="P619" s="33"/>
    </row>
    <row r="620" spans="1:16" x14ac:dyDescent="0.25">
      <c r="A620" s="31"/>
      <c r="B620" s="30"/>
      <c r="C620" s="30"/>
      <c r="D620" s="30"/>
      <c r="E620" s="33"/>
      <c r="F620" s="30"/>
      <c r="G620" s="49"/>
      <c r="H620" s="52" t="str">
        <f t="shared" si="31"/>
        <v/>
      </c>
      <c r="I620" s="52" t="str">
        <f t="shared" si="32"/>
        <v/>
      </c>
      <c r="J620" s="53"/>
      <c r="K620" s="54" t="str">
        <f t="shared" si="33"/>
        <v/>
      </c>
      <c r="L620" s="33"/>
      <c r="M620" s="33"/>
      <c r="N620" s="30"/>
      <c r="O620" s="30"/>
      <c r="P620" s="33"/>
    </row>
    <row r="621" spans="1:16" x14ac:dyDescent="0.25">
      <c r="A621" s="31"/>
      <c r="B621" s="30"/>
      <c r="C621" s="30"/>
      <c r="D621" s="30"/>
      <c r="E621" s="33"/>
      <c r="F621" s="30"/>
      <c r="G621" s="49"/>
      <c r="H621" s="52" t="str">
        <f t="shared" si="31"/>
        <v/>
      </c>
      <c r="I621" s="52" t="str">
        <f t="shared" si="32"/>
        <v/>
      </c>
      <c r="J621" s="53"/>
      <c r="K621" s="54" t="str">
        <f t="shared" si="33"/>
        <v/>
      </c>
      <c r="L621" s="33"/>
      <c r="M621" s="33"/>
      <c r="N621" s="30"/>
      <c r="O621" s="30"/>
      <c r="P621" s="33"/>
    </row>
    <row r="622" spans="1:16" x14ac:dyDescent="0.25">
      <c r="A622" s="31"/>
      <c r="B622" s="30"/>
      <c r="C622" s="30"/>
      <c r="D622" s="30"/>
      <c r="E622" s="33"/>
      <c r="F622" s="30"/>
      <c r="G622" s="49"/>
      <c r="H622" s="52" t="str">
        <f t="shared" si="31"/>
        <v/>
      </c>
      <c r="I622" s="52" t="str">
        <f t="shared" si="32"/>
        <v/>
      </c>
      <c r="J622" s="53"/>
      <c r="K622" s="54" t="str">
        <f t="shared" si="33"/>
        <v/>
      </c>
      <c r="L622" s="33"/>
      <c r="M622" s="33"/>
      <c r="N622" s="30"/>
      <c r="O622" s="30"/>
      <c r="P622" s="33"/>
    </row>
    <row r="623" spans="1:16" x14ac:dyDescent="0.25">
      <c r="A623" s="31"/>
      <c r="B623" s="30"/>
      <c r="C623" s="30"/>
      <c r="D623" s="30"/>
      <c r="E623" s="33"/>
      <c r="F623" s="30"/>
      <c r="G623" s="49"/>
      <c r="H623" s="52" t="str">
        <f t="shared" si="31"/>
        <v/>
      </c>
      <c r="I623" s="52" t="str">
        <f t="shared" si="32"/>
        <v/>
      </c>
      <c r="J623" s="53"/>
      <c r="K623" s="54" t="str">
        <f t="shared" si="33"/>
        <v/>
      </c>
      <c r="L623" s="33"/>
      <c r="M623" s="33"/>
      <c r="N623" s="30"/>
      <c r="O623" s="30"/>
      <c r="P623" s="33"/>
    </row>
    <row r="624" spans="1:16" x14ac:dyDescent="0.25">
      <c r="A624" s="31"/>
      <c r="B624" s="30"/>
      <c r="C624" s="30"/>
      <c r="D624" s="30"/>
      <c r="E624" s="33"/>
      <c r="F624" s="30"/>
      <c r="G624" s="49"/>
      <c r="H624" s="52" t="str">
        <f t="shared" si="31"/>
        <v/>
      </c>
      <c r="I624" s="52" t="str">
        <f t="shared" si="32"/>
        <v/>
      </c>
      <c r="J624" s="53"/>
      <c r="K624" s="54" t="str">
        <f t="shared" si="33"/>
        <v/>
      </c>
      <c r="L624" s="33"/>
      <c r="M624" s="33"/>
      <c r="N624" s="30"/>
      <c r="O624" s="30"/>
      <c r="P624" s="33"/>
    </row>
    <row r="625" spans="1:16" x14ac:dyDescent="0.25">
      <c r="A625" s="31"/>
      <c r="B625" s="30"/>
      <c r="C625" s="30"/>
      <c r="D625" s="30"/>
      <c r="E625" s="33"/>
      <c r="F625" s="30"/>
      <c r="G625" s="49"/>
      <c r="H625" s="52" t="str">
        <f t="shared" si="31"/>
        <v/>
      </c>
      <c r="I625" s="52" t="str">
        <f t="shared" si="32"/>
        <v/>
      </c>
      <c r="J625" s="53"/>
      <c r="K625" s="54" t="str">
        <f t="shared" si="33"/>
        <v/>
      </c>
      <c r="L625" s="33"/>
      <c r="M625" s="33"/>
      <c r="N625" s="30"/>
      <c r="O625" s="30"/>
      <c r="P625" s="33"/>
    </row>
    <row r="626" spans="1:16" x14ac:dyDescent="0.25">
      <c r="A626" s="31"/>
      <c r="B626" s="30"/>
      <c r="C626" s="30"/>
      <c r="D626" s="30"/>
      <c r="E626" s="33"/>
      <c r="F626" s="30"/>
      <c r="G626" s="49"/>
      <c r="H626" s="52" t="str">
        <f t="shared" si="31"/>
        <v/>
      </c>
      <c r="I626" s="52" t="str">
        <f t="shared" si="32"/>
        <v/>
      </c>
      <c r="J626" s="53"/>
      <c r="K626" s="54" t="str">
        <f t="shared" si="33"/>
        <v/>
      </c>
      <c r="L626" s="33"/>
      <c r="M626" s="33"/>
      <c r="N626" s="30"/>
      <c r="O626" s="30"/>
      <c r="P626" s="33"/>
    </row>
    <row r="627" spans="1:16" x14ac:dyDescent="0.25">
      <c r="A627" s="31"/>
      <c r="B627" s="30"/>
      <c r="C627" s="30"/>
      <c r="D627" s="30"/>
      <c r="E627" s="33"/>
      <c r="F627" s="30"/>
      <c r="G627" s="49"/>
      <c r="H627" s="52" t="str">
        <f t="shared" si="31"/>
        <v/>
      </c>
      <c r="I627" s="52" t="str">
        <f t="shared" si="32"/>
        <v/>
      </c>
      <c r="J627" s="53"/>
      <c r="K627" s="54" t="str">
        <f t="shared" si="33"/>
        <v/>
      </c>
      <c r="L627" s="33"/>
      <c r="M627" s="33"/>
      <c r="N627" s="30"/>
      <c r="O627" s="30"/>
      <c r="P627" s="33"/>
    </row>
    <row r="628" spans="1:16" x14ac:dyDescent="0.25">
      <c r="A628" s="31"/>
      <c r="B628" s="30"/>
      <c r="C628" s="30"/>
      <c r="D628" s="30"/>
      <c r="E628" s="33"/>
      <c r="F628" s="30"/>
      <c r="G628" s="49"/>
      <c r="H628" s="52" t="str">
        <f t="shared" si="31"/>
        <v/>
      </c>
      <c r="I628" s="52" t="str">
        <f t="shared" si="32"/>
        <v/>
      </c>
      <c r="J628" s="53"/>
      <c r="K628" s="54" t="str">
        <f t="shared" si="33"/>
        <v/>
      </c>
      <c r="L628" s="33"/>
      <c r="M628" s="33"/>
      <c r="N628" s="30"/>
      <c r="O628" s="30"/>
      <c r="P628" s="33"/>
    </row>
    <row r="629" spans="1:16" x14ac:dyDescent="0.25">
      <c r="A629" s="31"/>
      <c r="B629" s="30"/>
      <c r="C629" s="30"/>
      <c r="D629" s="30"/>
      <c r="E629" s="33"/>
      <c r="F629" s="30"/>
      <c r="G629" s="49"/>
      <c r="H629" s="52" t="str">
        <f t="shared" si="31"/>
        <v/>
      </c>
      <c r="I629" s="52" t="str">
        <f t="shared" si="32"/>
        <v/>
      </c>
      <c r="J629" s="53"/>
      <c r="K629" s="54" t="str">
        <f t="shared" si="33"/>
        <v/>
      </c>
      <c r="L629" s="33"/>
      <c r="M629" s="33"/>
      <c r="N629" s="30"/>
      <c r="O629" s="30"/>
      <c r="P629" s="33"/>
    </row>
    <row r="630" spans="1:16" x14ac:dyDescent="0.25">
      <c r="A630" s="31"/>
      <c r="B630" s="30"/>
      <c r="C630" s="30"/>
      <c r="D630" s="30"/>
      <c r="E630" s="33"/>
      <c r="F630" s="30"/>
      <c r="G630" s="49"/>
      <c r="H630" s="52" t="str">
        <f t="shared" si="31"/>
        <v/>
      </c>
      <c r="I630" s="52" t="str">
        <f t="shared" si="32"/>
        <v/>
      </c>
      <c r="J630" s="53"/>
      <c r="K630" s="54" t="str">
        <f t="shared" si="33"/>
        <v/>
      </c>
      <c r="L630" s="33"/>
      <c r="M630" s="33"/>
      <c r="N630" s="30"/>
      <c r="O630" s="30"/>
      <c r="P630" s="33"/>
    </row>
    <row r="631" spans="1:16" x14ac:dyDescent="0.25">
      <c r="A631" s="31"/>
      <c r="B631" s="30"/>
      <c r="C631" s="30"/>
      <c r="D631" s="30"/>
      <c r="E631" s="33"/>
      <c r="F631" s="30"/>
      <c r="G631" s="49"/>
      <c r="H631" s="52" t="str">
        <f t="shared" si="31"/>
        <v/>
      </c>
      <c r="I631" s="52" t="str">
        <f t="shared" si="32"/>
        <v/>
      </c>
      <c r="J631" s="53"/>
      <c r="K631" s="54" t="str">
        <f t="shared" si="33"/>
        <v/>
      </c>
      <c r="L631" s="33"/>
      <c r="M631" s="33"/>
      <c r="N631" s="30"/>
      <c r="O631" s="30"/>
      <c r="P631" s="33"/>
    </row>
    <row r="632" spans="1:16" x14ac:dyDescent="0.25">
      <c r="A632" s="31"/>
      <c r="B632" s="30"/>
      <c r="C632" s="30"/>
      <c r="D632" s="30"/>
      <c r="E632" s="33"/>
      <c r="F632" s="30"/>
      <c r="G632" s="49"/>
      <c r="H632" s="52" t="str">
        <f t="shared" si="31"/>
        <v/>
      </c>
      <c r="I632" s="52" t="str">
        <f t="shared" si="32"/>
        <v/>
      </c>
      <c r="J632" s="53"/>
      <c r="K632" s="54" t="str">
        <f t="shared" si="33"/>
        <v/>
      </c>
      <c r="L632" s="33"/>
      <c r="M632" s="33"/>
      <c r="N632" s="30"/>
      <c r="O632" s="30"/>
      <c r="P632" s="33"/>
    </row>
    <row r="633" spans="1:16" x14ac:dyDescent="0.25">
      <c r="A633" s="31"/>
      <c r="B633" s="30"/>
      <c r="C633" s="30"/>
      <c r="D633" s="30"/>
      <c r="E633" s="33"/>
      <c r="F633" s="30"/>
      <c r="G633" s="49"/>
      <c r="H633" s="52" t="str">
        <f t="shared" si="31"/>
        <v/>
      </c>
      <c r="I633" s="52" t="str">
        <f t="shared" si="32"/>
        <v/>
      </c>
      <c r="J633" s="53"/>
      <c r="K633" s="54" t="str">
        <f t="shared" si="33"/>
        <v/>
      </c>
      <c r="L633" s="33"/>
      <c r="M633" s="33"/>
      <c r="N633" s="30"/>
      <c r="O633" s="30"/>
      <c r="P633" s="33"/>
    </row>
    <row r="634" spans="1:16" x14ac:dyDescent="0.25">
      <c r="A634" s="31"/>
      <c r="B634" s="30"/>
      <c r="C634" s="30"/>
      <c r="D634" s="30"/>
      <c r="E634" s="33"/>
      <c r="F634" s="30"/>
      <c r="G634" s="49"/>
      <c r="H634" s="52" t="str">
        <f t="shared" si="31"/>
        <v/>
      </c>
      <c r="I634" s="52" t="str">
        <f t="shared" si="32"/>
        <v/>
      </c>
      <c r="J634" s="53"/>
      <c r="K634" s="54" t="str">
        <f t="shared" si="33"/>
        <v/>
      </c>
      <c r="L634" s="33"/>
      <c r="M634" s="33"/>
      <c r="N634" s="30"/>
      <c r="O634" s="30"/>
      <c r="P634" s="33"/>
    </row>
    <row r="635" spans="1:16" x14ac:dyDescent="0.25">
      <c r="A635" s="31"/>
      <c r="B635" s="30"/>
      <c r="C635" s="30"/>
      <c r="D635" s="30"/>
      <c r="E635" s="33"/>
      <c r="F635" s="30"/>
      <c r="G635" s="49"/>
      <c r="H635" s="52" t="str">
        <f t="shared" si="31"/>
        <v/>
      </c>
      <c r="I635" s="52" t="str">
        <f t="shared" si="32"/>
        <v/>
      </c>
      <c r="J635" s="53"/>
      <c r="K635" s="54" t="str">
        <f t="shared" si="33"/>
        <v/>
      </c>
      <c r="L635" s="33"/>
      <c r="M635" s="33"/>
      <c r="N635" s="30"/>
      <c r="O635" s="30"/>
      <c r="P635" s="33"/>
    </row>
    <row r="636" spans="1:16" x14ac:dyDescent="0.25">
      <c r="A636" s="31"/>
      <c r="B636" s="30"/>
      <c r="C636" s="30"/>
      <c r="D636" s="30"/>
      <c r="E636" s="33"/>
      <c r="F636" s="30"/>
      <c r="G636" s="49"/>
      <c r="H636" s="52" t="str">
        <f t="shared" si="31"/>
        <v/>
      </c>
      <c r="I636" s="52" t="str">
        <f t="shared" si="32"/>
        <v/>
      </c>
      <c r="J636" s="53"/>
      <c r="K636" s="54" t="str">
        <f t="shared" si="33"/>
        <v/>
      </c>
      <c r="L636" s="33"/>
      <c r="M636" s="33"/>
      <c r="N636" s="30"/>
      <c r="O636" s="30"/>
      <c r="P636" s="33"/>
    </row>
    <row r="637" spans="1:16" x14ac:dyDescent="0.25">
      <c r="A637" s="31"/>
      <c r="B637" s="30"/>
      <c r="C637" s="30"/>
      <c r="D637" s="30"/>
      <c r="E637" s="33"/>
      <c r="F637" s="30"/>
      <c r="G637" s="49"/>
      <c r="H637" s="52" t="str">
        <f t="shared" si="31"/>
        <v/>
      </c>
      <c r="I637" s="52" t="str">
        <f t="shared" si="32"/>
        <v/>
      </c>
      <c r="J637" s="53"/>
      <c r="K637" s="54" t="str">
        <f t="shared" si="33"/>
        <v/>
      </c>
      <c r="L637" s="33"/>
      <c r="M637" s="33"/>
      <c r="N637" s="30"/>
      <c r="O637" s="30"/>
      <c r="P637" s="33"/>
    </row>
    <row r="638" spans="1:16" x14ac:dyDescent="0.25">
      <c r="A638" s="31"/>
      <c r="B638" s="30"/>
      <c r="C638" s="30"/>
      <c r="D638" s="30"/>
      <c r="E638" s="33"/>
      <c r="F638" s="30"/>
      <c r="G638" s="49"/>
      <c r="H638" s="52" t="str">
        <f t="shared" si="31"/>
        <v/>
      </c>
      <c r="I638" s="52" t="str">
        <f t="shared" si="32"/>
        <v/>
      </c>
      <c r="J638" s="53"/>
      <c r="K638" s="54" t="str">
        <f t="shared" si="33"/>
        <v/>
      </c>
      <c r="L638" s="33"/>
      <c r="M638" s="33"/>
      <c r="N638" s="30"/>
      <c r="O638" s="30"/>
      <c r="P638" s="33"/>
    </row>
    <row r="639" spans="1:16" x14ac:dyDescent="0.25">
      <c r="A639" s="31"/>
      <c r="B639" s="30"/>
      <c r="C639" s="30"/>
      <c r="D639" s="30"/>
      <c r="E639" s="33"/>
      <c r="F639" s="30"/>
      <c r="G639" s="49"/>
      <c r="H639" s="52" t="str">
        <f t="shared" si="31"/>
        <v/>
      </c>
      <c r="I639" s="52" t="str">
        <f t="shared" si="32"/>
        <v/>
      </c>
      <c r="J639" s="53"/>
      <c r="K639" s="54" t="str">
        <f t="shared" si="33"/>
        <v/>
      </c>
      <c r="L639" s="33"/>
      <c r="M639" s="33"/>
      <c r="N639" s="30"/>
      <c r="O639" s="30"/>
      <c r="P639" s="33"/>
    </row>
    <row r="640" spans="1:16" x14ac:dyDescent="0.25">
      <c r="A640" s="31"/>
      <c r="B640" s="30"/>
      <c r="C640" s="30"/>
      <c r="D640" s="30"/>
      <c r="E640" s="33"/>
      <c r="F640" s="30"/>
      <c r="G640" s="49"/>
      <c r="H640" s="52" t="str">
        <f t="shared" si="31"/>
        <v/>
      </c>
      <c r="I640" s="52" t="str">
        <f t="shared" si="32"/>
        <v/>
      </c>
      <c r="J640" s="53"/>
      <c r="K640" s="54" t="str">
        <f t="shared" si="33"/>
        <v/>
      </c>
      <c r="L640" s="33"/>
      <c r="M640" s="33"/>
      <c r="N640" s="30"/>
      <c r="O640" s="30"/>
      <c r="P640" s="33"/>
    </row>
    <row r="641" spans="1:16" x14ac:dyDescent="0.25">
      <c r="A641" s="31"/>
      <c r="B641" s="30"/>
      <c r="C641" s="30"/>
      <c r="D641" s="30"/>
      <c r="E641" s="33"/>
      <c r="F641" s="30"/>
      <c r="G641" s="49"/>
      <c r="H641" s="52" t="str">
        <f t="shared" si="31"/>
        <v/>
      </c>
      <c r="I641" s="52" t="str">
        <f t="shared" si="32"/>
        <v/>
      </c>
      <c r="J641" s="53"/>
      <c r="K641" s="54" t="str">
        <f t="shared" si="33"/>
        <v/>
      </c>
      <c r="L641" s="33"/>
      <c r="M641" s="33"/>
      <c r="N641" s="30"/>
      <c r="O641" s="30"/>
      <c r="P641" s="33"/>
    </row>
    <row r="642" spans="1:16" x14ac:dyDescent="0.25">
      <c r="A642" s="31"/>
      <c r="B642" s="30"/>
      <c r="C642" s="30"/>
      <c r="D642" s="30"/>
      <c r="E642" s="33"/>
      <c r="F642" s="30"/>
      <c r="G642" s="49"/>
      <c r="H642" s="52" t="str">
        <f t="shared" si="31"/>
        <v/>
      </c>
      <c r="I642" s="52" t="str">
        <f t="shared" si="32"/>
        <v/>
      </c>
      <c r="J642" s="53"/>
      <c r="K642" s="54" t="str">
        <f t="shared" si="33"/>
        <v/>
      </c>
      <c r="L642" s="33"/>
      <c r="M642" s="33"/>
      <c r="N642" s="30"/>
      <c r="O642" s="30"/>
      <c r="P642" s="33"/>
    </row>
    <row r="643" spans="1:16" x14ac:dyDescent="0.25">
      <c r="A643" s="31"/>
      <c r="B643" s="30"/>
      <c r="C643" s="30"/>
      <c r="D643" s="30"/>
      <c r="E643" s="33"/>
      <c r="F643" s="30"/>
      <c r="G643" s="49"/>
      <c r="H643" s="52" t="str">
        <f t="shared" si="31"/>
        <v/>
      </c>
      <c r="I643" s="52" t="str">
        <f t="shared" si="32"/>
        <v/>
      </c>
      <c r="J643" s="53"/>
      <c r="K643" s="54" t="str">
        <f t="shared" si="33"/>
        <v/>
      </c>
      <c r="L643" s="33"/>
      <c r="M643" s="33"/>
      <c r="N643" s="30"/>
      <c r="O643" s="30"/>
      <c r="P643" s="33"/>
    </row>
    <row r="644" spans="1:16" x14ac:dyDescent="0.25">
      <c r="A644" s="31"/>
      <c r="B644" s="30"/>
      <c r="C644" s="30"/>
      <c r="D644" s="30"/>
      <c r="E644" s="33"/>
      <c r="F644" s="30"/>
      <c r="G644" s="49"/>
      <c r="H644" s="52" t="str">
        <f t="shared" si="31"/>
        <v/>
      </c>
      <c r="I644" s="52" t="str">
        <f t="shared" si="32"/>
        <v/>
      </c>
      <c r="J644" s="53"/>
      <c r="K644" s="54" t="str">
        <f t="shared" si="33"/>
        <v/>
      </c>
      <c r="L644" s="33"/>
      <c r="M644" s="33"/>
      <c r="N644" s="30"/>
      <c r="O644" s="30"/>
      <c r="P644" s="33"/>
    </row>
    <row r="645" spans="1:16" x14ac:dyDescent="0.25">
      <c r="A645" s="31"/>
      <c r="B645" s="30"/>
      <c r="C645" s="30"/>
      <c r="D645" s="30"/>
      <c r="E645" s="33"/>
      <c r="F645" s="30"/>
      <c r="G645" s="49"/>
      <c r="H645" s="52" t="str">
        <f t="shared" ref="H645:H704" si="34">IF($A645="","",IF(OR($C645="ENTRADA",$C645="DEVOLUÇÃO"),$G645,0))</f>
        <v/>
      </c>
      <c r="I645" s="52" t="str">
        <f t="shared" ref="I645:I704" si="35">IF($A645="","",IF(OR($C645="SAÍDA",$C645="PERDA / QUEBRA",$C645="TRANSFERÊNCIA"),$G645,0))</f>
        <v/>
      </c>
      <c r="J645" s="53"/>
      <c r="K645" s="54" t="str">
        <f t="shared" ref="K645:K704" si="36">IF($A645="","",$G645*$J645)</f>
        <v/>
      </c>
      <c r="L645" s="33"/>
      <c r="M645" s="33"/>
      <c r="N645" s="30"/>
      <c r="O645" s="30"/>
      <c r="P645" s="33"/>
    </row>
    <row r="646" spans="1:16" x14ac:dyDescent="0.25">
      <c r="A646" s="31"/>
      <c r="B646" s="30"/>
      <c r="C646" s="30"/>
      <c r="D646" s="30"/>
      <c r="E646" s="33"/>
      <c r="F646" s="30"/>
      <c r="G646" s="49"/>
      <c r="H646" s="52" t="str">
        <f t="shared" si="34"/>
        <v/>
      </c>
      <c r="I646" s="52" t="str">
        <f t="shared" si="35"/>
        <v/>
      </c>
      <c r="J646" s="53"/>
      <c r="K646" s="54" t="str">
        <f t="shared" si="36"/>
        <v/>
      </c>
      <c r="L646" s="33"/>
      <c r="M646" s="33"/>
      <c r="N646" s="30"/>
      <c r="O646" s="30"/>
      <c r="P646" s="33"/>
    </row>
    <row r="647" spans="1:16" x14ac:dyDescent="0.25">
      <c r="A647" s="31"/>
      <c r="B647" s="30"/>
      <c r="C647" s="30"/>
      <c r="D647" s="30"/>
      <c r="E647" s="33"/>
      <c r="F647" s="30"/>
      <c r="G647" s="49"/>
      <c r="H647" s="52" t="str">
        <f t="shared" si="34"/>
        <v/>
      </c>
      <c r="I647" s="52" t="str">
        <f t="shared" si="35"/>
        <v/>
      </c>
      <c r="J647" s="53"/>
      <c r="K647" s="54" t="str">
        <f t="shared" si="36"/>
        <v/>
      </c>
      <c r="L647" s="33"/>
      <c r="M647" s="33"/>
      <c r="N647" s="30"/>
      <c r="O647" s="30"/>
      <c r="P647" s="33"/>
    </row>
    <row r="648" spans="1:16" x14ac:dyDescent="0.25">
      <c r="A648" s="31"/>
      <c r="B648" s="30"/>
      <c r="C648" s="30"/>
      <c r="D648" s="30"/>
      <c r="E648" s="33"/>
      <c r="F648" s="30"/>
      <c r="G648" s="49"/>
      <c r="H648" s="52" t="str">
        <f t="shared" si="34"/>
        <v/>
      </c>
      <c r="I648" s="52" t="str">
        <f t="shared" si="35"/>
        <v/>
      </c>
      <c r="J648" s="53"/>
      <c r="K648" s="54" t="str">
        <f t="shared" si="36"/>
        <v/>
      </c>
      <c r="L648" s="33"/>
      <c r="M648" s="33"/>
      <c r="N648" s="30"/>
      <c r="O648" s="30"/>
      <c r="P648" s="33"/>
    </row>
    <row r="649" spans="1:16" x14ac:dyDescent="0.25">
      <c r="A649" s="31"/>
      <c r="B649" s="30"/>
      <c r="C649" s="30"/>
      <c r="D649" s="30"/>
      <c r="E649" s="33"/>
      <c r="F649" s="30"/>
      <c r="G649" s="49"/>
      <c r="H649" s="52" t="str">
        <f t="shared" si="34"/>
        <v/>
      </c>
      <c r="I649" s="52" t="str">
        <f t="shared" si="35"/>
        <v/>
      </c>
      <c r="J649" s="53"/>
      <c r="K649" s="54" t="str">
        <f t="shared" si="36"/>
        <v/>
      </c>
      <c r="L649" s="33"/>
      <c r="M649" s="33"/>
      <c r="N649" s="30"/>
      <c r="O649" s="30"/>
      <c r="P649" s="33"/>
    </row>
    <row r="650" spans="1:16" x14ac:dyDescent="0.25">
      <c r="A650" s="31"/>
      <c r="B650" s="30"/>
      <c r="C650" s="30"/>
      <c r="D650" s="30"/>
      <c r="E650" s="33"/>
      <c r="F650" s="30"/>
      <c r="G650" s="49"/>
      <c r="H650" s="52" t="str">
        <f t="shared" si="34"/>
        <v/>
      </c>
      <c r="I650" s="52" t="str">
        <f t="shared" si="35"/>
        <v/>
      </c>
      <c r="J650" s="53"/>
      <c r="K650" s="54" t="str">
        <f t="shared" si="36"/>
        <v/>
      </c>
      <c r="L650" s="33"/>
      <c r="M650" s="33"/>
      <c r="N650" s="30"/>
      <c r="O650" s="30"/>
      <c r="P650" s="33"/>
    </row>
    <row r="651" spans="1:16" x14ac:dyDescent="0.25">
      <c r="A651" s="31"/>
      <c r="B651" s="30"/>
      <c r="C651" s="30"/>
      <c r="D651" s="30"/>
      <c r="E651" s="33"/>
      <c r="F651" s="30"/>
      <c r="G651" s="49"/>
      <c r="H651" s="52" t="str">
        <f t="shared" si="34"/>
        <v/>
      </c>
      <c r="I651" s="52" t="str">
        <f t="shared" si="35"/>
        <v/>
      </c>
      <c r="J651" s="53"/>
      <c r="K651" s="54" t="str">
        <f t="shared" si="36"/>
        <v/>
      </c>
      <c r="L651" s="33"/>
      <c r="M651" s="33"/>
      <c r="N651" s="30"/>
      <c r="O651" s="30"/>
      <c r="P651" s="33"/>
    </row>
    <row r="652" spans="1:16" x14ac:dyDescent="0.25">
      <c r="A652" s="31"/>
      <c r="B652" s="30"/>
      <c r="C652" s="30"/>
      <c r="D652" s="30"/>
      <c r="E652" s="33"/>
      <c r="F652" s="30"/>
      <c r="G652" s="49"/>
      <c r="H652" s="52" t="str">
        <f t="shared" si="34"/>
        <v/>
      </c>
      <c r="I652" s="52" t="str">
        <f t="shared" si="35"/>
        <v/>
      </c>
      <c r="J652" s="53"/>
      <c r="K652" s="54" t="str">
        <f t="shared" si="36"/>
        <v/>
      </c>
      <c r="L652" s="33"/>
      <c r="M652" s="33"/>
      <c r="N652" s="30"/>
      <c r="O652" s="30"/>
      <c r="P652" s="33"/>
    </row>
    <row r="653" spans="1:16" x14ac:dyDescent="0.25">
      <c r="A653" s="31"/>
      <c r="B653" s="30"/>
      <c r="C653" s="30"/>
      <c r="D653" s="30"/>
      <c r="E653" s="33"/>
      <c r="F653" s="30"/>
      <c r="G653" s="49"/>
      <c r="H653" s="52" t="str">
        <f t="shared" si="34"/>
        <v/>
      </c>
      <c r="I653" s="52" t="str">
        <f t="shared" si="35"/>
        <v/>
      </c>
      <c r="J653" s="53"/>
      <c r="K653" s="54" t="str">
        <f t="shared" si="36"/>
        <v/>
      </c>
      <c r="L653" s="33"/>
      <c r="M653" s="33"/>
      <c r="N653" s="30"/>
      <c r="O653" s="30"/>
      <c r="P653" s="33"/>
    </row>
    <row r="654" spans="1:16" x14ac:dyDescent="0.25">
      <c r="A654" s="31"/>
      <c r="B654" s="30"/>
      <c r="C654" s="30"/>
      <c r="D654" s="30"/>
      <c r="E654" s="33"/>
      <c r="F654" s="30"/>
      <c r="G654" s="49"/>
      <c r="H654" s="52" t="str">
        <f t="shared" si="34"/>
        <v/>
      </c>
      <c r="I654" s="52" t="str">
        <f t="shared" si="35"/>
        <v/>
      </c>
      <c r="J654" s="53"/>
      <c r="K654" s="54" t="str">
        <f t="shared" si="36"/>
        <v/>
      </c>
      <c r="L654" s="33"/>
      <c r="M654" s="33"/>
      <c r="N654" s="30"/>
      <c r="O654" s="30"/>
      <c r="P654" s="33"/>
    </row>
    <row r="655" spans="1:16" x14ac:dyDescent="0.25">
      <c r="A655" s="31"/>
      <c r="B655" s="30"/>
      <c r="C655" s="30"/>
      <c r="D655" s="30"/>
      <c r="E655" s="33"/>
      <c r="F655" s="30"/>
      <c r="G655" s="49"/>
      <c r="H655" s="52" t="str">
        <f t="shared" si="34"/>
        <v/>
      </c>
      <c r="I655" s="52" t="str">
        <f t="shared" si="35"/>
        <v/>
      </c>
      <c r="J655" s="53"/>
      <c r="K655" s="54" t="str">
        <f t="shared" si="36"/>
        <v/>
      </c>
      <c r="L655" s="33"/>
      <c r="M655" s="33"/>
      <c r="N655" s="30"/>
      <c r="O655" s="30"/>
      <c r="P655" s="33"/>
    </row>
    <row r="656" spans="1:16" x14ac:dyDescent="0.25">
      <c r="A656" s="31"/>
      <c r="B656" s="30"/>
      <c r="C656" s="30"/>
      <c r="D656" s="30"/>
      <c r="E656" s="33"/>
      <c r="F656" s="30"/>
      <c r="G656" s="49"/>
      <c r="H656" s="52" t="str">
        <f t="shared" si="34"/>
        <v/>
      </c>
      <c r="I656" s="52" t="str">
        <f t="shared" si="35"/>
        <v/>
      </c>
      <c r="J656" s="53"/>
      <c r="K656" s="54" t="str">
        <f t="shared" si="36"/>
        <v/>
      </c>
      <c r="L656" s="33"/>
      <c r="M656" s="33"/>
      <c r="N656" s="30"/>
      <c r="O656" s="30"/>
      <c r="P656" s="33"/>
    </row>
    <row r="657" spans="1:16" x14ac:dyDescent="0.25">
      <c r="A657" s="31"/>
      <c r="B657" s="30"/>
      <c r="C657" s="30"/>
      <c r="D657" s="30"/>
      <c r="E657" s="33"/>
      <c r="F657" s="30"/>
      <c r="G657" s="49"/>
      <c r="H657" s="52" t="str">
        <f t="shared" si="34"/>
        <v/>
      </c>
      <c r="I657" s="52" t="str">
        <f t="shared" si="35"/>
        <v/>
      </c>
      <c r="J657" s="53"/>
      <c r="K657" s="54" t="str">
        <f t="shared" si="36"/>
        <v/>
      </c>
      <c r="L657" s="33"/>
      <c r="M657" s="33"/>
      <c r="N657" s="30"/>
      <c r="O657" s="30"/>
      <c r="P657" s="33"/>
    </row>
    <row r="658" spans="1:16" x14ac:dyDescent="0.25">
      <c r="A658" s="31"/>
      <c r="B658" s="30"/>
      <c r="C658" s="30"/>
      <c r="D658" s="30"/>
      <c r="E658" s="33"/>
      <c r="F658" s="30"/>
      <c r="G658" s="49"/>
      <c r="H658" s="52" t="str">
        <f t="shared" si="34"/>
        <v/>
      </c>
      <c r="I658" s="52" t="str">
        <f t="shared" si="35"/>
        <v/>
      </c>
      <c r="J658" s="53"/>
      <c r="K658" s="54" t="str">
        <f t="shared" si="36"/>
        <v/>
      </c>
      <c r="L658" s="33"/>
      <c r="M658" s="33"/>
      <c r="N658" s="30"/>
      <c r="O658" s="30"/>
      <c r="P658" s="33"/>
    </row>
    <row r="659" spans="1:16" x14ac:dyDescent="0.25">
      <c r="A659" s="31"/>
      <c r="B659" s="30"/>
      <c r="C659" s="30"/>
      <c r="D659" s="30"/>
      <c r="E659" s="33"/>
      <c r="F659" s="30"/>
      <c r="G659" s="49"/>
      <c r="H659" s="52" t="str">
        <f t="shared" si="34"/>
        <v/>
      </c>
      <c r="I659" s="52" t="str">
        <f t="shared" si="35"/>
        <v/>
      </c>
      <c r="J659" s="53"/>
      <c r="K659" s="54" t="str">
        <f t="shared" si="36"/>
        <v/>
      </c>
      <c r="L659" s="33"/>
      <c r="M659" s="33"/>
      <c r="N659" s="30"/>
      <c r="O659" s="30"/>
      <c r="P659" s="33"/>
    </row>
    <row r="660" spans="1:16" x14ac:dyDescent="0.25">
      <c r="A660" s="31"/>
      <c r="B660" s="30"/>
      <c r="C660" s="30"/>
      <c r="D660" s="30"/>
      <c r="E660" s="33"/>
      <c r="F660" s="30"/>
      <c r="G660" s="49"/>
      <c r="H660" s="52" t="str">
        <f t="shared" si="34"/>
        <v/>
      </c>
      <c r="I660" s="52" t="str">
        <f t="shared" si="35"/>
        <v/>
      </c>
      <c r="J660" s="53"/>
      <c r="K660" s="54" t="str">
        <f t="shared" si="36"/>
        <v/>
      </c>
      <c r="L660" s="33"/>
      <c r="M660" s="33"/>
      <c r="N660" s="30"/>
      <c r="O660" s="30"/>
      <c r="P660" s="33"/>
    </row>
    <row r="661" spans="1:16" x14ac:dyDescent="0.25">
      <c r="A661" s="31"/>
      <c r="B661" s="30"/>
      <c r="C661" s="30"/>
      <c r="D661" s="30"/>
      <c r="E661" s="33"/>
      <c r="F661" s="30"/>
      <c r="G661" s="49"/>
      <c r="H661" s="52" t="str">
        <f t="shared" si="34"/>
        <v/>
      </c>
      <c r="I661" s="52" t="str">
        <f t="shared" si="35"/>
        <v/>
      </c>
      <c r="J661" s="53"/>
      <c r="K661" s="54" t="str">
        <f t="shared" si="36"/>
        <v/>
      </c>
      <c r="L661" s="33"/>
      <c r="M661" s="33"/>
      <c r="N661" s="30"/>
      <c r="O661" s="30"/>
      <c r="P661" s="33"/>
    </row>
    <row r="662" spans="1:16" x14ac:dyDescent="0.25">
      <c r="A662" s="31"/>
      <c r="B662" s="30"/>
      <c r="C662" s="30"/>
      <c r="D662" s="30"/>
      <c r="E662" s="33"/>
      <c r="F662" s="30"/>
      <c r="G662" s="49"/>
      <c r="H662" s="52" t="str">
        <f t="shared" si="34"/>
        <v/>
      </c>
      <c r="I662" s="52" t="str">
        <f t="shared" si="35"/>
        <v/>
      </c>
      <c r="J662" s="53"/>
      <c r="K662" s="54" t="str">
        <f t="shared" si="36"/>
        <v/>
      </c>
      <c r="L662" s="33"/>
      <c r="M662" s="33"/>
      <c r="N662" s="30"/>
      <c r="O662" s="30"/>
      <c r="P662" s="33"/>
    </row>
    <row r="663" spans="1:16" x14ac:dyDescent="0.25">
      <c r="A663" s="31"/>
      <c r="B663" s="30"/>
      <c r="C663" s="30"/>
      <c r="D663" s="30"/>
      <c r="E663" s="33"/>
      <c r="F663" s="30"/>
      <c r="G663" s="49"/>
      <c r="H663" s="52" t="str">
        <f t="shared" si="34"/>
        <v/>
      </c>
      <c r="I663" s="52" t="str">
        <f t="shared" si="35"/>
        <v/>
      </c>
      <c r="J663" s="53"/>
      <c r="K663" s="54" t="str">
        <f t="shared" si="36"/>
        <v/>
      </c>
      <c r="L663" s="33"/>
      <c r="M663" s="33"/>
      <c r="N663" s="30"/>
      <c r="O663" s="30"/>
      <c r="P663" s="33"/>
    </row>
    <row r="664" spans="1:16" x14ac:dyDescent="0.25">
      <c r="A664" s="31"/>
      <c r="B664" s="30"/>
      <c r="C664" s="30"/>
      <c r="D664" s="30"/>
      <c r="E664" s="33"/>
      <c r="F664" s="30"/>
      <c r="G664" s="49"/>
      <c r="H664" s="52" t="str">
        <f t="shared" si="34"/>
        <v/>
      </c>
      <c r="I664" s="52" t="str">
        <f t="shared" si="35"/>
        <v/>
      </c>
      <c r="J664" s="53"/>
      <c r="K664" s="54" t="str">
        <f t="shared" si="36"/>
        <v/>
      </c>
      <c r="L664" s="33"/>
      <c r="M664" s="33"/>
      <c r="N664" s="30"/>
      <c r="O664" s="30"/>
      <c r="P664" s="33"/>
    </row>
    <row r="665" spans="1:16" x14ac:dyDescent="0.25">
      <c r="A665" s="31"/>
      <c r="B665" s="30"/>
      <c r="C665" s="30"/>
      <c r="D665" s="30"/>
      <c r="E665" s="33"/>
      <c r="F665" s="30"/>
      <c r="G665" s="49"/>
      <c r="H665" s="52" t="str">
        <f t="shared" si="34"/>
        <v/>
      </c>
      <c r="I665" s="52" t="str">
        <f t="shared" si="35"/>
        <v/>
      </c>
      <c r="J665" s="53"/>
      <c r="K665" s="54" t="str">
        <f t="shared" si="36"/>
        <v/>
      </c>
      <c r="L665" s="33"/>
      <c r="M665" s="33"/>
      <c r="N665" s="30"/>
      <c r="O665" s="30"/>
      <c r="P665" s="33"/>
    </row>
    <row r="666" spans="1:16" x14ac:dyDescent="0.25">
      <c r="A666" s="31"/>
      <c r="B666" s="30"/>
      <c r="C666" s="30"/>
      <c r="D666" s="30"/>
      <c r="E666" s="33"/>
      <c r="F666" s="30"/>
      <c r="G666" s="49"/>
      <c r="H666" s="52" t="str">
        <f t="shared" si="34"/>
        <v/>
      </c>
      <c r="I666" s="52" t="str">
        <f t="shared" si="35"/>
        <v/>
      </c>
      <c r="J666" s="53"/>
      <c r="K666" s="54" t="str">
        <f t="shared" si="36"/>
        <v/>
      </c>
      <c r="L666" s="33"/>
      <c r="M666" s="33"/>
      <c r="N666" s="30"/>
      <c r="O666" s="30"/>
      <c r="P666" s="33"/>
    </row>
    <row r="667" spans="1:16" x14ac:dyDescent="0.25">
      <c r="A667" s="31"/>
      <c r="B667" s="30"/>
      <c r="C667" s="30"/>
      <c r="D667" s="30"/>
      <c r="E667" s="33"/>
      <c r="F667" s="30"/>
      <c r="G667" s="49"/>
      <c r="H667" s="52" t="str">
        <f t="shared" si="34"/>
        <v/>
      </c>
      <c r="I667" s="52" t="str">
        <f t="shared" si="35"/>
        <v/>
      </c>
      <c r="J667" s="53"/>
      <c r="K667" s="54" t="str">
        <f t="shared" si="36"/>
        <v/>
      </c>
      <c r="L667" s="33"/>
      <c r="M667" s="33"/>
      <c r="N667" s="30"/>
      <c r="O667" s="30"/>
      <c r="P667" s="33"/>
    </row>
    <row r="668" spans="1:16" x14ac:dyDescent="0.25">
      <c r="A668" s="31"/>
      <c r="B668" s="30"/>
      <c r="C668" s="30"/>
      <c r="D668" s="30"/>
      <c r="E668" s="33"/>
      <c r="F668" s="30"/>
      <c r="G668" s="49"/>
      <c r="H668" s="52" t="str">
        <f t="shared" si="34"/>
        <v/>
      </c>
      <c r="I668" s="52" t="str">
        <f t="shared" si="35"/>
        <v/>
      </c>
      <c r="J668" s="53"/>
      <c r="K668" s="54" t="str">
        <f t="shared" si="36"/>
        <v/>
      </c>
      <c r="L668" s="33"/>
      <c r="M668" s="33"/>
      <c r="N668" s="30"/>
      <c r="O668" s="30"/>
      <c r="P668" s="33"/>
    </row>
    <row r="669" spans="1:16" x14ac:dyDescent="0.25">
      <c r="A669" s="31"/>
      <c r="B669" s="30"/>
      <c r="C669" s="30"/>
      <c r="D669" s="30"/>
      <c r="E669" s="33"/>
      <c r="F669" s="30"/>
      <c r="G669" s="49"/>
      <c r="H669" s="52" t="str">
        <f t="shared" si="34"/>
        <v/>
      </c>
      <c r="I669" s="52" t="str">
        <f t="shared" si="35"/>
        <v/>
      </c>
      <c r="J669" s="53"/>
      <c r="K669" s="54" t="str">
        <f t="shared" si="36"/>
        <v/>
      </c>
      <c r="L669" s="33"/>
      <c r="M669" s="33"/>
      <c r="N669" s="30"/>
      <c r="O669" s="30"/>
      <c r="P669" s="33"/>
    </row>
    <row r="670" spans="1:16" x14ac:dyDescent="0.25">
      <c r="A670" s="31"/>
      <c r="B670" s="30"/>
      <c r="C670" s="30"/>
      <c r="D670" s="30"/>
      <c r="E670" s="33"/>
      <c r="F670" s="30"/>
      <c r="G670" s="49"/>
      <c r="H670" s="52" t="str">
        <f t="shared" si="34"/>
        <v/>
      </c>
      <c r="I670" s="52" t="str">
        <f t="shared" si="35"/>
        <v/>
      </c>
      <c r="J670" s="53"/>
      <c r="K670" s="54" t="str">
        <f t="shared" si="36"/>
        <v/>
      </c>
      <c r="L670" s="33"/>
      <c r="M670" s="33"/>
      <c r="N670" s="30"/>
      <c r="O670" s="30"/>
      <c r="P670" s="33"/>
    </row>
    <row r="671" spans="1:16" x14ac:dyDescent="0.25">
      <c r="A671" s="31"/>
      <c r="B671" s="30"/>
      <c r="C671" s="30"/>
      <c r="D671" s="30"/>
      <c r="E671" s="33"/>
      <c r="F671" s="30"/>
      <c r="G671" s="49"/>
      <c r="H671" s="52" t="str">
        <f t="shared" si="34"/>
        <v/>
      </c>
      <c r="I671" s="52" t="str">
        <f t="shared" si="35"/>
        <v/>
      </c>
      <c r="J671" s="53"/>
      <c r="K671" s="54" t="str">
        <f t="shared" si="36"/>
        <v/>
      </c>
      <c r="L671" s="33"/>
      <c r="M671" s="33"/>
      <c r="N671" s="30"/>
      <c r="O671" s="30"/>
      <c r="P671" s="33"/>
    </row>
    <row r="672" spans="1:16" x14ac:dyDescent="0.25">
      <c r="A672" s="31"/>
      <c r="B672" s="30"/>
      <c r="C672" s="30"/>
      <c r="D672" s="30"/>
      <c r="E672" s="33"/>
      <c r="F672" s="30"/>
      <c r="G672" s="49"/>
      <c r="H672" s="52" t="str">
        <f t="shared" si="34"/>
        <v/>
      </c>
      <c r="I672" s="52" t="str">
        <f t="shared" si="35"/>
        <v/>
      </c>
      <c r="J672" s="53"/>
      <c r="K672" s="54" t="str">
        <f t="shared" si="36"/>
        <v/>
      </c>
      <c r="L672" s="33"/>
      <c r="M672" s="33"/>
      <c r="N672" s="30"/>
      <c r="O672" s="30"/>
      <c r="P672" s="33"/>
    </row>
    <row r="673" spans="1:16" x14ac:dyDescent="0.25">
      <c r="A673" s="31"/>
      <c r="B673" s="30"/>
      <c r="C673" s="30"/>
      <c r="D673" s="30"/>
      <c r="E673" s="33"/>
      <c r="F673" s="30"/>
      <c r="G673" s="49"/>
      <c r="H673" s="52" t="str">
        <f t="shared" si="34"/>
        <v/>
      </c>
      <c r="I673" s="52" t="str">
        <f t="shared" si="35"/>
        <v/>
      </c>
      <c r="J673" s="53"/>
      <c r="K673" s="54" t="str">
        <f t="shared" si="36"/>
        <v/>
      </c>
      <c r="L673" s="33"/>
      <c r="M673" s="33"/>
      <c r="N673" s="30"/>
      <c r="O673" s="30"/>
      <c r="P673" s="33"/>
    </row>
    <row r="674" spans="1:16" x14ac:dyDescent="0.25">
      <c r="A674" s="31"/>
      <c r="B674" s="30"/>
      <c r="C674" s="30"/>
      <c r="D674" s="30"/>
      <c r="E674" s="33"/>
      <c r="F674" s="30"/>
      <c r="G674" s="49"/>
      <c r="H674" s="52" t="str">
        <f t="shared" si="34"/>
        <v/>
      </c>
      <c r="I674" s="52" t="str">
        <f t="shared" si="35"/>
        <v/>
      </c>
      <c r="J674" s="53"/>
      <c r="K674" s="54" t="str">
        <f t="shared" si="36"/>
        <v/>
      </c>
      <c r="L674" s="33"/>
      <c r="M674" s="33"/>
      <c r="N674" s="30"/>
      <c r="O674" s="30"/>
      <c r="P674" s="33"/>
    </row>
    <row r="675" spans="1:16" x14ac:dyDescent="0.25">
      <c r="A675" s="31"/>
      <c r="B675" s="30"/>
      <c r="C675" s="30"/>
      <c r="D675" s="30"/>
      <c r="E675" s="33"/>
      <c r="F675" s="30"/>
      <c r="G675" s="49"/>
      <c r="H675" s="52" t="str">
        <f t="shared" si="34"/>
        <v/>
      </c>
      <c r="I675" s="52" t="str">
        <f t="shared" si="35"/>
        <v/>
      </c>
      <c r="J675" s="53"/>
      <c r="K675" s="54" t="str">
        <f t="shared" si="36"/>
        <v/>
      </c>
      <c r="L675" s="33"/>
      <c r="M675" s="33"/>
      <c r="N675" s="30"/>
      <c r="O675" s="30"/>
      <c r="P675" s="33"/>
    </row>
    <row r="676" spans="1:16" x14ac:dyDescent="0.25">
      <c r="A676" s="31"/>
      <c r="B676" s="30"/>
      <c r="C676" s="30"/>
      <c r="D676" s="30"/>
      <c r="E676" s="33"/>
      <c r="F676" s="30"/>
      <c r="G676" s="49"/>
      <c r="H676" s="52" t="str">
        <f t="shared" si="34"/>
        <v/>
      </c>
      <c r="I676" s="52" t="str">
        <f t="shared" si="35"/>
        <v/>
      </c>
      <c r="J676" s="53"/>
      <c r="K676" s="54" t="str">
        <f t="shared" si="36"/>
        <v/>
      </c>
      <c r="L676" s="33"/>
      <c r="M676" s="33"/>
      <c r="N676" s="30"/>
      <c r="O676" s="30"/>
      <c r="P676" s="33"/>
    </row>
    <row r="677" spans="1:16" x14ac:dyDescent="0.25">
      <c r="A677" s="31"/>
      <c r="B677" s="30"/>
      <c r="C677" s="30"/>
      <c r="D677" s="30"/>
      <c r="E677" s="33"/>
      <c r="F677" s="30"/>
      <c r="G677" s="49"/>
      <c r="H677" s="52" t="str">
        <f t="shared" si="34"/>
        <v/>
      </c>
      <c r="I677" s="52" t="str">
        <f t="shared" si="35"/>
        <v/>
      </c>
      <c r="J677" s="53"/>
      <c r="K677" s="54" t="str">
        <f t="shared" si="36"/>
        <v/>
      </c>
      <c r="L677" s="33"/>
      <c r="M677" s="33"/>
      <c r="N677" s="30"/>
      <c r="O677" s="30"/>
      <c r="P677" s="33"/>
    </row>
    <row r="678" spans="1:16" x14ac:dyDescent="0.25">
      <c r="A678" s="31"/>
      <c r="B678" s="30"/>
      <c r="C678" s="30"/>
      <c r="D678" s="30"/>
      <c r="E678" s="33"/>
      <c r="F678" s="30"/>
      <c r="G678" s="49"/>
      <c r="H678" s="52" t="str">
        <f t="shared" si="34"/>
        <v/>
      </c>
      <c r="I678" s="52" t="str">
        <f t="shared" si="35"/>
        <v/>
      </c>
      <c r="J678" s="53"/>
      <c r="K678" s="54" t="str">
        <f t="shared" si="36"/>
        <v/>
      </c>
      <c r="L678" s="33"/>
      <c r="M678" s="33"/>
      <c r="N678" s="30"/>
      <c r="O678" s="30"/>
      <c r="P678" s="33"/>
    </row>
    <row r="679" spans="1:16" x14ac:dyDescent="0.25">
      <c r="A679" s="31"/>
      <c r="B679" s="30"/>
      <c r="C679" s="30"/>
      <c r="D679" s="30"/>
      <c r="E679" s="33"/>
      <c r="F679" s="30"/>
      <c r="G679" s="49"/>
      <c r="H679" s="52" t="str">
        <f t="shared" si="34"/>
        <v/>
      </c>
      <c r="I679" s="52" t="str">
        <f t="shared" si="35"/>
        <v/>
      </c>
      <c r="J679" s="53"/>
      <c r="K679" s="54" t="str">
        <f t="shared" si="36"/>
        <v/>
      </c>
      <c r="L679" s="33"/>
      <c r="M679" s="33"/>
      <c r="N679" s="30"/>
      <c r="O679" s="30"/>
      <c r="P679" s="33"/>
    </row>
    <row r="680" spans="1:16" x14ac:dyDescent="0.25">
      <c r="A680" s="31"/>
      <c r="B680" s="30"/>
      <c r="C680" s="30"/>
      <c r="D680" s="30"/>
      <c r="E680" s="33"/>
      <c r="F680" s="30"/>
      <c r="G680" s="49"/>
      <c r="H680" s="52" t="str">
        <f t="shared" si="34"/>
        <v/>
      </c>
      <c r="I680" s="52" t="str">
        <f t="shared" si="35"/>
        <v/>
      </c>
      <c r="J680" s="53"/>
      <c r="K680" s="54" t="str">
        <f t="shared" si="36"/>
        <v/>
      </c>
      <c r="L680" s="33"/>
      <c r="M680" s="33"/>
      <c r="N680" s="30"/>
      <c r="O680" s="30"/>
      <c r="P680" s="33"/>
    </row>
    <row r="681" spans="1:16" x14ac:dyDescent="0.25">
      <c r="A681" s="31"/>
      <c r="B681" s="30"/>
      <c r="C681" s="30"/>
      <c r="D681" s="30"/>
      <c r="E681" s="33"/>
      <c r="F681" s="30"/>
      <c r="G681" s="49"/>
      <c r="H681" s="52" t="str">
        <f t="shared" si="34"/>
        <v/>
      </c>
      <c r="I681" s="52" t="str">
        <f t="shared" si="35"/>
        <v/>
      </c>
      <c r="J681" s="53"/>
      <c r="K681" s="54" t="str">
        <f t="shared" si="36"/>
        <v/>
      </c>
      <c r="L681" s="33"/>
      <c r="M681" s="33"/>
      <c r="N681" s="30"/>
      <c r="O681" s="30"/>
      <c r="P681" s="33"/>
    </row>
    <row r="682" spans="1:16" x14ac:dyDescent="0.25">
      <c r="A682" s="31"/>
      <c r="B682" s="30"/>
      <c r="C682" s="30"/>
      <c r="D682" s="30"/>
      <c r="E682" s="33"/>
      <c r="F682" s="30"/>
      <c r="G682" s="49"/>
      <c r="H682" s="52" t="str">
        <f t="shared" si="34"/>
        <v/>
      </c>
      <c r="I682" s="52" t="str">
        <f t="shared" si="35"/>
        <v/>
      </c>
      <c r="J682" s="53"/>
      <c r="K682" s="54" t="str">
        <f t="shared" si="36"/>
        <v/>
      </c>
      <c r="L682" s="33"/>
      <c r="M682" s="33"/>
      <c r="N682" s="30"/>
      <c r="O682" s="30"/>
      <c r="P682" s="33"/>
    </row>
    <row r="683" spans="1:16" x14ac:dyDescent="0.25">
      <c r="A683" s="31"/>
      <c r="B683" s="30"/>
      <c r="C683" s="30"/>
      <c r="D683" s="30"/>
      <c r="E683" s="33"/>
      <c r="F683" s="30"/>
      <c r="G683" s="49"/>
      <c r="H683" s="52" t="str">
        <f t="shared" si="34"/>
        <v/>
      </c>
      <c r="I683" s="52" t="str">
        <f t="shared" si="35"/>
        <v/>
      </c>
      <c r="J683" s="53"/>
      <c r="K683" s="54" t="str">
        <f t="shared" si="36"/>
        <v/>
      </c>
      <c r="L683" s="33"/>
      <c r="M683" s="33"/>
      <c r="N683" s="30"/>
      <c r="O683" s="30"/>
      <c r="P683" s="33"/>
    </row>
    <row r="684" spans="1:16" x14ac:dyDescent="0.25">
      <c r="A684" s="31"/>
      <c r="B684" s="30"/>
      <c r="C684" s="30"/>
      <c r="D684" s="30"/>
      <c r="E684" s="33"/>
      <c r="F684" s="30"/>
      <c r="G684" s="49"/>
      <c r="H684" s="52" t="str">
        <f t="shared" si="34"/>
        <v/>
      </c>
      <c r="I684" s="52" t="str">
        <f t="shared" si="35"/>
        <v/>
      </c>
      <c r="J684" s="53"/>
      <c r="K684" s="54" t="str">
        <f t="shared" si="36"/>
        <v/>
      </c>
      <c r="L684" s="33"/>
      <c r="M684" s="33"/>
      <c r="N684" s="30"/>
      <c r="O684" s="30"/>
      <c r="P684" s="33"/>
    </row>
    <row r="685" spans="1:16" x14ac:dyDescent="0.25">
      <c r="A685" s="31"/>
      <c r="B685" s="30"/>
      <c r="C685" s="30"/>
      <c r="D685" s="30"/>
      <c r="E685" s="33"/>
      <c r="F685" s="30"/>
      <c r="G685" s="49"/>
      <c r="H685" s="52" t="str">
        <f t="shared" si="34"/>
        <v/>
      </c>
      <c r="I685" s="52" t="str">
        <f t="shared" si="35"/>
        <v/>
      </c>
      <c r="J685" s="53"/>
      <c r="K685" s="54" t="str">
        <f t="shared" si="36"/>
        <v/>
      </c>
      <c r="L685" s="33"/>
      <c r="M685" s="33"/>
      <c r="N685" s="30"/>
      <c r="O685" s="30"/>
      <c r="P685" s="33"/>
    </row>
    <row r="686" spans="1:16" x14ac:dyDescent="0.25">
      <c r="A686" s="31"/>
      <c r="B686" s="30"/>
      <c r="C686" s="30"/>
      <c r="D686" s="30"/>
      <c r="E686" s="33"/>
      <c r="F686" s="30"/>
      <c r="G686" s="49"/>
      <c r="H686" s="52" t="str">
        <f t="shared" si="34"/>
        <v/>
      </c>
      <c r="I686" s="52" t="str">
        <f t="shared" si="35"/>
        <v/>
      </c>
      <c r="J686" s="53"/>
      <c r="K686" s="54" t="str">
        <f t="shared" si="36"/>
        <v/>
      </c>
      <c r="L686" s="33"/>
      <c r="M686" s="33"/>
      <c r="N686" s="30"/>
      <c r="O686" s="30"/>
      <c r="P686" s="33"/>
    </row>
    <row r="687" spans="1:16" x14ac:dyDescent="0.25">
      <c r="A687" s="31"/>
      <c r="B687" s="30"/>
      <c r="C687" s="30"/>
      <c r="D687" s="30"/>
      <c r="E687" s="33"/>
      <c r="F687" s="30"/>
      <c r="G687" s="49"/>
      <c r="H687" s="52" t="str">
        <f t="shared" si="34"/>
        <v/>
      </c>
      <c r="I687" s="52" t="str">
        <f t="shared" si="35"/>
        <v/>
      </c>
      <c r="J687" s="53"/>
      <c r="K687" s="54" t="str">
        <f t="shared" si="36"/>
        <v/>
      </c>
      <c r="L687" s="33"/>
      <c r="M687" s="33"/>
      <c r="N687" s="30"/>
      <c r="O687" s="30"/>
      <c r="P687" s="33"/>
    </row>
    <row r="688" spans="1:16" x14ac:dyDescent="0.25">
      <c r="A688" s="31"/>
      <c r="B688" s="30"/>
      <c r="C688" s="30"/>
      <c r="D688" s="30"/>
      <c r="E688" s="33"/>
      <c r="F688" s="30"/>
      <c r="G688" s="49"/>
      <c r="H688" s="52" t="str">
        <f t="shared" si="34"/>
        <v/>
      </c>
      <c r="I688" s="52" t="str">
        <f t="shared" si="35"/>
        <v/>
      </c>
      <c r="J688" s="53"/>
      <c r="K688" s="54" t="str">
        <f t="shared" si="36"/>
        <v/>
      </c>
      <c r="L688" s="33"/>
      <c r="M688" s="33"/>
      <c r="N688" s="30"/>
      <c r="O688" s="30"/>
      <c r="P688" s="33"/>
    </row>
    <row r="689" spans="1:16" x14ac:dyDescent="0.25">
      <c r="A689" s="31"/>
      <c r="B689" s="30"/>
      <c r="C689" s="30"/>
      <c r="D689" s="30"/>
      <c r="E689" s="33"/>
      <c r="F689" s="30"/>
      <c r="G689" s="49"/>
      <c r="H689" s="52" t="str">
        <f t="shared" si="34"/>
        <v/>
      </c>
      <c r="I689" s="52" t="str">
        <f t="shared" si="35"/>
        <v/>
      </c>
      <c r="J689" s="53"/>
      <c r="K689" s="54" t="str">
        <f t="shared" si="36"/>
        <v/>
      </c>
      <c r="L689" s="33"/>
      <c r="M689" s="33"/>
      <c r="N689" s="30"/>
      <c r="O689" s="30"/>
      <c r="P689" s="33"/>
    </row>
    <row r="690" spans="1:16" x14ac:dyDescent="0.25">
      <c r="A690" s="31"/>
      <c r="B690" s="30"/>
      <c r="C690" s="30"/>
      <c r="D690" s="30"/>
      <c r="E690" s="33"/>
      <c r="F690" s="30"/>
      <c r="G690" s="49"/>
      <c r="H690" s="52" t="str">
        <f t="shared" si="34"/>
        <v/>
      </c>
      <c r="I690" s="52" t="str">
        <f t="shared" si="35"/>
        <v/>
      </c>
      <c r="J690" s="53"/>
      <c r="K690" s="54" t="str">
        <f t="shared" si="36"/>
        <v/>
      </c>
      <c r="L690" s="33"/>
      <c r="M690" s="33"/>
      <c r="N690" s="30"/>
      <c r="O690" s="30"/>
      <c r="P690" s="33"/>
    </row>
    <row r="691" spans="1:16" x14ac:dyDescent="0.25">
      <c r="A691" s="31"/>
      <c r="B691" s="30"/>
      <c r="C691" s="30"/>
      <c r="D691" s="30"/>
      <c r="E691" s="33"/>
      <c r="F691" s="30"/>
      <c r="G691" s="49"/>
      <c r="H691" s="52" t="str">
        <f t="shared" si="34"/>
        <v/>
      </c>
      <c r="I691" s="52" t="str">
        <f t="shared" si="35"/>
        <v/>
      </c>
      <c r="J691" s="53"/>
      <c r="K691" s="54" t="str">
        <f t="shared" si="36"/>
        <v/>
      </c>
      <c r="L691" s="33"/>
      <c r="M691" s="33"/>
      <c r="N691" s="30"/>
      <c r="O691" s="30"/>
      <c r="P691" s="33"/>
    </row>
    <row r="692" spans="1:16" x14ac:dyDescent="0.25">
      <c r="A692" s="31"/>
      <c r="B692" s="30"/>
      <c r="C692" s="30"/>
      <c r="D692" s="30"/>
      <c r="E692" s="33"/>
      <c r="F692" s="30"/>
      <c r="G692" s="49"/>
      <c r="H692" s="52" t="str">
        <f t="shared" si="34"/>
        <v/>
      </c>
      <c r="I692" s="52" t="str">
        <f t="shared" si="35"/>
        <v/>
      </c>
      <c r="J692" s="53"/>
      <c r="K692" s="54" t="str">
        <f t="shared" si="36"/>
        <v/>
      </c>
      <c r="L692" s="33"/>
      <c r="M692" s="33"/>
      <c r="N692" s="30"/>
      <c r="O692" s="30"/>
      <c r="P692" s="33"/>
    </row>
    <row r="693" spans="1:16" x14ac:dyDescent="0.25">
      <c r="A693" s="31"/>
      <c r="B693" s="30"/>
      <c r="C693" s="30"/>
      <c r="D693" s="30"/>
      <c r="E693" s="33"/>
      <c r="F693" s="30"/>
      <c r="G693" s="49"/>
      <c r="H693" s="52" t="str">
        <f t="shared" si="34"/>
        <v/>
      </c>
      <c r="I693" s="52" t="str">
        <f t="shared" si="35"/>
        <v/>
      </c>
      <c r="J693" s="53"/>
      <c r="K693" s="54" t="str">
        <f t="shared" si="36"/>
        <v/>
      </c>
      <c r="L693" s="33"/>
      <c r="M693" s="33"/>
      <c r="N693" s="30"/>
      <c r="O693" s="30"/>
      <c r="P693" s="33"/>
    </row>
    <row r="694" spans="1:16" x14ac:dyDescent="0.25">
      <c r="A694" s="31"/>
      <c r="B694" s="30"/>
      <c r="C694" s="30"/>
      <c r="D694" s="30"/>
      <c r="E694" s="33"/>
      <c r="F694" s="30"/>
      <c r="G694" s="49"/>
      <c r="H694" s="52" t="str">
        <f t="shared" si="34"/>
        <v/>
      </c>
      <c r="I694" s="52" t="str">
        <f t="shared" si="35"/>
        <v/>
      </c>
      <c r="J694" s="53"/>
      <c r="K694" s="54" t="str">
        <f t="shared" si="36"/>
        <v/>
      </c>
      <c r="L694" s="33"/>
      <c r="M694" s="33"/>
      <c r="N694" s="30"/>
      <c r="O694" s="30"/>
      <c r="P694" s="33"/>
    </row>
    <row r="695" spans="1:16" x14ac:dyDescent="0.25">
      <c r="A695" s="31"/>
      <c r="B695" s="30"/>
      <c r="C695" s="30"/>
      <c r="D695" s="30"/>
      <c r="E695" s="33"/>
      <c r="F695" s="30"/>
      <c r="G695" s="49"/>
      <c r="H695" s="52" t="str">
        <f t="shared" si="34"/>
        <v/>
      </c>
      <c r="I695" s="52" t="str">
        <f t="shared" si="35"/>
        <v/>
      </c>
      <c r="J695" s="53"/>
      <c r="K695" s="54" t="str">
        <f t="shared" si="36"/>
        <v/>
      </c>
      <c r="L695" s="33"/>
      <c r="M695" s="33"/>
      <c r="N695" s="30"/>
      <c r="O695" s="30"/>
      <c r="P695" s="33"/>
    </row>
    <row r="696" spans="1:16" x14ac:dyDescent="0.25">
      <c r="A696" s="31"/>
      <c r="B696" s="30"/>
      <c r="C696" s="30"/>
      <c r="D696" s="30"/>
      <c r="E696" s="33"/>
      <c r="F696" s="30"/>
      <c r="G696" s="49"/>
      <c r="H696" s="52" t="str">
        <f t="shared" si="34"/>
        <v/>
      </c>
      <c r="I696" s="52" t="str">
        <f t="shared" si="35"/>
        <v/>
      </c>
      <c r="J696" s="53"/>
      <c r="K696" s="54" t="str">
        <f t="shared" si="36"/>
        <v/>
      </c>
      <c r="L696" s="33"/>
      <c r="M696" s="33"/>
      <c r="N696" s="30"/>
      <c r="O696" s="30"/>
      <c r="P696" s="33"/>
    </row>
    <row r="697" spans="1:16" x14ac:dyDescent="0.25">
      <c r="A697" s="31"/>
      <c r="B697" s="30"/>
      <c r="C697" s="30"/>
      <c r="D697" s="30"/>
      <c r="E697" s="33"/>
      <c r="F697" s="30"/>
      <c r="G697" s="49"/>
      <c r="H697" s="52" t="str">
        <f t="shared" si="34"/>
        <v/>
      </c>
      <c r="I697" s="52" t="str">
        <f t="shared" si="35"/>
        <v/>
      </c>
      <c r="J697" s="53"/>
      <c r="K697" s="54" t="str">
        <f t="shared" si="36"/>
        <v/>
      </c>
      <c r="L697" s="33"/>
      <c r="M697" s="33"/>
      <c r="N697" s="30"/>
      <c r="O697" s="30"/>
      <c r="P697" s="33"/>
    </row>
    <row r="698" spans="1:16" x14ac:dyDescent="0.25">
      <c r="A698" s="31"/>
      <c r="B698" s="30"/>
      <c r="C698" s="30"/>
      <c r="D698" s="30"/>
      <c r="E698" s="33"/>
      <c r="F698" s="30"/>
      <c r="G698" s="49"/>
      <c r="H698" s="52" t="str">
        <f t="shared" si="34"/>
        <v/>
      </c>
      <c r="I698" s="52" t="str">
        <f t="shared" si="35"/>
        <v/>
      </c>
      <c r="J698" s="53"/>
      <c r="K698" s="54" t="str">
        <f t="shared" si="36"/>
        <v/>
      </c>
      <c r="L698" s="33"/>
      <c r="M698" s="33"/>
      <c r="N698" s="30"/>
      <c r="O698" s="30"/>
      <c r="P698" s="33"/>
    </row>
    <row r="699" spans="1:16" x14ac:dyDescent="0.25">
      <c r="A699" s="31"/>
      <c r="B699" s="30"/>
      <c r="C699" s="30"/>
      <c r="D699" s="30"/>
      <c r="E699" s="33"/>
      <c r="F699" s="30"/>
      <c r="G699" s="49"/>
      <c r="H699" s="52" t="str">
        <f t="shared" si="34"/>
        <v/>
      </c>
      <c r="I699" s="52" t="str">
        <f t="shared" si="35"/>
        <v/>
      </c>
      <c r="J699" s="53"/>
      <c r="K699" s="54" t="str">
        <f t="shared" si="36"/>
        <v/>
      </c>
      <c r="L699" s="33"/>
      <c r="M699" s="33"/>
      <c r="N699" s="30"/>
      <c r="O699" s="30"/>
      <c r="P699" s="33"/>
    </row>
    <row r="700" spans="1:16" x14ac:dyDescent="0.25">
      <c r="A700" s="31"/>
      <c r="B700" s="30"/>
      <c r="C700" s="30"/>
      <c r="D700" s="30"/>
      <c r="E700" s="33"/>
      <c r="F700" s="30"/>
      <c r="G700" s="49"/>
      <c r="H700" s="52" t="str">
        <f t="shared" si="34"/>
        <v/>
      </c>
      <c r="I700" s="52" t="str">
        <f t="shared" si="35"/>
        <v/>
      </c>
      <c r="J700" s="53"/>
      <c r="K700" s="54" t="str">
        <f t="shared" si="36"/>
        <v/>
      </c>
      <c r="L700" s="33"/>
      <c r="M700" s="33"/>
      <c r="N700" s="30"/>
      <c r="O700" s="30"/>
      <c r="P700" s="33"/>
    </row>
    <row r="701" spans="1:16" x14ac:dyDescent="0.25">
      <c r="A701" s="31"/>
      <c r="B701" s="30"/>
      <c r="C701" s="30"/>
      <c r="D701" s="30"/>
      <c r="E701" s="33"/>
      <c r="F701" s="30"/>
      <c r="G701" s="49"/>
      <c r="H701" s="52" t="str">
        <f t="shared" si="34"/>
        <v/>
      </c>
      <c r="I701" s="52" t="str">
        <f t="shared" si="35"/>
        <v/>
      </c>
      <c r="J701" s="53"/>
      <c r="K701" s="54" t="str">
        <f t="shared" si="36"/>
        <v/>
      </c>
      <c r="L701" s="33"/>
      <c r="M701" s="33"/>
      <c r="N701" s="30"/>
      <c r="O701" s="30"/>
      <c r="P701" s="33"/>
    </row>
    <row r="702" spans="1:16" x14ac:dyDescent="0.25">
      <c r="A702" s="31"/>
      <c r="B702" s="30"/>
      <c r="C702" s="30"/>
      <c r="D702" s="30"/>
      <c r="E702" s="33"/>
      <c r="F702" s="30"/>
      <c r="G702" s="49"/>
      <c r="H702" s="52" t="str">
        <f t="shared" si="34"/>
        <v/>
      </c>
      <c r="I702" s="52" t="str">
        <f t="shared" si="35"/>
        <v/>
      </c>
      <c r="J702" s="53"/>
      <c r="K702" s="54" t="str">
        <f t="shared" si="36"/>
        <v/>
      </c>
      <c r="L702" s="33"/>
      <c r="M702" s="33"/>
      <c r="N702" s="30"/>
      <c r="O702" s="30"/>
      <c r="P702" s="33"/>
    </row>
    <row r="703" spans="1:16" x14ac:dyDescent="0.25">
      <c r="A703" s="31"/>
      <c r="B703" s="30"/>
      <c r="C703" s="30"/>
      <c r="D703" s="30"/>
      <c r="E703" s="33"/>
      <c r="F703" s="30"/>
      <c r="G703" s="49"/>
      <c r="H703" s="52" t="str">
        <f t="shared" si="34"/>
        <v/>
      </c>
      <c r="I703" s="52" t="str">
        <f t="shared" si="35"/>
        <v/>
      </c>
      <c r="J703" s="53"/>
      <c r="K703" s="54" t="str">
        <f t="shared" si="36"/>
        <v/>
      </c>
      <c r="L703" s="33"/>
      <c r="M703" s="33"/>
      <c r="N703" s="30"/>
      <c r="O703" s="30"/>
      <c r="P703" s="33"/>
    </row>
    <row r="704" spans="1:16" x14ac:dyDescent="0.25">
      <c r="A704" s="31"/>
      <c r="B704" s="30"/>
      <c r="C704" s="30"/>
      <c r="D704" s="30"/>
      <c r="E704" s="33"/>
      <c r="F704" s="30"/>
      <c r="G704" s="49"/>
      <c r="H704" s="52" t="str">
        <f t="shared" si="34"/>
        <v/>
      </c>
      <c r="I704" s="52" t="str">
        <f t="shared" si="35"/>
        <v/>
      </c>
      <c r="J704" s="53"/>
      <c r="K704" s="54" t="str">
        <f t="shared" si="36"/>
        <v/>
      </c>
      <c r="L704" s="33"/>
      <c r="M704" s="33"/>
      <c r="N704" s="30"/>
      <c r="O704" s="30"/>
      <c r="P704" s="33"/>
    </row>
  </sheetData>
  <autoFilter ref="A4:P4"/>
  <mergeCells count="18">
    <mergeCell ref="A1:P1"/>
    <mergeCell ref="Y14:AD14"/>
    <mergeCell ref="Y10:AD10"/>
    <mergeCell ref="A2:P2"/>
    <mergeCell ref="Y15:AD15"/>
    <mergeCell ref="Y1:AD1"/>
    <mergeCell ref="Y13:AD13"/>
    <mergeCell ref="Y9:AD9"/>
    <mergeCell ref="Y8:AD8"/>
    <mergeCell ref="R4:V4"/>
    <mergeCell ref="Y4:AD4"/>
    <mergeCell ref="Y12:AD12"/>
    <mergeCell ref="Y3:AD3"/>
    <mergeCell ref="Y7:AD7"/>
    <mergeCell ref="Y2:AD2"/>
    <mergeCell ref="Y11:AD11"/>
    <mergeCell ref="Y5:AD5"/>
    <mergeCell ref="Y6:AD6"/>
  </mergeCells>
  <conditionalFormatting sqref="D5:D704">
    <cfRule type="expression" dxfId="49" priority="1">
      <formula>AND($C5="SAÍDA",$D5="")</formula>
    </cfRule>
  </conditionalFormatting>
  <conditionalFormatting sqref="U6:U34">
    <cfRule type="cellIs" dxfId="48" priority="2" operator="lessThan">
      <formula>0</formula>
    </cfRule>
  </conditionalFormatting>
  <dataValidations count="6">
    <dataValidation type="list" allowBlank="1" errorTitle="Entrada invalida" error="Valor fora da lista padronizada. Use a seta para escolher." sqref="B5:B704">
      <formula1>LST_CONTRATO</formula1>
    </dataValidation>
    <dataValidation type="list" allowBlank="1" errorTitle="Entrada invalida" error="Valor fora da lista padronizada. Use a seta para escolher." sqref="C5:C704">
      <formula1>LST_MOVIMENTO</formula1>
    </dataValidation>
    <dataValidation type="list" allowBlank="1" errorTitle="Entrada invalida" error="Valor fora da lista padronizada. Use a seta para escolher." sqref="E5:E704">
      <formula1>LST_MATERIAL</formula1>
    </dataValidation>
    <dataValidation type="list" allowBlank="1" errorTitle="Entrada invalida" error="Valor fora da lista padronizada. Use a seta para escolher." sqref="O5:O704">
      <formula1>LST_SN</formula1>
    </dataValidation>
    <dataValidation type="list" allowBlank="1" errorTitle="Entrada invalida" error="Valor fora da lista padronizada. Use a seta para escolher." sqref="L5:L704">
      <formula1>EQP_NOMES</formula1>
    </dataValidation>
    <dataValidation type="date" allowBlank="1" errorTitle="Data invalida" error="Informe uma data valida (dd/mm/aaaa) entre 2026 e 2030." sqref="A5:A704">
      <formula1>DATE(2026,1,1)</formula1>
      <formula2>DATE(2030,12,31)</formula2>
    </dataValidation>
  </dataValidations>
  <printOptions horizontalCentered="1"/>
  <pageMargins left="0.3" right="0.3" top="0.5" bottom="0.5" header="0.5" footer="0.5"/>
  <pageSetup paperSize="9" fitToHeight="0" orientation="landscape"/>
  <headerFooter>
    <oddFooter>&amp;L&amp;8 WCR Saneamento — Controle Operacional SABESP&amp;R&amp;8 Página &amp;P de &amp;N</oddFooter>
  </headerFooter>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2E75B6"/>
    <pageSetUpPr fitToPage="1"/>
  </sheetPr>
  <dimension ref="A1:AC62"/>
  <sheetViews>
    <sheetView showGridLines="0" tabSelected="1" zoomScale="115" zoomScaleNormal="115" workbookViewId="0">
      <pane ySplit="4" topLeftCell="A5" activePane="bottomLeft" state="frozen"/>
      <selection pane="bottomLeft" activeCell="G10" sqref="G10"/>
    </sheetView>
  </sheetViews>
  <sheetFormatPr defaultRowHeight="15" x14ac:dyDescent="0.25"/>
  <cols>
    <col min="1" max="1" width="11" style="109" customWidth="1"/>
    <col min="2" max="2" width="12" style="109" customWidth="1"/>
    <col min="3" max="3" width="9" style="109" customWidth="1"/>
    <col min="4" max="4" width="30" style="109" customWidth="1"/>
    <col min="5" max="5" width="25" style="109" customWidth="1"/>
    <col min="6" max="6" width="11" style="109" customWidth="1"/>
    <col min="7" max="9" width="12" style="109" customWidth="1"/>
    <col min="10" max="10" width="13" style="109" customWidth="1"/>
    <col min="11" max="16" width="11" style="109" customWidth="1"/>
    <col min="17" max="17" width="13" style="109" customWidth="1"/>
    <col min="18" max="18" width="12" style="109" customWidth="1"/>
    <col min="19" max="19" width="11" style="109" customWidth="1"/>
    <col min="20" max="20" width="26" style="109" customWidth="1"/>
    <col min="21" max="21" width="8" style="109" customWidth="1"/>
    <col min="24" max="29" width="10.42578125" style="109" customWidth="1"/>
  </cols>
  <sheetData>
    <row r="1" spans="1:29" ht="26.1" customHeight="1" x14ac:dyDescent="0.25">
      <c r="A1" s="151" t="s">
        <v>2674</v>
      </c>
      <c r="B1" s="149"/>
      <c r="C1" s="149"/>
      <c r="D1" s="149"/>
      <c r="E1" s="149"/>
      <c r="F1" s="149"/>
      <c r="G1" s="149"/>
      <c r="H1" s="149"/>
      <c r="I1" s="149"/>
      <c r="J1" s="149"/>
      <c r="K1" s="149"/>
      <c r="L1" s="149"/>
      <c r="M1" s="149"/>
      <c r="N1" s="149"/>
      <c r="O1" s="149"/>
      <c r="P1" s="149"/>
      <c r="Q1" s="149"/>
      <c r="R1" s="149"/>
      <c r="S1" s="149"/>
      <c r="T1" s="149"/>
      <c r="U1" s="149"/>
      <c r="X1" s="154" t="s">
        <v>280</v>
      </c>
      <c r="Y1" s="155"/>
      <c r="Z1" s="155"/>
      <c r="AA1" s="155"/>
      <c r="AB1" s="155"/>
      <c r="AC1" s="156"/>
    </row>
    <row r="2" spans="1:29" ht="14.1" customHeight="1" x14ac:dyDescent="0.25">
      <c r="A2" s="153" t="s">
        <v>2675</v>
      </c>
      <c r="B2" s="149"/>
      <c r="C2" s="149"/>
      <c r="D2" s="149"/>
      <c r="E2" s="149"/>
      <c r="F2" s="149"/>
      <c r="G2" s="149"/>
      <c r="H2" s="149"/>
      <c r="I2" s="149"/>
      <c r="J2" s="149"/>
      <c r="K2" s="149"/>
      <c r="L2" s="149"/>
      <c r="M2" s="149"/>
      <c r="N2" s="149"/>
      <c r="O2" s="149"/>
      <c r="P2" s="149"/>
      <c r="Q2" s="149"/>
      <c r="R2" s="149"/>
      <c r="S2" s="149"/>
      <c r="T2" s="149"/>
      <c r="U2" s="149"/>
      <c r="X2" s="158" t="s">
        <v>136</v>
      </c>
      <c r="Y2" s="155"/>
      <c r="Z2" s="155"/>
      <c r="AA2" s="155"/>
      <c r="AB2" s="155"/>
      <c r="AC2" s="156"/>
    </row>
    <row r="3" spans="1:29" x14ac:dyDescent="0.25">
      <c r="X3" s="157" t="s">
        <v>137</v>
      </c>
      <c r="Y3" s="155"/>
      <c r="Z3" s="155"/>
      <c r="AA3" s="155"/>
      <c r="AB3" s="155"/>
      <c r="AC3" s="156"/>
    </row>
    <row r="4" spans="1:29" ht="32.1" customHeight="1" x14ac:dyDescent="0.25">
      <c r="A4" s="46" t="s">
        <v>2676</v>
      </c>
      <c r="B4" s="46" t="s">
        <v>591</v>
      </c>
      <c r="C4" s="46" t="s">
        <v>592</v>
      </c>
      <c r="D4" s="46" t="s">
        <v>2677</v>
      </c>
      <c r="E4" s="46" t="s">
        <v>2678</v>
      </c>
      <c r="F4" s="46" t="s">
        <v>2679</v>
      </c>
      <c r="G4" s="46" t="s">
        <v>2680</v>
      </c>
      <c r="H4" s="46" t="s">
        <v>2681</v>
      </c>
      <c r="I4" s="46" t="s">
        <v>2682</v>
      </c>
      <c r="J4" s="46" t="s">
        <v>2683</v>
      </c>
      <c r="K4" s="46" t="s">
        <v>2684</v>
      </c>
      <c r="L4" s="46" t="s">
        <v>2685</v>
      </c>
      <c r="M4" s="46" t="s">
        <v>2686</v>
      </c>
      <c r="N4" s="46" t="s">
        <v>2687</v>
      </c>
      <c r="O4" s="46" t="s">
        <v>2688</v>
      </c>
      <c r="P4" s="46" t="s">
        <v>2689</v>
      </c>
      <c r="Q4" s="46" t="s">
        <v>2690</v>
      </c>
      <c r="R4" s="46" t="s">
        <v>2691</v>
      </c>
      <c r="S4" s="46" t="s">
        <v>2692</v>
      </c>
      <c r="T4" s="46" t="s">
        <v>2693</v>
      </c>
      <c r="U4" s="46" t="s">
        <v>2694</v>
      </c>
      <c r="X4" s="157" t="s">
        <v>138</v>
      </c>
      <c r="Y4" s="155"/>
      <c r="Z4" s="155"/>
      <c r="AA4" s="155"/>
      <c r="AB4" s="155"/>
      <c r="AC4" s="156"/>
    </row>
    <row r="5" spans="1:29" x14ac:dyDescent="0.25">
      <c r="A5" s="30" t="s">
        <v>2695</v>
      </c>
      <c r="B5" s="30" t="s">
        <v>529</v>
      </c>
      <c r="C5" s="30" t="s">
        <v>618</v>
      </c>
      <c r="D5" s="33" t="s">
        <v>2696</v>
      </c>
      <c r="E5" s="33" t="s">
        <v>758</v>
      </c>
      <c r="F5" s="31"/>
      <c r="G5" s="53">
        <v>2303</v>
      </c>
      <c r="H5" s="54">
        <f t="shared" ref="H5:H36" si="0">IF($D5="","",ROUND($G5*ENC_FATOR,2))</f>
        <v>1335.74</v>
      </c>
      <c r="I5" s="55">
        <f>IF($D5="","",BEN_PESSOA)</f>
        <v>1904.32</v>
      </c>
      <c r="J5" s="54">
        <f t="shared" ref="J5:J36" si="1">IF($D5="","",SUM($G5:$I5))</f>
        <v>5543.0599999999995</v>
      </c>
      <c r="K5" s="54">
        <f>IF($D5="","",$J5/'01. CONFIGURAÇÕES'!$C$20)</f>
        <v>251.95727272727271</v>
      </c>
      <c r="L5" s="54">
        <f>IF($D5="","",$K5/'01. CONFIGURAÇÕES'!$C$21)</f>
        <v>28.631508264462806</v>
      </c>
      <c r="M5" s="31"/>
      <c r="N5" s="31"/>
      <c r="O5" s="31"/>
      <c r="P5" s="31"/>
      <c r="Q5" s="31"/>
      <c r="R5" s="31"/>
      <c r="S5" s="31"/>
      <c r="T5" s="29" t="str">
        <f t="shared" ref="T5:T36" ca="1" si="2">IF($D5="","",IF(COUNTIF($M5:$S5,"&lt;"&amp;TODAY())&gt;0,"VENCIDO — AFASTAR DA FRENTE",IF(COUNTIFS($M5:$S5,"&gt;="&amp;TODAY(),$M5:$S5,"&lt;="&amp;TODAY()+30)&gt;0,"VENCE EM 30 DIAS","OK")))</f>
        <v>OK</v>
      </c>
      <c r="U5" s="30" t="s">
        <v>634</v>
      </c>
      <c r="X5" s="157" t="s">
        <v>123</v>
      </c>
      <c r="Y5" s="155"/>
      <c r="Z5" s="155"/>
      <c r="AA5" s="155"/>
      <c r="AB5" s="155"/>
      <c r="AC5" s="156"/>
    </row>
    <row r="6" spans="1:29" x14ac:dyDescent="0.25">
      <c r="A6" s="30" t="s">
        <v>2697</v>
      </c>
      <c r="B6" s="30" t="s">
        <v>529</v>
      </c>
      <c r="C6" s="30" t="s">
        <v>618</v>
      </c>
      <c r="D6" s="33" t="s">
        <v>2705</v>
      </c>
      <c r="E6" s="33" t="s">
        <v>673</v>
      </c>
      <c r="F6" s="31"/>
      <c r="G6" s="53">
        <v>2985</v>
      </c>
      <c r="H6" s="54">
        <f>IF($D6="","",ROUND($G6*ENC_FATOR,2))</f>
        <v>1731.3</v>
      </c>
      <c r="I6" s="55">
        <f>IF($D6="","",BEN_PESSOA)</f>
        <v>1904.32</v>
      </c>
      <c r="J6" s="54">
        <f>IF($D6="","",SUM($G6:$I6))</f>
        <v>6620.62</v>
      </c>
      <c r="K6" s="54">
        <f>IF($D6="","",$J6/'01. CONFIGURAÇÕES'!$C$20)</f>
        <v>300.93727272727273</v>
      </c>
      <c r="L6" s="54">
        <f>IF($D6="","",$K6/'01. CONFIGURAÇÕES'!$C$21)</f>
        <v>34.197417355371897</v>
      </c>
      <c r="M6" s="31"/>
      <c r="N6" s="31"/>
      <c r="O6" s="31"/>
      <c r="P6" s="31"/>
      <c r="Q6" s="31"/>
      <c r="R6" s="31"/>
      <c r="S6" s="31"/>
      <c r="T6" s="29" t="str">
        <f ca="1">IF($D6="","",IF(COUNTIF($M6:$S6,"&lt;"&amp;TODAY())&gt;0,"VENCIDO — AFASTAR DA FRENTE",IF(COUNTIFS($M6:$S6,"&gt;="&amp;TODAY(),$M6:$S6,"&lt;="&amp;TODAY()+30)&gt;0,"VENCE EM 30 DIAS","OK")))</f>
        <v>OK</v>
      </c>
      <c r="U6" s="30" t="s">
        <v>634</v>
      </c>
      <c r="X6" s="157" t="s">
        <v>143</v>
      </c>
      <c r="Y6" s="155"/>
      <c r="Z6" s="155"/>
      <c r="AA6" s="155"/>
      <c r="AB6" s="155"/>
      <c r="AC6" s="156"/>
    </row>
    <row r="7" spans="1:29" ht="25.5" customHeight="1" x14ac:dyDescent="0.25">
      <c r="A7" s="30" t="s">
        <v>2698</v>
      </c>
      <c r="B7" s="30" t="s">
        <v>529</v>
      </c>
      <c r="C7" s="30" t="s">
        <v>618</v>
      </c>
      <c r="D7" s="33" t="s">
        <v>2712</v>
      </c>
      <c r="E7" s="33" t="s">
        <v>748</v>
      </c>
      <c r="F7" s="31"/>
      <c r="G7" s="53">
        <v>3947</v>
      </c>
      <c r="H7" s="54">
        <f>IF($D7="","",ROUND($G7*ENC_FATOR,2))</f>
        <v>2289.2600000000002</v>
      </c>
      <c r="I7" s="55">
        <f>IF($D7="","",BEN_PESSOA)</f>
        <v>1904.32</v>
      </c>
      <c r="J7" s="54">
        <f>IF($D7="","",SUM($G7:$I7))</f>
        <v>8140.58</v>
      </c>
      <c r="K7" s="54">
        <f>IF($D7="","",$J7/'01. CONFIGURAÇÕES'!$C$20)</f>
        <v>370.02636363636361</v>
      </c>
      <c r="L7" s="54">
        <f>IF($D7="","",$K7/'01. CONFIGURAÇÕES'!$C$21)</f>
        <v>42.048450413223136</v>
      </c>
      <c r="M7" s="31"/>
      <c r="N7" s="31"/>
      <c r="O7" s="31"/>
      <c r="P7" s="31"/>
      <c r="Q7" s="31"/>
      <c r="R7" s="31"/>
      <c r="S7" s="31"/>
      <c r="T7" s="29" t="str">
        <f ca="1">IF($D7="","",IF(COUNTIF($M7:$S7,"&lt;"&amp;TODAY())&gt;0,"VENCIDO — AFASTAR DA FRENTE",IF(COUNTIFS($M7:$S7,"&gt;="&amp;TODAY(),$M7:$S7,"&lt;="&amp;TODAY()+30)&gt;0,"VENCE EM 30 DIAS","OK")))</f>
        <v>OK</v>
      </c>
      <c r="U7" s="30" t="s">
        <v>634</v>
      </c>
      <c r="X7" s="157" t="s">
        <v>147</v>
      </c>
      <c r="Y7" s="155"/>
      <c r="Z7" s="155"/>
      <c r="AA7" s="155"/>
      <c r="AB7" s="155"/>
      <c r="AC7" s="156"/>
    </row>
    <row r="8" spans="1:29" x14ac:dyDescent="0.25">
      <c r="A8" s="30" t="s">
        <v>2699</v>
      </c>
      <c r="B8" s="30" t="s">
        <v>529</v>
      </c>
      <c r="C8" s="30" t="s">
        <v>618</v>
      </c>
      <c r="D8" s="33" t="s">
        <v>3088</v>
      </c>
      <c r="E8" s="33" t="s">
        <v>758</v>
      </c>
      <c r="F8" s="31"/>
      <c r="G8" s="53">
        <v>2303</v>
      </c>
      <c r="H8" s="54">
        <f>IF($D8="","",ROUND($G8*ENC_FATOR,2))</f>
        <v>1335.74</v>
      </c>
      <c r="I8" s="55">
        <f>IF($D8="","",BEN_PESSOA)</f>
        <v>1904.32</v>
      </c>
      <c r="J8" s="54">
        <f>IF($D8="","",SUM($G8:$I8))</f>
        <v>5543.0599999999995</v>
      </c>
      <c r="K8" s="54">
        <f>IF($D8="","",$J8/'01. CONFIGURAÇÕES'!$C$20)</f>
        <v>251.95727272727271</v>
      </c>
      <c r="L8" s="54">
        <f>IF($D8="","",$K8/'01. CONFIGURAÇÕES'!$C$21)</f>
        <v>28.631508264462806</v>
      </c>
      <c r="M8" s="31"/>
      <c r="N8" s="31"/>
      <c r="O8" s="31"/>
      <c r="P8" s="31"/>
      <c r="Q8" s="31"/>
      <c r="R8" s="31"/>
      <c r="S8" s="31"/>
      <c r="T8" s="29" t="str">
        <f ca="1">IF($D8="","",IF(COUNTIF($M8:$S8,"&lt;"&amp;TODAY())&gt;0,"VENCIDO — AFASTAR DA FRENTE",IF(COUNTIFS($M8:$S8,"&gt;="&amp;TODAY(),$M8:$S8,"&lt;="&amp;TODAY()+30)&gt;0,"VENCE EM 30 DIAS","OK")))</f>
        <v>OK</v>
      </c>
      <c r="U8" s="30" t="s">
        <v>634</v>
      </c>
      <c r="X8" s="157" t="s">
        <v>140</v>
      </c>
      <c r="Y8" s="155"/>
      <c r="Z8" s="155"/>
      <c r="AA8" s="155"/>
      <c r="AB8" s="155"/>
      <c r="AC8" s="156"/>
    </row>
    <row r="9" spans="1:29" x14ac:dyDescent="0.25">
      <c r="A9" s="30" t="s">
        <v>2702</v>
      </c>
      <c r="B9" s="30" t="s">
        <v>529</v>
      </c>
      <c r="C9" s="30" t="s">
        <v>641</v>
      </c>
      <c r="D9" s="33" t="s">
        <v>2716</v>
      </c>
      <c r="E9" s="33" t="s">
        <v>673</v>
      </c>
      <c r="F9" s="31"/>
      <c r="G9" s="53">
        <v>2986</v>
      </c>
      <c r="H9" s="54">
        <f>IF($D9="","",ROUND($G9*ENC_FATOR,2))</f>
        <v>1731.88</v>
      </c>
      <c r="I9" s="55">
        <f>IF($D9="","",BEN_PESSOA)</f>
        <v>1904.32</v>
      </c>
      <c r="J9" s="54">
        <f>IF($D9="","",SUM($G9:$I9))</f>
        <v>6622.2</v>
      </c>
      <c r="K9" s="54">
        <f>IF($D9="","",$J9/'01. CONFIGURAÇÕES'!$C$20)</f>
        <v>301.0090909090909</v>
      </c>
      <c r="L9" s="54">
        <f>IF($D9="","",$K9/'01. CONFIGURAÇÕES'!$C$21)</f>
        <v>34.205578512396691</v>
      </c>
      <c r="M9" s="31"/>
      <c r="N9" s="31"/>
      <c r="O9" s="31"/>
      <c r="P9" s="31"/>
      <c r="Q9" s="31"/>
      <c r="R9" s="31"/>
      <c r="S9" s="31"/>
      <c r="T9" s="29" t="str">
        <f ca="1">IF($D9="","",IF(COUNTIF($M9:$S9,"&lt;"&amp;TODAY())&gt;0,"VENCIDO — AFASTAR DA FRENTE",IF(COUNTIFS($M9:$S9,"&gt;="&amp;TODAY(),$M9:$S9,"&lt;="&amp;TODAY()+30)&gt;0,"VENCE EM 30 DIAS","OK")))</f>
        <v>OK</v>
      </c>
      <c r="U9" s="30" t="s">
        <v>634</v>
      </c>
      <c r="X9" s="159" t="s">
        <v>149</v>
      </c>
      <c r="Y9" s="155"/>
      <c r="Z9" s="155"/>
      <c r="AA9" s="155"/>
      <c r="AB9" s="155"/>
      <c r="AC9" s="156"/>
    </row>
    <row r="10" spans="1:29" x14ac:dyDescent="0.25">
      <c r="A10" s="30" t="s">
        <v>2704</v>
      </c>
      <c r="B10" s="30" t="s">
        <v>529</v>
      </c>
      <c r="C10" s="30" t="s">
        <v>641</v>
      </c>
      <c r="D10" s="33" t="s">
        <v>2700</v>
      </c>
      <c r="E10" s="33" t="s">
        <v>2701</v>
      </c>
      <c r="F10" s="31"/>
      <c r="G10" s="53">
        <v>3260</v>
      </c>
      <c r="H10" s="54">
        <f t="shared" si="0"/>
        <v>1890.8</v>
      </c>
      <c r="I10" s="55">
        <f t="shared" ref="I10:I36" si="3">IF($D10="","",BEN_PESSOA)</f>
        <v>1904.32</v>
      </c>
      <c r="J10" s="54">
        <f t="shared" si="1"/>
        <v>7055.12</v>
      </c>
      <c r="K10" s="54">
        <f>IF($D10="","",$J10/'01. CONFIGURAÇÕES'!$C$20)</f>
        <v>320.68727272727273</v>
      </c>
      <c r="L10" s="54">
        <f>IF($D10="","",$K10/'01. CONFIGURAÇÕES'!$C$21)</f>
        <v>36.441735537190077</v>
      </c>
      <c r="M10" s="31"/>
      <c r="N10" s="31"/>
      <c r="O10" s="31"/>
      <c r="P10" s="31"/>
      <c r="Q10" s="31"/>
      <c r="R10" s="31"/>
      <c r="S10" s="31"/>
      <c r="T10" s="29" t="str">
        <f t="shared" ca="1" si="2"/>
        <v>OK</v>
      </c>
      <c r="U10" s="30" t="s">
        <v>634</v>
      </c>
      <c r="X10" s="157" t="s">
        <v>141</v>
      </c>
      <c r="Y10" s="155"/>
      <c r="Z10" s="155"/>
      <c r="AA10" s="155"/>
      <c r="AB10" s="155"/>
      <c r="AC10" s="156"/>
    </row>
    <row r="11" spans="1:29" x14ac:dyDescent="0.25">
      <c r="A11" s="30" t="s">
        <v>2706</v>
      </c>
      <c r="B11" s="30" t="s">
        <v>529</v>
      </c>
      <c r="C11" s="30" t="s">
        <v>641</v>
      </c>
      <c r="D11" s="33" t="s">
        <v>2703</v>
      </c>
      <c r="E11" s="33" t="s">
        <v>758</v>
      </c>
      <c r="F11" s="31"/>
      <c r="G11" s="53">
        <v>2303</v>
      </c>
      <c r="H11" s="54">
        <f t="shared" si="0"/>
        <v>1335.74</v>
      </c>
      <c r="I11" s="55">
        <f t="shared" si="3"/>
        <v>1904.32</v>
      </c>
      <c r="J11" s="54">
        <f t="shared" si="1"/>
        <v>5543.0599999999995</v>
      </c>
      <c r="K11" s="54">
        <f>IF($D11="","",$J11/'01. CONFIGURAÇÕES'!$C$20)</f>
        <v>251.95727272727271</v>
      </c>
      <c r="L11" s="54">
        <f>IF($D11="","",$K11/'01. CONFIGURAÇÕES'!$C$21)</f>
        <v>28.631508264462806</v>
      </c>
      <c r="M11" s="31"/>
      <c r="N11" s="31"/>
      <c r="O11" s="31"/>
      <c r="P11" s="31"/>
      <c r="Q11" s="31"/>
      <c r="R11" s="31"/>
      <c r="S11" s="31"/>
      <c r="T11" s="29" t="str">
        <f t="shared" ca="1" si="2"/>
        <v>OK</v>
      </c>
      <c r="U11" s="30" t="s">
        <v>634</v>
      </c>
      <c r="X11" s="157" t="s">
        <v>142</v>
      </c>
      <c r="Y11" s="155"/>
      <c r="Z11" s="155"/>
      <c r="AA11" s="155"/>
      <c r="AB11" s="155"/>
      <c r="AC11" s="156"/>
    </row>
    <row r="12" spans="1:29" x14ac:dyDescent="0.25">
      <c r="A12" s="30" t="s">
        <v>2708</v>
      </c>
      <c r="B12" s="30" t="s">
        <v>529</v>
      </c>
      <c r="C12" s="30" t="s">
        <v>664</v>
      </c>
      <c r="D12" s="33" t="s">
        <v>2707</v>
      </c>
      <c r="E12" s="33" t="s">
        <v>758</v>
      </c>
      <c r="F12" s="31"/>
      <c r="G12" s="53">
        <v>2303</v>
      </c>
      <c r="H12" s="54">
        <f t="shared" si="0"/>
        <v>1335.74</v>
      </c>
      <c r="I12" s="55">
        <f t="shared" si="3"/>
        <v>1904.32</v>
      </c>
      <c r="J12" s="54">
        <f t="shared" si="1"/>
        <v>5543.0599999999995</v>
      </c>
      <c r="K12" s="54">
        <f>IF($D12="","",$J12/'01. CONFIGURAÇÕES'!$C$20)</f>
        <v>251.95727272727271</v>
      </c>
      <c r="L12" s="54">
        <f>IF($D12="","",$K12/'01. CONFIGURAÇÕES'!$C$21)</f>
        <v>28.631508264462806</v>
      </c>
      <c r="M12" s="31"/>
      <c r="N12" s="31"/>
      <c r="O12" s="31"/>
      <c r="P12" s="31"/>
      <c r="Q12" s="31"/>
      <c r="R12" s="31"/>
      <c r="S12" s="31"/>
      <c r="T12" s="29" t="str">
        <f t="shared" ca="1" si="2"/>
        <v>OK</v>
      </c>
      <c r="U12" s="30" t="s">
        <v>634</v>
      </c>
      <c r="X12" s="157" t="s">
        <v>144</v>
      </c>
      <c r="Y12" s="155"/>
      <c r="Z12" s="155"/>
      <c r="AA12" s="155"/>
      <c r="AB12" s="155"/>
      <c r="AC12" s="156"/>
    </row>
    <row r="13" spans="1:29" x14ac:dyDescent="0.25">
      <c r="A13" s="30" t="s">
        <v>2709</v>
      </c>
      <c r="B13" s="30" t="s">
        <v>529</v>
      </c>
      <c r="C13" s="30" t="s">
        <v>664</v>
      </c>
      <c r="D13" s="33" t="s">
        <v>3089</v>
      </c>
      <c r="E13" s="33" t="s">
        <v>694</v>
      </c>
      <c r="F13" s="31"/>
      <c r="G13" s="53">
        <v>3283.5</v>
      </c>
      <c r="H13" s="54">
        <f t="shared" si="0"/>
        <v>1904.43</v>
      </c>
      <c r="I13" s="55">
        <f t="shared" si="3"/>
        <v>1904.32</v>
      </c>
      <c r="J13" s="54">
        <f t="shared" si="1"/>
        <v>7092.25</v>
      </c>
      <c r="K13" s="54">
        <f>IF($D13="","",$J13/'01. CONFIGURAÇÕES'!$C$20)</f>
        <v>322.375</v>
      </c>
      <c r="L13" s="54">
        <f>IF($D13="","",$K13/'01. CONFIGURAÇÕES'!$C$21)</f>
        <v>36.633522727272727</v>
      </c>
      <c r="M13" s="31"/>
      <c r="N13" s="31"/>
      <c r="O13" s="31"/>
      <c r="P13" s="31"/>
      <c r="Q13" s="31"/>
      <c r="R13" s="31"/>
      <c r="S13" s="31"/>
      <c r="T13" s="29" t="str">
        <f t="shared" ca="1" si="2"/>
        <v>OK</v>
      </c>
      <c r="U13" s="30" t="s">
        <v>634</v>
      </c>
      <c r="X13" s="157" t="s">
        <v>145</v>
      </c>
      <c r="Y13" s="155"/>
      <c r="Z13" s="155"/>
      <c r="AA13" s="155"/>
      <c r="AB13" s="155"/>
      <c r="AC13" s="156"/>
    </row>
    <row r="14" spans="1:29" x14ac:dyDescent="0.25">
      <c r="A14" s="30" t="s">
        <v>2711</v>
      </c>
      <c r="B14" s="30" t="s">
        <v>529</v>
      </c>
      <c r="C14" s="30" t="s">
        <v>664</v>
      </c>
      <c r="D14" s="33" t="s">
        <v>2710</v>
      </c>
      <c r="E14" s="33" t="s">
        <v>758</v>
      </c>
      <c r="F14" s="31"/>
      <c r="G14" s="53">
        <v>2303</v>
      </c>
      <c r="H14" s="54">
        <f t="shared" si="0"/>
        <v>1335.74</v>
      </c>
      <c r="I14" s="55">
        <f t="shared" si="3"/>
        <v>1904.32</v>
      </c>
      <c r="J14" s="54">
        <f t="shared" si="1"/>
        <v>5543.0599999999995</v>
      </c>
      <c r="K14" s="54">
        <f>IF($D14="","",$J14/'01. CONFIGURAÇÕES'!$C$20)</f>
        <v>251.95727272727271</v>
      </c>
      <c r="L14" s="54">
        <f>IF($D14="","",$K14/'01. CONFIGURAÇÕES'!$C$21)</f>
        <v>28.631508264462806</v>
      </c>
      <c r="M14" s="31"/>
      <c r="N14" s="31"/>
      <c r="O14" s="31"/>
      <c r="P14" s="31"/>
      <c r="Q14" s="31"/>
      <c r="R14" s="31"/>
      <c r="S14" s="31"/>
      <c r="T14" s="29" t="str">
        <f t="shared" ca="1" si="2"/>
        <v>OK</v>
      </c>
      <c r="U14" s="30" t="s">
        <v>634</v>
      </c>
      <c r="X14" s="157" t="s">
        <v>146</v>
      </c>
      <c r="Y14" s="155"/>
      <c r="Z14" s="155"/>
      <c r="AA14" s="155"/>
      <c r="AB14" s="155"/>
      <c r="AC14" s="156"/>
    </row>
    <row r="15" spans="1:29" x14ac:dyDescent="0.25">
      <c r="A15" s="30" t="s">
        <v>2713</v>
      </c>
      <c r="B15" s="30" t="s">
        <v>529</v>
      </c>
      <c r="C15" s="30" t="s">
        <v>686</v>
      </c>
      <c r="D15" s="33" t="s">
        <v>3090</v>
      </c>
      <c r="E15" s="33" t="s">
        <v>694</v>
      </c>
      <c r="F15" s="31"/>
      <c r="G15" s="53">
        <v>3283.5</v>
      </c>
      <c r="H15" s="54">
        <f>IF($D15="","",ROUND($G15*ENC_FATOR,2))</f>
        <v>1904.43</v>
      </c>
      <c r="I15" s="55">
        <f>IF($D15="","",BEN_PESSOA)</f>
        <v>1904.32</v>
      </c>
      <c r="J15" s="54">
        <f>IF($D15="","",SUM($G15:$I15))</f>
        <v>7092.25</v>
      </c>
      <c r="K15" s="54">
        <f>IF($D15="","",$J15/'01. CONFIGURAÇÕES'!$C$20)</f>
        <v>322.375</v>
      </c>
      <c r="L15" s="54">
        <f>IF($D15="","",$K15/'01. CONFIGURAÇÕES'!$C$21)</f>
        <v>36.633522727272727</v>
      </c>
      <c r="M15" s="31"/>
      <c r="N15" s="31"/>
      <c r="O15" s="31"/>
      <c r="P15" s="31"/>
      <c r="Q15" s="31"/>
      <c r="R15" s="31"/>
      <c r="S15" s="31"/>
      <c r="T15" s="29" t="str">
        <f ca="1">IF($D15="","",IF(COUNTIF($M15:$S15,"&lt;"&amp;TODAY())&gt;0,"VENCIDO — AFASTAR DA FRENTE",IF(COUNTIFS($M15:$S15,"&gt;="&amp;TODAY(),$M15:$S15,"&lt;="&amp;TODAY()+30)&gt;0,"VENCE EM 30 DIAS","OK")))</f>
        <v>OK</v>
      </c>
      <c r="U15" s="30" t="s">
        <v>656</v>
      </c>
      <c r="X15" s="157" t="s">
        <v>139</v>
      </c>
      <c r="Y15" s="155"/>
      <c r="Z15" s="155"/>
      <c r="AA15" s="155"/>
      <c r="AB15" s="155"/>
      <c r="AC15" s="156"/>
    </row>
    <row r="16" spans="1:29" x14ac:dyDescent="0.25">
      <c r="A16" s="30" t="s">
        <v>2715</v>
      </c>
      <c r="B16" s="30" t="s">
        <v>529</v>
      </c>
      <c r="C16" s="30" t="s">
        <v>686</v>
      </c>
      <c r="D16" s="33" t="s">
        <v>2714</v>
      </c>
      <c r="E16" s="33" t="s">
        <v>758</v>
      </c>
      <c r="F16" s="31"/>
      <c r="G16" s="53">
        <v>2303</v>
      </c>
      <c r="H16" s="54">
        <f t="shared" si="0"/>
        <v>1335.74</v>
      </c>
      <c r="I16" s="55">
        <f t="shared" si="3"/>
        <v>1904.32</v>
      </c>
      <c r="J16" s="54">
        <f t="shared" si="1"/>
        <v>5543.0599999999995</v>
      </c>
      <c r="K16" s="54">
        <f>IF($D16="","",$J16/'01. CONFIGURAÇÕES'!$C$20)</f>
        <v>251.95727272727271</v>
      </c>
      <c r="L16" s="54">
        <f>IF($D16="","",$K16/'01. CONFIGURAÇÕES'!$C$21)</f>
        <v>28.631508264462806</v>
      </c>
      <c r="M16" s="31"/>
      <c r="N16" s="31"/>
      <c r="O16" s="31"/>
      <c r="P16" s="31"/>
      <c r="Q16" s="31"/>
      <c r="R16" s="31"/>
      <c r="S16" s="31"/>
      <c r="T16" s="29" t="str">
        <f t="shared" ca="1" si="2"/>
        <v>OK</v>
      </c>
      <c r="U16" s="30" t="s">
        <v>634</v>
      </c>
      <c r="X16" s="159" t="s">
        <v>148</v>
      </c>
      <c r="Y16" s="155"/>
      <c r="Z16" s="155"/>
      <c r="AA16" s="155"/>
      <c r="AB16" s="155"/>
      <c r="AC16" s="156"/>
    </row>
    <row r="17" spans="1:21" x14ac:dyDescent="0.25">
      <c r="A17" s="30" t="s">
        <v>2717</v>
      </c>
      <c r="B17" s="30" t="s">
        <v>529</v>
      </c>
      <c r="C17" s="30" t="s">
        <v>686</v>
      </c>
      <c r="D17" s="33" t="s">
        <v>2718</v>
      </c>
      <c r="E17" s="33" t="s">
        <v>673</v>
      </c>
      <c r="F17" s="31"/>
      <c r="G17" s="53">
        <v>2986</v>
      </c>
      <c r="H17" s="54">
        <f t="shared" si="0"/>
        <v>1731.88</v>
      </c>
      <c r="I17" s="55">
        <f t="shared" si="3"/>
        <v>1904.32</v>
      </c>
      <c r="J17" s="54">
        <f t="shared" si="1"/>
        <v>6622.2</v>
      </c>
      <c r="K17" s="54">
        <f>IF($D17="","",$J17/'01. CONFIGURAÇÕES'!$C$20)</f>
        <v>301.0090909090909</v>
      </c>
      <c r="L17" s="54">
        <f>IF($D17="","",$K17/'01. CONFIGURAÇÕES'!$C$21)</f>
        <v>34.205578512396691</v>
      </c>
      <c r="M17" s="31"/>
      <c r="N17" s="31"/>
      <c r="O17" s="31"/>
      <c r="P17" s="31"/>
      <c r="Q17" s="31"/>
      <c r="R17" s="31"/>
      <c r="S17" s="31"/>
      <c r="T17" s="29" t="str">
        <f t="shared" ca="1" si="2"/>
        <v>OK</v>
      </c>
      <c r="U17" s="30" t="s">
        <v>634</v>
      </c>
    </row>
    <row r="18" spans="1:21" x14ac:dyDescent="0.25">
      <c r="A18" s="30" t="s">
        <v>2719</v>
      </c>
      <c r="B18" s="30" t="s">
        <v>529</v>
      </c>
      <c r="C18" s="30" t="s">
        <v>763</v>
      </c>
      <c r="D18" s="33" t="s">
        <v>3091</v>
      </c>
      <c r="E18" s="33" t="s">
        <v>2720</v>
      </c>
      <c r="F18" s="31"/>
      <c r="G18" s="53">
        <v>2985</v>
      </c>
      <c r="H18" s="54">
        <f t="shared" si="0"/>
        <v>1731.3</v>
      </c>
      <c r="I18" s="55">
        <f t="shared" si="3"/>
        <v>1904.32</v>
      </c>
      <c r="J18" s="54">
        <f t="shared" si="1"/>
        <v>6620.62</v>
      </c>
      <c r="K18" s="54">
        <f>IF($D18="","",$J18/'01. CONFIGURAÇÕES'!$C$20)</f>
        <v>300.93727272727273</v>
      </c>
      <c r="L18" s="54">
        <f>IF($D18="","",$K18/'01. CONFIGURAÇÕES'!$C$21)</f>
        <v>34.197417355371897</v>
      </c>
      <c r="M18" s="31"/>
      <c r="N18" s="31"/>
      <c r="O18" s="31"/>
      <c r="P18" s="31"/>
      <c r="Q18" s="31"/>
      <c r="R18" s="31"/>
      <c r="S18" s="31"/>
      <c r="T18" s="29" t="str">
        <f t="shared" ca="1" si="2"/>
        <v>OK</v>
      </c>
      <c r="U18" s="30" t="s">
        <v>634</v>
      </c>
    </row>
    <row r="19" spans="1:21" x14ac:dyDescent="0.25">
      <c r="A19" s="30" t="s">
        <v>2721</v>
      </c>
      <c r="B19" s="30" t="s">
        <v>529</v>
      </c>
      <c r="C19" s="30" t="s">
        <v>763</v>
      </c>
      <c r="D19" s="33" t="s">
        <v>2722</v>
      </c>
      <c r="E19" s="33" t="s">
        <v>630</v>
      </c>
      <c r="F19" s="31"/>
      <c r="G19" s="53">
        <v>4713</v>
      </c>
      <c r="H19" s="54">
        <f t="shared" si="0"/>
        <v>2733.54</v>
      </c>
      <c r="I19" s="55">
        <f t="shared" si="3"/>
        <v>1904.32</v>
      </c>
      <c r="J19" s="54">
        <f t="shared" si="1"/>
        <v>9350.86</v>
      </c>
      <c r="K19" s="54">
        <f>IF($D19="","",$J19/'01. CONFIGURAÇÕES'!$C$20)</f>
        <v>425.03909090909093</v>
      </c>
      <c r="L19" s="54">
        <f>IF($D19="","",$K19/'01. CONFIGURAÇÕES'!$C$21)</f>
        <v>48.299896694214873</v>
      </c>
      <c r="M19" s="31"/>
      <c r="N19" s="31"/>
      <c r="O19" s="31"/>
      <c r="P19" s="31"/>
      <c r="Q19" s="31"/>
      <c r="R19" s="31"/>
      <c r="S19" s="31"/>
      <c r="T19" s="29" t="str">
        <f t="shared" ca="1" si="2"/>
        <v>OK</v>
      </c>
      <c r="U19" s="30" t="s">
        <v>634</v>
      </c>
    </row>
    <row r="20" spans="1:21" x14ac:dyDescent="0.25">
      <c r="A20" s="30" t="s">
        <v>2723</v>
      </c>
      <c r="B20" s="30" t="s">
        <v>533</v>
      </c>
      <c r="C20" s="30" t="s">
        <v>707</v>
      </c>
      <c r="D20" s="33" t="s">
        <v>2724</v>
      </c>
      <c r="E20" s="33" t="s">
        <v>758</v>
      </c>
      <c r="F20" s="31"/>
      <c r="G20" s="53">
        <v>2951</v>
      </c>
      <c r="H20" s="54">
        <f t="shared" si="0"/>
        <v>1711.58</v>
      </c>
      <c r="I20" s="55">
        <f t="shared" si="3"/>
        <v>1904.32</v>
      </c>
      <c r="J20" s="54">
        <f t="shared" si="1"/>
        <v>6566.9</v>
      </c>
      <c r="K20" s="54">
        <f>IF($D20="","",$J20/'01. CONFIGURAÇÕES'!$C$20)</f>
        <v>298.49545454545455</v>
      </c>
      <c r="L20" s="54">
        <f>IF($D20="","",$K20/'01. CONFIGURAÇÕES'!$C$21)</f>
        <v>33.919938016528924</v>
      </c>
      <c r="M20" s="31"/>
      <c r="N20" s="31"/>
      <c r="O20" s="31"/>
      <c r="P20" s="31"/>
      <c r="Q20" s="31"/>
      <c r="R20" s="31"/>
      <c r="S20" s="31"/>
      <c r="T20" s="29" t="str">
        <f t="shared" ca="1" si="2"/>
        <v>OK</v>
      </c>
      <c r="U20" s="30" t="s">
        <v>634</v>
      </c>
    </row>
    <row r="21" spans="1:21" x14ac:dyDescent="0.25">
      <c r="A21" s="30" t="s">
        <v>2725</v>
      </c>
      <c r="B21" s="30" t="s">
        <v>533</v>
      </c>
      <c r="C21" s="30" t="s">
        <v>707</v>
      </c>
      <c r="D21" s="33" t="s">
        <v>2726</v>
      </c>
      <c r="E21" s="33" t="s">
        <v>694</v>
      </c>
      <c r="F21" s="31"/>
      <c r="G21" s="53">
        <v>3932</v>
      </c>
      <c r="H21" s="54">
        <f t="shared" si="0"/>
        <v>2280.56</v>
      </c>
      <c r="I21" s="55">
        <f t="shared" si="3"/>
        <v>1904.32</v>
      </c>
      <c r="J21" s="54">
        <f t="shared" si="1"/>
        <v>8116.8799999999992</v>
      </c>
      <c r="K21" s="54">
        <f>IF($D21="","",$J21/'01. CONFIGURAÇÕES'!$C$20)</f>
        <v>368.9490909090909</v>
      </c>
      <c r="L21" s="54">
        <f>IF($D21="","",$K21/'01. CONFIGURAÇÕES'!$C$21)</f>
        <v>41.926033057851235</v>
      </c>
      <c r="M21" s="31"/>
      <c r="N21" s="31"/>
      <c r="O21" s="31"/>
      <c r="P21" s="31"/>
      <c r="Q21" s="31"/>
      <c r="R21" s="31"/>
      <c r="S21" s="31"/>
      <c r="T21" s="29" t="str">
        <f t="shared" ca="1" si="2"/>
        <v>OK</v>
      </c>
      <c r="U21" s="30" t="s">
        <v>634</v>
      </c>
    </row>
    <row r="22" spans="1:21" x14ac:dyDescent="0.25">
      <c r="A22" s="30" t="s">
        <v>2727</v>
      </c>
      <c r="B22" s="30" t="s">
        <v>533</v>
      </c>
      <c r="C22" s="30" t="s">
        <v>707</v>
      </c>
      <c r="D22" s="33" t="s">
        <v>2728</v>
      </c>
      <c r="E22" s="33" t="s">
        <v>718</v>
      </c>
      <c r="F22" s="31"/>
      <c r="G22" s="53">
        <v>3633</v>
      </c>
      <c r="H22" s="54">
        <f t="shared" si="0"/>
        <v>2107.14</v>
      </c>
      <c r="I22" s="55">
        <f t="shared" si="3"/>
        <v>1904.32</v>
      </c>
      <c r="J22" s="54">
        <f t="shared" si="1"/>
        <v>7644.4599999999991</v>
      </c>
      <c r="K22" s="54">
        <f>IF($D22="","",$J22/'01. CONFIGURAÇÕES'!$C$20)</f>
        <v>347.47545454545451</v>
      </c>
      <c r="L22" s="54">
        <f>IF($D22="","",$K22/'01. CONFIGURAÇÕES'!$C$21)</f>
        <v>39.485847107438012</v>
      </c>
      <c r="M22" s="31"/>
      <c r="N22" s="31"/>
      <c r="O22" s="31"/>
      <c r="P22" s="31"/>
      <c r="Q22" s="31"/>
      <c r="R22" s="31"/>
      <c r="S22" s="31"/>
      <c r="T22" s="29" t="str">
        <f t="shared" ca="1" si="2"/>
        <v>OK</v>
      </c>
      <c r="U22" s="30" t="s">
        <v>634</v>
      </c>
    </row>
    <row r="23" spans="1:21" x14ac:dyDescent="0.25">
      <c r="A23" s="30" t="s">
        <v>2729</v>
      </c>
      <c r="B23" s="30" t="s">
        <v>533</v>
      </c>
      <c r="C23" s="30" t="s">
        <v>727</v>
      </c>
      <c r="D23" s="33" t="s">
        <v>2730</v>
      </c>
      <c r="E23" s="33" t="s">
        <v>718</v>
      </c>
      <c r="F23" s="31"/>
      <c r="G23" s="53">
        <v>3633</v>
      </c>
      <c r="H23" s="54">
        <f t="shared" si="0"/>
        <v>2107.14</v>
      </c>
      <c r="I23" s="55">
        <f t="shared" si="3"/>
        <v>1904.32</v>
      </c>
      <c r="J23" s="54">
        <f t="shared" si="1"/>
        <v>7644.4599999999991</v>
      </c>
      <c r="K23" s="54">
        <f>IF($D23="","",$J23/'01. CONFIGURAÇÕES'!$C$20)</f>
        <v>347.47545454545451</v>
      </c>
      <c r="L23" s="54">
        <f>IF($D23="","",$K23/'01. CONFIGURAÇÕES'!$C$21)</f>
        <v>39.485847107438012</v>
      </c>
      <c r="M23" s="31"/>
      <c r="N23" s="31"/>
      <c r="O23" s="31"/>
      <c r="P23" s="31"/>
      <c r="Q23" s="31"/>
      <c r="R23" s="31"/>
      <c r="S23" s="31"/>
      <c r="T23" s="29" t="str">
        <f t="shared" ca="1" si="2"/>
        <v>OK</v>
      </c>
      <c r="U23" s="30" t="s">
        <v>634</v>
      </c>
    </row>
    <row r="24" spans="1:21" x14ac:dyDescent="0.25">
      <c r="A24" s="30" t="s">
        <v>2731</v>
      </c>
      <c r="B24" s="30" t="s">
        <v>533</v>
      </c>
      <c r="C24" s="30" t="s">
        <v>727</v>
      </c>
      <c r="D24" s="33" t="s">
        <v>2732</v>
      </c>
      <c r="E24" s="33" t="s">
        <v>758</v>
      </c>
      <c r="F24" s="31"/>
      <c r="G24" s="53">
        <v>2951</v>
      </c>
      <c r="H24" s="54">
        <f t="shared" si="0"/>
        <v>1711.58</v>
      </c>
      <c r="I24" s="55">
        <f t="shared" si="3"/>
        <v>1904.32</v>
      </c>
      <c r="J24" s="54">
        <f t="shared" si="1"/>
        <v>6566.9</v>
      </c>
      <c r="K24" s="54">
        <f>IF($D24="","",$J24/'01. CONFIGURAÇÕES'!$C$20)</f>
        <v>298.49545454545455</v>
      </c>
      <c r="L24" s="54">
        <f>IF($D24="","",$K24/'01. CONFIGURAÇÕES'!$C$21)</f>
        <v>33.919938016528924</v>
      </c>
      <c r="M24" s="31"/>
      <c r="N24" s="31"/>
      <c r="O24" s="31"/>
      <c r="P24" s="31"/>
      <c r="Q24" s="31"/>
      <c r="R24" s="31"/>
      <c r="S24" s="31"/>
      <c r="T24" s="29" t="str">
        <f t="shared" ca="1" si="2"/>
        <v>OK</v>
      </c>
      <c r="U24" s="30" t="s">
        <v>634</v>
      </c>
    </row>
    <row r="25" spans="1:21" x14ac:dyDescent="0.25">
      <c r="A25" s="30" t="s">
        <v>2733</v>
      </c>
      <c r="B25" s="30" t="s">
        <v>533</v>
      </c>
      <c r="C25" s="30" t="s">
        <v>727</v>
      </c>
      <c r="D25" s="33" t="s">
        <v>2734</v>
      </c>
      <c r="E25" s="33" t="s">
        <v>694</v>
      </c>
      <c r="F25" s="31"/>
      <c r="G25" s="53">
        <v>3932</v>
      </c>
      <c r="H25" s="54">
        <f t="shared" si="0"/>
        <v>2280.56</v>
      </c>
      <c r="I25" s="55">
        <f t="shared" si="3"/>
        <v>1904.32</v>
      </c>
      <c r="J25" s="54">
        <f t="shared" si="1"/>
        <v>8116.8799999999992</v>
      </c>
      <c r="K25" s="54">
        <f>IF($D25="","",$J25/'01. CONFIGURAÇÕES'!$C$20)</f>
        <v>368.9490909090909</v>
      </c>
      <c r="L25" s="54">
        <f>IF($D25="","",$K25/'01. CONFIGURAÇÕES'!$C$21)</f>
        <v>41.926033057851235</v>
      </c>
      <c r="M25" s="31"/>
      <c r="N25" s="31"/>
      <c r="O25" s="31"/>
      <c r="P25" s="31"/>
      <c r="Q25" s="31"/>
      <c r="R25" s="31"/>
      <c r="S25" s="31"/>
      <c r="T25" s="29" t="str">
        <f t="shared" ca="1" si="2"/>
        <v>OK</v>
      </c>
      <c r="U25" s="30" t="s">
        <v>634</v>
      </c>
    </row>
    <row r="26" spans="1:21" x14ac:dyDescent="0.25">
      <c r="A26" s="30" t="s">
        <v>2735</v>
      </c>
      <c r="B26" s="30" t="s">
        <v>533</v>
      </c>
      <c r="C26" s="30" t="s">
        <v>740</v>
      </c>
      <c r="D26" s="33" t="s">
        <v>2736</v>
      </c>
      <c r="E26" s="33" t="s">
        <v>673</v>
      </c>
      <c r="F26" s="31"/>
      <c r="G26" s="53">
        <v>3633</v>
      </c>
      <c r="H26" s="54">
        <f t="shared" si="0"/>
        <v>2107.14</v>
      </c>
      <c r="I26" s="55">
        <f t="shared" si="3"/>
        <v>1904.32</v>
      </c>
      <c r="J26" s="54">
        <f t="shared" si="1"/>
        <v>7644.4599999999991</v>
      </c>
      <c r="K26" s="54">
        <f>IF($D26="","",$J26/'01. CONFIGURAÇÕES'!$C$20)</f>
        <v>347.47545454545451</v>
      </c>
      <c r="L26" s="54">
        <f>IF($D26="","",$K26/'01. CONFIGURAÇÕES'!$C$21)</f>
        <v>39.485847107438012</v>
      </c>
      <c r="M26" s="31"/>
      <c r="N26" s="31"/>
      <c r="O26" s="31"/>
      <c r="P26" s="31"/>
      <c r="Q26" s="31"/>
      <c r="R26" s="31"/>
      <c r="S26" s="31"/>
      <c r="T26" s="29" t="str">
        <f t="shared" ca="1" si="2"/>
        <v>OK</v>
      </c>
      <c r="U26" s="30" t="s">
        <v>634</v>
      </c>
    </row>
    <row r="27" spans="1:21" x14ac:dyDescent="0.25">
      <c r="A27" s="30" t="s">
        <v>2737</v>
      </c>
      <c r="B27" s="30" t="s">
        <v>533</v>
      </c>
      <c r="C27" s="30" t="s">
        <v>740</v>
      </c>
      <c r="D27" s="33" t="s">
        <v>2738</v>
      </c>
      <c r="E27" s="33" t="s">
        <v>734</v>
      </c>
      <c r="F27" s="31"/>
      <c r="G27" s="53">
        <v>3932</v>
      </c>
      <c r="H27" s="54">
        <f t="shared" si="0"/>
        <v>2280.56</v>
      </c>
      <c r="I27" s="55">
        <f t="shared" si="3"/>
        <v>1904.32</v>
      </c>
      <c r="J27" s="54">
        <f t="shared" si="1"/>
        <v>8116.8799999999992</v>
      </c>
      <c r="K27" s="54">
        <f>IF($D27="","",$J27/'01. CONFIGURAÇÕES'!$C$20)</f>
        <v>368.9490909090909</v>
      </c>
      <c r="L27" s="54">
        <f>IF($D27="","",$K27/'01. CONFIGURAÇÕES'!$C$21)</f>
        <v>41.926033057851235</v>
      </c>
      <c r="M27" s="31"/>
      <c r="N27" s="31"/>
      <c r="O27" s="31"/>
      <c r="P27" s="31"/>
      <c r="Q27" s="31"/>
      <c r="R27" s="31"/>
      <c r="S27" s="31"/>
      <c r="T27" s="29" t="str">
        <f t="shared" ca="1" si="2"/>
        <v>OK</v>
      </c>
      <c r="U27" s="30" t="s">
        <v>634</v>
      </c>
    </row>
    <row r="28" spans="1:21" x14ac:dyDescent="0.25">
      <c r="A28" s="30" t="s">
        <v>2739</v>
      </c>
      <c r="B28" s="30" t="s">
        <v>533</v>
      </c>
      <c r="C28" s="30" t="s">
        <v>740</v>
      </c>
      <c r="D28" s="33" t="s">
        <v>2740</v>
      </c>
      <c r="E28" s="33" t="s">
        <v>758</v>
      </c>
      <c r="F28" s="31"/>
      <c r="G28" s="53">
        <v>2951</v>
      </c>
      <c r="H28" s="54">
        <f t="shared" si="0"/>
        <v>1711.58</v>
      </c>
      <c r="I28" s="55">
        <f t="shared" si="3"/>
        <v>1904.32</v>
      </c>
      <c r="J28" s="54">
        <f t="shared" si="1"/>
        <v>6566.9</v>
      </c>
      <c r="K28" s="54">
        <f>IF($D28="","",$J28/'01. CONFIGURAÇÕES'!$C$20)</f>
        <v>298.49545454545455</v>
      </c>
      <c r="L28" s="54">
        <f>IF($D28="","",$K28/'01. CONFIGURAÇÕES'!$C$21)</f>
        <v>33.919938016528924</v>
      </c>
      <c r="M28" s="31"/>
      <c r="N28" s="31"/>
      <c r="O28" s="31"/>
      <c r="P28" s="31"/>
      <c r="Q28" s="31"/>
      <c r="R28" s="31"/>
      <c r="S28" s="31"/>
      <c r="T28" s="29" t="str">
        <f t="shared" ca="1" si="2"/>
        <v>OK</v>
      </c>
      <c r="U28" s="30" t="s">
        <v>634</v>
      </c>
    </row>
    <row r="29" spans="1:21" ht="25.5" customHeight="1" x14ac:dyDescent="0.25">
      <c r="A29" s="30" t="s">
        <v>2741</v>
      </c>
      <c r="B29" s="30" t="s">
        <v>533</v>
      </c>
      <c r="C29" s="30" t="s">
        <v>740</v>
      </c>
      <c r="D29" s="33" t="s">
        <v>2742</v>
      </c>
      <c r="E29" s="33" t="s">
        <v>748</v>
      </c>
      <c r="F29" s="31"/>
      <c r="G29" s="53">
        <v>4979</v>
      </c>
      <c r="H29" s="54">
        <f t="shared" si="0"/>
        <v>2887.82</v>
      </c>
      <c r="I29" s="55">
        <f t="shared" si="3"/>
        <v>1904.32</v>
      </c>
      <c r="J29" s="54">
        <f t="shared" si="1"/>
        <v>9771.14</v>
      </c>
      <c r="K29" s="54">
        <f>IF($D29="","",$J29/'01. CONFIGURAÇÕES'!$C$20)</f>
        <v>444.14272727272726</v>
      </c>
      <c r="L29" s="54">
        <f>IF($D29="","",$K29/'01. CONFIGURAÇÕES'!$C$21)</f>
        <v>50.47076446280991</v>
      </c>
      <c r="M29" s="31"/>
      <c r="N29" s="31"/>
      <c r="O29" s="31"/>
      <c r="P29" s="31"/>
      <c r="Q29" s="31"/>
      <c r="R29" s="31"/>
      <c r="S29" s="31"/>
      <c r="T29" s="29" t="str">
        <f t="shared" ca="1" si="2"/>
        <v>OK</v>
      </c>
      <c r="U29" s="30" t="s">
        <v>634</v>
      </c>
    </row>
    <row r="30" spans="1:21" x14ac:dyDescent="0.25">
      <c r="A30" s="30" t="s">
        <v>2743</v>
      </c>
      <c r="B30" s="30" t="s">
        <v>533</v>
      </c>
      <c r="C30" s="30" t="s">
        <v>753</v>
      </c>
      <c r="D30" s="33" t="s">
        <v>2744</v>
      </c>
      <c r="E30" s="33" t="s">
        <v>673</v>
      </c>
      <c r="F30" s="31"/>
      <c r="G30" s="53">
        <v>3633</v>
      </c>
      <c r="H30" s="54">
        <f t="shared" si="0"/>
        <v>2107.14</v>
      </c>
      <c r="I30" s="55">
        <f t="shared" si="3"/>
        <v>1904.32</v>
      </c>
      <c r="J30" s="54">
        <f t="shared" si="1"/>
        <v>7644.4599999999991</v>
      </c>
      <c r="K30" s="54">
        <f>IF($D30="","",$J30/'01. CONFIGURAÇÕES'!$C$20)</f>
        <v>347.47545454545451</v>
      </c>
      <c r="L30" s="54">
        <f>IF($D30="","",$K30/'01. CONFIGURAÇÕES'!$C$21)</f>
        <v>39.485847107438012</v>
      </c>
      <c r="M30" s="31"/>
      <c r="N30" s="31"/>
      <c r="O30" s="31"/>
      <c r="P30" s="31"/>
      <c r="Q30" s="31"/>
      <c r="R30" s="31"/>
      <c r="S30" s="31"/>
      <c r="T30" s="29" t="str">
        <f t="shared" ca="1" si="2"/>
        <v>OK</v>
      </c>
      <c r="U30" s="30" t="s">
        <v>634</v>
      </c>
    </row>
    <row r="31" spans="1:21" x14ac:dyDescent="0.25">
      <c r="A31" s="30" t="s">
        <v>2745</v>
      </c>
      <c r="B31" s="30" t="s">
        <v>533</v>
      </c>
      <c r="C31" s="30" t="s">
        <v>753</v>
      </c>
      <c r="D31" s="33" t="s">
        <v>2746</v>
      </c>
      <c r="E31" s="33" t="s">
        <v>673</v>
      </c>
      <c r="F31" s="31"/>
      <c r="G31" s="53">
        <v>3633</v>
      </c>
      <c r="H31" s="54">
        <f t="shared" si="0"/>
        <v>2107.14</v>
      </c>
      <c r="I31" s="55">
        <f t="shared" si="3"/>
        <v>1904.32</v>
      </c>
      <c r="J31" s="54">
        <f t="shared" si="1"/>
        <v>7644.4599999999991</v>
      </c>
      <c r="K31" s="54">
        <f>IF($D31="","",$J31/'01. CONFIGURAÇÕES'!$C$20)</f>
        <v>347.47545454545451</v>
      </c>
      <c r="L31" s="54">
        <f>IF($D31="","",$K31/'01. CONFIGURAÇÕES'!$C$21)</f>
        <v>39.485847107438012</v>
      </c>
      <c r="M31" s="31"/>
      <c r="N31" s="31"/>
      <c r="O31" s="31"/>
      <c r="P31" s="31"/>
      <c r="Q31" s="31"/>
      <c r="R31" s="31"/>
      <c r="S31" s="31"/>
      <c r="T31" s="29" t="str">
        <f t="shared" ca="1" si="2"/>
        <v>OK</v>
      </c>
      <c r="U31" s="30" t="s">
        <v>634</v>
      </c>
    </row>
    <row r="32" spans="1:21" x14ac:dyDescent="0.25">
      <c r="A32" s="30" t="s">
        <v>2747</v>
      </c>
      <c r="B32" s="30" t="s">
        <v>533</v>
      </c>
      <c r="C32" s="30" t="s">
        <v>753</v>
      </c>
      <c r="D32" s="33" t="s">
        <v>2748</v>
      </c>
      <c r="E32" s="33" t="s">
        <v>758</v>
      </c>
      <c r="F32" s="31"/>
      <c r="G32" s="53">
        <v>2951</v>
      </c>
      <c r="H32" s="54">
        <f t="shared" si="0"/>
        <v>1711.58</v>
      </c>
      <c r="I32" s="55">
        <f t="shared" si="3"/>
        <v>1904.32</v>
      </c>
      <c r="J32" s="54">
        <f t="shared" si="1"/>
        <v>6566.9</v>
      </c>
      <c r="K32" s="54">
        <f>IF($D32="","",$J32/'01. CONFIGURAÇÕES'!$C$20)</f>
        <v>298.49545454545455</v>
      </c>
      <c r="L32" s="54">
        <f>IF($D32="","",$K32/'01. CONFIGURAÇÕES'!$C$21)</f>
        <v>33.919938016528924</v>
      </c>
      <c r="M32" s="31"/>
      <c r="N32" s="31"/>
      <c r="O32" s="31"/>
      <c r="P32" s="31"/>
      <c r="Q32" s="31"/>
      <c r="R32" s="31"/>
      <c r="S32" s="31"/>
      <c r="T32" s="29" t="str">
        <f t="shared" ca="1" si="2"/>
        <v>OK</v>
      </c>
      <c r="U32" s="30" t="s">
        <v>634</v>
      </c>
    </row>
    <row r="33" spans="1:21" ht="25.5" customHeight="1" x14ac:dyDescent="0.25">
      <c r="A33" s="30" t="s">
        <v>2749</v>
      </c>
      <c r="B33" s="30" t="s">
        <v>533</v>
      </c>
      <c r="C33" s="30" t="s">
        <v>753</v>
      </c>
      <c r="D33" s="33" t="s">
        <v>2750</v>
      </c>
      <c r="E33" s="33" t="s">
        <v>748</v>
      </c>
      <c r="F33" s="31"/>
      <c r="G33" s="53">
        <v>4979</v>
      </c>
      <c r="H33" s="54">
        <f t="shared" si="0"/>
        <v>2887.82</v>
      </c>
      <c r="I33" s="55">
        <f t="shared" si="3"/>
        <v>1904.32</v>
      </c>
      <c r="J33" s="54">
        <f t="shared" si="1"/>
        <v>9771.14</v>
      </c>
      <c r="K33" s="54">
        <f>IF($D33="","",$J33/'01. CONFIGURAÇÕES'!$C$20)</f>
        <v>444.14272727272726</v>
      </c>
      <c r="L33" s="54">
        <f>IF($D33="","",$K33/'01. CONFIGURAÇÕES'!$C$21)</f>
        <v>50.47076446280991</v>
      </c>
      <c r="M33" s="31"/>
      <c r="N33" s="31"/>
      <c r="O33" s="31"/>
      <c r="P33" s="31"/>
      <c r="Q33" s="31"/>
      <c r="R33" s="31"/>
      <c r="S33" s="31"/>
      <c r="T33" s="29" t="str">
        <f t="shared" ca="1" si="2"/>
        <v>OK</v>
      </c>
      <c r="U33" s="30" t="s">
        <v>634</v>
      </c>
    </row>
    <row r="34" spans="1:21" x14ac:dyDescent="0.25">
      <c r="A34" s="30" t="s">
        <v>2751</v>
      </c>
      <c r="B34" s="30" t="s">
        <v>533</v>
      </c>
      <c r="C34" s="30" t="s">
        <v>763</v>
      </c>
      <c r="D34" s="33" t="s">
        <v>2752</v>
      </c>
      <c r="E34" s="33" t="s">
        <v>2753</v>
      </c>
      <c r="F34" s="31"/>
      <c r="G34" s="53">
        <v>2548</v>
      </c>
      <c r="H34" s="54">
        <f t="shared" si="0"/>
        <v>1477.84</v>
      </c>
      <c r="I34" s="55">
        <f t="shared" si="3"/>
        <v>1904.32</v>
      </c>
      <c r="J34" s="54">
        <f t="shared" si="1"/>
        <v>5930.16</v>
      </c>
      <c r="K34" s="54">
        <f>IF($D34="","",$J34/'01. CONFIGURAÇÕES'!$C$20)</f>
        <v>269.55272727272728</v>
      </c>
      <c r="L34" s="54">
        <f>IF($D34="","",$K34/'01. CONFIGURAÇÕES'!$C$21)</f>
        <v>30.63099173553719</v>
      </c>
      <c r="M34" s="31"/>
      <c r="N34" s="31"/>
      <c r="O34" s="31"/>
      <c r="P34" s="31"/>
      <c r="Q34" s="31"/>
      <c r="R34" s="31"/>
      <c r="S34" s="31"/>
      <c r="T34" s="29" t="str">
        <f t="shared" ca="1" si="2"/>
        <v>OK</v>
      </c>
      <c r="U34" s="30" t="s">
        <v>634</v>
      </c>
    </row>
    <row r="35" spans="1:21" x14ac:dyDescent="0.25">
      <c r="A35" s="30" t="s">
        <v>2754</v>
      </c>
      <c r="B35" s="30" t="s">
        <v>533</v>
      </c>
      <c r="C35" s="30" t="s">
        <v>763</v>
      </c>
      <c r="D35" s="33" t="s">
        <v>2755</v>
      </c>
      <c r="E35" s="33" t="s">
        <v>630</v>
      </c>
      <c r="F35" s="31"/>
      <c r="G35" s="53">
        <v>4713</v>
      </c>
      <c r="H35" s="54">
        <f t="shared" si="0"/>
        <v>2733.54</v>
      </c>
      <c r="I35" s="55">
        <f t="shared" si="3"/>
        <v>1904.32</v>
      </c>
      <c r="J35" s="54">
        <f t="shared" si="1"/>
        <v>9350.86</v>
      </c>
      <c r="K35" s="54">
        <f>IF($D35="","",$J35/'01. CONFIGURAÇÕES'!$C$20)</f>
        <v>425.03909090909093</v>
      </c>
      <c r="L35" s="54">
        <f>IF($D35="","",$K35/'01. CONFIGURAÇÕES'!$C$21)</f>
        <v>48.299896694214873</v>
      </c>
      <c r="M35" s="31"/>
      <c r="N35" s="31"/>
      <c r="O35" s="31"/>
      <c r="P35" s="31"/>
      <c r="Q35" s="31"/>
      <c r="R35" s="31"/>
      <c r="S35" s="31"/>
      <c r="T35" s="29" t="str">
        <f t="shared" ca="1" si="2"/>
        <v>OK</v>
      </c>
      <c r="U35" s="30" t="s">
        <v>634</v>
      </c>
    </row>
    <row r="36" spans="1:21" x14ac:dyDescent="0.25">
      <c r="A36" s="30"/>
      <c r="B36" s="30"/>
      <c r="C36" s="30"/>
      <c r="D36" s="33"/>
      <c r="E36" s="33"/>
      <c r="F36" s="31"/>
      <c r="G36" s="53"/>
      <c r="H36" s="54" t="str">
        <f t="shared" si="0"/>
        <v/>
      </c>
      <c r="I36" s="55" t="str">
        <f t="shared" si="3"/>
        <v/>
      </c>
      <c r="J36" s="54" t="str">
        <f t="shared" si="1"/>
        <v/>
      </c>
      <c r="K36" s="54" t="str">
        <f>IF($D36="","",$J36/'01. CONFIGURAÇÕES'!$C$20)</f>
        <v/>
      </c>
      <c r="L36" s="54" t="str">
        <f>IF($D36="","",$K36/'01. CONFIGURAÇÕES'!$C$21)</f>
        <v/>
      </c>
      <c r="M36" s="31"/>
      <c r="N36" s="31"/>
      <c r="O36" s="31"/>
      <c r="P36" s="31"/>
      <c r="Q36" s="31"/>
      <c r="R36" s="31"/>
      <c r="S36" s="31"/>
      <c r="T36" s="29" t="str">
        <f t="shared" ca="1" si="2"/>
        <v/>
      </c>
      <c r="U36" s="30"/>
    </row>
    <row r="37" spans="1:21" x14ac:dyDescent="0.25">
      <c r="A37" s="30"/>
      <c r="B37" s="30"/>
      <c r="C37" s="30"/>
      <c r="D37" s="33"/>
      <c r="E37" s="33"/>
      <c r="F37" s="31"/>
      <c r="G37" s="53"/>
      <c r="H37" s="54" t="str">
        <f t="shared" ref="H37:H60" si="4">IF($D37="","",ROUND($G37*ENC_FATOR,2))</f>
        <v/>
      </c>
      <c r="I37" s="55" t="str">
        <f t="shared" ref="I37:I60" si="5">IF($D37="","",BEN_PESSOA)</f>
        <v/>
      </c>
      <c r="J37" s="54" t="str">
        <f t="shared" ref="J37:J60" si="6">IF($D37="","",SUM($G37:$I37))</f>
        <v/>
      </c>
      <c r="K37" s="54" t="str">
        <f>IF($D37="","",$J37/'01. CONFIGURAÇÕES'!$C$20)</f>
        <v/>
      </c>
      <c r="L37" s="54" t="str">
        <f>IF($D37="","",$K37/'01. CONFIGURAÇÕES'!$C$21)</f>
        <v/>
      </c>
      <c r="M37" s="31"/>
      <c r="N37" s="31"/>
      <c r="O37" s="31"/>
      <c r="P37" s="31"/>
      <c r="Q37" s="31"/>
      <c r="R37" s="31"/>
      <c r="S37" s="31"/>
      <c r="T37" s="29" t="str">
        <f t="shared" ref="T37:T60" ca="1" si="7">IF($D37="","",IF(COUNTIF($M37:$S37,"&lt;"&amp;TODAY())&gt;0,"VENCIDO — AFASTAR DA FRENTE",IF(COUNTIFS($M37:$S37,"&gt;="&amp;TODAY(),$M37:$S37,"&lt;="&amp;TODAY()+30)&gt;0,"VENCE EM 30 DIAS","OK")))</f>
        <v/>
      </c>
      <c r="U37" s="30"/>
    </row>
    <row r="38" spans="1:21" x14ac:dyDescent="0.25">
      <c r="A38" s="30"/>
      <c r="B38" s="30"/>
      <c r="C38" s="30"/>
      <c r="D38" s="33"/>
      <c r="E38" s="33"/>
      <c r="F38" s="31"/>
      <c r="G38" s="53"/>
      <c r="H38" s="54" t="str">
        <f t="shared" si="4"/>
        <v/>
      </c>
      <c r="I38" s="55" t="str">
        <f t="shared" si="5"/>
        <v/>
      </c>
      <c r="J38" s="54" t="str">
        <f t="shared" si="6"/>
        <v/>
      </c>
      <c r="K38" s="54" t="str">
        <f>IF($D38="","",$J38/'01. CONFIGURAÇÕES'!$C$20)</f>
        <v/>
      </c>
      <c r="L38" s="54" t="str">
        <f>IF($D38="","",$K38/'01. CONFIGURAÇÕES'!$C$21)</f>
        <v/>
      </c>
      <c r="M38" s="31"/>
      <c r="N38" s="31"/>
      <c r="O38" s="31"/>
      <c r="P38" s="31"/>
      <c r="Q38" s="31"/>
      <c r="R38" s="31"/>
      <c r="S38" s="31"/>
      <c r="T38" s="29" t="str">
        <f t="shared" ca="1" si="7"/>
        <v/>
      </c>
      <c r="U38" s="30"/>
    </row>
    <row r="39" spans="1:21" x14ac:dyDescent="0.25">
      <c r="A39" s="30"/>
      <c r="B39" s="30"/>
      <c r="C39" s="30"/>
      <c r="D39" s="33"/>
      <c r="E39" s="33"/>
      <c r="F39" s="31"/>
      <c r="G39" s="53"/>
      <c r="H39" s="54" t="str">
        <f t="shared" si="4"/>
        <v/>
      </c>
      <c r="I39" s="55" t="str">
        <f t="shared" si="5"/>
        <v/>
      </c>
      <c r="J39" s="54" t="str">
        <f t="shared" si="6"/>
        <v/>
      </c>
      <c r="K39" s="54" t="str">
        <f>IF($D39="","",$J39/'01. CONFIGURAÇÕES'!$C$20)</f>
        <v/>
      </c>
      <c r="L39" s="54" t="str">
        <f>IF($D39="","",$K39/'01. CONFIGURAÇÕES'!$C$21)</f>
        <v/>
      </c>
      <c r="M39" s="31"/>
      <c r="N39" s="31"/>
      <c r="O39" s="31"/>
      <c r="P39" s="31"/>
      <c r="Q39" s="31"/>
      <c r="R39" s="31"/>
      <c r="S39" s="31"/>
      <c r="T39" s="29" t="str">
        <f t="shared" ca="1" si="7"/>
        <v/>
      </c>
      <c r="U39" s="30"/>
    </row>
    <row r="40" spans="1:21" x14ac:dyDescent="0.25">
      <c r="A40" s="30"/>
      <c r="B40" s="30"/>
      <c r="C40" s="30"/>
      <c r="D40" s="33"/>
      <c r="E40" s="33"/>
      <c r="F40" s="31"/>
      <c r="G40" s="53"/>
      <c r="H40" s="54" t="str">
        <f t="shared" si="4"/>
        <v/>
      </c>
      <c r="I40" s="55" t="str">
        <f t="shared" si="5"/>
        <v/>
      </c>
      <c r="J40" s="54" t="str">
        <f t="shared" si="6"/>
        <v/>
      </c>
      <c r="K40" s="54" t="str">
        <f>IF($D40="","",$J40/'01. CONFIGURAÇÕES'!$C$20)</f>
        <v/>
      </c>
      <c r="L40" s="54" t="str">
        <f>IF($D40="","",$K40/'01. CONFIGURAÇÕES'!$C$21)</f>
        <v/>
      </c>
      <c r="M40" s="31"/>
      <c r="N40" s="31"/>
      <c r="O40" s="31"/>
      <c r="P40" s="31"/>
      <c r="Q40" s="31"/>
      <c r="R40" s="31"/>
      <c r="S40" s="31"/>
      <c r="T40" s="29" t="str">
        <f t="shared" ca="1" si="7"/>
        <v/>
      </c>
      <c r="U40" s="30"/>
    </row>
    <row r="41" spans="1:21" x14ac:dyDescent="0.25">
      <c r="A41" s="30"/>
      <c r="B41" s="30"/>
      <c r="C41" s="30"/>
      <c r="D41" s="33"/>
      <c r="E41" s="33"/>
      <c r="F41" s="31"/>
      <c r="G41" s="53"/>
      <c r="H41" s="54" t="str">
        <f t="shared" si="4"/>
        <v/>
      </c>
      <c r="I41" s="55" t="str">
        <f t="shared" si="5"/>
        <v/>
      </c>
      <c r="J41" s="54" t="str">
        <f t="shared" si="6"/>
        <v/>
      </c>
      <c r="K41" s="54" t="str">
        <f>IF($D41="","",$J41/'01. CONFIGURAÇÕES'!$C$20)</f>
        <v/>
      </c>
      <c r="L41" s="54" t="str">
        <f>IF($D41="","",$K41/'01. CONFIGURAÇÕES'!$C$21)</f>
        <v/>
      </c>
      <c r="M41" s="31"/>
      <c r="N41" s="31"/>
      <c r="O41" s="31"/>
      <c r="P41" s="31"/>
      <c r="Q41" s="31"/>
      <c r="R41" s="31"/>
      <c r="S41" s="31"/>
      <c r="T41" s="29" t="str">
        <f t="shared" ca="1" si="7"/>
        <v/>
      </c>
      <c r="U41" s="30"/>
    </row>
    <row r="42" spans="1:21" x14ac:dyDescent="0.25">
      <c r="A42" s="30"/>
      <c r="B42" s="30"/>
      <c r="C42" s="30"/>
      <c r="D42" s="33"/>
      <c r="E42" s="33"/>
      <c r="F42" s="31"/>
      <c r="G42" s="53"/>
      <c r="H42" s="54" t="str">
        <f t="shared" si="4"/>
        <v/>
      </c>
      <c r="I42" s="55" t="str">
        <f t="shared" si="5"/>
        <v/>
      </c>
      <c r="J42" s="54" t="str">
        <f t="shared" si="6"/>
        <v/>
      </c>
      <c r="K42" s="54" t="str">
        <f>IF($D42="","",$J42/'01. CONFIGURAÇÕES'!$C$20)</f>
        <v/>
      </c>
      <c r="L42" s="54" t="str">
        <f>IF($D42="","",$K42/'01. CONFIGURAÇÕES'!$C$21)</f>
        <v/>
      </c>
      <c r="M42" s="31"/>
      <c r="N42" s="31"/>
      <c r="O42" s="31"/>
      <c r="P42" s="31"/>
      <c r="Q42" s="31"/>
      <c r="R42" s="31"/>
      <c r="S42" s="31"/>
      <c r="T42" s="29" t="str">
        <f t="shared" ca="1" si="7"/>
        <v/>
      </c>
      <c r="U42" s="30"/>
    </row>
    <row r="43" spans="1:21" x14ac:dyDescent="0.25">
      <c r="A43" s="30"/>
      <c r="B43" s="30"/>
      <c r="C43" s="30"/>
      <c r="D43" s="33"/>
      <c r="E43" s="33"/>
      <c r="F43" s="31"/>
      <c r="G43" s="53"/>
      <c r="H43" s="54" t="str">
        <f t="shared" si="4"/>
        <v/>
      </c>
      <c r="I43" s="55" t="str">
        <f t="shared" si="5"/>
        <v/>
      </c>
      <c r="J43" s="54" t="str">
        <f t="shared" si="6"/>
        <v/>
      </c>
      <c r="K43" s="54" t="str">
        <f>IF($D43="","",$J43/'01. CONFIGURAÇÕES'!$C$20)</f>
        <v/>
      </c>
      <c r="L43" s="54" t="str">
        <f>IF($D43="","",$K43/'01. CONFIGURAÇÕES'!$C$21)</f>
        <v/>
      </c>
      <c r="M43" s="31"/>
      <c r="N43" s="31"/>
      <c r="O43" s="31"/>
      <c r="P43" s="31"/>
      <c r="Q43" s="31"/>
      <c r="R43" s="31"/>
      <c r="S43" s="31"/>
      <c r="T43" s="29" t="str">
        <f t="shared" ca="1" si="7"/>
        <v/>
      </c>
      <c r="U43" s="30"/>
    </row>
    <row r="44" spans="1:21" x14ac:dyDescent="0.25">
      <c r="A44" s="30"/>
      <c r="B44" s="30"/>
      <c r="C44" s="30"/>
      <c r="D44" s="33"/>
      <c r="E44" s="33"/>
      <c r="F44" s="31"/>
      <c r="G44" s="53"/>
      <c r="H44" s="54" t="str">
        <f t="shared" si="4"/>
        <v/>
      </c>
      <c r="I44" s="55" t="str">
        <f t="shared" si="5"/>
        <v/>
      </c>
      <c r="J44" s="54" t="str">
        <f t="shared" si="6"/>
        <v/>
      </c>
      <c r="K44" s="54" t="str">
        <f>IF($D44="","",$J44/'01. CONFIGURAÇÕES'!$C$20)</f>
        <v/>
      </c>
      <c r="L44" s="54" t="str">
        <f>IF($D44="","",$K44/'01. CONFIGURAÇÕES'!$C$21)</f>
        <v/>
      </c>
      <c r="M44" s="31"/>
      <c r="N44" s="31"/>
      <c r="O44" s="31"/>
      <c r="P44" s="31"/>
      <c r="Q44" s="31"/>
      <c r="R44" s="31"/>
      <c r="S44" s="31"/>
      <c r="T44" s="29" t="str">
        <f t="shared" ca="1" si="7"/>
        <v/>
      </c>
      <c r="U44" s="30"/>
    </row>
    <row r="45" spans="1:21" x14ac:dyDescent="0.25">
      <c r="A45" s="30"/>
      <c r="B45" s="30"/>
      <c r="C45" s="30"/>
      <c r="D45" s="33"/>
      <c r="E45" s="33"/>
      <c r="F45" s="31"/>
      <c r="G45" s="53"/>
      <c r="H45" s="54" t="str">
        <f t="shared" si="4"/>
        <v/>
      </c>
      <c r="I45" s="55" t="str">
        <f t="shared" si="5"/>
        <v/>
      </c>
      <c r="J45" s="54" t="str">
        <f t="shared" si="6"/>
        <v/>
      </c>
      <c r="K45" s="54" t="str">
        <f>IF($D45="","",$J45/'01. CONFIGURAÇÕES'!$C$20)</f>
        <v/>
      </c>
      <c r="L45" s="54" t="str">
        <f>IF($D45="","",$K45/'01. CONFIGURAÇÕES'!$C$21)</f>
        <v/>
      </c>
      <c r="M45" s="31"/>
      <c r="N45" s="31"/>
      <c r="O45" s="31"/>
      <c r="P45" s="31"/>
      <c r="Q45" s="31"/>
      <c r="R45" s="31"/>
      <c r="S45" s="31"/>
      <c r="T45" s="29" t="str">
        <f t="shared" ca="1" si="7"/>
        <v/>
      </c>
      <c r="U45" s="30"/>
    </row>
    <row r="46" spans="1:21" x14ac:dyDescent="0.25">
      <c r="A46" s="30"/>
      <c r="B46" s="30"/>
      <c r="C46" s="30"/>
      <c r="D46" s="33"/>
      <c r="E46" s="33"/>
      <c r="F46" s="31"/>
      <c r="G46" s="53"/>
      <c r="H46" s="54" t="str">
        <f t="shared" si="4"/>
        <v/>
      </c>
      <c r="I46" s="55" t="str">
        <f t="shared" si="5"/>
        <v/>
      </c>
      <c r="J46" s="54" t="str">
        <f t="shared" si="6"/>
        <v/>
      </c>
      <c r="K46" s="54" t="str">
        <f>IF($D46="","",$J46/'01. CONFIGURAÇÕES'!$C$20)</f>
        <v/>
      </c>
      <c r="L46" s="54" t="str">
        <f>IF($D46="","",$K46/'01. CONFIGURAÇÕES'!$C$21)</f>
        <v/>
      </c>
      <c r="M46" s="31"/>
      <c r="N46" s="31"/>
      <c r="O46" s="31"/>
      <c r="P46" s="31"/>
      <c r="Q46" s="31"/>
      <c r="R46" s="31"/>
      <c r="S46" s="31"/>
      <c r="T46" s="29" t="str">
        <f t="shared" ca="1" si="7"/>
        <v/>
      </c>
      <c r="U46" s="30"/>
    </row>
    <row r="47" spans="1:21" x14ac:dyDescent="0.25">
      <c r="A47" s="30"/>
      <c r="B47" s="30"/>
      <c r="C47" s="30"/>
      <c r="D47" s="33"/>
      <c r="E47" s="33"/>
      <c r="F47" s="31"/>
      <c r="G47" s="53"/>
      <c r="H47" s="54" t="str">
        <f t="shared" si="4"/>
        <v/>
      </c>
      <c r="I47" s="55" t="str">
        <f t="shared" si="5"/>
        <v/>
      </c>
      <c r="J47" s="54" t="str">
        <f t="shared" si="6"/>
        <v/>
      </c>
      <c r="K47" s="54" t="str">
        <f>IF($D47="","",$J47/'01. CONFIGURAÇÕES'!$C$20)</f>
        <v/>
      </c>
      <c r="L47" s="54" t="str">
        <f>IF($D47="","",$K47/'01. CONFIGURAÇÕES'!$C$21)</f>
        <v/>
      </c>
      <c r="M47" s="31"/>
      <c r="N47" s="31"/>
      <c r="O47" s="31"/>
      <c r="P47" s="31"/>
      <c r="Q47" s="31"/>
      <c r="R47" s="31"/>
      <c r="S47" s="31"/>
      <c r="T47" s="29" t="str">
        <f t="shared" ca="1" si="7"/>
        <v/>
      </c>
      <c r="U47" s="30"/>
    </row>
    <row r="48" spans="1:21" x14ac:dyDescent="0.25">
      <c r="A48" s="30"/>
      <c r="B48" s="30"/>
      <c r="C48" s="30"/>
      <c r="D48" s="33"/>
      <c r="E48" s="33"/>
      <c r="F48" s="31"/>
      <c r="G48" s="53"/>
      <c r="H48" s="54" t="str">
        <f t="shared" si="4"/>
        <v/>
      </c>
      <c r="I48" s="55" t="str">
        <f t="shared" si="5"/>
        <v/>
      </c>
      <c r="J48" s="54" t="str">
        <f t="shared" si="6"/>
        <v/>
      </c>
      <c r="K48" s="54" t="str">
        <f>IF($D48="","",$J48/'01. CONFIGURAÇÕES'!$C$20)</f>
        <v/>
      </c>
      <c r="L48" s="54" t="str">
        <f>IF($D48="","",$K48/'01. CONFIGURAÇÕES'!$C$21)</f>
        <v/>
      </c>
      <c r="M48" s="31"/>
      <c r="N48" s="31"/>
      <c r="O48" s="31"/>
      <c r="P48" s="31"/>
      <c r="Q48" s="31"/>
      <c r="R48" s="31"/>
      <c r="S48" s="31"/>
      <c r="T48" s="29" t="str">
        <f t="shared" ca="1" si="7"/>
        <v/>
      </c>
      <c r="U48" s="30"/>
    </row>
    <row r="49" spans="1:21" x14ac:dyDescent="0.25">
      <c r="A49" s="30"/>
      <c r="B49" s="30"/>
      <c r="C49" s="30"/>
      <c r="D49" s="33"/>
      <c r="E49" s="33"/>
      <c r="F49" s="31"/>
      <c r="G49" s="53"/>
      <c r="H49" s="54" t="str">
        <f t="shared" si="4"/>
        <v/>
      </c>
      <c r="I49" s="55" t="str">
        <f t="shared" si="5"/>
        <v/>
      </c>
      <c r="J49" s="54" t="str">
        <f t="shared" si="6"/>
        <v/>
      </c>
      <c r="K49" s="54" t="str">
        <f>IF($D49="","",$J49/'01. CONFIGURAÇÕES'!$C$20)</f>
        <v/>
      </c>
      <c r="L49" s="54" t="str">
        <f>IF($D49="","",$K49/'01. CONFIGURAÇÕES'!$C$21)</f>
        <v/>
      </c>
      <c r="M49" s="31"/>
      <c r="N49" s="31"/>
      <c r="O49" s="31"/>
      <c r="P49" s="31"/>
      <c r="Q49" s="31"/>
      <c r="R49" s="31"/>
      <c r="S49" s="31"/>
      <c r="T49" s="29" t="str">
        <f t="shared" ca="1" si="7"/>
        <v/>
      </c>
      <c r="U49" s="30"/>
    </row>
    <row r="50" spans="1:21" x14ac:dyDescent="0.25">
      <c r="A50" s="30"/>
      <c r="B50" s="30"/>
      <c r="C50" s="30"/>
      <c r="D50" s="33"/>
      <c r="E50" s="33"/>
      <c r="F50" s="31"/>
      <c r="G50" s="53"/>
      <c r="H50" s="54" t="str">
        <f t="shared" si="4"/>
        <v/>
      </c>
      <c r="I50" s="55" t="str">
        <f t="shared" si="5"/>
        <v/>
      </c>
      <c r="J50" s="54" t="str">
        <f t="shared" si="6"/>
        <v/>
      </c>
      <c r="K50" s="54" t="str">
        <f>IF($D50="","",$J50/'01. CONFIGURAÇÕES'!$C$20)</f>
        <v/>
      </c>
      <c r="L50" s="54" t="str">
        <f>IF($D50="","",$K50/'01. CONFIGURAÇÕES'!$C$21)</f>
        <v/>
      </c>
      <c r="M50" s="31"/>
      <c r="N50" s="31"/>
      <c r="O50" s="31"/>
      <c r="P50" s="31"/>
      <c r="Q50" s="31"/>
      <c r="R50" s="31"/>
      <c r="S50" s="31"/>
      <c r="T50" s="29" t="str">
        <f t="shared" ca="1" si="7"/>
        <v/>
      </c>
      <c r="U50" s="30"/>
    </row>
    <row r="51" spans="1:21" x14ac:dyDescent="0.25">
      <c r="A51" s="30"/>
      <c r="B51" s="30"/>
      <c r="C51" s="30"/>
      <c r="D51" s="33"/>
      <c r="E51" s="33"/>
      <c r="F51" s="31"/>
      <c r="G51" s="53"/>
      <c r="H51" s="54" t="str">
        <f t="shared" si="4"/>
        <v/>
      </c>
      <c r="I51" s="55" t="str">
        <f t="shared" si="5"/>
        <v/>
      </c>
      <c r="J51" s="54" t="str">
        <f t="shared" si="6"/>
        <v/>
      </c>
      <c r="K51" s="54" t="str">
        <f>IF($D51="","",$J51/'01. CONFIGURAÇÕES'!$C$20)</f>
        <v/>
      </c>
      <c r="L51" s="54" t="str">
        <f>IF($D51="","",$K51/'01. CONFIGURAÇÕES'!$C$21)</f>
        <v/>
      </c>
      <c r="M51" s="31"/>
      <c r="N51" s="31"/>
      <c r="O51" s="31"/>
      <c r="P51" s="31"/>
      <c r="Q51" s="31"/>
      <c r="R51" s="31"/>
      <c r="S51" s="31"/>
      <c r="T51" s="29" t="str">
        <f t="shared" ca="1" si="7"/>
        <v/>
      </c>
      <c r="U51" s="30"/>
    </row>
    <row r="52" spans="1:21" x14ac:dyDescent="0.25">
      <c r="A52" s="30"/>
      <c r="B52" s="30"/>
      <c r="C52" s="30"/>
      <c r="D52" s="33"/>
      <c r="E52" s="33"/>
      <c r="F52" s="31"/>
      <c r="G52" s="53"/>
      <c r="H52" s="54" t="str">
        <f t="shared" si="4"/>
        <v/>
      </c>
      <c r="I52" s="55" t="str">
        <f t="shared" si="5"/>
        <v/>
      </c>
      <c r="J52" s="54" t="str">
        <f t="shared" si="6"/>
        <v/>
      </c>
      <c r="K52" s="54" t="str">
        <f>IF($D52="","",$J52/'01. CONFIGURAÇÕES'!$C$20)</f>
        <v/>
      </c>
      <c r="L52" s="54" t="str">
        <f>IF($D52="","",$K52/'01. CONFIGURAÇÕES'!$C$21)</f>
        <v/>
      </c>
      <c r="M52" s="31"/>
      <c r="N52" s="31"/>
      <c r="O52" s="31"/>
      <c r="P52" s="31"/>
      <c r="Q52" s="31"/>
      <c r="R52" s="31"/>
      <c r="S52" s="31"/>
      <c r="T52" s="29" t="str">
        <f t="shared" ca="1" si="7"/>
        <v/>
      </c>
      <c r="U52" s="30"/>
    </row>
    <row r="53" spans="1:21" x14ac:dyDescent="0.25">
      <c r="A53" s="30"/>
      <c r="B53" s="30"/>
      <c r="C53" s="30"/>
      <c r="D53" s="33"/>
      <c r="E53" s="33"/>
      <c r="F53" s="31"/>
      <c r="G53" s="53"/>
      <c r="H53" s="54" t="str">
        <f t="shared" si="4"/>
        <v/>
      </c>
      <c r="I53" s="55" t="str">
        <f t="shared" si="5"/>
        <v/>
      </c>
      <c r="J53" s="54" t="str">
        <f t="shared" si="6"/>
        <v/>
      </c>
      <c r="K53" s="54" t="str">
        <f>IF($D53="","",$J53/'01. CONFIGURAÇÕES'!$C$20)</f>
        <v/>
      </c>
      <c r="L53" s="54" t="str">
        <f>IF($D53="","",$K53/'01. CONFIGURAÇÕES'!$C$21)</f>
        <v/>
      </c>
      <c r="M53" s="31"/>
      <c r="N53" s="31"/>
      <c r="O53" s="31"/>
      <c r="P53" s="31"/>
      <c r="Q53" s="31"/>
      <c r="R53" s="31"/>
      <c r="S53" s="31"/>
      <c r="T53" s="29" t="str">
        <f t="shared" ca="1" si="7"/>
        <v/>
      </c>
      <c r="U53" s="30"/>
    </row>
    <row r="54" spans="1:21" x14ac:dyDescent="0.25">
      <c r="A54" s="30"/>
      <c r="B54" s="30"/>
      <c r="C54" s="30"/>
      <c r="D54" s="33"/>
      <c r="E54" s="33"/>
      <c r="F54" s="31"/>
      <c r="G54" s="53"/>
      <c r="H54" s="54" t="str">
        <f t="shared" si="4"/>
        <v/>
      </c>
      <c r="I54" s="55" t="str">
        <f t="shared" si="5"/>
        <v/>
      </c>
      <c r="J54" s="54" t="str">
        <f t="shared" si="6"/>
        <v/>
      </c>
      <c r="K54" s="54" t="str">
        <f>IF($D54="","",$J54/'01. CONFIGURAÇÕES'!$C$20)</f>
        <v/>
      </c>
      <c r="L54" s="54" t="str">
        <f>IF($D54="","",$K54/'01. CONFIGURAÇÕES'!$C$21)</f>
        <v/>
      </c>
      <c r="M54" s="31"/>
      <c r="N54" s="31"/>
      <c r="O54" s="31"/>
      <c r="P54" s="31"/>
      <c r="Q54" s="31"/>
      <c r="R54" s="31"/>
      <c r="S54" s="31"/>
      <c r="T54" s="29" t="str">
        <f t="shared" ca="1" si="7"/>
        <v/>
      </c>
      <c r="U54" s="30"/>
    </row>
    <row r="55" spans="1:21" x14ac:dyDescent="0.25">
      <c r="A55" s="30"/>
      <c r="B55" s="30"/>
      <c r="C55" s="30"/>
      <c r="D55" s="33"/>
      <c r="E55" s="33"/>
      <c r="F55" s="31"/>
      <c r="G55" s="53"/>
      <c r="H55" s="54" t="str">
        <f t="shared" si="4"/>
        <v/>
      </c>
      <c r="I55" s="55" t="str">
        <f t="shared" si="5"/>
        <v/>
      </c>
      <c r="J55" s="54" t="str">
        <f t="shared" si="6"/>
        <v/>
      </c>
      <c r="K55" s="54" t="str">
        <f>IF($D55="","",$J55/'01. CONFIGURAÇÕES'!$C$20)</f>
        <v/>
      </c>
      <c r="L55" s="54" t="str">
        <f>IF($D55="","",$K55/'01. CONFIGURAÇÕES'!$C$21)</f>
        <v/>
      </c>
      <c r="M55" s="31"/>
      <c r="N55" s="31"/>
      <c r="O55" s="31"/>
      <c r="P55" s="31"/>
      <c r="Q55" s="31"/>
      <c r="R55" s="31"/>
      <c r="S55" s="31"/>
      <c r="T55" s="29" t="str">
        <f t="shared" ca="1" si="7"/>
        <v/>
      </c>
      <c r="U55" s="30"/>
    </row>
    <row r="56" spans="1:21" x14ac:dyDescent="0.25">
      <c r="A56" s="30"/>
      <c r="B56" s="30"/>
      <c r="C56" s="30"/>
      <c r="D56" s="33"/>
      <c r="E56" s="33"/>
      <c r="F56" s="31"/>
      <c r="G56" s="53"/>
      <c r="H56" s="54" t="str">
        <f t="shared" si="4"/>
        <v/>
      </c>
      <c r="I56" s="55" t="str">
        <f t="shared" si="5"/>
        <v/>
      </c>
      <c r="J56" s="54" t="str">
        <f t="shared" si="6"/>
        <v/>
      </c>
      <c r="K56" s="54" t="str">
        <f>IF($D56="","",$J56/'01. CONFIGURAÇÕES'!$C$20)</f>
        <v/>
      </c>
      <c r="L56" s="54" t="str">
        <f>IF($D56="","",$K56/'01. CONFIGURAÇÕES'!$C$21)</f>
        <v/>
      </c>
      <c r="M56" s="31"/>
      <c r="N56" s="31"/>
      <c r="O56" s="31"/>
      <c r="P56" s="31"/>
      <c r="Q56" s="31"/>
      <c r="R56" s="31"/>
      <c r="S56" s="31"/>
      <c r="T56" s="29" t="str">
        <f t="shared" ca="1" si="7"/>
        <v/>
      </c>
      <c r="U56" s="30"/>
    </row>
    <row r="57" spans="1:21" x14ac:dyDescent="0.25">
      <c r="A57" s="30"/>
      <c r="B57" s="30"/>
      <c r="C57" s="30"/>
      <c r="D57" s="33"/>
      <c r="E57" s="33"/>
      <c r="F57" s="31"/>
      <c r="G57" s="53"/>
      <c r="H57" s="54" t="str">
        <f t="shared" si="4"/>
        <v/>
      </c>
      <c r="I57" s="55" t="str">
        <f t="shared" si="5"/>
        <v/>
      </c>
      <c r="J57" s="54" t="str">
        <f t="shared" si="6"/>
        <v/>
      </c>
      <c r="K57" s="54" t="str">
        <f>IF($D57="","",$J57/'01. CONFIGURAÇÕES'!$C$20)</f>
        <v/>
      </c>
      <c r="L57" s="54" t="str">
        <f>IF($D57="","",$K57/'01. CONFIGURAÇÕES'!$C$21)</f>
        <v/>
      </c>
      <c r="M57" s="31"/>
      <c r="N57" s="31"/>
      <c r="O57" s="31"/>
      <c r="P57" s="31"/>
      <c r="Q57" s="31"/>
      <c r="R57" s="31"/>
      <c r="S57" s="31"/>
      <c r="T57" s="29" t="str">
        <f t="shared" ca="1" si="7"/>
        <v/>
      </c>
      <c r="U57" s="30"/>
    </row>
    <row r="58" spans="1:21" x14ac:dyDescent="0.25">
      <c r="A58" s="30"/>
      <c r="B58" s="30"/>
      <c r="C58" s="30"/>
      <c r="D58" s="33"/>
      <c r="E58" s="33"/>
      <c r="F58" s="31"/>
      <c r="G58" s="53"/>
      <c r="H58" s="54" t="str">
        <f t="shared" si="4"/>
        <v/>
      </c>
      <c r="I58" s="55" t="str">
        <f t="shared" si="5"/>
        <v/>
      </c>
      <c r="J58" s="54" t="str">
        <f t="shared" si="6"/>
        <v/>
      </c>
      <c r="K58" s="54" t="str">
        <f>IF($D58="","",$J58/'01. CONFIGURAÇÕES'!$C$20)</f>
        <v/>
      </c>
      <c r="L58" s="54" t="str">
        <f>IF($D58="","",$K58/'01. CONFIGURAÇÕES'!$C$21)</f>
        <v/>
      </c>
      <c r="M58" s="31"/>
      <c r="N58" s="31"/>
      <c r="O58" s="31"/>
      <c r="P58" s="31"/>
      <c r="Q58" s="31"/>
      <c r="R58" s="31"/>
      <c r="S58" s="31"/>
      <c r="T58" s="29" t="str">
        <f t="shared" ca="1" si="7"/>
        <v/>
      </c>
      <c r="U58" s="30"/>
    </row>
    <row r="59" spans="1:21" x14ac:dyDescent="0.25">
      <c r="A59" s="30"/>
      <c r="B59" s="30"/>
      <c r="C59" s="30"/>
      <c r="D59" s="33"/>
      <c r="E59" s="33"/>
      <c r="F59" s="31"/>
      <c r="G59" s="53"/>
      <c r="H59" s="54" t="str">
        <f t="shared" si="4"/>
        <v/>
      </c>
      <c r="I59" s="55" t="str">
        <f t="shared" si="5"/>
        <v/>
      </c>
      <c r="J59" s="54" t="str">
        <f t="shared" si="6"/>
        <v/>
      </c>
      <c r="K59" s="54" t="str">
        <f>IF($D59="","",$J59/'01. CONFIGURAÇÕES'!$C$20)</f>
        <v/>
      </c>
      <c r="L59" s="54" t="str">
        <f>IF($D59="","",$K59/'01. CONFIGURAÇÕES'!$C$21)</f>
        <v/>
      </c>
      <c r="M59" s="31"/>
      <c r="N59" s="31"/>
      <c r="O59" s="31"/>
      <c r="P59" s="31"/>
      <c r="Q59" s="31"/>
      <c r="R59" s="31"/>
      <c r="S59" s="31"/>
      <c r="T59" s="29" t="str">
        <f t="shared" ca="1" si="7"/>
        <v/>
      </c>
      <c r="U59" s="30"/>
    </row>
    <row r="60" spans="1:21" x14ac:dyDescent="0.25">
      <c r="A60" s="30"/>
      <c r="B60" s="30"/>
      <c r="C60" s="30"/>
      <c r="D60" s="33"/>
      <c r="E60" s="33"/>
      <c r="F60" s="31"/>
      <c r="G60" s="53"/>
      <c r="H60" s="54" t="str">
        <f t="shared" si="4"/>
        <v/>
      </c>
      <c r="I60" s="55" t="str">
        <f t="shared" si="5"/>
        <v/>
      </c>
      <c r="J60" s="54" t="str">
        <f t="shared" si="6"/>
        <v/>
      </c>
      <c r="K60" s="54" t="str">
        <f>IF($D60="","",$J60/'01. CONFIGURAÇÕES'!$C$20)</f>
        <v/>
      </c>
      <c r="L60" s="54" t="str">
        <f>IF($D60="","",$K60/'01. CONFIGURAÇÕES'!$C$21)</f>
        <v/>
      </c>
      <c r="M60" s="31"/>
      <c r="N60" s="31"/>
      <c r="O60" s="31"/>
      <c r="P60" s="31"/>
      <c r="Q60" s="31"/>
      <c r="R60" s="31"/>
      <c r="S60" s="31"/>
      <c r="T60" s="29" t="str">
        <f t="shared" ca="1" si="7"/>
        <v/>
      </c>
      <c r="U60" s="30"/>
    </row>
    <row r="62" spans="1:21" x14ac:dyDescent="0.25">
      <c r="C62" s="38" t="str">
        <f>COUNTIFS($U$5:$U$60,"SIM")&amp;" pessoas"</f>
        <v>30 pessoas</v>
      </c>
      <c r="D62" s="39" t="s">
        <v>2756</v>
      </c>
      <c r="G62" s="64">
        <f>SUMIFS(G5:G60,$U$5:$U$60,"SIM")</f>
        <v>99947.5</v>
      </c>
      <c r="H62" s="64">
        <f>SUMIFS(H5:H60,$U$5:$U$60,"SIM")</f>
        <v>57969.549999999996</v>
      </c>
      <c r="I62" s="64">
        <f>SUMIFS(I5:I60,$U$5:$U$60,"SIM")</f>
        <v>57129.599999999999</v>
      </c>
      <c r="J62" s="64">
        <f>SUMIFS(J5:J60,$U$5:$U$60,"SIM")</f>
        <v>215046.64999999997</v>
      </c>
    </row>
  </sheetData>
  <autoFilter ref="A4:U4"/>
  <mergeCells count="18">
    <mergeCell ref="A1:U1"/>
    <mergeCell ref="X13:AC13"/>
    <mergeCell ref="X9:AC9"/>
    <mergeCell ref="X15:AC15"/>
    <mergeCell ref="X8:AC8"/>
    <mergeCell ref="X2:AC2"/>
    <mergeCell ref="A2:U2"/>
    <mergeCell ref="X14:AC14"/>
    <mergeCell ref="X7:AC7"/>
    <mergeCell ref="X11:AC11"/>
    <mergeCell ref="X3:AC3"/>
    <mergeCell ref="X10:AC10"/>
    <mergeCell ref="X4:AC4"/>
    <mergeCell ref="X1:AC1"/>
    <mergeCell ref="X16:AC16"/>
    <mergeCell ref="X12:AC12"/>
    <mergeCell ref="X6:AC6"/>
    <mergeCell ref="X5:AC5"/>
  </mergeCells>
  <conditionalFormatting sqref="M5:S60">
    <cfRule type="cellIs" dxfId="47" priority="1" operator="lessThan">
      <formula>TODAY()</formula>
    </cfRule>
    <cfRule type="cellIs" dxfId="46" priority="2" operator="between">
      <formula>TODAY()</formula>
      <formula>TODAY()+30</formula>
    </cfRule>
  </conditionalFormatting>
  <conditionalFormatting sqref="T5:T60">
    <cfRule type="cellIs" dxfId="45" priority="15" operator="equal">
      <formula>"OK"</formula>
    </cfRule>
    <cfRule type="expression" dxfId="44" priority="16">
      <formula>ISNUMBER(SEARCH("VENCIDO",$T5))</formula>
    </cfRule>
  </conditionalFormatting>
  <dataValidations count="4">
    <dataValidation type="list" allowBlank="1" errorTitle="Entrada invalida" error="Valor fora da lista padronizada. Use a seta para escolher." sqref="B5:B60">
      <formula1>LST_CONTRATO</formula1>
    </dataValidation>
    <dataValidation type="list" allowBlank="1" errorTitle="Entrada invalida" error="Valor fora da lista padronizada. Use a seta para escolher." sqref="C5:C60">
      <formula1>LST_EQUIPE</formula1>
    </dataValidation>
    <dataValidation type="list" allowBlank="1" errorTitle="Entrada invalida" error="Valor fora da lista padronizada. Use a seta para escolher." sqref="E5:E60">
      <formula1>LST_FUNCAO</formula1>
    </dataValidation>
    <dataValidation type="list" allowBlank="1" errorTitle="Entrada invalida" error="Valor fora da lista padronizada. Use a seta para escolher." sqref="U5:U60">
      <formula1>LST_SN</formula1>
    </dataValidation>
  </dataValidations>
  <printOptions horizontalCentered="1"/>
  <pageMargins left="0.3" right="0.3" top="0.5" bottom="0.5" header="0.5" footer="0.5"/>
  <pageSetup paperSize="9" fitToHeight="0" orientation="landscape"/>
  <headerFooter>
    <oddFooter>&amp;L&amp;8 WCR Saneamento — Controle Operacional SABESP&amp;R&amp;8 Página &amp;P de &amp;N</oddFooter>
  </headerFooter>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pageSetUpPr fitToPage="1"/>
  </sheetPr>
  <dimension ref="A1:AB1512"/>
  <sheetViews>
    <sheetView showGridLines="0" workbookViewId="0">
      <pane ySplit="4" topLeftCell="A48" activePane="bottomLeft" state="frozen"/>
      <selection pane="bottomLeft" activeCell="C56" sqref="C56"/>
    </sheetView>
  </sheetViews>
  <sheetFormatPr defaultRowHeight="15" x14ac:dyDescent="0.25"/>
  <cols>
    <col min="1" max="1" width="12" style="109" customWidth="1"/>
    <col min="2" max="3" width="13" style="109" customWidth="1"/>
    <col min="4" max="4" width="12" style="109" customWidth="1"/>
    <col min="5" max="5" width="13" style="109" customWidth="1"/>
    <col min="6" max="6" width="9" style="109" customWidth="1"/>
    <col min="7" max="7" width="13" style="109" customWidth="1"/>
    <col min="8" max="8" width="18" style="109" customWidth="1"/>
    <col min="9" max="9" width="44" style="109" customWidth="1"/>
    <col min="10" max="10" width="7" style="109" customWidth="1"/>
    <col min="11" max="11" width="8" style="109" customWidth="1"/>
    <col min="12" max="12" width="12" style="109" customWidth="1"/>
    <col min="13" max="13" width="13" style="109" customWidth="1"/>
    <col min="14" max="14" width="16" style="109" customWidth="1"/>
    <col min="15" max="15" width="14" style="109" customWidth="1"/>
    <col min="16" max="16" width="13" style="109" customWidth="1"/>
    <col min="17" max="17" width="30" style="109" customWidth="1"/>
    <col min="18" max="19" width="13" style="109" customWidth="1"/>
    <col min="20" max="20" width="28" style="109" customWidth="1"/>
    <col min="23" max="28" width="10.42578125" style="109" customWidth="1"/>
  </cols>
  <sheetData>
    <row r="1" spans="1:28" ht="26.1" customHeight="1" x14ac:dyDescent="0.25">
      <c r="A1" s="151" t="s">
        <v>2757</v>
      </c>
      <c r="B1" s="149"/>
      <c r="C1" s="149"/>
      <c r="D1" s="149"/>
      <c r="E1" s="149"/>
      <c r="F1" s="149"/>
      <c r="G1" s="149"/>
      <c r="H1" s="149"/>
      <c r="I1" s="149"/>
      <c r="J1" s="149"/>
      <c r="K1" s="149"/>
      <c r="L1" s="149"/>
      <c r="M1" s="149"/>
      <c r="N1" s="149"/>
      <c r="O1" s="149"/>
      <c r="P1" s="149"/>
      <c r="Q1" s="149"/>
      <c r="R1" s="149"/>
      <c r="S1" s="149"/>
      <c r="T1" s="149"/>
      <c r="W1" s="168" t="s">
        <v>280</v>
      </c>
      <c r="X1" s="155"/>
      <c r="Y1" s="155"/>
      <c r="Z1" s="155"/>
      <c r="AA1" s="155"/>
      <c r="AB1" s="156"/>
    </row>
    <row r="2" spans="1:28" ht="15.6" customHeight="1" x14ac:dyDescent="0.25">
      <c r="A2" s="153" t="s">
        <v>2758</v>
      </c>
      <c r="B2" s="149"/>
      <c r="C2" s="149"/>
      <c r="D2" s="149"/>
      <c r="E2" s="149"/>
      <c r="F2" s="149"/>
      <c r="G2" s="149"/>
      <c r="H2" s="149"/>
      <c r="I2" s="149"/>
      <c r="J2" s="149"/>
      <c r="K2" s="149"/>
      <c r="L2" s="149"/>
      <c r="M2" s="149"/>
      <c r="N2" s="149"/>
      <c r="O2" s="149"/>
      <c r="P2" s="149"/>
      <c r="Q2" s="149"/>
      <c r="R2" s="149"/>
      <c r="S2" s="149"/>
      <c r="T2" s="149"/>
      <c r="W2" s="171" t="s">
        <v>151</v>
      </c>
      <c r="X2" s="155"/>
      <c r="Y2" s="155"/>
      <c r="Z2" s="155"/>
      <c r="AA2" s="155"/>
      <c r="AB2" s="156"/>
    </row>
    <row r="3" spans="1:28" ht="15.6" customHeight="1" x14ac:dyDescent="0.25">
      <c r="W3" s="167" t="s">
        <v>2759</v>
      </c>
      <c r="X3" s="155"/>
      <c r="Y3" s="155"/>
      <c r="Z3" s="155"/>
      <c r="AA3" s="155"/>
      <c r="AB3" s="156"/>
    </row>
    <row r="4" spans="1:28" ht="24" customHeight="1" x14ac:dyDescent="0.25">
      <c r="A4" s="46" t="s">
        <v>2760</v>
      </c>
      <c r="B4" s="46" t="s">
        <v>2602</v>
      </c>
      <c r="C4" s="46" t="s">
        <v>2538</v>
      </c>
      <c r="D4" s="46" t="s">
        <v>591</v>
      </c>
      <c r="E4" s="46" t="s">
        <v>2418</v>
      </c>
      <c r="F4" s="46" t="s">
        <v>592</v>
      </c>
      <c r="G4" s="46" t="s">
        <v>2429</v>
      </c>
      <c r="H4" s="46" t="s">
        <v>919</v>
      </c>
      <c r="I4" s="46" t="s">
        <v>920</v>
      </c>
      <c r="J4" s="46" t="s">
        <v>560</v>
      </c>
      <c r="K4" s="46" t="s">
        <v>851</v>
      </c>
      <c r="L4" s="46" t="s">
        <v>921</v>
      </c>
      <c r="M4" s="46" t="s">
        <v>880</v>
      </c>
      <c r="N4" s="46" t="s">
        <v>2761</v>
      </c>
      <c r="O4" s="46" t="s">
        <v>2762</v>
      </c>
      <c r="P4" s="46" t="s">
        <v>2763</v>
      </c>
      <c r="Q4" s="46" t="s">
        <v>2764</v>
      </c>
      <c r="R4" s="46" t="s">
        <v>2765</v>
      </c>
      <c r="S4" s="46" t="s">
        <v>2766</v>
      </c>
      <c r="T4" s="46" t="s">
        <v>561</v>
      </c>
      <c r="W4" s="167" t="s">
        <v>2767</v>
      </c>
      <c r="X4" s="155"/>
      <c r="Y4" s="155"/>
      <c r="Z4" s="155"/>
      <c r="AA4" s="155"/>
      <c r="AB4" s="156"/>
    </row>
    <row r="5" spans="1:28" x14ac:dyDescent="0.25">
      <c r="A5" s="83" t="s">
        <v>2768</v>
      </c>
      <c r="B5" s="84">
        <f t="shared" ref="B5:B47" si="0">IF($G5="","",EOMONTH($G5,0))</f>
        <v>46295</v>
      </c>
      <c r="C5" s="83" t="s">
        <v>2545</v>
      </c>
      <c r="D5" s="85" t="str">
        <f t="shared" ref="D5:D47" si="1">IFERROR(IF($C5="","",VLOOKUP($C5,CAD_TAB,2,FALSE)),"")</f>
        <v>BERTIOGA</v>
      </c>
      <c r="E5" s="85">
        <f t="shared" ref="E5:E47" si="2">IFERROR(IF($C5="","",VLOOKUP($C5,CAD_TAB,3,FALSE)),"")</f>
        <v>0</v>
      </c>
      <c r="F5" s="85">
        <f t="shared" ref="F5:F47" si="3">IFERROR(IF($C5="","",VLOOKUP($C5,OS_TAB,7,FALSE)),"")</f>
        <v>0</v>
      </c>
      <c r="G5" s="86">
        <f t="shared" ref="G5:G47" si="4">IFERROR(IF($C5="","",VLOOKUP($C5,OS_TAB,10,FALSE)),"")</f>
        <v>46273</v>
      </c>
      <c r="H5" s="77"/>
      <c r="I5" s="87" t="str">
        <f t="shared" ref="I5:I47" si="5">IFERROR(IF($H5="","",VLOOKUP($H5,PRE_TAB,5,FALSE)),"CÓDIGO NÃO ENCONTRADO")</f>
        <v/>
      </c>
      <c r="J5" s="85" t="str">
        <f t="shared" ref="J5:J47" si="6">IFERROR(IF($H5="","",VLOOKUP($H5,PRE_TAB,7,FALSE)),"")</f>
        <v/>
      </c>
      <c r="K5" s="80"/>
      <c r="L5" s="88" t="str">
        <f t="shared" ref="L5:L47" si="7">IFERROR(IF($H5="","",VLOOKUP($H5,PRE_TAB,8,FALSE)),0)</f>
        <v/>
      </c>
      <c r="M5" s="88" t="str">
        <f t="shared" ref="M5:M47" si="8">IF($H5="","",ROUND($K5*$L5,2))</f>
        <v/>
      </c>
      <c r="N5" s="77"/>
      <c r="O5" s="79"/>
      <c r="P5" s="82"/>
      <c r="Q5" s="78"/>
      <c r="R5" s="81"/>
      <c r="S5" s="77"/>
      <c r="T5" s="78"/>
      <c r="W5" s="89"/>
      <c r="X5" s="125"/>
      <c r="Y5" s="125"/>
      <c r="Z5" s="125"/>
      <c r="AA5" s="125"/>
      <c r="AB5" s="125"/>
    </row>
    <row r="6" spans="1:28" ht="15.6" customHeight="1" x14ac:dyDescent="0.25">
      <c r="A6" s="83" t="s">
        <v>2768</v>
      </c>
      <c r="B6" s="84">
        <f t="shared" si="0"/>
        <v>46295</v>
      </c>
      <c r="C6" s="83" t="s">
        <v>2546</v>
      </c>
      <c r="D6" s="85" t="str">
        <f t="shared" si="1"/>
        <v>BERTIOGA</v>
      </c>
      <c r="E6" s="85">
        <f t="shared" si="2"/>
        <v>0</v>
      </c>
      <c r="F6" s="85">
        <f t="shared" si="3"/>
        <v>0</v>
      </c>
      <c r="G6" s="86">
        <f t="shared" si="4"/>
        <v>46268</v>
      </c>
      <c r="H6" s="25" t="s">
        <v>927</v>
      </c>
      <c r="I6" s="87" t="str">
        <f t="shared" si="5"/>
        <v>TRA  ATE 32MM CORR TA S/REP SF</v>
      </c>
      <c r="J6" s="85" t="str">
        <f t="shared" si="6"/>
        <v>un</v>
      </c>
      <c r="K6" s="49">
        <v>1</v>
      </c>
      <c r="L6" s="88">
        <f t="shared" si="7"/>
        <v>785.07</v>
      </c>
      <c r="M6" s="88">
        <f t="shared" si="8"/>
        <v>785.07</v>
      </c>
      <c r="N6" s="90" t="s">
        <v>2769</v>
      </c>
      <c r="O6" s="31"/>
      <c r="P6" s="53"/>
      <c r="Q6" s="33"/>
      <c r="R6" s="54">
        <f t="shared" ref="R6:R47" si="9">IF($H6="","",$M6-$P6)</f>
        <v>785.07</v>
      </c>
      <c r="S6" s="30"/>
      <c r="T6" s="33"/>
      <c r="W6" s="170" t="s">
        <v>2770</v>
      </c>
      <c r="X6" s="155"/>
      <c r="Y6" s="155"/>
      <c r="Z6" s="155"/>
      <c r="AA6" s="155"/>
      <c r="AB6" s="156"/>
    </row>
    <row r="7" spans="1:28" x14ac:dyDescent="0.25">
      <c r="A7" s="83" t="s">
        <v>2768</v>
      </c>
      <c r="B7" s="84">
        <f t="shared" si="0"/>
        <v>46295</v>
      </c>
      <c r="C7" s="83" t="s">
        <v>2546</v>
      </c>
      <c r="D7" s="85" t="str">
        <f t="shared" si="1"/>
        <v>BERTIOGA</v>
      </c>
      <c r="E7" s="85">
        <f t="shared" si="2"/>
        <v>0</v>
      </c>
      <c r="F7" s="85">
        <f t="shared" si="3"/>
        <v>0</v>
      </c>
      <c r="G7" s="86">
        <f t="shared" si="4"/>
        <v>46268</v>
      </c>
      <c r="H7" s="25" t="s">
        <v>1527</v>
      </c>
      <c r="I7" s="87" t="str">
        <f t="shared" si="5"/>
        <v>LRP CIM ATE 2M  TRE</v>
      </c>
      <c r="J7" s="85" t="str">
        <f t="shared" si="6"/>
        <v>un</v>
      </c>
      <c r="K7" s="49">
        <v>1</v>
      </c>
      <c r="L7" s="88">
        <f t="shared" si="7"/>
        <v>139.9</v>
      </c>
      <c r="M7" s="88">
        <f t="shared" si="8"/>
        <v>139.9</v>
      </c>
      <c r="N7" s="90" t="s">
        <v>2769</v>
      </c>
      <c r="O7" s="31"/>
      <c r="P7" s="53"/>
      <c r="Q7" s="33"/>
      <c r="R7" s="54">
        <f t="shared" si="9"/>
        <v>139.9</v>
      </c>
      <c r="S7" s="30"/>
      <c r="T7" s="33"/>
      <c r="W7" s="89"/>
      <c r="X7" s="125"/>
      <c r="Y7" s="125"/>
      <c r="Z7" s="125"/>
      <c r="AA7" s="125"/>
      <c r="AB7" s="125"/>
    </row>
    <row r="8" spans="1:28" ht="15.6" customHeight="1" x14ac:dyDescent="0.25">
      <c r="A8" s="83" t="s">
        <v>2768</v>
      </c>
      <c r="B8" s="84">
        <f t="shared" si="0"/>
        <v>46295</v>
      </c>
      <c r="C8" s="83" t="s">
        <v>2547</v>
      </c>
      <c r="D8" s="85" t="str">
        <f t="shared" si="1"/>
        <v>BERTIOGA</v>
      </c>
      <c r="E8" s="85">
        <f t="shared" si="2"/>
        <v>0</v>
      </c>
      <c r="F8" s="85">
        <f t="shared" si="3"/>
        <v>0</v>
      </c>
      <c r="G8" s="86">
        <f t="shared" si="4"/>
        <v>46268</v>
      </c>
      <c r="H8" s="25" t="s">
        <v>927</v>
      </c>
      <c r="I8" s="87" t="str">
        <f t="shared" si="5"/>
        <v>TRA  ATE 32MM CORR TA S/REP SF</v>
      </c>
      <c r="J8" s="85" t="str">
        <f t="shared" si="6"/>
        <v>un</v>
      </c>
      <c r="K8" s="49">
        <v>1</v>
      </c>
      <c r="L8" s="88">
        <f t="shared" si="7"/>
        <v>785.07</v>
      </c>
      <c r="M8" s="88">
        <f t="shared" si="8"/>
        <v>785.07</v>
      </c>
      <c r="N8" s="90" t="s">
        <v>2769</v>
      </c>
      <c r="O8" s="31"/>
      <c r="P8" s="53"/>
      <c r="Q8" s="33"/>
      <c r="R8" s="54">
        <f t="shared" si="9"/>
        <v>785.07</v>
      </c>
      <c r="S8" s="30"/>
      <c r="T8" s="33"/>
      <c r="W8" s="171" t="s">
        <v>2771</v>
      </c>
      <c r="X8" s="155"/>
      <c r="Y8" s="155"/>
      <c r="Z8" s="155"/>
      <c r="AA8" s="155"/>
      <c r="AB8" s="156"/>
    </row>
    <row r="9" spans="1:28" ht="15.6" customHeight="1" x14ac:dyDescent="0.25">
      <c r="A9" s="83" t="s">
        <v>2768</v>
      </c>
      <c r="B9" s="84">
        <f t="shared" si="0"/>
        <v>46295</v>
      </c>
      <c r="C9" s="83" t="s">
        <v>2548</v>
      </c>
      <c r="D9" s="85" t="str">
        <f t="shared" si="1"/>
        <v>BERTIOGA</v>
      </c>
      <c r="E9" s="85">
        <f t="shared" si="2"/>
        <v>0</v>
      </c>
      <c r="F9" s="85">
        <f t="shared" si="3"/>
        <v>0</v>
      </c>
      <c r="G9" s="86">
        <f t="shared" si="4"/>
        <v>46268</v>
      </c>
      <c r="H9" s="25" t="s">
        <v>927</v>
      </c>
      <c r="I9" s="87" t="str">
        <f t="shared" si="5"/>
        <v>TRA  ATE 32MM CORR TA S/REP SF</v>
      </c>
      <c r="J9" s="85" t="str">
        <f t="shared" si="6"/>
        <v>un</v>
      </c>
      <c r="K9" s="49">
        <v>1</v>
      </c>
      <c r="L9" s="88">
        <f t="shared" si="7"/>
        <v>785.07</v>
      </c>
      <c r="M9" s="88">
        <f t="shared" si="8"/>
        <v>785.07</v>
      </c>
      <c r="N9" s="90" t="s">
        <v>2769</v>
      </c>
      <c r="O9" s="31"/>
      <c r="P9" s="53"/>
      <c r="Q9" s="33"/>
      <c r="R9" s="54">
        <f t="shared" si="9"/>
        <v>785.07</v>
      </c>
      <c r="S9" s="30"/>
      <c r="T9" s="33"/>
      <c r="W9" s="167" t="s">
        <v>2772</v>
      </c>
      <c r="X9" s="155"/>
      <c r="Y9" s="155"/>
      <c r="Z9" s="155"/>
      <c r="AA9" s="155"/>
      <c r="AB9" s="156"/>
    </row>
    <row r="10" spans="1:28" ht="15.6" customHeight="1" x14ac:dyDescent="0.25">
      <c r="A10" s="83" t="s">
        <v>2768</v>
      </c>
      <c r="B10" s="84">
        <f t="shared" si="0"/>
        <v>46295</v>
      </c>
      <c r="C10" s="83" t="s">
        <v>2549</v>
      </c>
      <c r="D10" s="85" t="str">
        <f t="shared" si="1"/>
        <v>BERTIOGA</v>
      </c>
      <c r="E10" s="85">
        <f t="shared" si="2"/>
        <v>0</v>
      </c>
      <c r="F10" s="85">
        <f t="shared" si="3"/>
        <v>0</v>
      </c>
      <c r="G10" s="86">
        <f t="shared" si="4"/>
        <v>46268</v>
      </c>
      <c r="H10" s="25" t="s">
        <v>927</v>
      </c>
      <c r="I10" s="87" t="str">
        <f t="shared" si="5"/>
        <v>TRA  ATE 32MM CORR TA S/REP SF</v>
      </c>
      <c r="J10" s="85" t="str">
        <f t="shared" si="6"/>
        <v>un</v>
      </c>
      <c r="K10" s="49">
        <v>1</v>
      </c>
      <c r="L10" s="88">
        <f t="shared" si="7"/>
        <v>785.07</v>
      </c>
      <c r="M10" s="88">
        <f t="shared" si="8"/>
        <v>785.07</v>
      </c>
      <c r="N10" s="90" t="s">
        <v>2769</v>
      </c>
      <c r="O10" s="31"/>
      <c r="P10" s="53"/>
      <c r="Q10" s="33"/>
      <c r="R10" s="54">
        <f t="shared" si="9"/>
        <v>785.07</v>
      </c>
      <c r="S10" s="30"/>
      <c r="T10" s="33"/>
      <c r="W10" s="167" t="s">
        <v>2773</v>
      </c>
      <c r="X10" s="155"/>
      <c r="Y10" s="155"/>
      <c r="Z10" s="155"/>
      <c r="AA10" s="155"/>
      <c r="AB10" s="156"/>
    </row>
    <row r="11" spans="1:28" ht="15.6" customHeight="1" x14ac:dyDescent="0.25">
      <c r="A11" s="83" t="s">
        <v>2768</v>
      </c>
      <c r="B11" s="84">
        <f t="shared" si="0"/>
        <v>46295</v>
      </c>
      <c r="C11" s="83" t="s">
        <v>2549</v>
      </c>
      <c r="D11" s="85" t="str">
        <f t="shared" si="1"/>
        <v>BERTIOGA</v>
      </c>
      <c r="E11" s="85">
        <f t="shared" si="2"/>
        <v>0</v>
      </c>
      <c r="F11" s="85">
        <f t="shared" si="3"/>
        <v>0</v>
      </c>
      <c r="G11" s="86">
        <f t="shared" si="4"/>
        <v>46268</v>
      </c>
      <c r="H11" s="25" t="s">
        <v>925</v>
      </c>
      <c r="I11" s="87" t="str">
        <f t="shared" si="5"/>
        <v>TCV SF</v>
      </c>
      <c r="J11" s="85" t="str">
        <f t="shared" si="6"/>
        <v>un</v>
      </c>
      <c r="K11" s="49">
        <v>1</v>
      </c>
      <c r="L11" s="88">
        <f t="shared" si="7"/>
        <v>301.47000000000003</v>
      </c>
      <c r="M11" s="88">
        <f t="shared" si="8"/>
        <v>301.47000000000003</v>
      </c>
      <c r="N11" s="90" t="s">
        <v>2769</v>
      </c>
      <c r="O11" s="31"/>
      <c r="P11" s="53"/>
      <c r="Q11" s="33"/>
      <c r="R11" s="54">
        <f t="shared" si="9"/>
        <v>301.47000000000003</v>
      </c>
      <c r="S11" s="30"/>
      <c r="T11" s="33"/>
      <c r="W11" s="167" t="s">
        <v>2774</v>
      </c>
      <c r="X11" s="155"/>
      <c r="Y11" s="155"/>
      <c r="Z11" s="155"/>
      <c r="AA11" s="155"/>
      <c r="AB11" s="156"/>
    </row>
    <row r="12" spans="1:28" x14ac:dyDescent="0.25">
      <c r="A12" s="83" t="s">
        <v>2768</v>
      </c>
      <c r="B12" s="84">
        <f t="shared" si="0"/>
        <v>46295</v>
      </c>
      <c r="C12" s="83" t="s">
        <v>2550</v>
      </c>
      <c r="D12" s="85" t="str">
        <f t="shared" si="1"/>
        <v>BERTIOGA</v>
      </c>
      <c r="E12" s="85">
        <f t="shared" si="2"/>
        <v>0</v>
      </c>
      <c r="F12" s="85">
        <f t="shared" si="3"/>
        <v>0</v>
      </c>
      <c r="G12" s="86">
        <f t="shared" si="4"/>
        <v>46268</v>
      </c>
      <c r="H12" s="25" t="s">
        <v>927</v>
      </c>
      <c r="I12" s="87" t="str">
        <f t="shared" si="5"/>
        <v>TRA  ATE 32MM CORR TA S/REP SF</v>
      </c>
      <c r="J12" s="85" t="str">
        <f t="shared" si="6"/>
        <v>un</v>
      </c>
      <c r="K12" s="49">
        <v>1</v>
      </c>
      <c r="L12" s="88">
        <f t="shared" si="7"/>
        <v>785.07</v>
      </c>
      <c r="M12" s="88">
        <f t="shared" si="8"/>
        <v>785.07</v>
      </c>
      <c r="N12" s="90" t="s">
        <v>2769</v>
      </c>
      <c r="O12" s="31"/>
      <c r="P12" s="53"/>
      <c r="Q12" s="33"/>
      <c r="R12" s="54">
        <f t="shared" si="9"/>
        <v>785.07</v>
      </c>
      <c r="S12" s="30"/>
      <c r="T12" s="33"/>
      <c r="W12" s="125"/>
      <c r="X12" s="125"/>
      <c r="Y12" s="125"/>
      <c r="Z12" s="125"/>
      <c r="AA12" s="125"/>
      <c r="AB12" s="125"/>
    </row>
    <row r="13" spans="1:28" ht="15.6" customHeight="1" x14ac:dyDescent="0.25">
      <c r="A13" s="83" t="s">
        <v>2768</v>
      </c>
      <c r="B13" s="84">
        <f t="shared" si="0"/>
        <v>46295</v>
      </c>
      <c r="C13" s="83" t="s">
        <v>2550</v>
      </c>
      <c r="D13" s="85" t="str">
        <f t="shared" si="1"/>
        <v>BERTIOGA</v>
      </c>
      <c r="E13" s="85">
        <f t="shared" si="2"/>
        <v>0</v>
      </c>
      <c r="F13" s="85">
        <f t="shared" si="3"/>
        <v>0</v>
      </c>
      <c r="G13" s="86">
        <f t="shared" si="4"/>
        <v>46268</v>
      </c>
      <c r="H13" s="25" t="s">
        <v>1527</v>
      </c>
      <c r="I13" s="87" t="str">
        <f t="shared" si="5"/>
        <v>LRP CIM ATE 2M  TRE</v>
      </c>
      <c r="J13" s="85" t="str">
        <f t="shared" si="6"/>
        <v>un</v>
      </c>
      <c r="K13" s="49">
        <v>1</v>
      </c>
      <c r="L13" s="88">
        <f t="shared" si="7"/>
        <v>139.9</v>
      </c>
      <c r="M13" s="88">
        <f t="shared" si="8"/>
        <v>139.9</v>
      </c>
      <c r="N13" s="90" t="s">
        <v>2769</v>
      </c>
      <c r="O13" s="31"/>
      <c r="P13" s="53"/>
      <c r="Q13" s="33"/>
      <c r="R13" s="54">
        <f t="shared" si="9"/>
        <v>139.9</v>
      </c>
      <c r="S13" s="30"/>
      <c r="T13" s="33"/>
      <c r="W13" s="171" t="s">
        <v>2775</v>
      </c>
      <c r="X13" s="155"/>
      <c r="Y13" s="155"/>
      <c r="Z13" s="155"/>
      <c r="AA13" s="155"/>
      <c r="AB13" s="156"/>
    </row>
    <row r="14" spans="1:28" ht="15.6" customHeight="1" x14ac:dyDescent="0.25">
      <c r="A14" s="83" t="s">
        <v>2768</v>
      </c>
      <c r="B14" s="84">
        <f t="shared" si="0"/>
        <v>46295</v>
      </c>
      <c r="C14" s="83" t="s">
        <v>2551</v>
      </c>
      <c r="D14" s="85" t="str">
        <f t="shared" si="1"/>
        <v>BERTIOGA</v>
      </c>
      <c r="E14" s="85">
        <f t="shared" si="2"/>
        <v>0</v>
      </c>
      <c r="F14" s="85">
        <f t="shared" si="3"/>
        <v>0</v>
      </c>
      <c r="G14" s="86">
        <f t="shared" si="4"/>
        <v>46268</v>
      </c>
      <c r="H14" s="25" t="s">
        <v>927</v>
      </c>
      <c r="I14" s="87" t="str">
        <f t="shared" si="5"/>
        <v>TRA  ATE 32MM CORR TA S/REP SF</v>
      </c>
      <c r="J14" s="85" t="str">
        <f t="shared" si="6"/>
        <v>un</v>
      </c>
      <c r="K14" s="49">
        <v>2</v>
      </c>
      <c r="L14" s="88">
        <f t="shared" si="7"/>
        <v>785.07</v>
      </c>
      <c r="M14" s="88">
        <f t="shared" si="8"/>
        <v>1570.14</v>
      </c>
      <c r="N14" s="90" t="s">
        <v>2769</v>
      </c>
      <c r="O14" s="31"/>
      <c r="P14" s="53"/>
      <c r="Q14" s="33"/>
      <c r="R14" s="54">
        <f t="shared" si="9"/>
        <v>1570.14</v>
      </c>
      <c r="S14" s="30"/>
      <c r="T14" s="33"/>
      <c r="W14" s="167" t="s">
        <v>2776</v>
      </c>
      <c r="X14" s="155"/>
      <c r="Y14" s="155"/>
      <c r="Z14" s="155"/>
      <c r="AA14" s="155"/>
      <c r="AB14" s="156"/>
    </row>
    <row r="15" spans="1:28" ht="15.6" customHeight="1" x14ac:dyDescent="0.25">
      <c r="A15" s="83" t="s">
        <v>2768</v>
      </c>
      <c r="B15" s="84">
        <f t="shared" si="0"/>
        <v>46295</v>
      </c>
      <c r="C15" s="83" t="s">
        <v>2551</v>
      </c>
      <c r="D15" s="85" t="str">
        <f t="shared" si="1"/>
        <v>BERTIOGA</v>
      </c>
      <c r="E15" s="85">
        <f t="shared" si="2"/>
        <v>0</v>
      </c>
      <c r="F15" s="85">
        <f t="shared" si="3"/>
        <v>0</v>
      </c>
      <c r="G15" s="86">
        <f t="shared" si="4"/>
        <v>46268</v>
      </c>
      <c r="H15" s="25" t="s">
        <v>925</v>
      </c>
      <c r="I15" s="87" t="str">
        <f t="shared" si="5"/>
        <v>TCV SF</v>
      </c>
      <c r="J15" s="85" t="str">
        <f t="shared" si="6"/>
        <v>un</v>
      </c>
      <c r="K15" s="49">
        <v>1</v>
      </c>
      <c r="L15" s="88">
        <f t="shared" si="7"/>
        <v>301.47000000000003</v>
      </c>
      <c r="M15" s="88">
        <f t="shared" si="8"/>
        <v>301.47000000000003</v>
      </c>
      <c r="N15" s="90" t="s">
        <v>2769</v>
      </c>
      <c r="O15" s="31"/>
      <c r="P15" s="53"/>
      <c r="Q15" s="33"/>
      <c r="R15" s="54">
        <f t="shared" si="9"/>
        <v>301.47000000000003</v>
      </c>
      <c r="S15" s="30"/>
      <c r="T15" s="33"/>
      <c r="W15" s="167" t="s">
        <v>2777</v>
      </c>
      <c r="X15" s="155"/>
      <c r="Y15" s="155"/>
      <c r="Z15" s="155"/>
      <c r="AA15" s="155"/>
      <c r="AB15" s="156"/>
    </row>
    <row r="16" spans="1:28" ht="15.6" customHeight="1" x14ac:dyDescent="0.25">
      <c r="A16" s="83" t="s">
        <v>2768</v>
      </c>
      <c r="B16" s="84">
        <f t="shared" si="0"/>
        <v>46295</v>
      </c>
      <c r="C16" s="83" t="s">
        <v>2552</v>
      </c>
      <c r="D16" s="85" t="str">
        <f t="shared" si="1"/>
        <v>BERTIOGA</v>
      </c>
      <c r="E16" s="85">
        <f t="shared" si="2"/>
        <v>0</v>
      </c>
      <c r="F16" s="85">
        <f t="shared" si="3"/>
        <v>0</v>
      </c>
      <c r="G16" s="86">
        <f t="shared" si="4"/>
        <v>46268</v>
      </c>
      <c r="H16" s="25" t="s">
        <v>1133</v>
      </c>
      <c r="I16" s="87" t="str">
        <f t="shared" si="5"/>
        <v>TRA  ATE 32MM CORR TO S/REP SF</v>
      </c>
      <c r="J16" s="85" t="str">
        <f t="shared" si="6"/>
        <v>un</v>
      </c>
      <c r="K16" s="49">
        <v>1</v>
      </c>
      <c r="L16" s="88">
        <f t="shared" si="7"/>
        <v>820.98</v>
      </c>
      <c r="M16" s="88">
        <f t="shared" si="8"/>
        <v>820.98</v>
      </c>
      <c r="N16" s="90" t="s">
        <v>2769</v>
      </c>
      <c r="O16" s="31"/>
      <c r="P16" s="53"/>
      <c r="Q16" s="33"/>
      <c r="R16" s="54">
        <f t="shared" si="9"/>
        <v>820.98</v>
      </c>
      <c r="S16" s="30"/>
      <c r="T16" s="33"/>
      <c r="W16" s="167" t="s">
        <v>2778</v>
      </c>
      <c r="X16" s="155"/>
      <c r="Y16" s="155"/>
      <c r="Z16" s="155"/>
      <c r="AA16" s="155"/>
      <c r="AB16" s="156"/>
    </row>
    <row r="17" spans="1:28" x14ac:dyDescent="0.25">
      <c r="A17" s="83" t="s">
        <v>2768</v>
      </c>
      <c r="B17" s="84">
        <f t="shared" si="0"/>
        <v>46295</v>
      </c>
      <c r="C17" s="83" t="s">
        <v>2553</v>
      </c>
      <c r="D17" s="85" t="str">
        <f t="shared" si="1"/>
        <v>BERTIOGA</v>
      </c>
      <c r="E17" s="85">
        <f t="shared" si="2"/>
        <v>0</v>
      </c>
      <c r="F17" s="85">
        <f t="shared" si="3"/>
        <v>0</v>
      </c>
      <c r="G17" s="86">
        <f t="shared" si="4"/>
        <v>46269</v>
      </c>
      <c r="H17" s="25" t="s">
        <v>1527</v>
      </c>
      <c r="I17" s="87" t="str">
        <f t="shared" si="5"/>
        <v>LRP CIM ATE 2M  TRE</v>
      </c>
      <c r="J17" s="85" t="str">
        <f t="shared" si="6"/>
        <v>un</v>
      </c>
      <c r="K17" s="49">
        <v>1</v>
      </c>
      <c r="L17" s="88">
        <f t="shared" si="7"/>
        <v>139.9</v>
      </c>
      <c r="M17" s="88">
        <f t="shared" si="8"/>
        <v>139.9</v>
      </c>
      <c r="N17" s="90" t="s">
        <v>2769</v>
      </c>
      <c r="O17" s="31"/>
      <c r="P17" s="53"/>
      <c r="Q17" s="33"/>
      <c r="R17" s="54">
        <f t="shared" si="9"/>
        <v>139.9</v>
      </c>
      <c r="S17" s="30"/>
      <c r="T17" s="33"/>
      <c r="W17" s="125"/>
      <c r="X17" s="125"/>
      <c r="Y17" s="125"/>
      <c r="Z17" s="125"/>
      <c r="AA17" s="125"/>
      <c r="AB17" s="125"/>
    </row>
    <row r="18" spans="1:28" ht="15.6" customHeight="1" x14ac:dyDescent="0.25">
      <c r="A18" s="83" t="s">
        <v>2768</v>
      </c>
      <c r="B18" s="84">
        <f t="shared" si="0"/>
        <v>46295</v>
      </c>
      <c r="C18" s="83" t="s">
        <v>2553</v>
      </c>
      <c r="D18" s="85" t="str">
        <f t="shared" si="1"/>
        <v>BERTIOGA</v>
      </c>
      <c r="E18" s="85">
        <f t="shared" si="2"/>
        <v>0</v>
      </c>
      <c r="F18" s="85">
        <f t="shared" si="3"/>
        <v>0</v>
      </c>
      <c r="G18" s="86">
        <f t="shared" si="4"/>
        <v>46269</v>
      </c>
      <c r="H18" s="25" t="s">
        <v>927</v>
      </c>
      <c r="I18" s="87" t="str">
        <f t="shared" si="5"/>
        <v>TRA  ATE 32MM CORR TA S/REP SF</v>
      </c>
      <c r="J18" s="85" t="str">
        <f t="shared" si="6"/>
        <v>un</v>
      </c>
      <c r="K18" s="49">
        <v>1</v>
      </c>
      <c r="L18" s="88">
        <f t="shared" si="7"/>
        <v>785.07</v>
      </c>
      <c r="M18" s="88">
        <f t="shared" si="8"/>
        <v>785.07</v>
      </c>
      <c r="N18" s="90" t="s">
        <v>2769</v>
      </c>
      <c r="O18" s="31"/>
      <c r="P18" s="53"/>
      <c r="Q18" s="33"/>
      <c r="R18" s="54">
        <f t="shared" si="9"/>
        <v>785.07</v>
      </c>
      <c r="S18" s="30"/>
      <c r="T18" s="33"/>
      <c r="W18" s="170" t="s">
        <v>2779</v>
      </c>
      <c r="X18" s="155"/>
      <c r="Y18" s="155"/>
      <c r="Z18" s="155"/>
      <c r="AA18" s="155"/>
      <c r="AB18" s="156"/>
    </row>
    <row r="19" spans="1:28" ht="15.6" customHeight="1" x14ac:dyDescent="0.25">
      <c r="A19" s="83" t="s">
        <v>2768</v>
      </c>
      <c r="B19" s="84">
        <f t="shared" si="0"/>
        <v>46295</v>
      </c>
      <c r="C19" s="83" t="s">
        <v>2554</v>
      </c>
      <c r="D19" s="85" t="str">
        <f t="shared" si="1"/>
        <v>BERTIOGA</v>
      </c>
      <c r="E19" s="85">
        <f t="shared" si="2"/>
        <v>0</v>
      </c>
      <c r="F19" s="85">
        <f t="shared" si="3"/>
        <v>0</v>
      </c>
      <c r="G19" s="86">
        <f t="shared" si="4"/>
        <v>46269</v>
      </c>
      <c r="H19" s="25" t="s">
        <v>927</v>
      </c>
      <c r="I19" s="87" t="str">
        <f t="shared" si="5"/>
        <v>TRA  ATE 32MM CORR TA S/REP SF</v>
      </c>
      <c r="J19" s="85" t="str">
        <f t="shared" si="6"/>
        <v>un</v>
      </c>
      <c r="K19" s="49">
        <v>1</v>
      </c>
      <c r="L19" s="88">
        <f t="shared" si="7"/>
        <v>785.07</v>
      </c>
      <c r="M19" s="88">
        <f t="shared" si="8"/>
        <v>785.07</v>
      </c>
      <c r="N19" s="90" t="s">
        <v>2769</v>
      </c>
      <c r="O19" s="31"/>
      <c r="P19" s="53"/>
      <c r="Q19" s="33"/>
      <c r="R19" s="54">
        <f t="shared" si="9"/>
        <v>785.07</v>
      </c>
      <c r="S19" s="30"/>
      <c r="T19" s="33"/>
      <c r="W19" s="170" t="s">
        <v>2780</v>
      </c>
      <c r="X19" s="155"/>
      <c r="Y19" s="155"/>
      <c r="Z19" s="155"/>
      <c r="AA19" s="155"/>
      <c r="AB19" s="156"/>
    </row>
    <row r="20" spans="1:28" x14ac:dyDescent="0.25">
      <c r="A20" s="83" t="s">
        <v>2768</v>
      </c>
      <c r="B20" s="84">
        <f t="shared" si="0"/>
        <v>46295</v>
      </c>
      <c r="C20" s="83" t="s">
        <v>2555</v>
      </c>
      <c r="D20" s="85" t="str">
        <f t="shared" si="1"/>
        <v>BERTIOGA</v>
      </c>
      <c r="E20" s="85">
        <f t="shared" si="2"/>
        <v>0</v>
      </c>
      <c r="F20" s="85">
        <f t="shared" si="3"/>
        <v>0</v>
      </c>
      <c r="G20" s="86">
        <f t="shared" si="4"/>
        <v>46269</v>
      </c>
      <c r="H20" s="25" t="s">
        <v>927</v>
      </c>
      <c r="I20" s="87" t="str">
        <f t="shared" si="5"/>
        <v>TRA  ATE 32MM CORR TA S/REP SF</v>
      </c>
      <c r="J20" s="85" t="str">
        <f t="shared" si="6"/>
        <v>un</v>
      </c>
      <c r="K20" s="49">
        <v>1</v>
      </c>
      <c r="L20" s="88">
        <f t="shared" si="7"/>
        <v>785.07</v>
      </c>
      <c r="M20" s="88">
        <f t="shared" si="8"/>
        <v>785.07</v>
      </c>
      <c r="N20" s="90" t="s">
        <v>2769</v>
      </c>
      <c r="O20" s="31"/>
      <c r="P20" s="53"/>
      <c r="Q20" s="33"/>
      <c r="R20" s="54">
        <f t="shared" si="9"/>
        <v>785.07</v>
      </c>
      <c r="S20" s="30"/>
      <c r="T20" s="33"/>
      <c r="W20" s="125"/>
      <c r="X20" s="125"/>
      <c r="Y20" s="125"/>
      <c r="Z20" s="125"/>
      <c r="AA20" s="125"/>
      <c r="AB20" s="125"/>
    </row>
    <row r="21" spans="1:28" ht="15.6" customHeight="1" x14ac:dyDescent="0.25">
      <c r="A21" s="83" t="s">
        <v>2768</v>
      </c>
      <c r="B21" s="84">
        <f t="shared" si="0"/>
        <v>46295</v>
      </c>
      <c r="C21" s="83" t="s">
        <v>2556</v>
      </c>
      <c r="D21" s="85" t="str">
        <f t="shared" si="1"/>
        <v>BERTIOGA</v>
      </c>
      <c r="E21" s="85">
        <f t="shared" si="2"/>
        <v>0</v>
      </c>
      <c r="F21" s="85">
        <f t="shared" si="3"/>
        <v>0</v>
      </c>
      <c r="G21" s="86">
        <f t="shared" si="4"/>
        <v>46269</v>
      </c>
      <c r="H21" s="25" t="s">
        <v>1133</v>
      </c>
      <c r="I21" s="87" t="str">
        <f t="shared" si="5"/>
        <v>TRA  ATE 32MM CORR TO S/REP SF</v>
      </c>
      <c r="J21" s="85" t="str">
        <f t="shared" si="6"/>
        <v>un</v>
      </c>
      <c r="K21" s="49">
        <v>1</v>
      </c>
      <c r="L21" s="88">
        <f t="shared" si="7"/>
        <v>820.98</v>
      </c>
      <c r="M21" s="88">
        <f t="shared" si="8"/>
        <v>820.98</v>
      </c>
      <c r="N21" s="90" t="s">
        <v>2769</v>
      </c>
      <c r="O21" s="31"/>
      <c r="P21" s="53"/>
      <c r="Q21" s="33"/>
      <c r="R21" s="54">
        <f t="shared" si="9"/>
        <v>820.98</v>
      </c>
      <c r="S21" s="30"/>
      <c r="T21" s="33"/>
      <c r="W21" s="169" t="s">
        <v>2781</v>
      </c>
      <c r="X21" s="155"/>
      <c r="Y21" s="155"/>
      <c r="Z21" s="155"/>
      <c r="AA21" s="155"/>
      <c r="AB21" s="156"/>
    </row>
    <row r="22" spans="1:28" ht="15.6" customHeight="1" x14ac:dyDescent="0.25">
      <c r="A22" s="83" t="s">
        <v>2768</v>
      </c>
      <c r="B22" s="84">
        <f t="shared" si="0"/>
        <v>46295</v>
      </c>
      <c r="C22" s="83" t="s">
        <v>2557</v>
      </c>
      <c r="D22" s="85" t="str">
        <f t="shared" si="1"/>
        <v>BERTIOGA</v>
      </c>
      <c r="E22" s="85">
        <f t="shared" si="2"/>
        <v>0</v>
      </c>
      <c r="F22" s="85">
        <f t="shared" si="3"/>
        <v>0</v>
      </c>
      <c r="G22" s="86">
        <f t="shared" si="4"/>
        <v>46273</v>
      </c>
      <c r="H22" s="25" t="s">
        <v>927</v>
      </c>
      <c r="I22" s="87" t="str">
        <f t="shared" si="5"/>
        <v>TRA  ATE 32MM CORR TA S/REP SF</v>
      </c>
      <c r="J22" s="85" t="str">
        <f t="shared" si="6"/>
        <v>un</v>
      </c>
      <c r="K22" s="49">
        <v>1</v>
      </c>
      <c r="L22" s="88">
        <f t="shared" si="7"/>
        <v>785.07</v>
      </c>
      <c r="M22" s="88">
        <f t="shared" si="8"/>
        <v>785.07</v>
      </c>
      <c r="N22" s="90" t="s">
        <v>2769</v>
      </c>
      <c r="O22" s="31"/>
      <c r="P22" s="53"/>
      <c r="Q22" s="33"/>
      <c r="R22" s="54">
        <f t="shared" si="9"/>
        <v>785.07</v>
      </c>
      <c r="S22" s="30"/>
      <c r="T22" s="33"/>
      <c r="W22" s="169" t="s">
        <v>2782</v>
      </c>
      <c r="X22" s="155"/>
      <c r="Y22" s="155"/>
      <c r="Z22" s="155"/>
      <c r="AA22" s="155"/>
      <c r="AB22" s="156"/>
    </row>
    <row r="23" spans="1:28" ht="15.6" customHeight="1" x14ac:dyDescent="0.25">
      <c r="A23" s="83" t="s">
        <v>2768</v>
      </c>
      <c r="B23" s="84">
        <f t="shared" si="0"/>
        <v>46295</v>
      </c>
      <c r="C23" s="83" t="s">
        <v>2558</v>
      </c>
      <c r="D23" s="85" t="str">
        <f t="shared" si="1"/>
        <v>BERTIOGA</v>
      </c>
      <c r="E23" s="85">
        <f t="shared" si="2"/>
        <v>0</v>
      </c>
      <c r="F23" s="85">
        <f t="shared" si="3"/>
        <v>0</v>
      </c>
      <c r="G23" s="86">
        <f t="shared" si="4"/>
        <v>46273</v>
      </c>
      <c r="H23" s="25" t="s">
        <v>927</v>
      </c>
      <c r="I23" s="87" t="str">
        <f t="shared" si="5"/>
        <v>TRA  ATE 32MM CORR TA S/REP SF</v>
      </c>
      <c r="J23" s="85" t="str">
        <f t="shared" si="6"/>
        <v>un</v>
      </c>
      <c r="K23" s="49">
        <v>1</v>
      </c>
      <c r="L23" s="88">
        <f t="shared" si="7"/>
        <v>785.07</v>
      </c>
      <c r="M23" s="88">
        <f t="shared" si="8"/>
        <v>785.07</v>
      </c>
      <c r="N23" s="90" t="s">
        <v>2769</v>
      </c>
      <c r="O23" s="31"/>
      <c r="P23" s="53"/>
      <c r="Q23" s="33"/>
      <c r="R23" s="54">
        <f t="shared" si="9"/>
        <v>785.07</v>
      </c>
      <c r="S23" s="30"/>
      <c r="T23" s="33"/>
      <c r="W23" s="169" t="s">
        <v>2783</v>
      </c>
      <c r="X23" s="155"/>
      <c r="Y23" s="155"/>
      <c r="Z23" s="155"/>
      <c r="AA23" s="155"/>
      <c r="AB23" s="156"/>
    </row>
    <row r="24" spans="1:28" ht="15.6" customHeight="1" x14ac:dyDescent="0.25">
      <c r="A24" s="83" t="s">
        <v>2768</v>
      </c>
      <c r="B24" s="84">
        <f t="shared" si="0"/>
        <v>46295</v>
      </c>
      <c r="C24" s="83" t="s">
        <v>2559</v>
      </c>
      <c r="D24" s="85" t="str">
        <f t="shared" si="1"/>
        <v>BERTIOGA</v>
      </c>
      <c r="E24" s="85">
        <f t="shared" si="2"/>
        <v>0</v>
      </c>
      <c r="F24" s="85">
        <f t="shared" si="3"/>
        <v>0</v>
      </c>
      <c r="G24" s="86">
        <f t="shared" si="4"/>
        <v>46273</v>
      </c>
      <c r="H24" s="25" t="s">
        <v>927</v>
      </c>
      <c r="I24" s="87" t="str">
        <f t="shared" si="5"/>
        <v>TRA  ATE 32MM CORR TA S/REP SF</v>
      </c>
      <c r="J24" s="85" t="str">
        <f t="shared" si="6"/>
        <v>un</v>
      </c>
      <c r="K24" s="49">
        <v>1</v>
      </c>
      <c r="L24" s="88">
        <f t="shared" si="7"/>
        <v>785.07</v>
      </c>
      <c r="M24" s="88">
        <f t="shared" si="8"/>
        <v>785.07</v>
      </c>
      <c r="N24" s="90" t="s">
        <v>2769</v>
      </c>
      <c r="O24" s="31"/>
      <c r="P24" s="53"/>
      <c r="Q24" s="33"/>
      <c r="R24" s="54">
        <f t="shared" si="9"/>
        <v>785.07</v>
      </c>
      <c r="S24" s="30"/>
      <c r="T24" s="33"/>
      <c r="W24" s="169" t="s">
        <v>2784</v>
      </c>
      <c r="X24" s="155"/>
      <c r="Y24" s="155"/>
      <c r="Z24" s="155"/>
      <c r="AA24" s="155"/>
      <c r="AB24" s="156"/>
    </row>
    <row r="25" spans="1:28" ht="15.6" customHeight="1" x14ac:dyDescent="0.25">
      <c r="A25" s="83" t="s">
        <v>2768</v>
      </c>
      <c r="B25" s="84">
        <f t="shared" si="0"/>
        <v>46295</v>
      </c>
      <c r="C25" s="83" t="s">
        <v>2560</v>
      </c>
      <c r="D25" s="85" t="str">
        <f t="shared" si="1"/>
        <v>BERTIOGA</v>
      </c>
      <c r="E25" s="85">
        <f t="shared" si="2"/>
        <v>0</v>
      </c>
      <c r="F25" s="85">
        <f t="shared" si="3"/>
        <v>0</v>
      </c>
      <c r="G25" s="86">
        <f t="shared" si="4"/>
        <v>46276</v>
      </c>
      <c r="H25" s="25" t="s">
        <v>927</v>
      </c>
      <c r="I25" s="87" t="str">
        <f t="shared" si="5"/>
        <v>TRA  ATE 32MM CORR TA S/REP SF</v>
      </c>
      <c r="J25" s="85" t="str">
        <f t="shared" si="6"/>
        <v>un</v>
      </c>
      <c r="K25" s="49">
        <v>1</v>
      </c>
      <c r="L25" s="88">
        <f t="shared" si="7"/>
        <v>785.07</v>
      </c>
      <c r="M25" s="88">
        <f t="shared" si="8"/>
        <v>785.07</v>
      </c>
      <c r="N25" s="90" t="s">
        <v>2769</v>
      </c>
      <c r="O25" s="31"/>
      <c r="P25" s="53"/>
      <c r="Q25" s="33"/>
      <c r="R25" s="54">
        <f t="shared" si="9"/>
        <v>785.07</v>
      </c>
      <c r="S25" s="30"/>
      <c r="T25" s="33"/>
      <c r="W25" s="169" t="s">
        <v>2785</v>
      </c>
      <c r="X25" s="155"/>
      <c r="Y25" s="155"/>
      <c r="Z25" s="155"/>
      <c r="AA25" s="155"/>
      <c r="AB25" s="156"/>
    </row>
    <row r="26" spans="1:28" ht="15.6" customHeight="1" x14ac:dyDescent="0.25">
      <c r="A26" s="83" t="s">
        <v>2768</v>
      </c>
      <c r="B26" s="84">
        <f t="shared" si="0"/>
        <v>46295</v>
      </c>
      <c r="C26" s="83" t="s">
        <v>2561</v>
      </c>
      <c r="D26" s="85" t="str">
        <f t="shared" si="1"/>
        <v>BERTIOGA</v>
      </c>
      <c r="E26" s="85">
        <f t="shared" si="2"/>
        <v>0</v>
      </c>
      <c r="F26" s="85">
        <f t="shared" si="3"/>
        <v>0</v>
      </c>
      <c r="G26" s="86">
        <f t="shared" si="4"/>
        <v>46274</v>
      </c>
      <c r="H26" s="25" t="s">
        <v>925</v>
      </c>
      <c r="I26" s="87" t="str">
        <f t="shared" si="5"/>
        <v>TCV SF</v>
      </c>
      <c r="J26" s="85" t="str">
        <f t="shared" si="6"/>
        <v>un</v>
      </c>
      <c r="K26" s="49">
        <v>1</v>
      </c>
      <c r="L26" s="88">
        <f t="shared" si="7"/>
        <v>301.47000000000003</v>
      </c>
      <c r="M26" s="88">
        <f t="shared" si="8"/>
        <v>301.47000000000003</v>
      </c>
      <c r="N26" s="90" t="s">
        <v>2769</v>
      </c>
      <c r="O26" s="31"/>
      <c r="P26" s="53"/>
      <c r="Q26" s="33"/>
      <c r="R26" s="54">
        <f t="shared" si="9"/>
        <v>301.47000000000003</v>
      </c>
      <c r="S26" s="30"/>
      <c r="T26" s="33"/>
      <c r="W26" s="169" t="s">
        <v>2786</v>
      </c>
      <c r="X26" s="155"/>
      <c r="Y26" s="155"/>
      <c r="Z26" s="155"/>
      <c r="AA26" s="155"/>
      <c r="AB26" s="156"/>
    </row>
    <row r="27" spans="1:28" x14ac:dyDescent="0.25">
      <c r="A27" s="83" t="s">
        <v>2768</v>
      </c>
      <c r="B27" s="84">
        <f t="shared" si="0"/>
        <v>46295</v>
      </c>
      <c r="C27" s="83" t="s">
        <v>2562</v>
      </c>
      <c r="D27" s="85" t="str">
        <f t="shared" si="1"/>
        <v>BERTIOGA</v>
      </c>
      <c r="E27" s="85">
        <f t="shared" si="2"/>
        <v>0</v>
      </c>
      <c r="F27" s="85">
        <f t="shared" si="3"/>
        <v>0</v>
      </c>
      <c r="G27" s="86">
        <f t="shared" si="4"/>
        <v>46274</v>
      </c>
      <c r="H27" s="25" t="s">
        <v>925</v>
      </c>
      <c r="I27" s="87" t="str">
        <f t="shared" si="5"/>
        <v>TCV SF</v>
      </c>
      <c r="J27" s="85" t="str">
        <f t="shared" si="6"/>
        <v>un</v>
      </c>
      <c r="K27" s="49">
        <v>1</v>
      </c>
      <c r="L27" s="88">
        <f t="shared" si="7"/>
        <v>301.47000000000003</v>
      </c>
      <c r="M27" s="88">
        <f t="shared" si="8"/>
        <v>301.47000000000003</v>
      </c>
      <c r="N27" s="90" t="s">
        <v>2769</v>
      </c>
      <c r="O27" s="31"/>
      <c r="P27" s="53"/>
      <c r="Q27" s="33"/>
      <c r="R27" s="54">
        <f t="shared" si="9"/>
        <v>301.47000000000003</v>
      </c>
      <c r="S27" s="30"/>
      <c r="T27" s="33"/>
      <c r="W27" s="125"/>
      <c r="X27" s="125"/>
      <c r="Y27" s="125"/>
      <c r="Z27" s="125"/>
      <c r="AA27" s="125"/>
      <c r="AB27" s="125"/>
    </row>
    <row r="28" spans="1:28" ht="15.6" customHeight="1" x14ac:dyDescent="0.25">
      <c r="A28" s="83" t="s">
        <v>2768</v>
      </c>
      <c r="B28" s="84">
        <f t="shared" si="0"/>
        <v>46295</v>
      </c>
      <c r="C28" s="83" t="s">
        <v>2563</v>
      </c>
      <c r="D28" s="85" t="str">
        <f t="shared" si="1"/>
        <v>BERTIOGA</v>
      </c>
      <c r="E28" s="85">
        <f t="shared" si="2"/>
        <v>0</v>
      </c>
      <c r="F28" s="85">
        <f t="shared" si="3"/>
        <v>0</v>
      </c>
      <c r="G28" s="86">
        <f t="shared" si="4"/>
        <v>46276</v>
      </c>
      <c r="H28" s="25" t="s">
        <v>1133</v>
      </c>
      <c r="I28" s="87" t="str">
        <f t="shared" si="5"/>
        <v>TRA  ATE 32MM CORR TO S/REP SF</v>
      </c>
      <c r="J28" s="85" t="str">
        <f t="shared" si="6"/>
        <v>un</v>
      </c>
      <c r="K28" s="49">
        <v>1</v>
      </c>
      <c r="L28" s="88">
        <f t="shared" si="7"/>
        <v>820.98</v>
      </c>
      <c r="M28" s="88">
        <f t="shared" si="8"/>
        <v>820.98</v>
      </c>
      <c r="N28" s="90" t="s">
        <v>2769</v>
      </c>
      <c r="O28" s="31"/>
      <c r="P28" s="53"/>
      <c r="Q28" s="33"/>
      <c r="R28" s="54">
        <f t="shared" si="9"/>
        <v>820.98</v>
      </c>
      <c r="S28" s="30"/>
      <c r="T28" s="33"/>
      <c r="W28" s="167" t="s">
        <v>2787</v>
      </c>
      <c r="X28" s="155"/>
      <c r="Y28" s="155"/>
      <c r="Z28" s="155"/>
      <c r="AA28" s="155"/>
      <c r="AB28" s="156"/>
    </row>
    <row r="29" spans="1:28" ht="15.6" customHeight="1" x14ac:dyDescent="0.25">
      <c r="A29" s="83" t="s">
        <v>2768</v>
      </c>
      <c r="B29" s="84">
        <f t="shared" si="0"/>
        <v>46295</v>
      </c>
      <c r="C29" s="83" t="s">
        <v>2563</v>
      </c>
      <c r="D29" s="85" t="str">
        <f t="shared" si="1"/>
        <v>BERTIOGA</v>
      </c>
      <c r="E29" s="85">
        <f t="shared" si="2"/>
        <v>0</v>
      </c>
      <c r="F29" s="85">
        <f t="shared" si="3"/>
        <v>0</v>
      </c>
      <c r="G29" s="86">
        <f t="shared" si="4"/>
        <v>46276</v>
      </c>
      <c r="H29" s="25" t="s">
        <v>1065</v>
      </c>
      <c r="I29" s="87" t="str">
        <f t="shared" si="5"/>
        <v>LRP ESP   LAG AVUL</v>
      </c>
      <c r="J29" s="85" t="str">
        <f t="shared" si="6"/>
        <v>un</v>
      </c>
      <c r="K29" s="49">
        <v>1</v>
      </c>
      <c r="L29" s="88">
        <f t="shared" si="7"/>
        <v>242.97</v>
      </c>
      <c r="M29" s="88">
        <f t="shared" si="8"/>
        <v>242.97</v>
      </c>
      <c r="N29" s="90" t="s">
        <v>2769</v>
      </c>
      <c r="O29" s="31"/>
      <c r="P29" s="53"/>
      <c r="Q29" s="33"/>
      <c r="R29" s="54">
        <f t="shared" si="9"/>
        <v>242.97</v>
      </c>
      <c r="S29" s="30"/>
      <c r="T29" s="33"/>
      <c r="W29" s="167" t="s">
        <v>2788</v>
      </c>
      <c r="X29" s="155"/>
      <c r="Y29" s="155"/>
      <c r="Z29" s="155"/>
      <c r="AA29" s="155"/>
      <c r="AB29" s="156"/>
    </row>
    <row r="30" spans="1:28" ht="15.6" customHeight="1" x14ac:dyDescent="0.25">
      <c r="A30" s="83" t="s">
        <v>2768</v>
      </c>
      <c r="B30" s="84">
        <f t="shared" si="0"/>
        <v>46295</v>
      </c>
      <c r="C30" s="83" t="s">
        <v>2563</v>
      </c>
      <c r="D30" s="85" t="str">
        <f t="shared" si="1"/>
        <v>BERTIOGA</v>
      </c>
      <c r="E30" s="85">
        <f t="shared" si="2"/>
        <v>0</v>
      </c>
      <c r="F30" s="85">
        <f t="shared" si="3"/>
        <v>0</v>
      </c>
      <c r="G30" s="86">
        <f t="shared" si="4"/>
        <v>46276</v>
      </c>
      <c r="H30" s="25" t="s">
        <v>1563</v>
      </c>
      <c r="I30" s="87" t="str">
        <f t="shared" si="5"/>
        <v>LPB ATE 2M TO TRE  COMPX C</v>
      </c>
      <c r="J30" s="85" t="str">
        <f t="shared" si="6"/>
        <v>un</v>
      </c>
      <c r="K30" s="49">
        <v>1</v>
      </c>
      <c r="L30" s="88">
        <f t="shared" si="7"/>
        <v>929.02</v>
      </c>
      <c r="M30" s="88">
        <f t="shared" si="8"/>
        <v>929.02</v>
      </c>
      <c r="N30" s="90" t="s">
        <v>2769</v>
      </c>
      <c r="O30" s="31"/>
      <c r="P30" s="53"/>
      <c r="Q30" s="33"/>
      <c r="R30" s="54">
        <f t="shared" si="9"/>
        <v>929.02</v>
      </c>
      <c r="S30" s="30"/>
      <c r="T30" s="33"/>
      <c r="W30" s="167" t="s">
        <v>158</v>
      </c>
      <c r="X30" s="155"/>
      <c r="Y30" s="155"/>
      <c r="Z30" s="155"/>
      <c r="AA30" s="155"/>
      <c r="AB30" s="156"/>
    </row>
    <row r="31" spans="1:28" ht="15.6" customHeight="1" x14ac:dyDescent="0.25">
      <c r="A31" s="83" t="s">
        <v>2768</v>
      </c>
      <c r="B31" s="84">
        <f t="shared" si="0"/>
        <v>46295</v>
      </c>
      <c r="C31" s="83" t="s">
        <v>2564</v>
      </c>
      <c r="D31" s="85" t="str">
        <f t="shared" si="1"/>
        <v>BERTIOGA</v>
      </c>
      <c r="E31" s="85">
        <f t="shared" si="2"/>
        <v>0</v>
      </c>
      <c r="F31" s="85">
        <f t="shared" si="3"/>
        <v>0</v>
      </c>
      <c r="G31" s="86">
        <f t="shared" si="4"/>
        <v>46276</v>
      </c>
      <c r="H31" s="30"/>
      <c r="I31" s="87" t="str">
        <f t="shared" si="5"/>
        <v/>
      </c>
      <c r="J31" s="85" t="str">
        <f t="shared" si="6"/>
        <v/>
      </c>
      <c r="K31" s="49"/>
      <c r="L31" s="88" t="str">
        <f t="shared" si="7"/>
        <v/>
      </c>
      <c r="M31" s="88" t="str">
        <f t="shared" si="8"/>
        <v/>
      </c>
      <c r="N31" s="30"/>
      <c r="O31" s="31"/>
      <c r="P31" s="53"/>
      <c r="Q31" s="33"/>
      <c r="R31" s="54" t="str">
        <f t="shared" si="9"/>
        <v/>
      </c>
      <c r="S31" s="30"/>
      <c r="T31" s="33"/>
      <c r="W31" s="167" t="s">
        <v>159</v>
      </c>
      <c r="X31" s="155"/>
      <c r="Y31" s="155"/>
      <c r="Z31" s="155"/>
      <c r="AA31" s="155"/>
      <c r="AB31" s="156"/>
    </row>
    <row r="32" spans="1:28" ht="15.6" customHeight="1" x14ac:dyDescent="0.25">
      <c r="A32" s="83" t="s">
        <v>2768</v>
      </c>
      <c r="B32" s="84">
        <f t="shared" si="0"/>
        <v>31</v>
      </c>
      <c r="C32" s="83" t="s">
        <v>2565</v>
      </c>
      <c r="D32" s="85" t="str">
        <f t="shared" si="1"/>
        <v>BERTIOGA</v>
      </c>
      <c r="E32" s="85">
        <f t="shared" si="2"/>
        <v>0</v>
      </c>
      <c r="F32" s="85">
        <f t="shared" si="3"/>
        <v>0</v>
      </c>
      <c r="G32" s="86">
        <f t="shared" si="4"/>
        <v>0</v>
      </c>
      <c r="H32" s="30"/>
      <c r="I32" s="87" t="str">
        <f t="shared" si="5"/>
        <v/>
      </c>
      <c r="J32" s="85" t="str">
        <f t="shared" si="6"/>
        <v/>
      </c>
      <c r="K32" s="49"/>
      <c r="L32" s="88" t="str">
        <f t="shared" si="7"/>
        <v/>
      </c>
      <c r="M32" s="88" t="str">
        <f t="shared" si="8"/>
        <v/>
      </c>
      <c r="N32" s="30"/>
      <c r="O32" s="31"/>
      <c r="P32" s="53"/>
      <c r="Q32" s="33"/>
      <c r="R32" s="54" t="str">
        <f t="shared" si="9"/>
        <v/>
      </c>
      <c r="S32" s="30"/>
      <c r="T32" s="33"/>
      <c r="W32" s="167" t="s">
        <v>160</v>
      </c>
      <c r="X32" s="155"/>
      <c r="Y32" s="155"/>
      <c r="Z32" s="155"/>
      <c r="AA32" s="155"/>
      <c r="AB32" s="156"/>
    </row>
    <row r="33" spans="1:28" ht="15.6" customHeight="1" x14ac:dyDescent="0.25">
      <c r="A33" s="83" t="s">
        <v>2768</v>
      </c>
      <c r="B33" s="84">
        <f t="shared" si="0"/>
        <v>31</v>
      </c>
      <c r="C33" s="83" t="s">
        <v>2566</v>
      </c>
      <c r="D33" s="85" t="str">
        <f t="shared" si="1"/>
        <v>BERTIOGA</v>
      </c>
      <c r="E33" s="85">
        <f t="shared" si="2"/>
        <v>0</v>
      </c>
      <c r="F33" s="85">
        <f t="shared" si="3"/>
        <v>0</v>
      </c>
      <c r="G33" s="86">
        <f t="shared" si="4"/>
        <v>0</v>
      </c>
      <c r="H33" s="30"/>
      <c r="I33" s="87" t="str">
        <f t="shared" si="5"/>
        <v/>
      </c>
      <c r="J33" s="85" t="str">
        <f t="shared" si="6"/>
        <v/>
      </c>
      <c r="K33" s="49"/>
      <c r="L33" s="88" t="str">
        <f t="shared" si="7"/>
        <v/>
      </c>
      <c r="M33" s="88" t="str">
        <f t="shared" si="8"/>
        <v/>
      </c>
      <c r="N33" s="30"/>
      <c r="O33" s="31"/>
      <c r="P33" s="53"/>
      <c r="Q33" s="33"/>
      <c r="R33" s="54" t="str">
        <f t="shared" si="9"/>
        <v/>
      </c>
      <c r="S33" s="30"/>
      <c r="T33" s="33"/>
      <c r="W33" s="167" t="s">
        <v>161</v>
      </c>
      <c r="X33" s="155"/>
      <c r="Y33" s="155"/>
      <c r="Z33" s="155"/>
      <c r="AA33" s="155"/>
      <c r="AB33" s="156"/>
    </row>
    <row r="34" spans="1:28" ht="15.6" customHeight="1" x14ac:dyDescent="0.25">
      <c r="A34" s="83" t="s">
        <v>2768</v>
      </c>
      <c r="B34" s="84">
        <f t="shared" si="0"/>
        <v>46295</v>
      </c>
      <c r="C34" s="83" t="s">
        <v>2567</v>
      </c>
      <c r="D34" s="85" t="str">
        <f t="shared" si="1"/>
        <v>BERTIOGA</v>
      </c>
      <c r="E34" s="85">
        <f t="shared" si="2"/>
        <v>0</v>
      </c>
      <c r="F34" s="85">
        <f t="shared" si="3"/>
        <v>0</v>
      </c>
      <c r="G34" s="86">
        <f t="shared" si="4"/>
        <v>46276</v>
      </c>
      <c r="H34" s="25" t="s">
        <v>927</v>
      </c>
      <c r="I34" s="87" t="str">
        <f t="shared" si="5"/>
        <v>TRA  ATE 32MM CORR TA S/REP SF</v>
      </c>
      <c r="J34" s="85" t="str">
        <f t="shared" si="6"/>
        <v>un</v>
      </c>
      <c r="K34" s="49">
        <v>1</v>
      </c>
      <c r="L34" s="88">
        <f t="shared" si="7"/>
        <v>785.07</v>
      </c>
      <c r="M34" s="88">
        <f t="shared" si="8"/>
        <v>785.07</v>
      </c>
      <c r="N34" s="90" t="s">
        <v>2769</v>
      </c>
      <c r="O34" s="31"/>
      <c r="P34" s="53"/>
      <c r="Q34" s="33"/>
      <c r="R34" s="54">
        <f t="shared" si="9"/>
        <v>785.07</v>
      </c>
      <c r="S34" s="30"/>
      <c r="T34" s="33"/>
      <c r="W34" s="167" t="s">
        <v>162</v>
      </c>
      <c r="X34" s="155"/>
      <c r="Y34" s="155"/>
      <c r="Z34" s="155"/>
      <c r="AA34" s="155"/>
      <c r="AB34" s="156"/>
    </row>
    <row r="35" spans="1:28" ht="15.6" customHeight="1" x14ac:dyDescent="0.25">
      <c r="A35" s="83" t="s">
        <v>2768</v>
      </c>
      <c r="B35" s="84">
        <f t="shared" si="0"/>
        <v>46295</v>
      </c>
      <c r="C35" s="83" t="s">
        <v>2568</v>
      </c>
      <c r="D35" s="85" t="str">
        <f t="shared" si="1"/>
        <v>BERTIOGA</v>
      </c>
      <c r="E35" s="85">
        <f t="shared" si="2"/>
        <v>0</v>
      </c>
      <c r="F35" s="85">
        <f t="shared" si="3"/>
        <v>0</v>
      </c>
      <c r="G35" s="86">
        <f t="shared" si="4"/>
        <v>46279</v>
      </c>
      <c r="H35" s="25" t="s">
        <v>1133</v>
      </c>
      <c r="I35" s="87" t="str">
        <f t="shared" si="5"/>
        <v>TRA  ATE 32MM CORR TO S/REP SF</v>
      </c>
      <c r="J35" s="85" t="str">
        <f t="shared" si="6"/>
        <v>un</v>
      </c>
      <c r="K35" s="49">
        <v>2</v>
      </c>
      <c r="L35" s="88">
        <f t="shared" si="7"/>
        <v>820.98</v>
      </c>
      <c r="M35" s="88">
        <f t="shared" si="8"/>
        <v>1641.96</v>
      </c>
      <c r="N35" s="30"/>
      <c r="O35" s="31"/>
      <c r="P35" s="53"/>
      <c r="Q35" s="33"/>
      <c r="R35" s="54">
        <f t="shared" si="9"/>
        <v>1641.96</v>
      </c>
      <c r="S35" s="30"/>
      <c r="T35" s="33"/>
      <c r="W35" s="167" t="s">
        <v>163</v>
      </c>
      <c r="X35" s="155"/>
      <c r="Y35" s="155"/>
      <c r="Z35" s="155"/>
      <c r="AA35" s="155"/>
      <c r="AB35" s="156"/>
    </row>
    <row r="36" spans="1:28" s="125" customFormat="1" ht="15.6" customHeight="1" x14ac:dyDescent="0.25">
      <c r="A36" s="83" t="s">
        <v>2789</v>
      </c>
      <c r="B36" s="84">
        <f t="shared" si="0"/>
        <v>46295</v>
      </c>
      <c r="C36" s="83" t="s">
        <v>2568</v>
      </c>
      <c r="D36" s="85" t="str">
        <f t="shared" si="1"/>
        <v>BERTIOGA</v>
      </c>
      <c r="E36" s="85">
        <f t="shared" si="2"/>
        <v>0</v>
      </c>
      <c r="F36" s="85">
        <f t="shared" si="3"/>
        <v>0</v>
      </c>
      <c r="G36" s="86">
        <f t="shared" si="4"/>
        <v>46279</v>
      </c>
      <c r="H36" s="25" t="s">
        <v>1065</v>
      </c>
      <c r="I36" s="87" t="str">
        <f t="shared" si="5"/>
        <v>LRP ESP   LAG AVUL</v>
      </c>
      <c r="J36" s="85" t="str">
        <f t="shared" si="6"/>
        <v>un</v>
      </c>
      <c r="K36" s="49">
        <v>1</v>
      </c>
      <c r="L36" s="88">
        <f t="shared" si="7"/>
        <v>242.97</v>
      </c>
      <c r="M36" s="88">
        <f t="shared" si="8"/>
        <v>242.97</v>
      </c>
      <c r="N36" s="30"/>
      <c r="O36" s="31"/>
      <c r="P36" s="53"/>
      <c r="Q36" s="33"/>
      <c r="R36" s="54">
        <f t="shared" si="9"/>
        <v>242.97</v>
      </c>
      <c r="S36" s="30"/>
      <c r="T36" s="33"/>
      <c r="W36" s="127"/>
    </row>
    <row r="37" spans="1:28" s="125" customFormat="1" ht="15.6" customHeight="1" x14ac:dyDescent="0.25">
      <c r="A37" s="83" t="s">
        <v>2789</v>
      </c>
      <c r="B37" s="84">
        <f t="shared" si="0"/>
        <v>46295</v>
      </c>
      <c r="C37" s="83" t="s">
        <v>2568</v>
      </c>
      <c r="D37" s="85" t="str">
        <f t="shared" si="1"/>
        <v>BERTIOGA</v>
      </c>
      <c r="E37" s="85">
        <f t="shared" si="2"/>
        <v>0</v>
      </c>
      <c r="F37" s="85">
        <f t="shared" si="3"/>
        <v>0</v>
      </c>
      <c r="G37" s="86">
        <f t="shared" si="4"/>
        <v>46279</v>
      </c>
      <c r="H37" s="25" t="s">
        <v>1563</v>
      </c>
      <c r="I37" s="87" t="str">
        <f t="shared" si="5"/>
        <v>LPB ATE 2M TO TRE  COMPX C</v>
      </c>
      <c r="J37" s="85" t="str">
        <f t="shared" si="6"/>
        <v>un</v>
      </c>
      <c r="K37" s="49">
        <v>1</v>
      </c>
      <c r="L37" s="88">
        <f t="shared" si="7"/>
        <v>929.02</v>
      </c>
      <c r="M37" s="88">
        <f t="shared" si="8"/>
        <v>929.02</v>
      </c>
      <c r="N37" s="30"/>
      <c r="O37" s="31"/>
      <c r="P37" s="53"/>
      <c r="Q37" s="33"/>
      <c r="R37" s="54">
        <f t="shared" si="9"/>
        <v>929.02</v>
      </c>
      <c r="S37" s="30"/>
      <c r="T37" s="33"/>
      <c r="W37" s="127"/>
    </row>
    <row r="38" spans="1:28" x14ac:dyDescent="0.25">
      <c r="A38" s="83" t="s">
        <v>2768</v>
      </c>
      <c r="B38" s="84">
        <f t="shared" si="0"/>
        <v>46295</v>
      </c>
      <c r="C38" s="83" t="s">
        <v>2569</v>
      </c>
      <c r="D38" s="85" t="str">
        <f t="shared" si="1"/>
        <v>BERTIOGA</v>
      </c>
      <c r="E38" s="85">
        <f t="shared" si="2"/>
        <v>0</v>
      </c>
      <c r="F38" s="85">
        <f t="shared" si="3"/>
        <v>0</v>
      </c>
      <c r="G38" s="86">
        <f t="shared" si="4"/>
        <v>46280</v>
      </c>
      <c r="H38" s="25" t="s">
        <v>1133</v>
      </c>
      <c r="I38" s="87" t="str">
        <f t="shared" si="5"/>
        <v>TRA  ATE 32MM CORR TO S/REP SF</v>
      </c>
      <c r="J38" s="85" t="str">
        <f t="shared" si="6"/>
        <v>un</v>
      </c>
      <c r="K38" s="49">
        <v>1</v>
      </c>
      <c r="L38" s="88">
        <f t="shared" si="7"/>
        <v>820.98</v>
      </c>
      <c r="M38" s="88">
        <f t="shared" si="8"/>
        <v>820.98</v>
      </c>
      <c r="N38" s="30"/>
      <c r="O38" s="31"/>
      <c r="P38" s="53"/>
      <c r="Q38" s="33"/>
      <c r="R38" s="54">
        <f t="shared" si="9"/>
        <v>820.98</v>
      </c>
      <c r="S38" s="30"/>
      <c r="T38" s="33"/>
      <c r="W38" s="125"/>
      <c r="X38" s="125"/>
      <c r="Y38" s="125"/>
      <c r="Z38" s="125"/>
      <c r="AA38" s="125"/>
      <c r="AB38" s="125"/>
    </row>
    <row r="39" spans="1:28" ht="15.6" customHeight="1" x14ac:dyDescent="0.25">
      <c r="A39" s="83" t="s">
        <v>2768</v>
      </c>
      <c r="B39" s="84">
        <f t="shared" si="0"/>
        <v>46295</v>
      </c>
      <c r="C39" s="83" t="s">
        <v>2570</v>
      </c>
      <c r="D39" s="85" t="str">
        <f t="shared" si="1"/>
        <v>BERTIOGA</v>
      </c>
      <c r="E39" s="85">
        <f t="shared" si="2"/>
        <v>0</v>
      </c>
      <c r="F39" s="85">
        <f t="shared" si="3"/>
        <v>0</v>
      </c>
      <c r="G39" s="86">
        <f t="shared" si="4"/>
        <v>46280</v>
      </c>
      <c r="H39" s="25" t="s">
        <v>1133</v>
      </c>
      <c r="I39" s="87" t="str">
        <f t="shared" si="5"/>
        <v>TRA  ATE 32MM CORR TO S/REP SF</v>
      </c>
      <c r="J39" s="85" t="str">
        <f t="shared" si="6"/>
        <v>un</v>
      </c>
      <c r="K39" s="49">
        <v>1</v>
      </c>
      <c r="L39" s="88">
        <f t="shared" si="7"/>
        <v>820.98</v>
      </c>
      <c r="M39" s="88">
        <f t="shared" si="8"/>
        <v>820.98</v>
      </c>
      <c r="N39" s="30"/>
      <c r="O39" s="31"/>
      <c r="P39" s="53"/>
      <c r="Q39" s="33"/>
      <c r="R39" s="54">
        <f t="shared" si="9"/>
        <v>820.98</v>
      </c>
      <c r="S39" s="30"/>
      <c r="T39" s="33"/>
      <c r="W39" s="170" t="s">
        <v>2790</v>
      </c>
      <c r="X39" s="155"/>
      <c r="Y39" s="155"/>
      <c r="Z39" s="155"/>
      <c r="AA39" s="155"/>
      <c r="AB39" s="156"/>
    </row>
    <row r="40" spans="1:28" s="125" customFormat="1" ht="15.6" customHeight="1" x14ac:dyDescent="0.25">
      <c r="A40" s="83" t="s">
        <v>2768</v>
      </c>
      <c r="B40" s="84">
        <f t="shared" si="0"/>
        <v>46295</v>
      </c>
      <c r="C40" s="83" t="s">
        <v>2570</v>
      </c>
      <c r="D40" s="85" t="str">
        <f t="shared" si="1"/>
        <v>BERTIOGA</v>
      </c>
      <c r="E40" s="85">
        <f t="shared" si="2"/>
        <v>0</v>
      </c>
      <c r="F40" s="85">
        <f t="shared" si="3"/>
        <v>0</v>
      </c>
      <c r="G40" s="86">
        <f t="shared" si="4"/>
        <v>46280</v>
      </c>
      <c r="H40" s="25" t="s">
        <v>925</v>
      </c>
      <c r="I40" s="87" t="str">
        <f t="shared" si="5"/>
        <v>TCV SF</v>
      </c>
      <c r="J40" s="85" t="str">
        <f t="shared" si="6"/>
        <v>un</v>
      </c>
      <c r="K40" s="49">
        <v>1</v>
      </c>
      <c r="L40" s="88">
        <f t="shared" si="7"/>
        <v>301.47000000000003</v>
      </c>
      <c r="M40" s="88">
        <f t="shared" si="8"/>
        <v>301.47000000000003</v>
      </c>
      <c r="N40" s="30"/>
      <c r="O40" s="31"/>
      <c r="P40" s="53"/>
      <c r="Q40" s="33"/>
      <c r="R40" s="54">
        <f t="shared" si="9"/>
        <v>301.47000000000003</v>
      </c>
      <c r="S40" s="30"/>
      <c r="T40" s="33"/>
      <c r="W40" s="126"/>
      <c r="X40" s="107"/>
      <c r="Y40" s="107"/>
      <c r="Z40" s="107"/>
      <c r="AA40" s="107"/>
      <c r="AB40" s="108"/>
    </row>
    <row r="41" spans="1:28" s="125" customFormat="1" ht="15.6" customHeight="1" x14ac:dyDescent="0.25">
      <c r="A41" s="83" t="s">
        <v>2768</v>
      </c>
      <c r="B41" s="84">
        <f t="shared" si="0"/>
        <v>46295</v>
      </c>
      <c r="C41" s="83" t="s">
        <v>2570</v>
      </c>
      <c r="D41" s="85" t="str">
        <f t="shared" si="1"/>
        <v>BERTIOGA</v>
      </c>
      <c r="E41" s="85">
        <f t="shared" si="2"/>
        <v>0</v>
      </c>
      <c r="F41" s="85">
        <f t="shared" si="3"/>
        <v>0</v>
      </c>
      <c r="G41" s="86">
        <f t="shared" si="4"/>
        <v>46280</v>
      </c>
      <c r="H41" s="25" t="s">
        <v>1527</v>
      </c>
      <c r="I41" s="87" t="str">
        <f t="shared" si="5"/>
        <v>LRP CIM ATE 2M  TRE</v>
      </c>
      <c r="J41" s="85" t="str">
        <f t="shared" si="6"/>
        <v>un</v>
      </c>
      <c r="K41" s="49">
        <v>1</v>
      </c>
      <c r="L41" s="88">
        <f t="shared" si="7"/>
        <v>139.9</v>
      </c>
      <c r="M41" s="88">
        <f t="shared" si="8"/>
        <v>139.9</v>
      </c>
      <c r="N41" s="30"/>
      <c r="O41" s="31"/>
      <c r="P41" s="53"/>
      <c r="Q41" s="33"/>
      <c r="R41" s="54">
        <f t="shared" si="9"/>
        <v>139.9</v>
      </c>
      <c r="S41" s="30"/>
      <c r="T41" s="33"/>
      <c r="W41" s="126"/>
      <c r="X41" s="107"/>
      <c r="Y41" s="107"/>
      <c r="Z41" s="107"/>
      <c r="AA41" s="107"/>
      <c r="AB41" s="108"/>
    </row>
    <row r="42" spans="1:28" s="125" customFormat="1" ht="15.6" customHeight="1" x14ac:dyDescent="0.25">
      <c r="A42" s="83" t="s">
        <v>2768</v>
      </c>
      <c r="B42" s="84">
        <f t="shared" si="0"/>
        <v>46295</v>
      </c>
      <c r="C42" s="83" t="s">
        <v>2570</v>
      </c>
      <c r="D42" s="85" t="str">
        <f t="shared" si="1"/>
        <v>BERTIOGA</v>
      </c>
      <c r="E42" s="85">
        <f t="shared" si="2"/>
        <v>0</v>
      </c>
      <c r="F42" s="85">
        <f t="shared" si="3"/>
        <v>0</v>
      </c>
      <c r="G42" s="86">
        <f t="shared" si="4"/>
        <v>46280</v>
      </c>
      <c r="H42" s="25" t="s">
        <v>1563</v>
      </c>
      <c r="I42" s="87" t="str">
        <f t="shared" si="5"/>
        <v>LPB ATE 2M TO TRE  COMPX C</v>
      </c>
      <c r="J42" s="85" t="str">
        <f t="shared" si="6"/>
        <v>un</v>
      </c>
      <c r="K42" s="49">
        <v>1</v>
      </c>
      <c r="L42" s="88">
        <f t="shared" si="7"/>
        <v>929.02</v>
      </c>
      <c r="M42" s="88">
        <f t="shared" si="8"/>
        <v>929.02</v>
      </c>
      <c r="N42" s="30"/>
      <c r="O42" s="31"/>
      <c r="P42" s="53"/>
      <c r="Q42" s="33"/>
      <c r="R42" s="54">
        <f t="shared" si="9"/>
        <v>929.02</v>
      </c>
      <c r="S42" s="30"/>
      <c r="T42" s="33"/>
      <c r="W42" s="126"/>
      <c r="X42" s="107"/>
      <c r="Y42" s="107"/>
      <c r="Z42" s="107"/>
      <c r="AA42" s="107"/>
      <c r="AB42" s="108"/>
    </row>
    <row r="43" spans="1:28" s="125" customFormat="1" ht="15.6" customHeight="1" x14ac:dyDescent="0.25">
      <c r="A43" s="83" t="s">
        <v>2768</v>
      </c>
      <c r="B43" s="84">
        <f t="shared" si="0"/>
        <v>46295</v>
      </c>
      <c r="C43" s="83" t="s">
        <v>2570</v>
      </c>
      <c r="D43" s="85" t="str">
        <f t="shared" si="1"/>
        <v>BERTIOGA</v>
      </c>
      <c r="E43" s="85">
        <f t="shared" si="2"/>
        <v>0</v>
      </c>
      <c r="F43" s="85">
        <f t="shared" si="3"/>
        <v>0</v>
      </c>
      <c r="G43" s="86">
        <f t="shared" si="4"/>
        <v>46280</v>
      </c>
      <c r="H43" s="25" t="s">
        <v>1065</v>
      </c>
      <c r="I43" s="87" t="str">
        <f t="shared" si="5"/>
        <v>LRP ESP   LAG AVUL</v>
      </c>
      <c r="J43" s="85" t="str">
        <f t="shared" si="6"/>
        <v>un</v>
      </c>
      <c r="K43" s="49">
        <v>1</v>
      </c>
      <c r="L43" s="88">
        <f t="shared" si="7"/>
        <v>242.97</v>
      </c>
      <c r="M43" s="88">
        <f t="shared" si="8"/>
        <v>242.97</v>
      </c>
      <c r="N43" s="30"/>
      <c r="O43" s="31"/>
      <c r="P43" s="53"/>
      <c r="Q43" s="33"/>
      <c r="R43" s="54">
        <f t="shared" si="9"/>
        <v>242.97</v>
      </c>
      <c r="S43" s="30"/>
      <c r="T43" s="33"/>
      <c r="W43" s="126"/>
      <c r="X43" s="107"/>
      <c r="Y43" s="107"/>
      <c r="Z43" s="107"/>
      <c r="AA43" s="107"/>
      <c r="AB43" s="108"/>
    </row>
    <row r="44" spans="1:28" ht="15.6" customHeight="1" x14ac:dyDescent="0.25">
      <c r="A44" s="83" t="s">
        <v>2768</v>
      </c>
      <c r="B44" s="84">
        <f t="shared" si="0"/>
        <v>46295</v>
      </c>
      <c r="C44" s="83" t="s">
        <v>2571</v>
      </c>
      <c r="D44" s="85" t="str">
        <f t="shared" si="1"/>
        <v>BERTIOGA</v>
      </c>
      <c r="E44" s="85">
        <f t="shared" si="2"/>
        <v>0</v>
      </c>
      <c r="F44" s="85">
        <f t="shared" si="3"/>
        <v>0</v>
      </c>
      <c r="G44" s="86">
        <f t="shared" si="4"/>
        <v>46280</v>
      </c>
      <c r="H44" s="25" t="s">
        <v>1133</v>
      </c>
      <c r="I44" s="87" t="str">
        <f t="shared" si="5"/>
        <v>TRA  ATE 32MM CORR TO S/REP SF</v>
      </c>
      <c r="J44" s="85" t="str">
        <f t="shared" si="6"/>
        <v>un</v>
      </c>
      <c r="K44" s="49">
        <v>1</v>
      </c>
      <c r="L44" s="88">
        <f t="shared" si="7"/>
        <v>820.98</v>
      </c>
      <c r="M44" s="88">
        <f t="shared" si="8"/>
        <v>820.98</v>
      </c>
      <c r="N44" s="30"/>
      <c r="O44" s="31"/>
      <c r="P44" s="53"/>
      <c r="Q44" s="33"/>
      <c r="R44" s="54">
        <f t="shared" si="9"/>
        <v>820.98</v>
      </c>
      <c r="S44" s="30"/>
      <c r="T44" s="33"/>
      <c r="W44" s="170" t="s">
        <v>2791</v>
      </c>
      <c r="X44" s="155"/>
      <c r="Y44" s="155"/>
      <c r="Z44" s="155"/>
      <c r="AA44" s="155"/>
      <c r="AB44" s="156"/>
    </row>
    <row r="45" spans="1:28" s="125" customFormat="1" ht="15.6" customHeight="1" x14ac:dyDescent="0.25">
      <c r="A45" s="83" t="s">
        <v>2768</v>
      </c>
      <c r="B45" s="84">
        <f t="shared" si="0"/>
        <v>46295</v>
      </c>
      <c r="C45" s="83" t="s">
        <v>2571</v>
      </c>
      <c r="D45" s="85" t="str">
        <f t="shared" si="1"/>
        <v>BERTIOGA</v>
      </c>
      <c r="E45" s="85">
        <f t="shared" si="2"/>
        <v>0</v>
      </c>
      <c r="F45" s="85">
        <f t="shared" si="3"/>
        <v>0</v>
      </c>
      <c r="G45" s="86">
        <f t="shared" si="4"/>
        <v>46280</v>
      </c>
      <c r="H45" s="25" t="s">
        <v>1527</v>
      </c>
      <c r="I45" s="87" t="str">
        <f t="shared" si="5"/>
        <v>LRP CIM ATE 2M  TRE</v>
      </c>
      <c r="J45" s="85" t="str">
        <f t="shared" si="6"/>
        <v>un</v>
      </c>
      <c r="K45" s="49">
        <v>1</v>
      </c>
      <c r="L45" s="88">
        <f t="shared" si="7"/>
        <v>139.9</v>
      </c>
      <c r="M45" s="88">
        <f t="shared" si="8"/>
        <v>139.9</v>
      </c>
      <c r="N45" s="30"/>
      <c r="O45" s="31"/>
      <c r="P45" s="53"/>
      <c r="Q45" s="33"/>
      <c r="R45" s="54">
        <f t="shared" si="9"/>
        <v>139.9</v>
      </c>
      <c r="S45" s="30"/>
      <c r="T45" s="33"/>
      <c r="W45" s="126"/>
      <c r="X45" s="107"/>
      <c r="Y45" s="107"/>
      <c r="Z45" s="107"/>
      <c r="AA45" s="107"/>
      <c r="AB45" s="108"/>
    </row>
    <row r="46" spans="1:28" s="125" customFormat="1" ht="15.6" customHeight="1" x14ac:dyDescent="0.25">
      <c r="A46" s="83" t="s">
        <v>2768</v>
      </c>
      <c r="B46" s="84">
        <f t="shared" si="0"/>
        <v>46295</v>
      </c>
      <c r="C46" s="83" t="s">
        <v>2571</v>
      </c>
      <c r="D46" s="85" t="str">
        <f t="shared" si="1"/>
        <v>BERTIOGA</v>
      </c>
      <c r="E46" s="85">
        <f t="shared" si="2"/>
        <v>0</v>
      </c>
      <c r="F46" s="85">
        <f t="shared" si="3"/>
        <v>0</v>
      </c>
      <c r="G46" s="86">
        <f t="shared" si="4"/>
        <v>46280</v>
      </c>
      <c r="H46" s="25" t="s">
        <v>1563</v>
      </c>
      <c r="I46" s="87" t="str">
        <f t="shared" si="5"/>
        <v>LPB ATE 2M TO TRE  COMPX C</v>
      </c>
      <c r="J46" s="85" t="str">
        <f t="shared" si="6"/>
        <v>un</v>
      </c>
      <c r="K46" s="49">
        <v>1</v>
      </c>
      <c r="L46" s="88">
        <f t="shared" si="7"/>
        <v>929.02</v>
      </c>
      <c r="M46" s="88">
        <f t="shared" si="8"/>
        <v>929.02</v>
      </c>
      <c r="N46" s="30"/>
      <c r="O46" s="31"/>
      <c r="P46" s="53"/>
      <c r="Q46" s="33"/>
      <c r="R46" s="54">
        <f t="shared" si="9"/>
        <v>929.02</v>
      </c>
      <c r="S46" s="30"/>
      <c r="T46" s="33"/>
      <c r="W46" s="126"/>
      <c r="X46" s="107"/>
      <c r="Y46" s="107"/>
      <c r="Z46" s="107"/>
      <c r="AA46" s="107"/>
      <c r="AB46" s="108"/>
    </row>
    <row r="47" spans="1:28" s="125" customFormat="1" ht="15.6" customHeight="1" x14ac:dyDescent="0.25">
      <c r="A47" s="83" t="s">
        <v>2768</v>
      </c>
      <c r="B47" s="84">
        <f t="shared" si="0"/>
        <v>46295</v>
      </c>
      <c r="C47" s="83" t="s">
        <v>2571</v>
      </c>
      <c r="D47" s="85" t="str">
        <f t="shared" si="1"/>
        <v>BERTIOGA</v>
      </c>
      <c r="E47" s="85">
        <f t="shared" si="2"/>
        <v>0</v>
      </c>
      <c r="F47" s="85">
        <f t="shared" si="3"/>
        <v>0</v>
      </c>
      <c r="G47" s="86">
        <f t="shared" si="4"/>
        <v>46280</v>
      </c>
      <c r="H47" s="25" t="s">
        <v>1065</v>
      </c>
      <c r="I47" s="87" t="str">
        <f t="shared" si="5"/>
        <v>LRP ESP   LAG AVUL</v>
      </c>
      <c r="J47" s="85" t="str">
        <f t="shared" si="6"/>
        <v>un</v>
      </c>
      <c r="K47" s="49">
        <v>1</v>
      </c>
      <c r="L47" s="88">
        <f t="shared" si="7"/>
        <v>242.97</v>
      </c>
      <c r="M47" s="88">
        <f t="shared" si="8"/>
        <v>242.97</v>
      </c>
      <c r="N47" s="30"/>
      <c r="O47" s="31"/>
      <c r="P47" s="53"/>
      <c r="Q47" s="33"/>
      <c r="R47" s="54">
        <f t="shared" si="9"/>
        <v>242.97</v>
      </c>
      <c r="S47" s="30"/>
      <c r="T47" s="33"/>
      <c r="W47" s="126"/>
      <c r="X47" s="107"/>
      <c r="Y47" s="107"/>
      <c r="Z47" s="107"/>
      <c r="AA47" s="107"/>
      <c r="AB47" s="108"/>
    </row>
    <row r="48" spans="1:28" s="125" customFormat="1" ht="15.6" customHeight="1" x14ac:dyDescent="0.25">
      <c r="A48" s="83" t="s">
        <v>2768</v>
      </c>
      <c r="B48" s="113"/>
      <c r="C48" s="83" t="s">
        <v>2572</v>
      </c>
      <c r="D48" s="114"/>
      <c r="E48" s="114"/>
      <c r="F48" s="114"/>
      <c r="G48" s="115"/>
      <c r="H48" s="116"/>
      <c r="I48" s="117"/>
      <c r="J48" s="114"/>
      <c r="K48" s="118"/>
      <c r="L48" s="119"/>
      <c r="M48" s="119"/>
      <c r="N48" s="120"/>
      <c r="O48" s="121"/>
      <c r="P48" s="122"/>
      <c r="Q48" s="123"/>
      <c r="R48" s="124"/>
      <c r="S48" s="120"/>
      <c r="T48" s="123"/>
      <c r="W48" s="126"/>
      <c r="X48" s="107"/>
      <c r="Y48" s="107"/>
      <c r="Z48" s="107"/>
      <c r="AA48" s="107"/>
      <c r="AB48" s="108"/>
    </row>
    <row r="49" spans="1:28" ht="15.6" customHeight="1" x14ac:dyDescent="0.25">
      <c r="A49" s="83" t="s">
        <v>2768</v>
      </c>
      <c r="B49" s="84">
        <f t="shared" ref="B49:B116" si="10">IF($G49="","",EOMONTH($G49,0))</f>
        <v>46295</v>
      </c>
      <c r="C49" s="112" t="s">
        <v>2573</v>
      </c>
      <c r="D49" s="85" t="str">
        <f t="shared" ref="D49:D116" si="11">IFERROR(IF($C49="","",VLOOKUP($C49,CAD_TAB,2,FALSE)),"")</f>
        <v>BERTIOGA</v>
      </c>
      <c r="E49" s="85">
        <f t="shared" ref="E49:E116" si="12">IFERROR(IF($C49="","",VLOOKUP($C49,CAD_TAB,3,FALSE)),"")</f>
        <v>0</v>
      </c>
      <c r="F49" s="85">
        <f t="shared" ref="F49:F116" si="13">IFERROR(IF($C49="","",VLOOKUP($C49,OS_TAB,7,FALSE)),"")</f>
        <v>0</v>
      </c>
      <c r="G49" s="86">
        <f t="shared" ref="G49:G116" si="14">IFERROR(IF($C49="","",VLOOKUP($C49,OS_TAB,10,FALSE)),"")</f>
        <v>46280</v>
      </c>
      <c r="H49" s="25" t="s">
        <v>1133</v>
      </c>
      <c r="I49" s="87" t="str">
        <f t="shared" ref="I49:I116" si="15">IFERROR(IF($H49="","",VLOOKUP($H49,PRE_TAB,5,FALSE)),"CÓDIGO NÃO ENCONTRADO")</f>
        <v>TRA  ATE 32MM CORR TO S/REP SF</v>
      </c>
      <c r="J49" s="85" t="str">
        <f t="shared" ref="J49:J116" si="16">IFERROR(IF($H49="","",VLOOKUP($H49,PRE_TAB,7,FALSE)),"")</f>
        <v>un</v>
      </c>
      <c r="K49" s="49">
        <v>1</v>
      </c>
      <c r="L49" s="88">
        <f t="shared" ref="L49:L116" si="17">IFERROR(IF($H49="","",VLOOKUP($H49,PRE_TAB,8,FALSE)),0)</f>
        <v>820.98</v>
      </c>
      <c r="M49" s="88">
        <f t="shared" ref="M49:M116" si="18">IF($H49="","",ROUND($K49*$L49,2))</f>
        <v>820.98</v>
      </c>
      <c r="N49" s="30"/>
      <c r="O49" s="31"/>
      <c r="P49" s="53"/>
      <c r="Q49" s="33"/>
      <c r="R49" s="54">
        <f t="shared" ref="R49:R116" si="19">IF($H49="","",$M49-$P49)</f>
        <v>820.98</v>
      </c>
      <c r="S49" s="30"/>
      <c r="T49" s="33"/>
      <c r="W49" s="170" t="s">
        <v>2792</v>
      </c>
      <c r="X49" s="155"/>
      <c r="Y49" s="155"/>
      <c r="Z49" s="155"/>
      <c r="AA49" s="155"/>
      <c r="AB49" s="156"/>
    </row>
    <row r="50" spans="1:28" x14ac:dyDescent="0.25">
      <c r="A50" s="83" t="s">
        <v>2768</v>
      </c>
      <c r="B50" s="84">
        <f t="shared" si="10"/>
        <v>46295</v>
      </c>
      <c r="C50" s="112" t="s">
        <v>2573</v>
      </c>
      <c r="D50" s="85" t="str">
        <f t="shared" si="11"/>
        <v>BERTIOGA</v>
      </c>
      <c r="E50" s="85">
        <f t="shared" si="12"/>
        <v>0</v>
      </c>
      <c r="F50" s="85">
        <f t="shared" si="13"/>
        <v>0</v>
      </c>
      <c r="G50" s="86">
        <f t="shared" si="14"/>
        <v>46280</v>
      </c>
      <c r="H50" s="25" t="s">
        <v>1527</v>
      </c>
      <c r="I50" s="87" t="str">
        <f t="shared" si="15"/>
        <v>LRP CIM ATE 2M  TRE</v>
      </c>
      <c r="J50" s="85" t="str">
        <f t="shared" si="16"/>
        <v>un</v>
      </c>
      <c r="K50" s="49">
        <v>1</v>
      </c>
      <c r="L50" s="88">
        <f t="shared" si="17"/>
        <v>139.9</v>
      </c>
      <c r="M50" s="88">
        <f t="shared" si="18"/>
        <v>139.9</v>
      </c>
      <c r="N50" s="30"/>
      <c r="O50" s="31"/>
      <c r="P50" s="53"/>
      <c r="Q50" s="33"/>
      <c r="R50" s="54">
        <f t="shared" si="19"/>
        <v>139.9</v>
      </c>
      <c r="S50" s="30"/>
      <c r="T50" s="33"/>
      <c r="W50" s="125"/>
      <c r="X50" s="125"/>
      <c r="Y50" s="125"/>
      <c r="Z50" s="125"/>
      <c r="AA50" s="125"/>
      <c r="AB50" s="125"/>
    </row>
    <row r="51" spans="1:28" x14ac:dyDescent="0.25">
      <c r="A51" s="83" t="s">
        <v>2768</v>
      </c>
      <c r="B51" s="84">
        <f t="shared" si="10"/>
        <v>46295</v>
      </c>
      <c r="C51" s="112" t="s">
        <v>2573</v>
      </c>
      <c r="D51" s="85" t="str">
        <f t="shared" si="11"/>
        <v>BERTIOGA</v>
      </c>
      <c r="E51" s="85">
        <f t="shared" si="12"/>
        <v>0</v>
      </c>
      <c r="F51" s="85">
        <f t="shared" si="13"/>
        <v>0</v>
      </c>
      <c r="G51" s="86">
        <f t="shared" si="14"/>
        <v>46280</v>
      </c>
      <c r="H51" s="25" t="s">
        <v>1563</v>
      </c>
      <c r="I51" s="87" t="str">
        <f t="shared" si="15"/>
        <v>LPB ATE 2M TO TRE  COMPX C</v>
      </c>
      <c r="J51" s="85" t="str">
        <f t="shared" si="16"/>
        <v>un</v>
      </c>
      <c r="K51" s="49">
        <v>1</v>
      </c>
      <c r="L51" s="88">
        <f t="shared" si="17"/>
        <v>929.02</v>
      </c>
      <c r="M51" s="88">
        <f t="shared" si="18"/>
        <v>929.02</v>
      </c>
      <c r="N51" s="30"/>
      <c r="O51" s="31"/>
      <c r="P51" s="53"/>
      <c r="Q51" s="33"/>
      <c r="R51" s="54">
        <f t="shared" si="19"/>
        <v>929.02</v>
      </c>
      <c r="S51" s="30"/>
      <c r="T51" s="33"/>
      <c r="W51" s="125"/>
      <c r="X51" s="125"/>
      <c r="Y51" s="125"/>
      <c r="Z51" s="125"/>
      <c r="AA51" s="125"/>
      <c r="AB51" s="125"/>
    </row>
    <row r="52" spans="1:28" x14ac:dyDescent="0.25">
      <c r="A52" s="83" t="s">
        <v>2768</v>
      </c>
      <c r="B52" s="84">
        <f t="shared" si="10"/>
        <v>46295</v>
      </c>
      <c r="C52" s="112" t="s">
        <v>2573</v>
      </c>
      <c r="D52" s="85" t="str">
        <f t="shared" si="11"/>
        <v>BERTIOGA</v>
      </c>
      <c r="E52" s="85">
        <f t="shared" si="12"/>
        <v>0</v>
      </c>
      <c r="F52" s="85">
        <f t="shared" si="13"/>
        <v>0</v>
      </c>
      <c r="G52" s="86">
        <f t="shared" si="14"/>
        <v>46280</v>
      </c>
      <c r="H52" s="25" t="s">
        <v>1065</v>
      </c>
      <c r="I52" s="87" t="str">
        <f t="shared" si="15"/>
        <v>LRP ESP   LAG AVUL</v>
      </c>
      <c r="J52" s="85" t="str">
        <f t="shared" si="16"/>
        <v>un</v>
      </c>
      <c r="K52" s="49">
        <v>1</v>
      </c>
      <c r="L52" s="88">
        <f t="shared" si="17"/>
        <v>242.97</v>
      </c>
      <c r="M52" s="88">
        <f t="shared" si="18"/>
        <v>242.97</v>
      </c>
      <c r="N52" s="30"/>
      <c r="O52" s="31"/>
      <c r="P52" s="53"/>
      <c r="Q52" s="33"/>
      <c r="R52" s="54">
        <f t="shared" si="19"/>
        <v>242.97</v>
      </c>
      <c r="S52" s="30"/>
      <c r="T52" s="33"/>
      <c r="W52" s="125"/>
      <c r="X52" s="125"/>
      <c r="Y52" s="125"/>
      <c r="Z52" s="125"/>
      <c r="AA52" s="125"/>
      <c r="AB52" s="125"/>
    </row>
    <row r="53" spans="1:28" x14ac:dyDescent="0.25">
      <c r="A53" s="83" t="s">
        <v>2768</v>
      </c>
      <c r="B53" s="84" t="str">
        <f t="shared" si="10"/>
        <v/>
      </c>
      <c r="C53" s="112" t="s">
        <v>2574</v>
      </c>
      <c r="D53" s="85" t="str">
        <f t="shared" si="11"/>
        <v>BERTIOGA</v>
      </c>
      <c r="E53" s="85">
        <f t="shared" si="12"/>
        <v>0</v>
      </c>
      <c r="F53" s="85">
        <f t="shared" si="13"/>
        <v>0</v>
      </c>
      <c r="G53" s="86"/>
      <c r="H53" s="30"/>
      <c r="I53" s="87" t="str">
        <f t="shared" si="15"/>
        <v/>
      </c>
      <c r="J53" s="85" t="str">
        <f t="shared" si="16"/>
        <v/>
      </c>
      <c r="K53" s="49"/>
      <c r="L53" s="88" t="str">
        <f t="shared" si="17"/>
        <v/>
      </c>
      <c r="M53" s="88" t="str">
        <f t="shared" si="18"/>
        <v/>
      </c>
      <c r="N53" s="30"/>
      <c r="O53" s="31"/>
      <c r="P53" s="53"/>
      <c r="Q53" s="33"/>
      <c r="R53" s="54" t="str">
        <f t="shared" si="19"/>
        <v/>
      </c>
      <c r="S53" s="30"/>
      <c r="T53" s="33"/>
      <c r="W53" s="125"/>
      <c r="X53" s="125"/>
      <c r="Y53" s="125"/>
      <c r="Z53" s="125"/>
      <c r="AA53" s="125"/>
      <c r="AB53" s="125"/>
    </row>
    <row r="54" spans="1:28" x14ac:dyDescent="0.25">
      <c r="A54" s="83" t="s">
        <v>2768</v>
      </c>
      <c r="B54" s="84">
        <f t="shared" si="10"/>
        <v>46295</v>
      </c>
      <c r="C54" s="112" t="s">
        <v>2575</v>
      </c>
      <c r="D54" s="85" t="str">
        <f t="shared" si="11"/>
        <v>BERTIOGA</v>
      </c>
      <c r="E54" s="85">
        <f t="shared" si="12"/>
        <v>0</v>
      </c>
      <c r="F54" s="85">
        <f t="shared" si="13"/>
        <v>0</v>
      </c>
      <c r="G54" s="86">
        <v>46281</v>
      </c>
      <c r="H54" s="25" t="s">
        <v>927</v>
      </c>
      <c r="I54" s="87" t="str">
        <f t="shared" si="15"/>
        <v>TRA  ATE 32MM CORR TA S/REP SF</v>
      </c>
      <c r="J54" s="85" t="str">
        <f t="shared" si="16"/>
        <v>un</v>
      </c>
      <c r="K54" s="49">
        <v>1</v>
      </c>
      <c r="L54" s="88">
        <f t="shared" si="17"/>
        <v>785.07</v>
      </c>
      <c r="M54" s="88">
        <f t="shared" si="18"/>
        <v>785.07</v>
      </c>
      <c r="N54" s="30"/>
      <c r="O54" s="31"/>
      <c r="P54" s="53"/>
      <c r="Q54" s="33"/>
      <c r="R54" s="54">
        <f t="shared" si="19"/>
        <v>785.07</v>
      </c>
      <c r="S54" s="30"/>
      <c r="T54" s="33"/>
      <c r="W54" s="125"/>
      <c r="X54" s="125"/>
      <c r="Y54" s="125"/>
      <c r="Z54" s="125"/>
      <c r="AA54" s="125"/>
      <c r="AB54" s="125"/>
    </row>
    <row r="55" spans="1:28" s="193" customFormat="1" x14ac:dyDescent="0.25">
      <c r="A55" s="83" t="s">
        <v>2789</v>
      </c>
      <c r="B55" s="84">
        <f t="shared" si="10"/>
        <v>46295</v>
      </c>
      <c r="C55" s="112" t="s">
        <v>2575</v>
      </c>
      <c r="D55" s="85" t="str">
        <f t="shared" si="11"/>
        <v>BERTIOGA</v>
      </c>
      <c r="E55" s="85">
        <f t="shared" si="12"/>
        <v>0</v>
      </c>
      <c r="F55" s="85">
        <f t="shared" si="13"/>
        <v>0</v>
      </c>
      <c r="G55" s="86">
        <v>46282</v>
      </c>
      <c r="H55" s="25" t="s">
        <v>925</v>
      </c>
      <c r="I55" s="87" t="str">
        <f t="shared" si="15"/>
        <v>TCV SF</v>
      </c>
      <c r="J55" s="85" t="str">
        <f t="shared" si="16"/>
        <v>un</v>
      </c>
      <c r="K55" s="49">
        <v>1</v>
      </c>
      <c r="L55" s="88">
        <f t="shared" si="17"/>
        <v>301.47000000000003</v>
      </c>
      <c r="M55" s="88">
        <f t="shared" si="18"/>
        <v>301.47000000000003</v>
      </c>
      <c r="N55" s="30"/>
      <c r="O55" s="31"/>
      <c r="P55" s="53"/>
      <c r="Q55" s="33"/>
      <c r="R55" s="54">
        <f t="shared" si="19"/>
        <v>301.47000000000003</v>
      </c>
      <c r="S55" s="30"/>
      <c r="T55" s="33"/>
      <c r="W55" s="125"/>
      <c r="X55" s="125"/>
      <c r="Y55" s="125"/>
      <c r="Z55" s="125"/>
      <c r="AA55" s="125"/>
      <c r="AB55" s="125"/>
    </row>
    <row r="56" spans="1:28" s="193" customFormat="1" x14ac:dyDescent="0.25">
      <c r="A56" s="83" t="s">
        <v>2768</v>
      </c>
      <c r="B56" s="84">
        <f t="shared" si="10"/>
        <v>46295</v>
      </c>
      <c r="C56" s="112" t="s">
        <v>2575</v>
      </c>
      <c r="D56" s="85" t="str">
        <f t="shared" si="11"/>
        <v>BERTIOGA</v>
      </c>
      <c r="E56" s="85">
        <f t="shared" si="12"/>
        <v>0</v>
      </c>
      <c r="F56" s="85">
        <f t="shared" si="13"/>
        <v>0</v>
      </c>
      <c r="G56" s="86">
        <v>46281</v>
      </c>
      <c r="H56" s="25" t="s">
        <v>1527</v>
      </c>
      <c r="I56" s="87" t="str">
        <f t="shared" si="15"/>
        <v>LRP CIM ATE 2M  TRE</v>
      </c>
      <c r="J56" s="85" t="str">
        <f t="shared" si="16"/>
        <v>un</v>
      </c>
      <c r="K56" s="49">
        <v>1</v>
      </c>
      <c r="L56" s="88">
        <f t="shared" si="17"/>
        <v>139.9</v>
      </c>
      <c r="M56" s="88">
        <f t="shared" si="18"/>
        <v>139.9</v>
      </c>
      <c r="N56" s="30"/>
      <c r="O56" s="31"/>
      <c r="P56" s="53"/>
      <c r="Q56" s="33"/>
      <c r="R56" s="54">
        <f t="shared" si="19"/>
        <v>139.9</v>
      </c>
      <c r="S56" s="30"/>
      <c r="T56" s="33"/>
      <c r="W56" s="125"/>
      <c r="X56" s="125"/>
      <c r="Y56" s="125"/>
      <c r="Z56" s="125"/>
      <c r="AA56" s="125"/>
      <c r="AB56" s="125"/>
    </row>
    <row r="57" spans="1:28" x14ac:dyDescent="0.25">
      <c r="A57" s="83" t="s">
        <v>2768</v>
      </c>
      <c r="B57" s="84">
        <f t="shared" si="10"/>
        <v>46295</v>
      </c>
      <c r="C57" s="112" t="s">
        <v>2576</v>
      </c>
      <c r="D57" s="85" t="str">
        <f t="shared" si="11"/>
        <v>BERTIOGA</v>
      </c>
      <c r="E57" s="85">
        <f t="shared" si="12"/>
        <v>0</v>
      </c>
      <c r="F57" s="85">
        <f t="shared" si="13"/>
        <v>0</v>
      </c>
      <c r="G57" s="86">
        <v>46281</v>
      </c>
      <c r="H57" s="25" t="s">
        <v>927</v>
      </c>
      <c r="I57" s="87" t="str">
        <f t="shared" si="15"/>
        <v>TRA  ATE 32MM CORR TA S/REP SF</v>
      </c>
      <c r="J57" s="85" t="str">
        <f t="shared" si="16"/>
        <v>un</v>
      </c>
      <c r="K57" s="49">
        <v>6</v>
      </c>
      <c r="L57" s="88">
        <f t="shared" si="17"/>
        <v>785.07</v>
      </c>
      <c r="M57" s="88">
        <f t="shared" si="18"/>
        <v>4710.42</v>
      </c>
      <c r="N57" s="30"/>
      <c r="O57" s="31"/>
      <c r="P57" s="53"/>
      <c r="Q57" s="33"/>
      <c r="R57" s="54">
        <f t="shared" si="19"/>
        <v>4710.42</v>
      </c>
      <c r="S57" s="30"/>
      <c r="T57" s="33"/>
      <c r="W57" s="125"/>
      <c r="X57" s="125"/>
      <c r="Y57" s="125"/>
      <c r="Z57" s="125"/>
      <c r="AA57" s="125"/>
      <c r="AB57" s="125"/>
    </row>
    <row r="58" spans="1:28" s="193" customFormat="1" x14ac:dyDescent="0.25">
      <c r="A58" s="83" t="s">
        <v>2768</v>
      </c>
      <c r="B58" s="84">
        <f t="shared" si="10"/>
        <v>46295</v>
      </c>
      <c r="C58" s="112" t="s">
        <v>2576</v>
      </c>
      <c r="D58" s="85" t="str">
        <f t="shared" si="11"/>
        <v>BERTIOGA</v>
      </c>
      <c r="E58" s="85">
        <f t="shared" si="12"/>
        <v>0</v>
      </c>
      <c r="F58" s="85">
        <f t="shared" si="13"/>
        <v>0</v>
      </c>
      <c r="G58" s="86">
        <v>46281</v>
      </c>
      <c r="H58" s="25" t="s">
        <v>925</v>
      </c>
      <c r="I58" s="87" t="str">
        <f t="shared" si="15"/>
        <v>TCV SF</v>
      </c>
      <c r="J58" s="85" t="str">
        <f t="shared" si="16"/>
        <v>un</v>
      </c>
      <c r="K58" s="49">
        <v>6</v>
      </c>
      <c r="L58" s="88">
        <f t="shared" si="17"/>
        <v>301.47000000000003</v>
      </c>
      <c r="M58" s="88">
        <f t="shared" si="18"/>
        <v>1808.82</v>
      </c>
      <c r="N58" s="30"/>
      <c r="O58" s="31"/>
      <c r="P58" s="53"/>
      <c r="Q58" s="33"/>
      <c r="R58" s="54">
        <f t="shared" si="19"/>
        <v>1808.82</v>
      </c>
      <c r="S58" s="30"/>
      <c r="T58" s="33"/>
      <c r="W58" s="125"/>
      <c r="X58" s="125"/>
      <c r="Y58" s="125"/>
      <c r="Z58" s="125"/>
      <c r="AA58" s="125"/>
      <c r="AB58" s="125"/>
    </row>
    <row r="59" spans="1:28" s="193" customFormat="1" x14ac:dyDescent="0.25">
      <c r="A59" s="83" t="s">
        <v>2768</v>
      </c>
      <c r="B59" s="84">
        <f t="shared" si="10"/>
        <v>46295</v>
      </c>
      <c r="C59" s="112" t="s">
        <v>2576</v>
      </c>
      <c r="D59" s="85" t="str">
        <f t="shared" si="11"/>
        <v>BERTIOGA</v>
      </c>
      <c r="E59" s="85">
        <f t="shared" si="12"/>
        <v>0</v>
      </c>
      <c r="F59" s="85">
        <f t="shared" si="13"/>
        <v>0</v>
      </c>
      <c r="G59" s="86">
        <v>46281</v>
      </c>
      <c r="H59" s="25" t="s">
        <v>1527</v>
      </c>
      <c r="I59" s="87" t="str">
        <f t="shared" si="15"/>
        <v>LRP CIM ATE 2M  TRE</v>
      </c>
      <c r="J59" s="85" t="str">
        <f t="shared" si="16"/>
        <v>un</v>
      </c>
      <c r="K59" s="49">
        <v>1</v>
      </c>
      <c r="L59" s="88">
        <f t="shared" si="17"/>
        <v>139.9</v>
      </c>
      <c r="M59" s="88">
        <f t="shared" si="18"/>
        <v>139.9</v>
      </c>
      <c r="N59" s="30"/>
      <c r="O59" s="31"/>
      <c r="P59" s="53"/>
      <c r="Q59" s="33"/>
      <c r="R59" s="54">
        <f t="shared" si="19"/>
        <v>139.9</v>
      </c>
      <c r="S59" s="30"/>
      <c r="T59" s="33"/>
      <c r="W59" s="125"/>
      <c r="X59" s="125"/>
      <c r="Y59" s="125"/>
      <c r="Z59" s="125"/>
      <c r="AA59" s="125"/>
      <c r="AB59" s="125"/>
    </row>
    <row r="60" spans="1:28" x14ac:dyDescent="0.25">
      <c r="A60" s="83" t="s">
        <v>2768</v>
      </c>
      <c r="B60" s="84" t="str">
        <f t="shared" si="10"/>
        <v/>
      </c>
      <c r="C60" s="112" t="s">
        <v>2577</v>
      </c>
      <c r="D60" s="85" t="str">
        <f t="shared" si="11"/>
        <v>BERTIOGA</v>
      </c>
      <c r="E60" s="85">
        <f t="shared" si="12"/>
        <v>0</v>
      </c>
      <c r="F60" s="85">
        <f t="shared" si="13"/>
        <v>0</v>
      </c>
      <c r="G60" s="86"/>
      <c r="H60" s="30"/>
      <c r="I60" s="87" t="str">
        <f t="shared" si="15"/>
        <v/>
      </c>
      <c r="J60" s="85" t="str">
        <f t="shared" si="16"/>
        <v/>
      </c>
      <c r="K60" s="49"/>
      <c r="L60" s="88" t="str">
        <f t="shared" si="17"/>
        <v/>
      </c>
      <c r="M60" s="88" t="str">
        <f t="shared" si="18"/>
        <v/>
      </c>
      <c r="N60" s="30"/>
      <c r="O60" s="31"/>
      <c r="P60" s="53"/>
      <c r="Q60" s="33"/>
      <c r="R60" s="54" t="str">
        <f t="shared" si="19"/>
        <v/>
      </c>
      <c r="S60" s="30"/>
      <c r="T60" s="33"/>
      <c r="W60" s="125"/>
      <c r="X60" s="125"/>
      <c r="Y60" s="125"/>
      <c r="Z60" s="125"/>
      <c r="AA60" s="125"/>
      <c r="AB60" s="125"/>
    </row>
    <row r="61" spans="1:28" x14ac:dyDescent="0.25">
      <c r="A61" s="83" t="s">
        <v>2768</v>
      </c>
      <c r="B61" s="84" t="str">
        <f t="shared" si="10"/>
        <v/>
      </c>
      <c r="C61" s="112" t="s">
        <v>2578</v>
      </c>
      <c r="D61" s="85" t="str">
        <f t="shared" si="11"/>
        <v>BERTIOGA</v>
      </c>
      <c r="E61" s="85">
        <f t="shared" si="12"/>
        <v>0</v>
      </c>
      <c r="F61" s="85">
        <f t="shared" si="13"/>
        <v>0</v>
      </c>
      <c r="G61" s="86"/>
      <c r="H61" s="30"/>
      <c r="I61" s="87" t="str">
        <f t="shared" si="15"/>
        <v/>
      </c>
      <c r="J61" s="85" t="str">
        <f t="shared" si="16"/>
        <v/>
      </c>
      <c r="K61" s="49"/>
      <c r="L61" s="88" t="str">
        <f t="shared" si="17"/>
        <v/>
      </c>
      <c r="M61" s="88" t="str">
        <f t="shared" si="18"/>
        <v/>
      </c>
      <c r="N61" s="30"/>
      <c r="O61" s="31"/>
      <c r="P61" s="53"/>
      <c r="Q61" s="33"/>
      <c r="R61" s="54" t="str">
        <f t="shared" si="19"/>
        <v/>
      </c>
      <c r="S61" s="30"/>
      <c r="T61" s="33"/>
      <c r="W61" s="125"/>
      <c r="X61" s="125"/>
      <c r="Y61" s="125"/>
      <c r="Z61" s="125"/>
      <c r="AA61" s="125"/>
      <c r="AB61" s="125"/>
    </row>
    <row r="62" spans="1:28" x14ac:dyDescent="0.25">
      <c r="A62" s="83" t="s">
        <v>2768</v>
      </c>
      <c r="B62" s="84" t="str">
        <f t="shared" si="10"/>
        <v/>
      </c>
      <c r="C62" s="112" t="s">
        <v>2579</v>
      </c>
      <c r="D62" s="85" t="str">
        <f t="shared" si="11"/>
        <v>BERTIOGA</v>
      </c>
      <c r="E62" s="85">
        <f t="shared" si="12"/>
        <v>0</v>
      </c>
      <c r="F62" s="85">
        <f t="shared" si="13"/>
        <v>0</v>
      </c>
      <c r="G62" s="86"/>
      <c r="H62" s="30"/>
      <c r="I62" s="87" t="str">
        <f t="shared" si="15"/>
        <v/>
      </c>
      <c r="J62" s="85" t="str">
        <f t="shared" si="16"/>
        <v/>
      </c>
      <c r="K62" s="49"/>
      <c r="L62" s="88" t="str">
        <f t="shared" si="17"/>
        <v/>
      </c>
      <c r="M62" s="88" t="str">
        <f t="shared" si="18"/>
        <v/>
      </c>
      <c r="N62" s="30"/>
      <c r="O62" s="31"/>
      <c r="P62" s="53"/>
      <c r="Q62" s="33"/>
      <c r="R62" s="54" t="str">
        <f t="shared" si="19"/>
        <v/>
      </c>
      <c r="S62" s="30"/>
      <c r="T62" s="33"/>
      <c r="W62" s="125"/>
      <c r="X62" s="125"/>
      <c r="Y62" s="125"/>
      <c r="Z62" s="125"/>
      <c r="AA62" s="125"/>
      <c r="AB62" s="125"/>
    </row>
    <row r="63" spans="1:28" x14ac:dyDescent="0.25">
      <c r="A63" s="83" t="s">
        <v>2768</v>
      </c>
      <c r="B63" s="84" t="str">
        <f t="shared" si="10"/>
        <v/>
      </c>
      <c r="C63" s="112" t="s">
        <v>2580</v>
      </c>
      <c r="D63" s="85" t="str">
        <f t="shared" si="11"/>
        <v>BERTIOGA</v>
      </c>
      <c r="E63" s="85">
        <f t="shared" si="12"/>
        <v>0</v>
      </c>
      <c r="F63" s="85">
        <f t="shared" si="13"/>
        <v>0</v>
      </c>
      <c r="G63" s="86"/>
      <c r="H63" s="30"/>
      <c r="I63" s="87" t="str">
        <f t="shared" si="15"/>
        <v/>
      </c>
      <c r="J63" s="85" t="str">
        <f t="shared" si="16"/>
        <v/>
      </c>
      <c r="K63" s="49"/>
      <c r="L63" s="88" t="str">
        <f t="shared" si="17"/>
        <v/>
      </c>
      <c r="M63" s="88" t="str">
        <f t="shared" si="18"/>
        <v/>
      </c>
      <c r="N63" s="30"/>
      <c r="O63" s="31"/>
      <c r="P63" s="53"/>
      <c r="Q63" s="33"/>
      <c r="R63" s="54" t="str">
        <f t="shared" si="19"/>
        <v/>
      </c>
      <c r="S63" s="30"/>
      <c r="T63" s="33"/>
      <c r="W63" s="125"/>
      <c r="X63" s="125"/>
      <c r="Y63" s="125"/>
      <c r="Z63" s="125"/>
      <c r="AA63" s="125"/>
      <c r="AB63" s="125"/>
    </row>
    <row r="64" spans="1:28" x14ac:dyDescent="0.25">
      <c r="A64" s="83" t="s">
        <v>2768</v>
      </c>
      <c r="B64" s="84" t="str">
        <f t="shared" si="10"/>
        <v/>
      </c>
      <c r="C64" s="112" t="s">
        <v>2581</v>
      </c>
      <c r="D64" s="85" t="str">
        <f t="shared" si="11"/>
        <v>BERTIOGA</v>
      </c>
      <c r="E64" s="85">
        <f t="shared" si="12"/>
        <v>0</v>
      </c>
      <c r="F64" s="85">
        <f t="shared" si="13"/>
        <v>0</v>
      </c>
      <c r="G64" s="86"/>
      <c r="H64" s="30"/>
      <c r="I64" s="87" t="str">
        <f t="shared" si="15"/>
        <v/>
      </c>
      <c r="J64" s="85" t="str">
        <f t="shared" si="16"/>
        <v/>
      </c>
      <c r="K64" s="49"/>
      <c r="L64" s="88" t="str">
        <f t="shared" si="17"/>
        <v/>
      </c>
      <c r="M64" s="88" t="str">
        <f t="shared" si="18"/>
        <v/>
      </c>
      <c r="N64" s="30"/>
      <c r="O64" s="31"/>
      <c r="P64" s="53"/>
      <c r="Q64" s="33"/>
      <c r="R64" s="54" t="str">
        <f t="shared" si="19"/>
        <v/>
      </c>
      <c r="S64" s="30"/>
      <c r="T64" s="33"/>
      <c r="W64" s="125"/>
      <c r="X64" s="125"/>
      <c r="Y64" s="125"/>
      <c r="Z64" s="125"/>
      <c r="AA64" s="125"/>
      <c r="AB64" s="125"/>
    </row>
    <row r="65" spans="1:28" x14ac:dyDescent="0.25">
      <c r="A65" s="83" t="s">
        <v>2768</v>
      </c>
      <c r="B65" s="84" t="str">
        <f t="shared" si="10"/>
        <v/>
      </c>
      <c r="C65" s="112" t="s">
        <v>2582</v>
      </c>
      <c r="D65" s="85" t="str">
        <f t="shared" si="11"/>
        <v>BERTIOGA</v>
      </c>
      <c r="E65" s="85">
        <f t="shared" si="12"/>
        <v>0</v>
      </c>
      <c r="F65" s="85">
        <f t="shared" si="13"/>
        <v>0</v>
      </c>
      <c r="G65" s="86"/>
      <c r="H65" s="30"/>
      <c r="I65" s="87" t="str">
        <f t="shared" si="15"/>
        <v/>
      </c>
      <c r="J65" s="85" t="str">
        <f t="shared" si="16"/>
        <v/>
      </c>
      <c r="K65" s="49"/>
      <c r="L65" s="88" t="str">
        <f t="shared" si="17"/>
        <v/>
      </c>
      <c r="M65" s="88" t="str">
        <f t="shared" si="18"/>
        <v/>
      </c>
      <c r="N65" s="30"/>
      <c r="O65" s="31"/>
      <c r="P65" s="53"/>
      <c r="Q65" s="33"/>
      <c r="R65" s="54" t="str">
        <f t="shared" si="19"/>
        <v/>
      </c>
      <c r="S65" s="30"/>
      <c r="T65" s="33"/>
      <c r="W65" s="125"/>
      <c r="X65" s="125"/>
      <c r="Y65" s="125"/>
      <c r="Z65" s="125"/>
      <c r="AA65" s="125"/>
      <c r="AB65" s="125"/>
    </row>
    <row r="66" spans="1:28" x14ac:dyDescent="0.25">
      <c r="A66" s="83" t="s">
        <v>2768</v>
      </c>
      <c r="B66" s="84" t="str">
        <f t="shared" si="10"/>
        <v/>
      </c>
      <c r="C66" s="112" t="s">
        <v>2583</v>
      </c>
      <c r="D66" s="85" t="str">
        <f t="shared" si="11"/>
        <v>BERTIOGA</v>
      </c>
      <c r="E66" s="85">
        <f t="shared" si="12"/>
        <v>0</v>
      </c>
      <c r="F66" s="85">
        <f t="shared" si="13"/>
        <v>0</v>
      </c>
      <c r="G66" s="86"/>
      <c r="H66" s="30"/>
      <c r="I66" s="87" t="str">
        <f t="shared" si="15"/>
        <v/>
      </c>
      <c r="J66" s="85" t="str">
        <f t="shared" si="16"/>
        <v/>
      </c>
      <c r="K66" s="49"/>
      <c r="L66" s="88" t="str">
        <f t="shared" si="17"/>
        <v/>
      </c>
      <c r="M66" s="88" t="str">
        <f t="shared" si="18"/>
        <v/>
      </c>
      <c r="N66" s="30"/>
      <c r="O66" s="31"/>
      <c r="P66" s="53"/>
      <c r="Q66" s="33"/>
      <c r="R66" s="54" t="str">
        <f t="shared" si="19"/>
        <v/>
      </c>
      <c r="S66" s="30"/>
      <c r="T66" s="33"/>
      <c r="W66" s="125"/>
      <c r="X66" s="125"/>
      <c r="Y66" s="125"/>
      <c r="Z66" s="125"/>
      <c r="AA66" s="125"/>
      <c r="AB66" s="125"/>
    </row>
    <row r="67" spans="1:28" x14ac:dyDescent="0.25">
      <c r="A67" s="83" t="s">
        <v>2768</v>
      </c>
      <c r="B67" s="84" t="str">
        <f t="shared" si="10"/>
        <v/>
      </c>
      <c r="C67" s="112" t="s">
        <v>2584</v>
      </c>
      <c r="D67" s="85" t="str">
        <f t="shared" si="11"/>
        <v>BERTIOGA</v>
      </c>
      <c r="E67" s="85">
        <f t="shared" si="12"/>
        <v>0</v>
      </c>
      <c r="F67" s="85">
        <f t="shared" si="13"/>
        <v>0</v>
      </c>
      <c r="G67" s="86"/>
      <c r="H67" s="30"/>
      <c r="I67" s="87" t="str">
        <f t="shared" si="15"/>
        <v/>
      </c>
      <c r="J67" s="85" t="str">
        <f t="shared" si="16"/>
        <v/>
      </c>
      <c r="K67" s="49"/>
      <c r="L67" s="88" t="str">
        <f t="shared" si="17"/>
        <v/>
      </c>
      <c r="M67" s="88" t="str">
        <f t="shared" si="18"/>
        <v/>
      </c>
      <c r="N67" s="30"/>
      <c r="O67" s="31"/>
      <c r="P67" s="53"/>
      <c r="Q67" s="33"/>
      <c r="R67" s="54" t="str">
        <f t="shared" si="19"/>
        <v/>
      </c>
      <c r="S67" s="30"/>
      <c r="T67" s="33"/>
      <c r="W67" s="125"/>
      <c r="X67" s="125"/>
      <c r="Y67" s="125"/>
      <c r="Z67" s="125"/>
      <c r="AA67" s="125"/>
      <c r="AB67" s="125"/>
    </row>
    <row r="68" spans="1:28" x14ac:dyDescent="0.25">
      <c r="A68" s="83" t="s">
        <v>2768</v>
      </c>
      <c r="B68" s="84" t="str">
        <f t="shared" si="10"/>
        <v/>
      </c>
      <c r="C68" s="112" t="s">
        <v>2585</v>
      </c>
      <c r="D68" s="85" t="str">
        <f t="shared" si="11"/>
        <v>BERTIOGA</v>
      </c>
      <c r="E68" s="85">
        <f t="shared" si="12"/>
        <v>0</v>
      </c>
      <c r="F68" s="85">
        <f t="shared" si="13"/>
        <v>0</v>
      </c>
      <c r="G68" s="86"/>
      <c r="H68" s="30"/>
      <c r="I68" s="87" t="str">
        <f t="shared" si="15"/>
        <v/>
      </c>
      <c r="J68" s="85" t="str">
        <f t="shared" si="16"/>
        <v/>
      </c>
      <c r="K68" s="49"/>
      <c r="L68" s="88" t="str">
        <f t="shared" si="17"/>
        <v/>
      </c>
      <c r="M68" s="88" t="str">
        <f t="shared" si="18"/>
        <v/>
      </c>
      <c r="N68" s="30"/>
      <c r="O68" s="31"/>
      <c r="P68" s="53"/>
      <c r="Q68" s="33"/>
      <c r="R68" s="54" t="str">
        <f t="shared" si="19"/>
        <v/>
      </c>
      <c r="S68" s="30"/>
      <c r="T68" s="33"/>
      <c r="W68" s="125"/>
      <c r="X68" s="125"/>
      <c r="Y68" s="125"/>
      <c r="Z68" s="125"/>
      <c r="AA68" s="125"/>
      <c r="AB68" s="125"/>
    </row>
    <row r="69" spans="1:28" x14ac:dyDescent="0.25">
      <c r="A69" s="83" t="s">
        <v>2768</v>
      </c>
      <c r="B69" s="84" t="str">
        <f t="shared" si="10"/>
        <v/>
      </c>
      <c r="C69" s="112" t="s">
        <v>2586</v>
      </c>
      <c r="D69" s="85" t="str">
        <f t="shared" si="11"/>
        <v>BERTIOGA</v>
      </c>
      <c r="E69" s="85">
        <f t="shared" si="12"/>
        <v>0</v>
      </c>
      <c r="F69" s="85">
        <f t="shared" si="13"/>
        <v>0</v>
      </c>
      <c r="G69" s="86"/>
      <c r="H69" s="30"/>
      <c r="I69" s="87" t="str">
        <f t="shared" si="15"/>
        <v/>
      </c>
      <c r="J69" s="85" t="str">
        <f t="shared" si="16"/>
        <v/>
      </c>
      <c r="K69" s="49"/>
      <c r="L69" s="88" t="str">
        <f t="shared" si="17"/>
        <v/>
      </c>
      <c r="M69" s="88" t="str">
        <f t="shared" si="18"/>
        <v/>
      </c>
      <c r="N69" s="30"/>
      <c r="O69" s="31"/>
      <c r="P69" s="53"/>
      <c r="Q69" s="33"/>
      <c r="R69" s="54" t="str">
        <f t="shared" si="19"/>
        <v/>
      </c>
      <c r="S69" s="30"/>
      <c r="T69" s="33"/>
      <c r="W69" s="125"/>
      <c r="X69" s="125"/>
      <c r="Y69" s="125"/>
      <c r="Z69" s="125"/>
      <c r="AA69" s="125"/>
      <c r="AB69" s="125"/>
    </row>
    <row r="70" spans="1:28" x14ac:dyDescent="0.25">
      <c r="A70" s="83" t="s">
        <v>2768</v>
      </c>
      <c r="B70" s="84" t="str">
        <f t="shared" si="10"/>
        <v/>
      </c>
      <c r="C70" s="112" t="s">
        <v>2587</v>
      </c>
      <c r="D70" s="85" t="str">
        <f t="shared" si="11"/>
        <v>BERTIOGA</v>
      </c>
      <c r="E70" s="85">
        <f t="shared" si="12"/>
        <v>0</v>
      </c>
      <c r="F70" s="85">
        <f t="shared" si="13"/>
        <v>0</v>
      </c>
      <c r="G70" s="86"/>
      <c r="H70" s="30"/>
      <c r="I70" s="87" t="str">
        <f t="shared" si="15"/>
        <v/>
      </c>
      <c r="J70" s="85" t="str">
        <f t="shared" si="16"/>
        <v/>
      </c>
      <c r="K70" s="49"/>
      <c r="L70" s="88" t="str">
        <f t="shared" si="17"/>
        <v/>
      </c>
      <c r="M70" s="88" t="str">
        <f t="shared" si="18"/>
        <v/>
      </c>
      <c r="N70" s="30"/>
      <c r="O70" s="31"/>
      <c r="P70" s="53"/>
      <c r="Q70" s="33"/>
      <c r="R70" s="54" t="str">
        <f t="shared" si="19"/>
        <v/>
      </c>
      <c r="S70" s="30"/>
      <c r="T70" s="33"/>
      <c r="W70" s="125"/>
      <c r="X70" s="125"/>
      <c r="Y70" s="125"/>
      <c r="Z70" s="125"/>
      <c r="AA70" s="125"/>
      <c r="AB70" s="125"/>
    </row>
    <row r="71" spans="1:28" x14ac:dyDescent="0.25">
      <c r="A71" s="83" t="s">
        <v>2768</v>
      </c>
      <c r="B71" s="84">
        <f t="shared" si="10"/>
        <v>46295</v>
      </c>
      <c r="C71" s="112" t="s">
        <v>3096</v>
      </c>
      <c r="D71" s="85" t="str">
        <f t="shared" si="11"/>
        <v>BERTIOGA</v>
      </c>
      <c r="E71" s="85">
        <f t="shared" si="12"/>
        <v>0</v>
      </c>
      <c r="F71" s="85">
        <f t="shared" si="13"/>
        <v>0</v>
      </c>
      <c r="G71" s="86">
        <v>46281</v>
      </c>
      <c r="H71" s="25" t="s">
        <v>1133</v>
      </c>
      <c r="I71" s="87" t="str">
        <f t="shared" si="15"/>
        <v>TRA  ATE 32MM CORR TO S/REP SF</v>
      </c>
      <c r="J71" s="85" t="str">
        <f t="shared" si="16"/>
        <v>un</v>
      </c>
      <c r="K71" s="49">
        <v>1</v>
      </c>
      <c r="L71" s="88">
        <f t="shared" si="17"/>
        <v>820.98</v>
      </c>
      <c r="M71" s="88">
        <f t="shared" si="18"/>
        <v>820.98</v>
      </c>
      <c r="N71" s="30"/>
      <c r="O71" s="31"/>
      <c r="P71" s="53"/>
      <c r="Q71" s="33"/>
      <c r="R71" s="54">
        <f t="shared" si="19"/>
        <v>820.98</v>
      </c>
      <c r="S71" s="30"/>
      <c r="T71" s="33"/>
      <c r="W71" s="125"/>
      <c r="X71" s="125"/>
      <c r="Y71" s="125"/>
      <c r="Z71" s="125"/>
      <c r="AA71" s="125"/>
      <c r="AB71" s="125"/>
    </row>
    <row r="72" spans="1:28" x14ac:dyDescent="0.25">
      <c r="A72" s="83" t="s">
        <v>2768</v>
      </c>
      <c r="B72" s="84">
        <f t="shared" si="10"/>
        <v>46295</v>
      </c>
      <c r="C72" s="112" t="s">
        <v>3096</v>
      </c>
      <c r="D72" s="85" t="str">
        <f t="shared" si="11"/>
        <v>BERTIOGA</v>
      </c>
      <c r="E72" s="85">
        <f t="shared" si="12"/>
        <v>0</v>
      </c>
      <c r="F72" s="85">
        <f t="shared" si="13"/>
        <v>0</v>
      </c>
      <c r="G72" s="86">
        <v>46281</v>
      </c>
      <c r="H72" s="25" t="s">
        <v>1527</v>
      </c>
      <c r="I72" s="87" t="str">
        <f t="shared" si="15"/>
        <v>LRP CIM ATE 2M  TRE</v>
      </c>
      <c r="J72" s="85" t="str">
        <f t="shared" si="16"/>
        <v>un</v>
      </c>
      <c r="K72" s="49">
        <v>1</v>
      </c>
      <c r="L72" s="88">
        <f t="shared" si="17"/>
        <v>139.9</v>
      </c>
      <c r="M72" s="88">
        <f t="shared" si="18"/>
        <v>139.9</v>
      </c>
      <c r="N72" s="30"/>
      <c r="O72" s="31"/>
      <c r="P72" s="53"/>
      <c r="Q72" s="33"/>
      <c r="R72" s="54">
        <f t="shared" si="19"/>
        <v>139.9</v>
      </c>
      <c r="S72" s="30"/>
      <c r="T72" s="33"/>
      <c r="W72" s="125"/>
      <c r="X72" s="125"/>
      <c r="Y72" s="125"/>
      <c r="Z72" s="125"/>
      <c r="AA72" s="125"/>
      <c r="AB72" s="125"/>
    </row>
    <row r="73" spans="1:28" x14ac:dyDescent="0.25">
      <c r="A73" s="83" t="s">
        <v>2768</v>
      </c>
      <c r="B73" s="84">
        <f t="shared" si="10"/>
        <v>46295</v>
      </c>
      <c r="C73" s="112" t="s">
        <v>3096</v>
      </c>
      <c r="D73" s="85" t="str">
        <f t="shared" si="11"/>
        <v>BERTIOGA</v>
      </c>
      <c r="E73" s="85">
        <f t="shared" si="12"/>
        <v>0</v>
      </c>
      <c r="F73" s="85">
        <f t="shared" si="13"/>
        <v>0</v>
      </c>
      <c r="G73" s="86">
        <v>46281</v>
      </c>
      <c r="H73" s="25" t="s">
        <v>1563</v>
      </c>
      <c r="I73" s="87" t="str">
        <f t="shared" si="15"/>
        <v>LPB ATE 2M TO TRE  COMPX C</v>
      </c>
      <c r="J73" s="85" t="str">
        <f t="shared" si="16"/>
        <v>un</v>
      </c>
      <c r="K73" s="49">
        <v>1</v>
      </c>
      <c r="L73" s="88">
        <f t="shared" si="17"/>
        <v>929.02</v>
      </c>
      <c r="M73" s="88">
        <f t="shared" si="18"/>
        <v>929.02</v>
      </c>
      <c r="N73" s="30"/>
      <c r="O73" s="31"/>
      <c r="P73" s="53"/>
      <c r="Q73" s="33"/>
      <c r="R73" s="54">
        <f t="shared" si="19"/>
        <v>929.02</v>
      </c>
      <c r="S73" s="30"/>
      <c r="T73" s="33"/>
      <c r="W73" s="125"/>
      <c r="X73" s="125"/>
      <c r="Y73" s="125"/>
      <c r="Z73" s="125"/>
      <c r="AA73" s="125"/>
      <c r="AB73" s="125"/>
    </row>
    <row r="74" spans="1:28" x14ac:dyDescent="0.25">
      <c r="A74" s="83" t="s">
        <v>2768</v>
      </c>
      <c r="B74" s="84">
        <f t="shared" si="10"/>
        <v>46295</v>
      </c>
      <c r="C74" s="112" t="s">
        <v>3096</v>
      </c>
      <c r="D74" s="85" t="str">
        <f t="shared" si="11"/>
        <v>BERTIOGA</v>
      </c>
      <c r="E74" s="85">
        <f t="shared" si="12"/>
        <v>0</v>
      </c>
      <c r="F74" s="85">
        <f t="shared" si="13"/>
        <v>0</v>
      </c>
      <c r="G74" s="86">
        <v>46281</v>
      </c>
      <c r="H74" s="25" t="s">
        <v>1065</v>
      </c>
      <c r="I74" s="87" t="str">
        <f t="shared" si="15"/>
        <v>LRP ESP   LAG AVUL</v>
      </c>
      <c r="J74" s="85" t="str">
        <f t="shared" si="16"/>
        <v>un</v>
      </c>
      <c r="K74" s="49">
        <v>1</v>
      </c>
      <c r="L74" s="88">
        <f t="shared" si="17"/>
        <v>242.97</v>
      </c>
      <c r="M74" s="88">
        <f t="shared" si="18"/>
        <v>242.97</v>
      </c>
      <c r="N74" s="30"/>
      <c r="O74" s="31"/>
      <c r="P74" s="53"/>
      <c r="Q74" s="33"/>
      <c r="R74" s="54">
        <f t="shared" si="19"/>
        <v>242.97</v>
      </c>
      <c r="S74" s="30"/>
      <c r="T74" s="33"/>
    </row>
    <row r="75" spans="1:28" x14ac:dyDescent="0.25">
      <c r="A75" s="30"/>
      <c r="B75" s="84" t="str">
        <f t="shared" si="10"/>
        <v/>
      </c>
      <c r="C75" s="30"/>
      <c r="D75" s="85" t="str">
        <f t="shared" si="11"/>
        <v/>
      </c>
      <c r="E75" s="85" t="str">
        <f t="shared" si="12"/>
        <v/>
      </c>
      <c r="F75" s="85" t="str">
        <f t="shared" si="13"/>
        <v/>
      </c>
      <c r="G75" s="86" t="str">
        <f t="shared" si="14"/>
        <v/>
      </c>
      <c r="H75" s="30"/>
      <c r="I75" s="87" t="str">
        <f t="shared" si="15"/>
        <v/>
      </c>
      <c r="J75" s="85" t="str">
        <f t="shared" si="16"/>
        <v/>
      </c>
      <c r="K75" s="49"/>
      <c r="L75" s="88" t="str">
        <f t="shared" si="17"/>
        <v/>
      </c>
      <c r="M75" s="88" t="str">
        <f t="shared" si="18"/>
        <v/>
      </c>
      <c r="N75" s="30"/>
      <c r="O75" s="31"/>
      <c r="P75" s="53"/>
      <c r="Q75" s="33"/>
      <c r="R75" s="54" t="str">
        <f t="shared" si="19"/>
        <v/>
      </c>
      <c r="S75" s="30"/>
      <c r="T75" s="33"/>
    </row>
    <row r="76" spans="1:28" x14ac:dyDescent="0.25">
      <c r="A76" s="30"/>
      <c r="B76" s="84" t="str">
        <f t="shared" si="10"/>
        <v/>
      </c>
      <c r="C76" s="30"/>
      <c r="D76" s="85" t="str">
        <f t="shared" si="11"/>
        <v/>
      </c>
      <c r="E76" s="85" t="str">
        <f t="shared" si="12"/>
        <v/>
      </c>
      <c r="F76" s="85" t="str">
        <f t="shared" si="13"/>
        <v/>
      </c>
      <c r="G76" s="86" t="str">
        <f t="shared" si="14"/>
        <v/>
      </c>
      <c r="H76" s="30"/>
      <c r="I76" s="87" t="str">
        <f t="shared" si="15"/>
        <v/>
      </c>
      <c r="J76" s="85" t="str">
        <f t="shared" si="16"/>
        <v/>
      </c>
      <c r="K76" s="49"/>
      <c r="L76" s="88" t="str">
        <f t="shared" si="17"/>
        <v/>
      </c>
      <c r="M76" s="88" t="str">
        <f t="shared" si="18"/>
        <v/>
      </c>
      <c r="N76" s="30"/>
      <c r="O76" s="31"/>
      <c r="P76" s="53"/>
      <c r="Q76" s="33"/>
      <c r="R76" s="54" t="str">
        <f t="shared" si="19"/>
        <v/>
      </c>
      <c r="S76" s="30"/>
      <c r="T76" s="33"/>
    </row>
    <row r="77" spans="1:28" x14ac:dyDescent="0.25">
      <c r="A77" s="30"/>
      <c r="B77" s="84" t="str">
        <f t="shared" si="10"/>
        <v/>
      </c>
      <c r="C77" s="30"/>
      <c r="D77" s="85" t="str">
        <f t="shared" si="11"/>
        <v/>
      </c>
      <c r="E77" s="85" t="str">
        <f t="shared" si="12"/>
        <v/>
      </c>
      <c r="F77" s="85" t="str">
        <f t="shared" si="13"/>
        <v/>
      </c>
      <c r="G77" s="86" t="str">
        <f t="shared" si="14"/>
        <v/>
      </c>
      <c r="H77" s="30"/>
      <c r="I77" s="87" t="str">
        <f t="shared" si="15"/>
        <v/>
      </c>
      <c r="J77" s="85" t="str">
        <f t="shared" si="16"/>
        <v/>
      </c>
      <c r="K77" s="49"/>
      <c r="L77" s="88" t="str">
        <f t="shared" si="17"/>
        <v/>
      </c>
      <c r="M77" s="88" t="str">
        <f t="shared" si="18"/>
        <v/>
      </c>
      <c r="N77" s="30"/>
      <c r="O77" s="31"/>
      <c r="P77" s="53"/>
      <c r="Q77" s="33"/>
      <c r="R77" s="54" t="str">
        <f t="shared" si="19"/>
        <v/>
      </c>
      <c r="S77" s="30"/>
      <c r="T77" s="33"/>
    </row>
    <row r="78" spans="1:28" x14ac:dyDescent="0.25">
      <c r="A78" s="30"/>
      <c r="B78" s="84" t="str">
        <f t="shared" si="10"/>
        <v/>
      </c>
      <c r="C78" s="30"/>
      <c r="D78" s="85" t="str">
        <f t="shared" si="11"/>
        <v/>
      </c>
      <c r="E78" s="85" t="str">
        <f t="shared" si="12"/>
        <v/>
      </c>
      <c r="F78" s="85" t="str">
        <f t="shared" si="13"/>
        <v/>
      </c>
      <c r="G78" s="86" t="str">
        <f t="shared" si="14"/>
        <v/>
      </c>
      <c r="H78" s="30"/>
      <c r="I78" s="87" t="str">
        <f t="shared" si="15"/>
        <v/>
      </c>
      <c r="J78" s="85" t="str">
        <f t="shared" si="16"/>
        <v/>
      </c>
      <c r="K78" s="49"/>
      <c r="L78" s="88" t="str">
        <f t="shared" si="17"/>
        <v/>
      </c>
      <c r="M78" s="88" t="str">
        <f t="shared" si="18"/>
        <v/>
      </c>
      <c r="N78" s="30"/>
      <c r="O78" s="31"/>
      <c r="P78" s="53"/>
      <c r="Q78" s="33"/>
      <c r="R78" s="54" t="str">
        <f t="shared" si="19"/>
        <v/>
      </c>
      <c r="S78" s="30"/>
      <c r="T78" s="33"/>
    </row>
    <row r="79" spans="1:28" x14ac:dyDescent="0.25">
      <c r="A79" s="30"/>
      <c r="B79" s="84" t="str">
        <f t="shared" si="10"/>
        <v/>
      </c>
      <c r="C79" s="30"/>
      <c r="D79" s="85" t="str">
        <f t="shared" si="11"/>
        <v/>
      </c>
      <c r="E79" s="85" t="str">
        <f t="shared" si="12"/>
        <v/>
      </c>
      <c r="F79" s="85" t="str">
        <f t="shared" si="13"/>
        <v/>
      </c>
      <c r="G79" s="86" t="str">
        <f t="shared" si="14"/>
        <v/>
      </c>
      <c r="H79" s="30"/>
      <c r="I79" s="87" t="str">
        <f t="shared" si="15"/>
        <v/>
      </c>
      <c r="J79" s="85" t="str">
        <f t="shared" si="16"/>
        <v/>
      </c>
      <c r="K79" s="49"/>
      <c r="L79" s="88" t="str">
        <f t="shared" si="17"/>
        <v/>
      </c>
      <c r="M79" s="88" t="str">
        <f t="shared" si="18"/>
        <v/>
      </c>
      <c r="N79" s="30"/>
      <c r="O79" s="31"/>
      <c r="P79" s="53"/>
      <c r="Q79" s="33"/>
      <c r="R79" s="54" t="str">
        <f t="shared" si="19"/>
        <v/>
      </c>
      <c r="S79" s="30"/>
      <c r="T79" s="33"/>
    </row>
    <row r="80" spans="1:28" x14ac:dyDescent="0.25">
      <c r="A80" s="30"/>
      <c r="B80" s="84" t="str">
        <f t="shared" si="10"/>
        <v/>
      </c>
      <c r="C80" s="30"/>
      <c r="D80" s="85" t="str">
        <f t="shared" si="11"/>
        <v/>
      </c>
      <c r="E80" s="85" t="str">
        <f t="shared" si="12"/>
        <v/>
      </c>
      <c r="F80" s="85" t="str">
        <f t="shared" si="13"/>
        <v/>
      </c>
      <c r="G80" s="86" t="str">
        <f t="shared" si="14"/>
        <v/>
      </c>
      <c r="H80" s="30"/>
      <c r="I80" s="87" t="str">
        <f t="shared" si="15"/>
        <v/>
      </c>
      <c r="J80" s="85" t="str">
        <f t="shared" si="16"/>
        <v/>
      </c>
      <c r="K80" s="49"/>
      <c r="L80" s="88" t="str">
        <f t="shared" si="17"/>
        <v/>
      </c>
      <c r="M80" s="88" t="str">
        <f t="shared" si="18"/>
        <v/>
      </c>
      <c r="N80" s="30"/>
      <c r="O80" s="31"/>
      <c r="P80" s="53"/>
      <c r="Q80" s="33"/>
      <c r="R80" s="54" t="str">
        <f t="shared" si="19"/>
        <v/>
      </c>
      <c r="S80" s="30"/>
      <c r="T80" s="33"/>
    </row>
    <row r="81" spans="1:20" x14ac:dyDescent="0.25">
      <c r="A81" s="30"/>
      <c r="B81" s="84" t="str">
        <f t="shared" si="10"/>
        <v/>
      </c>
      <c r="C81" s="30"/>
      <c r="D81" s="85" t="str">
        <f t="shared" si="11"/>
        <v/>
      </c>
      <c r="E81" s="85" t="str">
        <f t="shared" si="12"/>
        <v/>
      </c>
      <c r="F81" s="85" t="str">
        <f t="shared" si="13"/>
        <v/>
      </c>
      <c r="G81" s="86" t="str">
        <f t="shared" si="14"/>
        <v/>
      </c>
      <c r="H81" s="30"/>
      <c r="I81" s="87" t="str">
        <f t="shared" si="15"/>
        <v/>
      </c>
      <c r="J81" s="85" t="str">
        <f t="shared" si="16"/>
        <v/>
      </c>
      <c r="K81" s="49"/>
      <c r="L81" s="88" t="str">
        <f t="shared" si="17"/>
        <v/>
      </c>
      <c r="M81" s="88" t="str">
        <f t="shared" si="18"/>
        <v/>
      </c>
      <c r="N81" s="30"/>
      <c r="O81" s="31"/>
      <c r="P81" s="53"/>
      <c r="Q81" s="33"/>
      <c r="R81" s="54" t="str">
        <f t="shared" si="19"/>
        <v/>
      </c>
      <c r="S81" s="30"/>
      <c r="T81" s="33"/>
    </row>
    <row r="82" spans="1:20" x14ac:dyDescent="0.25">
      <c r="A82" s="30"/>
      <c r="B82" s="84" t="str">
        <f t="shared" si="10"/>
        <v/>
      </c>
      <c r="C82" s="30"/>
      <c r="D82" s="85" t="str">
        <f t="shared" si="11"/>
        <v/>
      </c>
      <c r="E82" s="85" t="str">
        <f t="shared" si="12"/>
        <v/>
      </c>
      <c r="F82" s="85" t="str">
        <f t="shared" si="13"/>
        <v/>
      </c>
      <c r="G82" s="86" t="str">
        <f t="shared" si="14"/>
        <v/>
      </c>
      <c r="H82" s="30"/>
      <c r="I82" s="87" t="str">
        <f t="shared" si="15"/>
        <v/>
      </c>
      <c r="J82" s="85" t="str">
        <f t="shared" si="16"/>
        <v/>
      </c>
      <c r="K82" s="49"/>
      <c r="L82" s="88" t="str">
        <f t="shared" si="17"/>
        <v/>
      </c>
      <c r="M82" s="88" t="str">
        <f t="shared" si="18"/>
        <v/>
      </c>
      <c r="N82" s="30"/>
      <c r="O82" s="31"/>
      <c r="P82" s="53"/>
      <c r="Q82" s="33"/>
      <c r="R82" s="54" t="str">
        <f t="shared" si="19"/>
        <v/>
      </c>
      <c r="S82" s="30"/>
      <c r="T82" s="33"/>
    </row>
    <row r="83" spans="1:20" x14ac:dyDescent="0.25">
      <c r="A83" s="30"/>
      <c r="B83" s="84" t="str">
        <f t="shared" si="10"/>
        <v/>
      </c>
      <c r="C83" s="30"/>
      <c r="D83" s="85" t="str">
        <f t="shared" si="11"/>
        <v/>
      </c>
      <c r="E83" s="85" t="str">
        <f t="shared" si="12"/>
        <v/>
      </c>
      <c r="F83" s="85" t="str">
        <f t="shared" si="13"/>
        <v/>
      </c>
      <c r="G83" s="86" t="str">
        <f t="shared" si="14"/>
        <v/>
      </c>
      <c r="H83" s="30"/>
      <c r="I83" s="87" t="str">
        <f t="shared" si="15"/>
        <v/>
      </c>
      <c r="J83" s="85" t="str">
        <f t="shared" si="16"/>
        <v/>
      </c>
      <c r="K83" s="49"/>
      <c r="L83" s="88" t="str">
        <f t="shared" si="17"/>
        <v/>
      </c>
      <c r="M83" s="88" t="str">
        <f t="shared" si="18"/>
        <v/>
      </c>
      <c r="N83" s="30"/>
      <c r="O83" s="31"/>
      <c r="P83" s="53"/>
      <c r="Q83" s="33"/>
      <c r="R83" s="54" t="str">
        <f t="shared" si="19"/>
        <v/>
      </c>
      <c r="S83" s="30"/>
      <c r="T83" s="33"/>
    </row>
    <row r="84" spans="1:20" x14ac:dyDescent="0.25">
      <c r="A84" s="30"/>
      <c r="B84" s="84" t="str">
        <f t="shared" si="10"/>
        <v/>
      </c>
      <c r="C84" s="30"/>
      <c r="D84" s="85" t="str">
        <f t="shared" si="11"/>
        <v/>
      </c>
      <c r="E84" s="85" t="str">
        <f t="shared" si="12"/>
        <v/>
      </c>
      <c r="F84" s="85" t="str">
        <f t="shared" si="13"/>
        <v/>
      </c>
      <c r="G84" s="86" t="str">
        <f t="shared" si="14"/>
        <v/>
      </c>
      <c r="H84" s="30"/>
      <c r="I84" s="87" t="str">
        <f t="shared" si="15"/>
        <v/>
      </c>
      <c r="J84" s="85" t="str">
        <f t="shared" si="16"/>
        <v/>
      </c>
      <c r="K84" s="49"/>
      <c r="L84" s="88" t="str">
        <f t="shared" si="17"/>
        <v/>
      </c>
      <c r="M84" s="88" t="str">
        <f t="shared" si="18"/>
        <v/>
      </c>
      <c r="N84" s="30"/>
      <c r="O84" s="31"/>
      <c r="P84" s="53"/>
      <c r="Q84" s="33"/>
      <c r="R84" s="54" t="str">
        <f t="shared" si="19"/>
        <v/>
      </c>
      <c r="S84" s="30"/>
      <c r="T84" s="33"/>
    </row>
    <row r="85" spans="1:20" x14ac:dyDescent="0.25">
      <c r="A85" s="30"/>
      <c r="B85" s="84" t="str">
        <f t="shared" si="10"/>
        <v/>
      </c>
      <c r="C85" s="30"/>
      <c r="D85" s="85" t="str">
        <f t="shared" si="11"/>
        <v/>
      </c>
      <c r="E85" s="85" t="str">
        <f t="shared" si="12"/>
        <v/>
      </c>
      <c r="F85" s="85" t="str">
        <f t="shared" si="13"/>
        <v/>
      </c>
      <c r="G85" s="86" t="str">
        <f t="shared" si="14"/>
        <v/>
      </c>
      <c r="H85" s="30"/>
      <c r="I85" s="87" t="str">
        <f t="shared" si="15"/>
        <v/>
      </c>
      <c r="J85" s="85" t="str">
        <f t="shared" si="16"/>
        <v/>
      </c>
      <c r="K85" s="49"/>
      <c r="L85" s="88" t="str">
        <f t="shared" si="17"/>
        <v/>
      </c>
      <c r="M85" s="88" t="str">
        <f t="shared" si="18"/>
        <v/>
      </c>
      <c r="N85" s="30"/>
      <c r="O85" s="31"/>
      <c r="P85" s="53"/>
      <c r="Q85" s="33"/>
      <c r="R85" s="54" t="str">
        <f t="shared" si="19"/>
        <v/>
      </c>
      <c r="S85" s="30"/>
      <c r="T85" s="33"/>
    </row>
    <row r="86" spans="1:20" x14ac:dyDescent="0.25">
      <c r="A86" s="30"/>
      <c r="B86" s="84" t="str">
        <f t="shared" si="10"/>
        <v/>
      </c>
      <c r="C86" s="30"/>
      <c r="D86" s="85" t="str">
        <f t="shared" si="11"/>
        <v/>
      </c>
      <c r="E86" s="85" t="str">
        <f t="shared" si="12"/>
        <v/>
      </c>
      <c r="F86" s="85" t="str">
        <f t="shared" si="13"/>
        <v/>
      </c>
      <c r="G86" s="86" t="str">
        <f t="shared" si="14"/>
        <v/>
      </c>
      <c r="H86" s="30"/>
      <c r="I86" s="87" t="str">
        <f t="shared" si="15"/>
        <v/>
      </c>
      <c r="J86" s="85" t="str">
        <f t="shared" si="16"/>
        <v/>
      </c>
      <c r="K86" s="49"/>
      <c r="L86" s="88" t="str">
        <f t="shared" si="17"/>
        <v/>
      </c>
      <c r="M86" s="88" t="str">
        <f t="shared" si="18"/>
        <v/>
      </c>
      <c r="N86" s="30"/>
      <c r="O86" s="31"/>
      <c r="P86" s="53"/>
      <c r="Q86" s="33"/>
      <c r="R86" s="54" t="str">
        <f t="shared" si="19"/>
        <v/>
      </c>
      <c r="S86" s="30"/>
      <c r="T86" s="33"/>
    </row>
    <row r="87" spans="1:20" x14ac:dyDescent="0.25">
      <c r="A87" s="30"/>
      <c r="B87" s="84" t="str">
        <f t="shared" si="10"/>
        <v/>
      </c>
      <c r="C87" s="30"/>
      <c r="D87" s="85" t="str">
        <f t="shared" si="11"/>
        <v/>
      </c>
      <c r="E87" s="85" t="str">
        <f t="shared" si="12"/>
        <v/>
      </c>
      <c r="F87" s="85" t="str">
        <f t="shared" si="13"/>
        <v/>
      </c>
      <c r="G87" s="86" t="str">
        <f t="shared" si="14"/>
        <v/>
      </c>
      <c r="H87" s="30"/>
      <c r="I87" s="87" t="str">
        <f t="shared" si="15"/>
        <v/>
      </c>
      <c r="J87" s="85" t="str">
        <f t="shared" si="16"/>
        <v/>
      </c>
      <c r="K87" s="49"/>
      <c r="L87" s="88" t="str">
        <f t="shared" si="17"/>
        <v/>
      </c>
      <c r="M87" s="88" t="str">
        <f t="shared" si="18"/>
        <v/>
      </c>
      <c r="N87" s="30"/>
      <c r="O87" s="31"/>
      <c r="P87" s="53"/>
      <c r="Q87" s="33"/>
      <c r="R87" s="54" t="str">
        <f t="shared" si="19"/>
        <v/>
      </c>
      <c r="S87" s="30"/>
      <c r="T87" s="33"/>
    </row>
    <row r="88" spans="1:20" x14ac:dyDescent="0.25">
      <c r="A88" s="30"/>
      <c r="B88" s="84" t="str">
        <f t="shared" si="10"/>
        <v/>
      </c>
      <c r="C88" s="30"/>
      <c r="D88" s="85" t="str">
        <f t="shared" si="11"/>
        <v/>
      </c>
      <c r="E88" s="85" t="str">
        <f t="shared" si="12"/>
        <v/>
      </c>
      <c r="F88" s="85" t="str">
        <f t="shared" si="13"/>
        <v/>
      </c>
      <c r="G88" s="86" t="str">
        <f t="shared" si="14"/>
        <v/>
      </c>
      <c r="H88" s="30"/>
      <c r="I88" s="87" t="str">
        <f t="shared" si="15"/>
        <v/>
      </c>
      <c r="J88" s="85" t="str">
        <f t="shared" si="16"/>
        <v/>
      </c>
      <c r="K88" s="49"/>
      <c r="L88" s="88" t="str">
        <f t="shared" si="17"/>
        <v/>
      </c>
      <c r="M88" s="88" t="str">
        <f t="shared" si="18"/>
        <v/>
      </c>
      <c r="N88" s="30"/>
      <c r="O88" s="31"/>
      <c r="P88" s="53"/>
      <c r="Q88" s="33"/>
      <c r="R88" s="54" t="str">
        <f t="shared" si="19"/>
        <v/>
      </c>
      <c r="S88" s="30"/>
      <c r="T88" s="33"/>
    </row>
    <row r="89" spans="1:20" x14ac:dyDescent="0.25">
      <c r="A89" s="30"/>
      <c r="B89" s="84" t="str">
        <f t="shared" si="10"/>
        <v/>
      </c>
      <c r="C89" s="30"/>
      <c r="D89" s="85" t="str">
        <f t="shared" si="11"/>
        <v/>
      </c>
      <c r="E89" s="85" t="str">
        <f t="shared" si="12"/>
        <v/>
      </c>
      <c r="F89" s="85" t="str">
        <f t="shared" si="13"/>
        <v/>
      </c>
      <c r="G89" s="86" t="str">
        <f t="shared" si="14"/>
        <v/>
      </c>
      <c r="H89" s="30"/>
      <c r="I89" s="87" t="str">
        <f t="shared" si="15"/>
        <v/>
      </c>
      <c r="J89" s="85" t="str">
        <f t="shared" si="16"/>
        <v/>
      </c>
      <c r="K89" s="49"/>
      <c r="L89" s="88" t="str">
        <f t="shared" si="17"/>
        <v/>
      </c>
      <c r="M89" s="88" t="str">
        <f t="shared" si="18"/>
        <v/>
      </c>
      <c r="N89" s="30"/>
      <c r="O89" s="31"/>
      <c r="P89" s="53"/>
      <c r="Q89" s="33"/>
      <c r="R89" s="54" t="str">
        <f t="shared" si="19"/>
        <v/>
      </c>
      <c r="S89" s="30"/>
      <c r="T89" s="33"/>
    </row>
    <row r="90" spans="1:20" x14ac:dyDescent="0.25">
      <c r="A90" s="30"/>
      <c r="B90" s="84" t="str">
        <f t="shared" si="10"/>
        <v/>
      </c>
      <c r="C90" s="30"/>
      <c r="D90" s="85" t="str">
        <f t="shared" si="11"/>
        <v/>
      </c>
      <c r="E90" s="85" t="str">
        <f t="shared" si="12"/>
        <v/>
      </c>
      <c r="F90" s="85" t="str">
        <f t="shared" si="13"/>
        <v/>
      </c>
      <c r="G90" s="86" t="str">
        <f t="shared" si="14"/>
        <v/>
      </c>
      <c r="H90" s="30"/>
      <c r="I90" s="87" t="str">
        <f t="shared" si="15"/>
        <v/>
      </c>
      <c r="J90" s="85" t="str">
        <f t="shared" si="16"/>
        <v/>
      </c>
      <c r="K90" s="49"/>
      <c r="L90" s="88" t="str">
        <f t="shared" si="17"/>
        <v/>
      </c>
      <c r="M90" s="88" t="str">
        <f t="shared" si="18"/>
        <v/>
      </c>
      <c r="N90" s="30"/>
      <c r="O90" s="31"/>
      <c r="P90" s="53"/>
      <c r="Q90" s="33"/>
      <c r="R90" s="54" t="str">
        <f t="shared" si="19"/>
        <v/>
      </c>
      <c r="S90" s="30"/>
      <c r="T90" s="33"/>
    </row>
    <row r="91" spans="1:20" x14ac:dyDescent="0.25">
      <c r="A91" s="30"/>
      <c r="B91" s="84" t="str">
        <f t="shared" si="10"/>
        <v/>
      </c>
      <c r="C91" s="30"/>
      <c r="D91" s="85" t="str">
        <f t="shared" si="11"/>
        <v/>
      </c>
      <c r="E91" s="85" t="str">
        <f t="shared" si="12"/>
        <v/>
      </c>
      <c r="F91" s="85" t="str">
        <f t="shared" si="13"/>
        <v/>
      </c>
      <c r="G91" s="86" t="str">
        <f t="shared" si="14"/>
        <v/>
      </c>
      <c r="H91" s="30"/>
      <c r="I91" s="87" t="str">
        <f t="shared" si="15"/>
        <v/>
      </c>
      <c r="J91" s="85" t="str">
        <f t="shared" si="16"/>
        <v/>
      </c>
      <c r="K91" s="49"/>
      <c r="L91" s="88" t="str">
        <f t="shared" si="17"/>
        <v/>
      </c>
      <c r="M91" s="88" t="str">
        <f t="shared" si="18"/>
        <v/>
      </c>
      <c r="N91" s="30"/>
      <c r="O91" s="31"/>
      <c r="P91" s="53"/>
      <c r="Q91" s="33"/>
      <c r="R91" s="54" t="str">
        <f t="shared" si="19"/>
        <v/>
      </c>
      <c r="S91" s="30"/>
      <c r="T91" s="33"/>
    </row>
    <row r="92" spans="1:20" x14ac:dyDescent="0.25">
      <c r="A92" s="30"/>
      <c r="B92" s="84" t="str">
        <f t="shared" si="10"/>
        <v/>
      </c>
      <c r="C92" s="30"/>
      <c r="D92" s="85" t="str">
        <f t="shared" si="11"/>
        <v/>
      </c>
      <c r="E92" s="85" t="str">
        <f t="shared" si="12"/>
        <v/>
      </c>
      <c r="F92" s="85" t="str">
        <f t="shared" si="13"/>
        <v/>
      </c>
      <c r="G92" s="86" t="str">
        <f t="shared" si="14"/>
        <v/>
      </c>
      <c r="H92" s="30"/>
      <c r="I92" s="87" t="str">
        <f t="shared" si="15"/>
        <v/>
      </c>
      <c r="J92" s="85" t="str">
        <f t="shared" si="16"/>
        <v/>
      </c>
      <c r="K92" s="49"/>
      <c r="L92" s="88" t="str">
        <f t="shared" si="17"/>
        <v/>
      </c>
      <c r="M92" s="88" t="str">
        <f t="shared" si="18"/>
        <v/>
      </c>
      <c r="N92" s="30"/>
      <c r="O92" s="31"/>
      <c r="P92" s="53"/>
      <c r="Q92" s="33"/>
      <c r="R92" s="54" t="str">
        <f t="shared" si="19"/>
        <v/>
      </c>
      <c r="S92" s="30"/>
      <c r="T92" s="33"/>
    </row>
    <row r="93" spans="1:20" x14ac:dyDescent="0.25">
      <c r="A93" s="30"/>
      <c r="B93" s="84" t="str">
        <f t="shared" si="10"/>
        <v/>
      </c>
      <c r="C93" s="30"/>
      <c r="D93" s="85" t="str">
        <f t="shared" si="11"/>
        <v/>
      </c>
      <c r="E93" s="85" t="str">
        <f t="shared" si="12"/>
        <v/>
      </c>
      <c r="F93" s="85" t="str">
        <f t="shared" si="13"/>
        <v/>
      </c>
      <c r="G93" s="86" t="str">
        <f t="shared" si="14"/>
        <v/>
      </c>
      <c r="H93" s="30"/>
      <c r="I93" s="87" t="str">
        <f t="shared" si="15"/>
        <v/>
      </c>
      <c r="J93" s="85" t="str">
        <f t="shared" si="16"/>
        <v/>
      </c>
      <c r="K93" s="49"/>
      <c r="L93" s="88" t="str">
        <f t="shared" si="17"/>
        <v/>
      </c>
      <c r="M93" s="88" t="str">
        <f t="shared" si="18"/>
        <v/>
      </c>
      <c r="N93" s="30"/>
      <c r="O93" s="31"/>
      <c r="P93" s="53"/>
      <c r="Q93" s="33"/>
      <c r="R93" s="54" t="str">
        <f t="shared" si="19"/>
        <v/>
      </c>
      <c r="S93" s="30"/>
      <c r="T93" s="33"/>
    </row>
    <row r="94" spans="1:20" x14ac:dyDescent="0.25">
      <c r="A94" s="30"/>
      <c r="B94" s="84" t="str">
        <f t="shared" si="10"/>
        <v/>
      </c>
      <c r="C94" s="30"/>
      <c r="D94" s="85" t="str">
        <f t="shared" si="11"/>
        <v/>
      </c>
      <c r="E94" s="85" t="str">
        <f t="shared" si="12"/>
        <v/>
      </c>
      <c r="F94" s="85" t="str">
        <f t="shared" si="13"/>
        <v/>
      </c>
      <c r="G94" s="86" t="str">
        <f t="shared" si="14"/>
        <v/>
      </c>
      <c r="H94" s="30"/>
      <c r="I94" s="87" t="str">
        <f t="shared" si="15"/>
        <v/>
      </c>
      <c r="J94" s="85" t="str">
        <f t="shared" si="16"/>
        <v/>
      </c>
      <c r="K94" s="49"/>
      <c r="L94" s="88" t="str">
        <f t="shared" si="17"/>
        <v/>
      </c>
      <c r="M94" s="88" t="str">
        <f t="shared" si="18"/>
        <v/>
      </c>
      <c r="N94" s="30"/>
      <c r="O94" s="31"/>
      <c r="P94" s="53"/>
      <c r="Q94" s="33"/>
      <c r="R94" s="54" t="str">
        <f t="shared" si="19"/>
        <v/>
      </c>
      <c r="S94" s="30"/>
      <c r="T94" s="33"/>
    </row>
    <row r="95" spans="1:20" x14ac:dyDescent="0.25">
      <c r="A95" s="30"/>
      <c r="B95" s="84" t="str">
        <f t="shared" si="10"/>
        <v/>
      </c>
      <c r="C95" s="30"/>
      <c r="D95" s="85" t="str">
        <f t="shared" si="11"/>
        <v/>
      </c>
      <c r="E95" s="85" t="str">
        <f t="shared" si="12"/>
        <v/>
      </c>
      <c r="F95" s="85" t="str">
        <f t="shared" si="13"/>
        <v/>
      </c>
      <c r="G95" s="86" t="str">
        <f t="shared" si="14"/>
        <v/>
      </c>
      <c r="H95" s="30"/>
      <c r="I95" s="87" t="str">
        <f t="shared" si="15"/>
        <v/>
      </c>
      <c r="J95" s="85" t="str">
        <f t="shared" si="16"/>
        <v/>
      </c>
      <c r="K95" s="49"/>
      <c r="L95" s="88" t="str">
        <f t="shared" si="17"/>
        <v/>
      </c>
      <c r="M95" s="88" t="str">
        <f t="shared" si="18"/>
        <v/>
      </c>
      <c r="N95" s="30"/>
      <c r="O95" s="31"/>
      <c r="P95" s="53"/>
      <c r="Q95" s="33"/>
      <c r="R95" s="54" t="str">
        <f t="shared" si="19"/>
        <v/>
      </c>
      <c r="S95" s="30"/>
      <c r="T95" s="33"/>
    </row>
    <row r="96" spans="1:20" x14ac:dyDescent="0.25">
      <c r="A96" s="30"/>
      <c r="B96" s="84" t="str">
        <f t="shared" si="10"/>
        <v/>
      </c>
      <c r="C96" s="30"/>
      <c r="D96" s="85" t="str">
        <f t="shared" si="11"/>
        <v/>
      </c>
      <c r="E96" s="85" t="str">
        <f t="shared" si="12"/>
        <v/>
      </c>
      <c r="F96" s="85" t="str">
        <f t="shared" si="13"/>
        <v/>
      </c>
      <c r="G96" s="86" t="str">
        <f t="shared" si="14"/>
        <v/>
      </c>
      <c r="H96" s="30"/>
      <c r="I96" s="87" t="str">
        <f t="shared" si="15"/>
        <v/>
      </c>
      <c r="J96" s="85" t="str">
        <f t="shared" si="16"/>
        <v/>
      </c>
      <c r="K96" s="49"/>
      <c r="L96" s="88" t="str">
        <f t="shared" si="17"/>
        <v/>
      </c>
      <c r="M96" s="88" t="str">
        <f t="shared" si="18"/>
        <v/>
      </c>
      <c r="N96" s="30"/>
      <c r="O96" s="31"/>
      <c r="P96" s="53"/>
      <c r="Q96" s="33"/>
      <c r="R96" s="54" t="str">
        <f t="shared" si="19"/>
        <v/>
      </c>
      <c r="S96" s="30"/>
      <c r="T96" s="33"/>
    </row>
    <row r="97" spans="1:20" x14ac:dyDescent="0.25">
      <c r="A97" s="30"/>
      <c r="B97" s="84" t="str">
        <f t="shared" si="10"/>
        <v/>
      </c>
      <c r="C97" s="30"/>
      <c r="D97" s="85" t="str">
        <f t="shared" si="11"/>
        <v/>
      </c>
      <c r="E97" s="85" t="str">
        <f t="shared" si="12"/>
        <v/>
      </c>
      <c r="F97" s="85" t="str">
        <f t="shared" si="13"/>
        <v/>
      </c>
      <c r="G97" s="86" t="str">
        <f t="shared" si="14"/>
        <v/>
      </c>
      <c r="H97" s="30"/>
      <c r="I97" s="87" t="str">
        <f t="shared" si="15"/>
        <v/>
      </c>
      <c r="J97" s="85" t="str">
        <f t="shared" si="16"/>
        <v/>
      </c>
      <c r="K97" s="49"/>
      <c r="L97" s="88" t="str">
        <f t="shared" si="17"/>
        <v/>
      </c>
      <c r="M97" s="88" t="str">
        <f t="shared" si="18"/>
        <v/>
      </c>
      <c r="N97" s="30"/>
      <c r="O97" s="31"/>
      <c r="P97" s="53"/>
      <c r="Q97" s="33"/>
      <c r="R97" s="54" t="str">
        <f t="shared" si="19"/>
        <v/>
      </c>
      <c r="S97" s="30"/>
      <c r="T97" s="33"/>
    </row>
    <row r="98" spans="1:20" x14ac:dyDescent="0.25">
      <c r="A98" s="30"/>
      <c r="B98" s="84" t="str">
        <f t="shared" si="10"/>
        <v/>
      </c>
      <c r="C98" s="30"/>
      <c r="D98" s="85" t="str">
        <f t="shared" si="11"/>
        <v/>
      </c>
      <c r="E98" s="85" t="str">
        <f t="shared" si="12"/>
        <v/>
      </c>
      <c r="F98" s="85" t="str">
        <f t="shared" si="13"/>
        <v/>
      </c>
      <c r="G98" s="86" t="str">
        <f t="shared" si="14"/>
        <v/>
      </c>
      <c r="H98" s="30"/>
      <c r="I98" s="87" t="str">
        <f t="shared" si="15"/>
        <v/>
      </c>
      <c r="J98" s="85" t="str">
        <f t="shared" si="16"/>
        <v/>
      </c>
      <c r="K98" s="49"/>
      <c r="L98" s="88" t="str">
        <f t="shared" si="17"/>
        <v/>
      </c>
      <c r="M98" s="88" t="str">
        <f t="shared" si="18"/>
        <v/>
      </c>
      <c r="N98" s="30"/>
      <c r="O98" s="31"/>
      <c r="P98" s="53"/>
      <c r="Q98" s="33"/>
      <c r="R98" s="54" t="str">
        <f t="shared" si="19"/>
        <v/>
      </c>
      <c r="S98" s="30"/>
      <c r="T98" s="33"/>
    </row>
    <row r="99" spans="1:20" x14ac:dyDescent="0.25">
      <c r="A99" s="30"/>
      <c r="B99" s="84" t="str">
        <f t="shared" si="10"/>
        <v/>
      </c>
      <c r="C99" s="30"/>
      <c r="D99" s="85" t="str">
        <f t="shared" si="11"/>
        <v/>
      </c>
      <c r="E99" s="85" t="str">
        <f t="shared" si="12"/>
        <v/>
      </c>
      <c r="F99" s="85" t="str">
        <f t="shared" si="13"/>
        <v/>
      </c>
      <c r="G99" s="86" t="str">
        <f t="shared" si="14"/>
        <v/>
      </c>
      <c r="H99" s="30"/>
      <c r="I99" s="87" t="str">
        <f t="shared" si="15"/>
        <v/>
      </c>
      <c r="J99" s="85" t="str">
        <f t="shared" si="16"/>
        <v/>
      </c>
      <c r="K99" s="49"/>
      <c r="L99" s="88" t="str">
        <f t="shared" si="17"/>
        <v/>
      </c>
      <c r="M99" s="88" t="str">
        <f t="shared" si="18"/>
        <v/>
      </c>
      <c r="N99" s="30"/>
      <c r="O99" s="31"/>
      <c r="P99" s="53"/>
      <c r="Q99" s="33"/>
      <c r="R99" s="54" t="str">
        <f t="shared" si="19"/>
        <v/>
      </c>
      <c r="S99" s="30"/>
      <c r="T99" s="33"/>
    </row>
    <row r="100" spans="1:20" x14ac:dyDescent="0.25">
      <c r="A100" s="30"/>
      <c r="B100" s="84" t="str">
        <f t="shared" si="10"/>
        <v/>
      </c>
      <c r="C100" s="30"/>
      <c r="D100" s="85" t="str">
        <f t="shared" si="11"/>
        <v/>
      </c>
      <c r="E100" s="85" t="str">
        <f t="shared" si="12"/>
        <v/>
      </c>
      <c r="F100" s="85" t="str">
        <f t="shared" si="13"/>
        <v/>
      </c>
      <c r="G100" s="86" t="str">
        <f t="shared" si="14"/>
        <v/>
      </c>
      <c r="H100" s="30"/>
      <c r="I100" s="87" t="str">
        <f t="shared" si="15"/>
        <v/>
      </c>
      <c r="J100" s="85" t="str">
        <f t="shared" si="16"/>
        <v/>
      </c>
      <c r="K100" s="49"/>
      <c r="L100" s="88" t="str">
        <f t="shared" si="17"/>
        <v/>
      </c>
      <c r="M100" s="88" t="str">
        <f t="shared" si="18"/>
        <v/>
      </c>
      <c r="N100" s="30"/>
      <c r="O100" s="31"/>
      <c r="P100" s="53"/>
      <c r="Q100" s="33"/>
      <c r="R100" s="54" t="str">
        <f t="shared" si="19"/>
        <v/>
      </c>
      <c r="S100" s="30"/>
      <c r="T100" s="33"/>
    </row>
    <row r="101" spans="1:20" x14ac:dyDescent="0.25">
      <c r="A101" s="30"/>
      <c r="B101" s="84" t="str">
        <f t="shared" si="10"/>
        <v/>
      </c>
      <c r="C101" s="30"/>
      <c r="D101" s="85" t="str">
        <f t="shared" si="11"/>
        <v/>
      </c>
      <c r="E101" s="85" t="str">
        <f t="shared" si="12"/>
        <v/>
      </c>
      <c r="F101" s="85" t="str">
        <f t="shared" si="13"/>
        <v/>
      </c>
      <c r="G101" s="86" t="str">
        <f t="shared" si="14"/>
        <v/>
      </c>
      <c r="H101" s="30"/>
      <c r="I101" s="87" t="str">
        <f t="shared" si="15"/>
        <v/>
      </c>
      <c r="J101" s="85" t="str">
        <f t="shared" si="16"/>
        <v/>
      </c>
      <c r="K101" s="49"/>
      <c r="L101" s="88" t="str">
        <f t="shared" si="17"/>
        <v/>
      </c>
      <c r="M101" s="88" t="str">
        <f t="shared" si="18"/>
        <v/>
      </c>
      <c r="N101" s="30"/>
      <c r="O101" s="31"/>
      <c r="P101" s="53"/>
      <c r="Q101" s="33"/>
      <c r="R101" s="54" t="str">
        <f t="shared" si="19"/>
        <v/>
      </c>
      <c r="S101" s="30"/>
      <c r="T101" s="33"/>
    </row>
    <row r="102" spans="1:20" x14ac:dyDescent="0.25">
      <c r="A102" s="30"/>
      <c r="B102" s="84" t="str">
        <f t="shared" si="10"/>
        <v/>
      </c>
      <c r="C102" s="30"/>
      <c r="D102" s="85" t="str">
        <f t="shared" si="11"/>
        <v/>
      </c>
      <c r="E102" s="85" t="str">
        <f t="shared" si="12"/>
        <v/>
      </c>
      <c r="F102" s="85" t="str">
        <f t="shared" si="13"/>
        <v/>
      </c>
      <c r="G102" s="86" t="str">
        <f t="shared" si="14"/>
        <v/>
      </c>
      <c r="H102" s="30"/>
      <c r="I102" s="87" t="str">
        <f t="shared" si="15"/>
        <v/>
      </c>
      <c r="J102" s="85" t="str">
        <f t="shared" si="16"/>
        <v/>
      </c>
      <c r="K102" s="49"/>
      <c r="L102" s="88" t="str">
        <f t="shared" si="17"/>
        <v/>
      </c>
      <c r="M102" s="88" t="str">
        <f t="shared" si="18"/>
        <v/>
      </c>
      <c r="N102" s="30"/>
      <c r="O102" s="31"/>
      <c r="P102" s="53"/>
      <c r="Q102" s="33"/>
      <c r="R102" s="54" t="str">
        <f t="shared" si="19"/>
        <v/>
      </c>
      <c r="S102" s="30"/>
      <c r="T102" s="33"/>
    </row>
    <row r="103" spans="1:20" x14ac:dyDescent="0.25">
      <c r="A103" s="30"/>
      <c r="B103" s="84" t="str">
        <f t="shared" si="10"/>
        <v/>
      </c>
      <c r="C103" s="30"/>
      <c r="D103" s="85" t="str">
        <f t="shared" si="11"/>
        <v/>
      </c>
      <c r="E103" s="85" t="str">
        <f t="shared" si="12"/>
        <v/>
      </c>
      <c r="F103" s="85" t="str">
        <f t="shared" si="13"/>
        <v/>
      </c>
      <c r="G103" s="86" t="str">
        <f t="shared" si="14"/>
        <v/>
      </c>
      <c r="H103" s="30"/>
      <c r="I103" s="87" t="str">
        <f t="shared" si="15"/>
        <v/>
      </c>
      <c r="J103" s="85" t="str">
        <f t="shared" si="16"/>
        <v/>
      </c>
      <c r="K103" s="49"/>
      <c r="L103" s="88" t="str">
        <f t="shared" si="17"/>
        <v/>
      </c>
      <c r="M103" s="88" t="str">
        <f t="shared" si="18"/>
        <v/>
      </c>
      <c r="N103" s="30"/>
      <c r="O103" s="31"/>
      <c r="P103" s="53"/>
      <c r="Q103" s="33"/>
      <c r="R103" s="54" t="str">
        <f t="shared" si="19"/>
        <v/>
      </c>
      <c r="S103" s="30"/>
      <c r="T103" s="33"/>
    </row>
    <row r="104" spans="1:20" x14ac:dyDescent="0.25">
      <c r="A104" s="30"/>
      <c r="B104" s="84" t="str">
        <f t="shared" si="10"/>
        <v/>
      </c>
      <c r="C104" s="30"/>
      <c r="D104" s="85" t="str">
        <f t="shared" si="11"/>
        <v/>
      </c>
      <c r="E104" s="85" t="str">
        <f t="shared" si="12"/>
        <v/>
      </c>
      <c r="F104" s="85" t="str">
        <f t="shared" si="13"/>
        <v/>
      </c>
      <c r="G104" s="86" t="str">
        <f t="shared" si="14"/>
        <v/>
      </c>
      <c r="H104" s="30"/>
      <c r="I104" s="87" t="str">
        <f t="shared" si="15"/>
        <v/>
      </c>
      <c r="J104" s="85" t="str">
        <f t="shared" si="16"/>
        <v/>
      </c>
      <c r="K104" s="49"/>
      <c r="L104" s="88" t="str">
        <f t="shared" si="17"/>
        <v/>
      </c>
      <c r="M104" s="88" t="str">
        <f t="shared" si="18"/>
        <v/>
      </c>
      <c r="N104" s="30"/>
      <c r="O104" s="31"/>
      <c r="P104" s="53"/>
      <c r="Q104" s="33"/>
      <c r="R104" s="54" t="str">
        <f t="shared" si="19"/>
        <v/>
      </c>
      <c r="S104" s="30"/>
      <c r="T104" s="33"/>
    </row>
    <row r="105" spans="1:20" x14ac:dyDescent="0.25">
      <c r="A105" s="30"/>
      <c r="B105" s="84" t="str">
        <f t="shared" si="10"/>
        <v/>
      </c>
      <c r="C105" s="30"/>
      <c r="D105" s="85" t="str">
        <f t="shared" si="11"/>
        <v/>
      </c>
      <c r="E105" s="85" t="str">
        <f t="shared" si="12"/>
        <v/>
      </c>
      <c r="F105" s="85" t="str">
        <f t="shared" si="13"/>
        <v/>
      </c>
      <c r="G105" s="86" t="str">
        <f t="shared" si="14"/>
        <v/>
      </c>
      <c r="H105" s="30"/>
      <c r="I105" s="87" t="str">
        <f t="shared" si="15"/>
        <v/>
      </c>
      <c r="J105" s="85" t="str">
        <f t="shared" si="16"/>
        <v/>
      </c>
      <c r="K105" s="49"/>
      <c r="L105" s="88" t="str">
        <f t="shared" si="17"/>
        <v/>
      </c>
      <c r="M105" s="88" t="str">
        <f t="shared" si="18"/>
        <v/>
      </c>
      <c r="N105" s="30"/>
      <c r="O105" s="31"/>
      <c r="P105" s="53"/>
      <c r="Q105" s="33"/>
      <c r="R105" s="54" t="str">
        <f t="shared" si="19"/>
        <v/>
      </c>
      <c r="S105" s="30"/>
      <c r="T105" s="33"/>
    </row>
    <row r="106" spans="1:20" x14ac:dyDescent="0.25">
      <c r="A106" s="30"/>
      <c r="B106" s="84" t="str">
        <f t="shared" si="10"/>
        <v/>
      </c>
      <c r="C106" s="30"/>
      <c r="D106" s="85" t="str">
        <f t="shared" si="11"/>
        <v/>
      </c>
      <c r="E106" s="85" t="str">
        <f t="shared" si="12"/>
        <v/>
      </c>
      <c r="F106" s="85" t="str">
        <f t="shared" si="13"/>
        <v/>
      </c>
      <c r="G106" s="86" t="str">
        <f t="shared" si="14"/>
        <v/>
      </c>
      <c r="H106" s="30"/>
      <c r="I106" s="87" t="str">
        <f t="shared" si="15"/>
        <v/>
      </c>
      <c r="J106" s="85" t="str">
        <f t="shared" si="16"/>
        <v/>
      </c>
      <c r="K106" s="49"/>
      <c r="L106" s="88" t="str">
        <f t="shared" si="17"/>
        <v/>
      </c>
      <c r="M106" s="88" t="str">
        <f t="shared" si="18"/>
        <v/>
      </c>
      <c r="N106" s="30"/>
      <c r="O106" s="31"/>
      <c r="P106" s="53"/>
      <c r="Q106" s="33"/>
      <c r="R106" s="54" t="str">
        <f t="shared" si="19"/>
        <v/>
      </c>
      <c r="S106" s="30"/>
      <c r="T106" s="33"/>
    </row>
    <row r="107" spans="1:20" x14ac:dyDescent="0.25">
      <c r="A107" s="30"/>
      <c r="B107" s="84" t="str">
        <f t="shared" si="10"/>
        <v/>
      </c>
      <c r="C107" s="30"/>
      <c r="D107" s="85" t="str">
        <f t="shared" si="11"/>
        <v/>
      </c>
      <c r="E107" s="85" t="str">
        <f t="shared" si="12"/>
        <v/>
      </c>
      <c r="F107" s="85" t="str">
        <f t="shared" si="13"/>
        <v/>
      </c>
      <c r="G107" s="86" t="str">
        <f t="shared" si="14"/>
        <v/>
      </c>
      <c r="H107" s="30"/>
      <c r="I107" s="87" t="str">
        <f t="shared" si="15"/>
        <v/>
      </c>
      <c r="J107" s="85" t="str">
        <f t="shared" si="16"/>
        <v/>
      </c>
      <c r="K107" s="49"/>
      <c r="L107" s="88" t="str">
        <f t="shared" si="17"/>
        <v/>
      </c>
      <c r="M107" s="88" t="str">
        <f t="shared" si="18"/>
        <v/>
      </c>
      <c r="N107" s="30"/>
      <c r="O107" s="31"/>
      <c r="P107" s="53"/>
      <c r="Q107" s="33"/>
      <c r="R107" s="54" t="str">
        <f t="shared" si="19"/>
        <v/>
      </c>
      <c r="S107" s="30"/>
      <c r="T107" s="33"/>
    </row>
    <row r="108" spans="1:20" x14ac:dyDescent="0.25">
      <c r="A108" s="30"/>
      <c r="B108" s="84" t="str">
        <f t="shared" si="10"/>
        <v/>
      </c>
      <c r="C108" s="30"/>
      <c r="D108" s="85" t="str">
        <f t="shared" si="11"/>
        <v/>
      </c>
      <c r="E108" s="85" t="str">
        <f t="shared" si="12"/>
        <v/>
      </c>
      <c r="F108" s="85" t="str">
        <f t="shared" si="13"/>
        <v/>
      </c>
      <c r="G108" s="86" t="str">
        <f t="shared" si="14"/>
        <v/>
      </c>
      <c r="H108" s="30"/>
      <c r="I108" s="87" t="str">
        <f t="shared" si="15"/>
        <v/>
      </c>
      <c r="J108" s="85" t="str">
        <f t="shared" si="16"/>
        <v/>
      </c>
      <c r="K108" s="49"/>
      <c r="L108" s="88" t="str">
        <f t="shared" si="17"/>
        <v/>
      </c>
      <c r="M108" s="88" t="str">
        <f t="shared" si="18"/>
        <v/>
      </c>
      <c r="N108" s="30"/>
      <c r="O108" s="31"/>
      <c r="P108" s="53"/>
      <c r="Q108" s="33"/>
      <c r="R108" s="54" t="str">
        <f t="shared" si="19"/>
        <v/>
      </c>
      <c r="S108" s="30"/>
      <c r="T108" s="33"/>
    </row>
    <row r="109" spans="1:20" x14ac:dyDescent="0.25">
      <c r="A109" s="30"/>
      <c r="B109" s="84" t="str">
        <f t="shared" si="10"/>
        <v/>
      </c>
      <c r="C109" s="30"/>
      <c r="D109" s="85" t="str">
        <f t="shared" si="11"/>
        <v/>
      </c>
      <c r="E109" s="85" t="str">
        <f t="shared" si="12"/>
        <v/>
      </c>
      <c r="F109" s="85" t="str">
        <f t="shared" si="13"/>
        <v/>
      </c>
      <c r="G109" s="86" t="str">
        <f t="shared" si="14"/>
        <v/>
      </c>
      <c r="H109" s="30"/>
      <c r="I109" s="87" t="str">
        <f t="shared" si="15"/>
        <v/>
      </c>
      <c r="J109" s="85" t="str">
        <f t="shared" si="16"/>
        <v/>
      </c>
      <c r="K109" s="49"/>
      <c r="L109" s="88" t="str">
        <f t="shared" si="17"/>
        <v/>
      </c>
      <c r="M109" s="88" t="str">
        <f t="shared" si="18"/>
        <v/>
      </c>
      <c r="N109" s="30"/>
      <c r="O109" s="31"/>
      <c r="P109" s="53"/>
      <c r="Q109" s="33"/>
      <c r="R109" s="54" t="str">
        <f t="shared" si="19"/>
        <v/>
      </c>
      <c r="S109" s="30"/>
      <c r="T109" s="33"/>
    </row>
    <row r="110" spans="1:20" x14ac:dyDescent="0.25">
      <c r="A110" s="30"/>
      <c r="B110" s="84" t="str">
        <f t="shared" si="10"/>
        <v/>
      </c>
      <c r="C110" s="30"/>
      <c r="D110" s="85" t="str">
        <f t="shared" si="11"/>
        <v/>
      </c>
      <c r="E110" s="85" t="str">
        <f t="shared" si="12"/>
        <v/>
      </c>
      <c r="F110" s="85" t="str">
        <f t="shared" si="13"/>
        <v/>
      </c>
      <c r="G110" s="86" t="str">
        <f t="shared" si="14"/>
        <v/>
      </c>
      <c r="H110" s="30"/>
      <c r="I110" s="87" t="str">
        <f t="shared" si="15"/>
        <v/>
      </c>
      <c r="J110" s="85" t="str">
        <f t="shared" si="16"/>
        <v/>
      </c>
      <c r="K110" s="49"/>
      <c r="L110" s="88" t="str">
        <f t="shared" si="17"/>
        <v/>
      </c>
      <c r="M110" s="88" t="str">
        <f t="shared" si="18"/>
        <v/>
      </c>
      <c r="N110" s="30"/>
      <c r="O110" s="31"/>
      <c r="P110" s="53"/>
      <c r="Q110" s="33"/>
      <c r="R110" s="54" t="str">
        <f t="shared" si="19"/>
        <v/>
      </c>
      <c r="S110" s="30"/>
      <c r="T110" s="33"/>
    </row>
    <row r="111" spans="1:20" x14ac:dyDescent="0.25">
      <c r="A111" s="30"/>
      <c r="B111" s="84" t="str">
        <f t="shared" si="10"/>
        <v/>
      </c>
      <c r="C111" s="30"/>
      <c r="D111" s="85" t="str">
        <f t="shared" si="11"/>
        <v/>
      </c>
      <c r="E111" s="85" t="str">
        <f t="shared" si="12"/>
        <v/>
      </c>
      <c r="F111" s="85" t="str">
        <f t="shared" si="13"/>
        <v/>
      </c>
      <c r="G111" s="86" t="str">
        <f t="shared" si="14"/>
        <v/>
      </c>
      <c r="H111" s="30"/>
      <c r="I111" s="87" t="str">
        <f t="shared" si="15"/>
        <v/>
      </c>
      <c r="J111" s="85" t="str">
        <f t="shared" si="16"/>
        <v/>
      </c>
      <c r="K111" s="49"/>
      <c r="L111" s="88" t="str">
        <f t="shared" si="17"/>
        <v/>
      </c>
      <c r="M111" s="88" t="str">
        <f t="shared" si="18"/>
        <v/>
      </c>
      <c r="N111" s="30"/>
      <c r="O111" s="31"/>
      <c r="P111" s="53"/>
      <c r="Q111" s="33"/>
      <c r="R111" s="54" t="str">
        <f t="shared" si="19"/>
        <v/>
      </c>
      <c r="S111" s="30"/>
      <c r="T111" s="33"/>
    </row>
    <row r="112" spans="1:20" x14ac:dyDescent="0.25">
      <c r="A112" s="30"/>
      <c r="B112" s="84" t="str">
        <f t="shared" si="10"/>
        <v/>
      </c>
      <c r="C112" s="30"/>
      <c r="D112" s="85" t="str">
        <f t="shared" si="11"/>
        <v/>
      </c>
      <c r="E112" s="85" t="str">
        <f t="shared" si="12"/>
        <v/>
      </c>
      <c r="F112" s="85" t="str">
        <f t="shared" si="13"/>
        <v/>
      </c>
      <c r="G112" s="86" t="str">
        <f t="shared" si="14"/>
        <v/>
      </c>
      <c r="H112" s="30"/>
      <c r="I112" s="87" t="str">
        <f t="shared" si="15"/>
        <v/>
      </c>
      <c r="J112" s="85" t="str">
        <f t="shared" si="16"/>
        <v/>
      </c>
      <c r="K112" s="49"/>
      <c r="L112" s="88" t="str">
        <f t="shared" si="17"/>
        <v/>
      </c>
      <c r="M112" s="88" t="str">
        <f t="shared" si="18"/>
        <v/>
      </c>
      <c r="N112" s="30"/>
      <c r="O112" s="31"/>
      <c r="P112" s="53"/>
      <c r="Q112" s="33"/>
      <c r="R112" s="54" t="str">
        <f t="shared" si="19"/>
        <v/>
      </c>
      <c r="S112" s="30"/>
      <c r="T112" s="33"/>
    </row>
    <row r="113" spans="1:20" x14ac:dyDescent="0.25">
      <c r="A113" s="30"/>
      <c r="B113" s="84" t="str">
        <f t="shared" si="10"/>
        <v/>
      </c>
      <c r="C113" s="30"/>
      <c r="D113" s="85" t="str">
        <f t="shared" si="11"/>
        <v/>
      </c>
      <c r="E113" s="85" t="str">
        <f t="shared" si="12"/>
        <v/>
      </c>
      <c r="F113" s="85" t="str">
        <f t="shared" si="13"/>
        <v/>
      </c>
      <c r="G113" s="86" t="str">
        <f t="shared" si="14"/>
        <v/>
      </c>
      <c r="H113" s="30"/>
      <c r="I113" s="87" t="str">
        <f t="shared" si="15"/>
        <v/>
      </c>
      <c r="J113" s="85" t="str">
        <f t="shared" si="16"/>
        <v/>
      </c>
      <c r="K113" s="49"/>
      <c r="L113" s="88" t="str">
        <f t="shared" si="17"/>
        <v/>
      </c>
      <c r="M113" s="88" t="str">
        <f t="shared" si="18"/>
        <v/>
      </c>
      <c r="N113" s="30"/>
      <c r="O113" s="31"/>
      <c r="P113" s="53"/>
      <c r="Q113" s="33"/>
      <c r="R113" s="54" t="str">
        <f t="shared" si="19"/>
        <v/>
      </c>
      <c r="S113" s="30"/>
      <c r="T113" s="33"/>
    </row>
    <row r="114" spans="1:20" x14ac:dyDescent="0.25">
      <c r="A114" s="30"/>
      <c r="B114" s="84" t="str">
        <f t="shared" si="10"/>
        <v/>
      </c>
      <c r="C114" s="30"/>
      <c r="D114" s="85" t="str">
        <f t="shared" si="11"/>
        <v/>
      </c>
      <c r="E114" s="85" t="str">
        <f t="shared" si="12"/>
        <v/>
      </c>
      <c r="F114" s="85" t="str">
        <f t="shared" si="13"/>
        <v/>
      </c>
      <c r="G114" s="86" t="str">
        <f t="shared" si="14"/>
        <v/>
      </c>
      <c r="H114" s="30"/>
      <c r="I114" s="87" t="str">
        <f t="shared" si="15"/>
        <v/>
      </c>
      <c r="J114" s="85" t="str">
        <f t="shared" si="16"/>
        <v/>
      </c>
      <c r="K114" s="49"/>
      <c r="L114" s="88" t="str">
        <f t="shared" si="17"/>
        <v/>
      </c>
      <c r="M114" s="88" t="str">
        <f t="shared" si="18"/>
        <v/>
      </c>
      <c r="N114" s="30"/>
      <c r="O114" s="31"/>
      <c r="P114" s="53"/>
      <c r="Q114" s="33"/>
      <c r="R114" s="54" t="str">
        <f t="shared" si="19"/>
        <v/>
      </c>
      <c r="S114" s="30"/>
      <c r="T114" s="33"/>
    </row>
    <row r="115" spans="1:20" x14ac:dyDescent="0.25">
      <c r="A115" s="30"/>
      <c r="B115" s="84" t="str">
        <f t="shared" si="10"/>
        <v/>
      </c>
      <c r="C115" s="30"/>
      <c r="D115" s="85" t="str">
        <f t="shared" si="11"/>
        <v/>
      </c>
      <c r="E115" s="85" t="str">
        <f t="shared" si="12"/>
        <v/>
      </c>
      <c r="F115" s="85" t="str">
        <f t="shared" si="13"/>
        <v/>
      </c>
      <c r="G115" s="86" t="str">
        <f t="shared" si="14"/>
        <v/>
      </c>
      <c r="H115" s="30"/>
      <c r="I115" s="87" t="str">
        <f t="shared" si="15"/>
        <v/>
      </c>
      <c r="J115" s="85" t="str">
        <f t="shared" si="16"/>
        <v/>
      </c>
      <c r="K115" s="49"/>
      <c r="L115" s="88" t="str">
        <f t="shared" si="17"/>
        <v/>
      </c>
      <c r="M115" s="88" t="str">
        <f t="shared" si="18"/>
        <v/>
      </c>
      <c r="N115" s="30"/>
      <c r="O115" s="31"/>
      <c r="P115" s="53"/>
      <c r="Q115" s="33"/>
      <c r="R115" s="54" t="str">
        <f t="shared" si="19"/>
        <v/>
      </c>
      <c r="S115" s="30"/>
      <c r="T115" s="33"/>
    </row>
    <row r="116" spans="1:20" x14ac:dyDescent="0.25">
      <c r="A116" s="30"/>
      <c r="B116" s="84" t="str">
        <f t="shared" si="10"/>
        <v/>
      </c>
      <c r="C116" s="30"/>
      <c r="D116" s="85" t="str">
        <f t="shared" si="11"/>
        <v/>
      </c>
      <c r="E116" s="85" t="str">
        <f t="shared" si="12"/>
        <v/>
      </c>
      <c r="F116" s="85" t="str">
        <f t="shared" si="13"/>
        <v/>
      </c>
      <c r="G116" s="86" t="str">
        <f t="shared" si="14"/>
        <v/>
      </c>
      <c r="H116" s="30"/>
      <c r="I116" s="87" t="str">
        <f t="shared" si="15"/>
        <v/>
      </c>
      <c r="J116" s="85" t="str">
        <f t="shared" si="16"/>
        <v/>
      </c>
      <c r="K116" s="49"/>
      <c r="L116" s="88" t="str">
        <f t="shared" si="17"/>
        <v/>
      </c>
      <c r="M116" s="88" t="str">
        <f t="shared" si="18"/>
        <v/>
      </c>
      <c r="N116" s="30"/>
      <c r="O116" s="31"/>
      <c r="P116" s="53"/>
      <c r="Q116" s="33"/>
      <c r="R116" s="54" t="str">
        <f t="shared" si="19"/>
        <v/>
      </c>
      <c r="S116" s="30"/>
      <c r="T116" s="33"/>
    </row>
    <row r="117" spans="1:20" x14ac:dyDescent="0.25">
      <c r="A117" s="30"/>
      <c r="B117" s="84" t="str">
        <f t="shared" ref="B117:B180" si="20">IF($G117="","",EOMONTH($G117,0))</f>
        <v/>
      </c>
      <c r="C117" s="30"/>
      <c r="D117" s="85" t="str">
        <f t="shared" ref="D117:D180" si="21">IFERROR(IF($C117="","",VLOOKUP($C117,CAD_TAB,2,FALSE)),"")</f>
        <v/>
      </c>
      <c r="E117" s="85" t="str">
        <f t="shared" ref="E117:E180" si="22">IFERROR(IF($C117="","",VLOOKUP($C117,CAD_TAB,3,FALSE)),"")</f>
        <v/>
      </c>
      <c r="F117" s="85" t="str">
        <f t="shared" ref="F117:F180" si="23">IFERROR(IF($C117="","",VLOOKUP($C117,OS_TAB,7,FALSE)),"")</f>
        <v/>
      </c>
      <c r="G117" s="86" t="str">
        <f t="shared" ref="G117:G180" si="24">IFERROR(IF($C117="","",VLOOKUP($C117,OS_TAB,10,FALSE)),"")</f>
        <v/>
      </c>
      <c r="H117" s="30"/>
      <c r="I117" s="87" t="str">
        <f t="shared" ref="I117:I180" si="25">IFERROR(IF($H117="","",VLOOKUP($H117,PRE_TAB,5,FALSE)),"CÓDIGO NÃO ENCONTRADO")</f>
        <v/>
      </c>
      <c r="J117" s="85" t="str">
        <f t="shared" ref="J117:J180" si="26">IFERROR(IF($H117="","",VLOOKUP($H117,PRE_TAB,7,FALSE)),"")</f>
        <v/>
      </c>
      <c r="K117" s="49"/>
      <c r="L117" s="88" t="str">
        <f t="shared" ref="L117:L180" si="27">IFERROR(IF($H117="","",VLOOKUP($H117,PRE_TAB,8,FALSE)),0)</f>
        <v/>
      </c>
      <c r="M117" s="88" t="str">
        <f t="shared" ref="M117:M180" si="28">IF($H117="","",ROUND($K117*$L117,2))</f>
        <v/>
      </c>
      <c r="N117" s="30"/>
      <c r="O117" s="31"/>
      <c r="P117" s="53"/>
      <c r="Q117" s="33"/>
      <c r="R117" s="54" t="str">
        <f t="shared" ref="R117:R180" si="29">IF($H117="","",$M117-$P117)</f>
        <v/>
      </c>
      <c r="S117" s="30"/>
      <c r="T117" s="33"/>
    </row>
    <row r="118" spans="1:20" x14ac:dyDescent="0.25">
      <c r="A118" s="30"/>
      <c r="B118" s="84" t="str">
        <f t="shared" si="20"/>
        <v/>
      </c>
      <c r="C118" s="30"/>
      <c r="D118" s="85" t="str">
        <f t="shared" si="21"/>
        <v/>
      </c>
      <c r="E118" s="85" t="str">
        <f t="shared" si="22"/>
        <v/>
      </c>
      <c r="F118" s="85" t="str">
        <f t="shared" si="23"/>
        <v/>
      </c>
      <c r="G118" s="86" t="str">
        <f t="shared" si="24"/>
        <v/>
      </c>
      <c r="H118" s="30"/>
      <c r="I118" s="87" t="str">
        <f t="shared" si="25"/>
        <v/>
      </c>
      <c r="J118" s="85" t="str">
        <f t="shared" si="26"/>
        <v/>
      </c>
      <c r="K118" s="49"/>
      <c r="L118" s="88" t="str">
        <f t="shared" si="27"/>
        <v/>
      </c>
      <c r="M118" s="88" t="str">
        <f t="shared" si="28"/>
        <v/>
      </c>
      <c r="N118" s="30"/>
      <c r="O118" s="31"/>
      <c r="P118" s="53"/>
      <c r="Q118" s="33"/>
      <c r="R118" s="54" t="str">
        <f t="shared" si="29"/>
        <v/>
      </c>
      <c r="S118" s="30"/>
      <c r="T118" s="33"/>
    </row>
    <row r="119" spans="1:20" x14ac:dyDescent="0.25">
      <c r="A119" s="30"/>
      <c r="B119" s="84" t="str">
        <f t="shared" si="20"/>
        <v/>
      </c>
      <c r="C119" s="30"/>
      <c r="D119" s="85" t="str">
        <f t="shared" si="21"/>
        <v/>
      </c>
      <c r="E119" s="85" t="str">
        <f t="shared" si="22"/>
        <v/>
      </c>
      <c r="F119" s="85" t="str">
        <f t="shared" si="23"/>
        <v/>
      </c>
      <c r="G119" s="86" t="str">
        <f t="shared" si="24"/>
        <v/>
      </c>
      <c r="H119" s="30"/>
      <c r="I119" s="87" t="str">
        <f t="shared" si="25"/>
        <v/>
      </c>
      <c r="J119" s="85" t="str">
        <f t="shared" si="26"/>
        <v/>
      </c>
      <c r="K119" s="49"/>
      <c r="L119" s="88" t="str">
        <f t="shared" si="27"/>
        <v/>
      </c>
      <c r="M119" s="88" t="str">
        <f t="shared" si="28"/>
        <v/>
      </c>
      <c r="N119" s="30"/>
      <c r="O119" s="31"/>
      <c r="P119" s="53"/>
      <c r="Q119" s="33"/>
      <c r="R119" s="54" t="str">
        <f t="shared" si="29"/>
        <v/>
      </c>
      <c r="S119" s="30"/>
      <c r="T119" s="33"/>
    </row>
    <row r="120" spans="1:20" x14ac:dyDescent="0.25">
      <c r="A120" s="30"/>
      <c r="B120" s="84" t="str">
        <f t="shared" si="20"/>
        <v/>
      </c>
      <c r="C120" s="30"/>
      <c r="D120" s="85" t="str">
        <f t="shared" si="21"/>
        <v/>
      </c>
      <c r="E120" s="85" t="str">
        <f t="shared" si="22"/>
        <v/>
      </c>
      <c r="F120" s="85" t="str">
        <f t="shared" si="23"/>
        <v/>
      </c>
      <c r="G120" s="86" t="str">
        <f t="shared" si="24"/>
        <v/>
      </c>
      <c r="H120" s="30"/>
      <c r="I120" s="87" t="str">
        <f t="shared" si="25"/>
        <v/>
      </c>
      <c r="J120" s="85" t="str">
        <f t="shared" si="26"/>
        <v/>
      </c>
      <c r="K120" s="49"/>
      <c r="L120" s="88" t="str">
        <f t="shared" si="27"/>
        <v/>
      </c>
      <c r="M120" s="88" t="str">
        <f t="shared" si="28"/>
        <v/>
      </c>
      <c r="N120" s="30"/>
      <c r="O120" s="31"/>
      <c r="P120" s="53"/>
      <c r="Q120" s="33"/>
      <c r="R120" s="54" t="str">
        <f t="shared" si="29"/>
        <v/>
      </c>
      <c r="S120" s="30"/>
      <c r="T120" s="33"/>
    </row>
    <row r="121" spans="1:20" x14ac:dyDescent="0.25">
      <c r="A121" s="30"/>
      <c r="B121" s="84" t="str">
        <f t="shared" si="20"/>
        <v/>
      </c>
      <c r="C121" s="30"/>
      <c r="D121" s="85" t="str">
        <f t="shared" si="21"/>
        <v/>
      </c>
      <c r="E121" s="85" t="str">
        <f t="shared" si="22"/>
        <v/>
      </c>
      <c r="F121" s="85" t="str">
        <f t="shared" si="23"/>
        <v/>
      </c>
      <c r="G121" s="86" t="str">
        <f t="shared" si="24"/>
        <v/>
      </c>
      <c r="H121" s="30"/>
      <c r="I121" s="87" t="str">
        <f t="shared" si="25"/>
        <v/>
      </c>
      <c r="J121" s="85" t="str">
        <f t="shared" si="26"/>
        <v/>
      </c>
      <c r="K121" s="49"/>
      <c r="L121" s="88" t="str">
        <f t="shared" si="27"/>
        <v/>
      </c>
      <c r="M121" s="88" t="str">
        <f t="shared" si="28"/>
        <v/>
      </c>
      <c r="N121" s="30"/>
      <c r="O121" s="31"/>
      <c r="P121" s="53"/>
      <c r="Q121" s="33"/>
      <c r="R121" s="54" t="str">
        <f t="shared" si="29"/>
        <v/>
      </c>
      <c r="S121" s="30"/>
      <c r="T121" s="33"/>
    </row>
    <row r="122" spans="1:20" x14ac:dyDescent="0.25">
      <c r="A122" s="30"/>
      <c r="B122" s="84" t="str">
        <f t="shared" si="20"/>
        <v/>
      </c>
      <c r="C122" s="30"/>
      <c r="D122" s="85" t="str">
        <f t="shared" si="21"/>
        <v/>
      </c>
      <c r="E122" s="85" t="str">
        <f t="shared" si="22"/>
        <v/>
      </c>
      <c r="F122" s="85" t="str">
        <f t="shared" si="23"/>
        <v/>
      </c>
      <c r="G122" s="86" t="str">
        <f t="shared" si="24"/>
        <v/>
      </c>
      <c r="H122" s="30"/>
      <c r="I122" s="87" t="str">
        <f t="shared" si="25"/>
        <v/>
      </c>
      <c r="J122" s="85" t="str">
        <f t="shared" si="26"/>
        <v/>
      </c>
      <c r="K122" s="49"/>
      <c r="L122" s="88" t="str">
        <f t="shared" si="27"/>
        <v/>
      </c>
      <c r="M122" s="88" t="str">
        <f t="shared" si="28"/>
        <v/>
      </c>
      <c r="N122" s="30"/>
      <c r="O122" s="31"/>
      <c r="P122" s="53"/>
      <c r="Q122" s="33"/>
      <c r="R122" s="54" t="str">
        <f t="shared" si="29"/>
        <v/>
      </c>
      <c r="S122" s="30"/>
      <c r="T122" s="33"/>
    </row>
    <row r="123" spans="1:20" x14ac:dyDescent="0.25">
      <c r="A123" s="30"/>
      <c r="B123" s="84" t="str">
        <f t="shared" si="20"/>
        <v/>
      </c>
      <c r="C123" s="30"/>
      <c r="D123" s="85" t="str">
        <f t="shared" si="21"/>
        <v/>
      </c>
      <c r="E123" s="85" t="str">
        <f t="shared" si="22"/>
        <v/>
      </c>
      <c r="F123" s="85" t="str">
        <f t="shared" si="23"/>
        <v/>
      </c>
      <c r="G123" s="86" t="str">
        <f t="shared" si="24"/>
        <v/>
      </c>
      <c r="H123" s="30"/>
      <c r="I123" s="87" t="str">
        <f t="shared" si="25"/>
        <v/>
      </c>
      <c r="J123" s="85" t="str">
        <f t="shared" si="26"/>
        <v/>
      </c>
      <c r="K123" s="49"/>
      <c r="L123" s="88" t="str">
        <f t="shared" si="27"/>
        <v/>
      </c>
      <c r="M123" s="88" t="str">
        <f t="shared" si="28"/>
        <v/>
      </c>
      <c r="N123" s="30"/>
      <c r="O123" s="31"/>
      <c r="P123" s="53"/>
      <c r="Q123" s="33"/>
      <c r="R123" s="54" t="str">
        <f t="shared" si="29"/>
        <v/>
      </c>
      <c r="S123" s="30"/>
      <c r="T123" s="33"/>
    </row>
    <row r="124" spans="1:20" x14ac:dyDescent="0.25">
      <c r="A124" s="30"/>
      <c r="B124" s="84" t="str">
        <f t="shared" si="20"/>
        <v/>
      </c>
      <c r="C124" s="30"/>
      <c r="D124" s="85" t="str">
        <f t="shared" si="21"/>
        <v/>
      </c>
      <c r="E124" s="85" t="str">
        <f t="shared" si="22"/>
        <v/>
      </c>
      <c r="F124" s="85" t="str">
        <f t="shared" si="23"/>
        <v/>
      </c>
      <c r="G124" s="86" t="str">
        <f t="shared" si="24"/>
        <v/>
      </c>
      <c r="H124" s="30"/>
      <c r="I124" s="87" t="str">
        <f t="shared" si="25"/>
        <v/>
      </c>
      <c r="J124" s="85" t="str">
        <f t="shared" si="26"/>
        <v/>
      </c>
      <c r="K124" s="49"/>
      <c r="L124" s="88" t="str">
        <f t="shared" si="27"/>
        <v/>
      </c>
      <c r="M124" s="88" t="str">
        <f t="shared" si="28"/>
        <v/>
      </c>
      <c r="N124" s="30"/>
      <c r="O124" s="31"/>
      <c r="P124" s="53"/>
      <c r="Q124" s="33"/>
      <c r="R124" s="54" t="str">
        <f t="shared" si="29"/>
        <v/>
      </c>
      <c r="S124" s="30"/>
      <c r="T124" s="33"/>
    </row>
    <row r="125" spans="1:20" x14ac:dyDescent="0.25">
      <c r="A125" s="30"/>
      <c r="B125" s="84" t="str">
        <f t="shared" si="20"/>
        <v/>
      </c>
      <c r="C125" s="30"/>
      <c r="D125" s="85" t="str">
        <f t="shared" si="21"/>
        <v/>
      </c>
      <c r="E125" s="85" t="str">
        <f t="shared" si="22"/>
        <v/>
      </c>
      <c r="F125" s="85" t="str">
        <f t="shared" si="23"/>
        <v/>
      </c>
      <c r="G125" s="86" t="str">
        <f t="shared" si="24"/>
        <v/>
      </c>
      <c r="H125" s="30"/>
      <c r="I125" s="87" t="str">
        <f t="shared" si="25"/>
        <v/>
      </c>
      <c r="J125" s="85" t="str">
        <f t="shared" si="26"/>
        <v/>
      </c>
      <c r="K125" s="49"/>
      <c r="L125" s="88" t="str">
        <f t="shared" si="27"/>
        <v/>
      </c>
      <c r="M125" s="88" t="str">
        <f t="shared" si="28"/>
        <v/>
      </c>
      <c r="N125" s="30"/>
      <c r="O125" s="31"/>
      <c r="P125" s="53"/>
      <c r="Q125" s="33"/>
      <c r="R125" s="54" t="str">
        <f t="shared" si="29"/>
        <v/>
      </c>
      <c r="S125" s="30"/>
      <c r="T125" s="33"/>
    </row>
    <row r="126" spans="1:20" x14ac:dyDescent="0.25">
      <c r="A126" s="30"/>
      <c r="B126" s="84" t="str">
        <f t="shared" si="20"/>
        <v/>
      </c>
      <c r="C126" s="30"/>
      <c r="D126" s="85" t="str">
        <f t="shared" si="21"/>
        <v/>
      </c>
      <c r="E126" s="85" t="str">
        <f t="shared" si="22"/>
        <v/>
      </c>
      <c r="F126" s="85" t="str">
        <f t="shared" si="23"/>
        <v/>
      </c>
      <c r="G126" s="86" t="str">
        <f t="shared" si="24"/>
        <v/>
      </c>
      <c r="H126" s="30"/>
      <c r="I126" s="87" t="str">
        <f t="shared" si="25"/>
        <v/>
      </c>
      <c r="J126" s="85" t="str">
        <f t="shared" si="26"/>
        <v/>
      </c>
      <c r="K126" s="49"/>
      <c r="L126" s="88" t="str">
        <f t="shared" si="27"/>
        <v/>
      </c>
      <c r="M126" s="88" t="str">
        <f t="shared" si="28"/>
        <v/>
      </c>
      <c r="N126" s="30"/>
      <c r="O126" s="31"/>
      <c r="P126" s="53"/>
      <c r="Q126" s="33"/>
      <c r="R126" s="54" t="str">
        <f t="shared" si="29"/>
        <v/>
      </c>
      <c r="S126" s="30"/>
      <c r="T126" s="33"/>
    </row>
    <row r="127" spans="1:20" x14ac:dyDescent="0.25">
      <c r="A127" s="30"/>
      <c r="B127" s="84" t="str">
        <f t="shared" si="20"/>
        <v/>
      </c>
      <c r="C127" s="30"/>
      <c r="D127" s="85" t="str">
        <f t="shared" si="21"/>
        <v/>
      </c>
      <c r="E127" s="85" t="str">
        <f t="shared" si="22"/>
        <v/>
      </c>
      <c r="F127" s="85" t="str">
        <f t="shared" si="23"/>
        <v/>
      </c>
      <c r="G127" s="86" t="str">
        <f t="shared" si="24"/>
        <v/>
      </c>
      <c r="H127" s="30"/>
      <c r="I127" s="87" t="str">
        <f t="shared" si="25"/>
        <v/>
      </c>
      <c r="J127" s="85" t="str">
        <f t="shared" si="26"/>
        <v/>
      </c>
      <c r="K127" s="49"/>
      <c r="L127" s="88" t="str">
        <f t="shared" si="27"/>
        <v/>
      </c>
      <c r="M127" s="88" t="str">
        <f t="shared" si="28"/>
        <v/>
      </c>
      <c r="N127" s="30"/>
      <c r="O127" s="31"/>
      <c r="P127" s="53"/>
      <c r="Q127" s="33"/>
      <c r="R127" s="54" t="str">
        <f t="shared" si="29"/>
        <v/>
      </c>
      <c r="S127" s="30"/>
      <c r="T127" s="33"/>
    </row>
    <row r="128" spans="1:20" x14ac:dyDescent="0.25">
      <c r="A128" s="30"/>
      <c r="B128" s="84" t="str">
        <f t="shared" si="20"/>
        <v/>
      </c>
      <c r="C128" s="30"/>
      <c r="D128" s="85" t="str">
        <f t="shared" si="21"/>
        <v/>
      </c>
      <c r="E128" s="85" t="str">
        <f t="shared" si="22"/>
        <v/>
      </c>
      <c r="F128" s="85" t="str">
        <f t="shared" si="23"/>
        <v/>
      </c>
      <c r="G128" s="86" t="str">
        <f t="shared" si="24"/>
        <v/>
      </c>
      <c r="H128" s="30"/>
      <c r="I128" s="87" t="str">
        <f t="shared" si="25"/>
        <v/>
      </c>
      <c r="J128" s="85" t="str">
        <f t="shared" si="26"/>
        <v/>
      </c>
      <c r="K128" s="49"/>
      <c r="L128" s="88" t="str">
        <f t="shared" si="27"/>
        <v/>
      </c>
      <c r="M128" s="88" t="str">
        <f t="shared" si="28"/>
        <v/>
      </c>
      <c r="N128" s="30"/>
      <c r="O128" s="31"/>
      <c r="P128" s="53"/>
      <c r="Q128" s="33"/>
      <c r="R128" s="54" t="str">
        <f t="shared" si="29"/>
        <v/>
      </c>
      <c r="S128" s="30"/>
      <c r="T128" s="33"/>
    </row>
    <row r="129" spans="1:20" x14ac:dyDescent="0.25">
      <c r="A129" s="30"/>
      <c r="B129" s="84" t="str">
        <f t="shared" si="20"/>
        <v/>
      </c>
      <c r="C129" s="30"/>
      <c r="D129" s="85" t="str">
        <f t="shared" si="21"/>
        <v/>
      </c>
      <c r="E129" s="85" t="str">
        <f t="shared" si="22"/>
        <v/>
      </c>
      <c r="F129" s="85" t="str">
        <f t="shared" si="23"/>
        <v/>
      </c>
      <c r="G129" s="86" t="str">
        <f t="shared" si="24"/>
        <v/>
      </c>
      <c r="H129" s="30"/>
      <c r="I129" s="87" t="str">
        <f t="shared" si="25"/>
        <v/>
      </c>
      <c r="J129" s="85" t="str">
        <f t="shared" si="26"/>
        <v/>
      </c>
      <c r="K129" s="49"/>
      <c r="L129" s="88" t="str">
        <f t="shared" si="27"/>
        <v/>
      </c>
      <c r="M129" s="88" t="str">
        <f t="shared" si="28"/>
        <v/>
      </c>
      <c r="N129" s="30"/>
      <c r="O129" s="31"/>
      <c r="P129" s="53"/>
      <c r="Q129" s="33"/>
      <c r="R129" s="54" t="str">
        <f t="shared" si="29"/>
        <v/>
      </c>
      <c r="S129" s="30"/>
      <c r="T129" s="33"/>
    </row>
    <row r="130" spans="1:20" x14ac:dyDescent="0.25">
      <c r="A130" s="30"/>
      <c r="B130" s="84" t="str">
        <f t="shared" si="20"/>
        <v/>
      </c>
      <c r="C130" s="30"/>
      <c r="D130" s="85" t="str">
        <f t="shared" si="21"/>
        <v/>
      </c>
      <c r="E130" s="85" t="str">
        <f t="shared" si="22"/>
        <v/>
      </c>
      <c r="F130" s="85" t="str">
        <f t="shared" si="23"/>
        <v/>
      </c>
      <c r="G130" s="86" t="str">
        <f t="shared" si="24"/>
        <v/>
      </c>
      <c r="H130" s="30"/>
      <c r="I130" s="87" t="str">
        <f t="shared" si="25"/>
        <v/>
      </c>
      <c r="J130" s="85" t="str">
        <f t="shared" si="26"/>
        <v/>
      </c>
      <c r="K130" s="49"/>
      <c r="L130" s="88" t="str">
        <f t="shared" si="27"/>
        <v/>
      </c>
      <c r="M130" s="88" t="str">
        <f t="shared" si="28"/>
        <v/>
      </c>
      <c r="N130" s="30"/>
      <c r="O130" s="31"/>
      <c r="P130" s="53"/>
      <c r="Q130" s="33"/>
      <c r="R130" s="54" t="str">
        <f t="shared" si="29"/>
        <v/>
      </c>
      <c r="S130" s="30"/>
      <c r="T130" s="33"/>
    </row>
    <row r="131" spans="1:20" x14ac:dyDescent="0.25">
      <c r="A131" s="30"/>
      <c r="B131" s="84" t="str">
        <f t="shared" si="20"/>
        <v/>
      </c>
      <c r="C131" s="30"/>
      <c r="D131" s="85" t="str">
        <f t="shared" si="21"/>
        <v/>
      </c>
      <c r="E131" s="85" t="str">
        <f t="shared" si="22"/>
        <v/>
      </c>
      <c r="F131" s="85" t="str">
        <f t="shared" si="23"/>
        <v/>
      </c>
      <c r="G131" s="86" t="str">
        <f t="shared" si="24"/>
        <v/>
      </c>
      <c r="H131" s="30"/>
      <c r="I131" s="87" t="str">
        <f t="shared" si="25"/>
        <v/>
      </c>
      <c r="J131" s="85" t="str">
        <f t="shared" si="26"/>
        <v/>
      </c>
      <c r="K131" s="49"/>
      <c r="L131" s="88" t="str">
        <f t="shared" si="27"/>
        <v/>
      </c>
      <c r="M131" s="88" t="str">
        <f t="shared" si="28"/>
        <v/>
      </c>
      <c r="N131" s="30"/>
      <c r="O131" s="31"/>
      <c r="P131" s="53"/>
      <c r="Q131" s="33"/>
      <c r="R131" s="54" t="str">
        <f t="shared" si="29"/>
        <v/>
      </c>
      <c r="S131" s="30"/>
      <c r="T131" s="33"/>
    </row>
    <row r="132" spans="1:20" x14ac:dyDescent="0.25">
      <c r="A132" s="30"/>
      <c r="B132" s="84" t="str">
        <f t="shared" si="20"/>
        <v/>
      </c>
      <c r="C132" s="30"/>
      <c r="D132" s="85" t="str">
        <f t="shared" si="21"/>
        <v/>
      </c>
      <c r="E132" s="85" t="str">
        <f t="shared" si="22"/>
        <v/>
      </c>
      <c r="F132" s="85" t="str">
        <f t="shared" si="23"/>
        <v/>
      </c>
      <c r="G132" s="86" t="str">
        <f t="shared" si="24"/>
        <v/>
      </c>
      <c r="H132" s="30"/>
      <c r="I132" s="87" t="str">
        <f t="shared" si="25"/>
        <v/>
      </c>
      <c r="J132" s="85" t="str">
        <f t="shared" si="26"/>
        <v/>
      </c>
      <c r="K132" s="49"/>
      <c r="L132" s="88" t="str">
        <f t="shared" si="27"/>
        <v/>
      </c>
      <c r="M132" s="88" t="str">
        <f t="shared" si="28"/>
        <v/>
      </c>
      <c r="N132" s="30"/>
      <c r="O132" s="31"/>
      <c r="P132" s="53"/>
      <c r="Q132" s="33"/>
      <c r="R132" s="54" t="str">
        <f t="shared" si="29"/>
        <v/>
      </c>
      <c r="S132" s="30"/>
      <c r="T132" s="33"/>
    </row>
    <row r="133" spans="1:20" x14ac:dyDescent="0.25">
      <c r="A133" s="30"/>
      <c r="B133" s="84" t="str">
        <f t="shared" si="20"/>
        <v/>
      </c>
      <c r="C133" s="30"/>
      <c r="D133" s="85" t="str">
        <f t="shared" si="21"/>
        <v/>
      </c>
      <c r="E133" s="85" t="str">
        <f t="shared" si="22"/>
        <v/>
      </c>
      <c r="F133" s="85" t="str">
        <f t="shared" si="23"/>
        <v/>
      </c>
      <c r="G133" s="86" t="str">
        <f t="shared" si="24"/>
        <v/>
      </c>
      <c r="H133" s="30"/>
      <c r="I133" s="87" t="str">
        <f t="shared" si="25"/>
        <v/>
      </c>
      <c r="J133" s="85" t="str">
        <f t="shared" si="26"/>
        <v/>
      </c>
      <c r="K133" s="49"/>
      <c r="L133" s="88" t="str">
        <f t="shared" si="27"/>
        <v/>
      </c>
      <c r="M133" s="88" t="str">
        <f t="shared" si="28"/>
        <v/>
      </c>
      <c r="N133" s="30"/>
      <c r="O133" s="31"/>
      <c r="P133" s="53"/>
      <c r="Q133" s="33"/>
      <c r="R133" s="54" t="str">
        <f t="shared" si="29"/>
        <v/>
      </c>
      <c r="S133" s="30"/>
      <c r="T133" s="33"/>
    </row>
    <row r="134" spans="1:20" x14ac:dyDescent="0.25">
      <c r="A134" s="30"/>
      <c r="B134" s="84" t="str">
        <f t="shared" si="20"/>
        <v/>
      </c>
      <c r="C134" s="30"/>
      <c r="D134" s="85" t="str">
        <f t="shared" si="21"/>
        <v/>
      </c>
      <c r="E134" s="85" t="str">
        <f t="shared" si="22"/>
        <v/>
      </c>
      <c r="F134" s="85" t="str">
        <f t="shared" si="23"/>
        <v/>
      </c>
      <c r="G134" s="86" t="str">
        <f t="shared" si="24"/>
        <v/>
      </c>
      <c r="H134" s="30"/>
      <c r="I134" s="87" t="str">
        <f t="shared" si="25"/>
        <v/>
      </c>
      <c r="J134" s="85" t="str">
        <f t="shared" si="26"/>
        <v/>
      </c>
      <c r="K134" s="49"/>
      <c r="L134" s="88" t="str">
        <f t="shared" si="27"/>
        <v/>
      </c>
      <c r="M134" s="88" t="str">
        <f t="shared" si="28"/>
        <v/>
      </c>
      <c r="N134" s="30"/>
      <c r="O134" s="31"/>
      <c r="P134" s="53"/>
      <c r="Q134" s="33"/>
      <c r="R134" s="54" t="str">
        <f t="shared" si="29"/>
        <v/>
      </c>
      <c r="S134" s="30"/>
      <c r="T134" s="33"/>
    </row>
    <row r="135" spans="1:20" x14ac:dyDescent="0.25">
      <c r="A135" s="30"/>
      <c r="B135" s="84" t="str">
        <f t="shared" si="20"/>
        <v/>
      </c>
      <c r="C135" s="30"/>
      <c r="D135" s="85" t="str">
        <f t="shared" si="21"/>
        <v/>
      </c>
      <c r="E135" s="85" t="str">
        <f t="shared" si="22"/>
        <v/>
      </c>
      <c r="F135" s="85" t="str">
        <f t="shared" si="23"/>
        <v/>
      </c>
      <c r="G135" s="86" t="str">
        <f t="shared" si="24"/>
        <v/>
      </c>
      <c r="H135" s="30"/>
      <c r="I135" s="87" t="str">
        <f t="shared" si="25"/>
        <v/>
      </c>
      <c r="J135" s="85" t="str">
        <f t="shared" si="26"/>
        <v/>
      </c>
      <c r="K135" s="49"/>
      <c r="L135" s="88" t="str">
        <f t="shared" si="27"/>
        <v/>
      </c>
      <c r="M135" s="88" t="str">
        <f t="shared" si="28"/>
        <v/>
      </c>
      <c r="N135" s="30"/>
      <c r="O135" s="31"/>
      <c r="P135" s="53"/>
      <c r="Q135" s="33"/>
      <c r="R135" s="54" t="str">
        <f t="shared" si="29"/>
        <v/>
      </c>
      <c r="S135" s="30"/>
      <c r="T135" s="33"/>
    </row>
    <row r="136" spans="1:20" x14ac:dyDescent="0.25">
      <c r="A136" s="30"/>
      <c r="B136" s="84" t="str">
        <f t="shared" si="20"/>
        <v/>
      </c>
      <c r="C136" s="30"/>
      <c r="D136" s="85" t="str">
        <f t="shared" si="21"/>
        <v/>
      </c>
      <c r="E136" s="85" t="str">
        <f t="shared" si="22"/>
        <v/>
      </c>
      <c r="F136" s="85" t="str">
        <f t="shared" si="23"/>
        <v/>
      </c>
      <c r="G136" s="86" t="str">
        <f t="shared" si="24"/>
        <v/>
      </c>
      <c r="H136" s="30"/>
      <c r="I136" s="87" t="str">
        <f t="shared" si="25"/>
        <v/>
      </c>
      <c r="J136" s="85" t="str">
        <f t="shared" si="26"/>
        <v/>
      </c>
      <c r="K136" s="49"/>
      <c r="L136" s="88" t="str">
        <f t="shared" si="27"/>
        <v/>
      </c>
      <c r="M136" s="88" t="str">
        <f t="shared" si="28"/>
        <v/>
      </c>
      <c r="N136" s="30"/>
      <c r="O136" s="31"/>
      <c r="P136" s="53"/>
      <c r="Q136" s="33"/>
      <c r="R136" s="54" t="str">
        <f t="shared" si="29"/>
        <v/>
      </c>
      <c r="S136" s="30"/>
      <c r="T136" s="33"/>
    </row>
    <row r="137" spans="1:20" x14ac:dyDescent="0.25">
      <c r="A137" s="30"/>
      <c r="B137" s="84" t="str">
        <f t="shared" si="20"/>
        <v/>
      </c>
      <c r="C137" s="30"/>
      <c r="D137" s="85" t="str">
        <f t="shared" si="21"/>
        <v/>
      </c>
      <c r="E137" s="85" t="str">
        <f t="shared" si="22"/>
        <v/>
      </c>
      <c r="F137" s="85" t="str">
        <f t="shared" si="23"/>
        <v/>
      </c>
      <c r="G137" s="86" t="str">
        <f t="shared" si="24"/>
        <v/>
      </c>
      <c r="H137" s="30"/>
      <c r="I137" s="87" t="str">
        <f t="shared" si="25"/>
        <v/>
      </c>
      <c r="J137" s="85" t="str">
        <f t="shared" si="26"/>
        <v/>
      </c>
      <c r="K137" s="49"/>
      <c r="L137" s="88" t="str">
        <f t="shared" si="27"/>
        <v/>
      </c>
      <c r="M137" s="88" t="str">
        <f t="shared" si="28"/>
        <v/>
      </c>
      <c r="N137" s="30"/>
      <c r="O137" s="31"/>
      <c r="P137" s="53"/>
      <c r="Q137" s="33"/>
      <c r="R137" s="54" t="str">
        <f t="shared" si="29"/>
        <v/>
      </c>
      <c r="S137" s="30"/>
      <c r="T137" s="33"/>
    </row>
    <row r="138" spans="1:20" x14ac:dyDescent="0.25">
      <c r="A138" s="30"/>
      <c r="B138" s="84" t="str">
        <f t="shared" si="20"/>
        <v/>
      </c>
      <c r="C138" s="30"/>
      <c r="D138" s="85" t="str">
        <f t="shared" si="21"/>
        <v/>
      </c>
      <c r="E138" s="85" t="str">
        <f t="shared" si="22"/>
        <v/>
      </c>
      <c r="F138" s="85" t="str">
        <f t="shared" si="23"/>
        <v/>
      </c>
      <c r="G138" s="86" t="str">
        <f t="shared" si="24"/>
        <v/>
      </c>
      <c r="H138" s="30"/>
      <c r="I138" s="87" t="str">
        <f t="shared" si="25"/>
        <v/>
      </c>
      <c r="J138" s="85" t="str">
        <f t="shared" si="26"/>
        <v/>
      </c>
      <c r="K138" s="49"/>
      <c r="L138" s="88" t="str">
        <f t="shared" si="27"/>
        <v/>
      </c>
      <c r="M138" s="88" t="str">
        <f t="shared" si="28"/>
        <v/>
      </c>
      <c r="N138" s="30"/>
      <c r="O138" s="31"/>
      <c r="P138" s="53"/>
      <c r="Q138" s="33"/>
      <c r="R138" s="54" t="str">
        <f t="shared" si="29"/>
        <v/>
      </c>
      <c r="S138" s="30"/>
      <c r="T138" s="33"/>
    </row>
    <row r="139" spans="1:20" x14ac:dyDescent="0.25">
      <c r="A139" s="30"/>
      <c r="B139" s="84" t="str">
        <f t="shared" si="20"/>
        <v/>
      </c>
      <c r="C139" s="30"/>
      <c r="D139" s="85" t="str">
        <f t="shared" si="21"/>
        <v/>
      </c>
      <c r="E139" s="85" t="str">
        <f t="shared" si="22"/>
        <v/>
      </c>
      <c r="F139" s="85" t="str">
        <f t="shared" si="23"/>
        <v/>
      </c>
      <c r="G139" s="86" t="str">
        <f t="shared" si="24"/>
        <v/>
      </c>
      <c r="H139" s="30"/>
      <c r="I139" s="87" t="str">
        <f t="shared" si="25"/>
        <v/>
      </c>
      <c r="J139" s="85" t="str">
        <f t="shared" si="26"/>
        <v/>
      </c>
      <c r="K139" s="49"/>
      <c r="L139" s="88" t="str">
        <f t="shared" si="27"/>
        <v/>
      </c>
      <c r="M139" s="88" t="str">
        <f t="shared" si="28"/>
        <v/>
      </c>
      <c r="N139" s="30"/>
      <c r="O139" s="31"/>
      <c r="P139" s="53"/>
      <c r="Q139" s="33"/>
      <c r="R139" s="54" t="str">
        <f t="shared" si="29"/>
        <v/>
      </c>
      <c r="S139" s="30"/>
      <c r="T139" s="33"/>
    </row>
    <row r="140" spans="1:20" x14ac:dyDescent="0.25">
      <c r="A140" s="30"/>
      <c r="B140" s="84" t="str">
        <f t="shared" si="20"/>
        <v/>
      </c>
      <c r="C140" s="30"/>
      <c r="D140" s="85" t="str">
        <f t="shared" si="21"/>
        <v/>
      </c>
      <c r="E140" s="85" t="str">
        <f t="shared" si="22"/>
        <v/>
      </c>
      <c r="F140" s="85" t="str">
        <f t="shared" si="23"/>
        <v/>
      </c>
      <c r="G140" s="86" t="str">
        <f t="shared" si="24"/>
        <v/>
      </c>
      <c r="H140" s="30"/>
      <c r="I140" s="87" t="str">
        <f t="shared" si="25"/>
        <v/>
      </c>
      <c r="J140" s="85" t="str">
        <f t="shared" si="26"/>
        <v/>
      </c>
      <c r="K140" s="49"/>
      <c r="L140" s="88" t="str">
        <f t="shared" si="27"/>
        <v/>
      </c>
      <c r="M140" s="88" t="str">
        <f t="shared" si="28"/>
        <v/>
      </c>
      <c r="N140" s="30"/>
      <c r="O140" s="31"/>
      <c r="P140" s="53"/>
      <c r="Q140" s="33"/>
      <c r="R140" s="54" t="str">
        <f t="shared" si="29"/>
        <v/>
      </c>
      <c r="S140" s="30"/>
      <c r="T140" s="33"/>
    </row>
    <row r="141" spans="1:20" x14ac:dyDescent="0.25">
      <c r="A141" s="30"/>
      <c r="B141" s="84" t="str">
        <f t="shared" si="20"/>
        <v/>
      </c>
      <c r="C141" s="30"/>
      <c r="D141" s="85" t="str">
        <f t="shared" si="21"/>
        <v/>
      </c>
      <c r="E141" s="85" t="str">
        <f t="shared" si="22"/>
        <v/>
      </c>
      <c r="F141" s="85" t="str">
        <f t="shared" si="23"/>
        <v/>
      </c>
      <c r="G141" s="86" t="str">
        <f t="shared" si="24"/>
        <v/>
      </c>
      <c r="H141" s="30"/>
      <c r="I141" s="87" t="str">
        <f t="shared" si="25"/>
        <v/>
      </c>
      <c r="J141" s="85" t="str">
        <f t="shared" si="26"/>
        <v/>
      </c>
      <c r="K141" s="49"/>
      <c r="L141" s="88" t="str">
        <f t="shared" si="27"/>
        <v/>
      </c>
      <c r="M141" s="88" t="str">
        <f t="shared" si="28"/>
        <v/>
      </c>
      <c r="N141" s="30"/>
      <c r="O141" s="31"/>
      <c r="P141" s="53"/>
      <c r="Q141" s="33"/>
      <c r="R141" s="54" t="str">
        <f t="shared" si="29"/>
        <v/>
      </c>
      <c r="S141" s="30"/>
      <c r="T141" s="33"/>
    </row>
    <row r="142" spans="1:20" x14ac:dyDescent="0.25">
      <c r="A142" s="30"/>
      <c r="B142" s="84" t="str">
        <f t="shared" si="20"/>
        <v/>
      </c>
      <c r="C142" s="30"/>
      <c r="D142" s="85" t="str">
        <f t="shared" si="21"/>
        <v/>
      </c>
      <c r="E142" s="85" t="str">
        <f t="shared" si="22"/>
        <v/>
      </c>
      <c r="F142" s="85" t="str">
        <f t="shared" si="23"/>
        <v/>
      </c>
      <c r="G142" s="86" t="str">
        <f t="shared" si="24"/>
        <v/>
      </c>
      <c r="H142" s="30"/>
      <c r="I142" s="87" t="str">
        <f t="shared" si="25"/>
        <v/>
      </c>
      <c r="J142" s="85" t="str">
        <f t="shared" si="26"/>
        <v/>
      </c>
      <c r="K142" s="49"/>
      <c r="L142" s="88" t="str">
        <f t="shared" si="27"/>
        <v/>
      </c>
      <c r="M142" s="88" t="str">
        <f t="shared" si="28"/>
        <v/>
      </c>
      <c r="N142" s="30"/>
      <c r="O142" s="31"/>
      <c r="P142" s="53"/>
      <c r="Q142" s="33"/>
      <c r="R142" s="54" t="str">
        <f t="shared" si="29"/>
        <v/>
      </c>
      <c r="S142" s="30"/>
      <c r="T142" s="33"/>
    </row>
    <row r="143" spans="1:20" x14ac:dyDescent="0.25">
      <c r="A143" s="30"/>
      <c r="B143" s="84" t="str">
        <f t="shared" si="20"/>
        <v/>
      </c>
      <c r="C143" s="30"/>
      <c r="D143" s="85" t="str">
        <f t="shared" si="21"/>
        <v/>
      </c>
      <c r="E143" s="85" t="str">
        <f t="shared" si="22"/>
        <v/>
      </c>
      <c r="F143" s="85" t="str">
        <f t="shared" si="23"/>
        <v/>
      </c>
      <c r="G143" s="86" t="str">
        <f t="shared" si="24"/>
        <v/>
      </c>
      <c r="H143" s="30"/>
      <c r="I143" s="87" t="str">
        <f t="shared" si="25"/>
        <v/>
      </c>
      <c r="J143" s="85" t="str">
        <f t="shared" si="26"/>
        <v/>
      </c>
      <c r="K143" s="49"/>
      <c r="L143" s="88" t="str">
        <f t="shared" si="27"/>
        <v/>
      </c>
      <c r="M143" s="88" t="str">
        <f t="shared" si="28"/>
        <v/>
      </c>
      <c r="N143" s="30"/>
      <c r="O143" s="31"/>
      <c r="P143" s="53"/>
      <c r="Q143" s="33"/>
      <c r="R143" s="54" t="str">
        <f t="shared" si="29"/>
        <v/>
      </c>
      <c r="S143" s="30"/>
      <c r="T143" s="33"/>
    </row>
    <row r="144" spans="1:20" x14ac:dyDescent="0.25">
      <c r="A144" s="30"/>
      <c r="B144" s="84" t="str">
        <f t="shared" si="20"/>
        <v/>
      </c>
      <c r="C144" s="30"/>
      <c r="D144" s="85" t="str">
        <f t="shared" si="21"/>
        <v/>
      </c>
      <c r="E144" s="85" t="str">
        <f t="shared" si="22"/>
        <v/>
      </c>
      <c r="F144" s="85" t="str">
        <f t="shared" si="23"/>
        <v/>
      </c>
      <c r="G144" s="86" t="str">
        <f t="shared" si="24"/>
        <v/>
      </c>
      <c r="H144" s="30"/>
      <c r="I144" s="87" t="str">
        <f t="shared" si="25"/>
        <v/>
      </c>
      <c r="J144" s="85" t="str">
        <f t="shared" si="26"/>
        <v/>
      </c>
      <c r="K144" s="49"/>
      <c r="L144" s="88" t="str">
        <f t="shared" si="27"/>
        <v/>
      </c>
      <c r="M144" s="88" t="str">
        <f t="shared" si="28"/>
        <v/>
      </c>
      <c r="N144" s="30"/>
      <c r="O144" s="31"/>
      <c r="P144" s="53"/>
      <c r="Q144" s="33"/>
      <c r="R144" s="54" t="str">
        <f t="shared" si="29"/>
        <v/>
      </c>
      <c r="S144" s="30"/>
      <c r="T144" s="33"/>
    </row>
    <row r="145" spans="1:20" x14ac:dyDescent="0.25">
      <c r="A145" s="30"/>
      <c r="B145" s="84" t="str">
        <f t="shared" si="20"/>
        <v/>
      </c>
      <c r="C145" s="30"/>
      <c r="D145" s="85" t="str">
        <f t="shared" si="21"/>
        <v/>
      </c>
      <c r="E145" s="85" t="str">
        <f t="shared" si="22"/>
        <v/>
      </c>
      <c r="F145" s="85" t="str">
        <f t="shared" si="23"/>
        <v/>
      </c>
      <c r="G145" s="86" t="str">
        <f t="shared" si="24"/>
        <v/>
      </c>
      <c r="H145" s="30"/>
      <c r="I145" s="87" t="str">
        <f t="shared" si="25"/>
        <v/>
      </c>
      <c r="J145" s="85" t="str">
        <f t="shared" si="26"/>
        <v/>
      </c>
      <c r="K145" s="49"/>
      <c r="L145" s="88" t="str">
        <f t="shared" si="27"/>
        <v/>
      </c>
      <c r="M145" s="88" t="str">
        <f t="shared" si="28"/>
        <v/>
      </c>
      <c r="N145" s="30"/>
      <c r="O145" s="31"/>
      <c r="P145" s="53"/>
      <c r="Q145" s="33"/>
      <c r="R145" s="54" t="str">
        <f t="shared" si="29"/>
        <v/>
      </c>
      <c r="S145" s="30"/>
      <c r="T145" s="33"/>
    </row>
    <row r="146" spans="1:20" x14ac:dyDescent="0.25">
      <c r="A146" s="30"/>
      <c r="B146" s="84" t="str">
        <f t="shared" si="20"/>
        <v/>
      </c>
      <c r="C146" s="30"/>
      <c r="D146" s="85" t="str">
        <f t="shared" si="21"/>
        <v/>
      </c>
      <c r="E146" s="85" t="str">
        <f t="shared" si="22"/>
        <v/>
      </c>
      <c r="F146" s="85" t="str">
        <f t="shared" si="23"/>
        <v/>
      </c>
      <c r="G146" s="86" t="str">
        <f t="shared" si="24"/>
        <v/>
      </c>
      <c r="H146" s="30"/>
      <c r="I146" s="87" t="str">
        <f t="shared" si="25"/>
        <v/>
      </c>
      <c r="J146" s="85" t="str">
        <f t="shared" si="26"/>
        <v/>
      </c>
      <c r="K146" s="49"/>
      <c r="L146" s="88" t="str">
        <f t="shared" si="27"/>
        <v/>
      </c>
      <c r="M146" s="88" t="str">
        <f t="shared" si="28"/>
        <v/>
      </c>
      <c r="N146" s="30"/>
      <c r="O146" s="31"/>
      <c r="P146" s="53"/>
      <c r="Q146" s="33"/>
      <c r="R146" s="54" t="str">
        <f t="shared" si="29"/>
        <v/>
      </c>
      <c r="S146" s="30"/>
      <c r="T146" s="33"/>
    </row>
    <row r="147" spans="1:20" x14ac:dyDescent="0.25">
      <c r="A147" s="30"/>
      <c r="B147" s="84" t="str">
        <f t="shared" si="20"/>
        <v/>
      </c>
      <c r="C147" s="30"/>
      <c r="D147" s="85" t="str">
        <f t="shared" si="21"/>
        <v/>
      </c>
      <c r="E147" s="85" t="str">
        <f t="shared" si="22"/>
        <v/>
      </c>
      <c r="F147" s="85" t="str">
        <f t="shared" si="23"/>
        <v/>
      </c>
      <c r="G147" s="86" t="str">
        <f t="shared" si="24"/>
        <v/>
      </c>
      <c r="H147" s="30"/>
      <c r="I147" s="87" t="str">
        <f t="shared" si="25"/>
        <v/>
      </c>
      <c r="J147" s="85" t="str">
        <f t="shared" si="26"/>
        <v/>
      </c>
      <c r="K147" s="49"/>
      <c r="L147" s="88" t="str">
        <f t="shared" si="27"/>
        <v/>
      </c>
      <c r="M147" s="88" t="str">
        <f t="shared" si="28"/>
        <v/>
      </c>
      <c r="N147" s="30"/>
      <c r="O147" s="31"/>
      <c r="P147" s="53"/>
      <c r="Q147" s="33"/>
      <c r="R147" s="54" t="str">
        <f t="shared" si="29"/>
        <v/>
      </c>
      <c r="S147" s="30"/>
      <c r="T147" s="33"/>
    </row>
    <row r="148" spans="1:20" x14ac:dyDescent="0.25">
      <c r="A148" s="30"/>
      <c r="B148" s="84" t="str">
        <f t="shared" si="20"/>
        <v/>
      </c>
      <c r="C148" s="30"/>
      <c r="D148" s="85" t="str">
        <f t="shared" si="21"/>
        <v/>
      </c>
      <c r="E148" s="85" t="str">
        <f t="shared" si="22"/>
        <v/>
      </c>
      <c r="F148" s="85" t="str">
        <f t="shared" si="23"/>
        <v/>
      </c>
      <c r="G148" s="86" t="str">
        <f t="shared" si="24"/>
        <v/>
      </c>
      <c r="H148" s="30"/>
      <c r="I148" s="87" t="str">
        <f t="shared" si="25"/>
        <v/>
      </c>
      <c r="J148" s="85" t="str">
        <f t="shared" si="26"/>
        <v/>
      </c>
      <c r="K148" s="49"/>
      <c r="L148" s="88" t="str">
        <f t="shared" si="27"/>
        <v/>
      </c>
      <c r="M148" s="88" t="str">
        <f t="shared" si="28"/>
        <v/>
      </c>
      <c r="N148" s="30"/>
      <c r="O148" s="31"/>
      <c r="P148" s="53"/>
      <c r="Q148" s="33"/>
      <c r="R148" s="54" t="str">
        <f t="shared" si="29"/>
        <v/>
      </c>
      <c r="S148" s="30"/>
      <c r="T148" s="33"/>
    </row>
    <row r="149" spans="1:20" x14ac:dyDescent="0.25">
      <c r="A149" s="30"/>
      <c r="B149" s="84" t="str">
        <f t="shared" si="20"/>
        <v/>
      </c>
      <c r="C149" s="30"/>
      <c r="D149" s="85" t="str">
        <f t="shared" si="21"/>
        <v/>
      </c>
      <c r="E149" s="85" t="str">
        <f t="shared" si="22"/>
        <v/>
      </c>
      <c r="F149" s="85" t="str">
        <f t="shared" si="23"/>
        <v/>
      </c>
      <c r="G149" s="86" t="str">
        <f t="shared" si="24"/>
        <v/>
      </c>
      <c r="H149" s="30"/>
      <c r="I149" s="87" t="str">
        <f t="shared" si="25"/>
        <v/>
      </c>
      <c r="J149" s="85" t="str">
        <f t="shared" si="26"/>
        <v/>
      </c>
      <c r="K149" s="49"/>
      <c r="L149" s="88" t="str">
        <f t="shared" si="27"/>
        <v/>
      </c>
      <c r="M149" s="88" t="str">
        <f t="shared" si="28"/>
        <v/>
      </c>
      <c r="N149" s="30"/>
      <c r="O149" s="31"/>
      <c r="P149" s="53"/>
      <c r="Q149" s="33"/>
      <c r="R149" s="54" t="str">
        <f t="shared" si="29"/>
        <v/>
      </c>
      <c r="S149" s="30"/>
      <c r="T149" s="33"/>
    </row>
    <row r="150" spans="1:20" x14ac:dyDescent="0.25">
      <c r="A150" s="30"/>
      <c r="B150" s="84" t="str">
        <f t="shared" si="20"/>
        <v/>
      </c>
      <c r="C150" s="30"/>
      <c r="D150" s="85" t="str">
        <f t="shared" si="21"/>
        <v/>
      </c>
      <c r="E150" s="85" t="str">
        <f t="shared" si="22"/>
        <v/>
      </c>
      <c r="F150" s="85" t="str">
        <f t="shared" si="23"/>
        <v/>
      </c>
      <c r="G150" s="86" t="str">
        <f t="shared" si="24"/>
        <v/>
      </c>
      <c r="H150" s="30"/>
      <c r="I150" s="87" t="str">
        <f t="shared" si="25"/>
        <v/>
      </c>
      <c r="J150" s="85" t="str">
        <f t="shared" si="26"/>
        <v/>
      </c>
      <c r="K150" s="49"/>
      <c r="L150" s="88" t="str">
        <f t="shared" si="27"/>
        <v/>
      </c>
      <c r="M150" s="88" t="str">
        <f t="shared" si="28"/>
        <v/>
      </c>
      <c r="N150" s="30"/>
      <c r="O150" s="31"/>
      <c r="P150" s="53"/>
      <c r="Q150" s="33"/>
      <c r="R150" s="54" t="str">
        <f t="shared" si="29"/>
        <v/>
      </c>
      <c r="S150" s="30"/>
      <c r="T150" s="33"/>
    </row>
    <row r="151" spans="1:20" x14ac:dyDescent="0.25">
      <c r="A151" s="30"/>
      <c r="B151" s="84" t="str">
        <f t="shared" si="20"/>
        <v/>
      </c>
      <c r="C151" s="30"/>
      <c r="D151" s="85" t="str">
        <f t="shared" si="21"/>
        <v/>
      </c>
      <c r="E151" s="85" t="str">
        <f t="shared" si="22"/>
        <v/>
      </c>
      <c r="F151" s="85" t="str">
        <f t="shared" si="23"/>
        <v/>
      </c>
      <c r="G151" s="86" t="str">
        <f t="shared" si="24"/>
        <v/>
      </c>
      <c r="H151" s="30"/>
      <c r="I151" s="87" t="str">
        <f t="shared" si="25"/>
        <v/>
      </c>
      <c r="J151" s="85" t="str">
        <f t="shared" si="26"/>
        <v/>
      </c>
      <c r="K151" s="49"/>
      <c r="L151" s="88" t="str">
        <f t="shared" si="27"/>
        <v/>
      </c>
      <c r="M151" s="88" t="str">
        <f t="shared" si="28"/>
        <v/>
      </c>
      <c r="N151" s="30"/>
      <c r="O151" s="31"/>
      <c r="P151" s="53"/>
      <c r="Q151" s="33"/>
      <c r="R151" s="54" t="str">
        <f t="shared" si="29"/>
        <v/>
      </c>
      <c r="S151" s="30"/>
      <c r="T151" s="33"/>
    </row>
    <row r="152" spans="1:20" x14ac:dyDescent="0.25">
      <c r="A152" s="30"/>
      <c r="B152" s="84" t="str">
        <f t="shared" si="20"/>
        <v/>
      </c>
      <c r="C152" s="30"/>
      <c r="D152" s="85" t="str">
        <f t="shared" si="21"/>
        <v/>
      </c>
      <c r="E152" s="85" t="str">
        <f t="shared" si="22"/>
        <v/>
      </c>
      <c r="F152" s="85" t="str">
        <f t="shared" si="23"/>
        <v/>
      </c>
      <c r="G152" s="86" t="str">
        <f t="shared" si="24"/>
        <v/>
      </c>
      <c r="H152" s="30"/>
      <c r="I152" s="87" t="str">
        <f t="shared" si="25"/>
        <v/>
      </c>
      <c r="J152" s="85" t="str">
        <f t="shared" si="26"/>
        <v/>
      </c>
      <c r="K152" s="49"/>
      <c r="L152" s="88" t="str">
        <f t="shared" si="27"/>
        <v/>
      </c>
      <c r="M152" s="88" t="str">
        <f t="shared" si="28"/>
        <v/>
      </c>
      <c r="N152" s="30"/>
      <c r="O152" s="31"/>
      <c r="P152" s="53"/>
      <c r="Q152" s="33"/>
      <c r="R152" s="54" t="str">
        <f t="shared" si="29"/>
        <v/>
      </c>
      <c r="S152" s="30"/>
      <c r="T152" s="33"/>
    </row>
    <row r="153" spans="1:20" x14ac:dyDescent="0.25">
      <c r="A153" s="30"/>
      <c r="B153" s="84" t="str">
        <f t="shared" si="20"/>
        <v/>
      </c>
      <c r="C153" s="30"/>
      <c r="D153" s="85" t="str">
        <f t="shared" si="21"/>
        <v/>
      </c>
      <c r="E153" s="85" t="str">
        <f t="shared" si="22"/>
        <v/>
      </c>
      <c r="F153" s="85" t="str">
        <f t="shared" si="23"/>
        <v/>
      </c>
      <c r="G153" s="86" t="str">
        <f t="shared" si="24"/>
        <v/>
      </c>
      <c r="H153" s="30"/>
      <c r="I153" s="87" t="str">
        <f t="shared" si="25"/>
        <v/>
      </c>
      <c r="J153" s="85" t="str">
        <f t="shared" si="26"/>
        <v/>
      </c>
      <c r="K153" s="49"/>
      <c r="L153" s="88" t="str">
        <f t="shared" si="27"/>
        <v/>
      </c>
      <c r="M153" s="88" t="str">
        <f t="shared" si="28"/>
        <v/>
      </c>
      <c r="N153" s="30"/>
      <c r="O153" s="31"/>
      <c r="P153" s="53"/>
      <c r="Q153" s="33"/>
      <c r="R153" s="54" t="str">
        <f t="shared" si="29"/>
        <v/>
      </c>
      <c r="S153" s="30"/>
      <c r="T153" s="33"/>
    </row>
    <row r="154" spans="1:20" x14ac:dyDescent="0.25">
      <c r="A154" s="30"/>
      <c r="B154" s="84" t="str">
        <f t="shared" si="20"/>
        <v/>
      </c>
      <c r="C154" s="30"/>
      <c r="D154" s="85" t="str">
        <f t="shared" si="21"/>
        <v/>
      </c>
      <c r="E154" s="85" t="str">
        <f t="shared" si="22"/>
        <v/>
      </c>
      <c r="F154" s="85" t="str">
        <f t="shared" si="23"/>
        <v/>
      </c>
      <c r="G154" s="86" t="str">
        <f t="shared" si="24"/>
        <v/>
      </c>
      <c r="H154" s="30"/>
      <c r="I154" s="87" t="str">
        <f t="shared" si="25"/>
        <v/>
      </c>
      <c r="J154" s="85" t="str">
        <f t="shared" si="26"/>
        <v/>
      </c>
      <c r="K154" s="49"/>
      <c r="L154" s="88" t="str">
        <f t="shared" si="27"/>
        <v/>
      </c>
      <c r="M154" s="88" t="str">
        <f t="shared" si="28"/>
        <v/>
      </c>
      <c r="N154" s="30"/>
      <c r="O154" s="31"/>
      <c r="P154" s="53"/>
      <c r="Q154" s="33"/>
      <c r="R154" s="54" t="str">
        <f t="shared" si="29"/>
        <v/>
      </c>
      <c r="S154" s="30"/>
      <c r="T154" s="33"/>
    </row>
    <row r="155" spans="1:20" x14ac:dyDescent="0.25">
      <c r="A155" s="30"/>
      <c r="B155" s="84" t="str">
        <f t="shared" si="20"/>
        <v/>
      </c>
      <c r="C155" s="30"/>
      <c r="D155" s="85" t="str">
        <f t="shared" si="21"/>
        <v/>
      </c>
      <c r="E155" s="85" t="str">
        <f t="shared" si="22"/>
        <v/>
      </c>
      <c r="F155" s="85" t="str">
        <f t="shared" si="23"/>
        <v/>
      </c>
      <c r="G155" s="86" t="str">
        <f t="shared" si="24"/>
        <v/>
      </c>
      <c r="H155" s="30"/>
      <c r="I155" s="87" t="str">
        <f t="shared" si="25"/>
        <v/>
      </c>
      <c r="J155" s="85" t="str">
        <f t="shared" si="26"/>
        <v/>
      </c>
      <c r="K155" s="49"/>
      <c r="L155" s="88" t="str">
        <f t="shared" si="27"/>
        <v/>
      </c>
      <c r="M155" s="88" t="str">
        <f t="shared" si="28"/>
        <v/>
      </c>
      <c r="N155" s="30"/>
      <c r="O155" s="31"/>
      <c r="P155" s="53"/>
      <c r="Q155" s="33"/>
      <c r="R155" s="54" t="str">
        <f t="shared" si="29"/>
        <v/>
      </c>
      <c r="S155" s="30"/>
      <c r="T155" s="33"/>
    </row>
    <row r="156" spans="1:20" x14ac:dyDescent="0.25">
      <c r="A156" s="30"/>
      <c r="B156" s="84" t="str">
        <f t="shared" si="20"/>
        <v/>
      </c>
      <c r="C156" s="30"/>
      <c r="D156" s="85" t="str">
        <f t="shared" si="21"/>
        <v/>
      </c>
      <c r="E156" s="85" t="str">
        <f t="shared" si="22"/>
        <v/>
      </c>
      <c r="F156" s="85" t="str">
        <f t="shared" si="23"/>
        <v/>
      </c>
      <c r="G156" s="86" t="str">
        <f t="shared" si="24"/>
        <v/>
      </c>
      <c r="H156" s="30"/>
      <c r="I156" s="87" t="str">
        <f t="shared" si="25"/>
        <v/>
      </c>
      <c r="J156" s="85" t="str">
        <f t="shared" si="26"/>
        <v/>
      </c>
      <c r="K156" s="49"/>
      <c r="L156" s="88" t="str">
        <f t="shared" si="27"/>
        <v/>
      </c>
      <c r="M156" s="88" t="str">
        <f t="shared" si="28"/>
        <v/>
      </c>
      <c r="N156" s="30"/>
      <c r="O156" s="31"/>
      <c r="P156" s="53"/>
      <c r="Q156" s="33"/>
      <c r="R156" s="54" t="str">
        <f t="shared" si="29"/>
        <v/>
      </c>
      <c r="S156" s="30"/>
      <c r="T156" s="33"/>
    </row>
    <row r="157" spans="1:20" x14ac:dyDescent="0.25">
      <c r="A157" s="30"/>
      <c r="B157" s="84" t="str">
        <f t="shared" si="20"/>
        <v/>
      </c>
      <c r="C157" s="30"/>
      <c r="D157" s="85" t="str">
        <f t="shared" si="21"/>
        <v/>
      </c>
      <c r="E157" s="85" t="str">
        <f t="shared" si="22"/>
        <v/>
      </c>
      <c r="F157" s="85" t="str">
        <f t="shared" si="23"/>
        <v/>
      </c>
      <c r="G157" s="86" t="str">
        <f t="shared" si="24"/>
        <v/>
      </c>
      <c r="H157" s="30"/>
      <c r="I157" s="87" t="str">
        <f t="shared" si="25"/>
        <v/>
      </c>
      <c r="J157" s="85" t="str">
        <f t="shared" si="26"/>
        <v/>
      </c>
      <c r="K157" s="49"/>
      <c r="L157" s="88" t="str">
        <f t="shared" si="27"/>
        <v/>
      </c>
      <c r="M157" s="88" t="str">
        <f t="shared" si="28"/>
        <v/>
      </c>
      <c r="N157" s="30"/>
      <c r="O157" s="31"/>
      <c r="P157" s="53"/>
      <c r="Q157" s="33"/>
      <c r="R157" s="54" t="str">
        <f t="shared" si="29"/>
        <v/>
      </c>
      <c r="S157" s="30"/>
      <c r="T157" s="33"/>
    </row>
    <row r="158" spans="1:20" x14ac:dyDescent="0.25">
      <c r="A158" s="30"/>
      <c r="B158" s="84" t="str">
        <f t="shared" si="20"/>
        <v/>
      </c>
      <c r="C158" s="30"/>
      <c r="D158" s="85" t="str">
        <f t="shared" si="21"/>
        <v/>
      </c>
      <c r="E158" s="85" t="str">
        <f t="shared" si="22"/>
        <v/>
      </c>
      <c r="F158" s="85" t="str">
        <f t="shared" si="23"/>
        <v/>
      </c>
      <c r="G158" s="86" t="str">
        <f t="shared" si="24"/>
        <v/>
      </c>
      <c r="H158" s="30"/>
      <c r="I158" s="87" t="str">
        <f t="shared" si="25"/>
        <v/>
      </c>
      <c r="J158" s="85" t="str">
        <f t="shared" si="26"/>
        <v/>
      </c>
      <c r="K158" s="49"/>
      <c r="L158" s="88" t="str">
        <f t="shared" si="27"/>
        <v/>
      </c>
      <c r="M158" s="88" t="str">
        <f t="shared" si="28"/>
        <v/>
      </c>
      <c r="N158" s="30"/>
      <c r="O158" s="31"/>
      <c r="P158" s="53"/>
      <c r="Q158" s="33"/>
      <c r="R158" s="54" t="str">
        <f t="shared" si="29"/>
        <v/>
      </c>
      <c r="S158" s="30"/>
      <c r="T158" s="33"/>
    </row>
    <row r="159" spans="1:20" x14ac:dyDescent="0.25">
      <c r="A159" s="30"/>
      <c r="B159" s="84" t="str">
        <f t="shared" si="20"/>
        <v/>
      </c>
      <c r="C159" s="30"/>
      <c r="D159" s="85" t="str">
        <f t="shared" si="21"/>
        <v/>
      </c>
      <c r="E159" s="85" t="str">
        <f t="shared" si="22"/>
        <v/>
      </c>
      <c r="F159" s="85" t="str">
        <f t="shared" si="23"/>
        <v/>
      </c>
      <c r="G159" s="86" t="str">
        <f t="shared" si="24"/>
        <v/>
      </c>
      <c r="H159" s="30"/>
      <c r="I159" s="87" t="str">
        <f t="shared" si="25"/>
        <v/>
      </c>
      <c r="J159" s="85" t="str">
        <f t="shared" si="26"/>
        <v/>
      </c>
      <c r="K159" s="49"/>
      <c r="L159" s="88" t="str">
        <f t="shared" si="27"/>
        <v/>
      </c>
      <c r="M159" s="88" t="str">
        <f t="shared" si="28"/>
        <v/>
      </c>
      <c r="N159" s="30"/>
      <c r="O159" s="31"/>
      <c r="P159" s="53"/>
      <c r="Q159" s="33"/>
      <c r="R159" s="54" t="str">
        <f t="shared" si="29"/>
        <v/>
      </c>
      <c r="S159" s="30"/>
      <c r="T159" s="33"/>
    </row>
    <row r="160" spans="1:20" x14ac:dyDescent="0.25">
      <c r="A160" s="30"/>
      <c r="B160" s="84" t="str">
        <f t="shared" si="20"/>
        <v/>
      </c>
      <c r="C160" s="30"/>
      <c r="D160" s="85" t="str">
        <f t="shared" si="21"/>
        <v/>
      </c>
      <c r="E160" s="85" t="str">
        <f t="shared" si="22"/>
        <v/>
      </c>
      <c r="F160" s="85" t="str">
        <f t="shared" si="23"/>
        <v/>
      </c>
      <c r="G160" s="86" t="str">
        <f t="shared" si="24"/>
        <v/>
      </c>
      <c r="H160" s="30"/>
      <c r="I160" s="87" t="str">
        <f t="shared" si="25"/>
        <v/>
      </c>
      <c r="J160" s="85" t="str">
        <f t="shared" si="26"/>
        <v/>
      </c>
      <c r="K160" s="49"/>
      <c r="L160" s="88" t="str">
        <f t="shared" si="27"/>
        <v/>
      </c>
      <c r="M160" s="88" t="str">
        <f t="shared" si="28"/>
        <v/>
      </c>
      <c r="N160" s="30"/>
      <c r="O160" s="31"/>
      <c r="P160" s="53"/>
      <c r="Q160" s="33"/>
      <c r="R160" s="54" t="str">
        <f t="shared" si="29"/>
        <v/>
      </c>
      <c r="S160" s="30"/>
      <c r="T160" s="33"/>
    </row>
    <row r="161" spans="1:20" x14ac:dyDescent="0.25">
      <c r="A161" s="30"/>
      <c r="B161" s="84" t="str">
        <f t="shared" si="20"/>
        <v/>
      </c>
      <c r="C161" s="30"/>
      <c r="D161" s="85" t="str">
        <f t="shared" si="21"/>
        <v/>
      </c>
      <c r="E161" s="85" t="str">
        <f t="shared" si="22"/>
        <v/>
      </c>
      <c r="F161" s="85" t="str">
        <f t="shared" si="23"/>
        <v/>
      </c>
      <c r="G161" s="86" t="str">
        <f t="shared" si="24"/>
        <v/>
      </c>
      <c r="H161" s="30"/>
      <c r="I161" s="87" t="str">
        <f t="shared" si="25"/>
        <v/>
      </c>
      <c r="J161" s="85" t="str">
        <f t="shared" si="26"/>
        <v/>
      </c>
      <c r="K161" s="49"/>
      <c r="L161" s="88" t="str">
        <f t="shared" si="27"/>
        <v/>
      </c>
      <c r="M161" s="88" t="str">
        <f t="shared" si="28"/>
        <v/>
      </c>
      <c r="N161" s="30"/>
      <c r="O161" s="31"/>
      <c r="P161" s="53"/>
      <c r="Q161" s="33"/>
      <c r="R161" s="54" t="str">
        <f t="shared" si="29"/>
        <v/>
      </c>
      <c r="S161" s="30"/>
      <c r="T161" s="33"/>
    </row>
    <row r="162" spans="1:20" x14ac:dyDescent="0.25">
      <c r="A162" s="30"/>
      <c r="B162" s="84" t="str">
        <f t="shared" si="20"/>
        <v/>
      </c>
      <c r="C162" s="30"/>
      <c r="D162" s="85" t="str">
        <f t="shared" si="21"/>
        <v/>
      </c>
      <c r="E162" s="85" t="str">
        <f t="shared" si="22"/>
        <v/>
      </c>
      <c r="F162" s="85" t="str">
        <f t="shared" si="23"/>
        <v/>
      </c>
      <c r="G162" s="86" t="str">
        <f t="shared" si="24"/>
        <v/>
      </c>
      <c r="H162" s="30"/>
      <c r="I162" s="87" t="str">
        <f t="shared" si="25"/>
        <v/>
      </c>
      <c r="J162" s="85" t="str">
        <f t="shared" si="26"/>
        <v/>
      </c>
      <c r="K162" s="49"/>
      <c r="L162" s="88" t="str">
        <f t="shared" si="27"/>
        <v/>
      </c>
      <c r="M162" s="88" t="str">
        <f t="shared" si="28"/>
        <v/>
      </c>
      <c r="N162" s="30"/>
      <c r="O162" s="31"/>
      <c r="P162" s="53"/>
      <c r="Q162" s="33"/>
      <c r="R162" s="54" t="str">
        <f t="shared" si="29"/>
        <v/>
      </c>
      <c r="S162" s="30"/>
      <c r="T162" s="33"/>
    </row>
    <row r="163" spans="1:20" x14ac:dyDescent="0.25">
      <c r="A163" s="30"/>
      <c r="B163" s="84" t="str">
        <f t="shared" si="20"/>
        <v/>
      </c>
      <c r="C163" s="30"/>
      <c r="D163" s="85" t="str">
        <f t="shared" si="21"/>
        <v/>
      </c>
      <c r="E163" s="85" t="str">
        <f t="shared" si="22"/>
        <v/>
      </c>
      <c r="F163" s="85" t="str">
        <f t="shared" si="23"/>
        <v/>
      </c>
      <c r="G163" s="86" t="str">
        <f t="shared" si="24"/>
        <v/>
      </c>
      <c r="H163" s="30"/>
      <c r="I163" s="87" t="str">
        <f t="shared" si="25"/>
        <v/>
      </c>
      <c r="J163" s="85" t="str">
        <f t="shared" si="26"/>
        <v/>
      </c>
      <c r="K163" s="49"/>
      <c r="L163" s="88" t="str">
        <f t="shared" si="27"/>
        <v/>
      </c>
      <c r="M163" s="88" t="str">
        <f t="shared" si="28"/>
        <v/>
      </c>
      <c r="N163" s="30"/>
      <c r="O163" s="31"/>
      <c r="P163" s="53"/>
      <c r="Q163" s="33"/>
      <c r="R163" s="54" t="str">
        <f t="shared" si="29"/>
        <v/>
      </c>
      <c r="S163" s="30"/>
      <c r="T163" s="33"/>
    </row>
    <row r="164" spans="1:20" x14ac:dyDescent="0.25">
      <c r="A164" s="30"/>
      <c r="B164" s="84" t="str">
        <f t="shared" si="20"/>
        <v/>
      </c>
      <c r="C164" s="30"/>
      <c r="D164" s="85" t="str">
        <f t="shared" si="21"/>
        <v/>
      </c>
      <c r="E164" s="85" t="str">
        <f t="shared" si="22"/>
        <v/>
      </c>
      <c r="F164" s="85" t="str">
        <f t="shared" si="23"/>
        <v/>
      </c>
      <c r="G164" s="86" t="str">
        <f t="shared" si="24"/>
        <v/>
      </c>
      <c r="H164" s="30"/>
      <c r="I164" s="87" t="str">
        <f t="shared" si="25"/>
        <v/>
      </c>
      <c r="J164" s="85" t="str">
        <f t="shared" si="26"/>
        <v/>
      </c>
      <c r="K164" s="49"/>
      <c r="L164" s="88" t="str">
        <f t="shared" si="27"/>
        <v/>
      </c>
      <c r="M164" s="88" t="str">
        <f t="shared" si="28"/>
        <v/>
      </c>
      <c r="N164" s="30"/>
      <c r="O164" s="31"/>
      <c r="P164" s="53"/>
      <c r="Q164" s="33"/>
      <c r="R164" s="54" t="str">
        <f t="shared" si="29"/>
        <v/>
      </c>
      <c r="S164" s="30"/>
      <c r="T164" s="33"/>
    </row>
    <row r="165" spans="1:20" x14ac:dyDescent="0.25">
      <c r="A165" s="30"/>
      <c r="B165" s="84" t="str">
        <f t="shared" si="20"/>
        <v/>
      </c>
      <c r="C165" s="30"/>
      <c r="D165" s="85" t="str">
        <f t="shared" si="21"/>
        <v/>
      </c>
      <c r="E165" s="85" t="str">
        <f t="shared" si="22"/>
        <v/>
      </c>
      <c r="F165" s="85" t="str">
        <f t="shared" si="23"/>
        <v/>
      </c>
      <c r="G165" s="86" t="str">
        <f t="shared" si="24"/>
        <v/>
      </c>
      <c r="H165" s="30"/>
      <c r="I165" s="87" t="str">
        <f t="shared" si="25"/>
        <v/>
      </c>
      <c r="J165" s="85" t="str">
        <f t="shared" si="26"/>
        <v/>
      </c>
      <c r="K165" s="49"/>
      <c r="L165" s="88" t="str">
        <f t="shared" si="27"/>
        <v/>
      </c>
      <c r="M165" s="88" t="str">
        <f t="shared" si="28"/>
        <v/>
      </c>
      <c r="N165" s="30"/>
      <c r="O165" s="31"/>
      <c r="P165" s="53"/>
      <c r="Q165" s="33"/>
      <c r="R165" s="54" t="str">
        <f t="shared" si="29"/>
        <v/>
      </c>
      <c r="S165" s="30"/>
      <c r="T165" s="33"/>
    </row>
    <row r="166" spans="1:20" x14ac:dyDescent="0.25">
      <c r="A166" s="30"/>
      <c r="B166" s="84" t="str">
        <f t="shared" si="20"/>
        <v/>
      </c>
      <c r="C166" s="30"/>
      <c r="D166" s="85" t="str">
        <f t="shared" si="21"/>
        <v/>
      </c>
      <c r="E166" s="85" t="str">
        <f t="shared" si="22"/>
        <v/>
      </c>
      <c r="F166" s="85" t="str">
        <f t="shared" si="23"/>
        <v/>
      </c>
      <c r="G166" s="86" t="str">
        <f t="shared" si="24"/>
        <v/>
      </c>
      <c r="H166" s="30"/>
      <c r="I166" s="87" t="str">
        <f t="shared" si="25"/>
        <v/>
      </c>
      <c r="J166" s="85" t="str">
        <f t="shared" si="26"/>
        <v/>
      </c>
      <c r="K166" s="49"/>
      <c r="L166" s="88" t="str">
        <f t="shared" si="27"/>
        <v/>
      </c>
      <c r="M166" s="88" t="str">
        <f t="shared" si="28"/>
        <v/>
      </c>
      <c r="N166" s="30"/>
      <c r="O166" s="31"/>
      <c r="P166" s="53"/>
      <c r="Q166" s="33"/>
      <c r="R166" s="54" t="str">
        <f t="shared" si="29"/>
        <v/>
      </c>
      <c r="S166" s="30"/>
      <c r="T166" s="33"/>
    </row>
    <row r="167" spans="1:20" x14ac:dyDescent="0.25">
      <c r="A167" s="30"/>
      <c r="B167" s="84" t="str">
        <f t="shared" si="20"/>
        <v/>
      </c>
      <c r="C167" s="30"/>
      <c r="D167" s="85" t="str">
        <f t="shared" si="21"/>
        <v/>
      </c>
      <c r="E167" s="85" t="str">
        <f t="shared" si="22"/>
        <v/>
      </c>
      <c r="F167" s="85" t="str">
        <f t="shared" si="23"/>
        <v/>
      </c>
      <c r="G167" s="86" t="str">
        <f t="shared" si="24"/>
        <v/>
      </c>
      <c r="H167" s="30"/>
      <c r="I167" s="87" t="str">
        <f t="shared" si="25"/>
        <v/>
      </c>
      <c r="J167" s="85" t="str">
        <f t="shared" si="26"/>
        <v/>
      </c>
      <c r="K167" s="49"/>
      <c r="L167" s="88" t="str">
        <f t="shared" si="27"/>
        <v/>
      </c>
      <c r="M167" s="88" t="str">
        <f t="shared" si="28"/>
        <v/>
      </c>
      <c r="N167" s="30"/>
      <c r="O167" s="31"/>
      <c r="P167" s="53"/>
      <c r="Q167" s="33"/>
      <c r="R167" s="54" t="str">
        <f t="shared" si="29"/>
        <v/>
      </c>
      <c r="S167" s="30"/>
      <c r="T167" s="33"/>
    </row>
    <row r="168" spans="1:20" x14ac:dyDescent="0.25">
      <c r="A168" s="30"/>
      <c r="B168" s="84" t="str">
        <f t="shared" si="20"/>
        <v/>
      </c>
      <c r="C168" s="30"/>
      <c r="D168" s="85" t="str">
        <f t="shared" si="21"/>
        <v/>
      </c>
      <c r="E168" s="85" t="str">
        <f t="shared" si="22"/>
        <v/>
      </c>
      <c r="F168" s="85" t="str">
        <f t="shared" si="23"/>
        <v/>
      </c>
      <c r="G168" s="86" t="str">
        <f t="shared" si="24"/>
        <v/>
      </c>
      <c r="H168" s="30"/>
      <c r="I168" s="87" t="str">
        <f t="shared" si="25"/>
        <v/>
      </c>
      <c r="J168" s="85" t="str">
        <f t="shared" si="26"/>
        <v/>
      </c>
      <c r="K168" s="49"/>
      <c r="L168" s="88" t="str">
        <f t="shared" si="27"/>
        <v/>
      </c>
      <c r="M168" s="88" t="str">
        <f t="shared" si="28"/>
        <v/>
      </c>
      <c r="N168" s="30"/>
      <c r="O168" s="31"/>
      <c r="P168" s="53"/>
      <c r="Q168" s="33"/>
      <c r="R168" s="54" t="str">
        <f t="shared" si="29"/>
        <v/>
      </c>
      <c r="S168" s="30"/>
      <c r="T168" s="33"/>
    </row>
    <row r="169" spans="1:20" x14ac:dyDescent="0.25">
      <c r="A169" s="30"/>
      <c r="B169" s="84" t="str">
        <f t="shared" si="20"/>
        <v/>
      </c>
      <c r="C169" s="30"/>
      <c r="D169" s="85" t="str">
        <f t="shared" si="21"/>
        <v/>
      </c>
      <c r="E169" s="85" t="str">
        <f t="shared" si="22"/>
        <v/>
      </c>
      <c r="F169" s="85" t="str">
        <f t="shared" si="23"/>
        <v/>
      </c>
      <c r="G169" s="86" t="str">
        <f t="shared" si="24"/>
        <v/>
      </c>
      <c r="H169" s="30"/>
      <c r="I169" s="87" t="str">
        <f t="shared" si="25"/>
        <v/>
      </c>
      <c r="J169" s="85" t="str">
        <f t="shared" si="26"/>
        <v/>
      </c>
      <c r="K169" s="49"/>
      <c r="L169" s="88" t="str">
        <f t="shared" si="27"/>
        <v/>
      </c>
      <c r="M169" s="88" t="str">
        <f t="shared" si="28"/>
        <v/>
      </c>
      <c r="N169" s="30"/>
      <c r="O169" s="31"/>
      <c r="P169" s="53"/>
      <c r="Q169" s="33"/>
      <c r="R169" s="54" t="str">
        <f t="shared" si="29"/>
        <v/>
      </c>
      <c r="S169" s="30"/>
      <c r="T169" s="33"/>
    </row>
    <row r="170" spans="1:20" x14ac:dyDescent="0.25">
      <c r="A170" s="30"/>
      <c r="B170" s="84" t="str">
        <f t="shared" si="20"/>
        <v/>
      </c>
      <c r="C170" s="30"/>
      <c r="D170" s="85" t="str">
        <f t="shared" si="21"/>
        <v/>
      </c>
      <c r="E170" s="85" t="str">
        <f t="shared" si="22"/>
        <v/>
      </c>
      <c r="F170" s="85" t="str">
        <f t="shared" si="23"/>
        <v/>
      </c>
      <c r="G170" s="86" t="str">
        <f t="shared" si="24"/>
        <v/>
      </c>
      <c r="H170" s="30"/>
      <c r="I170" s="87" t="str">
        <f t="shared" si="25"/>
        <v/>
      </c>
      <c r="J170" s="85" t="str">
        <f t="shared" si="26"/>
        <v/>
      </c>
      <c r="K170" s="49"/>
      <c r="L170" s="88" t="str">
        <f t="shared" si="27"/>
        <v/>
      </c>
      <c r="M170" s="88" t="str">
        <f t="shared" si="28"/>
        <v/>
      </c>
      <c r="N170" s="30"/>
      <c r="O170" s="31"/>
      <c r="P170" s="53"/>
      <c r="Q170" s="33"/>
      <c r="R170" s="54" t="str">
        <f t="shared" si="29"/>
        <v/>
      </c>
      <c r="S170" s="30"/>
      <c r="T170" s="33"/>
    </row>
    <row r="171" spans="1:20" x14ac:dyDescent="0.25">
      <c r="A171" s="30"/>
      <c r="B171" s="84" t="str">
        <f t="shared" si="20"/>
        <v/>
      </c>
      <c r="C171" s="30"/>
      <c r="D171" s="85" t="str">
        <f t="shared" si="21"/>
        <v/>
      </c>
      <c r="E171" s="85" t="str">
        <f t="shared" si="22"/>
        <v/>
      </c>
      <c r="F171" s="85" t="str">
        <f t="shared" si="23"/>
        <v/>
      </c>
      <c r="G171" s="86" t="str">
        <f t="shared" si="24"/>
        <v/>
      </c>
      <c r="H171" s="30"/>
      <c r="I171" s="87" t="str">
        <f t="shared" si="25"/>
        <v/>
      </c>
      <c r="J171" s="85" t="str">
        <f t="shared" si="26"/>
        <v/>
      </c>
      <c r="K171" s="49"/>
      <c r="L171" s="88" t="str">
        <f t="shared" si="27"/>
        <v/>
      </c>
      <c r="M171" s="88" t="str">
        <f t="shared" si="28"/>
        <v/>
      </c>
      <c r="N171" s="30"/>
      <c r="O171" s="31"/>
      <c r="P171" s="53"/>
      <c r="Q171" s="33"/>
      <c r="R171" s="54" t="str">
        <f t="shared" si="29"/>
        <v/>
      </c>
      <c r="S171" s="30"/>
      <c r="T171" s="33"/>
    </row>
    <row r="172" spans="1:20" x14ac:dyDescent="0.25">
      <c r="A172" s="30"/>
      <c r="B172" s="84" t="str">
        <f t="shared" si="20"/>
        <v/>
      </c>
      <c r="C172" s="30"/>
      <c r="D172" s="85" t="str">
        <f t="shared" si="21"/>
        <v/>
      </c>
      <c r="E172" s="85" t="str">
        <f t="shared" si="22"/>
        <v/>
      </c>
      <c r="F172" s="85" t="str">
        <f t="shared" si="23"/>
        <v/>
      </c>
      <c r="G172" s="86" t="str">
        <f t="shared" si="24"/>
        <v/>
      </c>
      <c r="H172" s="30"/>
      <c r="I172" s="87" t="str">
        <f t="shared" si="25"/>
        <v/>
      </c>
      <c r="J172" s="85" t="str">
        <f t="shared" si="26"/>
        <v/>
      </c>
      <c r="K172" s="49"/>
      <c r="L172" s="88" t="str">
        <f t="shared" si="27"/>
        <v/>
      </c>
      <c r="M172" s="88" t="str">
        <f t="shared" si="28"/>
        <v/>
      </c>
      <c r="N172" s="30"/>
      <c r="O172" s="31"/>
      <c r="P172" s="53"/>
      <c r="Q172" s="33"/>
      <c r="R172" s="54" t="str">
        <f t="shared" si="29"/>
        <v/>
      </c>
      <c r="S172" s="30"/>
      <c r="T172" s="33"/>
    </row>
    <row r="173" spans="1:20" x14ac:dyDescent="0.25">
      <c r="A173" s="30"/>
      <c r="B173" s="84" t="str">
        <f t="shared" si="20"/>
        <v/>
      </c>
      <c r="C173" s="30"/>
      <c r="D173" s="85" t="str">
        <f t="shared" si="21"/>
        <v/>
      </c>
      <c r="E173" s="85" t="str">
        <f t="shared" si="22"/>
        <v/>
      </c>
      <c r="F173" s="85" t="str">
        <f t="shared" si="23"/>
        <v/>
      </c>
      <c r="G173" s="86" t="str">
        <f t="shared" si="24"/>
        <v/>
      </c>
      <c r="H173" s="30"/>
      <c r="I173" s="87" t="str">
        <f t="shared" si="25"/>
        <v/>
      </c>
      <c r="J173" s="85" t="str">
        <f t="shared" si="26"/>
        <v/>
      </c>
      <c r="K173" s="49"/>
      <c r="L173" s="88" t="str">
        <f t="shared" si="27"/>
        <v/>
      </c>
      <c r="M173" s="88" t="str">
        <f t="shared" si="28"/>
        <v/>
      </c>
      <c r="N173" s="30"/>
      <c r="O173" s="31"/>
      <c r="P173" s="53"/>
      <c r="Q173" s="33"/>
      <c r="R173" s="54" t="str">
        <f t="shared" si="29"/>
        <v/>
      </c>
      <c r="S173" s="30"/>
      <c r="T173" s="33"/>
    </row>
    <row r="174" spans="1:20" x14ac:dyDescent="0.25">
      <c r="A174" s="30"/>
      <c r="B174" s="84" t="str">
        <f t="shared" si="20"/>
        <v/>
      </c>
      <c r="C174" s="30"/>
      <c r="D174" s="85" t="str">
        <f t="shared" si="21"/>
        <v/>
      </c>
      <c r="E174" s="85" t="str">
        <f t="shared" si="22"/>
        <v/>
      </c>
      <c r="F174" s="85" t="str">
        <f t="shared" si="23"/>
        <v/>
      </c>
      <c r="G174" s="86" t="str">
        <f t="shared" si="24"/>
        <v/>
      </c>
      <c r="H174" s="30"/>
      <c r="I174" s="87" t="str">
        <f t="shared" si="25"/>
        <v/>
      </c>
      <c r="J174" s="85" t="str">
        <f t="shared" si="26"/>
        <v/>
      </c>
      <c r="K174" s="49"/>
      <c r="L174" s="88" t="str">
        <f t="shared" si="27"/>
        <v/>
      </c>
      <c r="M174" s="88" t="str">
        <f t="shared" si="28"/>
        <v/>
      </c>
      <c r="N174" s="30"/>
      <c r="O174" s="31"/>
      <c r="P174" s="53"/>
      <c r="Q174" s="33"/>
      <c r="R174" s="54" t="str">
        <f t="shared" si="29"/>
        <v/>
      </c>
      <c r="S174" s="30"/>
      <c r="T174" s="33"/>
    </row>
    <row r="175" spans="1:20" x14ac:dyDescent="0.25">
      <c r="A175" s="30"/>
      <c r="B175" s="84" t="str">
        <f t="shared" si="20"/>
        <v/>
      </c>
      <c r="C175" s="30"/>
      <c r="D175" s="85" t="str">
        <f t="shared" si="21"/>
        <v/>
      </c>
      <c r="E175" s="85" t="str">
        <f t="shared" si="22"/>
        <v/>
      </c>
      <c r="F175" s="85" t="str">
        <f t="shared" si="23"/>
        <v/>
      </c>
      <c r="G175" s="86" t="str">
        <f t="shared" si="24"/>
        <v/>
      </c>
      <c r="H175" s="30"/>
      <c r="I175" s="87" t="str">
        <f t="shared" si="25"/>
        <v/>
      </c>
      <c r="J175" s="85" t="str">
        <f t="shared" si="26"/>
        <v/>
      </c>
      <c r="K175" s="49"/>
      <c r="L175" s="88" t="str">
        <f t="shared" si="27"/>
        <v/>
      </c>
      <c r="M175" s="88" t="str">
        <f t="shared" si="28"/>
        <v/>
      </c>
      <c r="N175" s="30"/>
      <c r="O175" s="31"/>
      <c r="P175" s="53"/>
      <c r="Q175" s="33"/>
      <c r="R175" s="54" t="str">
        <f t="shared" si="29"/>
        <v/>
      </c>
      <c r="S175" s="30"/>
      <c r="T175" s="33"/>
    </row>
    <row r="176" spans="1:20" x14ac:dyDescent="0.25">
      <c r="A176" s="30"/>
      <c r="B176" s="84" t="str">
        <f t="shared" si="20"/>
        <v/>
      </c>
      <c r="C176" s="30"/>
      <c r="D176" s="85" t="str">
        <f t="shared" si="21"/>
        <v/>
      </c>
      <c r="E176" s="85" t="str">
        <f t="shared" si="22"/>
        <v/>
      </c>
      <c r="F176" s="85" t="str">
        <f t="shared" si="23"/>
        <v/>
      </c>
      <c r="G176" s="86" t="str">
        <f t="shared" si="24"/>
        <v/>
      </c>
      <c r="H176" s="30"/>
      <c r="I176" s="87" t="str">
        <f t="shared" si="25"/>
        <v/>
      </c>
      <c r="J176" s="85" t="str">
        <f t="shared" si="26"/>
        <v/>
      </c>
      <c r="K176" s="49"/>
      <c r="L176" s="88" t="str">
        <f t="shared" si="27"/>
        <v/>
      </c>
      <c r="M176" s="88" t="str">
        <f t="shared" si="28"/>
        <v/>
      </c>
      <c r="N176" s="30"/>
      <c r="O176" s="31"/>
      <c r="P176" s="53"/>
      <c r="Q176" s="33"/>
      <c r="R176" s="54" t="str">
        <f t="shared" si="29"/>
        <v/>
      </c>
      <c r="S176" s="30"/>
      <c r="T176" s="33"/>
    </row>
    <row r="177" spans="1:20" x14ac:dyDescent="0.25">
      <c r="A177" s="30"/>
      <c r="B177" s="84" t="str">
        <f t="shared" si="20"/>
        <v/>
      </c>
      <c r="C177" s="30"/>
      <c r="D177" s="85" t="str">
        <f t="shared" si="21"/>
        <v/>
      </c>
      <c r="E177" s="85" t="str">
        <f t="shared" si="22"/>
        <v/>
      </c>
      <c r="F177" s="85" t="str">
        <f t="shared" si="23"/>
        <v/>
      </c>
      <c r="G177" s="86" t="str">
        <f t="shared" si="24"/>
        <v/>
      </c>
      <c r="H177" s="30"/>
      <c r="I177" s="87" t="str">
        <f t="shared" si="25"/>
        <v/>
      </c>
      <c r="J177" s="85" t="str">
        <f t="shared" si="26"/>
        <v/>
      </c>
      <c r="K177" s="49"/>
      <c r="L177" s="88" t="str">
        <f t="shared" si="27"/>
        <v/>
      </c>
      <c r="M177" s="88" t="str">
        <f t="shared" si="28"/>
        <v/>
      </c>
      <c r="N177" s="30"/>
      <c r="O177" s="31"/>
      <c r="P177" s="53"/>
      <c r="Q177" s="33"/>
      <c r="R177" s="54" t="str">
        <f t="shared" si="29"/>
        <v/>
      </c>
      <c r="S177" s="30"/>
      <c r="T177" s="33"/>
    </row>
    <row r="178" spans="1:20" x14ac:dyDescent="0.25">
      <c r="A178" s="30"/>
      <c r="B178" s="84" t="str">
        <f t="shared" si="20"/>
        <v/>
      </c>
      <c r="C178" s="30"/>
      <c r="D178" s="85" t="str">
        <f t="shared" si="21"/>
        <v/>
      </c>
      <c r="E178" s="85" t="str">
        <f t="shared" si="22"/>
        <v/>
      </c>
      <c r="F178" s="85" t="str">
        <f t="shared" si="23"/>
        <v/>
      </c>
      <c r="G178" s="86" t="str">
        <f t="shared" si="24"/>
        <v/>
      </c>
      <c r="H178" s="30"/>
      <c r="I178" s="87" t="str">
        <f t="shared" si="25"/>
        <v/>
      </c>
      <c r="J178" s="85" t="str">
        <f t="shared" si="26"/>
        <v/>
      </c>
      <c r="K178" s="49"/>
      <c r="L178" s="88" t="str">
        <f t="shared" si="27"/>
        <v/>
      </c>
      <c r="M178" s="88" t="str">
        <f t="shared" si="28"/>
        <v/>
      </c>
      <c r="N178" s="30"/>
      <c r="O178" s="31"/>
      <c r="P178" s="53"/>
      <c r="Q178" s="33"/>
      <c r="R178" s="54" t="str">
        <f t="shared" si="29"/>
        <v/>
      </c>
      <c r="S178" s="30"/>
      <c r="T178" s="33"/>
    </row>
    <row r="179" spans="1:20" x14ac:dyDescent="0.25">
      <c r="A179" s="30"/>
      <c r="B179" s="84" t="str">
        <f t="shared" si="20"/>
        <v/>
      </c>
      <c r="C179" s="30"/>
      <c r="D179" s="85" t="str">
        <f t="shared" si="21"/>
        <v/>
      </c>
      <c r="E179" s="85" t="str">
        <f t="shared" si="22"/>
        <v/>
      </c>
      <c r="F179" s="85" t="str">
        <f t="shared" si="23"/>
        <v/>
      </c>
      <c r="G179" s="86" t="str">
        <f t="shared" si="24"/>
        <v/>
      </c>
      <c r="H179" s="30"/>
      <c r="I179" s="87" t="str">
        <f t="shared" si="25"/>
        <v/>
      </c>
      <c r="J179" s="85" t="str">
        <f t="shared" si="26"/>
        <v/>
      </c>
      <c r="K179" s="49"/>
      <c r="L179" s="88" t="str">
        <f t="shared" si="27"/>
        <v/>
      </c>
      <c r="M179" s="88" t="str">
        <f t="shared" si="28"/>
        <v/>
      </c>
      <c r="N179" s="30"/>
      <c r="O179" s="31"/>
      <c r="P179" s="53"/>
      <c r="Q179" s="33"/>
      <c r="R179" s="54" t="str">
        <f t="shared" si="29"/>
        <v/>
      </c>
      <c r="S179" s="30"/>
      <c r="T179" s="33"/>
    </row>
    <row r="180" spans="1:20" x14ac:dyDescent="0.25">
      <c r="A180" s="30"/>
      <c r="B180" s="84" t="str">
        <f t="shared" si="20"/>
        <v/>
      </c>
      <c r="C180" s="30"/>
      <c r="D180" s="85" t="str">
        <f t="shared" si="21"/>
        <v/>
      </c>
      <c r="E180" s="85" t="str">
        <f t="shared" si="22"/>
        <v/>
      </c>
      <c r="F180" s="85" t="str">
        <f t="shared" si="23"/>
        <v/>
      </c>
      <c r="G180" s="86" t="str">
        <f t="shared" si="24"/>
        <v/>
      </c>
      <c r="H180" s="30"/>
      <c r="I180" s="87" t="str">
        <f t="shared" si="25"/>
        <v/>
      </c>
      <c r="J180" s="85" t="str">
        <f t="shared" si="26"/>
        <v/>
      </c>
      <c r="K180" s="49"/>
      <c r="L180" s="88" t="str">
        <f t="shared" si="27"/>
        <v/>
      </c>
      <c r="M180" s="88" t="str">
        <f t="shared" si="28"/>
        <v/>
      </c>
      <c r="N180" s="30"/>
      <c r="O180" s="31"/>
      <c r="P180" s="53"/>
      <c r="Q180" s="33"/>
      <c r="R180" s="54" t="str">
        <f t="shared" si="29"/>
        <v/>
      </c>
      <c r="S180" s="30"/>
      <c r="T180" s="33"/>
    </row>
    <row r="181" spans="1:20" x14ac:dyDescent="0.25">
      <c r="A181" s="30"/>
      <c r="B181" s="84" t="str">
        <f t="shared" ref="B181:B244" si="30">IF($G181="","",EOMONTH($G181,0))</f>
        <v/>
      </c>
      <c r="C181" s="30"/>
      <c r="D181" s="85" t="str">
        <f t="shared" ref="D181:D244" si="31">IFERROR(IF($C181="","",VLOOKUP($C181,CAD_TAB,2,FALSE)),"")</f>
        <v/>
      </c>
      <c r="E181" s="85" t="str">
        <f t="shared" ref="E181:E244" si="32">IFERROR(IF($C181="","",VLOOKUP($C181,CAD_TAB,3,FALSE)),"")</f>
        <v/>
      </c>
      <c r="F181" s="85" t="str">
        <f t="shared" ref="F181:F244" si="33">IFERROR(IF($C181="","",VLOOKUP($C181,OS_TAB,7,FALSE)),"")</f>
        <v/>
      </c>
      <c r="G181" s="86" t="str">
        <f t="shared" ref="G181:G244" si="34">IFERROR(IF($C181="","",VLOOKUP($C181,OS_TAB,10,FALSE)),"")</f>
        <v/>
      </c>
      <c r="H181" s="30"/>
      <c r="I181" s="87" t="str">
        <f t="shared" ref="I181:I244" si="35">IFERROR(IF($H181="","",VLOOKUP($H181,PRE_TAB,5,FALSE)),"CÓDIGO NÃO ENCONTRADO")</f>
        <v/>
      </c>
      <c r="J181" s="85" t="str">
        <f t="shared" ref="J181:J244" si="36">IFERROR(IF($H181="","",VLOOKUP($H181,PRE_TAB,7,FALSE)),"")</f>
        <v/>
      </c>
      <c r="K181" s="49"/>
      <c r="L181" s="88" t="str">
        <f t="shared" ref="L181:L244" si="37">IFERROR(IF($H181="","",VLOOKUP($H181,PRE_TAB,8,FALSE)),0)</f>
        <v/>
      </c>
      <c r="M181" s="88" t="str">
        <f t="shared" ref="M181:M244" si="38">IF($H181="","",ROUND($K181*$L181,2))</f>
        <v/>
      </c>
      <c r="N181" s="30"/>
      <c r="O181" s="31"/>
      <c r="P181" s="53"/>
      <c r="Q181" s="33"/>
      <c r="R181" s="54" t="str">
        <f t="shared" ref="R181:R244" si="39">IF($H181="","",$M181-$P181)</f>
        <v/>
      </c>
      <c r="S181" s="30"/>
      <c r="T181" s="33"/>
    </row>
    <row r="182" spans="1:20" x14ac:dyDescent="0.25">
      <c r="A182" s="30"/>
      <c r="B182" s="84" t="str">
        <f t="shared" si="30"/>
        <v/>
      </c>
      <c r="C182" s="30"/>
      <c r="D182" s="85" t="str">
        <f t="shared" si="31"/>
        <v/>
      </c>
      <c r="E182" s="85" t="str">
        <f t="shared" si="32"/>
        <v/>
      </c>
      <c r="F182" s="85" t="str">
        <f t="shared" si="33"/>
        <v/>
      </c>
      <c r="G182" s="86" t="str">
        <f t="shared" si="34"/>
        <v/>
      </c>
      <c r="H182" s="30"/>
      <c r="I182" s="87" t="str">
        <f t="shared" si="35"/>
        <v/>
      </c>
      <c r="J182" s="85" t="str">
        <f t="shared" si="36"/>
        <v/>
      </c>
      <c r="K182" s="49"/>
      <c r="L182" s="88" t="str">
        <f t="shared" si="37"/>
        <v/>
      </c>
      <c r="M182" s="88" t="str">
        <f t="shared" si="38"/>
        <v/>
      </c>
      <c r="N182" s="30"/>
      <c r="O182" s="31"/>
      <c r="P182" s="53"/>
      <c r="Q182" s="33"/>
      <c r="R182" s="54" t="str">
        <f t="shared" si="39"/>
        <v/>
      </c>
      <c r="S182" s="30"/>
      <c r="T182" s="33"/>
    </row>
    <row r="183" spans="1:20" x14ac:dyDescent="0.25">
      <c r="A183" s="30"/>
      <c r="B183" s="84" t="str">
        <f t="shared" si="30"/>
        <v/>
      </c>
      <c r="C183" s="30"/>
      <c r="D183" s="85" t="str">
        <f t="shared" si="31"/>
        <v/>
      </c>
      <c r="E183" s="85" t="str">
        <f t="shared" si="32"/>
        <v/>
      </c>
      <c r="F183" s="85" t="str">
        <f t="shared" si="33"/>
        <v/>
      </c>
      <c r="G183" s="86" t="str">
        <f t="shared" si="34"/>
        <v/>
      </c>
      <c r="H183" s="30"/>
      <c r="I183" s="87" t="str">
        <f t="shared" si="35"/>
        <v/>
      </c>
      <c r="J183" s="85" t="str">
        <f t="shared" si="36"/>
        <v/>
      </c>
      <c r="K183" s="49"/>
      <c r="L183" s="88" t="str">
        <f t="shared" si="37"/>
        <v/>
      </c>
      <c r="M183" s="88" t="str">
        <f t="shared" si="38"/>
        <v/>
      </c>
      <c r="N183" s="30"/>
      <c r="O183" s="31"/>
      <c r="P183" s="53"/>
      <c r="Q183" s="33"/>
      <c r="R183" s="54" t="str">
        <f t="shared" si="39"/>
        <v/>
      </c>
      <c r="S183" s="30"/>
      <c r="T183" s="33"/>
    </row>
    <row r="184" spans="1:20" x14ac:dyDescent="0.25">
      <c r="A184" s="30"/>
      <c r="B184" s="84" t="str">
        <f t="shared" si="30"/>
        <v/>
      </c>
      <c r="C184" s="30"/>
      <c r="D184" s="85" t="str">
        <f t="shared" si="31"/>
        <v/>
      </c>
      <c r="E184" s="85" t="str">
        <f t="shared" si="32"/>
        <v/>
      </c>
      <c r="F184" s="85" t="str">
        <f t="shared" si="33"/>
        <v/>
      </c>
      <c r="G184" s="86" t="str">
        <f t="shared" si="34"/>
        <v/>
      </c>
      <c r="H184" s="30"/>
      <c r="I184" s="87" t="str">
        <f t="shared" si="35"/>
        <v/>
      </c>
      <c r="J184" s="85" t="str">
        <f t="shared" si="36"/>
        <v/>
      </c>
      <c r="K184" s="49"/>
      <c r="L184" s="88" t="str">
        <f t="shared" si="37"/>
        <v/>
      </c>
      <c r="M184" s="88" t="str">
        <f t="shared" si="38"/>
        <v/>
      </c>
      <c r="N184" s="30"/>
      <c r="O184" s="31"/>
      <c r="P184" s="53"/>
      <c r="Q184" s="33"/>
      <c r="R184" s="54" t="str">
        <f t="shared" si="39"/>
        <v/>
      </c>
      <c r="S184" s="30"/>
      <c r="T184" s="33"/>
    </row>
    <row r="185" spans="1:20" x14ac:dyDescent="0.25">
      <c r="A185" s="30"/>
      <c r="B185" s="84" t="str">
        <f t="shared" si="30"/>
        <v/>
      </c>
      <c r="C185" s="30"/>
      <c r="D185" s="85" t="str">
        <f t="shared" si="31"/>
        <v/>
      </c>
      <c r="E185" s="85" t="str">
        <f t="shared" si="32"/>
        <v/>
      </c>
      <c r="F185" s="85" t="str">
        <f t="shared" si="33"/>
        <v/>
      </c>
      <c r="G185" s="86" t="str">
        <f t="shared" si="34"/>
        <v/>
      </c>
      <c r="H185" s="30"/>
      <c r="I185" s="87" t="str">
        <f t="shared" si="35"/>
        <v/>
      </c>
      <c r="J185" s="85" t="str">
        <f t="shared" si="36"/>
        <v/>
      </c>
      <c r="K185" s="49"/>
      <c r="L185" s="88" t="str">
        <f t="shared" si="37"/>
        <v/>
      </c>
      <c r="M185" s="88" t="str">
        <f t="shared" si="38"/>
        <v/>
      </c>
      <c r="N185" s="30"/>
      <c r="O185" s="31"/>
      <c r="P185" s="53"/>
      <c r="Q185" s="33"/>
      <c r="R185" s="54" t="str">
        <f t="shared" si="39"/>
        <v/>
      </c>
      <c r="S185" s="30"/>
      <c r="T185" s="33"/>
    </row>
    <row r="186" spans="1:20" x14ac:dyDescent="0.25">
      <c r="A186" s="30"/>
      <c r="B186" s="84" t="str">
        <f t="shared" si="30"/>
        <v/>
      </c>
      <c r="C186" s="30"/>
      <c r="D186" s="85" t="str">
        <f t="shared" si="31"/>
        <v/>
      </c>
      <c r="E186" s="85" t="str">
        <f t="shared" si="32"/>
        <v/>
      </c>
      <c r="F186" s="85" t="str">
        <f t="shared" si="33"/>
        <v/>
      </c>
      <c r="G186" s="86" t="str">
        <f t="shared" si="34"/>
        <v/>
      </c>
      <c r="H186" s="30"/>
      <c r="I186" s="87" t="str">
        <f t="shared" si="35"/>
        <v/>
      </c>
      <c r="J186" s="85" t="str">
        <f t="shared" si="36"/>
        <v/>
      </c>
      <c r="K186" s="49"/>
      <c r="L186" s="88" t="str">
        <f t="shared" si="37"/>
        <v/>
      </c>
      <c r="M186" s="88" t="str">
        <f t="shared" si="38"/>
        <v/>
      </c>
      <c r="N186" s="30"/>
      <c r="O186" s="31"/>
      <c r="P186" s="53"/>
      <c r="Q186" s="33"/>
      <c r="R186" s="54" t="str">
        <f t="shared" si="39"/>
        <v/>
      </c>
      <c r="S186" s="30"/>
      <c r="T186" s="33"/>
    </row>
    <row r="187" spans="1:20" x14ac:dyDescent="0.25">
      <c r="A187" s="30"/>
      <c r="B187" s="84" t="str">
        <f t="shared" si="30"/>
        <v/>
      </c>
      <c r="C187" s="30"/>
      <c r="D187" s="85" t="str">
        <f t="shared" si="31"/>
        <v/>
      </c>
      <c r="E187" s="85" t="str">
        <f t="shared" si="32"/>
        <v/>
      </c>
      <c r="F187" s="85" t="str">
        <f t="shared" si="33"/>
        <v/>
      </c>
      <c r="G187" s="86" t="str">
        <f t="shared" si="34"/>
        <v/>
      </c>
      <c r="H187" s="30"/>
      <c r="I187" s="87" t="str">
        <f t="shared" si="35"/>
        <v/>
      </c>
      <c r="J187" s="85" t="str">
        <f t="shared" si="36"/>
        <v/>
      </c>
      <c r="K187" s="49"/>
      <c r="L187" s="88" t="str">
        <f t="shared" si="37"/>
        <v/>
      </c>
      <c r="M187" s="88" t="str">
        <f t="shared" si="38"/>
        <v/>
      </c>
      <c r="N187" s="30"/>
      <c r="O187" s="31"/>
      <c r="P187" s="53"/>
      <c r="Q187" s="33"/>
      <c r="R187" s="54" t="str">
        <f t="shared" si="39"/>
        <v/>
      </c>
      <c r="S187" s="30"/>
      <c r="T187" s="33"/>
    </row>
    <row r="188" spans="1:20" x14ac:dyDescent="0.25">
      <c r="A188" s="30"/>
      <c r="B188" s="84" t="str">
        <f t="shared" si="30"/>
        <v/>
      </c>
      <c r="C188" s="30"/>
      <c r="D188" s="85" t="str">
        <f t="shared" si="31"/>
        <v/>
      </c>
      <c r="E188" s="85" t="str">
        <f t="shared" si="32"/>
        <v/>
      </c>
      <c r="F188" s="85" t="str">
        <f t="shared" si="33"/>
        <v/>
      </c>
      <c r="G188" s="86" t="str">
        <f t="shared" si="34"/>
        <v/>
      </c>
      <c r="H188" s="30"/>
      <c r="I188" s="87" t="str">
        <f t="shared" si="35"/>
        <v/>
      </c>
      <c r="J188" s="85" t="str">
        <f t="shared" si="36"/>
        <v/>
      </c>
      <c r="K188" s="49"/>
      <c r="L188" s="88" t="str">
        <f t="shared" si="37"/>
        <v/>
      </c>
      <c r="M188" s="88" t="str">
        <f t="shared" si="38"/>
        <v/>
      </c>
      <c r="N188" s="30"/>
      <c r="O188" s="31"/>
      <c r="P188" s="53"/>
      <c r="Q188" s="33"/>
      <c r="R188" s="54" t="str">
        <f t="shared" si="39"/>
        <v/>
      </c>
      <c r="S188" s="30"/>
      <c r="T188" s="33"/>
    </row>
    <row r="189" spans="1:20" x14ac:dyDescent="0.25">
      <c r="A189" s="30"/>
      <c r="B189" s="84" t="str">
        <f t="shared" si="30"/>
        <v/>
      </c>
      <c r="C189" s="30"/>
      <c r="D189" s="85" t="str">
        <f t="shared" si="31"/>
        <v/>
      </c>
      <c r="E189" s="85" t="str">
        <f t="shared" si="32"/>
        <v/>
      </c>
      <c r="F189" s="85" t="str">
        <f t="shared" si="33"/>
        <v/>
      </c>
      <c r="G189" s="86" t="str">
        <f t="shared" si="34"/>
        <v/>
      </c>
      <c r="H189" s="30"/>
      <c r="I189" s="87" t="str">
        <f t="shared" si="35"/>
        <v/>
      </c>
      <c r="J189" s="85" t="str">
        <f t="shared" si="36"/>
        <v/>
      </c>
      <c r="K189" s="49"/>
      <c r="L189" s="88" t="str">
        <f t="shared" si="37"/>
        <v/>
      </c>
      <c r="M189" s="88" t="str">
        <f t="shared" si="38"/>
        <v/>
      </c>
      <c r="N189" s="30"/>
      <c r="O189" s="31"/>
      <c r="P189" s="53"/>
      <c r="Q189" s="33"/>
      <c r="R189" s="54" t="str">
        <f t="shared" si="39"/>
        <v/>
      </c>
      <c r="S189" s="30"/>
      <c r="T189" s="33"/>
    </row>
    <row r="190" spans="1:20" x14ac:dyDescent="0.25">
      <c r="A190" s="30"/>
      <c r="B190" s="84" t="str">
        <f t="shared" si="30"/>
        <v/>
      </c>
      <c r="C190" s="30"/>
      <c r="D190" s="85" t="str">
        <f t="shared" si="31"/>
        <v/>
      </c>
      <c r="E190" s="85" t="str">
        <f t="shared" si="32"/>
        <v/>
      </c>
      <c r="F190" s="85" t="str">
        <f t="shared" si="33"/>
        <v/>
      </c>
      <c r="G190" s="86" t="str">
        <f t="shared" si="34"/>
        <v/>
      </c>
      <c r="H190" s="30"/>
      <c r="I190" s="87" t="str">
        <f t="shared" si="35"/>
        <v/>
      </c>
      <c r="J190" s="85" t="str">
        <f t="shared" si="36"/>
        <v/>
      </c>
      <c r="K190" s="49"/>
      <c r="L190" s="88" t="str">
        <f t="shared" si="37"/>
        <v/>
      </c>
      <c r="M190" s="88" t="str">
        <f t="shared" si="38"/>
        <v/>
      </c>
      <c r="N190" s="30"/>
      <c r="O190" s="31"/>
      <c r="P190" s="53"/>
      <c r="Q190" s="33"/>
      <c r="R190" s="54" t="str">
        <f t="shared" si="39"/>
        <v/>
      </c>
      <c r="S190" s="30"/>
      <c r="T190" s="33"/>
    </row>
    <row r="191" spans="1:20" x14ac:dyDescent="0.25">
      <c r="A191" s="30"/>
      <c r="B191" s="84" t="str">
        <f t="shared" si="30"/>
        <v/>
      </c>
      <c r="C191" s="30"/>
      <c r="D191" s="85" t="str">
        <f t="shared" si="31"/>
        <v/>
      </c>
      <c r="E191" s="85" t="str">
        <f t="shared" si="32"/>
        <v/>
      </c>
      <c r="F191" s="85" t="str">
        <f t="shared" si="33"/>
        <v/>
      </c>
      <c r="G191" s="86" t="str">
        <f t="shared" si="34"/>
        <v/>
      </c>
      <c r="H191" s="30"/>
      <c r="I191" s="87" t="str">
        <f t="shared" si="35"/>
        <v/>
      </c>
      <c r="J191" s="85" t="str">
        <f t="shared" si="36"/>
        <v/>
      </c>
      <c r="K191" s="49"/>
      <c r="L191" s="88" t="str">
        <f t="shared" si="37"/>
        <v/>
      </c>
      <c r="M191" s="88" t="str">
        <f t="shared" si="38"/>
        <v/>
      </c>
      <c r="N191" s="30"/>
      <c r="O191" s="31"/>
      <c r="P191" s="53"/>
      <c r="Q191" s="33"/>
      <c r="R191" s="54" t="str">
        <f t="shared" si="39"/>
        <v/>
      </c>
      <c r="S191" s="30"/>
      <c r="T191" s="33"/>
    </row>
    <row r="192" spans="1:20" x14ac:dyDescent="0.25">
      <c r="A192" s="30"/>
      <c r="B192" s="84" t="str">
        <f t="shared" si="30"/>
        <v/>
      </c>
      <c r="C192" s="30"/>
      <c r="D192" s="85" t="str">
        <f t="shared" si="31"/>
        <v/>
      </c>
      <c r="E192" s="85" t="str">
        <f t="shared" si="32"/>
        <v/>
      </c>
      <c r="F192" s="85" t="str">
        <f t="shared" si="33"/>
        <v/>
      </c>
      <c r="G192" s="86" t="str">
        <f t="shared" si="34"/>
        <v/>
      </c>
      <c r="H192" s="30"/>
      <c r="I192" s="87" t="str">
        <f t="shared" si="35"/>
        <v/>
      </c>
      <c r="J192" s="85" t="str">
        <f t="shared" si="36"/>
        <v/>
      </c>
      <c r="K192" s="49"/>
      <c r="L192" s="88" t="str">
        <f t="shared" si="37"/>
        <v/>
      </c>
      <c r="M192" s="88" t="str">
        <f t="shared" si="38"/>
        <v/>
      </c>
      <c r="N192" s="30"/>
      <c r="O192" s="31"/>
      <c r="P192" s="53"/>
      <c r="Q192" s="33"/>
      <c r="R192" s="54" t="str">
        <f t="shared" si="39"/>
        <v/>
      </c>
      <c r="S192" s="30"/>
      <c r="T192" s="33"/>
    </row>
    <row r="193" spans="1:20" x14ac:dyDescent="0.25">
      <c r="A193" s="30"/>
      <c r="B193" s="84" t="str">
        <f t="shared" si="30"/>
        <v/>
      </c>
      <c r="C193" s="30"/>
      <c r="D193" s="85" t="str">
        <f t="shared" si="31"/>
        <v/>
      </c>
      <c r="E193" s="85" t="str">
        <f t="shared" si="32"/>
        <v/>
      </c>
      <c r="F193" s="85" t="str">
        <f t="shared" si="33"/>
        <v/>
      </c>
      <c r="G193" s="86" t="str">
        <f t="shared" si="34"/>
        <v/>
      </c>
      <c r="H193" s="30"/>
      <c r="I193" s="87" t="str">
        <f t="shared" si="35"/>
        <v/>
      </c>
      <c r="J193" s="85" t="str">
        <f t="shared" si="36"/>
        <v/>
      </c>
      <c r="K193" s="49"/>
      <c r="L193" s="88" t="str">
        <f t="shared" si="37"/>
        <v/>
      </c>
      <c r="M193" s="88" t="str">
        <f t="shared" si="38"/>
        <v/>
      </c>
      <c r="N193" s="30"/>
      <c r="O193" s="31"/>
      <c r="P193" s="53"/>
      <c r="Q193" s="33"/>
      <c r="R193" s="54" t="str">
        <f t="shared" si="39"/>
        <v/>
      </c>
      <c r="S193" s="30"/>
      <c r="T193" s="33"/>
    </row>
    <row r="194" spans="1:20" x14ac:dyDescent="0.25">
      <c r="A194" s="30"/>
      <c r="B194" s="84" t="str">
        <f t="shared" si="30"/>
        <v/>
      </c>
      <c r="C194" s="30"/>
      <c r="D194" s="85" t="str">
        <f t="shared" si="31"/>
        <v/>
      </c>
      <c r="E194" s="85" t="str">
        <f t="shared" si="32"/>
        <v/>
      </c>
      <c r="F194" s="85" t="str">
        <f t="shared" si="33"/>
        <v/>
      </c>
      <c r="G194" s="86" t="str">
        <f t="shared" si="34"/>
        <v/>
      </c>
      <c r="H194" s="30"/>
      <c r="I194" s="87" t="str">
        <f t="shared" si="35"/>
        <v/>
      </c>
      <c r="J194" s="85" t="str">
        <f t="shared" si="36"/>
        <v/>
      </c>
      <c r="K194" s="49"/>
      <c r="L194" s="88" t="str">
        <f t="shared" si="37"/>
        <v/>
      </c>
      <c r="M194" s="88" t="str">
        <f t="shared" si="38"/>
        <v/>
      </c>
      <c r="N194" s="30"/>
      <c r="O194" s="31"/>
      <c r="P194" s="53"/>
      <c r="Q194" s="33"/>
      <c r="R194" s="54" t="str">
        <f t="shared" si="39"/>
        <v/>
      </c>
      <c r="S194" s="30"/>
      <c r="T194" s="33"/>
    </row>
    <row r="195" spans="1:20" x14ac:dyDescent="0.25">
      <c r="A195" s="30"/>
      <c r="B195" s="84" t="str">
        <f t="shared" si="30"/>
        <v/>
      </c>
      <c r="C195" s="30"/>
      <c r="D195" s="85" t="str">
        <f t="shared" si="31"/>
        <v/>
      </c>
      <c r="E195" s="85" t="str">
        <f t="shared" si="32"/>
        <v/>
      </c>
      <c r="F195" s="85" t="str">
        <f t="shared" si="33"/>
        <v/>
      </c>
      <c r="G195" s="86" t="str">
        <f t="shared" si="34"/>
        <v/>
      </c>
      <c r="H195" s="30"/>
      <c r="I195" s="87" t="str">
        <f t="shared" si="35"/>
        <v/>
      </c>
      <c r="J195" s="85" t="str">
        <f t="shared" si="36"/>
        <v/>
      </c>
      <c r="K195" s="49"/>
      <c r="L195" s="88" t="str">
        <f t="shared" si="37"/>
        <v/>
      </c>
      <c r="M195" s="88" t="str">
        <f t="shared" si="38"/>
        <v/>
      </c>
      <c r="N195" s="30"/>
      <c r="O195" s="31"/>
      <c r="P195" s="53"/>
      <c r="Q195" s="33"/>
      <c r="R195" s="54" t="str">
        <f t="shared" si="39"/>
        <v/>
      </c>
      <c r="S195" s="30"/>
      <c r="T195" s="33"/>
    </row>
    <row r="196" spans="1:20" x14ac:dyDescent="0.25">
      <c r="A196" s="30"/>
      <c r="B196" s="84" t="str">
        <f t="shared" si="30"/>
        <v/>
      </c>
      <c r="C196" s="30"/>
      <c r="D196" s="85" t="str">
        <f t="shared" si="31"/>
        <v/>
      </c>
      <c r="E196" s="85" t="str">
        <f t="shared" si="32"/>
        <v/>
      </c>
      <c r="F196" s="85" t="str">
        <f t="shared" si="33"/>
        <v/>
      </c>
      <c r="G196" s="86" t="str">
        <f t="shared" si="34"/>
        <v/>
      </c>
      <c r="H196" s="30"/>
      <c r="I196" s="87" t="str">
        <f t="shared" si="35"/>
        <v/>
      </c>
      <c r="J196" s="85" t="str">
        <f t="shared" si="36"/>
        <v/>
      </c>
      <c r="K196" s="49"/>
      <c r="L196" s="88" t="str">
        <f t="shared" si="37"/>
        <v/>
      </c>
      <c r="M196" s="88" t="str">
        <f t="shared" si="38"/>
        <v/>
      </c>
      <c r="N196" s="30"/>
      <c r="O196" s="31"/>
      <c r="P196" s="53"/>
      <c r="Q196" s="33"/>
      <c r="R196" s="54" t="str">
        <f t="shared" si="39"/>
        <v/>
      </c>
      <c r="S196" s="30"/>
      <c r="T196" s="33"/>
    </row>
    <row r="197" spans="1:20" x14ac:dyDescent="0.25">
      <c r="A197" s="30"/>
      <c r="B197" s="84" t="str">
        <f t="shared" si="30"/>
        <v/>
      </c>
      <c r="C197" s="30"/>
      <c r="D197" s="85" t="str">
        <f t="shared" si="31"/>
        <v/>
      </c>
      <c r="E197" s="85" t="str">
        <f t="shared" si="32"/>
        <v/>
      </c>
      <c r="F197" s="85" t="str">
        <f t="shared" si="33"/>
        <v/>
      </c>
      <c r="G197" s="86" t="str">
        <f t="shared" si="34"/>
        <v/>
      </c>
      <c r="H197" s="30"/>
      <c r="I197" s="87" t="str">
        <f t="shared" si="35"/>
        <v/>
      </c>
      <c r="J197" s="85" t="str">
        <f t="shared" si="36"/>
        <v/>
      </c>
      <c r="K197" s="49"/>
      <c r="L197" s="88" t="str">
        <f t="shared" si="37"/>
        <v/>
      </c>
      <c r="M197" s="88" t="str">
        <f t="shared" si="38"/>
        <v/>
      </c>
      <c r="N197" s="30"/>
      <c r="O197" s="31"/>
      <c r="P197" s="53"/>
      <c r="Q197" s="33"/>
      <c r="R197" s="54" t="str">
        <f t="shared" si="39"/>
        <v/>
      </c>
      <c r="S197" s="30"/>
      <c r="T197" s="33"/>
    </row>
    <row r="198" spans="1:20" x14ac:dyDescent="0.25">
      <c r="A198" s="30"/>
      <c r="B198" s="84" t="str">
        <f t="shared" si="30"/>
        <v/>
      </c>
      <c r="C198" s="30"/>
      <c r="D198" s="85" t="str">
        <f t="shared" si="31"/>
        <v/>
      </c>
      <c r="E198" s="85" t="str">
        <f t="shared" si="32"/>
        <v/>
      </c>
      <c r="F198" s="85" t="str">
        <f t="shared" si="33"/>
        <v/>
      </c>
      <c r="G198" s="86" t="str">
        <f t="shared" si="34"/>
        <v/>
      </c>
      <c r="H198" s="30"/>
      <c r="I198" s="87" t="str">
        <f t="shared" si="35"/>
        <v/>
      </c>
      <c r="J198" s="85" t="str">
        <f t="shared" si="36"/>
        <v/>
      </c>
      <c r="K198" s="49"/>
      <c r="L198" s="88" t="str">
        <f t="shared" si="37"/>
        <v/>
      </c>
      <c r="M198" s="88" t="str">
        <f t="shared" si="38"/>
        <v/>
      </c>
      <c r="N198" s="30"/>
      <c r="O198" s="31"/>
      <c r="P198" s="53"/>
      <c r="Q198" s="33"/>
      <c r="R198" s="54" t="str">
        <f t="shared" si="39"/>
        <v/>
      </c>
      <c r="S198" s="30"/>
      <c r="T198" s="33"/>
    </row>
    <row r="199" spans="1:20" x14ac:dyDescent="0.25">
      <c r="A199" s="30"/>
      <c r="B199" s="84" t="str">
        <f t="shared" si="30"/>
        <v/>
      </c>
      <c r="C199" s="30"/>
      <c r="D199" s="85" t="str">
        <f t="shared" si="31"/>
        <v/>
      </c>
      <c r="E199" s="85" t="str">
        <f t="shared" si="32"/>
        <v/>
      </c>
      <c r="F199" s="85" t="str">
        <f t="shared" si="33"/>
        <v/>
      </c>
      <c r="G199" s="86" t="str">
        <f t="shared" si="34"/>
        <v/>
      </c>
      <c r="H199" s="30"/>
      <c r="I199" s="87" t="str">
        <f t="shared" si="35"/>
        <v/>
      </c>
      <c r="J199" s="85" t="str">
        <f t="shared" si="36"/>
        <v/>
      </c>
      <c r="K199" s="49"/>
      <c r="L199" s="88" t="str">
        <f t="shared" si="37"/>
        <v/>
      </c>
      <c r="M199" s="88" t="str">
        <f t="shared" si="38"/>
        <v/>
      </c>
      <c r="N199" s="30"/>
      <c r="O199" s="31"/>
      <c r="P199" s="53"/>
      <c r="Q199" s="33"/>
      <c r="R199" s="54" t="str">
        <f t="shared" si="39"/>
        <v/>
      </c>
      <c r="S199" s="30"/>
      <c r="T199" s="33"/>
    </row>
    <row r="200" spans="1:20" x14ac:dyDescent="0.25">
      <c r="A200" s="30"/>
      <c r="B200" s="84" t="str">
        <f t="shared" si="30"/>
        <v/>
      </c>
      <c r="C200" s="30"/>
      <c r="D200" s="85" t="str">
        <f t="shared" si="31"/>
        <v/>
      </c>
      <c r="E200" s="85" t="str">
        <f t="shared" si="32"/>
        <v/>
      </c>
      <c r="F200" s="85" t="str">
        <f t="shared" si="33"/>
        <v/>
      </c>
      <c r="G200" s="86" t="str">
        <f t="shared" si="34"/>
        <v/>
      </c>
      <c r="H200" s="30"/>
      <c r="I200" s="87" t="str">
        <f t="shared" si="35"/>
        <v/>
      </c>
      <c r="J200" s="85" t="str">
        <f t="shared" si="36"/>
        <v/>
      </c>
      <c r="K200" s="49"/>
      <c r="L200" s="88" t="str">
        <f t="shared" si="37"/>
        <v/>
      </c>
      <c r="M200" s="88" t="str">
        <f t="shared" si="38"/>
        <v/>
      </c>
      <c r="N200" s="30"/>
      <c r="O200" s="31"/>
      <c r="P200" s="53"/>
      <c r="Q200" s="33"/>
      <c r="R200" s="54" t="str">
        <f t="shared" si="39"/>
        <v/>
      </c>
      <c r="S200" s="30"/>
      <c r="T200" s="33"/>
    </row>
    <row r="201" spans="1:20" x14ac:dyDescent="0.25">
      <c r="A201" s="30"/>
      <c r="B201" s="84" t="str">
        <f t="shared" si="30"/>
        <v/>
      </c>
      <c r="C201" s="30"/>
      <c r="D201" s="85" t="str">
        <f t="shared" si="31"/>
        <v/>
      </c>
      <c r="E201" s="85" t="str">
        <f t="shared" si="32"/>
        <v/>
      </c>
      <c r="F201" s="85" t="str">
        <f t="shared" si="33"/>
        <v/>
      </c>
      <c r="G201" s="86" t="str">
        <f t="shared" si="34"/>
        <v/>
      </c>
      <c r="H201" s="30"/>
      <c r="I201" s="87" t="str">
        <f t="shared" si="35"/>
        <v/>
      </c>
      <c r="J201" s="85" t="str">
        <f t="shared" si="36"/>
        <v/>
      </c>
      <c r="K201" s="49"/>
      <c r="L201" s="88" t="str">
        <f t="shared" si="37"/>
        <v/>
      </c>
      <c r="M201" s="88" t="str">
        <f t="shared" si="38"/>
        <v/>
      </c>
      <c r="N201" s="30"/>
      <c r="O201" s="31"/>
      <c r="P201" s="53"/>
      <c r="Q201" s="33"/>
      <c r="R201" s="54" t="str">
        <f t="shared" si="39"/>
        <v/>
      </c>
      <c r="S201" s="30"/>
      <c r="T201" s="33"/>
    </row>
    <row r="202" spans="1:20" x14ac:dyDescent="0.25">
      <c r="A202" s="30"/>
      <c r="B202" s="84" t="str">
        <f t="shared" si="30"/>
        <v/>
      </c>
      <c r="C202" s="30"/>
      <c r="D202" s="85" t="str">
        <f t="shared" si="31"/>
        <v/>
      </c>
      <c r="E202" s="85" t="str">
        <f t="shared" si="32"/>
        <v/>
      </c>
      <c r="F202" s="85" t="str">
        <f t="shared" si="33"/>
        <v/>
      </c>
      <c r="G202" s="86" t="str">
        <f t="shared" si="34"/>
        <v/>
      </c>
      <c r="H202" s="30"/>
      <c r="I202" s="87" t="str">
        <f t="shared" si="35"/>
        <v/>
      </c>
      <c r="J202" s="85" t="str">
        <f t="shared" si="36"/>
        <v/>
      </c>
      <c r="K202" s="49"/>
      <c r="L202" s="88" t="str">
        <f t="shared" si="37"/>
        <v/>
      </c>
      <c r="M202" s="88" t="str">
        <f t="shared" si="38"/>
        <v/>
      </c>
      <c r="N202" s="30"/>
      <c r="O202" s="31"/>
      <c r="P202" s="53"/>
      <c r="Q202" s="33"/>
      <c r="R202" s="54" t="str">
        <f t="shared" si="39"/>
        <v/>
      </c>
      <c r="S202" s="30"/>
      <c r="T202" s="33"/>
    </row>
    <row r="203" spans="1:20" x14ac:dyDescent="0.25">
      <c r="A203" s="30"/>
      <c r="B203" s="84" t="str">
        <f t="shared" si="30"/>
        <v/>
      </c>
      <c r="C203" s="30"/>
      <c r="D203" s="85" t="str">
        <f t="shared" si="31"/>
        <v/>
      </c>
      <c r="E203" s="85" t="str">
        <f t="shared" si="32"/>
        <v/>
      </c>
      <c r="F203" s="85" t="str">
        <f t="shared" si="33"/>
        <v/>
      </c>
      <c r="G203" s="86" t="str">
        <f t="shared" si="34"/>
        <v/>
      </c>
      <c r="H203" s="30"/>
      <c r="I203" s="87" t="str">
        <f t="shared" si="35"/>
        <v/>
      </c>
      <c r="J203" s="85" t="str">
        <f t="shared" si="36"/>
        <v/>
      </c>
      <c r="K203" s="49"/>
      <c r="L203" s="88" t="str">
        <f t="shared" si="37"/>
        <v/>
      </c>
      <c r="M203" s="88" t="str">
        <f t="shared" si="38"/>
        <v/>
      </c>
      <c r="N203" s="30"/>
      <c r="O203" s="31"/>
      <c r="P203" s="53"/>
      <c r="Q203" s="33"/>
      <c r="R203" s="54" t="str">
        <f t="shared" si="39"/>
        <v/>
      </c>
      <c r="S203" s="30"/>
      <c r="T203" s="33"/>
    </row>
    <row r="204" spans="1:20" x14ac:dyDescent="0.25">
      <c r="A204" s="30"/>
      <c r="B204" s="84" t="str">
        <f t="shared" si="30"/>
        <v/>
      </c>
      <c r="C204" s="30"/>
      <c r="D204" s="85" t="str">
        <f t="shared" si="31"/>
        <v/>
      </c>
      <c r="E204" s="85" t="str">
        <f t="shared" si="32"/>
        <v/>
      </c>
      <c r="F204" s="85" t="str">
        <f t="shared" si="33"/>
        <v/>
      </c>
      <c r="G204" s="86" t="str">
        <f t="shared" si="34"/>
        <v/>
      </c>
      <c r="H204" s="30"/>
      <c r="I204" s="87" t="str">
        <f t="shared" si="35"/>
        <v/>
      </c>
      <c r="J204" s="85" t="str">
        <f t="shared" si="36"/>
        <v/>
      </c>
      <c r="K204" s="49"/>
      <c r="L204" s="88" t="str">
        <f t="shared" si="37"/>
        <v/>
      </c>
      <c r="M204" s="88" t="str">
        <f t="shared" si="38"/>
        <v/>
      </c>
      <c r="N204" s="30"/>
      <c r="O204" s="31"/>
      <c r="P204" s="53"/>
      <c r="Q204" s="33"/>
      <c r="R204" s="54" t="str">
        <f t="shared" si="39"/>
        <v/>
      </c>
      <c r="S204" s="30"/>
      <c r="T204" s="33"/>
    </row>
    <row r="205" spans="1:20" x14ac:dyDescent="0.25">
      <c r="A205" s="30"/>
      <c r="B205" s="84" t="str">
        <f t="shared" si="30"/>
        <v/>
      </c>
      <c r="C205" s="30"/>
      <c r="D205" s="85" t="str">
        <f t="shared" si="31"/>
        <v/>
      </c>
      <c r="E205" s="85" t="str">
        <f t="shared" si="32"/>
        <v/>
      </c>
      <c r="F205" s="85" t="str">
        <f t="shared" si="33"/>
        <v/>
      </c>
      <c r="G205" s="86" t="str">
        <f t="shared" si="34"/>
        <v/>
      </c>
      <c r="H205" s="30"/>
      <c r="I205" s="87" t="str">
        <f t="shared" si="35"/>
        <v/>
      </c>
      <c r="J205" s="85" t="str">
        <f t="shared" si="36"/>
        <v/>
      </c>
      <c r="K205" s="49"/>
      <c r="L205" s="88" t="str">
        <f t="shared" si="37"/>
        <v/>
      </c>
      <c r="M205" s="88" t="str">
        <f t="shared" si="38"/>
        <v/>
      </c>
      <c r="N205" s="30"/>
      <c r="O205" s="31"/>
      <c r="P205" s="53"/>
      <c r="Q205" s="33"/>
      <c r="R205" s="54" t="str">
        <f t="shared" si="39"/>
        <v/>
      </c>
      <c r="S205" s="30"/>
      <c r="T205" s="33"/>
    </row>
    <row r="206" spans="1:20" x14ac:dyDescent="0.25">
      <c r="A206" s="30"/>
      <c r="B206" s="84" t="str">
        <f t="shared" si="30"/>
        <v/>
      </c>
      <c r="C206" s="30"/>
      <c r="D206" s="85" t="str">
        <f t="shared" si="31"/>
        <v/>
      </c>
      <c r="E206" s="85" t="str">
        <f t="shared" si="32"/>
        <v/>
      </c>
      <c r="F206" s="85" t="str">
        <f t="shared" si="33"/>
        <v/>
      </c>
      <c r="G206" s="86" t="str">
        <f t="shared" si="34"/>
        <v/>
      </c>
      <c r="H206" s="30"/>
      <c r="I206" s="87" t="str">
        <f t="shared" si="35"/>
        <v/>
      </c>
      <c r="J206" s="85" t="str">
        <f t="shared" si="36"/>
        <v/>
      </c>
      <c r="K206" s="49"/>
      <c r="L206" s="88" t="str">
        <f t="shared" si="37"/>
        <v/>
      </c>
      <c r="M206" s="88" t="str">
        <f t="shared" si="38"/>
        <v/>
      </c>
      <c r="N206" s="30"/>
      <c r="O206" s="31"/>
      <c r="P206" s="53"/>
      <c r="Q206" s="33"/>
      <c r="R206" s="54" t="str">
        <f t="shared" si="39"/>
        <v/>
      </c>
      <c r="S206" s="30"/>
      <c r="T206" s="33"/>
    </row>
    <row r="207" spans="1:20" x14ac:dyDescent="0.25">
      <c r="A207" s="30"/>
      <c r="B207" s="84" t="str">
        <f t="shared" si="30"/>
        <v/>
      </c>
      <c r="C207" s="30"/>
      <c r="D207" s="85" t="str">
        <f t="shared" si="31"/>
        <v/>
      </c>
      <c r="E207" s="85" t="str">
        <f t="shared" si="32"/>
        <v/>
      </c>
      <c r="F207" s="85" t="str">
        <f t="shared" si="33"/>
        <v/>
      </c>
      <c r="G207" s="86" t="str">
        <f t="shared" si="34"/>
        <v/>
      </c>
      <c r="H207" s="30"/>
      <c r="I207" s="87" t="str">
        <f t="shared" si="35"/>
        <v/>
      </c>
      <c r="J207" s="85" t="str">
        <f t="shared" si="36"/>
        <v/>
      </c>
      <c r="K207" s="49"/>
      <c r="L207" s="88" t="str">
        <f t="shared" si="37"/>
        <v/>
      </c>
      <c r="M207" s="88" t="str">
        <f t="shared" si="38"/>
        <v/>
      </c>
      <c r="N207" s="30"/>
      <c r="O207" s="31"/>
      <c r="P207" s="53"/>
      <c r="Q207" s="33"/>
      <c r="R207" s="54" t="str">
        <f t="shared" si="39"/>
        <v/>
      </c>
      <c r="S207" s="30"/>
      <c r="T207" s="33"/>
    </row>
    <row r="208" spans="1:20" x14ac:dyDescent="0.25">
      <c r="A208" s="30"/>
      <c r="B208" s="84" t="str">
        <f t="shared" si="30"/>
        <v/>
      </c>
      <c r="C208" s="30"/>
      <c r="D208" s="85" t="str">
        <f t="shared" si="31"/>
        <v/>
      </c>
      <c r="E208" s="85" t="str">
        <f t="shared" si="32"/>
        <v/>
      </c>
      <c r="F208" s="85" t="str">
        <f t="shared" si="33"/>
        <v/>
      </c>
      <c r="G208" s="86" t="str">
        <f t="shared" si="34"/>
        <v/>
      </c>
      <c r="H208" s="30"/>
      <c r="I208" s="87" t="str">
        <f t="shared" si="35"/>
        <v/>
      </c>
      <c r="J208" s="85" t="str">
        <f t="shared" si="36"/>
        <v/>
      </c>
      <c r="K208" s="49"/>
      <c r="L208" s="88" t="str">
        <f t="shared" si="37"/>
        <v/>
      </c>
      <c r="M208" s="88" t="str">
        <f t="shared" si="38"/>
        <v/>
      </c>
      <c r="N208" s="30"/>
      <c r="O208" s="31"/>
      <c r="P208" s="53"/>
      <c r="Q208" s="33"/>
      <c r="R208" s="54" t="str">
        <f t="shared" si="39"/>
        <v/>
      </c>
      <c r="S208" s="30"/>
      <c r="T208" s="33"/>
    </row>
    <row r="209" spans="1:20" x14ac:dyDescent="0.25">
      <c r="A209" s="30"/>
      <c r="B209" s="84" t="str">
        <f t="shared" si="30"/>
        <v/>
      </c>
      <c r="C209" s="30"/>
      <c r="D209" s="85" t="str">
        <f t="shared" si="31"/>
        <v/>
      </c>
      <c r="E209" s="85" t="str">
        <f t="shared" si="32"/>
        <v/>
      </c>
      <c r="F209" s="85" t="str">
        <f t="shared" si="33"/>
        <v/>
      </c>
      <c r="G209" s="86" t="str">
        <f t="shared" si="34"/>
        <v/>
      </c>
      <c r="H209" s="30"/>
      <c r="I209" s="87" t="str">
        <f t="shared" si="35"/>
        <v/>
      </c>
      <c r="J209" s="85" t="str">
        <f t="shared" si="36"/>
        <v/>
      </c>
      <c r="K209" s="49"/>
      <c r="L209" s="88" t="str">
        <f t="shared" si="37"/>
        <v/>
      </c>
      <c r="M209" s="88" t="str">
        <f t="shared" si="38"/>
        <v/>
      </c>
      <c r="N209" s="30"/>
      <c r="O209" s="31"/>
      <c r="P209" s="53"/>
      <c r="Q209" s="33"/>
      <c r="R209" s="54" t="str">
        <f t="shared" si="39"/>
        <v/>
      </c>
      <c r="S209" s="30"/>
      <c r="T209" s="33"/>
    </row>
    <row r="210" spans="1:20" x14ac:dyDescent="0.25">
      <c r="A210" s="30"/>
      <c r="B210" s="84" t="str">
        <f t="shared" si="30"/>
        <v/>
      </c>
      <c r="C210" s="30"/>
      <c r="D210" s="85" t="str">
        <f t="shared" si="31"/>
        <v/>
      </c>
      <c r="E210" s="85" t="str">
        <f t="shared" si="32"/>
        <v/>
      </c>
      <c r="F210" s="85" t="str">
        <f t="shared" si="33"/>
        <v/>
      </c>
      <c r="G210" s="86" t="str">
        <f t="shared" si="34"/>
        <v/>
      </c>
      <c r="H210" s="30"/>
      <c r="I210" s="87" t="str">
        <f t="shared" si="35"/>
        <v/>
      </c>
      <c r="J210" s="85" t="str">
        <f t="shared" si="36"/>
        <v/>
      </c>
      <c r="K210" s="49"/>
      <c r="L210" s="88" t="str">
        <f t="shared" si="37"/>
        <v/>
      </c>
      <c r="M210" s="88" t="str">
        <f t="shared" si="38"/>
        <v/>
      </c>
      <c r="N210" s="30"/>
      <c r="O210" s="31"/>
      <c r="P210" s="53"/>
      <c r="Q210" s="33"/>
      <c r="R210" s="54" t="str">
        <f t="shared" si="39"/>
        <v/>
      </c>
      <c r="S210" s="30"/>
      <c r="T210" s="33"/>
    </row>
    <row r="211" spans="1:20" x14ac:dyDescent="0.25">
      <c r="A211" s="30"/>
      <c r="B211" s="84" t="str">
        <f t="shared" si="30"/>
        <v/>
      </c>
      <c r="C211" s="30"/>
      <c r="D211" s="85" t="str">
        <f t="shared" si="31"/>
        <v/>
      </c>
      <c r="E211" s="85" t="str">
        <f t="shared" si="32"/>
        <v/>
      </c>
      <c r="F211" s="85" t="str">
        <f t="shared" si="33"/>
        <v/>
      </c>
      <c r="G211" s="86" t="str">
        <f t="shared" si="34"/>
        <v/>
      </c>
      <c r="H211" s="30"/>
      <c r="I211" s="87" t="str">
        <f t="shared" si="35"/>
        <v/>
      </c>
      <c r="J211" s="85" t="str">
        <f t="shared" si="36"/>
        <v/>
      </c>
      <c r="K211" s="49"/>
      <c r="L211" s="88" t="str">
        <f t="shared" si="37"/>
        <v/>
      </c>
      <c r="M211" s="88" t="str">
        <f t="shared" si="38"/>
        <v/>
      </c>
      <c r="N211" s="30"/>
      <c r="O211" s="31"/>
      <c r="P211" s="53"/>
      <c r="Q211" s="33"/>
      <c r="R211" s="54" t="str">
        <f t="shared" si="39"/>
        <v/>
      </c>
      <c r="S211" s="30"/>
      <c r="T211" s="33"/>
    </row>
    <row r="212" spans="1:20" x14ac:dyDescent="0.25">
      <c r="A212" s="30"/>
      <c r="B212" s="84" t="str">
        <f t="shared" si="30"/>
        <v/>
      </c>
      <c r="C212" s="30"/>
      <c r="D212" s="85" t="str">
        <f t="shared" si="31"/>
        <v/>
      </c>
      <c r="E212" s="85" t="str">
        <f t="shared" si="32"/>
        <v/>
      </c>
      <c r="F212" s="85" t="str">
        <f t="shared" si="33"/>
        <v/>
      </c>
      <c r="G212" s="86" t="str">
        <f t="shared" si="34"/>
        <v/>
      </c>
      <c r="H212" s="30"/>
      <c r="I212" s="87" t="str">
        <f t="shared" si="35"/>
        <v/>
      </c>
      <c r="J212" s="85" t="str">
        <f t="shared" si="36"/>
        <v/>
      </c>
      <c r="K212" s="49"/>
      <c r="L212" s="88" t="str">
        <f t="shared" si="37"/>
        <v/>
      </c>
      <c r="M212" s="88" t="str">
        <f t="shared" si="38"/>
        <v/>
      </c>
      <c r="N212" s="30"/>
      <c r="O212" s="31"/>
      <c r="P212" s="53"/>
      <c r="Q212" s="33"/>
      <c r="R212" s="54" t="str">
        <f t="shared" si="39"/>
        <v/>
      </c>
      <c r="S212" s="30"/>
      <c r="T212" s="33"/>
    </row>
    <row r="213" spans="1:20" x14ac:dyDescent="0.25">
      <c r="A213" s="30"/>
      <c r="B213" s="84" t="str">
        <f t="shared" si="30"/>
        <v/>
      </c>
      <c r="C213" s="30"/>
      <c r="D213" s="85" t="str">
        <f t="shared" si="31"/>
        <v/>
      </c>
      <c r="E213" s="85" t="str">
        <f t="shared" si="32"/>
        <v/>
      </c>
      <c r="F213" s="85" t="str">
        <f t="shared" si="33"/>
        <v/>
      </c>
      <c r="G213" s="86" t="str">
        <f t="shared" si="34"/>
        <v/>
      </c>
      <c r="H213" s="30"/>
      <c r="I213" s="87" t="str">
        <f t="shared" si="35"/>
        <v/>
      </c>
      <c r="J213" s="85" t="str">
        <f t="shared" si="36"/>
        <v/>
      </c>
      <c r="K213" s="49"/>
      <c r="L213" s="88" t="str">
        <f t="shared" si="37"/>
        <v/>
      </c>
      <c r="M213" s="88" t="str">
        <f t="shared" si="38"/>
        <v/>
      </c>
      <c r="N213" s="30"/>
      <c r="O213" s="31"/>
      <c r="P213" s="53"/>
      <c r="Q213" s="33"/>
      <c r="R213" s="54" t="str">
        <f t="shared" si="39"/>
        <v/>
      </c>
      <c r="S213" s="30"/>
      <c r="T213" s="33"/>
    </row>
    <row r="214" spans="1:20" x14ac:dyDescent="0.25">
      <c r="A214" s="30"/>
      <c r="B214" s="84" t="str">
        <f t="shared" si="30"/>
        <v/>
      </c>
      <c r="C214" s="30"/>
      <c r="D214" s="85" t="str">
        <f t="shared" si="31"/>
        <v/>
      </c>
      <c r="E214" s="85" t="str">
        <f t="shared" si="32"/>
        <v/>
      </c>
      <c r="F214" s="85" t="str">
        <f t="shared" si="33"/>
        <v/>
      </c>
      <c r="G214" s="86" t="str">
        <f t="shared" si="34"/>
        <v/>
      </c>
      <c r="H214" s="30"/>
      <c r="I214" s="87" t="str">
        <f t="shared" si="35"/>
        <v/>
      </c>
      <c r="J214" s="85" t="str">
        <f t="shared" si="36"/>
        <v/>
      </c>
      <c r="K214" s="49"/>
      <c r="L214" s="88" t="str">
        <f t="shared" si="37"/>
        <v/>
      </c>
      <c r="M214" s="88" t="str">
        <f t="shared" si="38"/>
        <v/>
      </c>
      <c r="N214" s="30"/>
      <c r="O214" s="31"/>
      <c r="P214" s="53"/>
      <c r="Q214" s="33"/>
      <c r="R214" s="54" t="str">
        <f t="shared" si="39"/>
        <v/>
      </c>
      <c r="S214" s="30"/>
      <c r="T214" s="33"/>
    </row>
    <row r="215" spans="1:20" x14ac:dyDescent="0.25">
      <c r="A215" s="30"/>
      <c r="B215" s="84" t="str">
        <f t="shared" si="30"/>
        <v/>
      </c>
      <c r="C215" s="30"/>
      <c r="D215" s="85" t="str">
        <f t="shared" si="31"/>
        <v/>
      </c>
      <c r="E215" s="85" t="str">
        <f t="shared" si="32"/>
        <v/>
      </c>
      <c r="F215" s="85" t="str">
        <f t="shared" si="33"/>
        <v/>
      </c>
      <c r="G215" s="86" t="str">
        <f t="shared" si="34"/>
        <v/>
      </c>
      <c r="H215" s="30"/>
      <c r="I215" s="87" t="str">
        <f t="shared" si="35"/>
        <v/>
      </c>
      <c r="J215" s="85" t="str">
        <f t="shared" si="36"/>
        <v/>
      </c>
      <c r="K215" s="49"/>
      <c r="L215" s="88" t="str">
        <f t="shared" si="37"/>
        <v/>
      </c>
      <c r="M215" s="88" t="str">
        <f t="shared" si="38"/>
        <v/>
      </c>
      <c r="N215" s="30"/>
      <c r="O215" s="31"/>
      <c r="P215" s="53"/>
      <c r="Q215" s="33"/>
      <c r="R215" s="54" t="str">
        <f t="shared" si="39"/>
        <v/>
      </c>
      <c r="S215" s="30"/>
      <c r="T215" s="33"/>
    </row>
    <row r="216" spans="1:20" x14ac:dyDescent="0.25">
      <c r="A216" s="30"/>
      <c r="B216" s="84" t="str">
        <f t="shared" si="30"/>
        <v/>
      </c>
      <c r="C216" s="30"/>
      <c r="D216" s="85" t="str">
        <f t="shared" si="31"/>
        <v/>
      </c>
      <c r="E216" s="85" t="str">
        <f t="shared" si="32"/>
        <v/>
      </c>
      <c r="F216" s="85" t="str">
        <f t="shared" si="33"/>
        <v/>
      </c>
      <c r="G216" s="86" t="str">
        <f t="shared" si="34"/>
        <v/>
      </c>
      <c r="H216" s="30"/>
      <c r="I216" s="87" t="str">
        <f t="shared" si="35"/>
        <v/>
      </c>
      <c r="J216" s="85" t="str">
        <f t="shared" si="36"/>
        <v/>
      </c>
      <c r="K216" s="49"/>
      <c r="L216" s="88" t="str">
        <f t="shared" si="37"/>
        <v/>
      </c>
      <c r="M216" s="88" t="str">
        <f t="shared" si="38"/>
        <v/>
      </c>
      <c r="N216" s="30"/>
      <c r="O216" s="31"/>
      <c r="P216" s="53"/>
      <c r="Q216" s="33"/>
      <c r="R216" s="54" t="str">
        <f t="shared" si="39"/>
        <v/>
      </c>
      <c r="S216" s="30"/>
      <c r="T216" s="33"/>
    </row>
    <row r="217" spans="1:20" x14ac:dyDescent="0.25">
      <c r="A217" s="30"/>
      <c r="B217" s="84" t="str">
        <f t="shared" si="30"/>
        <v/>
      </c>
      <c r="C217" s="30"/>
      <c r="D217" s="85" t="str">
        <f t="shared" si="31"/>
        <v/>
      </c>
      <c r="E217" s="85" t="str">
        <f t="shared" si="32"/>
        <v/>
      </c>
      <c r="F217" s="85" t="str">
        <f t="shared" si="33"/>
        <v/>
      </c>
      <c r="G217" s="86" t="str">
        <f t="shared" si="34"/>
        <v/>
      </c>
      <c r="H217" s="30"/>
      <c r="I217" s="87" t="str">
        <f t="shared" si="35"/>
        <v/>
      </c>
      <c r="J217" s="85" t="str">
        <f t="shared" si="36"/>
        <v/>
      </c>
      <c r="K217" s="49"/>
      <c r="L217" s="88" t="str">
        <f t="shared" si="37"/>
        <v/>
      </c>
      <c r="M217" s="88" t="str">
        <f t="shared" si="38"/>
        <v/>
      </c>
      <c r="N217" s="30"/>
      <c r="O217" s="31"/>
      <c r="P217" s="53"/>
      <c r="Q217" s="33"/>
      <c r="R217" s="54" t="str">
        <f t="shared" si="39"/>
        <v/>
      </c>
      <c r="S217" s="30"/>
      <c r="T217" s="33"/>
    </row>
    <row r="218" spans="1:20" x14ac:dyDescent="0.25">
      <c r="A218" s="30"/>
      <c r="B218" s="84" t="str">
        <f t="shared" si="30"/>
        <v/>
      </c>
      <c r="C218" s="30"/>
      <c r="D218" s="85" t="str">
        <f t="shared" si="31"/>
        <v/>
      </c>
      <c r="E218" s="85" t="str">
        <f t="shared" si="32"/>
        <v/>
      </c>
      <c r="F218" s="85" t="str">
        <f t="shared" si="33"/>
        <v/>
      </c>
      <c r="G218" s="86" t="str">
        <f t="shared" si="34"/>
        <v/>
      </c>
      <c r="H218" s="30"/>
      <c r="I218" s="87" t="str">
        <f t="shared" si="35"/>
        <v/>
      </c>
      <c r="J218" s="85" t="str">
        <f t="shared" si="36"/>
        <v/>
      </c>
      <c r="K218" s="49"/>
      <c r="L218" s="88" t="str">
        <f t="shared" si="37"/>
        <v/>
      </c>
      <c r="M218" s="88" t="str">
        <f t="shared" si="38"/>
        <v/>
      </c>
      <c r="N218" s="30"/>
      <c r="O218" s="31"/>
      <c r="P218" s="53"/>
      <c r="Q218" s="33"/>
      <c r="R218" s="54" t="str">
        <f t="shared" si="39"/>
        <v/>
      </c>
      <c r="S218" s="30"/>
      <c r="T218" s="33"/>
    </row>
    <row r="219" spans="1:20" x14ac:dyDescent="0.25">
      <c r="A219" s="30"/>
      <c r="B219" s="84" t="str">
        <f t="shared" si="30"/>
        <v/>
      </c>
      <c r="C219" s="30"/>
      <c r="D219" s="85" t="str">
        <f t="shared" si="31"/>
        <v/>
      </c>
      <c r="E219" s="85" t="str">
        <f t="shared" si="32"/>
        <v/>
      </c>
      <c r="F219" s="85" t="str">
        <f t="shared" si="33"/>
        <v/>
      </c>
      <c r="G219" s="86" t="str">
        <f t="shared" si="34"/>
        <v/>
      </c>
      <c r="H219" s="30"/>
      <c r="I219" s="87" t="str">
        <f t="shared" si="35"/>
        <v/>
      </c>
      <c r="J219" s="85" t="str">
        <f t="shared" si="36"/>
        <v/>
      </c>
      <c r="K219" s="49"/>
      <c r="L219" s="88" t="str">
        <f t="shared" si="37"/>
        <v/>
      </c>
      <c r="M219" s="88" t="str">
        <f t="shared" si="38"/>
        <v/>
      </c>
      <c r="N219" s="30"/>
      <c r="O219" s="31"/>
      <c r="P219" s="53"/>
      <c r="Q219" s="33"/>
      <c r="R219" s="54" t="str">
        <f t="shared" si="39"/>
        <v/>
      </c>
      <c r="S219" s="30"/>
      <c r="T219" s="33"/>
    </row>
    <row r="220" spans="1:20" x14ac:dyDescent="0.25">
      <c r="A220" s="30"/>
      <c r="B220" s="84" t="str">
        <f t="shared" si="30"/>
        <v/>
      </c>
      <c r="C220" s="30"/>
      <c r="D220" s="85" t="str">
        <f t="shared" si="31"/>
        <v/>
      </c>
      <c r="E220" s="85" t="str">
        <f t="shared" si="32"/>
        <v/>
      </c>
      <c r="F220" s="85" t="str">
        <f t="shared" si="33"/>
        <v/>
      </c>
      <c r="G220" s="86" t="str">
        <f t="shared" si="34"/>
        <v/>
      </c>
      <c r="H220" s="30"/>
      <c r="I220" s="87" t="str">
        <f t="shared" si="35"/>
        <v/>
      </c>
      <c r="J220" s="85" t="str">
        <f t="shared" si="36"/>
        <v/>
      </c>
      <c r="K220" s="49"/>
      <c r="L220" s="88" t="str">
        <f t="shared" si="37"/>
        <v/>
      </c>
      <c r="M220" s="88" t="str">
        <f t="shared" si="38"/>
        <v/>
      </c>
      <c r="N220" s="30"/>
      <c r="O220" s="31"/>
      <c r="P220" s="53"/>
      <c r="Q220" s="33"/>
      <c r="R220" s="54" t="str">
        <f t="shared" si="39"/>
        <v/>
      </c>
      <c r="S220" s="30"/>
      <c r="T220" s="33"/>
    </row>
    <row r="221" spans="1:20" x14ac:dyDescent="0.25">
      <c r="A221" s="30"/>
      <c r="B221" s="84" t="str">
        <f t="shared" si="30"/>
        <v/>
      </c>
      <c r="C221" s="30"/>
      <c r="D221" s="85" t="str">
        <f t="shared" si="31"/>
        <v/>
      </c>
      <c r="E221" s="85" t="str">
        <f t="shared" si="32"/>
        <v/>
      </c>
      <c r="F221" s="85" t="str">
        <f t="shared" si="33"/>
        <v/>
      </c>
      <c r="G221" s="86" t="str">
        <f t="shared" si="34"/>
        <v/>
      </c>
      <c r="H221" s="30"/>
      <c r="I221" s="87" t="str">
        <f t="shared" si="35"/>
        <v/>
      </c>
      <c r="J221" s="85" t="str">
        <f t="shared" si="36"/>
        <v/>
      </c>
      <c r="K221" s="49"/>
      <c r="L221" s="88" t="str">
        <f t="shared" si="37"/>
        <v/>
      </c>
      <c r="M221" s="88" t="str">
        <f t="shared" si="38"/>
        <v/>
      </c>
      <c r="N221" s="30"/>
      <c r="O221" s="31"/>
      <c r="P221" s="53"/>
      <c r="Q221" s="33"/>
      <c r="R221" s="54" t="str">
        <f t="shared" si="39"/>
        <v/>
      </c>
      <c r="S221" s="30"/>
      <c r="T221" s="33"/>
    </row>
    <row r="222" spans="1:20" x14ac:dyDescent="0.25">
      <c r="A222" s="30"/>
      <c r="B222" s="84" t="str">
        <f t="shared" si="30"/>
        <v/>
      </c>
      <c r="C222" s="30"/>
      <c r="D222" s="85" t="str">
        <f t="shared" si="31"/>
        <v/>
      </c>
      <c r="E222" s="85" t="str">
        <f t="shared" si="32"/>
        <v/>
      </c>
      <c r="F222" s="85" t="str">
        <f t="shared" si="33"/>
        <v/>
      </c>
      <c r="G222" s="86" t="str">
        <f t="shared" si="34"/>
        <v/>
      </c>
      <c r="H222" s="30"/>
      <c r="I222" s="87" t="str">
        <f t="shared" si="35"/>
        <v/>
      </c>
      <c r="J222" s="85" t="str">
        <f t="shared" si="36"/>
        <v/>
      </c>
      <c r="K222" s="49"/>
      <c r="L222" s="88" t="str">
        <f t="shared" si="37"/>
        <v/>
      </c>
      <c r="M222" s="88" t="str">
        <f t="shared" si="38"/>
        <v/>
      </c>
      <c r="N222" s="30"/>
      <c r="O222" s="31"/>
      <c r="P222" s="53"/>
      <c r="Q222" s="33"/>
      <c r="R222" s="54" t="str">
        <f t="shared" si="39"/>
        <v/>
      </c>
      <c r="S222" s="30"/>
      <c r="T222" s="33"/>
    </row>
    <row r="223" spans="1:20" x14ac:dyDescent="0.25">
      <c r="A223" s="30"/>
      <c r="B223" s="84" t="str">
        <f t="shared" si="30"/>
        <v/>
      </c>
      <c r="C223" s="30"/>
      <c r="D223" s="85" t="str">
        <f t="shared" si="31"/>
        <v/>
      </c>
      <c r="E223" s="85" t="str">
        <f t="shared" si="32"/>
        <v/>
      </c>
      <c r="F223" s="85" t="str">
        <f t="shared" si="33"/>
        <v/>
      </c>
      <c r="G223" s="86" t="str">
        <f t="shared" si="34"/>
        <v/>
      </c>
      <c r="H223" s="30"/>
      <c r="I223" s="87" t="str">
        <f t="shared" si="35"/>
        <v/>
      </c>
      <c r="J223" s="85" t="str">
        <f t="shared" si="36"/>
        <v/>
      </c>
      <c r="K223" s="49"/>
      <c r="L223" s="88" t="str">
        <f t="shared" si="37"/>
        <v/>
      </c>
      <c r="M223" s="88" t="str">
        <f t="shared" si="38"/>
        <v/>
      </c>
      <c r="N223" s="30"/>
      <c r="O223" s="31"/>
      <c r="P223" s="53"/>
      <c r="Q223" s="33"/>
      <c r="R223" s="54" t="str">
        <f t="shared" si="39"/>
        <v/>
      </c>
      <c r="S223" s="30"/>
      <c r="T223" s="33"/>
    </row>
    <row r="224" spans="1:20" x14ac:dyDescent="0.25">
      <c r="A224" s="30"/>
      <c r="B224" s="84" t="str">
        <f t="shared" si="30"/>
        <v/>
      </c>
      <c r="C224" s="30"/>
      <c r="D224" s="85" t="str">
        <f t="shared" si="31"/>
        <v/>
      </c>
      <c r="E224" s="85" t="str">
        <f t="shared" si="32"/>
        <v/>
      </c>
      <c r="F224" s="85" t="str">
        <f t="shared" si="33"/>
        <v/>
      </c>
      <c r="G224" s="86" t="str">
        <f t="shared" si="34"/>
        <v/>
      </c>
      <c r="H224" s="30"/>
      <c r="I224" s="87" t="str">
        <f t="shared" si="35"/>
        <v/>
      </c>
      <c r="J224" s="85" t="str">
        <f t="shared" si="36"/>
        <v/>
      </c>
      <c r="K224" s="49"/>
      <c r="L224" s="88" t="str">
        <f t="shared" si="37"/>
        <v/>
      </c>
      <c r="M224" s="88" t="str">
        <f t="shared" si="38"/>
        <v/>
      </c>
      <c r="N224" s="30"/>
      <c r="O224" s="31"/>
      <c r="P224" s="53"/>
      <c r="Q224" s="33"/>
      <c r="R224" s="54" t="str">
        <f t="shared" si="39"/>
        <v/>
      </c>
      <c r="S224" s="30"/>
      <c r="T224" s="33"/>
    </row>
    <row r="225" spans="1:20" x14ac:dyDescent="0.25">
      <c r="A225" s="30"/>
      <c r="B225" s="84" t="str">
        <f t="shared" si="30"/>
        <v/>
      </c>
      <c r="C225" s="30"/>
      <c r="D225" s="85" t="str">
        <f t="shared" si="31"/>
        <v/>
      </c>
      <c r="E225" s="85" t="str">
        <f t="shared" si="32"/>
        <v/>
      </c>
      <c r="F225" s="85" t="str">
        <f t="shared" si="33"/>
        <v/>
      </c>
      <c r="G225" s="86" t="str">
        <f t="shared" si="34"/>
        <v/>
      </c>
      <c r="H225" s="30"/>
      <c r="I225" s="87" t="str">
        <f t="shared" si="35"/>
        <v/>
      </c>
      <c r="J225" s="85" t="str">
        <f t="shared" si="36"/>
        <v/>
      </c>
      <c r="K225" s="49"/>
      <c r="L225" s="88" t="str">
        <f t="shared" si="37"/>
        <v/>
      </c>
      <c r="M225" s="88" t="str">
        <f t="shared" si="38"/>
        <v/>
      </c>
      <c r="N225" s="30"/>
      <c r="O225" s="31"/>
      <c r="P225" s="53"/>
      <c r="Q225" s="33"/>
      <c r="R225" s="54" t="str">
        <f t="shared" si="39"/>
        <v/>
      </c>
      <c r="S225" s="30"/>
      <c r="T225" s="33"/>
    </row>
    <row r="226" spans="1:20" x14ac:dyDescent="0.25">
      <c r="A226" s="30"/>
      <c r="B226" s="84" t="str">
        <f t="shared" si="30"/>
        <v/>
      </c>
      <c r="C226" s="30"/>
      <c r="D226" s="85" t="str">
        <f t="shared" si="31"/>
        <v/>
      </c>
      <c r="E226" s="85" t="str">
        <f t="shared" si="32"/>
        <v/>
      </c>
      <c r="F226" s="85" t="str">
        <f t="shared" si="33"/>
        <v/>
      </c>
      <c r="G226" s="86" t="str">
        <f t="shared" si="34"/>
        <v/>
      </c>
      <c r="H226" s="30"/>
      <c r="I226" s="87" t="str">
        <f t="shared" si="35"/>
        <v/>
      </c>
      <c r="J226" s="85" t="str">
        <f t="shared" si="36"/>
        <v/>
      </c>
      <c r="K226" s="49"/>
      <c r="L226" s="88" t="str">
        <f t="shared" si="37"/>
        <v/>
      </c>
      <c r="M226" s="88" t="str">
        <f t="shared" si="38"/>
        <v/>
      </c>
      <c r="N226" s="30"/>
      <c r="O226" s="31"/>
      <c r="P226" s="53"/>
      <c r="Q226" s="33"/>
      <c r="R226" s="54" t="str">
        <f t="shared" si="39"/>
        <v/>
      </c>
      <c r="S226" s="30"/>
      <c r="T226" s="33"/>
    </row>
    <row r="227" spans="1:20" x14ac:dyDescent="0.25">
      <c r="A227" s="30"/>
      <c r="B227" s="84" t="str">
        <f t="shared" si="30"/>
        <v/>
      </c>
      <c r="C227" s="30"/>
      <c r="D227" s="85" t="str">
        <f t="shared" si="31"/>
        <v/>
      </c>
      <c r="E227" s="85" t="str">
        <f t="shared" si="32"/>
        <v/>
      </c>
      <c r="F227" s="85" t="str">
        <f t="shared" si="33"/>
        <v/>
      </c>
      <c r="G227" s="86" t="str">
        <f t="shared" si="34"/>
        <v/>
      </c>
      <c r="H227" s="30"/>
      <c r="I227" s="87" t="str">
        <f t="shared" si="35"/>
        <v/>
      </c>
      <c r="J227" s="85" t="str">
        <f t="shared" si="36"/>
        <v/>
      </c>
      <c r="K227" s="49"/>
      <c r="L227" s="88" t="str">
        <f t="shared" si="37"/>
        <v/>
      </c>
      <c r="M227" s="88" t="str">
        <f t="shared" si="38"/>
        <v/>
      </c>
      <c r="N227" s="30"/>
      <c r="O227" s="31"/>
      <c r="P227" s="53"/>
      <c r="Q227" s="33"/>
      <c r="R227" s="54" t="str">
        <f t="shared" si="39"/>
        <v/>
      </c>
      <c r="S227" s="30"/>
      <c r="T227" s="33"/>
    </row>
    <row r="228" spans="1:20" x14ac:dyDescent="0.25">
      <c r="A228" s="30"/>
      <c r="B228" s="84" t="str">
        <f t="shared" si="30"/>
        <v/>
      </c>
      <c r="C228" s="30"/>
      <c r="D228" s="85" t="str">
        <f t="shared" si="31"/>
        <v/>
      </c>
      <c r="E228" s="85" t="str">
        <f t="shared" si="32"/>
        <v/>
      </c>
      <c r="F228" s="85" t="str">
        <f t="shared" si="33"/>
        <v/>
      </c>
      <c r="G228" s="86" t="str">
        <f t="shared" si="34"/>
        <v/>
      </c>
      <c r="H228" s="30"/>
      <c r="I228" s="87" t="str">
        <f t="shared" si="35"/>
        <v/>
      </c>
      <c r="J228" s="85" t="str">
        <f t="shared" si="36"/>
        <v/>
      </c>
      <c r="K228" s="49"/>
      <c r="L228" s="88" t="str">
        <f t="shared" si="37"/>
        <v/>
      </c>
      <c r="M228" s="88" t="str">
        <f t="shared" si="38"/>
        <v/>
      </c>
      <c r="N228" s="30"/>
      <c r="O228" s="31"/>
      <c r="P228" s="53"/>
      <c r="Q228" s="33"/>
      <c r="R228" s="54" t="str">
        <f t="shared" si="39"/>
        <v/>
      </c>
      <c r="S228" s="30"/>
      <c r="T228" s="33"/>
    </row>
    <row r="229" spans="1:20" x14ac:dyDescent="0.25">
      <c r="A229" s="30"/>
      <c r="B229" s="84" t="str">
        <f t="shared" si="30"/>
        <v/>
      </c>
      <c r="C229" s="30"/>
      <c r="D229" s="85" t="str">
        <f t="shared" si="31"/>
        <v/>
      </c>
      <c r="E229" s="85" t="str">
        <f t="shared" si="32"/>
        <v/>
      </c>
      <c r="F229" s="85" t="str">
        <f t="shared" si="33"/>
        <v/>
      </c>
      <c r="G229" s="86" t="str">
        <f t="shared" si="34"/>
        <v/>
      </c>
      <c r="H229" s="30"/>
      <c r="I229" s="87" t="str">
        <f t="shared" si="35"/>
        <v/>
      </c>
      <c r="J229" s="85" t="str">
        <f t="shared" si="36"/>
        <v/>
      </c>
      <c r="K229" s="49"/>
      <c r="L229" s="88" t="str">
        <f t="shared" si="37"/>
        <v/>
      </c>
      <c r="M229" s="88" t="str">
        <f t="shared" si="38"/>
        <v/>
      </c>
      <c r="N229" s="30"/>
      <c r="O229" s="31"/>
      <c r="P229" s="53"/>
      <c r="Q229" s="33"/>
      <c r="R229" s="54" t="str">
        <f t="shared" si="39"/>
        <v/>
      </c>
      <c r="S229" s="30"/>
      <c r="T229" s="33"/>
    </row>
    <row r="230" spans="1:20" x14ac:dyDescent="0.25">
      <c r="A230" s="30"/>
      <c r="B230" s="84" t="str">
        <f t="shared" si="30"/>
        <v/>
      </c>
      <c r="C230" s="30"/>
      <c r="D230" s="85" t="str">
        <f t="shared" si="31"/>
        <v/>
      </c>
      <c r="E230" s="85" t="str">
        <f t="shared" si="32"/>
        <v/>
      </c>
      <c r="F230" s="85" t="str">
        <f t="shared" si="33"/>
        <v/>
      </c>
      <c r="G230" s="86" t="str">
        <f t="shared" si="34"/>
        <v/>
      </c>
      <c r="H230" s="30"/>
      <c r="I230" s="87" t="str">
        <f t="shared" si="35"/>
        <v/>
      </c>
      <c r="J230" s="85" t="str">
        <f t="shared" si="36"/>
        <v/>
      </c>
      <c r="K230" s="49"/>
      <c r="L230" s="88" t="str">
        <f t="shared" si="37"/>
        <v/>
      </c>
      <c r="M230" s="88" t="str">
        <f t="shared" si="38"/>
        <v/>
      </c>
      <c r="N230" s="30"/>
      <c r="O230" s="31"/>
      <c r="P230" s="53"/>
      <c r="Q230" s="33"/>
      <c r="R230" s="54" t="str">
        <f t="shared" si="39"/>
        <v/>
      </c>
      <c r="S230" s="30"/>
      <c r="T230" s="33"/>
    </row>
    <row r="231" spans="1:20" x14ac:dyDescent="0.25">
      <c r="A231" s="30"/>
      <c r="B231" s="84" t="str">
        <f t="shared" si="30"/>
        <v/>
      </c>
      <c r="C231" s="30"/>
      <c r="D231" s="85" t="str">
        <f t="shared" si="31"/>
        <v/>
      </c>
      <c r="E231" s="85" t="str">
        <f t="shared" si="32"/>
        <v/>
      </c>
      <c r="F231" s="85" t="str">
        <f t="shared" si="33"/>
        <v/>
      </c>
      <c r="G231" s="86" t="str">
        <f t="shared" si="34"/>
        <v/>
      </c>
      <c r="H231" s="30"/>
      <c r="I231" s="87" t="str">
        <f t="shared" si="35"/>
        <v/>
      </c>
      <c r="J231" s="85" t="str">
        <f t="shared" si="36"/>
        <v/>
      </c>
      <c r="K231" s="49"/>
      <c r="L231" s="88" t="str">
        <f t="shared" si="37"/>
        <v/>
      </c>
      <c r="M231" s="88" t="str">
        <f t="shared" si="38"/>
        <v/>
      </c>
      <c r="N231" s="30"/>
      <c r="O231" s="31"/>
      <c r="P231" s="53"/>
      <c r="Q231" s="33"/>
      <c r="R231" s="54" t="str">
        <f t="shared" si="39"/>
        <v/>
      </c>
      <c r="S231" s="30"/>
      <c r="T231" s="33"/>
    </row>
    <row r="232" spans="1:20" x14ac:dyDescent="0.25">
      <c r="A232" s="30"/>
      <c r="B232" s="84" t="str">
        <f t="shared" si="30"/>
        <v/>
      </c>
      <c r="C232" s="30"/>
      <c r="D232" s="85" t="str">
        <f t="shared" si="31"/>
        <v/>
      </c>
      <c r="E232" s="85" t="str">
        <f t="shared" si="32"/>
        <v/>
      </c>
      <c r="F232" s="85" t="str">
        <f t="shared" si="33"/>
        <v/>
      </c>
      <c r="G232" s="86" t="str">
        <f t="shared" si="34"/>
        <v/>
      </c>
      <c r="H232" s="30"/>
      <c r="I232" s="87" t="str">
        <f t="shared" si="35"/>
        <v/>
      </c>
      <c r="J232" s="85" t="str">
        <f t="shared" si="36"/>
        <v/>
      </c>
      <c r="K232" s="49"/>
      <c r="L232" s="88" t="str">
        <f t="shared" si="37"/>
        <v/>
      </c>
      <c r="M232" s="88" t="str">
        <f t="shared" si="38"/>
        <v/>
      </c>
      <c r="N232" s="30"/>
      <c r="O232" s="31"/>
      <c r="P232" s="53"/>
      <c r="Q232" s="33"/>
      <c r="R232" s="54" t="str">
        <f t="shared" si="39"/>
        <v/>
      </c>
      <c r="S232" s="30"/>
      <c r="T232" s="33"/>
    </row>
    <row r="233" spans="1:20" x14ac:dyDescent="0.25">
      <c r="A233" s="30"/>
      <c r="B233" s="84" t="str">
        <f t="shared" si="30"/>
        <v/>
      </c>
      <c r="C233" s="30"/>
      <c r="D233" s="85" t="str">
        <f t="shared" si="31"/>
        <v/>
      </c>
      <c r="E233" s="85" t="str">
        <f t="shared" si="32"/>
        <v/>
      </c>
      <c r="F233" s="85" t="str">
        <f t="shared" si="33"/>
        <v/>
      </c>
      <c r="G233" s="86" t="str">
        <f t="shared" si="34"/>
        <v/>
      </c>
      <c r="H233" s="30"/>
      <c r="I233" s="87" t="str">
        <f t="shared" si="35"/>
        <v/>
      </c>
      <c r="J233" s="85" t="str">
        <f t="shared" si="36"/>
        <v/>
      </c>
      <c r="K233" s="49"/>
      <c r="L233" s="88" t="str">
        <f t="shared" si="37"/>
        <v/>
      </c>
      <c r="M233" s="88" t="str">
        <f t="shared" si="38"/>
        <v/>
      </c>
      <c r="N233" s="30"/>
      <c r="O233" s="31"/>
      <c r="P233" s="53"/>
      <c r="Q233" s="33"/>
      <c r="R233" s="54" t="str">
        <f t="shared" si="39"/>
        <v/>
      </c>
      <c r="S233" s="30"/>
      <c r="T233" s="33"/>
    </row>
    <row r="234" spans="1:20" x14ac:dyDescent="0.25">
      <c r="A234" s="30"/>
      <c r="B234" s="84" t="str">
        <f t="shared" si="30"/>
        <v/>
      </c>
      <c r="C234" s="30"/>
      <c r="D234" s="85" t="str">
        <f t="shared" si="31"/>
        <v/>
      </c>
      <c r="E234" s="85" t="str">
        <f t="shared" si="32"/>
        <v/>
      </c>
      <c r="F234" s="85" t="str">
        <f t="shared" si="33"/>
        <v/>
      </c>
      <c r="G234" s="86" t="str">
        <f t="shared" si="34"/>
        <v/>
      </c>
      <c r="H234" s="30"/>
      <c r="I234" s="87" t="str">
        <f t="shared" si="35"/>
        <v/>
      </c>
      <c r="J234" s="85" t="str">
        <f t="shared" si="36"/>
        <v/>
      </c>
      <c r="K234" s="49"/>
      <c r="L234" s="88" t="str">
        <f t="shared" si="37"/>
        <v/>
      </c>
      <c r="M234" s="88" t="str">
        <f t="shared" si="38"/>
        <v/>
      </c>
      <c r="N234" s="30"/>
      <c r="O234" s="31"/>
      <c r="P234" s="53"/>
      <c r="Q234" s="33"/>
      <c r="R234" s="54" t="str">
        <f t="shared" si="39"/>
        <v/>
      </c>
      <c r="S234" s="30"/>
      <c r="T234" s="33"/>
    </row>
    <row r="235" spans="1:20" x14ac:dyDescent="0.25">
      <c r="A235" s="30"/>
      <c r="B235" s="84" t="str">
        <f t="shared" si="30"/>
        <v/>
      </c>
      <c r="C235" s="30"/>
      <c r="D235" s="85" t="str">
        <f t="shared" si="31"/>
        <v/>
      </c>
      <c r="E235" s="85" t="str">
        <f t="shared" si="32"/>
        <v/>
      </c>
      <c r="F235" s="85" t="str">
        <f t="shared" si="33"/>
        <v/>
      </c>
      <c r="G235" s="86" t="str">
        <f t="shared" si="34"/>
        <v/>
      </c>
      <c r="H235" s="30"/>
      <c r="I235" s="87" t="str">
        <f t="shared" si="35"/>
        <v/>
      </c>
      <c r="J235" s="85" t="str">
        <f t="shared" si="36"/>
        <v/>
      </c>
      <c r="K235" s="49"/>
      <c r="L235" s="88" t="str">
        <f t="shared" si="37"/>
        <v/>
      </c>
      <c r="M235" s="88" t="str">
        <f t="shared" si="38"/>
        <v/>
      </c>
      <c r="N235" s="30"/>
      <c r="O235" s="31"/>
      <c r="P235" s="53"/>
      <c r="Q235" s="33"/>
      <c r="R235" s="54" t="str">
        <f t="shared" si="39"/>
        <v/>
      </c>
      <c r="S235" s="30"/>
      <c r="T235" s="33"/>
    </row>
    <row r="236" spans="1:20" x14ac:dyDescent="0.25">
      <c r="A236" s="30"/>
      <c r="B236" s="84" t="str">
        <f t="shared" si="30"/>
        <v/>
      </c>
      <c r="C236" s="30"/>
      <c r="D236" s="85" t="str">
        <f t="shared" si="31"/>
        <v/>
      </c>
      <c r="E236" s="85" t="str">
        <f t="shared" si="32"/>
        <v/>
      </c>
      <c r="F236" s="85" t="str">
        <f t="shared" si="33"/>
        <v/>
      </c>
      <c r="G236" s="86" t="str">
        <f t="shared" si="34"/>
        <v/>
      </c>
      <c r="H236" s="30"/>
      <c r="I236" s="87" t="str">
        <f t="shared" si="35"/>
        <v/>
      </c>
      <c r="J236" s="85" t="str">
        <f t="shared" si="36"/>
        <v/>
      </c>
      <c r="K236" s="49"/>
      <c r="L236" s="88" t="str">
        <f t="shared" si="37"/>
        <v/>
      </c>
      <c r="M236" s="88" t="str">
        <f t="shared" si="38"/>
        <v/>
      </c>
      <c r="N236" s="30"/>
      <c r="O236" s="31"/>
      <c r="P236" s="53"/>
      <c r="Q236" s="33"/>
      <c r="R236" s="54" t="str">
        <f t="shared" si="39"/>
        <v/>
      </c>
      <c r="S236" s="30"/>
      <c r="T236" s="33"/>
    </row>
    <row r="237" spans="1:20" x14ac:dyDescent="0.25">
      <c r="A237" s="30"/>
      <c r="B237" s="84" t="str">
        <f t="shared" si="30"/>
        <v/>
      </c>
      <c r="C237" s="30"/>
      <c r="D237" s="85" t="str">
        <f t="shared" si="31"/>
        <v/>
      </c>
      <c r="E237" s="85" t="str">
        <f t="shared" si="32"/>
        <v/>
      </c>
      <c r="F237" s="85" t="str">
        <f t="shared" si="33"/>
        <v/>
      </c>
      <c r="G237" s="86" t="str">
        <f t="shared" si="34"/>
        <v/>
      </c>
      <c r="H237" s="30"/>
      <c r="I237" s="87" t="str">
        <f t="shared" si="35"/>
        <v/>
      </c>
      <c r="J237" s="85" t="str">
        <f t="shared" si="36"/>
        <v/>
      </c>
      <c r="K237" s="49"/>
      <c r="L237" s="88" t="str">
        <f t="shared" si="37"/>
        <v/>
      </c>
      <c r="M237" s="88" t="str">
        <f t="shared" si="38"/>
        <v/>
      </c>
      <c r="N237" s="30"/>
      <c r="O237" s="31"/>
      <c r="P237" s="53"/>
      <c r="Q237" s="33"/>
      <c r="R237" s="54" t="str">
        <f t="shared" si="39"/>
        <v/>
      </c>
      <c r="S237" s="30"/>
      <c r="T237" s="33"/>
    </row>
    <row r="238" spans="1:20" x14ac:dyDescent="0.25">
      <c r="A238" s="30"/>
      <c r="B238" s="84" t="str">
        <f t="shared" si="30"/>
        <v/>
      </c>
      <c r="C238" s="30"/>
      <c r="D238" s="85" t="str">
        <f t="shared" si="31"/>
        <v/>
      </c>
      <c r="E238" s="85" t="str">
        <f t="shared" si="32"/>
        <v/>
      </c>
      <c r="F238" s="85" t="str">
        <f t="shared" si="33"/>
        <v/>
      </c>
      <c r="G238" s="86" t="str">
        <f t="shared" si="34"/>
        <v/>
      </c>
      <c r="H238" s="30"/>
      <c r="I238" s="87" t="str">
        <f t="shared" si="35"/>
        <v/>
      </c>
      <c r="J238" s="85" t="str">
        <f t="shared" si="36"/>
        <v/>
      </c>
      <c r="K238" s="49"/>
      <c r="L238" s="88" t="str">
        <f t="shared" si="37"/>
        <v/>
      </c>
      <c r="M238" s="88" t="str">
        <f t="shared" si="38"/>
        <v/>
      </c>
      <c r="N238" s="30"/>
      <c r="O238" s="31"/>
      <c r="P238" s="53"/>
      <c r="Q238" s="33"/>
      <c r="R238" s="54" t="str">
        <f t="shared" si="39"/>
        <v/>
      </c>
      <c r="S238" s="30"/>
      <c r="T238" s="33"/>
    </row>
    <row r="239" spans="1:20" x14ac:dyDescent="0.25">
      <c r="A239" s="30"/>
      <c r="B239" s="84" t="str">
        <f t="shared" si="30"/>
        <v/>
      </c>
      <c r="C239" s="30"/>
      <c r="D239" s="85" t="str">
        <f t="shared" si="31"/>
        <v/>
      </c>
      <c r="E239" s="85" t="str">
        <f t="shared" si="32"/>
        <v/>
      </c>
      <c r="F239" s="85" t="str">
        <f t="shared" si="33"/>
        <v/>
      </c>
      <c r="G239" s="86" t="str">
        <f t="shared" si="34"/>
        <v/>
      </c>
      <c r="H239" s="30"/>
      <c r="I239" s="87" t="str">
        <f t="shared" si="35"/>
        <v/>
      </c>
      <c r="J239" s="85" t="str">
        <f t="shared" si="36"/>
        <v/>
      </c>
      <c r="K239" s="49"/>
      <c r="L239" s="88" t="str">
        <f t="shared" si="37"/>
        <v/>
      </c>
      <c r="M239" s="88" t="str">
        <f t="shared" si="38"/>
        <v/>
      </c>
      <c r="N239" s="30"/>
      <c r="O239" s="31"/>
      <c r="P239" s="53"/>
      <c r="Q239" s="33"/>
      <c r="R239" s="54" t="str">
        <f t="shared" si="39"/>
        <v/>
      </c>
      <c r="S239" s="30"/>
      <c r="T239" s="33"/>
    </row>
    <row r="240" spans="1:20" x14ac:dyDescent="0.25">
      <c r="A240" s="30"/>
      <c r="B240" s="84" t="str">
        <f t="shared" si="30"/>
        <v/>
      </c>
      <c r="C240" s="30"/>
      <c r="D240" s="85" t="str">
        <f t="shared" si="31"/>
        <v/>
      </c>
      <c r="E240" s="85" t="str">
        <f t="shared" si="32"/>
        <v/>
      </c>
      <c r="F240" s="85" t="str">
        <f t="shared" si="33"/>
        <v/>
      </c>
      <c r="G240" s="86" t="str">
        <f t="shared" si="34"/>
        <v/>
      </c>
      <c r="H240" s="30"/>
      <c r="I240" s="87" t="str">
        <f t="shared" si="35"/>
        <v/>
      </c>
      <c r="J240" s="85" t="str">
        <f t="shared" si="36"/>
        <v/>
      </c>
      <c r="K240" s="49"/>
      <c r="L240" s="88" t="str">
        <f t="shared" si="37"/>
        <v/>
      </c>
      <c r="M240" s="88" t="str">
        <f t="shared" si="38"/>
        <v/>
      </c>
      <c r="N240" s="30"/>
      <c r="O240" s="31"/>
      <c r="P240" s="53"/>
      <c r="Q240" s="33"/>
      <c r="R240" s="54" t="str">
        <f t="shared" si="39"/>
        <v/>
      </c>
      <c r="S240" s="30"/>
      <c r="T240" s="33"/>
    </row>
    <row r="241" spans="1:20" x14ac:dyDescent="0.25">
      <c r="A241" s="30"/>
      <c r="B241" s="84" t="str">
        <f t="shared" si="30"/>
        <v/>
      </c>
      <c r="C241" s="30"/>
      <c r="D241" s="85" t="str">
        <f t="shared" si="31"/>
        <v/>
      </c>
      <c r="E241" s="85" t="str">
        <f t="shared" si="32"/>
        <v/>
      </c>
      <c r="F241" s="85" t="str">
        <f t="shared" si="33"/>
        <v/>
      </c>
      <c r="G241" s="86" t="str">
        <f t="shared" si="34"/>
        <v/>
      </c>
      <c r="H241" s="30"/>
      <c r="I241" s="87" t="str">
        <f t="shared" si="35"/>
        <v/>
      </c>
      <c r="J241" s="85" t="str">
        <f t="shared" si="36"/>
        <v/>
      </c>
      <c r="K241" s="49"/>
      <c r="L241" s="88" t="str">
        <f t="shared" si="37"/>
        <v/>
      </c>
      <c r="M241" s="88" t="str">
        <f t="shared" si="38"/>
        <v/>
      </c>
      <c r="N241" s="30"/>
      <c r="O241" s="31"/>
      <c r="P241" s="53"/>
      <c r="Q241" s="33"/>
      <c r="R241" s="54" t="str">
        <f t="shared" si="39"/>
        <v/>
      </c>
      <c r="S241" s="30"/>
      <c r="T241" s="33"/>
    </row>
    <row r="242" spans="1:20" x14ac:dyDescent="0.25">
      <c r="A242" s="30"/>
      <c r="B242" s="84" t="str">
        <f t="shared" si="30"/>
        <v/>
      </c>
      <c r="C242" s="30"/>
      <c r="D242" s="85" t="str">
        <f t="shared" si="31"/>
        <v/>
      </c>
      <c r="E242" s="85" t="str">
        <f t="shared" si="32"/>
        <v/>
      </c>
      <c r="F242" s="85" t="str">
        <f t="shared" si="33"/>
        <v/>
      </c>
      <c r="G242" s="86" t="str">
        <f t="shared" si="34"/>
        <v/>
      </c>
      <c r="H242" s="30"/>
      <c r="I242" s="87" t="str">
        <f t="shared" si="35"/>
        <v/>
      </c>
      <c r="J242" s="85" t="str">
        <f t="shared" si="36"/>
        <v/>
      </c>
      <c r="K242" s="49"/>
      <c r="L242" s="88" t="str">
        <f t="shared" si="37"/>
        <v/>
      </c>
      <c r="M242" s="88" t="str">
        <f t="shared" si="38"/>
        <v/>
      </c>
      <c r="N242" s="30"/>
      <c r="O242" s="31"/>
      <c r="P242" s="53"/>
      <c r="Q242" s="33"/>
      <c r="R242" s="54" t="str">
        <f t="shared" si="39"/>
        <v/>
      </c>
      <c r="S242" s="30"/>
      <c r="T242" s="33"/>
    </row>
    <row r="243" spans="1:20" x14ac:dyDescent="0.25">
      <c r="A243" s="30"/>
      <c r="B243" s="84" t="str">
        <f t="shared" si="30"/>
        <v/>
      </c>
      <c r="C243" s="30"/>
      <c r="D243" s="85" t="str">
        <f t="shared" si="31"/>
        <v/>
      </c>
      <c r="E243" s="85" t="str">
        <f t="shared" si="32"/>
        <v/>
      </c>
      <c r="F243" s="85" t="str">
        <f t="shared" si="33"/>
        <v/>
      </c>
      <c r="G243" s="86" t="str">
        <f t="shared" si="34"/>
        <v/>
      </c>
      <c r="H243" s="30"/>
      <c r="I243" s="87" t="str">
        <f t="shared" si="35"/>
        <v/>
      </c>
      <c r="J243" s="85" t="str">
        <f t="shared" si="36"/>
        <v/>
      </c>
      <c r="K243" s="49"/>
      <c r="L243" s="88" t="str">
        <f t="shared" si="37"/>
        <v/>
      </c>
      <c r="M243" s="88" t="str">
        <f t="shared" si="38"/>
        <v/>
      </c>
      <c r="N243" s="30"/>
      <c r="O243" s="31"/>
      <c r="P243" s="53"/>
      <c r="Q243" s="33"/>
      <c r="R243" s="54" t="str">
        <f t="shared" si="39"/>
        <v/>
      </c>
      <c r="S243" s="30"/>
      <c r="T243" s="33"/>
    </row>
    <row r="244" spans="1:20" x14ac:dyDescent="0.25">
      <c r="A244" s="30"/>
      <c r="B244" s="84" t="str">
        <f t="shared" si="30"/>
        <v/>
      </c>
      <c r="C244" s="30"/>
      <c r="D244" s="85" t="str">
        <f t="shared" si="31"/>
        <v/>
      </c>
      <c r="E244" s="85" t="str">
        <f t="shared" si="32"/>
        <v/>
      </c>
      <c r="F244" s="85" t="str">
        <f t="shared" si="33"/>
        <v/>
      </c>
      <c r="G244" s="86" t="str">
        <f t="shared" si="34"/>
        <v/>
      </c>
      <c r="H244" s="30"/>
      <c r="I244" s="87" t="str">
        <f t="shared" si="35"/>
        <v/>
      </c>
      <c r="J244" s="85" t="str">
        <f t="shared" si="36"/>
        <v/>
      </c>
      <c r="K244" s="49"/>
      <c r="L244" s="88" t="str">
        <f t="shared" si="37"/>
        <v/>
      </c>
      <c r="M244" s="88" t="str">
        <f t="shared" si="38"/>
        <v/>
      </c>
      <c r="N244" s="30"/>
      <c r="O244" s="31"/>
      <c r="P244" s="53"/>
      <c r="Q244" s="33"/>
      <c r="R244" s="54" t="str">
        <f t="shared" si="39"/>
        <v/>
      </c>
      <c r="S244" s="30"/>
      <c r="T244" s="33"/>
    </row>
    <row r="245" spans="1:20" x14ac:dyDescent="0.25">
      <c r="A245" s="30"/>
      <c r="B245" s="84" t="str">
        <f t="shared" ref="B245:B308" si="40">IF($G245="","",EOMONTH($G245,0))</f>
        <v/>
      </c>
      <c r="C245" s="30"/>
      <c r="D245" s="85" t="str">
        <f t="shared" ref="D245:D308" si="41">IFERROR(IF($C245="","",VLOOKUP($C245,CAD_TAB,2,FALSE)),"")</f>
        <v/>
      </c>
      <c r="E245" s="85" t="str">
        <f t="shared" ref="E245:E308" si="42">IFERROR(IF($C245="","",VLOOKUP($C245,CAD_TAB,3,FALSE)),"")</f>
        <v/>
      </c>
      <c r="F245" s="85" t="str">
        <f t="shared" ref="F245:F308" si="43">IFERROR(IF($C245="","",VLOOKUP($C245,OS_TAB,7,FALSE)),"")</f>
        <v/>
      </c>
      <c r="G245" s="86" t="str">
        <f t="shared" ref="G245:G308" si="44">IFERROR(IF($C245="","",VLOOKUP($C245,OS_TAB,10,FALSE)),"")</f>
        <v/>
      </c>
      <c r="H245" s="30"/>
      <c r="I245" s="87" t="str">
        <f t="shared" ref="I245:I308" si="45">IFERROR(IF($H245="","",VLOOKUP($H245,PRE_TAB,5,FALSE)),"CÓDIGO NÃO ENCONTRADO")</f>
        <v/>
      </c>
      <c r="J245" s="85" t="str">
        <f t="shared" ref="J245:J308" si="46">IFERROR(IF($H245="","",VLOOKUP($H245,PRE_TAB,7,FALSE)),"")</f>
        <v/>
      </c>
      <c r="K245" s="49"/>
      <c r="L245" s="88" t="str">
        <f t="shared" ref="L245:L308" si="47">IFERROR(IF($H245="","",VLOOKUP($H245,PRE_TAB,8,FALSE)),0)</f>
        <v/>
      </c>
      <c r="M245" s="88" t="str">
        <f t="shared" ref="M245:M308" si="48">IF($H245="","",ROUND($K245*$L245,2))</f>
        <v/>
      </c>
      <c r="N245" s="30"/>
      <c r="O245" s="31"/>
      <c r="P245" s="53"/>
      <c r="Q245" s="33"/>
      <c r="R245" s="54" t="str">
        <f t="shared" ref="R245:R308" si="49">IF($H245="","",$M245-$P245)</f>
        <v/>
      </c>
      <c r="S245" s="30"/>
      <c r="T245" s="33"/>
    </row>
    <row r="246" spans="1:20" x14ac:dyDescent="0.25">
      <c r="A246" s="30"/>
      <c r="B246" s="84" t="str">
        <f t="shared" si="40"/>
        <v/>
      </c>
      <c r="C246" s="30"/>
      <c r="D246" s="85" t="str">
        <f t="shared" si="41"/>
        <v/>
      </c>
      <c r="E246" s="85" t="str">
        <f t="shared" si="42"/>
        <v/>
      </c>
      <c r="F246" s="85" t="str">
        <f t="shared" si="43"/>
        <v/>
      </c>
      <c r="G246" s="86" t="str">
        <f t="shared" si="44"/>
        <v/>
      </c>
      <c r="H246" s="30"/>
      <c r="I246" s="87" t="str">
        <f t="shared" si="45"/>
        <v/>
      </c>
      <c r="J246" s="85" t="str">
        <f t="shared" si="46"/>
        <v/>
      </c>
      <c r="K246" s="49"/>
      <c r="L246" s="88" t="str">
        <f t="shared" si="47"/>
        <v/>
      </c>
      <c r="M246" s="88" t="str">
        <f t="shared" si="48"/>
        <v/>
      </c>
      <c r="N246" s="30"/>
      <c r="O246" s="31"/>
      <c r="P246" s="53"/>
      <c r="Q246" s="33"/>
      <c r="R246" s="54" t="str">
        <f t="shared" si="49"/>
        <v/>
      </c>
      <c r="S246" s="30"/>
      <c r="T246" s="33"/>
    </row>
    <row r="247" spans="1:20" x14ac:dyDescent="0.25">
      <c r="A247" s="30"/>
      <c r="B247" s="84" t="str">
        <f t="shared" si="40"/>
        <v/>
      </c>
      <c r="C247" s="30"/>
      <c r="D247" s="85" t="str">
        <f t="shared" si="41"/>
        <v/>
      </c>
      <c r="E247" s="85" t="str">
        <f t="shared" si="42"/>
        <v/>
      </c>
      <c r="F247" s="85" t="str">
        <f t="shared" si="43"/>
        <v/>
      </c>
      <c r="G247" s="86" t="str">
        <f t="shared" si="44"/>
        <v/>
      </c>
      <c r="H247" s="30"/>
      <c r="I247" s="87" t="str">
        <f t="shared" si="45"/>
        <v/>
      </c>
      <c r="J247" s="85" t="str">
        <f t="shared" si="46"/>
        <v/>
      </c>
      <c r="K247" s="49"/>
      <c r="L247" s="88" t="str">
        <f t="shared" si="47"/>
        <v/>
      </c>
      <c r="M247" s="88" t="str">
        <f t="shared" si="48"/>
        <v/>
      </c>
      <c r="N247" s="30"/>
      <c r="O247" s="31"/>
      <c r="P247" s="53"/>
      <c r="Q247" s="33"/>
      <c r="R247" s="54" t="str">
        <f t="shared" si="49"/>
        <v/>
      </c>
      <c r="S247" s="30"/>
      <c r="T247" s="33"/>
    </row>
    <row r="248" spans="1:20" x14ac:dyDescent="0.25">
      <c r="A248" s="30"/>
      <c r="B248" s="84" t="str">
        <f t="shared" si="40"/>
        <v/>
      </c>
      <c r="C248" s="30"/>
      <c r="D248" s="85" t="str">
        <f t="shared" si="41"/>
        <v/>
      </c>
      <c r="E248" s="85" t="str">
        <f t="shared" si="42"/>
        <v/>
      </c>
      <c r="F248" s="85" t="str">
        <f t="shared" si="43"/>
        <v/>
      </c>
      <c r="G248" s="86" t="str">
        <f t="shared" si="44"/>
        <v/>
      </c>
      <c r="H248" s="30"/>
      <c r="I248" s="87" t="str">
        <f t="shared" si="45"/>
        <v/>
      </c>
      <c r="J248" s="85" t="str">
        <f t="shared" si="46"/>
        <v/>
      </c>
      <c r="K248" s="49"/>
      <c r="L248" s="88" t="str">
        <f t="shared" si="47"/>
        <v/>
      </c>
      <c r="M248" s="88" t="str">
        <f t="shared" si="48"/>
        <v/>
      </c>
      <c r="N248" s="30"/>
      <c r="O248" s="31"/>
      <c r="P248" s="53"/>
      <c r="Q248" s="33"/>
      <c r="R248" s="54" t="str">
        <f t="shared" si="49"/>
        <v/>
      </c>
      <c r="S248" s="30"/>
      <c r="T248" s="33"/>
    </row>
    <row r="249" spans="1:20" x14ac:dyDescent="0.25">
      <c r="A249" s="30"/>
      <c r="B249" s="84" t="str">
        <f t="shared" si="40"/>
        <v/>
      </c>
      <c r="C249" s="30"/>
      <c r="D249" s="85" t="str">
        <f t="shared" si="41"/>
        <v/>
      </c>
      <c r="E249" s="85" t="str">
        <f t="shared" si="42"/>
        <v/>
      </c>
      <c r="F249" s="85" t="str">
        <f t="shared" si="43"/>
        <v/>
      </c>
      <c r="G249" s="86" t="str">
        <f t="shared" si="44"/>
        <v/>
      </c>
      <c r="H249" s="30"/>
      <c r="I249" s="87" t="str">
        <f t="shared" si="45"/>
        <v/>
      </c>
      <c r="J249" s="85" t="str">
        <f t="shared" si="46"/>
        <v/>
      </c>
      <c r="K249" s="49"/>
      <c r="L249" s="88" t="str">
        <f t="shared" si="47"/>
        <v/>
      </c>
      <c r="M249" s="88" t="str">
        <f t="shared" si="48"/>
        <v/>
      </c>
      <c r="N249" s="30"/>
      <c r="O249" s="31"/>
      <c r="P249" s="53"/>
      <c r="Q249" s="33"/>
      <c r="R249" s="54" t="str">
        <f t="shared" si="49"/>
        <v/>
      </c>
      <c r="S249" s="30"/>
      <c r="T249" s="33"/>
    </row>
    <row r="250" spans="1:20" x14ac:dyDescent="0.25">
      <c r="A250" s="30"/>
      <c r="B250" s="84" t="str">
        <f t="shared" si="40"/>
        <v/>
      </c>
      <c r="C250" s="30"/>
      <c r="D250" s="85" t="str">
        <f t="shared" si="41"/>
        <v/>
      </c>
      <c r="E250" s="85" t="str">
        <f t="shared" si="42"/>
        <v/>
      </c>
      <c r="F250" s="85" t="str">
        <f t="shared" si="43"/>
        <v/>
      </c>
      <c r="G250" s="86" t="str">
        <f t="shared" si="44"/>
        <v/>
      </c>
      <c r="H250" s="30"/>
      <c r="I250" s="87" t="str">
        <f t="shared" si="45"/>
        <v/>
      </c>
      <c r="J250" s="85" t="str">
        <f t="shared" si="46"/>
        <v/>
      </c>
      <c r="K250" s="49"/>
      <c r="L250" s="88" t="str">
        <f t="shared" si="47"/>
        <v/>
      </c>
      <c r="M250" s="88" t="str">
        <f t="shared" si="48"/>
        <v/>
      </c>
      <c r="N250" s="30"/>
      <c r="O250" s="31"/>
      <c r="P250" s="53"/>
      <c r="Q250" s="33"/>
      <c r="R250" s="54" t="str">
        <f t="shared" si="49"/>
        <v/>
      </c>
      <c r="S250" s="30"/>
      <c r="T250" s="33"/>
    </row>
    <row r="251" spans="1:20" x14ac:dyDescent="0.25">
      <c r="A251" s="30"/>
      <c r="B251" s="84" t="str">
        <f t="shared" si="40"/>
        <v/>
      </c>
      <c r="C251" s="30"/>
      <c r="D251" s="85" t="str">
        <f t="shared" si="41"/>
        <v/>
      </c>
      <c r="E251" s="85" t="str">
        <f t="shared" si="42"/>
        <v/>
      </c>
      <c r="F251" s="85" t="str">
        <f t="shared" si="43"/>
        <v/>
      </c>
      <c r="G251" s="86" t="str">
        <f t="shared" si="44"/>
        <v/>
      </c>
      <c r="H251" s="30"/>
      <c r="I251" s="87" t="str">
        <f t="shared" si="45"/>
        <v/>
      </c>
      <c r="J251" s="85" t="str">
        <f t="shared" si="46"/>
        <v/>
      </c>
      <c r="K251" s="49"/>
      <c r="L251" s="88" t="str">
        <f t="shared" si="47"/>
        <v/>
      </c>
      <c r="M251" s="88" t="str">
        <f t="shared" si="48"/>
        <v/>
      </c>
      <c r="N251" s="30"/>
      <c r="O251" s="31"/>
      <c r="P251" s="53"/>
      <c r="Q251" s="33"/>
      <c r="R251" s="54" t="str">
        <f t="shared" si="49"/>
        <v/>
      </c>
      <c r="S251" s="30"/>
      <c r="T251" s="33"/>
    </row>
    <row r="252" spans="1:20" x14ac:dyDescent="0.25">
      <c r="A252" s="30"/>
      <c r="B252" s="84" t="str">
        <f t="shared" si="40"/>
        <v/>
      </c>
      <c r="C252" s="30"/>
      <c r="D252" s="85" t="str">
        <f t="shared" si="41"/>
        <v/>
      </c>
      <c r="E252" s="85" t="str">
        <f t="shared" si="42"/>
        <v/>
      </c>
      <c r="F252" s="85" t="str">
        <f t="shared" si="43"/>
        <v/>
      </c>
      <c r="G252" s="86" t="str">
        <f t="shared" si="44"/>
        <v/>
      </c>
      <c r="H252" s="30"/>
      <c r="I252" s="87" t="str">
        <f t="shared" si="45"/>
        <v/>
      </c>
      <c r="J252" s="85" t="str">
        <f t="shared" si="46"/>
        <v/>
      </c>
      <c r="K252" s="49"/>
      <c r="L252" s="88" t="str">
        <f t="shared" si="47"/>
        <v/>
      </c>
      <c r="M252" s="88" t="str">
        <f t="shared" si="48"/>
        <v/>
      </c>
      <c r="N252" s="30"/>
      <c r="O252" s="31"/>
      <c r="P252" s="53"/>
      <c r="Q252" s="33"/>
      <c r="R252" s="54" t="str">
        <f t="shared" si="49"/>
        <v/>
      </c>
      <c r="S252" s="30"/>
      <c r="T252" s="33"/>
    </row>
    <row r="253" spans="1:20" x14ac:dyDescent="0.25">
      <c r="A253" s="30"/>
      <c r="B253" s="84" t="str">
        <f t="shared" si="40"/>
        <v/>
      </c>
      <c r="C253" s="30"/>
      <c r="D253" s="85" t="str">
        <f t="shared" si="41"/>
        <v/>
      </c>
      <c r="E253" s="85" t="str">
        <f t="shared" si="42"/>
        <v/>
      </c>
      <c r="F253" s="85" t="str">
        <f t="shared" si="43"/>
        <v/>
      </c>
      <c r="G253" s="86" t="str">
        <f t="shared" si="44"/>
        <v/>
      </c>
      <c r="H253" s="30"/>
      <c r="I253" s="87" t="str">
        <f t="shared" si="45"/>
        <v/>
      </c>
      <c r="J253" s="85" t="str">
        <f t="shared" si="46"/>
        <v/>
      </c>
      <c r="K253" s="49"/>
      <c r="L253" s="88" t="str">
        <f t="shared" si="47"/>
        <v/>
      </c>
      <c r="M253" s="88" t="str">
        <f t="shared" si="48"/>
        <v/>
      </c>
      <c r="N253" s="30"/>
      <c r="O253" s="31"/>
      <c r="P253" s="53"/>
      <c r="Q253" s="33"/>
      <c r="R253" s="54" t="str">
        <f t="shared" si="49"/>
        <v/>
      </c>
      <c r="S253" s="30"/>
      <c r="T253" s="33"/>
    </row>
    <row r="254" spans="1:20" x14ac:dyDescent="0.25">
      <c r="A254" s="30"/>
      <c r="B254" s="84" t="str">
        <f t="shared" si="40"/>
        <v/>
      </c>
      <c r="C254" s="30"/>
      <c r="D254" s="85" t="str">
        <f t="shared" si="41"/>
        <v/>
      </c>
      <c r="E254" s="85" t="str">
        <f t="shared" si="42"/>
        <v/>
      </c>
      <c r="F254" s="85" t="str">
        <f t="shared" si="43"/>
        <v/>
      </c>
      <c r="G254" s="86" t="str">
        <f t="shared" si="44"/>
        <v/>
      </c>
      <c r="H254" s="30"/>
      <c r="I254" s="87" t="str">
        <f t="shared" si="45"/>
        <v/>
      </c>
      <c r="J254" s="85" t="str">
        <f t="shared" si="46"/>
        <v/>
      </c>
      <c r="K254" s="49"/>
      <c r="L254" s="88" t="str">
        <f t="shared" si="47"/>
        <v/>
      </c>
      <c r="M254" s="88" t="str">
        <f t="shared" si="48"/>
        <v/>
      </c>
      <c r="N254" s="30"/>
      <c r="O254" s="31"/>
      <c r="P254" s="53"/>
      <c r="Q254" s="33"/>
      <c r="R254" s="54" t="str">
        <f t="shared" si="49"/>
        <v/>
      </c>
      <c r="S254" s="30"/>
      <c r="T254" s="33"/>
    </row>
    <row r="255" spans="1:20" x14ac:dyDescent="0.25">
      <c r="A255" s="30"/>
      <c r="B255" s="84" t="str">
        <f t="shared" si="40"/>
        <v/>
      </c>
      <c r="C255" s="30"/>
      <c r="D255" s="85" t="str">
        <f t="shared" si="41"/>
        <v/>
      </c>
      <c r="E255" s="85" t="str">
        <f t="shared" si="42"/>
        <v/>
      </c>
      <c r="F255" s="85" t="str">
        <f t="shared" si="43"/>
        <v/>
      </c>
      <c r="G255" s="86" t="str">
        <f t="shared" si="44"/>
        <v/>
      </c>
      <c r="H255" s="30"/>
      <c r="I255" s="87" t="str">
        <f t="shared" si="45"/>
        <v/>
      </c>
      <c r="J255" s="85" t="str">
        <f t="shared" si="46"/>
        <v/>
      </c>
      <c r="K255" s="49"/>
      <c r="L255" s="88" t="str">
        <f t="shared" si="47"/>
        <v/>
      </c>
      <c r="M255" s="88" t="str">
        <f t="shared" si="48"/>
        <v/>
      </c>
      <c r="N255" s="30"/>
      <c r="O255" s="31"/>
      <c r="P255" s="53"/>
      <c r="Q255" s="33"/>
      <c r="R255" s="54" t="str">
        <f t="shared" si="49"/>
        <v/>
      </c>
      <c r="S255" s="30"/>
      <c r="T255" s="33"/>
    </row>
    <row r="256" spans="1:20" x14ac:dyDescent="0.25">
      <c r="A256" s="30"/>
      <c r="B256" s="84" t="str">
        <f t="shared" si="40"/>
        <v/>
      </c>
      <c r="C256" s="30"/>
      <c r="D256" s="85" t="str">
        <f t="shared" si="41"/>
        <v/>
      </c>
      <c r="E256" s="85" t="str">
        <f t="shared" si="42"/>
        <v/>
      </c>
      <c r="F256" s="85" t="str">
        <f t="shared" si="43"/>
        <v/>
      </c>
      <c r="G256" s="86" t="str">
        <f t="shared" si="44"/>
        <v/>
      </c>
      <c r="H256" s="30"/>
      <c r="I256" s="87" t="str">
        <f t="shared" si="45"/>
        <v/>
      </c>
      <c r="J256" s="85" t="str">
        <f t="shared" si="46"/>
        <v/>
      </c>
      <c r="K256" s="49"/>
      <c r="L256" s="88" t="str">
        <f t="shared" si="47"/>
        <v/>
      </c>
      <c r="M256" s="88" t="str">
        <f t="shared" si="48"/>
        <v/>
      </c>
      <c r="N256" s="30"/>
      <c r="O256" s="31"/>
      <c r="P256" s="53"/>
      <c r="Q256" s="33"/>
      <c r="R256" s="54" t="str">
        <f t="shared" si="49"/>
        <v/>
      </c>
      <c r="S256" s="30"/>
      <c r="T256" s="33"/>
    </row>
    <row r="257" spans="1:20" x14ac:dyDescent="0.25">
      <c r="A257" s="30"/>
      <c r="B257" s="84" t="str">
        <f t="shared" si="40"/>
        <v/>
      </c>
      <c r="C257" s="30"/>
      <c r="D257" s="85" t="str">
        <f t="shared" si="41"/>
        <v/>
      </c>
      <c r="E257" s="85" t="str">
        <f t="shared" si="42"/>
        <v/>
      </c>
      <c r="F257" s="85" t="str">
        <f t="shared" si="43"/>
        <v/>
      </c>
      <c r="G257" s="86" t="str">
        <f t="shared" si="44"/>
        <v/>
      </c>
      <c r="H257" s="30"/>
      <c r="I257" s="87" t="str">
        <f t="shared" si="45"/>
        <v/>
      </c>
      <c r="J257" s="85" t="str">
        <f t="shared" si="46"/>
        <v/>
      </c>
      <c r="K257" s="49"/>
      <c r="L257" s="88" t="str">
        <f t="shared" si="47"/>
        <v/>
      </c>
      <c r="M257" s="88" t="str">
        <f t="shared" si="48"/>
        <v/>
      </c>
      <c r="N257" s="30"/>
      <c r="O257" s="31"/>
      <c r="P257" s="53"/>
      <c r="Q257" s="33"/>
      <c r="R257" s="54" t="str">
        <f t="shared" si="49"/>
        <v/>
      </c>
      <c r="S257" s="30"/>
      <c r="T257" s="33"/>
    </row>
    <row r="258" spans="1:20" x14ac:dyDescent="0.25">
      <c r="A258" s="30"/>
      <c r="B258" s="84" t="str">
        <f t="shared" si="40"/>
        <v/>
      </c>
      <c r="C258" s="30"/>
      <c r="D258" s="85" t="str">
        <f t="shared" si="41"/>
        <v/>
      </c>
      <c r="E258" s="85" t="str">
        <f t="shared" si="42"/>
        <v/>
      </c>
      <c r="F258" s="85" t="str">
        <f t="shared" si="43"/>
        <v/>
      </c>
      <c r="G258" s="86" t="str">
        <f t="shared" si="44"/>
        <v/>
      </c>
      <c r="H258" s="30"/>
      <c r="I258" s="87" t="str">
        <f t="shared" si="45"/>
        <v/>
      </c>
      <c r="J258" s="85" t="str">
        <f t="shared" si="46"/>
        <v/>
      </c>
      <c r="K258" s="49"/>
      <c r="L258" s="88" t="str">
        <f t="shared" si="47"/>
        <v/>
      </c>
      <c r="M258" s="88" t="str">
        <f t="shared" si="48"/>
        <v/>
      </c>
      <c r="N258" s="30"/>
      <c r="O258" s="31"/>
      <c r="P258" s="53"/>
      <c r="Q258" s="33"/>
      <c r="R258" s="54" t="str">
        <f t="shared" si="49"/>
        <v/>
      </c>
      <c r="S258" s="30"/>
      <c r="T258" s="33"/>
    </row>
    <row r="259" spans="1:20" x14ac:dyDescent="0.25">
      <c r="A259" s="30"/>
      <c r="B259" s="84" t="str">
        <f t="shared" si="40"/>
        <v/>
      </c>
      <c r="C259" s="30"/>
      <c r="D259" s="85" t="str">
        <f t="shared" si="41"/>
        <v/>
      </c>
      <c r="E259" s="85" t="str">
        <f t="shared" si="42"/>
        <v/>
      </c>
      <c r="F259" s="85" t="str">
        <f t="shared" si="43"/>
        <v/>
      </c>
      <c r="G259" s="86" t="str">
        <f t="shared" si="44"/>
        <v/>
      </c>
      <c r="H259" s="30"/>
      <c r="I259" s="87" t="str">
        <f t="shared" si="45"/>
        <v/>
      </c>
      <c r="J259" s="85" t="str">
        <f t="shared" si="46"/>
        <v/>
      </c>
      <c r="K259" s="49"/>
      <c r="L259" s="88" t="str">
        <f t="shared" si="47"/>
        <v/>
      </c>
      <c r="M259" s="88" t="str">
        <f t="shared" si="48"/>
        <v/>
      </c>
      <c r="N259" s="30"/>
      <c r="O259" s="31"/>
      <c r="P259" s="53"/>
      <c r="Q259" s="33"/>
      <c r="R259" s="54" t="str">
        <f t="shared" si="49"/>
        <v/>
      </c>
      <c r="S259" s="30"/>
      <c r="T259" s="33"/>
    </row>
    <row r="260" spans="1:20" x14ac:dyDescent="0.25">
      <c r="A260" s="30"/>
      <c r="B260" s="84" t="str">
        <f t="shared" si="40"/>
        <v/>
      </c>
      <c r="C260" s="30"/>
      <c r="D260" s="85" t="str">
        <f t="shared" si="41"/>
        <v/>
      </c>
      <c r="E260" s="85" t="str">
        <f t="shared" si="42"/>
        <v/>
      </c>
      <c r="F260" s="85" t="str">
        <f t="shared" si="43"/>
        <v/>
      </c>
      <c r="G260" s="86" t="str">
        <f t="shared" si="44"/>
        <v/>
      </c>
      <c r="H260" s="30"/>
      <c r="I260" s="87" t="str">
        <f t="shared" si="45"/>
        <v/>
      </c>
      <c r="J260" s="85" t="str">
        <f t="shared" si="46"/>
        <v/>
      </c>
      <c r="K260" s="49"/>
      <c r="L260" s="88" t="str">
        <f t="shared" si="47"/>
        <v/>
      </c>
      <c r="M260" s="88" t="str">
        <f t="shared" si="48"/>
        <v/>
      </c>
      <c r="N260" s="30"/>
      <c r="O260" s="31"/>
      <c r="P260" s="53"/>
      <c r="Q260" s="33"/>
      <c r="R260" s="54" t="str">
        <f t="shared" si="49"/>
        <v/>
      </c>
      <c r="S260" s="30"/>
      <c r="T260" s="33"/>
    </row>
    <row r="261" spans="1:20" x14ac:dyDescent="0.25">
      <c r="A261" s="30"/>
      <c r="B261" s="84" t="str">
        <f t="shared" si="40"/>
        <v/>
      </c>
      <c r="C261" s="30"/>
      <c r="D261" s="85" t="str">
        <f t="shared" si="41"/>
        <v/>
      </c>
      <c r="E261" s="85" t="str">
        <f t="shared" si="42"/>
        <v/>
      </c>
      <c r="F261" s="85" t="str">
        <f t="shared" si="43"/>
        <v/>
      </c>
      <c r="G261" s="86" t="str">
        <f t="shared" si="44"/>
        <v/>
      </c>
      <c r="H261" s="30"/>
      <c r="I261" s="87" t="str">
        <f t="shared" si="45"/>
        <v/>
      </c>
      <c r="J261" s="85" t="str">
        <f t="shared" si="46"/>
        <v/>
      </c>
      <c r="K261" s="49"/>
      <c r="L261" s="88" t="str">
        <f t="shared" si="47"/>
        <v/>
      </c>
      <c r="M261" s="88" t="str">
        <f t="shared" si="48"/>
        <v/>
      </c>
      <c r="N261" s="30"/>
      <c r="O261" s="31"/>
      <c r="P261" s="53"/>
      <c r="Q261" s="33"/>
      <c r="R261" s="54" t="str">
        <f t="shared" si="49"/>
        <v/>
      </c>
      <c r="S261" s="30"/>
      <c r="T261" s="33"/>
    </row>
    <row r="262" spans="1:20" x14ac:dyDescent="0.25">
      <c r="A262" s="30"/>
      <c r="B262" s="84" t="str">
        <f t="shared" si="40"/>
        <v/>
      </c>
      <c r="C262" s="30"/>
      <c r="D262" s="85" t="str">
        <f t="shared" si="41"/>
        <v/>
      </c>
      <c r="E262" s="85" t="str">
        <f t="shared" si="42"/>
        <v/>
      </c>
      <c r="F262" s="85" t="str">
        <f t="shared" si="43"/>
        <v/>
      </c>
      <c r="G262" s="86" t="str">
        <f t="shared" si="44"/>
        <v/>
      </c>
      <c r="H262" s="30"/>
      <c r="I262" s="87" t="str">
        <f t="shared" si="45"/>
        <v/>
      </c>
      <c r="J262" s="85" t="str">
        <f t="shared" si="46"/>
        <v/>
      </c>
      <c r="K262" s="49"/>
      <c r="L262" s="88" t="str">
        <f t="shared" si="47"/>
        <v/>
      </c>
      <c r="M262" s="88" t="str">
        <f t="shared" si="48"/>
        <v/>
      </c>
      <c r="N262" s="30"/>
      <c r="O262" s="31"/>
      <c r="P262" s="53"/>
      <c r="Q262" s="33"/>
      <c r="R262" s="54" t="str">
        <f t="shared" si="49"/>
        <v/>
      </c>
      <c r="S262" s="30"/>
      <c r="T262" s="33"/>
    </row>
    <row r="263" spans="1:20" x14ac:dyDescent="0.25">
      <c r="A263" s="30"/>
      <c r="B263" s="84" t="str">
        <f t="shared" si="40"/>
        <v/>
      </c>
      <c r="C263" s="30"/>
      <c r="D263" s="85" t="str">
        <f t="shared" si="41"/>
        <v/>
      </c>
      <c r="E263" s="85" t="str">
        <f t="shared" si="42"/>
        <v/>
      </c>
      <c r="F263" s="85" t="str">
        <f t="shared" si="43"/>
        <v/>
      </c>
      <c r="G263" s="86" t="str">
        <f t="shared" si="44"/>
        <v/>
      </c>
      <c r="H263" s="30"/>
      <c r="I263" s="87" t="str">
        <f t="shared" si="45"/>
        <v/>
      </c>
      <c r="J263" s="85" t="str">
        <f t="shared" si="46"/>
        <v/>
      </c>
      <c r="K263" s="49"/>
      <c r="L263" s="88" t="str">
        <f t="shared" si="47"/>
        <v/>
      </c>
      <c r="M263" s="88" t="str">
        <f t="shared" si="48"/>
        <v/>
      </c>
      <c r="N263" s="30"/>
      <c r="O263" s="31"/>
      <c r="P263" s="53"/>
      <c r="Q263" s="33"/>
      <c r="R263" s="54" t="str">
        <f t="shared" si="49"/>
        <v/>
      </c>
      <c r="S263" s="30"/>
      <c r="T263" s="33"/>
    </row>
    <row r="264" spans="1:20" x14ac:dyDescent="0.25">
      <c r="A264" s="30"/>
      <c r="B264" s="84" t="str">
        <f t="shared" si="40"/>
        <v/>
      </c>
      <c r="C264" s="30"/>
      <c r="D264" s="85" t="str">
        <f t="shared" si="41"/>
        <v/>
      </c>
      <c r="E264" s="85" t="str">
        <f t="shared" si="42"/>
        <v/>
      </c>
      <c r="F264" s="85" t="str">
        <f t="shared" si="43"/>
        <v/>
      </c>
      <c r="G264" s="86" t="str">
        <f t="shared" si="44"/>
        <v/>
      </c>
      <c r="H264" s="30"/>
      <c r="I264" s="87" t="str">
        <f t="shared" si="45"/>
        <v/>
      </c>
      <c r="J264" s="85" t="str">
        <f t="shared" si="46"/>
        <v/>
      </c>
      <c r="K264" s="49"/>
      <c r="L264" s="88" t="str">
        <f t="shared" si="47"/>
        <v/>
      </c>
      <c r="M264" s="88" t="str">
        <f t="shared" si="48"/>
        <v/>
      </c>
      <c r="N264" s="30"/>
      <c r="O264" s="31"/>
      <c r="P264" s="53"/>
      <c r="Q264" s="33"/>
      <c r="R264" s="54" t="str">
        <f t="shared" si="49"/>
        <v/>
      </c>
      <c r="S264" s="30"/>
      <c r="T264" s="33"/>
    </row>
    <row r="265" spans="1:20" x14ac:dyDescent="0.25">
      <c r="A265" s="30"/>
      <c r="B265" s="84" t="str">
        <f t="shared" si="40"/>
        <v/>
      </c>
      <c r="C265" s="30"/>
      <c r="D265" s="85" t="str">
        <f t="shared" si="41"/>
        <v/>
      </c>
      <c r="E265" s="85" t="str">
        <f t="shared" si="42"/>
        <v/>
      </c>
      <c r="F265" s="85" t="str">
        <f t="shared" si="43"/>
        <v/>
      </c>
      <c r="G265" s="86" t="str">
        <f t="shared" si="44"/>
        <v/>
      </c>
      <c r="H265" s="30"/>
      <c r="I265" s="87" t="str">
        <f t="shared" si="45"/>
        <v/>
      </c>
      <c r="J265" s="85" t="str">
        <f t="shared" si="46"/>
        <v/>
      </c>
      <c r="K265" s="49"/>
      <c r="L265" s="88" t="str">
        <f t="shared" si="47"/>
        <v/>
      </c>
      <c r="M265" s="88" t="str">
        <f t="shared" si="48"/>
        <v/>
      </c>
      <c r="N265" s="30"/>
      <c r="O265" s="31"/>
      <c r="P265" s="53"/>
      <c r="Q265" s="33"/>
      <c r="R265" s="54" t="str">
        <f t="shared" si="49"/>
        <v/>
      </c>
      <c r="S265" s="30"/>
      <c r="T265" s="33"/>
    </row>
    <row r="266" spans="1:20" x14ac:dyDescent="0.25">
      <c r="A266" s="30"/>
      <c r="B266" s="84" t="str">
        <f t="shared" si="40"/>
        <v/>
      </c>
      <c r="C266" s="30"/>
      <c r="D266" s="85" t="str">
        <f t="shared" si="41"/>
        <v/>
      </c>
      <c r="E266" s="85" t="str">
        <f t="shared" si="42"/>
        <v/>
      </c>
      <c r="F266" s="85" t="str">
        <f t="shared" si="43"/>
        <v/>
      </c>
      <c r="G266" s="86" t="str">
        <f t="shared" si="44"/>
        <v/>
      </c>
      <c r="H266" s="30"/>
      <c r="I266" s="87" t="str">
        <f t="shared" si="45"/>
        <v/>
      </c>
      <c r="J266" s="85" t="str">
        <f t="shared" si="46"/>
        <v/>
      </c>
      <c r="K266" s="49"/>
      <c r="L266" s="88" t="str">
        <f t="shared" si="47"/>
        <v/>
      </c>
      <c r="M266" s="88" t="str">
        <f t="shared" si="48"/>
        <v/>
      </c>
      <c r="N266" s="30"/>
      <c r="O266" s="31"/>
      <c r="P266" s="53"/>
      <c r="Q266" s="33"/>
      <c r="R266" s="54" t="str">
        <f t="shared" si="49"/>
        <v/>
      </c>
      <c r="S266" s="30"/>
      <c r="T266" s="33"/>
    </row>
    <row r="267" spans="1:20" x14ac:dyDescent="0.25">
      <c r="A267" s="30"/>
      <c r="B267" s="84" t="str">
        <f t="shared" si="40"/>
        <v/>
      </c>
      <c r="C267" s="30"/>
      <c r="D267" s="85" t="str">
        <f t="shared" si="41"/>
        <v/>
      </c>
      <c r="E267" s="85" t="str">
        <f t="shared" si="42"/>
        <v/>
      </c>
      <c r="F267" s="85" t="str">
        <f t="shared" si="43"/>
        <v/>
      </c>
      <c r="G267" s="86" t="str">
        <f t="shared" si="44"/>
        <v/>
      </c>
      <c r="H267" s="30"/>
      <c r="I267" s="87" t="str">
        <f t="shared" si="45"/>
        <v/>
      </c>
      <c r="J267" s="85" t="str">
        <f t="shared" si="46"/>
        <v/>
      </c>
      <c r="K267" s="49"/>
      <c r="L267" s="88" t="str">
        <f t="shared" si="47"/>
        <v/>
      </c>
      <c r="M267" s="88" t="str">
        <f t="shared" si="48"/>
        <v/>
      </c>
      <c r="N267" s="30"/>
      <c r="O267" s="31"/>
      <c r="P267" s="53"/>
      <c r="Q267" s="33"/>
      <c r="R267" s="54" t="str">
        <f t="shared" si="49"/>
        <v/>
      </c>
      <c r="S267" s="30"/>
      <c r="T267" s="33"/>
    </row>
    <row r="268" spans="1:20" x14ac:dyDescent="0.25">
      <c r="A268" s="30"/>
      <c r="B268" s="84" t="str">
        <f t="shared" si="40"/>
        <v/>
      </c>
      <c r="C268" s="30"/>
      <c r="D268" s="85" t="str">
        <f t="shared" si="41"/>
        <v/>
      </c>
      <c r="E268" s="85" t="str">
        <f t="shared" si="42"/>
        <v/>
      </c>
      <c r="F268" s="85" t="str">
        <f t="shared" si="43"/>
        <v/>
      </c>
      <c r="G268" s="86" t="str">
        <f t="shared" si="44"/>
        <v/>
      </c>
      <c r="H268" s="30"/>
      <c r="I268" s="87" t="str">
        <f t="shared" si="45"/>
        <v/>
      </c>
      <c r="J268" s="85" t="str">
        <f t="shared" si="46"/>
        <v/>
      </c>
      <c r="K268" s="49"/>
      <c r="L268" s="88" t="str">
        <f t="shared" si="47"/>
        <v/>
      </c>
      <c r="M268" s="88" t="str">
        <f t="shared" si="48"/>
        <v/>
      </c>
      <c r="N268" s="30"/>
      <c r="O268" s="31"/>
      <c r="P268" s="53"/>
      <c r="Q268" s="33"/>
      <c r="R268" s="54" t="str">
        <f t="shared" si="49"/>
        <v/>
      </c>
      <c r="S268" s="30"/>
      <c r="T268" s="33"/>
    </row>
    <row r="269" spans="1:20" x14ac:dyDescent="0.25">
      <c r="A269" s="30"/>
      <c r="B269" s="84" t="str">
        <f t="shared" si="40"/>
        <v/>
      </c>
      <c r="C269" s="30"/>
      <c r="D269" s="85" t="str">
        <f t="shared" si="41"/>
        <v/>
      </c>
      <c r="E269" s="85" t="str">
        <f t="shared" si="42"/>
        <v/>
      </c>
      <c r="F269" s="85" t="str">
        <f t="shared" si="43"/>
        <v/>
      </c>
      <c r="G269" s="86" t="str">
        <f t="shared" si="44"/>
        <v/>
      </c>
      <c r="H269" s="30"/>
      <c r="I269" s="87" t="str">
        <f t="shared" si="45"/>
        <v/>
      </c>
      <c r="J269" s="85" t="str">
        <f t="shared" si="46"/>
        <v/>
      </c>
      <c r="K269" s="49"/>
      <c r="L269" s="88" t="str">
        <f t="shared" si="47"/>
        <v/>
      </c>
      <c r="M269" s="88" t="str">
        <f t="shared" si="48"/>
        <v/>
      </c>
      <c r="N269" s="30"/>
      <c r="O269" s="31"/>
      <c r="P269" s="53"/>
      <c r="Q269" s="33"/>
      <c r="R269" s="54" t="str">
        <f t="shared" si="49"/>
        <v/>
      </c>
      <c r="S269" s="30"/>
      <c r="T269" s="33"/>
    </row>
    <row r="270" spans="1:20" x14ac:dyDescent="0.25">
      <c r="A270" s="30"/>
      <c r="B270" s="84" t="str">
        <f t="shared" si="40"/>
        <v/>
      </c>
      <c r="C270" s="30"/>
      <c r="D270" s="85" t="str">
        <f t="shared" si="41"/>
        <v/>
      </c>
      <c r="E270" s="85" t="str">
        <f t="shared" si="42"/>
        <v/>
      </c>
      <c r="F270" s="85" t="str">
        <f t="shared" si="43"/>
        <v/>
      </c>
      <c r="G270" s="86" t="str">
        <f t="shared" si="44"/>
        <v/>
      </c>
      <c r="H270" s="30"/>
      <c r="I270" s="87" t="str">
        <f t="shared" si="45"/>
        <v/>
      </c>
      <c r="J270" s="85" t="str">
        <f t="shared" si="46"/>
        <v/>
      </c>
      <c r="K270" s="49"/>
      <c r="L270" s="88" t="str">
        <f t="shared" si="47"/>
        <v/>
      </c>
      <c r="M270" s="88" t="str">
        <f t="shared" si="48"/>
        <v/>
      </c>
      <c r="N270" s="30"/>
      <c r="O270" s="31"/>
      <c r="P270" s="53"/>
      <c r="Q270" s="33"/>
      <c r="R270" s="54" t="str">
        <f t="shared" si="49"/>
        <v/>
      </c>
      <c r="S270" s="30"/>
      <c r="T270" s="33"/>
    </row>
    <row r="271" spans="1:20" x14ac:dyDescent="0.25">
      <c r="A271" s="30"/>
      <c r="B271" s="84" t="str">
        <f t="shared" si="40"/>
        <v/>
      </c>
      <c r="C271" s="30"/>
      <c r="D271" s="85" t="str">
        <f t="shared" si="41"/>
        <v/>
      </c>
      <c r="E271" s="85" t="str">
        <f t="shared" si="42"/>
        <v/>
      </c>
      <c r="F271" s="85" t="str">
        <f t="shared" si="43"/>
        <v/>
      </c>
      <c r="G271" s="86" t="str">
        <f t="shared" si="44"/>
        <v/>
      </c>
      <c r="H271" s="30"/>
      <c r="I271" s="87" t="str">
        <f t="shared" si="45"/>
        <v/>
      </c>
      <c r="J271" s="85" t="str">
        <f t="shared" si="46"/>
        <v/>
      </c>
      <c r="K271" s="49"/>
      <c r="L271" s="88" t="str">
        <f t="shared" si="47"/>
        <v/>
      </c>
      <c r="M271" s="88" t="str">
        <f t="shared" si="48"/>
        <v/>
      </c>
      <c r="N271" s="30"/>
      <c r="O271" s="31"/>
      <c r="P271" s="53"/>
      <c r="Q271" s="33"/>
      <c r="R271" s="54" t="str">
        <f t="shared" si="49"/>
        <v/>
      </c>
      <c r="S271" s="30"/>
      <c r="T271" s="33"/>
    </row>
    <row r="272" spans="1:20" x14ac:dyDescent="0.25">
      <c r="A272" s="30"/>
      <c r="B272" s="84" t="str">
        <f t="shared" si="40"/>
        <v/>
      </c>
      <c r="C272" s="30"/>
      <c r="D272" s="85" t="str">
        <f t="shared" si="41"/>
        <v/>
      </c>
      <c r="E272" s="85" t="str">
        <f t="shared" si="42"/>
        <v/>
      </c>
      <c r="F272" s="85" t="str">
        <f t="shared" si="43"/>
        <v/>
      </c>
      <c r="G272" s="86" t="str">
        <f t="shared" si="44"/>
        <v/>
      </c>
      <c r="H272" s="30"/>
      <c r="I272" s="87" t="str">
        <f t="shared" si="45"/>
        <v/>
      </c>
      <c r="J272" s="85" t="str">
        <f t="shared" si="46"/>
        <v/>
      </c>
      <c r="K272" s="49"/>
      <c r="L272" s="88" t="str">
        <f t="shared" si="47"/>
        <v/>
      </c>
      <c r="M272" s="88" t="str">
        <f t="shared" si="48"/>
        <v/>
      </c>
      <c r="N272" s="30"/>
      <c r="O272" s="31"/>
      <c r="P272" s="53"/>
      <c r="Q272" s="33"/>
      <c r="R272" s="54" t="str">
        <f t="shared" si="49"/>
        <v/>
      </c>
      <c r="S272" s="30"/>
      <c r="T272" s="33"/>
    </row>
    <row r="273" spans="1:20" x14ac:dyDescent="0.25">
      <c r="A273" s="30"/>
      <c r="B273" s="84" t="str">
        <f t="shared" si="40"/>
        <v/>
      </c>
      <c r="C273" s="30"/>
      <c r="D273" s="85" t="str">
        <f t="shared" si="41"/>
        <v/>
      </c>
      <c r="E273" s="85" t="str">
        <f t="shared" si="42"/>
        <v/>
      </c>
      <c r="F273" s="85" t="str">
        <f t="shared" si="43"/>
        <v/>
      </c>
      <c r="G273" s="86" t="str">
        <f t="shared" si="44"/>
        <v/>
      </c>
      <c r="H273" s="30"/>
      <c r="I273" s="87" t="str">
        <f t="shared" si="45"/>
        <v/>
      </c>
      <c r="J273" s="85" t="str">
        <f t="shared" si="46"/>
        <v/>
      </c>
      <c r="K273" s="49"/>
      <c r="L273" s="88" t="str">
        <f t="shared" si="47"/>
        <v/>
      </c>
      <c r="M273" s="88" t="str">
        <f t="shared" si="48"/>
        <v/>
      </c>
      <c r="N273" s="30"/>
      <c r="O273" s="31"/>
      <c r="P273" s="53"/>
      <c r="Q273" s="33"/>
      <c r="R273" s="54" t="str">
        <f t="shared" si="49"/>
        <v/>
      </c>
      <c r="S273" s="30"/>
      <c r="T273" s="33"/>
    </row>
    <row r="274" spans="1:20" x14ac:dyDescent="0.25">
      <c r="A274" s="30"/>
      <c r="B274" s="84" t="str">
        <f t="shared" si="40"/>
        <v/>
      </c>
      <c r="C274" s="30"/>
      <c r="D274" s="85" t="str">
        <f t="shared" si="41"/>
        <v/>
      </c>
      <c r="E274" s="85" t="str">
        <f t="shared" si="42"/>
        <v/>
      </c>
      <c r="F274" s="85" t="str">
        <f t="shared" si="43"/>
        <v/>
      </c>
      <c r="G274" s="86" t="str">
        <f t="shared" si="44"/>
        <v/>
      </c>
      <c r="H274" s="30"/>
      <c r="I274" s="87" t="str">
        <f t="shared" si="45"/>
        <v/>
      </c>
      <c r="J274" s="85" t="str">
        <f t="shared" si="46"/>
        <v/>
      </c>
      <c r="K274" s="49"/>
      <c r="L274" s="88" t="str">
        <f t="shared" si="47"/>
        <v/>
      </c>
      <c r="M274" s="88" t="str">
        <f t="shared" si="48"/>
        <v/>
      </c>
      <c r="N274" s="30"/>
      <c r="O274" s="31"/>
      <c r="P274" s="53"/>
      <c r="Q274" s="33"/>
      <c r="R274" s="54" t="str">
        <f t="shared" si="49"/>
        <v/>
      </c>
      <c r="S274" s="30"/>
      <c r="T274" s="33"/>
    </row>
    <row r="275" spans="1:20" x14ac:dyDescent="0.25">
      <c r="A275" s="30"/>
      <c r="B275" s="84" t="str">
        <f t="shared" si="40"/>
        <v/>
      </c>
      <c r="C275" s="30"/>
      <c r="D275" s="85" t="str">
        <f t="shared" si="41"/>
        <v/>
      </c>
      <c r="E275" s="85" t="str">
        <f t="shared" si="42"/>
        <v/>
      </c>
      <c r="F275" s="85" t="str">
        <f t="shared" si="43"/>
        <v/>
      </c>
      <c r="G275" s="86" t="str">
        <f t="shared" si="44"/>
        <v/>
      </c>
      <c r="H275" s="30"/>
      <c r="I275" s="87" t="str">
        <f t="shared" si="45"/>
        <v/>
      </c>
      <c r="J275" s="85" t="str">
        <f t="shared" si="46"/>
        <v/>
      </c>
      <c r="K275" s="49"/>
      <c r="L275" s="88" t="str">
        <f t="shared" si="47"/>
        <v/>
      </c>
      <c r="M275" s="88" t="str">
        <f t="shared" si="48"/>
        <v/>
      </c>
      <c r="N275" s="30"/>
      <c r="O275" s="31"/>
      <c r="P275" s="53"/>
      <c r="Q275" s="33"/>
      <c r="R275" s="54" t="str">
        <f t="shared" si="49"/>
        <v/>
      </c>
      <c r="S275" s="30"/>
      <c r="T275" s="33"/>
    </row>
    <row r="276" spans="1:20" x14ac:dyDescent="0.25">
      <c r="A276" s="30"/>
      <c r="B276" s="84" t="str">
        <f t="shared" si="40"/>
        <v/>
      </c>
      <c r="C276" s="30"/>
      <c r="D276" s="85" t="str">
        <f t="shared" si="41"/>
        <v/>
      </c>
      <c r="E276" s="85" t="str">
        <f t="shared" si="42"/>
        <v/>
      </c>
      <c r="F276" s="85" t="str">
        <f t="shared" si="43"/>
        <v/>
      </c>
      <c r="G276" s="86" t="str">
        <f t="shared" si="44"/>
        <v/>
      </c>
      <c r="H276" s="30"/>
      <c r="I276" s="87" t="str">
        <f t="shared" si="45"/>
        <v/>
      </c>
      <c r="J276" s="85" t="str">
        <f t="shared" si="46"/>
        <v/>
      </c>
      <c r="K276" s="49"/>
      <c r="L276" s="88" t="str">
        <f t="shared" si="47"/>
        <v/>
      </c>
      <c r="M276" s="88" t="str">
        <f t="shared" si="48"/>
        <v/>
      </c>
      <c r="N276" s="30"/>
      <c r="O276" s="31"/>
      <c r="P276" s="53"/>
      <c r="Q276" s="33"/>
      <c r="R276" s="54" t="str">
        <f t="shared" si="49"/>
        <v/>
      </c>
      <c r="S276" s="30"/>
      <c r="T276" s="33"/>
    </row>
    <row r="277" spans="1:20" x14ac:dyDescent="0.25">
      <c r="A277" s="30"/>
      <c r="B277" s="84" t="str">
        <f t="shared" si="40"/>
        <v/>
      </c>
      <c r="C277" s="30"/>
      <c r="D277" s="85" t="str">
        <f t="shared" si="41"/>
        <v/>
      </c>
      <c r="E277" s="85" t="str">
        <f t="shared" si="42"/>
        <v/>
      </c>
      <c r="F277" s="85" t="str">
        <f t="shared" si="43"/>
        <v/>
      </c>
      <c r="G277" s="86" t="str">
        <f t="shared" si="44"/>
        <v/>
      </c>
      <c r="H277" s="30"/>
      <c r="I277" s="87" t="str">
        <f t="shared" si="45"/>
        <v/>
      </c>
      <c r="J277" s="85" t="str">
        <f t="shared" si="46"/>
        <v/>
      </c>
      <c r="K277" s="49"/>
      <c r="L277" s="88" t="str">
        <f t="shared" si="47"/>
        <v/>
      </c>
      <c r="M277" s="88" t="str">
        <f t="shared" si="48"/>
        <v/>
      </c>
      <c r="N277" s="30"/>
      <c r="O277" s="31"/>
      <c r="P277" s="53"/>
      <c r="Q277" s="33"/>
      <c r="R277" s="54" t="str">
        <f t="shared" si="49"/>
        <v/>
      </c>
      <c r="S277" s="30"/>
      <c r="T277" s="33"/>
    </row>
    <row r="278" spans="1:20" x14ac:dyDescent="0.25">
      <c r="A278" s="30"/>
      <c r="B278" s="84" t="str">
        <f t="shared" si="40"/>
        <v/>
      </c>
      <c r="C278" s="30"/>
      <c r="D278" s="85" t="str">
        <f t="shared" si="41"/>
        <v/>
      </c>
      <c r="E278" s="85" t="str">
        <f t="shared" si="42"/>
        <v/>
      </c>
      <c r="F278" s="85" t="str">
        <f t="shared" si="43"/>
        <v/>
      </c>
      <c r="G278" s="86" t="str">
        <f t="shared" si="44"/>
        <v/>
      </c>
      <c r="H278" s="30"/>
      <c r="I278" s="87" t="str">
        <f t="shared" si="45"/>
        <v/>
      </c>
      <c r="J278" s="85" t="str">
        <f t="shared" si="46"/>
        <v/>
      </c>
      <c r="K278" s="49"/>
      <c r="L278" s="88" t="str">
        <f t="shared" si="47"/>
        <v/>
      </c>
      <c r="M278" s="88" t="str">
        <f t="shared" si="48"/>
        <v/>
      </c>
      <c r="N278" s="30"/>
      <c r="O278" s="31"/>
      <c r="P278" s="53"/>
      <c r="Q278" s="33"/>
      <c r="R278" s="54" t="str">
        <f t="shared" si="49"/>
        <v/>
      </c>
      <c r="S278" s="30"/>
      <c r="T278" s="33"/>
    </row>
    <row r="279" spans="1:20" x14ac:dyDescent="0.25">
      <c r="A279" s="30"/>
      <c r="B279" s="84" t="str">
        <f t="shared" si="40"/>
        <v/>
      </c>
      <c r="C279" s="30"/>
      <c r="D279" s="85" t="str">
        <f t="shared" si="41"/>
        <v/>
      </c>
      <c r="E279" s="85" t="str">
        <f t="shared" si="42"/>
        <v/>
      </c>
      <c r="F279" s="85" t="str">
        <f t="shared" si="43"/>
        <v/>
      </c>
      <c r="G279" s="86" t="str">
        <f t="shared" si="44"/>
        <v/>
      </c>
      <c r="H279" s="30"/>
      <c r="I279" s="87" t="str">
        <f t="shared" si="45"/>
        <v/>
      </c>
      <c r="J279" s="85" t="str">
        <f t="shared" si="46"/>
        <v/>
      </c>
      <c r="K279" s="49"/>
      <c r="L279" s="88" t="str">
        <f t="shared" si="47"/>
        <v/>
      </c>
      <c r="M279" s="88" t="str">
        <f t="shared" si="48"/>
        <v/>
      </c>
      <c r="N279" s="30"/>
      <c r="O279" s="31"/>
      <c r="P279" s="53"/>
      <c r="Q279" s="33"/>
      <c r="R279" s="54" t="str">
        <f t="shared" si="49"/>
        <v/>
      </c>
      <c r="S279" s="30"/>
      <c r="T279" s="33"/>
    </row>
    <row r="280" spans="1:20" x14ac:dyDescent="0.25">
      <c r="A280" s="30"/>
      <c r="B280" s="84" t="str">
        <f t="shared" si="40"/>
        <v/>
      </c>
      <c r="C280" s="30"/>
      <c r="D280" s="85" t="str">
        <f t="shared" si="41"/>
        <v/>
      </c>
      <c r="E280" s="85" t="str">
        <f t="shared" si="42"/>
        <v/>
      </c>
      <c r="F280" s="85" t="str">
        <f t="shared" si="43"/>
        <v/>
      </c>
      <c r="G280" s="86" t="str">
        <f t="shared" si="44"/>
        <v/>
      </c>
      <c r="H280" s="30"/>
      <c r="I280" s="87" t="str">
        <f t="shared" si="45"/>
        <v/>
      </c>
      <c r="J280" s="85" t="str">
        <f t="shared" si="46"/>
        <v/>
      </c>
      <c r="K280" s="49"/>
      <c r="L280" s="88" t="str">
        <f t="shared" si="47"/>
        <v/>
      </c>
      <c r="M280" s="88" t="str">
        <f t="shared" si="48"/>
        <v/>
      </c>
      <c r="N280" s="30"/>
      <c r="O280" s="31"/>
      <c r="P280" s="53"/>
      <c r="Q280" s="33"/>
      <c r="R280" s="54" t="str">
        <f t="shared" si="49"/>
        <v/>
      </c>
      <c r="S280" s="30"/>
      <c r="T280" s="33"/>
    </row>
    <row r="281" spans="1:20" x14ac:dyDescent="0.25">
      <c r="A281" s="30"/>
      <c r="B281" s="84" t="str">
        <f t="shared" si="40"/>
        <v/>
      </c>
      <c r="C281" s="30"/>
      <c r="D281" s="85" t="str">
        <f t="shared" si="41"/>
        <v/>
      </c>
      <c r="E281" s="85" t="str">
        <f t="shared" si="42"/>
        <v/>
      </c>
      <c r="F281" s="85" t="str">
        <f t="shared" si="43"/>
        <v/>
      </c>
      <c r="G281" s="86" t="str">
        <f t="shared" si="44"/>
        <v/>
      </c>
      <c r="H281" s="30"/>
      <c r="I281" s="87" t="str">
        <f t="shared" si="45"/>
        <v/>
      </c>
      <c r="J281" s="85" t="str">
        <f t="shared" si="46"/>
        <v/>
      </c>
      <c r="K281" s="49"/>
      <c r="L281" s="88" t="str">
        <f t="shared" si="47"/>
        <v/>
      </c>
      <c r="M281" s="88" t="str">
        <f t="shared" si="48"/>
        <v/>
      </c>
      <c r="N281" s="30"/>
      <c r="O281" s="31"/>
      <c r="P281" s="53"/>
      <c r="Q281" s="33"/>
      <c r="R281" s="54" t="str">
        <f t="shared" si="49"/>
        <v/>
      </c>
      <c r="S281" s="30"/>
      <c r="T281" s="33"/>
    </row>
    <row r="282" spans="1:20" x14ac:dyDescent="0.25">
      <c r="A282" s="30"/>
      <c r="B282" s="84" t="str">
        <f t="shared" si="40"/>
        <v/>
      </c>
      <c r="C282" s="30"/>
      <c r="D282" s="85" t="str">
        <f t="shared" si="41"/>
        <v/>
      </c>
      <c r="E282" s="85" t="str">
        <f t="shared" si="42"/>
        <v/>
      </c>
      <c r="F282" s="85" t="str">
        <f t="shared" si="43"/>
        <v/>
      </c>
      <c r="G282" s="86" t="str">
        <f t="shared" si="44"/>
        <v/>
      </c>
      <c r="H282" s="30"/>
      <c r="I282" s="87" t="str">
        <f t="shared" si="45"/>
        <v/>
      </c>
      <c r="J282" s="85" t="str">
        <f t="shared" si="46"/>
        <v/>
      </c>
      <c r="K282" s="49"/>
      <c r="L282" s="88" t="str">
        <f t="shared" si="47"/>
        <v/>
      </c>
      <c r="M282" s="88" t="str">
        <f t="shared" si="48"/>
        <v/>
      </c>
      <c r="N282" s="30"/>
      <c r="O282" s="31"/>
      <c r="P282" s="53"/>
      <c r="Q282" s="33"/>
      <c r="R282" s="54" t="str">
        <f t="shared" si="49"/>
        <v/>
      </c>
      <c r="S282" s="30"/>
      <c r="T282" s="33"/>
    </row>
    <row r="283" spans="1:20" x14ac:dyDescent="0.25">
      <c r="A283" s="30"/>
      <c r="B283" s="84" t="str">
        <f t="shared" si="40"/>
        <v/>
      </c>
      <c r="C283" s="30"/>
      <c r="D283" s="85" t="str">
        <f t="shared" si="41"/>
        <v/>
      </c>
      <c r="E283" s="85" t="str">
        <f t="shared" si="42"/>
        <v/>
      </c>
      <c r="F283" s="85" t="str">
        <f t="shared" si="43"/>
        <v/>
      </c>
      <c r="G283" s="86" t="str">
        <f t="shared" si="44"/>
        <v/>
      </c>
      <c r="H283" s="30"/>
      <c r="I283" s="87" t="str">
        <f t="shared" si="45"/>
        <v/>
      </c>
      <c r="J283" s="85" t="str">
        <f t="shared" si="46"/>
        <v/>
      </c>
      <c r="K283" s="49"/>
      <c r="L283" s="88" t="str">
        <f t="shared" si="47"/>
        <v/>
      </c>
      <c r="M283" s="88" t="str">
        <f t="shared" si="48"/>
        <v/>
      </c>
      <c r="N283" s="30"/>
      <c r="O283" s="31"/>
      <c r="P283" s="53"/>
      <c r="Q283" s="33"/>
      <c r="R283" s="54" t="str">
        <f t="shared" si="49"/>
        <v/>
      </c>
      <c r="S283" s="30"/>
      <c r="T283" s="33"/>
    </row>
    <row r="284" spans="1:20" x14ac:dyDescent="0.25">
      <c r="A284" s="30"/>
      <c r="B284" s="84" t="str">
        <f t="shared" si="40"/>
        <v/>
      </c>
      <c r="C284" s="30"/>
      <c r="D284" s="85" t="str">
        <f t="shared" si="41"/>
        <v/>
      </c>
      <c r="E284" s="85" t="str">
        <f t="shared" si="42"/>
        <v/>
      </c>
      <c r="F284" s="85" t="str">
        <f t="shared" si="43"/>
        <v/>
      </c>
      <c r="G284" s="86" t="str">
        <f t="shared" si="44"/>
        <v/>
      </c>
      <c r="H284" s="30"/>
      <c r="I284" s="87" t="str">
        <f t="shared" si="45"/>
        <v/>
      </c>
      <c r="J284" s="85" t="str">
        <f t="shared" si="46"/>
        <v/>
      </c>
      <c r="K284" s="49"/>
      <c r="L284" s="88" t="str">
        <f t="shared" si="47"/>
        <v/>
      </c>
      <c r="M284" s="88" t="str">
        <f t="shared" si="48"/>
        <v/>
      </c>
      <c r="N284" s="30"/>
      <c r="O284" s="31"/>
      <c r="P284" s="53"/>
      <c r="Q284" s="33"/>
      <c r="R284" s="54" t="str">
        <f t="shared" si="49"/>
        <v/>
      </c>
      <c r="S284" s="30"/>
      <c r="T284" s="33"/>
    </row>
    <row r="285" spans="1:20" x14ac:dyDescent="0.25">
      <c r="A285" s="30"/>
      <c r="B285" s="84" t="str">
        <f t="shared" si="40"/>
        <v/>
      </c>
      <c r="C285" s="30"/>
      <c r="D285" s="85" t="str">
        <f t="shared" si="41"/>
        <v/>
      </c>
      <c r="E285" s="85" t="str">
        <f t="shared" si="42"/>
        <v/>
      </c>
      <c r="F285" s="85" t="str">
        <f t="shared" si="43"/>
        <v/>
      </c>
      <c r="G285" s="86" t="str">
        <f t="shared" si="44"/>
        <v/>
      </c>
      <c r="H285" s="30"/>
      <c r="I285" s="87" t="str">
        <f t="shared" si="45"/>
        <v/>
      </c>
      <c r="J285" s="85" t="str">
        <f t="shared" si="46"/>
        <v/>
      </c>
      <c r="K285" s="49"/>
      <c r="L285" s="88" t="str">
        <f t="shared" si="47"/>
        <v/>
      </c>
      <c r="M285" s="88" t="str">
        <f t="shared" si="48"/>
        <v/>
      </c>
      <c r="N285" s="30"/>
      <c r="O285" s="31"/>
      <c r="P285" s="53"/>
      <c r="Q285" s="33"/>
      <c r="R285" s="54" t="str">
        <f t="shared" si="49"/>
        <v/>
      </c>
      <c r="S285" s="30"/>
      <c r="T285" s="33"/>
    </row>
    <row r="286" spans="1:20" x14ac:dyDescent="0.25">
      <c r="A286" s="30"/>
      <c r="B286" s="84" t="str">
        <f t="shared" si="40"/>
        <v/>
      </c>
      <c r="C286" s="30"/>
      <c r="D286" s="85" t="str">
        <f t="shared" si="41"/>
        <v/>
      </c>
      <c r="E286" s="85" t="str">
        <f t="shared" si="42"/>
        <v/>
      </c>
      <c r="F286" s="85" t="str">
        <f t="shared" si="43"/>
        <v/>
      </c>
      <c r="G286" s="86" t="str">
        <f t="shared" si="44"/>
        <v/>
      </c>
      <c r="H286" s="30"/>
      <c r="I286" s="87" t="str">
        <f t="shared" si="45"/>
        <v/>
      </c>
      <c r="J286" s="85" t="str">
        <f t="shared" si="46"/>
        <v/>
      </c>
      <c r="K286" s="49"/>
      <c r="L286" s="88" t="str">
        <f t="shared" si="47"/>
        <v/>
      </c>
      <c r="M286" s="88" t="str">
        <f t="shared" si="48"/>
        <v/>
      </c>
      <c r="N286" s="30"/>
      <c r="O286" s="31"/>
      <c r="P286" s="53"/>
      <c r="Q286" s="33"/>
      <c r="R286" s="54" t="str">
        <f t="shared" si="49"/>
        <v/>
      </c>
      <c r="S286" s="30"/>
      <c r="T286" s="33"/>
    </row>
    <row r="287" spans="1:20" x14ac:dyDescent="0.25">
      <c r="A287" s="30"/>
      <c r="B287" s="84" t="str">
        <f t="shared" si="40"/>
        <v/>
      </c>
      <c r="C287" s="30"/>
      <c r="D287" s="85" t="str">
        <f t="shared" si="41"/>
        <v/>
      </c>
      <c r="E287" s="85" t="str">
        <f t="shared" si="42"/>
        <v/>
      </c>
      <c r="F287" s="85" t="str">
        <f t="shared" si="43"/>
        <v/>
      </c>
      <c r="G287" s="86" t="str">
        <f t="shared" si="44"/>
        <v/>
      </c>
      <c r="H287" s="30"/>
      <c r="I287" s="87" t="str">
        <f t="shared" si="45"/>
        <v/>
      </c>
      <c r="J287" s="85" t="str">
        <f t="shared" si="46"/>
        <v/>
      </c>
      <c r="K287" s="49"/>
      <c r="L287" s="88" t="str">
        <f t="shared" si="47"/>
        <v/>
      </c>
      <c r="M287" s="88" t="str">
        <f t="shared" si="48"/>
        <v/>
      </c>
      <c r="N287" s="30"/>
      <c r="O287" s="31"/>
      <c r="P287" s="53"/>
      <c r="Q287" s="33"/>
      <c r="R287" s="54" t="str">
        <f t="shared" si="49"/>
        <v/>
      </c>
      <c r="S287" s="30"/>
      <c r="T287" s="33"/>
    </row>
    <row r="288" spans="1:20" x14ac:dyDescent="0.25">
      <c r="A288" s="30"/>
      <c r="B288" s="84" t="str">
        <f t="shared" si="40"/>
        <v/>
      </c>
      <c r="C288" s="30"/>
      <c r="D288" s="85" t="str">
        <f t="shared" si="41"/>
        <v/>
      </c>
      <c r="E288" s="85" t="str">
        <f t="shared" si="42"/>
        <v/>
      </c>
      <c r="F288" s="85" t="str">
        <f t="shared" si="43"/>
        <v/>
      </c>
      <c r="G288" s="86" t="str">
        <f t="shared" si="44"/>
        <v/>
      </c>
      <c r="H288" s="30"/>
      <c r="I288" s="87" t="str">
        <f t="shared" si="45"/>
        <v/>
      </c>
      <c r="J288" s="85" t="str">
        <f t="shared" si="46"/>
        <v/>
      </c>
      <c r="K288" s="49"/>
      <c r="L288" s="88" t="str">
        <f t="shared" si="47"/>
        <v/>
      </c>
      <c r="M288" s="88" t="str">
        <f t="shared" si="48"/>
        <v/>
      </c>
      <c r="N288" s="30"/>
      <c r="O288" s="31"/>
      <c r="P288" s="53"/>
      <c r="Q288" s="33"/>
      <c r="R288" s="54" t="str">
        <f t="shared" si="49"/>
        <v/>
      </c>
      <c r="S288" s="30"/>
      <c r="T288" s="33"/>
    </row>
    <row r="289" spans="1:20" x14ac:dyDescent="0.25">
      <c r="A289" s="30"/>
      <c r="B289" s="84" t="str">
        <f t="shared" si="40"/>
        <v/>
      </c>
      <c r="C289" s="30"/>
      <c r="D289" s="85" t="str">
        <f t="shared" si="41"/>
        <v/>
      </c>
      <c r="E289" s="85" t="str">
        <f t="shared" si="42"/>
        <v/>
      </c>
      <c r="F289" s="85" t="str">
        <f t="shared" si="43"/>
        <v/>
      </c>
      <c r="G289" s="86" t="str">
        <f t="shared" si="44"/>
        <v/>
      </c>
      <c r="H289" s="30"/>
      <c r="I289" s="87" t="str">
        <f t="shared" si="45"/>
        <v/>
      </c>
      <c r="J289" s="85" t="str">
        <f t="shared" si="46"/>
        <v/>
      </c>
      <c r="K289" s="49"/>
      <c r="L289" s="88" t="str">
        <f t="shared" si="47"/>
        <v/>
      </c>
      <c r="M289" s="88" t="str">
        <f t="shared" si="48"/>
        <v/>
      </c>
      <c r="N289" s="30"/>
      <c r="O289" s="31"/>
      <c r="P289" s="53"/>
      <c r="Q289" s="33"/>
      <c r="R289" s="54" t="str">
        <f t="shared" si="49"/>
        <v/>
      </c>
      <c r="S289" s="30"/>
      <c r="T289" s="33"/>
    </row>
    <row r="290" spans="1:20" x14ac:dyDescent="0.25">
      <c r="A290" s="30"/>
      <c r="B290" s="84" t="str">
        <f t="shared" si="40"/>
        <v/>
      </c>
      <c r="C290" s="30"/>
      <c r="D290" s="85" t="str">
        <f t="shared" si="41"/>
        <v/>
      </c>
      <c r="E290" s="85" t="str">
        <f t="shared" si="42"/>
        <v/>
      </c>
      <c r="F290" s="85" t="str">
        <f t="shared" si="43"/>
        <v/>
      </c>
      <c r="G290" s="86" t="str">
        <f t="shared" si="44"/>
        <v/>
      </c>
      <c r="H290" s="30"/>
      <c r="I290" s="87" t="str">
        <f t="shared" si="45"/>
        <v/>
      </c>
      <c r="J290" s="85" t="str">
        <f t="shared" si="46"/>
        <v/>
      </c>
      <c r="K290" s="49"/>
      <c r="L290" s="88" t="str">
        <f t="shared" si="47"/>
        <v/>
      </c>
      <c r="M290" s="88" t="str">
        <f t="shared" si="48"/>
        <v/>
      </c>
      <c r="N290" s="30"/>
      <c r="O290" s="31"/>
      <c r="P290" s="53"/>
      <c r="Q290" s="33"/>
      <c r="R290" s="54" t="str">
        <f t="shared" si="49"/>
        <v/>
      </c>
      <c r="S290" s="30"/>
      <c r="T290" s="33"/>
    </row>
    <row r="291" spans="1:20" x14ac:dyDescent="0.25">
      <c r="A291" s="30"/>
      <c r="B291" s="84" t="str">
        <f t="shared" si="40"/>
        <v/>
      </c>
      <c r="C291" s="30"/>
      <c r="D291" s="85" t="str">
        <f t="shared" si="41"/>
        <v/>
      </c>
      <c r="E291" s="85" t="str">
        <f t="shared" si="42"/>
        <v/>
      </c>
      <c r="F291" s="85" t="str">
        <f t="shared" si="43"/>
        <v/>
      </c>
      <c r="G291" s="86" t="str">
        <f t="shared" si="44"/>
        <v/>
      </c>
      <c r="H291" s="30"/>
      <c r="I291" s="87" t="str">
        <f t="shared" si="45"/>
        <v/>
      </c>
      <c r="J291" s="85" t="str">
        <f t="shared" si="46"/>
        <v/>
      </c>
      <c r="K291" s="49"/>
      <c r="L291" s="88" t="str">
        <f t="shared" si="47"/>
        <v/>
      </c>
      <c r="M291" s="88" t="str">
        <f t="shared" si="48"/>
        <v/>
      </c>
      <c r="N291" s="30"/>
      <c r="O291" s="31"/>
      <c r="P291" s="53"/>
      <c r="Q291" s="33"/>
      <c r="R291" s="54" t="str">
        <f t="shared" si="49"/>
        <v/>
      </c>
      <c r="S291" s="30"/>
      <c r="T291" s="33"/>
    </row>
    <row r="292" spans="1:20" x14ac:dyDescent="0.25">
      <c r="A292" s="30"/>
      <c r="B292" s="84" t="str">
        <f t="shared" si="40"/>
        <v/>
      </c>
      <c r="C292" s="30"/>
      <c r="D292" s="85" t="str">
        <f t="shared" si="41"/>
        <v/>
      </c>
      <c r="E292" s="85" t="str">
        <f t="shared" si="42"/>
        <v/>
      </c>
      <c r="F292" s="85" t="str">
        <f t="shared" si="43"/>
        <v/>
      </c>
      <c r="G292" s="86" t="str">
        <f t="shared" si="44"/>
        <v/>
      </c>
      <c r="H292" s="30"/>
      <c r="I292" s="87" t="str">
        <f t="shared" si="45"/>
        <v/>
      </c>
      <c r="J292" s="85" t="str">
        <f t="shared" si="46"/>
        <v/>
      </c>
      <c r="K292" s="49"/>
      <c r="L292" s="88" t="str">
        <f t="shared" si="47"/>
        <v/>
      </c>
      <c r="M292" s="88" t="str">
        <f t="shared" si="48"/>
        <v/>
      </c>
      <c r="N292" s="30"/>
      <c r="O292" s="31"/>
      <c r="P292" s="53"/>
      <c r="Q292" s="33"/>
      <c r="R292" s="54" t="str">
        <f t="shared" si="49"/>
        <v/>
      </c>
      <c r="S292" s="30"/>
      <c r="T292" s="33"/>
    </row>
    <row r="293" spans="1:20" x14ac:dyDescent="0.25">
      <c r="A293" s="30"/>
      <c r="B293" s="84" t="str">
        <f t="shared" si="40"/>
        <v/>
      </c>
      <c r="C293" s="30"/>
      <c r="D293" s="85" t="str">
        <f t="shared" si="41"/>
        <v/>
      </c>
      <c r="E293" s="85" t="str">
        <f t="shared" si="42"/>
        <v/>
      </c>
      <c r="F293" s="85" t="str">
        <f t="shared" si="43"/>
        <v/>
      </c>
      <c r="G293" s="86" t="str">
        <f t="shared" si="44"/>
        <v/>
      </c>
      <c r="H293" s="30"/>
      <c r="I293" s="87" t="str">
        <f t="shared" si="45"/>
        <v/>
      </c>
      <c r="J293" s="85" t="str">
        <f t="shared" si="46"/>
        <v/>
      </c>
      <c r="K293" s="49"/>
      <c r="L293" s="88" t="str">
        <f t="shared" si="47"/>
        <v/>
      </c>
      <c r="M293" s="88" t="str">
        <f t="shared" si="48"/>
        <v/>
      </c>
      <c r="N293" s="30"/>
      <c r="O293" s="31"/>
      <c r="P293" s="53"/>
      <c r="Q293" s="33"/>
      <c r="R293" s="54" t="str">
        <f t="shared" si="49"/>
        <v/>
      </c>
      <c r="S293" s="30"/>
      <c r="T293" s="33"/>
    </row>
    <row r="294" spans="1:20" x14ac:dyDescent="0.25">
      <c r="A294" s="30"/>
      <c r="B294" s="84" t="str">
        <f t="shared" si="40"/>
        <v/>
      </c>
      <c r="C294" s="30"/>
      <c r="D294" s="85" t="str">
        <f t="shared" si="41"/>
        <v/>
      </c>
      <c r="E294" s="85" t="str">
        <f t="shared" si="42"/>
        <v/>
      </c>
      <c r="F294" s="85" t="str">
        <f t="shared" si="43"/>
        <v/>
      </c>
      <c r="G294" s="86" t="str">
        <f t="shared" si="44"/>
        <v/>
      </c>
      <c r="H294" s="30"/>
      <c r="I294" s="87" t="str">
        <f t="shared" si="45"/>
        <v/>
      </c>
      <c r="J294" s="85" t="str">
        <f t="shared" si="46"/>
        <v/>
      </c>
      <c r="K294" s="49"/>
      <c r="L294" s="88" t="str">
        <f t="shared" si="47"/>
        <v/>
      </c>
      <c r="M294" s="88" t="str">
        <f t="shared" si="48"/>
        <v/>
      </c>
      <c r="N294" s="30"/>
      <c r="O294" s="31"/>
      <c r="P294" s="53"/>
      <c r="Q294" s="33"/>
      <c r="R294" s="54" t="str">
        <f t="shared" si="49"/>
        <v/>
      </c>
      <c r="S294" s="30"/>
      <c r="T294" s="33"/>
    </row>
    <row r="295" spans="1:20" x14ac:dyDescent="0.25">
      <c r="A295" s="30"/>
      <c r="B295" s="84" t="str">
        <f t="shared" si="40"/>
        <v/>
      </c>
      <c r="C295" s="30"/>
      <c r="D295" s="85" t="str">
        <f t="shared" si="41"/>
        <v/>
      </c>
      <c r="E295" s="85" t="str">
        <f t="shared" si="42"/>
        <v/>
      </c>
      <c r="F295" s="85" t="str">
        <f t="shared" si="43"/>
        <v/>
      </c>
      <c r="G295" s="86" t="str">
        <f t="shared" si="44"/>
        <v/>
      </c>
      <c r="H295" s="30"/>
      <c r="I295" s="87" t="str">
        <f t="shared" si="45"/>
        <v/>
      </c>
      <c r="J295" s="85" t="str">
        <f t="shared" si="46"/>
        <v/>
      </c>
      <c r="K295" s="49"/>
      <c r="L295" s="88" t="str">
        <f t="shared" si="47"/>
        <v/>
      </c>
      <c r="M295" s="88" t="str">
        <f t="shared" si="48"/>
        <v/>
      </c>
      <c r="N295" s="30"/>
      <c r="O295" s="31"/>
      <c r="P295" s="53"/>
      <c r="Q295" s="33"/>
      <c r="R295" s="54" t="str">
        <f t="shared" si="49"/>
        <v/>
      </c>
      <c r="S295" s="30"/>
      <c r="T295" s="33"/>
    </row>
    <row r="296" spans="1:20" x14ac:dyDescent="0.25">
      <c r="A296" s="30"/>
      <c r="B296" s="84" t="str">
        <f t="shared" si="40"/>
        <v/>
      </c>
      <c r="C296" s="30"/>
      <c r="D296" s="85" t="str">
        <f t="shared" si="41"/>
        <v/>
      </c>
      <c r="E296" s="85" t="str">
        <f t="shared" si="42"/>
        <v/>
      </c>
      <c r="F296" s="85" t="str">
        <f t="shared" si="43"/>
        <v/>
      </c>
      <c r="G296" s="86" t="str">
        <f t="shared" si="44"/>
        <v/>
      </c>
      <c r="H296" s="30"/>
      <c r="I296" s="87" t="str">
        <f t="shared" si="45"/>
        <v/>
      </c>
      <c r="J296" s="85" t="str">
        <f t="shared" si="46"/>
        <v/>
      </c>
      <c r="K296" s="49"/>
      <c r="L296" s="88" t="str">
        <f t="shared" si="47"/>
        <v/>
      </c>
      <c r="M296" s="88" t="str">
        <f t="shared" si="48"/>
        <v/>
      </c>
      <c r="N296" s="30"/>
      <c r="O296" s="31"/>
      <c r="P296" s="53"/>
      <c r="Q296" s="33"/>
      <c r="R296" s="54" t="str">
        <f t="shared" si="49"/>
        <v/>
      </c>
      <c r="S296" s="30"/>
      <c r="T296" s="33"/>
    </row>
    <row r="297" spans="1:20" x14ac:dyDescent="0.25">
      <c r="A297" s="30"/>
      <c r="B297" s="84" t="str">
        <f t="shared" si="40"/>
        <v/>
      </c>
      <c r="C297" s="30"/>
      <c r="D297" s="85" t="str">
        <f t="shared" si="41"/>
        <v/>
      </c>
      <c r="E297" s="85" t="str">
        <f t="shared" si="42"/>
        <v/>
      </c>
      <c r="F297" s="85" t="str">
        <f t="shared" si="43"/>
        <v/>
      </c>
      <c r="G297" s="86" t="str">
        <f t="shared" si="44"/>
        <v/>
      </c>
      <c r="H297" s="30"/>
      <c r="I297" s="87" t="str">
        <f t="shared" si="45"/>
        <v/>
      </c>
      <c r="J297" s="85" t="str">
        <f t="shared" si="46"/>
        <v/>
      </c>
      <c r="K297" s="49"/>
      <c r="L297" s="88" t="str">
        <f t="shared" si="47"/>
        <v/>
      </c>
      <c r="M297" s="88" t="str">
        <f t="shared" si="48"/>
        <v/>
      </c>
      <c r="N297" s="30"/>
      <c r="O297" s="31"/>
      <c r="P297" s="53"/>
      <c r="Q297" s="33"/>
      <c r="R297" s="54" t="str">
        <f t="shared" si="49"/>
        <v/>
      </c>
      <c r="S297" s="30"/>
      <c r="T297" s="33"/>
    </row>
    <row r="298" spans="1:20" x14ac:dyDescent="0.25">
      <c r="A298" s="30"/>
      <c r="B298" s="84" t="str">
        <f t="shared" si="40"/>
        <v/>
      </c>
      <c r="C298" s="30"/>
      <c r="D298" s="85" t="str">
        <f t="shared" si="41"/>
        <v/>
      </c>
      <c r="E298" s="85" t="str">
        <f t="shared" si="42"/>
        <v/>
      </c>
      <c r="F298" s="85" t="str">
        <f t="shared" si="43"/>
        <v/>
      </c>
      <c r="G298" s="86" t="str">
        <f t="shared" si="44"/>
        <v/>
      </c>
      <c r="H298" s="30"/>
      <c r="I298" s="87" t="str">
        <f t="shared" si="45"/>
        <v/>
      </c>
      <c r="J298" s="85" t="str">
        <f t="shared" si="46"/>
        <v/>
      </c>
      <c r="K298" s="49"/>
      <c r="L298" s="88" t="str">
        <f t="shared" si="47"/>
        <v/>
      </c>
      <c r="M298" s="88" t="str">
        <f t="shared" si="48"/>
        <v/>
      </c>
      <c r="N298" s="30"/>
      <c r="O298" s="31"/>
      <c r="P298" s="53"/>
      <c r="Q298" s="33"/>
      <c r="R298" s="54" t="str">
        <f t="shared" si="49"/>
        <v/>
      </c>
      <c r="S298" s="30"/>
      <c r="T298" s="33"/>
    </row>
    <row r="299" spans="1:20" x14ac:dyDescent="0.25">
      <c r="A299" s="30"/>
      <c r="B299" s="84" t="str">
        <f t="shared" si="40"/>
        <v/>
      </c>
      <c r="C299" s="30"/>
      <c r="D299" s="85" t="str">
        <f t="shared" si="41"/>
        <v/>
      </c>
      <c r="E299" s="85" t="str">
        <f t="shared" si="42"/>
        <v/>
      </c>
      <c r="F299" s="85" t="str">
        <f t="shared" si="43"/>
        <v/>
      </c>
      <c r="G299" s="86" t="str">
        <f t="shared" si="44"/>
        <v/>
      </c>
      <c r="H299" s="30"/>
      <c r="I299" s="87" t="str">
        <f t="shared" si="45"/>
        <v/>
      </c>
      <c r="J299" s="85" t="str">
        <f t="shared" si="46"/>
        <v/>
      </c>
      <c r="K299" s="49"/>
      <c r="L299" s="88" t="str">
        <f t="shared" si="47"/>
        <v/>
      </c>
      <c r="M299" s="88" t="str">
        <f t="shared" si="48"/>
        <v/>
      </c>
      <c r="N299" s="30"/>
      <c r="O299" s="31"/>
      <c r="P299" s="53"/>
      <c r="Q299" s="33"/>
      <c r="R299" s="54" t="str">
        <f t="shared" si="49"/>
        <v/>
      </c>
      <c r="S299" s="30"/>
      <c r="T299" s="33"/>
    </row>
    <row r="300" spans="1:20" x14ac:dyDescent="0.25">
      <c r="A300" s="30"/>
      <c r="B300" s="84" t="str">
        <f t="shared" si="40"/>
        <v/>
      </c>
      <c r="C300" s="30"/>
      <c r="D300" s="85" t="str">
        <f t="shared" si="41"/>
        <v/>
      </c>
      <c r="E300" s="85" t="str">
        <f t="shared" si="42"/>
        <v/>
      </c>
      <c r="F300" s="85" t="str">
        <f t="shared" si="43"/>
        <v/>
      </c>
      <c r="G300" s="86" t="str">
        <f t="shared" si="44"/>
        <v/>
      </c>
      <c r="H300" s="30"/>
      <c r="I300" s="87" t="str">
        <f t="shared" si="45"/>
        <v/>
      </c>
      <c r="J300" s="85" t="str">
        <f t="shared" si="46"/>
        <v/>
      </c>
      <c r="K300" s="49"/>
      <c r="L300" s="88" t="str">
        <f t="shared" si="47"/>
        <v/>
      </c>
      <c r="M300" s="88" t="str">
        <f t="shared" si="48"/>
        <v/>
      </c>
      <c r="N300" s="30"/>
      <c r="O300" s="31"/>
      <c r="P300" s="53"/>
      <c r="Q300" s="33"/>
      <c r="R300" s="54" t="str">
        <f t="shared" si="49"/>
        <v/>
      </c>
      <c r="S300" s="30"/>
      <c r="T300" s="33"/>
    </row>
    <row r="301" spans="1:20" x14ac:dyDescent="0.25">
      <c r="A301" s="30"/>
      <c r="B301" s="84" t="str">
        <f t="shared" si="40"/>
        <v/>
      </c>
      <c r="C301" s="30"/>
      <c r="D301" s="85" t="str">
        <f t="shared" si="41"/>
        <v/>
      </c>
      <c r="E301" s="85" t="str">
        <f t="shared" si="42"/>
        <v/>
      </c>
      <c r="F301" s="85" t="str">
        <f t="shared" si="43"/>
        <v/>
      </c>
      <c r="G301" s="86" t="str">
        <f t="shared" si="44"/>
        <v/>
      </c>
      <c r="H301" s="30"/>
      <c r="I301" s="87" t="str">
        <f t="shared" si="45"/>
        <v/>
      </c>
      <c r="J301" s="85" t="str">
        <f t="shared" si="46"/>
        <v/>
      </c>
      <c r="K301" s="49"/>
      <c r="L301" s="88" t="str">
        <f t="shared" si="47"/>
        <v/>
      </c>
      <c r="M301" s="88" t="str">
        <f t="shared" si="48"/>
        <v/>
      </c>
      <c r="N301" s="30"/>
      <c r="O301" s="31"/>
      <c r="P301" s="53"/>
      <c r="Q301" s="33"/>
      <c r="R301" s="54" t="str">
        <f t="shared" si="49"/>
        <v/>
      </c>
      <c r="S301" s="30"/>
      <c r="T301" s="33"/>
    </row>
    <row r="302" spans="1:20" x14ac:dyDescent="0.25">
      <c r="A302" s="30"/>
      <c r="B302" s="84" t="str">
        <f t="shared" si="40"/>
        <v/>
      </c>
      <c r="C302" s="30"/>
      <c r="D302" s="85" t="str">
        <f t="shared" si="41"/>
        <v/>
      </c>
      <c r="E302" s="85" t="str">
        <f t="shared" si="42"/>
        <v/>
      </c>
      <c r="F302" s="85" t="str">
        <f t="shared" si="43"/>
        <v/>
      </c>
      <c r="G302" s="86" t="str">
        <f t="shared" si="44"/>
        <v/>
      </c>
      <c r="H302" s="30"/>
      <c r="I302" s="87" t="str">
        <f t="shared" si="45"/>
        <v/>
      </c>
      <c r="J302" s="85" t="str">
        <f t="shared" si="46"/>
        <v/>
      </c>
      <c r="K302" s="49"/>
      <c r="L302" s="88" t="str">
        <f t="shared" si="47"/>
        <v/>
      </c>
      <c r="M302" s="88" t="str">
        <f t="shared" si="48"/>
        <v/>
      </c>
      <c r="N302" s="30"/>
      <c r="O302" s="31"/>
      <c r="P302" s="53"/>
      <c r="Q302" s="33"/>
      <c r="R302" s="54" t="str">
        <f t="shared" si="49"/>
        <v/>
      </c>
      <c r="S302" s="30"/>
      <c r="T302" s="33"/>
    </row>
    <row r="303" spans="1:20" x14ac:dyDescent="0.25">
      <c r="A303" s="30"/>
      <c r="B303" s="84" t="str">
        <f t="shared" si="40"/>
        <v/>
      </c>
      <c r="C303" s="30"/>
      <c r="D303" s="85" t="str">
        <f t="shared" si="41"/>
        <v/>
      </c>
      <c r="E303" s="85" t="str">
        <f t="shared" si="42"/>
        <v/>
      </c>
      <c r="F303" s="85" t="str">
        <f t="shared" si="43"/>
        <v/>
      </c>
      <c r="G303" s="86" t="str">
        <f t="shared" si="44"/>
        <v/>
      </c>
      <c r="H303" s="30"/>
      <c r="I303" s="87" t="str">
        <f t="shared" si="45"/>
        <v/>
      </c>
      <c r="J303" s="85" t="str">
        <f t="shared" si="46"/>
        <v/>
      </c>
      <c r="K303" s="49"/>
      <c r="L303" s="88" t="str">
        <f t="shared" si="47"/>
        <v/>
      </c>
      <c r="M303" s="88" t="str">
        <f t="shared" si="48"/>
        <v/>
      </c>
      <c r="N303" s="30"/>
      <c r="O303" s="31"/>
      <c r="P303" s="53"/>
      <c r="Q303" s="33"/>
      <c r="R303" s="54" t="str">
        <f t="shared" si="49"/>
        <v/>
      </c>
      <c r="S303" s="30"/>
      <c r="T303" s="33"/>
    </row>
    <row r="304" spans="1:20" x14ac:dyDescent="0.25">
      <c r="A304" s="30"/>
      <c r="B304" s="84" t="str">
        <f t="shared" si="40"/>
        <v/>
      </c>
      <c r="C304" s="30"/>
      <c r="D304" s="85" t="str">
        <f t="shared" si="41"/>
        <v/>
      </c>
      <c r="E304" s="85" t="str">
        <f t="shared" si="42"/>
        <v/>
      </c>
      <c r="F304" s="85" t="str">
        <f t="shared" si="43"/>
        <v/>
      </c>
      <c r="G304" s="86" t="str">
        <f t="shared" si="44"/>
        <v/>
      </c>
      <c r="H304" s="30"/>
      <c r="I304" s="87" t="str">
        <f t="shared" si="45"/>
        <v/>
      </c>
      <c r="J304" s="85" t="str">
        <f t="shared" si="46"/>
        <v/>
      </c>
      <c r="K304" s="49"/>
      <c r="L304" s="88" t="str">
        <f t="shared" si="47"/>
        <v/>
      </c>
      <c r="M304" s="88" t="str">
        <f t="shared" si="48"/>
        <v/>
      </c>
      <c r="N304" s="30"/>
      <c r="O304" s="31"/>
      <c r="P304" s="53"/>
      <c r="Q304" s="33"/>
      <c r="R304" s="54" t="str">
        <f t="shared" si="49"/>
        <v/>
      </c>
      <c r="S304" s="30"/>
      <c r="T304" s="33"/>
    </row>
    <row r="305" spans="1:20" x14ac:dyDescent="0.25">
      <c r="A305" s="30"/>
      <c r="B305" s="84" t="str">
        <f t="shared" si="40"/>
        <v/>
      </c>
      <c r="C305" s="30"/>
      <c r="D305" s="85" t="str">
        <f t="shared" si="41"/>
        <v/>
      </c>
      <c r="E305" s="85" t="str">
        <f t="shared" si="42"/>
        <v/>
      </c>
      <c r="F305" s="85" t="str">
        <f t="shared" si="43"/>
        <v/>
      </c>
      <c r="G305" s="86" t="str">
        <f t="shared" si="44"/>
        <v/>
      </c>
      <c r="H305" s="30"/>
      <c r="I305" s="87" t="str">
        <f t="shared" si="45"/>
        <v/>
      </c>
      <c r="J305" s="85" t="str">
        <f t="shared" si="46"/>
        <v/>
      </c>
      <c r="K305" s="49"/>
      <c r="L305" s="88" t="str">
        <f t="shared" si="47"/>
        <v/>
      </c>
      <c r="M305" s="88" t="str">
        <f t="shared" si="48"/>
        <v/>
      </c>
      <c r="N305" s="30"/>
      <c r="O305" s="31"/>
      <c r="P305" s="53"/>
      <c r="Q305" s="33"/>
      <c r="R305" s="54" t="str">
        <f t="shared" si="49"/>
        <v/>
      </c>
      <c r="S305" s="30"/>
      <c r="T305" s="33"/>
    </row>
    <row r="306" spans="1:20" x14ac:dyDescent="0.25">
      <c r="A306" s="30"/>
      <c r="B306" s="84" t="str">
        <f t="shared" si="40"/>
        <v/>
      </c>
      <c r="C306" s="30"/>
      <c r="D306" s="85" t="str">
        <f t="shared" si="41"/>
        <v/>
      </c>
      <c r="E306" s="85" t="str">
        <f t="shared" si="42"/>
        <v/>
      </c>
      <c r="F306" s="85" t="str">
        <f t="shared" si="43"/>
        <v/>
      </c>
      <c r="G306" s="86" t="str">
        <f t="shared" si="44"/>
        <v/>
      </c>
      <c r="H306" s="30"/>
      <c r="I306" s="87" t="str">
        <f t="shared" si="45"/>
        <v/>
      </c>
      <c r="J306" s="85" t="str">
        <f t="shared" si="46"/>
        <v/>
      </c>
      <c r="K306" s="49"/>
      <c r="L306" s="88" t="str">
        <f t="shared" si="47"/>
        <v/>
      </c>
      <c r="M306" s="88" t="str">
        <f t="shared" si="48"/>
        <v/>
      </c>
      <c r="N306" s="30"/>
      <c r="O306" s="31"/>
      <c r="P306" s="53"/>
      <c r="Q306" s="33"/>
      <c r="R306" s="54" t="str">
        <f t="shared" si="49"/>
        <v/>
      </c>
      <c r="S306" s="30"/>
      <c r="T306" s="33"/>
    </row>
    <row r="307" spans="1:20" x14ac:dyDescent="0.25">
      <c r="A307" s="30"/>
      <c r="B307" s="84" t="str">
        <f t="shared" si="40"/>
        <v/>
      </c>
      <c r="C307" s="30"/>
      <c r="D307" s="85" t="str">
        <f t="shared" si="41"/>
        <v/>
      </c>
      <c r="E307" s="85" t="str">
        <f t="shared" si="42"/>
        <v/>
      </c>
      <c r="F307" s="85" t="str">
        <f t="shared" si="43"/>
        <v/>
      </c>
      <c r="G307" s="86" t="str">
        <f t="shared" si="44"/>
        <v/>
      </c>
      <c r="H307" s="30"/>
      <c r="I307" s="87" t="str">
        <f t="shared" si="45"/>
        <v/>
      </c>
      <c r="J307" s="85" t="str">
        <f t="shared" si="46"/>
        <v/>
      </c>
      <c r="K307" s="49"/>
      <c r="L307" s="88" t="str">
        <f t="shared" si="47"/>
        <v/>
      </c>
      <c r="M307" s="88" t="str">
        <f t="shared" si="48"/>
        <v/>
      </c>
      <c r="N307" s="30"/>
      <c r="O307" s="31"/>
      <c r="P307" s="53"/>
      <c r="Q307" s="33"/>
      <c r="R307" s="54" t="str">
        <f t="shared" si="49"/>
        <v/>
      </c>
      <c r="S307" s="30"/>
      <c r="T307" s="33"/>
    </row>
    <row r="308" spans="1:20" x14ac:dyDescent="0.25">
      <c r="A308" s="30"/>
      <c r="B308" s="84" t="str">
        <f t="shared" si="40"/>
        <v/>
      </c>
      <c r="C308" s="30"/>
      <c r="D308" s="85" t="str">
        <f t="shared" si="41"/>
        <v/>
      </c>
      <c r="E308" s="85" t="str">
        <f t="shared" si="42"/>
        <v/>
      </c>
      <c r="F308" s="85" t="str">
        <f t="shared" si="43"/>
        <v/>
      </c>
      <c r="G308" s="86" t="str">
        <f t="shared" si="44"/>
        <v/>
      </c>
      <c r="H308" s="30"/>
      <c r="I308" s="87" t="str">
        <f t="shared" si="45"/>
        <v/>
      </c>
      <c r="J308" s="85" t="str">
        <f t="shared" si="46"/>
        <v/>
      </c>
      <c r="K308" s="49"/>
      <c r="L308" s="88" t="str">
        <f t="shared" si="47"/>
        <v/>
      </c>
      <c r="M308" s="88" t="str">
        <f t="shared" si="48"/>
        <v/>
      </c>
      <c r="N308" s="30"/>
      <c r="O308" s="31"/>
      <c r="P308" s="53"/>
      <c r="Q308" s="33"/>
      <c r="R308" s="54" t="str">
        <f t="shared" si="49"/>
        <v/>
      </c>
      <c r="S308" s="30"/>
      <c r="T308" s="33"/>
    </row>
    <row r="309" spans="1:20" x14ac:dyDescent="0.25">
      <c r="A309" s="30"/>
      <c r="B309" s="84" t="str">
        <f t="shared" ref="B309:B372" si="50">IF($G309="","",EOMONTH($G309,0))</f>
        <v/>
      </c>
      <c r="C309" s="30"/>
      <c r="D309" s="85" t="str">
        <f t="shared" ref="D309:D372" si="51">IFERROR(IF($C309="","",VLOOKUP($C309,CAD_TAB,2,FALSE)),"")</f>
        <v/>
      </c>
      <c r="E309" s="85" t="str">
        <f t="shared" ref="E309:E372" si="52">IFERROR(IF($C309="","",VLOOKUP($C309,CAD_TAB,3,FALSE)),"")</f>
        <v/>
      </c>
      <c r="F309" s="85" t="str">
        <f t="shared" ref="F309:F372" si="53">IFERROR(IF($C309="","",VLOOKUP($C309,OS_TAB,7,FALSE)),"")</f>
        <v/>
      </c>
      <c r="G309" s="86" t="str">
        <f t="shared" ref="G309:G372" si="54">IFERROR(IF($C309="","",VLOOKUP($C309,OS_TAB,10,FALSE)),"")</f>
        <v/>
      </c>
      <c r="H309" s="30"/>
      <c r="I309" s="87" t="str">
        <f t="shared" ref="I309:I372" si="55">IFERROR(IF($H309="","",VLOOKUP($H309,PRE_TAB,5,FALSE)),"CÓDIGO NÃO ENCONTRADO")</f>
        <v/>
      </c>
      <c r="J309" s="85" t="str">
        <f t="shared" ref="J309:J372" si="56">IFERROR(IF($H309="","",VLOOKUP($H309,PRE_TAB,7,FALSE)),"")</f>
        <v/>
      </c>
      <c r="K309" s="49"/>
      <c r="L309" s="88" t="str">
        <f t="shared" ref="L309:L372" si="57">IFERROR(IF($H309="","",VLOOKUP($H309,PRE_TAB,8,FALSE)),0)</f>
        <v/>
      </c>
      <c r="M309" s="88" t="str">
        <f t="shared" ref="M309:M372" si="58">IF($H309="","",ROUND($K309*$L309,2))</f>
        <v/>
      </c>
      <c r="N309" s="30"/>
      <c r="O309" s="31"/>
      <c r="P309" s="53"/>
      <c r="Q309" s="33"/>
      <c r="R309" s="54" t="str">
        <f t="shared" ref="R309:R372" si="59">IF($H309="","",$M309-$P309)</f>
        <v/>
      </c>
      <c r="S309" s="30"/>
      <c r="T309" s="33"/>
    </row>
    <row r="310" spans="1:20" x14ac:dyDescent="0.25">
      <c r="A310" s="30"/>
      <c r="B310" s="84" t="str">
        <f t="shared" si="50"/>
        <v/>
      </c>
      <c r="C310" s="30"/>
      <c r="D310" s="85" t="str">
        <f t="shared" si="51"/>
        <v/>
      </c>
      <c r="E310" s="85" t="str">
        <f t="shared" si="52"/>
        <v/>
      </c>
      <c r="F310" s="85" t="str">
        <f t="shared" si="53"/>
        <v/>
      </c>
      <c r="G310" s="86" t="str">
        <f t="shared" si="54"/>
        <v/>
      </c>
      <c r="H310" s="30"/>
      <c r="I310" s="87" t="str">
        <f t="shared" si="55"/>
        <v/>
      </c>
      <c r="J310" s="85" t="str">
        <f t="shared" si="56"/>
        <v/>
      </c>
      <c r="K310" s="49"/>
      <c r="L310" s="88" t="str">
        <f t="shared" si="57"/>
        <v/>
      </c>
      <c r="M310" s="88" t="str">
        <f t="shared" si="58"/>
        <v/>
      </c>
      <c r="N310" s="30"/>
      <c r="O310" s="31"/>
      <c r="P310" s="53"/>
      <c r="Q310" s="33"/>
      <c r="R310" s="54" t="str">
        <f t="shared" si="59"/>
        <v/>
      </c>
      <c r="S310" s="30"/>
      <c r="T310" s="33"/>
    </row>
    <row r="311" spans="1:20" x14ac:dyDescent="0.25">
      <c r="A311" s="30"/>
      <c r="B311" s="84" t="str">
        <f t="shared" si="50"/>
        <v/>
      </c>
      <c r="C311" s="30"/>
      <c r="D311" s="85" t="str">
        <f t="shared" si="51"/>
        <v/>
      </c>
      <c r="E311" s="85" t="str">
        <f t="shared" si="52"/>
        <v/>
      </c>
      <c r="F311" s="85" t="str">
        <f t="shared" si="53"/>
        <v/>
      </c>
      <c r="G311" s="86" t="str">
        <f t="shared" si="54"/>
        <v/>
      </c>
      <c r="H311" s="30"/>
      <c r="I311" s="87" t="str">
        <f t="shared" si="55"/>
        <v/>
      </c>
      <c r="J311" s="85" t="str">
        <f t="shared" si="56"/>
        <v/>
      </c>
      <c r="K311" s="49"/>
      <c r="L311" s="88" t="str">
        <f t="shared" si="57"/>
        <v/>
      </c>
      <c r="M311" s="88" t="str">
        <f t="shared" si="58"/>
        <v/>
      </c>
      <c r="N311" s="30"/>
      <c r="O311" s="31"/>
      <c r="P311" s="53"/>
      <c r="Q311" s="33"/>
      <c r="R311" s="54" t="str">
        <f t="shared" si="59"/>
        <v/>
      </c>
      <c r="S311" s="30"/>
      <c r="T311" s="33"/>
    </row>
    <row r="312" spans="1:20" x14ac:dyDescent="0.25">
      <c r="A312" s="30"/>
      <c r="B312" s="84" t="str">
        <f t="shared" si="50"/>
        <v/>
      </c>
      <c r="C312" s="30"/>
      <c r="D312" s="85" t="str">
        <f t="shared" si="51"/>
        <v/>
      </c>
      <c r="E312" s="85" t="str">
        <f t="shared" si="52"/>
        <v/>
      </c>
      <c r="F312" s="85" t="str">
        <f t="shared" si="53"/>
        <v/>
      </c>
      <c r="G312" s="86" t="str">
        <f t="shared" si="54"/>
        <v/>
      </c>
      <c r="H312" s="30"/>
      <c r="I312" s="87" t="str">
        <f t="shared" si="55"/>
        <v/>
      </c>
      <c r="J312" s="85" t="str">
        <f t="shared" si="56"/>
        <v/>
      </c>
      <c r="K312" s="49"/>
      <c r="L312" s="88" t="str">
        <f t="shared" si="57"/>
        <v/>
      </c>
      <c r="M312" s="88" t="str">
        <f t="shared" si="58"/>
        <v/>
      </c>
      <c r="N312" s="30"/>
      <c r="O312" s="31"/>
      <c r="P312" s="53"/>
      <c r="Q312" s="33"/>
      <c r="R312" s="54" t="str">
        <f t="shared" si="59"/>
        <v/>
      </c>
      <c r="S312" s="30"/>
      <c r="T312" s="33"/>
    </row>
    <row r="313" spans="1:20" x14ac:dyDescent="0.25">
      <c r="A313" s="30"/>
      <c r="B313" s="84" t="str">
        <f t="shared" si="50"/>
        <v/>
      </c>
      <c r="C313" s="30"/>
      <c r="D313" s="85" t="str">
        <f t="shared" si="51"/>
        <v/>
      </c>
      <c r="E313" s="85" t="str">
        <f t="shared" si="52"/>
        <v/>
      </c>
      <c r="F313" s="85" t="str">
        <f t="shared" si="53"/>
        <v/>
      </c>
      <c r="G313" s="86" t="str">
        <f t="shared" si="54"/>
        <v/>
      </c>
      <c r="H313" s="30"/>
      <c r="I313" s="87" t="str">
        <f t="shared" si="55"/>
        <v/>
      </c>
      <c r="J313" s="85" t="str">
        <f t="shared" si="56"/>
        <v/>
      </c>
      <c r="K313" s="49"/>
      <c r="L313" s="88" t="str">
        <f t="shared" si="57"/>
        <v/>
      </c>
      <c r="M313" s="88" t="str">
        <f t="shared" si="58"/>
        <v/>
      </c>
      <c r="N313" s="30"/>
      <c r="O313" s="31"/>
      <c r="P313" s="53"/>
      <c r="Q313" s="33"/>
      <c r="R313" s="54" t="str">
        <f t="shared" si="59"/>
        <v/>
      </c>
      <c r="S313" s="30"/>
      <c r="T313" s="33"/>
    </row>
    <row r="314" spans="1:20" x14ac:dyDescent="0.25">
      <c r="A314" s="30"/>
      <c r="B314" s="84" t="str">
        <f t="shared" si="50"/>
        <v/>
      </c>
      <c r="C314" s="30"/>
      <c r="D314" s="85" t="str">
        <f t="shared" si="51"/>
        <v/>
      </c>
      <c r="E314" s="85" t="str">
        <f t="shared" si="52"/>
        <v/>
      </c>
      <c r="F314" s="85" t="str">
        <f t="shared" si="53"/>
        <v/>
      </c>
      <c r="G314" s="86" t="str">
        <f t="shared" si="54"/>
        <v/>
      </c>
      <c r="H314" s="30"/>
      <c r="I314" s="87" t="str">
        <f t="shared" si="55"/>
        <v/>
      </c>
      <c r="J314" s="85" t="str">
        <f t="shared" si="56"/>
        <v/>
      </c>
      <c r="K314" s="49"/>
      <c r="L314" s="88" t="str">
        <f t="shared" si="57"/>
        <v/>
      </c>
      <c r="M314" s="88" t="str">
        <f t="shared" si="58"/>
        <v/>
      </c>
      <c r="N314" s="30"/>
      <c r="O314" s="31"/>
      <c r="P314" s="53"/>
      <c r="Q314" s="33"/>
      <c r="R314" s="54" t="str">
        <f t="shared" si="59"/>
        <v/>
      </c>
      <c r="S314" s="30"/>
      <c r="T314" s="33"/>
    </row>
    <row r="315" spans="1:20" x14ac:dyDescent="0.25">
      <c r="A315" s="30"/>
      <c r="B315" s="84" t="str">
        <f t="shared" si="50"/>
        <v/>
      </c>
      <c r="C315" s="30"/>
      <c r="D315" s="85" t="str">
        <f t="shared" si="51"/>
        <v/>
      </c>
      <c r="E315" s="85" t="str">
        <f t="shared" si="52"/>
        <v/>
      </c>
      <c r="F315" s="85" t="str">
        <f t="shared" si="53"/>
        <v/>
      </c>
      <c r="G315" s="86" t="str">
        <f t="shared" si="54"/>
        <v/>
      </c>
      <c r="H315" s="30"/>
      <c r="I315" s="87" t="str">
        <f t="shared" si="55"/>
        <v/>
      </c>
      <c r="J315" s="85" t="str">
        <f t="shared" si="56"/>
        <v/>
      </c>
      <c r="K315" s="49"/>
      <c r="L315" s="88" t="str">
        <f t="shared" si="57"/>
        <v/>
      </c>
      <c r="M315" s="88" t="str">
        <f t="shared" si="58"/>
        <v/>
      </c>
      <c r="N315" s="30"/>
      <c r="O315" s="31"/>
      <c r="P315" s="53"/>
      <c r="Q315" s="33"/>
      <c r="R315" s="54" t="str">
        <f t="shared" si="59"/>
        <v/>
      </c>
      <c r="S315" s="30"/>
      <c r="T315" s="33"/>
    </row>
    <row r="316" spans="1:20" x14ac:dyDescent="0.25">
      <c r="A316" s="30"/>
      <c r="B316" s="84" t="str">
        <f t="shared" si="50"/>
        <v/>
      </c>
      <c r="C316" s="30"/>
      <c r="D316" s="85" t="str">
        <f t="shared" si="51"/>
        <v/>
      </c>
      <c r="E316" s="85" t="str">
        <f t="shared" si="52"/>
        <v/>
      </c>
      <c r="F316" s="85" t="str">
        <f t="shared" si="53"/>
        <v/>
      </c>
      <c r="G316" s="86" t="str">
        <f t="shared" si="54"/>
        <v/>
      </c>
      <c r="H316" s="30"/>
      <c r="I316" s="87" t="str">
        <f t="shared" si="55"/>
        <v/>
      </c>
      <c r="J316" s="85" t="str">
        <f t="shared" si="56"/>
        <v/>
      </c>
      <c r="K316" s="49"/>
      <c r="L316" s="88" t="str">
        <f t="shared" si="57"/>
        <v/>
      </c>
      <c r="M316" s="88" t="str">
        <f t="shared" si="58"/>
        <v/>
      </c>
      <c r="N316" s="30"/>
      <c r="O316" s="31"/>
      <c r="P316" s="53"/>
      <c r="Q316" s="33"/>
      <c r="R316" s="54" t="str">
        <f t="shared" si="59"/>
        <v/>
      </c>
      <c r="S316" s="30"/>
      <c r="T316" s="33"/>
    </row>
    <row r="317" spans="1:20" x14ac:dyDescent="0.25">
      <c r="A317" s="30"/>
      <c r="B317" s="84" t="str">
        <f t="shared" si="50"/>
        <v/>
      </c>
      <c r="C317" s="30"/>
      <c r="D317" s="85" t="str">
        <f t="shared" si="51"/>
        <v/>
      </c>
      <c r="E317" s="85" t="str">
        <f t="shared" si="52"/>
        <v/>
      </c>
      <c r="F317" s="85" t="str">
        <f t="shared" si="53"/>
        <v/>
      </c>
      <c r="G317" s="86" t="str">
        <f t="shared" si="54"/>
        <v/>
      </c>
      <c r="H317" s="30"/>
      <c r="I317" s="87" t="str">
        <f t="shared" si="55"/>
        <v/>
      </c>
      <c r="J317" s="85" t="str">
        <f t="shared" si="56"/>
        <v/>
      </c>
      <c r="K317" s="49"/>
      <c r="L317" s="88" t="str">
        <f t="shared" si="57"/>
        <v/>
      </c>
      <c r="M317" s="88" t="str">
        <f t="shared" si="58"/>
        <v/>
      </c>
      <c r="N317" s="30"/>
      <c r="O317" s="31"/>
      <c r="P317" s="53"/>
      <c r="Q317" s="33"/>
      <c r="R317" s="54" t="str">
        <f t="shared" si="59"/>
        <v/>
      </c>
      <c r="S317" s="30"/>
      <c r="T317" s="33"/>
    </row>
    <row r="318" spans="1:20" x14ac:dyDescent="0.25">
      <c r="A318" s="30"/>
      <c r="B318" s="84" t="str">
        <f t="shared" si="50"/>
        <v/>
      </c>
      <c r="C318" s="30"/>
      <c r="D318" s="85" t="str">
        <f t="shared" si="51"/>
        <v/>
      </c>
      <c r="E318" s="85" t="str">
        <f t="shared" si="52"/>
        <v/>
      </c>
      <c r="F318" s="85" t="str">
        <f t="shared" si="53"/>
        <v/>
      </c>
      <c r="G318" s="86" t="str">
        <f t="shared" si="54"/>
        <v/>
      </c>
      <c r="H318" s="30"/>
      <c r="I318" s="87" t="str">
        <f t="shared" si="55"/>
        <v/>
      </c>
      <c r="J318" s="85" t="str">
        <f t="shared" si="56"/>
        <v/>
      </c>
      <c r="K318" s="49"/>
      <c r="L318" s="88" t="str">
        <f t="shared" si="57"/>
        <v/>
      </c>
      <c r="M318" s="88" t="str">
        <f t="shared" si="58"/>
        <v/>
      </c>
      <c r="N318" s="30"/>
      <c r="O318" s="31"/>
      <c r="P318" s="53"/>
      <c r="Q318" s="33"/>
      <c r="R318" s="54" t="str">
        <f t="shared" si="59"/>
        <v/>
      </c>
      <c r="S318" s="30"/>
      <c r="T318" s="33"/>
    </row>
    <row r="319" spans="1:20" x14ac:dyDescent="0.25">
      <c r="A319" s="30"/>
      <c r="B319" s="84" t="str">
        <f t="shared" si="50"/>
        <v/>
      </c>
      <c r="C319" s="30"/>
      <c r="D319" s="85" t="str">
        <f t="shared" si="51"/>
        <v/>
      </c>
      <c r="E319" s="85" t="str">
        <f t="shared" si="52"/>
        <v/>
      </c>
      <c r="F319" s="85" t="str">
        <f t="shared" si="53"/>
        <v/>
      </c>
      <c r="G319" s="86" t="str">
        <f t="shared" si="54"/>
        <v/>
      </c>
      <c r="H319" s="30"/>
      <c r="I319" s="87" t="str">
        <f t="shared" si="55"/>
        <v/>
      </c>
      <c r="J319" s="85" t="str">
        <f t="shared" si="56"/>
        <v/>
      </c>
      <c r="K319" s="49"/>
      <c r="L319" s="88" t="str">
        <f t="shared" si="57"/>
        <v/>
      </c>
      <c r="M319" s="88" t="str">
        <f t="shared" si="58"/>
        <v/>
      </c>
      <c r="N319" s="30"/>
      <c r="O319" s="31"/>
      <c r="P319" s="53"/>
      <c r="Q319" s="33"/>
      <c r="R319" s="54" t="str">
        <f t="shared" si="59"/>
        <v/>
      </c>
      <c r="S319" s="30"/>
      <c r="T319" s="33"/>
    </row>
    <row r="320" spans="1:20" x14ac:dyDescent="0.25">
      <c r="A320" s="30"/>
      <c r="B320" s="84" t="str">
        <f t="shared" si="50"/>
        <v/>
      </c>
      <c r="C320" s="30"/>
      <c r="D320" s="85" t="str">
        <f t="shared" si="51"/>
        <v/>
      </c>
      <c r="E320" s="85" t="str">
        <f t="shared" si="52"/>
        <v/>
      </c>
      <c r="F320" s="85" t="str">
        <f t="shared" si="53"/>
        <v/>
      </c>
      <c r="G320" s="86" t="str">
        <f t="shared" si="54"/>
        <v/>
      </c>
      <c r="H320" s="30"/>
      <c r="I320" s="87" t="str">
        <f t="shared" si="55"/>
        <v/>
      </c>
      <c r="J320" s="85" t="str">
        <f t="shared" si="56"/>
        <v/>
      </c>
      <c r="K320" s="49"/>
      <c r="L320" s="88" t="str">
        <f t="shared" si="57"/>
        <v/>
      </c>
      <c r="M320" s="88" t="str">
        <f t="shared" si="58"/>
        <v/>
      </c>
      <c r="N320" s="30"/>
      <c r="O320" s="31"/>
      <c r="P320" s="53"/>
      <c r="Q320" s="33"/>
      <c r="R320" s="54" t="str">
        <f t="shared" si="59"/>
        <v/>
      </c>
      <c r="S320" s="30"/>
      <c r="T320" s="33"/>
    </row>
    <row r="321" spans="1:20" x14ac:dyDescent="0.25">
      <c r="A321" s="30"/>
      <c r="B321" s="84" t="str">
        <f t="shared" si="50"/>
        <v/>
      </c>
      <c r="C321" s="30"/>
      <c r="D321" s="85" t="str">
        <f t="shared" si="51"/>
        <v/>
      </c>
      <c r="E321" s="85" t="str">
        <f t="shared" si="52"/>
        <v/>
      </c>
      <c r="F321" s="85" t="str">
        <f t="shared" si="53"/>
        <v/>
      </c>
      <c r="G321" s="86" t="str">
        <f t="shared" si="54"/>
        <v/>
      </c>
      <c r="H321" s="30"/>
      <c r="I321" s="87" t="str">
        <f t="shared" si="55"/>
        <v/>
      </c>
      <c r="J321" s="85" t="str">
        <f t="shared" si="56"/>
        <v/>
      </c>
      <c r="K321" s="49"/>
      <c r="L321" s="88" t="str">
        <f t="shared" si="57"/>
        <v/>
      </c>
      <c r="M321" s="88" t="str">
        <f t="shared" si="58"/>
        <v/>
      </c>
      <c r="N321" s="30"/>
      <c r="O321" s="31"/>
      <c r="P321" s="53"/>
      <c r="Q321" s="33"/>
      <c r="R321" s="54" t="str">
        <f t="shared" si="59"/>
        <v/>
      </c>
      <c r="S321" s="30"/>
      <c r="T321" s="33"/>
    </row>
    <row r="322" spans="1:20" x14ac:dyDescent="0.25">
      <c r="A322" s="30"/>
      <c r="B322" s="84" t="str">
        <f t="shared" si="50"/>
        <v/>
      </c>
      <c r="C322" s="30"/>
      <c r="D322" s="85" t="str">
        <f t="shared" si="51"/>
        <v/>
      </c>
      <c r="E322" s="85" t="str">
        <f t="shared" si="52"/>
        <v/>
      </c>
      <c r="F322" s="85" t="str">
        <f t="shared" si="53"/>
        <v/>
      </c>
      <c r="G322" s="86" t="str">
        <f t="shared" si="54"/>
        <v/>
      </c>
      <c r="H322" s="30"/>
      <c r="I322" s="87" t="str">
        <f t="shared" si="55"/>
        <v/>
      </c>
      <c r="J322" s="85" t="str">
        <f t="shared" si="56"/>
        <v/>
      </c>
      <c r="K322" s="49"/>
      <c r="L322" s="88" t="str">
        <f t="shared" si="57"/>
        <v/>
      </c>
      <c r="M322" s="88" t="str">
        <f t="shared" si="58"/>
        <v/>
      </c>
      <c r="N322" s="30"/>
      <c r="O322" s="31"/>
      <c r="P322" s="53"/>
      <c r="Q322" s="33"/>
      <c r="R322" s="54" t="str">
        <f t="shared" si="59"/>
        <v/>
      </c>
      <c r="S322" s="30"/>
      <c r="T322" s="33"/>
    </row>
    <row r="323" spans="1:20" x14ac:dyDescent="0.25">
      <c r="A323" s="30"/>
      <c r="B323" s="84" t="str">
        <f t="shared" si="50"/>
        <v/>
      </c>
      <c r="C323" s="30"/>
      <c r="D323" s="85" t="str">
        <f t="shared" si="51"/>
        <v/>
      </c>
      <c r="E323" s="85" t="str">
        <f t="shared" si="52"/>
        <v/>
      </c>
      <c r="F323" s="85" t="str">
        <f t="shared" si="53"/>
        <v/>
      </c>
      <c r="G323" s="86" t="str">
        <f t="shared" si="54"/>
        <v/>
      </c>
      <c r="H323" s="30"/>
      <c r="I323" s="87" t="str">
        <f t="shared" si="55"/>
        <v/>
      </c>
      <c r="J323" s="85" t="str">
        <f t="shared" si="56"/>
        <v/>
      </c>
      <c r="K323" s="49"/>
      <c r="L323" s="88" t="str">
        <f t="shared" si="57"/>
        <v/>
      </c>
      <c r="M323" s="88" t="str">
        <f t="shared" si="58"/>
        <v/>
      </c>
      <c r="N323" s="30"/>
      <c r="O323" s="31"/>
      <c r="P323" s="53"/>
      <c r="Q323" s="33"/>
      <c r="R323" s="54" t="str">
        <f t="shared" si="59"/>
        <v/>
      </c>
      <c r="S323" s="30"/>
      <c r="T323" s="33"/>
    </row>
    <row r="324" spans="1:20" x14ac:dyDescent="0.25">
      <c r="A324" s="30"/>
      <c r="B324" s="84" t="str">
        <f t="shared" si="50"/>
        <v/>
      </c>
      <c r="C324" s="30"/>
      <c r="D324" s="85" t="str">
        <f t="shared" si="51"/>
        <v/>
      </c>
      <c r="E324" s="85" t="str">
        <f t="shared" si="52"/>
        <v/>
      </c>
      <c r="F324" s="85" t="str">
        <f t="shared" si="53"/>
        <v/>
      </c>
      <c r="G324" s="86" t="str">
        <f t="shared" si="54"/>
        <v/>
      </c>
      <c r="H324" s="30"/>
      <c r="I324" s="87" t="str">
        <f t="shared" si="55"/>
        <v/>
      </c>
      <c r="J324" s="85" t="str">
        <f t="shared" si="56"/>
        <v/>
      </c>
      <c r="K324" s="49"/>
      <c r="L324" s="88" t="str">
        <f t="shared" si="57"/>
        <v/>
      </c>
      <c r="M324" s="88" t="str">
        <f t="shared" si="58"/>
        <v/>
      </c>
      <c r="N324" s="30"/>
      <c r="O324" s="31"/>
      <c r="P324" s="53"/>
      <c r="Q324" s="33"/>
      <c r="R324" s="54" t="str">
        <f t="shared" si="59"/>
        <v/>
      </c>
      <c r="S324" s="30"/>
      <c r="T324" s="33"/>
    </row>
    <row r="325" spans="1:20" x14ac:dyDescent="0.25">
      <c r="A325" s="30"/>
      <c r="B325" s="84" t="str">
        <f t="shared" si="50"/>
        <v/>
      </c>
      <c r="C325" s="30"/>
      <c r="D325" s="85" t="str">
        <f t="shared" si="51"/>
        <v/>
      </c>
      <c r="E325" s="85" t="str">
        <f t="shared" si="52"/>
        <v/>
      </c>
      <c r="F325" s="85" t="str">
        <f t="shared" si="53"/>
        <v/>
      </c>
      <c r="G325" s="86" t="str">
        <f t="shared" si="54"/>
        <v/>
      </c>
      <c r="H325" s="30"/>
      <c r="I325" s="87" t="str">
        <f t="shared" si="55"/>
        <v/>
      </c>
      <c r="J325" s="85" t="str">
        <f t="shared" si="56"/>
        <v/>
      </c>
      <c r="K325" s="49"/>
      <c r="L325" s="88" t="str">
        <f t="shared" si="57"/>
        <v/>
      </c>
      <c r="M325" s="88" t="str">
        <f t="shared" si="58"/>
        <v/>
      </c>
      <c r="N325" s="30"/>
      <c r="O325" s="31"/>
      <c r="P325" s="53"/>
      <c r="Q325" s="33"/>
      <c r="R325" s="54" t="str">
        <f t="shared" si="59"/>
        <v/>
      </c>
      <c r="S325" s="30"/>
      <c r="T325" s="33"/>
    </row>
    <row r="326" spans="1:20" x14ac:dyDescent="0.25">
      <c r="A326" s="30"/>
      <c r="B326" s="84" t="str">
        <f t="shared" si="50"/>
        <v/>
      </c>
      <c r="C326" s="30"/>
      <c r="D326" s="85" t="str">
        <f t="shared" si="51"/>
        <v/>
      </c>
      <c r="E326" s="85" t="str">
        <f t="shared" si="52"/>
        <v/>
      </c>
      <c r="F326" s="85" t="str">
        <f t="shared" si="53"/>
        <v/>
      </c>
      <c r="G326" s="86" t="str">
        <f t="shared" si="54"/>
        <v/>
      </c>
      <c r="H326" s="30"/>
      <c r="I326" s="87" t="str">
        <f t="shared" si="55"/>
        <v/>
      </c>
      <c r="J326" s="85" t="str">
        <f t="shared" si="56"/>
        <v/>
      </c>
      <c r="K326" s="49"/>
      <c r="L326" s="88" t="str">
        <f t="shared" si="57"/>
        <v/>
      </c>
      <c r="M326" s="88" t="str">
        <f t="shared" si="58"/>
        <v/>
      </c>
      <c r="N326" s="30"/>
      <c r="O326" s="31"/>
      <c r="P326" s="53"/>
      <c r="Q326" s="33"/>
      <c r="R326" s="54" t="str">
        <f t="shared" si="59"/>
        <v/>
      </c>
      <c r="S326" s="30"/>
      <c r="T326" s="33"/>
    </row>
    <row r="327" spans="1:20" x14ac:dyDescent="0.25">
      <c r="A327" s="30"/>
      <c r="B327" s="84" t="str">
        <f t="shared" si="50"/>
        <v/>
      </c>
      <c r="C327" s="30"/>
      <c r="D327" s="85" t="str">
        <f t="shared" si="51"/>
        <v/>
      </c>
      <c r="E327" s="85" t="str">
        <f t="shared" si="52"/>
        <v/>
      </c>
      <c r="F327" s="85" t="str">
        <f t="shared" si="53"/>
        <v/>
      </c>
      <c r="G327" s="86" t="str">
        <f t="shared" si="54"/>
        <v/>
      </c>
      <c r="H327" s="30"/>
      <c r="I327" s="87" t="str">
        <f t="shared" si="55"/>
        <v/>
      </c>
      <c r="J327" s="85" t="str">
        <f t="shared" si="56"/>
        <v/>
      </c>
      <c r="K327" s="49"/>
      <c r="L327" s="88" t="str">
        <f t="shared" si="57"/>
        <v/>
      </c>
      <c r="M327" s="88" t="str">
        <f t="shared" si="58"/>
        <v/>
      </c>
      <c r="N327" s="30"/>
      <c r="O327" s="31"/>
      <c r="P327" s="53"/>
      <c r="Q327" s="33"/>
      <c r="R327" s="54" t="str">
        <f t="shared" si="59"/>
        <v/>
      </c>
      <c r="S327" s="30"/>
      <c r="T327" s="33"/>
    </row>
    <row r="328" spans="1:20" x14ac:dyDescent="0.25">
      <c r="A328" s="30"/>
      <c r="B328" s="84" t="str">
        <f t="shared" si="50"/>
        <v/>
      </c>
      <c r="C328" s="30"/>
      <c r="D328" s="85" t="str">
        <f t="shared" si="51"/>
        <v/>
      </c>
      <c r="E328" s="85" t="str">
        <f t="shared" si="52"/>
        <v/>
      </c>
      <c r="F328" s="85" t="str">
        <f t="shared" si="53"/>
        <v/>
      </c>
      <c r="G328" s="86" t="str">
        <f t="shared" si="54"/>
        <v/>
      </c>
      <c r="H328" s="30"/>
      <c r="I328" s="87" t="str">
        <f t="shared" si="55"/>
        <v/>
      </c>
      <c r="J328" s="85" t="str">
        <f t="shared" si="56"/>
        <v/>
      </c>
      <c r="K328" s="49"/>
      <c r="L328" s="88" t="str">
        <f t="shared" si="57"/>
        <v/>
      </c>
      <c r="M328" s="88" t="str">
        <f t="shared" si="58"/>
        <v/>
      </c>
      <c r="N328" s="30"/>
      <c r="O328" s="31"/>
      <c r="P328" s="53"/>
      <c r="Q328" s="33"/>
      <c r="R328" s="54" t="str">
        <f t="shared" si="59"/>
        <v/>
      </c>
      <c r="S328" s="30"/>
      <c r="T328" s="33"/>
    </row>
    <row r="329" spans="1:20" x14ac:dyDescent="0.25">
      <c r="A329" s="30"/>
      <c r="B329" s="84" t="str">
        <f t="shared" si="50"/>
        <v/>
      </c>
      <c r="C329" s="30"/>
      <c r="D329" s="85" t="str">
        <f t="shared" si="51"/>
        <v/>
      </c>
      <c r="E329" s="85" t="str">
        <f t="shared" si="52"/>
        <v/>
      </c>
      <c r="F329" s="85" t="str">
        <f t="shared" si="53"/>
        <v/>
      </c>
      <c r="G329" s="86" t="str">
        <f t="shared" si="54"/>
        <v/>
      </c>
      <c r="H329" s="30"/>
      <c r="I329" s="87" t="str">
        <f t="shared" si="55"/>
        <v/>
      </c>
      <c r="J329" s="85" t="str">
        <f t="shared" si="56"/>
        <v/>
      </c>
      <c r="K329" s="49"/>
      <c r="L329" s="88" t="str">
        <f t="shared" si="57"/>
        <v/>
      </c>
      <c r="M329" s="88" t="str">
        <f t="shared" si="58"/>
        <v/>
      </c>
      <c r="N329" s="30"/>
      <c r="O329" s="31"/>
      <c r="P329" s="53"/>
      <c r="Q329" s="33"/>
      <c r="R329" s="54" t="str">
        <f t="shared" si="59"/>
        <v/>
      </c>
      <c r="S329" s="30"/>
      <c r="T329" s="33"/>
    </row>
    <row r="330" spans="1:20" x14ac:dyDescent="0.25">
      <c r="A330" s="30"/>
      <c r="B330" s="84" t="str">
        <f t="shared" si="50"/>
        <v/>
      </c>
      <c r="C330" s="30"/>
      <c r="D330" s="85" t="str">
        <f t="shared" si="51"/>
        <v/>
      </c>
      <c r="E330" s="85" t="str">
        <f t="shared" si="52"/>
        <v/>
      </c>
      <c r="F330" s="85" t="str">
        <f t="shared" si="53"/>
        <v/>
      </c>
      <c r="G330" s="86" t="str">
        <f t="shared" si="54"/>
        <v/>
      </c>
      <c r="H330" s="30"/>
      <c r="I330" s="87" t="str">
        <f t="shared" si="55"/>
        <v/>
      </c>
      <c r="J330" s="85" t="str">
        <f t="shared" si="56"/>
        <v/>
      </c>
      <c r="K330" s="49"/>
      <c r="L330" s="88" t="str">
        <f t="shared" si="57"/>
        <v/>
      </c>
      <c r="M330" s="88" t="str">
        <f t="shared" si="58"/>
        <v/>
      </c>
      <c r="N330" s="30"/>
      <c r="O330" s="31"/>
      <c r="P330" s="53"/>
      <c r="Q330" s="33"/>
      <c r="R330" s="54" t="str">
        <f t="shared" si="59"/>
        <v/>
      </c>
      <c r="S330" s="30"/>
      <c r="T330" s="33"/>
    </row>
    <row r="331" spans="1:20" x14ac:dyDescent="0.25">
      <c r="A331" s="30"/>
      <c r="B331" s="84" t="str">
        <f t="shared" si="50"/>
        <v/>
      </c>
      <c r="C331" s="30"/>
      <c r="D331" s="85" t="str">
        <f t="shared" si="51"/>
        <v/>
      </c>
      <c r="E331" s="85" t="str">
        <f t="shared" si="52"/>
        <v/>
      </c>
      <c r="F331" s="85" t="str">
        <f t="shared" si="53"/>
        <v/>
      </c>
      <c r="G331" s="86" t="str">
        <f t="shared" si="54"/>
        <v/>
      </c>
      <c r="H331" s="30"/>
      <c r="I331" s="87" t="str">
        <f t="shared" si="55"/>
        <v/>
      </c>
      <c r="J331" s="85" t="str">
        <f t="shared" si="56"/>
        <v/>
      </c>
      <c r="K331" s="49"/>
      <c r="L331" s="88" t="str">
        <f t="shared" si="57"/>
        <v/>
      </c>
      <c r="M331" s="88" t="str">
        <f t="shared" si="58"/>
        <v/>
      </c>
      <c r="N331" s="30"/>
      <c r="O331" s="31"/>
      <c r="P331" s="53"/>
      <c r="Q331" s="33"/>
      <c r="R331" s="54" t="str">
        <f t="shared" si="59"/>
        <v/>
      </c>
      <c r="S331" s="30"/>
      <c r="T331" s="33"/>
    </row>
    <row r="332" spans="1:20" x14ac:dyDescent="0.25">
      <c r="A332" s="30"/>
      <c r="B332" s="84" t="str">
        <f t="shared" si="50"/>
        <v/>
      </c>
      <c r="C332" s="30"/>
      <c r="D332" s="85" t="str">
        <f t="shared" si="51"/>
        <v/>
      </c>
      <c r="E332" s="85" t="str">
        <f t="shared" si="52"/>
        <v/>
      </c>
      <c r="F332" s="85" t="str">
        <f t="shared" si="53"/>
        <v/>
      </c>
      <c r="G332" s="86" t="str">
        <f t="shared" si="54"/>
        <v/>
      </c>
      <c r="H332" s="30"/>
      <c r="I332" s="87" t="str">
        <f t="shared" si="55"/>
        <v/>
      </c>
      <c r="J332" s="85" t="str">
        <f t="shared" si="56"/>
        <v/>
      </c>
      <c r="K332" s="49"/>
      <c r="L332" s="88" t="str">
        <f t="shared" si="57"/>
        <v/>
      </c>
      <c r="M332" s="88" t="str">
        <f t="shared" si="58"/>
        <v/>
      </c>
      <c r="N332" s="30"/>
      <c r="O332" s="31"/>
      <c r="P332" s="53"/>
      <c r="Q332" s="33"/>
      <c r="R332" s="54" t="str">
        <f t="shared" si="59"/>
        <v/>
      </c>
      <c r="S332" s="30"/>
      <c r="T332" s="33"/>
    </row>
    <row r="333" spans="1:20" x14ac:dyDescent="0.25">
      <c r="A333" s="30"/>
      <c r="B333" s="84" t="str">
        <f t="shared" si="50"/>
        <v/>
      </c>
      <c r="C333" s="30"/>
      <c r="D333" s="85" t="str">
        <f t="shared" si="51"/>
        <v/>
      </c>
      <c r="E333" s="85" t="str">
        <f t="shared" si="52"/>
        <v/>
      </c>
      <c r="F333" s="85" t="str">
        <f t="shared" si="53"/>
        <v/>
      </c>
      <c r="G333" s="86" t="str">
        <f t="shared" si="54"/>
        <v/>
      </c>
      <c r="H333" s="30"/>
      <c r="I333" s="87" t="str">
        <f t="shared" si="55"/>
        <v/>
      </c>
      <c r="J333" s="85" t="str">
        <f t="shared" si="56"/>
        <v/>
      </c>
      <c r="K333" s="49"/>
      <c r="L333" s="88" t="str">
        <f t="shared" si="57"/>
        <v/>
      </c>
      <c r="M333" s="88" t="str">
        <f t="shared" si="58"/>
        <v/>
      </c>
      <c r="N333" s="30"/>
      <c r="O333" s="31"/>
      <c r="P333" s="53"/>
      <c r="Q333" s="33"/>
      <c r="R333" s="54" t="str">
        <f t="shared" si="59"/>
        <v/>
      </c>
      <c r="S333" s="30"/>
      <c r="T333" s="33"/>
    </row>
    <row r="334" spans="1:20" x14ac:dyDescent="0.25">
      <c r="A334" s="30"/>
      <c r="B334" s="84" t="str">
        <f t="shared" si="50"/>
        <v/>
      </c>
      <c r="C334" s="30"/>
      <c r="D334" s="85" t="str">
        <f t="shared" si="51"/>
        <v/>
      </c>
      <c r="E334" s="85" t="str">
        <f t="shared" si="52"/>
        <v/>
      </c>
      <c r="F334" s="85" t="str">
        <f t="shared" si="53"/>
        <v/>
      </c>
      <c r="G334" s="86" t="str">
        <f t="shared" si="54"/>
        <v/>
      </c>
      <c r="H334" s="30"/>
      <c r="I334" s="87" t="str">
        <f t="shared" si="55"/>
        <v/>
      </c>
      <c r="J334" s="85" t="str">
        <f t="shared" si="56"/>
        <v/>
      </c>
      <c r="K334" s="49"/>
      <c r="L334" s="88" t="str">
        <f t="shared" si="57"/>
        <v/>
      </c>
      <c r="M334" s="88" t="str">
        <f t="shared" si="58"/>
        <v/>
      </c>
      <c r="N334" s="30"/>
      <c r="O334" s="31"/>
      <c r="P334" s="53"/>
      <c r="Q334" s="33"/>
      <c r="R334" s="54" t="str">
        <f t="shared" si="59"/>
        <v/>
      </c>
      <c r="S334" s="30"/>
      <c r="T334" s="33"/>
    </row>
    <row r="335" spans="1:20" x14ac:dyDescent="0.25">
      <c r="A335" s="30"/>
      <c r="B335" s="84" t="str">
        <f t="shared" si="50"/>
        <v/>
      </c>
      <c r="C335" s="30"/>
      <c r="D335" s="85" t="str">
        <f t="shared" si="51"/>
        <v/>
      </c>
      <c r="E335" s="85" t="str">
        <f t="shared" si="52"/>
        <v/>
      </c>
      <c r="F335" s="85" t="str">
        <f t="shared" si="53"/>
        <v/>
      </c>
      <c r="G335" s="86" t="str">
        <f t="shared" si="54"/>
        <v/>
      </c>
      <c r="H335" s="30"/>
      <c r="I335" s="87" t="str">
        <f t="shared" si="55"/>
        <v/>
      </c>
      <c r="J335" s="85" t="str">
        <f t="shared" si="56"/>
        <v/>
      </c>
      <c r="K335" s="49"/>
      <c r="L335" s="88" t="str">
        <f t="shared" si="57"/>
        <v/>
      </c>
      <c r="M335" s="88" t="str">
        <f t="shared" si="58"/>
        <v/>
      </c>
      <c r="N335" s="30"/>
      <c r="O335" s="31"/>
      <c r="P335" s="53"/>
      <c r="Q335" s="33"/>
      <c r="R335" s="54" t="str">
        <f t="shared" si="59"/>
        <v/>
      </c>
      <c r="S335" s="30"/>
      <c r="T335" s="33"/>
    </row>
    <row r="336" spans="1:20" x14ac:dyDescent="0.25">
      <c r="A336" s="30"/>
      <c r="B336" s="84" t="str">
        <f t="shared" si="50"/>
        <v/>
      </c>
      <c r="C336" s="30"/>
      <c r="D336" s="85" t="str">
        <f t="shared" si="51"/>
        <v/>
      </c>
      <c r="E336" s="85" t="str">
        <f t="shared" si="52"/>
        <v/>
      </c>
      <c r="F336" s="85" t="str">
        <f t="shared" si="53"/>
        <v/>
      </c>
      <c r="G336" s="86" t="str">
        <f t="shared" si="54"/>
        <v/>
      </c>
      <c r="H336" s="30"/>
      <c r="I336" s="87" t="str">
        <f t="shared" si="55"/>
        <v/>
      </c>
      <c r="J336" s="85" t="str">
        <f t="shared" si="56"/>
        <v/>
      </c>
      <c r="K336" s="49"/>
      <c r="L336" s="88" t="str">
        <f t="shared" si="57"/>
        <v/>
      </c>
      <c r="M336" s="88" t="str">
        <f t="shared" si="58"/>
        <v/>
      </c>
      <c r="N336" s="30"/>
      <c r="O336" s="31"/>
      <c r="P336" s="53"/>
      <c r="Q336" s="33"/>
      <c r="R336" s="54" t="str">
        <f t="shared" si="59"/>
        <v/>
      </c>
      <c r="S336" s="30"/>
      <c r="T336" s="33"/>
    </row>
    <row r="337" spans="1:20" x14ac:dyDescent="0.25">
      <c r="A337" s="30"/>
      <c r="B337" s="84" t="str">
        <f t="shared" si="50"/>
        <v/>
      </c>
      <c r="C337" s="30"/>
      <c r="D337" s="85" t="str">
        <f t="shared" si="51"/>
        <v/>
      </c>
      <c r="E337" s="85" t="str">
        <f t="shared" si="52"/>
        <v/>
      </c>
      <c r="F337" s="85" t="str">
        <f t="shared" si="53"/>
        <v/>
      </c>
      <c r="G337" s="86" t="str">
        <f t="shared" si="54"/>
        <v/>
      </c>
      <c r="H337" s="30"/>
      <c r="I337" s="87" t="str">
        <f t="shared" si="55"/>
        <v/>
      </c>
      <c r="J337" s="85" t="str">
        <f t="shared" si="56"/>
        <v/>
      </c>
      <c r="K337" s="49"/>
      <c r="L337" s="88" t="str">
        <f t="shared" si="57"/>
        <v/>
      </c>
      <c r="M337" s="88" t="str">
        <f t="shared" si="58"/>
        <v/>
      </c>
      <c r="N337" s="30"/>
      <c r="O337" s="31"/>
      <c r="P337" s="53"/>
      <c r="Q337" s="33"/>
      <c r="R337" s="54" t="str">
        <f t="shared" si="59"/>
        <v/>
      </c>
      <c r="S337" s="30"/>
      <c r="T337" s="33"/>
    </row>
    <row r="338" spans="1:20" x14ac:dyDescent="0.25">
      <c r="A338" s="30"/>
      <c r="B338" s="84" t="str">
        <f t="shared" si="50"/>
        <v/>
      </c>
      <c r="C338" s="30"/>
      <c r="D338" s="85" t="str">
        <f t="shared" si="51"/>
        <v/>
      </c>
      <c r="E338" s="85" t="str">
        <f t="shared" si="52"/>
        <v/>
      </c>
      <c r="F338" s="85" t="str">
        <f t="shared" si="53"/>
        <v/>
      </c>
      <c r="G338" s="86" t="str">
        <f t="shared" si="54"/>
        <v/>
      </c>
      <c r="H338" s="30"/>
      <c r="I338" s="87" t="str">
        <f t="shared" si="55"/>
        <v/>
      </c>
      <c r="J338" s="85" t="str">
        <f t="shared" si="56"/>
        <v/>
      </c>
      <c r="K338" s="49"/>
      <c r="L338" s="88" t="str">
        <f t="shared" si="57"/>
        <v/>
      </c>
      <c r="M338" s="88" t="str">
        <f t="shared" si="58"/>
        <v/>
      </c>
      <c r="N338" s="30"/>
      <c r="O338" s="31"/>
      <c r="P338" s="53"/>
      <c r="Q338" s="33"/>
      <c r="R338" s="54" t="str">
        <f t="shared" si="59"/>
        <v/>
      </c>
      <c r="S338" s="30"/>
      <c r="T338" s="33"/>
    </row>
    <row r="339" spans="1:20" x14ac:dyDescent="0.25">
      <c r="A339" s="30"/>
      <c r="B339" s="84" t="str">
        <f t="shared" si="50"/>
        <v/>
      </c>
      <c r="C339" s="30"/>
      <c r="D339" s="85" t="str">
        <f t="shared" si="51"/>
        <v/>
      </c>
      <c r="E339" s="85" t="str">
        <f t="shared" si="52"/>
        <v/>
      </c>
      <c r="F339" s="85" t="str">
        <f t="shared" si="53"/>
        <v/>
      </c>
      <c r="G339" s="86" t="str">
        <f t="shared" si="54"/>
        <v/>
      </c>
      <c r="H339" s="30"/>
      <c r="I339" s="87" t="str">
        <f t="shared" si="55"/>
        <v/>
      </c>
      <c r="J339" s="85" t="str">
        <f t="shared" si="56"/>
        <v/>
      </c>
      <c r="K339" s="49"/>
      <c r="L339" s="88" t="str">
        <f t="shared" si="57"/>
        <v/>
      </c>
      <c r="M339" s="88" t="str">
        <f t="shared" si="58"/>
        <v/>
      </c>
      <c r="N339" s="30"/>
      <c r="O339" s="31"/>
      <c r="P339" s="53"/>
      <c r="Q339" s="33"/>
      <c r="R339" s="54" t="str">
        <f t="shared" si="59"/>
        <v/>
      </c>
      <c r="S339" s="30"/>
      <c r="T339" s="33"/>
    </row>
    <row r="340" spans="1:20" x14ac:dyDescent="0.25">
      <c r="A340" s="30"/>
      <c r="B340" s="84" t="str">
        <f t="shared" si="50"/>
        <v/>
      </c>
      <c r="C340" s="30"/>
      <c r="D340" s="85" t="str">
        <f t="shared" si="51"/>
        <v/>
      </c>
      <c r="E340" s="85" t="str">
        <f t="shared" si="52"/>
        <v/>
      </c>
      <c r="F340" s="85" t="str">
        <f t="shared" si="53"/>
        <v/>
      </c>
      <c r="G340" s="86" t="str">
        <f t="shared" si="54"/>
        <v/>
      </c>
      <c r="H340" s="30"/>
      <c r="I340" s="87" t="str">
        <f t="shared" si="55"/>
        <v/>
      </c>
      <c r="J340" s="85" t="str">
        <f t="shared" si="56"/>
        <v/>
      </c>
      <c r="K340" s="49"/>
      <c r="L340" s="88" t="str">
        <f t="shared" si="57"/>
        <v/>
      </c>
      <c r="M340" s="88" t="str">
        <f t="shared" si="58"/>
        <v/>
      </c>
      <c r="N340" s="30"/>
      <c r="O340" s="31"/>
      <c r="P340" s="53"/>
      <c r="Q340" s="33"/>
      <c r="R340" s="54" t="str">
        <f t="shared" si="59"/>
        <v/>
      </c>
      <c r="S340" s="30"/>
      <c r="T340" s="33"/>
    </row>
    <row r="341" spans="1:20" x14ac:dyDescent="0.25">
      <c r="A341" s="30"/>
      <c r="B341" s="84" t="str">
        <f t="shared" si="50"/>
        <v/>
      </c>
      <c r="C341" s="30"/>
      <c r="D341" s="85" t="str">
        <f t="shared" si="51"/>
        <v/>
      </c>
      <c r="E341" s="85" t="str">
        <f t="shared" si="52"/>
        <v/>
      </c>
      <c r="F341" s="85" t="str">
        <f t="shared" si="53"/>
        <v/>
      </c>
      <c r="G341" s="86" t="str">
        <f t="shared" si="54"/>
        <v/>
      </c>
      <c r="H341" s="30"/>
      <c r="I341" s="87" t="str">
        <f t="shared" si="55"/>
        <v/>
      </c>
      <c r="J341" s="85" t="str">
        <f t="shared" si="56"/>
        <v/>
      </c>
      <c r="K341" s="49"/>
      <c r="L341" s="88" t="str">
        <f t="shared" si="57"/>
        <v/>
      </c>
      <c r="M341" s="88" t="str">
        <f t="shared" si="58"/>
        <v/>
      </c>
      <c r="N341" s="30"/>
      <c r="O341" s="31"/>
      <c r="P341" s="53"/>
      <c r="Q341" s="33"/>
      <c r="R341" s="54" t="str">
        <f t="shared" si="59"/>
        <v/>
      </c>
      <c r="S341" s="30"/>
      <c r="T341" s="33"/>
    </row>
    <row r="342" spans="1:20" x14ac:dyDescent="0.25">
      <c r="A342" s="30"/>
      <c r="B342" s="84" t="str">
        <f t="shared" si="50"/>
        <v/>
      </c>
      <c r="C342" s="30"/>
      <c r="D342" s="85" t="str">
        <f t="shared" si="51"/>
        <v/>
      </c>
      <c r="E342" s="85" t="str">
        <f t="shared" si="52"/>
        <v/>
      </c>
      <c r="F342" s="85" t="str">
        <f t="shared" si="53"/>
        <v/>
      </c>
      <c r="G342" s="86" t="str">
        <f t="shared" si="54"/>
        <v/>
      </c>
      <c r="H342" s="30"/>
      <c r="I342" s="87" t="str">
        <f t="shared" si="55"/>
        <v/>
      </c>
      <c r="J342" s="85" t="str">
        <f t="shared" si="56"/>
        <v/>
      </c>
      <c r="K342" s="49"/>
      <c r="L342" s="88" t="str">
        <f t="shared" si="57"/>
        <v/>
      </c>
      <c r="M342" s="88" t="str">
        <f t="shared" si="58"/>
        <v/>
      </c>
      <c r="N342" s="30"/>
      <c r="O342" s="31"/>
      <c r="P342" s="53"/>
      <c r="Q342" s="33"/>
      <c r="R342" s="54" t="str">
        <f t="shared" si="59"/>
        <v/>
      </c>
      <c r="S342" s="30"/>
      <c r="T342" s="33"/>
    </row>
    <row r="343" spans="1:20" x14ac:dyDescent="0.25">
      <c r="A343" s="30"/>
      <c r="B343" s="84" t="str">
        <f t="shared" si="50"/>
        <v/>
      </c>
      <c r="C343" s="30"/>
      <c r="D343" s="85" t="str">
        <f t="shared" si="51"/>
        <v/>
      </c>
      <c r="E343" s="85" t="str">
        <f t="shared" si="52"/>
        <v/>
      </c>
      <c r="F343" s="85" t="str">
        <f t="shared" si="53"/>
        <v/>
      </c>
      <c r="G343" s="86" t="str">
        <f t="shared" si="54"/>
        <v/>
      </c>
      <c r="H343" s="30"/>
      <c r="I343" s="87" t="str">
        <f t="shared" si="55"/>
        <v/>
      </c>
      <c r="J343" s="85" t="str">
        <f t="shared" si="56"/>
        <v/>
      </c>
      <c r="K343" s="49"/>
      <c r="L343" s="88" t="str">
        <f t="shared" si="57"/>
        <v/>
      </c>
      <c r="M343" s="88" t="str">
        <f t="shared" si="58"/>
        <v/>
      </c>
      <c r="N343" s="30"/>
      <c r="O343" s="31"/>
      <c r="P343" s="53"/>
      <c r="Q343" s="33"/>
      <c r="R343" s="54" t="str">
        <f t="shared" si="59"/>
        <v/>
      </c>
      <c r="S343" s="30"/>
      <c r="T343" s="33"/>
    </row>
    <row r="344" spans="1:20" x14ac:dyDescent="0.25">
      <c r="A344" s="30"/>
      <c r="B344" s="84" t="str">
        <f t="shared" si="50"/>
        <v/>
      </c>
      <c r="C344" s="30"/>
      <c r="D344" s="85" t="str">
        <f t="shared" si="51"/>
        <v/>
      </c>
      <c r="E344" s="85" t="str">
        <f t="shared" si="52"/>
        <v/>
      </c>
      <c r="F344" s="85" t="str">
        <f t="shared" si="53"/>
        <v/>
      </c>
      <c r="G344" s="86" t="str">
        <f t="shared" si="54"/>
        <v/>
      </c>
      <c r="H344" s="30"/>
      <c r="I344" s="87" t="str">
        <f t="shared" si="55"/>
        <v/>
      </c>
      <c r="J344" s="85" t="str">
        <f t="shared" si="56"/>
        <v/>
      </c>
      <c r="K344" s="49"/>
      <c r="L344" s="88" t="str">
        <f t="shared" si="57"/>
        <v/>
      </c>
      <c r="M344" s="88" t="str">
        <f t="shared" si="58"/>
        <v/>
      </c>
      <c r="N344" s="30"/>
      <c r="O344" s="31"/>
      <c r="P344" s="53"/>
      <c r="Q344" s="33"/>
      <c r="R344" s="54" t="str">
        <f t="shared" si="59"/>
        <v/>
      </c>
      <c r="S344" s="30"/>
      <c r="T344" s="33"/>
    </row>
    <row r="345" spans="1:20" x14ac:dyDescent="0.25">
      <c r="A345" s="30"/>
      <c r="B345" s="84" t="str">
        <f t="shared" si="50"/>
        <v/>
      </c>
      <c r="C345" s="30"/>
      <c r="D345" s="85" t="str">
        <f t="shared" si="51"/>
        <v/>
      </c>
      <c r="E345" s="85" t="str">
        <f t="shared" si="52"/>
        <v/>
      </c>
      <c r="F345" s="85" t="str">
        <f t="shared" si="53"/>
        <v/>
      </c>
      <c r="G345" s="86" t="str">
        <f t="shared" si="54"/>
        <v/>
      </c>
      <c r="H345" s="30"/>
      <c r="I345" s="87" t="str">
        <f t="shared" si="55"/>
        <v/>
      </c>
      <c r="J345" s="85" t="str">
        <f t="shared" si="56"/>
        <v/>
      </c>
      <c r="K345" s="49"/>
      <c r="L345" s="88" t="str">
        <f t="shared" si="57"/>
        <v/>
      </c>
      <c r="M345" s="88" t="str">
        <f t="shared" si="58"/>
        <v/>
      </c>
      <c r="N345" s="30"/>
      <c r="O345" s="31"/>
      <c r="P345" s="53"/>
      <c r="Q345" s="33"/>
      <c r="R345" s="54" t="str">
        <f t="shared" si="59"/>
        <v/>
      </c>
      <c r="S345" s="30"/>
      <c r="T345" s="33"/>
    </row>
    <row r="346" spans="1:20" x14ac:dyDescent="0.25">
      <c r="A346" s="30"/>
      <c r="B346" s="84" t="str">
        <f t="shared" si="50"/>
        <v/>
      </c>
      <c r="C346" s="30"/>
      <c r="D346" s="85" t="str">
        <f t="shared" si="51"/>
        <v/>
      </c>
      <c r="E346" s="85" t="str">
        <f t="shared" si="52"/>
        <v/>
      </c>
      <c r="F346" s="85" t="str">
        <f t="shared" si="53"/>
        <v/>
      </c>
      <c r="G346" s="86" t="str">
        <f t="shared" si="54"/>
        <v/>
      </c>
      <c r="H346" s="30"/>
      <c r="I346" s="87" t="str">
        <f t="shared" si="55"/>
        <v/>
      </c>
      <c r="J346" s="85" t="str">
        <f t="shared" si="56"/>
        <v/>
      </c>
      <c r="K346" s="49"/>
      <c r="L346" s="88" t="str">
        <f t="shared" si="57"/>
        <v/>
      </c>
      <c r="M346" s="88" t="str">
        <f t="shared" si="58"/>
        <v/>
      </c>
      <c r="N346" s="30"/>
      <c r="O346" s="31"/>
      <c r="P346" s="53"/>
      <c r="Q346" s="33"/>
      <c r="R346" s="54" t="str">
        <f t="shared" si="59"/>
        <v/>
      </c>
      <c r="S346" s="30"/>
      <c r="T346" s="33"/>
    </row>
    <row r="347" spans="1:20" x14ac:dyDescent="0.25">
      <c r="A347" s="30"/>
      <c r="B347" s="84" t="str">
        <f t="shared" si="50"/>
        <v/>
      </c>
      <c r="C347" s="30"/>
      <c r="D347" s="85" t="str">
        <f t="shared" si="51"/>
        <v/>
      </c>
      <c r="E347" s="85" t="str">
        <f t="shared" si="52"/>
        <v/>
      </c>
      <c r="F347" s="85" t="str">
        <f t="shared" si="53"/>
        <v/>
      </c>
      <c r="G347" s="86" t="str">
        <f t="shared" si="54"/>
        <v/>
      </c>
      <c r="H347" s="30"/>
      <c r="I347" s="87" t="str">
        <f t="shared" si="55"/>
        <v/>
      </c>
      <c r="J347" s="85" t="str">
        <f t="shared" si="56"/>
        <v/>
      </c>
      <c r="K347" s="49"/>
      <c r="L347" s="88" t="str">
        <f t="shared" si="57"/>
        <v/>
      </c>
      <c r="M347" s="88" t="str">
        <f t="shared" si="58"/>
        <v/>
      </c>
      <c r="N347" s="30"/>
      <c r="O347" s="31"/>
      <c r="P347" s="53"/>
      <c r="Q347" s="33"/>
      <c r="R347" s="54" t="str">
        <f t="shared" si="59"/>
        <v/>
      </c>
      <c r="S347" s="30"/>
      <c r="T347" s="33"/>
    </row>
    <row r="348" spans="1:20" x14ac:dyDescent="0.25">
      <c r="A348" s="30"/>
      <c r="B348" s="84" t="str">
        <f t="shared" si="50"/>
        <v/>
      </c>
      <c r="C348" s="30"/>
      <c r="D348" s="85" t="str">
        <f t="shared" si="51"/>
        <v/>
      </c>
      <c r="E348" s="85" t="str">
        <f t="shared" si="52"/>
        <v/>
      </c>
      <c r="F348" s="85" t="str">
        <f t="shared" si="53"/>
        <v/>
      </c>
      <c r="G348" s="86" t="str">
        <f t="shared" si="54"/>
        <v/>
      </c>
      <c r="H348" s="30"/>
      <c r="I348" s="87" t="str">
        <f t="shared" si="55"/>
        <v/>
      </c>
      <c r="J348" s="85" t="str">
        <f t="shared" si="56"/>
        <v/>
      </c>
      <c r="K348" s="49"/>
      <c r="L348" s="88" t="str">
        <f t="shared" si="57"/>
        <v/>
      </c>
      <c r="M348" s="88" t="str">
        <f t="shared" si="58"/>
        <v/>
      </c>
      <c r="N348" s="30"/>
      <c r="O348" s="31"/>
      <c r="P348" s="53"/>
      <c r="Q348" s="33"/>
      <c r="R348" s="54" t="str">
        <f t="shared" si="59"/>
        <v/>
      </c>
      <c r="S348" s="30"/>
      <c r="T348" s="33"/>
    </row>
    <row r="349" spans="1:20" x14ac:dyDescent="0.25">
      <c r="A349" s="30"/>
      <c r="B349" s="84" t="str">
        <f t="shared" si="50"/>
        <v/>
      </c>
      <c r="C349" s="30"/>
      <c r="D349" s="85" t="str">
        <f t="shared" si="51"/>
        <v/>
      </c>
      <c r="E349" s="85" t="str">
        <f t="shared" si="52"/>
        <v/>
      </c>
      <c r="F349" s="85" t="str">
        <f t="shared" si="53"/>
        <v/>
      </c>
      <c r="G349" s="86" t="str">
        <f t="shared" si="54"/>
        <v/>
      </c>
      <c r="H349" s="30"/>
      <c r="I349" s="87" t="str">
        <f t="shared" si="55"/>
        <v/>
      </c>
      <c r="J349" s="85" t="str">
        <f t="shared" si="56"/>
        <v/>
      </c>
      <c r="K349" s="49"/>
      <c r="L349" s="88" t="str">
        <f t="shared" si="57"/>
        <v/>
      </c>
      <c r="M349" s="88" t="str">
        <f t="shared" si="58"/>
        <v/>
      </c>
      <c r="N349" s="30"/>
      <c r="O349" s="31"/>
      <c r="P349" s="53"/>
      <c r="Q349" s="33"/>
      <c r="R349" s="54" t="str">
        <f t="shared" si="59"/>
        <v/>
      </c>
      <c r="S349" s="30"/>
      <c r="T349" s="33"/>
    </row>
    <row r="350" spans="1:20" x14ac:dyDescent="0.25">
      <c r="A350" s="30"/>
      <c r="B350" s="84" t="str">
        <f t="shared" si="50"/>
        <v/>
      </c>
      <c r="C350" s="30"/>
      <c r="D350" s="85" t="str">
        <f t="shared" si="51"/>
        <v/>
      </c>
      <c r="E350" s="85" t="str">
        <f t="shared" si="52"/>
        <v/>
      </c>
      <c r="F350" s="85" t="str">
        <f t="shared" si="53"/>
        <v/>
      </c>
      <c r="G350" s="86" t="str">
        <f t="shared" si="54"/>
        <v/>
      </c>
      <c r="H350" s="30"/>
      <c r="I350" s="87" t="str">
        <f t="shared" si="55"/>
        <v/>
      </c>
      <c r="J350" s="85" t="str">
        <f t="shared" si="56"/>
        <v/>
      </c>
      <c r="K350" s="49"/>
      <c r="L350" s="88" t="str">
        <f t="shared" si="57"/>
        <v/>
      </c>
      <c r="M350" s="88" t="str">
        <f t="shared" si="58"/>
        <v/>
      </c>
      <c r="N350" s="30"/>
      <c r="O350" s="31"/>
      <c r="P350" s="53"/>
      <c r="Q350" s="33"/>
      <c r="R350" s="54" t="str">
        <f t="shared" si="59"/>
        <v/>
      </c>
      <c r="S350" s="30"/>
      <c r="T350" s="33"/>
    </row>
    <row r="351" spans="1:20" x14ac:dyDescent="0.25">
      <c r="A351" s="30"/>
      <c r="B351" s="84" t="str">
        <f t="shared" si="50"/>
        <v/>
      </c>
      <c r="C351" s="30"/>
      <c r="D351" s="85" t="str">
        <f t="shared" si="51"/>
        <v/>
      </c>
      <c r="E351" s="85" t="str">
        <f t="shared" si="52"/>
        <v/>
      </c>
      <c r="F351" s="85" t="str">
        <f t="shared" si="53"/>
        <v/>
      </c>
      <c r="G351" s="86" t="str">
        <f t="shared" si="54"/>
        <v/>
      </c>
      <c r="H351" s="30"/>
      <c r="I351" s="87" t="str">
        <f t="shared" si="55"/>
        <v/>
      </c>
      <c r="J351" s="85" t="str">
        <f t="shared" si="56"/>
        <v/>
      </c>
      <c r="K351" s="49"/>
      <c r="L351" s="88" t="str">
        <f t="shared" si="57"/>
        <v/>
      </c>
      <c r="M351" s="88" t="str">
        <f t="shared" si="58"/>
        <v/>
      </c>
      <c r="N351" s="30"/>
      <c r="O351" s="31"/>
      <c r="P351" s="53"/>
      <c r="Q351" s="33"/>
      <c r="R351" s="54" t="str">
        <f t="shared" si="59"/>
        <v/>
      </c>
      <c r="S351" s="30"/>
      <c r="T351" s="33"/>
    </row>
    <row r="352" spans="1:20" x14ac:dyDescent="0.25">
      <c r="A352" s="30"/>
      <c r="B352" s="84" t="str">
        <f t="shared" si="50"/>
        <v/>
      </c>
      <c r="C352" s="30"/>
      <c r="D352" s="85" t="str">
        <f t="shared" si="51"/>
        <v/>
      </c>
      <c r="E352" s="85" t="str">
        <f t="shared" si="52"/>
        <v/>
      </c>
      <c r="F352" s="85" t="str">
        <f t="shared" si="53"/>
        <v/>
      </c>
      <c r="G352" s="86" t="str">
        <f t="shared" si="54"/>
        <v/>
      </c>
      <c r="H352" s="30"/>
      <c r="I352" s="87" t="str">
        <f t="shared" si="55"/>
        <v/>
      </c>
      <c r="J352" s="85" t="str">
        <f t="shared" si="56"/>
        <v/>
      </c>
      <c r="K352" s="49"/>
      <c r="L352" s="88" t="str">
        <f t="shared" si="57"/>
        <v/>
      </c>
      <c r="M352" s="88" t="str">
        <f t="shared" si="58"/>
        <v/>
      </c>
      <c r="N352" s="30"/>
      <c r="O352" s="31"/>
      <c r="P352" s="53"/>
      <c r="Q352" s="33"/>
      <c r="R352" s="54" t="str">
        <f t="shared" si="59"/>
        <v/>
      </c>
      <c r="S352" s="30"/>
      <c r="T352" s="33"/>
    </row>
    <row r="353" spans="1:20" x14ac:dyDescent="0.25">
      <c r="A353" s="30"/>
      <c r="B353" s="84" t="str">
        <f t="shared" si="50"/>
        <v/>
      </c>
      <c r="C353" s="30"/>
      <c r="D353" s="85" t="str">
        <f t="shared" si="51"/>
        <v/>
      </c>
      <c r="E353" s="85" t="str">
        <f t="shared" si="52"/>
        <v/>
      </c>
      <c r="F353" s="85" t="str">
        <f t="shared" si="53"/>
        <v/>
      </c>
      <c r="G353" s="86" t="str">
        <f t="shared" si="54"/>
        <v/>
      </c>
      <c r="H353" s="30"/>
      <c r="I353" s="87" t="str">
        <f t="shared" si="55"/>
        <v/>
      </c>
      <c r="J353" s="85" t="str">
        <f t="shared" si="56"/>
        <v/>
      </c>
      <c r="K353" s="49"/>
      <c r="L353" s="88" t="str">
        <f t="shared" si="57"/>
        <v/>
      </c>
      <c r="M353" s="88" t="str">
        <f t="shared" si="58"/>
        <v/>
      </c>
      <c r="N353" s="30"/>
      <c r="O353" s="31"/>
      <c r="P353" s="53"/>
      <c r="Q353" s="33"/>
      <c r="R353" s="54" t="str">
        <f t="shared" si="59"/>
        <v/>
      </c>
      <c r="S353" s="30"/>
      <c r="T353" s="33"/>
    </row>
    <row r="354" spans="1:20" x14ac:dyDescent="0.25">
      <c r="A354" s="30"/>
      <c r="B354" s="84" t="str">
        <f t="shared" si="50"/>
        <v/>
      </c>
      <c r="C354" s="30"/>
      <c r="D354" s="85" t="str">
        <f t="shared" si="51"/>
        <v/>
      </c>
      <c r="E354" s="85" t="str">
        <f t="shared" si="52"/>
        <v/>
      </c>
      <c r="F354" s="85" t="str">
        <f t="shared" si="53"/>
        <v/>
      </c>
      <c r="G354" s="86" t="str">
        <f t="shared" si="54"/>
        <v/>
      </c>
      <c r="H354" s="30"/>
      <c r="I354" s="87" t="str">
        <f t="shared" si="55"/>
        <v/>
      </c>
      <c r="J354" s="85" t="str">
        <f t="shared" si="56"/>
        <v/>
      </c>
      <c r="K354" s="49"/>
      <c r="L354" s="88" t="str">
        <f t="shared" si="57"/>
        <v/>
      </c>
      <c r="M354" s="88" t="str">
        <f t="shared" si="58"/>
        <v/>
      </c>
      <c r="N354" s="30"/>
      <c r="O354" s="31"/>
      <c r="P354" s="53"/>
      <c r="Q354" s="33"/>
      <c r="R354" s="54" t="str">
        <f t="shared" si="59"/>
        <v/>
      </c>
      <c r="S354" s="30"/>
      <c r="T354" s="33"/>
    </row>
    <row r="355" spans="1:20" x14ac:dyDescent="0.25">
      <c r="A355" s="30"/>
      <c r="B355" s="84" t="str">
        <f t="shared" si="50"/>
        <v/>
      </c>
      <c r="C355" s="30"/>
      <c r="D355" s="85" t="str">
        <f t="shared" si="51"/>
        <v/>
      </c>
      <c r="E355" s="85" t="str">
        <f t="shared" si="52"/>
        <v/>
      </c>
      <c r="F355" s="85" t="str">
        <f t="shared" si="53"/>
        <v/>
      </c>
      <c r="G355" s="86" t="str">
        <f t="shared" si="54"/>
        <v/>
      </c>
      <c r="H355" s="30"/>
      <c r="I355" s="87" t="str">
        <f t="shared" si="55"/>
        <v/>
      </c>
      <c r="J355" s="85" t="str">
        <f t="shared" si="56"/>
        <v/>
      </c>
      <c r="K355" s="49"/>
      <c r="L355" s="88" t="str">
        <f t="shared" si="57"/>
        <v/>
      </c>
      <c r="M355" s="88" t="str">
        <f t="shared" si="58"/>
        <v/>
      </c>
      <c r="N355" s="30"/>
      <c r="O355" s="31"/>
      <c r="P355" s="53"/>
      <c r="Q355" s="33"/>
      <c r="R355" s="54" t="str">
        <f t="shared" si="59"/>
        <v/>
      </c>
      <c r="S355" s="30"/>
      <c r="T355" s="33"/>
    </row>
    <row r="356" spans="1:20" x14ac:dyDescent="0.25">
      <c r="A356" s="30"/>
      <c r="B356" s="84" t="str">
        <f t="shared" si="50"/>
        <v/>
      </c>
      <c r="C356" s="30"/>
      <c r="D356" s="85" t="str">
        <f t="shared" si="51"/>
        <v/>
      </c>
      <c r="E356" s="85" t="str">
        <f t="shared" si="52"/>
        <v/>
      </c>
      <c r="F356" s="85" t="str">
        <f t="shared" si="53"/>
        <v/>
      </c>
      <c r="G356" s="86" t="str">
        <f t="shared" si="54"/>
        <v/>
      </c>
      <c r="H356" s="30"/>
      <c r="I356" s="87" t="str">
        <f t="shared" si="55"/>
        <v/>
      </c>
      <c r="J356" s="85" t="str">
        <f t="shared" si="56"/>
        <v/>
      </c>
      <c r="K356" s="49"/>
      <c r="L356" s="88" t="str">
        <f t="shared" si="57"/>
        <v/>
      </c>
      <c r="M356" s="88" t="str">
        <f t="shared" si="58"/>
        <v/>
      </c>
      <c r="N356" s="30"/>
      <c r="O356" s="31"/>
      <c r="P356" s="53"/>
      <c r="Q356" s="33"/>
      <c r="R356" s="54" t="str">
        <f t="shared" si="59"/>
        <v/>
      </c>
      <c r="S356" s="30"/>
      <c r="T356" s="33"/>
    </row>
    <row r="357" spans="1:20" x14ac:dyDescent="0.25">
      <c r="A357" s="30"/>
      <c r="B357" s="84" t="str">
        <f t="shared" si="50"/>
        <v/>
      </c>
      <c r="C357" s="30"/>
      <c r="D357" s="85" t="str">
        <f t="shared" si="51"/>
        <v/>
      </c>
      <c r="E357" s="85" t="str">
        <f t="shared" si="52"/>
        <v/>
      </c>
      <c r="F357" s="85" t="str">
        <f t="shared" si="53"/>
        <v/>
      </c>
      <c r="G357" s="86" t="str">
        <f t="shared" si="54"/>
        <v/>
      </c>
      <c r="H357" s="30"/>
      <c r="I357" s="87" t="str">
        <f t="shared" si="55"/>
        <v/>
      </c>
      <c r="J357" s="85" t="str">
        <f t="shared" si="56"/>
        <v/>
      </c>
      <c r="K357" s="49"/>
      <c r="L357" s="88" t="str">
        <f t="shared" si="57"/>
        <v/>
      </c>
      <c r="M357" s="88" t="str">
        <f t="shared" si="58"/>
        <v/>
      </c>
      <c r="N357" s="30"/>
      <c r="O357" s="31"/>
      <c r="P357" s="53"/>
      <c r="Q357" s="33"/>
      <c r="R357" s="54" t="str">
        <f t="shared" si="59"/>
        <v/>
      </c>
      <c r="S357" s="30"/>
      <c r="T357" s="33"/>
    </row>
    <row r="358" spans="1:20" x14ac:dyDescent="0.25">
      <c r="A358" s="30"/>
      <c r="B358" s="84" t="str">
        <f t="shared" si="50"/>
        <v/>
      </c>
      <c r="C358" s="30"/>
      <c r="D358" s="85" t="str">
        <f t="shared" si="51"/>
        <v/>
      </c>
      <c r="E358" s="85" t="str">
        <f t="shared" si="52"/>
        <v/>
      </c>
      <c r="F358" s="85" t="str">
        <f t="shared" si="53"/>
        <v/>
      </c>
      <c r="G358" s="86" t="str">
        <f t="shared" si="54"/>
        <v/>
      </c>
      <c r="H358" s="30"/>
      <c r="I358" s="87" t="str">
        <f t="shared" si="55"/>
        <v/>
      </c>
      <c r="J358" s="85" t="str">
        <f t="shared" si="56"/>
        <v/>
      </c>
      <c r="K358" s="49"/>
      <c r="L358" s="88" t="str">
        <f t="shared" si="57"/>
        <v/>
      </c>
      <c r="M358" s="88" t="str">
        <f t="shared" si="58"/>
        <v/>
      </c>
      <c r="N358" s="30"/>
      <c r="O358" s="31"/>
      <c r="P358" s="53"/>
      <c r="Q358" s="33"/>
      <c r="R358" s="54" t="str">
        <f t="shared" si="59"/>
        <v/>
      </c>
      <c r="S358" s="30"/>
      <c r="T358" s="33"/>
    </row>
    <row r="359" spans="1:20" x14ac:dyDescent="0.25">
      <c r="A359" s="30"/>
      <c r="B359" s="84" t="str">
        <f t="shared" si="50"/>
        <v/>
      </c>
      <c r="C359" s="30"/>
      <c r="D359" s="85" t="str">
        <f t="shared" si="51"/>
        <v/>
      </c>
      <c r="E359" s="85" t="str">
        <f t="shared" si="52"/>
        <v/>
      </c>
      <c r="F359" s="85" t="str">
        <f t="shared" si="53"/>
        <v/>
      </c>
      <c r="G359" s="86" t="str">
        <f t="shared" si="54"/>
        <v/>
      </c>
      <c r="H359" s="30"/>
      <c r="I359" s="87" t="str">
        <f t="shared" si="55"/>
        <v/>
      </c>
      <c r="J359" s="85" t="str">
        <f t="shared" si="56"/>
        <v/>
      </c>
      <c r="K359" s="49"/>
      <c r="L359" s="88" t="str">
        <f t="shared" si="57"/>
        <v/>
      </c>
      <c r="M359" s="88" t="str">
        <f t="shared" si="58"/>
        <v/>
      </c>
      <c r="N359" s="30"/>
      <c r="O359" s="31"/>
      <c r="P359" s="53"/>
      <c r="Q359" s="33"/>
      <c r="R359" s="54" t="str">
        <f t="shared" si="59"/>
        <v/>
      </c>
      <c r="S359" s="30"/>
      <c r="T359" s="33"/>
    </row>
    <row r="360" spans="1:20" x14ac:dyDescent="0.25">
      <c r="A360" s="30"/>
      <c r="B360" s="84" t="str">
        <f t="shared" si="50"/>
        <v/>
      </c>
      <c r="C360" s="30"/>
      <c r="D360" s="85" t="str">
        <f t="shared" si="51"/>
        <v/>
      </c>
      <c r="E360" s="85" t="str">
        <f t="shared" si="52"/>
        <v/>
      </c>
      <c r="F360" s="85" t="str">
        <f t="shared" si="53"/>
        <v/>
      </c>
      <c r="G360" s="86" t="str">
        <f t="shared" si="54"/>
        <v/>
      </c>
      <c r="H360" s="30"/>
      <c r="I360" s="87" t="str">
        <f t="shared" si="55"/>
        <v/>
      </c>
      <c r="J360" s="85" t="str">
        <f t="shared" si="56"/>
        <v/>
      </c>
      <c r="K360" s="49"/>
      <c r="L360" s="88" t="str">
        <f t="shared" si="57"/>
        <v/>
      </c>
      <c r="M360" s="88" t="str">
        <f t="shared" si="58"/>
        <v/>
      </c>
      <c r="N360" s="30"/>
      <c r="O360" s="31"/>
      <c r="P360" s="53"/>
      <c r="Q360" s="33"/>
      <c r="R360" s="54" t="str">
        <f t="shared" si="59"/>
        <v/>
      </c>
      <c r="S360" s="30"/>
      <c r="T360" s="33"/>
    </row>
    <row r="361" spans="1:20" x14ac:dyDescent="0.25">
      <c r="A361" s="30"/>
      <c r="B361" s="84" t="str">
        <f t="shared" si="50"/>
        <v/>
      </c>
      <c r="C361" s="30"/>
      <c r="D361" s="85" t="str">
        <f t="shared" si="51"/>
        <v/>
      </c>
      <c r="E361" s="85" t="str">
        <f t="shared" si="52"/>
        <v/>
      </c>
      <c r="F361" s="85" t="str">
        <f t="shared" si="53"/>
        <v/>
      </c>
      <c r="G361" s="86" t="str">
        <f t="shared" si="54"/>
        <v/>
      </c>
      <c r="H361" s="30"/>
      <c r="I361" s="87" t="str">
        <f t="shared" si="55"/>
        <v/>
      </c>
      <c r="J361" s="85" t="str">
        <f t="shared" si="56"/>
        <v/>
      </c>
      <c r="K361" s="49"/>
      <c r="L361" s="88" t="str">
        <f t="shared" si="57"/>
        <v/>
      </c>
      <c r="M361" s="88" t="str">
        <f t="shared" si="58"/>
        <v/>
      </c>
      <c r="N361" s="30"/>
      <c r="O361" s="31"/>
      <c r="P361" s="53"/>
      <c r="Q361" s="33"/>
      <c r="R361" s="54" t="str">
        <f t="shared" si="59"/>
        <v/>
      </c>
      <c r="S361" s="30"/>
      <c r="T361" s="33"/>
    </row>
    <row r="362" spans="1:20" x14ac:dyDescent="0.25">
      <c r="A362" s="30"/>
      <c r="B362" s="84" t="str">
        <f t="shared" si="50"/>
        <v/>
      </c>
      <c r="C362" s="30"/>
      <c r="D362" s="85" t="str">
        <f t="shared" si="51"/>
        <v/>
      </c>
      <c r="E362" s="85" t="str">
        <f t="shared" si="52"/>
        <v/>
      </c>
      <c r="F362" s="85" t="str">
        <f t="shared" si="53"/>
        <v/>
      </c>
      <c r="G362" s="86" t="str">
        <f t="shared" si="54"/>
        <v/>
      </c>
      <c r="H362" s="30"/>
      <c r="I362" s="87" t="str">
        <f t="shared" si="55"/>
        <v/>
      </c>
      <c r="J362" s="85" t="str">
        <f t="shared" si="56"/>
        <v/>
      </c>
      <c r="K362" s="49"/>
      <c r="L362" s="88" t="str">
        <f t="shared" si="57"/>
        <v/>
      </c>
      <c r="M362" s="88" t="str">
        <f t="shared" si="58"/>
        <v/>
      </c>
      <c r="N362" s="30"/>
      <c r="O362" s="31"/>
      <c r="P362" s="53"/>
      <c r="Q362" s="33"/>
      <c r="R362" s="54" t="str">
        <f t="shared" si="59"/>
        <v/>
      </c>
      <c r="S362" s="30"/>
      <c r="T362" s="33"/>
    </row>
    <row r="363" spans="1:20" x14ac:dyDescent="0.25">
      <c r="A363" s="30"/>
      <c r="B363" s="84" t="str">
        <f t="shared" si="50"/>
        <v/>
      </c>
      <c r="C363" s="30"/>
      <c r="D363" s="85" t="str">
        <f t="shared" si="51"/>
        <v/>
      </c>
      <c r="E363" s="85" t="str">
        <f t="shared" si="52"/>
        <v/>
      </c>
      <c r="F363" s="85" t="str">
        <f t="shared" si="53"/>
        <v/>
      </c>
      <c r="G363" s="86" t="str">
        <f t="shared" si="54"/>
        <v/>
      </c>
      <c r="H363" s="30"/>
      <c r="I363" s="87" t="str">
        <f t="shared" si="55"/>
        <v/>
      </c>
      <c r="J363" s="85" t="str">
        <f t="shared" si="56"/>
        <v/>
      </c>
      <c r="K363" s="49"/>
      <c r="L363" s="88" t="str">
        <f t="shared" si="57"/>
        <v/>
      </c>
      <c r="M363" s="88" t="str">
        <f t="shared" si="58"/>
        <v/>
      </c>
      <c r="N363" s="30"/>
      <c r="O363" s="31"/>
      <c r="P363" s="53"/>
      <c r="Q363" s="33"/>
      <c r="R363" s="54" t="str">
        <f t="shared" si="59"/>
        <v/>
      </c>
      <c r="S363" s="30"/>
      <c r="T363" s="33"/>
    </row>
    <row r="364" spans="1:20" x14ac:dyDescent="0.25">
      <c r="A364" s="30"/>
      <c r="B364" s="84" t="str">
        <f t="shared" si="50"/>
        <v/>
      </c>
      <c r="C364" s="30"/>
      <c r="D364" s="85" t="str">
        <f t="shared" si="51"/>
        <v/>
      </c>
      <c r="E364" s="85" t="str">
        <f t="shared" si="52"/>
        <v/>
      </c>
      <c r="F364" s="85" t="str">
        <f t="shared" si="53"/>
        <v/>
      </c>
      <c r="G364" s="86" t="str">
        <f t="shared" si="54"/>
        <v/>
      </c>
      <c r="H364" s="30"/>
      <c r="I364" s="87" t="str">
        <f t="shared" si="55"/>
        <v/>
      </c>
      <c r="J364" s="85" t="str">
        <f t="shared" si="56"/>
        <v/>
      </c>
      <c r="K364" s="49"/>
      <c r="L364" s="88" t="str">
        <f t="shared" si="57"/>
        <v/>
      </c>
      <c r="M364" s="88" t="str">
        <f t="shared" si="58"/>
        <v/>
      </c>
      <c r="N364" s="30"/>
      <c r="O364" s="31"/>
      <c r="P364" s="53"/>
      <c r="Q364" s="33"/>
      <c r="R364" s="54" t="str">
        <f t="shared" si="59"/>
        <v/>
      </c>
      <c r="S364" s="30"/>
      <c r="T364" s="33"/>
    </row>
    <row r="365" spans="1:20" x14ac:dyDescent="0.25">
      <c r="A365" s="30"/>
      <c r="B365" s="84" t="str">
        <f t="shared" si="50"/>
        <v/>
      </c>
      <c r="C365" s="30"/>
      <c r="D365" s="85" t="str">
        <f t="shared" si="51"/>
        <v/>
      </c>
      <c r="E365" s="85" t="str">
        <f t="shared" si="52"/>
        <v/>
      </c>
      <c r="F365" s="85" t="str">
        <f t="shared" si="53"/>
        <v/>
      </c>
      <c r="G365" s="86" t="str">
        <f t="shared" si="54"/>
        <v/>
      </c>
      <c r="H365" s="30"/>
      <c r="I365" s="87" t="str">
        <f t="shared" si="55"/>
        <v/>
      </c>
      <c r="J365" s="85" t="str">
        <f t="shared" si="56"/>
        <v/>
      </c>
      <c r="K365" s="49"/>
      <c r="L365" s="88" t="str">
        <f t="shared" si="57"/>
        <v/>
      </c>
      <c r="M365" s="88" t="str">
        <f t="shared" si="58"/>
        <v/>
      </c>
      <c r="N365" s="30"/>
      <c r="O365" s="31"/>
      <c r="P365" s="53"/>
      <c r="Q365" s="33"/>
      <c r="R365" s="54" t="str">
        <f t="shared" si="59"/>
        <v/>
      </c>
      <c r="S365" s="30"/>
      <c r="T365" s="33"/>
    </row>
    <row r="366" spans="1:20" x14ac:dyDescent="0.25">
      <c r="A366" s="30"/>
      <c r="B366" s="84" t="str">
        <f t="shared" si="50"/>
        <v/>
      </c>
      <c r="C366" s="30"/>
      <c r="D366" s="85" t="str">
        <f t="shared" si="51"/>
        <v/>
      </c>
      <c r="E366" s="85" t="str">
        <f t="shared" si="52"/>
        <v/>
      </c>
      <c r="F366" s="85" t="str">
        <f t="shared" si="53"/>
        <v/>
      </c>
      <c r="G366" s="86" t="str">
        <f t="shared" si="54"/>
        <v/>
      </c>
      <c r="H366" s="30"/>
      <c r="I366" s="87" t="str">
        <f t="shared" si="55"/>
        <v/>
      </c>
      <c r="J366" s="85" t="str">
        <f t="shared" si="56"/>
        <v/>
      </c>
      <c r="K366" s="49"/>
      <c r="L366" s="88" t="str">
        <f t="shared" si="57"/>
        <v/>
      </c>
      <c r="M366" s="88" t="str">
        <f t="shared" si="58"/>
        <v/>
      </c>
      <c r="N366" s="30"/>
      <c r="O366" s="31"/>
      <c r="P366" s="53"/>
      <c r="Q366" s="33"/>
      <c r="R366" s="54" t="str">
        <f t="shared" si="59"/>
        <v/>
      </c>
      <c r="S366" s="30"/>
      <c r="T366" s="33"/>
    </row>
    <row r="367" spans="1:20" x14ac:dyDescent="0.25">
      <c r="A367" s="30"/>
      <c r="B367" s="84" t="str">
        <f t="shared" si="50"/>
        <v/>
      </c>
      <c r="C367" s="30"/>
      <c r="D367" s="85" t="str">
        <f t="shared" si="51"/>
        <v/>
      </c>
      <c r="E367" s="85" t="str">
        <f t="shared" si="52"/>
        <v/>
      </c>
      <c r="F367" s="85" t="str">
        <f t="shared" si="53"/>
        <v/>
      </c>
      <c r="G367" s="86" t="str">
        <f t="shared" si="54"/>
        <v/>
      </c>
      <c r="H367" s="30"/>
      <c r="I367" s="87" t="str">
        <f t="shared" si="55"/>
        <v/>
      </c>
      <c r="J367" s="85" t="str">
        <f t="shared" si="56"/>
        <v/>
      </c>
      <c r="K367" s="49"/>
      <c r="L367" s="88" t="str">
        <f t="shared" si="57"/>
        <v/>
      </c>
      <c r="M367" s="88" t="str">
        <f t="shared" si="58"/>
        <v/>
      </c>
      <c r="N367" s="30"/>
      <c r="O367" s="31"/>
      <c r="P367" s="53"/>
      <c r="Q367" s="33"/>
      <c r="R367" s="54" t="str">
        <f t="shared" si="59"/>
        <v/>
      </c>
      <c r="S367" s="30"/>
      <c r="T367" s="33"/>
    </row>
    <row r="368" spans="1:20" x14ac:dyDescent="0.25">
      <c r="A368" s="30"/>
      <c r="B368" s="84" t="str">
        <f t="shared" si="50"/>
        <v/>
      </c>
      <c r="C368" s="30"/>
      <c r="D368" s="85" t="str">
        <f t="shared" si="51"/>
        <v/>
      </c>
      <c r="E368" s="85" t="str">
        <f t="shared" si="52"/>
        <v/>
      </c>
      <c r="F368" s="85" t="str">
        <f t="shared" si="53"/>
        <v/>
      </c>
      <c r="G368" s="86" t="str">
        <f t="shared" si="54"/>
        <v/>
      </c>
      <c r="H368" s="30"/>
      <c r="I368" s="87" t="str">
        <f t="shared" si="55"/>
        <v/>
      </c>
      <c r="J368" s="85" t="str">
        <f t="shared" si="56"/>
        <v/>
      </c>
      <c r="K368" s="49"/>
      <c r="L368" s="88" t="str">
        <f t="shared" si="57"/>
        <v/>
      </c>
      <c r="M368" s="88" t="str">
        <f t="shared" si="58"/>
        <v/>
      </c>
      <c r="N368" s="30"/>
      <c r="O368" s="31"/>
      <c r="P368" s="53"/>
      <c r="Q368" s="33"/>
      <c r="R368" s="54" t="str">
        <f t="shared" si="59"/>
        <v/>
      </c>
      <c r="S368" s="30"/>
      <c r="T368" s="33"/>
    </row>
    <row r="369" spans="1:20" x14ac:dyDescent="0.25">
      <c r="A369" s="30"/>
      <c r="B369" s="84" t="str">
        <f t="shared" si="50"/>
        <v/>
      </c>
      <c r="C369" s="30"/>
      <c r="D369" s="85" t="str">
        <f t="shared" si="51"/>
        <v/>
      </c>
      <c r="E369" s="85" t="str">
        <f t="shared" si="52"/>
        <v/>
      </c>
      <c r="F369" s="85" t="str">
        <f t="shared" si="53"/>
        <v/>
      </c>
      <c r="G369" s="86" t="str">
        <f t="shared" si="54"/>
        <v/>
      </c>
      <c r="H369" s="30"/>
      <c r="I369" s="87" t="str">
        <f t="shared" si="55"/>
        <v/>
      </c>
      <c r="J369" s="85" t="str">
        <f t="shared" si="56"/>
        <v/>
      </c>
      <c r="K369" s="49"/>
      <c r="L369" s="88" t="str">
        <f t="shared" si="57"/>
        <v/>
      </c>
      <c r="M369" s="88" t="str">
        <f t="shared" si="58"/>
        <v/>
      </c>
      <c r="N369" s="30"/>
      <c r="O369" s="31"/>
      <c r="P369" s="53"/>
      <c r="Q369" s="33"/>
      <c r="R369" s="54" t="str">
        <f t="shared" si="59"/>
        <v/>
      </c>
      <c r="S369" s="30"/>
      <c r="T369" s="33"/>
    </row>
    <row r="370" spans="1:20" x14ac:dyDescent="0.25">
      <c r="A370" s="30"/>
      <c r="B370" s="84" t="str">
        <f t="shared" si="50"/>
        <v/>
      </c>
      <c r="C370" s="30"/>
      <c r="D370" s="85" t="str">
        <f t="shared" si="51"/>
        <v/>
      </c>
      <c r="E370" s="85" t="str">
        <f t="shared" si="52"/>
        <v/>
      </c>
      <c r="F370" s="85" t="str">
        <f t="shared" si="53"/>
        <v/>
      </c>
      <c r="G370" s="86" t="str">
        <f t="shared" si="54"/>
        <v/>
      </c>
      <c r="H370" s="30"/>
      <c r="I370" s="87" t="str">
        <f t="shared" si="55"/>
        <v/>
      </c>
      <c r="J370" s="85" t="str">
        <f t="shared" si="56"/>
        <v/>
      </c>
      <c r="K370" s="49"/>
      <c r="L370" s="88" t="str">
        <f t="shared" si="57"/>
        <v/>
      </c>
      <c r="M370" s="88" t="str">
        <f t="shared" si="58"/>
        <v/>
      </c>
      <c r="N370" s="30"/>
      <c r="O370" s="31"/>
      <c r="P370" s="53"/>
      <c r="Q370" s="33"/>
      <c r="R370" s="54" t="str">
        <f t="shared" si="59"/>
        <v/>
      </c>
      <c r="S370" s="30"/>
      <c r="T370" s="33"/>
    </row>
    <row r="371" spans="1:20" x14ac:dyDescent="0.25">
      <c r="A371" s="30"/>
      <c r="B371" s="84" t="str">
        <f t="shared" si="50"/>
        <v/>
      </c>
      <c r="C371" s="30"/>
      <c r="D371" s="85" t="str">
        <f t="shared" si="51"/>
        <v/>
      </c>
      <c r="E371" s="85" t="str">
        <f t="shared" si="52"/>
        <v/>
      </c>
      <c r="F371" s="85" t="str">
        <f t="shared" si="53"/>
        <v/>
      </c>
      <c r="G371" s="86" t="str">
        <f t="shared" si="54"/>
        <v/>
      </c>
      <c r="H371" s="30"/>
      <c r="I371" s="87" t="str">
        <f t="shared" si="55"/>
        <v/>
      </c>
      <c r="J371" s="85" t="str">
        <f t="shared" si="56"/>
        <v/>
      </c>
      <c r="K371" s="49"/>
      <c r="L371" s="88" t="str">
        <f t="shared" si="57"/>
        <v/>
      </c>
      <c r="M371" s="88" t="str">
        <f t="shared" si="58"/>
        <v/>
      </c>
      <c r="N371" s="30"/>
      <c r="O371" s="31"/>
      <c r="P371" s="53"/>
      <c r="Q371" s="33"/>
      <c r="R371" s="54" t="str">
        <f t="shared" si="59"/>
        <v/>
      </c>
      <c r="S371" s="30"/>
      <c r="T371" s="33"/>
    </row>
    <row r="372" spans="1:20" x14ac:dyDescent="0.25">
      <c r="A372" s="30"/>
      <c r="B372" s="84" t="str">
        <f t="shared" si="50"/>
        <v/>
      </c>
      <c r="C372" s="30"/>
      <c r="D372" s="85" t="str">
        <f t="shared" si="51"/>
        <v/>
      </c>
      <c r="E372" s="85" t="str">
        <f t="shared" si="52"/>
        <v/>
      </c>
      <c r="F372" s="85" t="str">
        <f t="shared" si="53"/>
        <v/>
      </c>
      <c r="G372" s="86" t="str">
        <f t="shared" si="54"/>
        <v/>
      </c>
      <c r="H372" s="30"/>
      <c r="I372" s="87" t="str">
        <f t="shared" si="55"/>
        <v/>
      </c>
      <c r="J372" s="85" t="str">
        <f t="shared" si="56"/>
        <v/>
      </c>
      <c r="K372" s="49"/>
      <c r="L372" s="88" t="str">
        <f t="shared" si="57"/>
        <v/>
      </c>
      <c r="M372" s="88" t="str">
        <f t="shared" si="58"/>
        <v/>
      </c>
      <c r="N372" s="30"/>
      <c r="O372" s="31"/>
      <c r="P372" s="53"/>
      <c r="Q372" s="33"/>
      <c r="R372" s="54" t="str">
        <f t="shared" si="59"/>
        <v/>
      </c>
      <c r="S372" s="30"/>
      <c r="T372" s="33"/>
    </row>
    <row r="373" spans="1:20" x14ac:dyDescent="0.25">
      <c r="A373" s="30"/>
      <c r="B373" s="84" t="str">
        <f t="shared" ref="B373:B436" si="60">IF($G373="","",EOMONTH($G373,0))</f>
        <v/>
      </c>
      <c r="C373" s="30"/>
      <c r="D373" s="85" t="str">
        <f t="shared" ref="D373:D436" si="61">IFERROR(IF($C373="","",VLOOKUP($C373,CAD_TAB,2,FALSE)),"")</f>
        <v/>
      </c>
      <c r="E373" s="85" t="str">
        <f t="shared" ref="E373:E436" si="62">IFERROR(IF($C373="","",VLOOKUP($C373,CAD_TAB,3,FALSE)),"")</f>
        <v/>
      </c>
      <c r="F373" s="85" t="str">
        <f t="shared" ref="F373:F436" si="63">IFERROR(IF($C373="","",VLOOKUP($C373,OS_TAB,7,FALSE)),"")</f>
        <v/>
      </c>
      <c r="G373" s="86" t="str">
        <f t="shared" ref="G373:G436" si="64">IFERROR(IF($C373="","",VLOOKUP($C373,OS_TAB,10,FALSE)),"")</f>
        <v/>
      </c>
      <c r="H373" s="30"/>
      <c r="I373" s="87" t="str">
        <f t="shared" ref="I373:I436" si="65">IFERROR(IF($H373="","",VLOOKUP($H373,PRE_TAB,5,FALSE)),"CÓDIGO NÃO ENCONTRADO")</f>
        <v/>
      </c>
      <c r="J373" s="85" t="str">
        <f t="shared" ref="J373:J436" si="66">IFERROR(IF($H373="","",VLOOKUP($H373,PRE_TAB,7,FALSE)),"")</f>
        <v/>
      </c>
      <c r="K373" s="49"/>
      <c r="L373" s="88" t="str">
        <f t="shared" ref="L373:L436" si="67">IFERROR(IF($H373="","",VLOOKUP($H373,PRE_TAB,8,FALSE)),0)</f>
        <v/>
      </c>
      <c r="M373" s="88" t="str">
        <f t="shared" ref="M373:M436" si="68">IF($H373="","",ROUND($K373*$L373,2))</f>
        <v/>
      </c>
      <c r="N373" s="30"/>
      <c r="O373" s="31"/>
      <c r="P373" s="53"/>
      <c r="Q373" s="33"/>
      <c r="R373" s="54" t="str">
        <f t="shared" ref="R373:R436" si="69">IF($H373="","",$M373-$P373)</f>
        <v/>
      </c>
      <c r="S373" s="30"/>
      <c r="T373" s="33"/>
    </row>
    <row r="374" spans="1:20" x14ac:dyDescent="0.25">
      <c r="A374" s="30"/>
      <c r="B374" s="84" t="str">
        <f t="shared" si="60"/>
        <v/>
      </c>
      <c r="C374" s="30"/>
      <c r="D374" s="85" t="str">
        <f t="shared" si="61"/>
        <v/>
      </c>
      <c r="E374" s="85" t="str">
        <f t="shared" si="62"/>
        <v/>
      </c>
      <c r="F374" s="85" t="str">
        <f t="shared" si="63"/>
        <v/>
      </c>
      <c r="G374" s="86" t="str">
        <f t="shared" si="64"/>
        <v/>
      </c>
      <c r="H374" s="30"/>
      <c r="I374" s="87" t="str">
        <f t="shared" si="65"/>
        <v/>
      </c>
      <c r="J374" s="85" t="str">
        <f t="shared" si="66"/>
        <v/>
      </c>
      <c r="K374" s="49"/>
      <c r="L374" s="88" t="str">
        <f t="shared" si="67"/>
        <v/>
      </c>
      <c r="M374" s="88" t="str">
        <f t="shared" si="68"/>
        <v/>
      </c>
      <c r="N374" s="30"/>
      <c r="O374" s="31"/>
      <c r="P374" s="53"/>
      <c r="Q374" s="33"/>
      <c r="R374" s="54" t="str">
        <f t="shared" si="69"/>
        <v/>
      </c>
      <c r="S374" s="30"/>
      <c r="T374" s="33"/>
    </row>
    <row r="375" spans="1:20" x14ac:dyDescent="0.25">
      <c r="A375" s="30"/>
      <c r="B375" s="84" t="str">
        <f t="shared" si="60"/>
        <v/>
      </c>
      <c r="C375" s="30"/>
      <c r="D375" s="85" t="str">
        <f t="shared" si="61"/>
        <v/>
      </c>
      <c r="E375" s="85" t="str">
        <f t="shared" si="62"/>
        <v/>
      </c>
      <c r="F375" s="85" t="str">
        <f t="shared" si="63"/>
        <v/>
      </c>
      <c r="G375" s="86" t="str">
        <f t="shared" si="64"/>
        <v/>
      </c>
      <c r="H375" s="30"/>
      <c r="I375" s="87" t="str">
        <f t="shared" si="65"/>
        <v/>
      </c>
      <c r="J375" s="85" t="str">
        <f t="shared" si="66"/>
        <v/>
      </c>
      <c r="K375" s="49"/>
      <c r="L375" s="88" t="str">
        <f t="shared" si="67"/>
        <v/>
      </c>
      <c r="M375" s="88" t="str">
        <f t="shared" si="68"/>
        <v/>
      </c>
      <c r="N375" s="30"/>
      <c r="O375" s="31"/>
      <c r="P375" s="53"/>
      <c r="Q375" s="33"/>
      <c r="R375" s="54" t="str">
        <f t="shared" si="69"/>
        <v/>
      </c>
      <c r="S375" s="30"/>
      <c r="T375" s="33"/>
    </row>
    <row r="376" spans="1:20" x14ac:dyDescent="0.25">
      <c r="A376" s="30"/>
      <c r="B376" s="84" t="str">
        <f t="shared" si="60"/>
        <v/>
      </c>
      <c r="C376" s="30"/>
      <c r="D376" s="85" t="str">
        <f t="shared" si="61"/>
        <v/>
      </c>
      <c r="E376" s="85" t="str">
        <f t="shared" si="62"/>
        <v/>
      </c>
      <c r="F376" s="85" t="str">
        <f t="shared" si="63"/>
        <v/>
      </c>
      <c r="G376" s="86" t="str">
        <f t="shared" si="64"/>
        <v/>
      </c>
      <c r="H376" s="30"/>
      <c r="I376" s="87" t="str">
        <f t="shared" si="65"/>
        <v/>
      </c>
      <c r="J376" s="85" t="str">
        <f t="shared" si="66"/>
        <v/>
      </c>
      <c r="K376" s="49"/>
      <c r="L376" s="88" t="str">
        <f t="shared" si="67"/>
        <v/>
      </c>
      <c r="M376" s="88" t="str">
        <f t="shared" si="68"/>
        <v/>
      </c>
      <c r="N376" s="30"/>
      <c r="O376" s="31"/>
      <c r="P376" s="53"/>
      <c r="Q376" s="33"/>
      <c r="R376" s="54" t="str">
        <f t="shared" si="69"/>
        <v/>
      </c>
      <c r="S376" s="30"/>
      <c r="T376" s="33"/>
    </row>
    <row r="377" spans="1:20" x14ac:dyDescent="0.25">
      <c r="A377" s="30"/>
      <c r="B377" s="84" t="str">
        <f t="shared" si="60"/>
        <v/>
      </c>
      <c r="C377" s="30"/>
      <c r="D377" s="85" t="str">
        <f t="shared" si="61"/>
        <v/>
      </c>
      <c r="E377" s="85" t="str">
        <f t="shared" si="62"/>
        <v/>
      </c>
      <c r="F377" s="85" t="str">
        <f t="shared" si="63"/>
        <v/>
      </c>
      <c r="G377" s="86" t="str">
        <f t="shared" si="64"/>
        <v/>
      </c>
      <c r="H377" s="30"/>
      <c r="I377" s="87" t="str">
        <f t="shared" si="65"/>
        <v/>
      </c>
      <c r="J377" s="85" t="str">
        <f t="shared" si="66"/>
        <v/>
      </c>
      <c r="K377" s="49"/>
      <c r="L377" s="88" t="str">
        <f t="shared" si="67"/>
        <v/>
      </c>
      <c r="M377" s="88" t="str">
        <f t="shared" si="68"/>
        <v/>
      </c>
      <c r="N377" s="30"/>
      <c r="O377" s="31"/>
      <c r="P377" s="53"/>
      <c r="Q377" s="33"/>
      <c r="R377" s="54" t="str">
        <f t="shared" si="69"/>
        <v/>
      </c>
      <c r="S377" s="30"/>
      <c r="T377" s="33"/>
    </row>
    <row r="378" spans="1:20" x14ac:dyDescent="0.25">
      <c r="A378" s="30"/>
      <c r="B378" s="84" t="str">
        <f t="shared" si="60"/>
        <v/>
      </c>
      <c r="C378" s="30"/>
      <c r="D378" s="85" t="str">
        <f t="shared" si="61"/>
        <v/>
      </c>
      <c r="E378" s="85" t="str">
        <f t="shared" si="62"/>
        <v/>
      </c>
      <c r="F378" s="85" t="str">
        <f t="shared" si="63"/>
        <v/>
      </c>
      <c r="G378" s="86" t="str">
        <f t="shared" si="64"/>
        <v/>
      </c>
      <c r="H378" s="30"/>
      <c r="I378" s="87" t="str">
        <f t="shared" si="65"/>
        <v/>
      </c>
      <c r="J378" s="85" t="str">
        <f t="shared" si="66"/>
        <v/>
      </c>
      <c r="K378" s="49"/>
      <c r="L378" s="88" t="str">
        <f t="shared" si="67"/>
        <v/>
      </c>
      <c r="M378" s="88" t="str">
        <f t="shared" si="68"/>
        <v/>
      </c>
      <c r="N378" s="30"/>
      <c r="O378" s="31"/>
      <c r="P378" s="53"/>
      <c r="Q378" s="33"/>
      <c r="R378" s="54" t="str">
        <f t="shared" si="69"/>
        <v/>
      </c>
      <c r="S378" s="30"/>
      <c r="T378" s="33"/>
    </row>
    <row r="379" spans="1:20" x14ac:dyDescent="0.25">
      <c r="A379" s="30"/>
      <c r="B379" s="84" t="str">
        <f t="shared" si="60"/>
        <v/>
      </c>
      <c r="C379" s="30"/>
      <c r="D379" s="85" t="str">
        <f t="shared" si="61"/>
        <v/>
      </c>
      <c r="E379" s="85" t="str">
        <f t="shared" si="62"/>
        <v/>
      </c>
      <c r="F379" s="85" t="str">
        <f t="shared" si="63"/>
        <v/>
      </c>
      <c r="G379" s="86" t="str">
        <f t="shared" si="64"/>
        <v/>
      </c>
      <c r="H379" s="30"/>
      <c r="I379" s="87" t="str">
        <f t="shared" si="65"/>
        <v/>
      </c>
      <c r="J379" s="85" t="str">
        <f t="shared" si="66"/>
        <v/>
      </c>
      <c r="K379" s="49"/>
      <c r="L379" s="88" t="str">
        <f t="shared" si="67"/>
        <v/>
      </c>
      <c r="M379" s="88" t="str">
        <f t="shared" si="68"/>
        <v/>
      </c>
      <c r="N379" s="30"/>
      <c r="O379" s="31"/>
      <c r="P379" s="53"/>
      <c r="Q379" s="33"/>
      <c r="R379" s="54" t="str">
        <f t="shared" si="69"/>
        <v/>
      </c>
      <c r="S379" s="30"/>
      <c r="T379" s="33"/>
    </row>
    <row r="380" spans="1:20" x14ac:dyDescent="0.25">
      <c r="A380" s="30"/>
      <c r="B380" s="84" t="str">
        <f t="shared" si="60"/>
        <v/>
      </c>
      <c r="C380" s="30"/>
      <c r="D380" s="85" t="str">
        <f t="shared" si="61"/>
        <v/>
      </c>
      <c r="E380" s="85" t="str">
        <f t="shared" si="62"/>
        <v/>
      </c>
      <c r="F380" s="85" t="str">
        <f t="shared" si="63"/>
        <v/>
      </c>
      <c r="G380" s="86" t="str">
        <f t="shared" si="64"/>
        <v/>
      </c>
      <c r="H380" s="30"/>
      <c r="I380" s="87" t="str">
        <f t="shared" si="65"/>
        <v/>
      </c>
      <c r="J380" s="85" t="str">
        <f t="shared" si="66"/>
        <v/>
      </c>
      <c r="K380" s="49"/>
      <c r="L380" s="88" t="str">
        <f t="shared" si="67"/>
        <v/>
      </c>
      <c r="M380" s="88" t="str">
        <f t="shared" si="68"/>
        <v/>
      </c>
      <c r="N380" s="30"/>
      <c r="O380" s="31"/>
      <c r="P380" s="53"/>
      <c r="Q380" s="33"/>
      <c r="R380" s="54" t="str">
        <f t="shared" si="69"/>
        <v/>
      </c>
      <c r="S380" s="30"/>
      <c r="T380" s="33"/>
    </row>
    <row r="381" spans="1:20" x14ac:dyDescent="0.25">
      <c r="A381" s="30"/>
      <c r="B381" s="84" t="str">
        <f t="shared" si="60"/>
        <v/>
      </c>
      <c r="C381" s="30"/>
      <c r="D381" s="85" t="str">
        <f t="shared" si="61"/>
        <v/>
      </c>
      <c r="E381" s="85" t="str">
        <f t="shared" si="62"/>
        <v/>
      </c>
      <c r="F381" s="85" t="str">
        <f t="shared" si="63"/>
        <v/>
      </c>
      <c r="G381" s="86" t="str">
        <f t="shared" si="64"/>
        <v/>
      </c>
      <c r="H381" s="30"/>
      <c r="I381" s="87" t="str">
        <f t="shared" si="65"/>
        <v/>
      </c>
      <c r="J381" s="85" t="str">
        <f t="shared" si="66"/>
        <v/>
      </c>
      <c r="K381" s="49"/>
      <c r="L381" s="88" t="str">
        <f t="shared" si="67"/>
        <v/>
      </c>
      <c r="M381" s="88" t="str">
        <f t="shared" si="68"/>
        <v/>
      </c>
      <c r="N381" s="30"/>
      <c r="O381" s="31"/>
      <c r="P381" s="53"/>
      <c r="Q381" s="33"/>
      <c r="R381" s="54" t="str">
        <f t="shared" si="69"/>
        <v/>
      </c>
      <c r="S381" s="30"/>
      <c r="T381" s="33"/>
    </row>
    <row r="382" spans="1:20" x14ac:dyDescent="0.25">
      <c r="A382" s="30"/>
      <c r="B382" s="84" t="str">
        <f t="shared" si="60"/>
        <v/>
      </c>
      <c r="C382" s="30"/>
      <c r="D382" s="85" t="str">
        <f t="shared" si="61"/>
        <v/>
      </c>
      <c r="E382" s="85" t="str">
        <f t="shared" si="62"/>
        <v/>
      </c>
      <c r="F382" s="85" t="str">
        <f t="shared" si="63"/>
        <v/>
      </c>
      <c r="G382" s="86" t="str">
        <f t="shared" si="64"/>
        <v/>
      </c>
      <c r="H382" s="30"/>
      <c r="I382" s="87" t="str">
        <f t="shared" si="65"/>
        <v/>
      </c>
      <c r="J382" s="85" t="str">
        <f t="shared" si="66"/>
        <v/>
      </c>
      <c r="K382" s="49"/>
      <c r="L382" s="88" t="str">
        <f t="shared" si="67"/>
        <v/>
      </c>
      <c r="M382" s="88" t="str">
        <f t="shared" si="68"/>
        <v/>
      </c>
      <c r="N382" s="30"/>
      <c r="O382" s="31"/>
      <c r="P382" s="53"/>
      <c r="Q382" s="33"/>
      <c r="R382" s="54" t="str">
        <f t="shared" si="69"/>
        <v/>
      </c>
      <c r="S382" s="30"/>
      <c r="T382" s="33"/>
    </row>
    <row r="383" spans="1:20" x14ac:dyDescent="0.25">
      <c r="A383" s="30"/>
      <c r="B383" s="84" t="str">
        <f t="shared" si="60"/>
        <v/>
      </c>
      <c r="C383" s="30"/>
      <c r="D383" s="85" t="str">
        <f t="shared" si="61"/>
        <v/>
      </c>
      <c r="E383" s="85" t="str">
        <f t="shared" si="62"/>
        <v/>
      </c>
      <c r="F383" s="85" t="str">
        <f t="shared" si="63"/>
        <v/>
      </c>
      <c r="G383" s="86" t="str">
        <f t="shared" si="64"/>
        <v/>
      </c>
      <c r="H383" s="30"/>
      <c r="I383" s="87" t="str">
        <f t="shared" si="65"/>
        <v/>
      </c>
      <c r="J383" s="85" t="str">
        <f t="shared" si="66"/>
        <v/>
      </c>
      <c r="K383" s="49"/>
      <c r="L383" s="88" t="str">
        <f t="shared" si="67"/>
        <v/>
      </c>
      <c r="M383" s="88" t="str">
        <f t="shared" si="68"/>
        <v/>
      </c>
      <c r="N383" s="30"/>
      <c r="O383" s="31"/>
      <c r="P383" s="53"/>
      <c r="Q383" s="33"/>
      <c r="R383" s="54" t="str">
        <f t="shared" si="69"/>
        <v/>
      </c>
      <c r="S383" s="30"/>
      <c r="T383" s="33"/>
    </row>
    <row r="384" spans="1:20" x14ac:dyDescent="0.25">
      <c r="A384" s="30"/>
      <c r="B384" s="84" t="str">
        <f t="shared" si="60"/>
        <v/>
      </c>
      <c r="C384" s="30"/>
      <c r="D384" s="85" t="str">
        <f t="shared" si="61"/>
        <v/>
      </c>
      <c r="E384" s="85" t="str">
        <f t="shared" si="62"/>
        <v/>
      </c>
      <c r="F384" s="85" t="str">
        <f t="shared" si="63"/>
        <v/>
      </c>
      <c r="G384" s="86" t="str">
        <f t="shared" si="64"/>
        <v/>
      </c>
      <c r="H384" s="30"/>
      <c r="I384" s="87" t="str">
        <f t="shared" si="65"/>
        <v/>
      </c>
      <c r="J384" s="85" t="str">
        <f t="shared" si="66"/>
        <v/>
      </c>
      <c r="K384" s="49"/>
      <c r="L384" s="88" t="str">
        <f t="shared" si="67"/>
        <v/>
      </c>
      <c r="M384" s="88" t="str">
        <f t="shared" si="68"/>
        <v/>
      </c>
      <c r="N384" s="30"/>
      <c r="O384" s="31"/>
      <c r="P384" s="53"/>
      <c r="Q384" s="33"/>
      <c r="R384" s="54" t="str">
        <f t="shared" si="69"/>
        <v/>
      </c>
      <c r="S384" s="30"/>
      <c r="T384" s="33"/>
    </row>
    <row r="385" spans="1:20" x14ac:dyDescent="0.25">
      <c r="A385" s="30"/>
      <c r="B385" s="84" t="str">
        <f t="shared" si="60"/>
        <v/>
      </c>
      <c r="C385" s="30"/>
      <c r="D385" s="85" t="str">
        <f t="shared" si="61"/>
        <v/>
      </c>
      <c r="E385" s="85" t="str">
        <f t="shared" si="62"/>
        <v/>
      </c>
      <c r="F385" s="85" t="str">
        <f t="shared" si="63"/>
        <v/>
      </c>
      <c r="G385" s="86" t="str">
        <f t="shared" si="64"/>
        <v/>
      </c>
      <c r="H385" s="30"/>
      <c r="I385" s="87" t="str">
        <f t="shared" si="65"/>
        <v/>
      </c>
      <c r="J385" s="85" t="str">
        <f t="shared" si="66"/>
        <v/>
      </c>
      <c r="K385" s="49"/>
      <c r="L385" s="88" t="str">
        <f t="shared" si="67"/>
        <v/>
      </c>
      <c r="M385" s="88" t="str">
        <f t="shared" si="68"/>
        <v/>
      </c>
      <c r="N385" s="30"/>
      <c r="O385" s="31"/>
      <c r="P385" s="53"/>
      <c r="Q385" s="33"/>
      <c r="R385" s="54" t="str">
        <f t="shared" si="69"/>
        <v/>
      </c>
      <c r="S385" s="30"/>
      <c r="T385" s="33"/>
    </row>
    <row r="386" spans="1:20" x14ac:dyDescent="0.25">
      <c r="A386" s="30"/>
      <c r="B386" s="84" t="str">
        <f t="shared" si="60"/>
        <v/>
      </c>
      <c r="C386" s="30"/>
      <c r="D386" s="85" t="str">
        <f t="shared" si="61"/>
        <v/>
      </c>
      <c r="E386" s="85" t="str">
        <f t="shared" si="62"/>
        <v/>
      </c>
      <c r="F386" s="85" t="str">
        <f t="shared" si="63"/>
        <v/>
      </c>
      <c r="G386" s="86" t="str">
        <f t="shared" si="64"/>
        <v/>
      </c>
      <c r="H386" s="30"/>
      <c r="I386" s="87" t="str">
        <f t="shared" si="65"/>
        <v/>
      </c>
      <c r="J386" s="85" t="str">
        <f t="shared" si="66"/>
        <v/>
      </c>
      <c r="K386" s="49"/>
      <c r="L386" s="88" t="str">
        <f t="shared" si="67"/>
        <v/>
      </c>
      <c r="M386" s="88" t="str">
        <f t="shared" si="68"/>
        <v/>
      </c>
      <c r="N386" s="30"/>
      <c r="O386" s="31"/>
      <c r="P386" s="53"/>
      <c r="Q386" s="33"/>
      <c r="R386" s="54" t="str">
        <f t="shared" si="69"/>
        <v/>
      </c>
      <c r="S386" s="30"/>
      <c r="T386" s="33"/>
    </row>
    <row r="387" spans="1:20" x14ac:dyDescent="0.25">
      <c r="A387" s="30"/>
      <c r="B387" s="84" t="str">
        <f t="shared" si="60"/>
        <v/>
      </c>
      <c r="C387" s="30"/>
      <c r="D387" s="85" t="str">
        <f t="shared" si="61"/>
        <v/>
      </c>
      <c r="E387" s="85" t="str">
        <f t="shared" si="62"/>
        <v/>
      </c>
      <c r="F387" s="85" t="str">
        <f t="shared" si="63"/>
        <v/>
      </c>
      <c r="G387" s="86" t="str">
        <f t="shared" si="64"/>
        <v/>
      </c>
      <c r="H387" s="30"/>
      <c r="I387" s="87" t="str">
        <f t="shared" si="65"/>
        <v/>
      </c>
      <c r="J387" s="85" t="str">
        <f t="shared" si="66"/>
        <v/>
      </c>
      <c r="K387" s="49"/>
      <c r="L387" s="88" t="str">
        <f t="shared" si="67"/>
        <v/>
      </c>
      <c r="M387" s="88" t="str">
        <f t="shared" si="68"/>
        <v/>
      </c>
      <c r="N387" s="30"/>
      <c r="O387" s="31"/>
      <c r="P387" s="53"/>
      <c r="Q387" s="33"/>
      <c r="R387" s="54" t="str">
        <f t="shared" si="69"/>
        <v/>
      </c>
      <c r="S387" s="30"/>
      <c r="T387" s="33"/>
    </row>
    <row r="388" spans="1:20" x14ac:dyDescent="0.25">
      <c r="A388" s="30"/>
      <c r="B388" s="84" t="str">
        <f t="shared" si="60"/>
        <v/>
      </c>
      <c r="C388" s="30"/>
      <c r="D388" s="85" t="str">
        <f t="shared" si="61"/>
        <v/>
      </c>
      <c r="E388" s="85" t="str">
        <f t="shared" si="62"/>
        <v/>
      </c>
      <c r="F388" s="85" t="str">
        <f t="shared" si="63"/>
        <v/>
      </c>
      <c r="G388" s="86" t="str">
        <f t="shared" si="64"/>
        <v/>
      </c>
      <c r="H388" s="30"/>
      <c r="I388" s="87" t="str">
        <f t="shared" si="65"/>
        <v/>
      </c>
      <c r="J388" s="85" t="str">
        <f t="shared" si="66"/>
        <v/>
      </c>
      <c r="K388" s="49"/>
      <c r="L388" s="88" t="str">
        <f t="shared" si="67"/>
        <v/>
      </c>
      <c r="M388" s="88" t="str">
        <f t="shared" si="68"/>
        <v/>
      </c>
      <c r="N388" s="30"/>
      <c r="O388" s="31"/>
      <c r="P388" s="53"/>
      <c r="Q388" s="33"/>
      <c r="R388" s="54" t="str">
        <f t="shared" si="69"/>
        <v/>
      </c>
      <c r="S388" s="30"/>
      <c r="T388" s="33"/>
    </row>
    <row r="389" spans="1:20" x14ac:dyDescent="0.25">
      <c r="A389" s="30"/>
      <c r="B389" s="84" t="str">
        <f t="shared" si="60"/>
        <v/>
      </c>
      <c r="C389" s="30"/>
      <c r="D389" s="85" t="str">
        <f t="shared" si="61"/>
        <v/>
      </c>
      <c r="E389" s="85" t="str">
        <f t="shared" si="62"/>
        <v/>
      </c>
      <c r="F389" s="85" t="str">
        <f t="shared" si="63"/>
        <v/>
      </c>
      <c r="G389" s="86" t="str">
        <f t="shared" si="64"/>
        <v/>
      </c>
      <c r="H389" s="30"/>
      <c r="I389" s="87" t="str">
        <f t="shared" si="65"/>
        <v/>
      </c>
      <c r="J389" s="85" t="str">
        <f t="shared" si="66"/>
        <v/>
      </c>
      <c r="K389" s="49"/>
      <c r="L389" s="88" t="str">
        <f t="shared" si="67"/>
        <v/>
      </c>
      <c r="M389" s="88" t="str">
        <f t="shared" si="68"/>
        <v/>
      </c>
      <c r="N389" s="30"/>
      <c r="O389" s="31"/>
      <c r="P389" s="53"/>
      <c r="Q389" s="33"/>
      <c r="R389" s="54" t="str">
        <f t="shared" si="69"/>
        <v/>
      </c>
      <c r="S389" s="30"/>
      <c r="T389" s="33"/>
    </row>
    <row r="390" spans="1:20" x14ac:dyDescent="0.25">
      <c r="A390" s="30"/>
      <c r="B390" s="84" t="str">
        <f t="shared" si="60"/>
        <v/>
      </c>
      <c r="C390" s="30"/>
      <c r="D390" s="85" t="str">
        <f t="shared" si="61"/>
        <v/>
      </c>
      <c r="E390" s="85" t="str">
        <f t="shared" si="62"/>
        <v/>
      </c>
      <c r="F390" s="85" t="str">
        <f t="shared" si="63"/>
        <v/>
      </c>
      <c r="G390" s="86" t="str">
        <f t="shared" si="64"/>
        <v/>
      </c>
      <c r="H390" s="30"/>
      <c r="I390" s="87" t="str">
        <f t="shared" si="65"/>
        <v/>
      </c>
      <c r="J390" s="85" t="str">
        <f t="shared" si="66"/>
        <v/>
      </c>
      <c r="K390" s="49"/>
      <c r="L390" s="88" t="str">
        <f t="shared" si="67"/>
        <v/>
      </c>
      <c r="M390" s="88" t="str">
        <f t="shared" si="68"/>
        <v/>
      </c>
      <c r="N390" s="30"/>
      <c r="O390" s="31"/>
      <c r="P390" s="53"/>
      <c r="Q390" s="33"/>
      <c r="R390" s="54" t="str">
        <f t="shared" si="69"/>
        <v/>
      </c>
      <c r="S390" s="30"/>
      <c r="T390" s="33"/>
    </row>
    <row r="391" spans="1:20" x14ac:dyDescent="0.25">
      <c r="A391" s="30"/>
      <c r="B391" s="84" t="str">
        <f t="shared" si="60"/>
        <v/>
      </c>
      <c r="C391" s="30"/>
      <c r="D391" s="85" t="str">
        <f t="shared" si="61"/>
        <v/>
      </c>
      <c r="E391" s="85" t="str">
        <f t="shared" si="62"/>
        <v/>
      </c>
      <c r="F391" s="85" t="str">
        <f t="shared" si="63"/>
        <v/>
      </c>
      <c r="G391" s="86" t="str">
        <f t="shared" si="64"/>
        <v/>
      </c>
      <c r="H391" s="30"/>
      <c r="I391" s="87" t="str">
        <f t="shared" si="65"/>
        <v/>
      </c>
      <c r="J391" s="85" t="str">
        <f t="shared" si="66"/>
        <v/>
      </c>
      <c r="K391" s="49"/>
      <c r="L391" s="88" t="str">
        <f t="shared" si="67"/>
        <v/>
      </c>
      <c r="M391" s="88" t="str">
        <f t="shared" si="68"/>
        <v/>
      </c>
      <c r="N391" s="30"/>
      <c r="O391" s="31"/>
      <c r="P391" s="53"/>
      <c r="Q391" s="33"/>
      <c r="R391" s="54" t="str">
        <f t="shared" si="69"/>
        <v/>
      </c>
      <c r="S391" s="30"/>
      <c r="T391" s="33"/>
    </row>
    <row r="392" spans="1:20" x14ac:dyDescent="0.25">
      <c r="A392" s="30"/>
      <c r="B392" s="84" t="str">
        <f t="shared" si="60"/>
        <v/>
      </c>
      <c r="C392" s="30"/>
      <c r="D392" s="85" t="str">
        <f t="shared" si="61"/>
        <v/>
      </c>
      <c r="E392" s="85" t="str">
        <f t="shared" si="62"/>
        <v/>
      </c>
      <c r="F392" s="85" t="str">
        <f t="shared" si="63"/>
        <v/>
      </c>
      <c r="G392" s="86" t="str">
        <f t="shared" si="64"/>
        <v/>
      </c>
      <c r="H392" s="30"/>
      <c r="I392" s="87" t="str">
        <f t="shared" si="65"/>
        <v/>
      </c>
      <c r="J392" s="85" t="str">
        <f t="shared" si="66"/>
        <v/>
      </c>
      <c r="K392" s="49"/>
      <c r="L392" s="88" t="str">
        <f t="shared" si="67"/>
        <v/>
      </c>
      <c r="M392" s="88" t="str">
        <f t="shared" si="68"/>
        <v/>
      </c>
      <c r="N392" s="30"/>
      <c r="O392" s="31"/>
      <c r="P392" s="53"/>
      <c r="Q392" s="33"/>
      <c r="R392" s="54" t="str">
        <f t="shared" si="69"/>
        <v/>
      </c>
      <c r="S392" s="30"/>
      <c r="T392" s="33"/>
    </row>
    <row r="393" spans="1:20" x14ac:dyDescent="0.25">
      <c r="A393" s="30"/>
      <c r="B393" s="84" t="str">
        <f t="shared" si="60"/>
        <v/>
      </c>
      <c r="C393" s="30"/>
      <c r="D393" s="85" t="str">
        <f t="shared" si="61"/>
        <v/>
      </c>
      <c r="E393" s="85" t="str">
        <f t="shared" si="62"/>
        <v/>
      </c>
      <c r="F393" s="85" t="str">
        <f t="shared" si="63"/>
        <v/>
      </c>
      <c r="G393" s="86" t="str">
        <f t="shared" si="64"/>
        <v/>
      </c>
      <c r="H393" s="30"/>
      <c r="I393" s="87" t="str">
        <f t="shared" si="65"/>
        <v/>
      </c>
      <c r="J393" s="85" t="str">
        <f t="shared" si="66"/>
        <v/>
      </c>
      <c r="K393" s="49"/>
      <c r="L393" s="88" t="str">
        <f t="shared" si="67"/>
        <v/>
      </c>
      <c r="M393" s="88" t="str">
        <f t="shared" si="68"/>
        <v/>
      </c>
      <c r="N393" s="30"/>
      <c r="O393" s="31"/>
      <c r="P393" s="53"/>
      <c r="Q393" s="33"/>
      <c r="R393" s="54" t="str">
        <f t="shared" si="69"/>
        <v/>
      </c>
      <c r="S393" s="30"/>
      <c r="T393" s="33"/>
    </row>
    <row r="394" spans="1:20" x14ac:dyDescent="0.25">
      <c r="A394" s="30"/>
      <c r="B394" s="84" t="str">
        <f t="shared" si="60"/>
        <v/>
      </c>
      <c r="C394" s="30"/>
      <c r="D394" s="85" t="str">
        <f t="shared" si="61"/>
        <v/>
      </c>
      <c r="E394" s="85" t="str">
        <f t="shared" si="62"/>
        <v/>
      </c>
      <c r="F394" s="85" t="str">
        <f t="shared" si="63"/>
        <v/>
      </c>
      <c r="G394" s="86" t="str">
        <f t="shared" si="64"/>
        <v/>
      </c>
      <c r="H394" s="30"/>
      <c r="I394" s="87" t="str">
        <f t="shared" si="65"/>
        <v/>
      </c>
      <c r="J394" s="85" t="str">
        <f t="shared" si="66"/>
        <v/>
      </c>
      <c r="K394" s="49"/>
      <c r="L394" s="88" t="str">
        <f t="shared" si="67"/>
        <v/>
      </c>
      <c r="M394" s="88" t="str">
        <f t="shared" si="68"/>
        <v/>
      </c>
      <c r="N394" s="30"/>
      <c r="O394" s="31"/>
      <c r="P394" s="53"/>
      <c r="Q394" s="33"/>
      <c r="R394" s="54" t="str">
        <f t="shared" si="69"/>
        <v/>
      </c>
      <c r="S394" s="30"/>
      <c r="T394" s="33"/>
    </row>
    <row r="395" spans="1:20" x14ac:dyDescent="0.25">
      <c r="A395" s="30"/>
      <c r="B395" s="84" t="str">
        <f t="shared" si="60"/>
        <v/>
      </c>
      <c r="C395" s="30"/>
      <c r="D395" s="85" t="str">
        <f t="shared" si="61"/>
        <v/>
      </c>
      <c r="E395" s="85" t="str">
        <f t="shared" si="62"/>
        <v/>
      </c>
      <c r="F395" s="85" t="str">
        <f t="shared" si="63"/>
        <v/>
      </c>
      <c r="G395" s="86" t="str">
        <f t="shared" si="64"/>
        <v/>
      </c>
      <c r="H395" s="30"/>
      <c r="I395" s="87" t="str">
        <f t="shared" si="65"/>
        <v/>
      </c>
      <c r="J395" s="85" t="str">
        <f t="shared" si="66"/>
        <v/>
      </c>
      <c r="K395" s="49"/>
      <c r="L395" s="88" t="str">
        <f t="shared" si="67"/>
        <v/>
      </c>
      <c r="M395" s="88" t="str">
        <f t="shared" si="68"/>
        <v/>
      </c>
      <c r="N395" s="30"/>
      <c r="O395" s="31"/>
      <c r="P395" s="53"/>
      <c r="Q395" s="33"/>
      <c r="R395" s="54" t="str">
        <f t="shared" si="69"/>
        <v/>
      </c>
      <c r="S395" s="30"/>
      <c r="T395" s="33"/>
    </row>
    <row r="396" spans="1:20" x14ac:dyDescent="0.25">
      <c r="A396" s="30"/>
      <c r="B396" s="84" t="str">
        <f t="shared" si="60"/>
        <v/>
      </c>
      <c r="C396" s="30"/>
      <c r="D396" s="85" t="str">
        <f t="shared" si="61"/>
        <v/>
      </c>
      <c r="E396" s="85" t="str">
        <f t="shared" si="62"/>
        <v/>
      </c>
      <c r="F396" s="85" t="str">
        <f t="shared" si="63"/>
        <v/>
      </c>
      <c r="G396" s="86" t="str">
        <f t="shared" si="64"/>
        <v/>
      </c>
      <c r="H396" s="30"/>
      <c r="I396" s="87" t="str">
        <f t="shared" si="65"/>
        <v/>
      </c>
      <c r="J396" s="85" t="str">
        <f t="shared" si="66"/>
        <v/>
      </c>
      <c r="K396" s="49"/>
      <c r="L396" s="88" t="str">
        <f t="shared" si="67"/>
        <v/>
      </c>
      <c r="M396" s="88" t="str">
        <f t="shared" si="68"/>
        <v/>
      </c>
      <c r="N396" s="30"/>
      <c r="O396" s="31"/>
      <c r="P396" s="53"/>
      <c r="Q396" s="33"/>
      <c r="R396" s="54" t="str">
        <f t="shared" si="69"/>
        <v/>
      </c>
      <c r="S396" s="30"/>
      <c r="T396" s="33"/>
    </row>
    <row r="397" spans="1:20" x14ac:dyDescent="0.25">
      <c r="A397" s="30"/>
      <c r="B397" s="84" t="str">
        <f t="shared" si="60"/>
        <v/>
      </c>
      <c r="C397" s="30"/>
      <c r="D397" s="85" t="str">
        <f t="shared" si="61"/>
        <v/>
      </c>
      <c r="E397" s="85" t="str">
        <f t="shared" si="62"/>
        <v/>
      </c>
      <c r="F397" s="85" t="str">
        <f t="shared" si="63"/>
        <v/>
      </c>
      <c r="G397" s="86" t="str">
        <f t="shared" si="64"/>
        <v/>
      </c>
      <c r="H397" s="30"/>
      <c r="I397" s="87" t="str">
        <f t="shared" si="65"/>
        <v/>
      </c>
      <c r="J397" s="85" t="str">
        <f t="shared" si="66"/>
        <v/>
      </c>
      <c r="K397" s="49"/>
      <c r="L397" s="88" t="str">
        <f t="shared" si="67"/>
        <v/>
      </c>
      <c r="M397" s="88" t="str">
        <f t="shared" si="68"/>
        <v/>
      </c>
      <c r="N397" s="30"/>
      <c r="O397" s="31"/>
      <c r="P397" s="53"/>
      <c r="Q397" s="33"/>
      <c r="R397" s="54" t="str">
        <f t="shared" si="69"/>
        <v/>
      </c>
      <c r="S397" s="30"/>
      <c r="T397" s="33"/>
    </row>
    <row r="398" spans="1:20" x14ac:dyDescent="0.25">
      <c r="A398" s="30"/>
      <c r="B398" s="84" t="str">
        <f t="shared" si="60"/>
        <v/>
      </c>
      <c r="C398" s="30"/>
      <c r="D398" s="85" t="str">
        <f t="shared" si="61"/>
        <v/>
      </c>
      <c r="E398" s="85" t="str">
        <f t="shared" si="62"/>
        <v/>
      </c>
      <c r="F398" s="85" t="str">
        <f t="shared" si="63"/>
        <v/>
      </c>
      <c r="G398" s="86" t="str">
        <f t="shared" si="64"/>
        <v/>
      </c>
      <c r="H398" s="30"/>
      <c r="I398" s="87" t="str">
        <f t="shared" si="65"/>
        <v/>
      </c>
      <c r="J398" s="85" t="str">
        <f t="shared" si="66"/>
        <v/>
      </c>
      <c r="K398" s="49"/>
      <c r="L398" s="88" t="str">
        <f t="shared" si="67"/>
        <v/>
      </c>
      <c r="M398" s="88" t="str">
        <f t="shared" si="68"/>
        <v/>
      </c>
      <c r="N398" s="30"/>
      <c r="O398" s="31"/>
      <c r="P398" s="53"/>
      <c r="Q398" s="33"/>
      <c r="R398" s="54" t="str">
        <f t="shared" si="69"/>
        <v/>
      </c>
      <c r="S398" s="30"/>
      <c r="T398" s="33"/>
    </row>
    <row r="399" spans="1:20" x14ac:dyDescent="0.25">
      <c r="A399" s="30"/>
      <c r="B399" s="84" t="str">
        <f t="shared" si="60"/>
        <v/>
      </c>
      <c r="C399" s="30"/>
      <c r="D399" s="85" t="str">
        <f t="shared" si="61"/>
        <v/>
      </c>
      <c r="E399" s="85" t="str">
        <f t="shared" si="62"/>
        <v/>
      </c>
      <c r="F399" s="85" t="str">
        <f t="shared" si="63"/>
        <v/>
      </c>
      <c r="G399" s="86" t="str">
        <f t="shared" si="64"/>
        <v/>
      </c>
      <c r="H399" s="30"/>
      <c r="I399" s="87" t="str">
        <f t="shared" si="65"/>
        <v/>
      </c>
      <c r="J399" s="85" t="str">
        <f t="shared" si="66"/>
        <v/>
      </c>
      <c r="K399" s="49"/>
      <c r="L399" s="88" t="str">
        <f t="shared" si="67"/>
        <v/>
      </c>
      <c r="M399" s="88" t="str">
        <f t="shared" si="68"/>
        <v/>
      </c>
      <c r="N399" s="30"/>
      <c r="O399" s="31"/>
      <c r="P399" s="53"/>
      <c r="Q399" s="33"/>
      <c r="R399" s="54" t="str">
        <f t="shared" si="69"/>
        <v/>
      </c>
      <c r="S399" s="30"/>
      <c r="T399" s="33"/>
    </row>
    <row r="400" spans="1:20" x14ac:dyDescent="0.25">
      <c r="A400" s="30"/>
      <c r="B400" s="84" t="str">
        <f t="shared" si="60"/>
        <v/>
      </c>
      <c r="C400" s="30"/>
      <c r="D400" s="85" t="str">
        <f t="shared" si="61"/>
        <v/>
      </c>
      <c r="E400" s="85" t="str">
        <f t="shared" si="62"/>
        <v/>
      </c>
      <c r="F400" s="85" t="str">
        <f t="shared" si="63"/>
        <v/>
      </c>
      <c r="G400" s="86" t="str">
        <f t="shared" si="64"/>
        <v/>
      </c>
      <c r="H400" s="30"/>
      <c r="I400" s="87" t="str">
        <f t="shared" si="65"/>
        <v/>
      </c>
      <c r="J400" s="85" t="str">
        <f t="shared" si="66"/>
        <v/>
      </c>
      <c r="K400" s="49"/>
      <c r="L400" s="88" t="str">
        <f t="shared" si="67"/>
        <v/>
      </c>
      <c r="M400" s="88" t="str">
        <f t="shared" si="68"/>
        <v/>
      </c>
      <c r="N400" s="30"/>
      <c r="O400" s="31"/>
      <c r="P400" s="53"/>
      <c r="Q400" s="33"/>
      <c r="R400" s="54" t="str">
        <f t="shared" si="69"/>
        <v/>
      </c>
      <c r="S400" s="30"/>
      <c r="T400" s="33"/>
    </row>
    <row r="401" spans="1:20" x14ac:dyDescent="0.25">
      <c r="A401" s="30"/>
      <c r="B401" s="84" t="str">
        <f t="shared" si="60"/>
        <v/>
      </c>
      <c r="C401" s="30"/>
      <c r="D401" s="85" t="str">
        <f t="shared" si="61"/>
        <v/>
      </c>
      <c r="E401" s="85" t="str">
        <f t="shared" si="62"/>
        <v/>
      </c>
      <c r="F401" s="85" t="str">
        <f t="shared" si="63"/>
        <v/>
      </c>
      <c r="G401" s="86" t="str">
        <f t="shared" si="64"/>
        <v/>
      </c>
      <c r="H401" s="30"/>
      <c r="I401" s="87" t="str">
        <f t="shared" si="65"/>
        <v/>
      </c>
      <c r="J401" s="85" t="str">
        <f t="shared" si="66"/>
        <v/>
      </c>
      <c r="K401" s="49"/>
      <c r="L401" s="88" t="str">
        <f t="shared" si="67"/>
        <v/>
      </c>
      <c r="M401" s="88" t="str">
        <f t="shared" si="68"/>
        <v/>
      </c>
      <c r="N401" s="30"/>
      <c r="O401" s="31"/>
      <c r="P401" s="53"/>
      <c r="Q401" s="33"/>
      <c r="R401" s="54" t="str">
        <f t="shared" si="69"/>
        <v/>
      </c>
      <c r="S401" s="30"/>
      <c r="T401" s="33"/>
    </row>
    <row r="402" spans="1:20" x14ac:dyDescent="0.25">
      <c r="A402" s="30"/>
      <c r="B402" s="84" t="str">
        <f t="shared" si="60"/>
        <v/>
      </c>
      <c r="C402" s="30"/>
      <c r="D402" s="85" t="str">
        <f t="shared" si="61"/>
        <v/>
      </c>
      <c r="E402" s="85" t="str">
        <f t="shared" si="62"/>
        <v/>
      </c>
      <c r="F402" s="85" t="str">
        <f t="shared" si="63"/>
        <v/>
      </c>
      <c r="G402" s="86" t="str">
        <f t="shared" si="64"/>
        <v/>
      </c>
      <c r="H402" s="30"/>
      <c r="I402" s="87" t="str">
        <f t="shared" si="65"/>
        <v/>
      </c>
      <c r="J402" s="85" t="str">
        <f t="shared" si="66"/>
        <v/>
      </c>
      <c r="K402" s="49"/>
      <c r="L402" s="88" t="str">
        <f t="shared" si="67"/>
        <v/>
      </c>
      <c r="M402" s="88" t="str">
        <f t="shared" si="68"/>
        <v/>
      </c>
      <c r="N402" s="30"/>
      <c r="O402" s="31"/>
      <c r="P402" s="53"/>
      <c r="Q402" s="33"/>
      <c r="R402" s="54" t="str">
        <f t="shared" si="69"/>
        <v/>
      </c>
      <c r="S402" s="30"/>
      <c r="T402" s="33"/>
    </row>
    <row r="403" spans="1:20" x14ac:dyDescent="0.25">
      <c r="A403" s="30"/>
      <c r="B403" s="84" t="str">
        <f t="shared" si="60"/>
        <v/>
      </c>
      <c r="C403" s="30"/>
      <c r="D403" s="85" t="str">
        <f t="shared" si="61"/>
        <v/>
      </c>
      <c r="E403" s="85" t="str">
        <f t="shared" si="62"/>
        <v/>
      </c>
      <c r="F403" s="85" t="str">
        <f t="shared" si="63"/>
        <v/>
      </c>
      <c r="G403" s="86" t="str">
        <f t="shared" si="64"/>
        <v/>
      </c>
      <c r="H403" s="30"/>
      <c r="I403" s="87" t="str">
        <f t="shared" si="65"/>
        <v/>
      </c>
      <c r="J403" s="85" t="str">
        <f t="shared" si="66"/>
        <v/>
      </c>
      <c r="K403" s="49"/>
      <c r="L403" s="88" t="str">
        <f t="shared" si="67"/>
        <v/>
      </c>
      <c r="M403" s="88" t="str">
        <f t="shared" si="68"/>
        <v/>
      </c>
      <c r="N403" s="30"/>
      <c r="O403" s="31"/>
      <c r="P403" s="53"/>
      <c r="Q403" s="33"/>
      <c r="R403" s="54" t="str">
        <f t="shared" si="69"/>
        <v/>
      </c>
      <c r="S403" s="30"/>
      <c r="T403" s="33"/>
    </row>
    <row r="404" spans="1:20" x14ac:dyDescent="0.25">
      <c r="A404" s="30"/>
      <c r="B404" s="84" t="str">
        <f t="shared" si="60"/>
        <v/>
      </c>
      <c r="C404" s="30"/>
      <c r="D404" s="85" t="str">
        <f t="shared" si="61"/>
        <v/>
      </c>
      <c r="E404" s="85" t="str">
        <f t="shared" si="62"/>
        <v/>
      </c>
      <c r="F404" s="85" t="str">
        <f t="shared" si="63"/>
        <v/>
      </c>
      <c r="G404" s="86" t="str">
        <f t="shared" si="64"/>
        <v/>
      </c>
      <c r="H404" s="30"/>
      <c r="I404" s="87" t="str">
        <f t="shared" si="65"/>
        <v/>
      </c>
      <c r="J404" s="85" t="str">
        <f t="shared" si="66"/>
        <v/>
      </c>
      <c r="K404" s="49"/>
      <c r="L404" s="88" t="str">
        <f t="shared" si="67"/>
        <v/>
      </c>
      <c r="M404" s="88" t="str">
        <f t="shared" si="68"/>
        <v/>
      </c>
      <c r="N404" s="30"/>
      <c r="O404" s="31"/>
      <c r="P404" s="53"/>
      <c r="Q404" s="33"/>
      <c r="R404" s="54" t="str">
        <f t="shared" si="69"/>
        <v/>
      </c>
      <c r="S404" s="30"/>
      <c r="T404" s="33"/>
    </row>
    <row r="405" spans="1:20" x14ac:dyDescent="0.25">
      <c r="A405" s="30"/>
      <c r="B405" s="84" t="str">
        <f t="shared" si="60"/>
        <v/>
      </c>
      <c r="C405" s="30"/>
      <c r="D405" s="85" t="str">
        <f t="shared" si="61"/>
        <v/>
      </c>
      <c r="E405" s="85" t="str">
        <f t="shared" si="62"/>
        <v/>
      </c>
      <c r="F405" s="85" t="str">
        <f t="shared" si="63"/>
        <v/>
      </c>
      <c r="G405" s="86" t="str">
        <f t="shared" si="64"/>
        <v/>
      </c>
      <c r="H405" s="30"/>
      <c r="I405" s="87" t="str">
        <f t="shared" si="65"/>
        <v/>
      </c>
      <c r="J405" s="85" t="str">
        <f t="shared" si="66"/>
        <v/>
      </c>
      <c r="K405" s="49"/>
      <c r="L405" s="88" t="str">
        <f t="shared" si="67"/>
        <v/>
      </c>
      <c r="M405" s="88" t="str">
        <f t="shared" si="68"/>
        <v/>
      </c>
      <c r="N405" s="30"/>
      <c r="O405" s="31"/>
      <c r="P405" s="53"/>
      <c r="Q405" s="33"/>
      <c r="R405" s="54" t="str">
        <f t="shared" si="69"/>
        <v/>
      </c>
      <c r="S405" s="30"/>
      <c r="T405" s="33"/>
    </row>
    <row r="406" spans="1:20" x14ac:dyDescent="0.25">
      <c r="A406" s="30"/>
      <c r="B406" s="84" t="str">
        <f t="shared" si="60"/>
        <v/>
      </c>
      <c r="C406" s="30"/>
      <c r="D406" s="85" t="str">
        <f t="shared" si="61"/>
        <v/>
      </c>
      <c r="E406" s="85" t="str">
        <f t="shared" si="62"/>
        <v/>
      </c>
      <c r="F406" s="85" t="str">
        <f t="shared" si="63"/>
        <v/>
      </c>
      <c r="G406" s="86" t="str">
        <f t="shared" si="64"/>
        <v/>
      </c>
      <c r="H406" s="30"/>
      <c r="I406" s="87" t="str">
        <f t="shared" si="65"/>
        <v/>
      </c>
      <c r="J406" s="85" t="str">
        <f t="shared" si="66"/>
        <v/>
      </c>
      <c r="K406" s="49"/>
      <c r="L406" s="88" t="str">
        <f t="shared" si="67"/>
        <v/>
      </c>
      <c r="M406" s="88" t="str">
        <f t="shared" si="68"/>
        <v/>
      </c>
      <c r="N406" s="30"/>
      <c r="O406" s="31"/>
      <c r="P406" s="53"/>
      <c r="Q406" s="33"/>
      <c r="R406" s="54" t="str">
        <f t="shared" si="69"/>
        <v/>
      </c>
      <c r="S406" s="30"/>
      <c r="T406" s="33"/>
    </row>
    <row r="407" spans="1:20" x14ac:dyDescent="0.25">
      <c r="A407" s="30"/>
      <c r="B407" s="84" t="str">
        <f t="shared" si="60"/>
        <v/>
      </c>
      <c r="C407" s="30"/>
      <c r="D407" s="85" t="str">
        <f t="shared" si="61"/>
        <v/>
      </c>
      <c r="E407" s="85" t="str">
        <f t="shared" si="62"/>
        <v/>
      </c>
      <c r="F407" s="85" t="str">
        <f t="shared" si="63"/>
        <v/>
      </c>
      <c r="G407" s="86" t="str">
        <f t="shared" si="64"/>
        <v/>
      </c>
      <c r="H407" s="30"/>
      <c r="I407" s="87" t="str">
        <f t="shared" si="65"/>
        <v/>
      </c>
      <c r="J407" s="85" t="str">
        <f t="shared" si="66"/>
        <v/>
      </c>
      <c r="K407" s="49"/>
      <c r="L407" s="88" t="str">
        <f t="shared" si="67"/>
        <v/>
      </c>
      <c r="M407" s="88" t="str">
        <f t="shared" si="68"/>
        <v/>
      </c>
      <c r="N407" s="30"/>
      <c r="O407" s="31"/>
      <c r="P407" s="53"/>
      <c r="Q407" s="33"/>
      <c r="R407" s="54" t="str">
        <f t="shared" si="69"/>
        <v/>
      </c>
      <c r="S407" s="30"/>
      <c r="T407" s="33"/>
    </row>
    <row r="408" spans="1:20" x14ac:dyDescent="0.25">
      <c r="A408" s="30"/>
      <c r="B408" s="84" t="str">
        <f t="shared" si="60"/>
        <v/>
      </c>
      <c r="C408" s="30"/>
      <c r="D408" s="85" t="str">
        <f t="shared" si="61"/>
        <v/>
      </c>
      <c r="E408" s="85" t="str">
        <f t="shared" si="62"/>
        <v/>
      </c>
      <c r="F408" s="85" t="str">
        <f t="shared" si="63"/>
        <v/>
      </c>
      <c r="G408" s="86" t="str">
        <f t="shared" si="64"/>
        <v/>
      </c>
      <c r="H408" s="30"/>
      <c r="I408" s="87" t="str">
        <f t="shared" si="65"/>
        <v/>
      </c>
      <c r="J408" s="85" t="str">
        <f t="shared" si="66"/>
        <v/>
      </c>
      <c r="K408" s="49"/>
      <c r="L408" s="88" t="str">
        <f t="shared" si="67"/>
        <v/>
      </c>
      <c r="M408" s="88" t="str">
        <f t="shared" si="68"/>
        <v/>
      </c>
      <c r="N408" s="30"/>
      <c r="O408" s="31"/>
      <c r="P408" s="53"/>
      <c r="Q408" s="33"/>
      <c r="R408" s="54" t="str">
        <f t="shared" si="69"/>
        <v/>
      </c>
      <c r="S408" s="30"/>
      <c r="T408" s="33"/>
    </row>
    <row r="409" spans="1:20" x14ac:dyDescent="0.25">
      <c r="A409" s="30"/>
      <c r="B409" s="84" t="str">
        <f t="shared" si="60"/>
        <v/>
      </c>
      <c r="C409" s="30"/>
      <c r="D409" s="85" t="str">
        <f t="shared" si="61"/>
        <v/>
      </c>
      <c r="E409" s="85" t="str">
        <f t="shared" si="62"/>
        <v/>
      </c>
      <c r="F409" s="85" t="str">
        <f t="shared" si="63"/>
        <v/>
      </c>
      <c r="G409" s="86" t="str">
        <f t="shared" si="64"/>
        <v/>
      </c>
      <c r="H409" s="30"/>
      <c r="I409" s="87" t="str">
        <f t="shared" si="65"/>
        <v/>
      </c>
      <c r="J409" s="85" t="str">
        <f t="shared" si="66"/>
        <v/>
      </c>
      <c r="K409" s="49"/>
      <c r="L409" s="88" t="str">
        <f t="shared" si="67"/>
        <v/>
      </c>
      <c r="M409" s="88" t="str">
        <f t="shared" si="68"/>
        <v/>
      </c>
      <c r="N409" s="30"/>
      <c r="O409" s="31"/>
      <c r="P409" s="53"/>
      <c r="Q409" s="33"/>
      <c r="R409" s="54" t="str">
        <f t="shared" si="69"/>
        <v/>
      </c>
      <c r="S409" s="30"/>
      <c r="T409" s="33"/>
    </row>
    <row r="410" spans="1:20" x14ac:dyDescent="0.25">
      <c r="A410" s="30"/>
      <c r="B410" s="84" t="str">
        <f t="shared" si="60"/>
        <v/>
      </c>
      <c r="C410" s="30"/>
      <c r="D410" s="85" t="str">
        <f t="shared" si="61"/>
        <v/>
      </c>
      <c r="E410" s="85" t="str">
        <f t="shared" si="62"/>
        <v/>
      </c>
      <c r="F410" s="85" t="str">
        <f t="shared" si="63"/>
        <v/>
      </c>
      <c r="G410" s="86" t="str">
        <f t="shared" si="64"/>
        <v/>
      </c>
      <c r="H410" s="30"/>
      <c r="I410" s="87" t="str">
        <f t="shared" si="65"/>
        <v/>
      </c>
      <c r="J410" s="85" t="str">
        <f t="shared" si="66"/>
        <v/>
      </c>
      <c r="K410" s="49"/>
      <c r="L410" s="88" t="str">
        <f t="shared" si="67"/>
        <v/>
      </c>
      <c r="M410" s="88" t="str">
        <f t="shared" si="68"/>
        <v/>
      </c>
      <c r="N410" s="30"/>
      <c r="O410" s="31"/>
      <c r="P410" s="53"/>
      <c r="Q410" s="33"/>
      <c r="R410" s="54" t="str">
        <f t="shared" si="69"/>
        <v/>
      </c>
      <c r="S410" s="30"/>
      <c r="T410" s="33"/>
    </row>
    <row r="411" spans="1:20" x14ac:dyDescent="0.25">
      <c r="A411" s="30"/>
      <c r="B411" s="84" t="str">
        <f t="shared" si="60"/>
        <v/>
      </c>
      <c r="C411" s="30"/>
      <c r="D411" s="85" t="str">
        <f t="shared" si="61"/>
        <v/>
      </c>
      <c r="E411" s="85" t="str">
        <f t="shared" si="62"/>
        <v/>
      </c>
      <c r="F411" s="85" t="str">
        <f t="shared" si="63"/>
        <v/>
      </c>
      <c r="G411" s="86" t="str">
        <f t="shared" si="64"/>
        <v/>
      </c>
      <c r="H411" s="30"/>
      <c r="I411" s="87" t="str">
        <f t="shared" si="65"/>
        <v/>
      </c>
      <c r="J411" s="85" t="str">
        <f t="shared" si="66"/>
        <v/>
      </c>
      <c r="K411" s="49"/>
      <c r="L411" s="88" t="str">
        <f t="shared" si="67"/>
        <v/>
      </c>
      <c r="M411" s="88" t="str">
        <f t="shared" si="68"/>
        <v/>
      </c>
      <c r="N411" s="30"/>
      <c r="O411" s="31"/>
      <c r="P411" s="53"/>
      <c r="Q411" s="33"/>
      <c r="R411" s="54" t="str">
        <f t="shared" si="69"/>
        <v/>
      </c>
      <c r="S411" s="30"/>
      <c r="T411" s="33"/>
    </row>
    <row r="412" spans="1:20" x14ac:dyDescent="0.25">
      <c r="A412" s="30"/>
      <c r="B412" s="84" t="str">
        <f t="shared" si="60"/>
        <v/>
      </c>
      <c r="C412" s="30"/>
      <c r="D412" s="85" t="str">
        <f t="shared" si="61"/>
        <v/>
      </c>
      <c r="E412" s="85" t="str">
        <f t="shared" si="62"/>
        <v/>
      </c>
      <c r="F412" s="85" t="str">
        <f t="shared" si="63"/>
        <v/>
      </c>
      <c r="G412" s="86" t="str">
        <f t="shared" si="64"/>
        <v/>
      </c>
      <c r="H412" s="30"/>
      <c r="I412" s="87" t="str">
        <f t="shared" si="65"/>
        <v/>
      </c>
      <c r="J412" s="85" t="str">
        <f t="shared" si="66"/>
        <v/>
      </c>
      <c r="K412" s="49"/>
      <c r="L412" s="88" t="str">
        <f t="shared" si="67"/>
        <v/>
      </c>
      <c r="M412" s="88" t="str">
        <f t="shared" si="68"/>
        <v/>
      </c>
      <c r="N412" s="30"/>
      <c r="O412" s="31"/>
      <c r="P412" s="53"/>
      <c r="Q412" s="33"/>
      <c r="R412" s="54" t="str">
        <f t="shared" si="69"/>
        <v/>
      </c>
      <c r="S412" s="30"/>
      <c r="T412" s="33"/>
    </row>
    <row r="413" spans="1:20" x14ac:dyDescent="0.25">
      <c r="A413" s="30"/>
      <c r="B413" s="84" t="str">
        <f t="shared" si="60"/>
        <v/>
      </c>
      <c r="C413" s="30"/>
      <c r="D413" s="85" t="str">
        <f t="shared" si="61"/>
        <v/>
      </c>
      <c r="E413" s="85" t="str">
        <f t="shared" si="62"/>
        <v/>
      </c>
      <c r="F413" s="85" t="str">
        <f t="shared" si="63"/>
        <v/>
      </c>
      <c r="G413" s="86" t="str">
        <f t="shared" si="64"/>
        <v/>
      </c>
      <c r="H413" s="30"/>
      <c r="I413" s="87" t="str">
        <f t="shared" si="65"/>
        <v/>
      </c>
      <c r="J413" s="85" t="str">
        <f t="shared" si="66"/>
        <v/>
      </c>
      <c r="K413" s="49"/>
      <c r="L413" s="88" t="str">
        <f t="shared" si="67"/>
        <v/>
      </c>
      <c r="M413" s="88" t="str">
        <f t="shared" si="68"/>
        <v/>
      </c>
      <c r="N413" s="30"/>
      <c r="O413" s="31"/>
      <c r="P413" s="53"/>
      <c r="Q413" s="33"/>
      <c r="R413" s="54" t="str">
        <f t="shared" si="69"/>
        <v/>
      </c>
      <c r="S413" s="30"/>
      <c r="T413" s="33"/>
    </row>
    <row r="414" spans="1:20" x14ac:dyDescent="0.25">
      <c r="A414" s="30"/>
      <c r="B414" s="84" t="str">
        <f t="shared" si="60"/>
        <v/>
      </c>
      <c r="C414" s="30"/>
      <c r="D414" s="85" t="str">
        <f t="shared" si="61"/>
        <v/>
      </c>
      <c r="E414" s="85" t="str">
        <f t="shared" si="62"/>
        <v/>
      </c>
      <c r="F414" s="85" t="str">
        <f t="shared" si="63"/>
        <v/>
      </c>
      <c r="G414" s="86" t="str">
        <f t="shared" si="64"/>
        <v/>
      </c>
      <c r="H414" s="30"/>
      <c r="I414" s="87" t="str">
        <f t="shared" si="65"/>
        <v/>
      </c>
      <c r="J414" s="85" t="str">
        <f t="shared" si="66"/>
        <v/>
      </c>
      <c r="K414" s="49"/>
      <c r="L414" s="88" t="str">
        <f t="shared" si="67"/>
        <v/>
      </c>
      <c r="M414" s="88" t="str">
        <f t="shared" si="68"/>
        <v/>
      </c>
      <c r="N414" s="30"/>
      <c r="O414" s="31"/>
      <c r="P414" s="53"/>
      <c r="Q414" s="33"/>
      <c r="R414" s="54" t="str">
        <f t="shared" si="69"/>
        <v/>
      </c>
      <c r="S414" s="30"/>
      <c r="T414" s="33"/>
    </row>
    <row r="415" spans="1:20" x14ac:dyDescent="0.25">
      <c r="A415" s="30"/>
      <c r="B415" s="84" t="str">
        <f t="shared" si="60"/>
        <v/>
      </c>
      <c r="C415" s="30"/>
      <c r="D415" s="85" t="str">
        <f t="shared" si="61"/>
        <v/>
      </c>
      <c r="E415" s="85" t="str">
        <f t="shared" si="62"/>
        <v/>
      </c>
      <c r="F415" s="85" t="str">
        <f t="shared" si="63"/>
        <v/>
      </c>
      <c r="G415" s="86" t="str">
        <f t="shared" si="64"/>
        <v/>
      </c>
      <c r="H415" s="30"/>
      <c r="I415" s="87" t="str">
        <f t="shared" si="65"/>
        <v/>
      </c>
      <c r="J415" s="85" t="str">
        <f t="shared" si="66"/>
        <v/>
      </c>
      <c r="K415" s="49"/>
      <c r="L415" s="88" t="str">
        <f t="shared" si="67"/>
        <v/>
      </c>
      <c r="M415" s="88" t="str">
        <f t="shared" si="68"/>
        <v/>
      </c>
      <c r="N415" s="30"/>
      <c r="O415" s="31"/>
      <c r="P415" s="53"/>
      <c r="Q415" s="33"/>
      <c r="R415" s="54" t="str">
        <f t="shared" si="69"/>
        <v/>
      </c>
      <c r="S415" s="30"/>
      <c r="T415" s="33"/>
    </row>
    <row r="416" spans="1:20" x14ac:dyDescent="0.25">
      <c r="A416" s="30"/>
      <c r="B416" s="84" t="str">
        <f t="shared" si="60"/>
        <v/>
      </c>
      <c r="C416" s="30"/>
      <c r="D416" s="85" t="str">
        <f t="shared" si="61"/>
        <v/>
      </c>
      <c r="E416" s="85" t="str">
        <f t="shared" si="62"/>
        <v/>
      </c>
      <c r="F416" s="85" t="str">
        <f t="shared" si="63"/>
        <v/>
      </c>
      <c r="G416" s="86" t="str">
        <f t="shared" si="64"/>
        <v/>
      </c>
      <c r="H416" s="30"/>
      <c r="I416" s="87" t="str">
        <f t="shared" si="65"/>
        <v/>
      </c>
      <c r="J416" s="85" t="str">
        <f t="shared" si="66"/>
        <v/>
      </c>
      <c r="K416" s="49"/>
      <c r="L416" s="88" t="str">
        <f t="shared" si="67"/>
        <v/>
      </c>
      <c r="M416" s="88" t="str">
        <f t="shared" si="68"/>
        <v/>
      </c>
      <c r="N416" s="30"/>
      <c r="O416" s="31"/>
      <c r="P416" s="53"/>
      <c r="Q416" s="33"/>
      <c r="R416" s="54" t="str">
        <f t="shared" si="69"/>
        <v/>
      </c>
      <c r="S416" s="30"/>
      <c r="T416" s="33"/>
    </row>
    <row r="417" spans="1:20" x14ac:dyDescent="0.25">
      <c r="A417" s="30"/>
      <c r="B417" s="84" t="str">
        <f t="shared" si="60"/>
        <v/>
      </c>
      <c r="C417" s="30"/>
      <c r="D417" s="85" t="str">
        <f t="shared" si="61"/>
        <v/>
      </c>
      <c r="E417" s="85" t="str">
        <f t="shared" si="62"/>
        <v/>
      </c>
      <c r="F417" s="85" t="str">
        <f t="shared" si="63"/>
        <v/>
      </c>
      <c r="G417" s="86" t="str">
        <f t="shared" si="64"/>
        <v/>
      </c>
      <c r="H417" s="30"/>
      <c r="I417" s="87" t="str">
        <f t="shared" si="65"/>
        <v/>
      </c>
      <c r="J417" s="85" t="str">
        <f t="shared" si="66"/>
        <v/>
      </c>
      <c r="K417" s="49"/>
      <c r="L417" s="88" t="str">
        <f t="shared" si="67"/>
        <v/>
      </c>
      <c r="M417" s="88" t="str">
        <f t="shared" si="68"/>
        <v/>
      </c>
      <c r="N417" s="30"/>
      <c r="O417" s="31"/>
      <c r="P417" s="53"/>
      <c r="Q417" s="33"/>
      <c r="R417" s="54" t="str">
        <f t="shared" si="69"/>
        <v/>
      </c>
      <c r="S417" s="30"/>
      <c r="T417" s="33"/>
    </row>
    <row r="418" spans="1:20" x14ac:dyDescent="0.25">
      <c r="A418" s="30"/>
      <c r="B418" s="84" t="str">
        <f t="shared" si="60"/>
        <v/>
      </c>
      <c r="C418" s="30"/>
      <c r="D418" s="85" t="str">
        <f t="shared" si="61"/>
        <v/>
      </c>
      <c r="E418" s="85" t="str">
        <f t="shared" si="62"/>
        <v/>
      </c>
      <c r="F418" s="85" t="str">
        <f t="shared" si="63"/>
        <v/>
      </c>
      <c r="G418" s="86" t="str">
        <f t="shared" si="64"/>
        <v/>
      </c>
      <c r="H418" s="30"/>
      <c r="I418" s="87" t="str">
        <f t="shared" si="65"/>
        <v/>
      </c>
      <c r="J418" s="85" t="str">
        <f t="shared" si="66"/>
        <v/>
      </c>
      <c r="K418" s="49"/>
      <c r="L418" s="88" t="str">
        <f t="shared" si="67"/>
        <v/>
      </c>
      <c r="M418" s="88" t="str">
        <f t="shared" si="68"/>
        <v/>
      </c>
      <c r="N418" s="30"/>
      <c r="O418" s="31"/>
      <c r="P418" s="53"/>
      <c r="Q418" s="33"/>
      <c r="R418" s="54" t="str">
        <f t="shared" si="69"/>
        <v/>
      </c>
      <c r="S418" s="30"/>
      <c r="T418" s="33"/>
    </row>
    <row r="419" spans="1:20" x14ac:dyDescent="0.25">
      <c r="A419" s="30"/>
      <c r="B419" s="84" t="str">
        <f t="shared" si="60"/>
        <v/>
      </c>
      <c r="C419" s="30"/>
      <c r="D419" s="85" t="str">
        <f t="shared" si="61"/>
        <v/>
      </c>
      <c r="E419" s="85" t="str">
        <f t="shared" si="62"/>
        <v/>
      </c>
      <c r="F419" s="85" t="str">
        <f t="shared" si="63"/>
        <v/>
      </c>
      <c r="G419" s="86" t="str">
        <f t="shared" si="64"/>
        <v/>
      </c>
      <c r="H419" s="30"/>
      <c r="I419" s="87" t="str">
        <f t="shared" si="65"/>
        <v/>
      </c>
      <c r="J419" s="85" t="str">
        <f t="shared" si="66"/>
        <v/>
      </c>
      <c r="K419" s="49"/>
      <c r="L419" s="88" t="str">
        <f t="shared" si="67"/>
        <v/>
      </c>
      <c r="M419" s="88" t="str">
        <f t="shared" si="68"/>
        <v/>
      </c>
      <c r="N419" s="30"/>
      <c r="O419" s="31"/>
      <c r="P419" s="53"/>
      <c r="Q419" s="33"/>
      <c r="R419" s="54" t="str">
        <f t="shared" si="69"/>
        <v/>
      </c>
      <c r="S419" s="30"/>
      <c r="T419" s="33"/>
    </row>
    <row r="420" spans="1:20" x14ac:dyDescent="0.25">
      <c r="A420" s="30"/>
      <c r="B420" s="84" t="str">
        <f t="shared" si="60"/>
        <v/>
      </c>
      <c r="C420" s="30"/>
      <c r="D420" s="85" t="str">
        <f t="shared" si="61"/>
        <v/>
      </c>
      <c r="E420" s="85" t="str">
        <f t="shared" si="62"/>
        <v/>
      </c>
      <c r="F420" s="85" t="str">
        <f t="shared" si="63"/>
        <v/>
      </c>
      <c r="G420" s="86" t="str">
        <f t="shared" si="64"/>
        <v/>
      </c>
      <c r="H420" s="30"/>
      <c r="I420" s="87" t="str">
        <f t="shared" si="65"/>
        <v/>
      </c>
      <c r="J420" s="85" t="str">
        <f t="shared" si="66"/>
        <v/>
      </c>
      <c r="K420" s="49"/>
      <c r="L420" s="88" t="str">
        <f t="shared" si="67"/>
        <v/>
      </c>
      <c r="M420" s="88" t="str">
        <f t="shared" si="68"/>
        <v/>
      </c>
      <c r="N420" s="30"/>
      <c r="O420" s="31"/>
      <c r="P420" s="53"/>
      <c r="Q420" s="33"/>
      <c r="R420" s="54" t="str">
        <f t="shared" si="69"/>
        <v/>
      </c>
      <c r="S420" s="30"/>
      <c r="T420" s="33"/>
    </row>
    <row r="421" spans="1:20" x14ac:dyDescent="0.25">
      <c r="A421" s="30"/>
      <c r="B421" s="84" t="str">
        <f t="shared" si="60"/>
        <v/>
      </c>
      <c r="C421" s="30"/>
      <c r="D421" s="85" t="str">
        <f t="shared" si="61"/>
        <v/>
      </c>
      <c r="E421" s="85" t="str">
        <f t="shared" si="62"/>
        <v/>
      </c>
      <c r="F421" s="85" t="str">
        <f t="shared" si="63"/>
        <v/>
      </c>
      <c r="G421" s="86" t="str">
        <f t="shared" si="64"/>
        <v/>
      </c>
      <c r="H421" s="30"/>
      <c r="I421" s="87" t="str">
        <f t="shared" si="65"/>
        <v/>
      </c>
      <c r="J421" s="85" t="str">
        <f t="shared" si="66"/>
        <v/>
      </c>
      <c r="K421" s="49"/>
      <c r="L421" s="88" t="str">
        <f t="shared" si="67"/>
        <v/>
      </c>
      <c r="M421" s="88" t="str">
        <f t="shared" si="68"/>
        <v/>
      </c>
      <c r="N421" s="30"/>
      <c r="O421" s="31"/>
      <c r="P421" s="53"/>
      <c r="Q421" s="33"/>
      <c r="R421" s="54" t="str">
        <f t="shared" si="69"/>
        <v/>
      </c>
      <c r="S421" s="30"/>
      <c r="T421" s="33"/>
    </row>
    <row r="422" spans="1:20" x14ac:dyDescent="0.25">
      <c r="A422" s="30"/>
      <c r="B422" s="84" t="str">
        <f t="shared" si="60"/>
        <v/>
      </c>
      <c r="C422" s="30"/>
      <c r="D422" s="85" t="str">
        <f t="shared" si="61"/>
        <v/>
      </c>
      <c r="E422" s="85" t="str">
        <f t="shared" si="62"/>
        <v/>
      </c>
      <c r="F422" s="85" t="str">
        <f t="shared" si="63"/>
        <v/>
      </c>
      <c r="G422" s="86" t="str">
        <f t="shared" si="64"/>
        <v/>
      </c>
      <c r="H422" s="30"/>
      <c r="I422" s="87" t="str">
        <f t="shared" si="65"/>
        <v/>
      </c>
      <c r="J422" s="85" t="str">
        <f t="shared" si="66"/>
        <v/>
      </c>
      <c r="K422" s="49"/>
      <c r="L422" s="88" t="str">
        <f t="shared" si="67"/>
        <v/>
      </c>
      <c r="M422" s="88" t="str">
        <f t="shared" si="68"/>
        <v/>
      </c>
      <c r="N422" s="30"/>
      <c r="O422" s="31"/>
      <c r="P422" s="53"/>
      <c r="Q422" s="33"/>
      <c r="R422" s="54" t="str">
        <f t="shared" si="69"/>
        <v/>
      </c>
      <c r="S422" s="30"/>
      <c r="T422" s="33"/>
    </row>
    <row r="423" spans="1:20" x14ac:dyDescent="0.25">
      <c r="A423" s="30"/>
      <c r="B423" s="84" t="str">
        <f t="shared" si="60"/>
        <v/>
      </c>
      <c r="C423" s="30"/>
      <c r="D423" s="85" t="str">
        <f t="shared" si="61"/>
        <v/>
      </c>
      <c r="E423" s="85" t="str">
        <f t="shared" si="62"/>
        <v/>
      </c>
      <c r="F423" s="85" t="str">
        <f t="shared" si="63"/>
        <v/>
      </c>
      <c r="G423" s="86" t="str">
        <f t="shared" si="64"/>
        <v/>
      </c>
      <c r="H423" s="30"/>
      <c r="I423" s="87" t="str">
        <f t="shared" si="65"/>
        <v/>
      </c>
      <c r="J423" s="85" t="str">
        <f t="shared" si="66"/>
        <v/>
      </c>
      <c r="K423" s="49"/>
      <c r="L423" s="88" t="str">
        <f t="shared" si="67"/>
        <v/>
      </c>
      <c r="M423" s="88" t="str">
        <f t="shared" si="68"/>
        <v/>
      </c>
      <c r="N423" s="30"/>
      <c r="O423" s="31"/>
      <c r="P423" s="53"/>
      <c r="Q423" s="33"/>
      <c r="R423" s="54" t="str">
        <f t="shared" si="69"/>
        <v/>
      </c>
      <c r="S423" s="30"/>
      <c r="T423" s="33"/>
    </row>
    <row r="424" spans="1:20" x14ac:dyDescent="0.25">
      <c r="A424" s="30"/>
      <c r="B424" s="84" t="str">
        <f t="shared" si="60"/>
        <v/>
      </c>
      <c r="C424" s="30"/>
      <c r="D424" s="85" t="str">
        <f t="shared" si="61"/>
        <v/>
      </c>
      <c r="E424" s="85" t="str">
        <f t="shared" si="62"/>
        <v/>
      </c>
      <c r="F424" s="85" t="str">
        <f t="shared" si="63"/>
        <v/>
      </c>
      <c r="G424" s="86" t="str">
        <f t="shared" si="64"/>
        <v/>
      </c>
      <c r="H424" s="30"/>
      <c r="I424" s="87" t="str">
        <f t="shared" si="65"/>
        <v/>
      </c>
      <c r="J424" s="85" t="str">
        <f t="shared" si="66"/>
        <v/>
      </c>
      <c r="K424" s="49"/>
      <c r="L424" s="88" t="str">
        <f t="shared" si="67"/>
        <v/>
      </c>
      <c r="M424" s="88" t="str">
        <f t="shared" si="68"/>
        <v/>
      </c>
      <c r="N424" s="30"/>
      <c r="O424" s="31"/>
      <c r="P424" s="53"/>
      <c r="Q424" s="33"/>
      <c r="R424" s="54" t="str">
        <f t="shared" si="69"/>
        <v/>
      </c>
      <c r="S424" s="30"/>
      <c r="T424" s="33"/>
    </row>
    <row r="425" spans="1:20" x14ac:dyDescent="0.25">
      <c r="A425" s="30"/>
      <c r="B425" s="84" t="str">
        <f t="shared" si="60"/>
        <v/>
      </c>
      <c r="C425" s="30"/>
      <c r="D425" s="85" t="str">
        <f t="shared" si="61"/>
        <v/>
      </c>
      <c r="E425" s="85" t="str">
        <f t="shared" si="62"/>
        <v/>
      </c>
      <c r="F425" s="85" t="str">
        <f t="shared" si="63"/>
        <v/>
      </c>
      <c r="G425" s="86" t="str">
        <f t="shared" si="64"/>
        <v/>
      </c>
      <c r="H425" s="30"/>
      <c r="I425" s="87" t="str">
        <f t="shared" si="65"/>
        <v/>
      </c>
      <c r="J425" s="85" t="str">
        <f t="shared" si="66"/>
        <v/>
      </c>
      <c r="K425" s="49"/>
      <c r="L425" s="88" t="str">
        <f t="shared" si="67"/>
        <v/>
      </c>
      <c r="M425" s="88" t="str">
        <f t="shared" si="68"/>
        <v/>
      </c>
      <c r="N425" s="30"/>
      <c r="O425" s="31"/>
      <c r="P425" s="53"/>
      <c r="Q425" s="33"/>
      <c r="R425" s="54" t="str">
        <f t="shared" si="69"/>
        <v/>
      </c>
      <c r="S425" s="30"/>
      <c r="T425" s="33"/>
    </row>
    <row r="426" spans="1:20" x14ac:dyDescent="0.25">
      <c r="A426" s="30"/>
      <c r="B426" s="84" t="str">
        <f t="shared" si="60"/>
        <v/>
      </c>
      <c r="C426" s="30"/>
      <c r="D426" s="85" t="str">
        <f t="shared" si="61"/>
        <v/>
      </c>
      <c r="E426" s="85" t="str">
        <f t="shared" si="62"/>
        <v/>
      </c>
      <c r="F426" s="85" t="str">
        <f t="shared" si="63"/>
        <v/>
      </c>
      <c r="G426" s="86" t="str">
        <f t="shared" si="64"/>
        <v/>
      </c>
      <c r="H426" s="30"/>
      <c r="I426" s="87" t="str">
        <f t="shared" si="65"/>
        <v/>
      </c>
      <c r="J426" s="85" t="str">
        <f t="shared" si="66"/>
        <v/>
      </c>
      <c r="K426" s="49"/>
      <c r="L426" s="88" t="str">
        <f t="shared" si="67"/>
        <v/>
      </c>
      <c r="M426" s="88" t="str">
        <f t="shared" si="68"/>
        <v/>
      </c>
      <c r="N426" s="30"/>
      <c r="O426" s="31"/>
      <c r="P426" s="53"/>
      <c r="Q426" s="33"/>
      <c r="R426" s="54" t="str">
        <f t="shared" si="69"/>
        <v/>
      </c>
      <c r="S426" s="30"/>
      <c r="T426" s="33"/>
    </row>
    <row r="427" spans="1:20" x14ac:dyDescent="0.25">
      <c r="A427" s="30"/>
      <c r="B427" s="84" t="str">
        <f t="shared" si="60"/>
        <v/>
      </c>
      <c r="C427" s="30"/>
      <c r="D427" s="85" t="str">
        <f t="shared" si="61"/>
        <v/>
      </c>
      <c r="E427" s="85" t="str">
        <f t="shared" si="62"/>
        <v/>
      </c>
      <c r="F427" s="85" t="str">
        <f t="shared" si="63"/>
        <v/>
      </c>
      <c r="G427" s="86" t="str">
        <f t="shared" si="64"/>
        <v/>
      </c>
      <c r="H427" s="30"/>
      <c r="I427" s="87" t="str">
        <f t="shared" si="65"/>
        <v/>
      </c>
      <c r="J427" s="85" t="str">
        <f t="shared" si="66"/>
        <v/>
      </c>
      <c r="K427" s="49"/>
      <c r="L427" s="88" t="str">
        <f t="shared" si="67"/>
        <v/>
      </c>
      <c r="M427" s="88" t="str">
        <f t="shared" si="68"/>
        <v/>
      </c>
      <c r="N427" s="30"/>
      <c r="O427" s="31"/>
      <c r="P427" s="53"/>
      <c r="Q427" s="33"/>
      <c r="R427" s="54" t="str">
        <f t="shared" si="69"/>
        <v/>
      </c>
      <c r="S427" s="30"/>
      <c r="T427" s="33"/>
    </row>
    <row r="428" spans="1:20" x14ac:dyDescent="0.25">
      <c r="A428" s="30"/>
      <c r="B428" s="84" t="str">
        <f t="shared" si="60"/>
        <v/>
      </c>
      <c r="C428" s="30"/>
      <c r="D428" s="85" t="str">
        <f t="shared" si="61"/>
        <v/>
      </c>
      <c r="E428" s="85" t="str">
        <f t="shared" si="62"/>
        <v/>
      </c>
      <c r="F428" s="85" t="str">
        <f t="shared" si="63"/>
        <v/>
      </c>
      <c r="G428" s="86" t="str">
        <f t="shared" si="64"/>
        <v/>
      </c>
      <c r="H428" s="30"/>
      <c r="I428" s="87" t="str">
        <f t="shared" si="65"/>
        <v/>
      </c>
      <c r="J428" s="85" t="str">
        <f t="shared" si="66"/>
        <v/>
      </c>
      <c r="K428" s="49"/>
      <c r="L428" s="88" t="str">
        <f t="shared" si="67"/>
        <v/>
      </c>
      <c r="M428" s="88" t="str">
        <f t="shared" si="68"/>
        <v/>
      </c>
      <c r="N428" s="30"/>
      <c r="O428" s="31"/>
      <c r="P428" s="53"/>
      <c r="Q428" s="33"/>
      <c r="R428" s="54" t="str">
        <f t="shared" si="69"/>
        <v/>
      </c>
      <c r="S428" s="30"/>
      <c r="T428" s="33"/>
    </row>
    <row r="429" spans="1:20" x14ac:dyDescent="0.25">
      <c r="A429" s="30"/>
      <c r="B429" s="84" t="str">
        <f t="shared" si="60"/>
        <v/>
      </c>
      <c r="C429" s="30"/>
      <c r="D429" s="85" t="str">
        <f t="shared" si="61"/>
        <v/>
      </c>
      <c r="E429" s="85" t="str">
        <f t="shared" si="62"/>
        <v/>
      </c>
      <c r="F429" s="85" t="str">
        <f t="shared" si="63"/>
        <v/>
      </c>
      <c r="G429" s="86" t="str">
        <f t="shared" si="64"/>
        <v/>
      </c>
      <c r="H429" s="30"/>
      <c r="I429" s="87" t="str">
        <f t="shared" si="65"/>
        <v/>
      </c>
      <c r="J429" s="85" t="str">
        <f t="shared" si="66"/>
        <v/>
      </c>
      <c r="K429" s="49"/>
      <c r="L429" s="88" t="str">
        <f t="shared" si="67"/>
        <v/>
      </c>
      <c r="M429" s="88" t="str">
        <f t="shared" si="68"/>
        <v/>
      </c>
      <c r="N429" s="30"/>
      <c r="O429" s="31"/>
      <c r="P429" s="53"/>
      <c r="Q429" s="33"/>
      <c r="R429" s="54" t="str">
        <f t="shared" si="69"/>
        <v/>
      </c>
      <c r="S429" s="30"/>
      <c r="T429" s="33"/>
    </row>
    <row r="430" spans="1:20" x14ac:dyDescent="0.25">
      <c r="A430" s="30"/>
      <c r="B430" s="84" t="str">
        <f t="shared" si="60"/>
        <v/>
      </c>
      <c r="C430" s="30"/>
      <c r="D430" s="85" t="str">
        <f t="shared" si="61"/>
        <v/>
      </c>
      <c r="E430" s="85" t="str">
        <f t="shared" si="62"/>
        <v/>
      </c>
      <c r="F430" s="85" t="str">
        <f t="shared" si="63"/>
        <v/>
      </c>
      <c r="G430" s="86" t="str">
        <f t="shared" si="64"/>
        <v/>
      </c>
      <c r="H430" s="30"/>
      <c r="I430" s="87" t="str">
        <f t="shared" si="65"/>
        <v/>
      </c>
      <c r="J430" s="85" t="str">
        <f t="shared" si="66"/>
        <v/>
      </c>
      <c r="K430" s="49"/>
      <c r="L430" s="88" t="str">
        <f t="shared" si="67"/>
        <v/>
      </c>
      <c r="M430" s="88" t="str">
        <f t="shared" si="68"/>
        <v/>
      </c>
      <c r="N430" s="30"/>
      <c r="O430" s="31"/>
      <c r="P430" s="53"/>
      <c r="Q430" s="33"/>
      <c r="R430" s="54" t="str">
        <f t="shared" si="69"/>
        <v/>
      </c>
      <c r="S430" s="30"/>
      <c r="T430" s="33"/>
    </row>
    <row r="431" spans="1:20" x14ac:dyDescent="0.25">
      <c r="A431" s="30"/>
      <c r="B431" s="84" t="str">
        <f t="shared" si="60"/>
        <v/>
      </c>
      <c r="C431" s="30"/>
      <c r="D431" s="85" t="str">
        <f t="shared" si="61"/>
        <v/>
      </c>
      <c r="E431" s="85" t="str">
        <f t="shared" si="62"/>
        <v/>
      </c>
      <c r="F431" s="85" t="str">
        <f t="shared" si="63"/>
        <v/>
      </c>
      <c r="G431" s="86" t="str">
        <f t="shared" si="64"/>
        <v/>
      </c>
      <c r="H431" s="30"/>
      <c r="I431" s="87" t="str">
        <f t="shared" si="65"/>
        <v/>
      </c>
      <c r="J431" s="85" t="str">
        <f t="shared" si="66"/>
        <v/>
      </c>
      <c r="K431" s="49"/>
      <c r="L431" s="88" t="str">
        <f t="shared" si="67"/>
        <v/>
      </c>
      <c r="M431" s="88" t="str">
        <f t="shared" si="68"/>
        <v/>
      </c>
      <c r="N431" s="30"/>
      <c r="O431" s="31"/>
      <c r="P431" s="53"/>
      <c r="Q431" s="33"/>
      <c r="R431" s="54" t="str">
        <f t="shared" si="69"/>
        <v/>
      </c>
      <c r="S431" s="30"/>
      <c r="T431" s="33"/>
    </row>
    <row r="432" spans="1:20" x14ac:dyDescent="0.25">
      <c r="A432" s="30"/>
      <c r="B432" s="84" t="str">
        <f t="shared" si="60"/>
        <v/>
      </c>
      <c r="C432" s="30"/>
      <c r="D432" s="85" t="str">
        <f t="shared" si="61"/>
        <v/>
      </c>
      <c r="E432" s="85" t="str">
        <f t="shared" si="62"/>
        <v/>
      </c>
      <c r="F432" s="85" t="str">
        <f t="shared" si="63"/>
        <v/>
      </c>
      <c r="G432" s="86" t="str">
        <f t="shared" si="64"/>
        <v/>
      </c>
      <c r="H432" s="30"/>
      <c r="I432" s="87" t="str">
        <f t="shared" si="65"/>
        <v/>
      </c>
      <c r="J432" s="85" t="str">
        <f t="shared" si="66"/>
        <v/>
      </c>
      <c r="K432" s="49"/>
      <c r="L432" s="88" t="str">
        <f t="shared" si="67"/>
        <v/>
      </c>
      <c r="M432" s="88" t="str">
        <f t="shared" si="68"/>
        <v/>
      </c>
      <c r="N432" s="30"/>
      <c r="O432" s="31"/>
      <c r="P432" s="53"/>
      <c r="Q432" s="33"/>
      <c r="R432" s="54" t="str">
        <f t="shared" si="69"/>
        <v/>
      </c>
      <c r="S432" s="30"/>
      <c r="T432" s="33"/>
    </row>
    <row r="433" spans="1:20" x14ac:dyDescent="0.25">
      <c r="A433" s="30"/>
      <c r="B433" s="84" t="str">
        <f t="shared" si="60"/>
        <v/>
      </c>
      <c r="C433" s="30"/>
      <c r="D433" s="85" t="str">
        <f t="shared" si="61"/>
        <v/>
      </c>
      <c r="E433" s="85" t="str">
        <f t="shared" si="62"/>
        <v/>
      </c>
      <c r="F433" s="85" t="str">
        <f t="shared" si="63"/>
        <v/>
      </c>
      <c r="G433" s="86" t="str">
        <f t="shared" si="64"/>
        <v/>
      </c>
      <c r="H433" s="30"/>
      <c r="I433" s="87" t="str">
        <f t="shared" si="65"/>
        <v/>
      </c>
      <c r="J433" s="85" t="str">
        <f t="shared" si="66"/>
        <v/>
      </c>
      <c r="K433" s="49"/>
      <c r="L433" s="88" t="str">
        <f t="shared" si="67"/>
        <v/>
      </c>
      <c r="M433" s="88" t="str">
        <f t="shared" si="68"/>
        <v/>
      </c>
      <c r="N433" s="30"/>
      <c r="O433" s="31"/>
      <c r="P433" s="53"/>
      <c r="Q433" s="33"/>
      <c r="R433" s="54" t="str">
        <f t="shared" si="69"/>
        <v/>
      </c>
      <c r="S433" s="30"/>
      <c r="T433" s="33"/>
    </row>
    <row r="434" spans="1:20" x14ac:dyDescent="0.25">
      <c r="A434" s="30"/>
      <c r="B434" s="84" t="str">
        <f t="shared" si="60"/>
        <v/>
      </c>
      <c r="C434" s="30"/>
      <c r="D434" s="85" t="str">
        <f t="shared" si="61"/>
        <v/>
      </c>
      <c r="E434" s="85" t="str">
        <f t="shared" si="62"/>
        <v/>
      </c>
      <c r="F434" s="85" t="str">
        <f t="shared" si="63"/>
        <v/>
      </c>
      <c r="G434" s="86" t="str">
        <f t="shared" si="64"/>
        <v/>
      </c>
      <c r="H434" s="30"/>
      <c r="I434" s="87" t="str">
        <f t="shared" si="65"/>
        <v/>
      </c>
      <c r="J434" s="85" t="str">
        <f t="shared" si="66"/>
        <v/>
      </c>
      <c r="K434" s="49"/>
      <c r="L434" s="88" t="str">
        <f t="shared" si="67"/>
        <v/>
      </c>
      <c r="M434" s="88" t="str">
        <f t="shared" si="68"/>
        <v/>
      </c>
      <c r="N434" s="30"/>
      <c r="O434" s="31"/>
      <c r="P434" s="53"/>
      <c r="Q434" s="33"/>
      <c r="R434" s="54" t="str">
        <f t="shared" si="69"/>
        <v/>
      </c>
      <c r="S434" s="30"/>
      <c r="T434" s="33"/>
    </row>
    <row r="435" spans="1:20" x14ac:dyDescent="0.25">
      <c r="A435" s="30"/>
      <c r="B435" s="84" t="str">
        <f t="shared" si="60"/>
        <v/>
      </c>
      <c r="C435" s="30"/>
      <c r="D435" s="85" t="str">
        <f t="shared" si="61"/>
        <v/>
      </c>
      <c r="E435" s="85" t="str">
        <f t="shared" si="62"/>
        <v/>
      </c>
      <c r="F435" s="85" t="str">
        <f t="shared" si="63"/>
        <v/>
      </c>
      <c r="G435" s="86" t="str">
        <f t="shared" si="64"/>
        <v/>
      </c>
      <c r="H435" s="30"/>
      <c r="I435" s="87" t="str">
        <f t="shared" si="65"/>
        <v/>
      </c>
      <c r="J435" s="85" t="str">
        <f t="shared" si="66"/>
        <v/>
      </c>
      <c r="K435" s="49"/>
      <c r="L435" s="88" t="str">
        <f t="shared" si="67"/>
        <v/>
      </c>
      <c r="M435" s="88" t="str">
        <f t="shared" si="68"/>
        <v/>
      </c>
      <c r="N435" s="30"/>
      <c r="O435" s="31"/>
      <c r="P435" s="53"/>
      <c r="Q435" s="33"/>
      <c r="R435" s="54" t="str">
        <f t="shared" si="69"/>
        <v/>
      </c>
      <c r="S435" s="30"/>
      <c r="T435" s="33"/>
    </row>
    <row r="436" spans="1:20" x14ac:dyDescent="0.25">
      <c r="A436" s="30"/>
      <c r="B436" s="84" t="str">
        <f t="shared" si="60"/>
        <v/>
      </c>
      <c r="C436" s="30"/>
      <c r="D436" s="85" t="str">
        <f t="shared" si="61"/>
        <v/>
      </c>
      <c r="E436" s="85" t="str">
        <f t="shared" si="62"/>
        <v/>
      </c>
      <c r="F436" s="85" t="str">
        <f t="shared" si="63"/>
        <v/>
      </c>
      <c r="G436" s="86" t="str">
        <f t="shared" si="64"/>
        <v/>
      </c>
      <c r="H436" s="30"/>
      <c r="I436" s="87" t="str">
        <f t="shared" si="65"/>
        <v/>
      </c>
      <c r="J436" s="85" t="str">
        <f t="shared" si="66"/>
        <v/>
      </c>
      <c r="K436" s="49"/>
      <c r="L436" s="88" t="str">
        <f t="shared" si="67"/>
        <v/>
      </c>
      <c r="M436" s="88" t="str">
        <f t="shared" si="68"/>
        <v/>
      </c>
      <c r="N436" s="30"/>
      <c r="O436" s="31"/>
      <c r="P436" s="53"/>
      <c r="Q436" s="33"/>
      <c r="R436" s="54" t="str">
        <f t="shared" si="69"/>
        <v/>
      </c>
      <c r="S436" s="30"/>
      <c r="T436" s="33"/>
    </row>
    <row r="437" spans="1:20" x14ac:dyDescent="0.25">
      <c r="A437" s="30"/>
      <c r="B437" s="84" t="str">
        <f t="shared" ref="B437:B500" si="70">IF($G437="","",EOMONTH($G437,0))</f>
        <v/>
      </c>
      <c r="C437" s="30"/>
      <c r="D437" s="85" t="str">
        <f t="shared" ref="D437:D500" si="71">IFERROR(IF($C437="","",VLOOKUP($C437,CAD_TAB,2,FALSE)),"")</f>
        <v/>
      </c>
      <c r="E437" s="85" t="str">
        <f t="shared" ref="E437:E500" si="72">IFERROR(IF($C437="","",VLOOKUP($C437,CAD_TAB,3,FALSE)),"")</f>
        <v/>
      </c>
      <c r="F437" s="85" t="str">
        <f t="shared" ref="F437:F500" si="73">IFERROR(IF($C437="","",VLOOKUP($C437,OS_TAB,7,FALSE)),"")</f>
        <v/>
      </c>
      <c r="G437" s="86" t="str">
        <f t="shared" ref="G437:G500" si="74">IFERROR(IF($C437="","",VLOOKUP($C437,OS_TAB,10,FALSE)),"")</f>
        <v/>
      </c>
      <c r="H437" s="30"/>
      <c r="I437" s="87" t="str">
        <f t="shared" ref="I437:I500" si="75">IFERROR(IF($H437="","",VLOOKUP($H437,PRE_TAB,5,FALSE)),"CÓDIGO NÃO ENCONTRADO")</f>
        <v/>
      </c>
      <c r="J437" s="85" t="str">
        <f t="shared" ref="J437:J500" si="76">IFERROR(IF($H437="","",VLOOKUP($H437,PRE_TAB,7,FALSE)),"")</f>
        <v/>
      </c>
      <c r="K437" s="49"/>
      <c r="L437" s="88" t="str">
        <f t="shared" ref="L437:L500" si="77">IFERROR(IF($H437="","",VLOOKUP($H437,PRE_TAB,8,FALSE)),0)</f>
        <v/>
      </c>
      <c r="M437" s="88" t="str">
        <f t="shared" ref="M437:M500" si="78">IF($H437="","",ROUND($K437*$L437,2))</f>
        <v/>
      </c>
      <c r="N437" s="30"/>
      <c r="O437" s="31"/>
      <c r="P437" s="53"/>
      <c r="Q437" s="33"/>
      <c r="R437" s="54" t="str">
        <f t="shared" ref="R437:R500" si="79">IF($H437="","",$M437-$P437)</f>
        <v/>
      </c>
      <c r="S437" s="30"/>
      <c r="T437" s="33"/>
    </row>
    <row r="438" spans="1:20" x14ac:dyDescent="0.25">
      <c r="A438" s="30"/>
      <c r="B438" s="84" t="str">
        <f t="shared" si="70"/>
        <v/>
      </c>
      <c r="C438" s="30"/>
      <c r="D438" s="85" t="str">
        <f t="shared" si="71"/>
        <v/>
      </c>
      <c r="E438" s="85" t="str">
        <f t="shared" si="72"/>
        <v/>
      </c>
      <c r="F438" s="85" t="str">
        <f t="shared" si="73"/>
        <v/>
      </c>
      <c r="G438" s="86" t="str">
        <f t="shared" si="74"/>
        <v/>
      </c>
      <c r="H438" s="30"/>
      <c r="I438" s="87" t="str">
        <f t="shared" si="75"/>
        <v/>
      </c>
      <c r="J438" s="85" t="str">
        <f t="shared" si="76"/>
        <v/>
      </c>
      <c r="K438" s="49"/>
      <c r="L438" s="88" t="str">
        <f t="shared" si="77"/>
        <v/>
      </c>
      <c r="M438" s="88" t="str">
        <f t="shared" si="78"/>
        <v/>
      </c>
      <c r="N438" s="30"/>
      <c r="O438" s="31"/>
      <c r="P438" s="53"/>
      <c r="Q438" s="33"/>
      <c r="R438" s="54" t="str">
        <f t="shared" si="79"/>
        <v/>
      </c>
      <c r="S438" s="30"/>
      <c r="T438" s="33"/>
    </row>
    <row r="439" spans="1:20" x14ac:dyDescent="0.25">
      <c r="A439" s="30"/>
      <c r="B439" s="84" t="str">
        <f t="shared" si="70"/>
        <v/>
      </c>
      <c r="C439" s="30"/>
      <c r="D439" s="85" t="str">
        <f t="shared" si="71"/>
        <v/>
      </c>
      <c r="E439" s="85" t="str">
        <f t="shared" si="72"/>
        <v/>
      </c>
      <c r="F439" s="85" t="str">
        <f t="shared" si="73"/>
        <v/>
      </c>
      <c r="G439" s="86" t="str">
        <f t="shared" si="74"/>
        <v/>
      </c>
      <c r="H439" s="30"/>
      <c r="I439" s="87" t="str">
        <f t="shared" si="75"/>
        <v/>
      </c>
      <c r="J439" s="85" t="str">
        <f t="shared" si="76"/>
        <v/>
      </c>
      <c r="K439" s="49"/>
      <c r="L439" s="88" t="str">
        <f t="shared" si="77"/>
        <v/>
      </c>
      <c r="M439" s="88" t="str">
        <f t="shared" si="78"/>
        <v/>
      </c>
      <c r="N439" s="30"/>
      <c r="O439" s="31"/>
      <c r="P439" s="53"/>
      <c r="Q439" s="33"/>
      <c r="R439" s="54" t="str">
        <f t="shared" si="79"/>
        <v/>
      </c>
      <c r="S439" s="30"/>
      <c r="T439" s="33"/>
    </row>
    <row r="440" spans="1:20" x14ac:dyDescent="0.25">
      <c r="A440" s="30"/>
      <c r="B440" s="84" t="str">
        <f t="shared" si="70"/>
        <v/>
      </c>
      <c r="C440" s="30"/>
      <c r="D440" s="85" t="str">
        <f t="shared" si="71"/>
        <v/>
      </c>
      <c r="E440" s="85" t="str">
        <f t="shared" si="72"/>
        <v/>
      </c>
      <c r="F440" s="85" t="str">
        <f t="shared" si="73"/>
        <v/>
      </c>
      <c r="G440" s="86" t="str">
        <f t="shared" si="74"/>
        <v/>
      </c>
      <c r="H440" s="30"/>
      <c r="I440" s="87" t="str">
        <f t="shared" si="75"/>
        <v/>
      </c>
      <c r="J440" s="85" t="str">
        <f t="shared" si="76"/>
        <v/>
      </c>
      <c r="K440" s="49"/>
      <c r="L440" s="88" t="str">
        <f t="shared" si="77"/>
        <v/>
      </c>
      <c r="M440" s="88" t="str">
        <f t="shared" si="78"/>
        <v/>
      </c>
      <c r="N440" s="30"/>
      <c r="O440" s="31"/>
      <c r="P440" s="53"/>
      <c r="Q440" s="33"/>
      <c r="R440" s="54" t="str">
        <f t="shared" si="79"/>
        <v/>
      </c>
      <c r="S440" s="30"/>
      <c r="T440" s="33"/>
    </row>
    <row r="441" spans="1:20" x14ac:dyDescent="0.25">
      <c r="A441" s="30"/>
      <c r="B441" s="84" t="str">
        <f t="shared" si="70"/>
        <v/>
      </c>
      <c r="C441" s="30"/>
      <c r="D441" s="85" t="str">
        <f t="shared" si="71"/>
        <v/>
      </c>
      <c r="E441" s="85" t="str">
        <f t="shared" si="72"/>
        <v/>
      </c>
      <c r="F441" s="85" t="str">
        <f t="shared" si="73"/>
        <v/>
      </c>
      <c r="G441" s="86" t="str">
        <f t="shared" si="74"/>
        <v/>
      </c>
      <c r="H441" s="30"/>
      <c r="I441" s="87" t="str">
        <f t="shared" si="75"/>
        <v/>
      </c>
      <c r="J441" s="85" t="str">
        <f t="shared" si="76"/>
        <v/>
      </c>
      <c r="K441" s="49"/>
      <c r="L441" s="88" t="str">
        <f t="shared" si="77"/>
        <v/>
      </c>
      <c r="M441" s="88" t="str">
        <f t="shared" si="78"/>
        <v/>
      </c>
      <c r="N441" s="30"/>
      <c r="O441" s="31"/>
      <c r="P441" s="53"/>
      <c r="Q441" s="33"/>
      <c r="R441" s="54" t="str">
        <f t="shared" si="79"/>
        <v/>
      </c>
      <c r="S441" s="30"/>
      <c r="T441" s="33"/>
    </row>
    <row r="442" spans="1:20" x14ac:dyDescent="0.25">
      <c r="A442" s="30"/>
      <c r="B442" s="84" t="str">
        <f t="shared" si="70"/>
        <v/>
      </c>
      <c r="C442" s="30"/>
      <c r="D442" s="85" t="str">
        <f t="shared" si="71"/>
        <v/>
      </c>
      <c r="E442" s="85" t="str">
        <f t="shared" si="72"/>
        <v/>
      </c>
      <c r="F442" s="85" t="str">
        <f t="shared" si="73"/>
        <v/>
      </c>
      <c r="G442" s="86" t="str">
        <f t="shared" si="74"/>
        <v/>
      </c>
      <c r="H442" s="30"/>
      <c r="I442" s="87" t="str">
        <f t="shared" si="75"/>
        <v/>
      </c>
      <c r="J442" s="85" t="str">
        <f t="shared" si="76"/>
        <v/>
      </c>
      <c r="K442" s="49"/>
      <c r="L442" s="88" t="str">
        <f t="shared" si="77"/>
        <v/>
      </c>
      <c r="M442" s="88" t="str">
        <f t="shared" si="78"/>
        <v/>
      </c>
      <c r="N442" s="30"/>
      <c r="O442" s="31"/>
      <c r="P442" s="53"/>
      <c r="Q442" s="33"/>
      <c r="R442" s="54" t="str">
        <f t="shared" si="79"/>
        <v/>
      </c>
      <c r="S442" s="30"/>
      <c r="T442" s="33"/>
    </row>
    <row r="443" spans="1:20" x14ac:dyDescent="0.25">
      <c r="A443" s="30"/>
      <c r="B443" s="84" t="str">
        <f t="shared" si="70"/>
        <v/>
      </c>
      <c r="C443" s="30"/>
      <c r="D443" s="85" t="str">
        <f t="shared" si="71"/>
        <v/>
      </c>
      <c r="E443" s="85" t="str">
        <f t="shared" si="72"/>
        <v/>
      </c>
      <c r="F443" s="85" t="str">
        <f t="shared" si="73"/>
        <v/>
      </c>
      <c r="G443" s="86" t="str">
        <f t="shared" si="74"/>
        <v/>
      </c>
      <c r="H443" s="30"/>
      <c r="I443" s="87" t="str">
        <f t="shared" si="75"/>
        <v/>
      </c>
      <c r="J443" s="85" t="str">
        <f t="shared" si="76"/>
        <v/>
      </c>
      <c r="K443" s="49"/>
      <c r="L443" s="88" t="str">
        <f t="shared" si="77"/>
        <v/>
      </c>
      <c r="M443" s="88" t="str">
        <f t="shared" si="78"/>
        <v/>
      </c>
      <c r="N443" s="30"/>
      <c r="O443" s="31"/>
      <c r="P443" s="53"/>
      <c r="Q443" s="33"/>
      <c r="R443" s="54" t="str">
        <f t="shared" si="79"/>
        <v/>
      </c>
      <c r="S443" s="30"/>
      <c r="T443" s="33"/>
    </row>
    <row r="444" spans="1:20" x14ac:dyDescent="0.25">
      <c r="A444" s="30"/>
      <c r="B444" s="84" t="str">
        <f t="shared" si="70"/>
        <v/>
      </c>
      <c r="C444" s="30"/>
      <c r="D444" s="85" t="str">
        <f t="shared" si="71"/>
        <v/>
      </c>
      <c r="E444" s="85" t="str">
        <f t="shared" si="72"/>
        <v/>
      </c>
      <c r="F444" s="85" t="str">
        <f t="shared" si="73"/>
        <v/>
      </c>
      <c r="G444" s="86" t="str">
        <f t="shared" si="74"/>
        <v/>
      </c>
      <c r="H444" s="30"/>
      <c r="I444" s="87" t="str">
        <f t="shared" si="75"/>
        <v/>
      </c>
      <c r="J444" s="85" t="str">
        <f t="shared" si="76"/>
        <v/>
      </c>
      <c r="K444" s="49"/>
      <c r="L444" s="88" t="str">
        <f t="shared" si="77"/>
        <v/>
      </c>
      <c r="M444" s="88" t="str">
        <f t="shared" si="78"/>
        <v/>
      </c>
      <c r="N444" s="30"/>
      <c r="O444" s="31"/>
      <c r="P444" s="53"/>
      <c r="Q444" s="33"/>
      <c r="R444" s="54" t="str">
        <f t="shared" si="79"/>
        <v/>
      </c>
      <c r="S444" s="30"/>
      <c r="T444" s="33"/>
    </row>
    <row r="445" spans="1:20" x14ac:dyDescent="0.25">
      <c r="A445" s="30"/>
      <c r="B445" s="84" t="str">
        <f t="shared" si="70"/>
        <v/>
      </c>
      <c r="C445" s="30"/>
      <c r="D445" s="85" t="str">
        <f t="shared" si="71"/>
        <v/>
      </c>
      <c r="E445" s="85" t="str">
        <f t="shared" si="72"/>
        <v/>
      </c>
      <c r="F445" s="85" t="str">
        <f t="shared" si="73"/>
        <v/>
      </c>
      <c r="G445" s="86" t="str">
        <f t="shared" si="74"/>
        <v/>
      </c>
      <c r="H445" s="30"/>
      <c r="I445" s="87" t="str">
        <f t="shared" si="75"/>
        <v/>
      </c>
      <c r="J445" s="85" t="str">
        <f t="shared" si="76"/>
        <v/>
      </c>
      <c r="K445" s="49"/>
      <c r="L445" s="88" t="str">
        <f t="shared" si="77"/>
        <v/>
      </c>
      <c r="M445" s="88" t="str">
        <f t="shared" si="78"/>
        <v/>
      </c>
      <c r="N445" s="30"/>
      <c r="O445" s="31"/>
      <c r="P445" s="53"/>
      <c r="Q445" s="33"/>
      <c r="R445" s="54" t="str">
        <f t="shared" si="79"/>
        <v/>
      </c>
      <c r="S445" s="30"/>
      <c r="T445" s="33"/>
    </row>
    <row r="446" spans="1:20" x14ac:dyDescent="0.25">
      <c r="A446" s="30"/>
      <c r="B446" s="84" t="str">
        <f t="shared" si="70"/>
        <v/>
      </c>
      <c r="C446" s="30"/>
      <c r="D446" s="85" t="str">
        <f t="shared" si="71"/>
        <v/>
      </c>
      <c r="E446" s="85" t="str">
        <f t="shared" si="72"/>
        <v/>
      </c>
      <c r="F446" s="85" t="str">
        <f t="shared" si="73"/>
        <v/>
      </c>
      <c r="G446" s="86" t="str">
        <f t="shared" si="74"/>
        <v/>
      </c>
      <c r="H446" s="30"/>
      <c r="I446" s="87" t="str">
        <f t="shared" si="75"/>
        <v/>
      </c>
      <c r="J446" s="85" t="str">
        <f t="shared" si="76"/>
        <v/>
      </c>
      <c r="K446" s="49"/>
      <c r="L446" s="88" t="str">
        <f t="shared" si="77"/>
        <v/>
      </c>
      <c r="M446" s="88" t="str">
        <f t="shared" si="78"/>
        <v/>
      </c>
      <c r="N446" s="30"/>
      <c r="O446" s="31"/>
      <c r="P446" s="53"/>
      <c r="Q446" s="33"/>
      <c r="R446" s="54" t="str">
        <f t="shared" si="79"/>
        <v/>
      </c>
      <c r="S446" s="30"/>
      <c r="T446" s="33"/>
    </row>
    <row r="447" spans="1:20" x14ac:dyDescent="0.25">
      <c r="A447" s="30"/>
      <c r="B447" s="84" t="str">
        <f t="shared" si="70"/>
        <v/>
      </c>
      <c r="C447" s="30"/>
      <c r="D447" s="85" t="str">
        <f t="shared" si="71"/>
        <v/>
      </c>
      <c r="E447" s="85" t="str">
        <f t="shared" si="72"/>
        <v/>
      </c>
      <c r="F447" s="85" t="str">
        <f t="shared" si="73"/>
        <v/>
      </c>
      <c r="G447" s="86" t="str">
        <f t="shared" si="74"/>
        <v/>
      </c>
      <c r="H447" s="30"/>
      <c r="I447" s="87" t="str">
        <f t="shared" si="75"/>
        <v/>
      </c>
      <c r="J447" s="85" t="str">
        <f t="shared" si="76"/>
        <v/>
      </c>
      <c r="K447" s="49"/>
      <c r="L447" s="88" t="str">
        <f t="shared" si="77"/>
        <v/>
      </c>
      <c r="M447" s="88" t="str">
        <f t="shared" si="78"/>
        <v/>
      </c>
      <c r="N447" s="30"/>
      <c r="O447" s="31"/>
      <c r="P447" s="53"/>
      <c r="Q447" s="33"/>
      <c r="R447" s="54" t="str">
        <f t="shared" si="79"/>
        <v/>
      </c>
      <c r="S447" s="30"/>
      <c r="T447" s="33"/>
    </row>
    <row r="448" spans="1:20" x14ac:dyDescent="0.25">
      <c r="A448" s="30"/>
      <c r="B448" s="84" t="str">
        <f t="shared" si="70"/>
        <v/>
      </c>
      <c r="C448" s="30"/>
      <c r="D448" s="85" t="str">
        <f t="shared" si="71"/>
        <v/>
      </c>
      <c r="E448" s="85" t="str">
        <f t="shared" si="72"/>
        <v/>
      </c>
      <c r="F448" s="85" t="str">
        <f t="shared" si="73"/>
        <v/>
      </c>
      <c r="G448" s="86" t="str">
        <f t="shared" si="74"/>
        <v/>
      </c>
      <c r="H448" s="30"/>
      <c r="I448" s="87" t="str">
        <f t="shared" si="75"/>
        <v/>
      </c>
      <c r="J448" s="85" t="str">
        <f t="shared" si="76"/>
        <v/>
      </c>
      <c r="K448" s="49"/>
      <c r="L448" s="88" t="str">
        <f t="shared" si="77"/>
        <v/>
      </c>
      <c r="M448" s="88" t="str">
        <f t="shared" si="78"/>
        <v/>
      </c>
      <c r="N448" s="30"/>
      <c r="O448" s="31"/>
      <c r="P448" s="53"/>
      <c r="Q448" s="33"/>
      <c r="R448" s="54" t="str">
        <f t="shared" si="79"/>
        <v/>
      </c>
      <c r="S448" s="30"/>
      <c r="T448" s="33"/>
    </row>
    <row r="449" spans="1:20" x14ac:dyDescent="0.25">
      <c r="A449" s="30"/>
      <c r="B449" s="84" t="str">
        <f t="shared" si="70"/>
        <v/>
      </c>
      <c r="C449" s="30"/>
      <c r="D449" s="85" t="str">
        <f t="shared" si="71"/>
        <v/>
      </c>
      <c r="E449" s="85" t="str">
        <f t="shared" si="72"/>
        <v/>
      </c>
      <c r="F449" s="85" t="str">
        <f t="shared" si="73"/>
        <v/>
      </c>
      <c r="G449" s="86" t="str">
        <f t="shared" si="74"/>
        <v/>
      </c>
      <c r="H449" s="30"/>
      <c r="I449" s="87" t="str">
        <f t="shared" si="75"/>
        <v/>
      </c>
      <c r="J449" s="85" t="str">
        <f t="shared" si="76"/>
        <v/>
      </c>
      <c r="K449" s="49"/>
      <c r="L449" s="88" t="str">
        <f t="shared" si="77"/>
        <v/>
      </c>
      <c r="M449" s="88" t="str">
        <f t="shared" si="78"/>
        <v/>
      </c>
      <c r="N449" s="30"/>
      <c r="O449" s="31"/>
      <c r="P449" s="53"/>
      <c r="Q449" s="33"/>
      <c r="R449" s="54" t="str">
        <f t="shared" si="79"/>
        <v/>
      </c>
      <c r="S449" s="30"/>
      <c r="T449" s="33"/>
    </row>
    <row r="450" spans="1:20" x14ac:dyDescent="0.25">
      <c r="A450" s="30"/>
      <c r="B450" s="84" t="str">
        <f t="shared" si="70"/>
        <v/>
      </c>
      <c r="C450" s="30"/>
      <c r="D450" s="85" t="str">
        <f t="shared" si="71"/>
        <v/>
      </c>
      <c r="E450" s="85" t="str">
        <f t="shared" si="72"/>
        <v/>
      </c>
      <c r="F450" s="85" t="str">
        <f t="shared" si="73"/>
        <v/>
      </c>
      <c r="G450" s="86" t="str">
        <f t="shared" si="74"/>
        <v/>
      </c>
      <c r="H450" s="30"/>
      <c r="I450" s="87" t="str">
        <f t="shared" si="75"/>
        <v/>
      </c>
      <c r="J450" s="85" t="str">
        <f t="shared" si="76"/>
        <v/>
      </c>
      <c r="K450" s="49"/>
      <c r="L450" s="88" t="str">
        <f t="shared" si="77"/>
        <v/>
      </c>
      <c r="M450" s="88" t="str">
        <f t="shared" si="78"/>
        <v/>
      </c>
      <c r="N450" s="30"/>
      <c r="O450" s="31"/>
      <c r="P450" s="53"/>
      <c r="Q450" s="33"/>
      <c r="R450" s="54" t="str">
        <f t="shared" si="79"/>
        <v/>
      </c>
      <c r="S450" s="30"/>
      <c r="T450" s="33"/>
    </row>
    <row r="451" spans="1:20" x14ac:dyDescent="0.25">
      <c r="A451" s="30"/>
      <c r="B451" s="84" t="str">
        <f t="shared" si="70"/>
        <v/>
      </c>
      <c r="C451" s="30"/>
      <c r="D451" s="85" t="str">
        <f t="shared" si="71"/>
        <v/>
      </c>
      <c r="E451" s="85" t="str">
        <f t="shared" si="72"/>
        <v/>
      </c>
      <c r="F451" s="85" t="str">
        <f t="shared" si="73"/>
        <v/>
      </c>
      <c r="G451" s="86" t="str">
        <f t="shared" si="74"/>
        <v/>
      </c>
      <c r="H451" s="30"/>
      <c r="I451" s="87" t="str">
        <f t="shared" si="75"/>
        <v/>
      </c>
      <c r="J451" s="85" t="str">
        <f t="shared" si="76"/>
        <v/>
      </c>
      <c r="K451" s="49"/>
      <c r="L451" s="88" t="str">
        <f t="shared" si="77"/>
        <v/>
      </c>
      <c r="M451" s="88" t="str">
        <f t="shared" si="78"/>
        <v/>
      </c>
      <c r="N451" s="30"/>
      <c r="O451" s="31"/>
      <c r="P451" s="53"/>
      <c r="Q451" s="33"/>
      <c r="R451" s="54" t="str">
        <f t="shared" si="79"/>
        <v/>
      </c>
      <c r="S451" s="30"/>
      <c r="T451" s="33"/>
    </row>
    <row r="452" spans="1:20" x14ac:dyDescent="0.25">
      <c r="A452" s="30"/>
      <c r="B452" s="84" t="str">
        <f t="shared" si="70"/>
        <v/>
      </c>
      <c r="C452" s="30"/>
      <c r="D452" s="85" t="str">
        <f t="shared" si="71"/>
        <v/>
      </c>
      <c r="E452" s="85" t="str">
        <f t="shared" si="72"/>
        <v/>
      </c>
      <c r="F452" s="85" t="str">
        <f t="shared" si="73"/>
        <v/>
      </c>
      <c r="G452" s="86" t="str">
        <f t="shared" si="74"/>
        <v/>
      </c>
      <c r="H452" s="30"/>
      <c r="I452" s="87" t="str">
        <f t="shared" si="75"/>
        <v/>
      </c>
      <c r="J452" s="85" t="str">
        <f t="shared" si="76"/>
        <v/>
      </c>
      <c r="K452" s="49"/>
      <c r="L452" s="88" t="str">
        <f t="shared" si="77"/>
        <v/>
      </c>
      <c r="M452" s="88" t="str">
        <f t="shared" si="78"/>
        <v/>
      </c>
      <c r="N452" s="30"/>
      <c r="O452" s="31"/>
      <c r="P452" s="53"/>
      <c r="Q452" s="33"/>
      <c r="R452" s="54" t="str">
        <f t="shared" si="79"/>
        <v/>
      </c>
      <c r="S452" s="30"/>
      <c r="T452" s="33"/>
    </row>
    <row r="453" spans="1:20" x14ac:dyDescent="0.25">
      <c r="A453" s="30"/>
      <c r="B453" s="84" t="str">
        <f t="shared" si="70"/>
        <v/>
      </c>
      <c r="C453" s="30"/>
      <c r="D453" s="85" t="str">
        <f t="shared" si="71"/>
        <v/>
      </c>
      <c r="E453" s="85" t="str">
        <f t="shared" si="72"/>
        <v/>
      </c>
      <c r="F453" s="85" t="str">
        <f t="shared" si="73"/>
        <v/>
      </c>
      <c r="G453" s="86" t="str">
        <f t="shared" si="74"/>
        <v/>
      </c>
      <c r="H453" s="30"/>
      <c r="I453" s="87" t="str">
        <f t="shared" si="75"/>
        <v/>
      </c>
      <c r="J453" s="85" t="str">
        <f t="shared" si="76"/>
        <v/>
      </c>
      <c r="K453" s="49"/>
      <c r="L453" s="88" t="str">
        <f t="shared" si="77"/>
        <v/>
      </c>
      <c r="M453" s="88" t="str">
        <f t="shared" si="78"/>
        <v/>
      </c>
      <c r="N453" s="30"/>
      <c r="O453" s="31"/>
      <c r="P453" s="53"/>
      <c r="Q453" s="33"/>
      <c r="R453" s="54" t="str">
        <f t="shared" si="79"/>
        <v/>
      </c>
      <c r="S453" s="30"/>
      <c r="T453" s="33"/>
    </row>
    <row r="454" spans="1:20" x14ac:dyDescent="0.25">
      <c r="A454" s="30"/>
      <c r="B454" s="84" t="str">
        <f t="shared" si="70"/>
        <v/>
      </c>
      <c r="C454" s="30"/>
      <c r="D454" s="85" t="str">
        <f t="shared" si="71"/>
        <v/>
      </c>
      <c r="E454" s="85" t="str">
        <f t="shared" si="72"/>
        <v/>
      </c>
      <c r="F454" s="85" t="str">
        <f t="shared" si="73"/>
        <v/>
      </c>
      <c r="G454" s="86" t="str">
        <f t="shared" si="74"/>
        <v/>
      </c>
      <c r="H454" s="30"/>
      <c r="I454" s="87" t="str">
        <f t="shared" si="75"/>
        <v/>
      </c>
      <c r="J454" s="85" t="str">
        <f t="shared" si="76"/>
        <v/>
      </c>
      <c r="K454" s="49"/>
      <c r="L454" s="88" t="str">
        <f t="shared" si="77"/>
        <v/>
      </c>
      <c r="M454" s="88" t="str">
        <f t="shared" si="78"/>
        <v/>
      </c>
      <c r="N454" s="30"/>
      <c r="O454" s="31"/>
      <c r="P454" s="53"/>
      <c r="Q454" s="33"/>
      <c r="R454" s="54" t="str">
        <f t="shared" si="79"/>
        <v/>
      </c>
      <c r="S454" s="30"/>
      <c r="T454" s="33"/>
    </row>
    <row r="455" spans="1:20" x14ac:dyDescent="0.25">
      <c r="A455" s="30"/>
      <c r="B455" s="84" t="str">
        <f t="shared" si="70"/>
        <v/>
      </c>
      <c r="C455" s="30"/>
      <c r="D455" s="85" t="str">
        <f t="shared" si="71"/>
        <v/>
      </c>
      <c r="E455" s="85" t="str">
        <f t="shared" si="72"/>
        <v/>
      </c>
      <c r="F455" s="85" t="str">
        <f t="shared" si="73"/>
        <v/>
      </c>
      <c r="G455" s="86" t="str">
        <f t="shared" si="74"/>
        <v/>
      </c>
      <c r="H455" s="30"/>
      <c r="I455" s="87" t="str">
        <f t="shared" si="75"/>
        <v/>
      </c>
      <c r="J455" s="85" t="str">
        <f t="shared" si="76"/>
        <v/>
      </c>
      <c r="K455" s="49"/>
      <c r="L455" s="88" t="str">
        <f t="shared" si="77"/>
        <v/>
      </c>
      <c r="M455" s="88" t="str">
        <f t="shared" si="78"/>
        <v/>
      </c>
      <c r="N455" s="30"/>
      <c r="O455" s="31"/>
      <c r="P455" s="53"/>
      <c r="Q455" s="33"/>
      <c r="R455" s="54" t="str">
        <f t="shared" si="79"/>
        <v/>
      </c>
      <c r="S455" s="30"/>
      <c r="T455" s="33"/>
    </row>
    <row r="456" spans="1:20" x14ac:dyDescent="0.25">
      <c r="A456" s="30"/>
      <c r="B456" s="84" t="str">
        <f t="shared" si="70"/>
        <v/>
      </c>
      <c r="C456" s="30"/>
      <c r="D456" s="85" t="str">
        <f t="shared" si="71"/>
        <v/>
      </c>
      <c r="E456" s="85" t="str">
        <f t="shared" si="72"/>
        <v/>
      </c>
      <c r="F456" s="85" t="str">
        <f t="shared" si="73"/>
        <v/>
      </c>
      <c r="G456" s="86" t="str">
        <f t="shared" si="74"/>
        <v/>
      </c>
      <c r="H456" s="30"/>
      <c r="I456" s="87" t="str">
        <f t="shared" si="75"/>
        <v/>
      </c>
      <c r="J456" s="85" t="str">
        <f t="shared" si="76"/>
        <v/>
      </c>
      <c r="K456" s="49"/>
      <c r="L456" s="88" t="str">
        <f t="shared" si="77"/>
        <v/>
      </c>
      <c r="M456" s="88" t="str">
        <f t="shared" si="78"/>
        <v/>
      </c>
      <c r="N456" s="30"/>
      <c r="O456" s="31"/>
      <c r="P456" s="53"/>
      <c r="Q456" s="33"/>
      <c r="R456" s="54" t="str">
        <f t="shared" si="79"/>
        <v/>
      </c>
      <c r="S456" s="30"/>
      <c r="T456" s="33"/>
    </row>
    <row r="457" spans="1:20" x14ac:dyDescent="0.25">
      <c r="A457" s="30"/>
      <c r="B457" s="84" t="str">
        <f t="shared" si="70"/>
        <v/>
      </c>
      <c r="C457" s="30"/>
      <c r="D457" s="85" t="str">
        <f t="shared" si="71"/>
        <v/>
      </c>
      <c r="E457" s="85" t="str">
        <f t="shared" si="72"/>
        <v/>
      </c>
      <c r="F457" s="85" t="str">
        <f t="shared" si="73"/>
        <v/>
      </c>
      <c r="G457" s="86" t="str">
        <f t="shared" si="74"/>
        <v/>
      </c>
      <c r="H457" s="30"/>
      <c r="I457" s="87" t="str">
        <f t="shared" si="75"/>
        <v/>
      </c>
      <c r="J457" s="85" t="str">
        <f t="shared" si="76"/>
        <v/>
      </c>
      <c r="K457" s="49"/>
      <c r="L457" s="88" t="str">
        <f t="shared" si="77"/>
        <v/>
      </c>
      <c r="M457" s="88" t="str">
        <f t="shared" si="78"/>
        <v/>
      </c>
      <c r="N457" s="30"/>
      <c r="O457" s="31"/>
      <c r="P457" s="53"/>
      <c r="Q457" s="33"/>
      <c r="R457" s="54" t="str">
        <f t="shared" si="79"/>
        <v/>
      </c>
      <c r="S457" s="30"/>
      <c r="T457" s="33"/>
    </row>
    <row r="458" spans="1:20" x14ac:dyDescent="0.25">
      <c r="A458" s="30"/>
      <c r="B458" s="84" t="str">
        <f t="shared" si="70"/>
        <v/>
      </c>
      <c r="C458" s="30"/>
      <c r="D458" s="85" t="str">
        <f t="shared" si="71"/>
        <v/>
      </c>
      <c r="E458" s="85" t="str">
        <f t="shared" si="72"/>
        <v/>
      </c>
      <c r="F458" s="85" t="str">
        <f t="shared" si="73"/>
        <v/>
      </c>
      <c r="G458" s="86" t="str">
        <f t="shared" si="74"/>
        <v/>
      </c>
      <c r="H458" s="30"/>
      <c r="I458" s="87" t="str">
        <f t="shared" si="75"/>
        <v/>
      </c>
      <c r="J458" s="85" t="str">
        <f t="shared" si="76"/>
        <v/>
      </c>
      <c r="K458" s="49"/>
      <c r="L458" s="88" t="str">
        <f t="shared" si="77"/>
        <v/>
      </c>
      <c r="M458" s="88" t="str">
        <f t="shared" si="78"/>
        <v/>
      </c>
      <c r="N458" s="30"/>
      <c r="O458" s="31"/>
      <c r="P458" s="53"/>
      <c r="Q458" s="33"/>
      <c r="R458" s="54" t="str">
        <f t="shared" si="79"/>
        <v/>
      </c>
      <c r="S458" s="30"/>
      <c r="T458" s="33"/>
    </row>
    <row r="459" spans="1:20" x14ac:dyDescent="0.25">
      <c r="A459" s="30"/>
      <c r="B459" s="84" t="str">
        <f t="shared" si="70"/>
        <v/>
      </c>
      <c r="C459" s="30"/>
      <c r="D459" s="85" t="str">
        <f t="shared" si="71"/>
        <v/>
      </c>
      <c r="E459" s="85" t="str">
        <f t="shared" si="72"/>
        <v/>
      </c>
      <c r="F459" s="85" t="str">
        <f t="shared" si="73"/>
        <v/>
      </c>
      <c r="G459" s="86" t="str">
        <f t="shared" si="74"/>
        <v/>
      </c>
      <c r="H459" s="30"/>
      <c r="I459" s="87" t="str">
        <f t="shared" si="75"/>
        <v/>
      </c>
      <c r="J459" s="85" t="str">
        <f t="shared" si="76"/>
        <v/>
      </c>
      <c r="K459" s="49"/>
      <c r="L459" s="88" t="str">
        <f t="shared" si="77"/>
        <v/>
      </c>
      <c r="M459" s="88" t="str">
        <f t="shared" si="78"/>
        <v/>
      </c>
      <c r="N459" s="30"/>
      <c r="O459" s="31"/>
      <c r="P459" s="53"/>
      <c r="Q459" s="33"/>
      <c r="R459" s="54" t="str">
        <f t="shared" si="79"/>
        <v/>
      </c>
      <c r="S459" s="30"/>
      <c r="T459" s="33"/>
    </row>
    <row r="460" spans="1:20" x14ac:dyDescent="0.25">
      <c r="A460" s="30"/>
      <c r="B460" s="84" t="str">
        <f t="shared" si="70"/>
        <v/>
      </c>
      <c r="C460" s="30"/>
      <c r="D460" s="85" t="str">
        <f t="shared" si="71"/>
        <v/>
      </c>
      <c r="E460" s="85" t="str">
        <f t="shared" si="72"/>
        <v/>
      </c>
      <c r="F460" s="85" t="str">
        <f t="shared" si="73"/>
        <v/>
      </c>
      <c r="G460" s="86" t="str">
        <f t="shared" si="74"/>
        <v/>
      </c>
      <c r="H460" s="30"/>
      <c r="I460" s="87" t="str">
        <f t="shared" si="75"/>
        <v/>
      </c>
      <c r="J460" s="85" t="str">
        <f t="shared" si="76"/>
        <v/>
      </c>
      <c r="K460" s="49"/>
      <c r="L460" s="88" t="str">
        <f t="shared" si="77"/>
        <v/>
      </c>
      <c r="M460" s="88" t="str">
        <f t="shared" si="78"/>
        <v/>
      </c>
      <c r="N460" s="30"/>
      <c r="O460" s="31"/>
      <c r="P460" s="53"/>
      <c r="Q460" s="33"/>
      <c r="R460" s="54" t="str">
        <f t="shared" si="79"/>
        <v/>
      </c>
      <c r="S460" s="30"/>
      <c r="T460" s="33"/>
    </row>
    <row r="461" spans="1:20" x14ac:dyDescent="0.25">
      <c r="A461" s="30"/>
      <c r="B461" s="84" t="str">
        <f t="shared" si="70"/>
        <v/>
      </c>
      <c r="C461" s="30"/>
      <c r="D461" s="85" t="str">
        <f t="shared" si="71"/>
        <v/>
      </c>
      <c r="E461" s="85" t="str">
        <f t="shared" si="72"/>
        <v/>
      </c>
      <c r="F461" s="85" t="str">
        <f t="shared" si="73"/>
        <v/>
      </c>
      <c r="G461" s="86" t="str">
        <f t="shared" si="74"/>
        <v/>
      </c>
      <c r="H461" s="30"/>
      <c r="I461" s="87" t="str">
        <f t="shared" si="75"/>
        <v/>
      </c>
      <c r="J461" s="85" t="str">
        <f t="shared" si="76"/>
        <v/>
      </c>
      <c r="K461" s="49"/>
      <c r="L461" s="88" t="str">
        <f t="shared" si="77"/>
        <v/>
      </c>
      <c r="M461" s="88" t="str">
        <f t="shared" si="78"/>
        <v/>
      </c>
      <c r="N461" s="30"/>
      <c r="O461" s="31"/>
      <c r="P461" s="53"/>
      <c r="Q461" s="33"/>
      <c r="R461" s="54" t="str">
        <f t="shared" si="79"/>
        <v/>
      </c>
      <c r="S461" s="30"/>
      <c r="T461" s="33"/>
    </row>
    <row r="462" spans="1:20" x14ac:dyDescent="0.25">
      <c r="A462" s="30"/>
      <c r="B462" s="84" t="str">
        <f t="shared" si="70"/>
        <v/>
      </c>
      <c r="C462" s="30"/>
      <c r="D462" s="85" t="str">
        <f t="shared" si="71"/>
        <v/>
      </c>
      <c r="E462" s="85" t="str">
        <f t="shared" si="72"/>
        <v/>
      </c>
      <c r="F462" s="85" t="str">
        <f t="shared" si="73"/>
        <v/>
      </c>
      <c r="G462" s="86" t="str">
        <f t="shared" si="74"/>
        <v/>
      </c>
      <c r="H462" s="30"/>
      <c r="I462" s="87" t="str">
        <f t="shared" si="75"/>
        <v/>
      </c>
      <c r="J462" s="85" t="str">
        <f t="shared" si="76"/>
        <v/>
      </c>
      <c r="K462" s="49"/>
      <c r="L462" s="88" t="str">
        <f t="shared" si="77"/>
        <v/>
      </c>
      <c r="M462" s="88" t="str">
        <f t="shared" si="78"/>
        <v/>
      </c>
      <c r="N462" s="30"/>
      <c r="O462" s="31"/>
      <c r="P462" s="53"/>
      <c r="Q462" s="33"/>
      <c r="R462" s="54" t="str">
        <f t="shared" si="79"/>
        <v/>
      </c>
      <c r="S462" s="30"/>
      <c r="T462" s="33"/>
    </row>
    <row r="463" spans="1:20" x14ac:dyDescent="0.25">
      <c r="A463" s="30"/>
      <c r="B463" s="84" t="str">
        <f t="shared" si="70"/>
        <v/>
      </c>
      <c r="C463" s="30"/>
      <c r="D463" s="85" t="str">
        <f t="shared" si="71"/>
        <v/>
      </c>
      <c r="E463" s="85" t="str">
        <f t="shared" si="72"/>
        <v/>
      </c>
      <c r="F463" s="85" t="str">
        <f t="shared" si="73"/>
        <v/>
      </c>
      <c r="G463" s="86" t="str">
        <f t="shared" si="74"/>
        <v/>
      </c>
      <c r="H463" s="30"/>
      <c r="I463" s="87" t="str">
        <f t="shared" si="75"/>
        <v/>
      </c>
      <c r="J463" s="85" t="str">
        <f t="shared" si="76"/>
        <v/>
      </c>
      <c r="K463" s="49"/>
      <c r="L463" s="88" t="str">
        <f t="shared" si="77"/>
        <v/>
      </c>
      <c r="M463" s="88" t="str">
        <f t="shared" si="78"/>
        <v/>
      </c>
      <c r="N463" s="30"/>
      <c r="O463" s="31"/>
      <c r="P463" s="53"/>
      <c r="Q463" s="33"/>
      <c r="R463" s="54" t="str">
        <f t="shared" si="79"/>
        <v/>
      </c>
      <c r="S463" s="30"/>
      <c r="T463" s="33"/>
    </row>
    <row r="464" spans="1:20" x14ac:dyDescent="0.25">
      <c r="A464" s="30"/>
      <c r="B464" s="84" t="str">
        <f t="shared" si="70"/>
        <v/>
      </c>
      <c r="C464" s="30"/>
      <c r="D464" s="85" t="str">
        <f t="shared" si="71"/>
        <v/>
      </c>
      <c r="E464" s="85" t="str">
        <f t="shared" si="72"/>
        <v/>
      </c>
      <c r="F464" s="85" t="str">
        <f t="shared" si="73"/>
        <v/>
      </c>
      <c r="G464" s="86" t="str">
        <f t="shared" si="74"/>
        <v/>
      </c>
      <c r="H464" s="30"/>
      <c r="I464" s="87" t="str">
        <f t="shared" si="75"/>
        <v/>
      </c>
      <c r="J464" s="85" t="str">
        <f t="shared" si="76"/>
        <v/>
      </c>
      <c r="K464" s="49"/>
      <c r="L464" s="88" t="str">
        <f t="shared" si="77"/>
        <v/>
      </c>
      <c r="M464" s="88" t="str">
        <f t="shared" si="78"/>
        <v/>
      </c>
      <c r="N464" s="30"/>
      <c r="O464" s="31"/>
      <c r="P464" s="53"/>
      <c r="Q464" s="33"/>
      <c r="R464" s="54" t="str">
        <f t="shared" si="79"/>
        <v/>
      </c>
      <c r="S464" s="30"/>
      <c r="T464" s="33"/>
    </row>
    <row r="465" spans="1:20" x14ac:dyDescent="0.25">
      <c r="A465" s="30"/>
      <c r="B465" s="84" t="str">
        <f t="shared" si="70"/>
        <v/>
      </c>
      <c r="C465" s="30"/>
      <c r="D465" s="85" t="str">
        <f t="shared" si="71"/>
        <v/>
      </c>
      <c r="E465" s="85" t="str">
        <f t="shared" si="72"/>
        <v/>
      </c>
      <c r="F465" s="85" t="str">
        <f t="shared" si="73"/>
        <v/>
      </c>
      <c r="G465" s="86" t="str">
        <f t="shared" si="74"/>
        <v/>
      </c>
      <c r="H465" s="30"/>
      <c r="I465" s="87" t="str">
        <f t="shared" si="75"/>
        <v/>
      </c>
      <c r="J465" s="85" t="str">
        <f t="shared" si="76"/>
        <v/>
      </c>
      <c r="K465" s="49"/>
      <c r="L465" s="88" t="str">
        <f t="shared" si="77"/>
        <v/>
      </c>
      <c r="M465" s="88" t="str">
        <f t="shared" si="78"/>
        <v/>
      </c>
      <c r="N465" s="30"/>
      <c r="O465" s="31"/>
      <c r="P465" s="53"/>
      <c r="Q465" s="33"/>
      <c r="R465" s="54" t="str">
        <f t="shared" si="79"/>
        <v/>
      </c>
      <c r="S465" s="30"/>
      <c r="T465" s="33"/>
    </row>
    <row r="466" spans="1:20" x14ac:dyDescent="0.25">
      <c r="A466" s="30"/>
      <c r="B466" s="84" t="str">
        <f t="shared" si="70"/>
        <v/>
      </c>
      <c r="C466" s="30"/>
      <c r="D466" s="85" t="str">
        <f t="shared" si="71"/>
        <v/>
      </c>
      <c r="E466" s="85" t="str">
        <f t="shared" si="72"/>
        <v/>
      </c>
      <c r="F466" s="85" t="str">
        <f t="shared" si="73"/>
        <v/>
      </c>
      <c r="G466" s="86" t="str">
        <f t="shared" si="74"/>
        <v/>
      </c>
      <c r="H466" s="30"/>
      <c r="I466" s="87" t="str">
        <f t="shared" si="75"/>
        <v/>
      </c>
      <c r="J466" s="85" t="str">
        <f t="shared" si="76"/>
        <v/>
      </c>
      <c r="K466" s="49"/>
      <c r="L466" s="88" t="str">
        <f t="shared" si="77"/>
        <v/>
      </c>
      <c r="M466" s="88" t="str">
        <f t="shared" si="78"/>
        <v/>
      </c>
      <c r="N466" s="30"/>
      <c r="O466" s="31"/>
      <c r="P466" s="53"/>
      <c r="Q466" s="33"/>
      <c r="R466" s="54" t="str">
        <f t="shared" si="79"/>
        <v/>
      </c>
      <c r="S466" s="30"/>
      <c r="T466" s="33"/>
    </row>
    <row r="467" spans="1:20" x14ac:dyDescent="0.25">
      <c r="A467" s="30"/>
      <c r="B467" s="84" t="str">
        <f t="shared" si="70"/>
        <v/>
      </c>
      <c r="C467" s="30"/>
      <c r="D467" s="85" t="str">
        <f t="shared" si="71"/>
        <v/>
      </c>
      <c r="E467" s="85" t="str">
        <f t="shared" si="72"/>
        <v/>
      </c>
      <c r="F467" s="85" t="str">
        <f t="shared" si="73"/>
        <v/>
      </c>
      <c r="G467" s="86" t="str">
        <f t="shared" si="74"/>
        <v/>
      </c>
      <c r="H467" s="30"/>
      <c r="I467" s="87" t="str">
        <f t="shared" si="75"/>
        <v/>
      </c>
      <c r="J467" s="85" t="str">
        <f t="shared" si="76"/>
        <v/>
      </c>
      <c r="K467" s="49"/>
      <c r="L467" s="88" t="str">
        <f t="shared" si="77"/>
        <v/>
      </c>
      <c r="M467" s="88" t="str">
        <f t="shared" si="78"/>
        <v/>
      </c>
      <c r="N467" s="30"/>
      <c r="O467" s="31"/>
      <c r="P467" s="53"/>
      <c r="Q467" s="33"/>
      <c r="R467" s="54" t="str">
        <f t="shared" si="79"/>
        <v/>
      </c>
      <c r="S467" s="30"/>
      <c r="T467" s="33"/>
    </row>
    <row r="468" spans="1:20" x14ac:dyDescent="0.25">
      <c r="A468" s="30"/>
      <c r="B468" s="84" t="str">
        <f t="shared" si="70"/>
        <v/>
      </c>
      <c r="C468" s="30"/>
      <c r="D468" s="85" t="str">
        <f t="shared" si="71"/>
        <v/>
      </c>
      <c r="E468" s="85" t="str">
        <f t="shared" si="72"/>
        <v/>
      </c>
      <c r="F468" s="85" t="str">
        <f t="shared" si="73"/>
        <v/>
      </c>
      <c r="G468" s="86" t="str">
        <f t="shared" si="74"/>
        <v/>
      </c>
      <c r="H468" s="30"/>
      <c r="I468" s="87" t="str">
        <f t="shared" si="75"/>
        <v/>
      </c>
      <c r="J468" s="85" t="str">
        <f t="shared" si="76"/>
        <v/>
      </c>
      <c r="K468" s="49"/>
      <c r="L468" s="88" t="str">
        <f t="shared" si="77"/>
        <v/>
      </c>
      <c r="M468" s="88" t="str">
        <f t="shared" si="78"/>
        <v/>
      </c>
      <c r="N468" s="30"/>
      <c r="O468" s="31"/>
      <c r="P468" s="53"/>
      <c r="Q468" s="33"/>
      <c r="R468" s="54" t="str">
        <f t="shared" si="79"/>
        <v/>
      </c>
      <c r="S468" s="30"/>
      <c r="T468" s="33"/>
    </row>
    <row r="469" spans="1:20" x14ac:dyDescent="0.25">
      <c r="A469" s="30"/>
      <c r="B469" s="84" t="str">
        <f t="shared" si="70"/>
        <v/>
      </c>
      <c r="C469" s="30"/>
      <c r="D469" s="85" t="str">
        <f t="shared" si="71"/>
        <v/>
      </c>
      <c r="E469" s="85" t="str">
        <f t="shared" si="72"/>
        <v/>
      </c>
      <c r="F469" s="85" t="str">
        <f t="shared" si="73"/>
        <v/>
      </c>
      <c r="G469" s="86" t="str">
        <f t="shared" si="74"/>
        <v/>
      </c>
      <c r="H469" s="30"/>
      <c r="I469" s="87" t="str">
        <f t="shared" si="75"/>
        <v/>
      </c>
      <c r="J469" s="85" t="str">
        <f t="shared" si="76"/>
        <v/>
      </c>
      <c r="K469" s="49"/>
      <c r="L469" s="88" t="str">
        <f t="shared" si="77"/>
        <v/>
      </c>
      <c r="M469" s="88" t="str">
        <f t="shared" si="78"/>
        <v/>
      </c>
      <c r="N469" s="30"/>
      <c r="O469" s="31"/>
      <c r="P469" s="53"/>
      <c r="Q469" s="33"/>
      <c r="R469" s="54" t="str">
        <f t="shared" si="79"/>
        <v/>
      </c>
      <c r="S469" s="30"/>
      <c r="T469" s="33"/>
    </row>
    <row r="470" spans="1:20" x14ac:dyDescent="0.25">
      <c r="A470" s="30"/>
      <c r="B470" s="84" t="str">
        <f t="shared" si="70"/>
        <v/>
      </c>
      <c r="C470" s="30"/>
      <c r="D470" s="85" t="str">
        <f t="shared" si="71"/>
        <v/>
      </c>
      <c r="E470" s="85" t="str">
        <f t="shared" si="72"/>
        <v/>
      </c>
      <c r="F470" s="85" t="str">
        <f t="shared" si="73"/>
        <v/>
      </c>
      <c r="G470" s="86" t="str">
        <f t="shared" si="74"/>
        <v/>
      </c>
      <c r="H470" s="30"/>
      <c r="I470" s="87" t="str">
        <f t="shared" si="75"/>
        <v/>
      </c>
      <c r="J470" s="85" t="str">
        <f t="shared" si="76"/>
        <v/>
      </c>
      <c r="K470" s="49"/>
      <c r="L470" s="88" t="str">
        <f t="shared" si="77"/>
        <v/>
      </c>
      <c r="M470" s="88" t="str">
        <f t="shared" si="78"/>
        <v/>
      </c>
      <c r="N470" s="30"/>
      <c r="O470" s="31"/>
      <c r="P470" s="53"/>
      <c r="Q470" s="33"/>
      <c r="R470" s="54" t="str">
        <f t="shared" si="79"/>
        <v/>
      </c>
      <c r="S470" s="30"/>
      <c r="T470" s="33"/>
    </row>
    <row r="471" spans="1:20" x14ac:dyDescent="0.25">
      <c r="A471" s="30"/>
      <c r="B471" s="84" t="str">
        <f t="shared" si="70"/>
        <v/>
      </c>
      <c r="C471" s="30"/>
      <c r="D471" s="85" t="str">
        <f t="shared" si="71"/>
        <v/>
      </c>
      <c r="E471" s="85" t="str">
        <f t="shared" si="72"/>
        <v/>
      </c>
      <c r="F471" s="85" t="str">
        <f t="shared" si="73"/>
        <v/>
      </c>
      <c r="G471" s="86" t="str">
        <f t="shared" si="74"/>
        <v/>
      </c>
      <c r="H471" s="30"/>
      <c r="I471" s="87" t="str">
        <f t="shared" si="75"/>
        <v/>
      </c>
      <c r="J471" s="85" t="str">
        <f t="shared" si="76"/>
        <v/>
      </c>
      <c r="K471" s="49"/>
      <c r="L471" s="88" t="str">
        <f t="shared" si="77"/>
        <v/>
      </c>
      <c r="M471" s="88" t="str">
        <f t="shared" si="78"/>
        <v/>
      </c>
      <c r="N471" s="30"/>
      <c r="O471" s="31"/>
      <c r="P471" s="53"/>
      <c r="Q471" s="33"/>
      <c r="R471" s="54" t="str">
        <f t="shared" si="79"/>
        <v/>
      </c>
      <c r="S471" s="30"/>
      <c r="T471" s="33"/>
    </row>
    <row r="472" spans="1:20" x14ac:dyDescent="0.25">
      <c r="A472" s="30"/>
      <c r="B472" s="84" t="str">
        <f t="shared" si="70"/>
        <v/>
      </c>
      <c r="C472" s="30"/>
      <c r="D472" s="85" t="str">
        <f t="shared" si="71"/>
        <v/>
      </c>
      <c r="E472" s="85" t="str">
        <f t="shared" si="72"/>
        <v/>
      </c>
      <c r="F472" s="85" t="str">
        <f t="shared" si="73"/>
        <v/>
      </c>
      <c r="G472" s="86" t="str">
        <f t="shared" si="74"/>
        <v/>
      </c>
      <c r="H472" s="30"/>
      <c r="I472" s="87" t="str">
        <f t="shared" si="75"/>
        <v/>
      </c>
      <c r="J472" s="85" t="str">
        <f t="shared" si="76"/>
        <v/>
      </c>
      <c r="K472" s="49"/>
      <c r="L472" s="88" t="str">
        <f t="shared" si="77"/>
        <v/>
      </c>
      <c r="M472" s="88" t="str">
        <f t="shared" si="78"/>
        <v/>
      </c>
      <c r="N472" s="30"/>
      <c r="O472" s="31"/>
      <c r="P472" s="53"/>
      <c r="Q472" s="33"/>
      <c r="R472" s="54" t="str">
        <f t="shared" si="79"/>
        <v/>
      </c>
      <c r="S472" s="30"/>
      <c r="T472" s="33"/>
    </row>
    <row r="473" spans="1:20" x14ac:dyDescent="0.25">
      <c r="A473" s="30"/>
      <c r="B473" s="84" t="str">
        <f t="shared" si="70"/>
        <v/>
      </c>
      <c r="C473" s="30"/>
      <c r="D473" s="85" t="str">
        <f t="shared" si="71"/>
        <v/>
      </c>
      <c r="E473" s="85" t="str">
        <f t="shared" si="72"/>
        <v/>
      </c>
      <c r="F473" s="85" t="str">
        <f t="shared" si="73"/>
        <v/>
      </c>
      <c r="G473" s="86" t="str">
        <f t="shared" si="74"/>
        <v/>
      </c>
      <c r="H473" s="30"/>
      <c r="I473" s="87" t="str">
        <f t="shared" si="75"/>
        <v/>
      </c>
      <c r="J473" s="85" t="str">
        <f t="shared" si="76"/>
        <v/>
      </c>
      <c r="K473" s="49"/>
      <c r="L473" s="88" t="str">
        <f t="shared" si="77"/>
        <v/>
      </c>
      <c r="M473" s="88" t="str">
        <f t="shared" si="78"/>
        <v/>
      </c>
      <c r="N473" s="30"/>
      <c r="O473" s="31"/>
      <c r="P473" s="53"/>
      <c r="Q473" s="33"/>
      <c r="R473" s="54" t="str">
        <f t="shared" si="79"/>
        <v/>
      </c>
      <c r="S473" s="30"/>
      <c r="T473" s="33"/>
    </row>
    <row r="474" spans="1:20" x14ac:dyDescent="0.25">
      <c r="A474" s="30"/>
      <c r="B474" s="84" t="str">
        <f t="shared" si="70"/>
        <v/>
      </c>
      <c r="C474" s="30"/>
      <c r="D474" s="85" t="str">
        <f t="shared" si="71"/>
        <v/>
      </c>
      <c r="E474" s="85" t="str">
        <f t="shared" si="72"/>
        <v/>
      </c>
      <c r="F474" s="85" t="str">
        <f t="shared" si="73"/>
        <v/>
      </c>
      <c r="G474" s="86" t="str">
        <f t="shared" si="74"/>
        <v/>
      </c>
      <c r="H474" s="30"/>
      <c r="I474" s="87" t="str">
        <f t="shared" si="75"/>
        <v/>
      </c>
      <c r="J474" s="85" t="str">
        <f t="shared" si="76"/>
        <v/>
      </c>
      <c r="K474" s="49"/>
      <c r="L474" s="88" t="str">
        <f t="shared" si="77"/>
        <v/>
      </c>
      <c r="M474" s="88" t="str">
        <f t="shared" si="78"/>
        <v/>
      </c>
      <c r="N474" s="30"/>
      <c r="O474" s="31"/>
      <c r="P474" s="53"/>
      <c r="Q474" s="33"/>
      <c r="R474" s="54" t="str">
        <f t="shared" si="79"/>
        <v/>
      </c>
      <c r="S474" s="30"/>
      <c r="T474" s="33"/>
    </row>
    <row r="475" spans="1:20" x14ac:dyDescent="0.25">
      <c r="A475" s="30"/>
      <c r="B475" s="84" t="str">
        <f t="shared" si="70"/>
        <v/>
      </c>
      <c r="C475" s="30"/>
      <c r="D475" s="85" t="str">
        <f t="shared" si="71"/>
        <v/>
      </c>
      <c r="E475" s="85" t="str">
        <f t="shared" si="72"/>
        <v/>
      </c>
      <c r="F475" s="85" t="str">
        <f t="shared" si="73"/>
        <v/>
      </c>
      <c r="G475" s="86" t="str">
        <f t="shared" si="74"/>
        <v/>
      </c>
      <c r="H475" s="30"/>
      <c r="I475" s="87" t="str">
        <f t="shared" si="75"/>
        <v/>
      </c>
      <c r="J475" s="85" t="str">
        <f t="shared" si="76"/>
        <v/>
      </c>
      <c r="K475" s="49"/>
      <c r="L475" s="88" t="str">
        <f t="shared" si="77"/>
        <v/>
      </c>
      <c r="M475" s="88" t="str">
        <f t="shared" si="78"/>
        <v/>
      </c>
      <c r="N475" s="30"/>
      <c r="O475" s="31"/>
      <c r="P475" s="53"/>
      <c r="Q475" s="33"/>
      <c r="R475" s="54" t="str">
        <f t="shared" si="79"/>
        <v/>
      </c>
      <c r="S475" s="30"/>
      <c r="T475" s="33"/>
    </row>
    <row r="476" spans="1:20" x14ac:dyDescent="0.25">
      <c r="A476" s="30"/>
      <c r="B476" s="84" t="str">
        <f t="shared" si="70"/>
        <v/>
      </c>
      <c r="C476" s="30"/>
      <c r="D476" s="85" t="str">
        <f t="shared" si="71"/>
        <v/>
      </c>
      <c r="E476" s="85" t="str">
        <f t="shared" si="72"/>
        <v/>
      </c>
      <c r="F476" s="85" t="str">
        <f t="shared" si="73"/>
        <v/>
      </c>
      <c r="G476" s="86" t="str">
        <f t="shared" si="74"/>
        <v/>
      </c>
      <c r="H476" s="30"/>
      <c r="I476" s="87" t="str">
        <f t="shared" si="75"/>
        <v/>
      </c>
      <c r="J476" s="85" t="str">
        <f t="shared" si="76"/>
        <v/>
      </c>
      <c r="K476" s="49"/>
      <c r="L476" s="88" t="str">
        <f t="shared" si="77"/>
        <v/>
      </c>
      <c r="M476" s="88" t="str">
        <f t="shared" si="78"/>
        <v/>
      </c>
      <c r="N476" s="30"/>
      <c r="O476" s="31"/>
      <c r="P476" s="53"/>
      <c r="Q476" s="33"/>
      <c r="R476" s="54" t="str">
        <f t="shared" si="79"/>
        <v/>
      </c>
      <c r="S476" s="30"/>
      <c r="T476" s="33"/>
    </row>
    <row r="477" spans="1:20" x14ac:dyDescent="0.25">
      <c r="A477" s="30"/>
      <c r="B477" s="84" t="str">
        <f t="shared" si="70"/>
        <v/>
      </c>
      <c r="C477" s="30"/>
      <c r="D477" s="85" t="str">
        <f t="shared" si="71"/>
        <v/>
      </c>
      <c r="E477" s="85" t="str">
        <f t="shared" si="72"/>
        <v/>
      </c>
      <c r="F477" s="85" t="str">
        <f t="shared" si="73"/>
        <v/>
      </c>
      <c r="G477" s="86" t="str">
        <f t="shared" si="74"/>
        <v/>
      </c>
      <c r="H477" s="30"/>
      <c r="I477" s="87" t="str">
        <f t="shared" si="75"/>
        <v/>
      </c>
      <c r="J477" s="85" t="str">
        <f t="shared" si="76"/>
        <v/>
      </c>
      <c r="K477" s="49"/>
      <c r="L477" s="88" t="str">
        <f t="shared" si="77"/>
        <v/>
      </c>
      <c r="M477" s="88" t="str">
        <f t="shared" si="78"/>
        <v/>
      </c>
      <c r="N477" s="30"/>
      <c r="O477" s="31"/>
      <c r="P477" s="53"/>
      <c r="Q477" s="33"/>
      <c r="R477" s="54" t="str">
        <f t="shared" si="79"/>
        <v/>
      </c>
      <c r="S477" s="30"/>
      <c r="T477" s="33"/>
    </row>
    <row r="478" spans="1:20" x14ac:dyDescent="0.25">
      <c r="A478" s="30"/>
      <c r="B478" s="84" t="str">
        <f t="shared" si="70"/>
        <v/>
      </c>
      <c r="C478" s="30"/>
      <c r="D478" s="85" t="str">
        <f t="shared" si="71"/>
        <v/>
      </c>
      <c r="E478" s="85" t="str">
        <f t="shared" si="72"/>
        <v/>
      </c>
      <c r="F478" s="85" t="str">
        <f t="shared" si="73"/>
        <v/>
      </c>
      <c r="G478" s="86" t="str">
        <f t="shared" si="74"/>
        <v/>
      </c>
      <c r="H478" s="30"/>
      <c r="I478" s="87" t="str">
        <f t="shared" si="75"/>
        <v/>
      </c>
      <c r="J478" s="85" t="str">
        <f t="shared" si="76"/>
        <v/>
      </c>
      <c r="K478" s="49"/>
      <c r="L478" s="88" t="str">
        <f t="shared" si="77"/>
        <v/>
      </c>
      <c r="M478" s="88" t="str">
        <f t="shared" si="78"/>
        <v/>
      </c>
      <c r="N478" s="30"/>
      <c r="O478" s="31"/>
      <c r="P478" s="53"/>
      <c r="Q478" s="33"/>
      <c r="R478" s="54" t="str">
        <f t="shared" si="79"/>
        <v/>
      </c>
      <c r="S478" s="30"/>
      <c r="T478" s="33"/>
    </row>
    <row r="479" spans="1:20" x14ac:dyDescent="0.25">
      <c r="A479" s="30"/>
      <c r="B479" s="84" t="str">
        <f t="shared" si="70"/>
        <v/>
      </c>
      <c r="C479" s="30"/>
      <c r="D479" s="85" t="str">
        <f t="shared" si="71"/>
        <v/>
      </c>
      <c r="E479" s="85" t="str">
        <f t="shared" si="72"/>
        <v/>
      </c>
      <c r="F479" s="85" t="str">
        <f t="shared" si="73"/>
        <v/>
      </c>
      <c r="G479" s="86" t="str">
        <f t="shared" si="74"/>
        <v/>
      </c>
      <c r="H479" s="30"/>
      <c r="I479" s="87" t="str">
        <f t="shared" si="75"/>
        <v/>
      </c>
      <c r="J479" s="85" t="str">
        <f t="shared" si="76"/>
        <v/>
      </c>
      <c r="K479" s="49"/>
      <c r="L479" s="88" t="str">
        <f t="shared" si="77"/>
        <v/>
      </c>
      <c r="M479" s="88" t="str">
        <f t="shared" si="78"/>
        <v/>
      </c>
      <c r="N479" s="30"/>
      <c r="O479" s="31"/>
      <c r="P479" s="53"/>
      <c r="Q479" s="33"/>
      <c r="R479" s="54" t="str">
        <f t="shared" si="79"/>
        <v/>
      </c>
      <c r="S479" s="30"/>
      <c r="T479" s="33"/>
    </row>
    <row r="480" spans="1:20" x14ac:dyDescent="0.25">
      <c r="A480" s="30"/>
      <c r="B480" s="84" t="str">
        <f t="shared" si="70"/>
        <v/>
      </c>
      <c r="C480" s="30"/>
      <c r="D480" s="85" t="str">
        <f t="shared" si="71"/>
        <v/>
      </c>
      <c r="E480" s="85" t="str">
        <f t="shared" si="72"/>
        <v/>
      </c>
      <c r="F480" s="85" t="str">
        <f t="shared" si="73"/>
        <v/>
      </c>
      <c r="G480" s="86" t="str">
        <f t="shared" si="74"/>
        <v/>
      </c>
      <c r="H480" s="30"/>
      <c r="I480" s="87" t="str">
        <f t="shared" si="75"/>
        <v/>
      </c>
      <c r="J480" s="85" t="str">
        <f t="shared" si="76"/>
        <v/>
      </c>
      <c r="K480" s="49"/>
      <c r="L480" s="88" t="str">
        <f t="shared" si="77"/>
        <v/>
      </c>
      <c r="M480" s="88" t="str">
        <f t="shared" si="78"/>
        <v/>
      </c>
      <c r="N480" s="30"/>
      <c r="O480" s="31"/>
      <c r="P480" s="53"/>
      <c r="Q480" s="33"/>
      <c r="R480" s="54" t="str">
        <f t="shared" si="79"/>
        <v/>
      </c>
      <c r="S480" s="30"/>
      <c r="T480" s="33"/>
    </row>
    <row r="481" spans="1:20" x14ac:dyDescent="0.25">
      <c r="A481" s="30"/>
      <c r="B481" s="84" t="str">
        <f t="shared" si="70"/>
        <v/>
      </c>
      <c r="C481" s="30"/>
      <c r="D481" s="85" t="str">
        <f t="shared" si="71"/>
        <v/>
      </c>
      <c r="E481" s="85" t="str">
        <f t="shared" si="72"/>
        <v/>
      </c>
      <c r="F481" s="85" t="str">
        <f t="shared" si="73"/>
        <v/>
      </c>
      <c r="G481" s="86" t="str">
        <f t="shared" si="74"/>
        <v/>
      </c>
      <c r="H481" s="30"/>
      <c r="I481" s="87" t="str">
        <f t="shared" si="75"/>
        <v/>
      </c>
      <c r="J481" s="85" t="str">
        <f t="shared" si="76"/>
        <v/>
      </c>
      <c r="K481" s="49"/>
      <c r="L481" s="88" t="str">
        <f t="shared" si="77"/>
        <v/>
      </c>
      <c r="M481" s="88" t="str">
        <f t="shared" si="78"/>
        <v/>
      </c>
      <c r="N481" s="30"/>
      <c r="O481" s="31"/>
      <c r="P481" s="53"/>
      <c r="Q481" s="33"/>
      <c r="R481" s="54" t="str">
        <f t="shared" si="79"/>
        <v/>
      </c>
      <c r="S481" s="30"/>
      <c r="T481" s="33"/>
    </row>
    <row r="482" spans="1:20" x14ac:dyDescent="0.25">
      <c r="A482" s="30"/>
      <c r="B482" s="84" t="str">
        <f t="shared" si="70"/>
        <v/>
      </c>
      <c r="C482" s="30"/>
      <c r="D482" s="85" t="str">
        <f t="shared" si="71"/>
        <v/>
      </c>
      <c r="E482" s="85" t="str">
        <f t="shared" si="72"/>
        <v/>
      </c>
      <c r="F482" s="85" t="str">
        <f t="shared" si="73"/>
        <v/>
      </c>
      <c r="G482" s="86" t="str">
        <f t="shared" si="74"/>
        <v/>
      </c>
      <c r="H482" s="30"/>
      <c r="I482" s="87" t="str">
        <f t="shared" si="75"/>
        <v/>
      </c>
      <c r="J482" s="85" t="str">
        <f t="shared" si="76"/>
        <v/>
      </c>
      <c r="K482" s="49"/>
      <c r="L482" s="88" t="str">
        <f t="shared" si="77"/>
        <v/>
      </c>
      <c r="M482" s="88" t="str">
        <f t="shared" si="78"/>
        <v/>
      </c>
      <c r="N482" s="30"/>
      <c r="O482" s="31"/>
      <c r="P482" s="53"/>
      <c r="Q482" s="33"/>
      <c r="R482" s="54" t="str">
        <f t="shared" si="79"/>
        <v/>
      </c>
      <c r="S482" s="30"/>
      <c r="T482" s="33"/>
    </row>
    <row r="483" spans="1:20" x14ac:dyDescent="0.25">
      <c r="A483" s="30"/>
      <c r="B483" s="84" t="str">
        <f t="shared" si="70"/>
        <v/>
      </c>
      <c r="C483" s="30"/>
      <c r="D483" s="85" t="str">
        <f t="shared" si="71"/>
        <v/>
      </c>
      <c r="E483" s="85" t="str">
        <f t="shared" si="72"/>
        <v/>
      </c>
      <c r="F483" s="85" t="str">
        <f t="shared" si="73"/>
        <v/>
      </c>
      <c r="G483" s="86" t="str">
        <f t="shared" si="74"/>
        <v/>
      </c>
      <c r="H483" s="30"/>
      <c r="I483" s="87" t="str">
        <f t="shared" si="75"/>
        <v/>
      </c>
      <c r="J483" s="85" t="str">
        <f t="shared" si="76"/>
        <v/>
      </c>
      <c r="K483" s="49"/>
      <c r="L483" s="88" t="str">
        <f t="shared" si="77"/>
        <v/>
      </c>
      <c r="M483" s="88" t="str">
        <f t="shared" si="78"/>
        <v/>
      </c>
      <c r="N483" s="30"/>
      <c r="O483" s="31"/>
      <c r="P483" s="53"/>
      <c r="Q483" s="33"/>
      <c r="R483" s="54" t="str">
        <f t="shared" si="79"/>
        <v/>
      </c>
      <c r="S483" s="30"/>
      <c r="T483" s="33"/>
    </row>
    <row r="484" spans="1:20" x14ac:dyDescent="0.25">
      <c r="A484" s="30"/>
      <c r="B484" s="84" t="str">
        <f t="shared" si="70"/>
        <v/>
      </c>
      <c r="C484" s="30"/>
      <c r="D484" s="85" t="str">
        <f t="shared" si="71"/>
        <v/>
      </c>
      <c r="E484" s="85" t="str">
        <f t="shared" si="72"/>
        <v/>
      </c>
      <c r="F484" s="85" t="str">
        <f t="shared" si="73"/>
        <v/>
      </c>
      <c r="G484" s="86" t="str">
        <f t="shared" si="74"/>
        <v/>
      </c>
      <c r="H484" s="30"/>
      <c r="I484" s="87" t="str">
        <f t="shared" si="75"/>
        <v/>
      </c>
      <c r="J484" s="85" t="str">
        <f t="shared" si="76"/>
        <v/>
      </c>
      <c r="K484" s="49"/>
      <c r="L484" s="88" t="str">
        <f t="shared" si="77"/>
        <v/>
      </c>
      <c r="M484" s="88" t="str">
        <f t="shared" si="78"/>
        <v/>
      </c>
      <c r="N484" s="30"/>
      <c r="O484" s="31"/>
      <c r="P484" s="53"/>
      <c r="Q484" s="33"/>
      <c r="R484" s="54" t="str">
        <f t="shared" si="79"/>
        <v/>
      </c>
      <c r="S484" s="30"/>
      <c r="T484" s="33"/>
    </row>
    <row r="485" spans="1:20" x14ac:dyDescent="0.25">
      <c r="A485" s="30"/>
      <c r="B485" s="84" t="str">
        <f t="shared" si="70"/>
        <v/>
      </c>
      <c r="C485" s="30"/>
      <c r="D485" s="85" t="str">
        <f t="shared" si="71"/>
        <v/>
      </c>
      <c r="E485" s="85" t="str">
        <f t="shared" si="72"/>
        <v/>
      </c>
      <c r="F485" s="85" t="str">
        <f t="shared" si="73"/>
        <v/>
      </c>
      <c r="G485" s="86" t="str">
        <f t="shared" si="74"/>
        <v/>
      </c>
      <c r="H485" s="30"/>
      <c r="I485" s="87" t="str">
        <f t="shared" si="75"/>
        <v/>
      </c>
      <c r="J485" s="85" t="str">
        <f t="shared" si="76"/>
        <v/>
      </c>
      <c r="K485" s="49"/>
      <c r="L485" s="88" t="str">
        <f t="shared" si="77"/>
        <v/>
      </c>
      <c r="M485" s="88" t="str">
        <f t="shared" si="78"/>
        <v/>
      </c>
      <c r="N485" s="30"/>
      <c r="O485" s="31"/>
      <c r="P485" s="53"/>
      <c r="Q485" s="33"/>
      <c r="R485" s="54" t="str">
        <f t="shared" si="79"/>
        <v/>
      </c>
      <c r="S485" s="30"/>
      <c r="T485" s="33"/>
    </row>
    <row r="486" spans="1:20" x14ac:dyDescent="0.25">
      <c r="A486" s="30"/>
      <c r="B486" s="84" t="str">
        <f t="shared" si="70"/>
        <v/>
      </c>
      <c r="C486" s="30"/>
      <c r="D486" s="85" t="str">
        <f t="shared" si="71"/>
        <v/>
      </c>
      <c r="E486" s="85" t="str">
        <f t="shared" si="72"/>
        <v/>
      </c>
      <c r="F486" s="85" t="str">
        <f t="shared" si="73"/>
        <v/>
      </c>
      <c r="G486" s="86" t="str">
        <f t="shared" si="74"/>
        <v/>
      </c>
      <c r="H486" s="30"/>
      <c r="I486" s="87" t="str">
        <f t="shared" si="75"/>
        <v/>
      </c>
      <c r="J486" s="85" t="str">
        <f t="shared" si="76"/>
        <v/>
      </c>
      <c r="K486" s="49"/>
      <c r="L486" s="88" t="str">
        <f t="shared" si="77"/>
        <v/>
      </c>
      <c r="M486" s="88" t="str">
        <f t="shared" si="78"/>
        <v/>
      </c>
      <c r="N486" s="30"/>
      <c r="O486" s="31"/>
      <c r="P486" s="53"/>
      <c r="Q486" s="33"/>
      <c r="R486" s="54" t="str">
        <f t="shared" si="79"/>
        <v/>
      </c>
      <c r="S486" s="30"/>
      <c r="T486" s="33"/>
    </row>
    <row r="487" spans="1:20" x14ac:dyDescent="0.25">
      <c r="A487" s="30"/>
      <c r="B487" s="84" t="str">
        <f t="shared" si="70"/>
        <v/>
      </c>
      <c r="C487" s="30"/>
      <c r="D487" s="85" t="str">
        <f t="shared" si="71"/>
        <v/>
      </c>
      <c r="E487" s="85" t="str">
        <f t="shared" si="72"/>
        <v/>
      </c>
      <c r="F487" s="85" t="str">
        <f t="shared" si="73"/>
        <v/>
      </c>
      <c r="G487" s="86" t="str">
        <f t="shared" si="74"/>
        <v/>
      </c>
      <c r="H487" s="30"/>
      <c r="I487" s="87" t="str">
        <f t="shared" si="75"/>
        <v/>
      </c>
      <c r="J487" s="85" t="str">
        <f t="shared" si="76"/>
        <v/>
      </c>
      <c r="K487" s="49"/>
      <c r="L487" s="88" t="str">
        <f t="shared" si="77"/>
        <v/>
      </c>
      <c r="M487" s="88" t="str">
        <f t="shared" si="78"/>
        <v/>
      </c>
      <c r="N487" s="30"/>
      <c r="O487" s="31"/>
      <c r="P487" s="53"/>
      <c r="Q487" s="33"/>
      <c r="R487" s="54" t="str">
        <f t="shared" si="79"/>
        <v/>
      </c>
      <c r="S487" s="30"/>
      <c r="T487" s="33"/>
    </row>
    <row r="488" spans="1:20" x14ac:dyDescent="0.25">
      <c r="A488" s="30"/>
      <c r="B488" s="84" t="str">
        <f t="shared" si="70"/>
        <v/>
      </c>
      <c r="C488" s="30"/>
      <c r="D488" s="85" t="str">
        <f t="shared" si="71"/>
        <v/>
      </c>
      <c r="E488" s="85" t="str">
        <f t="shared" si="72"/>
        <v/>
      </c>
      <c r="F488" s="85" t="str">
        <f t="shared" si="73"/>
        <v/>
      </c>
      <c r="G488" s="86" t="str">
        <f t="shared" si="74"/>
        <v/>
      </c>
      <c r="H488" s="30"/>
      <c r="I488" s="87" t="str">
        <f t="shared" si="75"/>
        <v/>
      </c>
      <c r="J488" s="85" t="str">
        <f t="shared" si="76"/>
        <v/>
      </c>
      <c r="K488" s="49"/>
      <c r="L488" s="88" t="str">
        <f t="shared" si="77"/>
        <v/>
      </c>
      <c r="M488" s="88" t="str">
        <f t="shared" si="78"/>
        <v/>
      </c>
      <c r="N488" s="30"/>
      <c r="O488" s="31"/>
      <c r="P488" s="53"/>
      <c r="Q488" s="33"/>
      <c r="R488" s="54" t="str">
        <f t="shared" si="79"/>
        <v/>
      </c>
      <c r="S488" s="30"/>
      <c r="T488" s="33"/>
    </row>
    <row r="489" spans="1:20" x14ac:dyDescent="0.25">
      <c r="A489" s="30"/>
      <c r="B489" s="84" t="str">
        <f t="shared" si="70"/>
        <v/>
      </c>
      <c r="C489" s="30"/>
      <c r="D489" s="85" t="str">
        <f t="shared" si="71"/>
        <v/>
      </c>
      <c r="E489" s="85" t="str">
        <f t="shared" si="72"/>
        <v/>
      </c>
      <c r="F489" s="85" t="str">
        <f t="shared" si="73"/>
        <v/>
      </c>
      <c r="G489" s="86" t="str">
        <f t="shared" si="74"/>
        <v/>
      </c>
      <c r="H489" s="30"/>
      <c r="I489" s="87" t="str">
        <f t="shared" si="75"/>
        <v/>
      </c>
      <c r="J489" s="85" t="str">
        <f t="shared" si="76"/>
        <v/>
      </c>
      <c r="K489" s="49"/>
      <c r="L489" s="88" t="str">
        <f t="shared" si="77"/>
        <v/>
      </c>
      <c r="M489" s="88" t="str">
        <f t="shared" si="78"/>
        <v/>
      </c>
      <c r="N489" s="30"/>
      <c r="O489" s="31"/>
      <c r="P489" s="53"/>
      <c r="Q489" s="33"/>
      <c r="R489" s="54" t="str">
        <f t="shared" si="79"/>
        <v/>
      </c>
      <c r="S489" s="30"/>
      <c r="T489" s="33"/>
    </row>
    <row r="490" spans="1:20" x14ac:dyDescent="0.25">
      <c r="A490" s="30"/>
      <c r="B490" s="84" t="str">
        <f t="shared" si="70"/>
        <v/>
      </c>
      <c r="C490" s="30"/>
      <c r="D490" s="85" t="str">
        <f t="shared" si="71"/>
        <v/>
      </c>
      <c r="E490" s="85" t="str">
        <f t="shared" si="72"/>
        <v/>
      </c>
      <c r="F490" s="85" t="str">
        <f t="shared" si="73"/>
        <v/>
      </c>
      <c r="G490" s="86" t="str">
        <f t="shared" si="74"/>
        <v/>
      </c>
      <c r="H490" s="30"/>
      <c r="I490" s="87" t="str">
        <f t="shared" si="75"/>
        <v/>
      </c>
      <c r="J490" s="85" t="str">
        <f t="shared" si="76"/>
        <v/>
      </c>
      <c r="K490" s="49"/>
      <c r="L490" s="88" t="str">
        <f t="shared" si="77"/>
        <v/>
      </c>
      <c r="M490" s="88" t="str">
        <f t="shared" si="78"/>
        <v/>
      </c>
      <c r="N490" s="30"/>
      <c r="O490" s="31"/>
      <c r="P490" s="53"/>
      <c r="Q490" s="33"/>
      <c r="R490" s="54" t="str">
        <f t="shared" si="79"/>
        <v/>
      </c>
      <c r="S490" s="30"/>
      <c r="T490" s="33"/>
    </row>
    <row r="491" spans="1:20" x14ac:dyDescent="0.25">
      <c r="A491" s="30"/>
      <c r="B491" s="84" t="str">
        <f t="shared" si="70"/>
        <v/>
      </c>
      <c r="C491" s="30"/>
      <c r="D491" s="85" t="str">
        <f t="shared" si="71"/>
        <v/>
      </c>
      <c r="E491" s="85" t="str">
        <f t="shared" si="72"/>
        <v/>
      </c>
      <c r="F491" s="85" t="str">
        <f t="shared" si="73"/>
        <v/>
      </c>
      <c r="G491" s="86" t="str">
        <f t="shared" si="74"/>
        <v/>
      </c>
      <c r="H491" s="30"/>
      <c r="I491" s="87" t="str">
        <f t="shared" si="75"/>
        <v/>
      </c>
      <c r="J491" s="85" t="str">
        <f t="shared" si="76"/>
        <v/>
      </c>
      <c r="K491" s="49"/>
      <c r="L491" s="88" t="str">
        <f t="shared" si="77"/>
        <v/>
      </c>
      <c r="M491" s="88" t="str">
        <f t="shared" si="78"/>
        <v/>
      </c>
      <c r="N491" s="30"/>
      <c r="O491" s="31"/>
      <c r="P491" s="53"/>
      <c r="Q491" s="33"/>
      <c r="R491" s="54" t="str">
        <f t="shared" si="79"/>
        <v/>
      </c>
      <c r="S491" s="30"/>
      <c r="T491" s="33"/>
    </row>
    <row r="492" spans="1:20" x14ac:dyDescent="0.25">
      <c r="A492" s="30"/>
      <c r="B492" s="84" t="str">
        <f t="shared" si="70"/>
        <v/>
      </c>
      <c r="C492" s="30"/>
      <c r="D492" s="85" t="str">
        <f t="shared" si="71"/>
        <v/>
      </c>
      <c r="E492" s="85" t="str">
        <f t="shared" si="72"/>
        <v/>
      </c>
      <c r="F492" s="85" t="str">
        <f t="shared" si="73"/>
        <v/>
      </c>
      <c r="G492" s="86" t="str">
        <f t="shared" si="74"/>
        <v/>
      </c>
      <c r="H492" s="30"/>
      <c r="I492" s="87" t="str">
        <f t="shared" si="75"/>
        <v/>
      </c>
      <c r="J492" s="85" t="str">
        <f t="shared" si="76"/>
        <v/>
      </c>
      <c r="K492" s="49"/>
      <c r="L492" s="88" t="str">
        <f t="shared" si="77"/>
        <v/>
      </c>
      <c r="M492" s="88" t="str">
        <f t="shared" si="78"/>
        <v/>
      </c>
      <c r="N492" s="30"/>
      <c r="O492" s="31"/>
      <c r="P492" s="53"/>
      <c r="Q492" s="33"/>
      <c r="R492" s="54" t="str">
        <f t="shared" si="79"/>
        <v/>
      </c>
      <c r="S492" s="30"/>
      <c r="T492" s="33"/>
    </row>
    <row r="493" spans="1:20" x14ac:dyDescent="0.25">
      <c r="A493" s="30"/>
      <c r="B493" s="84" t="str">
        <f t="shared" si="70"/>
        <v/>
      </c>
      <c r="C493" s="30"/>
      <c r="D493" s="85" t="str">
        <f t="shared" si="71"/>
        <v/>
      </c>
      <c r="E493" s="85" t="str">
        <f t="shared" si="72"/>
        <v/>
      </c>
      <c r="F493" s="85" t="str">
        <f t="shared" si="73"/>
        <v/>
      </c>
      <c r="G493" s="86" t="str">
        <f t="shared" si="74"/>
        <v/>
      </c>
      <c r="H493" s="30"/>
      <c r="I493" s="87" t="str">
        <f t="shared" si="75"/>
        <v/>
      </c>
      <c r="J493" s="85" t="str">
        <f t="shared" si="76"/>
        <v/>
      </c>
      <c r="K493" s="49"/>
      <c r="L493" s="88" t="str">
        <f t="shared" si="77"/>
        <v/>
      </c>
      <c r="M493" s="88" t="str">
        <f t="shared" si="78"/>
        <v/>
      </c>
      <c r="N493" s="30"/>
      <c r="O493" s="31"/>
      <c r="P493" s="53"/>
      <c r="Q493" s="33"/>
      <c r="R493" s="54" t="str">
        <f t="shared" si="79"/>
        <v/>
      </c>
      <c r="S493" s="30"/>
      <c r="T493" s="33"/>
    </row>
    <row r="494" spans="1:20" x14ac:dyDescent="0.25">
      <c r="A494" s="30"/>
      <c r="B494" s="84" t="str">
        <f t="shared" si="70"/>
        <v/>
      </c>
      <c r="C494" s="30"/>
      <c r="D494" s="85" t="str">
        <f t="shared" si="71"/>
        <v/>
      </c>
      <c r="E494" s="85" t="str">
        <f t="shared" si="72"/>
        <v/>
      </c>
      <c r="F494" s="85" t="str">
        <f t="shared" si="73"/>
        <v/>
      </c>
      <c r="G494" s="86" t="str">
        <f t="shared" si="74"/>
        <v/>
      </c>
      <c r="H494" s="30"/>
      <c r="I494" s="87" t="str">
        <f t="shared" si="75"/>
        <v/>
      </c>
      <c r="J494" s="85" t="str">
        <f t="shared" si="76"/>
        <v/>
      </c>
      <c r="K494" s="49"/>
      <c r="L494" s="88" t="str">
        <f t="shared" si="77"/>
        <v/>
      </c>
      <c r="M494" s="88" t="str">
        <f t="shared" si="78"/>
        <v/>
      </c>
      <c r="N494" s="30"/>
      <c r="O494" s="31"/>
      <c r="P494" s="53"/>
      <c r="Q494" s="33"/>
      <c r="R494" s="54" t="str">
        <f t="shared" si="79"/>
        <v/>
      </c>
      <c r="S494" s="30"/>
      <c r="T494" s="33"/>
    </row>
    <row r="495" spans="1:20" x14ac:dyDescent="0.25">
      <c r="A495" s="30"/>
      <c r="B495" s="84" t="str">
        <f t="shared" si="70"/>
        <v/>
      </c>
      <c r="C495" s="30"/>
      <c r="D495" s="85" t="str">
        <f t="shared" si="71"/>
        <v/>
      </c>
      <c r="E495" s="85" t="str">
        <f t="shared" si="72"/>
        <v/>
      </c>
      <c r="F495" s="85" t="str">
        <f t="shared" si="73"/>
        <v/>
      </c>
      <c r="G495" s="86" t="str">
        <f t="shared" si="74"/>
        <v/>
      </c>
      <c r="H495" s="30"/>
      <c r="I495" s="87" t="str">
        <f t="shared" si="75"/>
        <v/>
      </c>
      <c r="J495" s="85" t="str">
        <f t="shared" si="76"/>
        <v/>
      </c>
      <c r="K495" s="49"/>
      <c r="L495" s="88" t="str">
        <f t="shared" si="77"/>
        <v/>
      </c>
      <c r="M495" s="88" t="str">
        <f t="shared" si="78"/>
        <v/>
      </c>
      <c r="N495" s="30"/>
      <c r="O495" s="31"/>
      <c r="P495" s="53"/>
      <c r="Q495" s="33"/>
      <c r="R495" s="54" t="str">
        <f t="shared" si="79"/>
        <v/>
      </c>
      <c r="S495" s="30"/>
      <c r="T495" s="33"/>
    </row>
    <row r="496" spans="1:20" x14ac:dyDescent="0.25">
      <c r="A496" s="30"/>
      <c r="B496" s="84" t="str">
        <f t="shared" si="70"/>
        <v/>
      </c>
      <c r="C496" s="30"/>
      <c r="D496" s="85" t="str">
        <f t="shared" si="71"/>
        <v/>
      </c>
      <c r="E496" s="85" t="str">
        <f t="shared" si="72"/>
        <v/>
      </c>
      <c r="F496" s="85" t="str">
        <f t="shared" si="73"/>
        <v/>
      </c>
      <c r="G496" s="86" t="str">
        <f t="shared" si="74"/>
        <v/>
      </c>
      <c r="H496" s="30"/>
      <c r="I496" s="87" t="str">
        <f t="shared" si="75"/>
        <v/>
      </c>
      <c r="J496" s="85" t="str">
        <f t="shared" si="76"/>
        <v/>
      </c>
      <c r="K496" s="49"/>
      <c r="L496" s="88" t="str">
        <f t="shared" si="77"/>
        <v/>
      </c>
      <c r="M496" s="88" t="str">
        <f t="shared" si="78"/>
        <v/>
      </c>
      <c r="N496" s="30"/>
      <c r="O496" s="31"/>
      <c r="P496" s="53"/>
      <c r="Q496" s="33"/>
      <c r="R496" s="54" t="str">
        <f t="shared" si="79"/>
        <v/>
      </c>
      <c r="S496" s="30"/>
      <c r="T496" s="33"/>
    </row>
    <row r="497" spans="1:20" x14ac:dyDescent="0.25">
      <c r="A497" s="30"/>
      <c r="B497" s="84" t="str">
        <f t="shared" si="70"/>
        <v/>
      </c>
      <c r="C497" s="30"/>
      <c r="D497" s="85" t="str">
        <f t="shared" si="71"/>
        <v/>
      </c>
      <c r="E497" s="85" t="str">
        <f t="shared" si="72"/>
        <v/>
      </c>
      <c r="F497" s="85" t="str">
        <f t="shared" si="73"/>
        <v/>
      </c>
      <c r="G497" s="86" t="str">
        <f t="shared" si="74"/>
        <v/>
      </c>
      <c r="H497" s="30"/>
      <c r="I497" s="87" t="str">
        <f t="shared" si="75"/>
        <v/>
      </c>
      <c r="J497" s="85" t="str">
        <f t="shared" si="76"/>
        <v/>
      </c>
      <c r="K497" s="49"/>
      <c r="L497" s="88" t="str">
        <f t="shared" si="77"/>
        <v/>
      </c>
      <c r="M497" s="88" t="str">
        <f t="shared" si="78"/>
        <v/>
      </c>
      <c r="N497" s="30"/>
      <c r="O497" s="31"/>
      <c r="P497" s="53"/>
      <c r="Q497" s="33"/>
      <c r="R497" s="54" t="str">
        <f t="shared" si="79"/>
        <v/>
      </c>
      <c r="S497" s="30"/>
      <c r="T497" s="33"/>
    </row>
    <row r="498" spans="1:20" x14ac:dyDescent="0.25">
      <c r="A498" s="30"/>
      <c r="B498" s="84" t="str">
        <f t="shared" si="70"/>
        <v/>
      </c>
      <c r="C498" s="30"/>
      <c r="D498" s="85" t="str">
        <f t="shared" si="71"/>
        <v/>
      </c>
      <c r="E498" s="85" t="str">
        <f t="shared" si="72"/>
        <v/>
      </c>
      <c r="F498" s="85" t="str">
        <f t="shared" si="73"/>
        <v/>
      </c>
      <c r="G498" s="86" t="str">
        <f t="shared" si="74"/>
        <v/>
      </c>
      <c r="H498" s="30"/>
      <c r="I498" s="87" t="str">
        <f t="shared" si="75"/>
        <v/>
      </c>
      <c r="J498" s="85" t="str">
        <f t="shared" si="76"/>
        <v/>
      </c>
      <c r="K498" s="49"/>
      <c r="L498" s="88" t="str">
        <f t="shared" si="77"/>
        <v/>
      </c>
      <c r="M498" s="88" t="str">
        <f t="shared" si="78"/>
        <v/>
      </c>
      <c r="N498" s="30"/>
      <c r="O498" s="31"/>
      <c r="P498" s="53"/>
      <c r="Q498" s="33"/>
      <c r="R498" s="54" t="str">
        <f t="shared" si="79"/>
        <v/>
      </c>
      <c r="S498" s="30"/>
      <c r="T498" s="33"/>
    </row>
    <row r="499" spans="1:20" x14ac:dyDescent="0.25">
      <c r="A499" s="30"/>
      <c r="B499" s="84" t="str">
        <f t="shared" si="70"/>
        <v/>
      </c>
      <c r="C499" s="30"/>
      <c r="D499" s="85" t="str">
        <f t="shared" si="71"/>
        <v/>
      </c>
      <c r="E499" s="85" t="str">
        <f t="shared" si="72"/>
        <v/>
      </c>
      <c r="F499" s="85" t="str">
        <f t="shared" si="73"/>
        <v/>
      </c>
      <c r="G499" s="86" t="str">
        <f t="shared" si="74"/>
        <v/>
      </c>
      <c r="H499" s="30"/>
      <c r="I499" s="87" t="str">
        <f t="shared" si="75"/>
        <v/>
      </c>
      <c r="J499" s="85" t="str">
        <f t="shared" si="76"/>
        <v/>
      </c>
      <c r="K499" s="49"/>
      <c r="L499" s="88" t="str">
        <f t="shared" si="77"/>
        <v/>
      </c>
      <c r="M499" s="88" t="str">
        <f t="shared" si="78"/>
        <v/>
      </c>
      <c r="N499" s="30"/>
      <c r="O499" s="31"/>
      <c r="P499" s="53"/>
      <c r="Q499" s="33"/>
      <c r="R499" s="54" t="str">
        <f t="shared" si="79"/>
        <v/>
      </c>
      <c r="S499" s="30"/>
      <c r="T499" s="33"/>
    </row>
    <row r="500" spans="1:20" x14ac:dyDescent="0.25">
      <c r="A500" s="30"/>
      <c r="B500" s="84" t="str">
        <f t="shared" si="70"/>
        <v/>
      </c>
      <c r="C500" s="30"/>
      <c r="D500" s="85" t="str">
        <f t="shared" si="71"/>
        <v/>
      </c>
      <c r="E500" s="85" t="str">
        <f t="shared" si="72"/>
        <v/>
      </c>
      <c r="F500" s="85" t="str">
        <f t="shared" si="73"/>
        <v/>
      </c>
      <c r="G500" s="86" t="str">
        <f t="shared" si="74"/>
        <v/>
      </c>
      <c r="H500" s="30"/>
      <c r="I500" s="87" t="str">
        <f t="shared" si="75"/>
        <v/>
      </c>
      <c r="J500" s="85" t="str">
        <f t="shared" si="76"/>
        <v/>
      </c>
      <c r="K500" s="49"/>
      <c r="L500" s="88" t="str">
        <f t="shared" si="77"/>
        <v/>
      </c>
      <c r="M500" s="88" t="str">
        <f t="shared" si="78"/>
        <v/>
      </c>
      <c r="N500" s="30"/>
      <c r="O500" s="31"/>
      <c r="P500" s="53"/>
      <c r="Q500" s="33"/>
      <c r="R500" s="54" t="str">
        <f t="shared" si="79"/>
        <v/>
      </c>
      <c r="S500" s="30"/>
      <c r="T500" s="33"/>
    </row>
    <row r="501" spans="1:20" x14ac:dyDescent="0.25">
      <c r="A501" s="30"/>
      <c r="B501" s="84" t="str">
        <f t="shared" ref="B501:B564" si="80">IF($G501="","",EOMONTH($G501,0))</f>
        <v/>
      </c>
      <c r="C501" s="30"/>
      <c r="D501" s="85" t="str">
        <f t="shared" ref="D501:D564" si="81">IFERROR(IF($C501="","",VLOOKUP($C501,CAD_TAB,2,FALSE)),"")</f>
        <v/>
      </c>
      <c r="E501" s="85" t="str">
        <f t="shared" ref="E501:E564" si="82">IFERROR(IF($C501="","",VLOOKUP($C501,CAD_TAB,3,FALSE)),"")</f>
        <v/>
      </c>
      <c r="F501" s="85" t="str">
        <f t="shared" ref="F501:F564" si="83">IFERROR(IF($C501="","",VLOOKUP($C501,OS_TAB,7,FALSE)),"")</f>
        <v/>
      </c>
      <c r="G501" s="86" t="str">
        <f t="shared" ref="G501:G564" si="84">IFERROR(IF($C501="","",VLOOKUP($C501,OS_TAB,10,FALSE)),"")</f>
        <v/>
      </c>
      <c r="H501" s="30"/>
      <c r="I501" s="87" t="str">
        <f t="shared" ref="I501:I564" si="85">IFERROR(IF($H501="","",VLOOKUP($H501,PRE_TAB,5,FALSE)),"CÓDIGO NÃO ENCONTRADO")</f>
        <v/>
      </c>
      <c r="J501" s="85" t="str">
        <f t="shared" ref="J501:J564" si="86">IFERROR(IF($H501="","",VLOOKUP($H501,PRE_TAB,7,FALSE)),"")</f>
        <v/>
      </c>
      <c r="K501" s="49"/>
      <c r="L501" s="88" t="str">
        <f t="shared" ref="L501:L564" si="87">IFERROR(IF($H501="","",VLOOKUP($H501,PRE_TAB,8,FALSE)),0)</f>
        <v/>
      </c>
      <c r="M501" s="88" t="str">
        <f t="shared" ref="M501:M564" si="88">IF($H501="","",ROUND($K501*$L501,2))</f>
        <v/>
      </c>
      <c r="N501" s="30"/>
      <c r="O501" s="31"/>
      <c r="P501" s="53"/>
      <c r="Q501" s="33"/>
      <c r="R501" s="54" t="str">
        <f t="shared" ref="R501:R564" si="89">IF($H501="","",$M501-$P501)</f>
        <v/>
      </c>
      <c r="S501" s="30"/>
      <c r="T501" s="33"/>
    </row>
    <row r="502" spans="1:20" x14ac:dyDescent="0.25">
      <c r="A502" s="30"/>
      <c r="B502" s="84" t="str">
        <f t="shared" si="80"/>
        <v/>
      </c>
      <c r="C502" s="30"/>
      <c r="D502" s="85" t="str">
        <f t="shared" si="81"/>
        <v/>
      </c>
      <c r="E502" s="85" t="str">
        <f t="shared" si="82"/>
        <v/>
      </c>
      <c r="F502" s="85" t="str">
        <f t="shared" si="83"/>
        <v/>
      </c>
      <c r="G502" s="86" t="str">
        <f t="shared" si="84"/>
        <v/>
      </c>
      <c r="H502" s="30"/>
      <c r="I502" s="87" t="str">
        <f t="shared" si="85"/>
        <v/>
      </c>
      <c r="J502" s="85" t="str">
        <f t="shared" si="86"/>
        <v/>
      </c>
      <c r="K502" s="49"/>
      <c r="L502" s="88" t="str">
        <f t="shared" si="87"/>
        <v/>
      </c>
      <c r="M502" s="88" t="str">
        <f t="shared" si="88"/>
        <v/>
      </c>
      <c r="N502" s="30"/>
      <c r="O502" s="31"/>
      <c r="P502" s="53"/>
      <c r="Q502" s="33"/>
      <c r="R502" s="54" t="str">
        <f t="shared" si="89"/>
        <v/>
      </c>
      <c r="S502" s="30"/>
      <c r="T502" s="33"/>
    </row>
    <row r="503" spans="1:20" x14ac:dyDescent="0.25">
      <c r="A503" s="30"/>
      <c r="B503" s="84" t="str">
        <f t="shared" si="80"/>
        <v/>
      </c>
      <c r="C503" s="30"/>
      <c r="D503" s="85" t="str">
        <f t="shared" si="81"/>
        <v/>
      </c>
      <c r="E503" s="85" t="str">
        <f t="shared" si="82"/>
        <v/>
      </c>
      <c r="F503" s="85" t="str">
        <f t="shared" si="83"/>
        <v/>
      </c>
      <c r="G503" s="86" t="str">
        <f t="shared" si="84"/>
        <v/>
      </c>
      <c r="H503" s="30"/>
      <c r="I503" s="87" t="str">
        <f t="shared" si="85"/>
        <v/>
      </c>
      <c r="J503" s="85" t="str">
        <f t="shared" si="86"/>
        <v/>
      </c>
      <c r="K503" s="49"/>
      <c r="L503" s="88" t="str">
        <f t="shared" si="87"/>
        <v/>
      </c>
      <c r="M503" s="88" t="str">
        <f t="shared" si="88"/>
        <v/>
      </c>
      <c r="N503" s="30"/>
      <c r="O503" s="31"/>
      <c r="P503" s="53"/>
      <c r="Q503" s="33"/>
      <c r="R503" s="54" t="str">
        <f t="shared" si="89"/>
        <v/>
      </c>
      <c r="S503" s="30"/>
      <c r="T503" s="33"/>
    </row>
    <row r="504" spans="1:20" x14ac:dyDescent="0.25">
      <c r="A504" s="30"/>
      <c r="B504" s="84" t="str">
        <f t="shared" si="80"/>
        <v/>
      </c>
      <c r="C504" s="30"/>
      <c r="D504" s="85" t="str">
        <f t="shared" si="81"/>
        <v/>
      </c>
      <c r="E504" s="85" t="str">
        <f t="shared" si="82"/>
        <v/>
      </c>
      <c r="F504" s="85" t="str">
        <f t="shared" si="83"/>
        <v/>
      </c>
      <c r="G504" s="86" t="str">
        <f t="shared" si="84"/>
        <v/>
      </c>
      <c r="H504" s="30"/>
      <c r="I504" s="87" t="str">
        <f t="shared" si="85"/>
        <v/>
      </c>
      <c r="J504" s="85" t="str">
        <f t="shared" si="86"/>
        <v/>
      </c>
      <c r="K504" s="49"/>
      <c r="L504" s="88" t="str">
        <f t="shared" si="87"/>
        <v/>
      </c>
      <c r="M504" s="88" t="str">
        <f t="shared" si="88"/>
        <v/>
      </c>
      <c r="N504" s="30"/>
      <c r="O504" s="31"/>
      <c r="P504" s="53"/>
      <c r="Q504" s="33"/>
      <c r="R504" s="54" t="str">
        <f t="shared" si="89"/>
        <v/>
      </c>
      <c r="S504" s="30"/>
      <c r="T504" s="33"/>
    </row>
    <row r="505" spans="1:20" x14ac:dyDescent="0.25">
      <c r="A505" s="30"/>
      <c r="B505" s="84" t="str">
        <f t="shared" si="80"/>
        <v/>
      </c>
      <c r="C505" s="30"/>
      <c r="D505" s="85" t="str">
        <f t="shared" si="81"/>
        <v/>
      </c>
      <c r="E505" s="85" t="str">
        <f t="shared" si="82"/>
        <v/>
      </c>
      <c r="F505" s="85" t="str">
        <f t="shared" si="83"/>
        <v/>
      </c>
      <c r="G505" s="86" t="str">
        <f t="shared" si="84"/>
        <v/>
      </c>
      <c r="H505" s="30"/>
      <c r="I505" s="87" t="str">
        <f t="shared" si="85"/>
        <v/>
      </c>
      <c r="J505" s="85" t="str">
        <f t="shared" si="86"/>
        <v/>
      </c>
      <c r="K505" s="49"/>
      <c r="L505" s="88" t="str">
        <f t="shared" si="87"/>
        <v/>
      </c>
      <c r="M505" s="88" t="str">
        <f t="shared" si="88"/>
        <v/>
      </c>
      <c r="N505" s="30"/>
      <c r="O505" s="31"/>
      <c r="P505" s="53"/>
      <c r="Q505" s="33"/>
      <c r="R505" s="54" t="str">
        <f t="shared" si="89"/>
        <v/>
      </c>
      <c r="S505" s="30"/>
      <c r="T505" s="33"/>
    </row>
    <row r="506" spans="1:20" x14ac:dyDescent="0.25">
      <c r="A506" s="30"/>
      <c r="B506" s="84" t="str">
        <f t="shared" si="80"/>
        <v/>
      </c>
      <c r="C506" s="30"/>
      <c r="D506" s="85" t="str">
        <f t="shared" si="81"/>
        <v/>
      </c>
      <c r="E506" s="85" t="str">
        <f t="shared" si="82"/>
        <v/>
      </c>
      <c r="F506" s="85" t="str">
        <f t="shared" si="83"/>
        <v/>
      </c>
      <c r="G506" s="86" t="str">
        <f t="shared" si="84"/>
        <v/>
      </c>
      <c r="H506" s="30"/>
      <c r="I506" s="87" t="str">
        <f t="shared" si="85"/>
        <v/>
      </c>
      <c r="J506" s="85" t="str">
        <f t="shared" si="86"/>
        <v/>
      </c>
      <c r="K506" s="49"/>
      <c r="L506" s="88" t="str">
        <f t="shared" si="87"/>
        <v/>
      </c>
      <c r="M506" s="88" t="str">
        <f t="shared" si="88"/>
        <v/>
      </c>
      <c r="N506" s="30"/>
      <c r="O506" s="31"/>
      <c r="P506" s="53"/>
      <c r="Q506" s="33"/>
      <c r="R506" s="54" t="str">
        <f t="shared" si="89"/>
        <v/>
      </c>
      <c r="S506" s="30"/>
      <c r="T506" s="33"/>
    </row>
    <row r="507" spans="1:20" x14ac:dyDescent="0.25">
      <c r="A507" s="30"/>
      <c r="B507" s="84" t="str">
        <f t="shared" si="80"/>
        <v/>
      </c>
      <c r="C507" s="30"/>
      <c r="D507" s="85" t="str">
        <f t="shared" si="81"/>
        <v/>
      </c>
      <c r="E507" s="85" t="str">
        <f t="shared" si="82"/>
        <v/>
      </c>
      <c r="F507" s="85" t="str">
        <f t="shared" si="83"/>
        <v/>
      </c>
      <c r="G507" s="86" t="str">
        <f t="shared" si="84"/>
        <v/>
      </c>
      <c r="H507" s="30"/>
      <c r="I507" s="87" t="str">
        <f t="shared" si="85"/>
        <v/>
      </c>
      <c r="J507" s="85" t="str">
        <f t="shared" si="86"/>
        <v/>
      </c>
      <c r="K507" s="49"/>
      <c r="L507" s="88" t="str">
        <f t="shared" si="87"/>
        <v/>
      </c>
      <c r="M507" s="88" t="str">
        <f t="shared" si="88"/>
        <v/>
      </c>
      <c r="N507" s="30"/>
      <c r="O507" s="31"/>
      <c r="P507" s="53"/>
      <c r="Q507" s="33"/>
      <c r="R507" s="54" t="str">
        <f t="shared" si="89"/>
        <v/>
      </c>
      <c r="S507" s="30"/>
      <c r="T507" s="33"/>
    </row>
    <row r="508" spans="1:20" x14ac:dyDescent="0.25">
      <c r="A508" s="30"/>
      <c r="B508" s="84" t="str">
        <f t="shared" si="80"/>
        <v/>
      </c>
      <c r="C508" s="30"/>
      <c r="D508" s="85" t="str">
        <f t="shared" si="81"/>
        <v/>
      </c>
      <c r="E508" s="85" t="str">
        <f t="shared" si="82"/>
        <v/>
      </c>
      <c r="F508" s="85" t="str">
        <f t="shared" si="83"/>
        <v/>
      </c>
      <c r="G508" s="86" t="str">
        <f t="shared" si="84"/>
        <v/>
      </c>
      <c r="H508" s="30"/>
      <c r="I508" s="87" t="str">
        <f t="shared" si="85"/>
        <v/>
      </c>
      <c r="J508" s="85" t="str">
        <f t="shared" si="86"/>
        <v/>
      </c>
      <c r="K508" s="49"/>
      <c r="L508" s="88" t="str">
        <f t="shared" si="87"/>
        <v/>
      </c>
      <c r="M508" s="88" t="str">
        <f t="shared" si="88"/>
        <v/>
      </c>
      <c r="N508" s="30"/>
      <c r="O508" s="31"/>
      <c r="P508" s="53"/>
      <c r="Q508" s="33"/>
      <c r="R508" s="54" t="str">
        <f t="shared" si="89"/>
        <v/>
      </c>
      <c r="S508" s="30"/>
      <c r="T508" s="33"/>
    </row>
    <row r="509" spans="1:20" x14ac:dyDescent="0.25">
      <c r="A509" s="30"/>
      <c r="B509" s="84" t="str">
        <f t="shared" si="80"/>
        <v/>
      </c>
      <c r="C509" s="30"/>
      <c r="D509" s="85" t="str">
        <f t="shared" si="81"/>
        <v/>
      </c>
      <c r="E509" s="85" t="str">
        <f t="shared" si="82"/>
        <v/>
      </c>
      <c r="F509" s="85" t="str">
        <f t="shared" si="83"/>
        <v/>
      </c>
      <c r="G509" s="86" t="str">
        <f t="shared" si="84"/>
        <v/>
      </c>
      <c r="H509" s="30"/>
      <c r="I509" s="87" t="str">
        <f t="shared" si="85"/>
        <v/>
      </c>
      <c r="J509" s="85" t="str">
        <f t="shared" si="86"/>
        <v/>
      </c>
      <c r="K509" s="49"/>
      <c r="L509" s="88" t="str">
        <f t="shared" si="87"/>
        <v/>
      </c>
      <c r="M509" s="88" t="str">
        <f t="shared" si="88"/>
        <v/>
      </c>
      <c r="N509" s="30"/>
      <c r="O509" s="31"/>
      <c r="P509" s="53"/>
      <c r="Q509" s="33"/>
      <c r="R509" s="54" t="str">
        <f t="shared" si="89"/>
        <v/>
      </c>
      <c r="S509" s="30"/>
      <c r="T509" s="33"/>
    </row>
    <row r="510" spans="1:20" x14ac:dyDescent="0.25">
      <c r="A510" s="30"/>
      <c r="B510" s="84" t="str">
        <f t="shared" si="80"/>
        <v/>
      </c>
      <c r="C510" s="30"/>
      <c r="D510" s="85" t="str">
        <f t="shared" si="81"/>
        <v/>
      </c>
      <c r="E510" s="85" t="str">
        <f t="shared" si="82"/>
        <v/>
      </c>
      <c r="F510" s="85" t="str">
        <f t="shared" si="83"/>
        <v/>
      </c>
      <c r="G510" s="86" t="str">
        <f t="shared" si="84"/>
        <v/>
      </c>
      <c r="H510" s="30"/>
      <c r="I510" s="87" t="str">
        <f t="shared" si="85"/>
        <v/>
      </c>
      <c r="J510" s="85" t="str">
        <f t="shared" si="86"/>
        <v/>
      </c>
      <c r="K510" s="49"/>
      <c r="L510" s="88" t="str">
        <f t="shared" si="87"/>
        <v/>
      </c>
      <c r="M510" s="88" t="str">
        <f t="shared" si="88"/>
        <v/>
      </c>
      <c r="N510" s="30"/>
      <c r="O510" s="31"/>
      <c r="P510" s="53"/>
      <c r="Q510" s="33"/>
      <c r="R510" s="54" t="str">
        <f t="shared" si="89"/>
        <v/>
      </c>
      <c r="S510" s="30"/>
      <c r="T510" s="33"/>
    </row>
    <row r="511" spans="1:20" x14ac:dyDescent="0.25">
      <c r="A511" s="30"/>
      <c r="B511" s="84" t="str">
        <f t="shared" si="80"/>
        <v/>
      </c>
      <c r="C511" s="30"/>
      <c r="D511" s="85" t="str">
        <f t="shared" si="81"/>
        <v/>
      </c>
      <c r="E511" s="85" t="str">
        <f t="shared" si="82"/>
        <v/>
      </c>
      <c r="F511" s="85" t="str">
        <f t="shared" si="83"/>
        <v/>
      </c>
      <c r="G511" s="86" t="str">
        <f t="shared" si="84"/>
        <v/>
      </c>
      <c r="H511" s="30"/>
      <c r="I511" s="87" t="str">
        <f t="shared" si="85"/>
        <v/>
      </c>
      <c r="J511" s="85" t="str">
        <f t="shared" si="86"/>
        <v/>
      </c>
      <c r="K511" s="49"/>
      <c r="L511" s="88" t="str">
        <f t="shared" si="87"/>
        <v/>
      </c>
      <c r="M511" s="88" t="str">
        <f t="shared" si="88"/>
        <v/>
      </c>
      <c r="N511" s="30"/>
      <c r="O511" s="31"/>
      <c r="P511" s="53"/>
      <c r="Q511" s="33"/>
      <c r="R511" s="54" t="str">
        <f t="shared" si="89"/>
        <v/>
      </c>
      <c r="S511" s="30"/>
      <c r="T511" s="33"/>
    </row>
    <row r="512" spans="1:20" x14ac:dyDescent="0.25">
      <c r="A512" s="30"/>
      <c r="B512" s="84" t="str">
        <f t="shared" si="80"/>
        <v/>
      </c>
      <c r="C512" s="30"/>
      <c r="D512" s="85" t="str">
        <f t="shared" si="81"/>
        <v/>
      </c>
      <c r="E512" s="85" t="str">
        <f t="shared" si="82"/>
        <v/>
      </c>
      <c r="F512" s="85" t="str">
        <f t="shared" si="83"/>
        <v/>
      </c>
      <c r="G512" s="86" t="str">
        <f t="shared" si="84"/>
        <v/>
      </c>
      <c r="H512" s="30"/>
      <c r="I512" s="87" t="str">
        <f t="shared" si="85"/>
        <v/>
      </c>
      <c r="J512" s="85" t="str">
        <f t="shared" si="86"/>
        <v/>
      </c>
      <c r="K512" s="49"/>
      <c r="L512" s="88" t="str">
        <f t="shared" si="87"/>
        <v/>
      </c>
      <c r="M512" s="88" t="str">
        <f t="shared" si="88"/>
        <v/>
      </c>
      <c r="N512" s="30"/>
      <c r="O512" s="31"/>
      <c r="P512" s="53"/>
      <c r="Q512" s="33"/>
      <c r="R512" s="54" t="str">
        <f t="shared" si="89"/>
        <v/>
      </c>
      <c r="S512" s="30"/>
      <c r="T512" s="33"/>
    </row>
    <row r="513" spans="1:20" x14ac:dyDescent="0.25">
      <c r="A513" s="30"/>
      <c r="B513" s="84" t="str">
        <f t="shared" si="80"/>
        <v/>
      </c>
      <c r="C513" s="30"/>
      <c r="D513" s="85" t="str">
        <f t="shared" si="81"/>
        <v/>
      </c>
      <c r="E513" s="85" t="str">
        <f t="shared" si="82"/>
        <v/>
      </c>
      <c r="F513" s="85" t="str">
        <f t="shared" si="83"/>
        <v/>
      </c>
      <c r="G513" s="86" t="str">
        <f t="shared" si="84"/>
        <v/>
      </c>
      <c r="H513" s="30"/>
      <c r="I513" s="87" t="str">
        <f t="shared" si="85"/>
        <v/>
      </c>
      <c r="J513" s="85" t="str">
        <f t="shared" si="86"/>
        <v/>
      </c>
      <c r="K513" s="49"/>
      <c r="L513" s="88" t="str">
        <f t="shared" si="87"/>
        <v/>
      </c>
      <c r="M513" s="88" t="str">
        <f t="shared" si="88"/>
        <v/>
      </c>
      <c r="N513" s="30"/>
      <c r="O513" s="31"/>
      <c r="P513" s="53"/>
      <c r="Q513" s="33"/>
      <c r="R513" s="54" t="str">
        <f t="shared" si="89"/>
        <v/>
      </c>
      <c r="S513" s="30"/>
      <c r="T513" s="33"/>
    </row>
    <row r="514" spans="1:20" x14ac:dyDescent="0.25">
      <c r="A514" s="30"/>
      <c r="B514" s="84" t="str">
        <f t="shared" si="80"/>
        <v/>
      </c>
      <c r="C514" s="30"/>
      <c r="D514" s="85" t="str">
        <f t="shared" si="81"/>
        <v/>
      </c>
      <c r="E514" s="85" t="str">
        <f t="shared" si="82"/>
        <v/>
      </c>
      <c r="F514" s="85" t="str">
        <f t="shared" si="83"/>
        <v/>
      </c>
      <c r="G514" s="86" t="str">
        <f t="shared" si="84"/>
        <v/>
      </c>
      <c r="H514" s="30"/>
      <c r="I514" s="87" t="str">
        <f t="shared" si="85"/>
        <v/>
      </c>
      <c r="J514" s="85" t="str">
        <f t="shared" si="86"/>
        <v/>
      </c>
      <c r="K514" s="49"/>
      <c r="L514" s="88" t="str">
        <f t="shared" si="87"/>
        <v/>
      </c>
      <c r="M514" s="88" t="str">
        <f t="shared" si="88"/>
        <v/>
      </c>
      <c r="N514" s="30"/>
      <c r="O514" s="31"/>
      <c r="P514" s="53"/>
      <c r="Q514" s="33"/>
      <c r="R514" s="54" t="str">
        <f t="shared" si="89"/>
        <v/>
      </c>
      <c r="S514" s="30"/>
      <c r="T514" s="33"/>
    </row>
    <row r="515" spans="1:20" x14ac:dyDescent="0.25">
      <c r="A515" s="30"/>
      <c r="B515" s="84" t="str">
        <f t="shared" si="80"/>
        <v/>
      </c>
      <c r="C515" s="30"/>
      <c r="D515" s="85" t="str">
        <f t="shared" si="81"/>
        <v/>
      </c>
      <c r="E515" s="85" t="str">
        <f t="shared" si="82"/>
        <v/>
      </c>
      <c r="F515" s="85" t="str">
        <f t="shared" si="83"/>
        <v/>
      </c>
      <c r="G515" s="86" t="str">
        <f t="shared" si="84"/>
        <v/>
      </c>
      <c r="H515" s="30"/>
      <c r="I515" s="87" t="str">
        <f t="shared" si="85"/>
        <v/>
      </c>
      <c r="J515" s="85" t="str">
        <f t="shared" si="86"/>
        <v/>
      </c>
      <c r="K515" s="49"/>
      <c r="L515" s="88" t="str">
        <f t="shared" si="87"/>
        <v/>
      </c>
      <c r="M515" s="88" t="str">
        <f t="shared" si="88"/>
        <v/>
      </c>
      <c r="N515" s="30"/>
      <c r="O515" s="31"/>
      <c r="P515" s="53"/>
      <c r="Q515" s="33"/>
      <c r="R515" s="54" t="str">
        <f t="shared" si="89"/>
        <v/>
      </c>
      <c r="S515" s="30"/>
      <c r="T515" s="33"/>
    </row>
    <row r="516" spans="1:20" x14ac:dyDescent="0.25">
      <c r="A516" s="30"/>
      <c r="B516" s="84" t="str">
        <f t="shared" si="80"/>
        <v/>
      </c>
      <c r="C516" s="30"/>
      <c r="D516" s="85" t="str">
        <f t="shared" si="81"/>
        <v/>
      </c>
      <c r="E516" s="85" t="str">
        <f t="shared" si="82"/>
        <v/>
      </c>
      <c r="F516" s="85" t="str">
        <f t="shared" si="83"/>
        <v/>
      </c>
      <c r="G516" s="86" t="str">
        <f t="shared" si="84"/>
        <v/>
      </c>
      <c r="H516" s="30"/>
      <c r="I516" s="87" t="str">
        <f t="shared" si="85"/>
        <v/>
      </c>
      <c r="J516" s="85" t="str">
        <f t="shared" si="86"/>
        <v/>
      </c>
      <c r="K516" s="49"/>
      <c r="L516" s="88" t="str">
        <f t="shared" si="87"/>
        <v/>
      </c>
      <c r="M516" s="88" t="str">
        <f t="shared" si="88"/>
        <v/>
      </c>
      <c r="N516" s="30"/>
      <c r="O516" s="31"/>
      <c r="P516" s="53"/>
      <c r="Q516" s="33"/>
      <c r="R516" s="54" t="str">
        <f t="shared" si="89"/>
        <v/>
      </c>
      <c r="S516" s="30"/>
      <c r="T516" s="33"/>
    </row>
    <row r="517" spans="1:20" x14ac:dyDescent="0.25">
      <c r="A517" s="30"/>
      <c r="B517" s="84" t="str">
        <f t="shared" si="80"/>
        <v/>
      </c>
      <c r="C517" s="30"/>
      <c r="D517" s="85" t="str">
        <f t="shared" si="81"/>
        <v/>
      </c>
      <c r="E517" s="85" t="str">
        <f t="shared" si="82"/>
        <v/>
      </c>
      <c r="F517" s="85" t="str">
        <f t="shared" si="83"/>
        <v/>
      </c>
      <c r="G517" s="86" t="str">
        <f t="shared" si="84"/>
        <v/>
      </c>
      <c r="H517" s="30"/>
      <c r="I517" s="87" t="str">
        <f t="shared" si="85"/>
        <v/>
      </c>
      <c r="J517" s="85" t="str">
        <f t="shared" si="86"/>
        <v/>
      </c>
      <c r="K517" s="49"/>
      <c r="L517" s="88" t="str">
        <f t="shared" si="87"/>
        <v/>
      </c>
      <c r="M517" s="88" t="str">
        <f t="shared" si="88"/>
        <v/>
      </c>
      <c r="N517" s="30"/>
      <c r="O517" s="31"/>
      <c r="P517" s="53"/>
      <c r="Q517" s="33"/>
      <c r="R517" s="54" t="str">
        <f t="shared" si="89"/>
        <v/>
      </c>
      <c r="S517" s="30"/>
      <c r="T517" s="33"/>
    </row>
    <row r="518" spans="1:20" x14ac:dyDescent="0.25">
      <c r="A518" s="30"/>
      <c r="B518" s="84" t="str">
        <f t="shared" si="80"/>
        <v/>
      </c>
      <c r="C518" s="30"/>
      <c r="D518" s="85" t="str">
        <f t="shared" si="81"/>
        <v/>
      </c>
      <c r="E518" s="85" t="str">
        <f t="shared" si="82"/>
        <v/>
      </c>
      <c r="F518" s="85" t="str">
        <f t="shared" si="83"/>
        <v/>
      </c>
      <c r="G518" s="86" t="str">
        <f t="shared" si="84"/>
        <v/>
      </c>
      <c r="H518" s="30"/>
      <c r="I518" s="87" t="str">
        <f t="shared" si="85"/>
        <v/>
      </c>
      <c r="J518" s="85" t="str">
        <f t="shared" si="86"/>
        <v/>
      </c>
      <c r="K518" s="49"/>
      <c r="L518" s="88" t="str">
        <f t="shared" si="87"/>
        <v/>
      </c>
      <c r="M518" s="88" t="str">
        <f t="shared" si="88"/>
        <v/>
      </c>
      <c r="N518" s="30"/>
      <c r="O518" s="31"/>
      <c r="P518" s="53"/>
      <c r="Q518" s="33"/>
      <c r="R518" s="54" t="str">
        <f t="shared" si="89"/>
        <v/>
      </c>
      <c r="S518" s="30"/>
      <c r="T518" s="33"/>
    </row>
    <row r="519" spans="1:20" x14ac:dyDescent="0.25">
      <c r="A519" s="30"/>
      <c r="B519" s="84" t="str">
        <f t="shared" si="80"/>
        <v/>
      </c>
      <c r="C519" s="30"/>
      <c r="D519" s="85" t="str">
        <f t="shared" si="81"/>
        <v/>
      </c>
      <c r="E519" s="85" t="str">
        <f t="shared" si="82"/>
        <v/>
      </c>
      <c r="F519" s="85" t="str">
        <f t="shared" si="83"/>
        <v/>
      </c>
      <c r="G519" s="86" t="str">
        <f t="shared" si="84"/>
        <v/>
      </c>
      <c r="H519" s="30"/>
      <c r="I519" s="87" t="str">
        <f t="shared" si="85"/>
        <v/>
      </c>
      <c r="J519" s="85" t="str">
        <f t="shared" si="86"/>
        <v/>
      </c>
      <c r="K519" s="49"/>
      <c r="L519" s="88" t="str">
        <f t="shared" si="87"/>
        <v/>
      </c>
      <c r="M519" s="88" t="str">
        <f t="shared" si="88"/>
        <v/>
      </c>
      <c r="N519" s="30"/>
      <c r="O519" s="31"/>
      <c r="P519" s="53"/>
      <c r="Q519" s="33"/>
      <c r="R519" s="54" t="str">
        <f t="shared" si="89"/>
        <v/>
      </c>
      <c r="S519" s="30"/>
      <c r="T519" s="33"/>
    </row>
    <row r="520" spans="1:20" x14ac:dyDescent="0.25">
      <c r="A520" s="30"/>
      <c r="B520" s="84" t="str">
        <f t="shared" si="80"/>
        <v/>
      </c>
      <c r="C520" s="30"/>
      <c r="D520" s="85" t="str">
        <f t="shared" si="81"/>
        <v/>
      </c>
      <c r="E520" s="85" t="str">
        <f t="shared" si="82"/>
        <v/>
      </c>
      <c r="F520" s="85" t="str">
        <f t="shared" si="83"/>
        <v/>
      </c>
      <c r="G520" s="86" t="str">
        <f t="shared" si="84"/>
        <v/>
      </c>
      <c r="H520" s="30"/>
      <c r="I520" s="87" t="str">
        <f t="shared" si="85"/>
        <v/>
      </c>
      <c r="J520" s="85" t="str">
        <f t="shared" si="86"/>
        <v/>
      </c>
      <c r="K520" s="49"/>
      <c r="L520" s="88" t="str">
        <f t="shared" si="87"/>
        <v/>
      </c>
      <c r="M520" s="88" t="str">
        <f t="shared" si="88"/>
        <v/>
      </c>
      <c r="N520" s="30"/>
      <c r="O520" s="31"/>
      <c r="P520" s="53"/>
      <c r="Q520" s="33"/>
      <c r="R520" s="54" t="str">
        <f t="shared" si="89"/>
        <v/>
      </c>
      <c r="S520" s="30"/>
      <c r="T520" s="33"/>
    </row>
    <row r="521" spans="1:20" x14ac:dyDescent="0.25">
      <c r="A521" s="30"/>
      <c r="B521" s="84" t="str">
        <f t="shared" si="80"/>
        <v/>
      </c>
      <c r="C521" s="30"/>
      <c r="D521" s="85" t="str">
        <f t="shared" si="81"/>
        <v/>
      </c>
      <c r="E521" s="85" t="str">
        <f t="shared" si="82"/>
        <v/>
      </c>
      <c r="F521" s="85" t="str">
        <f t="shared" si="83"/>
        <v/>
      </c>
      <c r="G521" s="86" t="str">
        <f t="shared" si="84"/>
        <v/>
      </c>
      <c r="H521" s="30"/>
      <c r="I521" s="87" t="str">
        <f t="shared" si="85"/>
        <v/>
      </c>
      <c r="J521" s="85" t="str">
        <f t="shared" si="86"/>
        <v/>
      </c>
      <c r="K521" s="49"/>
      <c r="L521" s="88" t="str">
        <f t="shared" si="87"/>
        <v/>
      </c>
      <c r="M521" s="88" t="str">
        <f t="shared" si="88"/>
        <v/>
      </c>
      <c r="N521" s="30"/>
      <c r="O521" s="31"/>
      <c r="P521" s="53"/>
      <c r="Q521" s="33"/>
      <c r="R521" s="54" t="str">
        <f t="shared" si="89"/>
        <v/>
      </c>
      <c r="S521" s="30"/>
      <c r="T521" s="33"/>
    </row>
    <row r="522" spans="1:20" x14ac:dyDescent="0.25">
      <c r="A522" s="30"/>
      <c r="B522" s="84" t="str">
        <f t="shared" si="80"/>
        <v/>
      </c>
      <c r="C522" s="30"/>
      <c r="D522" s="85" t="str">
        <f t="shared" si="81"/>
        <v/>
      </c>
      <c r="E522" s="85" t="str">
        <f t="shared" si="82"/>
        <v/>
      </c>
      <c r="F522" s="85" t="str">
        <f t="shared" si="83"/>
        <v/>
      </c>
      <c r="G522" s="86" t="str">
        <f t="shared" si="84"/>
        <v/>
      </c>
      <c r="H522" s="30"/>
      <c r="I522" s="87" t="str">
        <f t="shared" si="85"/>
        <v/>
      </c>
      <c r="J522" s="85" t="str">
        <f t="shared" si="86"/>
        <v/>
      </c>
      <c r="K522" s="49"/>
      <c r="L522" s="88" t="str">
        <f t="shared" si="87"/>
        <v/>
      </c>
      <c r="M522" s="88" t="str">
        <f t="shared" si="88"/>
        <v/>
      </c>
      <c r="N522" s="30"/>
      <c r="O522" s="31"/>
      <c r="P522" s="53"/>
      <c r="Q522" s="33"/>
      <c r="R522" s="54" t="str">
        <f t="shared" si="89"/>
        <v/>
      </c>
      <c r="S522" s="30"/>
      <c r="T522" s="33"/>
    </row>
    <row r="523" spans="1:20" x14ac:dyDescent="0.25">
      <c r="A523" s="30"/>
      <c r="B523" s="84" t="str">
        <f t="shared" si="80"/>
        <v/>
      </c>
      <c r="C523" s="30"/>
      <c r="D523" s="85" t="str">
        <f t="shared" si="81"/>
        <v/>
      </c>
      <c r="E523" s="85" t="str">
        <f t="shared" si="82"/>
        <v/>
      </c>
      <c r="F523" s="85" t="str">
        <f t="shared" si="83"/>
        <v/>
      </c>
      <c r="G523" s="86" t="str">
        <f t="shared" si="84"/>
        <v/>
      </c>
      <c r="H523" s="30"/>
      <c r="I523" s="87" t="str">
        <f t="shared" si="85"/>
        <v/>
      </c>
      <c r="J523" s="85" t="str">
        <f t="shared" si="86"/>
        <v/>
      </c>
      <c r="K523" s="49"/>
      <c r="L523" s="88" t="str">
        <f t="shared" si="87"/>
        <v/>
      </c>
      <c r="M523" s="88" t="str">
        <f t="shared" si="88"/>
        <v/>
      </c>
      <c r="N523" s="30"/>
      <c r="O523" s="31"/>
      <c r="P523" s="53"/>
      <c r="Q523" s="33"/>
      <c r="R523" s="54" t="str">
        <f t="shared" si="89"/>
        <v/>
      </c>
      <c r="S523" s="30"/>
      <c r="T523" s="33"/>
    </row>
    <row r="524" spans="1:20" x14ac:dyDescent="0.25">
      <c r="A524" s="30"/>
      <c r="B524" s="84" t="str">
        <f t="shared" si="80"/>
        <v/>
      </c>
      <c r="C524" s="30"/>
      <c r="D524" s="85" t="str">
        <f t="shared" si="81"/>
        <v/>
      </c>
      <c r="E524" s="85" t="str">
        <f t="shared" si="82"/>
        <v/>
      </c>
      <c r="F524" s="85" t="str">
        <f t="shared" si="83"/>
        <v/>
      </c>
      <c r="G524" s="86" t="str">
        <f t="shared" si="84"/>
        <v/>
      </c>
      <c r="H524" s="30"/>
      <c r="I524" s="87" t="str">
        <f t="shared" si="85"/>
        <v/>
      </c>
      <c r="J524" s="85" t="str">
        <f t="shared" si="86"/>
        <v/>
      </c>
      <c r="K524" s="49"/>
      <c r="L524" s="88" t="str">
        <f t="shared" si="87"/>
        <v/>
      </c>
      <c r="M524" s="88" t="str">
        <f t="shared" si="88"/>
        <v/>
      </c>
      <c r="N524" s="30"/>
      <c r="O524" s="31"/>
      <c r="P524" s="53"/>
      <c r="Q524" s="33"/>
      <c r="R524" s="54" t="str">
        <f t="shared" si="89"/>
        <v/>
      </c>
      <c r="S524" s="30"/>
      <c r="T524" s="33"/>
    </row>
    <row r="525" spans="1:20" x14ac:dyDescent="0.25">
      <c r="A525" s="30"/>
      <c r="B525" s="84" t="str">
        <f t="shared" si="80"/>
        <v/>
      </c>
      <c r="C525" s="30"/>
      <c r="D525" s="85" t="str">
        <f t="shared" si="81"/>
        <v/>
      </c>
      <c r="E525" s="85" t="str">
        <f t="shared" si="82"/>
        <v/>
      </c>
      <c r="F525" s="85" t="str">
        <f t="shared" si="83"/>
        <v/>
      </c>
      <c r="G525" s="86" t="str">
        <f t="shared" si="84"/>
        <v/>
      </c>
      <c r="H525" s="30"/>
      <c r="I525" s="87" t="str">
        <f t="shared" si="85"/>
        <v/>
      </c>
      <c r="J525" s="85" t="str">
        <f t="shared" si="86"/>
        <v/>
      </c>
      <c r="K525" s="49"/>
      <c r="L525" s="88" t="str">
        <f t="shared" si="87"/>
        <v/>
      </c>
      <c r="M525" s="88" t="str">
        <f t="shared" si="88"/>
        <v/>
      </c>
      <c r="N525" s="30"/>
      <c r="O525" s="31"/>
      <c r="P525" s="53"/>
      <c r="Q525" s="33"/>
      <c r="R525" s="54" t="str">
        <f t="shared" si="89"/>
        <v/>
      </c>
      <c r="S525" s="30"/>
      <c r="T525" s="33"/>
    </row>
    <row r="526" spans="1:20" x14ac:dyDescent="0.25">
      <c r="A526" s="30"/>
      <c r="B526" s="84" t="str">
        <f t="shared" si="80"/>
        <v/>
      </c>
      <c r="C526" s="30"/>
      <c r="D526" s="85" t="str">
        <f t="shared" si="81"/>
        <v/>
      </c>
      <c r="E526" s="85" t="str">
        <f t="shared" si="82"/>
        <v/>
      </c>
      <c r="F526" s="85" t="str">
        <f t="shared" si="83"/>
        <v/>
      </c>
      <c r="G526" s="86" t="str">
        <f t="shared" si="84"/>
        <v/>
      </c>
      <c r="H526" s="30"/>
      <c r="I526" s="87" t="str">
        <f t="shared" si="85"/>
        <v/>
      </c>
      <c r="J526" s="85" t="str">
        <f t="shared" si="86"/>
        <v/>
      </c>
      <c r="K526" s="49"/>
      <c r="L526" s="88" t="str">
        <f t="shared" si="87"/>
        <v/>
      </c>
      <c r="M526" s="88" t="str">
        <f t="shared" si="88"/>
        <v/>
      </c>
      <c r="N526" s="30"/>
      <c r="O526" s="31"/>
      <c r="P526" s="53"/>
      <c r="Q526" s="33"/>
      <c r="R526" s="54" t="str">
        <f t="shared" si="89"/>
        <v/>
      </c>
      <c r="S526" s="30"/>
      <c r="T526" s="33"/>
    </row>
    <row r="527" spans="1:20" x14ac:dyDescent="0.25">
      <c r="A527" s="30"/>
      <c r="B527" s="84" t="str">
        <f t="shared" si="80"/>
        <v/>
      </c>
      <c r="C527" s="30"/>
      <c r="D527" s="85" t="str">
        <f t="shared" si="81"/>
        <v/>
      </c>
      <c r="E527" s="85" t="str">
        <f t="shared" si="82"/>
        <v/>
      </c>
      <c r="F527" s="85" t="str">
        <f t="shared" si="83"/>
        <v/>
      </c>
      <c r="G527" s="86" t="str">
        <f t="shared" si="84"/>
        <v/>
      </c>
      <c r="H527" s="30"/>
      <c r="I527" s="87" t="str">
        <f t="shared" si="85"/>
        <v/>
      </c>
      <c r="J527" s="85" t="str">
        <f t="shared" si="86"/>
        <v/>
      </c>
      <c r="K527" s="49"/>
      <c r="L527" s="88" t="str">
        <f t="shared" si="87"/>
        <v/>
      </c>
      <c r="M527" s="88" t="str">
        <f t="shared" si="88"/>
        <v/>
      </c>
      <c r="N527" s="30"/>
      <c r="O527" s="31"/>
      <c r="P527" s="53"/>
      <c r="Q527" s="33"/>
      <c r="R527" s="54" t="str">
        <f t="shared" si="89"/>
        <v/>
      </c>
      <c r="S527" s="30"/>
      <c r="T527" s="33"/>
    </row>
    <row r="528" spans="1:20" x14ac:dyDescent="0.25">
      <c r="A528" s="30"/>
      <c r="B528" s="84" t="str">
        <f t="shared" si="80"/>
        <v/>
      </c>
      <c r="C528" s="30"/>
      <c r="D528" s="85" t="str">
        <f t="shared" si="81"/>
        <v/>
      </c>
      <c r="E528" s="85" t="str">
        <f t="shared" si="82"/>
        <v/>
      </c>
      <c r="F528" s="85" t="str">
        <f t="shared" si="83"/>
        <v/>
      </c>
      <c r="G528" s="86" t="str">
        <f t="shared" si="84"/>
        <v/>
      </c>
      <c r="H528" s="30"/>
      <c r="I528" s="87" t="str">
        <f t="shared" si="85"/>
        <v/>
      </c>
      <c r="J528" s="85" t="str">
        <f t="shared" si="86"/>
        <v/>
      </c>
      <c r="K528" s="49"/>
      <c r="L528" s="88" t="str">
        <f t="shared" si="87"/>
        <v/>
      </c>
      <c r="M528" s="88" t="str">
        <f t="shared" si="88"/>
        <v/>
      </c>
      <c r="N528" s="30"/>
      <c r="O528" s="31"/>
      <c r="P528" s="53"/>
      <c r="Q528" s="33"/>
      <c r="R528" s="54" t="str">
        <f t="shared" si="89"/>
        <v/>
      </c>
      <c r="S528" s="30"/>
      <c r="T528" s="33"/>
    </row>
    <row r="529" spans="1:20" x14ac:dyDescent="0.25">
      <c r="A529" s="30"/>
      <c r="B529" s="84" t="str">
        <f t="shared" si="80"/>
        <v/>
      </c>
      <c r="C529" s="30"/>
      <c r="D529" s="85" t="str">
        <f t="shared" si="81"/>
        <v/>
      </c>
      <c r="E529" s="85" t="str">
        <f t="shared" si="82"/>
        <v/>
      </c>
      <c r="F529" s="85" t="str">
        <f t="shared" si="83"/>
        <v/>
      </c>
      <c r="G529" s="86" t="str">
        <f t="shared" si="84"/>
        <v/>
      </c>
      <c r="H529" s="30"/>
      <c r="I529" s="87" t="str">
        <f t="shared" si="85"/>
        <v/>
      </c>
      <c r="J529" s="85" t="str">
        <f t="shared" si="86"/>
        <v/>
      </c>
      <c r="K529" s="49"/>
      <c r="L529" s="88" t="str">
        <f t="shared" si="87"/>
        <v/>
      </c>
      <c r="M529" s="88" t="str">
        <f t="shared" si="88"/>
        <v/>
      </c>
      <c r="N529" s="30"/>
      <c r="O529" s="31"/>
      <c r="P529" s="53"/>
      <c r="Q529" s="33"/>
      <c r="R529" s="54" t="str">
        <f t="shared" si="89"/>
        <v/>
      </c>
      <c r="S529" s="30"/>
      <c r="T529" s="33"/>
    </row>
    <row r="530" spans="1:20" x14ac:dyDescent="0.25">
      <c r="A530" s="30"/>
      <c r="B530" s="84" t="str">
        <f t="shared" si="80"/>
        <v/>
      </c>
      <c r="C530" s="30"/>
      <c r="D530" s="85" t="str">
        <f t="shared" si="81"/>
        <v/>
      </c>
      <c r="E530" s="85" t="str">
        <f t="shared" si="82"/>
        <v/>
      </c>
      <c r="F530" s="85" t="str">
        <f t="shared" si="83"/>
        <v/>
      </c>
      <c r="G530" s="86" t="str">
        <f t="shared" si="84"/>
        <v/>
      </c>
      <c r="H530" s="30"/>
      <c r="I530" s="87" t="str">
        <f t="shared" si="85"/>
        <v/>
      </c>
      <c r="J530" s="85" t="str">
        <f t="shared" si="86"/>
        <v/>
      </c>
      <c r="K530" s="49"/>
      <c r="L530" s="88" t="str">
        <f t="shared" si="87"/>
        <v/>
      </c>
      <c r="M530" s="88" t="str">
        <f t="shared" si="88"/>
        <v/>
      </c>
      <c r="N530" s="30"/>
      <c r="O530" s="31"/>
      <c r="P530" s="53"/>
      <c r="Q530" s="33"/>
      <c r="R530" s="54" t="str">
        <f t="shared" si="89"/>
        <v/>
      </c>
      <c r="S530" s="30"/>
      <c r="T530" s="33"/>
    </row>
    <row r="531" spans="1:20" x14ac:dyDescent="0.25">
      <c r="A531" s="30"/>
      <c r="B531" s="84" t="str">
        <f t="shared" si="80"/>
        <v/>
      </c>
      <c r="C531" s="30"/>
      <c r="D531" s="85" t="str">
        <f t="shared" si="81"/>
        <v/>
      </c>
      <c r="E531" s="85" t="str">
        <f t="shared" si="82"/>
        <v/>
      </c>
      <c r="F531" s="85" t="str">
        <f t="shared" si="83"/>
        <v/>
      </c>
      <c r="G531" s="86" t="str">
        <f t="shared" si="84"/>
        <v/>
      </c>
      <c r="H531" s="30"/>
      <c r="I531" s="87" t="str">
        <f t="shared" si="85"/>
        <v/>
      </c>
      <c r="J531" s="85" t="str">
        <f t="shared" si="86"/>
        <v/>
      </c>
      <c r="K531" s="49"/>
      <c r="L531" s="88" t="str">
        <f t="shared" si="87"/>
        <v/>
      </c>
      <c r="M531" s="88" t="str">
        <f t="shared" si="88"/>
        <v/>
      </c>
      <c r="N531" s="30"/>
      <c r="O531" s="31"/>
      <c r="P531" s="53"/>
      <c r="Q531" s="33"/>
      <c r="R531" s="54" t="str">
        <f t="shared" si="89"/>
        <v/>
      </c>
      <c r="S531" s="30"/>
      <c r="T531" s="33"/>
    </row>
    <row r="532" spans="1:20" x14ac:dyDescent="0.25">
      <c r="A532" s="30"/>
      <c r="B532" s="84" t="str">
        <f t="shared" si="80"/>
        <v/>
      </c>
      <c r="C532" s="30"/>
      <c r="D532" s="85" t="str">
        <f t="shared" si="81"/>
        <v/>
      </c>
      <c r="E532" s="85" t="str">
        <f t="shared" si="82"/>
        <v/>
      </c>
      <c r="F532" s="85" t="str">
        <f t="shared" si="83"/>
        <v/>
      </c>
      <c r="G532" s="86" t="str">
        <f t="shared" si="84"/>
        <v/>
      </c>
      <c r="H532" s="30"/>
      <c r="I532" s="87" t="str">
        <f t="shared" si="85"/>
        <v/>
      </c>
      <c r="J532" s="85" t="str">
        <f t="shared" si="86"/>
        <v/>
      </c>
      <c r="K532" s="49"/>
      <c r="L532" s="88" t="str">
        <f t="shared" si="87"/>
        <v/>
      </c>
      <c r="M532" s="88" t="str">
        <f t="shared" si="88"/>
        <v/>
      </c>
      <c r="N532" s="30"/>
      <c r="O532" s="31"/>
      <c r="P532" s="53"/>
      <c r="Q532" s="33"/>
      <c r="R532" s="54" t="str">
        <f t="shared" si="89"/>
        <v/>
      </c>
      <c r="S532" s="30"/>
      <c r="T532" s="33"/>
    </row>
    <row r="533" spans="1:20" x14ac:dyDescent="0.25">
      <c r="A533" s="30"/>
      <c r="B533" s="84" t="str">
        <f t="shared" si="80"/>
        <v/>
      </c>
      <c r="C533" s="30"/>
      <c r="D533" s="85" t="str">
        <f t="shared" si="81"/>
        <v/>
      </c>
      <c r="E533" s="85" t="str">
        <f t="shared" si="82"/>
        <v/>
      </c>
      <c r="F533" s="85" t="str">
        <f t="shared" si="83"/>
        <v/>
      </c>
      <c r="G533" s="86" t="str">
        <f t="shared" si="84"/>
        <v/>
      </c>
      <c r="H533" s="30"/>
      <c r="I533" s="87" t="str">
        <f t="shared" si="85"/>
        <v/>
      </c>
      <c r="J533" s="85" t="str">
        <f t="shared" si="86"/>
        <v/>
      </c>
      <c r="K533" s="49"/>
      <c r="L533" s="88" t="str">
        <f t="shared" si="87"/>
        <v/>
      </c>
      <c r="M533" s="88" t="str">
        <f t="shared" si="88"/>
        <v/>
      </c>
      <c r="N533" s="30"/>
      <c r="O533" s="31"/>
      <c r="P533" s="53"/>
      <c r="Q533" s="33"/>
      <c r="R533" s="54" t="str">
        <f t="shared" si="89"/>
        <v/>
      </c>
      <c r="S533" s="30"/>
      <c r="T533" s="33"/>
    </row>
    <row r="534" spans="1:20" x14ac:dyDescent="0.25">
      <c r="A534" s="30"/>
      <c r="B534" s="84" t="str">
        <f t="shared" si="80"/>
        <v/>
      </c>
      <c r="C534" s="30"/>
      <c r="D534" s="85" t="str">
        <f t="shared" si="81"/>
        <v/>
      </c>
      <c r="E534" s="85" t="str">
        <f t="shared" si="82"/>
        <v/>
      </c>
      <c r="F534" s="85" t="str">
        <f t="shared" si="83"/>
        <v/>
      </c>
      <c r="G534" s="86" t="str">
        <f t="shared" si="84"/>
        <v/>
      </c>
      <c r="H534" s="30"/>
      <c r="I534" s="87" t="str">
        <f t="shared" si="85"/>
        <v/>
      </c>
      <c r="J534" s="85" t="str">
        <f t="shared" si="86"/>
        <v/>
      </c>
      <c r="K534" s="49"/>
      <c r="L534" s="88" t="str">
        <f t="shared" si="87"/>
        <v/>
      </c>
      <c r="M534" s="88" t="str">
        <f t="shared" si="88"/>
        <v/>
      </c>
      <c r="N534" s="30"/>
      <c r="O534" s="31"/>
      <c r="P534" s="53"/>
      <c r="Q534" s="33"/>
      <c r="R534" s="54" t="str">
        <f t="shared" si="89"/>
        <v/>
      </c>
      <c r="S534" s="30"/>
      <c r="T534" s="33"/>
    </row>
    <row r="535" spans="1:20" x14ac:dyDescent="0.25">
      <c r="A535" s="30"/>
      <c r="B535" s="84" t="str">
        <f t="shared" si="80"/>
        <v/>
      </c>
      <c r="C535" s="30"/>
      <c r="D535" s="85" t="str">
        <f t="shared" si="81"/>
        <v/>
      </c>
      <c r="E535" s="85" t="str">
        <f t="shared" si="82"/>
        <v/>
      </c>
      <c r="F535" s="85" t="str">
        <f t="shared" si="83"/>
        <v/>
      </c>
      <c r="G535" s="86" t="str">
        <f t="shared" si="84"/>
        <v/>
      </c>
      <c r="H535" s="30"/>
      <c r="I535" s="87" t="str">
        <f t="shared" si="85"/>
        <v/>
      </c>
      <c r="J535" s="85" t="str">
        <f t="shared" si="86"/>
        <v/>
      </c>
      <c r="K535" s="49"/>
      <c r="L535" s="88" t="str">
        <f t="shared" si="87"/>
        <v/>
      </c>
      <c r="M535" s="88" t="str">
        <f t="shared" si="88"/>
        <v/>
      </c>
      <c r="N535" s="30"/>
      <c r="O535" s="31"/>
      <c r="P535" s="53"/>
      <c r="Q535" s="33"/>
      <c r="R535" s="54" t="str">
        <f t="shared" si="89"/>
        <v/>
      </c>
      <c r="S535" s="30"/>
      <c r="T535" s="33"/>
    </row>
    <row r="536" spans="1:20" x14ac:dyDescent="0.25">
      <c r="A536" s="30"/>
      <c r="B536" s="84" t="str">
        <f t="shared" si="80"/>
        <v/>
      </c>
      <c r="C536" s="30"/>
      <c r="D536" s="85" t="str">
        <f t="shared" si="81"/>
        <v/>
      </c>
      <c r="E536" s="85" t="str">
        <f t="shared" si="82"/>
        <v/>
      </c>
      <c r="F536" s="85" t="str">
        <f t="shared" si="83"/>
        <v/>
      </c>
      <c r="G536" s="86" t="str">
        <f t="shared" si="84"/>
        <v/>
      </c>
      <c r="H536" s="30"/>
      <c r="I536" s="87" t="str">
        <f t="shared" si="85"/>
        <v/>
      </c>
      <c r="J536" s="85" t="str">
        <f t="shared" si="86"/>
        <v/>
      </c>
      <c r="K536" s="49"/>
      <c r="L536" s="88" t="str">
        <f t="shared" si="87"/>
        <v/>
      </c>
      <c r="M536" s="88" t="str">
        <f t="shared" si="88"/>
        <v/>
      </c>
      <c r="N536" s="30"/>
      <c r="O536" s="31"/>
      <c r="P536" s="53"/>
      <c r="Q536" s="33"/>
      <c r="R536" s="54" t="str">
        <f t="shared" si="89"/>
        <v/>
      </c>
      <c r="S536" s="30"/>
      <c r="T536" s="33"/>
    </row>
    <row r="537" spans="1:20" x14ac:dyDescent="0.25">
      <c r="A537" s="30"/>
      <c r="B537" s="84" t="str">
        <f t="shared" si="80"/>
        <v/>
      </c>
      <c r="C537" s="30"/>
      <c r="D537" s="85" t="str">
        <f t="shared" si="81"/>
        <v/>
      </c>
      <c r="E537" s="85" t="str">
        <f t="shared" si="82"/>
        <v/>
      </c>
      <c r="F537" s="85" t="str">
        <f t="shared" si="83"/>
        <v/>
      </c>
      <c r="G537" s="86" t="str">
        <f t="shared" si="84"/>
        <v/>
      </c>
      <c r="H537" s="30"/>
      <c r="I537" s="87" t="str">
        <f t="shared" si="85"/>
        <v/>
      </c>
      <c r="J537" s="85" t="str">
        <f t="shared" si="86"/>
        <v/>
      </c>
      <c r="K537" s="49"/>
      <c r="L537" s="88" t="str">
        <f t="shared" si="87"/>
        <v/>
      </c>
      <c r="M537" s="88" t="str">
        <f t="shared" si="88"/>
        <v/>
      </c>
      <c r="N537" s="30"/>
      <c r="O537" s="31"/>
      <c r="P537" s="53"/>
      <c r="Q537" s="33"/>
      <c r="R537" s="54" t="str">
        <f t="shared" si="89"/>
        <v/>
      </c>
      <c r="S537" s="30"/>
      <c r="T537" s="33"/>
    </row>
    <row r="538" spans="1:20" x14ac:dyDescent="0.25">
      <c r="A538" s="30"/>
      <c r="B538" s="84" t="str">
        <f t="shared" si="80"/>
        <v/>
      </c>
      <c r="C538" s="30"/>
      <c r="D538" s="85" t="str">
        <f t="shared" si="81"/>
        <v/>
      </c>
      <c r="E538" s="85" t="str">
        <f t="shared" si="82"/>
        <v/>
      </c>
      <c r="F538" s="85" t="str">
        <f t="shared" si="83"/>
        <v/>
      </c>
      <c r="G538" s="86" t="str">
        <f t="shared" si="84"/>
        <v/>
      </c>
      <c r="H538" s="30"/>
      <c r="I538" s="87" t="str">
        <f t="shared" si="85"/>
        <v/>
      </c>
      <c r="J538" s="85" t="str">
        <f t="shared" si="86"/>
        <v/>
      </c>
      <c r="K538" s="49"/>
      <c r="L538" s="88" t="str">
        <f t="shared" si="87"/>
        <v/>
      </c>
      <c r="M538" s="88" t="str">
        <f t="shared" si="88"/>
        <v/>
      </c>
      <c r="N538" s="30"/>
      <c r="O538" s="31"/>
      <c r="P538" s="53"/>
      <c r="Q538" s="33"/>
      <c r="R538" s="54" t="str">
        <f t="shared" si="89"/>
        <v/>
      </c>
      <c r="S538" s="30"/>
      <c r="T538" s="33"/>
    </row>
    <row r="539" spans="1:20" x14ac:dyDescent="0.25">
      <c r="A539" s="30"/>
      <c r="B539" s="84" t="str">
        <f t="shared" si="80"/>
        <v/>
      </c>
      <c r="C539" s="30"/>
      <c r="D539" s="85" t="str">
        <f t="shared" si="81"/>
        <v/>
      </c>
      <c r="E539" s="85" t="str">
        <f t="shared" si="82"/>
        <v/>
      </c>
      <c r="F539" s="85" t="str">
        <f t="shared" si="83"/>
        <v/>
      </c>
      <c r="G539" s="86" t="str">
        <f t="shared" si="84"/>
        <v/>
      </c>
      <c r="H539" s="30"/>
      <c r="I539" s="87" t="str">
        <f t="shared" si="85"/>
        <v/>
      </c>
      <c r="J539" s="85" t="str">
        <f t="shared" si="86"/>
        <v/>
      </c>
      <c r="K539" s="49"/>
      <c r="L539" s="88" t="str">
        <f t="shared" si="87"/>
        <v/>
      </c>
      <c r="M539" s="88" t="str">
        <f t="shared" si="88"/>
        <v/>
      </c>
      <c r="N539" s="30"/>
      <c r="O539" s="31"/>
      <c r="P539" s="53"/>
      <c r="Q539" s="33"/>
      <c r="R539" s="54" t="str">
        <f t="shared" si="89"/>
        <v/>
      </c>
      <c r="S539" s="30"/>
      <c r="T539" s="33"/>
    </row>
    <row r="540" spans="1:20" x14ac:dyDescent="0.25">
      <c r="A540" s="30"/>
      <c r="B540" s="84" t="str">
        <f t="shared" si="80"/>
        <v/>
      </c>
      <c r="C540" s="30"/>
      <c r="D540" s="85" t="str">
        <f t="shared" si="81"/>
        <v/>
      </c>
      <c r="E540" s="85" t="str">
        <f t="shared" si="82"/>
        <v/>
      </c>
      <c r="F540" s="85" t="str">
        <f t="shared" si="83"/>
        <v/>
      </c>
      <c r="G540" s="86" t="str">
        <f t="shared" si="84"/>
        <v/>
      </c>
      <c r="H540" s="30"/>
      <c r="I540" s="87" t="str">
        <f t="shared" si="85"/>
        <v/>
      </c>
      <c r="J540" s="85" t="str">
        <f t="shared" si="86"/>
        <v/>
      </c>
      <c r="K540" s="49"/>
      <c r="L540" s="88" t="str">
        <f t="shared" si="87"/>
        <v/>
      </c>
      <c r="M540" s="88" t="str">
        <f t="shared" si="88"/>
        <v/>
      </c>
      <c r="N540" s="30"/>
      <c r="O540" s="31"/>
      <c r="P540" s="53"/>
      <c r="Q540" s="33"/>
      <c r="R540" s="54" t="str">
        <f t="shared" si="89"/>
        <v/>
      </c>
      <c r="S540" s="30"/>
      <c r="T540" s="33"/>
    </row>
    <row r="541" spans="1:20" x14ac:dyDescent="0.25">
      <c r="A541" s="30"/>
      <c r="B541" s="84" t="str">
        <f t="shared" si="80"/>
        <v/>
      </c>
      <c r="C541" s="30"/>
      <c r="D541" s="85" t="str">
        <f t="shared" si="81"/>
        <v/>
      </c>
      <c r="E541" s="85" t="str">
        <f t="shared" si="82"/>
        <v/>
      </c>
      <c r="F541" s="85" t="str">
        <f t="shared" si="83"/>
        <v/>
      </c>
      <c r="G541" s="86" t="str">
        <f t="shared" si="84"/>
        <v/>
      </c>
      <c r="H541" s="30"/>
      <c r="I541" s="87" t="str">
        <f t="shared" si="85"/>
        <v/>
      </c>
      <c r="J541" s="85" t="str">
        <f t="shared" si="86"/>
        <v/>
      </c>
      <c r="K541" s="49"/>
      <c r="L541" s="88" t="str">
        <f t="shared" si="87"/>
        <v/>
      </c>
      <c r="M541" s="88" t="str">
        <f t="shared" si="88"/>
        <v/>
      </c>
      <c r="N541" s="30"/>
      <c r="O541" s="31"/>
      <c r="P541" s="53"/>
      <c r="Q541" s="33"/>
      <c r="R541" s="54" t="str">
        <f t="shared" si="89"/>
        <v/>
      </c>
      <c r="S541" s="30"/>
      <c r="T541" s="33"/>
    </row>
    <row r="542" spans="1:20" x14ac:dyDescent="0.25">
      <c r="A542" s="30"/>
      <c r="B542" s="84" t="str">
        <f t="shared" si="80"/>
        <v/>
      </c>
      <c r="C542" s="30"/>
      <c r="D542" s="85" t="str">
        <f t="shared" si="81"/>
        <v/>
      </c>
      <c r="E542" s="85" t="str">
        <f t="shared" si="82"/>
        <v/>
      </c>
      <c r="F542" s="85" t="str">
        <f t="shared" si="83"/>
        <v/>
      </c>
      <c r="G542" s="86" t="str">
        <f t="shared" si="84"/>
        <v/>
      </c>
      <c r="H542" s="30"/>
      <c r="I542" s="87" t="str">
        <f t="shared" si="85"/>
        <v/>
      </c>
      <c r="J542" s="85" t="str">
        <f t="shared" si="86"/>
        <v/>
      </c>
      <c r="K542" s="49"/>
      <c r="L542" s="88" t="str">
        <f t="shared" si="87"/>
        <v/>
      </c>
      <c r="M542" s="88" t="str">
        <f t="shared" si="88"/>
        <v/>
      </c>
      <c r="N542" s="30"/>
      <c r="O542" s="31"/>
      <c r="P542" s="53"/>
      <c r="Q542" s="33"/>
      <c r="R542" s="54" t="str">
        <f t="shared" si="89"/>
        <v/>
      </c>
      <c r="S542" s="30"/>
      <c r="T542" s="33"/>
    </row>
    <row r="543" spans="1:20" x14ac:dyDescent="0.25">
      <c r="A543" s="30"/>
      <c r="B543" s="84" t="str">
        <f t="shared" si="80"/>
        <v/>
      </c>
      <c r="C543" s="30"/>
      <c r="D543" s="85" t="str">
        <f t="shared" si="81"/>
        <v/>
      </c>
      <c r="E543" s="85" t="str">
        <f t="shared" si="82"/>
        <v/>
      </c>
      <c r="F543" s="85" t="str">
        <f t="shared" si="83"/>
        <v/>
      </c>
      <c r="G543" s="86" t="str">
        <f t="shared" si="84"/>
        <v/>
      </c>
      <c r="H543" s="30"/>
      <c r="I543" s="87" t="str">
        <f t="shared" si="85"/>
        <v/>
      </c>
      <c r="J543" s="85" t="str">
        <f t="shared" si="86"/>
        <v/>
      </c>
      <c r="K543" s="49"/>
      <c r="L543" s="88" t="str">
        <f t="shared" si="87"/>
        <v/>
      </c>
      <c r="M543" s="88" t="str">
        <f t="shared" si="88"/>
        <v/>
      </c>
      <c r="N543" s="30"/>
      <c r="O543" s="31"/>
      <c r="P543" s="53"/>
      <c r="Q543" s="33"/>
      <c r="R543" s="54" t="str">
        <f t="shared" si="89"/>
        <v/>
      </c>
      <c r="S543" s="30"/>
      <c r="T543" s="33"/>
    </row>
    <row r="544" spans="1:20" x14ac:dyDescent="0.25">
      <c r="A544" s="30"/>
      <c r="B544" s="84" t="str">
        <f t="shared" si="80"/>
        <v/>
      </c>
      <c r="C544" s="30"/>
      <c r="D544" s="85" t="str">
        <f t="shared" si="81"/>
        <v/>
      </c>
      <c r="E544" s="85" t="str">
        <f t="shared" si="82"/>
        <v/>
      </c>
      <c r="F544" s="85" t="str">
        <f t="shared" si="83"/>
        <v/>
      </c>
      <c r="G544" s="86" t="str">
        <f t="shared" si="84"/>
        <v/>
      </c>
      <c r="H544" s="30"/>
      <c r="I544" s="87" t="str">
        <f t="shared" si="85"/>
        <v/>
      </c>
      <c r="J544" s="85" t="str">
        <f t="shared" si="86"/>
        <v/>
      </c>
      <c r="K544" s="49"/>
      <c r="L544" s="88" t="str">
        <f t="shared" si="87"/>
        <v/>
      </c>
      <c r="M544" s="88" t="str">
        <f t="shared" si="88"/>
        <v/>
      </c>
      <c r="N544" s="30"/>
      <c r="O544" s="31"/>
      <c r="P544" s="53"/>
      <c r="Q544" s="33"/>
      <c r="R544" s="54" t="str">
        <f t="shared" si="89"/>
        <v/>
      </c>
      <c r="S544" s="30"/>
      <c r="T544" s="33"/>
    </row>
    <row r="545" spans="1:20" x14ac:dyDescent="0.25">
      <c r="A545" s="30"/>
      <c r="B545" s="84" t="str">
        <f t="shared" si="80"/>
        <v/>
      </c>
      <c r="C545" s="30"/>
      <c r="D545" s="85" t="str">
        <f t="shared" si="81"/>
        <v/>
      </c>
      <c r="E545" s="85" t="str">
        <f t="shared" si="82"/>
        <v/>
      </c>
      <c r="F545" s="85" t="str">
        <f t="shared" si="83"/>
        <v/>
      </c>
      <c r="G545" s="86" t="str">
        <f t="shared" si="84"/>
        <v/>
      </c>
      <c r="H545" s="30"/>
      <c r="I545" s="87" t="str">
        <f t="shared" si="85"/>
        <v/>
      </c>
      <c r="J545" s="85" t="str">
        <f t="shared" si="86"/>
        <v/>
      </c>
      <c r="K545" s="49"/>
      <c r="L545" s="88" t="str">
        <f t="shared" si="87"/>
        <v/>
      </c>
      <c r="M545" s="88" t="str">
        <f t="shared" si="88"/>
        <v/>
      </c>
      <c r="N545" s="30"/>
      <c r="O545" s="31"/>
      <c r="P545" s="53"/>
      <c r="Q545" s="33"/>
      <c r="R545" s="54" t="str">
        <f t="shared" si="89"/>
        <v/>
      </c>
      <c r="S545" s="30"/>
      <c r="T545" s="33"/>
    </row>
    <row r="546" spans="1:20" x14ac:dyDescent="0.25">
      <c r="A546" s="30"/>
      <c r="B546" s="84" t="str">
        <f t="shared" si="80"/>
        <v/>
      </c>
      <c r="C546" s="30"/>
      <c r="D546" s="85" t="str">
        <f t="shared" si="81"/>
        <v/>
      </c>
      <c r="E546" s="85" t="str">
        <f t="shared" si="82"/>
        <v/>
      </c>
      <c r="F546" s="85" t="str">
        <f t="shared" si="83"/>
        <v/>
      </c>
      <c r="G546" s="86" t="str">
        <f t="shared" si="84"/>
        <v/>
      </c>
      <c r="H546" s="30"/>
      <c r="I546" s="87" t="str">
        <f t="shared" si="85"/>
        <v/>
      </c>
      <c r="J546" s="85" t="str">
        <f t="shared" si="86"/>
        <v/>
      </c>
      <c r="K546" s="49"/>
      <c r="L546" s="88" t="str">
        <f t="shared" si="87"/>
        <v/>
      </c>
      <c r="M546" s="88" t="str">
        <f t="shared" si="88"/>
        <v/>
      </c>
      <c r="N546" s="30"/>
      <c r="O546" s="31"/>
      <c r="P546" s="53"/>
      <c r="Q546" s="33"/>
      <c r="R546" s="54" t="str">
        <f t="shared" si="89"/>
        <v/>
      </c>
      <c r="S546" s="30"/>
      <c r="T546" s="33"/>
    </row>
    <row r="547" spans="1:20" x14ac:dyDescent="0.25">
      <c r="A547" s="30"/>
      <c r="B547" s="84" t="str">
        <f t="shared" si="80"/>
        <v/>
      </c>
      <c r="C547" s="30"/>
      <c r="D547" s="85" t="str">
        <f t="shared" si="81"/>
        <v/>
      </c>
      <c r="E547" s="85" t="str">
        <f t="shared" si="82"/>
        <v/>
      </c>
      <c r="F547" s="85" t="str">
        <f t="shared" si="83"/>
        <v/>
      </c>
      <c r="G547" s="86" t="str">
        <f t="shared" si="84"/>
        <v/>
      </c>
      <c r="H547" s="30"/>
      <c r="I547" s="87" t="str">
        <f t="shared" si="85"/>
        <v/>
      </c>
      <c r="J547" s="85" t="str">
        <f t="shared" si="86"/>
        <v/>
      </c>
      <c r="K547" s="49"/>
      <c r="L547" s="88" t="str">
        <f t="shared" si="87"/>
        <v/>
      </c>
      <c r="M547" s="88" t="str">
        <f t="shared" si="88"/>
        <v/>
      </c>
      <c r="N547" s="30"/>
      <c r="O547" s="31"/>
      <c r="P547" s="53"/>
      <c r="Q547" s="33"/>
      <c r="R547" s="54" t="str">
        <f t="shared" si="89"/>
        <v/>
      </c>
      <c r="S547" s="30"/>
      <c r="T547" s="33"/>
    </row>
    <row r="548" spans="1:20" x14ac:dyDescent="0.25">
      <c r="A548" s="30"/>
      <c r="B548" s="84" t="str">
        <f t="shared" si="80"/>
        <v/>
      </c>
      <c r="C548" s="30"/>
      <c r="D548" s="85" t="str">
        <f t="shared" si="81"/>
        <v/>
      </c>
      <c r="E548" s="85" t="str">
        <f t="shared" si="82"/>
        <v/>
      </c>
      <c r="F548" s="85" t="str">
        <f t="shared" si="83"/>
        <v/>
      </c>
      <c r="G548" s="86" t="str">
        <f t="shared" si="84"/>
        <v/>
      </c>
      <c r="H548" s="30"/>
      <c r="I548" s="87" t="str">
        <f t="shared" si="85"/>
        <v/>
      </c>
      <c r="J548" s="85" t="str">
        <f t="shared" si="86"/>
        <v/>
      </c>
      <c r="K548" s="49"/>
      <c r="L548" s="88" t="str">
        <f t="shared" si="87"/>
        <v/>
      </c>
      <c r="M548" s="88" t="str">
        <f t="shared" si="88"/>
        <v/>
      </c>
      <c r="N548" s="30"/>
      <c r="O548" s="31"/>
      <c r="P548" s="53"/>
      <c r="Q548" s="33"/>
      <c r="R548" s="54" t="str">
        <f t="shared" si="89"/>
        <v/>
      </c>
      <c r="S548" s="30"/>
      <c r="T548" s="33"/>
    </row>
    <row r="549" spans="1:20" x14ac:dyDescent="0.25">
      <c r="A549" s="30"/>
      <c r="B549" s="84" t="str">
        <f t="shared" si="80"/>
        <v/>
      </c>
      <c r="C549" s="30"/>
      <c r="D549" s="85" t="str">
        <f t="shared" si="81"/>
        <v/>
      </c>
      <c r="E549" s="85" t="str">
        <f t="shared" si="82"/>
        <v/>
      </c>
      <c r="F549" s="85" t="str">
        <f t="shared" si="83"/>
        <v/>
      </c>
      <c r="G549" s="86" t="str">
        <f t="shared" si="84"/>
        <v/>
      </c>
      <c r="H549" s="30"/>
      <c r="I549" s="87" t="str">
        <f t="shared" si="85"/>
        <v/>
      </c>
      <c r="J549" s="85" t="str">
        <f t="shared" si="86"/>
        <v/>
      </c>
      <c r="K549" s="49"/>
      <c r="L549" s="88" t="str">
        <f t="shared" si="87"/>
        <v/>
      </c>
      <c r="M549" s="88" t="str">
        <f t="shared" si="88"/>
        <v/>
      </c>
      <c r="N549" s="30"/>
      <c r="O549" s="31"/>
      <c r="P549" s="53"/>
      <c r="Q549" s="33"/>
      <c r="R549" s="54" t="str">
        <f t="shared" si="89"/>
        <v/>
      </c>
      <c r="S549" s="30"/>
      <c r="T549" s="33"/>
    </row>
    <row r="550" spans="1:20" x14ac:dyDescent="0.25">
      <c r="A550" s="30"/>
      <c r="B550" s="84" t="str">
        <f t="shared" si="80"/>
        <v/>
      </c>
      <c r="C550" s="30"/>
      <c r="D550" s="85" t="str">
        <f t="shared" si="81"/>
        <v/>
      </c>
      <c r="E550" s="85" t="str">
        <f t="shared" si="82"/>
        <v/>
      </c>
      <c r="F550" s="85" t="str">
        <f t="shared" si="83"/>
        <v/>
      </c>
      <c r="G550" s="86" t="str">
        <f t="shared" si="84"/>
        <v/>
      </c>
      <c r="H550" s="30"/>
      <c r="I550" s="87" t="str">
        <f t="shared" si="85"/>
        <v/>
      </c>
      <c r="J550" s="85" t="str">
        <f t="shared" si="86"/>
        <v/>
      </c>
      <c r="K550" s="49"/>
      <c r="L550" s="88" t="str">
        <f t="shared" si="87"/>
        <v/>
      </c>
      <c r="M550" s="88" t="str">
        <f t="shared" si="88"/>
        <v/>
      </c>
      <c r="N550" s="30"/>
      <c r="O550" s="31"/>
      <c r="P550" s="53"/>
      <c r="Q550" s="33"/>
      <c r="R550" s="54" t="str">
        <f t="shared" si="89"/>
        <v/>
      </c>
      <c r="S550" s="30"/>
      <c r="T550" s="33"/>
    </row>
    <row r="551" spans="1:20" x14ac:dyDescent="0.25">
      <c r="A551" s="30"/>
      <c r="B551" s="84" t="str">
        <f t="shared" si="80"/>
        <v/>
      </c>
      <c r="C551" s="30"/>
      <c r="D551" s="85" t="str">
        <f t="shared" si="81"/>
        <v/>
      </c>
      <c r="E551" s="85" t="str">
        <f t="shared" si="82"/>
        <v/>
      </c>
      <c r="F551" s="85" t="str">
        <f t="shared" si="83"/>
        <v/>
      </c>
      <c r="G551" s="86" t="str">
        <f t="shared" si="84"/>
        <v/>
      </c>
      <c r="H551" s="30"/>
      <c r="I551" s="87" t="str">
        <f t="shared" si="85"/>
        <v/>
      </c>
      <c r="J551" s="85" t="str">
        <f t="shared" si="86"/>
        <v/>
      </c>
      <c r="K551" s="49"/>
      <c r="L551" s="88" t="str">
        <f t="shared" si="87"/>
        <v/>
      </c>
      <c r="M551" s="88" t="str">
        <f t="shared" si="88"/>
        <v/>
      </c>
      <c r="N551" s="30"/>
      <c r="O551" s="31"/>
      <c r="P551" s="53"/>
      <c r="Q551" s="33"/>
      <c r="R551" s="54" t="str">
        <f t="shared" si="89"/>
        <v/>
      </c>
      <c r="S551" s="30"/>
      <c r="T551" s="33"/>
    </row>
    <row r="552" spans="1:20" x14ac:dyDescent="0.25">
      <c r="A552" s="30"/>
      <c r="B552" s="84" t="str">
        <f t="shared" si="80"/>
        <v/>
      </c>
      <c r="C552" s="30"/>
      <c r="D552" s="85" t="str">
        <f t="shared" si="81"/>
        <v/>
      </c>
      <c r="E552" s="85" t="str">
        <f t="shared" si="82"/>
        <v/>
      </c>
      <c r="F552" s="85" t="str">
        <f t="shared" si="83"/>
        <v/>
      </c>
      <c r="G552" s="86" t="str">
        <f t="shared" si="84"/>
        <v/>
      </c>
      <c r="H552" s="30"/>
      <c r="I552" s="87" t="str">
        <f t="shared" si="85"/>
        <v/>
      </c>
      <c r="J552" s="85" t="str">
        <f t="shared" si="86"/>
        <v/>
      </c>
      <c r="K552" s="49"/>
      <c r="L552" s="88" t="str">
        <f t="shared" si="87"/>
        <v/>
      </c>
      <c r="M552" s="88" t="str">
        <f t="shared" si="88"/>
        <v/>
      </c>
      <c r="N552" s="30"/>
      <c r="O552" s="31"/>
      <c r="P552" s="53"/>
      <c r="Q552" s="33"/>
      <c r="R552" s="54" t="str">
        <f t="shared" si="89"/>
        <v/>
      </c>
      <c r="S552" s="30"/>
      <c r="T552" s="33"/>
    </row>
    <row r="553" spans="1:20" x14ac:dyDescent="0.25">
      <c r="A553" s="30"/>
      <c r="B553" s="84" t="str">
        <f t="shared" si="80"/>
        <v/>
      </c>
      <c r="C553" s="30"/>
      <c r="D553" s="85" t="str">
        <f t="shared" si="81"/>
        <v/>
      </c>
      <c r="E553" s="85" t="str">
        <f t="shared" si="82"/>
        <v/>
      </c>
      <c r="F553" s="85" t="str">
        <f t="shared" si="83"/>
        <v/>
      </c>
      <c r="G553" s="86" t="str">
        <f t="shared" si="84"/>
        <v/>
      </c>
      <c r="H553" s="30"/>
      <c r="I553" s="87" t="str">
        <f t="shared" si="85"/>
        <v/>
      </c>
      <c r="J553" s="85" t="str">
        <f t="shared" si="86"/>
        <v/>
      </c>
      <c r="K553" s="49"/>
      <c r="L553" s="88" t="str">
        <f t="shared" si="87"/>
        <v/>
      </c>
      <c r="M553" s="88" t="str">
        <f t="shared" si="88"/>
        <v/>
      </c>
      <c r="N553" s="30"/>
      <c r="O553" s="31"/>
      <c r="P553" s="53"/>
      <c r="Q553" s="33"/>
      <c r="R553" s="54" t="str">
        <f t="shared" si="89"/>
        <v/>
      </c>
      <c r="S553" s="30"/>
      <c r="T553" s="33"/>
    </row>
    <row r="554" spans="1:20" x14ac:dyDescent="0.25">
      <c r="A554" s="30"/>
      <c r="B554" s="84" t="str">
        <f t="shared" si="80"/>
        <v/>
      </c>
      <c r="C554" s="30"/>
      <c r="D554" s="85" t="str">
        <f t="shared" si="81"/>
        <v/>
      </c>
      <c r="E554" s="85" t="str">
        <f t="shared" si="82"/>
        <v/>
      </c>
      <c r="F554" s="85" t="str">
        <f t="shared" si="83"/>
        <v/>
      </c>
      <c r="G554" s="86" t="str">
        <f t="shared" si="84"/>
        <v/>
      </c>
      <c r="H554" s="30"/>
      <c r="I554" s="87" t="str">
        <f t="shared" si="85"/>
        <v/>
      </c>
      <c r="J554" s="85" t="str">
        <f t="shared" si="86"/>
        <v/>
      </c>
      <c r="K554" s="49"/>
      <c r="L554" s="88" t="str">
        <f t="shared" si="87"/>
        <v/>
      </c>
      <c r="M554" s="88" t="str">
        <f t="shared" si="88"/>
        <v/>
      </c>
      <c r="N554" s="30"/>
      <c r="O554" s="31"/>
      <c r="P554" s="53"/>
      <c r="Q554" s="33"/>
      <c r="R554" s="54" t="str">
        <f t="shared" si="89"/>
        <v/>
      </c>
      <c r="S554" s="30"/>
      <c r="T554" s="33"/>
    </row>
    <row r="555" spans="1:20" x14ac:dyDescent="0.25">
      <c r="A555" s="30"/>
      <c r="B555" s="84" t="str">
        <f t="shared" si="80"/>
        <v/>
      </c>
      <c r="C555" s="30"/>
      <c r="D555" s="85" t="str">
        <f t="shared" si="81"/>
        <v/>
      </c>
      <c r="E555" s="85" t="str">
        <f t="shared" si="82"/>
        <v/>
      </c>
      <c r="F555" s="85" t="str">
        <f t="shared" si="83"/>
        <v/>
      </c>
      <c r="G555" s="86" t="str">
        <f t="shared" si="84"/>
        <v/>
      </c>
      <c r="H555" s="30"/>
      <c r="I555" s="87" t="str">
        <f t="shared" si="85"/>
        <v/>
      </c>
      <c r="J555" s="85" t="str">
        <f t="shared" si="86"/>
        <v/>
      </c>
      <c r="K555" s="49"/>
      <c r="L555" s="88" t="str">
        <f t="shared" si="87"/>
        <v/>
      </c>
      <c r="M555" s="88" t="str">
        <f t="shared" si="88"/>
        <v/>
      </c>
      <c r="N555" s="30"/>
      <c r="O555" s="31"/>
      <c r="P555" s="53"/>
      <c r="Q555" s="33"/>
      <c r="R555" s="54" t="str">
        <f t="shared" si="89"/>
        <v/>
      </c>
      <c r="S555" s="30"/>
      <c r="T555" s="33"/>
    </row>
    <row r="556" spans="1:20" x14ac:dyDescent="0.25">
      <c r="A556" s="30"/>
      <c r="B556" s="84" t="str">
        <f t="shared" si="80"/>
        <v/>
      </c>
      <c r="C556" s="30"/>
      <c r="D556" s="85" t="str">
        <f t="shared" si="81"/>
        <v/>
      </c>
      <c r="E556" s="85" t="str">
        <f t="shared" si="82"/>
        <v/>
      </c>
      <c r="F556" s="85" t="str">
        <f t="shared" si="83"/>
        <v/>
      </c>
      <c r="G556" s="86" t="str">
        <f t="shared" si="84"/>
        <v/>
      </c>
      <c r="H556" s="30"/>
      <c r="I556" s="87" t="str">
        <f t="shared" si="85"/>
        <v/>
      </c>
      <c r="J556" s="85" t="str">
        <f t="shared" si="86"/>
        <v/>
      </c>
      <c r="K556" s="49"/>
      <c r="L556" s="88" t="str">
        <f t="shared" si="87"/>
        <v/>
      </c>
      <c r="M556" s="88" t="str">
        <f t="shared" si="88"/>
        <v/>
      </c>
      <c r="N556" s="30"/>
      <c r="O556" s="31"/>
      <c r="P556" s="53"/>
      <c r="Q556" s="33"/>
      <c r="R556" s="54" t="str">
        <f t="shared" si="89"/>
        <v/>
      </c>
      <c r="S556" s="30"/>
      <c r="T556" s="33"/>
    </row>
    <row r="557" spans="1:20" x14ac:dyDescent="0.25">
      <c r="A557" s="30"/>
      <c r="B557" s="84" t="str">
        <f t="shared" si="80"/>
        <v/>
      </c>
      <c r="C557" s="30"/>
      <c r="D557" s="85" t="str">
        <f t="shared" si="81"/>
        <v/>
      </c>
      <c r="E557" s="85" t="str">
        <f t="shared" si="82"/>
        <v/>
      </c>
      <c r="F557" s="85" t="str">
        <f t="shared" si="83"/>
        <v/>
      </c>
      <c r="G557" s="86" t="str">
        <f t="shared" si="84"/>
        <v/>
      </c>
      <c r="H557" s="30"/>
      <c r="I557" s="87" t="str">
        <f t="shared" si="85"/>
        <v/>
      </c>
      <c r="J557" s="85" t="str">
        <f t="shared" si="86"/>
        <v/>
      </c>
      <c r="K557" s="49"/>
      <c r="L557" s="88" t="str">
        <f t="shared" si="87"/>
        <v/>
      </c>
      <c r="M557" s="88" t="str">
        <f t="shared" si="88"/>
        <v/>
      </c>
      <c r="N557" s="30"/>
      <c r="O557" s="31"/>
      <c r="P557" s="53"/>
      <c r="Q557" s="33"/>
      <c r="R557" s="54" t="str">
        <f t="shared" si="89"/>
        <v/>
      </c>
      <c r="S557" s="30"/>
      <c r="T557" s="33"/>
    </row>
    <row r="558" spans="1:20" x14ac:dyDescent="0.25">
      <c r="A558" s="30"/>
      <c r="B558" s="84" t="str">
        <f t="shared" si="80"/>
        <v/>
      </c>
      <c r="C558" s="30"/>
      <c r="D558" s="85" t="str">
        <f t="shared" si="81"/>
        <v/>
      </c>
      <c r="E558" s="85" t="str">
        <f t="shared" si="82"/>
        <v/>
      </c>
      <c r="F558" s="85" t="str">
        <f t="shared" si="83"/>
        <v/>
      </c>
      <c r="G558" s="86" t="str">
        <f t="shared" si="84"/>
        <v/>
      </c>
      <c r="H558" s="30"/>
      <c r="I558" s="87" t="str">
        <f t="shared" si="85"/>
        <v/>
      </c>
      <c r="J558" s="85" t="str">
        <f t="shared" si="86"/>
        <v/>
      </c>
      <c r="K558" s="49"/>
      <c r="L558" s="88" t="str">
        <f t="shared" si="87"/>
        <v/>
      </c>
      <c r="M558" s="88" t="str">
        <f t="shared" si="88"/>
        <v/>
      </c>
      <c r="N558" s="30"/>
      <c r="O558" s="31"/>
      <c r="P558" s="53"/>
      <c r="Q558" s="33"/>
      <c r="R558" s="54" t="str">
        <f t="shared" si="89"/>
        <v/>
      </c>
      <c r="S558" s="30"/>
      <c r="T558" s="33"/>
    </row>
    <row r="559" spans="1:20" x14ac:dyDescent="0.25">
      <c r="A559" s="30"/>
      <c r="B559" s="84" t="str">
        <f t="shared" si="80"/>
        <v/>
      </c>
      <c r="C559" s="30"/>
      <c r="D559" s="85" t="str">
        <f t="shared" si="81"/>
        <v/>
      </c>
      <c r="E559" s="85" t="str">
        <f t="shared" si="82"/>
        <v/>
      </c>
      <c r="F559" s="85" t="str">
        <f t="shared" si="83"/>
        <v/>
      </c>
      <c r="G559" s="86" t="str">
        <f t="shared" si="84"/>
        <v/>
      </c>
      <c r="H559" s="30"/>
      <c r="I559" s="87" t="str">
        <f t="shared" si="85"/>
        <v/>
      </c>
      <c r="J559" s="85" t="str">
        <f t="shared" si="86"/>
        <v/>
      </c>
      <c r="K559" s="49"/>
      <c r="L559" s="88" t="str">
        <f t="shared" si="87"/>
        <v/>
      </c>
      <c r="M559" s="88" t="str">
        <f t="shared" si="88"/>
        <v/>
      </c>
      <c r="N559" s="30"/>
      <c r="O559" s="31"/>
      <c r="P559" s="53"/>
      <c r="Q559" s="33"/>
      <c r="R559" s="54" t="str">
        <f t="shared" si="89"/>
        <v/>
      </c>
      <c r="S559" s="30"/>
      <c r="T559" s="33"/>
    </row>
    <row r="560" spans="1:20" x14ac:dyDescent="0.25">
      <c r="A560" s="30"/>
      <c r="B560" s="84" t="str">
        <f t="shared" si="80"/>
        <v/>
      </c>
      <c r="C560" s="30"/>
      <c r="D560" s="85" t="str">
        <f t="shared" si="81"/>
        <v/>
      </c>
      <c r="E560" s="85" t="str">
        <f t="shared" si="82"/>
        <v/>
      </c>
      <c r="F560" s="85" t="str">
        <f t="shared" si="83"/>
        <v/>
      </c>
      <c r="G560" s="86" t="str">
        <f t="shared" si="84"/>
        <v/>
      </c>
      <c r="H560" s="30"/>
      <c r="I560" s="87" t="str">
        <f t="shared" si="85"/>
        <v/>
      </c>
      <c r="J560" s="85" t="str">
        <f t="shared" si="86"/>
        <v/>
      </c>
      <c r="K560" s="49"/>
      <c r="L560" s="88" t="str">
        <f t="shared" si="87"/>
        <v/>
      </c>
      <c r="M560" s="88" t="str">
        <f t="shared" si="88"/>
        <v/>
      </c>
      <c r="N560" s="30"/>
      <c r="O560" s="31"/>
      <c r="P560" s="53"/>
      <c r="Q560" s="33"/>
      <c r="R560" s="54" t="str">
        <f t="shared" si="89"/>
        <v/>
      </c>
      <c r="S560" s="30"/>
      <c r="T560" s="33"/>
    </row>
    <row r="561" spans="1:20" x14ac:dyDescent="0.25">
      <c r="A561" s="30"/>
      <c r="B561" s="84" t="str">
        <f t="shared" si="80"/>
        <v/>
      </c>
      <c r="C561" s="30"/>
      <c r="D561" s="85" t="str">
        <f t="shared" si="81"/>
        <v/>
      </c>
      <c r="E561" s="85" t="str">
        <f t="shared" si="82"/>
        <v/>
      </c>
      <c r="F561" s="85" t="str">
        <f t="shared" si="83"/>
        <v/>
      </c>
      <c r="G561" s="86" t="str">
        <f t="shared" si="84"/>
        <v/>
      </c>
      <c r="H561" s="30"/>
      <c r="I561" s="87" t="str">
        <f t="shared" si="85"/>
        <v/>
      </c>
      <c r="J561" s="85" t="str">
        <f t="shared" si="86"/>
        <v/>
      </c>
      <c r="K561" s="49"/>
      <c r="L561" s="88" t="str">
        <f t="shared" si="87"/>
        <v/>
      </c>
      <c r="M561" s="88" t="str">
        <f t="shared" si="88"/>
        <v/>
      </c>
      <c r="N561" s="30"/>
      <c r="O561" s="31"/>
      <c r="P561" s="53"/>
      <c r="Q561" s="33"/>
      <c r="R561" s="54" t="str">
        <f t="shared" si="89"/>
        <v/>
      </c>
      <c r="S561" s="30"/>
      <c r="T561" s="33"/>
    </row>
    <row r="562" spans="1:20" x14ac:dyDescent="0.25">
      <c r="A562" s="30"/>
      <c r="B562" s="84" t="str">
        <f t="shared" si="80"/>
        <v/>
      </c>
      <c r="C562" s="30"/>
      <c r="D562" s="85" t="str">
        <f t="shared" si="81"/>
        <v/>
      </c>
      <c r="E562" s="85" t="str">
        <f t="shared" si="82"/>
        <v/>
      </c>
      <c r="F562" s="85" t="str">
        <f t="shared" si="83"/>
        <v/>
      </c>
      <c r="G562" s="86" t="str">
        <f t="shared" si="84"/>
        <v/>
      </c>
      <c r="H562" s="30"/>
      <c r="I562" s="87" t="str">
        <f t="shared" si="85"/>
        <v/>
      </c>
      <c r="J562" s="85" t="str">
        <f t="shared" si="86"/>
        <v/>
      </c>
      <c r="K562" s="49"/>
      <c r="L562" s="88" t="str">
        <f t="shared" si="87"/>
        <v/>
      </c>
      <c r="M562" s="88" t="str">
        <f t="shared" si="88"/>
        <v/>
      </c>
      <c r="N562" s="30"/>
      <c r="O562" s="31"/>
      <c r="P562" s="53"/>
      <c r="Q562" s="33"/>
      <c r="R562" s="54" t="str">
        <f t="shared" si="89"/>
        <v/>
      </c>
      <c r="S562" s="30"/>
      <c r="T562" s="33"/>
    </row>
    <row r="563" spans="1:20" x14ac:dyDescent="0.25">
      <c r="A563" s="30"/>
      <c r="B563" s="84" t="str">
        <f t="shared" si="80"/>
        <v/>
      </c>
      <c r="C563" s="30"/>
      <c r="D563" s="85" t="str">
        <f t="shared" si="81"/>
        <v/>
      </c>
      <c r="E563" s="85" t="str">
        <f t="shared" si="82"/>
        <v/>
      </c>
      <c r="F563" s="85" t="str">
        <f t="shared" si="83"/>
        <v/>
      </c>
      <c r="G563" s="86" t="str">
        <f t="shared" si="84"/>
        <v/>
      </c>
      <c r="H563" s="30"/>
      <c r="I563" s="87" t="str">
        <f t="shared" si="85"/>
        <v/>
      </c>
      <c r="J563" s="85" t="str">
        <f t="shared" si="86"/>
        <v/>
      </c>
      <c r="K563" s="49"/>
      <c r="L563" s="88" t="str">
        <f t="shared" si="87"/>
        <v/>
      </c>
      <c r="M563" s="88" t="str">
        <f t="shared" si="88"/>
        <v/>
      </c>
      <c r="N563" s="30"/>
      <c r="O563" s="31"/>
      <c r="P563" s="53"/>
      <c r="Q563" s="33"/>
      <c r="R563" s="54" t="str">
        <f t="shared" si="89"/>
        <v/>
      </c>
      <c r="S563" s="30"/>
      <c r="T563" s="33"/>
    </row>
    <row r="564" spans="1:20" x14ac:dyDescent="0.25">
      <c r="A564" s="30"/>
      <c r="B564" s="84" t="str">
        <f t="shared" si="80"/>
        <v/>
      </c>
      <c r="C564" s="30"/>
      <c r="D564" s="85" t="str">
        <f t="shared" si="81"/>
        <v/>
      </c>
      <c r="E564" s="85" t="str">
        <f t="shared" si="82"/>
        <v/>
      </c>
      <c r="F564" s="85" t="str">
        <f t="shared" si="83"/>
        <v/>
      </c>
      <c r="G564" s="86" t="str">
        <f t="shared" si="84"/>
        <v/>
      </c>
      <c r="H564" s="30"/>
      <c r="I564" s="87" t="str">
        <f t="shared" si="85"/>
        <v/>
      </c>
      <c r="J564" s="85" t="str">
        <f t="shared" si="86"/>
        <v/>
      </c>
      <c r="K564" s="49"/>
      <c r="L564" s="88" t="str">
        <f t="shared" si="87"/>
        <v/>
      </c>
      <c r="M564" s="88" t="str">
        <f t="shared" si="88"/>
        <v/>
      </c>
      <c r="N564" s="30"/>
      <c r="O564" s="31"/>
      <c r="P564" s="53"/>
      <c r="Q564" s="33"/>
      <c r="R564" s="54" t="str">
        <f t="shared" si="89"/>
        <v/>
      </c>
      <c r="S564" s="30"/>
      <c r="T564" s="33"/>
    </row>
    <row r="565" spans="1:20" x14ac:dyDescent="0.25">
      <c r="A565" s="30"/>
      <c r="B565" s="84" t="str">
        <f t="shared" ref="B565:B628" si="90">IF($G565="","",EOMONTH($G565,0))</f>
        <v/>
      </c>
      <c r="C565" s="30"/>
      <c r="D565" s="85" t="str">
        <f t="shared" ref="D565:D628" si="91">IFERROR(IF($C565="","",VLOOKUP($C565,CAD_TAB,2,FALSE)),"")</f>
        <v/>
      </c>
      <c r="E565" s="85" t="str">
        <f t="shared" ref="E565:E628" si="92">IFERROR(IF($C565="","",VLOOKUP($C565,CAD_TAB,3,FALSE)),"")</f>
        <v/>
      </c>
      <c r="F565" s="85" t="str">
        <f t="shared" ref="F565:F628" si="93">IFERROR(IF($C565="","",VLOOKUP($C565,OS_TAB,7,FALSE)),"")</f>
        <v/>
      </c>
      <c r="G565" s="86" t="str">
        <f t="shared" ref="G565:G628" si="94">IFERROR(IF($C565="","",VLOOKUP($C565,OS_TAB,10,FALSE)),"")</f>
        <v/>
      </c>
      <c r="H565" s="30"/>
      <c r="I565" s="87" t="str">
        <f t="shared" ref="I565:I628" si="95">IFERROR(IF($H565="","",VLOOKUP($H565,PRE_TAB,5,FALSE)),"CÓDIGO NÃO ENCONTRADO")</f>
        <v/>
      </c>
      <c r="J565" s="85" t="str">
        <f t="shared" ref="J565:J628" si="96">IFERROR(IF($H565="","",VLOOKUP($H565,PRE_TAB,7,FALSE)),"")</f>
        <v/>
      </c>
      <c r="K565" s="49"/>
      <c r="L565" s="88" t="str">
        <f t="shared" ref="L565:L628" si="97">IFERROR(IF($H565="","",VLOOKUP($H565,PRE_TAB,8,FALSE)),0)</f>
        <v/>
      </c>
      <c r="M565" s="88" t="str">
        <f t="shared" ref="M565:M628" si="98">IF($H565="","",ROUND($K565*$L565,2))</f>
        <v/>
      </c>
      <c r="N565" s="30"/>
      <c r="O565" s="31"/>
      <c r="P565" s="53"/>
      <c r="Q565" s="33"/>
      <c r="R565" s="54" t="str">
        <f t="shared" ref="R565:R628" si="99">IF($H565="","",$M565-$P565)</f>
        <v/>
      </c>
      <c r="S565" s="30"/>
      <c r="T565" s="33"/>
    </row>
    <row r="566" spans="1:20" x14ac:dyDescent="0.25">
      <c r="A566" s="30"/>
      <c r="B566" s="84" t="str">
        <f t="shared" si="90"/>
        <v/>
      </c>
      <c r="C566" s="30"/>
      <c r="D566" s="85" t="str">
        <f t="shared" si="91"/>
        <v/>
      </c>
      <c r="E566" s="85" t="str">
        <f t="shared" si="92"/>
        <v/>
      </c>
      <c r="F566" s="85" t="str">
        <f t="shared" si="93"/>
        <v/>
      </c>
      <c r="G566" s="86" t="str">
        <f t="shared" si="94"/>
        <v/>
      </c>
      <c r="H566" s="30"/>
      <c r="I566" s="87" t="str">
        <f t="shared" si="95"/>
        <v/>
      </c>
      <c r="J566" s="85" t="str">
        <f t="shared" si="96"/>
        <v/>
      </c>
      <c r="K566" s="49"/>
      <c r="L566" s="88" t="str">
        <f t="shared" si="97"/>
        <v/>
      </c>
      <c r="M566" s="88" t="str">
        <f t="shared" si="98"/>
        <v/>
      </c>
      <c r="N566" s="30"/>
      <c r="O566" s="31"/>
      <c r="P566" s="53"/>
      <c r="Q566" s="33"/>
      <c r="R566" s="54" t="str">
        <f t="shared" si="99"/>
        <v/>
      </c>
      <c r="S566" s="30"/>
      <c r="T566" s="33"/>
    </row>
    <row r="567" spans="1:20" x14ac:dyDescent="0.25">
      <c r="A567" s="30"/>
      <c r="B567" s="84" t="str">
        <f t="shared" si="90"/>
        <v/>
      </c>
      <c r="C567" s="30"/>
      <c r="D567" s="85" t="str">
        <f t="shared" si="91"/>
        <v/>
      </c>
      <c r="E567" s="85" t="str">
        <f t="shared" si="92"/>
        <v/>
      </c>
      <c r="F567" s="85" t="str">
        <f t="shared" si="93"/>
        <v/>
      </c>
      <c r="G567" s="86" t="str">
        <f t="shared" si="94"/>
        <v/>
      </c>
      <c r="H567" s="30"/>
      <c r="I567" s="87" t="str">
        <f t="shared" si="95"/>
        <v/>
      </c>
      <c r="J567" s="85" t="str">
        <f t="shared" si="96"/>
        <v/>
      </c>
      <c r="K567" s="49"/>
      <c r="L567" s="88" t="str">
        <f t="shared" si="97"/>
        <v/>
      </c>
      <c r="M567" s="88" t="str">
        <f t="shared" si="98"/>
        <v/>
      </c>
      <c r="N567" s="30"/>
      <c r="O567" s="31"/>
      <c r="P567" s="53"/>
      <c r="Q567" s="33"/>
      <c r="R567" s="54" t="str">
        <f t="shared" si="99"/>
        <v/>
      </c>
      <c r="S567" s="30"/>
      <c r="T567" s="33"/>
    </row>
    <row r="568" spans="1:20" x14ac:dyDescent="0.25">
      <c r="A568" s="30"/>
      <c r="B568" s="84" t="str">
        <f t="shared" si="90"/>
        <v/>
      </c>
      <c r="C568" s="30"/>
      <c r="D568" s="85" t="str">
        <f t="shared" si="91"/>
        <v/>
      </c>
      <c r="E568" s="85" t="str">
        <f t="shared" si="92"/>
        <v/>
      </c>
      <c r="F568" s="85" t="str">
        <f t="shared" si="93"/>
        <v/>
      </c>
      <c r="G568" s="86" t="str">
        <f t="shared" si="94"/>
        <v/>
      </c>
      <c r="H568" s="30"/>
      <c r="I568" s="87" t="str">
        <f t="shared" si="95"/>
        <v/>
      </c>
      <c r="J568" s="85" t="str">
        <f t="shared" si="96"/>
        <v/>
      </c>
      <c r="K568" s="49"/>
      <c r="L568" s="88" t="str">
        <f t="shared" si="97"/>
        <v/>
      </c>
      <c r="M568" s="88" t="str">
        <f t="shared" si="98"/>
        <v/>
      </c>
      <c r="N568" s="30"/>
      <c r="O568" s="31"/>
      <c r="P568" s="53"/>
      <c r="Q568" s="33"/>
      <c r="R568" s="54" t="str">
        <f t="shared" si="99"/>
        <v/>
      </c>
      <c r="S568" s="30"/>
      <c r="T568" s="33"/>
    </row>
    <row r="569" spans="1:20" x14ac:dyDescent="0.25">
      <c r="A569" s="30"/>
      <c r="B569" s="84" t="str">
        <f t="shared" si="90"/>
        <v/>
      </c>
      <c r="C569" s="30"/>
      <c r="D569" s="85" t="str">
        <f t="shared" si="91"/>
        <v/>
      </c>
      <c r="E569" s="85" t="str">
        <f t="shared" si="92"/>
        <v/>
      </c>
      <c r="F569" s="85" t="str">
        <f t="shared" si="93"/>
        <v/>
      </c>
      <c r="G569" s="86" t="str">
        <f t="shared" si="94"/>
        <v/>
      </c>
      <c r="H569" s="30"/>
      <c r="I569" s="87" t="str">
        <f t="shared" si="95"/>
        <v/>
      </c>
      <c r="J569" s="85" t="str">
        <f t="shared" si="96"/>
        <v/>
      </c>
      <c r="K569" s="49"/>
      <c r="L569" s="88" t="str">
        <f t="shared" si="97"/>
        <v/>
      </c>
      <c r="M569" s="88" t="str">
        <f t="shared" si="98"/>
        <v/>
      </c>
      <c r="N569" s="30"/>
      <c r="O569" s="31"/>
      <c r="P569" s="53"/>
      <c r="Q569" s="33"/>
      <c r="R569" s="54" t="str">
        <f t="shared" si="99"/>
        <v/>
      </c>
      <c r="S569" s="30"/>
      <c r="T569" s="33"/>
    </row>
    <row r="570" spans="1:20" x14ac:dyDescent="0.25">
      <c r="A570" s="30"/>
      <c r="B570" s="84" t="str">
        <f t="shared" si="90"/>
        <v/>
      </c>
      <c r="C570" s="30"/>
      <c r="D570" s="85" t="str">
        <f t="shared" si="91"/>
        <v/>
      </c>
      <c r="E570" s="85" t="str">
        <f t="shared" si="92"/>
        <v/>
      </c>
      <c r="F570" s="85" t="str">
        <f t="shared" si="93"/>
        <v/>
      </c>
      <c r="G570" s="86" t="str">
        <f t="shared" si="94"/>
        <v/>
      </c>
      <c r="H570" s="30"/>
      <c r="I570" s="87" t="str">
        <f t="shared" si="95"/>
        <v/>
      </c>
      <c r="J570" s="85" t="str">
        <f t="shared" si="96"/>
        <v/>
      </c>
      <c r="K570" s="49"/>
      <c r="L570" s="88" t="str">
        <f t="shared" si="97"/>
        <v/>
      </c>
      <c r="M570" s="88" t="str">
        <f t="shared" si="98"/>
        <v/>
      </c>
      <c r="N570" s="30"/>
      <c r="O570" s="31"/>
      <c r="P570" s="53"/>
      <c r="Q570" s="33"/>
      <c r="R570" s="54" t="str">
        <f t="shared" si="99"/>
        <v/>
      </c>
      <c r="S570" s="30"/>
      <c r="T570" s="33"/>
    </row>
    <row r="571" spans="1:20" x14ac:dyDescent="0.25">
      <c r="A571" s="30"/>
      <c r="B571" s="84" t="str">
        <f t="shared" si="90"/>
        <v/>
      </c>
      <c r="C571" s="30"/>
      <c r="D571" s="85" t="str">
        <f t="shared" si="91"/>
        <v/>
      </c>
      <c r="E571" s="85" t="str">
        <f t="shared" si="92"/>
        <v/>
      </c>
      <c r="F571" s="85" t="str">
        <f t="shared" si="93"/>
        <v/>
      </c>
      <c r="G571" s="86" t="str">
        <f t="shared" si="94"/>
        <v/>
      </c>
      <c r="H571" s="30"/>
      <c r="I571" s="87" t="str">
        <f t="shared" si="95"/>
        <v/>
      </c>
      <c r="J571" s="85" t="str">
        <f t="shared" si="96"/>
        <v/>
      </c>
      <c r="K571" s="49"/>
      <c r="L571" s="88" t="str">
        <f t="shared" si="97"/>
        <v/>
      </c>
      <c r="M571" s="88" t="str">
        <f t="shared" si="98"/>
        <v/>
      </c>
      <c r="N571" s="30"/>
      <c r="O571" s="31"/>
      <c r="P571" s="53"/>
      <c r="Q571" s="33"/>
      <c r="R571" s="54" t="str">
        <f t="shared" si="99"/>
        <v/>
      </c>
      <c r="S571" s="30"/>
      <c r="T571" s="33"/>
    </row>
    <row r="572" spans="1:20" x14ac:dyDescent="0.25">
      <c r="A572" s="30"/>
      <c r="B572" s="84" t="str">
        <f t="shared" si="90"/>
        <v/>
      </c>
      <c r="C572" s="30"/>
      <c r="D572" s="85" t="str">
        <f t="shared" si="91"/>
        <v/>
      </c>
      <c r="E572" s="85" t="str">
        <f t="shared" si="92"/>
        <v/>
      </c>
      <c r="F572" s="85" t="str">
        <f t="shared" si="93"/>
        <v/>
      </c>
      <c r="G572" s="86" t="str">
        <f t="shared" si="94"/>
        <v/>
      </c>
      <c r="H572" s="30"/>
      <c r="I572" s="87" t="str">
        <f t="shared" si="95"/>
        <v/>
      </c>
      <c r="J572" s="85" t="str">
        <f t="shared" si="96"/>
        <v/>
      </c>
      <c r="K572" s="49"/>
      <c r="L572" s="88" t="str">
        <f t="shared" si="97"/>
        <v/>
      </c>
      <c r="M572" s="88" t="str">
        <f t="shared" si="98"/>
        <v/>
      </c>
      <c r="N572" s="30"/>
      <c r="O572" s="31"/>
      <c r="P572" s="53"/>
      <c r="Q572" s="33"/>
      <c r="R572" s="54" t="str">
        <f t="shared" si="99"/>
        <v/>
      </c>
      <c r="S572" s="30"/>
      <c r="T572" s="33"/>
    </row>
    <row r="573" spans="1:20" x14ac:dyDescent="0.25">
      <c r="A573" s="30"/>
      <c r="B573" s="84" t="str">
        <f t="shared" si="90"/>
        <v/>
      </c>
      <c r="C573" s="30"/>
      <c r="D573" s="85" t="str">
        <f t="shared" si="91"/>
        <v/>
      </c>
      <c r="E573" s="85" t="str">
        <f t="shared" si="92"/>
        <v/>
      </c>
      <c r="F573" s="85" t="str">
        <f t="shared" si="93"/>
        <v/>
      </c>
      <c r="G573" s="86" t="str">
        <f t="shared" si="94"/>
        <v/>
      </c>
      <c r="H573" s="30"/>
      <c r="I573" s="87" t="str">
        <f t="shared" si="95"/>
        <v/>
      </c>
      <c r="J573" s="85" t="str">
        <f t="shared" si="96"/>
        <v/>
      </c>
      <c r="K573" s="49"/>
      <c r="L573" s="88" t="str">
        <f t="shared" si="97"/>
        <v/>
      </c>
      <c r="M573" s="88" t="str">
        <f t="shared" si="98"/>
        <v/>
      </c>
      <c r="N573" s="30"/>
      <c r="O573" s="31"/>
      <c r="P573" s="53"/>
      <c r="Q573" s="33"/>
      <c r="R573" s="54" t="str">
        <f t="shared" si="99"/>
        <v/>
      </c>
      <c r="S573" s="30"/>
      <c r="T573" s="33"/>
    </row>
    <row r="574" spans="1:20" x14ac:dyDescent="0.25">
      <c r="A574" s="30"/>
      <c r="B574" s="84" t="str">
        <f t="shared" si="90"/>
        <v/>
      </c>
      <c r="C574" s="30"/>
      <c r="D574" s="85" t="str">
        <f t="shared" si="91"/>
        <v/>
      </c>
      <c r="E574" s="85" t="str">
        <f t="shared" si="92"/>
        <v/>
      </c>
      <c r="F574" s="85" t="str">
        <f t="shared" si="93"/>
        <v/>
      </c>
      <c r="G574" s="86" t="str">
        <f t="shared" si="94"/>
        <v/>
      </c>
      <c r="H574" s="30"/>
      <c r="I574" s="87" t="str">
        <f t="shared" si="95"/>
        <v/>
      </c>
      <c r="J574" s="85" t="str">
        <f t="shared" si="96"/>
        <v/>
      </c>
      <c r="K574" s="49"/>
      <c r="L574" s="88" t="str">
        <f t="shared" si="97"/>
        <v/>
      </c>
      <c r="M574" s="88" t="str">
        <f t="shared" si="98"/>
        <v/>
      </c>
      <c r="N574" s="30"/>
      <c r="O574" s="31"/>
      <c r="P574" s="53"/>
      <c r="Q574" s="33"/>
      <c r="R574" s="54" t="str">
        <f t="shared" si="99"/>
        <v/>
      </c>
      <c r="S574" s="30"/>
      <c r="T574" s="33"/>
    </row>
    <row r="575" spans="1:20" x14ac:dyDescent="0.25">
      <c r="A575" s="30"/>
      <c r="B575" s="84" t="str">
        <f t="shared" si="90"/>
        <v/>
      </c>
      <c r="C575" s="30"/>
      <c r="D575" s="85" t="str">
        <f t="shared" si="91"/>
        <v/>
      </c>
      <c r="E575" s="85" t="str">
        <f t="shared" si="92"/>
        <v/>
      </c>
      <c r="F575" s="85" t="str">
        <f t="shared" si="93"/>
        <v/>
      </c>
      <c r="G575" s="86" t="str">
        <f t="shared" si="94"/>
        <v/>
      </c>
      <c r="H575" s="30"/>
      <c r="I575" s="87" t="str">
        <f t="shared" si="95"/>
        <v/>
      </c>
      <c r="J575" s="85" t="str">
        <f t="shared" si="96"/>
        <v/>
      </c>
      <c r="K575" s="49"/>
      <c r="L575" s="88" t="str">
        <f t="shared" si="97"/>
        <v/>
      </c>
      <c r="M575" s="88" t="str">
        <f t="shared" si="98"/>
        <v/>
      </c>
      <c r="N575" s="30"/>
      <c r="O575" s="31"/>
      <c r="P575" s="53"/>
      <c r="Q575" s="33"/>
      <c r="R575" s="54" t="str">
        <f t="shared" si="99"/>
        <v/>
      </c>
      <c r="S575" s="30"/>
      <c r="T575" s="33"/>
    </row>
    <row r="576" spans="1:20" x14ac:dyDescent="0.25">
      <c r="A576" s="30"/>
      <c r="B576" s="84" t="str">
        <f t="shared" si="90"/>
        <v/>
      </c>
      <c r="C576" s="30"/>
      <c r="D576" s="85" t="str">
        <f t="shared" si="91"/>
        <v/>
      </c>
      <c r="E576" s="85" t="str">
        <f t="shared" si="92"/>
        <v/>
      </c>
      <c r="F576" s="85" t="str">
        <f t="shared" si="93"/>
        <v/>
      </c>
      <c r="G576" s="86" t="str">
        <f t="shared" si="94"/>
        <v/>
      </c>
      <c r="H576" s="30"/>
      <c r="I576" s="87" t="str">
        <f t="shared" si="95"/>
        <v/>
      </c>
      <c r="J576" s="85" t="str">
        <f t="shared" si="96"/>
        <v/>
      </c>
      <c r="K576" s="49"/>
      <c r="L576" s="88" t="str">
        <f t="shared" si="97"/>
        <v/>
      </c>
      <c r="M576" s="88" t="str">
        <f t="shared" si="98"/>
        <v/>
      </c>
      <c r="N576" s="30"/>
      <c r="O576" s="31"/>
      <c r="P576" s="53"/>
      <c r="Q576" s="33"/>
      <c r="R576" s="54" t="str">
        <f t="shared" si="99"/>
        <v/>
      </c>
      <c r="S576" s="30"/>
      <c r="T576" s="33"/>
    </row>
    <row r="577" spans="1:20" x14ac:dyDescent="0.25">
      <c r="A577" s="30"/>
      <c r="B577" s="84" t="str">
        <f t="shared" si="90"/>
        <v/>
      </c>
      <c r="C577" s="30"/>
      <c r="D577" s="85" t="str">
        <f t="shared" si="91"/>
        <v/>
      </c>
      <c r="E577" s="85" t="str">
        <f t="shared" si="92"/>
        <v/>
      </c>
      <c r="F577" s="85" t="str">
        <f t="shared" si="93"/>
        <v/>
      </c>
      <c r="G577" s="86" t="str">
        <f t="shared" si="94"/>
        <v/>
      </c>
      <c r="H577" s="30"/>
      <c r="I577" s="87" t="str">
        <f t="shared" si="95"/>
        <v/>
      </c>
      <c r="J577" s="85" t="str">
        <f t="shared" si="96"/>
        <v/>
      </c>
      <c r="K577" s="49"/>
      <c r="L577" s="88" t="str">
        <f t="shared" si="97"/>
        <v/>
      </c>
      <c r="M577" s="88" t="str">
        <f t="shared" si="98"/>
        <v/>
      </c>
      <c r="N577" s="30"/>
      <c r="O577" s="31"/>
      <c r="P577" s="53"/>
      <c r="Q577" s="33"/>
      <c r="R577" s="54" t="str">
        <f t="shared" si="99"/>
        <v/>
      </c>
      <c r="S577" s="30"/>
      <c r="T577" s="33"/>
    </row>
    <row r="578" spans="1:20" x14ac:dyDescent="0.25">
      <c r="A578" s="30"/>
      <c r="B578" s="84" t="str">
        <f t="shared" si="90"/>
        <v/>
      </c>
      <c r="C578" s="30"/>
      <c r="D578" s="85" t="str">
        <f t="shared" si="91"/>
        <v/>
      </c>
      <c r="E578" s="85" t="str">
        <f t="shared" si="92"/>
        <v/>
      </c>
      <c r="F578" s="85" t="str">
        <f t="shared" si="93"/>
        <v/>
      </c>
      <c r="G578" s="86" t="str">
        <f t="shared" si="94"/>
        <v/>
      </c>
      <c r="H578" s="30"/>
      <c r="I578" s="87" t="str">
        <f t="shared" si="95"/>
        <v/>
      </c>
      <c r="J578" s="85" t="str">
        <f t="shared" si="96"/>
        <v/>
      </c>
      <c r="K578" s="49"/>
      <c r="L578" s="88" t="str">
        <f t="shared" si="97"/>
        <v/>
      </c>
      <c r="M578" s="88" t="str">
        <f t="shared" si="98"/>
        <v/>
      </c>
      <c r="N578" s="30"/>
      <c r="O578" s="31"/>
      <c r="P578" s="53"/>
      <c r="Q578" s="33"/>
      <c r="R578" s="54" t="str">
        <f t="shared" si="99"/>
        <v/>
      </c>
      <c r="S578" s="30"/>
      <c r="T578" s="33"/>
    </row>
    <row r="579" spans="1:20" x14ac:dyDescent="0.25">
      <c r="A579" s="30"/>
      <c r="B579" s="84" t="str">
        <f t="shared" si="90"/>
        <v/>
      </c>
      <c r="C579" s="30"/>
      <c r="D579" s="85" t="str">
        <f t="shared" si="91"/>
        <v/>
      </c>
      <c r="E579" s="85" t="str">
        <f t="shared" si="92"/>
        <v/>
      </c>
      <c r="F579" s="85" t="str">
        <f t="shared" si="93"/>
        <v/>
      </c>
      <c r="G579" s="86" t="str">
        <f t="shared" si="94"/>
        <v/>
      </c>
      <c r="H579" s="30"/>
      <c r="I579" s="87" t="str">
        <f t="shared" si="95"/>
        <v/>
      </c>
      <c r="J579" s="85" t="str">
        <f t="shared" si="96"/>
        <v/>
      </c>
      <c r="K579" s="49"/>
      <c r="L579" s="88" t="str">
        <f t="shared" si="97"/>
        <v/>
      </c>
      <c r="M579" s="88" t="str">
        <f t="shared" si="98"/>
        <v/>
      </c>
      <c r="N579" s="30"/>
      <c r="O579" s="31"/>
      <c r="P579" s="53"/>
      <c r="Q579" s="33"/>
      <c r="R579" s="54" t="str">
        <f t="shared" si="99"/>
        <v/>
      </c>
      <c r="S579" s="30"/>
      <c r="T579" s="33"/>
    </row>
    <row r="580" spans="1:20" x14ac:dyDescent="0.25">
      <c r="A580" s="30"/>
      <c r="B580" s="84" t="str">
        <f t="shared" si="90"/>
        <v/>
      </c>
      <c r="C580" s="30"/>
      <c r="D580" s="85" t="str">
        <f t="shared" si="91"/>
        <v/>
      </c>
      <c r="E580" s="85" t="str">
        <f t="shared" si="92"/>
        <v/>
      </c>
      <c r="F580" s="85" t="str">
        <f t="shared" si="93"/>
        <v/>
      </c>
      <c r="G580" s="86" t="str">
        <f t="shared" si="94"/>
        <v/>
      </c>
      <c r="H580" s="30"/>
      <c r="I580" s="87" t="str">
        <f t="shared" si="95"/>
        <v/>
      </c>
      <c r="J580" s="85" t="str">
        <f t="shared" si="96"/>
        <v/>
      </c>
      <c r="K580" s="49"/>
      <c r="L580" s="88" t="str">
        <f t="shared" si="97"/>
        <v/>
      </c>
      <c r="M580" s="88" t="str">
        <f t="shared" si="98"/>
        <v/>
      </c>
      <c r="N580" s="30"/>
      <c r="O580" s="31"/>
      <c r="P580" s="53"/>
      <c r="Q580" s="33"/>
      <c r="R580" s="54" t="str">
        <f t="shared" si="99"/>
        <v/>
      </c>
      <c r="S580" s="30"/>
      <c r="T580" s="33"/>
    </row>
    <row r="581" spans="1:20" x14ac:dyDescent="0.25">
      <c r="A581" s="30"/>
      <c r="B581" s="84" t="str">
        <f t="shared" si="90"/>
        <v/>
      </c>
      <c r="C581" s="30"/>
      <c r="D581" s="85" t="str">
        <f t="shared" si="91"/>
        <v/>
      </c>
      <c r="E581" s="85" t="str">
        <f t="shared" si="92"/>
        <v/>
      </c>
      <c r="F581" s="85" t="str">
        <f t="shared" si="93"/>
        <v/>
      </c>
      <c r="G581" s="86" t="str">
        <f t="shared" si="94"/>
        <v/>
      </c>
      <c r="H581" s="30"/>
      <c r="I581" s="87" t="str">
        <f t="shared" si="95"/>
        <v/>
      </c>
      <c r="J581" s="85" t="str">
        <f t="shared" si="96"/>
        <v/>
      </c>
      <c r="K581" s="49"/>
      <c r="L581" s="88" t="str">
        <f t="shared" si="97"/>
        <v/>
      </c>
      <c r="M581" s="88" t="str">
        <f t="shared" si="98"/>
        <v/>
      </c>
      <c r="N581" s="30"/>
      <c r="O581" s="31"/>
      <c r="P581" s="53"/>
      <c r="Q581" s="33"/>
      <c r="R581" s="54" t="str">
        <f t="shared" si="99"/>
        <v/>
      </c>
      <c r="S581" s="30"/>
      <c r="T581" s="33"/>
    </row>
    <row r="582" spans="1:20" x14ac:dyDescent="0.25">
      <c r="A582" s="30"/>
      <c r="B582" s="84" t="str">
        <f t="shared" si="90"/>
        <v/>
      </c>
      <c r="C582" s="30"/>
      <c r="D582" s="85" t="str">
        <f t="shared" si="91"/>
        <v/>
      </c>
      <c r="E582" s="85" t="str">
        <f t="shared" si="92"/>
        <v/>
      </c>
      <c r="F582" s="85" t="str">
        <f t="shared" si="93"/>
        <v/>
      </c>
      <c r="G582" s="86" t="str">
        <f t="shared" si="94"/>
        <v/>
      </c>
      <c r="H582" s="30"/>
      <c r="I582" s="87" t="str">
        <f t="shared" si="95"/>
        <v/>
      </c>
      <c r="J582" s="85" t="str">
        <f t="shared" si="96"/>
        <v/>
      </c>
      <c r="K582" s="49"/>
      <c r="L582" s="88" t="str">
        <f t="shared" si="97"/>
        <v/>
      </c>
      <c r="M582" s="88" t="str">
        <f t="shared" si="98"/>
        <v/>
      </c>
      <c r="N582" s="30"/>
      <c r="O582" s="31"/>
      <c r="P582" s="53"/>
      <c r="Q582" s="33"/>
      <c r="R582" s="54" t="str">
        <f t="shared" si="99"/>
        <v/>
      </c>
      <c r="S582" s="30"/>
      <c r="T582" s="33"/>
    </row>
    <row r="583" spans="1:20" x14ac:dyDescent="0.25">
      <c r="A583" s="30"/>
      <c r="B583" s="84" t="str">
        <f t="shared" si="90"/>
        <v/>
      </c>
      <c r="C583" s="30"/>
      <c r="D583" s="85" t="str">
        <f t="shared" si="91"/>
        <v/>
      </c>
      <c r="E583" s="85" t="str">
        <f t="shared" si="92"/>
        <v/>
      </c>
      <c r="F583" s="85" t="str">
        <f t="shared" si="93"/>
        <v/>
      </c>
      <c r="G583" s="86" t="str">
        <f t="shared" si="94"/>
        <v/>
      </c>
      <c r="H583" s="30"/>
      <c r="I583" s="87" t="str">
        <f t="shared" si="95"/>
        <v/>
      </c>
      <c r="J583" s="85" t="str">
        <f t="shared" si="96"/>
        <v/>
      </c>
      <c r="K583" s="49"/>
      <c r="L583" s="88" t="str">
        <f t="shared" si="97"/>
        <v/>
      </c>
      <c r="M583" s="88" t="str">
        <f t="shared" si="98"/>
        <v/>
      </c>
      <c r="N583" s="30"/>
      <c r="O583" s="31"/>
      <c r="P583" s="53"/>
      <c r="Q583" s="33"/>
      <c r="R583" s="54" t="str">
        <f t="shared" si="99"/>
        <v/>
      </c>
      <c r="S583" s="30"/>
      <c r="T583" s="33"/>
    </row>
    <row r="584" spans="1:20" x14ac:dyDescent="0.25">
      <c r="A584" s="30"/>
      <c r="B584" s="84" t="str">
        <f t="shared" si="90"/>
        <v/>
      </c>
      <c r="C584" s="30"/>
      <c r="D584" s="85" t="str">
        <f t="shared" si="91"/>
        <v/>
      </c>
      <c r="E584" s="85" t="str">
        <f t="shared" si="92"/>
        <v/>
      </c>
      <c r="F584" s="85" t="str">
        <f t="shared" si="93"/>
        <v/>
      </c>
      <c r="G584" s="86" t="str">
        <f t="shared" si="94"/>
        <v/>
      </c>
      <c r="H584" s="30"/>
      <c r="I584" s="87" t="str">
        <f t="shared" si="95"/>
        <v/>
      </c>
      <c r="J584" s="85" t="str">
        <f t="shared" si="96"/>
        <v/>
      </c>
      <c r="K584" s="49"/>
      <c r="L584" s="88" t="str">
        <f t="shared" si="97"/>
        <v/>
      </c>
      <c r="M584" s="88" t="str">
        <f t="shared" si="98"/>
        <v/>
      </c>
      <c r="N584" s="30"/>
      <c r="O584" s="31"/>
      <c r="P584" s="53"/>
      <c r="Q584" s="33"/>
      <c r="R584" s="54" t="str">
        <f t="shared" si="99"/>
        <v/>
      </c>
      <c r="S584" s="30"/>
      <c r="T584" s="33"/>
    </row>
    <row r="585" spans="1:20" x14ac:dyDescent="0.25">
      <c r="A585" s="30"/>
      <c r="B585" s="84" t="str">
        <f t="shared" si="90"/>
        <v/>
      </c>
      <c r="C585" s="30"/>
      <c r="D585" s="85" t="str">
        <f t="shared" si="91"/>
        <v/>
      </c>
      <c r="E585" s="85" t="str">
        <f t="shared" si="92"/>
        <v/>
      </c>
      <c r="F585" s="85" t="str">
        <f t="shared" si="93"/>
        <v/>
      </c>
      <c r="G585" s="86" t="str">
        <f t="shared" si="94"/>
        <v/>
      </c>
      <c r="H585" s="30"/>
      <c r="I585" s="87" t="str">
        <f t="shared" si="95"/>
        <v/>
      </c>
      <c r="J585" s="85" t="str">
        <f t="shared" si="96"/>
        <v/>
      </c>
      <c r="K585" s="49"/>
      <c r="L585" s="88" t="str">
        <f t="shared" si="97"/>
        <v/>
      </c>
      <c r="M585" s="88" t="str">
        <f t="shared" si="98"/>
        <v/>
      </c>
      <c r="N585" s="30"/>
      <c r="O585" s="31"/>
      <c r="P585" s="53"/>
      <c r="Q585" s="33"/>
      <c r="R585" s="54" t="str">
        <f t="shared" si="99"/>
        <v/>
      </c>
      <c r="S585" s="30"/>
      <c r="T585" s="33"/>
    </row>
    <row r="586" spans="1:20" x14ac:dyDescent="0.25">
      <c r="A586" s="30"/>
      <c r="B586" s="84" t="str">
        <f t="shared" si="90"/>
        <v/>
      </c>
      <c r="C586" s="30"/>
      <c r="D586" s="85" t="str">
        <f t="shared" si="91"/>
        <v/>
      </c>
      <c r="E586" s="85" t="str">
        <f t="shared" si="92"/>
        <v/>
      </c>
      <c r="F586" s="85" t="str">
        <f t="shared" si="93"/>
        <v/>
      </c>
      <c r="G586" s="86" t="str">
        <f t="shared" si="94"/>
        <v/>
      </c>
      <c r="H586" s="30"/>
      <c r="I586" s="87" t="str">
        <f t="shared" si="95"/>
        <v/>
      </c>
      <c r="J586" s="85" t="str">
        <f t="shared" si="96"/>
        <v/>
      </c>
      <c r="K586" s="49"/>
      <c r="L586" s="88" t="str">
        <f t="shared" si="97"/>
        <v/>
      </c>
      <c r="M586" s="88" t="str">
        <f t="shared" si="98"/>
        <v/>
      </c>
      <c r="N586" s="30"/>
      <c r="O586" s="31"/>
      <c r="P586" s="53"/>
      <c r="Q586" s="33"/>
      <c r="R586" s="54" t="str">
        <f t="shared" si="99"/>
        <v/>
      </c>
      <c r="S586" s="30"/>
      <c r="T586" s="33"/>
    </row>
    <row r="587" spans="1:20" x14ac:dyDescent="0.25">
      <c r="A587" s="30"/>
      <c r="B587" s="84" t="str">
        <f t="shared" si="90"/>
        <v/>
      </c>
      <c r="C587" s="30"/>
      <c r="D587" s="85" t="str">
        <f t="shared" si="91"/>
        <v/>
      </c>
      <c r="E587" s="85" t="str">
        <f t="shared" si="92"/>
        <v/>
      </c>
      <c r="F587" s="85" t="str">
        <f t="shared" si="93"/>
        <v/>
      </c>
      <c r="G587" s="86" t="str">
        <f t="shared" si="94"/>
        <v/>
      </c>
      <c r="H587" s="30"/>
      <c r="I587" s="87" t="str">
        <f t="shared" si="95"/>
        <v/>
      </c>
      <c r="J587" s="85" t="str">
        <f t="shared" si="96"/>
        <v/>
      </c>
      <c r="K587" s="49"/>
      <c r="L587" s="88" t="str">
        <f t="shared" si="97"/>
        <v/>
      </c>
      <c r="M587" s="88" t="str">
        <f t="shared" si="98"/>
        <v/>
      </c>
      <c r="N587" s="30"/>
      <c r="O587" s="31"/>
      <c r="P587" s="53"/>
      <c r="Q587" s="33"/>
      <c r="R587" s="54" t="str">
        <f t="shared" si="99"/>
        <v/>
      </c>
      <c r="S587" s="30"/>
      <c r="T587" s="33"/>
    </row>
    <row r="588" spans="1:20" x14ac:dyDescent="0.25">
      <c r="A588" s="30"/>
      <c r="B588" s="84" t="str">
        <f t="shared" si="90"/>
        <v/>
      </c>
      <c r="C588" s="30"/>
      <c r="D588" s="85" t="str">
        <f t="shared" si="91"/>
        <v/>
      </c>
      <c r="E588" s="85" t="str">
        <f t="shared" si="92"/>
        <v/>
      </c>
      <c r="F588" s="85" t="str">
        <f t="shared" si="93"/>
        <v/>
      </c>
      <c r="G588" s="86" t="str">
        <f t="shared" si="94"/>
        <v/>
      </c>
      <c r="H588" s="30"/>
      <c r="I588" s="87" t="str">
        <f t="shared" si="95"/>
        <v/>
      </c>
      <c r="J588" s="85" t="str">
        <f t="shared" si="96"/>
        <v/>
      </c>
      <c r="K588" s="49"/>
      <c r="L588" s="88" t="str">
        <f t="shared" si="97"/>
        <v/>
      </c>
      <c r="M588" s="88" t="str">
        <f t="shared" si="98"/>
        <v/>
      </c>
      <c r="N588" s="30"/>
      <c r="O588" s="31"/>
      <c r="P588" s="53"/>
      <c r="Q588" s="33"/>
      <c r="R588" s="54" t="str">
        <f t="shared" si="99"/>
        <v/>
      </c>
      <c r="S588" s="30"/>
      <c r="T588" s="33"/>
    </row>
    <row r="589" spans="1:20" x14ac:dyDescent="0.25">
      <c r="A589" s="30"/>
      <c r="B589" s="84" t="str">
        <f t="shared" si="90"/>
        <v/>
      </c>
      <c r="C589" s="30"/>
      <c r="D589" s="85" t="str">
        <f t="shared" si="91"/>
        <v/>
      </c>
      <c r="E589" s="85" t="str">
        <f t="shared" si="92"/>
        <v/>
      </c>
      <c r="F589" s="85" t="str">
        <f t="shared" si="93"/>
        <v/>
      </c>
      <c r="G589" s="86" t="str">
        <f t="shared" si="94"/>
        <v/>
      </c>
      <c r="H589" s="30"/>
      <c r="I589" s="87" t="str">
        <f t="shared" si="95"/>
        <v/>
      </c>
      <c r="J589" s="85" t="str">
        <f t="shared" si="96"/>
        <v/>
      </c>
      <c r="K589" s="49"/>
      <c r="L589" s="88" t="str">
        <f t="shared" si="97"/>
        <v/>
      </c>
      <c r="M589" s="88" t="str">
        <f t="shared" si="98"/>
        <v/>
      </c>
      <c r="N589" s="30"/>
      <c r="O589" s="31"/>
      <c r="P589" s="53"/>
      <c r="Q589" s="33"/>
      <c r="R589" s="54" t="str">
        <f t="shared" si="99"/>
        <v/>
      </c>
      <c r="S589" s="30"/>
      <c r="T589" s="33"/>
    </row>
    <row r="590" spans="1:20" x14ac:dyDescent="0.25">
      <c r="A590" s="30"/>
      <c r="B590" s="84" t="str">
        <f t="shared" si="90"/>
        <v/>
      </c>
      <c r="C590" s="30"/>
      <c r="D590" s="85" t="str">
        <f t="shared" si="91"/>
        <v/>
      </c>
      <c r="E590" s="85" t="str">
        <f t="shared" si="92"/>
        <v/>
      </c>
      <c r="F590" s="85" t="str">
        <f t="shared" si="93"/>
        <v/>
      </c>
      <c r="G590" s="86" t="str">
        <f t="shared" si="94"/>
        <v/>
      </c>
      <c r="H590" s="30"/>
      <c r="I590" s="87" t="str">
        <f t="shared" si="95"/>
        <v/>
      </c>
      <c r="J590" s="85" t="str">
        <f t="shared" si="96"/>
        <v/>
      </c>
      <c r="K590" s="49"/>
      <c r="L590" s="88" t="str">
        <f t="shared" si="97"/>
        <v/>
      </c>
      <c r="M590" s="88" t="str">
        <f t="shared" si="98"/>
        <v/>
      </c>
      <c r="N590" s="30"/>
      <c r="O590" s="31"/>
      <c r="P590" s="53"/>
      <c r="Q590" s="33"/>
      <c r="R590" s="54" t="str">
        <f t="shared" si="99"/>
        <v/>
      </c>
      <c r="S590" s="30"/>
      <c r="T590" s="33"/>
    </row>
    <row r="591" spans="1:20" x14ac:dyDescent="0.25">
      <c r="A591" s="30"/>
      <c r="B591" s="84" t="str">
        <f t="shared" si="90"/>
        <v/>
      </c>
      <c r="C591" s="30"/>
      <c r="D591" s="85" t="str">
        <f t="shared" si="91"/>
        <v/>
      </c>
      <c r="E591" s="85" t="str">
        <f t="shared" si="92"/>
        <v/>
      </c>
      <c r="F591" s="85" t="str">
        <f t="shared" si="93"/>
        <v/>
      </c>
      <c r="G591" s="86" t="str">
        <f t="shared" si="94"/>
        <v/>
      </c>
      <c r="H591" s="30"/>
      <c r="I591" s="87" t="str">
        <f t="shared" si="95"/>
        <v/>
      </c>
      <c r="J591" s="85" t="str">
        <f t="shared" si="96"/>
        <v/>
      </c>
      <c r="K591" s="49"/>
      <c r="L591" s="88" t="str">
        <f t="shared" si="97"/>
        <v/>
      </c>
      <c r="M591" s="88" t="str">
        <f t="shared" si="98"/>
        <v/>
      </c>
      <c r="N591" s="30"/>
      <c r="O591" s="31"/>
      <c r="P591" s="53"/>
      <c r="Q591" s="33"/>
      <c r="R591" s="54" t="str">
        <f t="shared" si="99"/>
        <v/>
      </c>
      <c r="S591" s="30"/>
      <c r="T591" s="33"/>
    </row>
    <row r="592" spans="1:20" x14ac:dyDescent="0.25">
      <c r="A592" s="30"/>
      <c r="B592" s="84" t="str">
        <f t="shared" si="90"/>
        <v/>
      </c>
      <c r="C592" s="30"/>
      <c r="D592" s="85" t="str">
        <f t="shared" si="91"/>
        <v/>
      </c>
      <c r="E592" s="85" t="str">
        <f t="shared" si="92"/>
        <v/>
      </c>
      <c r="F592" s="85" t="str">
        <f t="shared" si="93"/>
        <v/>
      </c>
      <c r="G592" s="86" t="str">
        <f t="shared" si="94"/>
        <v/>
      </c>
      <c r="H592" s="30"/>
      <c r="I592" s="87" t="str">
        <f t="shared" si="95"/>
        <v/>
      </c>
      <c r="J592" s="85" t="str">
        <f t="shared" si="96"/>
        <v/>
      </c>
      <c r="K592" s="49"/>
      <c r="L592" s="88" t="str">
        <f t="shared" si="97"/>
        <v/>
      </c>
      <c r="M592" s="88" t="str">
        <f t="shared" si="98"/>
        <v/>
      </c>
      <c r="N592" s="30"/>
      <c r="O592" s="31"/>
      <c r="P592" s="53"/>
      <c r="Q592" s="33"/>
      <c r="R592" s="54" t="str">
        <f t="shared" si="99"/>
        <v/>
      </c>
      <c r="S592" s="30"/>
      <c r="T592" s="33"/>
    </row>
    <row r="593" spans="1:20" x14ac:dyDescent="0.25">
      <c r="A593" s="30"/>
      <c r="B593" s="84" t="str">
        <f t="shared" si="90"/>
        <v/>
      </c>
      <c r="C593" s="30"/>
      <c r="D593" s="85" t="str">
        <f t="shared" si="91"/>
        <v/>
      </c>
      <c r="E593" s="85" t="str">
        <f t="shared" si="92"/>
        <v/>
      </c>
      <c r="F593" s="85" t="str">
        <f t="shared" si="93"/>
        <v/>
      </c>
      <c r="G593" s="86" t="str">
        <f t="shared" si="94"/>
        <v/>
      </c>
      <c r="H593" s="30"/>
      <c r="I593" s="87" t="str">
        <f t="shared" si="95"/>
        <v/>
      </c>
      <c r="J593" s="85" t="str">
        <f t="shared" si="96"/>
        <v/>
      </c>
      <c r="K593" s="49"/>
      <c r="L593" s="88" t="str">
        <f t="shared" si="97"/>
        <v/>
      </c>
      <c r="M593" s="88" t="str">
        <f t="shared" si="98"/>
        <v/>
      </c>
      <c r="N593" s="30"/>
      <c r="O593" s="31"/>
      <c r="P593" s="53"/>
      <c r="Q593" s="33"/>
      <c r="R593" s="54" t="str">
        <f t="shared" si="99"/>
        <v/>
      </c>
      <c r="S593" s="30"/>
      <c r="T593" s="33"/>
    </row>
    <row r="594" spans="1:20" x14ac:dyDescent="0.25">
      <c r="A594" s="30"/>
      <c r="B594" s="84" t="str">
        <f t="shared" si="90"/>
        <v/>
      </c>
      <c r="C594" s="30"/>
      <c r="D594" s="85" t="str">
        <f t="shared" si="91"/>
        <v/>
      </c>
      <c r="E594" s="85" t="str">
        <f t="shared" si="92"/>
        <v/>
      </c>
      <c r="F594" s="85" t="str">
        <f t="shared" si="93"/>
        <v/>
      </c>
      <c r="G594" s="86" t="str">
        <f t="shared" si="94"/>
        <v/>
      </c>
      <c r="H594" s="30"/>
      <c r="I594" s="87" t="str">
        <f t="shared" si="95"/>
        <v/>
      </c>
      <c r="J594" s="85" t="str">
        <f t="shared" si="96"/>
        <v/>
      </c>
      <c r="K594" s="49"/>
      <c r="L594" s="88" t="str">
        <f t="shared" si="97"/>
        <v/>
      </c>
      <c r="M594" s="88" t="str">
        <f t="shared" si="98"/>
        <v/>
      </c>
      <c r="N594" s="30"/>
      <c r="O594" s="31"/>
      <c r="P594" s="53"/>
      <c r="Q594" s="33"/>
      <c r="R594" s="54" t="str">
        <f t="shared" si="99"/>
        <v/>
      </c>
      <c r="S594" s="30"/>
      <c r="T594" s="33"/>
    </row>
    <row r="595" spans="1:20" x14ac:dyDescent="0.25">
      <c r="A595" s="30"/>
      <c r="B595" s="84" t="str">
        <f t="shared" si="90"/>
        <v/>
      </c>
      <c r="C595" s="30"/>
      <c r="D595" s="85" t="str">
        <f t="shared" si="91"/>
        <v/>
      </c>
      <c r="E595" s="85" t="str">
        <f t="shared" si="92"/>
        <v/>
      </c>
      <c r="F595" s="85" t="str">
        <f t="shared" si="93"/>
        <v/>
      </c>
      <c r="G595" s="86" t="str">
        <f t="shared" si="94"/>
        <v/>
      </c>
      <c r="H595" s="30"/>
      <c r="I595" s="87" t="str">
        <f t="shared" si="95"/>
        <v/>
      </c>
      <c r="J595" s="85" t="str">
        <f t="shared" si="96"/>
        <v/>
      </c>
      <c r="K595" s="49"/>
      <c r="L595" s="88" t="str">
        <f t="shared" si="97"/>
        <v/>
      </c>
      <c r="M595" s="88" t="str">
        <f t="shared" si="98"/>
        <v/>
      </c>
      <c r="N595" s="30"/>
      <c r="O595" s="31"/>
      <c r="P595" s="53"/>
      <c r="Q595" s="33"/>
      <c r="R595" s="54" t="str">
        <f t="shared" si="99"/>
        <v/>
      </c>
      <c r="S595" s="30"/>
      <c r="T595" s="33"/>
    </row>
    <row r="596" spans="1:20" x14ac:dyDescent="0.25">
      <c r="A596" s="30"/>
      <c r="B596" s="84" t="str">
        <f t="shared" si="90"/>
        <v/>
      </c>
      <c r="C596" s="30"/>
      <c r="D596" s="85" t="str">
        <f t="shared" si="91"/>
        <v/>
      </c>
      <c r="E596" s="85" t="str">
        <f t="shared" si="92"/>
        <v/>
      </c>
      <c r="F596" s="85" t="str">
        <f t="shared" si="93"/>
        <v/>
      </c>
      <c r="G596" s="86" t="str">
        <f t="shared" si="94"/>
        <v/>
      </c>
      <c r="H596" s="30"/>
      <c r="I596" s="87" t="str">
        <f t="shared" si="95"/>
        <v/>
      </c>
      <c r="J596" s="85" t="str">
        <f t="shared" si="96"/>
        <v/>
      </c>
      <c r="K596" s="49"/>
      <c r="L596" s="88" t="str">
        <f t="shared" si="97"/>
        <v/>
      </c>
      <c r="M596" s="88" t="str">
        <f t="shared" si="98"/>
        <v/>
      </c>
      <c r="N596" s="30"/>
      <c r="O596" s="31"/>
      <c r="P596" s="53"/>
      <c r="Q596" s="33"/>
      <c r="R596" s="54" t="str">
        <f t="shared" si="99"/>
        <v/>
      </c>
      <c r="S596" s="30"/>
      <c r="T596" s="33"/>
    </row>
    <row r="597" spans="1:20" x14ac:dyDescent="0.25">
      <c r="A597" s="30"/>
      <c r="B597" s="84" t="str">
        <f t="shared" si="90"/>
        <v/>
      </c>
      <c r="C597" s="30"/>
      <c r="D597" s="85" t="str">
        <f t="shared" si="91"/>
        <v/>
      </c>
      <c r="E597" s="85" t="str">
        <f t="shared" si="92"/>
        <v/>
      </c>
      <c r="F597" s="85" t="str">
        <f t="shared" si="93"/>
        <v/>
      </c>
      <c r="G597" s="86" t="str">
        <f t="shared" si="94"/>
        <v/>
      </c>
      <c r="H597" s="30"/>
      <c r="I597" s="87" t="str">
        <f t="shared" si="95"/>
        <v/>
      </c>
      <c r="J597" s="85" t="str">
        <f t="shared" si="96"/>
        <v/>
      </c>
      <c r="K597" s="49"/>
      <c r="L597" s="88" t="str">
        <f t="shared" si="97"/>
        <v/>
      </c>
      <c r="M597" s="88" t="str">
        <f t="shared" si="98"/>
        <v/>
      </c>
      <c r="N597" s="30"/>
      <c r="O597" s="31"/>
      <c r="P597" s="53"/>
      <c r="Q597" s="33"/>
      <c r="R597" s="54" t="str">
        <f t="shared" si="99"/>
        <v/>
      </c>
      <c r="S597" s="30"/>
      <c r="T597" s="33"/>
    </row>
    <row r="598" spans="1:20" x14ac:dyDescent="0.25">
      <c r="A598" s="30"/>
      <c r="B598" s="84" t="str">
        <f t="shared" si="90"/>
        <v/>
      </c>
      <c r="C598" s="30"/>
      <c r="D598" s="85" t="str">
        <f t="shared" si="91"/>
        <v/>
      </c>
      <c r="E598" s="85" t="str">
        <f t="shared" si="92"/>
        <v/>
      </c>
      <c r="F598" s="85" t="str">
        <f t="shared" si="93"/>
        <v/>
      </c>
      <c r="G598" s="86" t="str">
        <f t="shared" si="94"/>
        <v/>
      </c>
      <c r="H598" s="30"/>
      <c r="I598" s="87" t="str">
        <f t="shared" si="95"/>
        <v/>
      </c>
      <c r="J598" s="85" t="str">
        <f t="shared" si="96"/>
        <v/>
      </c>
      <c r="K598" s="49"/>
      <c r="L598" s="88" t="str">
        <f t="shared" si="97"/>
        <v/>
      </c>
      <c r="M598" s="88" t="str">
        <f t="shared" si="98"/>
        <v/>
      </c>
      <c r="N598" s="30"/>
      <c r="O598" s="31"/>
      <c r="P598" s="53"/>
      <c r="Q598" s="33"/>
      <c r="R598" s="54" t="str">
        <f t="shared" si="99"/>
        <v/>
      </c>
      <c r="S598" s="30"/>
      <c r="T598" s="33"/>
    </row>
    <row r="599" spans="1:20" x14ac:dyDescent="0.25">
      <c r="A599" s="30"/>
      <c r="B599" s="84" t="str">
        <f t="shared" si="90"/>
        <v/>
      </c>
      <c r="C599" s="30"/>
      <c r="D599" s="85" t="str">
        <f t="shared" si="91"/>
        <v/>
      </c>
      <c r="E599" s="85" t="str">
        <f t="shared" si="92"/>
        <v/>
      </c>
      <c r="F599" s="85" t="str">
        <f t="shared" si="93"/>
        <v/>
      </c>
      <c r="G599" s="86" t="str">
        <f t="shared" si="94"/>
        <v/>
      </c>
      <c r="H599" s="30"/>
      <c r="I599" s="87" t="str">
        <f t="shared" si="95"/>
        <v/>
      </c>
      <c r="J599" s="85" t="str">
        <f t="shared" si="96"/>
        <v/>
      </c>
      <c r="K599" s="49"/>
      <c r="L599" s="88" t="str">
        <f t="shared" si="97"/>
        <v/>
      </c>
      <c r="M599" s="88" t="str">
        <f t="shared" si="98"/>
        <v/>
      </c>
      <c r="N599" s="30"/>
      <c r="O599" s="31"/>
      <c r="P599" s="53"/>
      <c r="Q599" s="33"/>
      <c r="R599" s="54" t="str">
        <f t="shared" si="99"/>
        <v/>
      </c>
      <c r="S599" s="30"/>
      <c r="T599" s="33"/>
    </row>
    <row r="600" spans="1:20" x14ac:dyDescent="0.25">
      <c r="A600" s="30"/>
      <c r="B600" s="84" t="str">
        <f t="shared" si="90"/>
        <v/>
      </c>
      <c r="C600" s="30"/>
      <c r="D600" s="85" t="str">
        <f t="shared" si="91"/>
        <v/>
      </c>
      <c r="E600" s="85" t="str">
        <f t="shared" si="92"/>
        <v/>
      </c>
      <c r="F600" s="85" t="str">
        <f t="shared" si="93"/>
        <v/>
      </c>
      <c r="G600" s="86" t="str">
        <f t="shared" si="94"/>
        <v/>
      </c>
      <c r="H600" s="30"/>
      <c r="I600" s="87" t="str">
        <f t="shared" si="95"/>
        <v/>
      </c>
      <c r="J600" s="85" t="str">
        <f t="shared" si="96"/>
        <v/>
      </c>
      <c r="K600" s="49"/>
      <c r="L600" s="88" t="str">
        <f t="shared" si="97"/>
        <v/>
      </c>
      <c r="M600" s="88" t="str">
        <f t="shared" si="98"/>
        <v/>
      </c>
      <c r="N600" s="30"/>
      <c r="O600" s="31"/>
      <c r="P600" s="53"/>
      <c r="Q600" s="33"/>
      <c r="R600" s="54" t="str">
        <f t="shared" si="99"/>
        <v/>
      </c>
      <c r="S600" s="30"/>
      <c r="T600" s="33"/>
    </row>
    <row r="601" spans="1:20" x14ac:dyDescent="0.25">
      <c r="A601" s="30"/>
      <c r="B601" s="84" t="str">
        <f t="shared" si="90"/>
        <v/>
      </c>
      <c r="C601" s="30"/>
      <c r="D601" s="85" t="str">
        <f t="shared" si="91"/>
        <v/>
      </c>
      <c r="E601" s="85" t="str">
        <f t="shared" si="92"/>
        <v/>
      </c>
      <c r="F601" s="85" t="str">
        <f t="shared" si="93"/>
        <v/>
      </c>
      <c r="G601" s="86" t="str">
        <f t="shared" si="94"/>
        <v/>
      </c>
      <c r="H601" s="30"/>
      <c r="I601" s="87" t="str">
        <f t="shared" si="95"/>
        <v/>
      </c>
      <c r="J601" s="85" t="str">
        <f t="shared" si="96"/>
        <v/>
      </c>
      <c r="K601" s="49"/>
      <c r="L601" s="88" t="str">
        <f t="shared" si="97"/>
        <v/>
      </c>
      <c r="M601" s="88" t="str">
        <f t="shared" si="98"/>
        <v/>
      </c>
      <c r="N601" s="30"/>
      <c r="O601" s="31"/>
      <c r="P601" s="53"/>
      <c r="Q601" s="33"/>
      <c r="R601" s="54" t="str">
        <f t="shared" si="99"/>
        <v/>
      </c>
      <c r="S601" s="30"/>
      <c r="T601" s="33"/>
    </row>
    <row r="602" spans="1:20" x14ac:dyDescent="0.25">
      <c r="A602" s="30"/>
      <c r="B602" s="84" t="str">
        <f t="shared" si="90"/>
        <v/>
      </c>
      <c r="C602" s="30"/>
      <c r="D602" s="85" t="str">
        <f t="shared" si="91"/>
        <v/>
      </c>
      <c r="E602" s="85" t="str">
        <f t="shared" si="92"/>
        <v/>
      </c>
      <c r="F602" s="85" t="str">
        <f t="shared" si="93"/>
        <v/>
      </c>
      <c r="G602" s="86" t="str">
        <f t="shared" si="94"/>
        <v/>
      </c>
      <c r="H602" s="30"/>
      <c r="I602" s="87" t="str">
        <f t="shared" si="95"/>
        <v/>
      </c>
      <c r="J602" s="85" t="str">
        <f t="shared" si="96"/>
        <v/>
      </c>
      <c r="K602" s="49"/>
      <c r="L602" s="88" t="str">
        <f t="shared" si="97"/>
        <v/>
      </c>
      <c r="M602" s="88" t="str">
        <f t="shared" si="98"/>
        <v/>
      </c>
      <c r="N602" s="30"/>
      <c r="O602" s="31"/>
      <c r="P602" s="53"/>
      <c r="Q602" s="33"/>
      <c r="R602" s="54" t="str">
        <f t="shared" si="99"/>
        <v/>
      </c>
      <c r="S602" s="30"/>
      <c r="T602" s="33"/>
    </row>
    <row r="603" spans="1:20" x14ac:dyDescent="0.25">
      <c r="A603" s="30"/>
      <c r="B603" s="84" t="str">
        <f t="shared" si="90"/>
        <v/>
      </c>
      <c r="C603" s="30"/>
      <c r="D603" s="85" t="str">
        <f t="shared" si="91"/>
        <v/>
      </c>
      <c r="E603" s="85" t="str">
        <f t="shared" si="92"/>
        <v/>
      </c>
      <c r="F603" s="85" t="str">
        <f t="shared" si="93"/>
        <v/>
      </c>
      <c r="G603" s="86" t="str">
        <f t="shared" si="94"/>
        <v/>
      </c>
      <c r="H603" s="30"/>
      <c r="I603" s="87" t="str">
        <f t="shared" si="95"/>
        <v/>
      </c>
      <c r="J603" s="85" t="str">
        <f t="shared" si="96"/>
        <v/>
      </c>
      <c r="K603" s="49"/>
      <c r="L603" s="88" t="str">
        <f t="shared" si="97"/>
        <v/>
      </c>
      <c r="M603" s="88" t="str">
        <f t="shared" si="98"/>
        <v/>
      </c>
      <c r="N603" s="30"/>
      <c r="O603" s="31"/>
      <c r="P603" s="53"/>
      <c r="Q603" s="33"/>
      <c r="R603" s="54" t="str">
        <f t="shared" si="99"/>
        <v/>
      </c>
      <c r="S603" s="30"/>
      <c r="T603" s="33"/>
    </row>
    <row r="604" spans="1:20" x14ac:dyDescent="0.25">
      <c r="A604" s="30"/>
      <c r="B604" s="84" t="str">
        <f t="shared" si="90"/>
        <v/>
      </c>
      <c r="C604" s="30"/>
      <c r="D604" s="85" t="str">
        <f t="shared" si="91"/>
        <v/>
      </c>
      <c r="E604" s="85" t="str">
        <f t="shared" si="92"/>
        <v/>
      </c>
      <c r="F604" s="85" t="str">
        <f t="shared" si="93"/>
        <v/>
      </c>
      <c r="G604" s="86" t="str">
        <f t="shared" si="94"/>
        <v/>
      </c>
      <c r="H604" s="30"/>
      <c r="I604" s="87" t="str">
        <f t="shared" si="95"/>
        <v/>
      </c>
      <c r="J604" s="85" t="str">
        <f t="shared" si="96"/>
        <v/>
      </c>
      <c r="K604" s="49"/>
      <c r="L604" s="88" t="str">
        <f t="shared" si="97"/>
        <v/>
      </c>
      <c r="M604" s="88" t="str">
        <f t="shared" si="98"/>
        <v/>
      </c>
      <c r="N604" s="30"/>
      <c r="O604" s="31"/>
      <c r="P604" s="53"/>
      <c r="Q604" s="33"/>
      <c r="R604" s="54" t="str">
        <f t="shared" si="99"/>
        <v/>
      </c>
      <c r="S604" s="30"/>
      <c r="T604" s="33"/>
    </row>
    <row r="605" spans="1:20" x14ac:dyDescent="0.25">
      <c r="A605" s="30"/>
      <c r="B605" s="84" t="str">
        <f t="shared" si="90"/>
        <v/>
      </c>
      <c r="C605" s="30"/>
      <c r="D605" s="85" t="str">
        <f t="shared" si="91"/>
        <v/>
      </c>
      <c r="E605" s="85" t="str">
        <f t="shared" si="92"/>
        <v/>
      </c>
      <c r="F605" s="85" t="str">
        <f t="shared" si="93"/>
        <v/>
      </c>
      <c r="G605" s="86" t="str">
        <f t="shared" si="94"/>
        <v/>
      </c>
      <c r="H605" s="30"/>
      <c r="I605" s="87" t="str">
        <f t="shared" si="95"/>
        <v/>
      </c>
      <c r="J605" s="85" t="str">
        <f t="shared" si="96"/>
        <v/>
      </c>
      <c r="K605" s="49"/>
      <c r="L605" s="88" t="str">
        <f t="shared" si="97"/>
        <v/>
      </c>
      <c r="M605" s="88" t="str">
        <f t="shared" si="98"/>
        <v/>
      </c>
      <c r="N605" s="30"/>
      <c r="O605" s="31"/>
      <c r="P605" s="53"/>
      <c r="Q605" s="33"/>
      <c r="R605" s="54" t="str">
        <f t="shared" si="99"/>
        <v/>
      </c>
      <c r="S605" s="30"/>
      <c r="T605" s="33"/>
    </row>
    <row r="606" spans="1:20" x14ac:dyDescent="0.25">
      <c r="A606" s="30"/>
      <c r="B606" s="84" t="str">
        <f t="shared" si="90"/>
        <v/>
      </c>
      <c r="C606" s="30"/>
      <c r="D606" s="85" t="str">
        <f t="shared" si="91"/>
        <v/>
      </c>
      <c r="E606" s="85" t="str">
        <f t="shared" si="92"/>
        <v/>
      </c>
      <c r="F606" s="85" t="str">
        <f t="shared" si="93"/>
        <v/>
      </c>
      <c r="G606" s="86" t="str">
        <f t="shared" si="94"/>
        <v/>
      </c>
      <c r="H606" s="30"/>
      <c r="I606" s="87" t="str">
        <f t="shared" si="95"/>
        <v/>
      </c>
      <c r="J606" s="85" t="str">
        <f t="shared" si="96"/>
        <v/>
      </c>
      <c r="K606" s="49"/>
      <c r="L606" s="88" t="str">
        <f t="shared" si="97"/>
        <v/>
      </c>
      <c r="M606" s="88" t="str">
        <f t="shared" si="98"/>
        <v/>
      </c>
      <c r="N606" s="30"/>
      <c r="O606" s="31"/>
      <c r="P606" s="53"/>
      <c r="Q606" s="33"/>
      <c r="R606" s="54" t="str">
        <f t="shared" si="99"/>
        <v/>
      </c>
      <c r="S606" s="30"/>
      <c r="T606" s="33"/>
    </row>
    <row r="607" spans="1:20" x14ac:dyDescent="0.25">
      <c r="A607" s="30"/>
      <c r="B607" s="84" t="str">
        <f t="shared" si="90"/>
        <v/>
      </c>
      <c r="C607" s="30"/>
      <c r="D607" s="85" t="str">
        <f t="shared" si="91"/>
        <v/>
      </c>
      <c r="E607" s="85" t="str">
        <f t="shared" si="92"/>
        <v/>
      </c>
      <c r="F607" s="85" t="str">
        <f t="shared" si="93"/>
        <v/>
      </c>
      <c r="G607" s="86" t="str">
        <f t="shared" si="94"/>
        <v/>
      </c>
      <c r="H607" s="30"/>
      <c r="I607" s="87" t="str">
        <f t="shared" si="95"/>
        <v/>
      </c>
      <c r="J607" s="85" t="str">
        <f t="shared" si="96"/>
        <v/>
      </c>
      <c r="K607" s="49"/>
      <c r="L607" s="88" t="str">
        <f t="shared" si="97"/>
        <v/>
      </c>
      <c r="M607" s="88" t="str">
        <f t="shared" si="98"/>
        <v/>
      </c>
      <c r="N607" s="30"/>
      <c r="O607" s="31"/>
      <c r="P607" s="53"/>
      <c r="Q607" s="33"/>
      <c r="R607" s="54" t="str">
        <f t="shared" si="99"/>
        <v/>
      </c>
      <c r="S607" s="30"/>
      <c r="T607" s="33"/>
    </row>
    <row r="608" spans="1:20" x14ac:dyDescent="0.25">
      <c r="A608" s="30"/>
      <c r="B608" s="84" t="str">
        <f t="shared" si="90"/>
        <v/>
      </c>
      <c r="C608" s="30"/>
      <c r="D608" s="85" t="str">
        <f t="shared" si="91"/>
        <v/>
      </c>
      <c r="E608" s="85" t="str">
        <f t="shared" si="92"/>
        <v/>
      </c>
      <c r="F608" s="85" t="str">
        <f t="shared" si="93"/>
        <v/>
      </c>
      <c r="G608" s="86" t="str">
        <f t="shared" si="94"/>
        <v/>
      </c>
      <c r="H608" s="30"/>
      <c r="I608" s="87" t="str">
        <f t="shared" si="95"/>
        <v/>
      </c>
      <c r="J608" s="85" t="str">
        <f t="shared" si="96"/>
        <v/>
      </c>
      <c r="K608" s="49"/>
      <c r="L608" s="88" t="str">
        <f t="shared" si="97"/>
        <v/>
      </c>
      <c r="M608" s="88" t="str">
        <f t="shared" si="98"/>
        <v/>
      </c>
      <c r="N608" s="30"/>
      <c r="O608" s="31"/>
      <c r="P608" s="53"/>
      <c r="Q608" s="33"/>
      <c r="R608" s="54" t="str">
        <f t="shared" si="99"/>
        <v/>
      </c>
      <c r="S608" s="30"/>
      <c r="T608" s="33"/>
    </row>
    <row r="609" spans="1:20" x14ac:dyDescent="0.25">
      <c r="A609" s="30"/>
      <c r="B609" s="84" t="str">
        <f t="shared" si="90"/>
        <v/>
      </c>
      <c r="C609" s="30"/>
      <c r="D609" s="85" t="str">
        <f t="shared" si="91"/>
        <v/>
      </c>
      <c r="E609" s="85" t="str">
        <f t="shared" si="92"/>
        <v/>
      </c>
      <c r="F609" s="85" t="str">
        <f t="shared" si="93"/>
        <v/>
      </c>
      <c r="G609" s="86" t="str">
        <f t="shared" si="94"/>
        <v/>
      </c>
      <c r="H609" s="30"/>
      <c r="I609" s="87" t="str">
        <f t="shared" si="95"/>
        <v/>
      </c>
      <c r="J609" s="85" t="str">
        <f t="shared" si="96"/>
        <v/>
      </c>
      <c r="K609" s="49"/>
      <c r="L609" s="88" t="str">
        <f t="shared" si="97"/>
        <v/>
      </c>
      <c r="M609" s="88" t="str">
        <f t="shared" si="98"/>
        <v/>
      </c>
      <c r="N609" s="30"/>
      <c r="O609" s="31"/>
      <c r="P609" s="53"/>
      <c r="Q609" s="33"/>
      <c r="R609" s="54" t="str">
        <f t="shared" si="99"/>
        <v/>
      </c>
      <c r="S609" s="30"/>
      <c r="T609" s="33"/>
    </row>
    <row r="610" spans="1:20" x14ac:dyDescent="0.25">
      <c r="A610" s="30"/>
      <c r="B610" s="84" t="str">
        <f t="shared" si="90"/>
        <v/>
      </c>
      <c r="C610" s="30"/>
      <c r="D610" s="85" t="str">
        <f t="shared" si="91"/>
        <v/>
      </c>
      <c r="E610" s="85" t="str">
        <f t="shared" si="92"/>
        <v/>
      </c>
      <c r="F610" s="85" t="str">
        <f t="shared" si="93"/>
        <v/>
      </c>
      <c r="G610" s="86" t="str">
        <f t="shared" si="94"/>
        <v/>
      </c>
      <c r="H610" s="30"/>
      <c r="I610" s="87" t="str">
        <f t="shared" si="95"/>
        <v/>
      </c>
      <c r="J610" s="85" t="str">
        <f t="shared" si="96"/>
        <v/>
      </c>
      <c r="K610" s="49"/>
      <c r="L610" s="88" t="str">
        <f t="shared" si="97"/>
        <v/>
      </c>
      <c r="M610" s="88" t="str">
        <f t="shared" si="98"/>
        <v/>
      </c>
      <c r="N610" s="30"/>
      <c r="O610" s="31"/>
      <c r="P610" s="53"/>
      <c r="Q610" s="33"/>
      <c r="R610" s="54" t="str">
        <f t="shared" si="99"/>
        <v/>
      </c>
      <c r="S610" s="30"/>
      <c r="T610" s="33"/>
    </row>
    <row r="611" spans="1:20" x14ac:dyDescent="0.25">
      <c r="A611" s="30"/>
      <c r="B611" s="84" t="str">
        <f t="shared" si="90"/>
        <v/>
      </c>
      <c r="C611" s="30"/>
      <c r="D611" s="85" t="str">
        <f t="shared" si="91"/>
        <v/>
      </c>
      <c r="E611" s="85" t="str">
        <f t="shared" si="92"/>
        <v/>
      </c>
      <c r="F611" s="85" t="str">
        <f t="shared" si="93"/>
        <v/>
      </c>
      <c r="G611" s="86" t="str">
        <f t="shared" si="94"/>
        <v/>
      </c>
      <c r="H611" s="30"/>
      <c r="I611" s="87" t="str">
        <f t="shared" si="95"/>
        <v/>
      </c>
      <c r="J611" s="85" t="str">
        <f t="shared" si="96"/>
        <v/>
      </c>
      <c r="K611" s="49"/>
      <c r="L611" s="88" t="str">
        <f t="shared" si="97"/>
        <v/>
      </c>
      <c r="M611" s="88" t="str">
        <f t="shared" si="98"/>
        <v/>
      </c>
      <c r="N611" s="30"/>
      <c r="O611" s="31"/>
      <c r="P611" s="53"/>
      <c r="Q611" s="33"/>
      <c r="R611" s="54" t="str">
        <f t="shared" si="99"/>
        <v/>
      </c>
      <c r="S611" s="30"/>
      <c r="T611" s="33"/>
    </row>
    <row r="612" spans="1:20" x14ac:dyDescent="0.25">
      <c r="A612" s="30"/>
      <c r="B612" s="84" t="str">
        <f t="shared" si="90"/>
        <v/>
      </c>
      <c r="C612" s="30"/>
      <c r="D612" s="85" t="str">
        <f t="shared" si="91"/>
        <v/>
      </c>
      <c r="E612" s="85" t="str">
        <f t="shared" si="92"/>
        <v/>
      </c>
      <c r="F612" s="85" t="str">
        <f t="shared" si="93"/>
        <v/>
      </c>
      <c r="G612" s="86" t="str">
        <f t="shared" si="94"/>
        <v/>
      </c>
      <c r="H612" s="30"/>
      <c r="I612" s="87" t="str">
        <f t="shared" si="95"/>
        <v/>
      </c>
      <c r="J612" s="85" t="str">
        <f t="shared" si="96"/>
        <v/>
      </c>
      <c r="K612" s="49"/>
      <c r="L612" s="88" t="str">
        <f t="shared" si="97"/>
        <v/>
      </c>
      <c r="M612" s="88" t="str">
        <f t="shared" si="98"/>
        <v/>
      </c>
      <c r="N612" s="30"/>
      <c r="O612" s="31"/>
      <c r="P612" s="53"/>
      <c r="Q612" s="33"/>
      <c r="R612" s="54" t="str">
        <f t="shared" si="99"/>
        <v/>
      </c>
      <c r="S612" s="30"/>
      <c r="T612" s="33"/>
    </row>
    <row r="613" spans="1:20" x14ac:dyDescent="0.25">
      <c r="A613" s="30"/>
      <c r="B613" s="84" t="str">
        <f t="shared" si="90"/>
        <v/>
      </c>
      <c r="C613" s="30"/>
      <c r="D613" s="85" t="str">
        <f t="shared" si="91"/>
        <v/>
      </c>
      <c r="E613" s="85" t="str">
        <f t="shared" si="92"/>
        <v/>
      </c>
      <c r="F613" s="85" t="str">
        <f t="shared" si="93"/>
        <v/>
      </c>
      <c r="G613" s="86" t="str">
        <f t="shared" si="94"/>
        <v/>
      </c>
      <c r="H613" s="30"/>
      <c r="I613" s="87" t="str">
        <f t="shared" si="95"/>
        <v/>
      </c>
      <c r="J613" s="85" t="str">
        <f t="shared" si="96"/>
        <v/>
      </c>
      <c r="K613" s="49"/>
      <c r="L613" s="88" t="str">
        <f t="shared" si="97"/>
        <v/>
      </c>
      <c r="M613" s="88" t="str">
        <f t="shared" si="98"/>
        <v/>
      </c>
      <c r="N613" s="30"/>
      <c r="O613" s="31"/>
      <c r="P613" s="53"/>
      <c r="Q613" s="33"/>
      <c r="R613" s="54" t="str">
        <f t="shared" si="99"/>
        <v/>
      </c>
      <c r="S613" s="30"/>
      <c r="T613" s="33"/>
    </row>
    <row r="614" spans="1:20" x14ac:dyDescent="0.25">
      <c r="A614" s="30"/>
      <c r="B614" s="84" t="str">
        <f t="shared" si="90"/>
        <v/>
      </c>
      <c r="C614" s="30"/>
      <c r="D614" s="85" t="str">
        <f t="shared" si="91"/>
        <v/>
      </c>
      <c r="E614" s="85" t="str">
        <f t="shared" si="92"/>
        <v/>
      </c>
      <c r="F614" s="85" t="str">
        <f t="shared" si="93"/>
        <v/>
      </c>
      <c r="G614" s="86" t="str">
        <f t="shared" si="94"/>
        <v/>
      </c>
      <c r="H614" s="30"/>
      <c r="I614" s="87" t="str">
        <f t="shared" si="95"/>
        <v/>
      </c>
      <c r="J614" s="85" t="str">
        <f t="shared" si="96"/>
        <v/>
      </c>
      <c r="K614" s="49"/>
      <c r="L614" s="88" t="str">
        <f t="shared" si="97"/>
        <v/>
      </c>
      <c r="M614" s="88" t="str">
        <f t="shared" si="98"/>
        <v/>
      </c>
      <c r="N614" s="30"/>
      <c r="O614" s="31"/>
      <c r="P614" s="53"/>
      <c r="Q614" s="33"/>
      <c r="R614" s="54" t="str">
        <f t="shared" si="99"/>
        <v/>
      </c>
      <c r="S614" s="30"/>
      <c r="T614" s="33"/>
    </row>
    <row r="615" spans="1:20" x14ac:dyDescent="0.25">
      <c r="A615" s="30"/>
      <c r="B615" s="84" t="str">
        <f t="shared" si="90"/>
        <v/>
      </c>
      <c r="C615" s="30"/>
      <c r="D615" s="85" t="str">
        <f t="shared" si="91"/>
        <v/>
      </c>
      <c r="E615" s="85" t="str">
        <f t="shared" si="92"/>
        <v/>
      </c>
      <c r="F615" s="85" t="str">
        <f t="shared" si="93"/>
        <v/>
      </c>
      <c r="G615" s="86" t="str">
        <f t="shared" si="94"/>
        <v/>
      </c>
      <c r="H615" s="30"/>
      <c r="I615" s="87" t="str">
        <f t="shared" si="95"/>
        <v/>
      </c>
      <c r="J615" s="85" t="str">
        <f t="shared" si="96"/>
        <v/>
      </c>
      <c r="K615" s="49"/>
      <c r="L615" s="88" t="str">
        <f t="shared" si="97"/>
        <v/>
      </c>
      <c r="M615" s="88" t="str">
        <f t="shared" si="98"/>
        <v/>
      </c>
      <c r="N615" s="30"/>
      <c r="O615" s="31"/>
      <c r="P615" s="53"/>
      <c r="Q615" s="33"/>
      <c r="R615" s="54" t="str">
        <f t="shared" si="99"/>
        <v/>
      </c>
      <c r="S615" s="30"/>
      <c r="T615" s="33"/>
    </row>
    <row r="616" spans="1:20" x14ac:dyDescent="0.25">
      <c r="A616" s="30"/>
      <c r="B616" s="84" t="str">
        <f t="shared" si="90"/>
        <v/>
      </c>
      <c r="C616" s="30"/>
      <c r="D616" s="85" t="str">
        <f t="shared" si="91"/>
        <v/>
      </c>
      <c r="E616" s="85" t="str">
        <f t="shared" si="92"/>
        <v/>
      </c>
      <c r="F616" s="85" t="str">
        <f t="shared" si="93"/>
        <v/>
      </c>
      <c r="G616" s="86" t="str">
        <f t="shared" si="94"/>
        <v/>
      </c>
      <c r="H616" s="30"/>
      <c r="I616" s="87" t="str">
        <f t="shared" si="95"/>
        <v/>
      </c>
      <c r="J616" s="85" t="str">
        <f t="shared" si="96"/>
        <v/>
      </c>
      <c r="K616" s="49"/>
      <c r="L616" s="88" t="str">
        <f t="shared" si="97"/>
        <v/>
      </c>
      <c r="M616" s="88" t="str">
        <f t="shared" si="98"/>
        <v/>
      </c>
      <c r="N616" s="30"/>
      <c r="O616" s="31"/>
      <c r="P616" s="53"/>
      <c r="Q616" s="33"/>
      <c r="R616" s="54" t="str">
        <f t="shared" si="99"/>
        <v/>
      </c>
      <c r="S616" s="30"/>
      <c r="T616" s="33"/>
    </row>
    <row r="617" spans="1:20" x14ac:dyDescent="0.25">
      <c r="A617" s="30"/>
      <c r="B617" s="84" t="str">
        <f t="shared" si="90"/>
        <v/>
      </c>
      <c r="C617" s="30"/>
      <c r="D617" s="85" t="str">
        <f t="shared" si="91"/>
        <v/>
      </c>
      <c r="E617" s="85" t="str">
        <f t="shared" si="92"/>
        <v/>
      </c>
      <c r="F617" s="85" t="str">
        <f t="shared" si="93"/>
        <v/>
      </c>
      <c r="G617" s="86" t="str">
        <f t="shared" si="94"/>
        <v/>
      </c>
      <c r="H617" s="30"/>
      <c r="I617" s="87" t="str">
        <f t="shared" si="95"/>
        <v/>
      </c>
      <c r="J617" s="85" t="str">
        <f t="shared" si="96"/>
        <v/>
      </c>
      <c r="K617" s="49"/>
      <c r="L617" s="88" t="str">
        <f t="shared" si="97"/>
        <v/>
      </c>
      <c r="M617" s="88" t="str">
        <f t="shared" si="98"/>
        <v/>
      </c>
      <c r="N617" s="30"/>
      <c r="O617" s="31"/>
      <c r="P617" s="53"/>
      <c r="Q617" s="33"/>
      <c r="R617" s="54" t="str">
        <f t="shared" si="99"/>
        <v/>
      </c>
      <c r="S617" s="30"/>
      <c r="T617" s="33"/>
    </row>
    <row r="618" spans="1:20" x14ac:dyDescent="0.25">
      <c r="A618" s="30"/>
      <c r="B618" s="84" t="str">
        <f t="shared" si="90"/>
        <v/>
      </c>
      <c r="C618" s="30"/>
      <c r="D618" s="85" t="str">
        <f t="shared" si="91"/>
        <v/>
      </c>
      <c r="E618" s="85" t="str">
        <f t="shared" si="92"/>
        <v/>
      </c>
      <c r="F618" s="85" t="str">
        <f t="shared" si="93"/>
        <v/>
      </c>
      <c r="G618" s="86" t="str">
        <f t="shared" si="94"/>
        <v/>
      </c>
      <c r="H618" s="30"/>
      <c r="I618" s="87" t="str">
        <f t="shared" si="95"/>
        <v/>
      </c>
      <c r="J618" s="85" t="str">
        <f t="shared" si="96"/>
        <v/>
      </c>
      <c r="K618" s="49"/>
      <c r="L618" s="88" t="str">
        <f t="shared" si="97"/>
        <v/>
      </c>
      <c r="M618" s="88" t="str">
        <f t="shared" si="98"/>
        <v/>
      </c>
      <c r="N618" s="30"/>
      <c r="O618" s="31"/>
      <c r="P618" s="53"/>
      <c r="Q618" s="33"/>
      <c r="R618" s="54" t="str">
        <f t="shared" si="99"/>
        <v/>
      </c>
      <c r="S618" s="30"/>
      <c r="T618" s="33"/>
    </row>
    <row r="619" spans="1:20" x14ac:dyDescent="0.25">
      <c r="A619" s="30"/>
      <c r="B619" s="37" t="str">
        <f t="shared" si="90"/>
        <v/>
      </c>
      <c r="C619" s="30"/>
      <c r="D619" s="34" t="str">
        <f t="shared" si="91"/>
        <v/>
      </c>
      <c r="E619" s="34" t="str">
        <f t="shared" si="92"/>
        <v/>
      </c>
      <c r="F619" s="34" t="str">
        <f t="shared" si="93"/>
        <v/>
      </c>
      <c r="G619" s="35" t="str">
        <f t="shared" si="94"/>
        <v/>
      </c>
      <c r="H619" s="30"/>
      <c r="I619" s="36" t="str">
        <f t="shared" si="95"/>
        <v/>
      </c>
      <c r="J619" s="34" t="str">
        <f t="shared" si="96"/>
        <v/>
      </c>
      <c r="K619" s="49"/>
      <c r="L619" s="55" t="str">
        <f t="shared" si="97"/>
        <v/>
      </c>
      <c r="M619" s="54" t="str">
        <f t="shared" si="98"/>
        <v/>
      </c>
      <c r="N619" s="30"/>
      <c r="O619" s="31"/>
      <c r="P619" s="53"/>
      <c r="Q619" s="33"/>
      <c r="R619" s="54" t="str">
        <f t="shared" si="99"/>
        <v/>
      </c>
      <c r="S619" s="30"/>
      <c r="T619" s="33"/>
    </row>
    <row r="620" spans="1:20" x14ac:dyDescent="0.25">
      <c r="A620" s="30"/>
      <c r="B620" s="37" t="str">
        <f t="shared" si="90"/>
        <v/>
      </c>
      <c r="C620" s="30"/>
      <c r="D620" s="34" t="str">
        <f t="shared" si="91"/>
        <v/>
      </c>
      <c r="E620" s="34" t="str">
        <f t="shared" si="92"/>
        <v/>
      </c>
      <c r="F620" s="34" t="str">
        <f t="shared" si="93"/>
        <v/>
      </c>
      <c r="G620" s="35" t="str">
        <f t="shared" si="94"/>
        <v/>
      </c>
      <c r="H620" s="30"/>
      <c r="I620" s="36" t="str">
        <f t="shared" si="95"/>
        <v/>
      </c>
      <c r="J620" s="34" t="str">
        <f t="shared" si="96"/>
        <v/>
      </c>
      <c r="K620" s="49"/>
      <c r="L620" s="55" t="str">
        <f t="shared" si="97"/>
        <v/>
      </c>
      <c r="M620" s="54" t="str">
        <f t="shared" si="98"/>
        <v/>
      </c>
      <c r="N620" s="30"/>
      <c r="O620" s="31"/>
      <c r="P620" s="53"/>
      <c r="Q620" s="33"/>
      <c r="R620" s="54" t="str">
        <f t="shared" si="99"/>
        <v/>
      </c>
      <c r="S620" s="30"/>
      <c r="T620" s="33"/>
    </row>
    <row r="621" spans="1:20" x14ac:dyDescent="0.25">
      <c r="A621" s="30"/>
      <c r="B621" s="37" t="str">
        <f t="shared" si="90"/>
        <v/>
      </c>
      <c r="C621" s="30"/>
      <c r="D621" s="34" t="str">
        <f t="shared" si="91"/>
        <v/>
      </c>
      <c r="E621" s="34" t="str">
        <f t="shared" si="92"/>
        <v/>
      </c>
      <c r="F621" s="34" t="str">
        <f t="shared" si="93"/>
        <v/>
      </c>
      <c r="G621" s="35" t="str">
        <f t="shared" si="94"/>
        <v/>
      </c>
      <c r="H621" s="30"/>
      <c r="I621" s="36" t="str">
        <f t="shared" si="95"/>
        <v/>
      </c>
      <c r="J621" s="34" t="str">
        <f t="shared" si="96"/>
        <v/>
      </c>
      <c r="K621" s="49"/>
      <c r="L621" s="55" t="str">
        <f t="shared" si="97"/>
        <v/>
      </c>
      <c r="M621" s="54" t="str">
        <f t="shared" si="98"/>
        <v/>
      </c>
      <c r="N621" s="30"/>
      <c r="O621" s="31"/>
      <c r="P621" s="53"/>
      <c r="Q621" s="33"/>
      <c r="R621" s="54" t="str">
        <f t="shared" si="99"/>
        <v/>
      </c>
      <c r="S621" s="30"/>
      <c r="T621" s="33"/>
    </row>
    <row r="622" spans="1:20" x14ac:dyDescent="0.25">
      <c r="A622" s="30"/>
      <c r="B622" s="37" t="str">
        <f t="shared" si="90"/>
        <v/>
      </c>
      <c r="C622" s="30"/>
      <c r="D622" s="34" t="str">
        <f t="shared" si="91"/>
        <v/>
      </c>
      <c r="E622" s="34" t="str">
        <f t="shared" si="92"/>
        <v/>
      </c>
      <c r="F622" s="34" t="str">
        <f t="shared" si="93"/>
        <v/>
      </c>
      <c r="G622" s="35" t="str">
        <f t="shared" si="94"/>
        <v/>
      </c>
      <c r="H622" s="30"/>
      <c r="I622" s="36" t="str">
        <f t="shared" si="95"/>
        <v/>
      </c>
      <c r="J622" s="34" t="str">
        <f t="shared" si="96"/>
        <v/>
      </c>
      <c r="K622" s="49"/>
      <c r="L622" s="55" t="str">
        <f t="shared" si="97"/>
        <v/>
      </c>
      <c r="M622" s="54" t="str">
        <f t="shared" si="98"/>
        <v/>
      </c>
      <c r="N622" s="30"/>
      <c r="O622" s="31"/>
      <c r="P622" s="53"/>
      <c r="Q622" s="33"/>
      <c r="R622" s="54" t="str">
        <f t="shared" si="99"/>
        <v/>
      </c>
      <c r="S622" s="30"/>
      <c r="T622" s="33"/>
    </row>
    <row r="623" spans="1:20" x14ac:dyDescent="0.25">
      <c r="A623" s="30"/>
      <c r="B623" s="37" t="str">
        <f t="shared" si="90"/>
        <v/>
      </c>
      <c r="C623" s="30"/>
      <c r="D623" s="34" t="str">
        <f t="shared" si="91"/>
        <v/>
      </c>
      <c r="E623" s="34" t="str">
        <f t="shared" si="92"/>
        <v/>
      </c>
      <c r="F623" s="34" t="str">
        <f t="shared" si="93"/>
        <v/>
      </c>
      <c r="G623" s="35" t="str">
        <f t="shared" si="94"/>
        <v/>
      </c>
      <c r="H623" s="30"/>
      <c r="I623" s="36" t="str">
        <f t="shared" si="95"/>
        <v/>
      </c>
      <c r="J623" s="34" t="str">
        <f t="shared" si="96"/>
        <v/>
      </c>
      <c r="K623" s="49"/>
      <c r="L623" s="55" t="str">
        <f t="shared" si="97"/>
        <v/>
      </c>
      <c r="M623" s="54" t="str">
        <f t="shared" si="98"/>
        <v/>
      </c>
      <c r="N623" s="30"/>
      <c r="O623" s="31"/>
      <c r="P623" s="53"/>
      <c r="Q623" s="33"/>
      <c r="R623" s="54" t="str">
        <f t="shared" si="99"/>
        <v/>
      </c>
      <c r="S623" s="30"/>
      <c r="T623" s="33"/>
    </row>
    <row r="624" spans="1:20" x14ac:dyDescent="0.25">
      <c r="A624" s="30"/>
      <c r="B624" s="37" t="str">
        <f t="shared" si="90"/>
        <v/>
      </c>
      <c r="C624" s="30"/>
      <c r="D624" s="34" t="str">
        <f t="shared" si="91"/>
        <v/>
      </c>
      <c r="E624" s="34" t="str">
        <f t="shared" si="92"/>
        <v/>
      </c>
      <c r="F624" s="34" t="str">
        <f t="shared" si="93"/>
        <v/>
      </c>
      <c r="G624" s="35" t="str">
        <f t="shared" si="94"/>
        <v/>
      </c>
      <c r="H624" s="30"/>
      <c r="I624" s="36" t="str">
        <f t="shared" si="95"/>
        <v/>
      </c>
      <c r="J624" s="34" t="str">
        <f t="shared" si="96"/>
        <v/>
      </c>
      <c r="K624" s="49"/>
      <c r="L624" s="55" t="str">
        <f t="shared" si="97"/>
        <v/>
      </c>
      <c r="M624" s="54" t="str">
        <f t="shared" si="98"/>
        <v/>
      </c>
      <c r="N624" s="30"/>
      <c r="O624" s="31"/>
      <c r="P624" s="53"/>
      <c r="Q624" s="33"/>
      <c r="R624" s="54" t="str">
        <f t="shared" si="99"/>
        <v/>
      </c>
      <c r="S624" s="30"/>
      <c r="T624" s="33"/>
    </row>
    <row r="625" spans="1:20" x14ac:dyDescent="0.25">
      <c r="A625" s="30"/>
      <c r="B625" s="37" t="str">
        <f t="shared" si="90"/>
        <v/>
      </c>
      <c r="C625" s="30"/>
      <c r="D625" s="34" t="str">
        <f t="shared" si="91"/>
        <v/>
      </c>
      <c r="E625" s="34" t="str">
        <f t="shared" si="92"/>
        <v/>
      </c>
      <c r="F625" s="34" t="str">
        <f t="shared" si="93"/>
        <v/>
      </c>
      <c r="G625" s="35" t="str">
        <f t="shared" si="94"/>
        <v/>
      </c>
      <c r="H625" s="30"/>
      <c r="I625" s="36" t="str">
        <f t="shared" si="95"/>
        <v/>
      </c>
      <c r="J625" s="34" t="str">
        <f t="shared" si="96"/>
        <v/>
      </c>
      <c r="K625" s="49"/>
      <c r="L625" s="55" t="str">
        <f t="shared" si="97"/>
        <v/>
      </c>
      <c r="M625" s="54" t="str">
        <f t="shared" si="98"/>
        <v/>
      </c>
      <c r="N625" s="30"/>
      <c r="O625" s="31"/>
      <c r="P625" s="53"/>
      <c r="Q625" s="33"/>
      <c r="R625" s="54" t="str">
        <f t="shared" si="99"/>
        <v/>
      </c>
      <c r="S625" s="30"/>
      <c r="T625" s="33"/>
    </row>
    <row r="626" spans="1:20" x14ac:dyDescent="0.25">
      <c r="A626" s="30"/>
      <c r="B626" s="37" t="str">
        <f t="shared" si="90"/>
        <v/>
      </c>
      <c r="C626" s="30"/>
      <c r="D626" s="34" t="str">
        <f t="shared" si="91"/>
        <v/>
      </c>
      <c r="E626" s="34" t="str">
        <f t="shared" si="92"/>
        <v/>
      </c>
      <c r="F626" s="34" t="str">
        <f t="shared" si="93"/>
        <v/>
      </c>
      <c r="G626" s="35" t="str">
        <f t="shared" si="94"/>
        <v/>
      </c>
      <c r="H626" s="30"/>
      <c r="I626" s="36" t="str">
        <f t="shared" si="95"/>
        <v/>
      </c>
      <c r="J626" s="34" t="str">
        <f t="shared" si="96"/>
        <v/>
      </c>
      <c r="K626" s="49"/>
      <c r="L626" s="55" t="str">
        <f t="shared" si="97"/>
        <v/>
      </c>
      <c r="M626" s="54" t="str">
        <f t="shared" si="98"/>
        <v/>
      </c>
      <c r="N626" s="30"/>
      <c r="O626" s="31"/>
      <c r="P626" s="53"/>
      <c r="Q626" s="33"/>
      <c r="R626" s="54" t="str">
        <f t="shared" si="99"/>
        <v/>
      </c>
      <c r="S626" s="30"/>
      <c r="T626" s="33"/>
    </row>
    <row r="627" spans="1:20" x14ac:dyDescent="0.25">
      <c r="A627" s="30"/>
      <c r="B627" s="37" t="str">
        <f t="shared" si="90"/>
        <v/>
      </c>
      <c r="C627" s="30"/>
      <c r="D627" s="34" t="str">
        <f t="shared" si="91"/>
        <v/>
      </c>
      <c r="E627" s="34" t="str">
        <f t="shared" si="92"/>
        <v/>
      </c>
      <c r="F627" s="34" t="str">
        <f t="shared" si="93"/>
        <v/>
      </c>
      <c r="G627" s="35" t="str">
        <f t="shared" si="94"/>
        <v/>
      </c>
      <c r="H627" s="30"/>
      <c r="I627" s="36" t="str">
        <f t="shared" si="95"/>
        <v/>
      </c>
      <c r="J627" s="34" t="str">
        <f t="shared" si="96"/>
        <v/>
      </c>
      <c r="K627" s="49"/>
      <c r="L627" s="55" t="str">
        <f t="shared" si="97"/>
        <v/>
      </c>
      <c r="M627" s="54" t="str">
        <f t="shared" si="98"/>
        <v/>
      </c>
      <c r="N627" s="30"/>
      <c r="O627" s="31"/>
      <c r="P627" s="53"/>
      <c r="Q627" s="33"/>
      <c r="R627" s="54" t="str">
        <f t="shared" si="99"/>
        <v/>
      </c>
      <c r="S627" s="30"/>
      <c r="T627" s="33"/>
    </row>
    <row r="628" spans="1:20" x14ac:dyDescent="0.25">
      <c r="A628" s="30"/>
      <c r="B628" s="37" t="str">
        <f t="shared" si="90"/>
        <v/>
      </c>
      <c r="C628" s="30"/>
      <c r="D628" s="34" t="str">
        <f t="shared" si="91"/>
        <v/>
      </c>
      <c r="E628" s="34" t="str">
        <f t="shared" si="92"/>
        <v/>
      </c>
      <c r="F628" s="34" t="str">
        <f t="shared" si="93"/>
        <v/>
      </c>
      <c r="G628" s="35" t="str">
        <f t="shared" si="94"/>
        <v/>
      </c>
      <c r="H628" s="30"/>
      <c r="I628" s="36" t="str">
        <f t="shared" si="95"/>
        <v/>
      </c>
      <c r="J628" s="34" t="str">
        <f t="shared" si="96"/>
        <v/>
      </c>
      <c r="K628" s="49"/>
      <c r="L628" s="55" t="str">
        <f t="shared" si="97"/>
        <v/>
      </c>
      <c r="M628" s="54" t="str">
        <f t="shared" si="98"/>
        <v/>
      </c>
      <c r="N628" s="30"/>
      <c r="O628" s="31"/>
      <c r="P628" s="53"/>
      <c r="Q628" s="33"/>
      <c r="R628" s="54" t="str">
        <f t="shared" si="99"/>
        <v/>
      </c>
      <c r="S628" s="30"/>
      <c r="T628" s="33"/>
    </row>
    <row r="629" spans="1:20" x14ac:dyDescent="0.25">
      <c r="A629" s="30"/>
      <c r="B629" s="37" t="str">
        <f t="shared" ref="B629:B692" si="100">IF($G629="","",EOMONTH($G629,0))</f>
        <v/>
      </c>
      <c r="C629" s="30"/>
      <c r="D629" s="34" t="str">
        <f t="shared" ref="D629:D692" si="101">IFERROR(IF($C629="","",VLOOKUP($C629,CAD_TAB,2,FALSE)),"")</f>
        <v/>
      </c>
      <c r="E629" s="34" t="str">
        <f t="shared" ref="E629:E692" si="102">IFERROR(IF($C629="","",VLOOKUP($C629,CAD_TAB,3,FALSE)),"")</f>
        <v/>
      </c>
      <c r="F629" s="34" t="str">
        <f t="shared" ref="F629:F692" si="103">IFERROR(IF($C629="","",VLOOKUP($C629,OS_TAB,7,FALSE)),"")</f>
        <v/>
      </c>
      <c r="G629" s="35" t="str">
        <f t="shared" ref="G629:G692" si="104">IFERROR(IF($C629="","",VLOOKUP($C629,OS_TAB,10,FALSE)),"")</f>
        <v/>
      </c>
      <c r="H629" s="30"/>
      <c r="I629" s="36" t="str">
        <f t="shared" ref="I629:I692" si="105">IFERROR(IF($H629="","",VLOOKUP($H629,PRE_TAB,5,FALSE)),"CÓDIGO NÃO ENCONTRADO")</f>
        <v/>
      </c>
      <c r="J629" s="34" t="str">
        <f t="shared" ref="J629:J692" si="106">IFERROR(IF($H629="","",VLOOKUP($H629,PRE_TAB,7,FALSE)),"")</f>
        <v/>
      </c>
      <c r="K629" s="49"/>
      <c r="L629" s="55" t="str">
        <f t="shared" ref="L629:L692" si="107">IFERROR(IF($H629="","",VLOOKUP($H629,PRE_TAB,8,FALSE)),0)</f>
        <v/>
      </c>
      <c r="M629" s="54" t="str">
        <f t="shared" ref="M629:M692" si="108">IF($H629="","",ROUND($K629*$L629,2))</f>
        <v/>
      </c>
      <c r="N629" s="30"/>
      <c r="O629" s="31"/>
      <c r="P629" s="53"/>
      <c r="Q629" s="33"/>
      <c r="R629" s="54" t="str">
        <f t="shared" ref="R629:R692" si="109">IF($H629="","",$M629-$P629)</f>
        <v/>
      </c>
      <c r="S629" s="30"/>
      <c r="T629" s="33"/>
    </row>
    <row r="630" spans="1:20" x14ac:dyDescent="0.25">
      <c r="A630" s="30"/>
      <c r="B630" s="37" t="str">
        <f t="shared" si="100"/>
        <v/>
      </c>
      <c r="C630" s="30"/>
      <c r="D630" s="34" t="str">
        <f t="shared" si="101"/>
        <v/>
      </c>
      <c r="E630" s="34" t="str">
        <f t="shared" si="102"/>
        <v/>
      </c>
      <c r="F630" s="34" t="str">
        <f t="shared" si="103"/>
        <v/>
      </c>
      <c r="G630" s="35" t="str">
        <f t="shared" si="104"/>
        <v/>
      </c>
      <c r="H630" s="30"/>
      <c r="I630" s="36" t="str">
        <f t="shared" si="105"/>
        <v/>
      </c>
      <c r="J630" s="34" t="str">
        <f t="shared" si="106"/>
        <v/>
      </c>
      <c r="K630" s="49"/>
      <c r="L630" s="55" t="str">
        <f t="shared" si="107"/>
        <v/>
      </c>
      <c r="M630" s="54" t="str">
        <f t="shared" si="108"/>
        <v/>
      </c>
      <c r="N630" s="30"/>
      <c r="O630" s="31"/>
      <c r="P630" s="53"/>
      <c r="Q630" s="33"/>
      <c r="R630" s="54" t="str">
        <f t="shared" si="109"/>
        <v/>
      </c>
      <c r="S630" s="30"/>
      <c r="T630" s="33"/>
    </row>
    <row r="631" spans="1:20" x14ac:dyDescent="0.25">
      <c r="A631" s="30"/>
      <c r="B631" s="37" t="str">
        <f t="shared" si="100"/>
        <v/>
      </c>
      <c r="C631" s="30"/>
      <c r="D631" s="34" t="str">
        <f t="shared" si="101"/>
        <v/>
      </c>
      <c r="E631" s="34" t="str">
        <f t="shared" si="102"/>
        <v/>
      </c>
      <c r="F631" s="34" t="str">
        <f t="shared" si="103"/>
        <v/>
      </c>
      <c r="G631" s="35" t="str">
        <f t="shared" si="104"/>
        <v/>
      </c>
      <c r="H631" s="30"/>
      <c r="I631" s="36" t="str">
        <f t="shared" si="105"/>
        <v/>
      </c>
      <c r="J631" s="34" t="str">
        <f t="shared" si="106"/>
        <v/>
      </c>
      <c r="K631" s="49"/>
      <c r="L631" s="55" t="str">
        <f t="shared" si="107"/>
        <v/>
      </c>
      <c r="M631" s="54" t="str">
        <f t="shared" si="108"/>
        <v/>
      </c>
      <c r="N631" s="30"/>
      <c r="O631" s="31"/>
      <c r="P631" s="53"/>
      <c r="Q631" s="33"/>
      <c r="R631" s="54" t="str">
        <f t="shared" si="109"/>
        <v/>
      </c>
      <c r="S631" s="30"/>
      <c r="T631" s="33"/>
    </row>
    <row r="632" spans="1:20" x14ac:dyDescent="0.25">
      <c r="A632" s="30"/>
      <c r="B632" s="37" t="str">
        <f t="shared" si="100"/>
        <v/>
      </c>
      <c r="C632" s="30"/>
      <c r="D632" s="34" t="str">
        <f t="shared" si="101"/>
        <v/>
      </c>
      <c r="E632" s="34" t="str">
        <f t="shared" si="102"/>
        <v/>
      </c>
      <c r="F632" s="34" t="str">
        <f t="shared" si="103"/>
        <v/>
      </c>
      <c r="G632" s="35" t="str">
        <f t="shared" si="104"/>
        <v/>
      </c>
      <c r="H632" s="30"/>
      <c r="I632" s="36" t="str">
        <f t="shared" si="105"/>
        <v/>
      </c>
      <c r="J632" s="34" t="str">
        <f t="shared" si="106"/>
        <v/>
      </c>
      <c r="K632" s="49"/>
      <c r="L632" s="55" t="str">
        <f t="shared" si="107"/>
        <v/>
      </c>
      <c r="M632" s="54" t="str">
        <f t="shared" si="108"/>
        <v/>
      </c>
      <c r="N632" s="30"/>
      <c r="O632" s="31"/>
      <c r="P632" s="53"/>
      <c r="Q632" s="33"/>
      <c r="R632" s="54" t="str">
        <f t="shared" si="109"/>
        <v/>
      </c>
      <c r="S632" s="30"/>
      <c r="T632" s="33"/>
    </row>
    <row r="633" spans="1:20" x14ac:dyDescent="0.25">
      <c r="A633" s="30"/>
      <c r="B633" s="37" t="str">
        <f t="shared" si="100"/>
        <v/>
      </c>
      <c r="C633" s="30"/>
      <c r="D633" s="34" t="str">
        <f t="shared" si="101"/>
        <v/>
      </c>
      <c r="E633" s="34" t="str">
        <f t="shared" si="102"/>
        <v/>
      </c>
      <c r="F633" s="34" t="str">
        <f t="shared" si="103"/>
        <v/>
      </c>
      <c r="G633" s="35" t="str">
        <f t="shared" si="104"/>
        <v/>
      </c>
      <c r="H633" s="30"/>
      <c r="I633" s="36" t="str">
        <f t="shared" si="105"/>
        <v/>
      </c>
      <c r="J633" s="34" t="str">
        <f t="shared" si="106"/>
        <v/>
      </c>
      <c r="K633" s="49"/>
      <c r="L633" s="55" t="str">
        <f t="shared" si="107"/>
        <v/>
      </c>
      <c r="M633" s="54" t="str">
        <f t="shared" si="108"/>
        <v/>
      </c>
      <c r="N633" s="30"/>
      <c r="O633" s="31"/>
      <c r="P633" s="53"/>
      <c r="Q633" s="33"/>
      <c r="R633" s="54" t="str">
        <f t="shared" si="109"/>
        <v/>
      </c>
      <c r="S633" s="30"/>
      <c r="T633" s="33"/>
    </row>
    <row r="634" spans="1:20" x14ac:dyDescent="0.25">
      <c r="A634" s="30"/>
      <c r="B634" s="37" t="str">
        <f t="shared" si="100"/>
        <v/>
      </c>
      <c r="C634" s="30"/>
      <c r="D634" s="34" t="str">
        <f t="shared" si="101"/>
        <v/>
      </c>
      <c r="E634" s="34" t="str">
        <f t="shared" si="102"/>
        <v/>
      </c>
      <c r="F634" s="34" t="str">
        <f t="shared" si="103"/>
        <v/>
      </c>
      <c r="G634" s="35" t="str">
        <f t="shared" si="104"/>
        <v/>
      </c>
      <c r="H634" s="30"/>
      <c r="I634" s="36" t="str">
        <f t="shared" si="105"/>
        <v/>
      </c>
      <c r="J634" s="34" t="str">
        <f t="shared" si="106"/>
        <v/>
      </c>
      <c r="K634" s="49"/>
      <c r="L634" s="55" t="str">
        <f t="shared" si="107"/>
        <v/>
      </c>
      <c r="M634" s="54" t="str">
        <f t="shared" si="108"/>
        <v/>
      </c>
      <c r="N634" s="30"/>
      <c r="O634" s="31"/>
      <c r="P634" s="53"/>
      <c r="Q634" s="33"/>
      <c r="R634" s="54" t="str">
        <f t="shared" si="109"/>
        <v/>
      </c>
      <c r="S634" s="30"/>
      <c r="T634" s="33"/>
    </row>
    <row r="635" spans="1:20" x14ac:dyDescent="0.25">
      <c r="A635" s="30"/>
      <c r="B635" s="37" t="str">
        <f t="shared" si="100"/>
        <v/>
      </c>
      <c r="C635" s="30"/>
      <c r="D635" s="34" t="str">
        <f t="shared" si="101"/>
        <v/>
      </c>
      <c r="E635" s="34" t="str">
        <f t="shared" si="102"/>
        <v/>
      </c>
      <c r="F635" s="34" t="str">
        <f t="shared" si="103"/>
        <v/>
      </c>
      <c r="G635" s="35" t="str">
        <f t="shared" si="104"/>
        <v/>
      </c>
      <c r="H635" s="30"/>
      <c r="I635" s="36" t="str">
        <f t="shared" si="105"/>
        <v/>
      </c>
      <c r="J635" s="34" t="str">
        <f t="shared" si="106"/>
        <v/>
      </c>
      <c r="K635" s="49"/>
      <c r="L635" s="55" t="str">
        <f t="shared" si="107"/>
        <v/>
      </c>
      <c r="M635" s="54" t="str">
        <f t="shared" si="108"/>
        <v/>
      </c>
      <c r="N635" s="30"/>
      <c r="O635" s="31"/>
      <c r="P635" s="53"/>
      <c r="Q635" s="33"/>
      <c r="R635" s="54" t="str">
        <f t="shared" si="109"/>
        <v/>
      </c>
      <c r="S635" s="30"/>
      <c r="T635" s="33"/>
    </row>
    <row r="636" spans="1:20" x14ac:dyDescent="0.25">
      <c r="A636" s="30"/>
      <c r="B636" s="37" t="str">
        <f t="shared" si="100"/>
        <v/>
      </c>
      <c r="C636" s="30"/>
      <c r="D636" s="34" t="str">
        <f t="shared" si="101"/>
        <v/>
      </c>
      <c r="E636" s="34" t="str">
        <f t="shared" si="102"/>
        <v/>
      </c>
      <c r="F636" s="34" t="str">
        <f t="shared" si="103"/>
        <v/>
      </c>
      <c r="G636" s="35" t="str">
        <f t="shared" si="104"/>
        <v/>
      </c>
      <c r="H636" s="30"/>
      <c r="I636" s="36" t="str">
        <f t="shared" si="105"/>
        <v/>
      </c>
      <c r="J636" s="34" t="str">
        <f t="shared" si="106"/>
        <v/>
      </c>
      <c r="K636" s="49"/>
      <c r="L636" s="55" t="str">
        <f t="shared" si="107"/>
        <v/>
      </c>
      <c r="M636" s="54" t="str">
        <f t="shared" si="108"/>
        <v/>
      </c>
      <c r="N636" s="30"/>
      <c r="O636" s="31"/>
      <c r="P636" s="53"/>
      <c r="Q636" s="33"/>
      <c r="R636" s="54" t="str">
        <f t="shared" si="109"/>
        <v/>
      </c>
      <c r="S636" s="30"/>
      <c r="T636" s="33"/>
    </row>
    <row r="637" spans="1:20" x14ac:dyDescent="0.25">
      <c r="A637" s="30"/>
      <c r="B637" s="37" t="str">
        <f t="shared" si="100"/>
        <v/>
      </c>
      <c r="C637" s="30"/>
      <c r="D637" s="34" t="str">
        <f t="shared" si="101"/>
        <v/>
      </c>
      <c r="E637" s="34" t="str">
        <f t="shared" si="102"/>
        <v/>
      </c>
      <c r="F637" s="34" t="str">
        <f t="shared" si="103"/>
        <v/>
      </c>
      <c r="G637" s="35" t="str">
        <f t="shared" si="104"/>
        <v/>
      </c>
      <c r="H637" s="30"/>
      <c r="I637" s="36" t="str">
        <f t="shared" si="105"/>
        <v/>
      </c>
      <c r="J637" s="34" t="str">
        <f t="shared" si="106"/>
        <v/>
      </c>
      <c r="K637" s="49"/>
      <c r="L637" s="55" t="str">
        <f t="shared" si="107"/>
        <v/>
      </c>
      <c r="M637" s="54" t="str">
        <f t="shared" si="108"/>
        <v/>
      </c>
      <c r="N637" s="30"/>
      <c r="O637" s="31"/>
      <c r="P637" s="53"/>
      <c r="Q637" s="33"/>
      <c r="R637" s="54" t="str">
        <f t="shared" si="109"/>
        <v/>
      </c>
      <c r="S637" s="30"/>
      <c r="T637" s="33"/>
    </row>
    <row r="638" spans="1:20" x14ac:dyDescent="0.25">
      <c r="A638" s="30"/>
      <c r="B638" s="37" t="str">
        <f t="shared" si="100"/>
        <v/>
      </c>
      <c r="C638" s="30"/>
      <c r="D638" s="34" t="str">
        <f t="shared" si="101"/>
        <v/>
      </c>
      <c r="E638" s="34" t="str">
        <f t="shared" si="102"/>
        <v/>
      </c>
      <c r="F638" s="34" t="str">
        <f t="shared" si="103"/>
        <v/>
      </c>
      <c r="G638" s="35" t="str">
        <f t="shared" si="104"/>
        <v/>
      </c>
      <c r="H638" s="30"/>
      <c r="I638" s="36" t="str">
        <f t="shared" si="105"/>
        <v/>
      </c>
      <c r="J638" s="34" t="str">
        <f t="shared" si="106"/>
        <v/>
      </c>
      <c r="K638" s="49"/>
      <c r="L638" s="55" t="str">
        <f t="shared" si="107"/>
        <v/>
      </c>
      <c r="M638" s="54" t="str">
        <f t="shared" si="108"/>
        <v/>
      </c>
      <c r="N638" s="30"/>
      <c r="O638" s="31"/>
      <c r="P638" s="53"/>
      <c r="Q638" s="33"/>
      <c r="R638" s="54" t="str">
        <f t="shared" si="109"/>
        <v/>
      </c>
      <c r="S638" s="30"/>
      <c r="T638" s="33"/>
    </row>
    <row r="639" spans="1:20" x14ac:dyDescent="0.25">
      <c r="A639" s="30"/>
      <c r="B639" s="37" t="str">
        <f t="shared" si="100"/>
        <v/>
      </c>
      <c r="C639" s="30"/>
      <c r="D639" s="34" t="str">
        <f t="shared" si="101"/>
        <v/>
      </c>
      <c r="E639" s="34" t="str">
        <f t="shared" si="102"/>
        <v/>
      </c>
      <c r="F639" s="34" t="str">
        <f t="shared" si="103"/>
        <v/>
      </c>
      <c r="G639" s="35" t="str">
        <f t="shared" si="104"/>
        <v/>
      </c>
      <c r="H639" s="30"/>
      <c r="I639" s="36" t="str">
        <f t="shared" si="105"/>
        <v/>
      </c>
      <c r="J639" s="34" t="str">
        <f t="shared" si="106"/>
        <v/>
      </c>
      <c r="K639" s="49"/>
      <c r="L639" s="55" t="str">
        <f t="shared" si="107"/>
        <v/>
      </c>
      <c r="M639" s="54" t="str">
        <f t="shared" si="108"/>
        <v/>
      </c>
      <c r="N639" s="30"/>
      <c r="O639" s="31"/>
      <c r="P639" s="53"/>
      <c r="Q639" s="33"/>
      <c r="R639" s="54" t="str">
        <f t="shared" si="109"/>
        <v/>
      </c>
      <c r="S639" s="30"/>
      <c r="T639" s="33"/>
    </row>
    <row r="640" spans="1:20" x14ac:dyDescent="0.25">
      <c r="A640" s="30"/>
      <c r="B640" s="37" t="str">
        <f t="shared" si="100"/>
        <v/>
      </c>
      <c r="C640" s="30"/>
      <c r="D640" s="34" t="str">
        <f t="shared" si="101"/>
        <v/>
      </c>
      <c r="E640" s="34" t="str">
        <f t="shared" si="102"/>
        <v/>
      </c>
      <c r="F640" s="34" t="str">
        <f t="shared" si="103"/>
        <v/>
      </c>
      <c r="G640" s="35" t="str">
        <f t="shared" si="104"/>
        <v/>
      </c>
      <c r="H640" s="30"/>
      <c r="I640" s="36" t="str">
        <f t="shared" si="105"/>
        <v/>
      </c>
      <c r="J640" s="34" t="str">
        <f t="shared" si="106"/>
        <v/>
      </c>
      <c r="K640" s="49"/>
      <c r="L640" s="55" t="str">
        <f t="shared" si="107"/>
        <v/>
      </c>
      <c r="M640" s="54" t="str">
        <f t="shared" si="108"/>
        <v/>
      </c>
      <c r="N640" s="30"/>
      <c r="O640" s="31"/>
      <c r="P640" s="53"/>
      <c r="Q640" s="33"/>
      <c r="R640" s="54" t="str">
        <f t="shared" si="109"/>
        <v/>
      </c>
      <c r="S640" s="30"/>
      <c r="T640" s="33"/>
    </row>
    <row r="641" spans="1:20" x14ac:dyDescent="0.25">
      <c r="A641" s="30"/>
      <c r="B641" s="37" t="str">
        <f t="shared" si="100"/>
        <v/>
      </c>
      <c r="C641" s="30"/>
      <c r="D641" s="34" t="str">
        <f t="shared" si="101"/>
        <v/>
      </c>
      <c r="E641" s="34" t="str">
        <f t="shared" si="102"/>
        <v/>
      </c>
      <c r="F641" s="34" t="str">
        <f t="shared" si="103"/>
        <v/>
      </c>
      <c r="G641" s="35" t="str">
        <f t="shared" si="104"/>
        <v/>
      </c>
      <c r="H641" s="30"/>
      <c r="I641" s="36" t="str">
        <f t="shared" si="105"/>
        <v/>
      </c>
      <c r="J641" s="34" t="str">
        <f t="shared" si="106"/>
        <v/>
      </c>
      <c r="K641" s="49"/>
      <c r="L641" s="55" t="str">
        <f t="shared" si="107"/>
        <v/>
      </c>
      <c r="M641" s="54" t="str">
        <f t="shared" si="108"/>
        <v/>
      </c>
      <c r="N641" s="30"/>
      <c r="O641" s="31"/>
      <c r="P641" s="53"/>
      <c r="Q641" s="33"/>
      <c r="R641" s="54" t="str">
        <f t="shared" si="109"/>
        <v/>
      </c>
      <c r="S641" s="30"/>
      <c r="T641" s="33"/>
    </row>
    <row r="642" spans="1:20" x14ac:dyDescent="0.25">
      <c r="A642" s="30"/>
      <c r="B642" s="37" t="str">
        <f t="shared" si="100"/>
        <v/>
      </c>
      <c r="C642" s="30"/>
      <c r="D642" s="34" t="str">
        <f t="shared" si="101"/>
        <v/>
      </c>
      <c r="E642" s="34" t="str">
        <f t="shared" si="102"/>
        <v/>
      </c>
      <c r="F642" s="34" t="str">
        <f t="shared" si="103"/>
        <v/>
      </c>
      <c r="G642" s="35" t="str">
        <f t="shared" si="104"/>
        <v/>
      </c>
      <c r="H642" s="30"/>
      <c r="I642" s="36" t="str">
        <f t="shared" si="105"/>
        <v/>
      </c>
      <c r="J642" s="34" t="str">
        <f t="shared" si="106"/>
        <v/>
      </c>
      <c r="K642" s="49"/>
      <c r="L642" s="55" t="str">
        <f t="shared" si="107"/>
        <v/>
      </c>
      <c r="M642" s="54" t="str">
        <f t="shared" si="108"/>
        <v/>
      </c>
      <c r="N642" s="30"/>
      <c r="O642" s="31"/>
      <c r="P642" s="53"/>
      <c r="Q642" s="33"/>
      <c r="R642" s="54" t="str">
        <f t="shared" si="109"/>
        <v/>
      </c>
      <c r="S642" s="30"/>
      <c r="T642" s="33"/>
    </row>
    <row r="643" spans="1:20" x14ac:dyDescent="0.25">
      <c r="A643" s="30"/>
      <c r="B643" s="37" t="str">
        <f t="shared" si="100"/>
        <v/>
      </c>
      <c r="C643" s="30"/>
      <c r="D643" s="34" t="str">
        <f t="shared" si="101"/>
        <v/>
      </c>
      <c r="E643" s="34" t="str">
        <f t="shared" si="102"/>
        <v/>
      </c>
      <c r="F643" s="34" t="str">
        <f t="shared" si="103"/>
        <v/>
      </c>
      <c r="G643" s="35" t="str">
        <f t="shared" si="104"/>
        <v/>
      </c>
      <c r="H643" s="30"/>
      <c r="I643" s="36" t="str">
        <f t="shared" si="105"/>
        <v/>
      </c>
      <c r="J643" s="34" t="str">
        <f t="shared" si="106"/>
        <v/>
      </c>
      <c r="K643" s="49"/>
      <c r="L643" s="55" t="str">
        <f t="shared" si="107"/>
        <v/>
      </c>
      <c r="M643" s="54" t="str">
        <f t="shared" si="108"/>
        <v/>
      </c>
      <c r="N643" s="30"/>
      <c r="O643" s="31"/>
      <c r="P643" s="53"/>
      <c r="Q643" s="33"/>
      <c r="R643" s="54" t="str">
        <f t="shared" si="109"/>
        <v/>
      </c>
      <c r="S643" s="30"/>
      <c r="T643" s="33"/>
    </row>
    <row r="644" spans="1:20" x14ac:dyDescent="0.25">
      <c r="A644" s="30"/>
      <c r="B644" s="37" t="str">
        <f t="shared" si="100"/>
        <v/>
      </c>
      <c r="C644" s="30"/>
      <c r="D644" s="34" t="str">
        <f t="shared" si="101"/>
        <v/>
      </c>
      <c r="E644" s="34" t="str">
        <f t="shared" si="102"/>
        <v/>
      </c>
      <c r="F644" s="34" t="str">
        <f t="shared" si="103"/>
        <v/>
      </c>
      <c r="G644" s="35" t="str">
        <f t="shared" si="104"/>
        <v/>
      </c>
      <c r="H644" s="30"/>
      <c r="I644" s="36" t="str">
        <f t="shared" si="105"/>
        <v/>
      </c>
      <c r="J644" s="34" t="str">
        <f t="shared" si="106"/>
        <v/>
      </c>
      <c r="K644" s="49"/>
      <c r="L644" s="55" t="str">
        <f t="shared" si="107"/>
        <v/>
      </c>
      <c r="M644" s="54" t="str">
        <f t="shared" si="108"/>
        <v/>
      </c>
      <c r="N644" s="30"/>
      <c r="O644" s="31"/>
      <c r="P644" s="53"/>
      <c r="Q644" s="33"/>
      <c r="R644" s="54" t="str">
        <f t="shared" si="109"/>
        <v/>
      </c>
      <c r="S644" s="30"/>
      <c r="T644" s="33"/>
    </row>
    <row r="645" spans="1:20" x14ac:dyDescent="0.25">
      <c r="A645" s="30"/>
      <c r="B645" s="37" t="str">
        <f t="shared" si="100"/>
        <v/>
      </c>
      <c r="C645" s="30"/>
      <c r="D645" s="34" t="str">
        <f t="shared" si="101"/>
        <v/>
      </c>
      <c r="E645" s="34" t="str">
        <f t="shared" si="102"/>
        <v/>
      </c>
      <c r="F645" s="34" t="str">
        <f t="shared" si="103"/>
        <v/>
      </c>
      <c r="G645" s="35" t="str">
        <f t="shared" si="104"/>
        <v/>
      </c>
      <c r="H645" s="30"/>
      <c r="I645" s="36" t="str">
        <f t="shared" si="105"/>
        <v/>
      </c>
      <c r="J645" s="34" t="str">
        <f t="shared" si="106"/>
        <v/>
      </c>
      <c r="K645" s="49"/>
      <c r="L645" s="55" t="str">
        <f t="shared" si="107"/>
        <v/>
      </c>
      <c r="M645" s="54" t="str">
        <f t="shared" si="108"/>
        <v/>
      </c>
      <c r="N645" s="30"/>
      <c r="O645" s="31"/>
      <c r="P645" s="53"/>
      <c r="Q645" s="33"/>
      <c r="R645" s="54" t="str">
        <f t="shared" si="109"/>
        <v/>
      </c>
      <c r="S645" s="30"/>
      <c r="T645" s="33"/>
    </row>
    <row r="646" spans="1:20" x14ac:dyDescent="0.25">
      <c r="A646" s="30"/>
      <c r="B646" s="37" t="str">
        <f t="shared" si="100"/>
        <v/>
      </c>
      <c r="C646" s="30"/>
      <c r="D646" s="34" t="str">
        <f t="shared" si="101"/>
        <v/>
      </c>
      <c r="E646" s="34" t="str">
        <f t="shared" si="102"/>
        <v/>
      </c>
      <c r="F646" s="34" t="str">
        <f t="shared" si="103"/>
        <v/>
      </c>
      <c r="G646" s="35" t="str">
        <f t="shared" si="104"/>
        <v/>
      </c>
      <c r="H646" s="30"/>
      <c r="I646" s="36" t="str">
        <f t="shared" si="105"/>
        <v/>
      </c>
      <c r="J646" s="34" t="str">
        <f t="shared" si="106"/>
        <v/>
      </c>
      <c r="K646" s="49"/>
      <c r="L646" s="55" t="str">
        <f t="shared" si="107"/>
        <v/>
      </c>
      <c r="M646" s="54" t="str">
        <f t="shared" si="108"/>
        <v/>
      </c>
      <c r="N646" s="30"/>
      <c r="O646" s="31"/>
      <c r="P646" s="53"/>
      <c r="Q646" s="33"/>
      <c r="R646" s="54" t="str">
        <f t="shared" si="109"/>
        <v/>
      </c>
      <c r="S646" s="30"/>
      <c r="T646" s="33"/>
    </row>
    <row r="647" spans="1:20" x14ac:dyDescent="0.25">
      <c r="A647" s="30"/>
      <c r="B647" s="37" t="str">
        <f t="shared" si="100"/>
        <v/>
      </c>
      <c r="C647" s="30"/>
      <c r="D647" s="34" t="str">
        <f t="shared" si="101"/>
        <v/>
      </c>
      <c r="E647" s="34" t="str">
        <f t="shared" si="102"/>
        <v/>
      </c>
      <c r="F647" s="34" t="str">
        <f t="shared" si="103"/>
        <v/>
      </c>
      <c r="G647" s="35" t="str">
        <f t="shared" si="104"/>
        <v/>
      </c>
      <c r="H647" s="30"/>
      <c r="I647" s="36" t="str">
        <f t="shared" si="105"/>
        <v/>
      </c>
      <c r="J647" s="34" t="str">
        <f t="shared" si="106"/>
        <v/>
      </c>
      <c r="K647" s="49"/>
      <c r="L647" s="55" t="str">
        <f t="shared" si="107"/>
        <v/>
      </c>
      <c r="M647" s="54" t="str">
        <f t="shared" si="108"/>
        <v/>
      </c>
      <c r="N647" s="30"/>
      <c r="O647" s="31"/>
      <c r="P647" s="53"/>
      <c r="Q647" s="33"/>
      <c r="R647" s="54" t="str">
        <f t="shared" si="109"/>
        <v/>
      </c>
      <c r="S647" s="30"/>
      <c r="T647" s="33"/>
    </row>
    <row r="648" spans="1:20" x14ac:dyDescent="0.25">
      <c r="A648" s="30"/>
      <c r="B648" s="37" t="str">
        <f t="shared" si="100"/>
        <v/>
      </c>
      <c r="C648" s="30"/>
      <c r="D648" s="34" t="str">
        <f t="shared" si="101"/>
        <v/>
      </c>
      <c r="E648" s="34" t="str">
        <f t="shared" si="102"/>
        <v/>
      </c>
      <c r="F648" s="34" t="str">
        <f t="shared" si="103"/>
        <v/>
      </c>
      <c r="G648" s="35" t="str">
        <f t="shared" si="104"/>
        <v/>
      </c>
      <c r="H648" s="30"/>
      <c r="I648" s="36" t="str">
        <f t="shared" si="105"/>
        <v/>
      </c>
      <c r="J648" s="34" t="str">
        <f t="shared" si="106"/>
        <v/>
      </c>
      <c r="K648" s="49"/>
      <c r="L648" s="55" t="str">
        <f t="shared" si="107"/>
        <v/>
      </c>
      <c r="M648" s="54" t="str">
        <f t="shared" si="108"/>
        <v/>
      </c>
      <c r="N648" s="30"/>
      <c r="O648" s="31"/>
      <c r="P648" s="53"/>
      <c r="Q648" s="33"/>
      <c r="R648" s="54" t="str">
        <f t="shared" si="109"/>
        <v/>
      </c>
      <c r="S648" s="30"/>
      <c r="T648" s="33"/>
    </row>
    <row r="649" spans="1:20" x14ac:dyDescent="0.25">
      <c r="A649" s="30"/>
      <c r="B649" s="37" t="str">
        <f t="shared" si="100"/>
        <v/>
      </c>
      <c r="C649" s="30"/>
      <c r="D649" s="34" t="str">
        <f t="shared" si="101"/>
        <v/>
      </c>
      <c r="E649" s="34" t="str">
        <f t="shared" si="102"/>
        <v/>
      </c>
      <c r="F649" s="34" t="str">
        <f t="shared" si="103"/>
        <v/>
      </c>
      <c r="G649" s="35" t="str">
        <f t="shared" si="104"/>
        <v/>
      </c>
      <c r="H649" s="30"/>
      <c r="I649" s="36" t="str">
        <f t="shared" si="105"/>
        <v/>
      </c>
      <c r="J649" s="34" t="str">
        <f t="shared" si="106"/>
        <v/>
      </c>
      <c r="K649" s="49"/>
      <c r="L649" s="55" t="str">
        <f t="shared" si="107"/>
        <v/>
      </c>
      <c r="M649" s="54" t="str">
        <f t="shared" si="108"/>
        <v/>
      </c>
      <c r="N649" s="30"/>
      <c r="O649" s="31"/>
      <c r="P649" s="53"/>
      <c r="Q649" s="33"/>
      <c r="R649" s="54" t="str">
        <f t="shared" si="109"/>
        <v/>
      </c>
      <c r="S649" s="30"/>
      <c r="T649" s="33"/>
    </row>
    <row r="650" spans="1:20" x14ac:dyDescent="0.25">
      <c r="A650" s="30"/>
      <c r="B650" s="37" t="str">
        <f t="shared" si="100"/>
        <v/>
      </c>
      <c r="C650" s="30"/>
      <c r="D650" s="34" t="str">
        <f t="shared" si="101"/>
        <v/>
      </c>
      <c r="E650" s="34" t="str">
        <f t="shared" si="102"/>
        <v/>
      </c>
      <c r="F650" s="34" t="str">
        <f t="shared" si="103"/>
        <v/>
      </c>
      <c r="G650" s="35" t="str">
        <f t="shared" si="104"/>
        <v/>
      </c>
      <c r="H650" s="30"/>
      <c r="I650" s="36" t="str">
        <f t="shared" si="105"/>
        <v/>
      </c>
      <c r="J650" s="34" t="str">
        <f t="shared" si="106"/>
        <v/>
      </c>
      <c r="K650" s="49"/>
      <c r="L650" s="55" t="str">
        <f t="shared" si="107"/>
        <v/>
      </c>
      <c r="M650" s="54" t="str">
        <f t="shared" si="108"/>
        <v/>
      </c>
      <c r="N650" s="30"/>
      <c r="O650" s="31"/>
      <c r="P650" s="53"/>
      <c r="Q650" s="33"/>
      <c r="R650" s="54" t="str">
        <f t="shared" si="109"/>
        <v/>
      </c>
      <c r="S650" s="30"/>
      <c r="T650" s="33"/>
    </row>
    <row r="651" spans="1:20" x14ac:dyDescent="0.25">
      <c r="A651" s="30"/>
      <c r="B651" s="37" t="str">
        <f t="shared" si="100"/>
        <v/>
      </c>
      <c r="C651" s="30"/>
      <c r="D651" s="34" t="str">
        <f t="shared" si="101"/>
        <v/>
      </c>
      <c r="E651" s="34" t="str">
        <f t="shared" si="102"/>
        <v/>
      </c>
      <c r="F651" s="34" t="str">
        <f t="shared" si="103"/>
        <v/>
      </c>
      <c r="G651" s="35" t="str">
        <f t="shared" si="104"/>
        <v/>
      </c>
      <c r="H651" s="30"/>
      <c r="I651" s="36" t="str">
        <f t="shared" si="105"/>
        <v/>
      </c>
      <c r="J651" s="34" t="str">
        <f t="shared" si="106"/>
        <v/>
      </c>
      <c r="K651" s="49"/>
      <c r="L651" s="55" t="str">
        <f t="shared" si="107"/>
        <v/>
      </c>
      <c r="M651" s="54" t="str">
        <f t="shared" si="108"/>
        <v/>
      </c>
      <c r="N651" s="30"/>
      <c r="O651" s="31"/>
      <c r="P651" s="53"/>
      <c r="Q651" s="33"/>
      <c r="R651" s="54" t="str">
        <f t="shared" si="109"/>
        <v/>
      </c>
      <c r="S651" s="30"/>
      <c r="T651" s="33"/>
    </row>
    <row r="652" spans="1:20" x14ac:dyDescent="0.25">
      <c r="A652" s="30"/>
      <c r="B652" s="37" t="str">
        <f t="shared" si="100"/>
        <v/>
      </c>
      <c r="C652" s="30"/>
      <c r="D652" s="34" t="str">
        <f t="shared" si="101"/>
        <v/>
      </c>
      <c r="E652" s="34" t="str">
        <f t="shared" si="102"/>
        <v/>
      </c>
      <c r="F652" s="34" t="str">
        <f t="shared" si="103"/>
        <v/>
      </c>
      <c r="G652" s="35" t="str">
        <f t="shared" si="104"/>
        <v/>
      </c>
      <c r="H652" s="30"/>
      <c r="I652" s="36" t="str">
        <f t="shared" si="105"/>
        <v/>
      </c>
      <c r="J652" s="34" t="str">
        <f t="shared" si="106"/>
        <v/>
      </c>
      <c r="K652" s="49"/>
      <c r="L652" s="55" t="str">
        <f t="shared" si="107"/>
        <v/>
      </c>
      <c r="M652" s="54" t="str">
        <f t="shared" si="108"/>
        <v/>
      </c>
      <c r="N652" s="30"/>
      <c r="O652" s="31"/>
      <c r="P652" s="53"/>
      <c r="Q652" s="33"/>
      <c r="R652" s="54" t="str">
        <f t="shared" si="109"/>
        <v/>
      </c>
      <c r="S652" s="30"/>
      <c r="T652" s="33"/>
    </row>
    <row r="653" spans="1:20" x14ac:dyDescent="0.25">
      <c r="A653" s="30"/>
      <c r="B653" s="37" t="str">
        <f t="shared" si="100"/>
        <v/>
      </c>
      <c r="C653" s="30"/>
      <c r="D653" s="34" t="str">
        <f t="shared" si="101"/>
        <v/>
      </c>
      <c r="E653" s="34" t="str">
        <f t="shared" si="102"/>
        <v/>
      </c>
      <c r="F653" s="34" t="str">
        <f t="shared" si="103"/>
        <v/>
      </c>
      <c r="G653" s="35" t="str">
        <f t="shared" si="104"/>
        <v/>
      </c>
      <c r="H653" s="30"/>
      <c r="I653" s="36" t="str">
        <f t="shared" si="105"/>
        <v/>
      </c>
      <c r="J653" s="34" t="str">
        <f t="shared" si="106"/>
        <v/>
      </c>
      <c r="K653" s="49"/>
      <c r="L653" s="55" t="str">
        <f t="shared" si="107"/>
        <v/>
      </c>
      <c r="M653" s="54" t="str">
        <f t="shared" si="108"/>
        <v/>
      </c>
      <c r="N653" s="30"/>
      <c r="O653" s="31"/>
      <c r="P653" s="53"/>
      <c r="Q653" s="33"/>
      <c r="R653" s="54" t="str">
        <f t="shared" si="109"/>
        <v/>
      </c>
      <c r="S653" s="30"/>
      <c r="T653" s="33"/>
    </row>
    <row r="654" spans="1:20" x14ac:dyDescent="0.25">
      <c r="A654" s="30"/>
      <c r="B654" s="37" t="str">
        <f t="shared" si="100"/>
        <v/>
      </c>
      <c r="C654" s="30"/>
      <c r="D654" s="34" t="str">
        <f t="shared" si="101"/>
        <v/>
      </c>
      <c r="E654" s="34" t="str">
        <f t="shared" si="102"/>
        <v/>
      </c>
      <c r="F654" s="34" t="str">
        <f t="shared" si="103"/>
        <v/>
      </c>
      <c r="G654" s="35" t="str">
        <f t="shared" si="104"/>
        <v/>
      </c>
      <c r="H654" s="30"/>
      <c r="I654" s="36" t="str">
        <f t="shared" si="105"/>
        <v/>
      </c>
      <c r="J654" s="34" t="str">
        <f t="shared" si="106"/>
        <v/>
      </c>
      <c r="K654" s="49"/>
      <c r="L654" s="55" t="str">
        <f t="shared" si="107"/>
        <v/>
      </c>
      <c r="M654" s="54" t="str">
        <f t="shared" si="108"/>
        <v/>
      </c>
      <c r="N654" s="30"/>
      <c r="O654" s="31"/>
      <c r="P654" s="53"/>
      <c r="Q654" s="33"/>
      <c r="R654" s="54" t="str">
        <f t="shared" si="109"/>
        <v/>
      </c>
      <c r="S654" s="30"/>
      <c r="T654" s="33"/>
    </row>
    <row r="655" spans="1:20" x14ac:dyDescent="0.25">
      <c r="A655" s="30"/>
      <c r="B655" s="37" t="str">
        <f t="shared" si="100"/>
        <v/>
      </c>
      <c r="C655" s="30"/>
      <c r="D655" s="34" t="str">
        <f t="shared" si="101"/>
        <v/>
      </c>
      <c r="E655" s="34" t="str">
        <f t="shared" si="102"/>
        <v/>
      </c>
      <c r="F655" s="34" t="str">
        <f t="shared" si="103"/>
        <v/>
      </c>
      <c r="G655" s="35" t="str">
        <f t="shared" si="104"/>
        <v/>
      </c>
      <c r="H655" s="30"/>
      <c r="I655" s="36" t="str">
        <f t="shared" si="105"/>
        <v/>
      </c>
      <c r="J655" s="34" t="str">
        <f t="shared" si="106"/>
        <v/>
      </c>
      <c r="K655" s="49"/>
      <c r="L655" s="55" t="str">
        <f t="shared" si="107"/>
        <v/>
      </c>
      <c r="M655" s="54" t="str">
        <f t="shared" si="108"/>
        <v/>
      </c>
      <c r="N655" s="30"/>
      <c r="O655" s="31"/>
      <c r="P655" s="53"/>
      <c r="Q655" s="33"/>
      <c r="R655" s="54" t="str">
        <f t="shared" si="109"/>
        <v/>
      </c>
      <c r="S655" s="30"/>
      <c r="T655" s="33"/>
    </row>
    <row r="656" spans="1:20" x14ac:dyDescent="0.25">
      <c r="A656" s="30"/>
      <c r="B656" s="37" t="str">
        <f t="shared" si="100"/>
        <v/>
      </c>
      <c r="C656" s="30"/>
      <c r="D656" s="34" t="str">
        <f t="shared" si="101"/>
        <v/>
      </c>
      <c r="E656" s="34" t="str">
        <f t="shared" si="102"/>
        <v/>
      </c>
      <c r="F656" s="34" t="str">
        <f t="shared" si="103"/>
        <v/>
      </c>
      <c r="G656" s="35" t="str">
        <f t="shared" si="104"/>
        <v/>
      </c>
      <c r="H656" s="30"/>
      <c r="I656" s="36" t="str">
        <f t="shared" si="105"/>
        <v/>
      </c>
      <c r="J656" s="34" t="str">
        <f t="shared" si="106"/>
        <v/>
      </c>
      <c r="K656" s="49"/>
      <c r="L656" s="55" t="str">
        <f t="shared" si="107"/>
        <v/>
      </c>
      <c r="M656" s="54" t="str">
        <f t="shared" si="108"/>
        <v/>
      </c>
      <c r="N656" s="30"/>
      <c r="O656" s="31"/>
      <c r="P656" s="53"/>
      <c r="Q656" s="33"/>
      <c r="R656" s="54" t="str">
        <f t="shared" si="109"/>
        <v/>
      </c>
      <c r="S656" s="30"/>
      <c r="T656" s="33"/>
    </row>
    <row r="657" spans="1:20" x14ac:dyDescent="0.25">
      <c r="A657" s="30"/>
      <c r="B657" s="37" t="str">
        <f t="shared" si="100"/>
        <v/>
      </c>
      <c r="C657" s="30"/>
      <c r="D657" s="34" t="str">
        <f t="shared" si="101"/>
        <v/>
      </c>
      <c r="E657" s="34" t="str">
        <f t="shared" si="102"/>
        <v/>
      </c>
      <c r="F657" s="34" t="str">
        <f t="shared" si="103"/>
        <v/>
      </c>
      <c r="G657" s="35" t="str">
        <f t="shared" si="104"/>
        <v/>
      </c>
      <c r="H657" s="30"/>
      <c r="I657" s="36" t="str">
        <f t="shared" si="105"/>
        <v/>
      </c>
      <c r="J657" s="34" t="str">
        <f t="shared" si="106"/>
        <v/>
      </c>
      <c r="K657" s="49"/>
      <c r="L657" s="55" t="str">
        <f t="shared" si="107"/>
        <v/>
      </c>
      <c r="M657" s="54" t="str">
        <f t="shared" si="108"/>
        <v/>
      </c>
      <c r="N657" s="30"/>
      <c r="O657" s="31"/>
      <c r="P657" s="53"/>
      <c r="Q657" s="33"/>
      <c r="R657" s="54" t="str">
        <f t="shared" si="109"/>
        <v/>
      </c>
      <c r="S657" s="30"/>
      <c r="T657" s="33"/>
    </row>
    <row r="658" spans="1:20" x14ac:dyDescent="0.25">
      <c r="A658" s="30"/>
      <c r="B658" s="37" t="str">
        <f t="shared" si="100"/>
        <v/>
      </c>
      <c r="C658" s="30"/>
      <c r="D658" s="34" t="str">
        <f t="shared" si="101"/>
        <v/>
      </c>
      <c r="E658" s="34" t="str">
        <f t="shared" si="102"/>
        <v/>
      </c>
      <c r="F658" s="34" t="str">
        <f t="shared" si="103"/>
        <v/>
      </c>
      <c r="G658" s="35" t="str">
        <f t="shared" si="104"/>
        <v/>
      </c>
      <c r="H658" s="30"/>
      <c r="I658" s="36" t="str">
        <f t="shared" si="105"/>
        <v/>
      </c>
      <c r="J658" s="34" t="str">
        <f t="shared" si="106"/>
        <v/>
      </c>
      <c r="K658" s="49"/>
      <c r="L658" s="55" t="str">
        <f t="shared" si="107"/>
        <v/>
      </c>
      <c r="M658" s="54" t="str">
        <f t="shared" si="108"/>
        <v/>
      </c>
      <c r="N658" s="30"/>
      <c r="O658" s="31"/>
      <c r="P658" s="53"/>
      <c r="Q658" s="33"/>
      <c r="R658" s="54" t="str">
        <f t="shared" si="109"/>
        <v/>
      </c>
      <c r="S658" s="30"/>
      <c r="T658" s="33"/>
    </row>
    <row r="659" spans="1:20" x14ac:dyDescent="0.25">
      <c r="A659" s="30"/>
      <c r="B659" s="37" t="str">
        <f t="shared" si="100"/>
        <v/>
      </c>
      <c r="C659" s="30"/>
      <c r="D659" s="34" t="str">
        <f t="shared" si="101"/>
        <v/>
      </c>
      <c r="E659" s="34" t="str">
        <f t="shared" si="102"/>
        <v/>
      </c>
      <c r="F659" s="34" t="str">
        <f t="shared" si="103"/>
        <v/>
      </c>
      <c r="G659" s="35" t="str">
        <f t="shared" si="104"/>
        <v/>
      </c>
      <c r="H659" s="30"/>
      <c r="I659" s="36" t="str">
        <f t="shared" si="105"/>
        <v/>
      </c>
      <c r="J659" s="34" t="str">
        <f t="shared" si="106"/>
        <v/>
      </c>
      <c r="K659" s="49"/>
      <c r="L659" s="55" t="str">
        <f t="shared" si="107"/>
        <v/>
      </c>
      <c r="M659" s="54" t="str">
        <f t="shared" si="108"/>
        <v/>
      </c>
      <c r="N659" s="30"/>
      <c r="O659" s="31"/>
      <c r="P659" s="53"/>
      <c r="Q659" s="33"/>
      <c r="R659" s="54" t="str">
        <f t="shared" si="109"/>
        <v/>
      </c>
      <c r="S659" s="30"/>
      <c r="T659" s="33"/>
    </row>
    <row r="660" spans="1:20" x14ac:dyDescent="0.25">
      <c r="A660" s="30"/>
      <c r="B660" s="37" t="str">
        <f t="shared" si="100"/>
        <v/>
      </c>
      <c r="C660" s="30"/>
      <c r="D660" s="34" t="str">
        <f t="shared" si="101"/>
        <v/>
      </c>
      <c r="E660" s="34" t="str">
        <f t="shared" si="102"/>
        <v/>
      </c>
      <c r="F660" s="34" t="str">
        <f t="shared" si="103"/>
        <v/>
      </c>
      <c r="G660" s="35" t="str">
        <f t="shared" si="104"/>
        <v/>
      </c>
      <c r="H660" s="30"/>
      <c r="I660" s="36" t="str">
        <f t="shared" si="105"/>
        <v/>
      </c>
      <c r="J660" s="34" t="str">
        <f t="shared" si="106"/>
        <v/>
      </c>
      <c r="K660" s="49"/>
      <c r="L660" s="55" t="str">
        <f t="shared" si="107"/>
        <v/>
      </c>
      <c r="M660" s="54" t="str">
        <f t="shared" si="108"/>
        <v/>
      </c>
      <c r="N660" s="30"/>
      <c r="O660" s="31"/>
      <c r="P660" s="53"/>
      <c r="Q660" s="33"/>
      <c r="R660" s="54" t="str">
        <f t="shared" si="109"/>
        <v/>
      </c>
      <c r="S660" s="30"/>
      <c r="T660" s="33"/>
    </row>
    <row r="661" spans="1:20" x14ac:dyDescent="0.25">
      <c r="A661" s="30"/>
      <c r="B661" s="37" t="str">
        <f t="shared" si="100"/>
        <v/>
      </c>
      <c r="C661" s="30"/>
      <c r="D661" s="34" t="str">
        <f t="shared" si="101"/>
        <v/>
      </c>
      <c r="E661" s="34" t="str">
        <f t="shared" si="102"/>
        <v/>
      </c>
      <c r="F661" s="34" t="str">
        <f t="shared" si="103"/>
        <v/>
      </c>
      <c r="G661" s="35" t="str">
        <f t="shared" si="104"/>
        <v/>
      </c>
      <c r="H661" s="30"/>
      <c r="I661" s="36" t="str">
        <f t="shared" si="105"/>
        <v/>
      </c>
      <c r="J661" s="34" t="str">
        <f t="shared" si="106"/>
        <v/>
      </c>
      <c r="K661" s="49"/>
      <c r="L661" s="55" t="str">
        <f t="shared" si="107"/>
        <v/>
      </c>
      <c r="M661" s="54" t="str">
        <f t="shared" si="108"/>
        <v/>
      </c>
      <c r="N661" s="30"/>
      <c r="O661" s="31"/>
      <c r="P661" s="53"/>
      <c r="Q661" s="33"/>
      <c r="R661" s="54" t="str">
        <f t="shared" si="109"/>
        <v/>
      </c>
      <c r="S661" s="30"/>
      <c r="T661" s="33"/>
    </row>
    <row r="662" spans="1:20" x14ac:dyDescent="0.25">
      <c r="A662" s="30"/>
      <c r="B662" s="37" t="str">
        <f t="shared" si="100"/>
        <v/>
      </c>
      <c r="C662" s="30"/>
      <c r="D662" s="34" t="str">
        <f t="shared" si="101"/>
        <v/>
      </c>
      <c r="E662" s="34" t="str">
        <f t="shared" si="102"/>
        <v/>
      </c>
      <c r="F662" s="34" t="str">
        <f t="shared" si="103"/>
        <v/>
      </c>
      <c r="G662" s="35" t="str">
        <f t="shared" si="104"/>
        <v/>
      </c>
      <c r="H662" s="30"/>
      <c r="I662" s="36" t="str">
        <f t="shared" si="105"/>
        <v/>
      </c>
      <c r="J662" s="34" t="str">
        <f t="shared" si="106"/>
        <v/>
      </c>
      <c r="K662" s="49"/>
      <c r="L662" s="55" t="str">
        <f t="shared" si="107"/>
        <v/>
      </c>
      <c r="M662" s="54" t="str">
        <f t="shared" si="108"/>
        <v/>
      </c>
      <c r="N662" s="30"/>
      <c r="O662" s="31"/>
      <c r="P662" s="53"/>
      <c r="Q662" s="33"/>
      <c r="R662" s="54" t="str">
        <f t="shared" si="109"/>
        <v/>
      </c>
      <c r="S662" s="30"/>
      <c r="T662" s="33"/>
    </row>
    <row r="663" spans="1:20" x14ac:dyDescent="0.25">
      <c r="A663" s="30"/>
      <c r="B663" s="37" t="str">
        <f t="shared" si="100"/>
        <v/>
      </c>
      <c r="C663" s="30"/>
      <c r="D663" s="34" t="str">
        <f t="shared" si="101"/>
        <v/>
      </c>
      <c r="E663" s="34" t="str">
        <f t="shared" si="102"/>
        <v/>
      </c>
      <c r="F663" s="34" t="str">
        <f t="shared" si="103"/>
        <v/>
      </c>
      <c r="G663" s="35" t="str">
        <f t="shared" si="104"/>
        <v/>
      </c>
      <c r="H663" s="30"/>
      <c r="I663" s="36" t="str">
        <f t="shared" si="105"/>
        <v/>
      </c>
      <c r="J663" s="34" t="str">
        <f t="shared" si="106"/>
        <v/>
      </c>
      <c r="K663" s="49"/>
      <c r="L663" s="55" t="str">
        <f t="shared" si="107"/>
        <v/>
      </c>
      <c r="M663" s="54" t="str">
        <f t="shared" si="108"/>
        <v/>
      </c>
      <c r="N663" s="30"/>
      <c r="O663" s="31"/>
      <c r="P663" s="53"/>
      <c r="Q663" s="33"/>
      <c r="R663" s="54" t="str">
        <f t="shared" si="109"/>
        <v/>
      </c>
      <c r="S663" s="30"/>
      <c r="T663" s="33"/>
    </row>
    <row r="664" spans="1:20" x14ac:dyDescent="0.25">
      <c r="A664" s="30"/>
      <c r="B664" s="37" t="str">
        <f t="shared" si="100"/>
        <v/>
      </c>
      <c r="C664" s="30"/>
      <c r="D664" s="34" t="str">
        <f t="shared" si="101"/>
        <v/>
      </c>
      <c r="E664" s="34" t="str">
        <f t="shared" si="102"/>
        <v/>
      </c>
      <c r="F664" s="34" t="str">
        <f t="shared" si="103"/>
        <v/>
      </c>
      <c r="G664" s="35" t="str">
        <f t="shared" si="104"/>
        <v/>
      </c>
      <c r="H664" s="30"/>
      <c r="I664" s="36" t="str">
        <f t="shared" si="105"/>
        <v/>
      </c>
      <c r="J664" s="34" t="str">
        <f t="shared" si="106"/>
        <v/>
      </c>
      <c r="K664" s="49"/>
      <c r="L664" s="55" t="str">
        <f t="shared" si="107"/>
        <v/>
      </c>
      <c r="M664" s="54" t="str">
        <f t="shared" si="108"/>
        <v/>
      </c>
      <c r="N664" s="30"/>
      <c r="O664" s="31"/>
      <c r="P664" s="53"/>
      <c r="Q664" s="33"/>
      <c r="R664" s="54" t="str">
        <f t="shared" si="109"/>
        <v/>
      </c>
      <c r="S664" s="30"/>
      <c r="T664" s="33"/>
    </row>
    <row r="665" spans="1:20" x14ac:dyDescent="0.25">
      <c r="A665" s="30"/>
      <c r="B665" s="37" t="str">
        <f t="shared" si="100"/>
        <v/>
      </c>
      <c r="C665" s="30"/>
      <c r="D665" s="34" t="str">
        <f t="shared" si="101"/>
        <v/>
      </c>
      <c r="E665" s="34" t="str">
        <f t="shared" si="102"/>
        <v/>
      </c>
      <c r="F665" s="34" t="str">
        <f t="shared" si="103"/>
        <v/>
      </c>
      <c r="G665" s="35" t="str">
        <f t="shared" si="104"/>
        <v/>
      </c>
      <c r="H665" s="30"/>
      <c r="I665" s="36" t="str">
        <f t="shared" si="105"/>
        <v/>
      </c>
      <c r="J665" s="34" t="str">
        <f t="shared" si="106"/>
        <v/>
      </c>
      <c r="K665" s="49"/>
      <c r="L665" s="55" t="str">
        <f t="shared" si="107"/>
        <v/>
      </c>
      <c r="M665" s="54" t="str">
        <f t="shared" si="108"/>
        <v/>
      </c>
      <c r="N665" s="30"/>
      <c r="O665" s="31"/>
      <c r="P665" s="53"/>
      <c r="Q665" s="33"/>
      <c r="R665" s="54" t="str">
        <f t="shared" si="109"/>
        <v/>
      </c>
      <c r="S665" s="30"/>
      <c r="T665" s="33"/>
    </row>
    <row r="666" spans="1:20" x14ac:dyDescent="0.25">
      <c r="A666" s="30"/>
      <c r="B666" s="37" t="str">
        <f t="shared" si="100"/>
        <v/>
      </c>
      <c r="C666" s="30"/>
      <c r="D666" s="34" t="str">
        <f t="shared" si="101"/>
        <v/>
      </c>
      <c r="E666" s="34" t="str">
        <f t="shared" si="102"/>
        <v/>
      </c>
      <c r="F666" s="34" t="str">
        <f t="shared" si="103"/>
        <v/>
      </c>
      <c r="G666" s="35" t="str">
        <f t="shared" si="104"/>
        <v/>
      </c>
      <c r="H666" s="30"/>
      <c r="I666" s="36" t="str">
        <f t="shared" si="105"/>
        <v/>
      </c>
      <c r="J666" s="34" t="str">
        <f t="shared" si="106"/>
        <v/>
      </c>
      <c r="K666" s="49"/>
      <c r="L666" s="55" t="str">
        <f t="shared" si="107"/>
        <v/>
      </c>
      <c r="M666" s="54" t="str">
        <f t="shared" si="108"/>
        <v/>
      </c>
      <c r="N666" s="30"/>
      <c r="O666" s="31"/>
      <c r="P666" s="53"/>
      <c r="Q666" s="33"/>
      <c r="R666" s="54" t="str">
        <f t="shared" si="109"/>
        <v/>
      </c>
      <c r="S666" s="30"/>
      <c r="T666" s="33"/>
    </row>
    <row r="667" spans="1:20" x14ac:dyDescent="0.25">
      <c r="A667" s="30"/>
      <c r="B667" s="37" t="str">
        <f t="shared" si="100"/>
        <v/>
      </c>
      <c r="C667" s="30"/>
      <c r="D667" s="34" t="str">
        <f t="shared" si="101"/>
        <v/>
      </c>
      <c r="E667" s="34" t="str">
        <f t="shared" si="102"/>
        <v/>
      </c>
      <c r="F667" s="34" t="str">
        <f t="shared" si="103"/>
        <v/>
      </c>
      <c r="G667" s="35" t="str">
        <f t="shared" si="104"/>
        <v/>
      </c>
      <c r="H667" s="30"/>
      <c r="I667" s="36" t="str">
        <f t="shared" si="105"/>
        <v/>
      </c>
      <c r="J667" s="34" t="str">
        <f t="shared" si="106"/>
        <v/>
      </c>
      <c r="K667" s="49"/>
      <c r="L667" s="55" t="str">
        <f t="shared" si="107"/>
        <v/>
      </c>
      <c r="M667" s="54" t="str">
        <f t="shared" si="108"/>
        <v/>
      </c>
      <c r="N667" s="30"/>
      <c r="O667" s="31"/>
      <c r="P667" s="53"/>
      <c r="Q667" s="33"/>
      <c r="R667" s="54" t="str">
        <f t="shared" si="109"/>
        <v/>
      </c>
      <c r="S667" s="30"/>
      <c r="T667" s="33"/>
    </row>
    <row r="668" spans="1:20" x14ac:dyDescent="0.25">
      <c r="A668" s="30"/>
      <c r="B668" s="37" t="str">
        <f t="shared" si="100"/>
        <v/>
      </c>
      <c r="C668" s="30"/>
      <c r="D668" s="34" t="str">
        <f t="shared" si="101"/>
        <v/>
      </c>
      <c r="E668" s="34" t="str">
        <f t="shared" si="102"/>
        <v/>
      </c>
      <c r="F668" s="34" t="str">
        <f t="shared" si="103"/>
        <v/>
      </c>
      <c r="G668" s="35" t="str">
        <f t="shared" si="104"/>
        <v/>
      </c>
      <c r="H668" s="30"/>
      <c r="I668" s="36" t="str">
        <f t="shared" si="105"/>
        <v/>
      </c>
      <c r="J668" s="34" t="str">
        <f t="shared" si="106"/>
        <v/>
      </c>
      <c r="K668" s="49"/>
      <c r="L668" s="55" t="str">
        <f t="shared" si="107"/>
        <v/>
      </c>
      <c r="M668" s="54" t="str">
        <f t="shared" si="108"/>
        <v/>
      </c>
      <c r="N668" s="30"/>
      <c r="O668" s="31"/>
      <c r="P668" s="53"/>
      <c r="Q668" s="33"/>
      <c r="R668" s="54" t="str">
        <f t="shared" si="109"/>
        <v/>
      </c>
      <c r="S668" s="30"/>
      <c r="T668" s="33"/>
    </row>
    <row r="669" spans="1:20" x14ac:dyDescent="0.25">
      <c r="A669" s="30"/>
      <c r="B669" s="37" t="str">
        <f t="shared" si="100"/>
        <v/>
      </c>
      <c r="C669" s="30"/>
      <c r="D669" s="34" t="str">
        <f t="shared" si="101"/>
        <v/>
      </c>
      <c r="E669" s="34" t="str">
        <f t="shared" si="102"/>
        <v/>
      </c>
      <c r="F669" s="34" t="str">
        <f t="shared" si="103"/>
        <v/>
      </c>
      <c r="G669" s="35" t="str">
        <f t="shared" si="104"/>
        <v/>
      </c>
      <c r="H669" s="30"/>
      <c r="I669" s="36" t="str">
        <f t="shared" si="105"/>
        <v/>
      </c>
      <c r="J669" s="34" t="str">
        <f t="shared" si="106"/>
        <v/>
      </c>
      <c r="K669" s="49"/>
      <c r="L669" s="55" t="str">
        <f t="shared" si="107"/>
        <v/>
      </c>
      <c r="M669" s="54" t="str">
        <f t="shared" si="108"/>
        <v/>
      </c>
      <c r="N669" s="30"/>
      <c r="O669" s="31"/>
      <c r="P669" s="53"/>
      <c r="Q669" s="33"/>
      <c r="R669" s="54" t="str">
        <f t="shared" si="109"/>
        <v/>
      </c>
      <c r="S669" s="30"/>
      <c r="T669" s="33"/>
    </row>
    <row r="670" spans="1:20" x14ac:dyDescent="0.25">
      <c r="A670" s="30"/>
      <c r="B670" s="37" t="str">
        <f t="shared" si="100"/>
        <v/>
      </c>
      <c r="C670" s="30"/>
      <c r="D670" s="34" t="str">
        <f t="shared" si="101"/>
        <v/>
      </c>
      <c r="E670" s="34" t="str">
        <f t="shared" si="102"/>
        <v/>
      </c>
      <c r="F670" s="34" t="str">
        <f t="shared" si="103"/>
        <v/>
      </c>
      <c r="G670" s="35" t="str">
        <f t="shared" si="104"/>
        <v/>
      </c>
      <c r="H670" s="30"/>
      <c r="I670" s="36" t="str">
        <f t="shared" si="105"/>
        <v/>
      </c>
      <c r="J670" s="34" t="str">
        <f t="shared" si="106"/>
        <v/>
      </c>
      <c r="K670" s="49"/>
      <c r="L670" s="55" t="str">
        <f t="shared" si="107"/>
        <v/>
      </c>
      <c r="M670" s="54" t="str">
        <f t="shared" si="108"/>
        <v/>
      </c>
      <c r="N670" s="30"/>
      <c r="O670" s="31"/>
      <c r="P670" s="53"/>
      <c r="Q670" s="33"/>
      <c r="R670" s="54" t="str">
        <f t="shared" si="109"/>
        <v/>
      </c>
      <c r="S670" s="30"/>
      <c r="T670" s="33"/>
    </row>
    <row r="671" spans="1:20" x14ac:dyDescent="0.25">
      <c r="A671" s="30"/>
      <c r="B671" s="37" t="str">
        <f t="shared" si="100"/>
        <v/>
      </c>
      <c r="C671" s="30"/>
      <c r="D671" s="34" t="str">
        <f t="shared" si="101"/>
        <v/>
      </c>
      <c r="E671" s="34" t="str">
        <f t="shared" si="102"/>
        <v/>
      </c>
      <c r="F671" s="34" t="str">
        <f t="shared" si="103"/>
        <v/>
      </c>
      <c r="G671" s="35" t="str">
        <f t="shared" si="104"/>
        <v/>
      </c>
      <c r="H671" s="30"/>
      <c r="I671" s="36" t="str">
        <f t="shared" si="105"/>
        <v/>
      </c>
      <c r="J671" s="34" t="str">
        <f t="shared" si="106"/>
        <v/>
      </c>
      <c r="K671" s="49"/>
      <c r="L671" s="55" t="str">
        <f t="shared" si="107"/>
        <v/>
      </c>
      <c r="M671" s="54" t="str">
        <f t="shared" si="108"/>
        <v/>
      </c>
      <c r="N671" s="30"/>
      <c r="O671" s="31"/>
      <c r="P671" s="53"/>
      <c r="Q671" s="33"/>
      <c r="R671" s="54" t="str">
        <f t="shared" si="109"/>
        <v/>
      </c>
      <c r="S671" s="30"/>
      <c r="T671" s="33"/>
    </row>
    <row r="672" spans="1:20" x14ac:dyDescent="0.25">
      <c r="A672" s="30"/>
      <c r="B672" s="37" t="str">
        <f t="shared" si="100"/>
        <v/>
      </c>
      <c r="C672" s="30"/>
      <c r="D672" s="34" t="str">
        <f t="shared" si="101"/>
        <v/>
      </c>
      <c r="E672" s="34" t="str">
        <f t="shared" si="102"/>
        <v/>
      </c>
      <c r="F672" s="34" t="str">
        <f t="shared" si="103"/>
        <v/>
      </c>
      <c r="G672" s="35" t="str">
        <f t="shared" si="104"/>
        <v/>
      </c>
      <c r="H672" s="30"/>
      <c r="I672" s="36" t="str">
        <f t="shared" si="105"/>
        <v/>
      </c>
      <c r="J672" s="34" t="str">
        <f t="shared" si="106"/>
        <v/>
      </c>
      <c r="K672" s="49"/>
      <c r="L672" s="55" t="str">
        <f t="shared" si="107"/>
        <v/>
      </c>
      <c r="M672" s="54" t="str">
        <f t="shared" si="108"/>
        <v/>
      </c>
      <c r="N672" s="30"/>
      <c r="O672" s="31"/>
      <c r="P672" s="53"/>
      <c r="Q672" s="33"/>
      <c r="R672" s="54" t="str">
        <f t="shared" si="109"/>
        <v/>
      </c>
      <c r="S672" s="30"/>
      <c r="T672" s="33"/>
    </row>
    <row r="673" spans="1:20" x14ac:dyDescent="0.25">
      <c r="A673" s="30"/>
      <c r="B673" s="37" t="str">
        <f t="shared" si="100"/>
        <v/>
      </c>
      <c r="C673" s="30"/>
      <c r="D673" s="34" t="str">
        <f t="shared" si="101"/>
        <v/>
      </c>
      <c r="E673" s="34" t="str">
        <f t="shared" si="102"/>
        <v/>
      </c>
      <c r="F673" s="34" t="str">
        <f t="shared" si="103"/>
        <v/>
      </c>
      <c r="G673" s="35" t="str">
        <f t="shared" si="104"/>
        <v/>
      </c>
      <c r="H673" s="30"/>
      <c r="I673" s="36" t="str">
        <f t="shared" si="105"/>
        <v/>
      </c>
      <c r="J673" s="34" t="str">
        <f t="shared" si="106"/>
        <v/>
      </c>
      <c r="K673" s="49"/>
      <c r="L673" s="55" t="str">
        <f t="shared" si="107"/>
        <v/>
      </c>
      <c r="M673" s="54" t="str">
        <f t="shared" si="108"/>
        <v/>
      </c>
      <c r="N673" s="30"/>
      <c r="O673" s="31"/>
      <c r="P673" s="53"/>
      <c r="Q673" s="33"/>
      <c r="R673" s="54" t="str">
        <f t="shared" si="109"/>
        <v/>
      </c>
      <c r="S673" s="30"/>
      <c r="T673" s="33"/>
    </row>
    <row r="674" spans="1:20" x14ac:dyDescent="0.25">
      <c r="A674" s="30"/>
      <c r="B674" s="37" t="str">
        <f t="shared" si="100"/>
        <v/>
      </c>
      <c r="C674" s="30"/>
      <c r="D674" s="34" t="str">
        <f t="shared" si="101"/>
        <v/>
      </c>
      <c r="E674" s="34" t="str">
        <f t="shared" si="102"/>
        <v/>
      </c>
      <c r="F674" s="34" t="str">
        <f t="shared" si="103"/>
        <v/>
      </c>
      <c r="G674" s="35" t="str">
        <f t="shared" si="104"/>
        <v/>
      </c>
      <c r="H674" s="30"/>
      <c r="I674" s="36" t="str">
        <f t="shared" si="105"/>
        <v/>
      </c>
      <c r="J674" s="34" t="str">
        <f t="shared" si="106"/>
        <v/>
      </c>
      <c r="K674" s="49"/>
      <c r="L674" s="55" t="str">
        <f t="shared" si="107"/>
        <v/>
      </c>
      <c r="M674" s="54" t="str">
        <f t="shared" si="108"/>
        <v/>
      </c>
      <c r="N674" s="30"/>
      <c r="O674" s="31"/>
      <c r="P674" s="53"/>
      <c r="Q674" s="33"/>
      <c r="R674" s="54" t="str">
        <f t="shared" si="109"/>
        <v/>
      </c>
      <c r="S674" s="30"/>
      <c r="T674" s="33"/>
    </row>
    <row r="675" spans="1:20" x14ac:dyDescent="0.25">
      <c r="A675" s="30"/>
      <c r="B675" s="37" t="str">
        <f t="shared" si="100"/>
        <v/>
      </c>
      <c r="C675" s="30"/>
      <c r="D675" s="34" t="str">
        <f t="shared" si="101"/>
        <v/>
      </c>
      <c r="E675" s="34" t="str">
        <f t="shared" si="102"/>
        <v/>
      </c>
      <c r="F675" s="34" t="str">
        <f t="shared" si="103"/>
        <v/>
      </c>
      <c r="G675" s="35" t="str">
        <f t="shared" si="104"/>
        <v/>
      </c>
      <c r="H675" s="30"/>
      <c r="I675" s="36" t="str">
        <f t="shared" si="105"/>
        <v/>
      </c>
      <c r="J675" s="34" t="str">
        <f t="shared" si="106"/>
        <v/>
      </c>
      <c r="K675" s="49"/>
      <c r="L675" s="55" t="str">
        <f t="shared" si="107"/>
        <v/>
      </c>
      <c r="M675" s="54" t="str">
        <f t="shared" si="108"/>
        <v/>
      </c>
      <c r="N675" s="30"/>
      <c r="O675" s="31"/>
      <c r="P675" s="53"/>
      <c r="Q675" s="33"/>
      <c r="R675" s="54" t="str">
        <f t="shared" si="109"/>
        <v/>
      </c>
      <c r="S675" s="30"/>
      <c r="T675" s="33"/>
    </row>
    <row r="676" spans="1:20" x14ac:dyDescent="0.25">
      <c r="A676" s="30"/>
      <c r="B676" s="37" t="str">
        <f t="shared" si="100"/>
        <v/>
      </c>
      <c r="C676" s="30"/>
      <c r="D676" s="34" t="str">
        <f t="shared" si="101"/>
        <v/>
      </c>
      <c r="E676" s="34" t="str">
        <f t="shared" si="102"/>
        <v/>
      </c>
      <c r="F676" s="34" t="str">
        <f t="shared" si="103"/>
        <v/>
      </c>
      <c r="G676" s="35" t="str">
        <f t="shared" si="104"/>
        <v/>
      </c>
      <c r="H676" s="30"/>
      <c r="I676" s="36" t="str">
        <f t="shared" si="105"/>
        <v/>
      </c>
      <c r="J676" s="34" t="str">
        <f t="shared" si="106"/>
        <v/>
      </c>
      <c r="K676" s="49"/>
      <c r="L676" s="55" t="str">
        <f t="shared" si="107"/>
        <v/>
      </c>
      <c r="M676" s="54" t="str">
        <f t="shared" si="108"/>
        <v/>
      </c>
      <c r="N676" s="30"/>
      <c r="O676" s="31"/>
      <c r="P676" s="53"/>
      <c r="Q676" s="33"/>
      <c r="R676" s="54" t="str">
        <f t="shared" si="109"/>
        <v/>
      </c>
      <c r="S676" s="30"/>
      <c r="T676" s="33"/>
    </row>
    <row r="677" spans="1:20" x14ac:dyDescent="0.25">
      <c r="A677" s="30"/>
      <c r="B677" s="37" t="str">
        <f t="shared" si="100"/>
        <v/>
      </c>
      <c r="C677" s="30"/>
      <c r="D677" s="34" t="str">
        <f t="shared" si="101"/>
        <v/>
      </c>
      <c r="E677" s="34" t="str">
        <f t="shared" si="102"/>
        <v/>
      </c>
      <c r="F677" s="34" t="str">
        <f t="shared" si="103"/>
        <v/>
      </c>
      <c r="G677" s="35" t="str">
        <f t="shared" si="104"/>
        <v/>
      </c>
      <c r="H677" s="30"/>
      <c r="I677" s="36" t="str">
        <f t="shared" si="105"/>
        <v/>
      </c>
      <c r="J677" s="34" t="str">
        <f t="shared" si="106"/>
        <v/>
      </c>
      <c r="K677" s="49"/>
      <c r="L677" s="55" t="str">
        <f t="shared" si="107"/>
        <v/>
      </c>
      <c r="M677" s="54" t="str">
        <f t="shared" si="108"/>
        <v/>
      </c>
      <c r="N677" s="30"/>
      <c r="O677" s="31"/>
      <c r="P677" s="53"/>
      <c r="Q677" s="33"/>
      <c r="R677" s="54" t="str">
        <f t="shared" si="109"/>
        <v/>
      </c>
      <c r="S677" s="30"/>
      <c r="T677" s="33"/>
    </row>
    <row r="678" spans="1:20" x14ac:dyDescent="0.25">
      <c r="A678" s="30"/>
      <c r="B678" s="37" t="str">
        <f t="shared" si="100"/>
        <v/>
      </c>
      <c r="C678" s="30"/>
      <c r="D678" s="34" t="str">
        <f t="shared" si="101"/>
        <v/>
      </c>
      <c r="E678" s="34" t="str">
        <f t="shared" si="102"/>
        <v/>
      </c>
      <c r="F678" s="34" t="str">
        <f t="shared" si="103"/>
        <v/>
      </c>
      <c r="G678" s="35" t="str">
        <f t="shared" si="104"/>
        <v/>
      </c>
      <c r="H678" s="30"/>
      <c r="I678" s="36" t="str">
        <f t="shared" si="105"/>
        <v/>
      </c>
      <c r="J678" s="34" t="str">
        <f t="shared" si="106"/>
        <v/>
      </c>
      <c r="K678" s="49"/>
      <c r="L678" s="55" t="str">
        <f t="shared" si="107"/>
        <v/>
      </c>
      <c r="M678" s="54" t="str">
        <f t="shared" si="108"/>
        <v/>
      </c>
      <c r="N678" s="30"/>
      <c r="O678" s="31"/>
      <c r="P678" s="53"/>
      <c r="Q678" s="33"/>
      <c r="R678" s="54" t="str">
        <f t="shared" si="109"/>
        <v/>
      </c>
      <c r="S678" s="30"/>
      <c r="T678" s="33"/>
    </row>
    <row r="679" spans="1:20" x14ac:dyDescent="0.25">
      <c r="A679" s="30"/>
      <c r="B679" s="37" t="str">
        <f t="shared" si="100"/>
        <v/>
      </c>
      <c r="C679" s="30"/>
      <c r="D679" s="34" t="str">
        <f t="shared" si="101"/>
        <v/>
      </c>
      <c r="E679" s="34" t="str">
        <f t="shared" si="102"/>
        <v/>
      </c>
      <c r="F679" s="34" t="str">
        <f t="shared" si="103"/>
        <v/>
      </c>
      <c r="G679" s="35" t="str">
        <f t="shared" si="104"/>
        <v/>
      </c>
      <c r="H679" s="30"/>
      <c r="I679" s="36" t="str">
        <f t="shared" si="105"/>
        <v/>
      </c>
      <c r="J679" s="34" t="str">
        <f t="shared" si="106"/>
        <v/>
      </c>
      <c r="K679" s="49"/>
      <c r="L679" s="55" t="str">
        <f t="shared" si="107"/>
        <v/>
      </c>
      <c r="M679" s="54" t="str">
        <f t="shared" si="108"/>
        <v/>
      </c>
      <c r="N679" s="30"/>
      <c r="O679" s="31"/>
      <c r="P679" s="53"/>
      <c r="Q679" s="33"/>
      <c r="R679" s="54" t="str">
        <f t="shared" si="109"/>
        <v/>
      </c>
      <c r="S679" s="30"/>
      <c r="T679" s="33"/>
    </row>
    <row r="680" spans="1:20" x14ac:dyDescent="0.25">
      <c r="A680" s="30"/>
      <c r="B680" s="37" t="str">
        <f t="shared" si="100"/>
        <v/>
      </c>
      <c r="C680" s="30"/>
      <c r="D680" s="34" t="str">
        <f t="shared" si="101"/>
        <v/>
      </c>
      <c r="E680" s="34" t="str">
        <f t="shared" si="102"/>
        <v/>
      </c>
      <c r="F680" s="34" t="str">
        <f t="shared" si="103"/>
        <v/>
      </c>
      <c r="G680" s="35" t="str">
        <f t="shared" si="104"/>
        <v/>
      </c>
      <c r="H680" s="30"/>
      <c r="I680" s="36" t="str">
        <f t="shared" si="105"/>
        <v/>
      </c>
      <c r="J680" s="34" t="str">
        <f t="shared" si="106"/>
        <v/>
      </c>
      <c r="K680" s="49"/>
      <c r="L680" s="55" t="str">
        <f t="shared" si="107"/>
        <v/>
      </c>
      <c r="M680" s="54" t="str">
        <f t="shared" si="108"/>
        <v/>
      </c>
      <c r="N680" s="30"/>
      <c r="O680" s="31"/>
      <c r="P680" s="53"/>
      <c r="Q680" s="33"/>
      <c r="R680" s="54" t="str">
        <f t="shared" si="109"/>
        <v/>
      </c>
      <c r="S680" s="30"/>
      <c r="T680" s="33"/>
    </row>
    <row r="681" spans="1:20" x14ac:dyDescent="0.25">
      <c r="A681" s="30"/>
      <c r="B681" s="37" t="str">
        <f t="shared" si="100"/>
        <v/>
      </c>
      <c r="C681" s="30"/>
      <c r="D681" s="34" t="str">
        <f t="shared" si="101"/>
        <v/>
      </c>
      <c r="E681" s="34" t="str">
        <f t="shared" si="102"/>
        <v/>
      </c>
      <c r="F681" s="34" t="str">
        <f t="shared" si="103"/>
        <v/>
      </c>
      <c r="G681" s="35" t="str">
        <f t="shared" si="104"/>
        <v/>
      </c>
      <c r="H681" s="30"/>
      <c r="I681" s="36" t="str">
        <f t="shared" si="105"/>
        <v/>
      </c>
      <c r="J681" s="34" t="str">
        <f t="shared" si="106"/>
        <v/>
      </c>
      <c r="K681" s="49"/>
      <c r="L681" s="55" t="str">
        <f t="shared" si="107"/>
        <v/>
      </c>
      <c r="M681" s="54" t="str">
        <f t="shared" si="108"/>
        <v/>
      </c>
      <c r="N681" s="30"/>
      <c r="O681" s="31"/>
      <c r="P681" s="53"/>
      <c r="Q681" s="33"/>
      <c r="R681" s="54" t="str">
        <f t="shared" si="109"/>
        <v/>
      </c>
      <c r="S681" s="30"/>
      <c r="T681" s="33"/>
    </row>
    <row r="682" spans="1:20" x14ac:dyDescent="0.25">
      <c r="A682" s="30"/>
      <c r="B682" s="37" t="str">
        <f t="shared" si="100"/>
        <v/>
      </c>
      <c r="C682" s="30"/>
      <c r="D682" s="34" t="str">
        <f t="shared" si="101"/>
        <v/>
      </c>
      <c r="E682" s="34" t="str">
        <f t="shared" si="102"/>
        <v/>
      </c>
      <c r="F682" s="34" t="str">
        <f t="shared" si="103"/>
        <v/>
      </c>
      <c r="G682" s="35" t="str">
        <f t="shared" si="104"/>
        <v/>
      </c>
      <c r="H682" s="30"/>
      <c r="I682" s="36" t="str">
        <f t="shared" si="105"/>
        <v/>
      </c>
      <c r="J682" s="34" t="str">
        <f t="shared" si="106"/>
        <v/>
      </c>
      <c r="K682" s="49"/>
      <c r="L682" s="55" t="str">
        <f t="shared" si="107"/>
        <v/>
      </c>
      <c r="M682" s="54" t="str">
        <f t="shared" si="108"/>
        <v/>
      </c>
      <c r="N682" s="30"/>
      <c r="O682" s="31"/>
      <c r="P682" s="53"/>
      <c r="Q682" s="33"/>
      <c r="R682" s="54" t="str">
        <f t="shared" si="109"/>
        <v/>
      </c>
      <c r="S682" s="30"/>
      <c r="T682" s="33"/>
    </row>
    <row r="683" spans="1:20" x14ac:dyDescent="0.25">
      <c r="A683" s="30"/>
      <c r="B683" s="37" t="str">
        <f t="shared" si="100"/>
        <v/>
      </c>
      <c r="C683" s="30"/>
      <c r="D683" s="34" t="str">
        <f t="shared" si="101"/>
        <v/>
      </c>
      <c r="E683" s="34" t="str">
        <f t="shared" si="102"/>
        <v/>
      </c>
      <c r="F683" s="34" t="str">
        <f t="shared" si="103"/>
        <v/>
      </c>
      <c r="G683" s="35" t="str">
        <f t="shared" si="104"/>
        <v/>
      </c>
      <c r="H683" s="30"/>
      <c r="I683" s="36" t="str">
        <f t="shared" si="105"/>
        <v/>
      </c>
      <c r="J683" s="34" t="str">
        <f t="shared" si="106"/>
        <v/>
      </c>
      <c r="K683" s="49"/>
      <c r="L683" s="55" t="str">
        <f t="shared" si="107"/>
        <v/>
      </c>
      <c r="M683" s="54" t="str">
        <f t="shared" si="108"/>
        <v/>
      </c>
      <c r="N683" s="30"/>
      <c r="O683" s="31"/>
      <c r="P683" s="53"/>
      <c r="Q683" s="33"/>
      <c r="R683" s="54" t="str">
        <f t="shared" si="109"/>
        <v/>
      </c>
      <c r="S683" s="30"/>
      <c r="T683" s="33"/>
    </row>
    <row r="684" spans="1:20" x14ac:dyDescent="0.25">
      <c r="A684" s="30"/>
      <c r="B684" s="37" t="str">
        <f t="shared" si="100"/>
        <v/>
      </c>
      <c r="C684" s="30"/>
      <c r="D684" s="34" t="str">
        <f t="shared" si="101"/>
        <v/>
      </c>
      <c r="E684" s="34" t="str">
        <f t="shared" si="102"/>
        <v/>
      </c>
      <c r="F684" s="34" t="str">
        <f t="shared" si="103"/>
        <v/>
      </c>
      <c r="G684" s="35" t="str">
        <f t="shared" si="104"/>
        <v/>
      </c>
      <c r="H684" s="30"/>
      <c r="I684" s="36" t="str">
        <f t="shared" si="105"/>
        <v/>
      </c>
      <c r="J684" s="34" t="str">
        <f t="shared" si="106"/>
        <v/>
      </c>
      <c r="K684" s="49"/>
      <c r="L684" s="55" t="str">
        <f t="shared" si="107"/>
        <v/>
      </c>
      <c r="M684" s="54" t="str">
        <f t="shared" si="108"/>
        <v/>
      </c>
      <c r="N684" s="30"/>
      <c r="O684" s="31"/>
      <c r="P684" s="53"/>
      <c r="Q684" s="33"/>
      <c r="R684" s="54" t="str">
        <f t="shared" si="109"/>
        <v/>
      </c>
      <c r="S684" s="30"/>
      <c r="T684" s="33"/>
    </row>
    <row r="685" spans="1:20" x14ac:dyDescent="0.25">
      <c r="A685" s="30"/>
      <c r="B685" s="37" t="str">
        <f t="shared" si="100"/>
        <v/>
      </c>
      <c r="C685" s="30"/>
      <c r="D685" s="34" t="str">
        <f t="shared" si="101"/>
        <v/>
      </c>
      <c r="E685" s="34" t="str">
        <f t="shared" si="102"/>
        <v/>
      </c>
      <c r="F685" s="34" t="str">
        <f t="shared" si="103"/>
        <v/>
      </c>
      <c r="G685" s="35" t="str">
        <f t="shared" si="104"/>
        <v/>
      </c>
      <c r="H685" s="30"/>
      <c r="I685" s="36" t="str">
        <f t="shared" si="105"/>
        <v/>
      </c>
      <c r="J685" s="34" t="str">
        <f t="shared" si="106"/>
        <v/>
      </c>
      <c r="K685" s="49"/>
      <c r="L685" s="55" t="str">
        <f t="shared" si="107"/>
        <v/>
      </c>
      <c r="M685" s="54" t="str">
        <f t="shared" si="108"/>
        <v/>
      </c>
      <c r="N685" s="30"/>
      <c r="O685" s="31"/>
      <c r="P685" s="53"/>
      <c r="Q685" s="33"/>
      <c r="R685" s="54" t="str">
        <f t="shared" si="109"/>
        <v/>
      </c>
      <c r="S685" s="30"/>
      <c r="T685" s="33"/>
    </row>
    <row r="686" spans="1:20" x14ac:dyDescent="0.25">
      <c r="A686" s="30"/>
      <c r="B686" s="37" t="str">
        <f t="shared" si="100"/>
        <v/>
      </c>
      <c r="C686" s="30"/>
      <c r="D686" s="34" t="str">
        <f t="shared" si="101"/>
        <v/>
      </c>
      <c r="E686" s="34" t="str">
        <f t="shared" si="102"/>
        <v/>
      </c>
      <c r="F686" s="34" t="str">
        <f t="shared" si="103"/>
        <v/>
      </c>
      <c r="G686" s="35" t="str">
        <f t="shared" si="104"/>
        <v/>
      </c>
      <c r="H686" s="30"/>
      <c r="I686" s="36" t="str">
        <f t="shared" si="105"/>
        <v/>
      </c>
      <c r="J686" s="34" t="str">
        <f t="shared" si="106"/>
        <v/>
      </c>
      <c r="K686" s="49"/>
      <c r="L686" s="55" t="str">
        <f t="shared" si="107"/>
        <v/>
      </c>
      <c r="M686" s="54" t="str">
        <f t="shared" si="108"/>
        <v/>
      </c>
      <c r="N686" s="30"/>
      <c r="O686" s="31"/>
      <c r="P686" s="53"/>
      <c r="Q686" s="33"/>
      <c r="R686" s="54" t="str">
        <f t="shared" si="109"/>
        <v/>
      </c>
      <c r="S686" s="30"/>
      <c r="T686" s="33"/>
    </row>
    <row r="687" spans="1:20" x14ac:dyDescent="0.25">
      <c r="A687" s="30"/>
      <c r="B687" s="37" t="str">
        <f t="shared" si="100"/>
        <v/>
      </c>
      <c r="C687" s="30"/>
      <c r="D687" s="34" t="str">
        <f t="shared" si="101"/>
        <v/>
      </c>
      <c r="E687" s="34" t="str">
        <f t="shared" si="102"/>
        <v/>
      </c>
      <c r="F687" s="34" t="str">
        <f t="shared" si="103"/>
        <v/>
      </c>
      <c r="G687" s="35" t="str">
        <f t="shared" si="104"/>
        <v/>
      </c>
      <c r="H687" s="30"/>
      <c r="I687" s="36" t="str">
        <f t="shared" si="105"/>
        <v/>
      </c>
      <c r="J687" s="34" t="str">
        <f t="shared" si="106"/>
        <v/>
      </c>
      <c r="K687" s="49"/>
      <c r="L687" s="55" t="str">
        <f t="shared" si="107"/>
        <v/>
      </c>
      <c r="M687" s="54" t="str">
        <f t="shared" si="108"/>
        <v/>
      </c>
      <c r="N687" s="30"/>
      <c r="O687" s="31"/>
      <c r="P687" s="53"/>
      <c r="Q687" s="33"/>
      <c r="R687" s="54" t="str">
        <f t="shared" si="109"/>
        <v/>
      </c>
      <c r="S687" s="30"/>
      <c r="T687" s="33"/>
    </row>
    <row r="688" spans="1:20" x14ac:dyDescent="0.25">
      <c r="A688" s="30"/>
      <c r="B688" s="37" t="str">
        <f t="shared" si="100"/>
        <v/>
      </c>
      <c r="C688" s="30"/>
      <c r="D688" s="34" t="str">
        <f t="shared" si="101"/>
        <v/>
      </c>
      <c r="E688" s="34" t="str">
        <f t="shared" si="102"/>
        <v/>
      </c>
      <c r="F688" s="34" t="str">
        <f t="shared" si="103"/>
        <v/>
      </c>
      <c r="G688" s="35" t="str">
        <f t="shared" si="104"/>
        <v/>
      </c>
      <c r="H688" s="30"/>
      <c r="I688" s="36" t="str">
        <f t="shared" si="105"/>
        <v/>
      </c>
      <c r="J688" s="34" t="str">
        <f t="shared" si="106"/>
        <v/>
      </c>
      <c r="K688" s="49"/>
      <c r="L688" s="55" t="str">
        <f t="shared" si="107"/>
        <v/>
      </c>
      <c r="M688" s="54" t="str">
        <f t="shared" si="108"/>
        <v/>
      </c>
      <c r="N688" s="30"/>
      <c r="O688" s="31"/>
      <c r="P688" s="53"/>
      <c r="Q688" s="33"/>
      <c r="R688" s="54" t="str">
        <f t="shared" si="109"/>
        <v/>
      </c>
      <c r="S688" s="30"/>
      <c r="T688" s="33"/>
    </row>
    <row r="689" spans="1:20" x14ac:dyDescent="0.25">
      <c r="A689" s="30"/>
      <c r="B689" s="37" t="str">
        <f t="shared" si="100"/>
        <v/>
      </c>
      <c r="C689" s="30"/>
      <c r="D689" s="34" t="str">
        <f t="shared" si="101"/>
        <v/>
      </c>
      <c r="E689" s="34" t="str">
        <f t="shared" si="102"/>
        <v/>
      </c>
      <c r="F689" s="34" t="str">
        <f t="shared" si="103"/>
        <v/>
      </c>
      <c r="G689" s="35" t="str">
        <f t="shared" si="104"/>
        <v/>
      </c>
      <c r="H689" s="30"/>
      <c r="I689" s="36" t="str">
        <f t="shared" si="105"/>
        <v/>
      </c>
      <c r="J689" s="34" t="str">
        <f t="shared" si="106"/>
        <v/>
      </c>
      <c r="K689" s="49"/>
      <c r="L689" s="55" t="str">
        <f t="shared" si="107"/>
        <v/>
      </c>
      <c r="M689" s="54" t="str">
        <f t="shared" si="108"/>
        <v/>
      </c>
      <c r="N689" s="30"/>
      <c r="O689" s="31"/>
      <c r="P689" s="53"/>
      <c r="Q689" s="33"/>
      <c r="R689" s="54" t="str">
        <f t="shared" si="109"/>
        <v/>
      </c>
      <c r="S689" s="30"/>
      <c r="T689" s="33"/>
    </row>
    <row r="690" spans="1:20" x14ac:dyDescent="0.25">
      <c r="A690" s="30"/>
      <c r="B690" s="37" t="str">
        <f t="shared" si="100"/>
        <v/>
      </c>
      <c r="C690" s="30"/>
      <c r="D690" s="34" t="str">
        <f t="shared" si="101"/>
        <v/>
      </c>
      <c r="E690" s="34" t="str">
        <f t="shared" si="102"/>
        <v/>
      </c>
      <c r="F690" s="34" t="str">
        <f t="shared" si="103"/>
        <v/>
      </c>
      <c r="G690" s="35" t="str">
        <f t="shared" si="104"/>
        <v/>
      </c>
      <c r="H690" s="30"/>
      <c r="I690" s="36" t="str">
        <f t="shared" si="105"/>
        <v/>
      </c>
      <c r="J690" s="34" t="str">
        <f t="shared" si="106"/>
        <v/>
      </c>
      <c r="K690" s="49"/>
      <c r="L690" s="55" t="str">
        <f t="shared" si="107"/>
        <v/>
      </c>
      <c r="M690" s="54" t="str">
        <f t="shared" si="108"/>
        <v/>
      </c>
      <c r="N690" s="30"/>
      <c r="O690" s="31"/>
      <c r="P690" s="53"/>
      <c r="Q690" s="33"/>
      <c r="R690" s="54" t="str">
        <f t="shared" si="109"/>
        <v/>
      </c>
      <c r="S690" s="30"/>
      <c r="T690" s="33"/>
    </row>
    <row r="691" spans="1:20" x14ac:dyDescent="0.25">
      <c r="A691" s="30"/>
      <c r="B691" s="37" t="str">
        <f t="shared" si="100"/>
        <v/>
      </c>
      <c r="C691" s="30"/>
      <c r="D691" s="34" t="str">
        <f t="shared" si="101"/>
        <v/>
      </c>
      <c r="E691" s="34" t="str">
        <f t="shared" si="102"/>
        <v/>
      </c>
      <c r="F691" s="34" t="str">
        <f t="shared" si="103"/>
        <v/>
      </c>
      <c r="G691" s="35" t="str">
        <f t="shared" si="104"/>
        <v/>
      </c>
      <c r="H691" s="30"/>
      <c r="I691" s="36" t="str">
        <f t="shared" si="105"/>
        <v/>
      </c>
      <c r="J691" s="34" t="str">
        <f t="shared" si="106"/>
        <v/>
      </c>
      <c r="K691" s="49"/>
      <c r="L691" s="55" t="str">
        <f t="shared" si="107"/>
        <v/>
      </c>
      <c r="M691" s="54" t="str">
        <f t="shared" si="108"/>
        <v/>
      </c>
      <c r="N691" s="30"/>
      <c r="O691" s="31"/>
      <c r="P691" s="53"/>
      <c r="Q691" s="33"/>
      <c r="R691" s="54" t="str">
        <f t="shared" si="109"/>
        <v/>
      </c>
      <c r="S691" s="30"/>
      <c r="T691" s="33"/>
    </row>
    <row r="692" spans="1:20" x14ac:dyDescent="0.25">
      <c r="A692" s="30"/>
      <c r="B692" s="37" t="str">
        <f t="shared" si="100"/>
        <v/>
      </c>
      <c r="C692" s="30"/>
      <c r="D692" s="34" t="str">
        <f t="shared" si="101"/>
        <v/>
      </c>
      <c r="E692" s="34" t="str">
        <f t="shared" si="102"/>
        <v/>
      </c>
      <c r="F692" s="34" t="str">
        <f t="shared" si="103"/>
        <v/>
      </c>
      <c r="G692" s="35" t="str">
        <f t="shared" si="104"/>
        <v/>
      </c>
      <c r="H692" s="30"/>
      <c r="I692" s="36" t="str">
        <f t="shared" si="105"/>
        <v/>
      </c>
      <c r="J692" s="34" t="str">
        <f t="shared" si="106"/>
        <v/>
      </c>
      <c r="K692" s="49"/>
      <c r="L692" s="55" t="str">
        <f t="shared" si="107"/>
        <v/>
      </c>
      <c r="M692" s="54" t="str">
        <f t="shared" si="108"/>
        <v/>
      </c>
      <c r="N692" s="30"/>
      <c r="O692" s="31"/>
      <c r="P692" s="53"/>
      <c r="Q692" s="33"/>
      <c r="R692" s="54" t="str">
        <f t="shared" si="109"/>
        <v/>
      </c>
      <c r="S692" s="30"/>
      <c r="T692" s="33"/>
    </row>
    <row r="693" spans="1:20" x14ac:dyDescent="0.25">
      <c r="A693" s="30"/>
      <c r="B693" s="37" t="str">
        <f t="shared" ref="B693:B756" si="110">IF($G693="","",EOMONTH($G693,0))</f>
        <v/>
      </c>
      <c r="C693" s="30"/>
      <c r="D693" s="34" t="str">
        <f t="shared" ref="D693:D756" si="111">IFERROR(IF($C693="","",VLOOKUP($C693,CAD_TAB,2,FALSE)),"")</f>
        <v/>
      </c>
      <c r="E693" s="34" t="str">
        <f t="shared" ref="E693:E756" si="112">IFERROR(IF($C693="","",VLOOKUP($C693,CAD_TAB,3,FALSE)),"")</f>
        <v/>
      </c>
      <c r="F693" s="34" t="str">
        <f t="shared" ref="F693:F756" si="113">IFERROR(IF($C693="","",VLOOKUP($C693,OS_TAB,7,FALSE)),"")</f>
        <v/>
      </c>
      <c r="G693" s="35" t="str">
        <f t="shared" ref="G693:G756" si="114">IFERROR(IF($C693="","",VLOOKUP($C693,OS_TAB,10,FALSE)),"")</f>
        <v/>
      </c>
      <c r="H693" s="30"/>
      <c r="I693" s="36" t="str">
        <f t="shared" ref="I693:I756" si="115">IFERROR(IF($H693="","",VLOOKUP($H693,PRE_TAB,5,FALSE)),"CÓDIGO NÃO ENCONTRADO")</f>
        <v/>
      </c>
      <c r="J693" s="34" t="str">
        <f t="shared" ref="J693:J756" si="116">IFERROR(IF($H693="","",VLOOKUP($H693,PRE_TAB,7,FALSE)),"")</f>
        <v/>
      </c>
      <c r="K693" s="49"/>
      <c r="L693" s="55" t="str">
        <f t="shared" ref="L693:L756" si="117">IFERROR(IF($H693="","",VLOOKUP($H693,PRE_TAB,8,FALSE)),0)</f>
        <v/>
      </c>
      <c r="M693" s="54" t="str">
        <f t="shared" ref="M693:M756" si="118">IF($H693="","",ROUND($K693*$L693,2))</f>
        <v/>
      </c>
      <c r="N693" s="30"/>
      <c r="O693" s="31"/>
      <c r="P693" s="53"/>
      <c r="Q693" s="33"/>
      <c r="R693" s="54" t="str">
        <f t="shared" ref="R693:R756" si="119">IF($H693="","",$M693-$P693)</f>
        <v/>
      </c>
      <c r="S693" s="30"/>
      <c r="T693" s="33"/>
    </row>
    <row r="694" spans="1:20" x14ac:dyDescent="0.25">
      <c r="A694" s="30"/>
      <c r="B694" s="37" t="str">
        <f t="shared" si="110"/>
        <v/>
      </c>
      <c r="C694" s="30"/>
      <c r="D694" s="34" t="str">
        <f t="shared" si="111"/>
        <v/>
      </c>
      <c r="E694" s="34" t="str">
        <f t="shared" si="112"/>
        <v/>
      </c>
      <c r="F694" s="34" t="str">
        <f t="shared" si="113"/>
        <v/>
      </c>
      <c r="G694" s="35" t="str">
        <f t="shared" si="114"/>
        <v/>
      </c>
      <c r="H694" s="30"/>
      <c r="I694" s="36" t="str">
        <f t="shared" si="115"/>
        <v/>
      </c>
      <c r="J694" s="34" t="str">
        <f t="shared" si="116"/>
        <v/>
      </c>
      <c r="K694" s="49"/>
      <c r="L694" s="55" t="str">
        <f t="shared" si="117"/>
        <v/>
      </c>
      <c r="M694" s="54" t="str">
        <f t="shared" si="118"/>
        <v/>
      </c>
      <c r="N694" s="30"/>
      <c r="O694" s="31"/>
      <c r="P694" s="53"/>
      <c r="Q694" s="33"/>
      <c r="R694" s="54" t="str">
        <f t="shared" si="119"/>
        <v/>
      </c>
      <c r="S694" s="30"/>
      <c r="T694" s="33"/>
    </row>
    <row r="695" spans="1:20" x14ac:dyDescent="0.25">
      <c r="A695" s="30"/>
      <c r="B695" s="37" t="str">
        <f t="shared" si="110"/>
        <v/>
      </c>
      <c r="C695" s="30"/>
      <c r="D695" s="34" t="str">
        <f t="shared" si="111"/>
        <v/>
      </c>
      <c r="E695" s="34" t="str">
        <f t="shared" si="112"/>
        <v/>
      </c>
      <c r="F695" s="34" t="str">
        <f t="shared" si="113"/>
        <v/>
      </c>
      <c r="G695" s="35" t="str">
        <f t="shared" si="114"/>
        <v/>
      </c>
      <c r="H695" s="30"/>
      <c r="I695" s="36" t="str">
        <f t="shared" si="115"/>
        <v/>
      </c>
      <c r="J695" s="34" t="str">
        <f t="shared" si="116"/>
        <v/>
      </c>
      <c r="K695" s="49"/>
      <c r="L695" s="55" t="str">
        <f t="shared" si="117"/>
        <v/>
      </c>
      <c r="M695" s="54" t="str">
        <f t="shared" si="118"/>
        <v/>
      </c>
      <c r="N695" s="30"/>
      <c r="O695" s="31"/>
      <c r="P695" s="53"/>
      <c r="Q695" s="33"/>
      <c r="R695" s="54" t="str">
        <f t="shared" si="119"/>
        <v/>
      </c>
      <c r="S695" s="30"/>
      <c r="T695" s="33"/>
    </row>
    <row r="696" spans="1:20" x14ac:dyDescent="0.25">
      <c r="A696" s="30"/>
      <c r="B696" s="37" t="str">
        <f t="shared" si="110"/>
        <v/>
      </c>
      <c r="C696" s="30"/>
      <c r="D696" s="34" t="str">
        <f t="shared" si="111"/>
        <v/>
      </c>
      <c r="E696" s="34" t="str">
        <f t="shared" si="112"/>
        <v/>
      </c>
      <c r="F696" s="34" t="str">
        <f t="shared" si="113"/>
        <v/>
      </c>
      <c r="G696" s="35" t="str">
        <f t="shared" si="114"/>
        <v/>
      </c>
      <c r="H696" s="30"/>
      <c r="I696" s="36" t="str">
        <f t="shared" si="115"/>
        <v/>
      </c>
      <c r="J696" s="34" t="str">
        <f t="shared" si="116"/>
        <v/>
      </c>
      <c r="K696" s="49"/>
      <c r="L696" s="55" t="str">
        <f t="shared" si="117"/>
        <v/>
      </c>
      <c r="M696" s="54" t="str">
        <f t="shared" si="118"/>
        <v/>
      </c>
      <c r="N696" s="30"/>
      <c r="O696" s="31"/>
      <c r="P696" s="53"/>
      <c r="Q696" s="33"/>
      <c r="R696" s="54" t="str">
        <f t="shared" si="119"/>
        <v/>
      </c>
      <c r="S696" s="30"/>
      <c r="T696" s="33"/>
    </row>
    <row r="697" spans="1:20" x14ac:dyDescent="0.25">
      <c r="A697" s="30"/>
      <c r="B697" s="37" t="str">
        <f t="shared" si="110"/>
        <v/>
      </c>
      <c r="C697" s="30"/>
      <c r="D697" s="34" t="str">
        <f t="shared" si="111"/>
        <v/>
      </c>
      <c r="E697" s="34" t="str">
        <f t="shared" si="112"/>
        <v/>
      </c>
      <c r="F697" s="34" t="str">
        <f t="shared" si="113"/>
        <v/>
      </c>
      <c r="G697" s="35" t="str">
        <f t="shared" si="114"/>
        <v/>
      </c>
      <c r="H697" s="30"/>
      <c r="I697" s="36" t="str">
        <f t="shared" si="115"/>
        <v/>
      </c>
      <c r="J697" s="34" t="str">
        <f t="shared" si="116"/>
        <v/>
      </c>
      <c r="K697" s="49"/>
      <c r="L697" s="55" t="str">
        <f t="shared" si="117"/>
        <v/>
      </c>
      <c r="M697" s="54" t="str">
        <f t="shared" si="118"/>
        <v/>
      </c>
      <c r="N697" s="30"/>
      <c r="O697" s="31"/>
      <c r="P697" s="53"/>
      <c r="Q697" s="33"/>
      <c r="R697" s="54" t="str">
        <f t="shared" si="119"/>
        <v/>
      </c>
      <c r="S697" s="30"/>
      <c r="T697" s="33"/>
    </row>
    <row r="698" spans="1:20" x14ac:dyDescent="0.25">
      <c r="A698" s="30"/>
      <c r="B698" s="37" t="str">
        <f t="shared" si="110"/>
        <v/>
      </c>
      <c r="C698" s="30"/>
      <c r="D698" s="34" t="str">
        <f t="shared" si="111"/>
        <v/>
      </c>
      <c r="E698" s="34" t="str">
        <f t="shared" si="112"/>
        <v/>
      </c>
      <c r="F698" s="34" t="str">
        <f t="shared" si="113"/>
        <v/>
      </c>
      <c r="G698" s="35" t="str">
        <f t="shared" si="114"/>
        <v/>
      </c>
      <c r="H698" s="30"/>
      <c r="I698" s="36" t="str">
        <f t="shared" si="115"/>
        <v/>
      </c>
      <c r="J698" s="34" t="str">
        <f t="shared" si="116"/>
        <v/>
      </c>
      <c r="K698" s="49"/>
      <c r="L698" s="55" t="str">
        <f t="shared" si="117"/>
        <v/>
      </c>
      <c r="M698" s="54" t="str">
        <f t="shared" si="118"/>
        <v/>
      </c>
      <c r="N698" s="30"/>
      <c r="O698" s="31"/>
      <c r="P698" s="53"/>
      <c r="Q698" s="33"/>
      <c r="R698" s="54" t="str">
        <f t="shared" si="119"/>
        <v/>
      </c>
      <c r="S698" s="30"/>
      <c r="T698" s="33"/>
    </row>
    <row r="699" spans="1:20" x14ac:dyDescent="0.25">
      <c r="A699" s="30"/>
      <c r="B699" s="37" t="str">
        <f t="shared" si="110"/>
        <v/>
      </c>
      <c r="C699" s="30"/>
      <c r="D699" s="34" t="str">
        <f t="shared" si="111"/>
        <v/>
      </c>
      <c r="E699" s="34" t="str">
        <f t="shared" si="112"/>
        <v/>
      </c>
      <c r="F699" s="34" t="str">
        <f t="shared" si="113"/>
        <v/>
      </c>
      <c r="G699" s="35" t="str">
        <f t="shared" si="114"/>
        <v/>
      </c>
      <c r="H699" s="30"/>
      <c r="I699" s="36" t="str">
        <f t="shared" si="115"/>
        <v/>
      </c>
      <c r="J699" s="34" t="str">
        <f t="shared" si="116"/>
        <v/>
      </c>
      <c r="K699" s="49"/>
      <c r="L699" s="55" t="str">
        <f t="shared" si="117"/>
        <v/>
      </c>
      <c r="M699" s="54" t="str">
        <f t="shared" si="118"/>
        <v/>
      </c>
      <c r="N699" s="30"/>
      <c r="O699" s="31"/>
      <c r="P699" s="53"/>
      <c r="Q699" s="33"/>
      <c r="R699" s="54" t="str">
        <f t="shared" si="119"/>
        <v/>
      </c>
      <c r="S699" s="30"/>
      <c r="T699" s="33"/>
    </row>
    <row r="700" spans="1:20" x14ac:dyDescent="0.25">
      <c r="A700" s="30"/>
      <c r="B700" s="37" t="str">
        <f t="shared" si="110"/>
        <v/>
      </c>
      <c r="C700" s="30"/>
      <c r="D700" s="34" t="str">
        <f t="shared" si="111"/>
        <v/>
      </c>
      <c r="E700" s="34" t="str">
        <f t="shared" si="112"/>
        <v/>
      </c>
      <c r="F700" s="34" t="str">
        <f t="shared" si="113"/>
        <v/>
      </c>
      <c r="G700" s="35" t="str">
        <f t="shared" si="114"/>
        <v/>
      </c>
      <c r="H700" s="30"/>
      <c r="I700" s="36" t="str">
        <f t="shared" si="115"/>
        <v/>
      </c>
      <c r="J700" s="34" t="str">
        <f t="shared" si="116"/>
        <v/>
      </c>
      <c r="K700" s="49"/>
      <c r="L700" s="55" t="str">
        <f t="shared" si="117"/>
        <v/>
      </c>
      <c r="M700" s="54" t="str">
        <f t="shared" si="118"/>
        <v/>
      </c>
      <c r="N700" s="30"/>
      <c r="O700" s="31"/>
      <c r="P700" s="53"/>
      <c r="Q700" s="33"/>
      <c r="R700" s="54" t="str">
        <f t="shared" si="119"/>
        <v/>
      </c>
      <c r="S700" s="30"/>
      <c r="T700" s="33"/>
    </row>
    <row r="701" spans="1:20" x14ac:dyDescent="0.25">
      <c r="A701" s="30"/>
      <c r="B701" s="37" t="str">
        <f t="shared" si="110"/>
        <v/>
      </c>
      <c r="C701" s="30"/>
      <c r="D701" s="34" t="str">
        <f t="shared" si="111"/>
        <v/>
      </c>
      <c r="E701" s="34" t="str">
        <f t="shared" si="112"/>
        <v/>
      </c>
      <c r="F701" s="34" t="str">
        <f t="shared" si="113"/>
        <v/>
      </c>
      <c r="G701" s="35" t="str">
        <f t="shared" si="114"/>
        <v/>
      </c>
      <c r="H701" s="30"/>
      <c r="I701" s="36" t="str">
        <f t="shared" si="115"/>
        <v/>
      </c>
      <c r="J701" s="34" t="str">
        <f t="shared" si="116"/>
        <v/>
      </c>
      <c r="K701" s="49"/>
      <c r="L701" s="55" t="str">
        <f t="shared" si="117"/>
        <v/>
      </c>
      <c r="M701" s="54" t="str">
        <f t="shared" si="118"/>
        <v/>
      </c>
      <c r="N701" s="30"/>
      <c r="O701" s="31"/>
      <c r="P701" s="53"/>
      <c r="Q701" s="33"/>
      <c r="R701" s="54" t="str">
        <f t="shared" si="119"/>
        <v/>
      </c>
      <c r="S701" s="30"/>
      <c r="T701" s="33"/>
    </row>
    <row r="702" spans="1:20" x14ac:dyDescent="0.25">
      <c r="A702" s="30"/>
      <c r="B702" s="37" t="str">
        <f t="shared" si="110"/>
        <v/>
      </c>
      <c r="C702" s="30"/>
      <c r="D702" s="34" t="str">
        <f t="shared" si="111"/>
        <v/>
      </c>
      <c r="E702" s="34" t="str">
        <f t="shared" si="112"/>
        <v/>
      </c>
      <c r="F702" s="34" t="str">
        <f t="shared" si="113"/>
        <v/>
      </c>
      <c r="G702" s="35" t="str">
        <f t="shared" si="114"/>
        <v/>
      </c>
      <c r="H702" s="30"/>
      <c r="I702" s="36" t="str">
        <f t="shared" si="115"/>
        <v/>
      </c>
      <c r="J702" s="34" t="str">
        <f t="shared" si="116"/>
        <v/>
      </c>
      <c r="K702" s="49"/>
      <c r="L702" s="55" t="str">
        <f t="shared" si="117"/>
        <v/>
      </c>
      <c r="M702" s="54" t="str">
        <f t="shared" si="118"/>
        <v/>
      </c>
      <c r="N702" s="30"/>
      <c r="O702" s="31"/>
      <c r="P702" s="53"/>
      <c r="Q702" s="33"/>
      <c r="R702" s="54" t="str">
        <f t="shared" si="119"/>
        <v/>
      </c>
      <c r="S702" s="30"/>
      <c r="T702" s="33"/>
    </row>
    <row r="703" spans="1:20" x14ac:dyDescent="0.25">
      <c r="A703" s="30"/>
      <c r="B703" s="37" t="str">
        <f t="shared" si="110"/>
        <v/>
      </c>
      <c r="C703" s="30"/>
      <c r="D703" s="34" t="str">
        <f t="shared" si="111"/>
        <v/>
      </c>
      <c r="E703" s="34" t="str">
        <f t="shared" si="112"/>
        <v/>
      </c>
      <c r="F703" s="34" t="str">
        <f t="shared" si="113"/>
        <v/>
      </c>
      <c r="G703" s="35" t="str">
        <f t="shared" si="114"/>
        <v/>
      </c>
      <c r="H703" s="30"/>
      <c r="I703" s="36" t="str">
        <f t="shared" si="115"/>
        <v/>
      </c>
      <c r="J703" s="34" t="str">
        <f t="shared" si="116"/>
        <v/>
      </c>
      <c r="K703" s="49"/>
      <c r="L703" s="55" t="str">
        <f t="shared" si="117"/>
        <v/>
      </c>
      <c r="M703" s="54" t="str">
        <f t="shared" si="118"/>
        <v/>
      </c>
      <c r="N703" s="30"/>
      <c r="O703" s="31"/>
      <c r="P703" s="53"/>
      <c r="Q703" s="33"/>
      <c r="R703" s="54" t="str">
        <f t="shared" si="119"/>
        <v/>
      </c>
      <c r="S703" s="30"/>
      <c r="T703" s="33"/>
    </row>
    <row r="704" spans="1:20" x14ac:dyDescent="0.25">
      <c r="A704" s="30"/>
      <c r="B704" s="37" t="str">
        <f t="shared" si="110"/>
        <v/>
      </c>
      <c r="C704" s="30"/>
      <c r="D704" s="34" t="str">
        <f t="shared" si="111"/>
        <v/>
      </c>
      <c r="E704" s="34" t="str">
        <f t="shared" si="112"/>
        <v/>
      </c>
      <c r="F704" s="34" t="str">
        <f t="shared" si="113"/>
        <v/>
      </c>
      <c r="G704" s="35" t="str">
        <f t="shared" si="114"/>
        <v/>
      </c>
      <c r="H704" s="30"/>
      <c r="I704" s="36" t="str">
        <f t="shared" si="115"/>
        <v/>
      </c>
      <c r="J704" s="34" t="str">
        <f t="shared" si="116"/>
        <v/>
      </c>
      <c r="K704" s="49"/>
      <c r="L704" s="55" t="str">
        <f t="shared" si="117"/>
        <v/>
      </c>
      <c r="M704" s="54" t="str">
        <f t="shared" si="118"/>
        <v/>
      </c>
      <c r="N704" s="30"/>
      <c r="O704" s="31"/>
      <c r="P704" s="53"/>
      <c r="Q704" s="33"/>
      <c r="R704" s="54" t="str">
        <f t="shared" si="119"/>
        <v/>
      </c>
      <c r="S704" s="30"/>
      <c r="T704" s="33"/>
    </row>
    <row r="705" spans="1:20" x14ac:dyDescent="0.25">
      <c r="A705" s="30"/>
      <c r="B705" s="37" t="str">
        <f t="shared" si="110"/>
        <v/>
      </c>
      <c r="C705" s="30"/>
      <c r="D705" s="34" t="str">
        <f t="shared" si="111"/>
        <v/>
      </c>
      <c r="E705" s="34" t="str">
        <f t="shared" si="112"/>
        <v/>
      </c>
      <c r="F705" s="34" t="str">
        <f t="shared" si="113"/>
        <v/>
      </c>
      <c r="G705" s="35" t="str">
        <f t="shared" si="114"/>
        <v/>
      </c>
      <c r="H705" s="30"/>
      <c r="I705" s="36" t="str">
        <f t="shared" si="115"/>
        <v/>
      </c>
      <c r="J705" s="34" t="str">
        <f t="shared" si="116"/>
        <v/>
      </c>
      <c r="K705" s="49"/>
      <c r="L705" s="55" t="str">
        <f t="shared" si="117"/>
        <v/>
      </c>
      <c r="M705" s="54" t="str">
        <f t="shared" si="118"/>
        <v/>
      </c>
      <c r="N705" s="30"/>
      <c r="O705" s="31"/>
      <c r="P705" s="53"/>
      <c r="Q705" s="33"/>
      <c r="R705" s="54" t="str">
        <f t="shared" si="119"/>
        <v/>
      </c>
      <c r="S705" s="30"/>
      <c r="T705" s="33"/>
    </row>
    <row r="706" spans="1:20" x14ac:dyDescent="0.25">
      <c r="A706" s="30"/>
      <c r="B706" s="37" t="str">
        <f t="shared" si="110"/>
        <v/>
      </c>
      <c r="C706" s="30"/>
      <c r="D706" s="34" t="str">
        <f t="shared" si="111"/>
        <v/>
      </c>
      <c r="E706" s="34" t="str">
        <f t="shared" si="112"/>
        <v/>
      </c>
      <c r="F706" s="34" t="str">
        <f t="shared" si="113"/>
        <v/>
      </c>
      <c r="G706" s="35" t="str">
        <f t="shared" si="114"/>
        <v/>
      </c>
      <c r="H706" s="30"/>
      <c r="I706" s="36" t="str">
        <f t="shared" si="115"/>
        <v/>
      </c>
      <c r="J706" s="34" t="str">
        <f t="shared" si="116"/>
        <v/>
      </c>
      <c r="K706" s="49"/>
      <c r="L706" s="55" t="str">
        <f t="shared" si="117"/>
        <v/>
      </c>
      <c r="M706" s="54" t="str">
        <f t="shared" si="118"/>
        <v/>
      </c>
      <c r="N706" s="30"/>
      <c r="O706" s="31"/>
      <c r="P706" s="53"/>
      <c r="Q706" s="33"/>
      <c r="R706" s="54" t="str">
        <f t="shared" si="119"/>
        <v/>
      </c>
      <c r="S706" s="30"/>
      <c r="T706" s="33"/>
    </row>
    <row r="707" spans="1:20" x14ac:dyDescent="0.25">
      <c r="A707" s="30"/>
      <c r="B707" s="37" t="str">
        <f t="shared" si="110"/>
        <v/>
      </c>
      <c r="C707" s="30"/>
      <c r="D707" s="34" t="str">
        <f t="shared" si="111"/>
        <v/>
      </c>
      <c r="E707" s="34" t="str">
        <f t="shared" si="112"/>
        <v/>
      </c>
      <c r="F707" s="34" t="str">
        <f t="shared" si="113"/>
        <v/>
      </c>
      <c r="G707" s="35" t="str">
        <f t="shared" si="114"/>
        <v/>
      </c>
      <c r="H707" s="30"/>
      <c r="I707" s="36" t="str">
        <f t="shared" si="115"/>
        <v/>
      </c>
      <c r="J707" s="34" t="str">
        <f t="shared" si="116"/>
        <v/>
      </c>
      <c r="K707" s="49"/>
      <c r="L707" s="55" t="str">
        <f t="shared" si="117"/>
        <v/>
      </c>
      <c r="M707" s="54" t="str">
        <f t="shared" si="118"/>
        <v/>
      </c>
      <c r="N707" s="30"/>
      <c r="O707" s="31"/>
      <c r="P707" s="53"/>
      <c r="Q707" s="33"/>
      <c r="R707" s="54" t="str">
        <f t="shared" si="119"/>
        <v/>
      </c>
      <c r="S707" s="30"/>
      <c r="T707" s="33"/>
    </row>
    <row r="708" spans="1:20" x14ac:dyDescent="0.25">
      <c r="A708" s="30"/>
      <c r="B708" s="37" t="str">
        <f t="shared" si="110"/>
        <v/>
      </c>
      <c r="C708" s="30"/>
      <c r="D708" s="34" t="str">
        <f t="shared" si="111"/>
        <v/>
      </c>
      <c r="E708" s="34" t="str">
        <f t="shared" si="112"/>
        <v/>
      </c>
      <c r="F708" s="34" t="str">
        <f t="shared" si="113"/>
        <v/>
      </c>
      <c r="G708" s="35" t="str">
        <f t="shared" si="114"/>
        <v/>
      </c>
      <c r="H708" s="30"/>
      <c r="I708" s="36" t="str">
        <f t="shared" si="115"/>
        <v/>
      </c>
      <c r="J708" s="34" t="str">
        <f t="shared" si="116"/>
        <v/>
      </c>
      <c r="K708" s="49"/>
      <c r="L708" s="55" t="str">
        <f t="shared" si="117"/>
        <v/>
      </c>
      <c r="M708" s="54" t="str">
        <f t="shared" si="118"/>
        <v/>
      </c>
      <c r="N708" s="30"/>
      <c r="O708" s="31"/>
      <c r="P708" s="53"/>
      <c r="Q708" s="33"/>
      <c r="R708" s="54" t="str">
        <f t="shared" si="119"/>
        <v/>
      </c>
      <c r="S708" s="30"/>
      <c r="T708" s="33"/>
    </row>
    <row r="709" spans="1:20" x14ac:dyDescent="0.25">
      <c r="A709" s="30"/>
      <c r="B709" s="37" t="str">
        <f t="shared" si="110"/>
        <v/>
      </c>
      <c r="C709" s="30"/>
      <c r="D709" s="34" t="str">
        <f t="shared" si="111"/>
        <v/>
      </c>
      <c r="E709" s="34" t="str">
        <f t="shared" si="112"/>
        <v/>
      </c>
      <c r="F709" s="34" t="str">
        <f t="shared" si="113"/>
        <v/>
      </c>
      <c r="G709" s="35" t="str">
        <f t="shared" si="114"/>
        <v/>
      </c>
      <c r="H709" s="30"/>
      <c r="I709" s="36" t="str">
        <f t="shared" si="115"/>
        <v/>
      </c>
      <c r="J709" s="34" t="str">
        <f t="shared" si="116"/>
        <v/>
      </c>
      <c r="K709" s="49"/>
      <c r="L709" s="55" t="str">
        <f t="shared" si="117"/>
        <v/>
      </c>
      <c r="M709" s="54" t="str">
        <f t="shared" si="118"/>
        <v/>
      </c>
      <c r="N709" s="30"/>
      <c r="O709" s="31"/>
      <c r="P709" s="53"/>
      <c r="Q709" s="33"/>
      <c r="R709" s="54" t="str">
        <f t="shared" si="119"/>
        <v/>
      </c>
      <c r="S709" s="30"/>
      <c r="T709" s="33"/>
    </row>
    <row r="710" spans="1:20" x14ac:dyDescent="0.25">
      <c r="A710" s="30"/>
      <c r="B710" s="37" t="str">
        <f t="shared" si="110"/>
        <v/>
      </c>
      <c r="C710" s="30"/>
      <c r="D710" s="34" t="str">
        <f t="shared" si="111"/>
        <v/>
      </c>
      <c r="E710" s="34" t="str">
        <f t="shared" si="112"/>
        <v/>
      </c>
      <c r="F710" s="34" t="str">
        <f t="shared" si="113"/>
        <v/>
      </c>
      <c r="G710" s="35" t="str">
        <f t="shared" si="114"/>
        <v/>
      </c>
      <c r="H710" s="30"/>
      <c r="I710" s="36" t="str">
        <f t="shared" si="115"/>
        <v/>
      </c>
      <c r="J710" s="34" t="str">
        <f t="shared" si="116"/>
        <v/>
      </c>
      <c r="K710" s="49"/>
      <c r="L710" s="55" t="str">
        <f t="shared" si="117"/>
        <v/>
      </c>
      <c r="M710" s="54" t="str">
        <f t="shared" si="118"/>
        <v/>
      </c>
      <c r="N710" s="30"/>
      <c r="O710" s="31"/>
      <c r="P710" s="53"/>
      <c r="Q710" s="33"/>
      <c r="R710" s="54" t="str">
        <f t="shared" si="119"/>
        <v/>
      </c>
      <c r="S710" s="30"/>
      <c r="T710" s="33"/>
    </row>
    <row r="711" spans="1:20" x14ac:dyDescent="0.25">
      <c r="A711" s="30"/>
      <c r="B711" s="37" t="str">
        <f t="shared" si="110"/>
        <v/>
      </c>
      <c r="C711" s="30"/>
      <c r="D711" s="34" t="str">
        <f t="shared" si="111"/>
        <v/>
      </c>
      <c r="E711" s="34" t="str">
        <f t="shared" si="112"/>
        <v/>
      </c>
      <c r="F711" s="34" t="str">
        <f t="shared" si="113"/>
        <v/>
      </c>
      <c r="G711" s="35" t="str">
        <f t="shared" si="114"/>
        <v/>
      </c>
      <c r="H711" s="30"/>
      <c r="I711" s="36" t="str">
        <f t="shared" si="115"/>
        <v/>
      </c>
      <c r="J711" s="34" t="str">
        <f t="shared" si="116"/>
        <v/>
      </c>
      <c r="K711" s="49"/>
      <c r="L711" s="55" t="str">
        <f t="shared" si="117"/>
        <v/>
      </c>
      <c r="M711" s="54" t="str">
        <f t="shared" si="118"/>
        <v/>
      </c>
      <c r="N711" s="30"/>
      <c r="O711" s="31"/>
      <c r="P711" s="53"/>
      <c r="Q711" s="33"/>
      <c r="R711" s="54" t="str">
        <f t="shared" si="119"/>
        <v/>
      </c>
      <c r="S711" s="30"/>
      <c r="T711" s="33"/>
    </row>
    <row r="712" spans="1:20" x14ac:dyDescent="0.25">
      <c r="A712" s="30"/>
      <c r="B712" s="37" t="str">
        <f t="shared" si="110"/>
        <v/>
      </c>
      <c r="C712" s="30"/>
      <c r="D712" s="34" t="str">
        <f t="shared" si="111"/>
        <v/>
      </c>
      <c r="E712" s="34" t="str">
        <f t="shared" si="112"/>
        <v/>
      </c>
      <c r="F712" s="34" t="str">
        <f t="shared" si="113"/>
        <v/>
      </c>
      <c r="G712" s="35" t="str">
        <f t="shared" si="114"/>
        <v/>
      </c>
      <c r="H712" s="30"/>
      <c r="I712" s="36" t="str">
        <f t="shared" si="115"/>
        <v/>
      </c>
      <c r="J712" s="34" t="str">
        <f t="shared" si="116"/>
        <v/>
      </c>
      <c r="K712" s="49"/>
      <c r="L712" s="55" t="str">
        <f t="shared" si="117"/>
        <v/>
      </c>
      <c r="M712" s="54" t="str">
        <f t="shared" si="118"/>
        <v/>
      </c>
      <c r="N712" s="30"/>
      <c r="O712" s="31"/>
      <c r="P712" s="53"/>
      <c r="Q712" s="33"/>
      <c r="R712" s="54" t="str">
        <f t="shared" si="119"/>
        <v/>
      </c>
      <c r="S712" s="30"/>
      <c r="T712" s="33"/>
    </row>
    <row r="713" spans="1:20" x14ac:dyDescent="0.25">
      <c r="A713" s="30"/>
      <c r="B713" s="37" t="str">
        <f t="shared" si="110"/>
        <v/>
      </c>
      <c r="C713" s="30"/>
      <c r="D713" s="34" t="str">
        <f t="shared" si="111"/>
        <v/>
      </c>
      <c r="E713" s="34" t="str">
        <f t="shared" si="112"/>
        <v/>
      </c>
      <c r="F713" s="34" t="str">
        <f t="shared" si="113"/>
        <v/>
      </c>
      <c r="G713" s="35" t="str">
        <f t="shared" si="114"/>
        <v/>
      </c>
      <c r="H713" s="30"/>
      <c r="I713" s="36" t="str">
        <f t="shared" si="115"/>
        <v/>
      </c>
      <c r="J713" s="34" t="str">
        <f t="shared" si="116"/>
        <v/>
      </c>
      <c r="K713" s="49"/>
      <c r="L713" s="55" t="str">
        <f t="shared" si="117"/>
        <v/>
      </c>
      <c r="M713" s="54" t="str">
        <f t="shared" si="118"/>
        <v/>
      </c>
      <c r="N713" s="30"/>
      <c r="O713" s="31"/>
      <c r="P713" s="53"/>
      <c r="Q713" s="33"/>
      <c r="R713" s="54" t="str">
        <f t="shared" si="119"/>
        <v/>
      </c>
      <c r="S713" s="30"/>
      <c r="T713" s="33"/>
    </row>
    <row r="714" spans="1:20" x14ac:dyDescent="0.25">
      <c r="A714" s="30"/>
      <c r="B714" s="37" t="str">
        <f t="shared" si="110"/>
        <v/>
      </c>
      <c r="C714" s="30"/>
      <c r="D714" s="34" t="str">
        <f t="shared" si="111"/>
        <v/>
      </c>
      <c r="E714" s="34" t="str">
        <f t="shared" si="112"/>
        <v/>
      </c>
      <c r="F714" s="34" t="str">
        <f t="shared" si="113"/>
        <v/>
      </c>
      <c r="G714" s="35" t="str">
        <f t="shared" si="114"/>
        <v/>
      </c>
      <c r="H714" s="30"/>
      <c r="I714" s="36" t="str">
        <f t="shared" si="115"/>
        <v/>
      </c>
      <c r="J714" s="34" t="str">
        <f t="shared" si="116"/>
        <v/>
      </c>
      <c r="K714" s="49"/>
      <c r="L714" s="55" t="str">
        <f t="shared" si="117"/>
        <v/>
      </c>
      <c r="M714" s="54" t="str">
        <f t="shared" si="118"/>
        <v/>
      </c>
      <c r="N714" s="30"/>
      <c r="O714" s="31"/>
      <c r="P714" s="53"/>
      <c r="Q714" s="33"/>
      <c r="R714" s="54" t="str">
        <f t="shared" si="119"/>
        <v/>
      </c>
      <c r="S714" s="30"/>
      <c r="T714" s="33"/>
    </row>
    <row r="715" spans="1:20" x14ac:dyDescent="0.25">
      <c r="A715" s="30"/>
      <c r="B715" s="37" t="str">
        <f t="shared" si="110"/>
        <v/>
      </c>
      <c r="C715" s="30"/>
      <c r="D715" s="34" t="str">
        <f t="shared" si="111"/>
        <v/>
      </c>
      <c r="E715" s="34" t="str">
        <f t="shared" si="112"/>
        <v/>
      </c>
      <c r="F715" s="34" t="str">
        <f t="shared" si="113"/>
        <v/>
      </c>
      <c r="G715" s="35" t="str">
        <f t="shared" si="114"/>
        <v/>
      </c>
      <c r="H715" s="30"/>
      <c r="I715" s="36" t="str">
        <f t="shared" si="115"/>
        <v/>
      </c>
      <c r="J715" s="34" t="str">
        <f t="shared" si="116"/>
        <v/>
      </c>
      <c r="K715" s="49"/>
      <c r="L715" s="55" t="str">
        <f t="shared" si="117"/>
        <v/>
      </c>
      <c r="M715" s="54" t="str">
        <f t="shared" si="118"/>
        <v/>
      </c>
      <c r="N715" s="30"/>
      <c r="O715" s="31"/>
      <c r="P715" s="53"/>
      <c r="Q715" s="33"/>
      <c r="R715" s="54" t="str">
        <f t="shared" si="119"/>
        <v/>
      </c>
      <c r="S715" s="30"/>
      <c r="T715" s="33"/>
    </row>
    <row r="716" spans="1:20" x14ac:dyDescent="0.25">
      <c r="A716" s="30"/>
      <c r="B716" s="37" t="str">
        <f t="shared" si="110"/>
        <v/>
      </c>
      <c r="C716" s="30"/>
      <c r="D716" s="34" t="str">
        <f t="shared" si="111"/>
        <v/>
      </c>
      <c r="E716" s="34" t="str">
        <f t="shared" si="112"/>
        <v/>
      </c>
      <c r="F716" s="34" t="str">
        <f t="shared" si="113"/>
        <v/>
      </c>
      <c r="G716" s="35" t="str">
        <f t="shared" si="114"/>
        <v/>
      </c>
      <c r="H716" s="30"/>
      <c r="I716" s="36" t="str">
        <f t="shared" si="115"/>
        <v/>
      </c>
      <c r="J716" s="34" t="str">
        <f t="shared" si="116"/>
        <v/>
      </c>
      <c r="K716" s="49"/>
      <c r="L716" s="55" t="str">
        <f t="shared" si="117"/>
        <v/>
      </c>
      <c r="M716" s="54" t="str">
        <f t="shared" si="118"/>
        <v/>
      </c>
      <c r="N716" s="30"/>
      <c r="O716" s="31"/>
      <c r="P716" s="53"/>
      <c r="Q716" s="33"/>
      <c r="R716" s="54" t="str">
        <f t="shared" si="119"/>
        <v/>
      </c>
      <c r="S716" s="30"/>
      <c r="T716" s="33"/>
    </row>
    <row r="717" spans="1:20" x14ac:dyDescent="0.25">
      <c r="A717" s="30"/>
      <c r="B717" s="37" t="str">
        <f t="shared" si="110"/>
        <v/>
      </c>
      <c r="C717" s="30"/>
      <c r="D717" s="34" t="str">
        <f t="shared" si="111"/>
        <v/>
      </c>
      <c r="E717" s="34" t="str">
        <f t="shared" si="112"/>
        <v/>
      </c>
      <c r="F717" s="34" t="str">
        <f t="shared" si="113"/>
        <v/>
      </c>
      <c r="G717" s="35" t="str">
        <f t="shared" si="114"/>
        <v/>
      </c>
      <c r="H717" s="30"/>
      <c r="I717" s="36" t="str">
        <f t="shared" si="115"/>
        <v/>
      </c>
      <c r="J717" s="34" t="str">
        <f t="shared" si="116"/>
        <v/>
      </c>
      <c r="K717" s="49"/>
      <c r="L717" s="55" t="str">
        <f t="shared" si="117"/>
        <v/>
      </c>
      <c r="M717" s="54" t="str">
        <f t="shared" si="118"/>
        <v/>
      </c>
      <c r="N717" s="30"/>
      <c r="O717" s="31"/>
      <c r="P717" s="53"/>
      <c r="Q717" s="33"/>
      <c r="R717" s="54" t="str">
        <f t="shared" si="119"/>
        <v/>
      </c>
      <c r="S717" s="30"/>
      <c r="T717" s="33"/>
    </row>
    <row r="718" spans="1:20" x14ac:dyDescent="0.25">
      <c r="A718" s="30"/>
      <c r="B718" s="37" t="str">
        <f t="shared" si="110"/>
        <v/>
      </c>
      <c r="C718" s="30"/>
      <c r="D718" s="34" t="str">
        <f t="shared" si="111"/>
        <v/>
      </c>
      <c r="E718" s="34" t="str">
        <f t="shared" si="112"/>
        <v/>
      </c>
      <c r="F718" s="34" t="str">
        <f t="shared" si="113"/>
        <v/>
      </c>
      <c r="G718" s="35" t="str">
        <f t="shared" si="114"/>
        <v/>
      </c>
      <c r="H718" s="30"/>
      <c r="I718" s="36" t="str">
        <f t="shared" si="115"/>
        <v/>
      </c>
      <c r="J718" s="34" t="str">
        <f t="shared" si="116"/>
        <v/>
      </c>
      <c r="K718" s="49"/>
      <c r="L718" s="55" t="str">
        <f t="shared" si="117"/>
        <v/>
      </c>
      <c r="M718" s="54" t="str">
        <f t="shared" si="118"/>
        <v/>
      </c>
      <c r="N718" s="30"/>
      <c r="O718" s="31"/>
      <c r="P718" s="53"/>
      <c r="Q718" s="33"/>
      <c r="R718" s="54" t="str">
        <f t="shared" si="119"/>
        <v/>
      </c>
      <c r="S718" s="30"/>
      <c r="T718" s="33"/>
    </row>
    <row r="719" spans="1:20" x14ac:dyDescent="0.25">
      <c r="A719" s="30"/>
      <c r="B719" s="37" t="str">
        <f t="shared" si="110"/>
        <v/>
      </c>
      <c r="C719" s="30"/>
      <c r="D719" s="34" t="str">
        <f t="shared" si="111"/>
        <v/>
      </c>
      <c r="E719" s="34" t="str">
        <f t="shared" si="112"/>
        <v/>
      </c>
      <c r="F719" s="34" t="str">
        <f t="shared" si="113"/>
        <v/>
      </c>
      <c r="G719" s="35" t="str">
        <f t="shared" si="114"/>
        <v/>
      </c>
      <c r="H719" s="30"/>
      <c r="I719" s="36" t="str">
        <f t="shared" si="115"/>
        <v/>
      </c>
      <c r="J719" s="34" t="str">
        <f t="shared" si="116"/>
        <v/>
      </c>
      <c r="K719" s="49"/>
      <c r="L719" s="55" t="str">
        <f t="shared" si="117"/>
        <v/>
      </c>
      <c r="M719" s="54" t="str">
        <f t="shared" si="118"/>
        <v/>
      </c>
      <c r="N719" s="30"/>
      <c r="O719" s="31"/>
      <c r="P719" s="53"/>
      <c r="Q719" s="33"/>
      <c r="R719" s="54" t="str">
        <f t="shared" si="119"/>
        <v/>
      </c>
      <c r="S719" s="30"/>
      <c r="T719" s="33"/>
    </row>
    <row r="720" spans="1:20" x14ac:dyDescent="0.25">
      <c r="A720" s="30"/>
      <c r="B720" s="37" t="str">
        <f t="shared" si="110"/>
        <v/>
      </c>
      <c r="C720" s="30"/>
      <c r="D720" s="34" t="str">
        <f t="shared" si="111"/>
        <v/>
      </c>
      <c r="E720" s="34" t="str">
        <f t="shared" si="112"/>
        <v/>
      </c>
      <c r="F720" s="34" t="str">
        <f t="shared" si="113"/>
        <v/>
      </c>
      <c r="G720" s="35" t="str">
        <f t="shared" si="114"/>
        <v/>
      </c>
      <c r="H720" s="30"/>
      <c r="I720" s="36" t="str">
        <f t="shared" si="115"/>
        <v/>
      </c>
      <c r="J720" s="34" t="str">
        <f t="shared" si="116"/>
        <v/>
      </c>
      <c r="K720" s="49"/>
      <c r="L720" s="55" t="str">
        <f t="shared" si="117"/>
        <v/>
      </c>
      <c r="M720" s="54" t="str">
        <f t="shared" si="118"/>
        <v/>
      </c>
      <c r="N720" s="30"/>
      <c r="O720" s="31"/>
      <c r="P720" s="53"/>
      <c r="Q720" s="33"/>
      <c r="R720" s="54" t="str">
        <f t="shared" si="119"/>
        <v/>
      </c>
      <c r="S720" s="30"/>
      <c r="T720" s="33"/>
    </row>
    <row r="721" spans="1:20" x14ac:dyDescent="0.25">
      <c r="A721" s="30"/>
      <c r="B721" s="37" t="str">
        <f t="shared" si="110"/>
        <v/>
      </c>
      <c r="C721" s="30"/>
      <c r="D721" s="34" t="str">
        <f t="shared" si="111"/>
        <v/>
      </c>
      <c r="E721" s="34" t="str">
        <f t="shared" si="112"/>
        <v/>
      </c>
      <c r="F721" s="34" t="str">
        <f t="shared" si="113"/>
        <v/>
      </c>
      <c r="G721" s="35" t="str">
        <f t="shared" si="114"/>
        <v/>
      </c>
      <c r="H721" s="30"/>
      <c r="I721" s="36" t="str">
        <f t="shared" si="115"/>
        <v/>
      </c>
      <c r="J721" s="34" t="str">
        <f t="shared" si="116"/>
        <v/>
      </c>
      <c r="K721" s="49"/>
      <c r="L721" s="55" t="str">
        <f t="shared" si="117"/>
        <v/>
      </c>
      <c r="M721" s="54" t="str">
        <f t="shared" si="118"/>
        <v/>
      </c>
      <c r="N721" s="30"/>
      <c r="O721" s="31"/>
      <c r="P721" s="53"/>
      <c r="Q721" s="33"/>
      <c r="R721" s="54" t="str">
        <f t="shared" si="119"/>
        <v/>
      </c>
      <c r="S721" s="30"/>
      <c r="T721" s="33"/>
    </row>
    <row r="722" spans="1:20" x14ac:dyDescent="0.25">
      <c r="A722" s="30"/>
      <c r="B722" s="37" t="str">
        <f t="shared" si="110"/>
        <v/>
      </c>
      <c r="C722" s="30"/>
      <c r="D722" s="34" t="str">
        <f t="shared" si="111"/>
        <v/>
      </c>
      <c r="E722" s="34" t="str">
        <f t="shared" si="112"/>
        <v/>
      </c>
      <c r="F722" s="34" t="str">
        <f t="shared" si="113"/>
        <v/>
      </c>
      <c r="G722" s="35" t="str">
        <f t="shared" si="114"/>
        <v/>
      </c>
      <c r="H722" s="30"/>
      <c r="I722" s="36" t="str">
        <f t="shared" si="115"/>
        <v/>
      </c>
      <c r="J722" s="34" t="str">
        <f t="shared" si="116"/>
        <v/>
      </c>
      <c r="K722" s="49"/>
      <c r="L722" s="55" t="str">
        <f t="shared" si="117"/>
        <v/>
      </c>
      <c r="M722" s="54" t="str">
        <f t="shared" si="118"/>
        <v/>
      </c>
      <c r="N722" s="30"/>
      <c r="O722" s="31"/>
      <c r="P722" s="53"/>
      <c r="Q722" s="33"/>
      <c r="R722" s="54" t="str">
        <f t="shared" si="119"/>
        <v/>
      </c>
      <c r="S722" s="30"/>
      <c r="T722" s="33"/>
    </row>
    <row r="723" spans="1:20" x14ac:dyDescent="0.25">
      <c r="A723" s="30"/>
      <c r="B723" s="37" t="str">
        <f t="shared" si="110"/>
        <v/>
      </c>
      <c r="C723" s="30"/>
      <c r="D723" s="34" t="str">
        <f t="shared" si="111"/>
        <v/>
      </c>
      <c r="E723" s="34" t="str">
        <f t="shared" si="112"/>
        <v/>
      </c>
      <c r="F723" s="34" t="str">
        <f t="shared" si="113"/>
        <v/>
      </c>
      <c r="G723" s="35" t="str">
        <f t="shared" si="114"/>
        <v/>
      </c>
      <c r="H723" s="30"/>
      <c r="I723" s="36" t="str">
        <f t="shared" si="115"/>
        <v/>
      </c>
      <c r="J723" s="34" t="str">
        <f t="shared" si="116"/>
        <v/>
      </c>
      <c r="K723" s="49"/>
      <c r="L723" s="55" t="str">
        <f t="shared" si="117"/>
        <v/>
      </c>
      <c r="M723" s="54" t="str">
        <f t="shared" si="118"/>
        <v/>
      </c>
      <c r="N723" s="30"/>
      <c r="O723" s="31"/>
      <c r="P723" s="53"/>
      <c r="Q723" s="33"/>
      <c r="R723" s="54" t="str">
        <f t="shared" si="119"/>
        <v/>
      </c>
      <c r="S723" s="30"/>
      <c r="T723" s="33"/>
    </row>
    <row r="724" spans="1:20" x14ac:dyDescent="0.25">
      <c r="A724" s="30"/>
      <c r="B724" s="37" t="str">
        <f t="shared" si="110"/>
        <v/>
      </c>
      <c r="C724" s="30"/>
      <c r="D724" s="34" t="str">
        <f t="shared" si="111"/>
        <v/>
      </c>
      <c r="E724" s="34" t="str">
        <f t="shared" si="112"/>
        <v/>
      </c>
      <c r="F724" s="34" t="str">
        <f t="shared" si="113"/>
        <v/>
      </c>
      <c r="G724" s="35" t="str">
        <f t="shared" si="114"/>
        <v/>
      </c>
      <c r="H724" s="30"/>
      <c r="I724" s="36" t="str">
        <f t="shared" si="115"/>
        <v/>
      </c>
      <c r="J724" s="34" t="str">
        <f t="shared" si="116"/>
        <v/>
      </c>
      <c r="K724" s="49"/>
      <c r="L724" s="55" t="str">
        <f t="shared" si="117"/>
        <v/>
      </c>
      <c r="M724" s="54" t="str">
        <f t="shared" si="118"/>
        <v/>
      </c>
      <c r="N724" s="30"/>
      <c r="O724" s="31"/>
      <c r="P724" s="53"/>
      <c r="Q724" s="33"/>
      <c r="R724" s="54" t="str">
        <f t="shared" si="119"/>
        <v/>
      </c>
      <c r="S724" s="30"/>
      <c r="T724" s="33"/>
    </row>
    <row r="725" spans="1:20" x14ac:dyDescent="0.25">
      <c r="A725" s="30"/>
      <c r="B725" s="37" t="str">
        <f t="shared" si="110"/>
        <v/>
      </c>
      <c r="C725" s="30"/>
      <c r="D725" s="34" t="str">
        <f t="shared" si="111"/>
        <v/>
      </c>
      <c r="E725" s="34" t="str">
        <f t="shared" si="112"/>
        <v/>
      </c>
      <c r="F725" s="34" t="str">
        <f t="shared" si="113"/>
        <v/>
      </c>
      <c r="G725" s="35" t="str">
        <f t="shared" si="114"/>
        <v/>
      </c>
      <c r="H725" s="30"/>
      <c r="I725" s="36" t="str">
        <f t="shared" si="115"/>
        <v/>
      </c>
      <c r="J725" s="34" t="str">
        <f t="shared" si="116"/>
        <v/>
      </c>
      <c r="K725" s="49"/>
      <c r="L725" s="55" t="str">
        <f t="shared" si="117"/>
        <v/>
      </c>
      <c r="M725" s="54" t="str">
        <f t="shared" si="118"/>
        <v/>
      </c>
      <c r="N725" s="30"/>
      <c r="O725" s="31"/>
      <c r="P725" s="53"/>
      <c r="Q725" s="33"/>
      <c r="R725" s="54" t="str">
        <f t="shared" si="119"/>
        <v/>
      </c>
      <c r="S725" s="30"/>
      <c r="T725" s="33"/>
    </row>
    <row r="726" spans="1:20" x14ac:dyDescent="0.25">
      <c r="A726" s="30"/>
      <c r="B726" s="37" t="str">
        <f t="shared" si="110"/>
        <v/>
      </c>
      <c r="C726" s="30"/>
      <c r="D726" s="34" t="str">
        <f t="shared" si="111"/>
        <v/>
      </c>
      <c r="E726" s="34" t="str">
        <f t="shared" si="112"/>
        <v/>
      </c>
      <c r="F726" s="34" t="str">
        <f t="shared" si="113"/>
        <v/>
      </c>
      <c r="G726" s="35" t="str">
        <f t="shared" si="114"/>
        <v/>
      </c>
      <c r="H726" s="30"/>
      <c r="I726" s="36" t="str">
        <f t="shared" si="115"/>
        <v/>
      </c>
      <c r="J726" s="34" t="str">
        <f t="shared" si="116"/>
        <v/>
      </c>
      <c r="K726" s="49"/>
      <c r="L726" s="55" t="str">
        <f t="shared" si="117"/>
        <v/>
      </c>
      <c r="M726" s="54" t="str">
        <f t="shared" si="118"/>
        <v/>
      </c>
      <c r="N726" s="30"/>
      <c r="O726" s="31"/>
      <c r="P726" s="53"/>
      <c r="Q726" s="33"/>
      <c r="R726" s="54" t="str">
        <f t="shared" si="119"/>
        <v/>
      </c>
      <c r="S726" s="30"/>
      <c r="T726" s="33"/>
    </row>
    <row r="727" spans="1:20" x14ac:dyDescent="0.25">
      <c r="A727" s="30"/>
      <c r="B727" s="37" t="str">
        <f t="shared" si="110"/>
        <v/>
      </c>
      <c r="C727" s="30"/>
      <c r="D727" s="34" t="str">
        <f t="shared" si="111"/>
        <v/>
      </c>
      <c r="E727" s="34" t="str">
        <f t="shared" si="112"/>
        <v/>
      </c>
      <c r="F727" s="34" t="str">
        <f t="shared" si="113"/>
        <v/>
      </c>
      <c r="G727" s="35" t="str">
        <f t="shared" si="114"/>
        <v/>
      </c>
      <c r="H727" s="30"/>
      <c r="I727" s="36" t="str">
        <f t="shared" si="115"/>
        <v/>
      </c>
      <c r="J727" s="34" t="str">
        <f t="shared" si="116"/>
        <v/>
      </c>
      <c r="K727" s="49"/>
      <c r="L727" s="55" t="str">
        <f t="shared" si="117"/>
        <v/>
      </c>
      <c r="M727" s="54" t="str">
        <f t="shared" si="118"/>
        <v/>
      </c>
      <c r="N727" s="30"/>
      <c r="O727" s="31"/>
      <c r="P727" s="53"/>
      <c r="Q727" s="33"/>
      <c r="R727" s="54" t="str">
        <f t="shared" si="119"/>
        <v/>
      </c>
      <c r="S727" s="30"/>
      <c r="T727" s="33"/>
    </row>
    <row r="728" spans="1:20" x14ac:dyDescent="0.25">
      <c r="A728" s="30"/>
      <c r="B728" s="37" t="str">
        <f t="shared" si="110"/>
        <v/>
      </c>
      <c r="C728" s="30"/>
      <c r="D728" s="34" t="str">
        <f t="shared" si="111"/>
        <v/>
      </c>
      <c r="E728" s="34" t="str">
        <f t="shared" si="112"/>
        <v/>
      </c>
      <c r="F728" s="34" t="str">
        <f t="shared" si="113"/>
        <v/>
      </c>
      <c r="G728" s="35" t="str">
        <f t="shared" si="114"/>
        <v/>
      </c>
      <c r="H728" s="30"/>
      <c r="I728" s="36" t="str">
        <f t="shared" si="115"/>
        <v/>
      </c>
      <c r="J728" s="34" t="str">
        <f t="shared" si="116"/>
        <v/>
      </c>
      <c r="K728" s="49"/>
      <c r="L728" s="55" t="str">
        <f t="shared" si="117"/>
        <v/>
      </c>
      <c r="M728" s="54" t="str">
        <f t="shared" si="118"/>
        <v/>
      </c>
      <c r="N728" s="30"/>
      <c r="O728" s="31"/>
      <c r="P728" s="53"/>
      <c r="Q728" s="33"/>
      <c r="R728" s="54" t="str">
        <f t="shared" si="119"/>
        <v/>
      </c>
      <c r="S728" s="30"/>
      <c r="T728" s="33"/>
    </row>
    <row r="729" spans="1:20" x14ac:dyDescent="0.25">
      <c r="A729" s="30"/>
      <c r="B729" s="37" t="str">
        <f t="shared" si="110"/>
        <v/>
      </c>
      <c r="C729" s="30"/>
      <c r="D729" s="34" t="str">
        <f t="shared" si="111"/>
        <v/>
      </c>
      <c r="E729" s="34" t="str">
        <f t="shared" si="112"/>
        <v/>
      </c>
      <c r="F729" s="34" t="str">
        <f t="shared" si="113"/>
        <v/>
      </c>
      <c r="G729" s="35" t="str">
        <f t="shared" si="114"/>
        <v/>
      </c>
      <c r="H729" s="30"/>
      <c r="I729" s="36" t="str">
        <f t="shared" si="115"/>
        <v/>
      </c>
      <c r="J729" s="34" t="str">
        <f t="shared" si="116"/>
        <v/>
      </c>
      <c r="K729" s="49"/>
      <c r="L729" s="55" t="str">
        <f t="shared" si="117"/>
        <v/>
      </c>
      <c r="M729" s="54" t="str">
        <f t="shared" si="118"/>
        <v/>
      </c>
      <c r="N729" s="30"/>
      <c r="O729" s="31"/>
      <c r="P729" s="53"/>
      <c r="Q729" s="33"/>
      <c r="R729" s="54" t="str">
        <f t="shared" si="119"/>
        <v/>
      </c>
      <c r="S729" s="30"/>
      <c r="T729" s="33"/>
    </row>
    <row r="730" spans="1:20" x14ac:dyDescent="0.25">
      <c r="A730" s="30"/>
      <c r="B730" s="37" t="str">
        <f t="shared" si="110"/>
        <v/>
      </c>
      <c r="C730" s="30"/>
      <c r="D730" s="34" t="str">
        <f t="shared" si="111"/>
        <v/>
      </c>
      <c r="E730" s="34" t="str">
        <f t="shared" si="112"/>
        <v/>
      </c>
      <c r="F730" s="34" t="str">
        <f t="shared" si="113"/>
        <v/>
      </c>
      <c r="G730" s="35" t="str">
        <f t="shared" si="114"/>
        <v/>
      </c>
      <c r="H730" s="30"/>
      <c r="I730" s="36" t="str">
        <f t="shared" si="115"/>
        <v/>
      </c>
      <c r="J730" s="34" t="str">
        <f t="shared" si="116"/>
        <v/>
      </c>
      <c r="K730" s="49"/>
      <c r="L730" s="55" t="str">
        <f t="shared" si="117"/>
        <v/>
      </c>
      <c r="M730" s="54" t="str">
        <f t="shared" si="118"/>
        <v/>
      </c>
      <c r="N730" s="30"/>
      <c r="O730" s="31"/>
      <c r="P730" s="53"/>
      <c r="Q730" s="33"/>
      <c r="R730" s="54" t="str">
        <f t="shared" si="119"/>
        <v/>
      </c>
      <c r="S730" s="30"/>
      <c r="T730" s="33"/>
    </row>
    <row r="731" spans="1:20" x14ac:dyDescent="0.25">
      <c r="A731" s="30"/>
      <c r="B731" s="37" t="str">
        <f t="shared" si="110"/>
        <v/>
      </c>
      <c r="C731" s="30"/>
      <c r="D731" s="34" t="str">
        <f t="shared" si="111"/>
        <v/>
      </c>
      <c r="E731" s="34" t="str">
        <f t="shared" si="112"/>
        <v/>
      </c>
      <c r="F731" s="34" t="str">
        <f t="shared" si="113"/>
        <v/>
      </c>
      <c r="G731" s="35" t="str">
        <f t="shared" si="114"/>
        <v/>
      </c>
      <c r="H731" s="30"/>
      <c r="I731" s="36" t="str">
        <f t="shared" si="115"/>
        <v/>
      </c>
      <c r="J731" s="34" t="str">
        <f t="shared" si="116"/>
        <v/>
      </c>
      <c r="K731" s="49"/>
      <c r="L731" s="55" t="str">
        <f t="shared" si="117"/>
        <v/>
      </c>
      <c r="M731" s="54" t="str">
        <f t="shared" si="118"/>
        <v/>
      </c>
      <c r="N731" s="30"/>
      <c r="O731" s="31"/>
      <c r="P731" s="53"/>
      <c r="Q731" s="33"/>
      <c r="R731" s="54" t="str">
        <f t="shared" si="119"/>
        <v/>
      </c>
      <c r="S731" s="30"/>
      <c r="T731" s="33"/>
    </row>
    <row r="732" spans="1:20" x14ac:dyDescent="0.25">
      <c r="A732" s="30"/>
      <c r="B732" s="37" t="str">
        <f t="shared" si="110"/>
        <v/>
      </c>
      <c r="C732" s="30"/>
      <c r="D732" s="34" t="str">
        <f t="shared" si="111"/>
        <v/>
      </c>
      <c r="E732" s="34" t="str">
        <f t="shared" si="112"/>
        <v/>
      </c>
      <c r="F732" s="34" t="str">
        <f t="shared" si="113"/>
        <v/>
      </c>
      <c r="G732" s="35" t="str">
        <f t="shared" si="114"/>
        <v/>
      </c>
      <c r="H732" s="30"/>
      <c r="I732" s="36" t="str">
        <f t="shared" si="115"/>
        <v/>
      </c>
      <c r="J732" s="34" t="str">
        <f t="shared" si="116"/>
        <v/>
      </c>
      <c r="K732" s="49"/>
      <c r="L732" s="55" t="str">
        <f t="shared" si="117"/>
        <v/>
      </c>
      <c r="M732" s="54" t="str">
        <f t="shared" si="118"/>
        <v/>
      </c>
      <c r="N732" s="30"/>
      <c r="O732" s="31"/>
      <c r="P732" s="53"/>
      <c r="Q732" s="33"/>
      <c r="R732" s="54" t="str">
        <f t="shared" si="119"/>
        <v/>
      </c>
      <c r="S732" s="30"/>
      <c r="T732" s="33"/>
    </row>
    <row r="733" spans="1:20" x14ac:dyDescent="0.25">
      <c r="A733" s="30"/>
      <c r="B733" s="37" t="str">
        <f t="shared" si="110"/>
        <v/>
      </c>
      <c r="C733" s="30"/>
      <c r="D733" s="34" t="str">
        <f t="shared" si="111"/>
        <v/>
      </c>
      <c r="E733" s="34" t="str">
        <f t="shared" si="112"/>
        <v/>
      </c>
      <c r="F733" s="34" t="str">
        <f t="shared" si="113"/>
        <v/>
      </c>
      <c r="G733" s="35" t="str">
        <f t="shared" si="114"/>
        <v/>
      </c>
      <c r="H733" s="30"/>
      <c r="I733" s="36" t="str">
        <f t="shared" si="115"/>
        <v/>
      </c>
      <c r="J733" s="34" t="str">
        <f t="shared" si="116"/>
        <v/>
      </c>
      <c r="K733" s="49"/>
      <c r="L733" s="55" t="str">
        <f t="shared" si="117"/>
        <v/>
      </c>
      <c r="M733" s="54" t="str">
        <f t="shared" si="118"/>
        <v/>
      </c>
      <c r="N733" s="30"/>
      <c r="O733" s="31"/>
      <c r="P733" s="53"/>
      <c r="Q733" s="33"/>
      <c r="R733" s="54" t="str">
        <f t="shared" si="119"/>
        <v/>
      </c>
      <c r="S733" s="30"/>
      <c r="T733" s="33"/>
    </row>
    <row r="734" spans="1:20" x14ac:dyDescent="0.25">
      <c r="A734" s="30"/>
      <c r="B734" s="37" t="str">
        <f t="shared" si="110"/>
        <v/>
      </c>
      <c r="C734" s="30"/>
      <c r="D734" s="34" t="str">
        <f t="shared" si="111"/>
        <v/>
      </c>
      <c r="E734" s="34" t="str">
        <f t="shared" si="112"/>
        <v/>
      </c>
      <c r="F734" s="34" t="str">
        <f t="shared" si="113"/>
        <v/>
      </c>
      <c r="G734" s="35" t="str">
        <f t="shared" si="114"/>
        <v/>
      </c>
      <c r="H734" s="30"/>
      <c r="I734" s="36" t="str">
        <f t="shared" si="115"/>
        <v/>
      </c>
      <c r="J734" s="34" t="str">
        <f t="shared" si="116"/>
        <v/>
      </c>
      <c r="K734" s="49"/>
      <c r="L734" s="55" t="str">
        <f t="shared" si="117"/>
        <v/>
      </c>
      <c r="M734" s="54" t="str">
        <f t="shared" si="118"/>
        <v/>
      </c>
      <c r="N734" s="30"/>
      <c r="O734" s="31"/>
      <c r="P734" s="53"/>
      <c r="Q734" s="33"/>
      <c r="R734" s="54" t="str">
        <f t="shared" si="119"/>
        <v/>
      </c>
      <c r="S734" s="30"/>
      <c r="T734" s="33"/>
    </row>
    <row r="735" spans="1:20" x14ac:dyDescent="0.25">
      <c r="A735" s="30"/>
      <c r="B735" s="37" t="str">
        <f t="shared" si="110"/>
        <v/>
      </c>
      <c r="C735" s="30"/>
      <c r="D735" s="34" t="str">
        <f t="shared" si="111"/>
        <v/>
      </c>
      <c r="E735" s="34" t="str">
        <f t="shared" si="112"/>
        <v/>
      </c>
      <c r="F735" s="34" t="str">
        <f t="shared" si="113"/>
        <v/>
      </c>
      <c r="G735" s="35" t="str">
        <f t="shared" si="114"/>
        <v/>
      </c>
      <c r="H735" s="30"/>
      <c r="I735" s="36" t="str">
        <f t="shared" si="115"/>
        <v/>
      </c>
      <c r="J735" s="34" t="str">
        <f t="shared" si="116"/>
        <v/>
      </c>
      <c r="K735" s="49"/>
      <c r="L735" s="55" t="str">
        <f t="shared" si="117"/>
        <v/>
      </c>
      <c r="M735" s="54" t="str">
        <f t="shared" si="118"/>
        <v/>
      </c>
      <c r="N735" s="30"/>
      <c r="O735" s="31"/>
      <c r="P735" s="53"/>
      <c r="Q735" s="33"/>
      <c r="R735" s="54" t="str">
        <f t="shared" si="119"/>
        <v/>
      </c>
      <c r="S735" s="30"/>
      <c r="T735" s="33"/>
    </row>
    <row r="736" spans="1:20" x14ac:dyDescent="0.25">
      <c r="A736" s="30"/>
      <c r="B736" s="37" t="str">
        <f t="shared" si="110"/>
        <v/>
      </c>
      <c r="C736" s="30"/>
      <c r="D736" s="34" t="str">
        <f t="shared" si="111"/>
        <v/>
      </c>
      <c r="E736" s="34" t="str">
        <f t="shared" si="112"/>
        <v/>
      </c>
      <c r="F736" s="34" t="str">
        <f t="shared" si="113"/>
        <v/>
      </c>
      <c r="G736" s="35" t="str">
        <f t="shared" si="114"/>
        <v/>
      </c>
      <c r="H736" s="30"/>
      <c r="I736" s="36" t="str">
        <f t="shared" si="115"/>
        <v/>
      </c>
      <c r="J736" s="34" t="str">
        <f t="shared" si="116"/>
        <v/>
      </c>
      <c r="K736" s="49"/>
      <c r="L736" s="55" t="str">
        <f t="shared" si="117"/>
        <v/>
      </c>
      <c r="M736" s="54" t="str">
        <f t="shared" si="118"/>
        <v/>
      </c>
      <c r="N736" s="30"/>
      <c r="O736" s="31"/>
      <c r="P736" s="53"/>
      <c r="Q736" s="33"/>
      <c r="R736" s="54" t="str">
        <f t="shared" si="119"/>
        <v/>
      </c>
      <c r="S736" s="30"/>
      <c r="T736" s="33"/>
    </row>
    <row r="737" spans="1:20" x14ac:dyDescent="0.25">
      <c r="A737" s="30"/>
      <c r="B737" s="37" t="str">
        <f t="shared" si="110"/>
        <v/>
      </c>
      <c r="C737" s="30"/>
      <c r="D737" s="34" t="str">
        <f t="shared" si="111"/>
        <v/>
      </c>
      <c r="E737" s="34" t="str">
        <f t="shared" si="112"/>
        <v/>
      </c>
      <c r="F737" s="34" t="str">
        <f t="shared" si="113"/>
        <v/>
      </c>
      <c r="G737" s="35" t="str">
        <f t="shared" si="114"/>
        <v/>
      </c>
      <c r="H737" s="30"/>
      <c r="I737" s="36" t="str">
        <f t="shared" si="115"/>
        <v/>
      </c>
      <c r="J737" s="34" t="str">
        <f t="shared" si="116"/>
        <v/>
      </c>
      <c r="K737" s="49"/>
      <c r="L737" s="55" t="str">
        <f t="shared" si="117"/>
        <v/>
      </c>
      <c r="M737" s="54" t="str">
        <f t="shared" si="118"/>
        <v/>
      </c>
      <c r="N737" s="30"/>
      <c r="O737" s="31"/>
      <c r="P737" s="53"/>
      <c r="Q737" s="33"/>
      <c r="R737" s="54" t="str">
        <f t="shared" si="119"/>
        <v/>
      </c>
      <c r="S737" s="30"/>
      <c r="T737" s="33"/>
    </row>
    <row r="738" spans="1:20" x14ac:dyDescent="0.25">
      <c r="A738" s="30"/>
      <c r="B738" s="37" t="str">
        <f t="shared" si="110"/>
        <v/>
      </c>
      <c r="C738" s="30"/>
      <c r="D738" s="34" t="str">
        <f t="shared" si="111"/>
        <v/>
      </c>
      <c r="E738" s="34" t="str">
        <f t="shared" si="112"/>
        <v/>
      </c>
      <c r="F738" s="34" t="str">
        <f t="shared" si="113"/>
        <v/>
      </c>
      <c r="G738" s="35" t="str">
        <f t="shared" si="114"/>
        <v/>
      </c>
      <c r="H738" s="30"/>
      <c r="I738" s="36" t="str">
        <f t="shared" si="115"/>
        <v/>
      </c>
      <c r="J738" s="34" t="str">
        <f t="shared" si="116"/>
        <v/>
      </c>
      <c r="K738" s="49"/>
      <c r="L738" s="55" t="str">
        <f t="shared" si="117"/>
        <v/>
      </c>
      <c r="M738" s="54" t="str">
        <f t="shared" si="118"/>
        <v/>
      </c>
      <c r="N738" s="30"/>
      <c r="O738" s="31"/>
      <c r="P738" s="53"/>
      <c r="Q738" s="33"/>
      <c r="R738" s="54" t="str">
        <f t="shared" si="119"/>
        <v/>
      </c>
      <c r="S738" s="30"/>
      <c r="T738" s="33"/>
    </row>
    <row r="739" spans="1:20" x14ac:dyDescent="0.25">
      <c r="A739" s="30"/>
      <c r="B739" s="37" t="str">
        <f t="shared" si="110"/>
        <v/>
      </c>
      <c r="C739" s="30"/>
      <c r="D739" s="34" t="str">
        <f t="shared" si="111"/>
        <v/>
      </c>
      <c r="E739" s="34" t="str">
        <f t="shared" si="112"/>
        <v/>
      </c>
      <c r="F739" s="34" t="str">
        <f t="shared" si="113"/>
        <v/>
      </c>
      <c r="G739" s="35" t="str">
        <f t="shared" si="114"/>
        <v/>
      </c>
      <c r="H739" s="30"/>
      <c r="I739" s="36" t="str">
        <f t="shared" si="115"/>
        <v/>
      </c>
      <c r="J739" s="34" t="str">
        <f t="shared" si="116"/>
        <v/>
      </c>
      <c r="K739" s="49"/>
      <c r="L739" s="55" t="str">
        <f t="shared" si="117"/>
        <v/>
      </c>
      <c r="M739" s="54" t="str">
        <f t="shared" si="118"/>
        <v/>
      </c>
      <c r="N739" s="30"/>
      <c r="O739" s="31"/>
      <c r="P739" s="53"/>
      <c r="Q739" s="33"/>
      <c r="R739" s="54" t="str">
        <f t="shared" si="119"/>
        <v/>
      </c>
      <c r="S739" s="30"/>
      <c r="T739" s="33"/>
    </row>
    <row r="740" spans="1:20" x14ac:dyDescent="0.25">
      <c r="A740" s="30"/>
      <c r="B740" s="37" t="str">
        <f t="shared" si="110"/>
        <v/>
      </c>
      <c r="C740" s="30"/>
      <c r="D740" s="34" t="str">
        <f t="shared" si="111"/>
        <v/>
      </c>
      <c r="E740" s="34" t="str">
        <f t="shared" si="112"/>
        <v/>
      </c>
      <c r="F740" s="34" t="str">
        <f t="shared" si="113"/>
        <v/>
      </c>
      <c r="G740" s="35" t="str">
        <f t="shared" si="114"/>
        <v/>
      </c>
      <c r="H740" s="30"/>
      <c r="I740" s="36" t="str">
        <f t="shared" si="115"/>
        <v/>
      </c>
      <c r="J740" s="34" t="str">
        <f t="shared" si="116"/>
        <v/>
      </c>
      <c r="K740" s="49"/>
      <c r="L740" s="55" t="str">
        <f t="shared" si="117"/>
        <v/>
      </c>
      <c r="M740" s="54" t="str">
        <f t="shared" si="118"/>
        <v/>
      </c>
      <c r="N740" s="30"/>
      <c r="O740" s="31"/>
      <c r="P740" s="53"/>
      <c r="Q740" s="33"/>
      <c r="R740" s="54" t="str">
        <f t="shared" si="119"/>
        <v/>
      </c>
      <c r="S740" s="30"/>
      <c r="T740" s="33"/>
    </row>
    <row r="741" spans="1:20" x14ac:dyDescent="0.25">
      <c r="A741" s="30"/>
      <c r="B741" s="37" t="str">
        <f t="shared" si="110"/>
        <v/>
      </c>
      <c r="C741" s="30"/>
      <c r="D741" s="34" t="str">
        <f t="shared" si="111"/>
        <v/>
      </c>
      <c r="E741" s="34" t="str">
        <f t="shared" si="112"/>
        <v/>
      </c>
      <c r="F741" s="34" t="str">
        <f t="shared" si="113"/>
        <v/>
      </c>
      <c r="G741" s="35" t="str">
        <f t="shared" si="114"/>
        <v/>
      </c>
      <c r="H741" s="30"/>
      <c r="I741" s="36" t="str">
        <f t="shared" si="115"/>
        <v/>
      </c>
      <c r="J741" s="34" t="str">
        <f t="shared" si="116"/>
        <v/>
      </c>
      <c r="K741" s="49"/>
      <c r="L741" s="55" t="str">
        <f t="shared" si="117"/>
        <v/>
      </c>
      <c r="M741" s="54" t="str">
        <f t="shared" si="118"/>
        <v/>
      </c>
      <c r="N741" s="30"/>
      <c r="O741" s="31"/>
      <c r="P741" s="53"/>
      <c r="Q741" s="33"/>
      <c r="R741" s="54" t="str">
        <f t="shared" si="119"/>
        <v/>
      </c>
      <c r="S741" s="30"/>
      <c r="T741" s="33"/>
    </row>
    <row r="742" spans="1:20" x14ac:dyDescent="0.25">
      <c r="A742" s="30"/>
      <c r="B742" s="37" t="str">
        <f t="shared" si="110"/>
        <v/>
      </c>
      <c r="C742" s="30"/>
      <c r="D742" s="34" t="str">
        <f t="shared" si="111"/>
        <v/>
      </c>
      <c r="E742" s="34" t="str">
        <f t="shared" si="112"/>
        <v/>
      </c>
      <c r="F742" s="34" t="str">
        <f t="shared" si="113"/>
        <v/>
      </c>
      <c r="G742" s="35" t="str">
        <f t="shared" si="114"/>
        <v/>
      </c>
      <c r="H742" s="30"/>
      <c r="I742" s="36" t="str">
        <f t="shared" si="115"/>
        <v/>
      </c>
      <c r="J742" s="34" t="str">
        <f t="shared" si="116"/>
        <v/>
      </c>
      <c r="K742" s="49"/>
      <c r="L742" s="55" t="str">
        <f t="shared" si="117"/>
        <v/>
      </c>
      <c r="M742" s="54" t="str">
        <f t="shared" si="118"/>
        <v/>
      </c>
      <c r="N742" s="30"/>
      <c r="O742" s="31"/>
      <c r="P742" s="53"/>
      <c r="Q742" s="33"/>
      <c r="R742" s="54" t="str">
        <f t="shared" si="119"/>
        <v/>
      </c>
      <c r="S742" s="30"/>
      <c r="T742" s="33"/>
    </row>
    <row r="743" spans="1:20" x14ac:dyDescent="0.25">
      <c r="A743" s="30"/>
      <c r="B743" s="37" t="str">
        <f t="shared" si="110"/>
        <v/>
      </c>
      <c r="C743" s="30"/>
      <c r="D743" s="34" t="str">
        <f t="shared" si="111"/>
        <v/>
      </c>
      <c r="E743" s="34" t="str">
        <f t="shared" si="112"/>
        <v/>
      </c>
      <c r="F743" s="34" t="str">
        <f t="shared" si="113"/>
        <v/>
      </c>
      <c r="G743" s="35" t="str">
        <f t="shared" si="114"/>
        <v/>
      </c>
      <c r="H743" s="30"/>
      <c r="I743" s="36" t="str">
        <f t="shared" si="115"/>
        <v/>
      </c>
      <c r="J743" s="34" t="str">
        <f t="shared" si="116"/>
        <v/>
      </c>
      <c r="K743" s="49"/>
      <c r="L743" s="55" t="str">
        <f t="shared" si="117"/>
        <v/>
      </c>
      <c r="M743" s="54" t="str">
        <f t="shared" si="118"/>
        <v/>
      </c>
      <c r="N743" s="30"/>
      <c r="O743" s="31"/>
      <c r="P743" s="53"/>
      <c r="Q743" s="33"/>
      <c r="R743" s="54" t="str">
        <f t="shared" si="119"/>
        <v/>
      </c>
      <c r="S743" s="30"/>
      <c r="T743" s="33"/>
    </row>
    <row r="744" spans="1:20" x14ac:dyDescent="0.25">
      <c r="A744" s="30"/>
      <c r="B744" s="37" t="str">
        <f t="shared" si="110"/>
        <v/>
      </c>
      <c r="C744" s="30"/>
      <c r="D744" s="34" t="str">
        <f t="shared" si="111"/>
        <v/>
      </c>
      <c r="E744" s="34" t="str">
        <f t="shared" si="112"/>
        <v/>
      </c>
      <c r="F744" s="34" t="str">
        <f t="shared" si="113"/>
        <v/>
      </c>
      <c r="G744" s="35" t="str">
        <f t="shared" si="114"/>
        <v/>
      </c>
      <c r="H744" s="30"/>
      <c r="I744" s="36" t="str">
        <f t="shared" si="115"/>
        <v/>
      </c>
      <c r="J744" s="34" t="str">
        <f t="shared" si="116"/>
        <v/>
      </c>
      <c r="K744" s="49"/>
      <c r="L744" s="55" t="str">
        <f t="shared" si="117"/>
        <v/>
      </c>
      <c r="M744" s="54" t="str">
        <f t="shared" si="118"/>
        <v/>
      </c>
      <c r="N744" s="30"/>
      <c r="O744" s="31"/>
      <c r="P744" s="53"/>
      <c r="Q744" s="33"/>
      <c r="R744" s="54" t="str">
        <f t="shared" si="119"/>
        <v/>
      </c>
      <c r="S744" s="30"/>
      <c r="T744" s="33"/>
    </row>
    <row r="745" spans="1:20" x14ac:dyDescent="0.25">
      <c r="A745" s="30"/>
      <c r="B745" s="37" t="str">
        <f t="shared" si="110"/>
        <v/>
      </c>
      <c r="C745" s="30"/>
      <c r="D745" s="34" t="str">
        <f t="shared" si="111"/>
        <v/>
      </c>
      <c r="E745" s="34" t="str">
        <f t="shared" si="112"/>
        <v/>
      </c>
      <c r="F745" s="34" t="str">
        <f t="shared" si="113"/>
        <v/>
      </c>
      <c r="G745" s="35" t="str">
        <f t="shared" si="114"/>
        <v/>
      </c>
      <c r="H745" s="30"/>
      <c r="I745" s="36" t="str">
        <f t="shared" si="115"/>
        <v/>
      </c>
      <c r="J745" s="34" t="str">
        <f t="shared" si="116"/>
        <v/>
      </c>
      <c r="K745" s="49"/>
      <c r="L745" s="55" t="str">
        <f t="shared" si="117"/>
        <v/>
      </c>
      <c r="M745" s="54" t="str">
        <f t="shared" si="118"/>
        <v/>
      </c>
      <c r="N745" s="30"/>
      <c r="O745" s="31"/>
      <c r="P745" s="53"/>
      <c r="Q745" s="33"/>
      <c r="R745" s="54" t="str">
        <f t="shared" si="119"/>
        <v/>
      </c>
      <c r="S745" s="30"/>
      <c r="T745" s="33"/>
    </row>
    <row r="746" spans="1:20" x14ac:dyDescent="0.25">
      <c r="A746" s="30"/>
      <c r="B746" s="37" t="str">
        <f t="shared" si="110"/>
        <v/>
      </c>
      <c r="C746" s="30"/>
      <c r="D746" s="34" t="str">
        <f t="shared" si="111"/>
        <v/>
      </c>
      <c r="E746" s="34" t="str">
        <f t="shared" si="112"/>
        <v/>
      </c>
      <c r="F746" s="34" t="str">
        <f t="shared" si="113"/>
        <v/>
      </c>
      <c r="G746" s="35" t="str">
        <f t="shared" si="114"/>
        <v/>
      </c>
      <c r="H746" s="30"/>
      <c r="I746" s="36" t="str">
        <f t="shared" si="115"/>
        <v/>
      </c>
      <c r="J746" s="34" t="str">
        <f t="shared" si="116"/>
        <v/>
      </c>
      <c r="K746" s="49"/>
      <c r="L746" s="55" t="str">
        <f t="shared" si="117"/>
        <v/>
      </c>
      <c r="M746" s="54" t="str">
        <f t="shared" si="118"/>
        <v/>
      </c>
      <c r="N746" s="30"/>
      <c r="O746" s="31"/>
      <c r="P746" s="53"/>
      <c r="Q746" s="33"/>
      <c r="R746" s="54" t="str">
        <f t="shared" si="119"/>
        <v/>
      </c>
      <c r="S746" s="30"/>
      <c r="T746" s="33"/>
    </row>
    <row r="747" spans="1:20" x14ac:dyDescent="0.25">
      <c r="A747" s="30"/>
      <c r="B747" s="37" t="str">
        <f t="shared" si="110"/>
        <v/>
      </c>
      <c r="C747" s="30"/>
      <c r="D747" s="34" t="str">
        <f t="shared" si="111"/>
        <v/>
      </c>
      <c r="E747" s="34" t="str">
        <f t="shared" si="112"/>
        <v/>
      </c>
      <c r="F747" s="34" t="str">
        <f t="shared" si="113"/>
        <v/>
      </c>
      <c r="G747" s="35" t="str">
        <f t="shared" si="114"/>
        <v/>
      </c>
      <c r="H747" s="30"/>
      <c r="I747" s="36" t="str">
        <f t="shared" si="115"/>
        <v/>
      </c>
      <c r="J747" s="34" t="str">
        <f t="shared" si="116"/>
        <v/>
      </c>
      <c r="K747" s="49"/>
      <c r="L747" s="55" t="str">
        <f t="shared" si="117"/>
        <v/>
      </c>
      <c r="M747" s="54" t="str">
        <f t="shared" si="118"/>
        <v/>
      </c>
      <c r="N747" s="30"/>
      <c r="O747" s="31"/>
      <c r="P747" s="53"/>
      <c r="Q747" s="33"/>
      <c r="R747" s="54" t="str">
        <f t="shared" si="119"/>
        <v/>
      </c>
      <c r="S747" s="30"/>
      <c r="T747" s="33"/>
    </row>
    <row r="748" spans="1:20" x14ac:dyDescent="0.25">
      <c r="A748" s="30"/>
      <c r="B748" s="37" t="str">
        <f t="shared" si="110"/>
        <v/>
      </c>
      <c r="C748" s="30"/>
      <c r="D748" s="34" t="str">
        <f t="shared" si="111"/>
        <v/>
      </c>
      <c r="E748" s="34" t="str">
        <f t="shared" si="112"/>
        <v/>
      </c>
      <c r="F748" s="34" t="str">
        <f t="shared" si="113"/>
        <v/>
      </c>
      <c r="G748" s="35" t="str">
        <f t="shared" si="114"/>
        <v/>
      </c>
      <c r="H748" s="30"/>
      <c r="I748" s="36" t="str">
        <f t="shared" si="115"/>
        <v/>
      </c>
      <c r="J748" s="34" t="str">
        <f t="shared" si="116"/>
        <v/>
      </c>
      <c r="K748" s="49"/>
      <c r="L748" s="55" t="str">
        <f t="shared" si="117"/>
        <v/>
      </c>
      <c r="M748" s="54" t="str">
        <f t="shared" si="118"/>
        <v/>
      </c>
      <c r="N748" s="30"/>
      <c r="O748" s="31"/>
      <c r="P748" s="53"/>
      <c r="Q748" s="33"/>
      <c r="R748" s="54" t="str">
        <f t="shared" si="119"/>
        <v/>
      </c>
      <c r="S748" s="30"/>
      <c r="T748" s="33"/>
    </row>
    <row r="749" spans="1:20" x14ac:dyDescent="0.25">
      <c r="A749" s="30"/>
      <c r="B749" s="37" t="str">
        <f t="shared" si="110"/>
        <v/>
      </c>
      <c r="C749" s="30"/>
      <c r="D749" s="34" t="str">
        <f t="shared" si="111"/>
        <v/>
      </c>
      <c r="E749" s="34" t="str">
        <f t="shared" si="112"/>
        <v/>
      </c>
      <c r="F749" s="34" t="str">
        <f t="shared" si="113"/>
        <v/>
      </c>
      <c r="G749" s="35" t="str">
        <f t="shared" si="114"/>
        <v/>
      </c>
      <c r="H749" s="30"/>
      <c r="I749" s="36" t="str">
        <f t="shared" si="115"/>
        <v/>
      </c>
      <c r="J749" s="34" t="str">
        <f t="shared" si="116"/>
        <v/>
      </c>
      <c r="K749" s="49"/>
      <c r="L749" s="55" t="str">
        <f t="shared" si="117"/>
        <v/>
      </c>
      <c r="M749" s="54" t="str">
        <f t="shared" si="118"/>
        <v/>
      </c>
      <c r="N749" s="30"/>
      <c r="O749" s="31"/>
      <c r="P749" s="53"/>
      <c r="Q749" s="33"/>
      <c r="R749" s="54" t="str">
        <f t="shared" si="119"/>
        <v/>
      </c>
      <c r="S749" s="30"/>
      <c r="T749" s="33"/>
    </row>
    <row r="750" spans="1:20" x14ac:dyDescent="0.25">
      <c r="A750" s="30"/>
      <c r="B750" s="37" t="str">
        <f t="shared" si="110"/>
        <v/>
      </c>
      <c r="C750" s="30"/>
      <c r="D750" s="34" t="str">
        <f t="shared" si="111"/>
        <v/>
      </c>
      <c r="E750" s="34" t="str">
        <f t="shared" si="112"/>
        <v/>
      </c>
      <c r="F750" s="34" t="str">
        <f t="shared" si="113"/>
        <v/>
      </c>
      <c r="G750" s="35" t="str">
        <f t="shared" si="114"/>
        <v/>
      </c>
      <c r="H750" s="30"/>
      <c r="I750" s="36" t="str">
        <f t="shared" si="115"/>
        <v/>
      </c>
      <c r="J750" s="34" t="str">
        <f t="shared" si="116"/>
        <v/>
      </c>
      <c r="K750" s="49"/>
      <c r="L750" s="55" t="str">
        <f t="shared" si="117"/>
        <v/>
      </c>
      <c r="M750" s="54" t="str">
        <f t="shared" si="118"/>
        <v/>
      </c>
      <c r="N750" s="30"/>
      <c r="O750" s="31"/>
      <c r="P750" s="53"/>
      <c r="Q750" s="33"/>
      <c r="R750" s="54" t="str">
        <f t="shared" si="119"/>
        <v/>
      </c>
      <c r="S750" s="30"/>
      <c r="T750" s="33"/>
    </row>
    <row r="751" spans="1:20" x14ac:dyDescent="0.25">
      <c r="A751" s="30"/>
      <c r="B751" s="37" t="str">
        <f t="shared" si="110"/>
        <v/>
      </c>
      <c r="C751" s="30"/>
      <c r="D751" s="34" t="str">
        <f t="shared" si="111"/>
        <v/>
      </c>
      <c r="E751" s="34" t="str">
        <f t="shared" si="112"/>
        <v/>
      </c>
      <c r="F751" s="34" t="str">
        <f t="shared" si="113"/>
        <v/>
      </c>
      <c r="G751" s="35" t="str">
        <f t="shared" si="114"/>
        <v/>
      </c>
      <c r="H751" s="30"/>
      <c r="I751" s="36" t="str">
        <f t="shared" si="115"/>
        <v/>
      </c>
      <c r="J751" s="34" t="str">
        <f t="shared" si="116"/>
        <v/>
      </c>
      <c r="K751" s="49"/>
      <c r="L751" s="55" t="str">
        <f t="shared" si="117"/>
        <v/>
      </c>
      <c r="M751" s="54" t="str">
        <f t="shared" si="118"/>
        <v/>
      </c>
      <c r="N751" s="30"/>
      <c r="O751" s="31"/>
      <c r="P751" s="53"/>
      <c r="Q751" s="33"/>
      <c r="R751" s="54" t="str">
        <f t="shared" si="119"/>
        <v/>
      </c>
      <c r="S751" s="30"/>
      <c r="T751" s="33"/>
    </row>
    <row r="752" spans="1:20" x14ac:dyDescent="0.25">
      <c r="A752" s="30"/>
      <c r="B752" s="37" t="str">
        <f t="shared" si="110"/>
        <v/>
      </c>
      <c r="C752" s="30"/>
      <c r="D752" s="34" t="str">
        <f t="shared" si="111"/>
        <v/>
      </c>
      <c r="E752" s="34" t="str">
        <f t="shared" si="112"/>
        <v/>
      </c>
      <c r="F752" s="34" t="str">
        <f t="shared" si="113"/>
        <v/>
      </c>
      <c r="G752" s="35" t="str">
        <f t="shared" si="114"/>
        <v/>
      </c>
      <c r="H752" s="30"/>
      <c r="I752" s="36" t="str">
        <f t="shared" si="115"/>
        <v/>
      </c>
      <c r="J752" s="34" t="str">
        <f t="shared" si="116"/>
        <v/>
      </c>
      <c r="K752" s="49"/>
      <c r="L752" s="55" t="str">
        <f t="shared" si="117"/>
        <v/>
      </c>
      <c r="M752" s="54" t="str">
        <f t="shared" si="118"/>
        <v/>
      </c>
      <c r="N752" s="30"/>
      <c r="O752" s="31"/>
      <c r="P752" s="53"/>
      <c r="Q752" s="33"/>
      <c r="R752" s="54" t="str">
        <f t="shared" si="119"/>
        <v/>
      </c>
      <c r="S752" s="30"/>
      <c r="T752" s="33"/>
    </row>
    <row r="753" spans="1:20" x14ac:dyDescent="0.25">
      <c r="A753" s="30"/>
      <c r="B753" s="37" t="str">
        <f t="shared" si="110"/>
        <v/>
      </c>
      <c r="C753" s="30"/>
      <c r="D753" s="34" t="str">
        <f t="shared" si="111"/>
        <v/>
      </c>
      <c r="E753" s="34" t="str">
        <f t="shared" si="112"/>
        <v/>
      </c>
      <c r="F753" s="34" t="str">
        <f t="shared" si="113"/>
        <v/>
      </c>
      <c r="G753" s="35" t="str">
        <f t="shared" si="114"/>
        <v/>
      </c>
      <c r="H753" s="30"/>
      <c r="I753" s="36" t="str">
        <f t="shared" si="115"/>
        <v/>
      </c>
      <c r="J753" s="34" t="str">
        <f t="shared" si="116"/>
        <v/>
      </c>
      <c r="K753" s="49"/>
      <c r="L753" s="55" t="str">
        <f t="shared" si="117"/>
        <v/>
      </c>
      <c r="M753" s="54" t="str">
        <f t="shared" si="118"/>
        <v/>
      </c>
      <c r="N753" s="30"/>
      <c r="O753" s="31"/>
      <c r="P753" s="53"/>
      <c r="Q753" s="33"/>
      <c r="R753" s="54" t="str">
        <f t="shared" si="119"/>
        <v/>
      </c>
      <c r="S753" s="30"/>
      <c r="T753" s="33"/>
    </row>
    <row r="754" spans="1:20" x14ac:dyDescent="0.25">
      <c r="A754" s="30"/>
      <c r="B754" s="37" t="str">
        <f t="shared" si="110"/>
        <v/>
      </c>
      <c r="C754" s="30"/>
      <c r="D754" s="34" t="str">
        <f t="shared" si="111"/>
        <v/>
      </c>
      <c r="E754" s="34" t="str">
        <f t="shared" si="112"/>
        <v/>
      </c>
      <c r="F754" s="34" t="str">
        <f t="shared" si="113"/>
        <v/>
      </c>
      <c r="G754" s="35" t="str">
        <f t="shared" si="114"/>
        <v/>
      </c>
      <c r="H754" s="30"/>
      <c r="I754" s="36" t="str">
        <f t="shared" si="115"/>
        <v/>
      </c>
      <c r="J754" s="34" t="str">
        <f t="shared" si="116"/>
        <v/>
      </c>
      <c r="K754" s="49"/>
      <c r="L754" s="55" t="str">
        <f t="shared" si="117"/>
        <v/>
      </c>
      <c r="M754" s="54" t="str">
        <f t="shared" si="118"/>
        <v/>
      </c>
      <c r="N754" s="30"/>
      <c r="O754" s="31"/>
      <c r="P754" s="53"/>
      <c r="Q754" s="33"/>
      <c r="R754" s="54" t="str">
        <f t="shared" si="119"/>
        <v/>
      </c>
      <c r="S754" s="30"/>
      <c r="T754" s="33"/>
    </row>
    <row r="755" spans="1:20" x14ac:dyDescent="0.25">
      <c r="A755" s="30"/>
      <c r="B755" s="37" t="str">
        <f t="shared" si="110"/>
        <v/>
      </c>
      <c r="C755" s="30"/>
      <c r="D755" s="34" t="str">
        <f t="shared" si="111"/>
        <v/>
      </c>
      <c r="E755" s="34" t="str">
        <f t="shared" si="112"/>
        <v/>
      </c>
      <c r="F755" s="34" t="str">
        <f t="shared" si="113"/>
        <v/>
      </c>
      <c r="G755" s="35" t="str">
        <f t="shared" si="114"/>
        <v/>
      </c>
      <c r="H755" s="30"/>
      <c r="I755" s="36" t="str">
        <f t="shared" si="115"/>
        <v/>
      </c>
      <c r="J755" s="34" t="str">
        <f t="shared" si="116"/>
        <v/>
      </c>
      <c r="K755" s="49"/>
      <c r="L755" s="55" t="str">
        <f t="shared" si="117"/>
        <v/>
      </c>
      <c r="M755" s="54" t="str">
        <f t="shared" si="118"/>
        <v/>
      </c>
      <c r="N755" s="30"/>
      <c r="O755" s="31"/>
      <c r="P755" s="53"/>
      <c r="Q755" s="33"/>
      <c r="R755" s="54" t="str">
        <f t="shared" si="119"/>
        <v/>
      </c>
      <c r="S755" s="30"/>
      <c r="T755" s="33"/>
    </row>
    <row r="756" spans="1:20" x14ac:dyDescent="0.25">
      <c r="A756" s="30"/>
      <c r="B756" s="37" t="str">
        <f t="shared" si="110"/>
        <v/>
      </c>
      <c r="C756" s="30"/>
      <c r="D756" s="34" t="str">
        <f t="shared" si="111"/>
        <v/>
      </c>
      <c r="E756" s="34" t="str">
        <f t="shared" si="112"/>
        <v/>
      </c>
      <c r="F756" s="34" t="str">
        <f t="shared" si="113"/>
        <v/>
      </c>
      <c r="G756" s="35" t="str">
        <f t="shared" si="114"/>
        <v/>
      </c>
      <c r="H756" s="30"/>
      <c r="I756" s="36" t="str">
        <f t="shared" si="115"/>
        <v/>
      </c>
      <c r="J756" s="34" t="str">
        <f t="shared" si="116"/>
        <v/>
      </c>
      <c r="K756" s="49"/>
      <c r="L756" s="55" t="str">
        <f t="shared" si="117"/>
        <v/>
      </c>
      <c r="M756" s="54" t="str">
        <f t="shared" si="118"/>
        <v/>
      </c>
      <c r="N756" s="30"/>
      <c r="O756" s="31"/>
      <c r="P756" s="53"/>
      <c r="Q756" s="33"/>
      <c r="R756" s="54" t="str">
        <f t="shared" si="119"/>
        <v/>
      </c>
      <c r="S756" s="30"/>
      <c r="T756" s="33"/>
    </row>
    <row r="757" spans="1:20" x14ac:dyDescent="0.25">
      <c r="A757" s="30"/>
      <c r="B757" s="37" t="str">
        <f t="shared" ref="B757:B820" si="120">IF($G757="","",EOMONTH($G757,0))</f>
        <v/>
      </c>
      <c r="C757" s="30"/>
      <c r="D757" s="34" t="str">
        <f t="shared" ref="D757:D820" si="121">IFERROR(IF($C757="","",VLOOKUP($C757,CAD_TAB,2,FALSE)),"")</f>
        <v/>
      </c>
      <c r="E757" s="34" t="str">
        <f t="shared" ref="E757:E820" si="122">IFERROR(IF($C757="","",VLOOKUP($C757,CAD_TAB,3,FALSE)),"")</f>
        <v/>
      </c>
      <c r="F757" s="34" t="str">
        <f t="shared" ref="F757:F820" si="123">IFERROR(IF($C757="","",VLOOKUP($C757,OS_TAB,7,FALSE)),"")</f>
        <v/>
      </c>
      <c r="G757" s="35" t="str">
        <f t="shared" ref="G757:G820" si="124">IFERROR(IF($C757="","",VLOOKUP($C757,OS_TAB,10,FALSE)),"")</f>
        <v/>
      </c>
      <c r="H757" s="30"/>
      <c r="I757" s="36" t="str">
        <f t="shared" ref="I757:I820" si="125">IFERROR(IF($H757="","",VLOOKUP($H757,PRE_TAB,5,FALSE)),"CÓDIGO NÃO ENCONTRADO")</f>
        <v/>
      </c>
      <c r="J757" s="34" t="str">
        <f t="shared" ref="J757:J820" si="126">IFERROR(IF($H757="","",VLOOKUP($H757,PRE_TAB,7,FALSE)),"")</f>
        <v/>
      </c>
      <c r="K757" s="49"/>
      <c r="L757" s="55" t="str">
        <f t="shared" ref="L757:L820" si="127">IFERROR(IF($H757="","",VLOOKUP($H757,PRE_TAB,8,FALSE)),0)</f>
        <v/>
      </c>
      <c r="M757" s="54" t="str">
        <f t="shared" ref="M757:M820" si="128">IF($H757="","",ROUND($K757*$L757,2))</f>
        <v/>
      </c>
      <c r="N757" s="30"/>
      <c r="O757" s="31"/>
      <c r="P757" s="53"/>
      <c r="Q757" s="33"/>
      <c r="R757" s="54" t="str">
        <f t="shared" ref="R757:R820" si="129">IF($H757="","",$M757-$P757)</f>
        <v/>
      </c>
      <c r="S757" s="30"/>
      <c r="T757" s="33"/>
    </row>
    <row r="758" spans="1:20" x14ac:dyDescent="0.25">
      <c r="A758" s="30"/>
      <c r="B758" s="37" t="str">
        <f t="shared" si="120"/>
        <v/>
      </c>
      <c r="C758" s="30"/>
      <c r="D758" s="34" t="str">
        <f t="shared" si="121"/>
        <v/>
      </c>
      <c r="E758" s="34" t="str">
        <f t="shared" si="122"/>
        <v/>
      </c>
      <c r="F758" s="34" t="str">
        <f t="shared" si="123"/>
        <v/>
      </c>
      <c r="G758" s="35" t="str">
        <f t="shared" si="124"/>
        <v/>
      </c>
      <c r="H758" s="30"/>
      <c r="I758" s="36" t="str">
        <f t="shared" si="125"/>
        <v/>
      </c>
      <c r="J758" s="34" t="str">
        <f t="shared" si="126"/>
        <v/>
      </c>
      <c r="K758" s="49"/>
      <c r="L758" s="55" t="str">
        <f t="shared" si="127"/>
        <v/>
      </c>
      <c r="M758" s="54" t="str">
        <f t="shared" si="128"/>
        <v/>
      </c>
      <c r="N758" s="30"/>
      <c r="O758" s="31"/>
      <c r="P758" s="53"/>
      <c r="Q758" s="33"/>
      <c r="R758" s="54" t="str">
        <f t="shared" si="129"/>
        <v/>
      </c>
      <c r="S758" s="30"/>
      <c r="T758" s="33"/>
    </row>
    <row r="759" spans="1:20" x14ac:dyDescent="0.25">
      <c r="A759" s="30"/>
      <c r="B759" s="37" t="str">
        <f t="shared" si="120"/>
        <v/>
      </c>
      <c r="C759" s="30"/>
      <c r="D759" s="34" t="str">
        <f t="shared" si="121"/>
        <v/>
      </c>
      <c r="E759" s="34" t="str">
        <f t="shared" si="122"/>
        <v/>
      </c>
      <c r="F759" s="34" t="str">
        <f t="shared" si="123"/>
        <v/>
      </c>
      <c r="G759" s="35" t="str">
        <f t="shared" si="124"/>
        <v/>
      </c>
      <c r="H759" s="30"/>
      <c r="I759" s="36" t="str">
        <f t="shared" si="125"/>
        <v/>
      </c>
      <c r="J759" s="34" t="str">
        <f t="shared" si="126"/>
        <v/>
      </c>
      <c r="K759" s="49"/>
      <c r="L759" s="55" t="str">
        <f t="shared" si="127"/>
        <v/>
      </c>
      <c r="M759" s="54" t="str">
        <f t="shared" si="128"/>
        <v/>
      </c>
      <c r="N759" s="30"/>
      <c r="O759" s="31"/>
      <c r="P759" s="53"/>
      <c r="Q759" s="33"/>
      <c r="R759" s="54" t="str">
        <f t="shared" si="129"/>
        <v/>
      </c>
      <c r="S759" s="30"/>
      <c r="T759" s="33"/>
    </row>
    <row r="760" spans="1:20" x14ac:dyDescent="0.25">
      <c r="A760" s="30"/>
      <c r="B760" s="37" t="str">
        <f t="shared" si="120"/>
        <v/>
      </c>
      <c r="C760" s="30"/>
      <c r="D760" s="34" t="str">
        <f t="shared" si="121"/>
        <v/>
      </c>
      <c r="E760" s="34" t="str">
        <f t="shared" si="122"/>
        <v/>
      </c>
      <c r="F760" s="34" t="str">
        <f t="shared" si="123"/>
        <v/>
      </c>
      <c r="G760" s="35" t="str">
        <f t="shared" si="124"/>
        <v/>
      </c>
      <c r="H760" s="30"/>
      <c r="I760" s="36" t="str">
        <f t="shared" si="125"/>
        <v/>
      </c>
      <c r="J760" s="34" t="str">
        <f t="shared" si="126"/>
        <v/>
      </c>
      <c r="K760" s="49"/>
      <c r="L760" s="55" t="str">
        <f t="shared" si="127"/>
        <v/>
      </c>
      <c r="M760" s="54" t="str">
        <f t="shared" si="128"/>
        <v/>
      </c>
      <c r="N760" s="30"/>
      <c r="O760" s="31"/>
      <c r="P760" s="53"/>
      <c r="Q760" s="33"/>
      <c r="R760" s="54" t="str">
        <f t="shared" si="129"/>
        <v/>
      </c>
      <c r="S760" s="30"/>
      <c r="T760" s="33"/>
    </row>
    <row r="761" spans="1:20" x14ac:dyDescent="0.25">
      <c r="A761" s="30"/>
      <c r="B761" s="37" t="str">
        <f t="shared" si="120"/>
        <v/>
      </c>
      <c r="C761" s="30"/>
      <c r="D761" s="34" t="str">
        <f t="shared" si="121"/>
        <v/>
      </c>
      <c r="E761" s="34" t="str">
        <f t="shared" si="122"/>
        <v/>
      </c>
      <c r="F761" s="34" t="str">
        <f t="shared" si="123"/>
        <v/>
      </c>
      <c r="G761" s="35" t="str">
        <f t="shared" si="124"/>
        <v/>
      </c>
      <c r="H761" s="30"/>
      <c r="I761" s="36" t="str">
        <f t="shared" si="125"/>
        <v/>
      </c>
      <c r="J761" s="34" t="str">
        <f t="shared" si="126"/>
        <v/>
      </c>
      <c r="K761" s="49"/>
      <c r="L761" s="55" t="str">
        <f t="shared" si="127"/>
        <v/>
      </c>
      <c r="M761" s="54" t="str">
        <f t="shared" si="128"/>
        <v/>
      </c>
      <c r="N761" s="30"/>
      <c r="O761" s="31"/>
      <c r="P761" s="53"/>
      <c r="Q761" s="33"/>
      <c r="R761" s="54" t="str">
        <f t="shared" si="129"/>
        <v/>
      </c>
      <c r="S761" s="30"/>
      <c r="T761" s="33"/>
    </row>
    <row r="762" spans="1:20" x14ac:dyDescent="0.25">
      <c r="A762" s="30"/>
      <c r="B762" s="37" t="str">
        <f t="shared" si="120"/>
        <v/>
      </c>
      <c r="C762" s="30"/>
      <c r="D762" s="34" t="str">
        <f t="shared" si="121"/>
        <v/>
      </c>
      <c r="E762" s="34" t="str">
        <f t="shared" si="122"/>
        <v/>
      </c>
      <c r="F762" s="34" t="str">
        <f t="shared" si="123"/>
        <v/>
      </c>
      <c r="G762" s="35" t="str">
        <f t="shared" si="124"/>
        <v/>
      </c>
      <c r="H762" s="30"/>
      <c r="I762" s="36" t="str">
        <f t="shared" si="125"/>
        <v/>
      </c>
      <c r="J762" s="34" t="str">
        <f t="shared" si="126"/>
        <v/>
      </c>
      <c r="K762" s="49"/>
      <c r="L762" s="55" t="str">
        <f t="shared" si="127"/>
        <v/>
      </c>
      <c r="M762" s="54" t="str">
        <f t="shared" si="128"/>
        <v/>
      </c>
      <c r="N762" s="30"/>
      <c r="O762" s="31"/>
      <c r="P762" s="53"/>
      <c r="Q762" s="33"/>
      <c r="R762" s="54" t="str">
        <f t="shared" si="129"/>
        <v/>
      </c>
      <c r="S762" s="30"/>
      <c r="T762" s="33"/>
    </row>
    <row r="763" spans="1:20" x14ac:dyDescent="0.25">
      <c r="A763" s="30"/>
      <c r="B763" s="37" t="str">
        <f t="shared" si="120"/>
        <v/>
      </c>
      <c r="C763" s="30"/>
      <c r="D763" s="34" t="str">
        <f t="shared" si="121"/>
        <v/>
      </c>
      <c r="E763" s="34" t="str">
        <f t="shared" si="122"/>
        <v/>
      </c>
      <c r="F763" s="34" t="str">
        <f t="shared" si="123"/>
        <v/>
      </c>
      <c r="G763" s="35" t="str">
        <f t="shared" si="124"/>
        <v/>
      </c>
      <c r="H763" s="30"/>
      <c r="I763" s="36" t="str">
        <f t="shared" si="125"/>
        <v/>
      </c>
      <c r="J763" s="34" t="str">
        <f t="shared" si="126"/>
        <v/>
      </c>
      <c r="K763" s="49"/>
      <c r="L763" s="55" t="str">
        <f t="shared" si="127"/>
        <v/>
      </c>
      <c r="M763" s="54" t="str">
        <f t="shared" si="128"/>
        <v/>
      </c>
      <c r="N763" s="30"/>
      <c r="O763" s="31"/>
      <c r="P763" s="53"/>
      <c r="Q763" s="33"/>
      <c r="R763" s="54" t="str">
        <f t="shared" si="129"/>
        <v/>
      </c>
      <c r="S763" s="30"/>
      <c r="T763" s="33"/>
    </row>
    <row r="764" spans="1:20" x14ac:dyDescent="0.25">
      <c r="A764" s="30"/>
      <c r="B764" s="37" t="str">
        <f t="shared" si="120"/>
        <v/>
      </c>
      <c r="C764" s="30"/>
      <c r="D764" s="34" t="str">
        <f t="shared" si="121"/>
        <v/>
      </c>
      <c r="E764" s="34" t="str">
        <f t="shared" si="122"/>
        <v/>
      </c>
      <c r="F764" s="34" t="str">
        <f t="shared" si="123"/>
        <v/>
      </c>
      <c r="G764" s="35" t="str">
        <f t="shared" si="124"/>
        <v/>
      </c>
      <c r="H764" s="30"/>
      <c r="I764" s="36" t="str">
        <f t="shared" si="125"/>
        <v/>
      </c>
      <c r="J764" s="34" t="str">
        <f t="shared" si="126"/>
        <v/>
      </c>
      <c r="K764" s="49"/>
      <c r="L764" s="55" t="str">
        <f t="shared" si="127"/>
        <v/>
      </c>
      <c r="M764" s="54" t="str">
        <f t="shared" si="128"/>
        <v/>
      </c>
      <c r="N764" s="30"/>
      <c r="O764" s="31"/>
      <c r="P764" s="53"/>
      <c r="Q764" s="33"/>
      <c r="R764" s="54" t="str">
        <f t="shared" si="129"/>
        <v/>
      </c>
      <c r="S764" s="30"/>
      <c r="T764" s="33"/>
    </row>
    <row r="765" spans="1:20" x14ac:dyDescent="0.25">
      <c r="A765" s="30"/>
      <c r="B765" s="37" t="str">
        <f t="shared" si="120"/>
        <v/>
      </c>
      <c r="C765" s="30"/>
      <c r="D765" s="34" t="str">
        <f t="shared" si="121"/>
        <v/>
      </c>
      <c r="E765" s="34" t="str">
        <f t="shared" si="122"/>
        <v/>
      </c>
      <c r="F765" s="34" t="str">
        <f t="shared" si="123"/>
        <v/>
      </c>
      <c r="G765" s="35" t="str">
        <f t="shared" si="124"/>
        <v/>
      </c>
      <c r="H765" s="30"/>
      <c r="I765" s="36" t="str">
        <f t="shared" si="125"/>
        <v/>
      </c>
      <c r="J765" s="34" t="str">
        <f t="shared" si="126"/>
        <v/>
      </c>
      <c r="K765" s="49"/>
      <c r="L765" s="55" t="str">
        <f t="shared" si="127"/>
        <v/>
      </c>
      <c r="M765" s="54" t="str">
        <f t="shared" si="128"/>
        <v/>
      </c>
      <c r="N765" s="30"/>
      <c r="O765" s="31"/>
      <c r="P765" s="53"/>
      <c r="Q765" s="33"/>
      <c r="R765" s="54" t="str">
        <f t="shared" si="129"/>
        <v/>
      </c>
      <c r="S765" s="30"/>
      <c r="T765" s="33"/>
    </row>
    <row r="766" spans="1:20" x14ac:dyDescent="0.25">
      <c r="A766" s="30"/>
      <c r="B766" s="37" t="str">
        <f t="shared" si="120"/>
        <v/>
      </c>
      <c r="C766" s="30"/>
      <c r="D766" s="34" t="str">
        <f t="shared" si="121"/>
        <v/>
      </c>
      <c r="E766" s="34" t="str">
        <f t="shared" si="122"/>
        <v/>
      </c>
      <c r="F766" s="34" t="str">
        <f t="shared" si="123"/>
        <v/>
      </c>
      <c r="G766" s="35" t="str">
        <f t="shared" si="124"/>
        <v/>
      </c>
      <c r="H766" s="30"/>
      <c r="I766" s="36" t="str">
        <f t="shared" si="125"/>
        <v/>
      </c>
      <c r="J766" s="34" t="str">
        <f t="shared" si="126"/>
        <v/>
      </c>
      <c r="K766" s="49"/>
      <c r="L766" s="55" t="str">
        <f t="shared" si="127"/>
        <v/>
      </c>
      <c r="M766" s="54" t="str">
        <f t="shared" si="128"/>
        <v/>
      </c>
      <c r="N766" s="30"/>
      <c r="O766" s="31"/>
      <c r="P766" s="53"/>
      <c r="Q766" s="33"/>
      <c r="R766" s="54" t="str">
        <f t="shared" si="129"/>
        <v/>
      </c>
      <c r="S766" s="30"/>
      <c r="T766" s="33"/>
    </row>
    <row r="767" spans="1:20" x14ac:dyDescent="0.25">
      <c r="A767" s="30"/>
      <c r="B767" s="37" t="str">
        <f t="shared" si="120"/>
        <v/>
      </c>
      <c r="C767" s="30"/>
      <c r="D767" s="34" t="str">
        <f t="shared" si="121"/>
        <v/>
      </c>
      <c r="E767" s="34" t="str">
        <f t="shared" si="122"/>
        <v/>
      </c>
      <c r="F767" s="34" t="str">
        <f t="shared" si="123"/>
        <v/>
      </c>
      <c r="G767" s="35" t="str">
        <f t="shared" si="124"/>
        <v/>
      </c>
      <c r="H767" s="30"/>
      <c r="I767" s="36" t="str">
        <f t="shared" si="125"/>
        <v/>
      </c>
      <c r="J767" s="34" t="str">
        <f t="shared" si="126"/>
        <v/>
      </c>
      <c r="K767" s="49"/>
      <c r="L767" s="55" t="str">
        <f t="shared" si="127"/>
        <v/>
      </c>
      <c r="M767" s="54" t="str">
        <f t="shared" si="128"/>
        <v/>
      </c>
      <c r="N767" s="30"/>
      <c r="O767" s="31"/>
      <c r="P767" s="53"/>
      <c r="Q767" s="33"/>
      <c r="R767" s="54" t="str">
        <f t="shared" si="129"/>
        <v/>
      </c>
      <c r="S767" s="30"/>
      <c r="T767" s="33"/>
    </row>
    <row r="768" spans="1:20" x14ac:dyDescent="0.25">
      <c r="A768" s="30"/>
      <c r="B768" s="37" t="str">
        <f t="shared" si="120"/>
        <v/>
      </c>
      <c r="C768" s="30"/>
      <c r="D768" s="34" t="str">
        <f t="shared" si="121"/>
        <v/>
      </c>
      <c r="E768" s="34" t="str">
        <f t="shared" si="122"/>
        <v/>
      </c>
      <c r="F768" s="34" t="str">
        <f t="shared" si="123"/>
        <v/>
      </c>
      <c r="G768" s="35" t="str">
        <f t="shared" si="124"/>
        <v/>
      </c>
      <c r="H768" s="30"/>
      <c r="I768" s="36" t="str">
        <f t="shared" si="125"/>
        <v/>
      </c>
      <c r="J768" s="34" t="str">
        <f t="shared" si="126"/>
        <v/>
      </c>
      <c r="K768" s="49"/>
      <c r="L768" s="55" t="str">
        <f t="shared" si="127"/>
        <v/>
      </c>
      <c r="M768" s="54" t="str">
        <f t="shared" si="128"/>
        <v/>
      </c>
      <c r="N768" s="30"/>
      <c r="O768" s="31"/>
      <c r="P768" s="53"/>
      <c r="Q768" s="33"/>
      <c r="R768" s="54" t="str">
        <f t="shared" si="129"/>
        <v/>
      </c>
      <c r="S768" s="30"/>
      <c r="T768" s="33"/>
    </row>
    <row r="769" spans="1:20" x14ac:dyDescent="0.25">
      <c r="A769" s="30"/>
      <c r="B769" s="37" t="str">
        <f t="shared" si="120"/>
        <v/>
      </c>
      <c r="C769" s="30"/>
      <c r="D769" s="34" t="str">
        <f t="shared" si="121"/>
        <v/>
      </c>
      <c r="E769" s="34" t="str">
        <f t="shared" si="122"/>
        <v/>
      </c>
      <c r="F769" s="34" t="str">
        <f t="shared" si="123"/>
        <v/>
      </c>
      <c r="G769" s="35" t="str">
        <f t="shared" si="124"/>
        <v/>
      </c>
      <c r="H769" s="30"/>
      <c r="I769" s="36" t="str">
        <f t="shared" si="125"/>
        <v/>
      </c>
      <c r="J769" s="34" t="str">
        <f t="shared" si="126"/>
        <v/>
      </c>
      <c r="K769" s="49"/>
      <c r="L769" s="55" t="str">
        <f t="shared" si="127"/>
        <v/>
      </c>
      <c r="M769" s="54" t="str">
        <f t="shared" si="128"/>
        <v/>
      </c>
      <c r="N769" s="30"/>
      <c r="O769" s="31"/>
      <c r="P769" s="53"/>
      <c r="Q769" s="33"/>
      <c r="R769" s="54" t="str">
        <f t="shared" si="129"/>
        <v/>
      </c>
      <c r="S769" s="30"/>
      <c r="T769" s="33"/>
    </row>
    <row r="770" spans="1:20" x14ac:dyDescent="0.25">
      <c r="A770" s="30"/>
      <c r="B770" s="37" t="str">
        <f t="shared" si="120"/>
        <v/>
      </c>
      <c r="C770" s="30"/>
      <c r="D770" s="34" t="str">
        <f t="shared" si="121"/>
        <v/>
      </c>
      <c r="E770" s="34" t="str">
        <f t="shared" si="122"/>
        <v/>
      </c>
      <c r="F770" s="34" t="str">
        <f t="shared" si="123"/>
        <v/>
      </c>
      <c r="G770" s="35" t="str">
        <f t="shared" si="124"/>
        <v/>
      </c>
      <c r="H770" s="30"/>
      <c r="I770" s="36" t="str">
        <f t="shared" si="125"/>
        <v/>
      </c>
      <c r="J770" s="34" t="str">
        <f t="shared" si="126"/>
        <v/>
      </c>
      <c r="K770" s="49"/>
      <c r="L770" s="55" t="str">
        <f t="shared" si="127"/>
        <v/>
      </c>
      <c r="M770" s="54" t="str">
        <f t="shared" si="128"/>
        <v/>
      </c>
      <c r="N770" s="30"/>
      <c r="O770" s="31"/>
      <c r="P770" s="53"/>
      <c r="Q770" s="33"/>
      <c r="R770" s="54" t="str">
        <f t="shared" si="129"/>
        <v/>
      </c>
      <c r="S770" s="30"/>
      <c r="T770" s="33"/>
    </row>
    <row r="771" spans="1:20" x14ac:dyDescent="0.25">
      <c r="A771" s="30"/>
      <c r="B771" s="37" t="str">
        <f t="shared" si="120"/>
        <v/>
      </c>
      <c r="C771" s="30"/>
      <c r="D771" s="34" t="str">
        <f t="shared" si="121"/>
        <v/>
      </c>
      <c r="E771" s="34" t="str">
        <f t="shared" si="122"/>
        <v/>
      </c>
      <c r="F771" s="34" t="str">
        <f t="shared" si="123"/>
        <v/>
      </c>
      <c r="G771" s="35" t="str">
        <f t="shared" si="124"/>
        <v/>
      </c>
      <c r="H771" s="30"/>
      <c r="I771" s="36" t="str">
        <f t="shared" si="125"/>
        <v/>
      </c>
      <c r="J771" s="34" t="str">
        <f t="shared" si="126"/>
        <v/>
      </c>
      <c r="K771" s="49"/>
      <c r="L771" s="55" t="str">
        <f t="shared" si="127"/>
        <v/>
      </c>
      <c r="M771" s="54" t="str">
        <f t="shared" si="128"/>
        <v/>
      </c>
      <c r="N771" s="30"/>
      <c r="O771" s="31"/>
      <c r="P771" s="53"/>
      <c r="Q771" s="33"/>
      <c r="R771" s="54" t="str">
        <f t="shared" si="129"/>
        <v/>
      </c>
      <c r="S771" s="30"/>
      <c r="T771" s="33"/>
    </row>
    <row r="772" spans="1:20" x14ac:dyDescent="0.25">
      <c r="A772" s="30"/>
      <c r="B772" s="37" t="str">
        <f t="shared" si="120"/>
        <v/>
      </c>
      <c r="C772" s="30"/>
      <c r="D772" s="34" t="str">
        <f t="shared" si="121"/>
        <v/>
      </c>
      <c r="E772" s="34" t="str">
        <f t="shared" si="122"/>
        <v/>
      </c>
      <c r="F772" s="34" t="str">
        <f t="shared" si="123"/>
        <v/>
      </c>
      <c r="G772" s="35" t="str">
        <f t="shared" si="124"/>
        <v/>
      </c>
      <c r="H772" s="30"/>
      <c r="I772" s="36" t="str">
        <f t="shared" si="125"/>
        <v/>
      </c>
      <c r="J772" s="34" t="str">
        <f t="shared" si="126"/>
        <v/>
      </c>
      <c r="K772" s="49"/>
      <c r="L772" s="55" t="str">
        <f t="shared" si="127"/>
        <v/>
      </c>
      <c r="M772" s="54" t="str">
        <f t="shared" si="128"/>
        <v/>
      </c>
      <c r="N772" s="30"/>
      <c r="O772" s="31"/>
      <c r="P772" s="53"/>
      <c r="Q772" s="33"/>
      <c r="R772" s="54" t="str">
        <f t="shared" si="129"/>
        <v/>
      </c>
      <c r="S772" s="30"/>
      <c r="T772" s="33"/>
    </row>
    <row r="773" spans="1:20" x14ac:dyDescent="0.25">
      <c r="A773" s="30"/>
      <c r="B773" s="37" t="str">
        <f t="shared" si="120"/>
        <v/>
      </c>
      <c r="C773" s="30"/>
      <c r="D773" s="34" t="str">
        <f t="shared" si="121"/>
        <v/>
      </c>
      <c r="E773" s="34" t="str">
        <f t="shared" si="122"/>
        <v/>
      </c>
      <c r="F773" s="34" t="str">
        <f t="shared" si="123"/>
        <v/>
      </c>
      <c r="G773" s="35" t="str">
        <f t="shared" si="124"/>
        <v/>
      </c>
      <c r="H773" s="30"/>
      <c r="I773" s="36" t="str">
        <f t="shared" si="125"/>
        <v/>
      </c>
      <c r="J773" s="34" t="str">
        <f t="shared" si="126"/>
        <v/>
      </c>
      <c r="K773" s="49"/>
      <c r="L773" s="55" t="str">
        <f t="shared" si="127"/>
        <v/>
      </c>
      <c r="M773" s="54" t="str">
        <f t="shared" si="128"/>
        <v/>
      </c>
      <c r="N773" s="30"/>
      <c r="O773" s="31"/>
      <c r="P773" s="53"/>
      <c r="Q773" s="33"/>
      <c r="R773" s="54" t="str">
        <f t="shared" si="129"/>
        <v/>
      </c>
      <c r="S773" s="30"/>
      <c r="T773" s="33"/>
    </row>
    <row r="774" spans="1:20" x14ac:dyDescent="0.25">
      <c r="A774" s="30"/>
      <c r="B774" s="37" t="str">
        <f t="shared" si="120"/>
        <v/>
      </c>
      <c r="C774" s="30"/>
      <c r="D774" s="34" t="str">
        <f t="shared" si="121"/>
        <v/>
      </c>
      <c r="E774" s="34" t="str">
        <f t="shared" si="122"/>
        <v/>
      </c>
      <c r="F774" s="34" t="str">
        <f t="shared" si="123"/>
        <v/>
      </c>
      <c r="G774" s="35" t="str">
        <f t="shared" si="124"/>
        <v/>
      </c>
      <c r="H774" s="30"/>
      <c r="I774" s="36" t="str">
        <f t="shared" si="125"/>
        <v/>
      </c>
      <c r="J774" s="34" t="str">
        <f t="shared" si="126"/>
        <v/>
      </c>
      <c r="K774" s="49"/>
      <c r="L774" s="55" t="str">
        <f t="shared" si="127"/>
        <v/>
      </c>
      <c r="M774" s="54" t="str">
        <f t="shared" si="128"/>
        <v/>
      </c>
      <c r="N774" s="30"/>
      <c r="O774" s="31"/>
      <c r="P774" s="53"/>
      <c r="Q774" s="33"/>
      <c r="R774" s="54" t="str">
        <f t="shared" si="129"/>
        <v/>
      </c>
      <c r="S774" s="30"/>
      <c r="T774" s="33"/>
    </row>
    <row r="775" spans="1:20" x14ac:dyDescent="0.25">
      <c r="A775" s="30"/>
      <c r="B775" s="37" t="str">
        <f t="shared" si="120"/>
        <v/>
      </c>
      <c r="C775" s="30"/>
      <c r="D775" s="34" t="str">
        <f t="shared" si="121"/>
        <v/>
      </c>
      <c r="E775" s="34" t="str">
        <f t="shared" si="122"/>
        <v/>
      </c>
      <c r="F775" s="34" t="str">
        <f t="shared" si="123"/>
        <v/>
      </c>
      <c r="G775" s="35" t="str">
        <f t="shared" si="124"/>
        <v/>
      </c>
      <c r="H775" s="30"/>
      <c r="I775" s="36" t="str">
        <f t="shared" si="125"/>
        <v/>
      </c>
      <c r="J775" s="34" t="str">
        <f t="shared" si="126"/>
        <v/>
      </c>
      <c r="K775" s="49"/>
      <c r="L775" s="55" t="str">
        <f t="shared" si="127"/>
        <v/>
      </c>
      <c r="M775" s="54" t="str">
        <f t="shared" si="128"/>
        <v/>
      </c>
      <c r="N775" s="30"/>
      <c r="O775" s="31"/>
      <c r="P775" s="53"/>
      <c r="Q775" s="33"/>
      <c r="R775" s="54" t="str">
        <f t="shared" si="129"/>
        <v/>
      </c>
      <c r="S775" s="30"/>
      <c r="T775" s="33"/>
    </row>
    <row r="776" spans="1:20" x14ac:dyDescent="0.25">
      <c r="A776" s="30"/>
      <c r="B776" s="37" t="str">
        <f t="shared" si="120"/>
        <v/>
      </c>
      <c r="C776" s="30"/>
      <c r="D776" s="34" t="str">
        <f t="shared" si="121"/>
        <v/>
      </c>
      <c r="E776" s="34" t="str">
        <f t="shared" si="122"/>
        <v/>
      </c>
      <c r="F776" s="34" t="str">
        <f t="shared" si="123"/>
        <v/>
      </c>
      <c r="G776" s="35" t="str">
        <f t="shared" si="124"/>
        <v/>
      </c>
      <c r="H776" s="30"/>
      <c r="I776" s="36" t="str">
        <f t="shared" si="125"/>
        <v/>
      </c>
      <c r="J776" s="34" t="str">
        <f t="shared" si="126"/>
        <v/>
      </c>
      <c r="K776" s="49"/>
      <c r="L776" s="55" t="str">
        <f t="shared" si="127"/>
        <v/>
      </c>
      <c r="M776" s="54" t="str">
        <f t="shared" si="128"/>
        <v/>
      </c>
      <c r="N776" s="30"/>
      <c r="O776" s="31"/>
      <c r="P776" s="53"/>
      <c r="Q776" s="33"/>
      <c r="R776" s="54" t="str">
        <f t="shared" si="129"/>
        <v/>
      </c>
      <c r="S776" s="30"/>
      <c r="T776" s="33"/>
    </row>
    <row r="777" spans="1:20" x14ac:dyDescent="0.25">
      <c r="A777" s="30"/>
      <c r="B777" s="37" t="str">
        <f t="shared" si="120"/>
        <v/>
      </c>
      <c r="C777" s="30"/>
      <c r="D777" s="34" t="str">
        <f t="shared" si="121"/>
        <v/>
      </c>
      <c r="E777" s="34" t="str">
        <f t="shared" si="122"/>
        <v/>
      </c>
      <c r="F777" s="34" t="str">
        <f t="shared" si="123"/>
        <v/>
      </c>
      <c r="G777" s="35" t="str">
        <f t="shared" si="124"/>
        <v/>
      </c>
      <c r="H777" s="30"/>
      <c r="I777" s="36" t="str">
        <f t="shared" si="125"/>
        <v/>
      </c>
      <c r="J777" s="34" t="str">
        <f t="shared" si="126"/>
        <v/>
      </c>
      <c r="K777" s="49"/>
      <c r="L777" s="55" t="str">
        <f t="shared" si="127"/>
        <v/>
      </c>
      <c r="M777" s="54" t="str">
        <f t="shared" si="128"/>
        <v/>
      </c>
      <c r="N777" s="30"/>
      <c r="O777" s="31"/>
      <c r="P777" s="53"/>
      <c r="Q777" s="33"/>
      <c r="R777" s="54" t="str">
        <f t="shared" si="129"/>
        <v/>
      </c>
      <c r="S777" s="30"/>
      <c r="T777" s="33"/>
    </row>
    <row r="778" spans="1:20" x14ac:dyDescent="0.25">
      <c r="A778" s="30"/>
      <c r="B778" s="37" t="str">
        <f t="shared" si="120"/>
        <v/>
      </c>
      <c r="C778" s="30"/>
      <c r="D778" s="34" t="str">
        <f t="shared" si="121"/>
        <v/>
      </c>
      <c r="E778" s="34" t="str">
        <f t="shared" si="122"/>
        <v/>
      </c>
      <c r="F778" s="34" t="str">
        <f t="shared" si="123"/>
        <v/>
      </c>
      <c r="G778" s="35" t="str">
        <f t="shared" si="124"/>
        <v/>
      </c>
      <c r="H778" s="30"/>
      <c r="I778" s="36" t="str">
        <f t="shared" si="125"/>
        <v/>
      </c>
      <c r="J778" s="34" t="str">
        <f t="shared" si="126"/>
        <v/>
      </c>
      <c r="K778" s="49"/>
      <c r="L778" s="55" t="str">
        <f t="shared" si="127"/>
        <v/>
      </c>
      <c r="M778" s="54" t="str">
        <f t="shared" si="128"/>
        <v/>
      </c>
      <c r="N778" s="30"/>
      <c r="O778" s="31"/>
      <c r="P778" s="53"/>
      <c r="Q778" s="33"/>
      <c r="R778" s="54" t="str">
        <f t="shared" si="129"/>
        <v/>
      </c>
      <c r="S778" s="30"/>
      <c r="T778" s="33"/>
    </row>
    <row r="779" spans="1:20" x14ac:dyDescent="0.25">
      <c r="A779" s="30"/>
      <c r="B779" s="37" t="str">
        <f t="shared" si="120"/>
        <v/>
      </c>
      <c r="C779" s="30"/>
      <c r="D779" s="34" t="str">
        <f t="shared" si="121"/>
        <v/>
      </c>
      <c r="E779" s="34" t="str">
        <f t="shared" si="122"/>
        <v/>
      </c>
      <c r="F779" s="34" t="str">
        <f t="shared" si="123"/>
        <v/>
      </c>
      <c r="G779" s="35" t="str">
        <f t="shared" si="124"/>
        <v/>
      </c>
      <c r="H779" s="30"/>
      <c r="I779" s="36" t="str">
        <f t="shared" si="125"/>
        <v/>
      </c>
      <c r="J779" s="34" t="str">
        <f t="shared" si="126"/>
        <v/>
      </c>
      <c r="K779" s="49"/>
      <c r="L779" s="55" t="str">
        <f t="shared" si="127"/>
        <v/>
      </c>
      <c r="M779" s="54" t="str">
        <f t="shared" si="128"/>
        <v/>
      </c>
      <c r="N779" s="30"/>
      <c r="O779" s="31"/>
      <c r="P779" s="53"/>
      <c r="Q779" s="33"/>
      <c r="R779" s="54" t="str">
        <f t="shared" si="129"/>
        <v/>
      </c>
      <c r="S779" s="30"/>
      <c r="T779" s="33"/>
    </row>
    <row r="780" spans="1:20" x14ac:dyDescent="0.25">
      <c r="A780" s="30"/>
      <c r="B780" s="37" t="str">
        <f t="shared" si="120"/>
        <v/>
      </c>
      <c r="C780" s="30"/>
      <c r="D780" s="34" t="str">
        <f t="shared" si="121"/>
        <v/>
      </c>
      <c r="E780" s="34" t="str">
        <f t="shared" si="122"/>
        <v/>
      </c>
      <c r="F780" s="34" t="str">
        <f t="shared" si="123"/>
        <v/>
      </c>
      <c r="G780" s="35" t="str">
        <f t="shared" si="124"/>
        <v/>
      </c>
      <c r="H780" s="30"/>
      <c r="I780" s="36" t="str">
        <f t="shared" si="125"/>
        <v/>
      </c>
      <c r="J780" s="34" t="str">
        <f t="shared" si="126"/>
        <v/>
      </c>
      <c r="K780" s="49"/>
      <c r="L780" s="55" t="str">
        <f t="shared" si="127"/>
        <v/>
      </c>
      <c r="M780" s="54" t="str">
        <f t="shared" si="128"/>
        <v/>
      </c>
      <c r="N780" s="30"/>
      <c r="O780" s="31"/>
      <c r="P780" s="53"/>
      <c r="Q780" s="33"/>
      <c r="R780" s="54" t="str">
        <f t="shared" si="129"/>
        <v/>
      </c>
      <c r="S780" s="30"/>
      <c r="T780" s="33"/>
    </row>
    <row r="781" spans="1:20" x14ac:dyDescent="0.25">
      <c r="A781" s="30"/>
      <c r="B781" s="37" t="str">
        <f t="shared" si="120"/>
        <v/>
      </c>
      <c r="C781" s="30"/>
      <c r="D781" s="34" t="str">
        <f t="shared" si="121"/>
        <v/>
      </c>
      <c r="E781" s="34" t="str">
        <f t="shared" si="122"/>
        <v/>
      </c>
      <c r="F781" s="34" t="str">
        <f t="shared" si="123"/>
        <v/>
      </c>
      <c r="G781" s="35" t="str">
        <f t="shared" si="124"/>
        <v/>
      </c>
      <c r="H781" s="30"/>
      <c r="I781" s="36" t="str">
        <f t="shared" si="125"/>
        <v/>
      </c>
      <c r="J781" s="34" t="str">
        <f t="shared" si="126"/>
        <v/>
      </c>
      <c r="K781" s="49"/>
      <c r="L781" s="55" t="str">
        <f t="shared" si="127"/>
        <v/>
      </c>
      <c r="M781" s="54" t="str">
        <f t="shared" si="128"/>
        <v/>
      </c>
      <c r="N781" s="30"/>
      <c r="O781" s="31"/>
      <c r="P781" s="53"/>
      <c r="Q781" s="33"/>
      <c r="R781" s="54" t="str">
        <f t="shared" si="129"/>
        <v/>
      </c>
      <c r="S781" s="30"/>
      <c r="T781" s="33"/>
    </row>
    <row r="782" spans="1:20" x14ac:dyDescent="0.25">
      <c r="A782" s="30"/>
      <c r="B782" s="37" t="str">
        <f t="shared" si="120"/>
        <v/>
      </c>
      <c r="C782" s="30"/>
      <c r="D782" s="34" t="str">
        <f t="shared" si="121"/>
        <v/>
      </c>
      <c r="E782" s="34" t="str">
        <f t="shared" si="122"/>
        <v/>
      </c>
      <c r="F782" s="34" t="str">
        <f t="shared" si="123"/>
        <v/>
      </c>
      <c r="G782" s="35" t="str">
        <f t="shared" si="124"/>
        <v/>
      </c>
      <c r="H782" s="30"/>
      <c r="I782" s="36" t="str">
        <f t="shared" si="125"/>
        <v/>
      </c>
      <c r="J782" s="34" t="str">
        <f t="shared" si="126"/>
        <v/>
      </c>
      <c r="K782" s="49"/>
      <c r="L782" s="55" t="str">
        <f t="shared" si="127"/>
        <v/>
      </c>
      <c r="M782" s="54" t="str">
        <f t="shared" si="128"/>
        <v/>
      </c>
      <c r="N782" s="30"/>
      <c r="O782" s="31"/>
      <c r="P782" s="53"/>
      <c r="Q782" s="33"/>
      <c r="R782" s="54" t="str">
        <f t="shared" si="129"/>
        <v/>
      </c>
      <c r="S782" s="30"/>
      <c r="T782" s="33"/>
    </row>
    <row r="783" spans="1:20" x14ac:dyDescent="0.25">
      <c r="A783" s="30"/>
      <c r="B783" s="37" t="str">
        <f t="shared" si="120"/>
        <v/>
      </c>
      <c r="C783" s="30"/>
      <c r="D783" s="34" t="str">
        <f t="shared" si="121"/>
        <v/>
      </c>
      <c r="E783" s="34" t="str">
        <f t="shared" si="122"/>
        <v/>
      </c>
      <c r="F783" s="34" t="str">
        <f t="shared" si="123"/>
        <v/>
      </c>
      <c r="G783" s="35" t="str">
        <f t="shared" si="124"/>
        <v/>
      </c>
      <c r="H783" s="30"/>
      <c r="I783" s="36" t="str">
        <f t="shared" si="125"/>
        <v/>
      </c>
      <c r="J783" s="34" t="str">
        <f t="shared" si="126"/>
        <v/>
      </c>
      <c r="K783" s="49"/>
      <c r="L783" s="55" t="str">
        <f t="shared" si="127"/>
        <v/>
      </c>
      <c r="M783" s="54" t="str">
        <f t="shared" si="128"/>
        <v/>
      </c>
      <c r="N783" s="30"/>
      <c r="O783" s="31"/>
      <c r="P783" s="53"/>
      <c r="Q783" s="33"/>
      <c r="R783" s="54" t="str">
        <f t="shared" si="129"/>
        <v/>
      </c>
      <c r="S783" s="30"/>
      <c r="T783" s="33"/>
    </row>
    <row r="784" spans="1:20" x14ac:dyDescent="0.25">
      <c r="A784" s="30"/>
      <c r="B784" s="37" t="str">
        <f t="shared" si="120"/>
        <v/>
      </c>
      <c r="C784" s="30"/>
      <c r="D784" s="34" t="str">
        <f t="shared" si="121"/>
        <v/>
      </c>
      <c r="E784" s="34" t="str">
        <f t="shared" si="122"/>
        <v/>
      </c>
      <c r="F784" s="34" t="str">
        <f t="shared" si="123"/>
        <v/>
      </c>
      <c r="G784" s="35" t="str">
        <f t="shared" si="124"/>
        <v/>
      </c>
      <c r="H784" s="30"/>
      <c r="I784" s="36" t="str">
        <f t="shared" si="125"/>
        <v/>
      </c>
      <c r="J784" s="34" t="str">
        <f t="shared" si="126"/>
        <v/>
      </c>
      <c r="K784" s="49"/>
      <c r="L784" s="55" t="str">
        <f t="shared" si="127"/>
        <v/>
      </c>
      <c r="M784" s="54" t="str">
        <f t="shared" si="128"/>
        <v/>
      </c>
      <c r="N784" s="30"/>
      <c r="O784" s="31"/>
      <c r="P784" s="53"/>
      <c r="Q784" s="33"/>
      <c r="R784" s="54" t="str">
        <f t="shared" si="129"/>
        <v/>
      </c>
      <c r="S784" s="30"/>
      <c r="T784" s="33"/>
    </row>
    <row r="785" spans="1:20" x14ac:dyDescent="0.25">
      <c r="A785" s="30"/>
      <c r="B785" s="37" t="str">
        <f t="shared" si="120"/>
        <v/>
      </c>
      <c r="C785" s="30"/>
      <c r="D785" s="34" t="str">
        <f t="shared" si="121"/>
        <v/>
      </c>
      <c r="E785" s="34" t="str">
        <f t="shared" si="122"/>
        <v/>
      </c>
      <c r="F785" s="34" t="str">
        <f t="shared" si="123"/>
        <v/>
      </c>
      <c r="G785" s="35" t="str">
        <f t="shared" si="124"/>
        <v/>
      </c>
      <c r="H785" s="30"/>
      <c r="I785" s="36" t="str">
        <f t="shared" si="125"/>
        <v/>
      </c>
      <c r="J785" s="34" t="str">
        <f t="shared" si="126"/>
        <v/>
      </c>
      <c r="K785" s="49"/>
      <c r="L785" s="55" t="str">
        <f t="shared" si="127"/>
        <v/>
      </c>
      <c r="M785" s="54" t="str">
        <f t="shared" si="128"/>
        <v/>
      </c>
      <c r="N785" s="30"/>
      <c r="O785" s="31"/>
      <c r="P785" s="53"/>
      <c r="Q785" s="33"/>
      <c r="R785" s="54" t="str">
        <f t="shared" si="129"/>
        <v/>
      </c>
      <c r="S785" s="30"/>
      <c r="T785" s="33"/>
    </row>
    <row r="786" spans="1:20" x14ac:dyDescent="0.25">
      <c r="A786" s="30"/>
      <c r="B786" s="37" t="str">
        <f t="shared" si="120"/>
        <v/>
      </c>
      <c r="C786" s="30"/>
      <c r="D786" s="34" t="str">
        <f t="shared" si="121"/>
        <v/>
      </c>
      <c r="E786" s="34" t="str">
        <f t="shared" si="122"/>
        <v/>
      </c>
      <c r="F786" s="34" t="str">
        <f t="shared" si="123"/>
        <v/>
      </c>
      <c r="G786" s="35" t="str">
        <f t="shared" si="124"/>
        <v/>
      </c>
      <c r="H786" s="30"/>
      <c r="I786" s="36" t="str">
        <f t="shared" si="125"/>
        <v/>
      </c>
      <c r="J786" s="34" t="str">
        <f t="shared" si="126"/>
        <v/>
      </c>
      <c r="K786" s="49"/>
      <c r="L786" s="55" t="str">
        <f t="shared" si="127"/>
        <v/>
      </c>
      <c r="M786" s="54" t="str">
        <f t="shared" si="128"/>
        <v/>
      </c>
      <c r="N786" s="30"/>
      <c r="O786" s="31"/>
      <c r="P786" s="53"/>
      <c r="Q786" s="33"/>
      <c r="R786" s="54" t="str">
        <f t="shared" si="129"/>
        <v/>
      </c>
      <c r="S786" s="30"/>
      <c r="T786" s="33"/>
    </row>
    <row r="787" spans="1:20" x14ac:dyDescent="0.25">
      <c r="A787" s="30"/>
      <c r="B787" s="37" t="str">
        <f t="shared" si="120"/>
        <v/>
      </c>
      <c r="C787" s="30"/>
      <c r="D787" s="34" t="str">
        <f t="shared" si="121"/>
        <v/>
      </c>
      <c r="E787" s="34" t="str">
        <f t="shared" si="122"/>
        <v/>
      </c>
      <c r="F787" s="34" t="str">
        <f t="shared" si="123"/>
        <v/>
      </c>
      <c r="G787" s="35" t="str">
        <f t="shared" si="124"/>
        <v/>
      </c>
      <c r="H787" s="30"/>
      <c r="I787" s="36" t="str">
        <f t="shared" si="125"/>
        <v/>
      </c>
      <c r="J787" s="34" t="str">
        <f t="shared" si="126"/>
        <v/>
      </c>
      <c r="K787" s="49"/>
      <c r="L787" s="55" t="str">
        <f t="shared" si="127"/>
        <v/>
      </c>
      <c r="M787" s="54" t="str">
        <f t="shared" si="128"/>
        <v/>
      </c>
      <c r="N787" s="30"/>
      <c r="O787" s="31"/>
      <c r="P787" s="53"/>
      <c r="Q787" s="33"/>
      <c r="R787" s="54" t="str">
        <f t="shared" si="129"/>
        <v/>
      </c>
      <c r="S787" s="30"/>
      <c r="T787" s="33"/>
    </row>
    <row r="788" spans="1:20" x14ac:dyDescent="0.25">
      <c r="A788" s="30"/>
      <c r="B788" s="37" t="str">
        <f t="shared" si="120"/>
        <v/>
      </c>
      <c r="C788" s="30"/>
      <c r="D788" s="34" t="str">
        <f t="shared" si="121"/>
        <v/>
      </c>
      <c r="E788" s="34" t="str">
        <f t="shared" si="122"/>
        <v/>
      </c>
      <c r="F788" s="34" t="str">
        <f t="shared" si="123"/>
        <v/>
      </c>
      <c r="G788" s="35" t="str">
        <f t="shared" si="124"/>
        <v/>
      </c>
      <c r="H788" s="30"/>
      <c r="I788" s="36" t="str">
        <f t="shared" si="125"/>
        <v/>
      </c>
      <c r="J788" s="34" t="str">
        <f t="shared" si="126"/>
        <v/>
      </c>
      <c r="K788" s="49"/>
      <c r="L788" s="55" t="str">
        <f t="shared" si="127"/>
        <v/>
      </c>
      <c r="M788" s="54" t="str">
        <f t="shared" si="128"/>
        <v/>
      </c>
      <c r="N788" s="30"/>
      <c r="O788" s="31"/>
      <c r="P788" s="53"/>
      <c r="Q788" s="33"/>
      <c r="R788" s="54" t="str">
        <f t="shared" si="129"/>
        <v/>
      </c>
      <c r="S788" s="30"/>
      <c r="T788" s="33"/>
    </row>
    <row r="789" spans="1:20" x14ac:dyDescent="0.25">
      <c r="A789" s="30"/>
      <c r="B789" s="37" t="str">
        <f t="shared" si="120"/>
        <v/>
      </c>
      <c r="C789" s="30"/>
      <c r="D789" s="34" t="str">
        <f t="shared" si="121"/>
        <v/>
      </c>
      <c r="E789" s="34" t="str">
        <f t="shared" si="122"/>
        <v/>
      </c>
      <c r="F789" s="34" t="str">
        <f t="shared" si="123"/>
        <v/>
      </c>
      <c r="G789" s="35" t="str">
        <f t="shared" si="124"/>
        <v/>
      </c>
      <c r="H789" s="30"/>
      <c r="I789" s="36" t="str">
        <f t="shared" si="125"/>
        <v/>
      </c>
      <c r="J789" s="34" t="str">
        <f t="shared" si="126"/>
        <v/>
      </c>
      <c r="K789" s="49"/>
      <c r="L789" s="55" t="str">
        <f t="shared" si="127"/>
        <v/>
      </c>
      <c r="M789" s="54" t="str">
        <f t="shared" si="128"/>
        <v/>
      </c>
      <c r="N789" s="30"/>
      <c r="O789" s="31"/>
      <c r="P789" s="53"/>
      <c r="Q789" s="33"/>
      <c r="R789" s="54" t="str">
        <f t="shared" si="129"/>
        <v/>
      </c>
      <c r="S789" s="30"/>
      <c r="T789" s="33"/>
    </row>
    <row r="790" spans="1:20" x14ac:dyDescent="0.25">
      <c r="A790" s="30"/>
      <c r="B790" s="37" t="str">
        <f t="shared" si="120"/>
        <v/>
      </c>
      <c r="C790" s="30"/>
      <c r="D790" s="34" t="str">
        <f t="shared" si="121"/>
        <v/>
      </c>
      <c r="E790" s="34" t="str">
        <f t="shared" si="122"/>
        <v/>
      </c>
      <c r="F790" s="34" t="str">
        <f t="shared" si="123"/>
        <v/>
      </c>
      <c r="G790" s="35" t="str">
        <f t="shared" si="124"/>
        <v/>
      </c>
      <c r="H790" s="30"/>
      <c r="I790" s="36" t="str">
        <f t="shared" si="125"/>
        <v/>
      </c>
      <c r="J790" s="34" t="str">
        <f t="shared" si="126"/>
        <v/>
      </c>
      <c r="K790" s="49"/>
      <c r="L790" s="55" t="str">
        <f t="shared" si="127"/>
        <v/>
      </c>
      <c r="M790" s="54" t="str">
        <f t="shared" si="128"/>
        <v/>
      </c>
      <c r="N790" s="30"/>
      <c r="O790" s="31"/>
      <c r="P790" s="53"/>
      <c r="Q790" s="33"/>
      <c r="R790" s="54" t="str">
        <f t="shared" si="129"/>
        <v/>
      </c>
      <c r="S790" s="30"/>
      <c r="T790" s="33"/>
    </row>
    <row r="791" spans="1:20" x14ac:dyDescent="0.25">
      <c r="A791" s="30"/>
      <c r="B791" s="37" t="str">
        <f t="shared" si="120"/>
        <v/>
      </c>
      <c r="C791" s="30"/>
      <c r="D791" s="34" t="str">
        <f t="shared" si="121"/>
        <v/>
      </c>
      <c r="E791" s="34" t="str">
        <f t="shared" si="122"/>
        <v/>
      </c>
      <c r="F791" s="34" t="str">
        <f t="shared" si="123"/>
        <v/>
      </c>
      <c r="G791" s="35" t="str">
        <f t="shared" si="124"/>
        <v/>
      </c>
      <c r="H791" s="30"/>
      <c r="I791" s="36" t="str">
        <f t="shared" si="125"/>
        <v/>
      </c>
      <c r="J791" s="34" t="str">
        <f t="shared" si="126"/>
        <v/>
      </c>
      <c r="K791" s="49"/>
      <c r="L791" s="55" t="str">
        <f t="shared" si="127"/>
        <v/>
      </c>
      <c r="M791" s="54" t="str">
        <f t="shared" si="128"/>
        <v/>
      </c>
      <c r="N791" s="30"/>
      <c r="O791" s="31"/>
      <c r="P791" s="53"/>
      <c r="Q791" s="33"/>
      <c r="R791" s="54" t="str">
        <f t="shared" si="129"/>
        <v/>
      </c>
      <c r="S791" s="30"/>
      <c r="T791" s="33"/>
    </row>
    <row r="792" spans="1:20" x14ac:dyDescent="0.25">
      <c r="A792" s="30"/>
      <c r="B792" s="37" t="str">
        <f t="shared" si="120"/>
        <v/>
      </c>
      <c r="C792" s="30"/>
      <c r="D792" s="34" t="str">
        <f t="shared" si="121"/>
        <v/>
      </c>
      <c r="E792" s="34" t="str">
        <f t="shared" si="122"/>
        <v/>
      </c>
      <c r="F792" s="34" t="str">
        <f t="shared" si="123"/>
        <v/>
      </c>
      <c r="G792" s="35" t="str">
        <f t="shared" si="124"/>
        <v/>
      </c>
      <c r="H792" s="30"/>
      <c r="I792" s="36" t="str">
        <f t="shared" si="125"/>
        <v/>
      </c>
      <c r="J792" s="34" t="str">
        <f t="shared" si="126"/>
        <v/>
      </c>
      <c r="K792" s="49"/>
      <c r="L792" s="55" t="str">
        <f t="shared" si="127"/>
        <v/>
      </c>
      <c r="M792" s="54" t="str">
        <f t="shared" si="128"/>
        <v/>
      </c>
      <c r="N792" s="30"/>
      <c r="O792" s="31"/>
      <c r="P792" s="53"/>
      <c r="Q792" s="33"/>
      <c r="R792" s="54" t="str">
        <f t="shared" si="129"/>
        <v/>
      </c>
      <c r="S792" s="30"/>
      <c r="T792" s="33"/>
    </row>
    <row r="793" spans="1:20" x14ac:dyDescent="0.25">
      <c r="A793" s="30"/>
      <c r="B793" s="37" t="str">
        <f t="shared" si="120"/>
        <v/>
      </c>
      <c r="C793" s="30"/>
      <c r="D793" s="34" t="str">
        <f t="shared" si="121"/>
        <v/>
      </c>
      <c r="E793" s="34" t="str">
        <f t="shared" si="122"/>
        <v/>
      </c>
      <c r="F793" s="34" t="str">
        <f t="shared" si="123"/>
        <v/>
      </c>
      <c r="G793" s="35" t="str">
        <f t="shared" si="124"/>
        <v/>
      </c>
      <c r="H793" s="30"/>
      <c r="I793" s="36" t="str">
        <f t="shared" si="125"/>
        <v/>
      </c>
      <c r="J793" s="34" t="str">
        <f t="shared" si="126"/>
        <v/>
      </c>
      <c r="K793" s="49"/>
      <c r="L793" s="55" t="str">
        <f t="shared" si="127"/>
        <v/>
      </c>
      <c r="M793" s="54" t="str">
        <f t="shared" si="128"/>
        <v/>
      </c>
      <c r="N793" s="30"/>
      <c r="O793" s="31"/>
      <c r="P793" s="53"/>
      <c r="Q793" s="33"/>
      <c r="R793" s="54" t="str">
        <f t="shared" si="129"/>
        <v/>
      </c>
      <c r="S793" s="30"/>
      <c r="T793" s="33"/>
    </row>
    <row r="794" spans="1:20" x14ac:dyDescent="0.25">
      <c r="A794" s="30"/>
      <c r="B794" s="37" t="str">
        <f t="shared" si="120"/>
        <v/>
      </c>
      <c r="C794" s="30"/>
      <c r="D794" s="34" t="str">
        <f t="shared" si="121"/>
        <v/>
      </c>
      <c r="E794" s="34" t="str">
        <f t="shared" si="122"/>
        <v/>
      </c>
      <c r="F794" s="34" t="str">
        <f t="shared" si="123"/>
        <v/>
      </c>
      <c r="G794" s="35" t="str">
        <f t="shared" si="124"/>
        <v/>
      </c>
      <c r="H794" s="30"/>
      <c r="I794" s="36" t="str">
        <f t="shared" si="125"/>
        <v/>
      </c>
      <c r="J794" s="34" t="str">
        <f t="shared" si="126"/>
        <v/>
      </c>
      <c r="K794" s="49"/>
      <c r="L794" s="55" t="str">
        <f t="shared" si="127"/>
        <v/>
      </c>
      <c r="M794" s="54" t="str">
        <f t="shared" si="128"/>
        <v/>
      </c>
      <c r="N794" s="30"/>
      <c r="O794" s="31"/>
      <c r="P794" s="53"/>
      <c r="Q794" s="33"/>
      <c r="R794" s="54" t="str">
        <f t="shared" si="129"/>
        <v/>
      </c>
      <c r="S794" s="30"/>
      <c r="T794" s="33"/>
    </row>
    <row r="795" spans="1:20" x14ac:dyDescent="0.25">
      <c r="A795" s="30"/>
      <c r="B795" s="37" t="str">
        <f t="shared" si="120"/>
        <v/>
      </c>
      <c r="C795" s="30"/>
      <c r="D795" s="34" t="str">
        <f t="shared" si="121"/>
        <v/>
      </c>
      <c r="E795" s="34" t="str">
        <f t="shared" si="122"/>
        <v/>
      </c>
      <c r="F795" s="34" t="str">
        <f t="shared" si="123"/>
        <v/>
      </c>
      <c r="G795" s="35" t="str">
        <f t="shared" si="124"/>
        <v/>
      </c>
      <c r="H795" s="30"/>
      <c r="I795" s="36" t="str">
        <f t="shared" si="125"/>
        <v/>
      </c>
      <c r="J795" s="34" t="str">
        <f t="shared" si="126"/>
        <v/>
      </c>
      <c r="K795" s="49"/>
      <c r="L795" s="55" t="str">
        <f t="shared" si="127"/>
        <v/>
      </c>
      <c r="M795" s="54" t="str">
        <f t="shared" si="128"/>
        <v/>
      </c>
      <c r="N795" s="30"/>
      <c r="O795" s="31"/>
      <c r="P795" s="53"/>
      <c r="Q795" s="33"/>
      <c r="R795" s="54" t="str">
        <f t="shared" si="129"/>
        <v/>
      </c>
      <c r="S795" s="30"/>
      <c r="T795" s="33"/>
    </row>
    <row r="796" spans="1:20" x14ac:dyDescent="0.25">
      <c r="A796" s="30"/>
      <c r="B796" s="37" t="str">
        <f t="shared" si="120"/>
        <v/>
      </c>
      <c r="C796" s="30"/>
      <c r="D796" s="34" t="str">
        <f t="shared" si="121"/>
        <v/>
      </c>
      <c r="E796" s="34" t="str">
        <f t="shared" si="122"/>
        <v/>
      </c>
      <c r="F796" s="34" t="str">
        <f t="shared" si="123"/>
        <v/>
      </c>
      <c r="G796" s="35" t="str">
        <f t="shared" si="124"/>
        <v/>
      </c>
      <c r="H796" s="30"/>
      <c r="I796" s="36" t="str">
        <f t="shared" si="125"/>
        <v/>
      </c>
      <c r="J796" s="34" t="str">
        <f t="shared" si="126"/>
        <v/>
      </c>
      <c r="K796" s="49"/>
      <c r="L796" s="55" t="str">
        <f t="shared" si="127"/>
        <v/>
      </c>
      <c r="M796" s="54" t="str">
        <f t="shared" si="128"/>
        <v/>
      </c>
      <c r="N796" s="30"/>
      <c r="O796" s="31"/>
      <c r="P796" s="53"/>
      <c r="Q796" s="33"/>
      <c r="R796" s="54" t="str">
        <f t="shared" si="129"/>
        <v/>
      </c>
      <c r="S796" s="30"/>
      <c r="T796" s="33"/>
    </row>
    <row r="797" spans="1:20" x14ac:dyDescent="0.25">
      <c r="A797" s="30"/>
      <c r="B797" s="37" t="str">
        <f t="shared" si="120"/>
        <v/>
      </c>
      <c r="C797" s="30"/>
      <c r="D797" s="34" t="str">
        <f t="shared" si="121"/>
        <v/>
      </c>
      <c r="E797" s="34" t="str">
        <f t="shared" si="122"/>
        <v/>
      </c>
      <c r="F797" s="34" t="str">
        <f t="shared" si="123"/>
        <v/>
      </c>
      <c r="G797" s="35" t="str">
        <f t="shared" si="124"/>
        <v/>
      </c>
      <c r="H797" s="30"/>
      <c r="I797" s="36" t="str">
        <f t="shared" si="125"/>
        <v/>
      </c>
      <c r="J797" s="34" t="str">
        <f t="shared" si="126"/>
        <v/>
      </c>
      <c r="K797" s="49"/>
      <c r="L797" s="55" t="str">
        <f t="shared" si="127"/>
        <v/>
      </c>
      <c r="M797" s="54" t="str">
        <f t="shared" si="128"/>
        <v/>
      </c>
      <c r="N797" s="30"/>
      <c r="O797" s="31"/>
      <c r="P797" s="53"/>
      <c r="Q797" s="33"/>
      <c r="R797" s="54" t="str">
        <f t="shared" si="129"/>
        <v/>
      </c>
      <c r="S797" s="30"/>
      <c r="T797" s="33"/>
    </row>
    <row r="798" spans="1:20" x14ac:dyDescent="0.25">
      <c r="A798" s="30"/>
      <c r="B798" s="37" t="str">
        <f t="shared" si="120"/>
        <v/>
      </c>
      <c r="C798" s="30"/>
      <c r="D798" s="34" t="str">
        <f t="shared" si="121"/>
        <v/>
      </c>
      <c r="E798" s="34" t="str">
        <f t="shared" si="122"/>
        <v/>
      </c>
      <c r="F798" s="34" t="str">
        <f t="shared" si="123"/>
        <v/>
      </c>
      <c r="G798" s="35" t="str">
        <f t="shared" si="124"/>
        <v/>
      </c>
      <c r="H798" s="30"/>
      <c r="I798" s="36" t="str">
        <f t="shared" si="125"/>
        <v/>
      </c>
      <c r="J798" s="34" t="str">
        <f t="shared" si="126"/>
        <v/>
      </c>
      <c r="K798" s="49"/>
      <c r="L798" s="55" t="str">
        <f t="shared" si="127"/>
        <v/>
      </c>
      <c r="M798" s="54" t="str">
        <f t="shared" si="128"/>
        <v/>
      </c>
      <c r="N798" s="30"/>
      <c r="O798" s="31"/>
      <c r="P798" s="53"/>
      <c r="Q798" s="33"/>
      <c r="R798" s="54" t="str">
        <f t="shared" si="129"/>
        <v/>
      </c>
      <c r="S798" s="30"/>
      <c r="T798" s="33"/>
    </row>
    <row r="799" spans="1:20" x14ac:dyDescent="0.25">
      <c r="A799" s="30"/>
      <c r="B799" s="37" t="str">
        <f t="shared" si="120"/>
        <v/>
      </c>
      <c r="C799" s="30"/>
      <c r="D799" s="34" t="str">
        <f t="shared" si="121"/>
        <v/>
      </c>
      <c r="E799" s="34" t="str">
        <f t="shared" si="122"/>
        <v/>
      </c>
      <c r="F799" s="34" t="str">
        <f t="shared" si="123"/>
        <v/>
      </c>
      <c r="G799" s="35" t="str">
        <f t="shared" si="124"/>
        <v/>
      </c>
      <c r="H799" s="30"/>
      <c r="I799" s="36" t="str">
        <f t="shared" si="125"/>
        <v/>
      </c>
      <c r="J799" s="34" t="str">
        <f t="shared" si="126"/>
        <v/>
      </c>
      <c r="K799" s="49"/>
      <c r="L799" s="55" t="str">
        <f t="shared" si="127"/>
        <v/>
      </c>
      <c r="M799" s="54" t="str">
        <f t="shared" si="128"/>
        <v/>
      </c>
      <c r="N799" s="30"/>
      <c r="O799" s="31"/>
      <c r="P799" s="53"/>
      <c r="Q799" s="33"/>
      <c r="R799" s="54" t="str">
        <f t="shared" si="129"/>
        <v/>
      </c>
      <c r="S799" s="30"/>
      <c r="T799" s="33"/>
    </row>
    <row r="800" spans="1:20" x14ac:dyDescent="0.25">
      <c r="A800" s="30"/>
      <c r="B800" s="37" t="str">
        <f t="shared" si="120"/>
        <v/>
      </c>
      <c r="C800" s="30"/>
      <c r="D800" s="34" t="str">
        <f t="shared" si="121"/>
        <v/>
      </c>
      <c r="E800" s="34" t="str">
        <f t="shared" si="122"/>
        <v/>
      </c>
      <c r="F800" s="34" t="str">
        <f t="shared" si="123"/>
        <v/>
      </c>
      <c r="G800" s="35" t="str">
        <f t="shared" si="124"/>
        <v/>
      </c>
      <c r="H800" s="30"/>
      <c r="I800" s="36" t="str">
        <f t="shared" si="125"/>
        <v/>
      </c>
      <c r="J800" s="34" t="str">
        <f t="shared" si="126"/>
        <v/>
      </c>
      <c r="K800" s="49"/>
      <c r="L800" s="55" t="str">
        <f t="shared" si="127"/>
        <v/>
      </c>
      <c r="M800" s="54" t="str">
        <f t="shared" si="128"/>
        <v/>
      </c>
      <c r="N800" s="30"/>
      <c r="O800" s="31"/>
      <c r="P800" s="53"/>
      <c r="Q800" s="33"/>
      <c r="R800" s="54" t="str">
        <f t="shared" si="129"/>
        <v/>
      </c>
      <c r="S800" s="30"/>
      <c r="T800" s="33"/>
    </row>
    <row r="801" spans="1:20" x14ac:dyDescent="0.25">
      <c r="A801" s="30"/>
      <c r="B801" s="37" t="str">
        <f t="shared" si="120"/>
        <v/>
      </c>
      <c r="C801" s="30"/>
      <c r="D801" s="34" t="str">
        <f t="shared" si="121"/>
        <v/>
      </c>
      <c r="E801" s="34" t="str">
        <f t="shared" si="122"/>
        <v/>
      </c>
      <c r="F801" s="34" t="str">
        <f t="shared" si="123"/>
        <v/>
      </c>
      <c r="G801" s="35" t="str">
        <f t="shared" si="124"/>
        <v/>
      </c>
      <c r="H801" s="30"/>
      <c r="I801" s="36" t="str">
        <f t="shared" si="125"/>
        <v/>
      </c>
      <c r="J801" s="34" t="str">
        <f t="shared" si="126"/>
        <v/>
      </c>
      <c r="K801" s="49"/>
      <c r="L801" s="55" t="str">
        <f t="shared" si="127"/>
        <v/>
      </c>
      <c r="M801" s="54" t="str">
        <f t="shared" si="128"/>
        <v/>
      </c>
      <c r="N801" s="30"/>
      <c r="O801" s="31"/>
      <c r="P801" s="53"/>
      <c r="Q801" s="33"/>
      <c r="R801" s="54" t="str">
        <f t="shared" si="129"/>
        <v/>
      </c>
      <c r="S801" s="30"/>
      <c r="T801" s="33"/>
    </row>
    <row r="802" spans="1:20" x14ac:dyDescent="0.25">
      <c r="A802" s="30"/>
      <c r="B802" s="37" t="str">
        <f t="shared" si="120"/>
        <v/>
      </c>
      <c r="C802" s="30"/>
      <c r="D802" s="34" t="str">
        <f t="shared" si="121"/>
        <v/>
      </c>
      <c r="E802" s="34" t="str">
        <f t="shared" si="122"/>
        <v/>
      </c>
      <c r="F802" s="34" t="str">
        <f t="shared" si="123"/>
        <v/>
      </c>
      <c r="G802" s="35" t="str">
        <f t="shared" si="124"/>
        <v/>
      </c>
      <c r="H802" s="30"/>
      <c r="I802" s="36" t="str">
        <f t="shared" si="125"/>
        <v/>
      </c>
      <c r="J802" s="34" t="str">
        <f t="shared" si="126"/>
        <v/>
      </c>
      <c r="K802" s="49"/>
      <c r="L802" s="55" t="str">
        <f t="shared" si="127"/>
        <v/>
      </c>
      <c r="M802" s="54" t="str">
        <f t="shared" si="128"/>
        <v/>
      </c>
      <c r="N802" s="30"/>
      <c r="O802" s="31"/>
      <c r="P802" s="53"/>
      <c r="Q802" s="33"/>
      <c r="R802" s="54" t="str">
        <f t="shared" si="129"/>
        <v/>
      </c>
      <c r="S802" s="30"/>
      <c r="T802" s="33"/>
    </row>
    <row r="803" spans="1:20" x14ac:dyDescent="0.25">
      <c r="A803" s="30"/>
      <c r="B803" s="37" t="str">
        <f t="shared" si="120"/>
        <v/>
      </c>
      <c r="C803" s="30"/>
      <c r="D803" s="34" t="str">
        <f t="shared" si="121"/>
        <v/>
      </c>
      <c r="E803" s="34" t="str">
        <f t="shared" si="122"/>
        <v/>
      </c>
      <c r="F803" s="34" t="str">
        <f t="shared" si="123"/>
        <v/>
      </c>
      <c r="G803" s="35" t="str">
        <f t="shared" si="124"/>
        <v/>
      </c>
      <c r="H803" s="30"/>
      <c r="I803" s="36" t="str">
        <f t="shared" si="125"/>
        <v/>
      </c>
      <c r="J803" s="34" t="str">
        <f t="shared" si="126"/>
        <v/>
      </c>
      <c r="K803" s="49"/>
      <c r="L803" s="55" t="str">
        <f t="shared" si="127"/>
        <v/>
      </c>
      <c r="M803" s="54" t="str">
        <f t="shared" si="128"/>
        <v/>
      </c>
      <c r="N803" s="30"/>
      <c r="O803" s="31"/>
      <c r="P803" s="53"/>
      <c r="Q803" s="33"/>
      <c r="R803" s="54" t="str">
        <f t="shared" si="129"/>
        <v/>
      </c>
      <c r="S803" s="30"/>
      <c r="T803" s="33"/>
    </row>
    <row r="804" spans="1:20" x14ac:dyDescent="0.25">
      <c r="A804" s="30"/>
      <c r="B804" s="37" t="str">
        <f t="shared" si="120"/>
        <v/>
      </c>
      <c r="C804" s="30"/>
      <c r="D804" s="34" t="str">
        <f t="shared" si="121"/>
        <v/>
      </c>
      <c r="E804" s="34" t="str">
        <f t="shared" si="122"/>
        <v/>
      </c>
      <c r="F804" s="34" t="str">
        <f t="shared" si="123"/>
        <v/>
      </c>
      <c r="G804" s="35" t="str">
        <f t="shared" si="124"/>
        <v/>
      </c>
      <c r="H804" s="30"/>
      <c r="I804" s="36" t="str">
        <f t="shared" si="125"/>
        <v/>
      </c>
      <c r="J804" s="34" t="str">
        <f t="shared" si="126"/>
        <v/>
      </c>
      <c r="K804" s="49"/>
      <c r="L804" s="55" t="str">
        <f t="shared" si="127"/>
        <v/>
      </c>
      <c r="M804" s="54" t="str">
        <f t="shared" si="128"/>
        <v/>
      </c>
      <c r="N804" s="30"/>
      <c r="O804" s="31"/>
      <c r="P804" s="53"/>
      <c r="Q804" s="33"/>
      <c r="R804" s="54" t="str">
        <f t="shared" si="129"/>
        <v/>
      </c>
      <c r="S804" s="30"/>
      <c r="T804" s="33"/>
    </row>
    <row r="805" spans="1:20" x14ac:dyDescent="0.25">
      <c r="A805" s="30"/>
      <c r="B805" s="37" t="str">
        <f t="shared" si="120"/>
        <v/>
      </c>
      <c r="C805" s="30"/>
      <c r="D805" s="34" t="str">
        <f t="shared" si="121"/>
        <v/>
      </c>
      <c r="E805" s="34" t="str">
        <f t="shared" si="122"/>
        <v/>
      </c>
      <c r="F805" s="34" t="str">
        <f t="shared" si="123"/>
        <v/>
      </c>
      <c r="G805" s="35" t="str">
        <f t="shared" si="124"/>
        <v/>
      </c>
      <c r="H805" s="30"/>
      <c r="I805" s="36" t="str">
        <f t="shared" si="125"/>
        <v/>
      </c>
      <c r="J805" s="34" t="str">
        <f t="shared" si="126"/>
        <v/>
      </c>
      <c r="K805" s="49"/>
      <c r="L805" s="55" t="str">
        <f t="shared" si="127"/>
        <v/>
      </c>
      <c r="M805" s="54" t="str">
        <f t="shared" si="128"/>
        <v/>
      </c>
      <c r="N805" s="30"/>
      <c r="O805" s="31"/>
      <c r="P805" s="53"/>
      <c r="Q805" s="33"/>
      <c r="R805" s="54" t="str">
        <f t="shared" si="129"/>
        <v/>
      </c>
      <c r="S805" s="30"/>
      <c r="T805" s="33"/>
    </row>
    <row r="806" spans="1:20" x14ac:dyDescent="0.25">
      <c r="A806" s="30"/>
      <c r="B806" s="37" t="str">
        <f t="shared" si="120"/>
        <v/>
      </c>
      <c r="C806" s="30"/>
      <c r="D806" s="34" t="str">
        <f t="shared" si="121"/>
        <v/>
      </c>
      <c r="E806" s="34" t="str">
        <f t="shared" si="122"/>
        <v/>
      </c>
      <c r="F806" s="34" t="str">
        <f t="shared" si="123"/>
        <v/>
      </c>
      <c r="G806" s="35" t="str">
        <f t="shared" si="124"/>
        <v/>
      </c>
      <c r="H806" s="30"/>
      <c r="I806" s="36" t="str">
        <f t="shared" si="125"/>
        <v/>
      </c>
      <c r="J806" s="34" t="str">
        <f t="shared" si="126"/>
        <v/>
      </c>
      <c r="K806" s="49"/>
      <c r="L806" s="55" t="str">
        <f t="shared" si="127"/>
        <v/>
      </c>
      <c r="M806" s="54" t="str">
        <f t="shared" si="128"/>
        <v/>
      </c>
      <c r="N806" s="30"/>
      <c r="O806" s="31"/>
      <c r="P806" s="53"/>
      <c r="Q806" s="33"/>
      <c r="R806" s="54" t="str">
        <f t="shared" si="129"/>
        <v/>
      </c>
      <c r="S806" s="30"/>
      <c r="T806" s="33"/>
    </row>
    <row r="807" spans="1:20" x14ac:dyDescent="0.25">
      <c r="A807" s="30"/>
      <c r="B807" s="37" t="str">
        <f t="shared" si="120"/>
        <v/>
      </c>
      <c r="C807" s="30"/>
      <c r="D807" s="34" t="str">
        <f t="shared" si="121"/>
        <v/>
      </c>
      <c r="E807" s="34" t="str">
        <f t="shared" si="122"/>
        <v/>
      </c>
      <c r="F807" s="34" t="str">
        <f t="shared" si="123"/>
        <v/>
      </c>
      <c r="G807" s="35" t="str">
        <f t="shared" si="124"/>
        <v/>
      </c>
      <c r="H807" s="30"/>
      <c r="I807" s="36" t="str">
        <f t="shared" si="125"/>
        <v/>
      </c>
      <c r="J807" s="34" t="str">
        <f t="shared" si="126"/>
        <v/>
      </c>
      <c r="K807" s="49"/>
      <c r="L807" s="55" t="str">
        <f t="shared" si="127"/>
        <v/>
      </c>
      <c r="M807" s="54" t="str">
        <f t="shared" si="128"/>
        <v/>
      </c>
      <c r="N807" s="30"/>
      <c r="O807" s="31"/>
      <c r="P807" s="53"/>
      <c r="Q807" s="33"/>
      <c r="R807" s="54" t="str">
        <f t="shared" si="129"/>
        <v/>
      </c>
      <c r="S807" s="30"/>
      <c r="T807" s="33"/>
    </row>
    <row r="808" spans="1:20" x14ac:dyDescent="0.25">
      <c r="A808" s="30"/>
      <c r="B808" s="37" t="str">
        <f t="shared" si="120"/>
        <v/>
      </c>
      <c r="C808" s="30"/>
      <c r="D808" s="34" t="str">
        <f t="shared" si="121"/>
        <v/>
      </c>
      <c r="E808" s="34" t="str">
        <f t="shared" si="122"/>
        <v/>
      </c>
      <c r="F808" s="34" t="str">
        <f t="shared" si="123"/>
        <v/>
      </c>
      <c r="G808" s="35" t="str">
        <f t="shared" si="124"/>
        <v/>
      </c>
      <c r="H808" s="30"/>
      <c r="I808" s="36" t="str">
        <f t="shared" si="125"/>
        <v/>
      </c>
      <c r="J808" s="34" t="str">
        <f t="shared" si="126"/>
        <v/>
      </c>
      <c r="K808" s="49"/>
      <c r="L808" s="55" t="str">
        <f t="shared" si="127"/>
        <v/>
      </c>
      <c r="M808" s="54" t="str">
        <f t="shared" si="128"/>
        <v/>
      </c>
      <c r="N808" s="30"/>
      <c r="O808" s="31"/>
      <c r="P808" s="53"/>
      <c r="Q808" s="33"/>
      <c r="R808" s="54" t="str">
        <f t="shared" si="129"/>
        <v/>
      </c>
      <c r="S808" s="30"/>
      <c r="T808" s="33"/>
    </row>
    <row r="809" spans="1:20" x14ac:dyDescent="0.25">
      <c r="A809" s="30"/>
      <c r="B809" s="37" t="str">
        <f t="shared" si="120"/>
        <v/>
      </c>
      <c r="C809" s="30"/>
      <c r="D809" s="34" t="str">
        <f t="shared" si="121"/>
        <v/>
      </c>
      <c r="E809" s="34" t="str">
        <f t="shared" si="122"/>
        <v/>
      </c>
      <c r="F809" s="34" t="str">
        <f t="shared" si="123"/>
        <v/>
      </c>
      <c r="G809" s="35" t="str">
        <f t="shared" si="124"/>
        <v/>
      </c>
      <c r="H809" s="30"/>
      <c r="I809" s="36" t="str">
        <f t="shared" si="125"/>
        <v/>
      </c>
      <c r="J809" s="34" t="str">
        <f t="shared" si="126"/>
        <v/>
      </c>
      <c r="K809" s="49"/>
      <c r="L809" s="55" t="str">
        <f t="shared" si="127"/>
        <v/>
      </c>
      <c r="M809" s="54" t="str">
        <f t="shared" si="128"/>
        <v/>
      </c>
      <c r="N809" s="30"/>
      <c r="O809" s="31"/>
      <c r="P809" s="53"/>
      <c r="Q809" s="33"/>
      <c r="R809" s="54" t="str">
        <f t="shared" si="129"/>
        <v/>
      </c>
      <c r="S809" s="30"/>
      <c r="T809" s="33"/>
    </row>
    <row r="810" spans="1:20" x14ac:dyDescent="0.25">
      <c r="A810" s="30"/>
      <c r="B810" s="37" t="str">
        <f t="shared" si="120"/>
        <v/>
      </c>
      <c r="C810" s="30"/>
      <c r="D810" s="34" t="str">
        <f t="shared" si="121"/>
        <v/>
      </c>
      <c r="E810" s="34" t="str">
        <f t="shared" si="122"/>
        <v/>
      </c>
      <c r="F810" s="34" t="str">
        <f t="shared" si="123"/>
        <v/>
      </c>
      <c r="G810" s="35" t="str">
        <f t="shared" si="124"/>
        <v/>
      </c>
      <c r="H810" s="30"/>
      <c r="I810" s="36" t="str">
        <f t="shared" si="125"/>
        <v/>
      </c>
      <c r="J810" s="34" t="str">
        <f t="shared" si="126"/>
        <v/>
      </c>
      <c r="K810" s="49"/>
      <c r="L810" s="55" t="str">
        <f t="shared" si="127"/>
        <v/>
      </c>
      <c r="M810" s="54" t="str">
        <f t="shared" si="128"/>
        <v/>
      </c>
      <c r="N810" s="30"/>
      <c r="O810" s="31"/>
      <c r="P810" s="53"/>
      <c r="Q810" s="33"/>
      <c r="R810" s="54" t="str">
        <f t="shared" si="129"/>
        <v/>
      </c>
      <c r="S810" s="30"/>
      <c r="T810" s="33"/>
    </row>
    <row r="811" spans="1:20" x14ac:dyDescent="0.25">
      <c r="A811" s="30"/>
      <c r="B811" s="37" t="str">
        <f t="shared" si="120"/>
        <v/>
      </c>
      <c r="C811" s="30"/>
      <c r="D811" s="34" t="str">
        <f t="shared" si="121"/>
        <v/>
      </c>
      <c r="E811" s="34" t="str">
        <f t="shared" si="122"/>
        <v/>
      </c>
      <c r="F811" s="34" t="str">
        <f t="shared" si="123"/>
        <v/>
      </c>
      <c r="G811" s="35" t="str">
        <f t="shared" si="124"/>
        <v/>
      </c>
      <c r="H811" s="30"/>
      <c r="I811" s="36" t="str">
        <f t="shared" si="125"/>
        <v/>
      </c>
      <c r="J811" s="34" t="str">
        <f t="shared" si="126"/>
        <v/>
      </c>
      <c r="K811" s="49"/>
      <c r="L811" s="55" t="str">
        <f t="shared" si="127"/>
        <v/>
      </c>
      <c r="M811" s="54" t="str">
        <f t="shared" si="128"/>
        <v/>
      </c>
      <c r="N811" s="30"/>
      <c r="O811" s="31"/>
      <c r="P811" s="53"/>
      <c r="Q811" s="33"/>
      <c r="R811" s="54" t="str">
        <f t="shared" si="129"/>
        <v/>
      </c>
      <c r="S811" s="30"/>
      <c r="T811" s="33"/>
    </row>
    <row r="812" spans="1:20" x14ac:dyDescent="0.25">
      <c r="A812" s="30"/>
      <c r="B812" s="37" t="str">
        <f t="shared" si="120"/>
        <v/>
      </c>
      <c r="C812" s="30"/>
      <c r="D812" s="34" t="str">
        <f t="shared" si="121"/>
        <v/>
      </c>
      <c r="E812" s="34" t="str">
        <f t="shared" si="122"/>
        <v/>
      </c>
      <c r="F812" s="34" t="str">
        <f t="shared" si="123"/>
        <v/>
      </c>
      <c r="G812" s="35" t="str">
        <f t="shared" si="124"/>
        <v/>
      </c>
      <c r="H812" s="30"/>
      <c r="I812" s="36" t="str">
        <f t="shared" si="125"/>
        <v/>
      </c>
      <c r="J812" s="34" t="str">
        <f t="shared" si="126"/>
        <v/>
      </c>
      <c r="K812" s="49"/>
      <c r="L812" s="55" t="str">
        <f t="shared" si="127"/>
        <v/>
      </c>
      <c r="M812" s="54" t="str">
        <f t="shared" si="128"/>
        <v/>
      </c>
      <c r="N812" s="30"/>
      <c r="O812" s="31"/>
      <c r="P812" s="53"/>
      <c r="Q812" s="33"/>
      <c r="R812" s="54" t="str">
        <f t="shared" si="129"/>
        <v/>
      </c>
      <c r="S812" s="30"/>
      <c r="T812" s="33"/>
    </row>
    <row r="813" spans="1:20" x14ac:dyDescent="0.25">
      <c r="A813" s="30"/>
      <c r="B813" s="37" t="str">
        <f t="shared" si="120"/>
        <v/>
      </c>
      <c r="C813" s="30"/>
      <c r="D813" s="34" t="str">
        <f t="shared" si="121"/>
        <v/>
      </c>
      <c r="E813" s="34" t="str">
        <f t="shared" si="122"/>
        <v/>
      </c>
      <c r="F813" s="34" t="str">
        <f t="shared" si="123"/>
        <v/>
      </c>
      <c r="G813" s="35" t="str">
        <f t="shared" si="124"/>
        <v/>
      </c>
      <c r="H813" s="30"/>
      <c r="I813" s="36" t="str">
        <f t="shared" si="125"/>
        <v/>
      </c>
      <c r="J813" s="34" t="str">
        <f t="shared" si="126"/>
        <v/>
      </c>
      <c r="K813" s="49"/>
      <c r="L813" s="55" t="str">
        <f t="shared" si="127"/>
        <v/>
      </c>
      <c r="M813" s="54" t="str">
        <f t="shared" si="128"/>
        <v/>
      </c>
      <c r="N813" s="30"/>
      <c r="O813" s="31"/>
      <c r="P813" s="53"/>
      <c r="Q813" s="33"/>
      <c r="R813" s="54" t="str">
        <f t="shared" si="129"/>
        <v/>
      </c>
      <c r="S813" s="30"/>
      <c r="T813" s="33"/>
    </row>
    <row r="814" spans="1:20" x14ac:dyDescent="0.25">
      <c r="A814" s="30"/>
      <c r="B814" s="37" t="str">
        <f t="shared" si="120"/>
        <v/>
      </c>
      <c r="C814" s="30"/>
      <c r="D814" s="34" t="str">
        <f t="shared" si="121"/>
        <v/>
      </c>
      <c r="E814" s="34" t="str">
        <f t="shared" si="122"/>
        <v/>
      </c>
      <c r="F814" s="34" t="str">
        <f t="shared" si="123"/>
        <v/>
      </c>
      <c r="G814" s="35" t="str">
        <f t="shared" si="124"/>
        <v/>
      </c>
      <c r="H814" s="30"/>
      <c r="I814" s="36" t="str">
        <f t="shared" si="125"/>
        <v/>
      </c>
      <c r="J814" s="34" t="str">
        <f t="shared" si="126"/>
        <v/>
      </c>
      <c r="K814" s="49"/>
      <c r="L814" s="55" t="str">
        <f t="shared" si="127"/>
        <v/>
      </c>
      <c r="M814" s="54" t="str">
        <f t="shared" si="128"/>
        <v/>
      </c>
      <c r="N814" s="30"/>
      <c r="O814" s="31"/>
      <c r="P814" s="53"/>
      <c r="Q814" s="33"/>
      <c r="R814" s="54" t="str">
        <f t="shared" si="129"/>
        <v/>
      </c>
      <c r="S814" s="30"/>
      <c r="T814" s="33"/>
    </row>
    <row r="815" spans="1:20" x14ac:dyDescent="0.25">
      <c r="A815" s="30"/>
      <c r="B815" s="37" t="str">
        <f t="shared" si="120"/>
        <v/>
      </c>
      <c r="C815" s="30"/>
      <c r="D815" s="34" t="str">
        <f t="shared" si="121"/>
        <v/>
      </c>
      <c r="E815" s="34" t="str">
        <f t="shared" si="122"/>
        <v/>
      </c>
      <c r="F815" s="34" t="str">
        <f t="shared" si="123"/>
        <v/>
      </c>
      <c r="G815" s="35" t="str">
        <f t="shared" si="124"/>
        <v/>
      </c>
      <c r="H815" s="30"/>
      <c r="I815" s="36" t="str">
        <f t="shared" si="125"/>
        <v/>
      </c>
      <c r="J815" s="34" t="str">
        <f t="shared" si="126"/>
        <v/>
      </c>
      <c r="K815" s="49"/>
      <c r="L815" s="55" t="str">
        <f t="shared" si="127"/>
        <v/>
      </c>
      <c r="M815" s="54" t="str">
        <f t="shared" si="128"/>
        <v/>
      </c>
      <c r="N815" s="30"/>
      <c r="O815" s="31"/>
      <c r="P815" s="53"/>
      <c r="Q815" s="33"/>
      <c r="R815" s="54" t="str">
        <f t="shared" si="129"/>
        <v/>
      </c>
      <c r="S815" s="30"/>
      <c r="T815" s="33"/>
    </row>
    <row r="816" spans="1:20" x14ac:dyDescent="0.25">
      <c r="A816" s="30"/>
      <c r="B816" s="37" t="str">
        <f t="shared" si="120"/>
        <v/>
      </c>
      <c r="C816" s="30"/>
      <c r="D816" s="34" t="str">
        <f t="shared" si="121"/>
        <v/>
      </c>
      <c r="E816" s="34" t="str">
        <f t="shared" si="122"/>
        <v/>
      </c>
      <c r="F816" s="34" t="str">
        <f t="shared" si="123"/>
        <v/>
      </c>
      <c r="G816" s="35" t="str">
        <f t="shared" si="124"/>
        <v/>
      </c>
      <c r="H816" s="30"/>
      <c r="I816" s="36" t="str">
        <f t="shared" si="125"/>
        <v/>
      </c>
      <c r="J816" s="34" t="str">
        <f t="shared" si="126"/>
        <v/>
      </c>
      <c r="K816" s="49"/>
      <c r="L816" s="55" t="str">
        <f t="shared" si="127"/>
        <v/>
      </c>
      <c r="M816" s="54" t="str">
        <f t="shared" si="128"/>
        <v/>
      </c>
      <c r="N816" s="30"/>
      <c r="O816" s="31"/>
      <c r="P816" s="53"/>
      <c r="Q816" s="33"/>
      <c r="R816" s="54" t="str">
        <f t="shared" si="129"/>
        <v/>
      </c>
      <c r="S816" s="30"/>
      <c r="T816" s="33"/>
    </row>
    <row r="817" spans="1:20" x14ac:dyDescent="0.25">
      <c r="A817" s="30"/>
      <c r="B817" s="37" t="str">
        <f t="shared" si="120"/>
        <v/>
      </c>
      <c r="C817" s="30"/>
      <c r="D817" s="34" t="str">
        <f t="shared" si="121"/>
        <v/>
      </c>
      <c r="E817" s="34" t="str">
        <f t="shared" si="122"/>
        <v/>
      </c>
      <c r="F817" s="34" t="str">
        <f t="shared" si="123"/>
        <v/>
      </c>
      <c r="G817" s="35" t="str">
        <f t="shared" si="124"/>
        <v/>
      </c>
      <c r="H817" s="30"/>
      <c r="I817" s="36" t="str">
        <f t="shared" si="125"/>
        <v/>
      </c>
      <c r="J817" s="34" t="str">
        <f t="shared" si="126"/>
        <v/>
      </c>
      <c r="K817" s="49"/>
      <c r="L817" s="55" t="str">
        <f t="shared" si="127"/>
        <v/>
      </c>
      <c r="M817" s="54" t="str">
        <f t="shared" si="128"/>
        <v/>
      </c>
      <c r="N817" s="30"/>
      <c r="O817" s="31"/>
      <c r="P817" s="53"/>
      <c r="Q817" s="33"/>
      <c r="R817" s="54" t="str">
        <f t="shared" si="129"/>
        <v/>
      </c>
      <c r="S817" s="30"/>
      <c r="T817" s="33"/>
    </row>
    <row r="818" spans="1:20" x14ac:dyDescent="0.25">
      <c r="A818" s="30"/>
      <c r="B818" s="37" t="str">
        <f t="shared" si="120"/>
        <v/>
      </c>
      <c r="C818" s="30"/>
      <c r="D818" s="34" t="str">
        <f t="shared" si="121"/>
        <v/>
      </c>
      <c r="E818" s="34" t="str">
        <f t="shared" si="122"/>
        <v/>
      </c>
      <c r="F818" s="34" t="str">
        <f t="shared" si="123"/>
        <v/>
      </c>
      <c r="G818" s="35" t="str">
        <f t="shared" si="124"/>
        <v/>
      </c>
      <c r="H818" s="30"/>
      <c r="I818" s="36" t="str">
        <f t="shared" si="125"/>
        <v/>
      </c>
      <c r="J818" s="34" t="str">
        <f t="shared" si="126"/>
        <v/>
      </c>
      <c r="K818" s="49"/>
      <c r="L818" s="55" t="str">
        <f t="shared" si="127"/>
        <v/>
      </c>
      <c r="M818" s="54" t="str">
        <f t="shared" si="128"/>
        <v/>
      </c>
      <c r="N818" s="30"/>
      <c r="O818" s="31"/>
      <c r="P818" s="53"/>
      <c r="Q818" s="33"/>
      <c r="R818" s="54" t="str">
        <f t="shared" si="129"/>
        <v/>
      </c>
      <c r="S818" s="30"/>
      <c r="T818" s="33"/>
    </row>
    <row r="819" spans="1:20" x14ac:dyDescent="0.25">
      <c r="A819" s="30"/>
      <c r="B819" s="37" t="str">
        <f t="shared" si="120"/>
        <v/>
      </c>
      <c r="C819" s="30"/>
      <c r="D819" s="34" t="str">
        <f t="shared" si="121"/>
        <v/>
      </c>
      <c r="E819" s="34" t="str">
        <f t="shared" si="122"/>
        <v/>
      </c>
      <c r="F819" s="34" t="str">
        <f t="shared" si="123"/>
        <v/>
      </c>
      <c r="G819" s="35" t="str">
        <f t="shared" si="124"/>
        <v/>
      </c>
      <c r="H819" s="30"/>
      <c r="I819" s="36" t="str">
        <f t="shared" si="125"/>
        <v/>
      </c>
      <c r="J819" s="34" t="str">
        <f t="shared" si="126"/>
        <v/>
      </c>
      <c r="K819" s="49"/>
      <c r="L819" s="55" t="str">
        <f t="shared" si="127"/>
        <v/>
      </c>
      <c r="M819" s="54" t="str">
        <f t="shared" si="128"/>
        <v/>
      </c>
      <c r="N819" s="30"/>
      <c r="O819" s="31"/>
      <c r="P819" s="53"/>
      <c r="Q819" s="33"/>
      <c r="R819" s="54" t="str">
        <f t="shared" si="129"/>
        <v/>
      </c>
      <c r="S819" s="30"/>
      <c r="T819" s="33"/>
    </row>
    <row r="820" spans="1:20" x14ac:dyDescent="0.25">
      <c r="A820" s="30"/>
      <c r="B820" s="37" t="str">
        <f t="shared" si="120"/>
        <v/>
      </c>
      <c r="C820" s="30"/>
      <c r="D820" s="34" t="str">
        <f t="shared" si="121"/>
        <v/>
      </c>
      <c r="E820" s="34" t="str">
        <f t="shared" si="122"/>
        <v/>
      </c>
      <c r="F820" s="34" t="str">
        <f t="shared" si="123"/>
        <v/>
      </c>
      <c r="G820" s="35" t="str">
        <f t="shared" si="124"/>
        <v/>
      </c>
      <c r="H820" s="30"/>
      <c r="I820" s="36" t="str">
        <f t="shared" si="125"/>
        <v/>
      </c>
      <c r="J820" s="34" t="str">
        <f t="shared" si="126"/>
        <v/>
      </c>
      <c r="K820" s="49"/>
      <c r="L820" s="55" t="str">
        <f t="shared" si="127"/>
        <v/>
      </c>
      <c r="M820" s="54" t="str">
        <f t="shared" si="128"/>
        <v/>
      </c>
      <c r="N820" s="30"/>
      <c r="O820" s="31"/>
      <c r="P820" s="53"/>
      <c r="Q820" s="33"/>
      <c r="R820" s="54" t="str">
        <f t="shared" si="129"/>
        <v/>
      </c>
      <c r="S820" s="30"/>
      <c r="T820" s="33"/>
    </row>
    <row r="821" spans="1:20" x14ac:dyDescent="0.25">
      <c r="A821" s="30"/>
      <c r="B821" s="37" t="str">
        <f t="shared" ref="B821:B884" si="130">IF($G821="","",EOMONTH($G821,0))</f>
        <v/>
      </c>
      <c r="C821" s="30"/>
      <c r="D821" s="34" t="str">
        <f t="shared" ref="D821:D884" si="131">IFERROR(IF($C821="","",VLOOKUP($C821,CAD_TAB,2,FALSE)),"")</f>
        <v/>
      </c>
      <c r="E821" s="34" t="str">
        <f t="shared" ref="E821:E884" si="132">IFERROR(IF($C821="","",VLOOKUP($C821,CAD_TAB,3,FALSE)),"")</f>
        <v/>
      </c>
      <c r="F821" s="34" t="str">
        <f t="shared" ref="F821:F884" si="133">IFERROR(IF($C821="","",VLOOKUP($C821,OS_TAB,7,FALSE)),"")</f>
        <v/>
      </c>
      <c r="G821" s="35" t="str">
        <f t="shared" ref="G821:G884" si="134">IFERROR(IF($C821="","",VLOOKUP($C821,OS_TAB,10,FALSE)),"")</f>
        <v/>
      </c>
      <c r="H821" s="30"/>
      <c r="I821" s="36" t="str">
        <f t="shared" ref="I821:I884" si="135">IFERROR(IF($H821="","",VLOOKUP($H821,PRE_TAB,5,FALSE)),"CÓDIGO NÃO ENCONTRADO")</f>
        <v/>
      </c>
      <c r="J821" s="34" t="str">
        <f t="shared" ref="J821:J884" si="136">IFERROR(IF($H821="","",VLOOKUP($H821,PRE_TAB,7,FALSE)),"")</f>
        <v/>
      </c>
      <c r="K821" s="49"/>
      <c r="L821" s="55" t="str">
        <f t="shared" ref="L821:L884" si="137">IFERROR(IF($H821="","",VLOOKUP($H821,PRE_TAB,8,FALSE)),0)</f>
        <v/>
      </c>
      <c r="M821" s="54" t="str">
        <f t="shared" ref="M821:M884" si="138">IF($H821="","",ROUND($K821*$L821,2))</f>
        <v/>
      </c>
      <c r="N821" s="30"/>
      <c r="O821" s="31"/>
      <c r="P821" s="53"/>
      <c r="Q821" s="33"/>
      <c r="R821" s="54" t="str">
        <f t="shared" ref="R821:R884" si="139">IF($H821="","",$M821-$P821)</f>
        <v/>
      </c>
      <c r="S821" s="30"/>
      <c r="T821" s="33"/>
    </row>
    <row r="822" spans="1:20" x14ac:dyDescent="0.25">
      <c r="A822" s="30"/>
      <c r="B822" s="37" t="str">
        <f t="shared" si="130"/>
        <v/>
      </c>
      <c r="C822" s="30"/>
      <c r="D822" s="34" t="str">
        <f t="shared" si="131"/>
        <v/>
      </c>
      <c r="E822" s="34" t="str">
        <f t="shared" si="132"/>
        <v/>
      </c>
      <c r="F822" s="34" t="str">
        <f t="shared" si="133"/>
        <v/>
      </c>
      <c r="G822" s="35" t="str">
        <f t="shared" si="134"/>
        <v/>
      </c>
      <c r="H822" s="30"/>
      <c r="I822" s="36" t="str">
        <f t="shared" si="135"/>
        <v/>
      </c>
      <c r="J822" s="34" t="str">
        <f t="shared" si="136"/>
        <v/>
      </c>
      <c r="K822" s="49"/>
      <c r="L822" s="55" t="str">
        <f t="shared" si="137"/>
        <v/>
      </c>
      <c r="M822" s="54" t="str">
        <f t="shared" si="138"/>
        <v/>
      </c>
      <c r="N822" s="30"/>
      <c r="O822" s="31"/>
      <c r="P822" s="53"/>
      <c r="Q822" s="33"/>
      <c r="R822" s="54" t="str">
        <f t="shared" si="139"/>
        <v/>
      </c>
      <c r="S822" s="30"/>
      <c r="T822" s="33"/>
    </row>
    <row r="823" spans="1:20" x14ac:dyDescent="0.25">
      <c r="A823" s="30"/>
      <c r="B823" s="37" t="str">
        <f t="shared" si="130"/>
        <v/>
      </c>
      <c r="C823" s="30"/>
      <c r="D823" s="34" t="str">
        <f t="shared" si="131"/>
        <v/>
      </c>
      <c r="E823" s="34" t="str">
        <f t="shared" si="132"/>
        <v/>
      </c>
      <c r="F823" s="34" t="str">
        <f t="shared" si="133"/>
        <v/>
      </c>
      <c r="G823" s="35" t="str">
        <f t="shared" si="134"/>
        <v/>
      </c>
      <c r="H823" s="30"/>
      <c r="I823" s="36" t="str">
        <f t="shared" si="135"/>
        <v/>
      </c>
      <c r="J823" s="34" t="str">
        <f t="shared" si="136"/>
        <v/>
      </c>
      <c r="K823" s="49"/>
      <c r="L823" s="55" t="str">
        <f t="shared" si="137"/>
        <v/>
      </c>
      <c r="M823" s="54" t="str">
        <f t="shared" si="138"/>
        <v/>
      </c>
      <c r="N823" s="30"/>
      <c r="O823" s="31"/>
      <c r="P823" s="53"/>
      <c r="Q823" s="33"/>
      <c r="R823" s="54" t="str">
        <f t="shared" si="139"/>
        <v/>
      </c>
      <c r="S823" s="30"/>
      <c r="T823" s="33"/>
    </row>
    <row r="824" spans="1:20" x14ac:dyDescent="0.25">
      <c r="A824" s="30"/>
      <c r="B824" s="37" t="str">
        <f t="shared" si="130"/>
        <v/>
      </c>
      <c r="C824" s="30"/>
      <c r="D824" s="34" t="str">
        <f t="shared" si="131"/>
        <v/>
      </c>
      <c r="E824" s="34" t="str">
        <f t="shared" si="132"/>
        <v/>
      </c>
      <c r="F824" s="34" t="str">
        <f t="shared" si="133"/>
        <v/>
      </c>
      <c r="G824" s="35" t="str">
        <f t="shared" si="134"/>
        <v/>
      </c>
      <c r="H824" s="30"/>
      <c r="I824" s="36" t="str">
        <f t="shared" si="135"/>
        <v/>
      </c>
      <c r="J824" s="34" t="str">
        <f t="shared" si="136"/>
        <v/>
      </c>
      <c r="K824" s="49"/>
      <c r="L824" s="55" t="str">
        <f t="shared" si="137"/>
        <v/>
      </c>
      <c r="M824" s="54" t="str">
        <f t="shared" si="138"/>
        <v/>
      </c>
      <c r="N824" s="30"/>
      <c r="O824" s="31"/>
      <c r="P824" s="53"/>
      <c r="Q824" s="33"/>
      <c r="R824" s="54" t="str">
        <f t="shared" si="139"/>
        <v/>
      </c>
      <c r="S824" s="30"/>
      <c r="T824" s="33"/>
    </row>
    <row r="825" spans="1:20" x14ac:dyDescent="0.25">
      <c r="A825" s="30"/>
      <c r="B825" s="37" t="str">
        <f t="shared" si="130"/>
        <v/>
      </c>
      <c r="C825" s="30"/>
      <c r="D825" s="34" t="str">
        <f t="shared" si="131"/>
        <v/>
      </c>
      <c r="E825" s="34" t="str">
        <f t="shared" si="132"/>
        <v/>
      </c>
      <c r="F825" s="34" t="str">
        <f t="shared" si="133"/>
        <v/>
      </c>
      <c r="G825" s="35" t="str">
        <f t="shared" si="134"/>
        <v/>
      </c>
      <c r="H825" s="30"/>
      <c r="I825" s="36" t="str">
        <f t="shared" si="135"/>
        <v/>
      </c>
      <c r="J825" s="34" t="str">
        <f t="shared" si="136"/>
        <v/>
      </c>
      <c r="K825" s="49"/>
      <c r="L825" s="55" t="str">
        <f t="shared" si="137"/>
        <v/>
      </c>
      <c r="M825" s="54" t="str">
        <f t="shared" si="138"/>
        <v/>
      </c>
      <c r="N825" s="30"/>
      <c r="O825" s="31"/>
      <c r="P825" s="53"/>
      <c r="Q825" s="33"/>
      <c r="R825" s="54" t="str">
        <f t="shared" si="139"/>
        <v/>
      </c>
      <c r="S825" s="30"/>
      <c r="T825" s="33"/>
    </row>
    <row r="826" spans="1:20" x14ac:dyDescent="0.25">
      <c r="A826" s="30"/>
      <c r="B826" s="37" t="str">
        <f t="shared" si="130"/>
        <v/>
      </c>
      <c r="C826" s="30"/>
      <c r="D826" s="34" t="str">
        <f t="shared" si="131"/>
        <v/>
      </c>
      <c r="E826" s="34" t="str">
        <f t="shared" si="132"/>
        <v/>
      </c>
      <c r="F826" s="34" t="str">
        <f t="shared" si="133"/>
        <v/>
      </c>
      <c r="G826" s="35" t="str">
        <f t="shared" si="134"/>
        <v/>
      </c>
      <c r="H826" s="30"/>
      <c r="I826" s="36" t="str">
        <f t="shared" si="135"/>
        <v/>
      </c>
      <c r="J826" s="34" t="str">
        <f t="shared" si="136"/>
        <v/>
      </c>
      <c r="K826" s="49"/>
      <c r="L826" s="55" t="str">
        <f t="shared" si="137"/>
        <v/>
      </c>
      <c r="M826" s="54" t="str">
        <f t="shared" si="138"/>
        <v/>
      </c>
      <c r="N826" s="30"/>
      <c r="O826" s="31"/>
      <c r="P826" s="53"/>
      <c r="Q826" s="33"/>
      <c r="R826" s="54" t="str">
        <f t="shared" si="139"/>
        <v/>
      </c>
      <c r="S826" s="30"/>
      <c r="T826" s="33"/>
    </row>
    <row r="827" spans="1:20" x14ac:dyDescent="0.25">
      <c r="A827" s="30"/>
      <c r="B827" s="37" t="str">
        <f t="shared" si="130"/>
        <v/>
      </c>
      <c r="C827" s="30"/>
      <c r="D827" s="34" t="str">
        <f t="shared" si="131"/>
        <v/>
      </c>
      <c r="E827" s="34" t="str">
        <f t="shared" si="132"/>
        <v/>
      </c>
      <c r="F827" s="34" t="str">
        <f t="shared" si="133"/>
        <v/>
      </c>
      <c r="G827" s="35" t="str">
        <f t="shared" si="134"/>
        <v/>
      </c>
      <c r="H827" s="30"/>
      <c r="I827" s="36" t="str">
        <f t="shared" si="135"/>
        <v/>
      </c>
      <c r="J827" s="34" t="str">
        <f t="shared" si="136"/>
        <v/>
      </c>
      <c r="K827" s="49"/>
      <c r="L827" s="55" t="str">
        <f t="shared" si="137"/>
        <v/>
      </c>
      <c r="M827" s="54" t="str">
        <f t="shared" si="138"/>
        <v/>
      </c>
      <c r="N827" s="30"/>
      <c r="O827" s="31"/>
      <c r="P827" s="53"/>
      <c r="Q827" s="33"/>
      <c r="R827" s="54" t="str">
        <f t="shared" si="139"/>
        <v/>
      </c>
      <c r="S827" s="30"/>
      <c r="T827" s="33"/>
    </row>
    <row r="828" spans="1:20" x14ac:dyDescent="0.25">
      <c r="A828" s="30"/>
      <c r="B828" s="37" t="str">
        <f t="shared" si="130"/>
        <v/>
      </c>
      <c r="C828" s="30"/>
      <c r="D828" s="34" t="str">
        <f t="shared" si="131"/>
        <v/>
      </c>
      <c r="E828" s="34" t="str">
        <f t="shared" si="132"/>
        <v/>
      </c>
      <c r="F828" s="34" t="str">
        <f t="shared" si="133"/>
        <v/>
      </c>
      <c r="G828" s="35" t="str">
        <f t="shared" si="134"/>
        <v/>
      </c>
      <c r="H828" s="30"/>
      <c r="I828" s="36" t="str">
        <f t="shared" si="135"/>
        <v/>
      </c>
      <c r="J828" s="34" t="str">
        <f t="shared" si="136"/>
        <v/>
      </c>
      <c r="K828" s="49"/>
      <c r="L828" s="55" t="str">
        <f t="shared" si="137"/>
        <v/>
      </c>
      <c r="M828" s="54" t="str">
        <f t="shared" si="138"/>
        <v/>
      </c>
      <c r="N828" s="30"/>
      <c r="O828" s="31"/>
      <c r="P828" s="53"/>
      <c r="Q828" s="33"/>
      <c r="R828" s="54" t="str">
        <f t="shared" si="139"/>
        <v/>
      </c>
      <c r="S828" s="30"/>
      <c r="T828" s="33"/>
    </row>
    <row r="829" spans="1:20" x14ac:dyDescent="0.25">
      <c r="A829" s="30"/>
      <c r="B829" s="37" t="str">
        <f t="shared" si="130"/>
        <v/>
      </c>
      <c r="C829" s="30"/>
      <c r="D829" s="34" t="str">
        <f t="shared" si="131"/>
        <v/>
      </c>
      <c r="E829" s="34" t="str">
        <f t="shared" si="132"/>
        <v/>
      </c>
      <c r="F829" s="34" t="str">
        <f t="shared" si="133"/>
        <v/>
      </c>
      <c r="G829" s="35" t="str">
        <f t="shared" si="134"/>
        <v/>
      </c>
      <c r="H829" s="30"/>
      <c r="I829" s="36" t="str">
        <f t="shared" si="135"/>
        <v/>
      </c>
      <c r="J829" s="34" t="str">
        <f t="shared" si="136"/>
        <v/>
      </c>
      <c r="K829" s="49"/>
      <c r="L829" s="55" t="str">
        <f t="shared" si="137"/>
        <v/>
      </c>
      <c r="M829" s="54" t="str">
        <f t="shared" si="138"/>
        <v/>
      </c>
      <c r="N829" s="30"/>
      <c r="O829" s="31"/>
      <c r="P829" s="53"/>
      <c r="Q829" s="33"/>
      <c r="R829" s="54" t="str">
        <f t="shared" si="139"/>
        <v/>
      </c>
      <c r="S829" s="30"/>
      <c r="T829" s="33"/>
    </row>
    <row r="830" spans="1:20" x14ac:dyDescent="0.25">
      <c r="A830" s="30"/>
      <c r="B830" s="37" t="str">
        <f t="shared" si="130"/>
        <v/>
      </c>
      <c r="C830" s="30"/>
      <c r="D830" s="34" t="str">
        <f t="shared" si="131"/>
        <v/>
      </c>
      <c r="E830" s="34" t="str">
        <f t="shared" si="132"/>
        <v/>
      </c>
      <c r="F830" s="34" t="str">
        <f t="shared" si="133"/>
        <v/>
      </c>
      <c r="G830" s="35" t="str">
        <f t="shared" si="134"/>
        <v/>
      </c>
      <c r="H830" s="30"/>
      <c r="I830" s="36" t="str">
        <f t="shared" si="135"/>
        <v/>
      </c>
      <c r="J830" s="34" t="str">
        <f t="shared" si="136"/>
        <v/>
      </c>
      <c r="K830" s="49"/>
      <c r="L830" s="55" t="str">
        <f t="shared" si="137"/>
        <v/>
      </c>
      <c r="M830" s="54" t="str">
        <f t="shared" si="138"/>
        <v/>
      </c>
      <c r="N830" s="30"/>
      <c r="O830" s="31"/>
      <c r="P830" s="53"/>
      <c r="Q830" s="33"/>
      <c r="R830" s="54" t="str">
        <f t="shared" si="139"/>
        <v/>
      </c>
      <c r="S830" s="30"/>
      <c r="T830" s="33"/>
    </row>
    <row r="831" spans="1:20" x14ac:dyDescent="0.25">
      <c r="A831" s="30"/>
      <c r="B831" s="37" t="str">
        <f t="shared" si="130"/>
        <v/>
      </c>
      <c r="C831" s="30"/>
      <c r="D831" s="34" t="str">
        <f t="shared" si="131"/>
        <v/>
      </c>
      <c r="E831" s="34" t="str">
        <f t="shared" si="132"/>
        <v/>
      </c>
      <c r="F831" s="34" t="str">
        <f t="shared" si="133"/>
        <v/>
      </c>
      <c r="G831" s="35" t="str">
        <f t="shared" si="134"/>
        <v/>
      </c>
      <c r="H831" s="30"/>
      <c r="I831" s="36" t="str">
        <f t="shared" si="135"/>
        <v/>
      </c>
      <c r="J831" s="34" t="str">
        <f t="shared" si="136"/>
        <v/>
      </c>
      <c r="K831" s="49"/>
      <c r="L831" s="55" t="str">
        <f t="shared" si="137"/>
        <v/>
      </c>
      <c r="M831" s="54" t="str">
        <f t="shared" si="138"/>
        <v/>
      </c>
      <c r="N831" s="30"/>
      <c r="O831" s="31"/>
      <c r="P831" s="53"/>
      <c r="Q831" s="33"/>
      <c r="R831" s="54" t="str">
        <f t="shared" si="139"/>
        <v/>
      </c>
      <c r="S831" s="30"/>
      <c r="T831" s="33"/>
    </row>
    <row r="832" spans="1:20" x14ac:dyDescent="0.25">
      <c r="A832" s="30"/>
      <c r="B832" s="37" t="str">
        <f t="shared" si="130"/>
        <v/>
      </c>
      <c r="C832" s="30"/>
      <c r="D832" s="34" t="str">
        <f t="shared" si="131"/>
        <v/>
      </c>
      <c r="E832" s="34" t="str">
        <f t="shared" si="132"/>
        <v/>
      </c>
      <c r="F832" s="34" t="str">
        <f t="shared" si="133"/>
        <v/>
      </c>
      <c r="G832" s="35" t="str">
        <f t="shared" si="134"/>
        <v/>
      </c>
      <c r="H832" s="30"/>
      <c r="I832" s="36" t="str">
        <f t="shared" si="135"/>
        <v/>
      </c>
      <c r="J832" s="34" t="str">
        <f t="shared" si="136"/>
        <v/>
      </c>
      <c r="K832" s="49"/>
      <c r="L832" s="55" t="str">
        <f t="shared" si="137"/>
        <v/>
      </c>
      <c r="M832" s="54" t="str">
        <f t="shared" si="138"/>
        <v/>
      </c>
      <c r="N832" s="30"/>
      <c r="O832" s="31"/>
      <c r="P832" s="53"/>
      <c r="Q832" s="33"/>
      <c r="R832" s="54" t="str">
        <f t="shared" si="139"/>
        <v/>
      </c>
      <c r="S832" s="30"/>
      <c r="T832" s="33"/>
    </row>
    <row r="833" spans="1:20" x14ac:dyDescent="0.25">
      <c r="A833" s="30"/>
      <c r="B833" s="37" t="str">
        <f t="shared" si="130"/>
        <v/>
      </c>
      <c r="C833" s="30"/>
      <c r="D833" s="34" t="str">
        <f t="shared" si="131"/>
        <v/>
      </c>
      <c r="E833" s="34" t="str">
        <f t="shared" si="132"/>
        <v/>
      </c>
      <c r="F833" s="34" t="str">
        <f t="shared" si="133"/>
        <v/>
      </c>
      <c r="G833" s="35" t="str">
        <f t="shared" si="134"/>
        <v/>
      </c>
      <c r="H833" s="30"/>
      <c r="I833" s="36" t="str">
        <f t="shared" si="135"/>
        <v/>
      </c>
      <c r="J833" s="34" t="str">
        <f t="shared" si="136"/>
        <v/>
      </c>
      <c r="K833" s="49"/>
      <c r="L833" s="55" t="str">
        <f t="shared" si="137"/>
        <v/>
      </c>
      <c r="M833" s="54" t="str">
        <f t="shared" si="138"/>
        <v/>
      </c>
      <c r="N833" s="30"/>
      <c r="O833" s="31"/>
      <c r="P833" s="53"/>
      <c r="Q833" s="33"/>
      <c r="R833" s="54" t="str">
        <f t="shared" si="139"/>
        <v/>
      </c>
      <c r="S833" s="30"/>
      <c r="T833" s="33"/>
    </row>
    <row r="834" spans="1:20" x14ac:dyDescent="0.25">
      <c r="A834" s="30"/>
      <c r="B834" s="37" t="str">
        <f t="shared" si="130"/>
        <v/>
      </c>
      <c r="C834" s="30"/>
      <c r="D834" s="34" t="str">
        <f t="shared" si="131"/>
        <v/>
      </c>
      <c r="E834" s="34" t="str">
        <f t="shared" si="132"/>
        <v/>
      </c>
      <c r="F834" s="34" t="str">
        <f t="shared" si="133"/>
        <v/>
      </c>
      <c r="G834" s="35" t="str">
        <f t="shared" si="134"/>
        <v/>
      </c>
      <c r="H834" s="30"/>
      <c r="I834" s="36" t="str">
        <f t="shared" si="135"/>
        <v/>
      </c>
      <c r="J834" s="34" t="str">
        <f t="shared" si="136"/>
        <v/>
      </c>
      <c r="K834" s="49"/>
      <c r="L834" s="55" t="str">
        <f t="shared" si="137"/>
        <v/>
      </c>
      <c r="M834" s="54" t="str">
        <f t="shared" si="138"/>
        <v/>
      </c>
      <c r="N834" s="30"/>
      <c r="O834" s="31"/>
      <c r="P834" s="53"/>
      <c r="Q834" s="33"/>
      <c r="R834" s="54" t="str">
        <f t="shared" si="139"/>
        <v/>
      </c>
      <c r="S834" s="30"/>
      <c r="T834" s="33"/>
    </row>
    <row r="835" spans="1:20" x14ac:dyDescent="0.25">
      <c r="A835" s="30"/>
      <c r="B835" s="37" t="str">
        <f t="shared" si="130"/>
        <v/>
      </c>
      <c r="C835" s="30"/>
      <c r="D835" s="34" t="str">
        <f t="shared" si="131"/>
        <v/>
      </c>
      <c r="E835" s="34" t="str">
        <f t="shared" si="132"/>
        <v/>
      </c>
      <c r="F835" s="34" t="str">
        <f t="shared" si="133"/>
        <v/>
      </c>
      <c r="G835" s="35" t="str">
        <f t="shared" si="134"/>
        <v/>
      </c>
      <c r="H835" s="30"/>
      <c r="I835" s="36" t="str">
        <f t="shared" si="135"/>
        <v/>
      </c>
      <c r="J835" s="34" t="str">
        <f t="shared" si="136"/>
        <v/>
      </c>
      <c r="K835" s="49"/>
      <c r="L835" s="55" t="str">
        <f t="shared" si="137"/>
        <v/>
      </c>
      <c r="M835" s="54" t="str">
        <f t="shared" si="138"/>
        <v/>
      </c>
      <c r="N835" s="30"/>
      <c r="O835" s="31"/>
      <c r="P835" s="53"/>
      <c r="Q835" s="33"/>
      <c r="R835" s="54" t="str">
        <f t="shared" si="139"/>
        <v/>
      </c>
      <c r="S835" s="30"/>
      <c r="T835" s="33"/>
    </row>
    <row r="836" spans="1:20" x14ac:dyDescent="0.25">
      <c r="A836" s="30"/>
      <c r="B836" s="37" t="str">
        <f t="shared" si="130"/>
        <v/>
      </c>
      <c r="C836" s="30"/>
      <c r="D836" s="34" t="str">
        <f t="shared" si="131"/>
        <v/>
      </c>
      <c r="E836" s="34" t="str">
        <f t="shared" si="132"/>
        <v/>
      </c>
      <c r="F836" s="34" t="str">
        <f t="shared" si="133"/>
        <v/>
      </c>
      <c r="G836" s="35" t="str">
        <f t="shared" si="134"/>
        <v/>
      </c>
      <c r="H836" s="30"/>
      <c r="I836" s="36" t="str">
        <f t="shared" si="135"/>
        <v/>
      </c>
      <c r="J836" s="34" t="str">
        <f t="shared" si="136"/>
        <v/>
      </c>
      <c r="K836" s="49"/>
      <c r="L836" s="55" t="str">
        <f t="shared" si="137"/>
        <v/>
      </c>
      <c r="M836" s="54" t="str">
        <f t="shared" si="138"/>
        <v/>
      </c>
      <c r="N836" s="30"/>
      <c r="O836" s="31"/>
      <c r="P836" s="53"/>
      <c r="Q836" s="33"/>
      <c r="R836" s="54" t="str">
        <f t="shared" si="139"/>
        <v/>
      </c>
      <c r="S836" s="30"/>
      <c r="T836" s="33"/>
    </row>
    <row r="837" spans="1:20" x14ac:dyDescent="0.25">
      <c r="A837" s="30"/>
      <c r="B837" s="37" t="str">
        <f t="shared" si="130"/>
        <v/>
      </c>
      <c r="C837" s="30"/>
      <c r="D837" s="34" t="str">
        <f t="shared" si="131"/>
        <v/>
      </c>
      <c r="E837" s="34" t="str">
        <f t="shared" si="132"/>
        <v/>
      </c>
      <c r="F837" s="34" t="str">
        <f t="shared" si="133"/>
        <v/>
      </c>
      <c r="G837" s="35" t="str">
        <f t="shared" si="134"/>
        <v/>
      </c>
      <c r="H837" s="30"/>
      <c r="I837" s="36" t="str">
        <f t="shared" si="135"/>
        <v/>
      </c>
      <c r="J837" s="34" t="str">
        <f t="shared" si="136"/>
        <v/>
      </c>
      <c r="K837" s="49"/>
      <c r="L837" s="55" t="str">
        <f t="shared" si="137"/>
        <v/>
      </c>
      <c r="M837" s="54" t="str">
        <f t="shared" si="138"/>
        <v/>
      </c>
      <c r="N837" s="30"/>
      <c r="O837" s="31"/>
      <c r="P837" s="53"/>
      <c r="Q837" s="33"/>
      <c r="R837" s="54" t="str">
        <f t="shared" si="139"/>
        <v/>
      </c>
      <c r="S837" s="30"/>
      <c r="T837" s="33"/>
    </row>
    <row r="838" spans="1:20" x14ac:dyDescent="0.25">
      <c r="A838" s="30"/>
      <c r="B838" s="37" t="str">
        <f t="shared" si="130"/>
        <v/>
      </c>
      <c r="C838" s="30"/>
      <c r="D838" s="34" t="str">
        <f t="shared" si="131"/>
        <v/>
      </c>
      <c r="E838" s="34" t="str">
        <f t="shared" si="132"/>
        <v/>
      </c>
      <c r="F838" s="34" t="str">
        <f t="shared" si="133"/>
        <v/>
      </c>
      <c r="G838" s="35" t="str">
        <f t="shared" si="134"/>
        <v/>
      </c>
      <c r="H838" s="30"/>
      <c r="I838" s="36" t="str">
        <f t="shared" si="135"/>
        <v/>
      </c>
      <c r="J838" s="34" t="str">
        <f t="shared" si="136"/>
        <v/>
      </c>
      <c r="K838" s="49"/>
      <c r="L838" s="55" t="str">
        <f t="shared" si="137"/>
        <v/>
      </c>
      <c r="M838" s="54" t="str">
        <f t="shared" si="138"/>
        <v/>
      </c>
      <c r="N838" s="30"/>
      <c r="O838" s="31"/>
      <c r="P838" s="53"/>
      <c r="Q838" s="33"/>
      <c r="R838" s="54" t="str">
        <f t="shared" si="139"/>
        <v/>
      </c>
      <c r="S838" s="30"/>
      <c r="T838" s="33"/>
    </row>
    <row r="839" spans="1:20" x14ac:dyDescent="0.25">
      <c r="A839" s="30"/>
      <c r="B839" s="37" t="str">
        <f t="shared" si="130"/>
        <v/>
      </c>
      <c r="C839" s="30"/>
      <c r="D839" s="34" t="str">
        <f t="shared" si="131"/>
        <v/>
      </c>
      <c r="E839" s="34" t="str">
        <f t="shared" si="132"/>
        <v/>
      </c>
      <c r="F839" s="34" t="str">
        <f t="shared" si="133"/>
        <v/>
      </c>
      <c r="G839" s="35" t="str">
        <f t="shared" si="134"/>
        <v/>
      </c>
      <c r="H839" s="30"/>
      <c r="I839" s="36" t="str">
        <f t="shared" si="135"/>
        <v/>
      </c>
      <c r="J839" s="34" t="str">
        <f t="shared" si="136"/>
        <v/>
      </c>
      <c r="K839" s="49"/>
      <c r="L839" s="55" t="str">
        <f t="shared" si="137"/>
        <v/>
      </c>
      <c r="M839" s="54" t="str">
        <f t="shared" si="138"/>
        <v/>
      </c>
      <c r="N839" s="30"/>
      <c r="O839" s="31"/>
      <c r="P839" s="53"/>
      <c r="Q839" s="33"/>
      <c r="R839" s="54" t="str">
        <f t="shared" si="139"/>
        <v/>
      </c>
      <c r="S839" s="30"/>
      <c r="T839" s="33"/>
    </row>
    <row r="840" spans="1:20" x14ac:dyDescent="0.25">
      <c r="A840" s="30"/>
      <c r="B840" s="37" t="str">
        <f t="shared" si="130"/>
        <v/>
      </c>
      <c r="C840" s="30"/>
      <c r="D840" s="34" t="str">
        <f t="shared" si="131"/>
        <v/>
      </c>
      <c r="E840" s="34" t="str">
        <f t="shared" si="132"/>
        <v/>
      </c>
      <c r="F840" s="34" t="str">
        <f t="shared" si="133"/>
        <v/>
      </c>
      <c r="G840" s="35" t="str">
        <f t="shared" si="134"/>
        <v/>
      </c>
      <c r="H840" s="30"/>
      <c r="I840" s="36" t="str">
        <f t="shared" si="135"/>
        <v/>
      </c>
      <c r="J840" s="34" t="str">
        <f t="shared" si="136"/>
        <v/>
      </c>
      <c r="K840" s="49"/>
      <c r="L840" s="55" t="str">
        <f t="shared" si="137"/>
        <v/>
      </c>
      <c r="M840" s="54" t="str">
        <f t="shared" si="138"/>
        <v/>
      </c>
      <c r="N840" s="30"/>
      <c r="O840" s="31"/>
      <c r="P840" s="53"/>
      <c r="Q840" s="33"/>
      <c r="R840" s="54" t="str">
        <f t="shared" si="139"/>
        <v/>
      </c>
      <c r="S840" s="30"/>
      <c r="T840" s="33"/>
    </row>
    <row r="841" spans="1:20" x14ac:dyDescent="0.25">
      <c r="A841" s="30"/>
      <c r="B841" s="37" t="str">
        <f t="shared" si="130"/>
        <v/>
      </c>
      <c r="C841" s="30"/>
      <c r="D841" s="34" t="str">
        <f t="shared" si="131"/>
        <v/>
      </c>
      <c r="E841" s="34" t="str">
        <f t="shared" si="132"/>
        <v/>
      </c>
      <c r="F841" s="34" t="str">
        <f t="shared" si="133"/>
        <v/>
      </c>
      <c r="G841" s="35" t="str">
        <f t="shared" si="134"/>
        <v/>
      </c>
      <c r="H841" s="30"/>
      <c r="I841" s="36" t="str">
        <f t="shared" si="135"/>
        <v/>
      </c>
      <c r="J841" s="34" t="str">
        <f t="shared" si="136"/>
        <v/>
      </c>
      <c r="K841" s="49"/>
      <c r="L841" s="55" t="str">
        <f t="shared" si="137"/>
        <v/>
      </c>
      <c r="M841" s="54" t="str">
        <f t="shared" si="138"/>
        <v/>
      </c>
      <c r="N841" s="30"/>
      <c r="O841" s="31"/>
      <c r="P841" s="53"/>
      <c r="Q841" s="33"/>
      <c r="R841" s="54" t="str">
        <f t="shared" si="139"/>
        <v/>
      </c>
      <c r="S841" s="30"/>
      <c r="T841" s="33"/>
    </row>
    <row r="842" spans="1:20" x14ac:dyDescent="0.25">
      <c r="A842" s="30"/>
      <c r="B842" s="37" t="str">
        <f t="shared" si="130"/>
        <v/>
      </c>
      <c r="C842" s="30"/>
      <c r="D842" s="34" t="str">
        <f t="shared" si="131"/>
        <v/>
      </c>
      <c r="E842" s="34" t="str">
        <f t="shared" si="132"/>
        <v/>
      </c>
      <c r="F842" s="34" t="str">
        <f t="shared" si="133"/>
        <v/>
      </c>
      <c r="G842" s="35" t="str">
        <f t="shared" si="134"/>
        <v/>
      </c>
      <c r="H842" s="30"/>
      <c r="I842" s="36" t="str">
        <f t="shared" si="135"/>
        <v/>
      </c>
      <c r="J842" s="34" t="str">
        <f t="shared" si="136"/>
        <v/>
      </c>
      <c r="K842" s="49"/>
      <c r="L842" s="55" t="str">
        <f t="shared" si="137"/>
        <v/>
      </c>
      <c r="M842" s="54" t="str">
        <f t="shared" si="138"/>
        <v/>
      </c>
      <c r="N842" s="30"/>
      <c r="O842" s="31"/>
      <c r="P842" s="53"/>
      <c r="Q842" s="33"/>
      <c r="R842" s="54" t="str">
        <f t="shared" si="139"/>
        <v/>
      </c>
      <c r="S842" s="30"/>
      <c r="T842" s="33"/>
    </row>
    <row r="843" spans="1:20" x14ac:dyDescent="0.25">
      <c r="A843" s="30"/>
      <c r="B843" s="37" t="str">
        <f t="shared" si="130"/>
        <v/>
      </c>
      <c r="C843" s="30"/>
      <c r="D843" s="34" t="str">
        <f t="shared" si="131"/>
        <v/>
      </c>
      <c r="E843" s="34" t="str">
        <f t="shared" si="132"/>
        <v/>
      </c>
      <c r="F843" s="34" t="str">
        <f t="shared" si="133"/>
        <v/>
      </c>
      <c r="G843" s="35" t="str">
        <f t="shared" si="134"/>
        <v/>
      </c>
      <c r="H843" s="30"/>
      <c r="I843" s="36" t="str">
        <f t="shared" si="135"/>
        <v/>
      </c>
      <c r="J843" s="34" t="str">
        <f t="shared" si="136"/>
        <v/>
      </c>
      <c r="K843" s="49"/>
      <c r="L843" s="55" t="str">
        <f t="shared" si="137"/>
        <v/>
      </c>
      <c r="M843" s="54" t="str">
        <f t="shared" si="138"/>
        <v/>
      </c>
      <c r="N843" s="30"/>
      <c r="O843" s="31"/>
      <c r="P843" s="53"/>
      <c r="Q843" s="33"/>
      <c r="R843" s="54" t="str">
        <f t="shared" si="139"/>
        <v/>
      </c>
      <c r="S843" s="30"/>
      <c r="T843" s="33"/>
    </row>
    <row r="844" spans="1:20" x14ac:dyDescent="0.25">
      <c r="A844" s="30"/>
      <c r="B844" s="37" t="str">
        <f t="shared" si="130"/>
        <v/>
      </c>
      <c r="C844" s="30"/>
      <c r="D844" s="34" t="str">
        <f t="shared" si="131"/>
        <v/>
      </c>
      <c r="E844" s="34" t="str">
        <f t="shared" si="132"/>
        <v/>
      </c>
      <c r="F844" s="34" t="str">
        <f t="shared" si="133"/>
        <v/>
      </c>
      <c r="G844" s="35" t="str">
        <f t="shared" si="134"/>
        <v/>
      </c>
      <c r="H844" s="30"/>
      <c r="I844" s="36" t="str">
        <f t="shared" si="135"/>
        <v/>
      </c>
      <c r="J844" s="34" t="str">
        <f t="shared" si="136"/>
        <v/>
      </c>
      <c r="K844" s="49"/>
      <c r="L844" s="55" t="str">
        <f t="shared" si="137"/>
        <v/>
      </c>
      <c r="M844" s="54" t="str">
        <f t="shared" si="138"/>
        <v/>
      </c>
      <c r="N844" s="30"/>
      <c r="O844" s="31"/>
      <c r="P844" s="53"/>
      <c r="Q844" s="33"/>
      <c r="R844" s="54" t="str">
        <f t="shared" si="139"/>
        <v/>
      </c>
      <c r="S844" s="30"/>
      <c r="T844" s="33"/>
    </row>
    <row r="845" spans="1:20" x14ac:dyDescent="0.25">
      <c r="A845" s="30"/>
      <c r="B845" s="37" t="str">
        <f t="shared" si="130"/>
        <v/>
      </c>
      <c r="C845" s="30"/>
      <c r="D845" s="34" t="str">
        <f t="shared" si="131"/>
        <v/>
      </c>
      <c r="E845" s="34" t="str">
        <f t="shared" si="132"/>
        <v/>
      </c>
      <c r="F845" s="34" t="str">
        <f t="shared" si="133"/>
        <v/>
      </c>
      <c r="G845" s="35" t="str">
        <f t="shared" si="134"/>
        <v/>
      </c>
      <c r="H845" s="30"/>
      <c r="I845" s="36" t="str">
        <f t="shared" si="135"/>
        <v/>
      </c>
      <c r="J845" s="34" t="str">
        <f t="shared" si="136"/>
        <v/>
      </c>
      <c r="K845" s="49"/>
      <c r="L845" s="55" t="str">
        <f t="shared" si="137"/>
        <v/>
      </c>
      <c r="M845" s="54" t="str">
        <f t="shared" si="138"/>
        <v/>
      </c>
      <c r="N845" s="30"/>
      <c r="O845" s="31"/>
      <c r="P845" s="53"/>
      <c r="Q845" s="33"/>
      <c r="R845" s="54" t="str">
        <f t="shared" si="139"/>
        <v/>
      </c>
      <c r="S845" s="30"/>
      <c r="T845" s="33"/>
    </row>
    <row r="846" spans="1:20" x14ac:dyDescent="0.25">
      <c r="A846" s="30"/>
      <c r="B846" s="37" t="str">
        <f t="shared" si="130"/>
        <v/>
      </c>
      <c r="C846" s="30"/>
      <c r="D846" s="34" t="str">
        <f t="shared" si="131"/>
        <v/>
      </c>
      <c r="E846" s="34" t="str">
        <f t="shared" si="132"/>
        <v/>
      </c>
      <c r="F846" s="34" t="str">
        <f t="shared" si="133"/>
        <v/>
      </c>
      <c r="G846" s="35" t="str">
        <f t="shared" si="134"/>
        <v/>
      </c>
      <c r="H846" s="30"/>
      <c r="I846" s="36" t="str">
        <f t="shared" si="135"/>
        <v/>
      </c>
      <c r="J846" s="34" t="str">
        <f t="shared" si="136"/>
        <v/>
      </c>
      <c r="K846" s="49"/>
      <c r="L846" s="55" t="str">
        <f t="shared" si="137"/>
        <v/>
      </c>
      <c r="M846" s="54" t="str">
        <f t="shared" si="138"/>
        <v/>
      </c>
      <c r="N846" s="30"/>
      <c r="O846" s="31"/>
      <c r="P846" s="53"/>
      <c r="Q846" s="33"/>
      <c r="R846" s="54" t="str">
        <f t="shared" si="139"/>
        <v/>
      </c>
      <c r="S846" s="30"/>
      <c r="T846" s="33"/>
    </row>
    <row r="847" spans="1:20" x14ac:dyDescent="0.25">
      <c r="A847" s="30"/>
      <c r="B847" s="37" t="str">
        <f t="shared" si="130"/>
        <v/>
      </c>
      <c r="C847" s="30"/>
      <c r="D847" s="34" t="str">
        <f t="shared" si="131"/>
        <v/>
      </c>
      <c r="E847" s="34" t="str">
        <f t="shared" si="132"/>
        <v/>
      </c>
      <c r="F847" s="34" t="str">
        <f t="shared" si="133"/>
        <v/>
      </c>
      <c r="G847" s="35" t="str">
        <f t="shared" si="134"/>
        <v/>
      </c>
      <c r="H847" s="30"/>
      <c r="I847" s="36" t="str">
        <f t="shared" si="135"/>
        <v/>
      </c>
      <c r="J847" s="34" t="str">
        <f t="shared" si="136"/>
        <v/>
      </c>
      <c r="K847" s="49"/>
      <c r="L847" s="55" t="str">
        <f t="shared" si="137"/>
        <v/>
      </c>
      <c r="M847" s="54" t="str">
        <f t="shared" si="138"/>
        <v/>
      </c>
      <c r="N847" s="30"/>
      <c r="O847" s="31"/>
      <c r="P847" s="53"/>
      <c r="Q847" s="33"/>
      <c r="R847" s="54" t="str">
        <f t="shared" si="139"/>
        <v/>
      </c>
      <c r="S847" s="30"/>
      <c r="T847" s="33"/>
    </row>
    <row r="848" spans="1:20" x14ac:dyDescent="0.25">
      <c r="A848" s="30"/>
      <c r="B848" s="37" t="str">
        <f t="shared" si="130"/>
        <v/>
      </c>
      <c r="C848" s="30"/>
      <c r="D848" s="34" t="str">
        <f t="shared" si="131"/>
        <v/>
      </c>
      <c r="E848" s="34" t="str">
        <f t="shared" si="132"/>
        <v/>
      </c>
      <c r="F848" s="34" t="str">
        <f t="shared" si="133"/>
        <v/>
      </c>
      <c r="G848" s="35" t="str">
        <f t="shared" si="134"/>
        <v/>
      </c>
      <c r="H848" s="30"/>
      <c r="I848" s="36" t="str">
        <f t="shared" si="135"/>
        <v/>
      </c>
      <c r="J848" s="34" t="str">
        <f t="shared" si="136"/>
        <v/>
      </c>
      <c r="K848" s="49"/>
      <c r="L848" s="55" t="str">
        <f t="shared" si="137"/>
        <v/>
      </c>
      <c r="M848" s="54" t="str">
        <f t="shared" si="138"/>
        <v/>
      </c>
      <c r="N848" s="30"/>
      <c r="O848" s="31"/>
      <c r="P848" s="53"/>
      <c r="Q848" s="33"/>
      <c r="R848" s="54" t="str">
        <f t="shared" si="139"/>
        <v/>
      </c>
      <c r="S848" s="30"/>
      <c r="T848" s="33"/>
    </row>
    <row r="849" spans="1:20" x14ac:dyDescent="0.25">
      <c r="A849" s="30"/>
      <c r="B849" s="37" t="str">
        <f t="shared" si="130"/>
        <v/>
      </c>
      <c r="C849" s="30"/>
      <c r="D849" s="34" t="str">
        <f t="shared" si="131"/>
        <v/>
      </c>
      <c r="E849" s="34" t="str">
        <f t="shared" si="132"/>
        <v/>
      </c>
      <c r="F849" s="34" t="str">
        <f t="shared" si="133"/>
        <v/>
      </c>
      <c r="G849" s="35" t="str">
        <f t="shared" si="134"/>
        <v/>
      </c>
      <c r="H849" s="30"/>
      <c r="I849" s="36" t="str">
        <f t="shared" si="135"/>
        <v/>
      </c>
      <c r="J849" s="34" t="str">
        <f t="shared" si="136"/>
        <v/>
      </c>
      <c r="K849" s="49"/>
      <c r="L849" s="55" t="str">
        <f t="shared" si="137"/>
        <v/>
      </c>
      <c r="M849" s="54" t="str">
        <f t="shared" si="138"/>
        <v/>
      </c>
      <c r="N849" s="30"/>
      <c r="O849" s="31"/>
      <c r="P849" s="53"/>
      <c r="Q849" s="33"/>
      <c r="R849" s="54" t="str">
        <f t="shared" si="139"/>
        <v/>
      </c>
      <c r="S849" s="30"/>
      <c r="T849" s="33"/>
    </row>
    <row r="850" spans="1:20" x14ac:dyDescent="0.25">
      <c r="A850" s="30"/>
      <c r="B850" s="37" t="str">
        <f t="shared" si="130"/>
        <v/>
      </c>
      <c r="C850" s="30"/>
      <c r="D850" s="34" t="str">
        <f t="shared" si="131"/>
        <v/>
      </c>
      <c r="E850" s="34" t="str">
        <f t="shared" si="132"/>
        <v/>
      </c>
      <c r="F850" s="34" t="str">
        <f t="shared" si="133"/>
        <v/>
      </c>
      <c r="G850" s="35" t="str">
        <f t="shared" si="134"/>
        <v/>
      </c>
      <c r="H850" s="30"/>
      <c r="I850" s="36" t="str">
        <f t="shared" si="135"/>
        <v/>
      </c>
      <c r="J850" s="34" t="str">
        <f t="shared" si="136"/>
        <v/>
      </c>
      <c r="K850" s="49"/>
      <c r="L850" s="55" t="str">
        <f t="shared" si="137"/>
        <v/>
      </c>
      <c r="M850" s="54" t="str">
        <f t="shared" si="138"/>
        <v/>
      </c>
      <c r="N850" s="30"/>
      <c r="O850" s="31"/>
      <c r="P850" s="53"/>
      <c r="Q850" s="33"/>
      <c r="R850" s="54" t="str">
        <f t="shared" si="139"/>
        <v/>
      </c>
      <c r="S850" s="30"/>
      <c r="T850" s="33"/>
    </row>
    <row r="851" spans="1:20" x14ac:dyDescent="0.25">
      <c r="A851" s="30"/>
      <c r="B851" s="37" t="str">
        <f t="shared" si="130"/>
        <v/>
      </c>
      <c r="C851" s="30"/>
      <c r="D851" s="34" t="str">
        <f t="shared" si="131"/>
        <v/>
      </c>
      <c r="E851" s="34" t="str">
        <f t="shared" si="132"/>
        <v/>
      </c>
      <c r="F851" s="34" t="str">
        <f t="shared" si="133"/>
        <v/>
      </c>
      <c r="G851" s="35" t="str">
        <f t="shared" si="134"/>
        <v/>
      </c>
      <c r="H851" s="30"/>
      <c r="I851" s="36" t="str">
        <f t="shared" si="135"/>
        <v/>
      </c>
      <c r="J851" s="34" t="str">
        <f t="shared" si="136"/>
        <v/>
      </c>
      <c r="K851" s="49"/>
      <c r="L851" s="55" t="str">
        <f t="shared" si="137"/>
        <v/>
      </c>
      <c r="M851" s="54" t="str">
        <f t="shared" si="138"/>
        <v/>
      </c>
      <c r="N851" s="30"/>
      <c r="O851" s="31"/>
      <c r="P851" s="53"/>
      <c r="Q851" s="33"/>
      <c r="R851" s="54" t="str">
        <f t="shared" si="139"/>
        <v/>
      </c>
      <c r="S851" s="30"/>
      <c r="T851" s="33"/>
    </row>
    <row r="852" spans="1:20" x14ac:dyDescent="0.25">
      <c r="A852" s="30"/>
      <c r="B852" s="37" t="str">
        <f t="shared" si="130"/>
        <v/>
      </c>
      <c r="C852" s="30"/>
      <c r="D852" s="34" t="str">
        <f t="shared" si="131"/>
        <v/>
      </c>
      <c r="E852" s="34" t="str">
        <f t="shared" si="132"/>
        <v/>
      </c>
      <c r="F852" s="34" t="str">
        <f t="shared" si="133"/>
        <v/>
      </c>
      <c r="G852" s="35" t="str">
        <f t="shared" si="134"/>
        <v/>
      </c>
      <c r="H852" s="30"/>
      <c r="I852" s="36" t="str">
        <f t="shared" si="135"/>
        <v/>
      </c>
      <c r="J852" s="34" t="str">
        <f t="shared" si="136"/>
        <v/>
      </c>
      <c r="K852" s="49"/>
      <c r="L852" s="55" t="str">
        <f t="shared" si="137"/>
        <v/>
      </c>
      <c r="M852" s="54" t="str">
        <f t="shared" si="138"/>
        <v/>
      </c>
      <c r="N852" s="30"/>
      <c r="O852" s="31"/>
      <c r="P852" s="53"/>
      <c r="Q852" s="33"/>
      <c r="R852" s="54" t="str">
        <f t="shared" si="139"/>
        <v/>
      </c>
      <c r="S852" s="30"/>
      <c r="T852" s="33"/>
    </row>
    <row r="853" spans="1:20" x14ac:dyDescent="0.25">
      <c r="A853" s="30"/>
      <c r="B853" s="37" t="str">
        <f t="shared" si="130"/>
        <v/>
      </c>
      <c r="C853" s="30"/>
      <c r="D853" s="34" t="str">
        <f t="shared" si="131"/>
        <v/>
      </c>
      <c r="E853" s="34" t="str">
        <f t="shared" si="132"/>
        <v/>
      </c>
      <c r="F853" s="34" t="str">
        <f t="shared" si="133"/>
        <v/>
      </c>
      <c r="G853" s="35" t="str">
        <f t="shared" si="134"/>
        <v/>
      </c>
      <c r="H853" s="30"/>
      <c r="I853" s="36" t="str">
        <f t="shared" si="135"/>
        <v/>
      </c>
      <c r="J853" s="34" t="str">
        <f t="shared" si="136"/>
        <v/>
      </c>
      <c r="K853" s="49"/>
      <c r="L853" s="55" t="str">
        <f t="shared" si="137"/>
        <v/>
      </c>
      <c r="M853" s="54" t="str">
        <f t="shared" si="138"/>
        <v/>
      </c>
      <c r="N853" s="30"/>
      <c r="O853" s="31"/>
      <c r="P853" s="53"/>
      <c r="Q853" s="33"/>
      <c r="R853" s="54" t="str">
        <f t="shared" si="139"/>
        <v/>
      </c>
      <c r="S853" s="30"/>
      <c r="T853" s="33"/>
    </row>
    <row r="854" spans="1:20" x14ac:dyDescent="0.25">
      <c r="A854" s="30"/>
      <c r="B854" s="37" t="str">
        <f t="shared" si="130"/>
        <v/>
      </c>
      <c r="C854" s="30"/>
      <c r="D854" s="34" t="str">
        <f t="shared" si="131"/>
        <v/>
      </c>
      <c r="E854" s="34" t="str">
        <f t="shared" si="132"/>
        <v/>
      </c>
      <c r="F854" s="34" t="str">
        <f t="shared" si="133"/>
        <v/>
      </c>
      <c r="G854" s="35" t="str">
        <f t="shared" si="134"/>
        <v/>
      </c>
      <c r="H854" s="30"/>
      <c r="I854" s="36" t="str">
        <f t="shared" si="135"/>
        <v/>
      </c>
      <c r="J854" s="34" t="str">
        <f t="shared" si="136"/>
        <v/>
      </c>
      <c r="K854" s="49"/>
      <c r="L854" s="55" t="str">
        <f t="shared" si="137"/>
        <v/>
      </c>
      <c r="M854" s="54" t="str">
        <f t="shared" si="138"/>
        <v/>
      </c>
      <c r="N854" s="30"/>
      <c r="O854" s="31"/>
      <c r="P854" s="53"/>
      <c r="Q854" s="33"/>
      <c r="R854" s="54" t="str">
        <f t="shared" si="139"/>
        <v/>
      </c>
      <c r="S854" s="30"/>
      <c r="T854" s="33"/>
    </row>
    <row r="855" spans="1:20" x14ac:dyDescent="0.25">
      <c r="A855" s="30"/>
      <c r="B855" s="37" t="str">
        <f t="shared" si="130"/>
        <v/>
      </c>
      <c r="C855" s="30"/>
      <c r="D855" s="34" t="str">
        <f t="shared" si="131"/>
        <v/>
      </c>
      <c r="E855" s="34" t="str">
        <f t="shared" si="132"/>
        <v/>
      </c>
      <c r="F855" s="34" t="str">
        <f t="shared" si="133"/>
        <v/>
      </c>
      <c r="G855" s="35" t="str">
        <f t="shared" si="134"/>
        <v/>
      </c>
      <c r="H855" s="30"/>
      <c r="I855" s="36" t="str">
        <f t="shared" si="135"/>
        <v/>
      </c>
      <c r="J855" s="34" t="str">
        <f t="shared" si="136"/>
        <v/>
      </c>
      <c r="K855" s="49"/>
      <c r="L855" s="55" t="str">
        <f t="shared" si="137"/>
        <v/>
      </c>
      <c r="M855" s="54" t="str">
        <f t="shared" si="138"/>
        <v/>
      </c>
      <c r="N855" s="30"/>
      <c r="O855" s="31"/>
      <c r="P855" s="53"/>
      <c r="Q855" s="33"/>
      <c r="R855" s="54" t="str">
        <f t="shared" si="139"/>
        <v/>
      </c>
      <c r="S855" s="30"/>
      <c r="T855" s="33"/>
    </row>
    <row r="856" spans="1:20" x14ac:dyDescent="0.25">
      <c r="A856" s="30"/>
      <c r="B856" s="37" t="str">
        <f t="shared" si="130"/>
        <v/>
      </c>
      <c r="C856" s="30"/>
      <c r="D856" s="34" t="str">
        <f t="shared" si="131"/>
        <v/>
      </c>
      <c r="E856" s="34" t="str">
        <f t="shared" si="132"/>
        <v/>
      </c>
      <c r="F856" s="34" t="str">
        <f t="shared" si="133"/>
        <v/>
      </c>
      <c r="G856" s="35" t="str">
        <f t="shared" si="134"/>
        <v/>
      </c>
      <c r="H856" s="30"/>
      <c r="I856" s="36" t="str">
        <f t="shared" si="135"/>
        <v/>
      </c>
      <c r="J856" s="34" t="str">
        <f t="shared" si="136"/>
        <v/>
      </c>
      <c r="K856" s="49"/>
      <c r="L856" s="55" t="str">
        <f t="shared" si="137"/>
        <v/>
      </c>
      <c r="M856" s="54" t="str">
        <f t="shared" si="138"/>
        <v/>
      </c>
      <c r="N856" s="30"/>
      <c r="O856" s="31"/>
      <c r="P856" s="53"/>
      <c r="Q856" s="33"/>
      <c r="R856" s="54" t="str">
        <f t="shared" si="139"/>
        <v/>
      </c>
      <c r="S856" s="30"/>
      <c r="T856" s="33"/>
    </row>
    <row r="857" spans="1:20" x14ac:dyDescent="0.25">
      <c r="A857" s="30"/>
      <c r="B857" s="37" t="str">
        <f t="shared" si="130"/>
        <v/>
      </c>
      <c r="C857" s="30"/>
      <c r="D857" s="34" t="str">
        <f t="shared" si="131"/>
        <v/>
      </c>
      <c r="E857" s="34" t="str">
        <f t="shared" si="132"/>
        <v/>
      </c>
      <c r="F857" s="34" t="str">
        <f t="shared" si="133"/>
        <v/>
      </c>
      <c r="G857" s="35" t="str">
        <f t="shared" si="134"/>
        <v/>
      </c>
      <c r="H857" s="30"/>
      <c r="I857" s="36" t="str">
        <f t="shared" si="135"/>
        <v/>
      </c>
      <c r="J857" s="34" t="str">
        <f t="shared" si="136"/>
        <v/>
      </c>
      <c r="K857" s="49"/>
      <c r="L857" s="55" t="str">
        <f t="shared" si="137"/>
        <v/>
      </c>
      <c r="M857" s="54" t="str">
        <f t="shared" si="138"/>
        <v/>
      </c>
      <c r="N857" s="30"/>
      <c r="O857" s="31"/>
      <c r="P857" s="53"/>
      <c r="Q857" s="33"/>
      <c r="R857" s="54" t="str">
        <f t="shared" si="139"/>
        <v/>
      </c>
      <c r="S857" s="30"/>
      <c r="T857" s="33"/>
    </row>
    <row r="858" spans="1:20" x14ac:dyDescent="0.25">
      <c r="A858" s="30"/>
      <c r="B858" s="37" t="str">
        <f t="shared" si="130"/>
        <v/>
      </c>
      <c r="C858" s="30"/>
      <c r="D858" s="34" t="str">
        <f t="shared" si="131"/>
        <v/>
      </c>
      <c r="E858" s="34" t="str">
        <f t="shared" si="132"/>
        <v/>
      </c>
      <c r="F858" s="34" t="str">
        <f t="shared" si="133"/>
        <v/>
      </c>
      <c r="G858" s="35" t="str">
        <f t="shared" si="134"/>
        <v/>
      </c>
      <c r="H858" s="30"/>
      <c r="I858" s="36" t="str">
        <f t="shared" si="135"/>
        <v/>
      </c>
      <c r="J858" s="34" t="str">
        <f t="shared" si="136"/>
        <v/>
      </c>
      <c r="K858" s="49"/>
      <c r="L858" s="55" t="str">
        <f t="shared" si="137"/>
        <v/>
      </c>
      <c r="M858" s="54" t="str">
        <f t="shared" si="138"/>
        <v/>
      </c>
      <c r="N858" s="30"/>
      <c r="O858" s="31"/>
      <c r="P858" s="53"/>
      <c r="Q858" s="33"/>
      <c r="R858" s="54" t="str">
        <f t="shared" si="139"/>
        <v/>
      </c>
      <c r="S858" s="30"/>
      <c r="T858" s="33"/>
    </row>
    <row r="859" spans="1:20" x14ac:dyDescent="0.25">
      <c r="A859" s="30"/>
      <c r="B859" s="37" t="str">
        <f t="shared" si="130"/>
        <v/>
      </c>
      <c r="C859" s="30"/>
      <c r="D859" s="34" t="str">
        <f t="shared" si="131"/>
        <v/>
      </c>
      <c r="E859" s="34" t="str">
        <f t="shared" si="132"/>
        <v/>
      </c>
      <c r="F859" s="34" t="str">
        <f t="shared" si="133"/>
        <v/>
      </c>
      <c r="G859" s="35" t="str">
        <f t="shared" si="134"/>
        <v/>
      </c>
      <c r="H859" s="30"/>
      <c r="I859" s="36" t="str">
        <f t="shared" si="135"/>
        <v/>
      </c>
      <c r="J859" s="34" t="str">
        <f t="shared" si="136"/>
        <v/>
      </c>
      <c r="K859" s="49"/>
      <c r="L859" s="55" t="str">
        <f t="shared" si="137"/>
        <v/>
      </c>
      <c r="M859" s="54" t="str">
        <f t="shared" si="138"/>
        <v/>
      </c>
      <c r="N859" s="30"/>
      <c r="O859" s="31"/>
      <c r="P859" s="53"/>
      <c r="Q859" s="33"/>
      <c r="R859" s="54" t="str">
        <f t="shared" si="139"/>
        <v/>
      </c>
      <c r="S859" s="30"/>
      <c r="T859" s="33"/>
    </row>
    <row r="860" spans="1:20" x14ac:dyDescent="0.25">
      <c r="A860" s="30"/>
      <c r="B860" s="37" t="str">
        <f t="shared" si="130"/>
        <v/>
      </c>
      <c r="C860" s="30"/>
      <c r="D860" s="34" t="str">
        <f t="shared" si="131"/>
        <v/>
      </c>
      <c r="E860" s="34" t="str">
        <f t="shared" si="132"/>
        <v/>
      </c>
      <c r="F860" s="34" t="str">
        <f t="shared" si="133"/>
        <v/>
      </c>
      <c r="G860" s="35" t="str">
        <f t="shared" si="134"/>
        <v/>
      </c>
      <c r="H860" s="30"/>
      <c r="I860" s="36" t="str">
        <f t="shared" si="135"/>
        <v/>
      </c>
      <c r="J860" s="34" t="str">
        <f t="shared" si="136"/>
        <v/>
      </c>
      <c r="K860" s="49"/>
      <c r="L860" s="55" t="str">
        <f t="shared" si="137"/>
        <v/>
      </c>
      <c r="M860" s="54" t="str">
        <f t="shared" si="138"/>
        <v/>
      </c>
      <c r="N860" s="30"/>
      <c r="O860" s="31"/>
      <c r="P860" s="53"/>
      <c r="Q860" s="33"/>
      <c r="R860" s="54" t="str">
        <f t="shared" si="139"/>
        <v/>
      </c>
      <c r="S860" s="30"/>
      <c r="T860" s="33"/>
    </row>
    <row r="861" spans="1:20" x14ac:dyDescent="0.25">
      <c r="A861" s="30"/>
      <c r="B861" s="37" t="str">
        <f t="shared" si="130"/>
        <v/>
      </c>
      <c r="C861" s="30"/>
      <c r="D861" s="34" t="str">
        <f t="shared" si="131"/>
        <v/>
      </c>
      <c r="E861" s="34" t="str">
        <f t="shared" si="132"/>
        <v/>
      </c>
      <c r="F861" s="34" t="str">
        <f t="shared" si="133"/>
        <v/>
      </c>
      <c r="G861" s="35" t="str">
        <f t="shared" si="134"/>
        <v/>
      </c>
      <c r="H861" s="30"/>
      <c r="I861" s="36" t="str">
        <f t="shared" si="135"/>
        <v/>
      </c>
      <c r="J861" s="34" t="str">
        <f t="shared" si="136"/>
        <v/>
      </c>
      <c r="K861" s="49"/>
      <c r="L861" s="55" t="str">
        <f t="shared" si="137"/>
        <v/>
      </c>
      <c r="M861" s="54" t="str">
        <f t="shared" si="138"/>
        <v/>
      </c>
      <c r="N861" s="30"/>
      <c r="O861" s="31"/>
      <c r="P861" s="53"/>
      <c r="Q861" s="33"/>
      <c r="R861" s="54" t="str">
        <f t="shared" si="139"/>
        <v/>
      </c>
      <c r="S861" s="30"/>
      <c r="T861" s="33"/>
    </row>
    <row r="862" spans="1:20" x14ac:dyDescent="0.25">
      <c r="A862" s="30"/>
      <c r="B862" s="37" t="str">
        <f t="shared" si="130"/>
        <v/>
      </c>
      <c r="C862" s="30"/>
      <c r="D862" s="34" t="str">
        <f t="shared" si="131"/>
        <v/>
      </c>
      <c r="E862" s="34" t="str">
        <f t="shared" si="132"/>
        <v/>
      </c>
      <c r="F862" s="34" t="str">
        <f t="shared" si="133"/>
        <v/>
      </c>
      <c r="G862" s="35" t="str">
        <f t="shared" si="134"/>
        <v/>
      </c>
      <c r="H862" s="30"/>
      <c r="I862" s="36" t="str">
        <f t="shared" si="135"/>
        <v/>
      </c>
      <c r="J862" s="34" t="str">
        <f t="shared" si="136"/>
        <v/>
      </c>
      <c r="K862" s="49"/>
      <c r="L862" s="55" t="str">
        <f t="shared" si="137"/>
        <v/>
      </c>
      <c r="M862" s="54" t="str">
        <f t="shared" si="138"/>
        <v/>
      </c>
      <c r="N862" s="30"/>
      <c r="O862" s="31"/>
      <c r="P862" s="53"/>
      <c r="Q862" s="33"/>
      <c r="R862" s="54" t="str">
        <f t="shared" si="139"/>
        <v/>
      </c>
      <c r="S862" s="30"/>
      <c r="T862" s="33"/>
    </row>
    <row r="863" spans="1:20" x14ac:dyDescent="0.25">
      <c r="A863" s="30"/>
      <c r="B863" s="37" t="str">
        <f t="shared" si="130"/>
        <v/>
      </c>
      <c r="C863" s="30"/>
      <c r="D863" s="34" t="str">
        <f t="shared" si="131"/>
        <v/>
      </c>
      <c r="E863" s="34" t="str">
        <f t="shared" si="132"/>
        <v/>
      </c>
      <c r="F863" s="34" t="str">
        <f t="shared" si="133"/>
        <v/>
      </c>
      <c r="G863" s="35" t="str">
        <f t="shared" si="134"/>
        <v/>
      </c>
      <c r="H863" s="30"/>
      <c r="I863" s="36" t="str">
        <f t="shared" si="135"/>
        <v/>
      </c>
      <c r="J863" s="34" t="str">
        <f t="shared" si="136"/>
        <v/>
      </c>
      <c r="K863" s="49"/>
      <c r="L863" s="55" t="str">
        <f t="shared" si="137"/>
        <v/>
      </c>
      <c r="M863" s="54" t="str">
        <f t="shared" si="138"/>
        <v/>
      </c>
      <c r="N863" s="30"/>
      <c r="O863" s="31"/>
      <c r="P863" s="53"/>
      <c r="Q863" s="33"/>
      <c r="R863" s="54" t="str">
        <f t="shared" si="139"/>
        <v/>
      </c>
      <c r="S863" s="30"/>
      <c r="T863" s="33"/>
    </row>
    <row r="864" spans="1:20" x14ac:dyDescent="0.25">
      <c r="A864" s="30"/>
      <c r="B864" s="37" t="str">
        <f t="shared" si="130"/>
        <v/>
      </c>
      <c r="C864" s="30"/>
      <c r="D864" s="34" t="str">
        <f t="shared" si="131"/>
        <v/>
      </c>
      <c r="E864" s="34" t="str">
        <f t="shared" si="132"/>
        <v/>
      </c>
      <c r="F864" s="34" t="str">
        <f t="shared" si="133"/>
        <v/>
      </c>
      <c r="G864" s="35" t="str">
        <f t="shared" si="134"/>
        <v/>
      </c>
      <c r="H864" s="30"/>
      <c r="I864" s="36" t="str">
        <f t="shared" si="135"/>
        <v/>
      </c>
      <c r="J864" s="34" t="str">
        <f t="shared" si="136"/>
        <v/>
      </c>
      <c r="K864" s="49"/>
      <c r="L864" s="55" t="str">
        <f t="shared" si="137"/>
        <v/>
      </c>
      <c r="M864" s="54" t="str">
        <f t="shared" si="138"/>
        <v/>
      </c>
      <c r="N864" s="30"/>
      <c r="O864" s="31"/>
      <c r="P864" s="53"/>
      <c r="Q864" s="33"/>
      <c r="R864" s="54" t="str">
        <f t="shared" si="139"/>
        <v/>
      </c>
      <c r="S864" s="30"/>
      <c r="T864" s="33"/>
    </row>
    <row r="865" spans="1:20" x14ac:dyDescent="0.25">
      <c r="A865" s="30"/>
      <c r="B865" s="37" t="str">
        <f t="shared" si="130"/>
        <v/>
      </c>
      <c r="C865" s="30"/>
      <c r="D865" s="34" t="str">
        <f t="shared" si="131"/>
        <v/>
      </c>
      <c r="E865" s="34" t="str">
        <f t="shared" si="132"/>
        <v/>
      </c>
      <c r="F865" s="34" t="str">
        <f t="shared" si="133"/>
        <v/>
      </c>
      <c r="G865" s="35" t="str">
        <f t="shared" si="134"/>
        <v/>
      </c>
      <c r="H865" s="30"/>
      <c r="I865" s="36" t="str">
        <f t="shared" si="135"/>
        <v/>
      </c>
      <c r="J865" s="34" t="str">
        <f t="shared" si="136"/>
        <v/>
      </c>
      <c r="K865" s="49"/>
      <c r="L865" s="55" t="str">
        <f t="shared" si="137"/>
        <v/>
      </c>
      <c r="M865" s="54" t="str">
        <f t="shared" si="138"/>
        <v/>
      </c>
      <c r="N865" s="30"/>
      <c r="O865" s="31"/>
      <c r="P865" s="53"/>
      <c r="Q865" s="33"/>
      <c r="R865" s="54" t="str">
        <f t="shared" si="139"/>
        <v/>
      </c>
      <c r="S865" s="30"/>
      <c r="T865" s="33"/>
    </row>
    <row r="866" spans="1:20" x14ac:dyDescent="0.25">
      <c r="A866" s="30"/>
      <c r="B866" s="37" t="str">
        <f t="shared" si="130"/>
        <v/>
      </c>
      <c r="C866" s="30"/>
      <c r="D866" s="34" t="str">
        <f t="shared" si="131"/>
        <v/>
      </c>
      <c r="E866" s="34" t="str">
        <f t="shared" si="132"/>
        <v/>
      </c>
      <c r="F866" s="34" t="str">
        <f t="shared" si="133"/>
        <v/>
      </c>
      <c r="G866" s="35" t="str">
        <f t="shared" si="134"/>
        <v/>
      </c>
      <c r="H866" s="30"/>
      <c r="I866" s="36" t="str">
        <f t="shared" si="135"/>
        <v/>
      </c>
      <c r="J866" s="34" t="str">
        <f t="shared" si="136"/>
        <v/>
      </c>
      <c r="K866" s="49"/>
      <c r="L866" s="55" t="str">
        <f t="shared" si="137"/>
        <v/>
      </c>
      <c r="M866" s="54" t="str">
        <f t="shared" si="138"/>
        <v/>
      </c>
      <c r="N866" s="30"/>
      <c r="O866" s="31"/>
      <c r="P866" s="53"/>
      <c r="Q866" s="33"/>
      <c r="R866" s="54" t="str">
        <f t="shared" si="139"/>
        <v/>
      </c>
      <c r="S866" s="30"/>
      <c r="T866" s="33"/>
    </row>
    <row r="867" spans="1:20" x14ac:dyDescent="0.25">
      <c r="A867" s="30"/>
      <c r="B867" s="37" t="str">
        <f t="shared" si="130"/>
        <v/>
      </c>
      <c r="C867" s="30"/>
      <c r="D867" s="34" t="str">
        <f t="shared" si="131"/>
        <v/>
      </c>
      <c r="E867" s="34" t="str">
        <f t="shared" si="132"/>
        <v/>
      </c>
      <c r="F867" s="34" t="str">
        <f t="shared" si="133"/>
        <v/>
      </c>
      <c r="G867" s="35" t="str">
        <f t="shared" si="134"/>
        <v/>
      </c>
      <c r="H867" s="30"/>
      <c r="I867" s="36" t="str">
        <f t="shared" si="135"/>
        <v/>
      </c>
      <c r="J867" s="34" t="str">
        <f t="shared" si="136"/>
        <v/>
      </c>
      <c r="K867" s="49"/>
      <c r="L867" s="55" t="str">
        <f t="shared" si="137"/>
        <v/>
      </c>
      <c r="M867" s="54" t="str">
        <f t="shared" si="138"/>
        <v/>
      </c>
      <c r="N867" s="30"/>
      <c r="O867" s="31"/>
      <c r="P867" s="53"/>
      <c r="Q867" s="33"/>
      <c r="R867" s="54" t="str">
        <f t="shared" si="139"/>
        <v/>
      </c>
      <c r="S867" s="30"/>
      <c r="T867" s="33"/>
    </row>
    <row r="868" spans="1:20" x14ac:dyDescent="0.25">
      <c r="A868" s="30"/>
      <c r="B868" s="37" t="str">
        <f t="shared" si="130"/>
        <v/>
      </c>
      <c r="C868" s="30"/>
      <c r="D868" s="34" t="str">
        <f t="shared" si="131"/>
        <v/>
      </c>
      <c r="E868" s="34" t="str">
        <f t="shared" si="132"/>
        <v/>
      </c>
      <c r="F868" s="34" t="str">
        <f t="shared" si="133"/>
        <v/>
      </c>
      <c r="G868" s="35" t="str">
        <f t="shared" si="134"/>
        <v/>
      </c>
      <c r="H868" s="30"/>
      <c r="I868" s="36" t="str">
        <f t="shared" si="135"/>
        <v/>
      </c>
      <c r="J868" s="34" t="str">
        <f t="shared" si="136"/>
        <v/>
      </c>
      <c r="K868" s="49"/>
      <c r="L868" s="55" t="str">
        <f t="shared" si="137"/>
        <v/>
      </c>
      <c r="M868" s="54" t="str">
        <f t="shared" si="138"/>
        <v/>
      </c>
      <c r="N868" s="30"/>
      <c r="O868" s="31"/>
      <c r="P868" s="53"/>
      <c r="Q868" s="33"/>
      <c r="R868" s="54" t="str">
        <f t="shared" si="139"/>
        <v/>
      </c>
      <c r="S868" s="30"/>
      <c r="T868" s="33"/>
    </row>
    <row r="869" spans="1:20" x14ac:dyDescent="0.25">
      <c r="A869" s="30"/>
      <c r="B869" s="37" t="str">
        <f t="shared" si="130"/>
        <v/>
      </c>
      <c r="C869" s="30"/>
      <c r="D869" s="34" t="str">
        <f t="shared" si="131"/>
        <v/>
      </c>
      <c r="E869" s="34" t="str">
        <f t="shared" si="132"/>
        <v/>
      </c>
      <c r="F869" s="34" t="str">
        <f t="shared" si="133"/>
        <v/>
      </c>
      <c r="G869" s="35" t="str">
        <f t="shared" si="134"/>
        <v/>
      </c>
      <c r="H869" s="30"/>
      <c r="I869" s="36" t="str">
        <f t="shared" si="135"/>
        <v/>
      </c>
      <c r="J869" s="34" t="str">
        <f t="shared" si="136"/>
        <v/>
      </c>
      <c r="K869" s="49"/>
      <c r="L869" s="55" t="str">
        <f t="shared" si="137"/>
        <v/>
      </c>
      <c r="M869" s="54" t="str">
        <f t="shared" si="138"/>
        <v/>
      </c>
      <c r="N869" s="30"/>
      <c r="O869" s="31"/>
      <c r="P869" s="53"/>
      <c r="Q869" s="33"/>
      <c r="R869" s="54" t="str">
        <f t="shared" si="139"/>
        <v/>
      </c>
      <c r="S869" s="30"/>
      <c r="T869" s="33"/>
    </row>
    <row r="870" spans="1:20" x14ac:dyDescent="0.25">
      <c r="A870" s="30"/>
      <c r="B870" s="37" t="str">
        <f t="shared" si="130"/>
        <v/>
      </c>
      <c r="C870" s="30"/>
      <c r="D870" s="34" t="str">
        <f t="shared" si="131"/>
        <v/>
      </c>
      <c r="E870" s="34" t="str">
        <f t="shared" si="132"/>
        <v/>
      </c>
      <c r="F870" s="34" t="str">
        <f t="shared" si="133"/>
        <v/>
      </c>
      <c r="G870" s="35" t="str">
        <f t="shared" si="134"/>
        <v/>
      </c>
      <c r="H870" s="30"/>
      <c r="I870" s="36" t="str">
        <f t="shared" si="135"/>
        <v/>
      </c>
      <c r="J870" s="34" t="str">
        <f t="shared" si="136"/>
        <v/>
      </c>
      <c r="K870" s="49"/>
      <c r="L870" s="55" t="str">
        <f t="shared" si="137"/>
        <v/>
      </c>
      <c r="M870" s="54" t="str">
        <f t="shared" si="138"/>
        <v/>
      </c>
      <c r="N870" s="30"/>
      <c r="O870" s="31"/>
      <c r="P870" s="53"/>
      <c r="Q870" s="33"/>
      <c r="R870" s="54" t="str">
        <f t="shared" si="139"/>
        <v/>
      </c>
      <c r="S870" s="30"/>
      <c r="T870" s="33"/>
    </row>
    <row r="871" spans="1:20" x14ac:dyDescent="0.25">
      <c r="A871" s="30"/>
      <c r="B871" s="37" t="str">
        <f t="shared" si="130"/>
        <v/>
      </c>
      <c r="C871" s="30"/>
      <c r="D871" s="34" t="str">
        <f t="shared" si="131"/>
        <v/>
      </c>
      <c r="E871" s="34" t="str">
        <f t="shared" si="132"/>
        <v/>
      </c>
      <c r="F871" s="34" t="str">
        <f t="shared" si="133"/>
        <v/>
      </c>
      <c r="G871" s="35" t="str">
        <f t="shared" si="134"/>
        <v/>
      </c>
      <c r="H871" s="30"/>
      <c r="I871" s="36" t="str">
        <f t="shared" si="135"/>
        <v/>
      </c>
      <c r="J871" s="34" t="str">
        <f t="shared" si="136"/>
        <v/>
      </c>
      <c r="K871" s="49"/>
      <c r="L871" s="55" t="str">
        <f t="shared" si="137"/>
        <v/>
      </c>
      <c r="M871" s="54" t="str">
        <f t="shared" si="138"/>
        <v/>
      </c>
      <c r="N871" s="30"/>
      <c r="O871" s="31"/>
      <c r="P871" s="53"/>
      <c r="Q871" s="33"/>
      <c r="R871" s="54" t="str">
        <f t="shared" si="139"/>
        <v/>
      </c>
      <c r="S871" s="30"/>
      <c r="T871" s="33"/>
    </row>
    <row r="872" spans="1:20" x14ac:dyDescent="0.25">
      <c r="A872" s="30"/>
      <c r="B872" s="37" t="str">
        <f t="shared" si="130"/>
        <v/>
      </c>
      <c r="C872" s="30"/>
      <c r="D872" s="34" t="str">
        <f t="shared" si="131"/>
        <v/>
      </c>
      <c r="E872" s="34" t="str">
        <f t="shared" si="132"/>
        <v/>
      </c>
      <c r="F872" s="34" t="str">
        <f t="shared" si="133"/>
        <v/>
      </c>
      <c r="G872" s="35" t="str">
        <f t="shared" si="134"/>
        <v/>
      </c>
      <c r="H872" s="30"/>
      <c r="I872" s="36" t="str">
        <f t="shared" si="135"/>
        <v/>
      </c>
      <c r="J872" s="34" t="str">
        <f t="shared" si="136"/>
        <v/>
      </c>
      <c r="K872" s="49"/>
      <c r="L872" s="55" t="str">
        <f t="shared" si="137"/>
        <v/>
      </c>
      <c r="M872" s="54" t="str">
        <f t="shared" si="138"/>
        <v/>
      </c>
      <c r="N872" s="30"/>
      <c r="O872" s="31"/>
      <c r="P872" s="53"/>
      <c r="Q872" s="33"/>
      <c r="R872" s="54" t="str">
        <f t="shared" si="139"/>
        <v/>
      </c>
      <c r="S872" s="30"/>
      <c r="T872" s="33"/>
    </row>
    <row r="873" spans="1:20" x14ac:dyDescent="0.25">
      <c r="A873" s="30"/>
      <c r="B873" s="37" t="str">
        <f t="shared" si="130"/>
        <v/>
      </c>
      <c r="C873" s="30"/>
      <c r="D873" s="34" t="str">
        <f t="shared" si="131"/>
        <v/>
      </c>
      <c r="E873" s="34" t="str">
        <f t="shared" si="132"/>
        <v/>
      </c>
      <c r="F873" s="34" t="str">
        <f t="shared" si="133"/>
        <v/>
      </c>
      <c r="G873" s="35" t="str">
        <f t="shared" si="134"/>
        <v/>
      </c>
      <c r="H873" s="30"/>
      <c r="I873" s="36" t="str">
        <f t="shared" si="135"/>
        <v/>
      </c>
      <c r="J873" s="34" t="str">
        <f t="shared" si="136"/>
        <v/>
      </c>
      <c r="K873" s="49"/>
      <c r="L873" s="55" t="str">
        <f t="shared" si="137"/>
        <v/>
      </c>
      <c r="M873" s="54" t="str">
        <f t="shared" si="138"/>
        <v/>
      </c>
      <c r="N873" s="30"/>
      <c r="O873" s="31"/>
      <c r="P873" s="53"/>
      <c r="Q873" s="33"/>
      <c r="R873" s="54" t="str">
        <f t="shared" si="139"/>
        <v/>
      </c>
      <c r="S873" s="30"/>
      <c r="T873" s="33"/>
    </row>
    <row r="874" spans="1:20" x14ac:dyDescent="0.25">
      <c r="A874" s="30"/>
      <c r="B874" s="37" t="str">
        <f t="shared" si="130"/>
        <v/>
      </c>
      <c r="C874" s="30"/>
      <c r="D874" s="34" t="str">
        <f t="shared" si="131"/>
        <v/>
      </c>
      <c r="E874" s="34" t="str">
        <f t="shared" si="132"/>
        <v/>
      </c>
      <c r="F874" s="34" t="str">
        <f t="shared" si="133"/>
        <v/>
      </c>
      <c r="G874" s="35" t="str">
        <f t="shared" si="134"/>
        <v/>
      </c>
      <c r="H874" s="30"/>
      <c r="I874" s="36" t="str">
        <f t="shared" si="135"/>
        <v/>
      </c>
      <c r="J874" s="34" t="str">
        <f t="shared" si="136"/>
        <v/>
      </c>
      <c r="K874" s="49"/>
      <c r="L874" s="55" t="str">
        <f t="shared" si="137"/>
        <v/>
      </c>
      <c r="M874" s="54" t="str">
        <f t="shared" si="138"/>
        <v/>
      </c>
      <c r="N874" s="30"/>
      <c r="O874" s="31"/>
      <c r="P874" s="53"/>
      <c r="Q874" s="33"/>
      <c r="R874" s="54" t="str">
        <f t="shared" si="139"/>
        <v/>
      </c>
      <c r="S874" s="30"/>
      <c r="T874" s="33"/>
    </row>
    <row r="875" spans="1:20" x14ac:dyDescent="0.25">
      <c r="A875" s="30"/>
      <c r="B875" s="37" t="str">
        <f t="shared" si="130"/>
        <v/>
      </c>
      <c r="C875" s="30"/>
      <c r="D875" s="34" t="str">
        <f t="shared" si="131"/>
        <v/>
      </c>
      <c r="E875" s="34" t="str">
        <f t="shared" si="132"/>
        <v/>
      </c>
      <c r="F875" s="34" t="str">
        <f t="shared" si="133"/>
        <v/>
      </c>
      <c r="G875" s="35" t="str">
        <f t="shared" si="134"/>
        <v/>
      </c>
      <c r="H875" s="30"/>
      <c r="I875" s="36" t="str">
        <f t="shared" si="135"/>
        <v/>
      </c>
      <c r="J875" s="34" t="str">
        <f t="shared" si="136"/>
        <v/>
      </c>
      <c r="K875" s="49"/>
      <c r="L875" s="55" t="str">
        <f t="shared" si="137"/>
        <v/>
      </c>
      <c r="M875" s="54" t="str">
        <f t="shared" si="138"/>
        <v/>
      </c>
      <c r="N875" s="30"/>
      <c r="O875" s="31"/>
      <c r="P875" s="53"/>
      <c r="Q875" s="33"/>
      <c r="R875" s="54" t="str">
        <f t="shared" si="139"/>
        <v/>
      </c>
      <c r="S875" s="30"/>
      <c r="T875" s="33"/>
    </row>
    <row r="876" spans="1:20" x14ac:dyDescent="0.25">
      <c r="A876" s="30"/>
      <c r="B876" s="37" t="str">
        <f t="shared" si="130"/>
        <v/>
      </c>
      <c r="C876" s="30"/>
      <c r="D876" s="34" t="str">
        <f t="shared" si="131"/>
        <v/>
      </c>
      <c r="E876" s="34" t="str">
        <f t="shared" si="132"/>
        <v/>
      </c>
      <c r="F876" s="34" t="str">
        <f t="shared" si="133"/>
        <v/>
      </c>
      <c r="G876" s="35" t="str">
        <f t="shared" si="134"/>
        <v/>
      </c>
      <c r="H876" s="30"/>
      <c r="I876" s="36" t="str">
        <f t="shared" si="135"/>
        <v/>
      </c>
      <c r="J876" s="34" t="str">
        <f t="shared" si="136"/>
        <v/>
      </c>
      <c r="K876" s="49"/>
      <c r="L876" s="55" t="str">
        <f t="shared" si="137"/>
        <v/>
      </c>
      <c r="M876" s="54" t="str">
        <f t="shared" si="138"/>
        <v/>
      </c>
      <c r="N876" s="30"/>
      <c r="O876" s="31"/>
      <c r="P876" s="53"/>
      <c r="Q876" s="33"/>
      <c r="R876" s="54" t="str">
        <f t="shared" si="139"/>
        <v/>
      </c>
      <c r="S876" s="30"/>
      <c r="T876" s="33"/>
    </row>
    <row r="877" spans="1:20" x14ac:dyDescent="0.25">
      <c r="A877" s="30"/>
      <c r="B877" s="37" t="str">
        <f t="shared" si="130"/>
        <v/>
      </c>
      <c r="C877" s="30"/>
      <c r="D877" s="34" t="str">
        <f t="shared" si="131"/>
        <v/>
      </c>
      <c r="E877" s="34" t="str">
        <f t="shared" si="132"/>
        <v/>
      </c>
      <c r="F877" s="34" t="str">
        <f t="shared" si="133"/>
        <v/>
      </c>
      <c r="G877" s="35" t="str">
        <f t="shared" si="134"/>
        <v/>
      </c>
      <c r="H877" s="30"/>
      <c r="I877" s="36" t="str">
        <f t="shared" si="135"/>
        <v/>
      </c>
      <c r="J877" s="34" t="str">
        <f t="shared" si="136"/>
        <v/>
      </c>
      <c r="K877" s="49"/>
      <c r="L877" s="55" t="str">
        <f t="shared" si="137"/>
        <v/>
      </c>
      <c r="M877" s="54" t="str">
        <f t="shared" si="138"/>
        <v/>
      </c>
      <c r="N877" s="30"/>
      <c r="O877" s="31"/>
      <c r="P877" s="53"/>
      <c r="Q877" s="33"/>
      <c r="R877" s="54" t="str">
        <f t="shared" si="139"/>
        <v/>
      </c>
      <c r="S877" s="30"/>
      <c r="T877" s="33"/>
    </row>
    <row r="878" spans="1:20" x14ac:dyDescent="0.25">
      <c r="A878" s="30"/>
      <c r="B878" s="37" t="str">
        <f t="shared" si="130"/>
        <v/>
      </c>
      <c r="C878" s="30"/>
      <c r="D878" s="34" t="str">
        <f t="shared" si="131"/>
        <v/>
      </c>
      <c r="E878" s="34" t="str">
        <f t="shared" si="132"/>
        <v/>
      </c>
      <c r="F878" s="34" t="str">
        <f t="shared" si="133"/>
        <v/>
      </c>
      <c r="G878" s="35" t="str">
        <f t="shared" si="134"/>
        <v/>
      </c>
      <c r="H878" s="30"/>
      <c r="I878" s="36" t="str">
        <f t="shared" si="135"/>
        <v/>
      </c>
      <c r="J878" s="34" t="str">
        <f t="shared" si="136"/>
        <v/>
      </c>
      <c r="K878" s="49"/>
      <c r="L878" s="55" t="str">
        <f t="shared" si="137"/>
        <v/>
      </c>
      <c r="M878" s="54" t="str">
        <f t="shared" si="138"/>
        <v/>
      </c>
      <c r="N878" s="30"/>
      <c r="O878" s="31"/>
      <c r="P878" s="53"/>
      <c r="Q878" s="33"/>
      <c r="R878" s="54" t="str">
        <f t="shared" si="139"/>
        <v/>
      </c>
      <c r="S878" s="30"/>
      <c r="T878" s="33"/>
    </row>
    <row r="879" spans="1:20" x14ac:dyDescent="0.25">
      <c r="A879" s="30"/>
      <c r="B879" s="37" t="str">
        <f t="shared" si="130"/>
        <v/>
      </c>
      <c r="C879" s="30"/>
      <c r="D879" s="34" t="str">
        <f t="shared" si="131"/>
        <v/>
      </c>
      <c r="E879" s="34" t="str">
        <f t="shared" si="132"/>
        <v/>
      </c>
      <c r="F879" s="34" t="str">
        <f t="shared" si="133"/>
        <v/>
      </c>
      <c r="G879" s="35" t="str">
        <f t="shared" si="134"/>
        <v/>
      </c>
      <c r="H879" s="30"/>
      <c r="I879" s="36" t="str">
        <f t="shared" si="135"/>
        <v/>
      </c>
      <c r="J879" s="34" t="str">
        <f t="shared" si="136"/>
        <v/>
      </c>
      <c r="K879" s="49"/>
      <c r="L879" s="55" t="str">
        <f t="shared" si="137"/>
        <v/>
      </c>
      <c r="M879" s="54" t="str">
        <f t="shared" si="138"/>
        <v/>
      </c>
      <c r="N879" s="30"/>
      <c r="O879" s="31"/>
      <c r="P879" s="53"/>
      <c r="Q879" s="33"/>
      <c r="R879" s="54" t="str">
        <f t="shared" si="139"/>
        <v/>
      </c>
      <c r="S879" s="30"/>
      <c r="T879" s="33"/>
    </row>
    <row r="880" spans="1:20" x14ac:dyDescent="0.25">
      <c r="A880" s="30"/>
      <c r="B880" s="37" t="str">
        <f t="shared" si="130"/>
        <v/>
      </c>
      <c r="C880" s="30"/>
      <c r="D880" s="34" t="str">
        <f t="shared" si="131"/>
        <v/>
      </c>
      <c r="E880" s="34" t="str">
        <f t="shared" si="132"/>
        <v/>
      </c>
      <c r="F880" s="34" t="str">
        <f t="shared" si="133"/>
        <v/>
      </c>
      <c r="G880" s="35" t="str">
        <f t="shared" si="134"/>
        <v/>
      </c>
      <c r="H880" s="30"/>
      <c r="I880" s="36" t="str">
        <f t="shared" si="135"/>
        <v/>
      </c>
      <c r="J880" s="34" t="str">
        <f t="shared" si="136"/>
        <v/>
      </c>
      <c r="K880" s="49"/>
      <c r="L880" s="55" t="str">
        <f t="shared" si="137"/>
        <v/>
      </c>
      <c r="M880" s="54" t="str">
        <f t="shared" si="138"/>
        <v/>
      </c>
      <c r="N880" s="30"/>
      <c r="O880" s="31"/>
      <c r="P880" s="53"/>
      <c r="Q880" s="33"/>
      <c r="R880" s="54" t="str">
        <f t="shared" si="139"/>
        <v/>
      </c>
      <c r="S880" s="30"/>
      <c r="T880" s="33"/>
    </row>
    <row r="881" spans="1:20" x14ac:dyDescent="0.25">
      <c r="A881" s="30"/>
      <c r="B881" s="37" t="str">
        <f t="shared" si="130"/>
        <v/>
      </c>
      <c r="C881" s="30"/>
      <c r="D881" s="34" t="str">
        <f t="shared" si="131"/>
        <v/>
      </c>
      <c r="E881" s="34" t="str">
        <f t="shared" si="132"/>
        <v/>
      </c>
      <c r="F881" s="34" t="str">
        <f t="shared" si="133"/>
        <v/>
      </c>
      <c r="G881" s="35" t="str">
        <f t="shared" si="134"/>
        <v/>
      </c>
      <c r="H881" s="30"/>
      <c r="I881" s="36" t="str">
        <f t="shared" si="135"/>
        <v/>
      </c>
      <c r="J881" s="34" t="str">
        <f t="shared" si="136"/>
        <v/>
      </c>
      <c r="K881" s="49"/>
      <c r="L881" s="55" t="str">
        <f t="shared" si="137"/>
        <v/>
      </c>
      <c r="M881" s="54" t="str">
        <f t="shared" si="138"/>
        <v/>
      </c>
      <c r="N881" s="30"/>
      <c r="O881" s="31"/>
      <c r="P881" s="53"/>
      <c r="Q881" s="33"/>
      <c r="R881" s="54" t="str">
        <f t="shared" si="139"/>
        <v/>
      </c>
      <c r="S881" s="30"/>
      <c r="T881" s="33"/>
    </row>
    <row r="882" spans="1:20" x14ac:dyDescent="0.25">
      <c r="A882" s="30"/>
      <c r="B882" s="37" t="str">
        <f t="shared" si="130"/>
        <v/>
      </c>
      <c r="C882" s="30"/>
      <c r="D882" s="34" t="str">
        <f t="shared" si="131"/>
        <v/>
      </c>
      <c r="E882" s="34" t="str">
        <f t="shared" si="132"/>
        <v/>
      </c>
      <c r="F882" s="34" t="str">
        <f t="shared" si="133"/>
        <v/>
      </c>
      <c r="G882" s="35" t="str">
        <f t="shared" si="134"/>
        <v/>
      </c>
      <c r="H882" s="30"/>
      <c r="I882" s="36" t="str">
        <f t="shared" si="135"/>
        <v/>
      </c>
      <c r="J882" s="34" t="str">
        <f t="shared" si="136"/>
        <v/>
      </c>
      <c r="K882" s="49"/>
      <c r="L882" s="55" t="str">
        <f t="shared" si="137"/>
        <v/>
      </c>
      <c r="M882" s="54" t="str">
        <f t="shared" si="138"/>
        <v/>
      </c>
      <c r="N882" s="30"/>
      <c r="O882" s="31"/>
      <c r="P882" s="53"/>
      <c r="Q882" s="33"/>
      <c r="R882" s="54" t="str">
        <f t="shared" si="139"/>
        <v/>
      </c>
      <c r="S882" s="30"/>
      <c r="T882" s="33"/>
    </row>
    <row r="883" spans="1:20" x14ac:dyDescent="0.25">
      <c r="A883" s="30"/>
      <c r="B883" s="37" t="str">
        <f t="shared" si="130"/>
        <v/>
      </c>
      <c r="C883" s="30"/>
      <c r="D883" s="34" t="str">
        <f t="shared" si="131"/>
        <v/>
      </c>
      <c r="E883" s="34" t="str">
        <f t="shared" si="132"/>
        <v/>
      </c>
      <c r="F883" s="34" t="str">
        <f t="shared" si="133"/>
        <v/>
      </c>
      <c r="G883" s="35" t="str">
        <f t="shared" si="134"/>
        <v/>
      </c>
      <c r="H883" s="30"/>
      <c r="I883" s="36" t="str">
        <f t="shared" si="135"/>
        <v/>
      </c>
      <c r="J883" s="34" t="str">
        <f t="shared" si="136"/>
        <v/>
      </c>
      <c r="K883" s="49"/>
      <c r="L883" s="55" t="str">
        <f t="shared" si="137"/>
        <v/>
      </c>
      <c r="M883" s="54" t="str">
        <f t="shared" si="138"/>
        <v/>
      </c>
      <c r="N883" s="30"/>
      <c r="O883" s="31"/>
      <c r="P883" s="53"/>
      <c r="Q883" s="33"/>
      <c r="R883" s="54" t="str">
        <f t="shared" si="139"/>
        <v/>
      </c>
      <c r="S883" s="30"/>
      <c r="T883" s="33"/>
    </row>
    <row r="884" spans="1:20" x14ac:dyDescent="0.25">
      <c r="A884" s="30"/>
      <c r="B884" s="37" t="str">
        <f t="shared" si="130"/>
        <v/>
      </c>
      <c r="C884" s="30"/>
      <c r="D884" s="34" t="str">
        <f t="shared" si="131"/>
        <v/>
      </c>
      <c r="E884" s="34" t="str">
        <f t="shared" si="132"/>
        <v/>
      </c>
      <c r="F884" s="34" t="str">
        <f t="shared" si="133"/>
        <v/>
      </c>
      <c r="G884" s="35" t="str">
        <f t="shared" si="134"/>
        <v/>
      </c>
      <c r="H884" s="30"/>
      <c r="I884" s="36" t="str">
        <f t="shared" si="135"/>
        <v/>
      </c>
      <c r="J884" s="34" t="str">
        <f t="shared" si="136"/>
        <v/>
      </c>
      <c r="K884" s="49"/>
      <c r="L884" s="55" t="str">
        <f t="shared" si="137"/>
        <v/>
      </c>
      <c r="M884" s="54" t="str">
        <f t="shared" si="138"/>
        <v/>
      </c>
      <c r="N884" s="30"/>
      <c r="O884" s="31"/>
      <c r="P884" s="53"/>
      <c r="Q884" s="33"/>
      <c r="R884" s="54" t="str">
        <f t="shared" si="139"/>
        <v/>
      </c>
      <c r="S884" s="30"/>
      <c r="T884" s="33"/>
    </row>
    <row r="885" spans="1:20" x14ac:dyDescent="0.25">
      <c r="A885" s="30"/>
      <c r="B885" s="37" t="str">
        <f t="shared" ref="B885:B948" si="140">IF($G885="","",EOMONTH($G885,0))</f>
        <v/>
      </c>
      <c r="C885" s="30"/>
      <c r="D885" s="34" t="str">
        <f t="shared" ref="D885:D948" si="141">IFERROR(IF($C885="","",VLOOKUP($C885,CAD_TAB,2,FALSE)),"")</f>
        <v/>
      </c>
      <c r="E885" s="34" t="str">
        <f t="shared" ref="E885:E948" si="142">IFERROR(IF($C885="","",VLOOKUP($C885,CAD_TAB,3,FALSE)),"")</f>
        <v/>
      </c>
      <c r="F885" s="34" t="str">
        <f t="shared" ref="F885:F948" si="143">IFERROR(IF($C885="","",VLOOKUP($C885,OS_TAB,7,FALSE)),"")</f>
        <v/>
      </c>
      <c r="G885" s="35" t="str">
        <f t="shared" ref="G885:G948" si="144">IFERROR(IF($C885="","",VLOOKUP($C885,OS_TAB,10,FALSE)),"")</f>
        <v/>
      </c>
      <c r="H885" s="30"/>
      <c r="I885" s="36" t="str">
        <f t="shared" ref="I885:I948" si="145">IFERROR(IF($H885="","",VLOOKUP($H885,PRE_TAB,5,FALSE)),"CÓDIGO NÃO ENCONTRADO")</f>
        <v/>
      </c>
      <c r="J885" s="34" t="str">
        <f t="shared" ref="J885:J948" si="146">IFERROR(IF($H885="","",VLOOKUP($H885,PRE_TAB,7,FALSE)),"")</f>
        <v/>
      </c>
      <c r="K885" s="49"/>
      <c r="L885" s="55" t="str">
        <f t="shared" ref="L885:L948" si="147">IFERROR(IF($H885="","",VLOOKUP($H885,PRE_TAB,8,FALSE)),0)</f>
        <v/>
      </c>
      <c r="M885" s="54" t="str">
        <f t="shared" ref="M885:M948" si="148">IF($H885="","",ROUND($K885*$L885,2))</f>
        <v/>
      </c>
      <c r="N885" s="30"/>
      <c r="O885" s="31"/>
      <c r="P885" s="53"/>
      <c r="Q885" s="33"/>
      <c r="R885" s="54" t="str">
        <f t="shared" ref="R885:R948" si="149">IF($H885="","",$M885-$P885)</f>
        <v/>
      </c>
      <c r="S885" s="30"/>
      <c r="T885" s="33"/>
    </row>
    <row r="886" spans="1:20" x14ac:dyDescent="0.25">
      <c r="A886" s="30"/>
      <c r="B886" s="37" t="str">
        <f t="shared" si="140"/>
        <v/>
      </c>
      <c r="C886" s="30"/>
      <c r="D886" s="34" t="str">
        <f t="shared" si="141"/>
        <v/>
      </c>
      <c r="E886" s="34" t="str">
        <f t="shared" si="142"/>
        <v/>
      </c>
      <c r="F886" s="34" t="str">
        <f t="shared" si="143"/>
        <v/>
      </c>
      <c r="G886" s="35" t="str">
        <f t="shared" si="144"/>
        <v/>
      </c>
      <c r="H886" s="30"/>
      <c r="I886" s="36" t="str">
        <f t="shared" si="145"/>
        <v/>
      </c>
      <c r="J886" s="34" t="str">
        <f t="shared" si="146"/>
        <v/>
      </c>
      <c r="K886" s="49"/>
      <c r="L886" s="55" t="str">
        <f t="shared" si="147"/>
        <v/>
      </c>
      <c r="M886" s="54" t="str">
        <f t="shared" si="148"/>
        <v/>
      </c>
      <c r="N886" s="30"/>
      <c r="O886" s="31"/>
      <c r="P886" s="53"/>
      <c r="Q886" s="33"/>
      <c r="R886" s="54" t="str">
        <f t="shared" si="149"/>
        <v/>
      </c>
      <c r="S886" s="30"/>
      <c r="T886" s="33"/>
    </row>
    <row r="887" spans="1:20" x14ac:dyDescent="0.25">
      <c r="A887" s="30"/>
      <c r="B887" s="37" t="str">
        <f t="shared" si="140"/>
        <v/>
      </c>
      <c r="C887" s="30"/>
      <c r="D887" s="34" t="str">
        <f t="shared" si="141"/>
        <v/>
      </c>
      <c r="E887" s="34" t="str">
        <f t="shared" si="142"/>
        <v/>
      </c>
      <c r="F887" s="34" t="str">
        <f t="shared" si="143"/>
        <v/>
      </c>
      <c r="G887" s="35" t="str">
        <f t="shared" si="144"/>
        <v/>
      </c>
      <c r="H887" s="30"/>
      <c r="I887" s="36" t="str">
        <f t="shared" si="145"/>
        <v/>
      </c>
      <c r="J887" s="34" t="str">
        <f t="shared" si="146"/>
        <v/>
      </c>
      <c r="K887" s="49"/>
      <c r="L887" s="55" t="str">
        <f t="shared" si="147"/>
        <v/>
      </c>
      <c r="M887" s="54" t="str">
        <f t="shared" si="148"/>
        <v/>
      </c>
      <c r="N887" s="30"/>
      <c r="O887" s="31"/>
      <c r="P887" s="53"/>
      <c r="Q887" s="33"/>
      <c r="R887" s="54" t="str">
        <f t="shared" si="149"/>
        <v/>
      </c>
      <c r="S887" s="30"/>
      <c r="T887" s="33"/>
    </row>
    <row r="888" spans="1:20" x14ac:dyDescent="0.25">
      <c r="A888" s="30"/>
      <c r="B888" s="37" t="str">
        <f t="shared" si="140"/>
        <v/>
      </c>
      <c r="C888" s="30"/>
      <c r="D888" s="34" t="str">
        <f t="shared" si="141"/>
        <v/>
      </c>
      <c r="E888" s="34" t="str">
        <f t="shared" si="142"/>
        <v/>
      </c>
      <c r="F888" s="34" t="str">
        <f t="shared" si="143"/>
        <v/>
      </c>
      <c r="G888" s="35" t="str">
        <f t="shared" si="144"/>
        <v/>
      </c>
      <c r="H888" s="30"/>
      <c r="I888" s="36" t="str">
        <f t="shared" si="145"/>
        <v/>
      </c>
      <c r="J888" s="34" t="str">
        <f t="shared" si="146"/>
        <v/>
      </c>
      <c r="K888" s="49"/>
      <c r="L888" s="55" t="str">
        <f t="shared" si="147"/>
        <v/>
      </c>
      <c r="M888" s="54" t="str">
        <f t="shared" si="148"/>
        <v/>
      </c>
      <c r="N888" s="30"/>
      <c r="O888" s="31"/>
      <c r="P888" s="53"/>
      <c r="Q888" s="33"/>
      <c r="R888" s="54" t="str">
        <f t="shared" si="149"/>
        <v/>
      </c>
      <c r="S888" s="30"/>
      <c r="T888" s="33"/>
    </row>
    <row r="889" spans="1:20" x14ac:dyDescent="0.25">
      <c r="A889" s="30"/>
      <c r="B889" s="37" t="str">
        <f t="shared" si="140"/>
        <v/>
      </c>
      <c r="C889" s="30"/>
      <c r="D889" s="34" t="str">
        <f t="shared" si="141"/>
        <v/>
      </c>
      <c r="E889" s="34" t="str">
        <f t="shared" si="142"/>
        <v/>
      </c>
      <c r="F889" s="34" t="str">
        <f t="shared" si="143"/>
        <v/>
      </c>
      <c r="G889" s="35" t="str">
        <f t="shared" si="144"/>
        <v/>
      </c>
      <c r="H889" s="30"/>
      <c r="I889" s="36" t="str">
        <f t="shared" si="145"/>
        <v/>
      </c>
      <c r="J889" s="34" t="str">
        <f t="shared" si="146"/>
        <v/>
      </c>
      <c r="K889" s="49"/>
      <c r="L889" s="55" t="str">
        <f t="shared" si="147"/>
        <v/>
      </c>
      <c r="M889" s="54" t="str">
        <f t="shared" si="148"/>
        <v/>
      </c>
      <c r="N889" s="30"/>
      <c r="O889" s="31"/>
      <c r="P889" s="53"/>
      <c r="Q889" s="33"/>
      <c r="R889" s="54" t="str">
        <f t="shared" si="149"/>
        <v/>
      </c>
      <c r="S889" s="30"/>
      <c r="T889" s="33"/>
    </row>
    <row r="890" spans="1:20" x14ac:dyDescent="0.25">
      <c r="A890" s="30"/>
      <c r="B890" s="37" t="str">
        <f t="shared" si="140"/>
        <v/>
      </c>
      <c r="C890" s="30"/>
      <c r="D890" s="34" t="str">
        <f t="shared" si="141"/>
        <v/>
      </c>
      <c r="E890" s="34" t="str">
        <f t="shared" si="142"/>
        <v/>
      </c>
      <c r="F890" s="34" t="str">
        <f t="shared" si="143"/>
        <v/>
      </c>
      <c r="G890" s="35" t="str">
        <f t="shared" si="144"/>
        <v/>
      </c>
      <c r="H890" s="30"/>
      <c r="I890" s="36" t="str">
        <f t="shared" si="145"/>
        <v/>
      </c>
      <c r="J890" s="34" t="str">
        <f t="shared" si="146"/>
        <v/>
      </c>
      <c r="K890" s="49"/>
      <c r="L890" s="55" t="str">
        <f t="shared" si="147"/>
        <v/>
      </c>
      <c r="M890" s="54" t="str">
        <f t="shared" si="148"/>
        <v/>
      </c>
      <c r="N890" s="30"/>
      <c r="O890" s="31"/>
      <c r="P890" s="53"/>
      <c r="Q890" s="33"/>
      <c r="R890" s="54" t="str">
        <f t="shared" si="149"/>
        <v/>
      </c>
      <c r="S890" s="30"/>
      <c r="T890" s="33"/>
    </row>
    <row r="891" spans="1:20" x14ac:dyDescent="0.25">
      <c r="A891" s="30"/>
      <c r="B891" s="37" t="str">
        <f t="shared" si="140"/>
        <v/>
      </c>
      <c r="C891" s="30"/>
      <c r="D891" s="34" t="str">
        <f t="shared" si="141"/>
        <v/>
      </c>
      <c r="E891" s="34" t="str">
        <f t="shared" si="142"/>
        <v/>
      </c>
      <c r="F891" s="34" t="str">
        <f t="shared" si="143"/>
        <v/>
      </c>
      <c r="G891" s="35" t="str">
        <f t="shared" si="144"/>
        <v/>
      </c>
      <c r="H891" s="30"/>
      <c r="I891" s="36" t="str">
        <f t="shared" si="145"/>
        <v/>
      </c>
      <c r="J891" s="34" t="str">
        <f t="shared" si="146"/>
        <v/>
      </c>
      <c r="K891" s="49"/>
      <c r="L891" s="55" t="str">
        <f t="shared" si="147"/>
        <v/>
      </c>
      <c r="M891" s="54" t="str">
        <f t="shared" si="148"/>
        <v/>
      </c>
      <c r="N891" s="30"/>
      <c r="O891" s="31"/>
      <c r="P891" s="53"/>
      <c r="Q891" s="33"/>
      <c r="R891" s="54" t="str">
        <f t="shared" si="149"/>
        <v/>
      </c>
      <c r="S891" s="30"/>
      <c r="T891" s="33"/>
    </row>
    <row r="892" spans="1:20" x14ac:dyDescent="0.25">
      <c r="A892" s="30"/>
      <c r="B892" s="37" t="str">
        <f t="shared" si="140"/>
        <v/>
      </c>
      <c r="C892" s="30"/>
      <c r="D892" s="34" t="str">
        <f t="shared" si="141"/>
        <v/>
      </c>
      <c r="E892" s="34" t="str">
        <f t="shared" si="142"/>
        <v/>
      </c>
      <c r="F892" s="34" t="str">
        <f t="shared" si="143"/>
        <v/>
      </c>
      <c r="G892" s="35" t="str">
        <f t="shared" si="144"/>
        <v/>
      </c>
      <c r="H892" s="30"/>
      <c r="I892" s="36" t="str">
        <f t="shared" si="145"/>
        <v/>
      </c>
      <c r="J892" s="34" t="str">
        <f t="shared" si="146"/>
        <v/>
      </c>
      <c r="K892" s="49"/>
      <c r="L892" s="55" t="str">
        <f t="shared" si="147"/>
        <v/>
      </c>
      <c r="M892" s="54" t="str">
        <f t="shared" si="148"/>
        <v/>
      </c>
      <c r="N892" s="30"/>
      <c r="O892" s="31"/>
      <c r="P892" s="53"/>
      <c r="Q892" s="33"/>
      <c r="R892" s="54" t="str">
        <f t="shared" si="149"/>
        <v/>
      </c>
      <c r="S892" s="30"/>
      <c r="T892" s="33"/>
    </row>
    <row r="893" spans="1:20" x14ac:dyDescent="0.25">
      <c r="A893" s="30"/>
      <c r="B893" s="37" t="str">
        <f t="shared" si="140"/>
        <v/>
      </c>
      <c r="C893" s="30"/>
      <c r="D893" s="34" t="str">
        <f t="shared" si="141"/>
        <v/>
      </c>
      <c r="E893" s="34" t="str">
        <f t="shared" si="142"/>
        <v/>
      </c>
      <c r="F893" s="34" t="str">
        <f t="shared" si="143"/>
        <v/>
      </c>
      <c r="G893" s="35" t="str">
        <f t="shared" si="144"/>
        <v/>
      </c>
      <c r="H893" s="30"/>
      <c r="I893" s="36" t="str">
        <f t="shared" si="145"/>
        <v/>
      </c>
      <c r="J893" s="34" t="str">
        <f t="shared" si="146"/>
        <v/>
      </c>
      <c r="K893" s="49"/>
      <c r="L893" s="55" t="str">
        <f t="shared" si="147"/>
        <v/>
      </c>
      <c r="M893" s="54" t="str">
        <f t="shared" si="148"/>
        <v/>
      </c>
      <c r="N893" s="30"/>
      <c r="O893" s="31"/>
      <c r="P893" s="53"/>
      <c r="Q893" s="33"/>
      <c r="R893" s="54" t="str">
        <f t="shared" si="149"/>
        <v/>
      </c>
      <c r="S893" s="30"/>
      <c r="T893" s="33"/>
    </row>
    <row r="894" spans="1:20" x14ac:dyDescent="0.25">
      <c r="A894" s="30"/>
      <c r="B894" s="37" t="str">
        <f t="shared" si="140"/>
        <v/>
      </c>
      <c r="C894" s="30"/>
      <c r="D894" s="34" t="str">
        <f t="shared" si="141"/>
        <v/>
      </c>
      <c r="E894" s="34" t="str">
        <f t="shared" si="142"/>
        <v/>
      </c>
      <c r="F894" s="34" t="str">
        <f t="shared" si="143"/>
        <v/>
      </c>
      <c r="G894" s="35" t="str">
        <f t="shared" si="144"/>
        <v/>
      </c>
      <c r="H894" s="30"/>
      <c r="I894" s="36" t="str">
        <f t="shared" si="145"/>
        <v/>
      </c>
      <c r="J894" s="34" t="str">
        <f t="shared" si="146"/>
        <v/>
      </c>
      <c r="K894" s="49"/>
      <c r="L894" s="55" t="str">
        <f t="shared" si="147"/>
        <v/>
      </c>
      <c r="M894" s="54" t="str">
        <f t="shared" si="148"/>
        <v/>
      </c>
      <c r="N894" s="30"/>
      <c r="O894" s="31"/>
      <c r="P894" s="53"/>
      <c r="Q894" s="33"/>
      <c r="R894" s="54" t="str">
        <f t="shared" si="149"/>
        <v/>
      </c>
      <c r="S894" s="30"/>
      <c r="T894" s="33"/>
    </row>
    <row r="895" spans="1:20" x14ac:dyDescent="0.25">
      <c r="A895" s="30"/>
      <c r="B895" s="37" t="str">
        <f t="shared" si="140"/>
        <v/>
      </c>
      <c r="C895" s="30"/>
      <c r="D895" s="34" t="str">
        <f t="shared" si="141"/>
        <v/>
      </c>
      <c r="E895" s="34" t="str">
        <f t="shared" si="142"/>
        <v/>
      </c>
      <c r="F895" s="34" t="str">
        <f t="shared" si="143"/>
        <v/>
      </c>
      <c r="G895" s="35" t="str">
        <f t="shared" si="144"/>
        <v/>
      </c>
      <c r="H895" s="30"/>
      <c r="I895" s="36" t="str">
        <f t="shared" si="145"/>
        <v/>
      </c>
      <c r="J895" s="34" t="str">
        <f t="shared" si="146"/>
        <v/>
      </c>
      <c r="K895" s="49"/>
      <c r="L895" s="55" t="str">
        <f t="shared" si="147"/>
        <v/>
      </c>
      <c r="M895" s="54" t="str">
        <f t="shared" si="148"/>
        <v/>
      </c>
      <c r="N895" s="30"/>
      <c r="O895" s="31"/>
      <c r="P895" s="53"/>
      <c r="Q895" s="33"/>
      <c r="R895" s="54" t="str">
        <f t="shared" si="149"/>
        <v/>
      </c>
      <c r="S895" s="30"/>
      <c r="T895" s="33"/>
    </row>
    <row r="896" spans="1:20" x14ac:dyDescent="0.25">
      <c r="A896" s="30"/>
      <c r="B896" s="37" t="str">
        <f t="shared" si="140"/>
        <v/>
      </c>
      <c r="C896" s="30"/>
      <c r="D896" s="34" t="str">
        <f t="shared" si="141"/>
        <v/>
      </c>
      <c r="E896" s="34" t="str">
        <f t="shared" si="142"/>
        <v/>
      </c>
      <c r="F896" s="34" t="str">
        <f t="shared" si="143"/>
        <v/>
      </c>
      <c r="G896" s="35" t="str">
        <f t="shared" si="144"/>
        <v/>
      </c>
      <c r="H896" s="30"/>
      <c r="I896" s="36" t="str">
        <f t="shared" si="145"/>
        <v/>
      </c>
      <c r="J896" s="34" t="str">
        <f t="shared" si="146"/>
        <v/>
      </c>
      <c r="K896" s="49"/>
      <c r="L896" s="55" t="str">
        <f t="shared" si="147"/>
        <v/>
      </c>
      <c r="M896" s="54" t="str">
        <f t="shared" si="148"/>
        <v/>
      </c>
      <c r="N896" s="30"/>
      <c r="O896" s="31"/>
      <c r="P896" s="53"/>
      <c r="Q896" s="33"/>
      <c r="R896" s="54" t="str">
        <f t="shared" si="149"/>
        <v/>
      </c>
      <c r="S896" s="30"/>
      <c r="T896" s="33"/>
    </row>
    <row r="897" spans="1:20" x14ac:dyDescent="0.25">
      <c r="A897" s="30"/>
      <c r="B897" s="37" t="str">
        <f t="shared" si="140"/>
        <v/>
      </c>
      <c r="C897" s="30"/>
      <c r="D897" s="34" t="str">
        <f t="shared" si="141"/>
        <v/>
      </c>
      <c r="E897" s="34" t="str">
        <f t="shared" si="142"/>
        <v/>
      </c>
      <c r="F897" s="34" t="str">
        <f t="shared" si="143"/>
        <v/>
      </c>
      <c r="G897" s="35" t="str">
        <f t="shared" si="144"/>
        <v/>
      </c>
      <c r="H897" s="30"/>
      <c r="I897" s="36" t="str">
        <f t="shared" si="145"/>
        <v/>
      </c>
      <c r="J897" s="34" t="str">
        <f t="shared" si="146"/>
        <v/>
      </c>
      <c r="K897" s="49"/>
      <c r="L897" s="55" t="str">
        <f t="shared" si="147"/>
        <v/>
      </c>
      <c r="M897" s="54" t="str">
        <f t="shared" si="148"/>
        <v/>
      </c>
      <c r="N897" s="30"/>
      <c r="O897" s="31"/>
      <c r="P897" s="53"/>
      <c r="Q897" s="33"/>
      <c r="R897" s="54" t="str">
        <f t="shared" si="149"/>
        <v/>
      </c>
      <c r="S897" s="30"/>
      <c r="T897" s="33"/>
    </row>
    <row r="898" spans="1:20" x14ac:dyDescent="0.25">
      <c r="A898" s="30"/>
      <c r="B898" s="37" t="str">
        <f t="shared" si="140"/>
        <v/>
      </c>
      <c r="C898" s="30"/>
      <c r="D898" s="34" t="str">
        <f t="shared" si="141"/>
        <v/>
      </c>
      <c r="E898" s="34" t="str">
        <f t="shared" si="142"/>
        <v/>
      </c>
      <c r="F898" s="34" t="str">
        <f t="shared" si="143"/>
        <v/>
      </c>
      <c r="G898" s="35" t="str">
        <f t="shared" si="144"/>
        <v/>
      </c>
      <c r="H898" s="30"/>
      <c r="I898" s="36" t="str">
        <f t="shared" si="145"/>
        <v/>
      </c>
      <c r="J898" s="34" t="str">
        <f t="shared" si="146"/>
        <v/>
      </c>
      <c r="K898" s="49"/>
      <c r="L898" s="55" t="str">
        <f t="shared" si="147"/>
        <v/>
      </c>
      <c r="M898" s="54" t="str">
        <f t="shared" si="148"/>
        <v/>
      </c>
      <c r="N898" s="30"/>
      <c r="O898" s="31"/>
      <c r="P898" s="53"/>
      <c r="Q898" s="33"/>
      <c r="R898" s="54" t="str">
        <f t="shared" si="149"/>
        <v/>
      </c>
      <c r="S898" s="30"/>
      <c r="T898" s="33"/>
    </row>
    <row r="899" spans="1:20" x14ac:dyDescent="0.25">
      <c r="A899" s="30"/>
      <c r="B899" s="37" t="str">
        <f t="shared" si="140"/>
        <v/>
      </c>
      <c r="C899" s="30"/>
      <c r="D899" s="34" t="str">
        <f t="shared" si="141"/>
        <v/>
      </c>
      <c r="E899" s="34" t="str">
        <f t="shared" si="142"/>
        <v/>
      </c>
      <c r="F899" s="34" t="str">
        <f t="shared" si="143"/>
        <v/>
      </c>
      <c r="G899" s="35" t="str">
        <f t="shared" si="144"/>
        <v/>
      </c>
      <c r="H899" s="30"/>
      <c r="I899" s="36" t="str">
        <f t="shared" si="145"/>
        <v/>
      </c>
      <c r="J899" s="34" t="str">
        <f t="shared" si="146"/>
        <v/>
      </c>
      <c r="K899" s="49"/>
      <c r="L899" s="55" t="str">
        <f t="shared" si="147"/>
        <v/>
      </c>
      <c r="M899" s="54" t="str">
        <f t="shared" si="148"/>
        <v/>
      </c>
      <c r="N899" s="30"/>
      <c r="O899" s="31"/>
      <c r="P899" s="53"/>
      <c r="Q899" s="33"/>
      <c r="R899" s="54" t="str">
        <f t="shared" si="149"/>
        <v/>
      </c>
      <c r="S899" s="30"/>
      <c r="T899" s="33"/>
    </row>
    <row r="900" spans="1:20" x14ac:dyDescent="0.25">
      <c r="A900" s="30"/>
      <c r="B900" s="37" t="str">
        <f t="shared" si="140"/>
        <v/>
      </c>
      <c r="C900" s="30"/>
      <c r="D900" s="34" t="str">
        <f t="shared" si="141"/>
        <v/>
      </c>
      <c r="E900" s="34" t="str">
        <f t="shared" si="142"/>
        <v/>
      </c>
      <c r="F900" s="34" t="str">
        <f t="shared" si="143"/>
        <v/>
      </c>
      <c r="G900" s="35" t="str">
        <f t="shared" si="144"/>
        <v/>
      </c>
      <c r="H900" s="30"/>
      <c r="I900" s="36" t="str">
        <f t="shared" si="145"/>
        <v/>
      </c>
      <c r="J900" s="34" t="str">
        <f t="shared" si="146"/>
        <v/>
      </c>
      <c r="K900" s="49"/>
      <c r="L900" s="55" t="str">
        <f t="shared" si="147"/>
        <v/>
      </c>
      <c r="M900" s="54" t="str">
        <f t="shared" si="148"/>
        <v/>
      </c>
      <c r="N900" s="30"/>
      <c r="O900" s="31"/>
      <c r="P900" s="53"/>
      <c r="Q900" s="33"/>
      <c r="R900" s="54" t="str">
        <f t="shared" si="149"/>
        <v/>
      </c>
      <c r="S900" s="30"/>
      <c r="T900" s="33"/>
    </row>
    <row r="901" spans="1:20" x14ac:dyDescent="0.25">
      <c r="A901" s="30"/>
      <c r="B901" s="37" t="str">
        <f t="shared" si="140"/>
        <v/>
      </c>
      <c r="C901" s="30"/>
      <c r="D901" s="34" t="str">
        <f t="shared" si="141"/>
        <v/>
      </c>
      <c r="E901" s="34" t="str">
        <f t="shared" si="142"/>
        <v/>
      </c>
      <c r="F901" s="34" t="str">
        <f t="shared" si="143"/>
        <v/>
      </c>
      <c r="G901" s="35" t="str">
        <f t="shared" si="144"/>
        <v/>
      </c>
      <c r="H901" s="30"/>
      <c r="I901" s="36" t="str">
        <f t="shared" si="145"/>
        <v/>
      </c>
      <c r="J901" s="34" t="str">
        <f t="shared" si="146"/>
        <v/>
      </c>
      <c r="K901" s="49"/>
      <c r="L901" s="55" t="str">
        <f t="shared" si="147"/>
        <v/>
      </c>
      <c r="M901" s="54" t="str">
        <f t="shared" si="148"/>
        <v/>
      </c>
      <c r="N901" s="30"/>
      <c r="O901" s="31"/>
      <c r="P901" s="53"/>
      <c r="Q901" s="33"/>
      <c r="R901" s="54" t="str">
        <f t="shared" si="149"/>
        <v/>
      </c>
      <c r="S901" s="30"/>
      <c r="T901" s="33"/>
    </row>
    <row r="902" spans="1:20" x14ac:dyDescent="0.25">
      <c r="A902" s="30"/>
      <c r="B902" s="37" t="str">
        <f t="shared" si="140"/>
        <v/>
      </c>
      <c r="C902" s="30"/>
      <c r="D902" s="34" t="str">
        <f t="shared" si="141"/>
        <v/>
      </c>
      <c r="E902" s="34" t="str">
        <f t="shared" si="142"/>
        <v/>
      </c>
      <c r="F902" s="34" t="str">
        <f t="shared" si="143"/>
        <v/>
      </c>
      <c r="G902" s="35" t="str">
        <f t="shared" si="144"/>
        <v/>
      </c>
      <c r="H902" s="30"/>
      <c r="I902" s="36" t="str">
        <f t="shared" si="145"/>
        <v/>
      </c>
      <c r="J902" s="34" t="str">
        <f t="shared" si="146"/>
        <v/>
      </c>
      <c r="K902" s="49"/>
      <c r="L902" s="55" t="str">
        <f t="shared" si="147"/>
        <v/>
      </c>
      <c r="M902" s="54" t="str">
        <f t="shared" si="148"/>
        <v/>
      </c>
      <c r="N902" s="30"/>
      <c r="O902" s="31"/>
      <c r="P902" s="53"/>
      <c r="Q902" s="33"/>
      <c r="R902" s="54" t="str">
        <f t="shared" si="149"/>
        <v/>
      </c>
      <c r="S902" s="30"/>
      <c r="T902" s="33"/>
    </row>
    <row r="903" spans="1:20" x14ac:dyDescent="0.25">
      <c r="A903" s="30"/>
      <c r="B903" s="37" t="str">
        <f t="shared" si="140"/>
        <v/>
      </c>
      <c r="C903" s="30"/>
      <c r="D903" s="34" t="str">
        <f t="shared" si="141"/>
        <v/>
      </c>
      <c r="E903" s="34" t="str">
        <f t="shared" si="142"/>
        <v/>
      </c>
      <c r="F903" s="34" t="str">
        <f t="shared" si="143"/>
        <v/>
      </c>
      <c r="G903" s="35" t="str">
        <f t="shared" si="144"/>
        <v/>
      </c>
      <c r="H903" s="30"/>
      <c r="I903" s="36" t="str">
        <f t="shared" si="145"/>
        <v/>
      </c>
      <c r="J903" s="34" t="str">
        <f t="shared" si="146"/>
        <v/>
      </c>
      <c r="K903" s="49"/>
      <c r="L903" s="55" t="str">
        <f t="shared" si="147"/>
        <v/>
      </c>
      <c r="M903" s="54" t="str">
        <f t="shared" si="148"/>
        <v/>
      </c>
      <c r="N903" s="30"/>
      <c r="O903" s="31"/>
      <c r="P903" s="53"/>
      <c r="Q903" s="33"/>
      <c r="R903" s="54" t="str">
        <f t="shared" si="149"/>
        <v/>
      </c>
      <c r="S903" s="30"/>
      <c r="T903" s="33"/>
    </row>
    <row r="904" spans="1:20" x14ac:dyDescent="0.25">
      <c r="A904" s="30"/>
      <c r="B904" s="37" t="str">
        <f t="shared" si="140"/>
        <v/>
      </c>
      <c r="C904" s="30"/>
      <c r="D904" s="34" t="str">
        <f t="shared" si="141"/>
        <v/>
      </c>
      <c r="E904" s="34" t="str">
        <f t="shared" si="142"/>
        <v/>
      </c>
      <c r="F904" s="34" t="str">
        <f t="shared" si="143"/>
        <v/>
      </c>
      <c r="G904" s="35" t="str">
        <f t="shared" si="144"/>
        <v/>
      </c>
      <c r="H904" s="30"/>
      <c r="I904" s="36" t="str">
        <f t="shared" si="145"/>
        <v/>
      </c>
      <c r="J904" s="34" t="str">
        <f t="shared" si="146"/>
        <v/>
      </c>
      <c r="K904" s="49"/>
      <c r="L904" s="55" t="str">
        <f t="shared" si="147"/>
        <v/>
      </c>
      <c r="M904" s="54" t="str">
        <f t="shared" si="148"/>
        <v/>
      </c>
      <c r="N904" s="30"/>
      <c r="O904" s="31"/>
      <c r="P904" s="53"/>
      <c r="Q904" s="33"/>
      <c r="R904" s="54" t="str">
        <f t="shared" si="149"/>
        <v/>
      </c>
      <c r="S904" s="30"/>
      <c r="T904" s="33"/>
    </row>
    <row r="905" spans="1:20" x14ac:dyDescent="0.25">
      <c r="A905" s="30"/>
      <c r="B905" s="37" t="str">
        <f t="shared" si="140"/>
        <v/>
      </c>
      <c r="C905" s="30"/>
      <c r="D905" s="34" t="str">
        <f t="shared" si="141"/>
        <v/>
      </c>
      <c r="E905" s="34" t="str">
        <f t="shared" si="142"/>
        <v/>
      </c>
      <c r="F905" s="34" t="str">
        <f t="shared" si="143"/>
        <v/>
      </c>
      <c r="G905" s="35" t="str">
        <f t="shared" si="144"/>
        <v/>
      </c>
      <c r="H905" s="30"/>
      <c r="I905" s="36" t="str">
        <f t="shared" si="145"/>
        <v/>
      </c>
      <c r="J905" s="34" t="str">
        <f t="shared" si="146"/>
        <v/>
      </c>
      <c r="K905" s="49"/>
      <c r="L905" s="55" t="str">
        <f t="shared" si="147"/>
        <v/>
      </c>
      <c r="M905" s="54" t="str">
        <f t="shared" si="148"/>
        <v/>
      </c>
      <c r="N905" s="30"/>
      <c r="O905" s="31"/>
      <c r="P905" s="53"/>
      <c r="Q905" s="33"/>
      <c r="R905" s="54" t="str">
        <f t="shared" si="149"/>
        <v/>
      </c>
      <c r="S905" s="30"/>
      <c r="T905" s="33"/>
    </row>
    <row r="906" spans="1:20" x14ac:dyDescent="0.25">
      <c r="A906" s="30"/>
      <c r="B906" s="37" t="str">
        <f t="shared" si="140"/>
        <v/>
      </c>
      <c r="C906" s="30"/>
      <c r="D906" s="34" t="str">
        <f t="shared" si="141"/>
        <v/>
      </c>
      <c r="E906" s="34" t="str">
        <f t="shared" si="142"/>
        <v/>
      </c>
      <c r="F906" s="34" t="str">
        <f t="shared" si="143"/>
        <v/>
      </c>
      <c r="G906" s="35" t="str">
        <f t="shared" si="144"/>
        <v/>
      </c>
      <c r="H906" s="30"/>
      <c r="I906" s="36" t="str">
        <f t="shared" si="145"/>
        <v/>
      </c>
      <c r="J906" s="34" t="str">
        <f t="shared" si="146"/>
        <v/>
      </c>
      <c r="K906" s="49"/>
      <c r="L906" s="55" t="str">
        <f t="shared" si="147"/>
        <v/>
      </c>
      <c r="M906" s="54" t="str">
        <f t="shared" si="148"/>
        <v/>
      </c>
      <c r="N906" s="30"/>
      <c r="O906" s="31"/>
      <c r="P906" s="53"/>
      <c r="Q906" s="33"/>
      <c r="R906" s="54" t="str">
        <f t="shared" si="149"/>
        <v/>
      </c>
      <c r="S906" s="30"/>
      <c r="T906" s="33"/>
    </row>
    <row r="907" spans="1:20" x14ac:dyDescent="0.25">
      <c r="A907" s="30"/>
      <c r="B907" s="37" t="str">
        <f t="shared" si="140"/>
        <v/>
      </c>
      <c r="C907" s="30"/>
      <c r="D907" s="34" t="str">
        <f t="shared" si="141"/>
        <v/>
      </c>
      <c r="E907" s="34" t="str">
        <f t="shared" si="142"/>
        <v/>
      </c>
      <c r="F907" s="34" t="str">
        <f t="shared" si="143"/>
        <v/>
      </c>
      <c r="G907" s="35" t="str">
        <f t="shared" si="144"/>
        <v/>
      </c>
      <c r="H907" s="30"/>
      <c r="I907" s="36" t="str">
        <f t="shared" si="145"/>
        <v/>
      </c>
      <c r="J907" s="34" t="str">
        <f t="shared" si="146"/>
        <v/>
      </c>
      <c r="K907" s="49"/>
      <c r="L907" s="55" t="str">
        <f t="shared" si="147"/>
        <v/>
      </c>
      <c r="M907" s="54" t="str">
        <f t="shared" si="148"/>
        <v/>
      </c>
      <c r="N907" s="30"/>
      <c r="O907" s="31"/>
      <c r="P907" s="53"/>
      <c r="Q907" s="33"/>
      <c r="R907" s="54" t="str">
        <f t="shared" si="149"/>
        <v/>
      </c>
      <c r="S907" s="30"/>
      <c r="T907" s="33"/>
    </row>
    <row r="908" spans="1:20" x14ac:dyDescent="0.25">
      <c r="A908" s="30"/>
      <c r="B908" s="37" t="str">
        <f t="shared" si="140"/>
        <v/>
      </c>
      <c r="C908" s="30"/>
      <c r="D908" s="34" t="str">
        <f t="shared" si="141"/>
        <v/>
      </c>
      <c r="E908" s="34" t="str">
        <f t="shared" si="142"/>
        <v/>
      </c>
      <c r="F908" s="34" t="str">
        <f t="shared" si="143"/>
        <v/>
      </c>
      <c r="G908" s="35" t="str">
        <f t="shared" si="144"/>
        <v/>
      </c>
      <c r="H908" s="30"/>
      <c r="I908" s="36" t="str">
        <f t="shared" si="145"/>
        <v/>
      </c>
      <c r="J908" s="34" t="str">
        <f t="shared" si="146"/>
        <v/>
      </c>
      <c r="K908" s="49"/>
      <c r="L908" s="55" t="str">
        <f t="shared" si="147"/>
        <v/>
      </c>
      <c r="M908" s="54" t="str">
        <f t="shared" si="148"/>
        <v/>
      </c>
      <c r="N908" s="30"/>
      <c r="O908" s="31"/>
      <c r="P908" s="53"/>
      <c r="Q908" s="33"/>
      <c r="R908" s="54" t="str">
        <f t="shared" si="149"/>
        <v/>
      </c>
      <c r="S908" s="30"/>
      <c r="T908" s="33"/>
    </row>
    <row r="909" spans="1:20" x14ac:dyDescent="0.25">
      <c r="A909" s="30"/>
      <c r="B909" s="37" t="str">
        <f t="shared" si="140"/>
        <v/>
      </c>
      <c r="C909" s="30"/>
      <c r="D909" s="34" t="str">
        <f t="shared" si="141"/>
        <v/>
      </c>
      <c r="E909" s="34" t="str">
        <f t="shared" si="142"/>
        <v/>
      </c>
      <c r="F909" s="34" t="str">
        <f t="shared" si="143"/>
        <v/>
      </c>
      <c r="G909" s="35" t="str">
        <f t="shared" si="144"/>
        <v/>
      </c>
      <c r="H909" s="30"/>
      <c r="I909" s="36" t="str">
        <f t="shared" si="145"/>
        <v/>
      </c>
      <c r="J909" s="34" t="str">
        <f t="shared" si="146"/>
        <v/>
      </c>
      <c r="K909" s="49"/>
      <c r="L909" s="55" t="str">
        <f t="shared" si="147"/>
        <v/>
      </c>
      <c r="M909" s="54" t="str">
        <f t="shared" si="148"/>
        <v/>
      </c>
      <c r="N909" s="30"/>
      <c r="O909" s="31"/>
      <c r="P909" s="53"/>
      <c r="Q909" s="33"/>
      <c r="R909" s="54" t="str">
        <f t="shared" si="149"/>
        <v/>
      </c>
      <c r="S909" s="30"/>
      <c r="T909" s="33"/>
    </row>
    <row r="910" spans="1:20" x14ac:dyDescent="0.25">
      <c r="A910" s="30"/>
      <c r="B910" s="37" t="str">
        <f t="shared" si="140"/>
        <v/>
      </c>
      <c r="C910" s="30"/>
      <c r="D910" s="34" t="str">
        <f t="shared" si="141"/>
        <v/>
      </c>
      <c r="E910" s="34" t="str">
        <f t="shared" si="142"/>
        <v/>
      </c>
      <c r="F910" s="34" t="str">
        <f t="shared" si="143"/>
        <v/>
      </c>
      <c r="G910" s="35" t="str">
        <f t="shared" si="144"/>
        <v/>
      </c>
      <c r="H910" s="30"/>
      <c r="I910" s="36" t="str">
        <f t="shared" si="145"/>
        <v/>
      </c>
      <c r="J910" s="34" t="str">
        <f t="shared" si="146"/>
        <v/>
      </c>
      <c r="K910" s="49"/>
      <c r="L910" s="55" t="str">
        <f t="shared" si="147"/>
        <v/>
      </c>
      <c r="M910" s="54" t="str">
        <f t="shared" si="148"/>
        <v/>
      </c>
      <c r="N910" s="30"/>
      <c r="O910" s="31"/>
      <c r="P910" s="53"/>
      <c r="Q910" s="33"/>
      <c r="R910" s="54" t="str">
        <f t="shared" si="149"/>
        <v/>
      </c>
      <c r="S910" s="30"/>
      <c r="T910" s="33"/>
    </row>
    <row r="911" spans="1:20" x14ac:dyDescent="0.25">
      <c r="A911" s="30"/>
      <c r="B911" s="37" t="str">
        <f t="shared" si="140"/>
        <v/>
      </c>
      <c r="C911" s="30"/>
      <c r="D911" s="34" t="str">
        <f t="shared" si="141"/>
        <v/>
      </c>
      <c r="E911" s="34" t="str">
        <f t="shared" si="142"/>
        <v/>
      </c>
      <c r="F911" s="34" t="str">
        <f t="shared" si="143"/>
        <v/>
      </c>
      <c r="G911" s="35" t="str">
        <f t="shared" si="144"/>
        <v/>
      </c>
      <c r="H911" s="30"/>
      <c r="I911" s="36" t="str">
        <f t="shared" si="145"/>
        <v/>
      </c>
      <c r="J911" s="34" t="str">
        <f t="shared" si="146"/>
        <v/>
      </c>
      <c r="K911" s="49"/>
      <c r="L911" s="55" t="str">
        <f t="shared" si="147"/>
        <v/>
      </c>
      <c r="M911" s="54" t="str">
        <f t="shared" si="148"/>
        <v/>
      </c>
      <c r="N911" s="30"/>
      <c r="O911" s="31"/>
      <c r="P911" s="53"/>
      <c r="Q911" s="33"/>
      <c r="R911" s="54" t="str">
        <f t="shared" si="149"/>
        <v/>
      </c>
      <c r="S911" s="30"/>
      <c r="T911" s="33"/>
    </row>
    <row r="912" spans="1:20" x14ac:dyDescent="0.25">
      <c r="A912" s="30"/>
      <c r="B912" s="37" t="str">
        <f t="shared" si="140"/>
        <v/>
      </c>
      <c r="C912" s="30"/>
      <c r="D912" s="34" t="str">
        <f t="shared" si="141"/>
        <v/>
      </c>
      <c r="E912" s="34" t="str">
        <f t="shared" si="142"/>
        <v/>
      </c>
      <c r="F912" s="34" t="str">
        <f t="shared" si="143"/>
        <v/>
      </c>
      <c r="G912" s="35" t="str">
        <f t="shared" si="144"/>
        <v/>
      </c>
      <c r="H912" s="30"/>
      <c r="I912" s="36" t="str">
        <f t="shared" si="145"/>
        <v/>
      </c>
      <c r="J912" s="34" t="str">
        <f t="shared" si="146"/>
        <v/>
      </c>
      <c r="K912" s="49"/>
      <c r="L912" s="55" t="str">
        <f t="shared" si="147"/>
        <v/>
      </c>
      <c r="M912" s="54" t="str">
        <f t="shared" si="148"/>
        <v/>
      </c>
      <c r="N912" s="30"/>
      <c r="O912" s="31"/>
      <c r="P912" s="53"/>
      <c r="Q912" s="33"/>
      <c r="R912" s="54" t="str">
        <f t="shared" si="149"/>
        <v/>
      </c>
      <c r="S912" s="30"/>
      <c r="T912" s="33"/>
    </row>
    <row r="913" spans="1:20" x14ac:dyDescent="0.25">
      <c r="A913" s="30"/>
      <c r="B913" s="37" t="str">
        <f t="shared" si="140"/>
        <v/>
      </c>
      <c r="C913" s="30"/>
      <c r="D913" s="34" t="str">
        <f t="shared" si="141"/>
        <v/>
      </c>
      <c r="E913" s="34" t="str">
        <f t="shared" si="142"/>
        <v/>
      </c>
      <c r="F913" s="34" t="str">
        <f t="shared" si="143"/>
        <v/>
      </c>
      <c r="G913" s="35" t="str">
        <f t="shared" si="144"/>
        <v/>
      </c>
      <c r="H913" s="30"/>
      <c r="I913" s="36" t="str">
        <f t="shared" si="145"/>
        <v/>
      </c>
      <c r="J913" s="34" t="str">
        <f t="shared" si="146"/>
        <v/>
      </c>
      <c r="K913" s="49"/>
      <c r="L913" s="55" t="str">
        <f t="shared" si="147"/>
        <v/>
      </c>
      <c r="M913" s="54" t="str">
        <f t="shared" si="148"/>
        <v/>
      </c>
      <c r="N913" s="30"/>
      <c r="O913" s="31"/>
      <c r="P913" s="53"/>
      <c r="Q913" s="33"/>
      <c r="R913" s="54" t="str">
        <f t="shared" si="149"/>
        <v/>
      </c>
      <c r="S913" s="30"/>
      <c r="T913" s="33"/>
    </row>
    <row r="914" spans="1:20" x14ac:dyDescent="0.25">
      <c r="A914" s="30"/>
      <c r="B914" s="37" t="str">
        <f t="shared" si="140"/>
        <v/>
      </c>
      <c r="C914" s="30"/>
      <c r="D914" s="34" t="str">
        <f t="shared" si="141"/>
        <v/>
      </c>
      <c r="E914" s="34" t="str">
        <f t="shared" si="142"/>
        <v/>
      </c>
      <c r="F914" s="34" t="str">
        <f t="shared" si="143"/>
        <v/>
      </c>
      <c r="G914" s="35" t="str">
        <f t="shared" si="144"/>
        <v/>
      </c>
      <c r="H914" s="30"/>
      <c r="I914" s="36" t="str">
        <f t="shared" si="145"/>
        <v/>
      </c>
      <c r="J914" s="34" t="str">
        <f t="shared" si="146"/>
        <v/>
      </c>
      <c r="K914" s="49"/>
      <c r="L914" s="55" t="str">
        <f t="shared" si="147"/>
        <v/>
      </c>
      <c r="M914" s="54" t="str">
        <f t="shared" si="148"/>
        <v/>
      </c>
      <c r="N914" s="30"/>
      <c r="O914" s="31"/>
      <c r="P914" s="53"/>
      <c r="Q914" s="33"/>
      <c r="R914" s="54" t="str">
        <f t="shared" si="149"/>
        <v/>
      </c>
      <c r="S914" s="30"/>
      <c r="T914" s="33"/>
    </row>
    <row r="915" spans="1:20" x14ac:dyDescent="0.25">
      <c r="A915" s="30"/>
      <c r="B915" s="37" t="str">
        <f t="shared" si="140"/>
        <v/>
      </c>
      <c r="C915" s="30"/>
      <c r="D915" s="34" t="str">
        <f t="shared" si="141"/>
        <v/>
      </c>
      <c r="E915" s="34" t="str">
        <f t="shared" si="142"/>
        <v/>
      </c>
      <c r="F915" s="34" t="str">
        <f t="shared" si="143"/>
        <v/>
      </c>
      <c r="G915" s="35" t="str">
        <f t="shared" si="144"/>
        <v/>
      </c>
      <c r="H915" s="30"/>
      <c r="I915" s="36" t="str">
        <f t="shared" si="145"/>
        <v/>
      </c>
      <c r="J915" s="34" t="str">
        <f t="shared" si="146"/>
        <v/>
      </c>
      <c r="K915" s="49"/>
      <c r="L915" s="55" t="str">
        <f t="shared" si="147"/>
        <v/>
      </c>
      <c r="M915" s="54" t="str">
        <f t="shared" si="148"/>
        <v/>
      </c>
      <c r="N915" s="30"/>
      <c r="O915" s="31"/>
      <c r="P915" s="53"/>
      <c r="Q915" s="33"/>
      <c r="R915" s="54" t="str">
        <f t="shared" si="149"/>
        <v/>
      </c>
      <c r="S915" s="30"/>
      <c r="T915" s="33"/>
    </row>
    <row r="916" spans="1:20" x14ac:dyDescent="0.25">
      <c r="A916" s="30"/>
      <c r="B916" s="37" t="str">
        <f t="shared" si="140"/>
        <v/>
      </c>
      <c r="C916" s="30"/>
      <c r="D916" s="34" t="str">
        <f t="shared" si="141"/>
        <v/>
      </c>
      <c r="E916" s="34" t="str">
        <f t="shared" si="142"/>
        <v/>
      </c>
      <c r="F916" s="34" t="str">
        <f t="shared" si="143"/>
        <v/>
      </c>
      <c r="G916" s="35" t="str">
        <f t="shared" si="144"/>
        <v/>
      </c>
      <c r="H916" s="30"/>
      <c r="I916" s="36" t="str">
        <f t="shared" si="145"/>
        <v/>
      </c>
      <c r="J916" s="34" t="str">
        <f t="shared" si="146"/>
        <v/>
      </c>
      <c r="K916" s="49"/>
      <c r="L916" s="55" t="str">
        <f t="shared" si="147"/>
        <v/>
      </c>
      <c r="M916" s="54" t="str">
        <f t="shared" si="148"/>
        <v/>
      </c>
      <c r="N916" s="30"/>
      <c r="O916" s="31"/>
      <c r="P916" s="53"/>
      <c r="Q916" s="33"/>
      <c r="R916" s="54" t="str">
        <f t="shared" si="149"/>
        <v/>
      </c>
      <c r="S916" s="30"/>
      <c r="T916" s="33"/>
    </row>
    <row r="917" spans="1:20" x14ac:dyDescent="0.25">
      <c r="A917" s="30"/>
      <c r="B917" s="37" t="str">
        <f t="shared" si="140"/>
        <v/>
      </c>
      <c r="C917" s="30"/>
      <c r="D917" s="34" t="str">
        <f t="shared" si="141"/>
        <v/>
      </c>
      <c r="E917" s="34" t="str">
        <f t="shared" si="142"/>
        <v/>
      </c>
      <c r="F917" s="34" t="str">
        <f t="shared" si="143"/>
        <v/>
      </c>
      <c r="G917" s="35" t="str">
        <f t="shared" si="144"/>
        <v/>
      </c>
      <c r="H917" s="30"/>
      <c r="I917" s="36" t="str">
        <f t="shared" si="145"/>
        <v/>
      </c>
      <c r="J917" s="34" t="str">
        <f t="shared" si="146"/>
        <v/>
      </c>
      <c r="K917" s="49"/>
      <c r="L917" s="55" t="str">
        <f t="shared" si="147"/>
        <v/>
      </c>
      <c r="M917" s="54" t="str">
        <f t="shared" si="148"/>
        <v/>
      </c>
      <c r="N917" s="30"/>
      <c r="O917" s="31"/>
      <c r="P917" s="53"/>
      <c r="Q917" s="33"/>
      <c r="R917" s="54" t="str">
        <f t="shared" si="149"/>
        <v/>
      </c>
      <c r="S917" s="30"/>
      <c r="T917" s="33"/>
    </row>
    <row r="918" spans="1:20" x14ac:dyDescent="0.25">
      <c r="A918" s="30"/>
      <c r="B918" s="37" t="str">
        <f t="shared" si="140"/>
        <v/>
      </c>
      <c r="C918" s="30"/>
      <c r="D918" s="34" t="str">
        <f t="shared" si="141"/>
        <v/>
      </c>
      <c r="E918" s="34" t="str">
        <f t="shared" si="142"/>
        <v/>
      </c>
      <c r="F918" s="34" t="str">
        <f t="shared" si="143"/>
        <v/>
      </c>
      <c r="G918" s="35" t="str">
        <f t="shared" si="144"/>
        <v/>
      </c>
      <c r="H918" s="30"/>
      <c r="I918" s="36" t="str">
        <f t="shared" si="145"/>
        <v/>
      </c>
      <c r="J918" s="34" t="str">
        <f t="shared" si="146"/>
        <v/>
      </c>
      <c r="K918" s="49"/>
      <c r="L918" s="55" t="str">
        <f t="shared" si="147"/>
        <v/>
      </c>
      <c r="M918" s="54" t="str">
        <f t="shared" si="148"/>
        <v/>
      </c>
      <c r="N918" s="30"/>
      <c r="O918" s="31"/>
      <c r="P918" s="53"/>
      <c r="Q918" s="33"/>
      <c r="R918" s="54" t="str">
        <f t="shared" si="149"/>
        <v/>
      </c>
      <c r="S918" s="30"/>
      <c r="T918" s="33"/>
    </row>
    <row r="919" spans="1:20" x14ac:dyDescent="0.25">
      <c r="A919" s="30"/>
      <c r="B919" s="37" t="str">
        <f t="shared" si="140"/>
        <v/>
      </c>
      <c r="C919" s="30"/>
      <c r="D919" s="34" t="str">
        <f t="shared" si="141"/>
        <v/>
      </c>
      <c r="E919" s="34" t="str">
        <f t="shared" si="142"/>
        <v/>
      </c>
      <c r="F919" s="34" t="str">
        <f t="shared" si="143"/>
        <v/>
      </c>
      <c r="G919" s="35" t="str">
        <f t="shared" si="144"/>
        <v/>
      </c>
      <c r="H919" s="30"/>
      <c r="I919" s="36" t="str">
        <f t="shared" si="145"/>
        <v/>
      </c>
      <c r="J919" s="34" t="str">
        <f t="shared" si="146"/>
        <v/>
      </c>
      <c r="K919" s="49"/>
      <c r="L919" s="55" t="str">
        <f t="shared" si="147"/>
        <v/>
      </c>
      <c r="M919" s="54" t="str">
        <f t="shared" si="148"/>
        <v/>
      </c>
      <c r="N919" s="30"/>
      <c r="O919" s="31"/>
      <c r="P919" s="53"/>
      <c r="Q919" s="33"/>
      <c r="R919" s="54" t="str">
        <f t="shared" si="149"/>
        <v/>
      </c>
      <c r="S919" s="30"/>
      <c r="T919" s="33"/>
    </row>
    <row r="920" spans="1:20" x14ac:dyDescent="0.25">
      <c r="A920" s="30"/>
      <c r="B920" s="37" t="str">
        <f t="shared" si="140"/>
        <v/>
      </c>
      <c r="C920" s="30"/>
      <c r="D920" s="34" t="str">
        <f t="shared" si="141"/>
        <v/>
      </c>
      <c r="E920" s="34" t="str">
        <f t="shared" si="142"/>
        <v/>
      </c>
      <c r="F920" s="34" t="str">
        <f t="shared" si="143"/>
        <v/>
      </c>
      <c r="G920" s="35" t="str">
        <f t="shared" si="144"/>
        <v/>
      </c>
      <c r="H920" s="30"/>
      <c r="I920" s="36" t="str">
        <f t="shared" si="145"/>
        <v/>
      </c>
      <c r="J920" s="34" t="str">
        <f t="shared" si="146"/>
        <v/>
      </c>
      <c r="K920" s="49"/>
      <c r="L920" s="55" t="str">
        <f t="shared" si="147"/>
        <v/>
      </c>
      <c r="M920" s="54" t="str">
        <f t="shared" si="148"/>
        <v/>
      </c>
      <c r="N920" s="30"/>
      <c r="O920" s="31"/>
      <c r="P920" s="53"/>
      <c r="Q920" s="33"/>
      <c r="R920" s="54" t="str">
        <f t="shared" si="149"/>
        <v/>
      </c>
      <c r="S920" s="30"/>
      <c r="T920" s="33"/>
    </row>
    <row r="921" spans="1:20" x14ac:dyDescent="0.25">
      <c r="A921" s="30"/>
      <c r="B921" s="37" t="str">
        <f t="shared" si="140"/>
        <v/>
      </c>
      <c r="C921" s="30"/>
      <c r="D921" s="34" t="str">
        <f t="shared" si="141"/>
        <v/>
      </c>
      <c r="E921" s="34" t="str">
        <f t="shared" si="142"/>
        <v/>
      </c>
      <c r="F921" s="34" t="str">
        <f t="shared" si="143"/>
        <v/>
      </c>
      <c r="G921" s="35" t="str">
        <f t="shared" si="144"/>
        <v/>
      </c>
      <c r="H921" s="30"/>
      <c r="I921" s="36" t="str">
        <f t="shared" si="145"/>
        <v/>
      </c>
      <c r="J921" s="34" t="str">
        <f t="shared" si="146"/>
        <v/>
      </c>
      <c r="K921" s="49"/>
      <c r="L921" s="55" t="str">
        <f t="shared" si="147"/>
        <v/>
      </c>
      <c r="M921" s="54" t="str">
        <f t="shared" si="148"/>
        <v/>
      </c>
      <c r="N921" s="30"/>
      <c r="O921" s="31"/>
      <c r="P921" s="53"/>
      <c r="Q921" s="33"/>
      <c r="R921" s="54" t="str">
        <f t="shared" si="149"/>
        <v/>
      </c>
      <c r="S921" s="30"/>
      <c r="T921" s="33"/>
    </row>
    <row r="922" spans="1:20" x14ac:dyDescent="0.25">
      <c r="A922" s="30"/>
      <c r="B922" s="37" t="str">
        <f t="shared" si="140"/>
        <v/>
      </c>
      <c r="C922" s="30"/>
      <c r="D922" s="34" t="str">
        <f t="shared" si="141"/>
        <v/>
      </c>
      <c r="E922" s="34" t="str">
        <f t="shared" si="142"/>
        <v/>
      </c>
      <c r="F922" s="34" t="str">
        <f t="shared" si="143"/>
        <v/>
      </c>
      <c r="G922" s="35" t="str">
        <f t="shared" si="144"/>
        <v/>
      </c>
      <c r="H922" s="30"/>
      <c r="I922" s="36" t="str">
        <f t="shared" si="145"/>
        <v/>
      </c>
      <c r="J922" s="34" t="str">
        <f t="shared" si="146"/>
        <v/>
      </c>
      <c r="K922" s="49"/>
      <c r="L922" s="55" t="str">
        <f t="shared" si="147"/>
        <v/>
      </c>
      <c r="M922" s="54" t="str">
        <f t="shared" si="148"/>
        <v/>
      </c>
      <c r="N922" s="30"/>
      <c r="O922" s="31"/>
      <c r="P922" s="53"/>
      <c r="Q922" s="33"/>
      <c r="R922" s="54" t="str">
        <f t="shared" si="149"/>
        <v/>
      </c>
      <c r="S922" s="30"/>
      <c r="T922" s="33"/>
    </row>
    <row r="923" spans="1:20" x14ac:dyDescent="0.25">
      <c r="A923" s="30"/>
      <c r="B923" s="37" t="str">
        <f t="shared" si="140"/>
        <v/>
      </c>
      <c r="C923" s="30"/>
      <c r="D923" s="34" t="str">
        <f t="shared" si="141"/>
        <v/>
      </c>
      <c r="E923" s="34" t="str">
        <f t="shared" si="142"/>
        <v/>
      </c>
      <c r="F923" s="34" t="str">
        <f t="shared" si="143"/>
        <v/>
      </c>
      <c r="G923" s="35" t="str">
        <f t="shared" si="144"/>
        <v/>
      </c>
      <c r="H923" s="30"/>
      <c r="I923" s="36" t="str">
        <f t="shared" si="145"/>
        <v/>
      </c>
      <c r="J923" s="34" t="str">
        <f t="shared" si="146"/>
        <v/>
      </c>
      <c r="K923" s="49"/>
      <c r="L923" s="55" t="str">
        <f t="shared" si="147"/>
        <v/>
      </c>
      <c r="M923" s="54" t="str">
        <f t="shared" si="148"/>
        <v/>
      </c>
      <c r="N923" s="30"/>
      <c r="O923" s="31"/>
      <c r="P923" s="53"/>
      <c r="Q923" s="33"/>
      <c r="R923" s="54" t="str">
        <f t="shared" si="149"/>
        <v/>
      </c>
      <c r="S923" s="30"/>
      <c r="T923" s="33"/>
    </row>
    <row r="924" spans="1:20" x14ac:dyDescent="0.25">
      <c r="A924" s="30"/>
      <c r="B924" s="37" t="str">
        <f t="shared" si="140"/>
        <v/>
      </c>
      <c r="C924" s="30"/>
      <c r="D924" s="34" t="str">
        <f t="shared" si="141"/>
        <v/>
      </c>
      <c r="E924" s="34" t="str">
        <f t="shared" si="142"/>
        <v/>
      </c>
      <c r="F924" s="34" t="str">
        <f t="shared" si="143"/>
        <v/>
      </c>
      <c r="G924" s="35" t="str">
        <f t="shared" si="144"/>
        <v/>
      </c>
      <c r="H924" s="30"/>
      <c r="I924" s="36" t="str">
        <f t="shared" si="145"/>
        <v/>
      </c>
      <c r="J924" s="34" t="str">
        <f t="shared" si="146"/>
        <v/>
      </c>
      <c r="K924" s="49"/>
      <c r="L924" s="55" t="str">
        <f t="shared" si="147"/>
        <v/>
      </c>
      <c r="M924" s="54" t="str">
        <f t="shared" si="148"/>
        <v/>
      </c>
      <c r="N924" s="30"/>
      <c r="O924" s="31"/>
      <c r="P924" s="53"/>
      <c r="Q924" s="33"/>
      <c r="R924" s="54" t="str">
        <f t="shared" si="149"/>
        <v/>
      </c>
      <c r="S924" s="30"/>
      <c r="T924" s="33"/>
    </row>
    <row r="925" spans="1:20" x14ac:dyDescent="0.25">
      <c r="A925" s="30"/>
      <c r="B925" s="37" t="str">
        <f t="shared" si="140"/>
        <v/>
      </c>
      <c r="C925" s="30"/>
      <c r="D925" s="34" t="str">
        <f t="shared" si="141"/>
        <v/>
      </c>
      <c r="E925" s="34" t="str">
        <f t="shared" si="142"/>
        <v/>
      </c>
      <c r="F925" s="34" t="str">
        <f t="shared" si="143"/>
        <v/>
      </c>
      <c r="G925" s="35" t="str">
        <f t="shared" si="144"/>
        <v/>
      </c>
      <c r="H925" s="30"/>
      <c r="I925" s="36" t="str">
        <f t="shared" si="145"/>
        <v/>
      </c>
      <c r="J925" s="34" t="str">
        <f t="shared" si="146"/>
        <v/>
      </c>
      <c r="K925" s="49"/>
      <c r="L925" s="55" t="str">
        <f t="shared" si="147"/>
        <v/>
      </c>
      <c r="M925" s="54" t="str">
        <f t="shared" si="148"/>
        <v/>
      </c>
      <c r="N925" s="30"/>
      <c r="O925" s="31"/>
      <c r="P925" s="53"/>
      <c r="Q925" s="33"/>
      <c r="R925" s="54" t="str">
        <f t="shared" si="149"/>
        <v/>
      </c>
      <c r="S925" s="30"/>
      <c r="T925" s="33"/>
    </row>
    <row r="926" spans="1:20" x14ac:dyDescent="0.25">
      <c r="A926" s="30"/>
      <c r="B926" s="37" t="str">
        <f t="shared" si="140"/>
        <v/>
      </c>
      <c r="C926" s="30"/>
      <c r="D926" s="34" t="str">
        <f t="shared" si="141"/>
        <v/>
      </c>
      <c r="E926" s="34" t="str">
        <f t="shared" si="142"/>
        <v/>
      </c>
      <c r="F926" s="34" t="str">
        <f t="shared" si="143"/>
        <v/>
      </c>
      <c r="G926" s="35" t="str">
        <f t="shared" si="144"/>
        <v/>
      </c>
      <c r="H926" s="30"/>
      <c r="I926" s="36" t="str">
        <f t="shared" si="145"/>
        <v/>
      </c>
      <c r="J926" s="34" t="str">
        <f t="shared" si="146"/>
        <v/>
      </c>
      <c r="K926" s="49"/>
      <c r="L926" s="55" t="str">
        <f t="shared" si="147"/>
        <v/>
      </c>
      <c r="M926" s="54" t="str">
        <f t="shared" si="148"/>
        <v/>
      </c>
      <c r="N926" s="30"/>
      <c r="O926" s="31"/>
      <c r="P926" s="53"/>
      <c r="Q926" s="33"/>
      <c r="R926" s="54" t="str">
        <f t="shared" si="149"/>
        <v/>
      </c>
      <c r="S926" s="30"/>
      <c r="T926" s="33"/>
    </row>
    <row r="927" spans="1:20" x14ac:dyDescent="0.25">
      <c r="A927" s="30"/>
      <c r="B927" s="37" t="str">
        <f t="shared" si="140"/>
        <v/>
      </c>
      <c r="C927" s="30"/>
      <c r="D927" s="34" t="str">
        <f t="shared" si="141"/>
        <v/>
      </c>
      <c r="E927" s="34" t="str">
        <f t="shared" si="142"/>
        <v/>
      </c>
      <c r="F927" s="34" t="str">
        <f t="shared" si="143"/>
        <v/>
      </c>
      <c r="G927" s="35" t="str">
        <f t="shared" si="144"/>
        <v/>
      </c>
      <c r="H927" s="30"/>
      <c r="I927" s="36" t="str">
        <f t="shared" si="145"/>
        <v/>
      </c>
      <c r="J927" s="34" t="str">
        <f t="shared" si="146"/>
        <v/>
      </c>
      <c r="K927" s="49"/>
      <c r="L927" s="55" t="str">
        <f t="shared" si="147"/>
        <v/>
      </c>
      <c r="M927" s="54" t="str">
        <f t="shared" si="148"/>
        <v/>
      </c>
      <c r="N927" s="30"/>
      <c r="O927" s="31"/>
      <c r="P927" s="53"/>
      <c r="Q927" s="33"/>
      <c r="R927" s="54" t="str">
        <f t="shared" si="149"/>
        <v/>
      </c>
      <c r="S927" s="30"/>
      <c r="T927" s="33"/>
    </row>
    <row r="928" spans="1:20" x14ac:dyDescent="0.25">
      <c r="A928" s="30"/>
      <c r="B928" s="37" t="str">
        <f t="shared" si="140"/>
        <v/>
      </c>
      <c r="C928" s="30"/>
      <c r="D928" s="34" t="str">
        <f t="shared" si="141"/>
        <v/>
      </c>
      <c r="E928" s="34" t="str">
        <f t="shared" si="142"/>
        <v/>
      </c>
      <c r="F928" s="34" t="str">
        <f t="shared" si="143"/>
        <v/>
      </c>
      <c r="G928" s="35" t="str">
        <f t="shared" si="144"/>
        <v/>
      </c>
      <c r="H928" s="30"/>
      <c r="I928" s="36" t="str">
        <f t="shared" si="145"/>
        <v/>
      </c>
      <c r="J928" s="34" t="str">
        <f t="shared" si="146"/>
        <v/>
      </c>
      <c r="K928" s="49"/>
      <c r="L928" s="55" t="str">
        <f t="shared" si="147"/>
        <v/>
      </c>
      <c r="M928" s="54" t="str">
        <f t="shared" si="148"/>
        <v/>
      </c>
      <c r="N928" s="30"/>
      <c r="O928" s="31"/>
      <c r="P928" s="53"/>
      <c r="Q928" s="33"/>
      <c r="R928" s="54" t="str">
        <f t="shared" si="149"/>
        <v/>
      </c>
      <c r="S928" s="30"/>
      <c r="T928" s="33"/>
    </row>
    <row r="929" spans="1:20" x14ac:dyDescent="0.25">
      <c r="A929" s="30"/>
      <c r="B929" s="37" t="str">
        <f t="shared" si="140"/>
        <v/>
      </c>
      <c r="C929" s="30"/>
      <c r="D929" s="34" t="str">
        <f t="shared" si="141"/>
        <v/>
      </c>
      <c r="E929" s="34" t="str">
        <f t="shared" si="142"/>
        <v/>
      </c>
      <c r="F929" s="34" t="str">
        <f t="shared" si="143"/>
        <v/>
      </c>
      <c r="G929" s="35" t="str">
        <f t="shared" si="144"/>
        <v/>
      </c>
      <c r="H929" s="30"/>
      <c r="I929" s="36" t="str">
        <f t="shared" si="145"/>
        <v/>
      </c>
      <c r="J929" s="34" t="str">
        <f t="shared" si="146"/>
        <v/>
      </c>
      <c r="K929" s="49"/>
      <c r="L929" s="55" t="str">
        <f t="shared" si="147"/>
        <v/>
      </c>
      <c r="M929" s="54" t="str">
        <f t="shared" si="148"/>
        <v/>
      </c>
      <c r="N929" s="30"/>
      <c r="O929" s="31"/>
      <c r="P929" s="53"/>
      <c r="Q929" s="33"/>
      <c r="R929" s="54" t="str">
        <f t="shared" si="149"/>
        <v/>
      </c>
      <c r="S929" s="30"/>
      <c r="T929" s="33"/>
    </row>
    <row r="930" spans="1:20" x14ac:dyDescent="0.25">
      <c r="A930" s="30"/>
      <c r="B930" s="37" t="str">
        <f t="shared" si="140"/>
        <v/>
      </c>
      <c r="C930" s="30"/>
      <c r="D930" s="34" t="str">
        <f t="shared" si="141"/>
        <v/>
      </c>
      <c r="E930" s="34" t="str">
        <f t="shared" si="142"/>
        <v/>
      </c>
      <c r="F930" s="34" t="str">
        <f t="shared" si="143"/>
        <v/>
      </c>
      <c r="G930" s="35" t="str">
        <f t="shared" si="144"/>
        <v/>
      </c>
      <c r="H930" s="30"/>
      <c r="I930" s="36" t="str">
        <f t="shared" si="145"/>
        <v/>
      </c>
      <c r="J930" s="34" t="str">
        <f t="shared" si="146"/>
        <v/>
      </c>
      <c r="K930" s="49"/>
      <c r="L930" s="55" t="str">
        <f t="shared" si="147"/>
        <v/>
      </c>
      <c r="M930" s="54" t="str">
        <f t="shared" si="148"/>
        <v/>
      </c>
      <c r="N930" s="30"/>
      <c r="O930" s="31"/>
      <c r="P930" s="53"/>
      <c r="Q930" s="33"/>
      <c r="R930" s="54" t="str">
        <f t="shared" si="149"/>
        <v/>
      </c>
      <c r="S930" s="30"/>
      <c r="T930" s="33"/>
    </row>
    <row r="931" spans="1:20" x14ac:dyDescent="0.25">
      <c r="A931" s="30"/>
      <c r="B931" s="37" t="str">
        <f t="shared" si="140"/>
        <v/>
      </c>
      <c r="C931" s="30"/>
      <c r="D931" s="34" t="str">
        <f t="shared" si="141"/>
        <v/>
      </c>
      <c r="E931" s="34" t="str">
        <f t="shared" si="142"/>
        <v/>
      </c>
      <c r="F931" s="34" t="str">
        <f t="shared" si="143"/>
        <v/>
      </c>
      <c r="G931" s="35" t="str">
        <f t="shared" si="144"/>
        <v/>
      </c>
      <c r="H931" s="30"/>
      <c r="I931" s="36" t="str">
        <f t="shared" si="145"/>
        <v/>
      </c>
      <c r="J931" s="34" t="str">
        <f t="shared" si="146"/>
        <v/>
      </c>
      <c r="K931" s="49"/>
      <c r="L931" s="55" t="str">
        <f t="shared" si="147"/>
        <v/>
      </c>
      <c r="M931" s="54" t="str">
        <f t="shared" si="148"/>
        <v/>
      </c>
      <c r="N931" s="30"/>
      <c r="O931" s="31"/>
      <c r="P931" s="53"/>
      <c r="Q931" s="33"/>
      <c r="R931" s="54" t="str">
        <f t="shared" si="149"/>
        <v/>
      </c>
      <c r="S931" s="30"/>
      <c r="T931" s="33"/>
    </row>
    <row r="932" spans="1:20" x14ac:dyDescent="0.25">
      <c r="A932" s="30"/>
      <c r="B932" s="37" t="str">
        <f t="shared" si="140"/>
        <v/>
      </c>
      <c r="C932" s="30"/>
      <c r="D932" s="34" t="str">
        <f t="shared" si="141"/>
        <v/>
      </c>
      <c r="E932" s="34" t="str">
        <f t="shared" si="142"/>
        <v/>
      </c>
      <c r="F932" s="34" t="str">
        <f t="shared" si="143"/>
        <v/>
      </c>
      <c r="G932" s="35" t="str">
        <f t="shared" si="144"/>
        <v/>
      </c>
      <c r="H932" s="30"/>
      <c r="I932" s="36" t="str">
        <f t="shared" si="145"/>
        <v/>
      </c>
      <c r="J932" s="34" t="str">
        <f t="shared" si="146"/>
        <v/>
      </c>
      <c r="K932" s="49"/>
      <c r="L932" s="55" t="str">
        <f t="shared" si="147"/>
        <v/>
      </c>
      <c r="M932" s="54" t="str">
        <f t="shared" si="148"/>
        <v/>
      </c>
      <c r="N932" s="30"/>
      <c r="O932" s="31"/>
      <c r="P932" s="53"/>
      <c r="Q932" s="33"/>
      <c r="R932" s="54" t="str">
        <f t="shared" si="149"/>
        <v/>
      </c>
      <c r="S932" s="30"/>
      <c r="T932" s="33"/>
    </row>
    <row r="933" spans="1:20" x14ac:dyDescent="0.25">
      <c r="A933" s="30"/>
      <c r="B933" s="37" t="str">
        <f t="shared" si="140"/>
        <v/>
      </c>
      <c r="C933" s="30"/>
      <c r="D933" s="34" t="str">
        <f t="shared" si="141"/>
        <v/>
      </c>
      <c r="E933" s="34" t="str">
        <f t="shared" si="142"/>
        <v/>
      </c>
      <c r="F933" s="34" t="str">
        <f t="shared" si="143"/>
        <v/>
      </c>
      <c r="G933" s="35" t="str">
        <f t="shared" si="144"/>
        <v/>
      </c>
      <c r="H933" s="30"/>
      <c r="I933" s="36" t="str">
        <f t="shared" si="145"/>
        <v/>
      </c>
      <c r="J933" s="34" t="str">
        <f t="shared" si="146"/>
        <v/>
      </c>
      <c r="K933" s="49"/>
      <c r="L933" s="55" t="str">
        <f t="shared" si="147"/>
        <v/>
      </c>
      <c r="M933" s="54" t="str">
        <f t="shared" si="148"/>
        <v/>
      </c>
      <c r="N933" s="30"/>
      <c r="O933" s="31"/>
      <c r="P933" s="53"/>
      <c r="Q933" s="33"/>
      <c r="R933" s="54" t="str">
        <f t="shared" si="149"/>
        <v/>
      </c>
      <c r="S933" s="30"/>
      <c r="T933" s="33"/>
    </row>
    <row r="934" spans="1:20" x14ac:dyDescent="0.25">
      <c r="A934" s="30"/>
      <c r="B934" s="37" t="str">
        <f t="shared" si="140"/>
        <v/>
      </c>
      <c r="C934" s="30"/>
      <c r="D934" s="34" t="str">
        <f t="shared" si="141"/>
        <v/>
      </c>
      <c r="E934" s="34" t="str">
        <f t="shared" si="142"/>
        <v/>
      </c>
      <c r="F934" s="34" t="str">
        <f t="shared" si="143"/>
        <v/>
      </c>
      <c r="G934" s="35" t="str">
        <f t="shared" si="144"/>
        <v/>
      </c>
      <c r="H934" s="30"/>
      <c r="I934" s="36" t="str">
        <f t="shared" si="145"/>
        <v/>
      </c>
      <c r="J934" s="34" t="str">
        <f t="shared" si="146"/>
        <v/>
      </c>
      <c r="K934" s="49"/>
      <c r="L934" s="55" t="str">
        <f t="shared" si="147"/>
        <v/>
      </c>
      <c r="M934" s="54" t="str">
        <f t="shared" si="148"/>
        <v/>
      </c>
      <c r="N934" s="30"/>
      <c r="O934" s="31"/>
      <c r="P934" s="53"/>
      <c r="Q934" s="33"/>
      <c r="R934" s="54" t="str">
        <f t="shared" si="149"/>
        <v/>
      </c>
      <c r="S934" s="30"/>
      <c r="T934" s="33"/>
    </row>
    <row r="935" spans="1:20" x14ac:dyDescent="0.25">
      <c r="A935" s="30"/>
      <c r="B935" s="37" t="str">
        <f t="shared" si="140"/>
        <v/>
      </c>
      <c r="C935" s="30"/>
      <c r="D935" s="34" t="str">
        <f t="shared" si="141"/>
        <v/>
      </c>
      <c r="E935" s="34" t="str">
        <f t="shared" si="142"/>
        <v/>
      </c>
      <c r="F935" s="34" t="str">
        <f t="shared" si="143"/>
        <v/>
      </c>
      <c r="G935" s="35" t="str">
        <f t="shared" si="144"/>
        <v/>
      </c>
      <c r="H935" s="30"/>
      <c r="I935" s="36" t="str">
        <f t="shared" si="145"/>
        <v/>
      </c>
      <c r="J935" s="34" t="str">
        <f t="shared" si="146"/>
        <v/>
      </c>
      <c r="K935" s="49"/>
      <c r="L935" s="55" t="str">
        <f t="shared" si="147"/>
        <v/>
      </c>
      <c r="M935" s="54" t="str">
        <f t="shared" si="148"/>
        <v/>
      </c>
      <c r="N935" s="30"/>
      <c r="O935" s="31"/>
      <c r="P935" s="53"/>
      <c r="Q935" s="33"/>
      <c r="R935" s="54" t="str">
        <f t="shared" si="149"/>
        <v/>
      </c>
      <c r="S935" s="30"/>
      <c r="T935" s="33"/>
    </row>
    <row r="936" spans="1:20" x14ac:dyDescent="0.25">
      <c r="A936" s="30"/>
      <c r="B936" s="37" t="str">
        <f t="shared" si="140"/>
        <v/>
      </c>
      <c r="C936" s="30"/>
      <c r="D936" s="34" t="str">
        <f t="shared" si="141"/>
        <v/>
      </c>
      <c r="E936" s="34" t="str">
        <f t="shared" si="142"/>
        <v/>
      </c>
      <c r="F936" s="34" t="str">
        <f t="shared" si="143"/>
        <v/>
      </c>
      <c r="G936" s="35" t="str">
        <f t="shared" si="144"/>
        <v/>
      </c>
      <c r="H936" s="30"/>
      <c r="I936" s="36" t="str">
        <f t="shared" si="145"/>
        <v/>
      </c>
      <c r="J936" s="34" t="str">
        <f t="shared" si="146"/>
        <v/>
      </c>
      <c r="K936" s="49"/>
      <c r="L936" s="55" t="str">
        <f t="shared" si="147"/>
        <v/>
      </c>
      <c r="M936" s="54" t="str">
        <f t="shared" si="148"/>
        <v/>
      </c>
      <c r="N936" s="30"/>
      <c r="O936" s="31"/>
      <c r="P936" s="53"/>
      <c r="Q936" s="33"/>
      <c r="R936" s="54" t="str">
        <f t="shared" si="149"/>
        <v/>
      </c>
      <c r="S936" s="30"/>
      <c r="T936" s="33"/>
    </row>
    <row r="937" spans="1:20" x14ac:dyDescent="0.25">
      <c r="A937" s="30"/>
      <c r="B937" s="37" t="str">
        <f t="shared" si="140"/>
        <v/>
      </c>
      <c r="C937" s="30"/>
      <c r="D937" s="34" t="str">
        <f t="shared" si="141"/>
        <v/>
      </c>
      <c r="E937" s="34" t="str">
        <f t="shared" si="142"/>
        <v/>
      </c>
      <c r="F937" s="34" t="str">
        <f t="shared" si="143"/>
        <v/>
      </c>
      <c r="G937" s="35" t="str">
        <f t="shared" si="144"/>
        <v/>
      </c>
      <c r="H937" s="30"/>
      <c r="I937" s="36" t="str">
        <f t="shared" si="145"/>
        <v/>
      </c>
      <c r="J937" s="34" t="str">
        <f t="shared" si="146"/>
        <v/>
      </c>
      <c r="K937" s="49"/>
      <c r="L937" s="55" t="str">
        <f t="shared" si="147"/>
        <v/>
      </c>
      <c r="M937" s="54" t="str">
        <f t="shared" si="148"/>
        <v/>
      </c>
      <c r="N937" s="30"/>
      <c r="O937" s="31"/>
      <c r="P937" s="53"/>
      <c r="Q937" s="33"/>
      <c r="R937" s="54" t="str">
        <f t="shared" si="149"/>
        <v/>
      </c>
      <c r="S937" s="30"/>
      <c r="T937" s="33"/>
    </row>
    <row r="938" spans="1:20" x14ac:dyDescent="0.25">
      <c r="A938" s="30"/>
      <c r="B938" s="37" t="str">
        <f t="shared" si="140"/>
        <v/>
      </c>
      <c r="C938" s="30"/>
      <c r="D938" s="34" t="str">
        <f t="shared" si="141"/>
        <v/>
      </c>
      <c r="E938" s="34" t="str">
        <f t="shared" si="142"/>
        <v/>
      </c>
      <c r="F938" s="34" t="str">
        <f t="shared" si="143"/>
        <v/>
      </c>
      <c r="G938" s="35" t="str">
        <f t="shared" si="144"/>
        <v/>
      </c>
      <c r="H938" s="30"/>
      <c r="I938" s="36" t="str">
        <f t="shared" si="145"/>
        <v/>
      </c>
      <c r="J938" s="34" t="str">
        <f t="shared" si="146"/>
        <v/>
      </c>
      <c r="K938" s="49"/>
      <c r="L938" s="55" t="str">
        <f t="shared" si="147"/>
        <v/>
      </c>
      <c r="M938" s="54" t="str">
        <f t="shared" si="148"/>
        <v/>
      </c>
      <c r="N938" s="30"/>
      <c r="O938" s="31"/>
      <c r="P938" s="53"/>
      <c r="Q938" s="33"/>
      <c r="R938" s="54" t="str">
        <f t="shared" si="149"/>
        <v/>
      </c>
      <c r="S938" s="30"/>
      <c r="T938" s="33"/>
    </row>
    <row r="939" spans="1:20" x14ac:dyDescent="0.25">
      <c r="A939" s="30"/>
      <c r="B939" s="37" t="str">
        <f t="shared" si="140"/>
        <v/>
      </c>
      <c r="C939" s="30"/>
      <c r="D939" s="34" t="str">
        <f t="shared" si="141"/>
        <v/>
      </c>
      <c r="E939" s="34" t="str">
        <f t="shared" si="142"/>
        <v/>
      </c>
      <c r="F939" s="34" t="str">
        <f t="shared" si="143"/>
        <v/>
      </c>
      <c r="G939" s="35" t="str">
        <f t="shared" si="144"/>
        <v/>
      </c>
      <c r="H939" s="30"/>
      <c r="I939" s="36" t="str">
        <f t="shared" si="145"/>
        <v/>
      </c>
      <c r="J939" s="34" t="str">
        <f t="shared" si="146"/>
        <v/>
      </c>
      <c r="K939" s="49"/>
      <c r="L939" s="55" t="str">
        <f t="shared" si="147"/>
        <v/>
      </c>
      <c r="M939" s="54" t="str">
        <f t="shared" si="148"/>
        <v/>
      </c>
      <c r="N939" s="30"/>
      <c r="O939" s="31"/>
      <c r="P939" s="53"/>
      <c r="Q939" s="33"/>
      <c r="R939" s="54" t="str">
        <f t="shared" si="149"/>
        <v/>
      </c>
      <c r="S939" s="30"/>
      <c r="T939" s="33"/>
    </row>
    <row r="940" spans="1:20" x14ac:dyDescent="0.25">
      <c r="A940" s="30"/>
      <c r="B940" s="37" t="str">
        <f t="shared" si="140"/>
        <v/>
      </c>
      <c r="C940" s="30"/>
      <c r="D940" s="34" t="str">
        <f t="shared" si="141"/>
        <v/>
      </c>
      <c r="E940" s="34" t="str">
        <f t="shared" si="142"/>
        <v/>
      </c>
      <c r="F940" s="34" t="str">
        <f t="shared" si="143"/>
        <v/>
      </c>
      <c r="G940" s="35" t="str">
        <f t="shared" si="144"/>
        <v/>
      </c>
      <c r="H940" s="30"/>
      <c r="I940" s="36" t="str">
        <f t="shared" si="145"/>
        <v/>
      </c>
      <c r="J940" s="34" t="str">
        <f t="shared" si="146"/>
        <v/>
      </c>
      <c r="K940" s="49"/>
      <c r="L940" s="55" t="str">
        <f t="shared" si="147"/>
        <v/>
      </c>
      <c r="M940" s="54" t="str">
        <f t="shared" si="148"/>
        <v/>
      </c>
      <c r="N940" s="30"/>
      <c r="O940" s="31"/>
      <c r="P940" s="53"/>
      <c r="Q940" s="33"/>
      <c r="R940" s="54" t="str">
        <f t="shared" si="149"/>
        <v/>
      </c>
      <c r="S940" s="30"/>
      <c r="T940" s="33"/>
    </row>
    <row r="941" spans="1:20" x14ac:dyDescent="0.25">
      <c r="A941" s="30"/>
      <c r="B941" s="37" t="str">
        <f t="shared" si="140"/>
        <v/>
      </c>
      <c r="C941" s="30"/>
      <c r="D941" s="34" t="str">
        <f t="shared" si="141"/>
        <v/>
      </c>
      <c r="E941" s="34" t="str">
        <f t="shared" si="142"/>
        <v/>
      </c>
      <c r="F941" s="34" t="str">
        <f t="shared" si="143"/>
        <v/>
      </c>
      <c r="G941" s="35" t="str">
        <f t="shared" si="144"/>
        <v/>
      </c>
      <c r="H941" s="30"/>
      <c r="I941" s="36" t="str">
        <f t="shared" si="145"/>
        <v/>
      </c>
      <c r="J941" s="34" t="str">
        <f t="shared" si="146"/>
        <v/>
      </c>
      <c r="K941" s="49"/>
      <c r="L941" s="55" t="str">
        <f t="shared" si="147"/>
        <v/>
      </c>
      <c r="M941" s="54" t="str">
        <f t="shared" si="148"/>
        <v/>
      </c>
      <c r="N941" s="30"/>
      <c r="O941" s="31"/>
      <c r="P941" s="53"/>
      <c r="Q941" s="33"/>
      <c r="R941" s="54" t="str">
        <f t="shared" si="149"/>
        <v/>
      </c>
      <c r="S941" s="30"/>
      <c r="T941" s="33"/>
    </row>
    <row r="942" spans="1:20" x14ac:dyDescent="0.25">
      <c r="A942" s="30"/>
      <c r="B942" s="37" t="str">
        <f t="shared" si="140"/>
        <v/>
      </c>
      <c r="C942" s="30"/>
      <c r="D942" s="34" t="str">
        <f t="shared" si="141"/>
        <v/>
      </c>
      <c r="E942" s="34" t="str">
        <f t="shared" si="142"/>
        <v/>
      </c>
      <c r="F942" s="34" t="str">
        <f t="shared" si="143"/>
        <v/>
      </c>
      <c r="G942" s="35" t="str">
        <f t="shared" si="144"/>
        <v/>
      </c>
      <c r="H942" s="30"/>
      <c r="I942" s="36" t="str">
        <f t="shared" si="145"/>
        <v/>
      </c>
      <c r="J942" s="34" t="str">
        <f t="shared" si="146"/>
        <v/>
      </c>
      <c r="K942" s="49"/>
      <c r="L942" s="55" t="str">
        <f t="shared" si="147"/>
        <v/>
      </c>
      <c r="M942" s="54" t="str">
        <f t="shared" si="148"/>
        <v/>
      </c>
      <c r="N942" s="30"/>
      <c r="O942" s="31"/>
      <c r="P942" s="53"/>
      <c r="Q942" s="33"/>
      <c r="R942" s="54" t="str">
        <f t="shared" si="149"/>
        <v/>
      </c>
      <c r="S942" s="30"/>
      <c r="T942" s="33"/>
    </row>
    <row r="943" spans="1:20" x14ac:dyDescent="0.25">
      <c r="A943" s="30"/>
      <c r="B943" s="37" t="str">
        <f t="shared" si="140"/>
        <v/>
      </c>
      <c r="C943" s="30"/>
      <c r="D943" s="34" t="str">
        <f t="shared" si="141"/>
        <v/>
      </c>
      <c r="E943" s="34" t="str">
        <f t="shared" si="142"/>
        <v/>
      </c>
      <c r="F943" s="34" t="str">
        <f t="shared" si="143"/>
        <v/>
      </c>
      <c r="G943" s="35" t="str">
        <f t="shared" si="144"/>
        <v/>
      </c>
      <c r="H943" s="30"/>
      <c r="I943" s="36" t="str">
        <f t="shared" si="145"/>
        <v/>
      </c>
      <c r="J943" s="34" t="str">
        <f t="shared" si="146"/>
        <v/>
      </c>
      <c r="K943" s="49"/>
      <c r="L943" s="55" t="str">
        <f t="shared" si="147"/>
        <v/>
      </c>
      <c r="M943" s="54" t="str">
        <f t="shared" si="148"/>
        <v/>
      </c>
      <c r="N943" s="30"/>
      <c r="O943" s="31"/>
      <c r="P943" s="53"/>
      <c r="Q943" s="33"/>
      <c r="R943" s="54" t="str">
        <f t="shared" si="149"/>
        <v/>
      </c>
      <c r="S943" s="30"/>
      <c r="T943" s="33"/>
    </row>
    <row r="944" spans="1:20" x14ac:dyDescent="0.25">
      <c r="A944" s="30"/>
      <c r="B944" s="37" t="str">
        <f t="shared" si="140"/>
        <v/>
      </c>
      <c r="C944" s="30"/>
      <c r="D944" s="34" t="str">
        <f t="shared" si="141"/>
        <v/>
      </c>
      <c r="E944" s="34" t="str">
        <f t="shared" si="142"/>
        <v/>
      </c>
      <c r="F944" s="34" t="str">
        <f t="shared" si="143"/>
        <v/>
      </c>
      <c r="G944" s="35" t="str">
        <f t="shared" si="144"/>
        <v/>
      </c>
      <c r="H944" s="30"/>
      <c r="I944" s="36" t="str">
        <f t="shared" si="145"/>
        <v/>
      </c>
      <c r="J944" s="34" t="str">
        <f t="shared" si="146"/>
        <v/>
      </c>
      <c r="K944" s="49"/>
      <c r="L944" s="55" t="str">
        <f t="shared" si="147"/>
        <v/>
      </c>
      <c r="M944" s="54" t="str">
        <f t="shared" si="148"/>
        <v/>
      </c>
      <c r="N944" s="30"/>
      <c r="O944" s="31"/>
      <c r="P944" s="53"/>
      <c r="Q944" s="33"/>
      <c r="R944" s="54" t="str">
        <f t="shared" si="149"/>
        <v/>
      </c>
      <c r="S944" s="30"/>
      <c r="T944" s="33"/>
    </row>
    <row r="945" spans="1:20" x14ac:dyDescent="0.25">
      <c r="A945" s="30"/>
      <c r="B945" s="37" t="str">
        <f t="shared" si="140"/>
        <v/>
      </c>
      <c r="C945" s="30"/>
      <c r="D945" s="34" t="str">
        <f t="shared" si="141"/>
        <v/>
      </c>
      <c r="E945" s="34" t="str">
        <f t="shared" si="142"/>
        <v/>
      </c>
      <c r="F945" s="34" t="str">
        <f t="shared" si="143"/>
        <v/>
      </c>
      <c r="G945" s="35" t="str">
        <f t="shared" si="144"/>
        <v/>
      </c>
      <c r="H945" s="30"/>
      <c r="I945" s="36" t="str">
        <f t="shared" si="145"/>
        <v/>
      </c>
      <c r="J945" s="34" t="str">
        <f t="shared" si="146"/>
        <v/>
      </c>
      <c r="K945" s="49"/>
      <c r="L945" s="55" t="str">
        <f t="shared" si="147"/>
        <v/>
      </c>
      <c r="M945" s="54" t="str">
        <f t="shared" si="148"/>
        <v/>
      </c>
      <c r="N945" s="30"/>
      <c r="O945" s="31"/>
      <c r="P945" s="53"/>
      <c r="Q945" s="33"/>
      <c r="R945" s="54" t="str">
        <f t="shared" si="149"/>
        <v/>
      </c>
      <c r="S945" s="30"/>
      <c r="T945" s="33"/>
    </row>
    <row r="946" spans="1:20" x14ac:dyDescent="0.25">
      <c r="A946" s="30"/>
      <c r="B946" s="37" t="str">
        <f t="shared" si="140"/>
        <v/>
      </c>
      <c r="C946" s="30"/>
      <c r="D946" s="34" t="str">
        <f t="shared" si="141"/>
        <v/>
      </c>
      <c r="E946" s="34" t="str">
        <f t="shared" si="142"/>
        <v/>
      </c>
      <c r="F946" s="34" t="str">
        <f t="shared" si="143"/>
        <v/>
      </c>
      <c r="G946" s="35" t="str">
        <f t="shared" si="144"/>
        <v/>
      </c>
      <c r="H946" s="30"/>
      <c r="I946" s="36" t="str">
        <f t="shared" si="145"/>
        <v/>
      </c>
      <c r="J946" s="34" t="str">
        <f t="shared" si="146"/>
        <v/>
      </c>
      <c r="K946" s="49"/>
      <c r="L946" s="55" t="str">
        <f t="shared" si="147"/>
        <v/>
      </c>
      <c r="M946" s="54" t="str">
        <f t="shared" si="148"/>
        <v/>
      </c>
      <c r="N946" s="30"/>
      <c r="O946" s="31"/>
      <c r="P946" s="53"/>
      <c r="Q946" s="33"/>
      <c r="R946" s="54" t="str">
        <f t="shared" si="149"/>
        <v/>
      </c>
      <c r="S946" s="30"/>
      <c r="T946" s="33"/>
    </row>
    <row r="947" spans="1:20" x14ac:dyDescent="0.25">
      <c r="A947" s="30"/>
      <c r="B947" s="37" t="str">
        <f t="shared" si="140"/>
        <v/>
      </c>
      <c r="C947" s="30"/>
      <c r="D947" s="34" t="str">
        <f t="shared" si="141"/>
        <v/>
      </c>
      <c r="E947" s="34" t="str">
        <f t="shared" si="142"/>
        <v/>
      </c>
      <c r="F947" s="34" t="str">
        <f t="shared" si="143"/>
        <v/>
      </c>
      <c r="G947" s="35" t="str">
        <f t="shared" si="144"/>
        <v/>
      </c>
      <c r="H947" s="30"/>
      <c r="I947" s="36" t="str">
        <f t="shared" si="145"/>
        <v/>
      </c>
      <c r="J947" s="34" t="str">
        <f t="shared" si="146"/>
        <v/>
      </c>
      <c r="K947" s="49"/>
      <c r="L947" s="55" t="str">
        <f t="shared" si="147"/>
        <v/>
      </c>
      <c r="M947" s="54" t="str">
        <f t="shared" si="148"/>
        <v/>
      </c>
      <c r="N947" s="30"/>
      <c r="O947" s="31"/>
      <c r="P947" s="53"/>
      <c r="Q947" s="33"/>
      <c r="R947" s="54" t="str">
        <f t="shared" si="149"/>
        <v/>
      </c>
      <c r="S947" s="30"/>
      <c r="T947" s="33"/>
    </row>
    <row r="948" spans="1:20" x14ac:dyDescent="0.25">
      <c r="A948" s="30"/>
      <c r="B948" s="37" t="str">
        <f t="shared" si="140"/>
        <v/>
      </c>
      <c r="C948" s="30"/>
      <c r="D948" s="34" t="str">
        <f t="shared" si="141"/>
        <v/>
      </c>
      <c r="E948" s="34" t="str">
        <f t="shared" si="142"/>
        <v/>
      </c>
      <c r="F948" s="34" t="str">
        <f t="shared" si="143"/>
        <v/>
      </c>
      <c r="G948" s="35" t="str">
        <f t="shared" si="144"/>
        <v/>
      </c>
      <c r="H948" s="30"/>
      <c r="I948" s="36" t="str">
        <f t="shared" si="145"/>
        <v/>
      </c>
      <c r="J948" s="34" t="str">
        <f t="shared" si="146"/>
        <v/>
      </c>
      <c r="K948" s="49"/>
      <c r="L948" s="55" t="str">
        <f t="shared" si="147"/>
        <v/>
      </c>
      <c r="M948" s="54" t="str">
        <f t="shared" si="148"/>
        <v/>
      </c>
      <c r="N948" s="30"/>
      <c r="O948" s="31"/>
      <c r="P948" s="53"/>
      <c r="Q948" s="33"/>
      <c r="R948" s="54" t="str">
        <f t="shared" si="149"/>
        <v/>
      </c>
      <c r="S948" s="30"/>
      <c r="T948" s="33"/>
    </row>
    <row r="949" spans="1:20" x14ac:dyDescent="0.25">
      <c r="A949" s="30"/>
      <c r="B949" s="37" t="str">
        <f t="shared" ref="B949:B1012" si="150">IF($G949="","",EOMONTH($G949,0))</f>
        <v/>
      </c>
      <c r="C949" s="30"/>
      <c r="D949" s="34" t="str">
        <f t="shared" ref="D949:D1012" si="151">IFERROR(IF($C949="","",VLOOKUP($C949,CAD_TAB,2,FALSE)),"")</f>
        <v/>
      </c>
      <c r="E949" s="34" t="str">
        <f t="shared" ref="E949:E1012" si="152">IFERROR(IF($C949="","",VLOOKUP($C949,CAD_TAB,3,FALSE)),"")</f>
        <v/>
      </c>
      <c r="F949" s="34" t="str">
        <f t="shared" ref="F949:F1012" si="153">IFERROR(IF($C949="","",VLOOKUP($C949,OS_TAB,7,FALSE)),"")</f>
        <v/>
      </c>
      <c r="G949" s="35" t="str">
        <f t="shared" ref="G949:G1012" si="154">IFERROR(IF($C949="","",VLOOKUP($C949,OS_TAB,10,FALSE)),"")</f>
        <v/>
      </c>
      <c r="H949" s="30"/>
      <c r="I949" s="36" t="str">
        <f t="shared" ref="I949:I1012" si="155">IFERROR(IF($H949="","",VLOOKUP($H949,PRE_TAB,5,FALSE)),"CÓDIGO NÃO ENCONTRADO")</f>
        <v/>
      </c>
      <c r="J949" s="34" t="str">
        <f t="shared" ref="J949:J1012" si="156">IFERROR(IF($H949="","",VLOOKUP($H949,PRE_TAB,7,FALSE)),"")</f>
        <v/>
      </c>
      <c r="K949" s="49"/>
      <c r="L949" s="55" t="str">
        <f t="shared" ref="L949:L1012" si="157">IFERROR(IF($H949="","",VLOOKUP($H949,PRE_TAB,8,FALSE)),0)</f>
        <v/>
      </c>
      <c r="M949" s="54" t="str">
        <f t="shared" ref="M949:M1012" si="158">IF($H949="","",ROUND($K949*$L949,2))</f>
        <v/>
      </c>
      <c r="N949" s="30"/>
      <c r="O949" s="31"/>
      <c r="P949" s="53"/>
      <c r="Q949" s="33"/>
      <c r="R949" s="54" t="str">
        <f t="shared" ref="R949:R1012" si="159">IF($H949="","",$M949-$P949)</f>
        <v/>
      </c>
      <c r="S949" s="30"/>
      <c r="T949" s="33"/>
    </row>
    <row r="950" spans="1:20" x14ac:dyDescent="0.25">
      <c r="A950" s="30"/>
      <c r="B950" s="37" t="str">
        <f t="shared" si="150"/>
        <v/>
      </c>
      <c r="C950" s="30"/>
      <c r="D950" s="34" t="str">
        <f t="shared" si="151"/>
        <v/>
      </c>
      <c r="E950" s="34" t="str">
        <f t="shared" si="152"/>
        <v/>
      </c>
      <c r="F950" s="34" t="str">
        <f t="shared" si="153"/>
        <v/>
      </c>
      <c r="G950" s="35" t="str">
        <f t="shared" si="154"/>
        <v/>
      </c>
      <c r="H950" s="30"/>
      <c r="I950" s="36" t="str">
        <f t="shared" si="155"/>
        <v/>
      </c>
      <c r="J950" s="34" t="str">
        <f t="shared" si="156"/>
        <v/>
      </c>
      <c r="K950" s="49"/>
      <c r="L950" s="55" t="str">
        <f t="shared" si="157"/>
        <v/>
      </c>
      <c r="M950" s="54" t="str">
        <f t="shared" si="158"/>
        <v/>
      </c>
      <c r="N950" s="30"/>
      <c r="O950" s="31"/>
      <c r="P950" s="53"/>
      <c r="Q950" s="33"/>
      <c r="R950" s="54" t="str">
        <f t="shared" si="159"/>
        <v/>
      </c>
      <c r="S950" s="30"/>
      <c r="T950" s="33"/>
    </row>
    <row r="951" spans="1:20" x14ac:dyDescent="0.25">
      <c r="A951" s="30"/>
      <c r="B951" s="37" t="str">
        <f t="shared" si="150"/>
        <v/>
      </c>
      <c r="C951" s="30"/>
      <c r="D951" s="34" t="str">
        <f t="shared" si="151"/>
        <v/>
      </c>
      <c r="E951" s="34" t="str">
        <f t="shared" si="152"/>
        <v/>
      </c>
      <c r="F951" s="34" t="str">
        <f t="shared" si="153"/>
        <v/>
      </c>
      <c r="G951" s="35" t="str">
        <f t="shared" si="154"/>
        <v/>
      </c>
      <c r="H951" s="30"/>
      <c r="I951" s="36" t="str">
        <f t="shared" si="155"/>
        <v/>
      </c>
      <c r="J951" s="34" t="str">
        <f t="shared" si="156"/>
        <v/>
      </c>
      <c r="K951" s="49"/>
      <c r="L951" s="55" t="str">
        <f t="shared" si="157"/>
        <v/>
      </c>
      <c r="M951" s="54" t="str">
        <f t="shared" si="158"/>
        <v/>
      </c>
      <c r="N951" s="30"/>
      <c r="O951" s="31"/>
      <c r="P951" s="53"/>
      <c r="Q951" s="33"/>
      <c r="R951" s="54" t="str">
        <f t="shared" si="159"/>
        <v/>
      </c>
      <c r="S951" s="30"/>
      <c r="T951" s="33"/>
    </row>
    <row r="952" spans="1:20" x14ac:dyDescent="0.25">
      <c r="A952" s="30"/>
      <c r="B952" s="37" t="str">
        <f t="shared" si="150"/>
        <v/>
      </c>
      <c r="C952" s="30"/>
      <c r="D952" s="34" t="str">
        <f t="shared" si="151"/>
        <v/>
      </c>
      <c r="E952" s="34" t="str">
        <f t="shared" si="152"/>
        <v/>
      </c>
      <c r="F952" s="34" t="str">
        <f t="shared" si="153"/>
        <v/>
      </c>
      <c r="G952" s="35" t="str">
        <f t="shared" si="154"/>
        <v/>
      </c>
      <c r="H952" s="30"/>
      <c r="I952" s="36" t="str">
        <f t="shared" si="155"/>
        <v/>
      </c>
      <c r="J952" s="34" t="str">
        <f t="shared" si="156"/>
        <v/>
      </c>
      <c r="K952" s="49"/>
      <c r="L952" s="55" t="str">
        <f t="shared" si="157"/>
        <v/>
      </c>
      <c r="M952" s="54" t="str">
        <f t="shared" si="158"/>
        <v/>
      </c>
      <c r="N952" s="30"/>
      <c r="O952" s="31"/>
      <c r="P952" s="53"/>
      <c r="Q952" s="33"/>
      <c r="R952" s="54" t="str">
        <f t="shared" si="159"/>
        <v/>
      </c>
      <c r="S952" s="30"/>
      <c r="T952" s="33"/>
    </row>
    <row r="953" spans="1:20" x14ac:dyDescent="0.25">
      <c r="A953" s="30"/>
      <c r="B953" s="37" t="str">
        <f t="shared" si="150"/>
        <v/>
      </c>
      <c r="C953" s="30"/>
      <c r="D953" s="34" t="str">
        <f t="shared" si="151"/>
        <v/>
      </c>
      <c r="E953" s="34" t="str">
        <f t="shared" si="152"/>
        <v/>
      </c>
      <c r="F953" s="34" t="str">
        <f t="shared" si="153"/>
        <v/>
      </c>
      <c r="G953" s="35" t="str">
        <f t="shared" si="154"/>
        <v/>
      </c>
      <c r="H953" s="30"/>
      <c r="I953" s="36" t="str">
        <f t="shared" si="155"/>
        <v/>
      </c>
      <c r="J953" s="34" t="str">
        <f t="shared" si="156"/>
        <v/>
      </c>
      <c r="K953" s="49"/>
      <c r="L953" s="55" t="str">
        <f t="shared" si="157"/>
        <v/>
      </c>
      <c r="M953" s="54" t="str">
        <f t="shared" si="158"/>
        <v/>
      </c>
      <c r="N953" s="30"/>
      <c r="O953" s="31"/>
      <c r="P953" s="53"/>
      <c r="Q953" s="33"/>
      <c r="R953" s="54" t="str">
        <f t="shared" si="159"/>
        <v/>
      </c>
      <c r="S953" s="30"/>
      <c r="T953" s="33"/>
    </row>
    <row r="954" spans="1:20" x14ac:dyDescent="0.25">
      <c r="A954" s="30"/>
      <c r="B954" s="37" t="str">
        <f t="shared" si="150"/>
        <v/>
      </c>
      <c r="C954" s="30"/>
      <c r="D954" s="34" t="str">
        <f t="shared" si="151"/>
        <v/>
      </c>
      <c r="E954" s="34" t="str">
        <f t="shared" si="152"/>
        <v/>
      </c>
      <c r="F954" s="34" t="str">
        <f t="shared" si="153"/>
        <v/>
      </c>
      <c r="G954" s="35" t="str">
        <f t="shared" si="154"/>
        <v/>
      </c>
      <c r="H954" s="30"/>
      <c r="I954" s="36" t="str">
        <f t="shared" si="155"/>
        <v/>
      </c>
      <c r="J954" s="34" t="str">
        <f t="shared" si="156"/>
        <v/>
      </c>
      <c r="K954" s="49"/>
      <c r="L954" s="55" t="str">
        <f t="shared" si="157"/>
        <v/>
      </c>
      <c r="M954" s="54" t="str">
        <f t="shared" si="158"/>
        <v/>
      </c>
      <c r="N954" s="30"/>
      <c r="O954" s="31"/>
      <c r="P954" s="53"/>
      <c r="Q954" s="33"/>
      <c r="R954" s="54" t="str">
        <f t="shared" si="159"/>
        <v/>
      </c>
      <c r="S954" s="30"/>
      <c r="T954" s="33"/>
    </row>
    <row r="955" spans="1:20" x14ac:dyDescent="0.25">
      <c r="A955" s="30"/>
      <c r="B955" s="37" t="str">
        <f t="shared" si="150"/>
        <v/>
      </c>
      <c r="C955" s="30"/>
      <c r="D955" s="34" t="str">
        <f t="shared" si="151"/>
        <v/>
      </c>
      <c r="E955" s="34" t="str">
        <f t="shared" si="152"/>
        <v/>
      </c>
      <c r="F955" s="34" t="str">
        <f t="shared" si="153"/>
        <v/>
      </c>
      <c r="G955" s="35" t="str">
        <f t="shared" si="154"/>
        <v/>
      </c>
      <c r="H955" s="30"/>
      <c r="I955" s="36" t="str">
        <f t="shared" si="155"/>
        <v/>
      </c>
      <c r="J955" s="34" t="str">
        <f t="shared" si="156"/>
        <v/>
      </c>
      <c r="K955" s="49"/>
      <c r="L955" s="55" t="str">
        <f t="shared" si="157"/>
        <v/>
      </c>
      <c r="M955" s="54" t="str">
        <f t="shared" si="158"/>
        <v/>
      </c>
      <c r="N955" s="30"/>
      <c r="O955" s="31"/>
      <c r="P955" s="53"/>
      <c r="Q955" s="33"/>
      <c r="R955" s="54" t="str">
        <f t="shared" si="159"/>
        <v/>
      </c>
      <c r="S955" s="30"/>
      <c r="T955" s="33"/>
    </row>
    <row r="956" spans="1:20" x14ac:dyDescent="0.25">
      <c r="A956" s="30"/>
      <c r="B956" s="37" t="str">
        <f t="shared" si="150"/>
        <v/>
      </c>
      <c r="C956" s="30"/>
      <c r="D956" s="34" t="str">
        <f t="shared" si="151"/>
        <v/>
      </c>
      <c r="E956" s="34" t="str">
        <f t="shared" si="152"/>
        <v/>
      </c>
      <c r="F956" s="34" t="str">
        <f t="shared" si="153"/>
        <v/>
      </c>
      <c r="G956" s="35" t="str">
        <f t="shared" si="154"/>
        <v/>
      </c>
      <c r="H956" s="30"/>
      <c r="I956" s="36" t="str">
        <f t="shared" si="155"/>
        <v/>
      </c>
      <c r="J956" s="34" t="str">
        <f t="shared" si="156"/>
        <v/>
      </c>
      <c r="K956" s="49"/>
      <c r="L956" s="55" t="str">
        <f t="shared" si="157"/>
        <v/>
      </c>
      <c r="M956" s="54" t="str">
        <f t="shared" si="158"/>
        <v/>
      </c>
      <c r="N956" s="30"/>
      <c r="O956" s="31"/>
      <c r="P956" s="53"/>
      <c r="Q956" s="33"/>
      <c r="R956" s="54" t="str">
        <f t="shared" si="159"/>
        <v/>
      </c>
      <c r="S956" s="30"/>
      <c r="T956" s="33"/>
    </row>
    <row r="957" spans="1:20" x14ac:dyDescent="0.25">
      <c r="A957" s="30"/>
      <c r="B957" s="37" t="str">
        <f t="shared" si="150"/>
        <v/>
      </c>
      <c r="C957" s="30"/>
      <c r="D957" s="34" t="str">
        <f t="shared" si="151"/>
        <v/>
      </c>
      <c r="E957" s="34" t="str">
        <f t="shared" si="152"/>
        <v/>
      </c>
      <c r="F957" s="34" t="str">
        <f t="shared" si="153"/>
        <v/>
      </c>
      <c r="G957" s="35" t="str">
        <f t="shared" si="154"/>
        <v/>
      </c>
      <c r="H957" s="30"/>
      <c r="I957" s="36" t="str">
        <f t="shared" si="155"/>
        <v/>
      </c>
      <c r="J957" s="34" t="str">
        <f t="shared" si="156"/>
        <v/>
      </c>
      <c r="K957" s="49"/>
      <c r="L957" s="55" t="str">
        <f t="shared" si="157"/>
        <v/>
      </c>
      <c r="M957" s="54" t="str">
        <f t="shared" si="158"/>
        <v/>
      </c>
      <c r="N957" s="30"/>
      <c r="O957" s="31"/>
      <c r="P957" s="53"/>
      <c r="Q957" s="33"/>
      <c r="R957" s="54" t="str">
        <f t="shared" si="159"/>
        <v/>
      </c>
      <c r="S957" s="30"/>
      <c r="T957" s="33"/>
    </row>
    <row r="958" spans="1:20" x14ac:dyDescent="0.25">
      <c r="A958" s="30"/>
      <c r="B958" s="37" t="str">
        <f t="shared" si="150"/>
        <v/>
      </c>
      <c r="C958" s="30"/>
      <c r="D958" s="34" t="str">
        <f t="shared" si="151"/>
        <v/>
      </c>
      <c r="E958" s="34" t="str">
        <f t="shared" si="152"/>
        <v/>
      </c>
      <c r="F958" s="34" t="str">
        <f t="shared" si="153"/>
        <v/>
      </c>
      <c r="G958" s="35" t="str">
        <f t="shared" si="154"/>
        <v/>
      </c>
      <c r="H958" s="30"/>
      <c r="I958" s="36" t="str">
        <f t="shared" si="155"/>
        <v/>
      </c>
      <c r="J958" s="34" t="str">
        <f t="shared" si="156"/>
        <v/>
      </c>
      <c r="K958" s="49"/>
      <c r="L958" s="55" t="str">
        <f t="shared" si="157"/>
        <v/>
      </c>
      <c r="M958" s="54" t="str">
        <f t="shared" si="158"/>
        <v/>
      </c>
      <c r="N958" s="30"/>
      <c r="O958" s="31"/>
      <c r="P958" s="53"/>
      <c r="Q958" s="33"/>
      <c r="R958" s="54" t="str">
        <f t="shared" si="159"/>
        <v/>
      </c>
      <c r="S958" s="30"/>
      <c r="T958" s="33"/>
    </row>
    <row r="959" spans="1:20" x14ac:dyDescent="0.25">
      <c r="A959" s="30"/>
      <c r="B959" s="37" t="str">
        <f t="shared" si="150"/>
        <v/>
      </c>
      <c r="C959" s="30"/>
      <c r="D959" s="34" t="str">
        <f t="shared" si="151"/>
        <v/>
      </c>
      <c r="E959" s="34" t="str">
        <f t="shared" si="152"/>
        <v/>
      </c>
      <c r="F959" s="34" t="str">
        <f t="shared" si="153"/>
        <v/>
      </c>
      <c r="G959" s="35" t="str">
        <f t="shared" si="154"/>
        <v/>
      </c>
      <c r="H959" s="30"/>
      <c r="I959" s="36" t="str">
        <f t="shared" si="155"/>
        <v/>
      </c>
      <c r="J959" s="34" t="str">
        <f t="shared" si="156"/>
        <v/>
      </c>
      <c r="K959" s="49"/>
      <c r="L959" s="55" t="str">
        <f t="shared" si="157"/>
        <v/>
      </c>
      <c r="M959" s="54" t="str">
        <f t="shared" si="158"/>
        <v/>
      </c>
      <c r="N959" s="30"/>
      <c r="O959" s="31"/>
      <c r="P959" s="53"/>
      <c r="Q959" s="33"/>
      <c r="R959" s="54" t="str">
        <f t="shared" si="159"/>
        <v/>
      </c>
      <c r="S959" s="30"/>
      <c r="T959" s="33"/>
    </row>
    <row r="960" spans="1:20" x14ac:dyDescent="0.25">
      <c r="A960" s="30"/>
      <c r="B960" s="37" t="str">
        <f t="shared" si="150"/>
        <v/>
      </c>
      <c r="C960" s="30"/>
      <c r="D960" s="34" t="str">
        <f t="shared" si="151"/>
        <v/>
      </c>
      <c r="E960" s="34" t="str">
        <f t="shared" si="152"/>
        <v/>
      </c>
      <c r="F960" s="34" t="str">
        <f t="shared" si="153"/>
        <v/>
      </c>
      <c r="G960" s="35" t="str">
        <f t="shared" si="154"/>
        <v/>
      </c>
      <c r="H960" s="30"/>
      <c r="I960" s="36" t="str">
        <f t="shared" si="155"/>
        <v/>
      </c>
      <c r="J960" s="34" t="str">
        <f t="shared" si="156"/>
        <v/>
      </c>
      <c r="K960" s="49"/>
      <c r="L960" s="55" t="str">
        <f t="shared" si="157"/>
        <v/>
      </c>
      <c r="M960" s="54" t="str">
        <f t="shared" si="158"/>
        <v/>
      </c>
      <c r="N960" s="30"/>
      <c r="O960" s="31"/>
      <c r="P960" s="53"/>
      <c r="Q960" s="33"/>
      <c r="R960" s="54" t="str">
        <f t="shared" si="159"/>
        <v/>
      </c>
      <c r="S960" s="30"/>
      <c r="T960" s="33"/>
    </row>
    <row r="961" spans="1:20" x14ac:dyDescent="0.25">
      <c r="A961" s="30"/>
      <c r="B961" s="37" t="str">
        <f t="shared" si="150"/>
        <v/>
      </c>
      <c r="C961" s="30"/>
      <c r="D961" s="34" t="str">
        <f t="shared" si="151"/>
        <v/>
      </c>
      <c r="E961" s="34" t="str">
        <f t="shared" si="152"/>
        <v/>
      </c>
      <c r="F961" s="34" t="str">
        <f t="shared" si="153"/>
        <v/>
      </c>
      <c r="G961" s="35" t="str">
        <f t="shared" si="154"/>
        <v/>
      </c>
      <c r="H961" s="30"/>
      <c r="I961" s="36" t="str">
        <f t="shared" si="155"/>
        <v/>
      </c>
      <c r="J961" s="34" t="str">
        <f t="shared" si="156"/>
        <v/>
      </c>
      <c r="K961" s="49"/>
      <c r="L961" s="55" t="str">
        <f t="shared" si="157"/>
        <v/>
      </c>
      <c r="M961" s="54" t="str">
        <f t="shared" si="158"/>
        <v/>
      </c>
      <c r="N961" s="30"/>
      <c r="O961" s="31"/>
      <c r="P961" s="53"/>
      <c r="Q961" s="33"/>
      <c r="R961" s="54" t="str">
        <f t="shared" si="159"/>
        <v/>
      </c>
      <c r="S961" s="30"/>
      <c r="T961" s="33"/>
    </row>
    <row r="962" spans="1:20" x14ac:dyDescent="0.25">
      <c r="A962" s="30"/>
      <c r="B962" s="37" t="str">
        <f t="shared" si="150"/>
        <v/>
      </c>
      <c r="C962" s="30"/>
      <c r="D962" s="34" t="str">
        <f t="shared" si="151"/>
        <v/>
      </c>
      <c r="E962" s="34" t="str">
        <f t="shared" si="152"/>
        <v/>
      </c>
      <c r="F962" s="34" t="str">
        <f t="shared" si="153"/>
        <v/>
      </c>
      <c r="G962" s="35" t="str">
        <f t="shared" si="154"/>
        <v/>
      </c>
      <c r="H962" s="30"/>
      <c r="I962" s="36" t="str">
        <f t="shared" si="155"/>
        <v/>
      </c>
      <c r="J962" s="34" t="str">
        <f t="shared" si="156"/>
        <v/>
      </c>
      <c r="K962" s="49"/>
      <c r="L962" s="55" t="str">
        <f t="shared" si="157"/>
        <v/>
      </c>
      <c r="M962" s="54" t="str">
        <f t="shared" si="158"/>
        <v/>
      </c>
      <c r="N962" s="30"/>
      <c r="O962" s="31"/>
      <c r="P962" s="53"/>
      <c r="Q962" s="33"/>
      <c r="R962" s="54" t="str">
        <f t="shared" si="159"/>
        <v/>
      </c>
      <c r="S962" s="30"/>
      <c r="T962" s="33"/>
    </row>
    <row r="963" spans="1:20" x14ac:dyDescent="0.25">
      <c r="A963" s="30"/>
      <c r="B963" s="37" t="str">
        <f t="shared" si="150"/>
        <v/>
      </c>
      <c r="C963" s="30"/>
      <c r="D963" s="34" t="str">
        <f t="shared" si="151"/>
        <v/>
      </c>
      <c r="E963" s="34" t="str">
        <f t="shared" si="152"/>
        <v/>
      </c>
      <c r="F963" s="34" t="str">
        <f t="shared" si="153"/>
        <v/>
      </c>
      <c r="G963" s="35" t="str">
        <f t="shared" si="154"/>
        <v/>
      </c>
      <c r="H963" s="30"/>
      <c r="I963" s="36" t="str">
        <f t="shared" si="155"/>
        <v/>
      </c>
      <c r="J963" s="34" t="str">
        <f t="shared" si="156"/>
        <v/>
      </c>
      <c r="K963" s="49"/>
      <c r="L963" s="55" t="str">
        <f t="shared" si="157"/>
        <v/>
      </c>
      <c r="M963" s="54" t="str">
        <f t="shared" si="158"/>
        <v/>
      </c>
      <c r="N963" s="30"/>
      <c r="O963" s="31"/>
      <c r="P963" s="53"/>
      <c r="Q963" s="33"/>
      <c r="R963" s="54" t="str">
        <f t="shared" si="159"/>
        <v/>
      </c>
      <c r="S963" s="30"/>
      <c r="T963" s="33"/>
    </row>
    <row r="964" spans="1:20" x14ac:dyDescent="0.25">
      <c r="A964" s="30"/>
      <c r="B964" s="37" t="str">
        <f t="shared" si="150"/>
        <v/>
      </c>
      <c r="C964" s="30"/>
      <c r="D964" s="34" t="str">
        <f t="shared" si="151"/>
        <v/>
      </c>
      <c r="E964" s="34" t="str">
        <f t="shared" si="152"/>
        <v/>
      </c>
      <c r="F964" s="34" t="str">
        <f t="shared" si="153"/>
        <v/>
      </c>
      <c r="G964" s="35" t="str">
        <f t="shared" si="154"/>
        <v/>
      </c>
      <c r="H964" s="30"/>
      <c r="I964" s="36" t="str">
        <f t="shared" si="155"/>
        <v/>
      </c>
      <c r="J964" s="34" t="str">
        <f t="shared" si="156"/>
        <v/>
      </c>
      <c r="K964" s="49"/>
      <c r="L964" s="55" t="str">
        <f t="shared" si="157"/>
        <v/>
      </c>
      <c r="M964" s="54" t="str">
        <f t="shared" si="158"/>
        <v/>
      </c>
      <c r="N964" s="30"/>
      <c r="O964" s="31"/>
      <c r="P964" s="53"/>
      <c r="Q964" s="33"/>
      <c r="R964" s="54" t="str">
        <f t="shared" si="159"/>
        <v/>
      </c>
      <c r="S964" s="30"/>
      <c r="T964" s="33"/>
    </row>
    <row r="965" spans="1:20" x14ac:dyDescent="0.25">
      <c r="A965" s="30"/>
      <c r="B965" s="37" t="str">
        <f t="shared" si="150"/>
        <v/>
      </c>
      <c r="C965" s="30"/>
      <c r="D965" s="34" t="str">
        <f t="shared" si="151"/>
        <v/>
      </c>
      <c r="E965" s="34" t="str">
        <f t="shared" si="152"/>
        <v/>
      </c>
      <c r="F965" s="34" t="str">
        <f t="shared" si="153"/>
        <v/>
      </c>
      <c r="G965" s="35" t="str">
        <f t="shared" si="154"/>
        <v/>
      </c>
      <c r="H965" s="30"/>
      <c r="I965" s="36" t="str">
        <f t="shared" si="155"/>
        <v/>
      </c>
      <c r="J965" s="34" t="str">
        <f t="shared" si="156"/>
        <v/>
      </c>
      <c r="K965" s="49"/>
      <c r="L965" s="55" t="str">
        <f t="shared" si="157"/>
        <v/>
      </c>
      <c r="M965" s="54" t="str">
        <f t="shared" si="158"/>
        <v/>
      </c>
      <c r="N965" s="30"/>
      <c r="O965" s="31"/>
      <c r="P965" s="53"/>
      <c r="Q965" s="33"/>
      <c r="R965" s="54" t="str">
        <f t="shared" si="159"/>
        <v/>
      </c>
      <c r="S965" s="30"/>
      <c r="T965" s="33"/>
    </row>
    <row r="966" spans="1:20" x14ac:dyDescent="0.25">
      <c r="A966" s="30"/>
      <c r="B966" s="37" t="str">
        <f t="shared" si="150"/>
        <v/>
      </c>
      <c r="C966" s="30"/>
      <c r="D966" s="34" t="str">
        <f t="shared" si="151"/>
        <v/>
      </c>
      <c r="E966" s="34" t="str">
        <f t="shared" si="152"/>
        <v/>
      </c>
      <c r="F966" s="34" t="str">
        <f t="shared" si="153"/>
        <v/>
      </c>
      <c r="G966" s="35" t="str">
        <f t="shared" si="154"/>
        <v/>
      </c>
      <c r="H966" s="30"/>
      <c r="I966" s="36" t="str">
        <f t="shared" si="155"/>
        <v/>
      </c>
      <c r="J966" s="34" t="str">
        <f t="shared" si="156"/>
        <v/>
      </c>
      <c r="K966" s="49"/>
      <c r="L966" s="55" t="str">
        <f t="shared" si="157"/>
        <v/>
      </c>
      <c r="M966" s="54" t="str">
        <f t="shared" si="158"/>
        <v/>
      </c>
      <c r="N966" s="30"/>
      <c r="O966" s="31"/>
      <c r="P966" s="53"/>
      <c r="Q966" s="33"/>
      <c r="R966" s="54" t="str">
        <f t="shared" si="159"/>
        <v/>
      </c>
      <c r="S966" s="30"/>
      <c r="T966" s="33"/>
    </row>
    <row r="967" spans="1:20" x14ac:dyDescent="0.25">
      <c r="A967" s="30"/>
      <c r="B967" s="37" t="str">
        <f t="shared" si="150"/>
        <v/>
      </c>
      <c r="C967" s="30"/>
      <c r="D967" s="34" t="str">
        <f t="shared" si="151"/>
        <v/>
      </c>
      <c r="E967" s="34" t="str">
        <f t="shared" si="152"/>
        <v/>
      </c>
      <c r="F967" s="34" t="str">
        <f t="shared" si="153"/>
        <v/>
      </c>
      <c r="G967" s="35" t="str">
        <f t="shared" si="154"/>
        <v/>
      </c>
      <c r="H967" s="30"/>
      <c r="I967" s="36" t="str">
        <f t="shared" si="155"/>
        <v/>
      </c>
      <c r="J967" s="34" t="str">
        <f t="shared" si="156"/>
        <v/>
      </c>
      <c r="K967" s="49"/>
      <c r="L967" s="55" t="str">
        <f t="shared" si="157"/>
        <v/>
      </c>
      <c r="M967" s="54" t="str">
        <f t="shared" si="158"/>
        <v/>
      </c>
      <c r="N967" s="30"/>
      <c r="O967" s="31"/>
      <c r="P967" s="53"/>
      <c r="Q967" s="33"/>
      <c r="R967" s="54" t="str">
        <f t="shared" si="159"/>
        <v/>
      </c>
      <c r="S967" s="30"/>
      <c r="T967" s="33"/>
    </row>
    <row r="968" spans="1:20" x14ac:dyDescent="0.25">
      <c r="A968" s="30"/>
      <c r="B968" s="37" t="str">
        <f t="shared" si="150"/>
        <v/>
      </c>
      <c r="C968" s="30"/>
      <c r="D968" s="34" t="str">
        <f t="shared" si="151"/>
        <v/>
      </c>
      <c r="E968" s="34" t="str">
        <f t="shared" si="152"/>
        <v/>
      </c>
      <c r="F968" s="34" t="str">
        <f t="shared" si="153"/>
        <v/>
      </c>
      <c r="G968" s="35" t="str">
        <f t="shared" si="154"/>
        <v/>
      </c>
      <c r="H968" s="30"/>
      <c r="I968" s="36" t="str">
        <f t="shared" si="155"/>
        <v/>
      </c>
      <c r="J968" s="34" t="str">
        <f t="shared" si="156"/>
        <v/>
      </c>
      <c r="K968" s="49"/>
      <c r="L968" s="55" t="str">
        <f t="shared" si="157"/>
        <v/>
      </c>
      <c r="M968" s="54" t="str">
        <f t="shared" si="158"/>
        <v/>
      </c>
      <c r="N968" s="30"/>
      <c r="O968" s="31"/>
      <c r="P968" s="53"/>
      <c r="Q968" s="33"/>
      <c r="R968" s="54" t="str">
        <f t="shared" si="159"/>
        <v/>
      </c>
      <c r="S968" s="30"/>
      <c r="T968" s="33"/>
    </row>
    <row r="969" spans="1:20" x14ac:dyDescent="0.25">
      <c r="A969" s="30"/>
      <c r="B969" s="37" t="str">
        <f t="shared" si="150"/>
        <v/>
      </c>
      <c r="C969" s="30"/>
      <c r="D969" s="34" t="str">
        <f t="shared" si="151"/>
        <v/>
      </c>
      <c r="E969" s="34" t="str">
        <f t="shared" si="152"/>
        <v/>
      </c>
      <c r="F969" s="34" t="str">
        <f t="shared" si="153"/>
        <v/>
      </c>
      <c r="G969" s="35" t="str">
        <f t="shared" si="154"/>
        <v/>
      </c>
      <c r="H969" s="30"/>
      <c r="I969" s="36" t="str">
        <f t="shared" si="155"/>
        <v/>
      </c>
      <c r="J969" s="34" t="str">
        <f t="shared" si="156"/>
        <v/>
      </c>
      <c r="K969" s="49"/>
      <c r="L969" s="55" t="str">
        <f t="shared" si="157"/>
        <v/>
      </c>
      <c r="M969" s="54" t="str">
        <f t="shared" si="158"/>
        <v/>
      </c>
      <c r="N969" s="30"/>
      <c r="O969" s="31"/>
      <c r="P969" s="53"/>
      <c r="Q969" s="33"/>
      <c r="R969" s="54" t="str">
        <f t="shared" si="159"/>
        <v/>
      </c>
      <c r="S969" s="30"/>
      <c r="T969" s="33"/>
    </row>
    <row r="970" spans="1:20" x14ac:dyDescent="0.25">
      <c r="A970" s="30"/>
      <c r="B970" s="37" t="str">
        <f t="shared" si="150"/>
        <v/>
      </c>
      <c r="C970" s="30"/>
      <c r="D970" s="34" t="str">
        <f t="shared" si="151"/>
        <v/>
      </c>
      <c r="E970" s="34" t="str">
        <f t="shared" si="152"/>
        <v/>
      </c>
      <c r="F970" s="34" t="str">
        <f t="shared" si="153"/>
        <v/>
      </c>
      <c r="G970" s="35" t="str">
        <f t="shared" si="154"/>
        <v/>
      </c>
      <c r="H970" s="30"/>
      <c r="I970" s="36" t="str">
        <f t="shared" si="155"/>
        <v/>
      </c>
      <c r="J970" s="34" t="str">
        <f t="shared" si="156"/>
        <v/>
      </c>
      <c r="K970" s="49"/>
      <c r="L970" s="55" t="str">
        <f t="shared" si="157"/>
        <v/>
      </c>
      <c r="M970" s="54" t="str">
        <f t="shared" si="158"/>
        <v/>
      </c>
      <c r="N970" s="30"/>
      <c r="O970" s="31"/>
      <c r="P970" s="53"/>
      <c r="Q970" s="33"/>
      <c r="R970" s="54" t="str">
        <f t="shared" si="159"/>
        <v/>
      </c>
      <c r="S970" s="30"/>
      <c r="T970" s="33"/>
    </row>
    <row r="971" spans="1:20" x14ac:dyDescent="0.25">
      <c r="A971" s="30"/>
      <c r="B971" s="37" t="str">
        <f t="shared" si="150"/>
        <v/>
      </c>
      <c r="C971" s="30"/>
      <c r="D971" s="34" t="str">
        <f t="shared" si="151"/>
        <v/>
      </c>
      <c r="E971" s="34" t="str">
        <f t="shared" si="152"/>
        <v/>
      </c>
      <c r="F971" s="34" t="str">
        <f t="shared" si="153"/>
        <v/>
      </c>
      <c r="G971" s="35" t="str">
        <f t="shared" si="154"/>
        <v/>
      </c>
      <c r="H971" s="30"/>
      <c r="I971" s="36" t="str">
        <f t="shared" si="155"/>
        <v/>
      </c>
      <c r="J971" s="34" t="str">
        <f t="shared" si="156"/>
        <v/>
      </c>
      <c r="K971" s="49"/>
      <c r="L971" s="55" t="str">
        <f t="shared" si="157"/>
        <v/>
      </c>
      <c r="M971" s="54" t="str">
        <f t="shared" si="158"/>
        <v/>
      </c>
      <c r="N971" s="30"/>
      <c r="O971" s="31"/>
      <c r="P971" s="53"/>
      <c r="Q971" s="33"/>
      <c r="R971" s="54" t="str">
        <f t="shared" si="159"/>
        <v/>
      </c>
      <c r="S971" s="30"/>
      <c r="T971" s="33"/>
    </row>
    <row r="972" spans="1:20" x14ac:dyDescent="0.25">
      <c r="A972" s="30"/>
      <c r="B972" s="37" t="str">
        <f t="shared" si="150"/>
        <v/>
      </c>
      <c r="C972" s="30"/>
      <c r="D972" s="34" t="str">
        <f t="shared" si="151"/>
        <v/>
      </c>
      <c r="E972" s="34" t="str">
        <f t="shared" si="152"/>
        <v/>
      </c>
      <c r="F972" s="34" t="str">
        <f t="shared" si="153"/>
        <v/>
      </c>
      <c r="G972" s="35" t="str">
        <f t="shared" si="154"/>
        <v/>
      </c>
      <c r="H972" s="30"/>
      <c r="I972" s="36" t="str">
        <f t="shared" si="155"/>
        <v/>
      </c>
      <c r="J972" s="34" t="str">
        <f t="shared" si="156"/>
        <v/>
      </c>
      <c r="K972" s="49"/>
      <c r="L972" s="55" t="str">
        <f t="shared" si="157"/>
        <v/>
      </c>
      <c r="M972" s="54" t="str">
        <f t="shared" si="158"/>
        <v/>
      </c>
      <c r="N972" s="30"/>
      <c r="O972" s="31"/>
      <c r="P972" s="53"/>
      <c r="Q972" s="33"/>
      <c r="R972" s="54" t="str">
        <f t="shared" si="159"/>
        <v/>
      </c>
      <c r="S972" s="30"/>
      <c r="T972" s="33"/>
    </row>
    <row r="973" spans="1:20" x14ac:dyDescent="0.25">
      <c r="A973" s="30"/>
      <c r="B973" s="37" t="str">
        <f t="shared" si="150"/>
        <v/>
      </c>
      <c r="C973" s="30"/>
      <c r="D973" s="34" t="str">
        <f t="shared" si="151"/>
        <v/>
      </c>
      <c r="E973" s="34" t="str">
        <f t="shared" si="152"/>
        <v/>
      </c>
      <c r="F973" s="34" t="str">
        <f t="shared" si="153"/>
        <v/>
      </c>
      <c r="G973" s="35" t="str">
        <f t="shared" si="154"/>
        <v/>
      </c>
      <c r="H973" s="30"/>
      <c r="I973" s="36" t="str">
        <f t="shared" si="155"/>
        <v/>
      </c>
      <c r="J973" s="34" t="str">
        <f t="shared" si="156"/>
        <v/>
      </c>
      <c r="K973" s="49"/>
      <c r="L973" s="55" t="str">
        <f t="shared" si="157"/>
        <v/>
      </c>
      <c r="M973" s="54" t="str">
        <f t="shared" si="158"/>
        <v/>
      </c>
      <c r="N973" s="30"/>
      <c r="O973" s="31"/>
      <c r="P973" s="53"/>
      <c r="Q973" s="33"/>
      <c r="R973" s="54" t="str">
        <f t="shared" si="159"/>
        <v/>
      </c>
      <c r="S973" s="30"/>
      <c r="T973" s="33"/>
    </row>
    <row r="974" spans="1:20" x14ac:dyDescent="0.25">
      <c r="A974" s="30"/>
      <c r="B974" s="37" t="str">
        <f t="shared" si="150"/>
        <v/>
      </c>
      <c r="C974" s="30"/>
      <c r="D974" s="34" t="str">
        <f t="shared" si="151"/>
        <v/>
      </c>
      <c r="E974" s="34" t="str">
        <f t="shared" si="152"/>
        <v/>
      </c>
      <c r="F974" s="34" t="str">
        <f t="shared" si="153"/>
        <v/>
      </c>
      <c r="G974" s="35" t="str">
        <f t="shared" si="154"/>
        <v/>
      </c>
      <c r="H974" s="30"/>
      <c r="I974" s="36" t="str">
        <f t="shared" si="155"/>
        <v/>
      </c>
      <c r="J974" s="34" t="str">
        <f t="shared" si="156"/>
        <v/>
      </c>
      <c r="K974" s="49"/>
      <c r="L974" s="55" t="str">
        <f t="shared" si="157"/>
        <v/>
      </c>
      <c r="M974" s="54" t="str">
        <f t="shared" si="158"/>
        <v/>
      </c>
      <c r="N974" s="30"/>
      <c r="O974" s="31"/>
      <c r="P974" s="53"/>
      <c r="Q974" s="33"/>
      <c r="R974" s="54" t="str">
        <f t="shared" si="159"/>
        <v/>
      </c>
      <c r="S974" s="30"/>
      <c r="T974" s="33"/>
    </row>
    <row r="975" spans="1:20" x14ac:dyDescent="0.25">
      <c r="A975" s="30"/>
      <c r="B975" s="37" t="str">
        <f t="shared" si="150"/>
        <v/>
      </c>
      <c r="C975" s="30"/>
      <c r="D975" s="34" t="str">
        <f t="shared" si="151"/>
        <v/>
      </c>
      <c r="E975" s="34" t="str">
        <f t="shared" si="152"/>
        <v/>
      </c>
      <c r="F975" s="34" t="str">
        <f t="shared" si="153"/>
        <v/>
      </c>
      <c r="G975" s="35" t="str">
        <f t="shared" si="154"/>
        <v/>
      </c>
      <c r="H975" s="30"/>
      <c r="I975" s="36" t="str">
        <f t="shared" si="155"/>
        <v/>
      </c>
      <c r="J975" s="34" t="str">
        <f t="shared" si="156"/>
        <v/>
      </c>
      <c r="K975" s="49"/>
      <c r="L975" s="55" t="str">
        <f t="shared" si="157"/>
        <v/>
      </c>
      <c r="M975" s="54" t="str">
        <f t="shared" si="158"/>
        <v/>
      </c>
      <c r="N975" s="30"/>
      <c r="O975" s="31"/>
      <c r="P975" s="53"/>
      <c r="Q975" s="33"/>
      <c r="R975" s="54" t="str">
        <f t="shared" si="159"/>
        <v/>
      </c>
      <c r="S975" s="30"/>
      <c r="T975" s="33"/>
    </row>
    <row r="976" spans="1:20" x14ac:dyDescent="0.25">
      <c r="A976" s="30"/>
      <c r="B976" s="37" t="str">
        <f t="shared" si="150"/>
        <v/>
      </c>
      <c r="C976" s="30"/>
      <c r="D976" s="34" t="str">
        <f t="shared" si="151"/>
        <v/>
      </c>
      <c r="E976" s="34" t="str">
        <f t="shared" si="152"/>
        <v/>
      </c>
      <c r="F976" s="34" t="str">
        <f t="shared" si="153"/>
        <v/>
      </c>
      <c r="G976" s="35" t="str">
        <f t="shared" si="154"/>
        <v/>
      </c>
      <c r="H976" s="30"/>
      <c r="I976" s="36" t="str">
        <f t="shared" si="155"/>
        <v/>
      </c>
      <c r="J976" s="34" t="str">
        <f t="shared" si="156"/>
        <v/>
      </c>
      <c r="K976" s="49"/>
      <c r="L976" s="55" t="str">
        <f t="shared" si="157"/>
        <v/>
      </c>
      <c r="M976" s="54" t="str">
        <f t="shared" si="158"/>
        <v/>
      </c>
      <c r="N976" s="30"/>
      <c r="O976" s="31"/>
      <c r="P976" s="53"/>
      <c r="Q976" s="33"/>
      <c r="R976" s="54" t="str">
        <f t="shared" si="159"/>
        <v/>
      </c>
      <c r="S976" s="30"/>
      <c r="T976" s="33"/>
    </row>
    <row r="977" spans="1:20" x14ac:dyDescent="0.25">
      <c r="A977" s="30"/>
      <c r="B977" s="37" t="str">
        <f t="shared" si="150"/>
        <v/>
      </c>
      <c r="C977" s="30"/>
      <c r="D977" s="34" t="str">
        <f t="shared" si="151"/>
        <v/>
      </c>
      <c r="E977" s="34" t="str">
        <f t="shared" si="152"/>
        <v/>
      </c>
      <c r="F977" s="34" t="str">
        <f t="shared" si="153"/>
        <v/>
      </c>
      <c r="G977" s="35" t="str">
        <f t="shared" si="154"/>
        <v/>
      </c>
      <c r="H977" s="30"/>
      <c r="I977" s="36" t="str">
        <f t="shared" si="155"/>
        <v/>
      </c>
      <c r="J977" s="34" t="str">
        <f t="shared" si="156"/>
        <v/>
      </c>
      <c r="K977" s="49"/>
      <c r="L977" s="55" t="str">
        <f t="shared" si="157"/>
        <v/>
      </c>
      <c r="M977" s="54" t="str">
        <f t="shared" si="158"/>
        <v/>
      </c>
      <c r="N977" s="30"/>
      <c r="O977" s="31"/>
      <c r="P977" s="53"/>
      <c r="Q977" s="33"/>
      <c r="R977" s="54" t="str">
        <f t="shared" si="159"/>
        <v/>
      </c>
      <c r="S977" s="30"/>
      <c r="T977" s="33"/>
    </row>
    <row r="978" spans="1:20" x14ac:dyDescent="0.25">
      <c r="A978" s="30"/>
      <c r="B978" s="37" t="str">
        <f t="shared" si="150"/>
        <v/>
      </c>
      <c r="C978" s="30"/>
      <c r="D978" s="34" t="str">
        <f t="shared" si="151"/>
        <v/>
      </c>
      <c r="E978" s="34" t="str">
        <f t="shared" si="152"/>
        <v/>
      </c>
      <c r="F978" s="34" t="str">
        <f t="shared" si="153"/>
        <v/>
      </c>
      <c r="G978" s="35" t="str">
        <f t="shared" si="154"/>
        <v/>
      </c>
      <c r="H978" s="30"/>
      <c r="I978" s="36" t="str">
        <f t="shared" si="155"/>
        <v/>
      </c>
      <c r="J978" s="34" t="str">
        <f t="shared" si="156"/>
        <v/>
      </c>
      <c r="K978" s="49"/>
      <c r="L978" s="55" t="str">
        <f t="shared" si="157"/>
        <v/>
      </c>
      <c r="M978" s="54" t="str">
        <f t="shared" si="158"/>
        <v/>
      </c>
      <c r="N978" s="30"/>
      <c r="O978" s="31"/>
      <c r="P978" s="53"/>
      <c r="Q978" s="33"/>
      <c r="R978" s="54" t="str">
        <f t="shared" si="159"/>
        <v/>
      </c>
      <c r="S978" s="30"/>
      <c r="T978" s="33"/>
    </row>
    <row r="979" spans="1:20" x14ac:dyDescent="0.25">
      <c r="A979" s="30"/>
      <c r="B979" s="37" t="str">
        <f t="shared" si="150"/>
        <v/>
      </c>
      <c r="C979" s="30"/>
      <c r="D979" s="34" t="str">
        <f t="shared" si="151"/>
        <v/>
      </c>
      <c r="E979" s="34" t="str">
        <f t="shared" si="152"/>
        <v/>
      </c>
      <c r="F979" s="34" t="str">
        <f t="shared" si="153"/>
        <v/>
      </c>
      <c r="G979" s="35" t="str">
        <f t="shared" si="154"/>
        <v/>
      </c>
      <c r="H979" s="30"/>
      <c r="I979" s="36" t="str">
        <f t="shared" si="155"/>
        <v/>
      </c>
      <c r="J979" s="34" t="str">
        <f t="shared" si="156"/>
        <v/>
      </c>
      <c r="K979" s="49"/>
      <c r="L979" s="55" t="str">
        <f t="shared" si="157"/>
        <v/>
      </c>
      <c r="M979" s="54" t="str">
        <f t="shared" si="158"/>
        <v/>
      </c>
      <c r="N979" s="30"/>
      <c r="O979" s="31"/>
      <c r="P979" s="53"/>
      <c r="Q979" s="33"/>
      <c r="R979" s="54" t="str">
        <f t="shared" si="159"/>
        <v/>
      </c>
      <c r="S979" s="30"/>
      <c r="T979" s="33"/>
    </row>
    <row r="980" spans="1:20" x14ac:dyDescent="0.25">
      <c r="A980" s="30"/>
      <c r="B980" s="37" t="str">
        <f t="shared" si="150"/>
        <v/>
      </c>
      <c r="C980" s="30"/>
      <c r="D980" s="34" t="str">
        <f t="shared" si="151"/>
        <v/>
      </c>
      <c r="E980" s="34" t="str">
        <f t="shared" si="152"/>
        <v/>
      </c>
      <c r="F980" s="34" t="str">
        <f t="shared" si="153"/>
        <v/>
      </c>
      <c r="G980" s="35" t="str">
        <f t="shared" si="154"/>
        <v/>
      </c>
      <c r="H980" s="30"/>
      <c r="I980" s="36" t="str">
        <f t="shared" si="155"/>
        <v/>
      </c>
      <c r="J980" s="34" t="str">
        <f t="shared" si="156"/>
        <v/>
      </c>
      <c r="K980" s="49"/>
      <c r="L980" s="55" t="str">
        <f t="shared" si="157"/>
        <v/>
      </c>
      <c r="M980" s="54" t="str">
        <f t="shared" si="158"/>
        <v/>
      </c>
      <c r="N980" s="30"/>
      <c r="O980" s="31"/>
      <c r="P980" s="53"/>
      <c r="Q980" s="33"/>
      <c r="R980" s="54" t="str">
        <f t="shared" si="159"/>
        <v/>
      </c>
      <c r="S980" s="30"/>
      <c r="T980" s="33"/>
    </row>
    <row r="981" spans="1:20" x14ac:dyDescent="0.25">
      <c r="A981" s="30"/>
      <c r="B981" s="37" t="str">
        <f t="shared" si="150"/>
        <v/>
      </c>
      <c r="C981" s="30"/>
      <c r="D981" s="34" t="str">
        <f t="shared" si="151"/>
        <v/>
      </c>
      <c r="E981" s="34" t="str">
        <f t="shared" si="152"/>
        <v/>
      </c>
      <c r="F981" s="34" t="str">
        <f t="shared" si="153"/>
        <v/>
      </c>
      <c r="G981" s="35" t="str">
        <f t="shared" si="154"/>
        <v/>
      </c>
      <c r="H981" s="30"/>
      <c r="I981" s="36" t="str">
        <f t="shared" si="155"/>
        <v/>
      </c>
      <c r="J981" s="34" t="str">
        <f t="shared" si="156"/>
        <v/>
      </c>
      <c r="K981" s="49"/>
      <c r="L981" s="55" t="str">
        <f t="shared" si="157"/>
        <v/>
      </c>
      <c r="M981" s="54" t="str">
        <f t="shared" si="158"/>
        <v/>
      </c>
      <c r="N981" s="30"/>
      <c r="O981" s="31"/>
      <c r="P981" s="53"/>
      <c r="Q981" s="33"/>
      <c r="R981" s="54" t="str">
        <f t="shared" si="159"/>
        <v/>
      </c>
      <c r="S981" s="30"/>
      <c r="T981" s="33"/>
    </row>
    <row r="982" spans="1:20" x14ac:dyDescent="0.25">
      <c r="A982" s="30"/>
      <c r="B982" s="37" t="str">
        <f t="shared" si="150"/>
        <v/>
      </c>
      <c r="C982" s="30"/>
      <c r="D982" s="34" t="str">
        <f t="shared" si="151"/>
        <v/>
      </c>
      <c r="E982" s="34" t="str">
        <f t="shared" si="152"/>
        <v/>
      </c>
      <c r="F982" s="34" t="str">
        <f t="shared" si="153"/>
        <v/>
      </c>
      <c r="G982" s="35" t="str">
        <f t="shared" si="154"/>
        <v/>
      </c>
      <c r="H982" s="30"/>
      <c r="I982" s="36" t="str">
        <f t="shared" si="155"/>
        <v/>
      </c>
      <c r="J982" s="34" t="str">
        <f t="shared" si="156"/>
        <v/>
      </c>
      <c r="K982" s="49"/>
      <c r="L982" s="55" t="str">
        <f t="shared" si="157"/>
        <v/>
      </c>
      <c r="M982" s="54" t="str">
        <f t="shared" si="158"/>
        <v/>
      </c>
      <c r="N982" s="30"/>
      <c r="O982" s="31"/>
      <c r="P982" s="53"/>
      <c r="Q982" s="33"/>
      <c r="R982" s="54" t="str">
        <f t="shared" si="159"/>
        <v/>
      </c>
      <c r="S982" s="30"/>
      <c r="T982" s="33"/>
    </row>
    <row r="983" spans="1:20" x14ac:dyDescent="0.25">
      <c r="A983" s="30"/>
      <c r="B983" s="37" t="str">
        <f t="shared" si="150"/>
        <v/>
      </c>
      <c r="C983" s="30"/>
      <c r="D983" s="34" t="str">
        <f t="shared" si="151"/>
        <v/>
      </c>
      <c r="E983" s="34" t="str">
        <f t="shared" si="152"/>
        <v/>
      </c>
      <c r="F983" s="34" t="str">
        <f t="shared" si="153"/>
        <v/>
      </c>
      <c r="G983" s="35" t="str">
        <f t="shared" si="154"/>
        <v/>
      </c>
      <c r="H983" s="30"/>
      <c r="I983" s="36" t="str">
        <f t="shared" si="155"/>
        <v/>
      </c>
      <c r="J983" s="34" t="str">
        <f t="shared" si="156"/>
        <v/>
      </c>
      <c r="K983" s="49"/>
      <c r="L983" s="55" t="str">
        <f t="shared" si="157"/>
        <v/>
      </c>
      <c r="M983" s="54" t="str">
        <f t="shared" si="158"/>
        <v/>
      </c>
      <c r="N983" s="30"/>
      <c r="O983" s="31"/>
      <c r="P983" s="53"/>
      <c r="Q983" s="33"/>
      <c r="R983" s="54" t="str">
        <f t="shared" si="159"/>
        <v/>
      </c>
      <c r="S983" s="30"/>
      <c r="T983" s="33"/>
    </row>
    <row r="984" spans="1:20" x14ac:dyDescent="0.25">
      <c r="A984" s="30"/>
      <c r="B984" s="37" t="str">
        <f t="shared" si="150"/>
        <v/>
      </c>
      <c r="C984" s="30"/>
      <c r="D984" s="34" t="str">
        <f t="shared" si="151"/>
        <v/>
      </c>
      <c r="E984" s="34" t="str">
        <f t="shared" si="152"/>
        <v/>
      </c>
      <c r="F984" s="34" t="str">
        <f t="shared" si="153"/>
        <v/>
      </c>
      <c r="G984" s="35" t="str">
        <f t="shared" si="154"/>
        <v/>
      </c>
      <c r="H984" s="30"/>
      <c r="I984" s="36" t="str">
        <f t="shared" si="155"/>
        <v/>
      </c>
      <c r="J984" s="34" t="str">
        <f t="shared" si="156"/>
        <v/>
      </c>
      <c r="K984" s="49"/>
      <c r="L984" s="55" t="str">
        <f t="shared" si="157"/>
        <v/>
      </c>
      <c r="M984" s="54" t="str">
        <f t="shared" si="158"/>
        <v/>
      </c>
      <c r="N984" s="30"/>
      <c r="O984" s="31"/>
      <c r="P984" s="53"/>
      <c r="Q984" s="33"/>
      <c r="R984" s="54" t="str">
        <f t="shared" si="159"/>
        <v/>
      </c>
      <c r="S984" s="30"/>
      <c r="T984" s="33"/>
    </row>
    <row r="985" spans="1:20" x14ac:dyDescent="0.25">
      <c r="A985" s="30"/>
      <c r="B985" s="37" t="str">
        <f t="shared" si="150"/>
        <v/>
      </c>
      <c r="C985" s="30"/>
      <c r="D985" s="34" t="str">
        <f t="shared" si="151"/>
        <v/>
      </c>
      <c r="E985" s="34" t="str">
        <f t="shared" si="152"/>
        <v/>
      </c>
      <c r="F985" s="34" t="str">
        <f t="shared" si="153"/>
        <v/>
      </c>
      <c r="G985" s="35" t="str">
        <f t="shared" si="154"/>
        <v/>
      </c>
      <c r="H985" s="30"/>
      <c r="I985" s="36" t="str">
        <f t="shared" si="155"/>
        <v/>
      </c>
      <c r="J985" s="34" t="str">
        <f t="shared" si="156"/>
        <v/>
      </c>
      <c r="K985" s="49"/>
      <c r="L985" s="55" t="str">
        <f t="shared" si="157"/>
        <v/>
      </c>
      <c r="M985" s="54" t="str">
        <f t="shared" si="158"/>
        <v/>
      </c>
      <c r="N985" s="30"/>
      <c r="O985" s="31"/>
      <c r="P985" s="53"/>
      <c r="Q985" s="33"/>
      <c r="R985" s="54" t="str">
        <f t="shared" si="159"/>
        <v/>
      </c>
      <c r="S985" s="30"/>
      <c r="T985" s="33"/>
    </row>
    <row r="986" spans="1:20" x14ac:dyDescent="0.25">
      <c r="A986" s="30"/>
      <c r="B986" s="37" t="str">
        <f t="shared" si="150"/>
        <v/>
      </c>
      <c r="C986" s="30"/>
      <c r="D986" s="34" t="str">
        <f t="shared" si="151"/>
        <v/>
      </c>
      <c r="E986" s="34" t="str">
        <f t="shared" si="152"/>
        <v/>
      </c>
      <c r="F986" s="34" t="str">
        <f t="shared" si="153"/>
        <v/>
      </c>
      <c r="G986" s="35" t="str">
        <f t="shared" si="154"/>
        <v/>
      </c>
      <c r="H986" s="30"/>
      <c r="I986" s="36" t="str">
        <f t="shared" si="155"/>
        <v/>
      </c>
      <c r="J986" s="34" t="str">
        <f t="shared" si="156"/>
        <v/>
      </c>
      <c r="K986" s="49"/>
      <c r="L986" s="55" t="str">
        <f t="shared" si="157"/>
        <v/>
      </c>
      <c r="M986" s="54" t="str">
        <f t="shared" si="158"/>
        <v/>
      </c>
      <c r="N986" s="30"/>
      <c r="O986" s="31"/>
      <c r="P986" s="53"/>
      <c r="Q986" s="33"/>
      <c r="R986" s="54" t="str">
        <f t="shared" si="159"/>
        <v/>
      </c>
      <c r="S986" s="30"/>
      <c r="T986" s="33"/>
    </row>
    <row r="987" spans="1:20" x14ac:dyDescent="0.25">
      <c r="A987" s="30"/>
      <c r="B987" s="37" t="str">
        <f t="shared" si="150"/>
        <v/>
      </c>
      <c r="C987" s="30"/>
      <c r="D987" s="34" t="str">
        <f t="shared" si="151"/>
        <v/>
      </c>
      <c r="E987" s="34" t="str">
        <f t="shared" si="152"/>
        <v/>
      </c>
      <c r="F987" s="34" t="str">
        <f t="shared" si="153"/>
        <v/>
      </c>
      <c r="G987" s="35" t="str">
        <f t="shared" si="154"/>
        <v/>
      </c>
      <c r="H987" s="30"/>
      <c r="I987" s="36" t="str">
        <f t="shared" si="155"/>
        <v/>
      </c>
      <c r="J987" s="34" t="str">
        <f t="shared" si="156"/>
        <v/>
      </c>
      <c r="K987" s="49"/>
      <c r="L987" s="55" t="str">
        <f t="shared" si="157"/>
        <v/>
      </c>
      <c r="M987" s="54" t="str">
        <f t="shared" si="158"/>
        <v/>
      </c>
      <c r="N987" s="30"/>
      <c r="O987" s="31"/>
      <c r="P987" s="53"/>
      <c r="Q987" s="33"/>
      <c r="R987" s="54" t="str">
        <f t="shared" si="159"/>
        <v/>
      </c>
      <c r="S987" s="30"/>
      <c r="T987" s="33"/>
    </row>
    <row r="988" spans="1:20" x14ac:dyDescent="0.25">
      <c r="A988" s="30"/>
      <c r="B988" s="37" t="str">
        <f t="shared" si="150"/>
        <v/>
      </c>
      <c r="C988" s="30"/>
      <c r="D988" s="34" t="str">
        <f t="shared" si="151"/>
        <v/>
      </c>
      <c r="E988" s="34" t="str">
        <f t="shared" si="152"/>
        <v/>
      </c>
      <c r="F988" s="34" t="str">
        <f t="shared" si="153"/>
        <v/>
      </c>
      <c r="G988" s="35" t="str">
        <f t="shared" si="154"/>
        <v/>
      </c>
      <c r="H988" s="30"/>
      <c r="I988" s="36" t="str">
        <f t="shared" si="155"/>
        <v/>
      </c>
      <c r="J988" s="34" t="str">
        <f t="shared" si="156"/>
        <v/>
      </c>
      <c r="K988" s="49"/>
      <c r="L988" s="55" t="str">
        <f t="shared" si="157"/>
        <v/>
      </c>
      <c r="M988" s="54" t="str">
        <f t="shared" si="158"/>
        <v/>
      </c>
      <c r="N988" s="30"/>
      <c r="O988" s="31"/>
      <c r="P988" s="53"/>
      <c r="Q988" s="33"/>
      <c r="R988" s="54" t="str">
        <f t="shared" si="159"/>
        <v/>
      </c>
      <c r="S988" s="30"/>
      <c r="T988" s="33"/>
    </row>
    <row r="989" spans="1:20" x14ac:dyDescent="0.25">
      <c r="A989" s="30"/>
      <c r="B989" s="37" t="str">
        <f t="shared" si="150"/>
        <v/>
      </c>
      <c r="C989" s="30"/>
      <c r="D989" s="34" t="str">
        <f t="shared" si="151"/>
        <v/>
      </c>
      <c r="E989" s="34" t="str">
        <f t="shared" si="152"/>
        <v/>
      </c>
      <c r="F989" s="34" t="str">
        <f t="shared" si="153"/>
        <v/>
      </c>
      <c r="G989" s="35" t="str">
        <f t="shared" si="154"/>
        <v/>
      </c>
      <c r="H989" s="30"/>
      <c r="I989" s="36" t="str">
        <f t="shared" si="155"/>
        <v/>
      </c>
      <c r="J989" s="34" t="str">
        <f t="shared" si="156"/>
        <v/>
      </c>
      <c r="K989" s="49"/>
      <c r="L989" s="55" t="str">
        <f t="shared" si="157"/>
        <v/>
      </c>
      <c r="M989" s="54" t="str">
        <f t="shared" si="158"/>
        <v/>
      </c>
      <c r="N989" s="30"/>
      <c r="O989" s="31"/>
      <c r="P989" s="53"/>
      <c r="Q989" s="33"/>
      <c r="R989" s="54" t="str">
        <f t="shared" si="159"/>
        <v/>
      </c>
      <c r="S989" s="30"/>
      <c r="T989" s="33"/>
    </row>
    <row r="990" spans="1:20" x14ac:dyDescent="0.25">
      <c r="A990" s="30"/>
      <c r="B990" s="37" t="str">
        <f t="shared" si="150"/>
        <v/>
      </c>
      <c r="C990" s="30"/>
      <c r="D990" s="34" t="str">
        <f t="shared" si="151"/>
        <v/>
      </c>
      <c r="E990" s="34" t="str">
        <f t="shared" si="152"/>
        <v/>
      </c>
      <c r="F990" s="34" t="str">
        <f t="shared" si="153"/>
        <v/>
      </c>
      <c r="G990" s="35" t="str">
        <f t="shared" si="154"/>
        <v/>
      </c>
      <c r="H990" s="30"/>
      <c r="I990" s="36" t="str">
        <f t="shared" si="155"/>
        <v/>
      </c>
      <c r="J990" s="34" t="str">
        <f t="shared" si="156"/>
        <v/>
      </c>
      <c r="K990" s="49"/>
      <c r="L990" s="55" t="str">
        <f t="shared" si="157"/>
        <v/>
      </c>
      <c r="M990" s="54" t="str">
        <f t="shared" si="158"/>
        <v/>
      </c>
      <c r="N990" s="30"/>
      <c r="O990" s="31"/>
      <c r="P990" s="53"/>
      <c r="Q990" s="33"/>
      <c r="R990" s="54" t="str">
        <f t="shared" si="159"/>
        <v/>
      </c>
      <c r="S990" s="30"/>
      <c r="T990" s="33"/>
    </row>
    <row r="991" spans="1:20" x14ac:dyDescent="0.25">
      <c r="A991" s="30"/>
      <c r="B991" s="37" t="str">
        <f t="shared" si="150"/>
        <v/>
      </c>
      <c r="C991" s="30"/>
      <c r="D991" s="34" t="str">
        <f t="shared" si="151"/>
        <v/>
      </c>
      <c r="E991" s="34" t="str">
        <f t="shared" si="152"/>
        <v/>
      </c>
      <c r="F991" s="34" t="str">
        <f t="shared" si="153"/>
        <v/>
      </c>
      <c r="G991" s="35" t="str">
        <f t="shared" si="154"/>
        <v/>
      </c>
      <c r="H991" s="30"/>
      <c r="I991" s="36" t="str">
        <f t="shared" si="155"/>
        <v/>
      </c>
      <c r="J991" s="34" t="str">
        <f t="shared" si="156"/>
        <v/>
      </c>
      <c r="K991" s="49"/>
      <c r="L991" s="55" t="str">
        <f t="shared" si="157"/>
        <v/>
      </c>
      <c r="M991" s="54" t="str">
        <f t="shared" si="158"/>
        <v/>
      </c>
      <c r="N991" s="30"/>
      <c r="O991" s="31"/>
      <c r="P991" s="53"/>
      <c r="Q991" s="33"/>
      <c r="R991" s="54" t="str">
        <f t="shared" si="159"/>
        <v/>
      </c>
      <c r="S991" s="30"/>
      <c r="T991" s="33"/>
    </row>
    <row r="992" spans="1:20" x14ac:dyDescent="0.25">
      <c r="A992" s="30"/>
      <c r="B992" s="37" t="str">
        <f t="shared" si="150"/>
        <v/>
      </c>
      <c r="C992" s="30"/>
      <c r="D992" s="34" t="str">
        <f t="shared" si="151"/>
        <v/>
      </c>
      <c r="E992" s="34" t="str">
        <f t="shared" si="152"/>
        <v/>
      </c>
      <c r="F992" s="34" t="str">
        <f t="shared" si="153"/>
        <v/>
      </c>
      <c r="G992" s="35" t="str">
        <f t="shared" si="154"/>
        <v/>
      </c>
      <c r="H992" s="30"/>
      <c r="I992" s="36" t="str">
        <f t="shared" si="155"/>
        <v/>
      </c>
      <c r="J992" s="34" t="str">
        <f t="shared" si="156"/>
        <v/>
      </c>
      <c r="K992" s="49"/>
      <c r="L992" s="55" t="str">
        <f t="shared" si="157"/>
        <v/>
      </c>
      <c r="M992" s="54" t="str">
        <f t="shared" si="158"/>
        <v/>
      </c>
      <c r="N992" s="30"/>
      <c r="O992" s="31"/>
      <c r="P992" s="53"/>
      <c r="Q992" s="33"/>
      <c r="R992" s="54" t="str">
        <f t="shared" si="159"/>
        <v/>
      </c>
      <c r="S992" s="30"/>
      <c r="T992" s="33"/>
    </row>
    <row r="993" spans="1:20" x14ac:dyDescent="0.25">
      <c r="A993" s="30"/>
      <c r="B993" s="37" t="str">
        <f t="shared" si="150"/>
        <v/>
      </c>
      <c r="C993" s="30"/>
      <c r="D993" s="34" t="str">
        <f t="shared" si="151"/>
        <v/>
      </c>
      <c r="E993" s="34" t="str">
        <f t="shared" si="152"/>
        <v/>
      </c>
      <c r="F993" s="34" t="str">
        <f t="shared" si="153"/>
        <v/>
      </c>
      <c r="G993" s="35" t="str">
        <f t="shared" si="154"/>
        <v/>
      </c>
      <c r="H993" s="30"/>
      <c r="I993" s="36" t="str">
        <f t="shared" si="155"/>
        <v/>
      </c>
      <c r="J993" s="34" t="str">
        <f t="shared" si="156"/>
        <v/>
      </c>
      <c r="K993" s="49"/>
      <c r="L993" s="55" t="str">
        <f t="shared" si="157"/>
        <v/>
      </c>
      <c r="M993" s="54" t="str">
        <f t="shared" si="158"/>
        <v/>
      </c>
      <c r="N993" s="30"/>
      <c r="O993" s="31"/>
      <c r="P993" s="53"/>
      <c r="Q993" s="33"/>
      <c r="R993" s="54" t="str">
        <f t="shared" si="159"/>
        <v/>
      </c>
      <c r="S993" s="30"/>
      <c r="T993" s="33"/>
    </row>
    <row r="994" spans="1:20" x14ac:dyDescent="0.25">
      <c r="A994" s="30"/>
      <c r="B994" s="37" t="str">
        <f t="shared" si="150"/>
        <v/>
      </c>
      <c r="C994" s="30"/>
      <c r="D994" s="34" t="str">
        <f t="shared" si="151"/>
        <v/>
      </c>
      <c r="E994" s="34" t="str">
        <f t="shared" si="152"/>
        <v/>
      </c>
      <c r="F994" s="34" t="str">
        <f t="shared" si="153"/>
        <v/>
      </c>
      <c r="G994" s="35" t="str">
        <f t="shared" si="154"/>
        <v/>
      </c>
      <c r="H994" s="30"/>
      <c r="I994" s="36" t="str">
        <f t="shared" si="155"/>
        <v/>
      </c>
      <c r="J994" s="34" t="str">
        <f t="shared" si="156"/>
        <v/>
      </c>
      <c r="K994" s="49"/>
      <c r="L994" s="55" t="str">
        <f t="shared" si="157"/>
        <v/>
      </c>
      <c r="M994" s="54" t="str">
        <f t="shared" si="158"/>
        <v/>
      </c>
      <c r="N994" s="30"/>
      <c r="O994" s="31"/>
      <c r="P994" s="53"/>
      <c r="Q994" s="33"/>
      <c r="R994" s="54" t="str">
        <f t="shared" si="159"/>
        <v/>
      </c>
      <c r="S994" s="30"/>
      <c r="T994" s="33"/>
    </row>
    <row r="995" spans="1:20" x14ac:dyDescent="0.25">
      <c r="A995" s="30"/>
      <c r="B995" s="37" t="str">
        <f t="shared" si="150"/>
        <v/>
      </c>
      <c r="C995" s="30"/>
      <c r="D995" s="34" t="str">
        <f t="shared" si="151"/>
        <v/>
      </c>
      <c r="E995" s="34" t="str">
        <f t="shared" si="152"/>
        <v/>
      </c>
      <c r="F995" s="34" t="str">
        <f t="shared" si="153"/>
        <v/>
      </c>
      <c r="G995" s="35" t="str">
        <f t="shared" si="154"/>
        <v/>
      </c>
      <c r="H995" s="30"/>
      <c r="I995" s="36" t="str">
        <f t="shared" si="155"/>
        <v/>
      </c>
      <c r="J995" s="34" t="str">
        <f t="shared" si="156"/>
        <v/>
      </c>
      <c r="K995" s="49"/>
      <c r="L995" s="55" t="str">
        <f t="shared" si="157"/>
        <v/>
      </c>
      <c r="M995" s="54" t="str">
        <f t="shared" si="158"/>
        <v/>
      </c>
      <c r="N995" s="30"/>
      <c r="O995" s="31"/>
      <c r="P995" s="53"/>
      <c r="Q995" s="33"/>
      <c r="R995" s="54" t="str">
        <f t="shared" si="159"/>
        <v/>
      </c>
      <c r="S995" s="30"/>
      <c r="T995" s="33"/>
    </row>
    <row r="996" spans="1:20" x14ac:dyDescent="0.25">
      <c r="A996" s="30"/>
      <c r="B996" s="37" t="str">
        <f t="shared" si="150"/>
        <v/>
      </c>
      <c r="C996" s="30"/>
      <c r="D996" s="34" t="str">
        <f t="shared" si="151"/>
        <v/>
      </c>
      <c r="E996" s="34" t="str">
        <f t="shared" si="152"/>
        <v/>
      </c>
      <c r="F996" s="34" t="str">
        <f t="shared" si="153"/>
        <v/>
      </c>
      <c r="G996" s="35" t="str">
        <f t="shared" si="154"/>
        <v/>
      </c>
      <c r="H996" s="30"/>
      <c r="I996" s="36" t="str">
        <f t="shared" si="155"/>
        <v/>
      </c>
      <c r="J996" s="34" t="str">
        <f t="shared" si="156"/>
        <v/>
      </c>
      <c r="K996" s="49"/>
      <c r="L996" s="55" t="str">
        <f t="shared" si="157"/>
        <v/>
      </c>
      <c r="M996" s="54" t="str">
        <f t="shared" si="158"/>
        <v/>
      </c>
      <c r="N996" s="30"/>
      <c r="O996" s="31"/>
      <c r="P996" s="53"/>
      <c r="Q996" s="33"/>
      <c r="R996" s="54" t="str">
        <f t="shared" si="159"/>
        <v/>
      </c>
      <c r="S996" s="30"/>
      <c r="T996" s="33"/>
    </row>
    <row r="997" spans="1:20" x14ac:dyDescent="0.25">
      <c r="A997" s="30"/>
      <c r="B997" s="37" t="str">
        <f t="shared" si="150"/>
        <v/>
      </c>
      <c r="C997" s="30"/>
      <c r="D997" s="34" t="str">
        <f t="shared" si="151"/>
        <v/>
      </c>
      <c r="E997" s="34" t="str">
        <f t="shared" si="152"/>
        <v/>
      </c>
      <c r="F997" s="34" t="str">
        <f t="shared" si="153"/>
        <v/>
      </c>
      <c r="G997" s="35" t="str">
        <f t="shared" si="154"/>
        <v/>
      </c>
      <c r="H997" s="30"/>
      <c r="I997" s="36" t="str">
        <f t="shared" si="155"/>
        <v/>
      </c>
      <c r="J997" s="34" t="str">
        <f t="shared" si="156"/>
        <v/>
      </c>
      <c r="K997" s="49"/>
      <c r="L997" s="55" t="str">
        <f t="shared" si="157"/>
        <v/>
      </c>
      <c r="M997" s="54" t="str">
        <f t="shared" si="158"/>
        <v/>
      </c>
      <c r="N997" s="30"/>
      <c r="O997" s="31"/>
      <c r="P997" s="53"/>
      <c r="Q997" s="33"/>
      <c r="R997" s="54" t="str">
        <f t="shared" si="159"/>
        <v/>
      </c>
      <c r="S997" s="30"/>
      <c r="T997" s="33"/>
    </row>
    <row r="998" spans="1:20" x14ac:dyDescent="0.25">
      <c r="A998" s="30"/>
      <c r="B998" s="37" t="str">
        <f t="shared" si="150"/>
        <v/>
      </c>
      <c r="C998" s="30"/>
      <c r="D998" s="34" t="str">
        <f t="shared" si="151"/>
        <v/>
      </c>
      <c r="E998" s="34" t="str">
        <f t="shared" si="152"/>
        <v/>
      </c>
      <c r="F998" s="34" t="str">
        <f t="shared" si="153"/>
        <v/>
      </c>
      <c r="G998" s="35" t="str">
        <f t="shared" si="154"/>
        <v/>
      </c>
      <c r="H998" s="30"/>
      <c r="I998" s="36" t="str">
        <f t="shared" si="155"/>
        <v/>
      </c>
      <c r="J998" s="34" t="str">
        <f t="shared" si="156"/>
        <v/>
      </c>
      <c r="K998" s="49"/>
      <c r="L998" s="55" t="str">
        <f t="shared" si="157"/>
        <v/>
      </c>
      <c r="M998" s="54" t="str">
        <f t="shared" si="158"/>
        <v/>
      </c>
      <c r="N998" s="30"/>
      <c r="O998" s="31"/>
      <c r="P998" s="53"/>
      <c r="Q998" s="33"/>
      <c r="R998" s="54" t="str">
        <f t="shared" si="159"/>
        <v/>
      </c>
      <c r="S998" s="30"/>
      <c r="T998" s="33"/>
    </row>
    <row r="999" spans="1:20" x14ac:dyDescent="0.25">
      <c r="A999" s="30"/>
      <c r="B999" s="37" t="str">
        <f t="shared" si="150"/>
        <v/>
      </c>
      <c r="C999" s="30"/>
      <c r="D999" s="34" t="str">
        <f t="shared" si="151"/>
        <v/>
      </c>
      <c r="E999" s="34" t="str">
        <f t="shared" si="152"/>
        <v/>
      </c>
      <c r="F999" s="34" t="str">
        <f t="shared" si="153"/>
        <v/>
      </c>
      <c r="G999" s="35" t="str">
        <f t="shared" si="154"/>
        <v/>
      </c>
      <c r="H999" s="30"/>
      <c r="I999" s="36" t="str">
        <f t="shared" si="155"/>
        <v/>
      </c>
      <c r="J999" s="34" t="str">
        <f t="shared" si="156"/>
        <v/>
      </c>
      <c r="K999" s="49"/>
      <c r="L999" s="55" t="str">
        <f t="shared" si="157"/>
        <v/>
      </c>
      <c r="M999" s="54" t="str">
        <f t="shared" si="158"/>
        <v/>
      </c>
      <c r="N999" s="30"/>
      <c r="O999" s="31"/>
      <c r="P999" s="53"/>
      <c r="Q999" s="33"/>
      <c r="R999" s="54" t="str">
        <f t="shared" si="159"/>
        <v/>
      </c>
      <c r="S999" s="30"/>
      <c r="T999" s="33"/>
    </row>
    <row r="1000" spans="1:20" x14ac:dyDescent="0.25">
      <c r="A1000" s="30"/>
      <c r="B1000" s="37" t="str">
        <f t="shared" si="150"/>
        <v/>
      </c>
      <c r="C1000" s="30"/>
      <c r="D1000" s="34" t="str">
        <f t="shared" si="151"/>
        <v/>
      </c>
      <c r="E1000" s="34" t="str">
        <f t="shared" si="152"/>
        <v/>
      </c>
      <c r="F1000" s="34" t="str">
        <f t="shared" si="153"/>
        <v/>
      </c>
      <c r="G1000" s="35" t="str">
        <f t="shared" si="154"/>
        <v/>
      </c>
      <c r="H1000" s="30"/>
      <c r="I1000" s="36" t="str">
        <f t="shared" si="155"/>
        <v/>
      </c>
      <c r="J1000" s="34" t="str">
        <f t="shared" si="156"/>
        <v/>
      </c>
      <c r="K1000" s="49"/>
      <c r="L1000" s="55" t="str">
        <f t="shared" si="157"/>
        <v/>
      </c>
      <c r="M1000" s="54" t="str">
        <f t="shared" si="158"/>
        <v/>
      </c>
      <c r="N1000" s="30"/>
      <c r="O1000" s="31"/>
      <c r="P1000" s="53"/>
      <c r="Q1000" s="33"/>
      <c r="R1000" s="54" t="str">
        <f t="shared" si="159"/>
        <v/>
      </c>
      <c r="S1000" s="30"/>
      <c r="T1000" s="33"/>
    </row>
    <row r="1001" spans="1:20" x14ac:dyDescent="0.25">
      <c r="A1001" s="30"/>
      <c r="B1001" s="37" t="str">
        <f t="shared" si="150"/>
        <v/>
      </c>
      <c r="C1001" s="30"/>
      <c r="D1001" s="34" t="str">
        <f t="shared" si="151"/>
        <v/>
      </c>
      <c r="E1001" s="34" t="str">
        <f t="shared" si="152"/>
        <v/>
      </c>
      <c r="F1001" s="34" t="str">
        <f t="shared" si="153"/>
        <v/>
      </c>
      <c r="G1001" s="35" t="str">
        <f t="shared" si="154"/>
        <v/>
      </c>
      <c r="H1001" s="30"/>
      <c r="I1001" s="36" t="str">
        <f t="shared" si="155"/>
        <v/>
      </c>
      <c r="J1001" s="34" t="str">
        <f t="shared" si="156"/>
        <v/>
      </c>
      <c r="K1001" s="49"/>
      <c r="L1001" s="55" t="str">
        <f t="shared" si="157"/>
        <v/>
      </c>
      <c r="M1001" s="54" t="str">
        <f t="shared" si="158"/>
        <v/>
      </c>
      <c r="N1001" s="30"/>
      <c r="O1001" s="31"/>
      <c r="P1001" s="53"/>
      <c r="Q1001" s="33"/>
      <c r="R1001" s="54" t="str">
        <f t="shared" si="159"/>
        <v/>
      </c>
      <c r="S1001" s="30"/>
      <c r="T1001" s="33"/>
    </row>
    <row r="1002" spans="1:20" x14ac:dyDescent="0.25">
      <c r="A1002" s="30"/>
      <c r="B1002" s="37" t="str">
        <f t="shared" si="150"/>
        <v/>
      </c>
      <c r="C1002" s="30"/>
      <c r="D1002" s="34" t="str">
        <f t="shared" si="151"/>
        <v/>
      </c>
      <c r="E1002" s="34" t="str">
        <f t="shared" si="152"/>
        <v/>
      </c>
      <c r="F1002" s="34" t="str">
        <f t="shared" si="153"/>
        <v/>
      </c>
      <c r="G1002" s="35" t="str">
        <f t="shared" si="154"/>
        <v/>
      </c>
      <c r="H1002" s="30"/>
      <c r="I1002" s="36" t="str">
        <f t="shared" si="155"/>
        <v/>
      </c>
      <c r="J1002" s="34" t="str">
        <f t="shared" si="156"/>
        <v/>
      </c>
      <c r="K1002" s="49"/>
      <c r="L1002" s="55" t="str">
        <f t="shared" si="157"/>
        <v/>
      </c>
      <c r="M1002" s="54" t="str">
        <f t="shared" si="158"/>
        <v/>
      </c>
      <c r="N1002" s="30"/>
      <c r="O1002" s="31"/>
      <c r="P1002" s="53"/>
      <c r="Q1002" s="33"/>
      <c r="R1002" s="54" t="str">
        <f t="shared" si="159"/>
        <v/>
      </c>
      <c r="S1002" s="30"/>
      <c r="T1002" s="33"/>
    </row>
    <row r="1003" spans="1:20" x14ac:dyDescent="0.25">
      <c r="A1003" s="30"/>
      <c r="B1003" s="37" t="str">
        <f t="shared" si="150"/>
        <v/>
      </c>
      <c r="C1003" s="30"/>
      <c r="D1003" s="34" t="str">
        <f t="shared" si="151"/>
        <v/>
      </c>
      <c r="E1003" s="34" t="str">
        <f t="shared" si="152"/>
        <v/>
      </c>
      <c r="F1003" s="34" t="str">
        <f t="shared" si="153"/>
        <v/>
      </c>
      <c r="G1003" s="35" t="str">
        <f t="shared" si="154"/>
        <v/>
      </c>
      <c r="H1003" s="30"/>
      <c r="I1003" s="36" t="str">
        <f t="shared" si="155"/>
        <v/>
      </c>
      <c r="J1003" s="34" t="str">
        <f t="shared" si="156"/>
        <v/>
      </c>
      <c r="K1003" s="49"/>
      <c r="L1003" s="55" t="str">
        <f t="shared" si="157"/>
        <v/>
      </c>
      <c r="M1003" s="54" t="str">
        <f t="shared" si="158"/>
        <v/>
      </c>
      <c r="N1003" s="30"/>
      <c r="O1003" s="31"/>
      <c r="P1003" s="53"/>
      <c r="Q1003" s="33"/>
      <c r="R1003" s="54" t="str">
        <f t="shared" si="159"/>
        <v/>
      </c>
      <c r="S1003" s="30"/>
      <c r="T1003" s="33"/>
    </row>
    <row r="1004" spans="1:20" x14ac:dyDescent="0.25">
      <c r="A1004" s="30"/>
      <c r="B1004" s="37" t="str">
        <f t="shared" si="150"/>
        <v/>
      </c>
      <c r="C1004" s="30"/>
      <c r="D1004" s="34" t="str">
        <f t="shared" si="151"/>
        <v/>
      </c>
      <c r="E1004" s="34" t="str">
        <f t="shared" si="152"/>
        <v/>
      </c>
      <c r="F1004" s="34" t="str">
        <f t="shared" si="153"/>
        <v/>
      </c>
      <c r="G1004" s="35" t="str">
        <f t="shared" si="154"/>
        <v/>
      </c>
      <c r="H1004" s="30"/>
      <c r="I1004" s="36" t="str">
        <f t="shared" si="155"/>
        <v/>
      </c>
      <c r="J1004" s="34" t="str">
        <f t="shared" si="156"/>
        <v/>
      </c>
      <c r="K1004" s="49"/>
      <c r="L1004" s="55" t="str">
        <f t="shared" si="157"/>
        <v/>
      </c>
      <c r="M1004" s="54" t="str">
        <f t="shared" si="158"/>
        <v/>
      </c>
      <c r="N1004" s="30"/>
      <c r="O1004" s="31"/>
      <c r="P1004" s="53"/>
      <c r="Q1004" s="33"/>
      <c r="R1004" s="54" t="str">
        <f t="shared" si="159"/>
        <v/>
      </c>
      <c r="S1004" s="30"/>
      <c r="T1004" s="33"/>
    </row>
    <row r="1005" spans="1:20" x14ac:dyDescent="0.25">
      <c r="A1005" s="30"/>
      <c r="B1005" s="37" t="str">
        <f t="shared" si="150"/>
        <v/>
      </c>
      <c r="C1005" s="30"/>
      <c r="D1005" s="34" t="str">
        <f t="shared" si="151"/>
        <v/>
      </c>
      <c r="E1005" s="34" t="str">
        <f t="shared" si="152"/>
        <v/>
      </c>
      <c r="F1005" s="34" t="str">
        <f t="shared" si="153"/>
        <v/>
      </c>
      <c r="G1005" s="35" t="str">
        <f t="shared" si="154"/>
        <v/>
      </c>
      <c r="H1005" s="30"/>
      <c r="I1005" s="36" t="str">
        <f t="shared" si="155"/>
        <v/>
      </c>
      <c r="J1005" s="34" t="str">
        <f t="shared" si="156"/>
        <v/>
      </c>
      <c r="K1005" s="49"/>
      <c r="L1005" s="55" t="str">
        <f t="shared" si="157"/>
        <v/>
      </c>
      <c r="M1005" s="54" t="str">
        <f t="shared" si="158"/>
        <v/>
      </c>
      <c r="N1005" s="30"/>
      <c r="O1005" s="31"/>
      <c r="P1005" s="53"/>
      <c r="Q1005" s="33"/>
      <c r="R1005" s="54" t="str">
        <f t="shared" si="159"/>
        <v/>
      </c>
      <c r="S1005" s="30"/>
      <c r="T1005" s="33"/>
    </row>
    <row r="1006" spans="1:20" x14ac:dyDescent="0.25">
      <c r="A1006" s="30"/>
      <c r="B1006" s="37" t="str">
        <f t="shared" si="150"/>
        <v/>
      </c>
      <c r="C1006" s="30"/>
      <c r="D1006" s="34" t="str">
        <f t="shared" si="151"/>
        <v/>
      </c>
      <c r="E1006" s="34" t="str">
        <f t="shared" si="152"/>
        <v/>
      </c>
      <c r="F1006" s="34" t="str">
        <f t="shared" si="153"/>
        <v/>
      </c>
      <c r="G1006" s="35" t="str">
        <f t="shared" si="154"/>
        <v/>
      </c>
      <c r="H1006" s="30"/>
      <c r="I1006" s="36" t="str">
        <f t="shared" si="155"/>
        <v/>
      </c>
      <c r="J1006" s="34" t="str">
        <f t="shared" si="156"/>
        <v/>
      </c>
      <c r="K1006" s="49"/>
      <c r="L1006" s="55" t="str">
        <f t="shared" si="157"/>
        <v/>
      </c>
      <c r="M1006" s="54" t="str">
        <f t="shared" si="158"/>
        <v/>
      </c>
      <c r="N1006" s="30"/>
      <c r="O1006" s="31"/>
      <c r="P1006" s="53"/>
      <c r="Q1006" s="33"/>
      <c r="R1006" s="54" t="str">
        <f t="shared" si="159"/>
        <v/>
      </c>
      <c r="S1006" s="30"/>
      <c r="T1006" s="33"/>
    </row>
    <row r="1007" spans="1:20" x14ac:dyDescent="0.25">
      <c r="A1007" s="30"/>
      <c r="B1007" s="37" t="str">
        <f t="shared" si="150"/>
        <v/>
      </c>
      <c r="C1007" s="30"/>
      <c r="D1007" s="34" t="str">
        <f t="shared" si="151"/>
        <v/>
      </c>
      <c r="E1007" s="34" t="str">
        <f t="shared" si="152"/>
        <v/>
      </c>
      <c r="F1007" s="34" t="str">
        <f t="shared" si="153"/>
        <v/>
      </c>
      <c r="G1007" s="35" t="str">
        <f t="shared" si="154"/>
        <v/>
      </c>
      <c r="H1007" s="30"/>
      <c r="I1007" s="36" t="str">
        <f t="shared" si="155"/>
        <v/>
      </c>
      <c r="J1007" s="34" t="str">
        <f t="shared" si="156"/>
        <v/>
      </c>
      <c r="K1007" s="49"/>
      <c r="L1007" s="55" t="str">
        <f t="shared" si="157"/>
        <v/>
      </c>
      <c r="M1007" s="54" t="str">
        <f t="shared" si="158"/>
        <v/>
      </c>
      <c r="N1007" s="30"/>
      <c r="O1007" s="31"/>
      <c r="P1007" s="53"/>
      <c r="Q1007" s="33"/>
      <c r="R1007" s="54" t="str">
        <f t="shared" si="159"/>
        <v/>
      </c>
      <c r="S1007" s="30"/>
      <c r="T1007" s="33"/>
    </row>
    <row r="1008" spans="1:20" x14ac:dyDescent="0.25">
      <c r="A1008" s="30"/>
      <c r="B1008" s="37" t="str">
        <f t="shared" si="150"/>
        <v/>
      </c>
      <c r="C1008" s="30"/>
      <c r="D1008" s="34" t="str">
        <f t="shared" si="151"/>
        <v/>
      </c>
      <c r="E1008" s="34" t="str">
        <f t="shared" si="152"/>
        <v/>
      </c>
      <c r="F1008" s="34" t="str">
        <f t="shared" si="153"/>
        <v/>
      </c>
      <c r="G1008" s="35" t="str">
        <f t="shared" si="154"/>
        <v/>
      </c>
      <c r="H1008" s="30"/>
      <c r="I1008" s="36" t="str">
        <f t="shared" si="155"/>
        <v/>
      </c>
      <c r="J1008" s="34" t="str">
        <f t="shared" si="156"/>
        <v/>
      </c>
      <c r="K1008" s="49"/>
      <c r="L1008" s="55" t="str">
        <f t="shared" si="157"/>
        <v/>
      </c>
      <c r="M1008" s="54" t="str">
        <f t="shared" si="158"/>
        <v/>
      </c>
      <c r="N1008" s="30"/>
      <c r="O1008" s="31"/>
      <c r="P1008" s="53"/>
      <c r="Q1008" s="33"/>
      <c r="R1008" s="54" t="str">
        <f t="shared" si="159"/>
        <v/>
      </c>
      <c r="S1008" s="30"/>
      <c r="T1008" s="33"/>
    </row>
    <row r="1009" spans="1:20" x14ac:dyDescent="0.25">
      <c r="A1009" s="30"/>
      <c r="B1009" s="37" t="str">
        <f t="shared" si="150"/>
        <v/>
      </c>
      <c r="C1009" s="30"/>
      <c r="D1009" s="34" t="str">
        <f t="shared" si="151"/>
        <v/>
      </c>
      <c r="E1009" s="34" t="str">
        <f t="shared" si="152"/>
        <v/>
      </c>
      <c r="F1009" s="34" t="str">
        <f t="shared" si="153"/>
        <v/>
      </c>
      <c r="G1009" s="35" t="str">
        <f t="shared" si="154"/>
        <v/>
      </c>
      <c r="H1009" s="30"/>
      <c r="I1009" s="36" t="str">
        <f t="shared" si="155"/>
        <v/>
      </c>
      <c r="J1009" s="34" t="str">
        <f t="shared" si="156"/>
        <v/>
      </c>
      <c r="K1009" s="49"/>
      <c r="L1009" s="55" t="str">
        <f t="shared" si="157"/>
        <v/>
      </c>
      <c r="M1009" s="54" t="str">
        <f t="shared" si="158"/>
        <v/>
      </c>
      <c r="N1009" s="30"/>
      <c r="O1009" s="31"/>
      <c r="P1009" s="53"/>
      <c r="Q1009" s="33"/>
      <c r="R1009" s="54" t="str">
        <f t="shared" si="159"/>
        <v/>
      </c>
      <c r="S1009" s="30"/>
      <c r="T1009" s="33"/>
    </row>
    <row r="1010" spans="1:20" x14ac:dyDescent="0.25">
      <c r="A1010" s="30"/>
      <c r="B1010" s="37" t="str">
        <f t="shared" si="150"/>
        <v/>
      </c>
      <c r="C1010" s="30"/>
      <c r="D1010" s="34" t="str">
        <f t="shared" si="151"/>
        <v/>
      </c>
      <c r="E1010" s="34" t="str">
        <f t="shared" si="152"/>
        <v/>
      </c>
      <c r="F1010" s="34" t="str">
        <f t="shared" si="153"/>
        <v/>
      </c>
      <c r="G1010" s="35" t="str">
        <f t="shared" si="154"/>
        <v/>
      </c>
      <c r="H1010" s="30"/>
      <c r="I1010" s="36" t="str">
        <f t="shared" si="155"/>
        <v/>
      </c>
      <c r="J1010" s="34" t="str">
        <f t="shared" si="156"/>
        <v/>
      </c>
      <c r="K1010" s="49"/>
      <c r="L1010" s="55" t="str">
        <f t="shared" si="157"/>
        <v/>
      </c>
      <c r="M1010" s="54" t="str">
        <f t="shared" si="158"/>
        <v/>
      </c>
      <c r="N1010" s="30"/>
      <c r="O1010" s="31"/>
      <c r="P1010" s="53"/>
      <c r="Q1010" s="33"/>
      <c r="R1010" s="54" t="str">
        <f t="shared" si="159"/>
        <v/>
      </c>
      <c r="S1010" s="30"/>
      <c r="T1010" s="33"/>
    </row>
    <row r="1011" spans="1:20" x14ac:dyDescent="0.25">
      <c r="A1011" s="30"/>
      <c r="B1011" s="37" t="str">
        <f t="shared" si="150"/>
        <v/>
      </c>
      <c r="C1011" s="30"/>
      <c r="D1011" s="34" t="str">
        <f t="shared" si="151"/>
        <v/>
      </c>
      <c r="E1011" s="34" t="str">
        <f t="shared" si="152"/>
        <v/>
      </c>
      <c r="F1011" s="34" t="str">
        <f t="shared" si="153"/>
        <v/>
      </c>
      <c r="G1011" s="35" t="str">
        <f t="shared" si="154"/>
        <v/>
      </c>
      <c r="H1011" s="30"/>
      <c r="I1011" s="36" t="str">
        <f t="shared" si="155"/>
        <v/>
      </c>
      <c r="J1011" s="34" t="str">
        <f t="shared" si="156"/>
        <v/>
      </c>
      <c r="K1011" s="49"/>
      <c r="L1011" s="55" t="str">
        <f t="shared" si="157"/>
        <v/>
      </c>
      <c r="M1011" s="54" t="str">
        <f t="shared" si="158"/>
        <v/>
      </c>
      <c r="N1011" s="30"/>
      <c r="O1011" s="31"/>
      <c r="P1011" s="53"/>
      <c r="Q1011" s="33"/>
      <c r="R1011" s="54" t="str">
        <f t="shared" si="159"/>
        <v/>
      </c>
      <c r="S1011" s="30"/>
      <c r="T1011" s="33"/>
    </row>
    <row r="1012" spans="1:20" x14ac:dyDescent="0.25">
      <c r="A1012" s="30"/>
      <c r="B1012" s="37" t="str">
        <f t="shared" si="150"/>
        <v/>
      </c>
      <c r="C1012" s="30"/>
      <c r="D1012" s="34" t="str">
        <f t="shared" si="151"/>
        <v/>
      </c>
      <c r="E1012" s="34" t="str">
        <f t="shared" si="152"/>
        <v/>
      </c>
      <c r="F1012" s="34" t="str">
        <f t="shared" si="153"/>
        <v/>
      </c>
      <c r="G1012" s="35" t="str">
        <f t="shared" si="154"/>
        <v/>
      </c>
      <c r="H1012" s="30"/>
      <c r="I1012" s="36" t="str">
        <f t="shared" si="155"/>
        <v/>
      </c>
      <c r="J1012" s="34" t="str">
        <f t="shared" si="156"/>
        <v/>
      </c>
      <c r="K1012" s="49"/>
      <c r="L1012" s="55" t="str">
        <f t="shared" si="157"/>
        <v/>
      </c>
      <c r="M1012" s="54" t="str">
        <f t="shared" si="158"/>
        <v/>
      </c>
      <c r="N1012" s="30"/>
      <c r="O1012" s="31"/>
      <c r="P1012" s="53"/>
      <c r="Q1012" s="33"/>
      <c r="R1012" s="54" t="str">
        <f t="shared" si="159"/>
        <v/>
      </c>
      <c r="S1012" s="30"/>
      <c r="T1012" s="33"/>
    </row>
    <row r="1013" spans="1:20" x14ac:dyDescent="0.25">
      <c r="A1013" s="30"/>
      <c r="B1013" s="37" t="str">
        <f t="shared" ref="B1013:B1076" si="160">IF($G1013="","",EOMONTH($G1013,0))</f>
        <v/>
      </c>
      <c r="C1013" s="30"/>
      <c r="D1013" s="34" t="str">
        <f t="shared" ref="D1013:D1076" si="161">IFERROR(IF($C1013="","",VLOOKUP($C1013,CAD_TAB,2,FALSE)),"")</f>
        <v/>
      </c>
      <c r="E1013" s="34" t="str">
        <f t="shared" ref="E1013:E1076" si="162">IFERROR(IF($C1013="","",VLOOKUP($C1013,CAD_TAB,3,FALSE)),"")</f>
        <v/>
      </c>
      <c r="F1013" s="34" t="str">
        <f t="shared" ref="F1013:F1076" si="163">IFERROR(IF($C1013="","",VLOOKUP($C1013,OS_TAB,7,FALSE)),"")</f>
        <v/>
      </c>
      <c r="G1013" s="35" t="str">
        <f t="shared" ref="G1013:G1076" si="164">IFERROR(IF($C1013="","",VLOOKUP($C1013,OS_TAB,10,FALSE)),"")</f>
        <v/>
      </c>
      <c r="H1013" s="30"/>
      <c r="I1013" s="36" t="str">
        <f t="shared" ref="I1013:I1076" si="165">IFERROR(IF($H1013="","",VLOOKUP($H1013,PRE_TAB,5,FALSE)),"CÓDIGO NÃO ENCONTRADO")</f>
        <v/>
      </c>
      <c r="J1013" s="34" t="str">
        <f t="shared" ref="J1013:J1076" si="166">IFERROR(IF($H1013="","",VLOOKUP($H1013,PRE_TAB,7,FALSE)),"")</f>
        <v/>
      </c>
      <c r="K1013" s="49"/>
      <c r="L1013" s="55" t="str">
        <f t="shared" ref="L1013:L1076" si="167">IFERROR(IF($H1013="","",VLOOKUP($H1013,PRE_TAB,8,FALSE)),0)</f>
        <v/>
      </c>
      <c r="M1013" s="54" t="str">
        <f t="shared" ref="M1013:M1076" si="168">IF($H1013="","",ROUND($K1013*$L1013,2))</f>
        <v/>
      </c>
      <c r="N1013" s="30"/>
      <c r="O1013" s="31"/>
      <c r="P1013" s="53"/>
      <c r="Q1013" s="33"/>
      <c r="R1013" s="54" t="str">
        <f t="shared" ref="R1013:R1076" si="169">IF($H1013="","",$M1013-$P1013)</f>
        <v/>
      </c>
      <c r="S1013" s="30"/>
      <c r="T1013" s="33"/>
    </row>
    <row r="1014" spans="1:20" x14ac:dyDescent="0.25">
      <c r="A1014" s="30"/>
      <c r="B1014" s="37" t="str">
        <f t="shared" si="160"/>
        <v/>
      </c>
      <c r="C1014" s="30"/>
      <c r="D1014" s="34" t="str">
        <f t="shared" si="161"/>
        <v/>
      </c>
      <c r="E1014" s="34" t="str">
        <f t="shared" si="162"/>
        <v/>
      </c>
      <c r="F1014" s="34" t="str">
        <f t="shared" si="163"/>
        <v/>
      </c>
      <c r="G1014" s="35" t="str">
        <f t="shared" si="164"/>
        <v/>
      </c>
      <c r="H1014" s="30"/>
      <c r="I1014" s="36" t="str">
        <f t="shared" si="165"/>
        <v/>
      </c>
      <c r="J1014" s="34" t="str">
        <f t="shared" si="166"/>
        <v/>
      </c>
      <c r="K1014" s="49"/>
      <c r="L1014" s="55" t="str">
        <f t="shared" si="167"/>
        <v/>
      </c>
      <c r="M1014" s="54" t="str">
        <f t="shared" si="168"/>
        <v/>
      </c>
      <c r="N1014" s="30"/>
      <c r="O1014" s="31"/>
      <c r="P1014" s="53"/>
      <c r="Q1014" s="33"/>
      <c r="R1014" s="54" t="str">
        <f t="shared" si="169"/>
        <v/>
      </c>
      <c r="S1014" s="30"/>
      <c r="T1014" s="33"/>
    </row>
    <row r="1015" spans="1:20" x14ac:dyDescent="0.25">
      <c r="A1015" s="30"/>
      <c r="B1015" s="37" t="str">
        <f t="shared" si="160"/>
        <v/>
      </c>
      <c r="C1015" s="30"/>
      <c r="D1015" s="34" t="str">
        <f t="shared" si="161"/>
        <v/>
      </c>
      <c r="E1015" s="34" t="str">
        <f t="shared" si="162"/>
        <v/>
      </c>
      <c r="F1015" s="34" t="str">
        <f t="shared" si="163"/>
        <v/>
      </c>
      <c r="G1015" s="35" t="str">
        <f t="shared" si="164"/>
        <v/>
      </c>
      <c r="H1015" s="30"/>
      <c r="I1015" s="36" t="str">
        <f t="shared" si="165"/>
        <v/>
      </c>
      <c r="J1015" s="34" t="str">
        <f t="shared" si="166"/>
        <v/>
      </c>
      <c r="K1015" s="49"/>
      <c r="L1015" s="55" t="str">
        <f t="shared" si="167"/>
        <v/>
      </c>
      <c r="M1015" s="54" t="str">
        <f t="shared" si="168"/>
        <v/>
      </c>
      <c r="N1015" s="30"/>
      <c r="O1015" s="31"/>
      <c r="P1015" s="53"/>
      <c r="Q1015" s="33"/>
      <c r="R1015" s="54" t="str">
        <f t="shared" si="169"/>
        <v/>
      </c>
      <c r="S1015" s="30"/>
      <c r="T1015" s="33"/>
    </row>
    <row r="1016" spans="1:20" x14ac:dyDescent="0.25">
      <c r="A1016" s="30"/>
      <c r="B1016" s="37" t="str">
        <f t="shared" si="160"/>
        <v/>
      </c>
      <c r="C1016" s="30"/>
      <c r="D1016" s="34" t="str">
        <f t="shared" si="161"/>
        <v/>
      </c>
      <c r="E1016" s="34" t="str">
        <f t="shared" si="162"/>
        <v/>
      </c>
      <c r="F1016" s="34" t="str">
        <f t="shared" si="163"/>
        <v/>
      </c>
      <c r="G1016" s="35" t="str">
        <f t="shared" si="164"/>
        <v/>
      </c>
      <c r="H1016" s="30"/>
      <c r="I1016" s="36" t="str">
        <f t="shared" si="165"/>
        <v/>
      </c>
      <c r="J1016" s="34" t="str">
        <f t="shared" si="166"/>
        <v/>
      </c>
      <c r="K1016" s="49"/>
      <c r="L1016" s="55" t="str">
        <f t="shared" si="167"/>
        <v/>
      </c>
      <c r="M1016" s="54" t="str">
        <f t="shared" si="168"/>
        <v/>
      </c>
      <c r="N1016" s="30"/>
      <c r="O1016" s="31"/>
      <c r="P1016" s="53"/>
      <c r="Q1016" s="33"/>
      <c r="R1016" s="54" t="str">
        <f t="shared" si="169"/>
        <v/>
      </c>
      <c r="S1016" s="30"/>
      <c r="T1016" s="33"/>
    </row>
    <row r="1017" spans="1:20" x14ac:dyDescent="0.25">
      <c r="A1017" s="30"/>
      <c r="B1017" s="37" t="str">
        <f t="shared" si="160"/>
        <v/>
      </c>
      <c r="C1017" s="30"/>
      <c r="D1017" s="34" t="str">
        <f t="shared" si="161"/>
        <v/>
      </c>
      <c r="E1017" s="34" t="str">
        <f t="shared" si="162"/>
        <v/>
      </c>
      <c r="F1017" s="34" t="str">
        <f t="shared" si="163"/>
        <v/>
      </c>
      <c r="G1017" s="35" t="str">
        <f t="shared" si="164"/>
        <v/>
      </c>
      <c r="H1017" s="30"/>
      <c r="I1017" s="36" t="str">
        <f t="shared" si="165"/>
        <v/>
      </c>
      <c r="J1017" s="34" t="str">
        <f t="shared" si="166"/>
        <v/>
      </c>
      <c r="K1017" s="49"/>
      <c r="L1017" s="55" t="str">
        <f t="shared" si="167"/>
        <v/>
      </c>
      <c r="M1017" s="54" t="str">
        <f t="shared" si="168"/>
        <v/>
      </c>
      <c r="N1017" s="30"/>
      <c r="O1017" s="31"/>
      <c r="P1017" s="53"/>
      <c r="Q1017" s="33"/>
      <c r="R1017" s="54" t="str">
        <f t="shared" si="169"/>
        <v/>
      </c>
      <c r="S1017" s="30"/>
      <c r="T1017" s="33"/>
    </row>
    <row r="1018" spans="1:20" x14ac:dyDescent="0.25">
      <c r="A1018" s="30"/>
      <c r="B1018" s="37" t="str">
        <f t="shared" si="160"/>
        <v/>
      </c>
      <c r="C1018" s="30"/>
      <c r="D1018" s="34" t="str">
        <f t="shared" si="161"/>
        <v/>
      </c>
      <c r="E1018" s="34" t="str">
        <f t="shared" si="162"/>
        <v/>
      </c>
      <c r="F1018" s="34" t="str">
        <f t="shared" si="163"/>
        <v/>
      </c>
      <c r="G1018" s="35" t="str">
        <f t="shared" si="164"/>
        <v/>
      </c>
      <c r="H1018" s="30"/>
      <c r="I1018" s="36" t="str">
        <f t="shared" si="165"/>
        <v/>
      </c>
      <c r="J1018" s="34" t="str">
        <f t="shared" si="166"/>
        <v/>
      </c>
      <c r="K1018" s="49"/>
      <c r="L1018" s="55" t="str">
        <f t="shared" si="167"/>
        <v/>
      </c>
      <c r="M1018" s="54" t="str">
        <f t="shared" si="168"/>
        <v/>
      </c>
      <c r="N1018" s="30"/>
      <c r="O1018" s="31"/>
      <c r="P1018" s="53"/>
      <c r="Q1018" s="33"/>
      <c r="R1018" s="54" t="str">
        <f t="shared" si="169"/>
        <v/>
      </c>
      <c r="S1018" s="30"/>
      <c r="T1018" s="33"/>
    </row>
    <row r="1019" spans="1:20" x14ac:dyDescent="0.25">
      <c r="A1019" s="30"/>
      <c r="B1019" s="37" t="str">
        <f t="shared" si="160"/>
        <v/>
      </c>
      <c r="C1019" s="30"/>
      <c r="D1019" s="34" t="str">
        <f t="shared" si="161"/>
        <v/>
      </c>
      <c r="E1019" s="34" t="str">
        <f t="shared" si="162"/>
        <v/>
      </c>
      <c r="F1019" s="34" t="str">
        <f t="shared" si="163"/>
        <v/>
      </c>
      <c r="G1019" s="35" t="str">
        <f t="shared" si="164"/>
        <v/>
      </c>
      <c r="H1019" s="30"/>
      <c r="I1019" s="36" t="str">
        <f t="shared" si="165"/>
        <v/>
      </c>
      <c r="J1019" s="34" t="str">
        <f t="shared" si="166"/>
        <v/>
      </c>
      <c r="K1019" s="49"/>
      <c r="L1019" s="55" t="str">
        <f t="shared" si="167"/>
        <v/>
      </c>
      <c r="M1019" s="54" t="str">
        <f t="shared" si="168"/>
        <v/>
      </c>
      <c r="N1019" s="30"/>
      <c r="O1019" s="31"/>
      <c r="P1019" s="53"/>
      <c r="Q1019" s="33"/>
      <c r="R1019" s="54" t="str">
        <f t="shared" si="169"/>
        <v/>
      </c>
      <c r="S1019" s="30"/>
      <c r="T1019" s="33"/>
    </row>
    <row r="1020" spans="1:20" x14ac:dyDescent="0.25">
      <c r="A1020" s="30"/>
      <c r="B1020" s="37" t="str">
        <f t="shared" si="160"/>
        <v/>
      </c>
      <c r="C1020" s="30"/>
      <c r="D1020" s="34" t="str">
        <f t="shared" si="161"/>
        <v/>
      </c>
      <c r="E1020" s="34" t="str">
        <f t="shared" si="162"/>
        <v/>
      </c>
      <c r="F1020" s="34" t="str">
        <f t="shared" si="163"/>
        <v/>
      </c>
      <c r="G1020" s="35" t="str">
        <f t="shared" si="164"/>
        <v/>
      </c>
      <c r="H1020" s="30"/>
      <c r="I1020" s="36" t="str">
        <f t="shared" si="165"/>
        <v/>
      </c>
      <c r="J1020" s="34" t="str">
        <f t="shared" si="166"/>
        <v/>
      </c>
      <c r="K1020" s="49"/>
      <c r="L1020" s="55" t="str">
        <f t="shared" si="167"/>
        <v/>
      </c>
      <c r="M1020" s="54" t="str">
        <f t="shared" si="168"/>
        <v/>
      </c>
      <c r="N1020" s="30"/>
      <c r="O1020" s="31"/>
      <c r="P1020" s="53"/>
      <c r="Q1020" s="33"/>
      <c r="R1020" s="54" t="str">
        <f t="shared" si="169"/>
        <v/>
      </c>
      <c r="S1020" s="30"/>
      <c r="T1020" s="33"/>
    </row>
    <row r="1021" spans="1:20" x14ac:dyDescent="0.25">
      <c r="A1021" s="30"/>
      <c r="B1021" s="37" t="str">
        <f t="shared" si="160"/>
        <v/>
      </c>
      <c r="C1021" s="30"/>
      <c r="D1021" s="34" t="str">
        <f t="shared" si="161"/>
        <v/>
      </c>
      <c r="E1021" s="34" t="str">
        <f t="shared" si="162"/>
        <v/>
      </c>
      <c r="F1021" s="34" t="str">
        <f t="shared" si="163"/>
        <v/>
      </c>
      <c r="G1021" s="35" t="str">
        <f t="shared" si="164"/>
        <v/>
      </c>
      <c r="H1021" s="30"/>
      <c r="I1021" s="36" t="str">
        <f t="shared" si="165"/>
        <v/>
      </c>
      <c r="J1021" s="34" t="str">
        <f t="shared" si="166"/>
        <v/>
      </c>
      <c r="K1021" s="49"/>
      <c r="L1021" s="55" t="str">
        <f t="shared" si="167"/>
        <v/>
      </c>
      <c r="M1021" s="54" t="str">
        <f t="shared" si="168"/>
        <v/>
      </c>
      <c r="N1021" s="30"/>
      <c r="O1021" s="31"/>
      <c r="P1021" s="53"/>
      <c r="Q1021" s="33"/>
      <c r="R1021" s="54" t="str">
        <f t="shared" si="169"/>
        <v/>
      </c>
      <c r="S1021" s="30"/>
      <c r="T1021" s="33"/>
    </row>
    <row r="1022" spans="1:20" x14ac:dyDescent="0.25">
      <c r="A1022" s="30"/>
      <c r="B1022" s="37" t="str">
        <f t="shared" si="160"/>
        <v/>
      </c>
      <c r="C1022" s="30"/>
      <c r="D1022" s="34" t="str">
        <f t="shared" si="161"/>
        <v/>
      </c>
      <c r="E1022" s="34" t="str">
        <f t="shared" si="162"/>
        <v/>
      </c>
      <c r="F1022" s="34" t="str">
        <f t="shared" si="163"/>
        <v/>
      </c>
      <c r="G1022" s="35" t="str">
        <f t="shared" si="164"/>
        <v/>
      </c>
      <c r="H1022" s="30"/>
      <c r="I1022" s="36" t="str">
        <f t="shared" si="165"/>
        <v/>
      </c>
      <c r="J1022" s="34" t="str">
        <f t="shared" si="166"/>
        <v/>
      </c>
      <c r="K1022" s="49"/>
      <c r="L1022" s="55" t="str">
        <f t="shared" si="167"/>
        <v/>
      </c>
      <c r="M1022" s="54" t="str">
        <f t="shared" si="168"/>
        <v/>
      </c>
      <c r="N1022" s="30"/>
      <c r="O1022" s="31"/>
      <c r="P1022" s="53"/>
      <c r="Q1022" s="33"/>
      <c r="R1022" s="54" t="str">
        <f t="shared" si="169"/>
        <v/>
      </c>
      <c r="S1022" s="30"/>
      <c r="T1022" s="33"/>
    </row>
    <row r="1023" spans="1:20" x14ac:dyDescent="0.25">
      <c r="A1023" s="30"/>
      <c r="B1023" s="37" t="str">
        <f t="shared" si="160"/>
        <v/>
      </c>
      <c r="C1023" s="30"/>
      <c r="D1023" s="34" t="str">
        <f t="shared" si="161"/>
        <v/>
      </c>
      <c r="E1023" s="34" t="str">
        <f t="shared" si="162"/>
        <v/>
      </c>
      <c r="F1023" s="34" t="str">
        <f t="shared" si="163"/>
        <v/>
      </c>
      <c r="G1023" s="35" t="str">
        <f t="shared" si="164"/>
        <v/>
      </c>
      <c r="H1023" s="30"/>
      <c r="I1023" s="36" t="str">
        <f t="shared" si="165"/>
        <v/>
      </c>
      <c r="J1023" s="34" t="str">
        <f t="shared" si="166"/>
        <v/>
      </c>
      <c r="K1023" s="49"/>
      <c r="L1023" s="55" t="str">
        <f t="shared" si="167"/>
        <v/>
      </c>
      <c r="M1023" s="54" t="str">
        <f t="shared" si="168"/>
        <v/>
      </c>
      <c r="N1023" s="30"/>
      <c r="O1023" s="31"/>
      <c r="P1023" s="53"/>
      <c r="Q1023" s="33"/>
      <c r="R1023" s="54" t="str">
        <f t="shared" si="169"/>
        <v/>
      </c>
      <c r="S1023" s="30"/>
      <c r="T1023" s="33"/>
    </row>
    <row r="1024" spans="1:20" x14ac:dyDescent="0.25">
      <c r="A1024" s="30"/>
      <c r="B1024" s="37" t="str">
        <f t="shared" si="160"/>
        <v/>
      </c>
      <c r="C1024" s="30"/>
      <c r="D1024" s="34" t="str">
        <f t="shared" si="161"/>
        <v/>
      </c>
      <c r="E1024" s="34" t="str">
        <f t="shared" si="162"/>
        <v/>
      </c>
      <c r="F1024" s="34" t="str">
        <f t="shared" si="163"/>
        <v/>
      </c>
      <c r="G1024" s="35" t="str">
        <f t="shared" si="164"/>
        <v/>
      </c>
      <c r="H1024" s="30"/>
      <c r="I1024" s="36" t="str">
        <f t="shared" si="165"/>
        <v/>
      </c>
      <c r="J1024" s="34" t="str">
        <f t="shared" si="166"/>
        <v/>
      </c>
      <c r="K1024" s="49"/>
      <c r="L1024" s="55" t="str">
        <f t="shared" si="167"/>
        <v/>
      </c>
      <c r="M1024" s="54" t="str">
        <f t="shared" si="168"/>
        <v/>
      </c>
      <c r="N1024" s="30"/>
      <c r="O1024" s="31"/>
      <c r="P1024" s="53"/>
      <c r="Q1024" s="33"/>
      <c r="R1024" s="54" t="str">
        <f t="shared" si="169"/>
        <v/>
      </c>
      <c r="S1024" s="30"/>
      <c r="T1024" s="33"/>
    </row>
    <row r="1025" spans="1:20" x14ac:dyDescent="0.25">
      <c r="A1025" s="30"/>
      <c r="B1025" s="37" t="str">
        <f t="shared" si="160"/>
        <v/>
      </c>
      <c r="C1025" s="30"/>
      <c r="D1025" s="34" t="str">
        <f t="shared" si="161"/>
        <v/>
      </c>
      <c r="E1025" s="34" t="str">
        <f t="shared" si="162"/>
        <v/>
      </c>
      <c r="F1025" s="34" t="str">
        <f t="shared" si="163"/>
        <v/>
      </c>
      <c r="G1025" s="35" t="str">
        <f t="shared" si="164"/>
        <v/>
      </c>
      <c r="H1025" s="30"/>
      <c r="I1025" s="36" t="str">
        <f t="shared" si="165"/>
        <v/>
      </c>
      <c r="J1025" s="34" t="str">
        <f t="shared" si="166"/>
        <v/>
      </c>
      <c r="K1025" s="49"/>
      <c r="L1025" s="55" t="str">
        <f t="shared" si="167"/>
        <v/>
      </c>
      <c r="M1025" s="54" t="str">
        <f t="shared" si="168"/>
        <v/>
      </c>
      <c r="N1025" s="30"/>
      <c r="O1025" s="31"/>
      <c r="P1025" s="53"/>
      <c r="Q1025" s="33"/>
      <c r="R1025" s="54" t="str">
        <f t="shared" si="169"/>
        <v/>
      </c>
      <c r="S1025" s="30"/>
      <c r="T1025" s="33"/>
    </row>
    <row r="1026" spans="1:20" x14ac:dyDescent="0.25">
      <c r="A1026" s="30"/>
      <c r="B1026" s="37" t="str">
        <f t="shared" si="160"/>
        <v/>
      </c>
      <c r="C1026" s="30"/>
      <c r="D1026" s="34" t="str">
        <f t="shared" si="161"/>
        <v/>
      </c>
      <c r="E1026" s="34" t="str">
        <f t="shared" si="162"/>
        <v/>
      </c>
      <c r="F1026" s="34" t="str">
        <f t="shared" si="163"/>
        <v/>
      </c>
      <c r="G1026" s="35" t="str">
        <f t="shared" si="164"/>
        <v/>
      </c>
      <c r="H1026" s="30"/>
      <c r="I1026" s="36" t="str">
        <f t="shared" si="165"/>
        <v/>
      </c>
      <c r="J1026" s="34" t="str">
        <f t="shared" si="166"/>
        <v/>
      </c>
      <c r="K1026" s="49"/>
      <c r="L1026" s="55" t="str">
        <f t="shared" si="167"/>
        <v/>
      </c>
      <c r="M1026" s="54" t="str">
        <f t="shared" si="168"/>
        <v/>
      </c>
      <c r="N1026" s="30"/>
      <c r="O1026" s="31"/>
      <c r="P1026" s="53"/>
      <c r="Q1026" s="33"/>
      <c r="R1026" s="54" t="str">
        <f t="shared" si="169"/>
        <v/>
      </c>
      <c r="S1026" s="30"/>
      <c r="T1026" s="33"/>
    </row>
    <row r="1027" spans="1:20" x14ac:dyDescent="0.25">
      <c r="A1027" s="30"/>
      <c r="B1027" s="37" t="str">
        <f t="shared" si="160"/>
        <v/>
      </c>
      <c r="C1027" s="30"/>
      <c r="D1027" s="34" t="str">
        <f t="shared" si="161"/>
        <v/>
      </c>
      <c r="E1027" s="34" t="str">
        <f t="shared" si="162"/>
        <v/>
      </c>
      <c r="F1027" s="34" t="str">
        <f t="shared" si="163"/>
        <v/>
      </c>
      <c r="G1027" s="35" t="str">
        <f t="shared" si="164"/>
        <v/>
      </c>
      <c r="H1027" s="30"/>
      <c r="I1027" s="36" t="str">
        <f t="shared" si="165"/>
        <v/>
      </c>
      <c r="J1027" s="34" t="str">
        <f t="shared" si="166"/>
        <v/>
      </c>
      <c r="K1027" s="49"/>
      <c r="L1027" s="55" t="str">
        <f t="shared" si="167"/>
        <v/>
      </c>
      <c r="M1027" s="54" t="str">
        <f t="shared" si="168"/>
        <v/>
      </c>
      <c r="N1027" s="30"/>
      <c r="O1027" s="31"/>
      <c r="P1027" s="53"/>
      <c r="Q1027" s="33"/>
      <c r="R1027" s="54" t="str">
        <f t="shared" si="169"/>
        <v/>
      </c>
      <c r="S1027" s="30"/>
      <c r="T1027" s="33"/>
    </row>
    <row r="1028" spans="1:20" x14ac:dyDescent="0.25">
      <c r="A1028" s="30"/>
      <c r="B1028" s="37" t="str">
        <f t="shared" si="160"/>
        <v/>
      </c>
      <c r="C1028" s="30"/>
      <c r="D1028" s="34" t="str">
        <f t="shared" si="161"/>
        <v/>
      </c>
      <c r="E1028" s="34" t="str">
        <f t="shared" si="162"/>
        <v/>
      </c>
      <c r="F1028" s="34" t="str">
        <f t="shared" si="163"/>
        <v/>
      </c>
      <c r="G1028" s="35" t="str">
        <f t="shared" si="164"/>
        <v/>
      </c>
      <c r="H1028" s="30"/>
      <c r="I1028" s="36" t="str">
        <f t="shared" si="165"/>
        <v/>
      </c>
      <c r="J1028" s="34" t="str">
        <f t="shared" si="166"/>
        <v/>
      </c>
      <c r="K1028" s="49"/>
      <c r="L1028" s="55" t="str">
        <f t="shared" si="167"/>
        <v/>
      </c>
      <c r="M1028" s="54" t="str">
        <f t="shared" si="168"/>
        <v/>
      </c>
      <c r="N1028" s="30"/>
      <c r="O1028" s="31"/>
      <c r="P1028" s="53"/>
      <c r="Q1028" s="33"/>
      <c r="R1028" s="54" t="str">
        <f t="shared" si="169"/>
        <v/>
      </c>
      <c r="S1028" s="30"/>
      <c r="T1028" s="33"/>
    </row>
    <row r="1029" spans="1:20" x14ac:dyDescent="0.25">
      <c r="A1029" s="30"/>
      <c r="B1029" s="37" t="str">
        <f t="shared" si="160"/>
        <v/>
      </c>
      <c r="C1029" s="30"/>
      <c r="D1029" s="34" t="str">
        <f t="shared" si="161"/>
        <v/>
      </c>
      <c r="E1029" s="34" t="str">
        <f t="shared" si="162"/>
        <v/>
      </c>
      <c r="F1029" s="34" t="str">
        <f t="shared" si="163"/>
        <v/>
      </c>
      <c r="G1029" s="35" t="str">
        <f t="shared" si="164"/>
        <v/>
      </c>
      <c r="H1029" s="30"/>
      <c r="I1029" s="36" t="str">
        <f t="shared" si="165"/>
        <v/>
      </c>
      <c r="J1029" s="34" t="str">
        <f t="shared" si="166"/>
        <v/>
      </c>
      <c r="K1029" s="49"/>
      <c r="L1029" s="55" t="str">
        <f t="shared" si="167"/>
        <v/>
      </c>
      <c r="M1029" s="54" t="str">
        <f t="shared" si="168"/>
        <v/>
      </c>
      <c r="N1029" s="30"/>
      <c r="O1029" s="31"/>
      <c r="P1029" s="53"/>
      <c r="Q1029" s="33"/>
      <c r="R1029" s="54" t="str">
        <f t="shared" si="169"/>
        <v/>
      </c>
      <c r="S1029" s="30"/>
      <c r="T1029" s="33"/>
    </row>
    <row r="1030" spans="1:20" x14ac:dyDescent="0.25">
      <c r="A1030" s="30"/>
      <c r="B1030" s="37" t="str">
        <f t="shared" si="160"/>
        <v/>
      </c>
      <c r="C1030" s="30"/>
      <c r="D1030" s="34" t="str">
        <f t="shared" si="161"/>
        <v/>
      </c>
      <c r="E1030" s="34" t="str">
        <f t="shared" si="162"/>
        <v/>
      </c>
      <c r="F1030" s="34" t="str">
        <f t="shared" si="163"/>
        <v/>
      </c>
      <c r="G1030" s="35" t="str">
        <f t="shared" si="164"/>
        <v/>
      </c>
      <c r="H1030" s="30"/>
      <c r="I1030" s="36" t="str">
        <f t="shared" si="165"/>
        <v/>
      </c>
      <c r="J1030" s="34" t="str">
        <f t="shared" si="166"/>
        <v/>
      </c>
      <c r="K1030" s="49"/>
      <c r="L1030" s="55" t="str">
        <f t="shared" si="167"/>
        <v/>
      </c>
      <c r="M1030" s="54" t="str">
        <f t="shared" si="168"/>
        <v/>
      </c>
      <c r="N1030" s="30"/>
      <c r="O1030" s="31"/>
      <c r="P1030" s="53"/>
      <c r="Q1030" s="33"/>
      <c r="R1030" s="54" t="str">
        <f t="shared" si="169"/>
        <v/>
      </c>
      <c r="S1030" s="30"/>
      <c r="T1030" s="33"/>
    </row>
    <row r="1031" spans="1:20" x14ac:dyDescent="0.25">
      <c r="A1031" s="30"/>
      <c r="B1031" s="37" t="str">
        <f t="shared" si="160"/>
        <v/>
      </c>
      <c r="C1031" s="30"/>
      <c r="D1031" s="34" t="str">
        <f t="shared" si="161"/>
        <v/>
      </c>
      <c r="E1031" s="34" t="str">
        <f t="shared" si="162"/>
        <v/>
      </c>
      <c r="F1031" s="34" t="str">
        <f t="shared" si="163"/>
        <v/>
      </c>
      <c r="G1031" s="35" t="str">
        <f t="shared" si="164"/>
        <v/>
      </c>
      <c r="H1031" s="30"/>
      <c r="I1031" s="36" t="str">
        <f t="shared" si="165"/>
        <v/>
      </c>
      <c r="J1031" s="34" t="str">
        <f t="shared" si="166"/>
        <v/>
      </c>
      <c r="K1031" s="49"/>
      <c r="L1031" s="55" t="str">
        <f t="shared" si="167"/>
        <v/>
      </c>
      <c r="M1031" s="54" t="str">
        <f t="shared" si="168"/>
        <v/>
      </c>
      <c r="N1031" s="30"/>
      <c r="O1031" s="31"/>
      <c r="P1031" s="53"/>
      <c r="Q1031" s="33"/>
      <c r="R1031" s="54" t="str">
        <f t="shared" si="169"/>
        <v/>
      </c>
      <c r="S1031" s="30"/>
      <c r="T1031" s="33"/>
    </row>
    <row r="1032" spans="1:20" x14ac:dyDescent="0.25">
      <c r="A1032" s="30"/>
      <c r="B1032" s="37" t="str">
        <f t="shared" si="160"/>
        <v/>
      </c>
      <c r="C1032" s="30"/>
      <c r="D1032" s="34" t="str">
        <f t="shared" si="161"/>
        <v/>
      </c>
      <c r="E1032" s="34" t="str">
        <f t="shared" si="162"/>
        <v/>
      </c>
      <c r="F1032" s="34" t="str">
        <f t="shared" si="163"/>
        <v/>
      </c>
      <c r="G1032" s="35" t="str">
        <f t="shared" si="164"/>
        <v/>
      </c>
      <c r="H1032" s="30"/>
      <c r="I1032" s="36" t="str">
        <f t="shared" si="165"/>
        <v/>
      </c>
      <c r="J1032" s="34" t="str">
        <f t="shared" si="166"/>
        <v/>
      </c>
      <c r="K1032" s="49"/>
      <c r="L1032" s="55" t="str">
        <f t="shared" si="167"/>
        <v/>
      </c>
      <c r="M1032" s="54" t="str">
        <f t="shared" si="168"/>
        <v/>
      </c>
      <c r="N1032" s="30"/>
      <c r="O1032" s="31"/>
      <c r="P1032" s="53"/>
      <c r="Q1032" s="33"/>
      <c r="R1032" s="54" t="str">
        <f t="shared" si="169"/>
        <v/>
      </c>
      <c r="S1032" s="30"/>
      <c r="T1032" s="33"/>
    </row>
    <row r="1033" spans="1:20" x14ac:dyDescent="0.25">
      <c r="A1033" s="30"/>
      <c r="B1033" s="37" t="str">
        <f t="shared" si="160"/>
        <v/>
      </c>
      <c r="C1033" s="30"/>
      <c r="D1033" s="34" t="str">
        <f t="shared" si="161"/>
        <v/>
      </c>
      <c r="E1033" s="34" t="str">
        <f t="shared" si="162"/>
        <v/>
      </c>
      <c r="F1033" s="34" t="str">
        <f t="shared" si="163"/>
        <v/>
      </c>
      <c r="G1033" s="35" t="str">
        <f t="shared" si="164"/>
        <v/>
      </c>
      <c r="H1033" s="30"/>
      <c r="I1033" s="36" t="str">
        <f t="shared" si="165"/>
        <v/>
      </c>
      <c r="J1033" s="34" t="str">
        <f t="shared" si="166"/>
        <v/>
      </c>
      <c r="K1033" s="49"/>
      <c r="L1033" s="55" t="str">
        <f t="shared" si="167"/>
        <v/>
      </c>
      <c r="M1033" s="54" t="str">
        <f t="shared" si="168"/>
        <v/>
      </c>
      <c r="N1033" s="30"/>
      <c r="O1033" s="31"/>
      <c r="P1033" s="53"/>
      <c r="Q1033" s="33"/>
      <c r="R1033" s="54" t="str">
        <f t="shared" si="169"/>
        <v/>
      </c>
      <c r="S1033" s="30"/>
      <c r="T1033" s="33"/>
    </row>
    <row r="1034" spans="1:20" x14ac:dyDescent="0.25">
      <c r="A1034" s="30"/>
      <c r="B1034" s="37" t="str">
        <f t="shared" si="160"/>
        <v/>
      </c>
      <c r="C1034" s="30"/>
      <c r="D1034" s="34" t="str">
        <f t="shared" si="161"/>
        <v/>
      </c>
      <c r="E1034" s="34" t="str">
        <f t="shared" si="162"/>
        <v/>
      </c>
      <c r="F1034" s="34" t="str">
        <f t="shared" si="163"/>
        <v/>
      </c>
      <c r="G1034" s="35" t="str">
        <f t="shared" si="164"/>
        <v/>
      </c>
      <c r="H1034" s="30"/>
      <c r="I1034" s="36" t="str">
        <f t="shared" si="165"/>
        <v/>
      </c>
      <c r="J1034" s="34" t="str">
        <f t="shared" si="166"/>
        <v/>
      </c>
      <c r="K1034" s="49"/>
      <c r="L1034" s="55" t="str">
        <f t="shared" si="167"/>
        <v/>
      </c>
      <c r="M1034" s="54" t="str">
        <f t="shared" si="168"/>
        <v/>
      </c>
      <c r="N1034" s="30"/>
      <c r="O1034" s="31"/>
      <c r="P1034" s="53"/>
      <c r="Q1034" s="33"/>
      <c r="R1034" s="54" t="str">
        <f t="shared" si="169"/>
        <v/>
      </c>
      <c r="S1034" s="30"/>
      <c r="T1034" s="33"/>
    </row>
    <row r="1035" spans="1:20" x14ac:dyDescent="0.25">
      <c r="A1035" s="30"/>
      <c r="B1035" s="37" t="str">
        <f t="shared" si="160"/>
        <v/>
      </c>
      <c r="C1035" s="30"/>
      <c r="D1035" s="34" t="str">
        <f t="shared" si="161"/>
        <v/>
      </c>
      <c r="E1035" s="34" t="str">
        <f t="shared" si="162"/>
        <v/>
      </c>
      <c r="F1035" s="34" t="str">
        <f t="shared" si="163"/>
        <v/>
      </c>
      <c r="G1035" s="35" t="str">
        <f t="shared" si="164"/>
        <v/>
      </c>
      <c r="H1035" s="30"/>
      <c r="I1035" s="36" t="str">
        <f t="shared" si="165"/>
        <v/>
      </c>
      <c r="J1035" s="34" t="str">
        <f t="shared" si="166"/>
        <v/>
      </c>
      <c r="K1035" s="49"/>
      <c r="L1035" s="55" t="str">
        <f t="shared" si="167"/>
        <v/>
      </c>
      <c r="M1035" s="54" t="str">
        <f t="shared" si="168"/>
        <v/>
      </c>
      <c r="N1035" s="30"/>
      <c r="O1035" s="31"/>
      <c r="P1035" s="53"/>
      <c r="Q1035" s="33"/>
      <c r="R1035" s="54" t="str">
        <f t="shared" si="169"/>
        <v/>
      </c>
      <c r="S1035" s="30"/>
      <c r="T1035" s="33"/>
    </row>
    <row r="1036" spans="1:20" x14ac:dyDescent="0.25">
      <c r="A1036" s="30"/>
      <c r="B1036" s="37" t="str">
        <f t="shared" si="160"/>
        <v/>
      </c>
      <c r="C1036" s="30"/>
      <c r="D1036" s="34" t="str">
        <f t="shared" si="161"/>
        <v/>
      </c>
      <c r="E1036" s="34" t="str">
        <f t="shared" si="162"/>
        <v/>
      </c>
      <c r="F1036" s="34" t="str">
        <f t="shared" si="163"/>
        <v/>
      </c>
      <c r="G1036" s="35" t="str">
        <f t="shared" si="164"/>
        <v/>
      </c>
      <c r="H1036" s="30"/>
      <c r="I1036" s="36" t="str">
        <f t="shared" si="165"/>
        <v/>
      </c>
      <c r="J1036" s="34" t="str">
        <f t="shared" si="166"/>
        <v/>
      </c>
      <c r="K1036" s="49"/>
      <c r="L1036" s="55" t="str">
        <f t="shared" si="167"/>
        <v/>
      </c>
      <c r="M1036" s="54" t="str">
        <f t="shared" si="168"/>
        <v/>
      </c>
      <c r="N1036" s="30"/>
      <c r="O1036" s="31"/>
      <c r="P1036" s="53"/>
      <c r="Q1036" s="33"/>
      <c r="R1036" s="54" t="str">
        <f t="shared" si="169"/>
        <v/>
      </c>
      <c r="S1036" s="30"/>
      <c r="T1036" s="33"/>
    </row>
    <row r="1037" spans="1:20" x14ac:dyDescent="0.25">
      <c r="A1037" s="30"/>
      <c r="B1037" s="37" t="str">
        <f t="shared" si="160"/>
        <v/>
      </c>
      <c r="C1037" s="30"/>
      <c r="D1037" s="34" t="str">
        <f t="shared" si="161"/>
        <v/>
      </c>
      <c r="E1037" s="34" t="str">
        <f t="shared" si="162"/>
        <v/>
      </c>
      <c r="F1037" s="34" t="str">
        <f t="shared" si="163"/>
        <v/>
      </c>
      <c r="G1037" s="35" t="str">
        <f t="shared" si="164"/>
        <v/>
      </c>
      <c r="H1037" s="30"/>
      <c r="I1037" s="36" t="str">
        <f t="shared" si="165"/>
        <v/>
      </c>
      <c r="J1037" s="34" t="str">
        <f t="shared" si="166"/>
        <v/>
      </c>
      <c r="K1037" s="49"/>
      <c r="L1037" s="55" t="str">
        <f t="shared" si="167"/>
        <v/>
      </c>
      <c r="M1037" s="54" t="str">
        <f t="shared" si="168"/>
        <v/>
      </c>
      <c r="N1037" s="30"/>
      <c r="O1037" s="31"/>
      <c r="P1037" s="53"/>
      <c r="Q1037" s="33"/>
      <c r="R1037" s="54" t="str">
        <f t="shared" si="169"/>
        <v/>
      </c>
      <c r="S1037" s="30"/>
      <c r="T1037" s="33"/>
    </row>
    <row r="1038" spans="1:20" x14ac:dyDescent="0.25">
      <c r="A1038" s="30"/>
      <c r="B1038" s="37" t="str">
        <f t="shared" si="160"/>
        <v/>
      </c>
      <c r="C1038" s="30"/>
      <c r="D1038" s="34" t="str">
        <f t="shared" si="161"/>
        <v/>
      </c>
      <c r="E1038" s="34" t="str">
        <f t="shared" si="162"/>
        <v/>
      </c>
      <c r="F1038" s="34" t="str">
        <f t="shared" si="163"/>
        <v/>
      </c>
      <c r="G1038" s="35" t="str">
        <f t="shared" si="164"/>
        <v/>
      </c>
      <c r="H1038" s="30"/>
      <c r="I1038" s="36" t="str">
        <f t="shared" si="165"/>
        <v/>
      </c>
      <c r="J1038" s="34" t="str">
        <f t="shared" si="166"/>
        <v/>
      </c>
      <c r="K1038" s="49"/>
      <c r="L1038" s="55" t="str">
        <f t="shared" si="167"/>
        <v/>
      </c>
      <c r="M1038" s="54" t="str">
        <f t="shared" si="168"/>
        <v/>
      </c>
      <c r="N1038" s="30"/>
      <c r="O1038" s="31"/>
      <c r="P1038" s="53"/>
      <c r="Q1038" s="33"/>
      <c r="R1038" s="54" t="str">
        <f t="shared" si="169"/>
        <v/>
      </c>
      <c r="S1038" s="30"/>
      <c r="T1038" s="33"/>
    </row>
    <row r="1039" spans="1:20" x14ac:dyDescent="0.25">
      <c r="A1039" s="30"/>
      <c r="B1039" s="37" t="str">
        <f t="shared" si="160"/>
        <v/>
      </c>
      <c r="C1039" s="30"/>
      <c r="D1039" s="34" t="str">
        <f t="shared" si="161"/>
        <v/>
      </c>
      <c r="E1039" s="34" t="str">
        <f t="shared" si="162"/>
        <v/>
      </c>
      <c r="F1039" s="34" t="str">
        <f t="shared" si="163"/>
        <v/>
      </c>
      <c r="G1039" s="35" t="str">
        <f t="shared" si="164"/>
        <v/>
      </c>
      <c r="H1039" s="30"/>
      <c r="I1039" s="36" t="str">
        <f t="shared" si="165"/>
        <v/>
      </c>
      <c r="J1039" s="34" t="str">
        <f t="shared" si="166"/>
        <v/>
      </c>
      <c r="K1039" s="49"/>
      <c r="L1039" s="55" t="str">
        <f t="shared" si="167"/>
        <v/>
      </c>
      <c r="M1039" s="54" t="str">
        <f t="shared" si="168"/>
        <v/>
      </c>
      <c r="N1039" s="30"/>
      <c r="O1039" s="31"/>
      <c r="P1039" s="53"/>
      <c r="Q1039" s="33"/>
      <c r="R1039" s="54" t="str">
        <f t="shared" si="169"/>
        <v/>
      </c>
      <c r="S1039" s="30"/>
      <c r="T1039" s="33"/>
    </row>
    <row r="1040" spans="1:20" x14ac:dyDescent="0.25">
      <c r="A1040" s="30"/>
      <c r="B1040" s="37" t="str">
        <f t="shared" si="160"/>
        <v/>
      </c>
      <c r="C1040" s="30"/>
      <c r="D1040" s="34" t="str">
        <f t="shared" si="161"/>
        <v/>
      </c>
      <c r="E1040" s="34" t="str">
        <f t="shared" si="162"/>
        <v/>
      </c>
      <c r="F1040" s="34" t="str">
        <f t="shared" si="163"/>
        <v/>
      </c>
      <c r="G1040" s="35" t="str">
        <f t="shared" si="164"/>
        <v/>
      </c>
      <c r="H1040" s="30"/>
      <c r="I1040" s="36" t="str">
        <f t="shared" si="165"/>
        <v/>
      </c>
      <c r="J1040" s="34" t="str">
        <f t="shared" si="166"/>
        <v/>
      </c>
      <c r="K1040" s="49"/>
      <c r="L1040" s="55" t="str">
        <f t="shared" si="167"/>
        <v/>
      </c>
      <c r="M1040" s="54" t="str">
        <f t="shared" si="168"/>
        <v/>
      </c>
      <c r="N1040" s="30"/>
      <c r="O1040" s="31"/>
      <c r="P1040" s="53"/>
      <c r="Q1040" s="33"/>
      <c r="R1040" s="54" t="str">
        <f t="shared" si="169"/>
        <v/>
      </c>
      <c r="S1040" s="30"/>
      <c r="T1040" s="33"/>
    </row>
    <row r="1041" spans="1:20" x14ac:dyDescent="0.25">
      <c r="A1041" s="30"/>
      <c r="B1041" s="37" t="str">
        <f t="shared" si="160"/>
        <v/>
      </c>
      <c r="C1041" s="30"/>
      <c r="D1041" s="34" t="str">
        <f t="shared" si="161"/>
        <v/>
      </c>
      <c r="E1041" s="34" t="str">
        <f t="shared" si="162"/>
        <v/>
      </c>
      <c r="F1041" s="34" t="str">
        <f t="shared" si="163"/>
        <v/>
      </c>
      <c r="G1041" s="35" t="str">
        <f t="shared" si="164"/>
        <v/>
      </c>
      <c r="H1041" s="30"/>
      <c r="I1041" s="36" t="str">
        <f t="shared" si="165"/>
        <v/>
      </c>
      <c r="J1041" s="34" t="str">
        <f t="shared" si="166"/>
        <v/>
      </c>
      <c r="K1041" s="49"/>
      <c r="L1041" s="55" t="str">
        <f t="shared" si="167"/>
        <v/>
      </c>
      <c r="M1041" s="54" t="str">
        <f t="shared" si="168"/>
        <v/>
      </c>
      <c r="N1041" s="30"/>
      <c r="O1041" s="31"/>
      <c r="P1041" s="53"/>
      <c r="Q1041" s="33"/>
      <c r="R1041" s="54" t="str">
        <f t="shared" si="169"/>
        <v/>
      </c>
      <c r="S1041" s="30"/>
      <c r="T1041" s="33"/>
    </row>
    <row r="1042" spans="1:20" x14ac:dyDescent="0.25">
      <c r="A1042" s="30"/>
      <c r="B1042" s="37" t="str">
        <f t="shared" si="160"/>
        <v/>
      </c>
      <c r="C1042" s="30"/>
      <c r="D1042" s="34" t="str">
        <f t="shared" si="161"/>
        <v/>
      </c>
      <c r="E1042" s="34" t="str">
        <f t="shared" si="162"/>
        <v/>
      </c>
      <c r="F1042" s="34" t="str">
        <f t="shared" si="163"/>
        <v/>
      </c>
      <c r="G1042" s="35" t="str">
        <f t="shared" si="164"/>
        <v/>
      </c>
      <c r="H1042" s="30"/>
      <c r="I1042" s="36" t="str">
        <f t="shared" si="165"/>
        <v/>
      </c>
      <c r="J1042" s="34" t="str">
        <f t="shared" si="166"/>
        <v/>
      </c>
      <c r="K1042" s="49"/>
      <c r="L1042" s="55" t="str">
        <f t="shared" si="167"/>
        <v/>
      </c>
      <c r="M1042" s="54" t="str">
        <f t="shared" si="168"/>
        <v/>
      </c>
      <c r="N1042" s="30"/>
      <c r="O1042" s="31"/>
      <c r="P1042" s="53"/>
      <c r="Q1042" s="33"/>
      <c r="R1042" s="54" t="str">
        <f t="shared" si="169"/>
        <v/>
      </c>
      <c r="S1042" s="30"/>
      <c r="T1042" s="33"/>
    </row>
    <row r="1043" spans="1:20" x14ac:dyDescent="0.25">
      <c r="A1043" s="30"/>
      <c r="B1043" s="37" t="str">
        <f t="shared" si="160"/>
        <v/>
      </c>
      <c r="C1043" s="30"/>
      <c r="D1043" s="34" t="str">
        <f t="shared" si="161"/>
        <v/>
      </c>
      <c r="E1043" s="34" t="str">
        <f t="shared" si="162"/>
        <v/>
      </c>
      <c r="F1043" s="34" t="str">
        <f t="shared" si="163"/>
        <v/>
      </c>
      <c r="G1043" s="35" t="str">
        <f t="shared" si="164"/>
        <v/>
      </c>
      <c r="H1043" s="30"/>
      <c r="I1043" s="36" t="str">
        <f t="shared" si="165"/>
        <v/>
      </c>
      <c r="J1043" s="34" t="str">
        <f t="shared" si="166"/>
        <v/>
      </c>
      <c r="K1043" s="49"/>
      <c r="L1043" s="55" t="str">
        <f t="shared" si="167"/>
        <v/>
      </c>
      <c r="M1043" s="54" t="str">
        <f t="shared" si="168"/>
        <v/>
      </c>
      <c r="N1043" s="30"/>
      <c r="O1043" s="31"/>
      <c r="P1043" s="53"/>
      <c r="Q1043" s="33"/>
      <c r="R1043" s="54" t="str">
        <f t="shared" si="169"/>
        <v/>
      </c>
      <c r="S1043" s="30"/>
      <c r="T1043" s="33"/>
    </row>
    <row r="1044" spans="1:20" x14ac:dyDescent="0.25">
      <c r="A1044" s="30"/>
      <c r="B1044" s="37" t="str">
        <f t="shared" si="160"/>
        <v/>
      </c>
      <c r="C1044" s="30"/>
      <c r="D1044" s="34" t="str">
        <f t="shared" si="161"/>
        <v/>
      </c>
      <c r="E1044" s="34" t="str">
        <f t="shared" si="162"/>
        <v/>
      </c>
      <c r="F1044" s="34" t="str">
        <f t="shared" si="163"/>
        <v/>
      </c>
      <c r="G1044" s="35" t="str">
        <f t="shared" si="164"/>
        <v/>
      </c>
      <c r="H1044" s="30"/>
      <c r="I1044" s="36" t="str">
        <f t="shared" si="165"/>
        <v/>
      </c>
      <c r="J1044" s="34" t="str">
        <f t="shared" si="166"/>
        <v/>
      </c>
      <c r="K1044" s="49"/>
      <c r="L1044" s="55" t="str">
        <f t="shared" si="167"/>
        <v/>
      </c>
      <c r="M1044" s="54" t="str">
        <f t="shared" si="168"/>
        <v/>
      </c>
      <c r="N1044" s="30"/>
      <c r="O1044" s="31"/>
      <c r="P1044" s="53"/>
      <c r="Q1044" s="33"/>
      <c r="R1044" s="54" t="str">
        <f t="shared" si="169"/>
        <v/>
      </c>
      <c r="S1044" s="30"/>
      <c r="T1044" s="33"/>
    </row>
    <row r="1045" spans="1:20" x14ac:dyDescent="0.25">
      <c r="A1045" s="30"/>
      <c r="B1045" s="37" t="str">
        <f t="shared" si="160"/>
        <v/>
      </c>
      <c r="C1045" s="30"/>
      <c r="D1045" s="34" t="str">
        <f t="shared" si="161"/>
        <v/>
      </c>
      <c r="E1045" s="34" t="str">
        <f t="shared" si="162"/>
        <v/>
      </c>
      <c r="F1045" s="34" t="str">
        <f t="shared" si="163"/>
        <v/>
      </c>
      <c r="G1045" s="35" t="str">
        <f t="shared" si="164"/>
        <v/>
      </c>
      <c r="H1045" s="30"/>
      <c r="I1045" s="36" t="str">
        <f t="shared" si="165"/>
        <v/>
      </c>
      <c r="J1045" s="34" t="str">
        <f t="shared" si="166"/>
        <v/>
      </c>
      <c r="K1045" s="49"/>
      <c r="L1045" s="55" t="str">
        <f t="shared" si="167"/>
        <v/>
      </c>
      <c r="M1045" s="54" t="str">
        <f t="shared" si="168"/>
        <v/>
      </c>
      <c r="N1045" s="30"/>
      <c r="O1045" s="31"/>
      <c r="P1045" s="53"/>
      <c r="Q1045" s="33"/>
      <c r="R1045" s="54" t="str">
        <f t="shared" si="169"/>
        <v/>
      </c>
      <c r="S1045" s="30"/>
      <c r="T1045" s="33"/>
    </row>
    <row r="1046" spans="1:20" x14ac:dyDescent="0.25">
      <c r="A1046" s="30"/>
      <c r="B1046" s="37" t="str">
        <f t="shared" si="160"/>
        <v/>
      </c>
      <c r="C1046" s="30"/>
      <c r="D1046" s="34" t="str">
        <f t="shared" si="161"/>
        <v/>
      </c>
      <c r="E1046" s="34" t="str">
        <f t="shared" si="162"/>
        <v/>
      </c>
      <c r="F1046" s="34" t="str">
        <f t="shared" si="163"/>
        <v/>
      </c>
      <c r="G1046" s="35" t="str">
        <f t="shared" si="164"/>
        <v/>
      </c>
      <c r="H1046" s="30"/>
      <c r="I1046" s="36" t="str">
        <f t="shared" si="165"/>
        <v/>
      </c>
      <c r="J1046" s="34" t="str">
        <f t="shared" si="166"/>
        <v/>
      </c>
      <c r="K1046" s="49"/>
      <c r="L1046" s="55" t="str">
        <f t="shared" si="167"/>
        <v/>
      </c>
      <c r="M1046" s="54" t="str">
        <f t="shared" si="168"/>
        <v/>
      </c>
      <c r="N1046" s="30"/>
      <c r="O1046" s="31"/>
      <c r="P1046" s="53"/>
      <c r="Q1046" s="33"/>
      <c r="R1046" s="54" t="str">
        <f t="shared" si="169"/>
        <v/>
      </c>
      <c r="S1046" s="30"/>
      <c r="T1046" s="33"/>
    </row>
    <row r="1047" spans="1:20" x14ac:dyDescent="0.25">
      <c r="A1047" s="30"/>
      <c r="B1047" s="37" t="str">
        <f t="shared" si="160"/>
        <v/>
      </c>
      <c r="C1047" s="30"/>
      <c r="D1047" s="34" t="str">
        <f t="shared" si="161"/>
        <v/>
      </c>
      <c r="E1047" s="34" t="str">
        <f t="shared" si="162"/>
        <v/>
      </c>
      <c r="F1047" s="34" t="str">
        <f t="shared" si="163"/>
        <v/>
      </c>
      <c r="G1047" s="35" t="str">
        <f t="shared" si="164"/>
        <v/>
      </c>
      <c r="H1047" s="30"/>
      <c r="I1047" s="36" t="str">
        <f t="shared" si="165"/>
        <v/>
      </c>
      <c r="J1047" s="34" t="str">
        <f t="shared" si="166"/>
        <v/>
      </c>
      <c r="K1047" s="49"/>
      <c r="L1047" s="55" t="str">
        <f t="shared" si="167"/>
        <v/>
      </c>
      <c r="M1047" s="54" t="str">
        <f t="shared" si="168"/>
        <v/>
      </c>
      <c r="N1047" s="30"/>
      <c r="O1047" s="31"/>
      <c r="P1047" s="53"/>
      <c r="Q1047" s="33"/>
      <c r="R1047" s="54" t="str">
        <f t="shared" si="169"/>
        <v/>
      </c>
      <c r="S1047" s="30"/>
      <c r="T1047" s="33"/>
    </row>
    <row r="1048" spans="1:20" x14ac:dyDescent="0.25">
      <c r="A1048" s="30"/>
      <c r="B1048" s="37" t="str">
        <f t="shared" si="160"/>
        <v/>
      </c>
      <c r="C1048" s="30"/>
      <c r="D1048" s="34" t="str">
        <f t="shared" si="161"/>
        <v/>
      </c>
      <c r="E1048" s="34" t="str">
        <f t="shared" si="162"/>
        <v/>
      </c>
      <c r="F1048" s="34" t="str">
        <f t="shared" si="163"/>
        <v/>
      </c>
      <c r="G1048" s="35" t="str">
        <f t="shared" si="164"/>
        <v/>
      </c>
      <c r="H1048" s="30"/>
      <c r="I1048" s="36" t="str">
        <f t="shared" si="165"/>
        <v/>
      </c>
      <c r="J1048" s="34" t="str">
        <f t="shared" si="166"/>
        <v/>
      </c>
      <c r="K1048" s="49"/>
      <c r="L1048" s="55" t="str">
        <f t="shared" si="167"/>
        <v/>
      </c>
      <c r="M1048" s="54" t="str">
        <f t="shared" si="168"/>
        <v/>
      </c>
      <c r="N1048" s="30"/>
      <c r="O1048" s="31"/>
      <c r="P1048" s="53"/>
      <c r="Q1048" s="33"/>
      <c r="R1048" s="54" t="str">
        <f t="shared" si="169"/>
        <v/>
      </c>
      <c r="S1048" s="30"/>
      <c r="T1048" s="33"/>
    </row>
    <row r="1049" spans="1:20" x14ac:dyDescent="0.25">
      <c r="A1049" s="30"/>
      <c r="B1049" s="37" t="str">
        <f t="shared" si="160"/>
        <v/>
      </c>
      <c r="C1049" s="30"/>
      <c r="D1049" s="34" t="str">
        <f t="shared" si="161"/>
        <v/>
      </c>
      <c r="E1049" s="34" t="str">
        <f t="shared" si="162"/>
        <v/>
      </c>
      <c r="F1049" s="34" t="str">
        <f t="shared" si="163"/>
        <v/>
      </c>
      <c r="G1049" s="35" t="str">
        <f t="shared" si="164"/>
        <v/>
      </c>
      <c r="H1049" s="30"/>
      <c r="I1049" s="36" t="str">
        <f t="shared" si="165"/>
        <v/>
      </c>
      <c r="J1049" s="34" t="str">
        <f t="shared" si="166"/>
        <v/>
      </c>
      <c r="K1049" s="49"/>
      <c r="L1049" s="55" t="str">
        <f t="shared" si="167"/>
        <v/>
      </c>
      <c r="M1049" s="54" t="str">
        <f t="shared" si="168"/>
        <v/>
      </c>
      <c r="N1049" s="30"/>
      <c r="O1049" s="31"/>
      <c r="P1049" s="53"/>
      <c r="Q1049" s="33"/>
      <c r="R1049" s="54" t="str">
        <f t="shared" si="169"/>
        <v/>
      </c>
      <c r="S1049" s="30"/>
      <c r="T1049" s="33"/>
    </row>
    <row r="1050" spans="1:20" x14ac:dyDescent="0.25">
      <c r="A1050" s="30"/>
      <c r="B1050" s="37" t="str">
        <f t="shared" si="160"/>
        <v/>
      </c>
      <c r="C1050" s="30"/>
      <c r="D1050" s="34" t="str">
        <f t="shared" si="161"/>
        <v/>
      </c>
      <c r="E1050" s="34" t="str">
        <f t="shared" si="162"/>
        <v/>
      </c>
      <c r="F1050" s="34" t="str">
        <f t="shared" si="163"/>
        <v/>
      </c>
      <c r="G1050" s="35" t="str">
        <f t="shared" si="164"/>
        <v/>
      </c>
      <c r="H1050" s="30"/>
      <c r="I1050" s="36" t="str">
        <f t="shared" si="165"/>
        <v/>
      </c>
      <c r="J1050" s="34" t="str">
        <f t="shared" si="166"/>
        <v/>
      </c>
      <c r="K1050" s="49"/>
      <c r="L1050" s="55" t="str">
        <f t="shared" si="167"/>
        <v/>
      </c>
      <c r="M1050" s="54" t="str">
        <f t="shared" si="168"/>
        <v/>
      </c>
      <c r="N1050" s="30"/>
      <c r="O1050" s="31"/>
      <c r="P1050" s="53"/>
      <c r="Q1050" s="33"/>
      <c r="R1050" s="54" t="str">
        <f t="shared" si="169"/>
        <v/>
      </c>
      <c r="S1050" s="30"/>
      <c r="T1050" s="33"/>
    </row>
    <row r="1051" spans="1:20" x14ac:dyDescent="0.25">
      <c r="A1051" s="30"/>
      <c r="B1051" s="37" t="str">
        <f t="shared" si="160"/>
        <v/>
      </c>
      <c r="C1051" s="30"/>
      <c r="D1051" s="34" t="str">
        <f t="shared" si="161"/>
        <v/>
      </c>
      <c r="E1051" s="34" t="str">
        <f t="shared" si="162"/>
        <v/>
      </c>
      <c r="F1051" s="34" t="str">
        <f t="shared" si="163"/>
        <v/>
      </c>
      <c r="G1051" s="35" t="str">
        <f t="shared" si="164"/>
        <v/>
      </c>
      <c r="H1051" s="30"/>
      <c r="I1051" s="36" t="str">
        <f t="shared" si="165"/>
        <v/>
      </c>
      <c r="J1051" s="34" t="str">
        <f t="shared" si="166"/>
        <v/>
      </c>
      <c r="K1051" s="49"/>
      <c r="L1051" s="55" t="str">
        <f t="shared" si="167"/>
        <v/>
      </c>
      <c r="M1051" s="54" t="str">
        <f t="shared" si="168"/>
        <v/>
      </c>
      <c r="N1051" s="30"/>
      <c r="O1051" s="31"/>
      <c r="P1051" s="53"/>
      <c r="Q1051" s="33"/>
      <c r="R1051" s="54" t="str">
        <f t="shared" si="169"/>
        <v/>
      </c>
      <c r="S1051" s="30"/>
      <c r="T1051" s="33"/>
    </row>
    <row r="1052" spans="1:20" x14ac:dyDescent="0.25">
      <c r="A1052" s="30"/>
      <c r="B1052" s="37" t="str">
        <f t="shared" si="160"/>
        <v/>
      </c>
      <c r="C1052" s="30"/>
      <c r="D1052" s="34" t="str">
        <f t="shared" si="161"/>
        <v/>
      </c>
      <c r="E1052" s="34" t="str">
        <f t="shared" si="162"/>
        <v/>
      </c>
      <c r="F1052" s="34" t="str">
        <f t="shared" si="163"/>
        <v/>
      </c>
      <c r="G1052" s="35" t="str">
        <f t="shared" si="164"/>
        <v/>
      </c>
      <c r="H1052" s="30"/>
      <c r="I1052" s="36" t="str">
        <f t="shared" si="165"/>
        <v/>
      </c>
      <c r="J1052" s="34" t="str">
        <f t="shared" si="166"/>
        <v/>
      </c>
      <c r="K1052" s="49"/>
      <c r="L1052" s="55" t="str">
        <f t="shared" si="167"/>
        <v/>
      </c>
      <c r="M1052" s="54" t="str">
        <f t="shared" si="168"/>
        <v/>
      </c>
      <c r="N1052" s="30"/>
      <c r="O1052" s="31"/>
      <c r="P1052" s="53"/>
      <c r="Q1052" s="33"/>
      <c r="R1052" s="54" t="str">
        <f t="shared" si="169"/>
        <v/>
      </c>
      <c r="S1052" s="30"/>
      <c r="T1052" s="33"/>
    </row>
    <row r="1053" spans="1:20" x14ac:dyDescent="0.25">
      <c r="A1053" s="30"/>
      <c r="B1053" s="37" t="str">
        <f t="shared" si="160"/>
        <v/>
      </c>
      <c r="C1053" s="30"/>
      <c r="D1053" s="34" t="str">
        <f t="shared" si="161"/>
        <v/>
      </c>
      <c r="E1053" s="34" t="str">
        <f t="shared" si="162"/>
        <v/>
      </c>
      <c r="F1053" s="34" t="str">
        <f t="shared" si="163"/>
        <v/>
      </c>
      <c r="G1053" s="35" t="str">
        <f t="shared" si="164"/>
        <v/>
      </c>
      <c r="H1053" s="30"/>
      <c r="I1053" s="36" t="str">
        <f t="shared" si="165"/>
        <v/>
      </c>
      <c r="J1053" s="34" t="str">
        <f t="shared" si="166"/>
        <v/>
      </c>
      <c r="K1053" s="49"/>
      <c r="L1053" s="55" t="str">
        <f t="shared" si="167"/>
        <v/>
      </c>
      <c r="M1053" s="54" t="str">
        <f t="shared" si="168"/>
        <v/>
      </c>
      <c r="N1053" s="30"/>
      <c r="O1053" s="31"/>
      <c r="P1053" s="53"/>
      <c r="Q1053" s="33"/>
      <c r="R1053" s="54" t="str">
        <f t="shared" si="169"/>
        <v/>
      </c>
      <c r="S1053" s="30"/>
      <c r="T1053" s="33"/>
    </row>
    <row r="1054" spans="1:20" x14ac:dyDescent="0.25">
      <c r="A1054" s="30"/>
      <c r="B1054" s="37" t="str">
        <f t="shared" si="160"/>
        <v/>
      </c>
      <c r="C1054" s="30"/>
      <c r="D1054" s="34" t="str">
        <f t="shared" si="161"/>
        <v/>
      </c>
      <c r="E1054" s="34" t="str">
        <f t="shared" si="162"/>
        <v/>
      </c>
      <c r="F1054" s="34" t="str">
        <f t="shared" si="163"/>
        <v/>
      </c>
      <c r="G1054" s="35" t="str">
        <f t="shared" si="164"/>
        <v/>
      </c>
      <c r="H1054" s="30"/>
      <c r="I1054" s="36" t="str">
        <f t="shared" si="165"/>
        <v/>
      </c>
      <c r="J1054" s="34" t="str">
        <f t="shared" si="166"/>
        <v/>
      </c>
      <c r="K1054" s="49"/>
      <c r="L1054" s="55" t="str">
        <f t="shared" si="167"/>
        <v/>
      </c>
      <c r="M1054" s="54" t="str">
        <f t="shared" si="168"/>
        <v/>
      </c>
      <c r="N1054" s="30"/>
      <c r="O1054" s="31"/>
      <c r="P1054" s="53"/>
      <c r="Q1054" s="33"/>
      <c r="R1054" s="54" t="str">
        <f t="shared" si="169"/>
        <v/>
      </c>
      <c r="S1054" s="30"/>
      <c r="T1054" s="33"/>
    </row>
    <row r="1055" spans="1:20" x14ac:dyDescent="0.25">
      <c r="A1055" s="30"/>
      <c r="B1055" s="37" t="str">
        <f t="shared" si="160"/>
        <v/>
      </c>
      <c r="C1055" s="30"/>
      <c r="D1055" s="34" t="str">
        <f t="shared" si="161"/>
        <v/>
      </c>
      <c r="E1055" s="34" t="str">
        <f t="shared" si="162"/>
        <v/>
      </c>
      <c r="F1055" s="34" t="str">
        <f t="shared" si="163"/>
        <v/>
      </c>
      <c r="G1055" s="35" t="str">
        <f t="shared" si="164"/>
        <v/>
      </c>
      <c r="H1055" s="30"/>
      <c r="I1055" s="36" t="str">
        <f t="shared" si="165"/>
        <v/>
      </c>
      <c r="J1055" s="34" t="str">
        <f t="shared" si="166"/>
        <v/>
      </c>
      <c r="K1055" s="49"/>
      <c r="L1055" s="55" t="str">
        <f t="shared" si="167"/>
        <v/>
      </c>
      <c r="M1055" s="54" t="str">
        <f t="shared" si="168"/>
        <v/>
      </c>
      <c r="N1055" s="30"/>
      <c r="O1055" s="31"/>
      <c r="P1055" s="53"/>
      <c r="Q1055" s="33"/>
      <c r="R1055" s="54" t="str">
        <f t="shared" si="169"/>
        <v/>
      </c>
      <c r="S1055" s="30"/>
      <c r="T1055" s="33"/>
    </row>
    <row r="1056" spans="1:20" x14ac:dyDescent="0.25">
      <c r="A1056" s="30"/>
      <c r="B1056" s="37" t="str">
        <f t="shared" si="160"/>
        <v/>
      </c>
      <c r="C1056" s="30"/>
      <c r="D1056" s="34" t="str">
        <f t="shared" si="161"/>
        <v/>
      </c>
      <c r="E1056" s="34" t="str">
        <f t="shared" si="162"/>
        <v/>
      </c>
      <c r="F1056" s="34" t="str">
        <f t="shared" si="163"/>
        <v/>
      </c>
      <c r="G1056" s="35" t="str">
        <f t="shared" si="164"/>
        <v/>
      </c>
      <c r="H1056" s="30"/>
      <c r="I1056" s="36" t="str">
        <f t="shared" si="165"/>
        <v/>
      </c>
      <c r="J1056" s="34" t="str">
        <f t="shared" si="166"/>
        <v/>
      </c>
      <c r="K1056" s="49"/>
      <c r="L1056" s="55" t="str">
        <f t="shared" si="167"/>
        <v/>
      </c>
      <c r="M1056" s="54" t="str">
        <f t="shared" si="168"/>
        <v/>
      </c>
      <c r="N1056" s="30"/>
      <c r="O1056" s="31"/>
      <c r="P1056" s="53"/>
      <c r="Q1056" s="33"/>
      <c r="R1056" s="54" t="str">
        <f t="shared" si="169"/>
        <v/>
      </c>
      <c r="S1056" s="30"/>
      <c r="T1056" s="33"/>
    </row>
    <row r="1057" spans="1:20" x14ac:dyDescent="0.25">
      <c r="A1057" s="30"/>
      <c r="B1057" s="37" t="str">
        <f t="shared" si="160"/>
        <v/>
      </c>
      <c r="C1057" s="30"/>
      <c r="D1057" s="34" t="str">
        <f t="shared" si="161"/>
        <v/>
      </c>
      <c r="E1057" s="34" t="str">
        <f t="shared" si="162"/>
        <v/>
      </c>
      <c r="F1057" s="34" t="str">
        <f t="shared" si="163"/>
        <v/>
      </c>
      <c r="G1057" s="35" t="str">
        <f t="shared" si="164"/>
        <v/>
      </c>
      <c r="H1057" s="30"/>
      <c r="I1057" s="36" t="str">
        <f t="shared" si="165"/>
        <v/>
      </c>
      <c r="J1057" s="34" t="str">
        <f t="shared" si="166"/>
        <v/>
      </c>
      <c r="K1057" s="49"/>
      <c r="L1057" s="55" t="str">
        <f t="shared" si="167"/>
        <v/>
      </c>
      <c r="M1057" s="54" t="str">
        <f t="shared" si="168"/>
        <v/>
      </c>
      <c r="N1057" s="30"/>
      <c r="O1057" s="31"/>
      <c r="P1057" s="53"/>
      <c r="Q1057" s="33"/>
      <c r="R1057" s="54" t="str">
        <f t="shared" si="169"/>
        <v/>
      </c>
      <c r="S1057" s="30"/>
      <c r="T1057" s="33"/>
    </row>
    <row r="1058" spans="1:20" x14ac:dyDescent="0.25">
      <c r="A1058" s="30"/>
      <c r="B1058" s="37" t="str">
        <f t="shared" si="160"/>
        <v/>
      </c>
      <c r="C1058" s="30"/>
      <c r="D1058" s="34" t="str">
        <f t="shared" si="161"/>
        <v/>
      </c>
      <c r="E1058" s="34" t="str">
        <f t="shared" si="162"/>
        <v/>
      </c>
      <c r="F1058" s="34" t="str">
        <f t="shared" si="163"/>
        <v/>
      </c>
      <c r="G1058" s="35" t="str">
        <f t="shared" si="164"/>
        <v/>
      </c>
      <c r="H1058" s="30"/>
      <c r="I1058" s="36" t="str">
        <f t="shared" si="165"/>
        <v/>
      </c>
      <c r="J1058" s="34" t="str">
        <f t="shared" si="166"/>
        <v/>
      </c>
      <c r="K1058" s="49"/>
      <c r="L1058" s="55" t="str">
        <f t="shared" si="167"/>
        <v/>
      </c>
      <c r="M1058" s="54" t="str">
        <f t="shared" si="168"/>
        <v/>
      </c>
      <c r="N1058" s="30"/>
      <c r="O1058" s="31"/>
      <c r="P1058" s="53"/>
      <c r="Q1058" s="33"/>
      <c r="R1058" s="54" t="str">
        <f t="shared" si="169"/>
        <v/>
      </c>
      <c r="S1058" s="30"/>
      <c r="T1058" s="33"/>
    </row>
    <row r="1059" spans="1:20" x14ac:dyDescent="0.25">
      <c r="A1059" s="30"/>
      <c r="B1059" s="37" t="str">
        <f t="shared" si="160"/>
        <v/>
      </c>
      <c r="C1059" s="30"/>
      <c r="D1059" s="34" t="str">
        <f t="shared" si="161"/>
        <v/>
      </c>
      <c r="E1059" s="34" t="str">
        <f t="shared" si="162"/>
        <v/>
      </c>
      <c r="F1059" s="34" t="str">
        <f t="shared" si="163"/>
        <v/>
      </c>
      <c r="G1059" s="35" t="str">
        <f t="shared" si="164"/>
        <v/>
      </c>
      <c r="H1059" s="30"/>
      <c r="I1059" s="36" t="str">
        <f t="shared" si="165"/>
        <v/>
      </c>
      <c r="J1059" s="34" t="str">
        <f t="shared" si="166"/>
        <v/>
      </c>
      <c r="K1059" s="49"/>
      <c r="L1059" s="55" t="str">
        <f t="shared" si="167"/>
        <v/>
      </c>
      <c r="M1059" s="54" t="str">
        <f t="shared" si="168"/>
        <v/>
      </c>
      <c r="N1059" s="30"/>
      <c r="O1059" s="31"/>
      <c r="P1059" s="53"/>
      <c r="Q1059" s="33"/>
      <c r="R1059" s="54" t="str">
        <f t="shared" si="169"/>
        <v/>
      </c>
      <c r="S1059" s="30"/>
      <c r="T1059" s="33"/>
    </row>
    <row r="1060" spans="1:20" x14ac:dyDescent="0.25">
      <c r="A1060" s="30"/>
      <c r="B1060" s="37" t="str">
        <f t="shared" si="160"/>
        <v/>
      </c>
      <c r="C1060" s="30"/>
      <c r="D1060" s="34" t="str">
        <f t="shared" si="161"/>
        <v/>
      </c>
      <c r="E1060" s="34" t="str">
        <f t="shared" si="162"/>
        <v/>
      </c>
      <c r="F1060" s="34" t="str">
        <f t="shared" si="163"/>
        <v/>
      </c>
      <c r="G1060" s="35" t="str">
        <f t="shared" si="164"/>
        <v/>
      </c>
      <c r="H1060" s="30"/>
      <c r="I1060" s="36" t="str">
        <f t="shared" si="165"/>
        <v/>
      </c>
      <c r="J1060" s="34" t="str">
        <f t="shared" si="166"/>
        <v/>
      </c>
      <c r="K1060" s="49"/>
      <c r="L1060" s="55" t="str">
        <f t="shared" si="167"/>
        <v/>
      </c>
      <c r="M1060" s="54" t="str">
        <f t="shared" si="168"/>
        <v/>
      </c>
      <c r="N1060" s="30"/>
      <c r="O1060" s="31"/>
      <c r="P1060" s="53"/>
      <c r="Q1060" s="33"/>
      <c r="R1060" s="54" t="str">
        <f t="shared" si="169"/>
        <v/>
      </c>
      <c r="S1060" s="30"/>
      <c r="T1060" s="33"/>
    </row>
    <row r="1061" spans="1:20" x14ac:dyDescent="0.25">
      <c r="A1061" s="30"/>
      <c r="B1061" s="37" t="str">
        <f t="shared" si="160"/>
        <v/>
      </c>
      <c r="C1061" s="30"/>
      <c r="D1061" s="34" t="str">
        <f t="shared" si="161"/>
        <v/>
      </c>
      <c r="E1061" s="34" t="str">
        <f t="shared" si="162"/>
        <v/>
      </c>
      <c r="F1061" s="34" t="str">
        <f t="shared" si="163"/>
        <v/>
      </c>
      <c r="G1061" s="35" t="str">
        <f t="shared" si="164"/>
        <v/>
      </c>
      <c r="H1061" s="30"/>
      <c r="I1061" s="36" t="str">
        <f t="shared" si="165"/>
        <v/>
      </c>
      <c r="J1061" s="34" t="str">
        <f t="shared" si="166"/>
        <v/>
      </c>
      <c r="K1061" s="49"/>
      <c r="L1061" s="55" t="str">
        <f t="shared" si="167"/>
        <v/>
      </c>
      <c r="M1061" s="54" t="str">
        <f t="shared" si="168"/>
        <v/>
      </c>
      <c r="N1061" s="30"/>
      <c r="O1061" s="31"/>
      <c r="P1061" s="53"/>
      <c r="Q1061" s="33"/>
      <c r="R1061" s="54" t="str">
        <f t="shared" si="169"/>
        <v/>
      </c>
      <c r="S1061" s="30"/>
      <c r="T1061" s="33"/>
    </row>
    <row r="1062" spans="1:20" x14ac:dyDescent="0.25">
      <c r="A1062" s="30"/>
      <c r="B1062" s="37" t="str">
        <f t="shared" si="160"/>
        <v/>
      </c>
      <c r="C1062" s="30"/>
      <c r="D1062" s="34" t="str">
        <f t="shared" si="161"/>
        <v/>
      </c>
      <c r="E1062" s="34" t="str">
        <f t="shared" si="162"/>
        <v/>
      </c>
      <c r="F1062" s="34" t="str">
        <f t="shared" si="163"/>
        <v/>
      </c>
      <c r="G1062" s="35" t="str">
        <f t="shared" si="164"/>
        <v/>
      </c>
      <c r="H1062" s="30"/>
      <c r="I1062" s="36" t="str">
        <f t="shared" si="165"/>
        <v/>
      </c>
      <c r="J1062" s="34" t="str">
        <f t="shared" si="166"/>
        <v/>
      </c>
      <c r="K1062" s="49"/>
      <c r="L1062" s="55" t="str">
        <f t="shared" si="167"/>
        <v/>
      </c>
      <c r="M1062" s="54" t="str">
        <f t="shared" si="168"/>
        <v/>
      </c>
      <c r="N1062" s="30"/>
      <c r="O1062" s="31"/>
      <c r="P1062" s="53"/>
      <c r="Q1062" s="33"/>
      <c r="R1062" s="54" t="str">
        <f t="shared" si="169"/>
        <v/>
      </c>
      <c r="S1062" s="30"/>
      <c r="T1062" s="33"/>
    </row>
    <row r="1063" spans="1:20" x14ac:dyDescent="0.25">
      <c r="A1063" s="30"/>
      <c r="B1063" s="37" t="str">
        <f t="shared" si="160"/>
        <v/>
      </c>
      <c r="C1063" s="30"/>
      <c r="D1063" s="34" t="str">
        <f t="shared" si="161"/>
        <v/>
      </c>
      <c r="E1063" s="34" t="str">
        <f t="shared" si="162"/>
        <v/>
      </c>
      <c r="F1063" s="34" t="str">
        <f t="shared" si="163"/>
        <v/>
      </c>
      <c r="G1063" s="35" t="str">
        <f t="shared" si="164"/>
        <v/>
      </c>
      <c r="H1063" s="30"/>
      <c r="I1063" s="36" t="str">
        <f t="shared" si="165"/>
        <v/>
      </c>
      <c r="J1063" s="34" t="str">
        <f t="shared" si="166"/>
        <v/>
      </c>
      <c r="K1063" s="49"/>
      <c r="L1063" s="55" t="str">
        <f t="shared" si="167"/>
        <v/>
      </c>
      <c r="M1063" s="54" t="str">
        <f t="shared" si="168"/>
        <v/>
      </c>
      <c r="N1063" s="30"/>
      <c r="O1063" s="31"/>
      <c r="P1063" s="53"/>
      <c r="Q1063" s="33"/>
      <c r="R1063" s="54" t="str">
        <f t="shared" si="169"/>
        <v/>
      </c>
      <c r="S1063" s="30"/>
      <c r="T1063" s="33"/>
    </row>
    <row r="1064" spans="1:20" x14ac:dyDescent="0.25">
      <c r="A1064" s="30"/>
      <c r="B1064" s="37" t="str">
        <f t="shared" si="160"/>
        <v/>
      </c>
      <c r="C1064" s="30"/>
      <c r="D1064" s="34" t="str">
        <f t="shared" si="161"/>
        <v/>
      </c>
      <c r="E1064" s="34" t="str">
        <f t="shared" si="162"/>
        <v/>
      </c>
      <c r="F1064" s="34" t="str">
        <f t="shared" si="163"/>
        <v/>
      </c>
      <c r="G1064" s="35" t="str">
        <f t="shared" si="164"/>
        <v/>
      </c>
      <c r="H1064" s="30"/>
      <c r="I1064" s="36" t="str">
        <f t="shared" si="165"/>
        <v/>
      </c>
      <c r="J1064" s="34" t="str">
        <f t="shared" si="166"/>
        <v/>
      </c>
      <c r="K1064" s="49"/>
      <c r="L1064" s="55" t="str">
        <f t="shared" si="167"/>
        <v/>
      </c>
      <c r="M1064" s="54" t="str">
        <f t="shared" si="168"/>
        <v/>
      </c>
      <c r="N1064" s="30"/>
      <c r="O1064" s="31"/>
      <c r="P1064" s="53"/>
      <c r="Q1064" s="33"/>
      <c r="R1064" s="54" t="str">
        <f t="shared" si="169"/>
        <v/>
      </c>
      <c r="S1064" s="30"/>
      <c r="T1064" s="33"/>
    </row>
    <row r="1065" spans="1:20" x14ac:dyDescent="0.25">
      <c r="A1065" s="30"/>
      <c r="B1065" s="37" t="str">
        <f t="shared" si="160"/>
        <v/>
      </c>
      <c r="C1065" s="30"/>
      <c r="D1065" s="34" t="str">
        <f t="shared" si="161"/>
        <v/>
      </c>
      <c r="E1065" s="34" t="str">
        <f t="shared" si="162"/>
        <v/>
      </c>
      <c r="F1065" s="34" t="str">
        <f t="shared" si="163"/>
        <v/>
      </c>
      <c r="G1065" s="35" t="str">
        <f t="shared" si="164"/>
        <v/>
      </c>
      <c r="H1065" s="30"/>
      <c r="I1065" s="36" t="str">
        <f t="shared" si="165"/>
        <v/>
      </c>
      <c r="J1065" s="34" t="str">
        <f t="shared" si="166"/>
        <v/>
      </c>
      <c r="K1065" s="49"/>
      <c r="L1065" s="55" t="str">
        <f t="shared" si="167"/>
        <v/>
      </c>
      <c r="M1065" s="54" t="str">
        <f t="shared" si="168"/>
        <v/>
      </c>
      <c r="N1065" s="30"/>
      <c r="O1065" s="31"/>
      <c r="P1065" s="53"/>
      <c r="Q1065" s="33"/>
      <c r="R1065" s="54" t="str">
        <f t="shared" si="169"/>
        <v/>
      </c>
      <c r="S1065" s="30"/>
      <c r="T1065" s="33"/>
    </row>
    <row r="1066" spans="1:20" x14ac:dyDescent="0.25">
      <c r="A1066" s="30"/>
      <c r="B1066" s="37" t="str">
        <f t="shared" si="160"/>
        <v/>
      </c>
      <c r="C1066" s="30"/>
      <c r="D1066" s="34" t="str">
        <f t="shared" si="161"/>
        <v/>
      </c>
      <c r="E1066" s="34" t="str">
        <f t="shared" si="162"/>
        <v/>
      </c>
      <c r="F1066" s="34" t="str">
        <f t="shared" si="163"/>
        <v/>
      </c>
      <c r="G1066" s="35" t="str">
        <f t="shared" si="164"/>
        <v/>
      </c>
      <c r="H1066" s="30"/>
      <c r="I1066" s="36" t="str">
        <f t="shared" si="165"/>
        <v/>
      </c>
      <c r="J1066" s="34" t="str">
        <f t="shared" si="166"/>
        <v/>
      </c>
      <c r="K1066" s="49"/>
      <c r="L1066" s="55" t="str">
        <f t="shared" si="167"/>
        <v/>
      </c>
      <c r="M1066" s="54" t="str">
        <f t="shared" si="168"/>
        <v/>
      </c>
      <c r="N1066" s="30"/>
      <c r="O1066" s="31"/>
      <c r="P1066" s="53"/>
      <c r="Q1066" s="33"/>
      <c r="R1066" s="54" t="str">
        <f t="shared" si="169"/>
        <v/>
      </c>
      <c r="S1066" s="30"/>
      <c r="T1066" s="33"/>
    </row>
    <row r="1067" spans="1:20" x14ac:dyDescent="0.25">
      <c r="A1067" s="30"/>
      <c r="B1067" s="37" t="str">
        <f t="shared" si="160"/>
        <v/>
      </c>
      <c r="C1067" s="30"/>
      <c r="D1067" s="34" t="str">
        <f t="shared" si="161"/>
        <v/>
      </c>
      <c r="E1067" s="34" t="str">
        <f t="shared" si="162"/>
        <v/>
      </c>
      <c r="F1067" s="34" t="str">
        <f t="shared" si="163"/>
        <v/>
      </c>
      <c r="G1067" s="35" t="str">
        <f t="shared" si="164"/>
        <v/>
      </c>
      <c r="H1067" s="30"/>
      <c r="I1067" s="36" t="str">
        <f t="shared" si="165"/>
        <v/>
      </c>
      <c r="J1067" s="34" t="str">
        <f t="shared" si="166"/>
        <v/>
      </c>
      <c r="K1067" s="49"/>
      <c r="L1067" s="55" t="str">
        <f t="shared" si="167"/>
        <v/>
      </c>
      <c r="M1067" s="54" t="str">
        <f t="shared" si="168"/>
        <v/>
      </c>
      <c r="N1067" s="30"/>
      <c r="O1067" s="31"/>
      <c r="P1067" s="53"/>
      <c r="Q1067" s="33"/>
      <c r="R1067" s="54" t="str">
        <f t="shared" si="169"/>
        <v/>
      </c>
      <c r="S1067" s="30"/>
      <c r="T1067" s="33"/>
    </row>
    <row r="1068" spans="1:20" x14ac:dyDescent="0.25">
      <c r="A1068" s="30"/>
      <c r="B1068" s="37" t="str">
        <f t="shared" si="160"/>
        <v/>
      </c>
      <c r="C1068" s="30"/>
      <c r="D1068" s="34" t="str">
        <f t="shared" si="161"/>
        <v/>
      </c>
      <c r="E1068" s="34" t="str">
        <f t="shared" si="162"/>
        <v/>
      </c>
      <c r="F1068" s="34" t="str">
        <f t="shared" si="163"/>
        <v/>
      </c>
      <c r="G1068" s="35" t="str">
        <f t="shared" si="164"/>
        <v/>
      </c>
      <c r="H1068" s="30"/>
      <c r="I1068" s="36" t="str">
        <f t="shared" si="165"/>
        <v/>
      </c>
      <c r="J1068" s="34" t="str">
        <f t="shared" si="166"/>
        <v/>
      </c>
      <c r="K1068" s="49"/>
      <c r="L1068" s="55" t="str">
        <f t="shared" si="167"/>
        <v/>
      </c>
      <c r="M1068" s="54" t="str">
        <f t="shared" si="168"/>
        <v/>
      </c>
      <c r="N1068" s="30"/>
      <c r="O1068" s="31"/>
      <c r="P1068" s="53"/>
      <c r="Q1068" s="33"/>
      <c r="R1068" s="54" t="str">
        <f t="shared" si="169"/>
        <v/>
      </c>
      <c r="S1068" s="30"/>
      <c r="T1068" s="33"/>
    </row>
    <row r="1069" spans="1:20" x14ac:dyDescent="0.25">
      <c r="A1069" s="30"/>
      <c r="B1069" s="37" t="str">
        <f t="shared" si="160"/>
        <v/>
      </c>
      <c r="C1069" s="30"/>
      <c r="D1069" s="34" t="str">
        <f t="shared" si="161"/>
        <v/>
      </c>
      <c r="E1069" s="34" t="str">
        <f t="shared" si="162"/>
        <v/>
      </c>
      <c r="F1069" s="34" t="str">
        <f t="shared" si="163"/>
        <v/>
      </c>
      <c r="G1069" s="35" t="str">
        <f t="shared" si="164"/>
        <v/>
      </c>
      <c r="H1069" s="30"/>
      <c r="I1069" s="36" t="str">
        <f t="shared" si="165"/>
        <v/>
      </c>
      <c r="J1069" s="34" t="str">
        <f t="shared" si="166"/>
        <v/>
      </c>
      <c r="K1069" s="49"/>
      <c r="L1069" s="55" t="str">
        <f t="shared" si="167"/>
        <v/>
      </c>
      <c r="M1069" s="54" t="str">
        <f t="shared" si="168"/>
        <v/>
      </c>
      <c r="N1069" s="30"/>
      <c r="O1069" s="31"/>
      <c r="P1069" s="53"/>
      <c r="Q1069" s="33"/>
      <c r="R1069" s="54" t="str">
        <f t="shared" si="169"/>
        <v/>
      </c>
      <c r="S1069" s="30"/>
      <c r="T1069" s="33"/>
    </row>
    <row r="1070" spans="1:20" x14ac:dyDescent="0.25">
      <c r="A1070" s="30"/>
      <c r="B1070" s="37" t="str">
        <f t="shared" si="160"/>
        <v/>
      </c>
      <c r="C1070" s="30"/>
      <c r="D1070" s="34" t="str">
        <f t="shared" si="161"/>
        <v/>
      </c>
      <c r="E1070" s="34" t="str">
        <f t="shared" si="162"/>
        <v/>
      </c>
      <c r="F1070" s="34" t="str">
        <f t="shared" si="163"/>
        <v/>
      </c>
      <c r="G1070" s="35" t="str">
        <f t="shared" si="164"/>
        <v/>
      </c>
      <c r="H1070" s="30"/>
      <c r="I1070" s="36" t="str">
        <f t="shared" si="165"/>
        <v/>
      </c>
      <c r="J1070" s="34" t="str">
        <f t="shared" si="166"/>
        <v/>
      </c>
      <c r="K1070" s="49"/>
      <c r="L1070" s="55" t="str">
        <f t="shared" si="167"/>
        <v/>
      </c>
      <c r="M1070" s="54" t="str">
        <f t="shared" si="168"/>
        <v/>
      </c>
      <c r="N1070" s="30"/>
      <c r="O1070" s="31"/>
      <c r="P1070" s="53"/>
      <c r="Q1070" s="33"/>
      <c r="R1070" s="54" t="str">
        <f t="shared" si="169"/>
        <v/>
      </c>
      <c r="S1070" s="30"/>
      <c r="T1070" s="33"/>
    </row>
    <row r="1071" spans="1:20" x14ac:dyDescent="0.25">
      <c r="A1071" s="30"/>
      <c r="B1071" s="37" t="str">
        <f t="shared" si="160"/>
        <v/>
      </c>
      <c r="C1071" s="30"/>
      <c r="D1071" s="34" t="str">
        <f t="shared" si="161"/>
        <v/>
      </c>
      <c r="E1071" s="34" t="str">
        <f t="shared" si="162"/>
        <v/>
      </c>
      <c r="F1071" s="34" t="str">
        <f t="shared" si="163"/>
        <v/>
      </c>
      <c r="G1071" s="35" t="str">
        <f t="shared" si="164"/>
        <v/>
      </c>
      <c r="H1071" s="30"/>
      <c r="I1071" s="36" t="str">
        <f t="shared" si="165"/>
        <v/>
      </c>
      <c r="J1071" s="34" t="str">
        <f t="shared" si="166"/>
        <v/>
      </c>
      <c r="K1071" s="49"/>
      <c r="L1071" s="55" t="str">
        <f t="shared" si="167"/>
        <v/>
      </c>
      <c r="M1071" s="54" t="str">
        <f t="shared" si="168"/>
        <v/>
      </c>
      <c r="N1071" s="30"/>
      <c r="O1071" s="31"/>
      <c r="P1071" s="53"/>
      <c r="Q1071" s="33"/>
      <c r="R1071" s="54" t="str">
        <f t="shared" si="169"/>
        <v/>
      </c>
      <c r="S1071" s="30"/>
      <c r="T1071" s="33"/>
    </row>
    <row r="1072" spans="1:20" x14ac:dyDescent="0.25">
      <c r="A1072" s="30"/>
      <c r="B1072" s="37" t="str">
        <f t="shared" si="160"/>
        <v/>
      </c>
      <c r="C1072" s="30"/>
      <c r="D1072" s="34" t="str">
        <f t="shared" si="161"/>
        <v/>
      </c>
      <c r="E1072" s="34" t="str">
        <f t="shared" si="162"/>
        <v/>
      </c>
      <c r="F1072" s="34" t="str">
        <f t="shared" si="163"/>
        <v/>
      </c>
      <c r="G1072" s="35" t="str">
        <f t="shared" si="164"/>
        <v/>
      </c>
      <c r="H1072" s="30"/>
      <c r="I1072" s="36" t="str">
        <f t="shared" si="165"/>
        <v/>
      </c>
      <c r="J1072" s="34" t="str">
        <f t="shared" si="166"/>
        <v/>
      </c>
      <c r="K1072" s="49"/>
      <c r="L1072" s="55" t="str">
        <f t="shared" si="167"/>
        <v/>
      </c>
      <c r="M1072" s="54" t="str">
        <f t="shared" si="168"/>
        <v/>
      </c>
      <c r="N1072" s="30"/>
      <c r="O1072" s="31"/>
      <c r="P1072" s="53"/>
      <c r="Q1072" s="33"/>
      <c r="R1072" s="54" t="str">
        <f t="shared" si="169"/>
        <v/>
      </c>
      <c r="S1072" s="30"/>
      <c r="T1072" s="33"/>
    </row>
    <row r="1073" spans="1:20" x14ac:dyDescent="0.25">
      <c r="A1073" s="30"/>
      <c r="B1073" s="37" t="str">
        <f t="shared" si="160"/>
        <v/>
      </c>
      <c r="C1073" s="30"/>
      <c r="D1073" s="34" t="str">
        <f t="shared" si="161"/>
        <v/>
      </c>
      <c r="E1073" s="34" t="str">
        <f t="shared" si="162"/>
        <v/>
      </c>
      <c r="F1073" s="34" t="str">
        <f t="shared" si="163"/>
        <v/>
      </c>
      <c r="G1073" s="35" t="str">
        <f t="shared" si="164"/>
        <v/>
      </c>
      <c r="H1073" s="30"/>
      <c r="I1073" s="36" t="str">
        <f t="shared" si="165"/>
        <v/>
      </c>
      <c r="J1073" s="34" t="str">
        <f t="shared" si="166"/>
        <v/>
      </c>
      <c r="K1073" s="49"/>
      <c r="L1073" s="55" t="str">
        <f t="shared" si="167"/>
        <v/>
      </c>
      <c r="M1073" s="54" t="str">
        <f t="shared" si="168"/>
        <v/>
      </c>
      <c r="N1073" s="30"/>
      <c r="O1073" s="31"/>
      <c r="P1073" s="53"/>
      <c r="Q1073" s="33"/>
      <c r="R1073" s="54" t="str">
        <f t="shared" si="169"/>
        <v/>
      </c>
      <c r="S1073" s="30"/>
      <c r="T1073" s="33"/>
    </row>
    <row r="1074" spans="1:20" x14ac:dyDescent="0.25">
      <c r="A1074" s="30"/>
      <c r="B1074" s="37" t="str">
        <f t="shared" si="160"/>
        <v/>
      </c>
      <c r="C1074" s="30"/>
      <c r="D1074" s="34" t="str">
        <f t="shared" si="161"/>
        <v/>
      </c>
      <c r="E1074" s="34" t="str">
        <f t="shared" si="162"/>
        <v/>
      </c>
      <c r="F1074" s="34" t="str">
        <f t="shared" si="163"/>
        <v/>
      </c>
      <c r="G1074" s="35" t="str">
        <f t="shared" si="164"/>
        <v/>
      </c>
      <c r="H1074" s="30"/>
      <c r="I1074" s="36" t="str">
        <f t="shared" si="165"/>
        <v/>
      </c>
      <c r="J1074" s="34" t="str">
        <f t="shared" si="166"/>
        <v/>
      </c>
      <c r="K1074" s="49"/>
      <c r="L1074" s="55" t="str">
        <f t="shared" si="167"/>
        <v/>
      </c>
      <c r="M1074" s="54" t="str">
        <f t="shared" si="168"/>
        <v/>
      </c>
      <c r="N1074" s="30"/>
      <c r="O1074" s="31"/>
      <c r="P1074" s="53"/>
      <c r="Q1074" s="33"/>
      <c r="R1074" s="54" t="str">
        <f t="shared" si="169"/>
        <v/>
      </c>
      <c r="S1074" s="30"/>
      <c r="T1074" s="33"/>
    </row>
    <row r="1075" spans="1:20" x14ac:dyDescent="0.25">
      <c r="A1075" s="30"/>
      <c r="B1075" s="37" t="str">
        <f t="shared" si="160"/>
        <v/>
      </c>
      <c r="C1075" s="30"/>
      <c r="D1075" s="34" t="str">
        <f t="shared" si="161"/>
        <v/>
      </c>
      <c r="E1075" s="34" t="str">
        <f t="shared" si="162"/>
        <v/>
      </c>
      <c r="F1075" s="34" t="str">
        <f t="shared" si="163"/>
        <v/>
      </c>
      <c r="G1075" s="35" t="str">
        <f t="shared" si="164"/>
        <v/>
      </c>
      <c r="H1075" s="30"/>
      <c r="I1075" s="36" t="str">
        <f t="shared" si="165"/>
        <v/>
      </c>
      <c r="J1075" s="34" t="str">
        <f t="shared" si="166"/>
        <v/>
      </c>
      <c r="K1075" s="49"/>
      <c r="L1075" s="55" t="str">
        <f t="shared" si="167"/>
        <v/>
      </c>
      <c r="M1075" s="54" t="str">
        <f t="shared" si="168"/>
        <v/>
      </c>
      <c r="N1075" s="30"/>
      <c r="O1075" s="31"/>
      <c r="P1075" s="53"/>
      <c r="Q1075" s="33"/>
      <c r="R1075" s="54" t="str">
        <f t="shared" si="169"/>
        <v/>
      </c>
      <c r="S1075" s="30"/>
      <c r="T1075" s="33"/>
    </row>
    <row r="1076" spans="1:20" x14ac:dyDescent="0.25">
      <c r="A1076" s="30"/>
      <c r="B1076" s="37" t="str">
        <f t="shared" si="160"/>
        <v/>
      </c>
      <c r="C1076" s="30"/>
      <c r="D1076" s="34" t="str">
        <f t="shared" si="161"/>
        <v/>
      </c>
      <c r="E1076" s="34" t="str">
        <f t="shared" si="162"/>
        <v/>
      </c>
      <c r="F1076" s="34" t="str">
        <f t="shared" si="163"/>
        <v/>
      </c>
      <c r="G1076" s="35" t="str">
        <f t="shared" si="164"/>
        <v/>
      </c>
      <c r="H1076" s="30"/>
      <c r="I1076" s="36" t="str">
        <f t="shared" si="165"/>
        <v/>
      </c>
      <c r="J1076" s="34" t="str">
        <f t="shared" si="166"/>
        <v/>
      </c>
      <c r="K1076" s="49"/>
      <c r="L1076" s="55" t="str">
        <f t="shared" si="167"/>
        <v/>
      </c>
      <c r="M1076" s="54" t="str">
        <f t="shared" si="168"/>
        <v/>
      </c>
      <c r="N1076" s="30"/>
      <c r="O1076" s="31"/>
      <c r="P1076" s="53"/>
      <c r="Q1076" s="33"/>
      <c r="R1076" s="54" t="str">
        <f t="shared" si="169"/>
        <v/>
      </c>
      <c r="S1076" s="30"/>
      <c r="T1076" s="33"/>
    </row>
    <row r="1077" spans="1:20" x14ac:dyDescent="0.25">
      <c r="A1077" s="30"/>
      <c r="B1077" s="37" t="str">
        <f t="shared" ref="B1077:B1140" si="170">IF($G1077="","",EOMONTH($G1077,0))</f>
        <v/>
      </c>
      <c r="C1077" s="30"/>
      <c r="D1077" s="34" t="str">
        <f t="shared" ref="D1077:D1140" si="171">IFERROR(IF($C1077="","",VLOOKUP($C1077,CAD_TAB,2,FALSE)),"")</f>
        <v/>
      </c>
      <c r="E1077" s="34" t="str">
        <f t="shared" ref="E1077:E1140" si="172">IFERROR(IF($C1077="","",VLOOKUP($C1077,CAD_TAB,3,FALSE)),"")</f>
        <v/>
      </c>
      <c r="F1077" s="34" t="str">
        <f t="shared" ref="F1077:F1140" si="173">IFERROR(IF($C1077="","",VLOOKUP($C1077,OS_TAB,7,FALSE)),"")</f>
        <v/>
      </c>
      <c r="G1077" s="35" t="str">
        <f t="shared" ref="G1077:G1140" si="174">IFERROR(IF($C1077="","",VLOOKUP($C1077,OS_TAB,10,FALSE)),"")</f>
        <v/>
      </c>
      <c r="H1077" s="30"/>
      <c r="I1077" s="36" t="str">
        <f t="shared" ref="I1077:I1140" si="175">IFERROR(IF($H1077="","",VLOOKUP($H1077,PRE_TAB,5,FALSE)),"CÓDIGO NÃO ENCONTRADO")</f>
        <v/>
      </c>
      <c r="J1077" s="34" t="str">
        <f t="shared" ref="J1077:J1140" si="176">IFERROR(IF($H1077="","",VLOOKUP($H1077,PRE_TAB,7,FALSE)),"")</f>
        <v/>
      </c>
      <c r="K1077" s="49"/>
      <c r="L1077" s="55" t="str">
        <f t="shared" ref="L1077:L1140" si="177">IFERROR(IF($H1077="","",VLOOKUP($H1077,PRE_TAB,8,FALSE)),0)</f>
        <v/>
      </c>
      <c r="M1077" s="54" t="str">
        <f t="shared" ref="M1077:M1140" si="178">IF($H1077="","",ROUND($K1077*$L1077,2))</f>
        <v/>
      </c>
      <c r="N1077" s="30"/>
      <c r="O1077" s="31"/>
      <c r="P1077" s="53"/>
      <c r="Q1077" s="33"/>
      <c r="R1077" s="54" t="str">
        <f t="shared" ref="R1077:R1140" si="179">IF($H1077="","",$M1077-$P1077)</f>
        <v/>
      </c>
      <c r="S1077" s="30"/>
      <c r="T1077" s="33"/>
    </row>
    <row r="1078" spans="1:20" x14ac:dyDescent="0.25">
      <c r="A1078" s="30"/>
      <c r="B1078" s="37" t="str">
        <f t="shared" si="170"/>
        <v/>
      </c>
      <c r="C1078" s="30"/>
      <c r="D1078" s="34" t="str">
        <f t="shared" si="171"/>
        <v/>
      </c>
      <c r="E1078" s="34" t="str">
        <f t="shared" si="172"/>
        <v/>
      </c>
      <c r="F1078" s="34" t="str">
        <f t="shared" si="173"/>
        <v/>
      </c>
      <c r="G1078" s="35" t="str">
        <f t="shared" si="174"/>
        <v/>
      </c>
      <c r="H1078" s="30"/>
      <c r="I1078" s="36" t="str">
        <f t="shared" si="175"/>
        <v/>
      </c>
      <c r="J1078" s="34" t="str">
        <f t="shared" si="176"/>
        <v/>
      </c>
      <c r="K1078" s="49"/>
      <c r="L1078" s="55" t="str">
        <f t="shared" si="177"/>
        <v/>
      </c>
      <c r="M1078" s="54" t="str">
        <f t="shared" si="178"/>
        <v/>
      </c>
      <c r="N1078" s="30"/>
      <c r="O1078" s="31"/>
      <c r="P1078" s="53"/>
      <c r="Q1078" s="33"/>
      <c r="R1078" s="54" t="str">
        <f t="shared" si="179"/>
        <v/>
      </c>
      <c r="S1078" s="30"/>
      <c r="T1078" s="33"/>
    </row>
    <row r="1079" spans="1:20" x14ac:dyDescent="0.25">
      <c r="A1079" s="30"/>
      <c r="B1079" s="37" t="str">
        <f t="shared" si="170"/>
        <v/>
      </c>
      <c r="C1079" s="30"/>
      <c r="D1079" s="34" t="str">
        <f t="shared" si="171"/>
        <v/>
      </c>
      <c r="E1079" s="34" t="str">
        <f t="shared" si="172"/>
        <v/>
      </c>
      <c r="F1079" s="34" t="str">
        <f t="shared" si="173"/>
        <v/>
      </c>
      <c r="G1079" s="35" t="str">
        <f t="shared" si="174"/>
        <v/>
      </c>
      <c r="H1079" s="30"/>
      <c r="I1079" s="36" t="str">
        <f t="shared" si="175"/>
        <v/>
      </c>
      <c r="J1079" s="34" t="str">
        <f t="shared" si="176"/>
        <v/>
      </c>
      <c r="K1079" s="49"/>
      <c r="L1079" s="55" t="str">
        <f t="shared" si="177"/>
        <v/>
      </c>
      <c r="M1079" s="54" t="str">
        <f t="shared" si="178"/>
        <v/>
      </c>
      <c r="N1079" s="30"/>
      <c r="O1079" s="31"/>
      <c r="P1079" s="53"/>
      <c r="Q1079" s="33"/>
      <c r="R1079" s="54" t="str">
        <f t="shared" si="179"/>
        <v/>
      </c>
      <c r="S1079" s="30"/>
      <c r="T1079" s="33"/>
    </row>
    <row r="1080" spans="1:20" x14ac:dyDescent="0.25">
      <c r="A1080" s="30"/>
      <c r="B1080" s="37" t="str">
        <f t="shared" si="170"/>
        <v/>
      </c>
      <c r="C1080" s="30"/>
      <c r="D1080" s="34" t="str">
        <f t="shared" si="171"/>
        <v/>
      </c>
      <c r="E1080" s="34" t="str">
        <f t="shared" si="172"/>
        <v/>
      </c>
      <c r="F1080" s="34" t="str">
        <f t="shared" si="173"/>
        <v/>
      </c>
      <c r="G1080" s="35" t="str">
        <f t="shared" si="174"/>
        <v/>
      </c>
      <c r="H1080" s="30"/>
      <c r="I1080" s="36" t="str">
        <f t="shared" si="175"/>
        <v/>
      </c>
      <c r="J1080" s="34" t="str">
        <f t="shared" si="176"/>
        <v/>
      </c>
      <c r="K1080" s="49"/>
      <c r="L1080" s="55" t="str">
        <f t="shared" si="177"/>
        <v/>
      </c>
      <c r="M1080" s="54" t="str">
        <f t="shared" si="178"/>
        <v/>
      </c>
      <c r="N1080" s="30"/>
      <c r="O1080" s="31"/>
      <c r="P1080" s="53"/>
      <c r="Q1080" s="33"/>
      <c r="R1080" s="54" t="str">
        <f t="shared" si="179"/>
        <v/>
      </c>
      <c r="S1080" s="30"/>
      <c r="T1080" s="33"/>
    </row>
    <row r="1081" spans="1:20" x14ac:dyDescent="0.25">
      <c r="A1081" s="30"/>
      <c r="B1081" s="37" t="str">
        <f t="shared" si="170"/>
        <v/>
      </c>
      <c r="C1081" s="30"/>
      <c r="D1081" s="34" t="str">
        <f t="shared" si="171"/>
        <v/>
      </c>
      <c r="E1081" s="34" t="str">
        <f t="shared" si="172"/>
        <v/>
      </c>
      <c r="F1081" s="34" t="str">
        <f t="shared" si="173"/>
        <v/>
      </c>
      <c r="G1081" s="35" t="str">
        <f t="shared" si="174"/>
        <v/>
      </c>
      <c r="H1081" s="30"/>
      <c r="I1081" s="36" t="str">
        <f t="shared" si="175"/>
        <v/>
      </c>
      <c r="J1081" s="34" t="str">
        <f t="shared" si="176"/>
        <v/>
      </c>
      <c r="K1081" s="49"/>
      <c r="L1081" s="55" t="str">
        <f t="shared" si="177"/>
        <v/>
      </c>
      <c r="M1081" s="54" t="str">
        <f t="shared" si="178"/>
        <v/>
      </c>
      <c r="N1081" s="30"/>
      <c r="O1081" s="31"/>
      <c r="P1081" s="53"/>
      <c r="Q1081" s="33"/>
      <c r="R1081" s="54" t="str">
        <f t="shared" si="179"/>
        <v/>
      </c>
      <c r="S1081" s="30"/>
      <c r="T1081" s="33"/>
    </row>
    <row r="1082" spans="1:20" x14ac:dyDescent="0.25">
      <c r="A1082" s="30"/>
      <c r="B1082" s="37" t="str">
        <f t="shared" si="170"/>
        <v/>
      </c>
      <c r="C1082" s="30"/>
      <c r="D1082" s="34" t="str">
        <f t="shared" si="171"/>
        <v/>
      </c>
      <c r="E1082" s="34" t="str">
        <f t="shared" si="172"/>
        <v/>
      </c>
      <c r="F1082" s="34" t="str">
        <f t="shared" si="173"/>
        <v/>
      </c>
      <c r="G1082" s="35" t="str">
        <f t="shared" si="174"/>
        <v/>
      </c>
      <c r="H1082" s="30"/>
      <c r="I1082" s="36" t="str">
        <f t="shared" si="175"/>
        <v/>
      </c>
      <c r="J1082" s="34" t="str">
        <f t="shared" si="176"/>
        <v/>
      </c>
      <c r="K1082" s="49"/>
      <c r="L1082" s="55" t="str">
        <f t="shared" si="177"/>
        <v/>
      </c>
      <c r="M1082" s="54" t="str">
        <f t="shared" si="178"/>
        <v/>
      </c>
      <c r="N1082" s="30"/>
      <c r="O1082" s="31"/>
      <c r="P1082" s="53"/>
      <c r="Q1082" s="33"/>
      <c r="R1082" s="54" t="str">
        <f t="shared" si="179"/>
        <v/>
      </c>
      <c r="S1082" s="30"/>
      <c r="T1082" s="33"/>
    </row>
    <row r="1083" spans="1:20" x14ac:dyDescent="0.25">
      <c r="A1083" s="30"/>
      <c r="B1083" s="37" t="str">
        <f t="shared" si="170"/>
        <v/>
      </c>
      <c r="C1083" s="30"/>
      <c r="D1083" s="34" t="str">
        <f t="shared" si="171"/>
        <v/>
      </c>
      <c r="E1083" s="34" t="str">
        <f t="shared" si="172"/>
        <v/>
      </c>
      <c r="F1083" s="34" t="str">
        <f t="shared" si="173"/>
        <v/>
      </c>
      <c r="G1083" s="35" t="str">
        <f t="shared" si="174"/>
        <v/>
      </c>
      <c r="H1083" s="30"/>
      <c r="I1083" s="36" t="str">
        <f t="shared" si="175"/>
        <v/>
      </c>
      <c r="J1083" s="34" t="str">
        <f t="shared" si="176"/>
        <v/>
      </c>
      <c r="K1083" s="49"/>
      <c r="L1083" s="55" t="str">
        <f t="shared" si="177"/>
        <v/>
      </c>
      <c r="M1083" s="54" t="str">
        <f t="shared" si="178"/>
        <v/>
      </c>
      <c r="N1083" s="30"/>
      <c r="O1083" s="31"/>
      <c r="P1083" s="53"/>
      <c r="Q1083" s="33"/>
      <c r="R1083" s="54" t="str">
        <f t="shared" si="179"/>
        <v/>
      </c>
      <c r="S1083" s="30"/>
      <c r="T1083" s="33"/>
    </row>
    <row r="1084" spans="1:20" x14ac:dyDescent="0.25">
      <c r="A1084" s="30"/>
      <c r="B1084" s="37" t="str">
        <f t="shared" si="170"/>
        <v/>
      </c>
      <c r="C1084" s="30"/>
      <c r="D1084" s="34" t="str">
        <f t="shared" si="171"/>
        <v/>
      </c>
      <c r="E1084" s="34" t="str">
        <f t="shared" si="172"/>
        <v/>
      </c>
      <c r="F1084" s="34" t="str">
        <f t="shared" si="173"/>
        <v/>
      </c>
      <c r="G1084" s="35" t="str">
        <f t="shared" si="174"/>
        <v/>
      </c>
      <c r="H1084" s="30"/>
      <c r="I1084" s="36" t="str">
        <f t="shared" si="175"/>
        <v/>
      </c>
      <c r="J1084" s="34" t="str">
        <f t="shared" si="176"/>
        <v/>
      </c>
      <c r="K1084" s="49"/>
      <c r="L1084" s="55" t="str">
        <f t="shared" si="177"/>
        <v/>
      </c>
      <c r="M1084" s="54" t="str">
        <f t="shared" si="178"/>
        <v/>
      </c>
      <c r="N1084" s="30"/>
      <c r="O1084" s="31"/>
      <c r="P1084" s="53"/>
      <c r="Q1084" s="33"/>
      <c r="R1084" s="54" t="str">
        <f t="shared" si="179"/>
        <v/>
      </c>
      <c r="S1084" s="30"/>
      <c r="T1084" s="33"/>
    </row>
    <row r="1085" spans="1:20" x14ac:dyDescent="0.25">
      <c r="A1085" s="30"/>
      <c r="B1085" s="37" t="str">
        <f t="shared" si="170"/>
        <v/>
      </c>
      <c r="C1085" s="30"/>
      <c r="D1085" s="34" t="str">
        <f t="shared" si="171"/>
        <v/>
      </c>
      <c r="E1085" s="34" t="str">
        <f t="shared" si="172"/>
        <v/>
      </c>
      <c r="F1085" s="34" t="str">
        <f t="shared" si="173"/>
        <v/>
      </c>
      <c r="G1085" s="35" t="str">
        <f t="shared" si="174"/>
        <v/>
      </c>
      <c r="H1085" s="30"/>
      <c r="I1085" s="36" t="str">
        <f t="shared" si="175"/>
        <v/>
      </c>
      <c r="J1085" s="34" t="str">
        <f t="shared" si="176"/>
        <v/>
      </c>
      <c r="K1085" s="49"/>
      <c r="L1085" s="55" t="str">
        <f t="shared" si="177"/>
        <v/>
      </c>
      <c r="M1085" s="54" t="str">
        <f t="shared" si="178"/>
        <v/>
      </c>
      <c r="N1085" s="30"/>
      <c r="O1085" s="31"/>
      <c r="P1085" s="53"/>
      <c r="Q1085" s="33"/>
      <c r="R1085" s="54" t="str">
        <f t="shared" si="179"/>
        <v/>
      </c>
      <c r="S1085" s="30"/>
      <c r="T1085" s="33"/>
    </row>
    <row r="1086" spans="1:20" x14ac:dyDescent="0.25">
      <c r="A1086" s="30"/>
      <c r="B1086" s="37" t="str">
        <f t="shared" si="170"/>
        <v/>
      </c>
      <c r="C1086" s="30"/>
      <c r="D1086" s="34" t="str">
        <f t="shared" si="171"/>
        <v/>
      </c>
      <c r="E1086" s="34" t="str">
        <f t="shared" si="172"/>
        <v/>
      </c>
      <c r="F1086" s="34" t="str">
        <f t="shared" si="173"/>
        <v/>
      </c>
      <c r="G1086" s="35" t="str">
        <f t="shared" si="174"/>
        <v/>
      </c>
      <c r="H1086" s="30"/>
      <c r="I1086" s="36" t="str">
        <f t="shared" si="175"/>
        <v/>
      </c>
      <c r="J1086" s="34" t="str">
        <f t="shared" si="176"/>
        <v/>
      </c>
      <c r="K1086" s="49"/>
      <c r="L1086" s="55" t="str">
        <f t="shared" si="177"/>
        <v/>
      </c>
      <c r="M1086" s="54" t="str">
        <f t="shared" si="178"/>
        <v/>
      </c>
      <c r="N1086" s="30"/>
      <c r="O1086" s="31"/>
      <c r="P1086" s="53"/>
      <c r="Q1086" s="33"/>
      <c r="R1086" s="54" t="str">
        <f t="shared" si="179"/>
        <v/>
      </c>
      <c r="S1086" s="30"/>
      <c r="T1086" s="33"/>
    </row>
    <row r="1087" spans="1:20" x14ac:dyDescent="0.25">
      <c r="A1087" s="30"/>
      <c r="B1087" s="37" t="str">
        <f t="shared" si="170"/>
        <v/>
      </c>
      <c r="C1087" s="30"/>
      <c r="D1087" s="34" t="str">
        <f t="shared" si="171"/>
        <v/>
      </c>
      <c r="E1087" s="34" t="str">
        <f t="shared" si="172"/>
        <v/>
      </c>
      <c r="F1087" s="34" t="str">
        <f t="shared" si="173"/>
        <v/>
      </c>
      <c r="G1087" s="35" t="str">
        <f t="shared" si="174"/>
        <v/>
      </c>
      <c r="H1087" s="30"/>
      <c r="I1087" s="36" t="str">
        <f t="shared" si="175"/>
        <v/>
      </c>
      <c r="J1087" s="34" t="str">
        <f t="shared" si="176"/>
        <v/>
      </c>
      <c r="K1087" s="49"/>
      <c r="L1087" s="55" t="str">
        <f t="shared" si="177"/>
        <v/>
      </c>
      <c r="M1087" s="54" t="str">
        <f t="shared" si="178"/>
        <v/>
      </c>
      <c r="N1087" s="30"/>
      <c r="O1087" s="31"/>
      <c r="P1087" s="53"/>
      <c r="Q1087" s="33"/>
      <c r="R1087" s="54" t="str">
        <f t="shared" si="179"/>
        <v/>
      </c>
      <c r="S1087" s="30"/>
      <c r="T1087" s="33"/>
    </row>
    <row r="1088" spans="1:20" x14ac:dyDescent="0.25">
      <c r="A1088" s="30"/>
      <c r="B1088" s="37" t="str">
        <f t="shared" si="170"/>
        <v/>
      </c>
      <c r="C1088" s="30"/>
      <c r="D1088" s="34" t="str">
        <f t="shared" si="171"/>
        <v/>
      </c>
      <c r="E1088" s="34" t="str">
        <f t="shared" si="172"/>
        <v/>
      </c>
      <c r="F1088" s="34" t="str">
        <f t="shared" si="173"/>
        <v/>
      </c>
      <c r="G1088" s="35" t="str">
        <f t="shared" si="174"/>
        <v/>
      </c>
      <c r="H1088" s="30"/>
      <c r="I1088" s="36" t="str">
        <f t="shared" si="175"/>
        <v/>
      </c>
      <c r="J1088" s="34" t="str">
        <f t="shared" si="176"/>
        <v/>
      </c>
      <c r="K1088" s="49"/>
      <c r="L1088" s="55" t="str">
        <f t="shared" si="177"/>
        <v/>
      </c>
      <c r="M1088" s="54" t="str">
        <f t="shared" si="178"/>
        <v/>
      </c>
      <c r="N1088" s="30"/>
      <c r="O1088" s="31"/>
      <c r="P1088" s="53"/>
      <c r="Q1088" s="33"/>
      <c r="R1088" s="54" t="str">
        <f t="shared" si="179"/>
        <v/>
      </c>
      <c r="S1088" s="30"/>
      <c r="T1088" s="33"/>
    </row>
    <row r="1089" spans="1:20" x14ac:dyDescent="0.25">
      <c r="A1089" s="30"/>
      <c r="B1089" s="37" t="str">
        <f t="shared" si="170"/>
        <v/>
      </c>
      <c r="C1089" s="30"/>
      <c r="D1089" s="34" t="str">
        <f t="shared" si="171"/>
        <v/>
      </c>
      <c r="E1089" s="34" t="str">
        <f t="shared" si="172"/>
        <v/>
      </c>
      <c r="F1089" s="34" t="str">
        <f t="shared" si="173"/>
        <v/>
      </c>
      <c r="G1089" s="35" t="str">
        <f t="shared" si="174"/>
        <v/>
      </c>
      <c r="H1089" s="30"/>
      <c r="I1089" s="36" t="str">
        <f t="shared" si="175"/>
        <v/>
      </c>
      <c r="J1089" s="34" t="str">
        <f t="shared" si="176"/>
        <v/>
      </c>
      <c r="K1089" s="49"/>
      <c r="L1089" s="55" t="str">
        <f t="shared" si="177"/>
        <v/>
      </c>
      <c r="M1089" s="54" t="str">
        <f t="shared" si="178"/>
        <v/>
      </c>
      <c r="N1089" s="30"/>
      <c r="O1089" s="31"/>
      <c r="P1089" s="53"/>
      <c r="Q1089" s="33"/>
      <c r="R1089" s="54" t="str">
        <f t="shared" si="179"/>
        <v/>
      </c>
      <c r="S1089" s="30"/>
      <c r="T1089" s="33"/>
    </row>
    <row r="1090" spans="1:20" x14ac:dyDescent="0.25">
      <c r="A1090" s="30"/>
      <c r="B1090" s="37" t="str">
        <f t="shared" si="170"/>
        <v/>
      </c>
      <c r="C1090" s="30"/>
      <c r="D1090" s="34" t="str">
        <f t="shared" si="171"/>
        <v/>
      </c>
      <c r="E1090" s="34" t="str">
        <f t="shared" si="172"/>
        <v/>
      </c>
      <c r="F1090" s="34" t="str">
        <f t="shared" si="173"/>
        <v/>
      </c>
      <c r="G1090" s="35" t="str">
        <f t="shared" si="174"/>
        <v/>
      </c>
      <c r="H1090" s="30"/>
      <c r="I1090" s="36" t="str">
        <f t="shared" si="175"/>
        <v/>
      </c>
      <c r="J1090" s="34" t="str">
        <f t="shared" si="176"/>
        <v/>
      </c>
      <c r="K1090" s="49"/>
      <c r="L1090" s="55" t="str">
        <f t="shared" si="177"/>
        <v/>
      </c>
      <c r="M1090" s="54" t="str">
        <f t="shared" si="178"/>
        <v/>
      </c>
      <c r="N1090" s="30"/>
      <c r="O1090" s="31"/>
      <c r="P1090" s="53"/>
      <c r="Q1090" s="33"/>
      <c r="R1090" s="54" t="str">
        <f t="shared" si="179"/>
        <v/>
      </c>
      <c r="S1090" s="30"/>
      <c r="T1090" s="33"/>
    </row>
    <row r="1091" spans="1:20" x14ac:dyDescent="0.25">
      <c r="A1091" s="30"/>
      <c r="B1091" s="37" t="str">
        <f t="shared" si="170"/>
        <v/>
      </c>
      <c r="C1091" s="30"/>
      <c r="D1091" s="34" t="str">
        <f t="shared" si="171"/>
        <v/>
      </c>
      <c r="E1091" s="34" t="str">
        <f t="shared" si="172"/>
        <v/>
      </c>
      <c r="F1091" s="34" t="str">
        <f t="shared" si="173"/>
        <v/>
      </c>
      <c r="G1091" s="35" t="str">
        <f t="shared" si="174"/>
        <v/>
      </c>
      <c r="H1091" s="30"/>
      <c r="I1091" s="36" t="str">
        <f t="shared" si="175"/>
        <v/>
      </c>
      <c r="J1091" s="34" t="str">
        <f t="shared" si="176"/>
        <v/>
      </c>
      <c r="K1091" s="49"/>
      <c r="L1091" s="55" t="str">
        <f t="shared" si="177"/>
        <v/>
      </c>
      <c r="M1091" s="54" t="str">
        <f t="shared" si="178"/>
        <v/>
      </c>
      <c r="N1091" s="30"/>
      <c r="O1091" s="31"/>
      <c r="P1091" s="53"/>
      <c r="Q1091" s="33"/>
      <c r="R1091" s="54" t="str">
        <f t="shared" si="179"/>
        <v/>
      </c>
      <c r="S1091" s="30"/>
      <c r="T1091" s="33"/>
    </row>
    <row r="1092" spans="1:20" x14ac:dyDescent="0.25">
      <c r="A1092" s="30"/>
      <c r="B1092" s="37" t="str">
        <f t="shared" si="170"/>
        <v/>
      </c>
      <c r="C1092" s="30"/>
      <c r="D1092" s="34" t="str">
        <f t="shared" si="171"/>
        <v/>
      </c>
      <c r="E1092" s="34" t="str">
        <f t="shared" si="172"/>
        <v/>
      </c>
      <c r="F1092" s="34" t="str">
        <f t="shared" si="173"/>
        <v/>
      </c>
      <c r="G1092" s="35" t="str">
        <f t="shared" si="174"/>
        <v/>
      </c>
      <c r="H1092" s="30"/>
      <c r="I1092" s="36" t="str">
        <f t="shared" si="175"/>
        <v/>
      </c>
      <c r="J1092" s="34" t="str">
        <f t="shared" si="176"/>
        <v/>
      </c>
      <c r="K1092" s="49"/>
      <c r="L1092" s="55" t="str">
        <f t="shared" si="177"/>
        <v/>
      </c>
      <c r="M1092" s="54" t="str">
        <f t="shared" si="178"/>
        <v/>
      </c>
      <c r="N1092" s="30"/>
      <c r="O1092" s="31"/>
      <c r="P1092" s="53"/>
      <c r="Q1092" s="33"/>
      <c r="R1092" s="54" t="str">
        <f t="shared" si="179"/>
        <v/>
      </c>
      <c r="S1092" s="30"/>
      <c r="T1092" s="33"/>
    </row>
    <row r="1093" spans="1:20" x14ac:dyDescent="0.25">
      <c r="A1093" s="30"/>
      <c r="B1093" s="37" t="str">
        <f t="shared" si="170"/>
        <v/>
      </c>
      <c r="C1093" s="30"/>
      <c r="D1093" s="34" t="str">
        <f t="shared" si="171"/>
        <v/>
      </c>
      <c r="E1093" s="34" t="str">
        <f t="shared" si="172"/>
        <v/>
      </c>
      <c r="F1093" s="34" t="str">
        <f t="shared" si="173"/>
        <v/>
      </c>
      <c r="G1093" s="35" t="str">
        <f t="shared" si="174"/>
        <v/>
      </c>
      <c r="H1093" s="30"/>
      <c r="I1093" s="36" t="str">
        <f t="shared" si="175"/>
        <v/>
      </c>
      <c r="J1093" s="34" t="str">
        <f t="shared" si="176"/>
        <v/>
      </c>
      <c r="K1093" s="49"/>
      <c r="L1093" s="55" t="str">
        <f t="shared" si="177"/>
        <v/>
      </c>
      <c r="M1093" s="54" t="str">
        <f t="shared" si="178"/>
        <v/>
      </c>
      <c r="N1093" s="30"/>
      <c r="O1093" s="31"/>
      <c r="P1093" s="53"/>
      <c r="Q1093" s="33"/>
      <c r="R1093" s="54" t="str">
        <f t="shared" si="179"/>
        <v/>
      </c>
      <c r="S1093" s="30"/>
      <c r="T1093" s="33"/>
    </row>
    <row r="1094" spans="1:20" x14ac:dyDescent="0.25">
      <c r="A1094" s="30"/>
      <c r="B1094" s="37" t="str">
        <f t="shared" si="170"/>
        <v/>
      </c>
      <c r="C1094" s="30"/>
      <c r="D1094" s="34" t="str">
        <f t="shared" si="171"/>
        <v/>
      </c>
      <c r="E1094" s="34" t="str">
        <f t="shared" si="172"/>
        <v/>
      </c>
      <c r="F1094" s="34" t="str">
        <f t="shared" si="173"/>
        <v/>
      </c>
      <c r="G1094" s="35" t="str">
        <f t="shared" si="174"/>
        <v/>
      </c>
      <c r="H1094" s="30"/>
      <c r="I1094" s="36" t="str">
        <f t="shared" si="175"/>
        <v/>
      </c>
      <c r="J1094" s="34" t="str">
        <f t="shared" si="176"/>
        <v/>
      </c>
      <c r="K1094" s="49"/>
      <c r="L1094" s="55" t="str">
        <f t="shared" si="177"/>
        <v/>
      </c>
      <c r="M1094" s="54" t="str">
        <f t="shared" si="178"/>
        <v/>
      </c>
      <c r="N1094" s="30"/>
      <c r="O1094" s="31"/>
      <c r="P1094" s="53"/>
      <c r="Q1094" s="33"/>
      <c r="R1094" s="54" t="str">
        <f t="shared" si="179"/>
        <v/>
      </c>
      <c r="S1094" s="30"/>
      <c r="T1094" s="33"/>
    </row>
    <row r="1095" spans="1:20" x14ac:dyDescent="0.25">
      <c r="A1095" s="30"/>
      <c r="B1095" s="37" t="str">
        <f t="shared" si="170"/>
        <v/>
      </c>
      <c r="C1095" s="30"/>
      <c r="D1095" s="34" t="str">
        <f t="shared" si="171"/>
        <v/>
      </c>
      <c r="E1095" s="34" t="str">
        <f t="shared" si="172"/>
        <v/>
      </c>
      <c r="F1095" s="34" t="str">
        <f t="shared" si="173"/>
        <v/>
      </c>
      <c r="G1095" s="35" t="str">
        <f t="shared" si="174"/>
        <v/>
      </c>
      <c r="H1095" s="30"/>
      <c r="I1095" s="36" t="str">
        <f t="shared" si="175"/>
        <v/>
      </c>
      <c r="J1095" s="34" t="str">
        <f t="shared" si="176"/>
        <v/>
      </c>
      <c r="K1095" s="49"/>
      <c r="L1095" s="55" t="str">
        <f t="shared" si="177"/>
        <v/>
      </c>
      <c r="M1095" s="54" t="str">
        <f t="shared" si="178"/>
        <v/>
      </c>
      <c r="N1095" s="30"/>
      <c r="O1095" s="31"/>
      <c r="P1095" s="53"/>
      <c r="Q1095" s="33"/>
      <c r="R1095" s="54" t="str">
        <f t="shared" si="179"/>
        <v/>
      </c>
      <c r="S1095" s="30"/>
      <c r="T1095" s="33"/>
    </row>
    <row r="1096" spans="1:20" x14ac:dyDescent="0.25">
      <c r="A1096" s="30"/>
      <c r="B1096" s="37" t="str">
        <f t="shared" si="170"/>
        <v/>
      </c>
      <c r="C1096" s="30"/>
      <c r="D1096" s="34" t="str">
        <f t="shared" si="171"/>
        <v/>
      </c>
      <c r="E1096" s="34" t="str">
        <f t="shared" si="172"/>
        <v/>
      </c>
      <c r="F1096" s="34" t="str">
        <f t="shared" si="173"/>
        <v/>
      </c>
      <c r="G1096" s="35" t="str">
        <f t="shared" si="174"/>
        <v/>
      </c>
      <c r="H1096" s="30"/>
      <c r="I1096" s="36" t="str">
        <f t="shared" si="175"/>
        <v/>
      </c>
      <c r="J1096" s="34" t="str">
        <f t="shared" si="176"/>
        <v/>
      </c>
      <c r="K1096" s="49"/>
      <c r="L1096" s="55" t="str">
        <f t="shared" si="177"/>
        <v/>
      </c>
      <c r="M1096" s="54" t="str">
        <f t="shared" si="178"/>
        <v/>
      </c>
      <c r="N1096" s="30"/>
      <c r="O1096" s="31"/>
      <c r="P1096" s="53"/>
      <c r="Q1096" s="33"/>
      <c r="R1096" s="54" t="str">
        <f t="shared" si="179"/>
        <v/>
      </c>
      <c r="S1096" s="30"/>
      <c r="T1096" s="33"/>
    </row>
    <row r="1097" spans="1:20" x14ac:dyDescent="0.25">
      <c r="A1097" s="30"/>
      <c r="B1097" s="37" t="str">
        <f t="shared" si="170"/>
        <v/>
      </c>
      <c r="C1097" s="30"/>
      <c r="D1097" s="34" t="str">
        <f t="shared" si="171"/>
        <v/>
      </c>
      <c r="E1097" s="34" t="str">
        <f t="shared" si="172"/>
        <v/>
      </c>
      <c r="F1097" s="34" t="str">
        <f t="shared" si="173"/>
        <v/>
      </c>
      <c r="G1097" s="35" t="str">
        <f t="shared" si="174"/>
        <v/>
      </c>
      <c r="H1097" s="30"/>
      <c r="I1097" s="36" t="str">
        <f t="shared" si="175"/>
        <v/>
      </c>
      <c r="J1097" s="34" t="str">
        <f t="shared" si="176"/>
        <v/>
      </c>
      <c r="K1097" s="49"/>
      <c r="L1097" s="55" t="str">
        <f t="shared" si="177"/>
        <v/>
      </c>
      <c r="M1097" s="54" t="str">
        <f t="shared" si="178"/>
        <v/>
      </c>
      <c r="N1097" s="30"/>
      <c r="O1097" s="31"/>
      <c r="P1097" s="53"/>
      <c r="Q1097" s="33"/>
      <c r="R1097" s="54" t="str">
        <f t="shared" si="179"/>
        <v/>
      </c>
      <c r="S1097" s="30"/>
      <c r="T1097" s="33"/>
    </row>
    <row r="1098" spans="1:20" x14ac:dyDescent="0.25">
      <c r="A1098" s="30"/>
      <c r="B1098" s="37" t="str">
        <f t="shared" si="170"/>
        <v/>
      </c>
      <c r="C1098" s="30"/>
      <c r="D1098" s="34" t="str">
        <f t="shared" si="171"/>
        <v/>
      </c>
      <c r="E1098" s="34" t="str">
        <f t="shared" si="172"/>
        <v/>
      </c>
      <c r="F1098" s="34" t="str">
        <f t="shared" si="173"/>
        <v/>
      </c>
      <c r="G1098" s="35" t="str">
        <f t="shared" si="174"/>
        <v/>
      </c>
      <c r="H1098" s="30"/>
      <c r="I1098" s="36" t="str">
        <f t="shared" si="175"/>
        <v/>
      </c>
      <c r="J1098" s="34" t="str">
        <f t="shared" si="176"/>
        <v/>
      </c>
      <c r="K1098" s="49"/>
      <c r="L1098" s="55" t="str">
        <f t="shared" si="177"/>
        <v/>
      </c>
      <c r="M1098" s="54" t="str">
        <f t="shared" si="178"/>
        <v/>
      </c>
      <c r="N1098" s="30"/>
      <c r="O1098" s="31"/>
      <c r="P1098" s="53"/>
      <c r="Q1098" s="33"/>
      <c r="R1098" s="54" t="str">
        <f t="shared" si="179"/>
        <v/>
      </c>
      <c r="S1098" s="30"/>
      <c r="T1098" s="33"/>
    </row>
    <row r="1099" spans="1:20" x14ac:dyDescent="0.25">
      <c r="A1099" s="30"/>
      <c r="B1099" s="37" t="str">
        <f t="shared" si="170"/>
        <v/>
      </c>
      <c r="C1099" s="30"/>
      <c r="D1099" s="34" t="str">
        <f t="shared" si="171"/>
        <v/>
      </c>
      <c r="E1099" s="34" t="str">
        <f t="shared" si="172"/>
        <v/>
      </c>
      <c r="F1099" s="34" t="str">
        <f t="shared" si="173"/>
        <v/>
      </c>
      <c r="G1099" s="35" t="str">
        <f t="shared" si="174"/>
        <v/>
      </c>
      <c r="H1099" s="30"/>
      <c r="I1099" s="36" t="str">
        <f t="shared" si="175"/>
        <v/>
      </c>
      <c r="J1099" s="34" t="str">
        <f t="shared" si="176"/>
        <v/>
      </c>
      <c r="K1099" s="49"/>
      <c r="L1099" s="55" t="str">
        <f t="shared" si="177"/>
        <v/>
      </c>
      <c r="M1099" s="54" t="str">
        <f t="shared" si="178"/>
        <v/>
      </c>
      <c r="N1099" s="30"/>
      <c r="O1099" s="31"/>
      <c r="P1099" s="53"/>
      <c r="Q1099" s="33"/>
      <c r="R1099" s="54" t="str">
        <f t="shared" si="179"/>
        <v/>
      </c>
      <c r="S1099" s="30"/>
      <c r="T1099" s="33"/>
    </row>
    <row r="1100" spans="1:20" x14ac:dyDescent="0.25">
      <c r="A1100" s="30"/>
      <c r="B1100" s="37" t="str">
        <f t="shared" si="170"/>
        <v/>
      </c>
      <c r="C1100" s="30"/>
      <c r="D1100" s="34" t="str">
        <f t="shared" si="171"/>
        <v/>
      </c>
      <c r="E1100" s="34" t="str">
        <f t="shared" si="172"/>
        <v/>
      </c>
      <c r="F1100" s="34" t="str">
        <f t="shared" si="173"/>
        <v/>
      </c>
      <c r="G1100" s="35" t="str">
        <f t="shared" si="174"/>
        <v/>
      </c>
      <c r="H1100" s="30"/>
      <c r="I1100" s="36" t="str">
        <f t="shared" si="175"/>
        <v/>
      </c>
      <c r="J1100" s="34" t="str">
        <f t="shared" si="176"/>
        <v/>
      </c>
      <c r="K1100" s="49"/>
      <c r="L1100" s="55" t="str">
        <f t="shared" si="177"/>
        <v/>
      </c>
      <c r="M1100" s="54" t="str">
        <f t="shared" si="178"/>
        <v/>
      </c>
      <c r="N1100" s="30"/>
      <c r="O1100" s="31"/>
      <c r="P1100" s="53"/>
      <c r="Q1100" s="33"/>
      <c r="R1100" s="54" t="str">
        <f t="shared" si="179"/>
        <v/>
      </c>
      <c r="S1100" s="30"/>
      <c r="T1100" s="33"/>
    </row>
    <row r="1101" spans="1:20" x14ac:dyDescent="0.25">
      <c r="A1101" s="30"/>
      <c r="B1101" s="37" t="str">
        <f t="shared" si="170"/>
        <v/>
      </c>
      <c r="C1101" s="30"/>
      <c r="D1101" s="34" t="str">
        <f t="shared" si="171"/>
        <v/>
      </c>
      <c r="E1101" s="34" t="str">
        <f t="shared" si="172"/>
        <v/>
      </c>
      <c r="F1101" s="34" t="str">
        <f t="shared" si="173"/>
        <v/>
      </c>
      <c r="G1101" s="35" t="str">
        <f t="shared" si="174"/>
        <v/>
      </c>
      <c r="H1101" s="30"/>
      <c r="I1101" s="36" t="str">
        <f t="shared" si="175"/>
        <v/>
      </c>
      <c r="J1101" s="34" t="str">
        <f t="shared" si="176"/>
        <v/>
      </c>
      <c r="K1101" s="49"/>
      <c r="L1101" s="55" t="str">
        <f t="shared" si="177"/>
        <v/>
      </c>
      <c r="M1101" s="54" t="str">
        <f t="shared" si="178"/>
        <v/>
      </c>
      <c r="N1101" s="30"/>
      <c r="O1101" s="31"/>
      <c r="P1101" s="53"/>
      <c r="Q1101" s="33"/>
      <c r="R1101" s="54" t="str">
        <f t="shared" si="179"/>
        <v/>
      </c>
      <c r="S1101" s="30"/>
      <c r="T1101" s="33"/>
    </row>
    <row r="1102" spans="1:20" x14ac:dyDescent="0.25">
      <c r="A1102" s="30"/>
      <c r="B1102" s="37" t="str">
        <f t="shared" si="170"/>
        <v/>
      </c>
      <c r="C1102" s="30"/>
      <c r="D1102" s="34" t="str">
        <f t="shared" si="171"/>
        <v/>
      </c>
      <c r="E1102" s="34" t="str">
        <f t="shared" si="172"/>
        <v/>
      </c>
      <c r="F1102" s="34" t="str">
        <f t="shared" si="173"/>
        <v/>
      </c>
      <c r="G1102" s="35" t="str">
        <f t="shared" si="174"/>
        <v/>
      </c>
      <c r="H1102" s="30"/>
      <c r="I1102" s="36" t="str">
        <f t="shared" si="175"/>
        <v/>
      </c>
      <c r="J1102" s="34" t="str">
        <f t="shared" si="176"/>
        <v/>
      </c>
      <c r="K1102" s="49"/>
      <c r="L1102" s="55" t="str">
        <f t="shared" si="177"/>
        <v/>
      </c>
      <c r="M1102" s="54" t="str">
        <f t="shared" si="178"/>
        <v/>
      </c>
      <c r="N1102" s="30"/>
      <c r="O1102" s="31"/>
      <c r="P1102" s="53"/>
      <c r="Q1102" s="33"/>
      <c r="R1102" s="54" t="str">
        <f t="shared" si="179"/>
        <v/>
      </c>
      <c r="S1102" s="30"/>
      <c r="T1102" s="33"/>
    </row>
    <row r="1103" spans="1:20" x14ac:dyDescent="0.25">
      <c r="A1103" s="30"/>
      <c r="B1103" s="37" t="str">
        <f t="shared" si="170"/>
        <v/>
      </c>
      <c r="C1103" s="30"/>
      <c r="D1103" s="34" t="str">
        <f t="shared" si="171"/>
        <v/>
      </c>
      <c r="E1103" s="34" t="str">
        <f t="shared" si="172"/>
        <v/>
      </c>
      <c r="F1103" s="34" t="str">
        <f t="shared" si="173"/>
        <v/>
      </c>
      <c r="G1103" s="35" t="str">
        <f t="shared" si="174"/>
        <v/>
      </c>
      <c r="H1103" s="30"/>
      <c r="I1103" s="36" t="str">
        <f t="shared" si="175"/>
        <v/>
      </c>
      <c r="J1103" s="34" t="str">
        <f t="shared" si="176"/>
        <v/>
      </c>
      <c r="K1103" s="49"/>
      <c r="L1103" s="55" t="str">
        <f t="shared" si="177"/>
        <v/>
      </c>
      <c r="M1103" s="54" t="str">
        <f t="shared" si="178"/>
        <v/>
      </c>
      <c r="N1103" s="30"/>
      <c r="O1103" s="31"/>
      <c r="P1103" s="53"/>
      <c r="Q1103" s="33"/>
      <c r="R1103" s="54" t="str">
        <f t="shared" si="179"/>
        <v/>
      </c>
      <c r="S1103" s="30"/>
      <c r="T1103" s="33"/>
    </row>
    <row r="1104" spans="1:20" x14ac:dyDescent="0.25">
      <c r="A1104" s="30"/>
      <c r="B1104" s="37" t="str">
        <f t="shared" si="170"/>
        <v/>
      </c>
      <c r="C1104" s="30"/>
      <c r="D1104" s="34" t="str">
        <f t="shared" si="171"/>
        <v/>
      </c>
      <c r="E1104" s="34" t="str">
        <f t="shared" si="172"/>
        <v/>
      </c>
      <c r="F1104" s="34" t="str">
        <f t="shared" si="173"/>
        <v/>
      </c>
      <c r="G1104" s="35" t="str">
        <f t="shared" si="174"/>
        <v/>
      </c>
      <c r="H1104" s="30"/>
      <c r="I1104" s="36" t="str">
        <f t="shared" si="175"/>
        <v/>
      </c>
      <c r="J1104" s="34" t="str">
        <f t="shared" si="176"/>
        <v/>
      </c>
      <c r="K1104" s="49"/>
      <c r="L1104" s="55" t="str">
        <f t="shared" si="177"/>
        <v/>
      </c>
      <c r="M1104" s="54" t="str">
        <f t="shared" si="178"/>
        <v/>
      </c>
      <c r="N1104" s="30"/>
      <c r="O1104" s="31"/>
      <c r="P1104" s="53"/>
      <c r="Q1104" s="33"/>
      <c r="R1104" s="54" t="str">
        <f t="shared" si="179"/>
        <v/>
      </c>
      <c r="S1104" s="30"/>
      <c r="T1104" s="33"/>
    </row>
    <row r="1105" spans="1:20" x14ac:dyDescent="0.25">
      <c r="A1105" s="30"/>
      <c r="B1105" s="37" t="str">
        <f t="shared" si="170"/>
        <v/>
      </c>
      <c r="C1105" s="30"/>
      <c r="D1105" s="34" t="str">
        <f t="shared" si="171"/>
        <v/>
      </c>
      <c r="E1105" s="34" t="str">
        <f t="shared" si="172"/>
        <v/>
      </c>
      <c r="F1105" s="34" t="str">
        <f t="shared" si="173"/>
        <v/>
      </c>
      <c r="G1105" s="35" t="str">
        <f t="shared" si="174"/>
        <v/>
      </c>
      <c r="H1105" s="30"/>
      <c r="I1105" s="36" t="str">
        <f t="shared" si="175"/>
        <v/>
      </c>
      <c r="J1105" s="34" t="str">
        <f t="shared" si="176"/>
        <v/>
      </c>
      <c r="K1105" s="49"/>
      <c r="L1105" s="55" t="str">
        <f t="shared" si="177"/>
        <v/>
      </c>
      <c r="M1105" s="54" t="str">
        <f t="shared" si="178"/>
        <v/>
      </c>
      <c r="N1105" s="30"/>
      <c r="O1105" s="31"/>
      <c r="P1105" s="53"/>
      <c r="Q1105" s="33"/>
      <c r="R1105" s="54" t="str">
        <f t="shared" si="179"/>
        <v/>
      </c>
      <c r="S1105" s="30"/>
      <c r="T1105" s="33"/>
    </row>
    <row r="1106" spans="1:20" x14ac:dyDescent="0.25">
      <c r="A1106" s="30"/>
      <c r="B1106" s="37" t="str">
        <f t="shared" si="170"/>
        <v/>
      </c>
      <c r="C1106" s="30"/>
      <c r="D1106" s="34" t="str">
        <f t="shared" si="171"/>
        <v/>
      </c>
      <c r="E1106" s="34" t="str">
        <f t="shared" si="172"/>
        <v/>
      </c>
      <c r="F1106" s="34" t="str">
        <f t="shared" si="173"/>
        <v/>
      </c>
      <c r="G1106" s="35" t="str">
        <f t="shared" si="174"/>
        <v/>
      </c>
      <c r="H1106" s="30"/>
      <c r="I1106" s="36" t="str">
        <f t="shared" si="175"/>
        <v/>
      </c>
      <c r="J1106" s="34" t="str">
        <f t="shared" si="176"/>
        <v/>
      </c>
      <c r="K1106" s="49"/>
      <c r="L1106" s="55" t="str">
        <f t="shared" si="177"/>
        <v/>
      </c>
      <c r="M1106" s="54" t="str">
        <f t="shared" si="178"/>
        <v/>
      </c>
      <c r="N1106" s="30"/>
      <c r="O1106" s="31"/>
      <c r="P1106" s="53"/>
      <c r="Q1106" s="33"/>
      <c r="R1106" s="54" t="str">
        <f t="shared" si="179"/>
        <v/>
      </c>
      <c r="S1106" s="30"/>
      <c r="T1106" s="33"/>
    </row>
    <row r="1107" spans="1:20" x14ac:dyDescent="0.25">
      <c r="A1107" s="30"/>
      <c r="B1107" s="37" t="str">
        <f t="shared" si="170"/>
        <v/>
      </c>
      <c r="C1107" s="30"/>
      <c r="D1107" s="34" t="str">
        <f t="shared" si="171"/>
        <v/>
      </c>
      <c r="E1107" s="34" t="str">
        <f t="shared" si="172"/>
        <v/>
      </c>
      <c r="F1107" s="34" t="str">
        <f t="shared" si="173"/>
        <v/>
      </c>
      <c r="G1107" s="35" t="str">
        <f t="shared" si="174"/>
        <v/>
      </c>
      <c r="H1107" s="30"/>
      <c r="I1107" s="36" t="str">
        <f t="shared" si="175"/>
        <v/>
      </c>
      <c r="J1107" s="34" t="str">
        <f t="shared" si="176"/>
        <v/>
      </c>
      <c r="K1107" s="49"/>
      <c r="L1107" s="55" t="str">
        <f t="shared" si="177"/>
        <v/>
      </c>
      <c r="M1107" s="54" t="str">
        <f t="shared" si="178"/>
        <v/>
      </c>
      <c r="N1107" s="30"/>
      <c r="O1107" s="31"/>
      <c r="P1107" s="53"/>
      <c r="Q1107" s="33"/>
      <c r="R1107" s="54" t="str">
        <f t="shared" si="179"/>
        <v/>
      </c>
      <c r="S1107" s="30"/>
      <c r="T1107" s="33"/>
    </row>
    <row r="1108" spans="1:20" x14ac:dyDescent="0.25">
      <c r="A1108" s="30"/>
      <c r="B1108" s="37" t="str">
        <f t="shared" si="170"/>
        <v/>
      </c>
      <c r="C1108" s="30"/>
      <c r="D1108" s="34" t="str">
        <f t="shared" si="171"/>
        <v/>
      </c>
      <c r="E1108" s="34" t="str">
        <f t="shared" si="172"/>
        <v/>
      </c>
      <c r="F1108" s="34" t="str">
        <f t="shared" si="173"/>
        <v/>
      </c>
      <c r="G1108" s="35" t="str">
        <f t="shared" si="174"/>
        <v/>
      </c>
      <c r="H1108" s="30"/>
      <c r="I1108" s="36" t="str">
        <f t="shared" si="175"/>
        <v/>
      </c>
      <c r="J1108" s="34" t="str">
        <f t="shared" si="176"/>
        <v/>
      </c>
      <c r="K1108" s="49"/>
      <c r="L1108" s="55" t="str">
        <f t="shared" si="177"/>
        <v/>
      </c>
      <c r="M1108" s="54" t="str">
        <f t="shared" si="178"/>
        <v/>
      </c>
      <c r="N1108" s="30"/>
      <c r="O1108" s="31"/>
      <c r="P1108" s="53"/>
      <c r="Q1108" s="33"/>
      <c r="R1108" s="54" t="str">
        <f t="shared" si="179"/>
        <v/>
      </c>
      <c r="S1108" s="30"/>
      <c r="T1108" s="33"/>
    </row>
    <row r="1109" spans="1:20" x14ac:dyDescent="0.25">
      <c r="A1109" s="30"/>
      <c r="B1109" s="37" t="str">
        <f t="shared" si="170"/>
        <v/>
      </c>
      <c r="C1109" s="30"/>
      <c r="D1109" s="34" t="str">
        <f t="shared" si="171"/>
        <v/>
      </c>
      <c r="E1109" s="34" t="str">
        <f t="shared" si="172"/>
        <v/>
      </c>
      <c r="F1109" s="34" t="str">
        <f t="shared" si="173"/>
        <v/>
      </c>
      <c r="G1109" s="35" t="str">
        <f t="shared" si="174"/>
        <v/>
      </c>
      <c r="H1109" s="30"/>
      <c r="I1109" s="36" t="str">
        <f t="shared" si="175"/>
        <v/>
      </c>
      <c r="J1109" s="34" t="str">
        <f t="shared" si="176"/>
        <v/>
      </c>
      <c r="K1109" s="49"/>
      <c r="L1109" s="55" t="str">
        <f t="shared" si="177"/>
        <v/>
      </c>
      <c r="M1109" s="54" t="str">
        <f t="shared" si="178"/>
        <v/>
      </c>
      <c r="N1109" s="30"/>
      <c r="O1109" s="31"/>
      <c r="P1109" s="53"/>
      <c r="Q1109" s="33"/>
      <c r="R1109" s="54" t="str">
        <f t="shared" si="179"/>
        <v/>
      </c>
      <c r="S1109" s="30"/>
      <c r="T1109" s="33"/>
    </row>
    <row r="1110" spans="1:20" x14ac:dyDescent="0.25">
      <c r="A1110" s="30"/>
      <c r="B1110" s="37" t="str">
        <f t="shared" si="170"/>
        <v/>
      </c>
      <c r="C1110" s="30"/>
      <c r="D1110" s="34" t="str">
        <f t="shared" si="171"/>
        <v/>
      </c>
      <c r="E1110" s="34" t="str">
        <f t="shared" si="172"/>
        <v/>
      </c>
      <c r="F1110" s="34" t="str">
        <f t="shared" si="173"/>
        <v/>
      </c>
      <c r="G1110" s="35" t="str">
        <f t="shared" si="174"/>
        <v/>
      </c>
      <c r="H1110" s="30"/>
      <c r="I1110" s="36" t="str">
        <f t="shared" si="175"/>
        <v/>
      </c>
      <c r="J1110" s="34" t="str">
        <f t="shared" si="176"/>
        <v/>
      </c>
      <c r="K1110" s="49"/>
      <c r="L1110" s="55" t="str">
        <f t="shared" si="177"/>
        <v/>
      </c>
      <c r="M1110" s="54" t="str">
        <f t="shared" si="178"/>
        <v/>
      </c>
      <c r="N1110" s="30"/>
      <c r="O1110" s="31"/>
      <c r="P1110" s="53"/>
      <c r="Q1110" s="33"/>
      <c r="R1110" s="54" t="str">
        <f t="shared" si="179"/>
        <v/>
      </c>
      <c r="S1110" s="30"/>
      <c r="T1110" s="33"/>
    </row>
    <row r="1111" spans="1:20" x14ac:dyDescent="0.25">
      <c r="A1111" s="30"/>
      <c r="B1111" s="37" t="str">
        <f t="shared" si="170"/>
        <v/>
      </c>
      <c r="C1111" s="30"/>
      <c r="D1111" s="34" t="str">
        <f t="shared" si="171"/>
        <v/>
      </c>
      <c r="E1111" s="34" t="str">
        <f t="shared" si="172"/>
        <v/>
      </c>
      <c r="F1111" s="34" t="str">
        <f t="shared" si="173"/>
        <v/>
      </c>
      <c r="G1111" s="35" t="str">
        <f t="shared" si="174"/>
        <v/>
      </c>
      <c r="H1111" s="30"/>
      <c r="I1111" s="36" t="str">
        <f t="shared" si="175"/>
        <v/>
      </c>
      <c r="J1111" s="34" t="str">
        <f t="shared" si="176"/>
        <v/>
      </c>
      <c r="K1111" s="49"/>
      <c r="L1111" s="55" t="str">
        <f t="shared" si="177"/>
        <v/>
      </c>
      <c r="M1111" s="54" t="str">
        <f t="shared" si="178"/>
        <v/>
      </c>
      <c r="N1111" s="30"/>
      <c r="O1111" s="31"/>
      <c r="P1111" s="53"/>
      <c r="Q1111" s="33"/>
      <c r="R1111" s="54" t="str">
        <f t="shared" si="179"/>
        <v/>
      </c>
      <c r="S1111" s="30"/>
      <c r="T1111" s="33"/>
    </row>
    <row r="1112" spans="1:20" x14ac:dyDescent="0.25">
      <c r="A1112" s="30"/>
      <c r="B1112" s="37" t="str">
        <f t="shared" si="170"/>
        <v/>
      </c>
      <c r="C1112" s="30"/>
      <c r="D1112" s="34" t="str">
        <f t="shared" si="171"/>
        <v/>
      </c>
      <c r="E1112" s="34" t="str">
        <f t="shared" si="172"/>
        <v/>
      </c>
      <c r="F1112" s="34" t="str">
        <f t="shared" si="173"/>
        <v/>
      </c>
      <c r="G1112" s="35" t="str">
        <f t="shared" si="174"/>
        <v/>
      </c>
      <c r="H1112" s="30"/>
      <c r="I1112" s="36" t="str">
        <f t="shared" si="175"/>
        <v/>
      </c>
      <c r="J1112" s="34" t="str">
        <f t="shared" si="176"/>
        <v/>
      </c>
      <c r="K1112" s="49"/>
      <c r="L1112" s="55" t="str">
        <f t="shared" si="177"/>
        <v/>
      </c>
      <c r="M1112" s="54" t="str">
        <f t="shared" si="178"/>
        <v/>
      </c>
      <c r="N1112" s="30"/>
      <c r="O1112" s="31"/>
      <c r="P1112" s="53"/>
      <c r="Q1112" s="33"/>
      <c r="R1112" s="54" t="str">
        <f t="shared" si="179"/>
        <v/>
      </c>
      <c r="S1112" s="30"/>
      <c r="T1112" s="33"/>
    </row>
    <row r="1113" spans="1:20" x14ac:dyDescent="0.25">
      <c r="A1113" s="30"/>
      <c r="B1113" s="37" t="str">
        <f t="shared" si="170"/>
        <v/>
      </c>
      <c r="C1113" s="30"/>
      <c r="D1113" s="34" t="str">
        <f t="shared" si="171"/>
        <v/>
      </c>
      <c r="E1113" s="34" t="str">
        <f t="shared" si="172"/>
        <v/>
      </c>
      <c r="F1113" s="34" t="str">
        <f t="shared" si="173"/>
        <v/>
      </c>
      <c r="G1113" s="35" t="str">
        <f t="shared" si="174"/>
        <v/>
      </c>
      <c r="H1113" s="30"/>
      <c r="I1113" s="36" t="str">
        <f t="shared" si="175"/>
        <v/>
      </c>
      <c r="J1113" s="34" t="str">
        <f t="shared" si="176"/>
        <v/>
      </c>
      <c r="K1113" s="49"/>
      <c r="L1113" s="55" t="str">
        <f t="shared" si="177"/>
        <v/>
      </c>
      <c r="M1113" s="54" t="str">
        <f t="shared" si="178"/>
        <v/>
      </c>
      <c r="N1113" s="30"/>
      <c r="O1113" s="31"/>
      <c r="P1113" s="53"/>
      <c r="Q1113" s="33"/>
      <c r="R1113" s="54" t="str">
        <f t="shared" si="179"/>
        <v/>
      </c>
      <c r="S1113" s="30"/>
      <c r="T1113" s="33"/>
    </row>
    <row r="1114" spans="1:20" x14ac:dyDescent="0.25">
      <c r="A1114" s="30"/>
      <c r="B1114" s="37" t="str">
        <f t="shared" si="170"/>
        <v/>
      </c>
      <c r="C1114" s="30"/>
      <c r="D1114" s="34" t="str">
        <f t="shared" si="171"/>
        <v/>
      </c>
      <c r="E1114" s="34" t="str">
        <f t="shared" si="172"/>
        <v/>
      </c>
      <c r="F1114" s="34" t="str">
        <f t="shared" si="173"/>
        <v/>
      </c>
      <c r="G1114" s="35" t="str">
        <f t="shared" si="174"/>
        <v/>
      </c>
      <c r="H1114" s="30"/>
      <c r="I1114" s="36" t="str">
        <f t="shared" si="175"/>
        <v/>
      </c>
      <c r="J1114" s="34" t="str">
        <f t="shared" si="176"/>
        <v/>
      </c>
      <c r="K1114" s="49"/>
      <c r="L1114" s="55" t="str">
        <f t="shared" si="177"/>
        <v/>
      </c>
      <c r="M1114" s="54" t="str">
        <f t="shared" si="178"/>
        <v/>
      </c>
      <c r="N1114" s="30"/>
      <c r="O1114" s="31"/>
      <c r="P1114" s="53"/>
      <c r="Q1114" s="33"/>
      <c r="R1114" s="54" t="str">
        <f t="shared" si="179"/>
        <v/>
      </c>
      <c r="S1114" s="30"/>
      <c r="T1114" s="33"/>
    </row>
    <row r="1115" spans="1:20" x14ac:dyDescent="0.25">
      <c r="A1115" s="30"/>
      <c r="B1115" s="37" t="str">
        <f t="shared" si="170"/>
        <v/>
      </c>
      <c r="C1115" s="30"/>
      <c r="D1115" s="34" t="str">
        <f t="shared" si="171"/>
        <v/>
      </c>
      <c r="E1115" s="34" t="str">
        <f t="shared" si="172"/>
        <v/>
      </c>
      <c r="F1115" s="34" t="str">
        <f t="shared" si="173"/>
        <v/>
      </c>
      <c r="G1115" s="35" t="str">
        <f t="shared" si="174"/>
        <v/>
      </c>
      <c r="H1115" s="30"/>
      <c r="I1115" s="36" t="str">
        <f t="shared" si="175"/>
        <v/>
      </c>
      <c r="J1115" s="34" t="str">
        <f t="shared" si="176"/>
        <v/>
      </c>
      <c r="K1115" s="49"/>
      <c r="L1115" s="55" t="str">
        <f t="shared" si="177"/>
        <v/>
      </c>
      <c r="M1115" s="54" t="str">
        <f t="shared" si="178"/>
        <v/>
      </c>
      <c r="N1115" s="30"/>
      <c r="O1115" s="31"/>
      <c r="P1115" s="53"/>
      <c r="Q1115" s="33"/>
      <c r="R1115" s="54" t="str">
        <f t="shared" si="179"/>
        <v/>
      </c>
      <c r="S1115" s="30"/>
      <c r="T1115" s="33"/>
    </row>
    <row r="1116" spans="1:20" x14ac:dyDescent="0.25">
      <c r="A1116" s="30"/>
      <c r="B1116" s="37" t="str">
        <f t="shared" si="170"/>
        <v/>
      </c>
      <c r="C1116" s="30"/>
      <c r="D1116" s="34" t="str">
        <f t="shared" si="171"/>
        <v/>
      </c>
      <c r="E1116" s="34" t="str">
        <f t="shared" si="172"/>
        <v/>
      </c>
      <c r="F1116" s="34" t="str">
        <f t="shared" si="173"/>
        <v/>
      </c>
      <c r="G1116" s="35" t="str">
        <f t="shared" si="174"/>
        <v/>
      </c>
      <c r="H1116" s="30"/>
      <c r="I1116" s="36" t="str">
        <f t="shared" si="175"/>
        <v/>
      </c>
      <c r="J1116" s="34" t="str">
        <f t="shared" si="176"/>
        <v/>
      </c>
      <c r="K1116" s="49"/>
      <c r="L1116" s="55" t="str">
        <f t="shared" si="177"/>
        <v/>
      </c>
      <c r="M1116" s="54" t="str">
        <f t="shared" si="178"/>
        <v/>
      </c>
      <c r="N1116" s="30"/>
      <c r="O1116" s="31"/>
      <c r="P1116" s="53"/>
      <c r="Q1116" s="33"/>
      <c r="R1116" s="54" t="str">
        <f t="shared" si="179"/>
        <v/>
      </c>
      <c r="S1116" s="30"/>
      <c r="T1116" s="33"/>
    </row>
    <row r="1117" spans="1:20" x14ac:dyDescent="0.25">
      <c r="A1117" s="30"/>
      <c r="B1117" s="37" t="str">
        <f t="shared" si="170"/>
        <v/>
      </c>
      <c r="C1117" s="30"/>
      <c r="D1117" s="34" t="str">
        <f t="shared" si="171"/>
        <v/>
      </c>
      <c r="E1117" s="34" t="str">
        <f t="shared" si="172"/>
        <v/>
      </c>
      <c r="F1117" s="34" t="str">
        <f t="shared" si="173"/>
        <v/>
      </c>
      <c r="G1117" s="35" t="str">
        <f t="shared" si="174"/>
        <v/>
      </c>
      <c r="H1117" s="30"/>
      <c r="I1117" s="36" t="str">
        <f t="shared" si="175"/>
        <v/>
      </c>
      <c r="J1117" s="34" t="str">
        <f t="shared" si="176"/>
        <v/>
      </c>
      <c r="K1117" s="49"/>
      <c r="L1117" s="55" t="str">
        <f t="shared" si="177"/>
        <v/>
      </c>
      <c r="M1117" s="54" t="str">
        <f t="shared" si="178"/>
        <v/>
      </c>
      <c r="N1117" s="30"/>
      <c r="O1117" s="31"/>
      <c r="P1117" s="53"/>
      <c r="Q1117" s="33"/>
      <c r="R1117" s="54" t="str">
        <f t="shared" si="179"/>
        <v/>
      </c>
      <c r="S1117" s="30"/>
      <c r="T1117" s="33"/>
    </row>
    <row r="1118" spans="1:20" x14ac:dyDescent="0.25">
      <c r="A1118" s="30"/>
      <c r="B1118" s="37" t="str">
        <f t="shared" si="170"/>
        <v/>
      </c>
      <c r="C1118" s="30"/>
      <c r="D1118" s="34" t="str">
        <f t="shared" si="171"/>
        <v/>
      </c>
      <c r="E1118" s="34" t="str">
        <f t="shared" si="172"/>
        <v/>
      </c>
      <c r="F1118" s="34" t="str">
        <f t="shared" si="173"/>
        <v/>
      </c>
      <c r="G1118" s="35" t="str">
        <f t="shared" si="174"/>
        <v/>
      </c>
      <c r="H1118" s="30"/>
      <c r="I1118" s="36" t="str">
        <f t="shared" si="175"/>
        <v/>
      </c>
      <c r="J1118" s="34" t="str">
        <f t="shared" si="176"/>
        <v/>
      </c>
      <c r="K1118" s="49"/>
      <c r="L1118" s="55" t="str">
        <f t="shared" si="177"/>
        <v/>
      </c>
      <c r="M1118" s="54" t="str">
        <f t="shared" si="178"/>
        <v/>
      </c>
      <c r="N1118" s="30"/>
      <c r="O1118" s="31"/>
      <c r="P1118" s="53"/>
      <c r="Q1118" s="33"/>
      <c r="R1118" s="54" t="str">
        <f t="shared" si="179"/>
        <v/>
      </c>
      <c r="S1118" s="30"/>
      <c r="T1118" s="33"/>
    </row>
    <row r="1119" spans="1:20" x14ac:dyDescent="0.25">
      <c r="A1119" s="30"/>
      <c r="B1119" s="37" t="str">
        <f t="shared" si="170"/>
        <v/>
      </c>
      <c r="C1119" s="30"/>
      <c r="D1119" s="34" t="str">
        <f t="shared" si="171"/>
        <v/>
      </c>
      <c r="E1119" s="34" t="str">
        <f t="shared" si="172"/>
        <v/>
      </c>
      <c r="F1119" s="34" t="str">
        <f t="shared" si="173"/>
        <v/>
      </c>
      <c r="G1119" s="35" t="str">
        <f t="shared" si="174"/>
        <v/>
      </c>
      <c r="H1119" s="30"/>
      <c r="I1119" s="36" t="str">
        <f t="shared" si="175"/>
        <v/>
      </c>
      <c r="J1119" s="34" t="str">
        <f t="shared" si="176"/>
        <v/>
      </c>
      <c r="K1119" s="49"/>
      <c r="L1119" s="55" t="str">
        <f t="shared" si="177"/>
        <v/>
      </c>
      <c r="M1119" s="54" t="str">
        <f t="shared" si="178"/>
        <v/>
      </c>
      <c r="N1119" s="30"/>
      <c r="O1119" s="31"/>
      <c r="P1119" s="53"/>
      <c r="Q1119" s="33"/>
      <c r="R1119" s="54" t="str">
        <f t="shared" si="179"/>
        <v/>
      </c>
      <c r="S1119" s="30"/>
      <c r="T1119" s="33"/>
    </row>
    <row r="1120" spans="1:20" x14ac:dyDescent="0.25">
      <c r="A1120" s="30"/>
      <c r="B1120" s="37" t="str">
        <f t="shared" si="170"/>
        <v/>
      </c>
      <c r="C1120" s="30"/>
      <c r="D1120" s="34" t="str">
        <f t="shared" si="171"/>
        <v/>
      </c>
      <c r="E1120" s="34" t="str">
        <f t="shared" si="172"/>
        <v/>
      </c>
      <c r="F1120" s="34" t="str">
        <f t="shared" si="173"/>
        <v/>
      </c>
      <c r="G1120" s="35" t="str">
        <f t="shared" si="174"/>
        <v/>
      </c>
      <c r="H1120" s="30"/>
      <c r="I1120" s="36" t="str">
        <f t="shared" si="175"/>
        <v/>
      </c>
      <c r="J1120" s="34" t="str">
        <f t="shared" si="176"/>
        <v/>
      </c>
      <c r="K1120" s="49"/>
      <c r="L1120" s="55" t="str">
        <f t="shared" si="177"/>
        <v/>
      </c>
      <c r="M1120" s="54" t="str">
        <f t="shared" si="178"/>
        <v/>
      </c>
      <c r="N1120" s="30"/>
      <c r="O1120" s="31"/>
      <c r="P1120" s="53"/>
      <c r="Q1120" s="33"/>
      <c r="R1120" s="54" t="str">
        <f t="shared" si="179"/>
        <v/>
      </c>
      <c r="S1120" s="30"/>
      <c r="T1120" s="33"/>
    </row>
    <row r="1121" spans="1:20" x14ac:dyDescent="0.25">
      <c r="A1121" s="30"/>
      <c r="B1121" s="37" t="str">
        <f t="shared" si="170"/>
        <v/>
      </c>
      <c r="C1121" s="30"/>
      <c r="D1121" s="34" t="str">
        <f t="shared" si="171"/>
        <v/>
      </c>
      <c r="E1121" s="34" t="str">
        <f t="shared" si="172"/>
        <v/>
      </c>
      <c r="F1121" s="34" t="str">
        <f t="shared" si="173"/>
        <v/>
      </c>
      <c r="G1121" s="35" t="str">
        <f t="shared" si="174"/>
        <v/>
      </c>
      <c r="H1121" s="30"/>
      <c r="I1121" s="36" t="str">
        <f t="shared" si="175"/>
        <v/>
      </c>
      <c r="J1121" s="34" t="str">
        <f t="shared" si="176"/>
        <v/>
      </c>
      <c r="K1121" s="49"/>
      <c r="L1121" s="55" t="str">
        <f t="shared" si="177"/>
        <v/>
      </c>
      <c r="M1121" s="54" t="str">
        <f t="shared" si="178"/>
        <v/>
      </c>
      <c r="N1121" s="30"/>
      <c r="O1121" s="31"/>
      <c r="P1121" s="53"/>
      <c r="Q1121" s="33"/>
      <c r="R1121" s="54" t="str">
        <f t="shared" si="179"/>
        <v/>
      </c>
      <c r="S1121" s="30"/>
      <c r="T1121" s="33"/>
    </row>
    <row r="1122" spans="1:20" x14ac:dyDescent="0.25">
      <c r="A1122" s="30"/>
      <c r="B1122" s="37" t="str">
        <f t="shared" si="170"/>
        <v/>
      </c>
      <c r="C1122" s="30"/>
      <c r="D1122" s="34" t="str">
        <f t="shared" si="171"/>
        <v/>
      </c>
      <c r="E1122" s="34" t="str">
        <f t="shared" si="172"/>
        <v/>
      </c>
      <c r="F1122" s="34" t="str">
        <f t="shared" si="173"/>
        <v/>
      </c>
      <c r="G1122" s="35" t="str">
        <f t="shared" si="174"/>
        <v/>
      </c>
      <c r="H1122" s="30"/>
      <c r="I1122" s="36" t="str">
        <f t="shared" si="175"/>
        <v/>
      </c>
      <c r="J1122" s="34" t="str">
        <f t="shared" si="176"/>
        <v/>
      </c>
      <c r="K1122" s="49"/>
      <c r="L1122" s="55" t="str">
        <f t="shared" si="177"/>
        <v/>
      </c>
      <c r="M1122" s="54" t="str">
        <f t="shared" si="178"/>
        <v/>
      </c>
      <c r="N1122" s="30"/>
      <c r="O1122" s="31"/>
      <c r="P1122" s="53"/>
      <c r="Q1122" s="33"/>
      <c r="R1122" s="54" t="str">
        <f t="shared" si="179"/>
        <v/>
      </c>
      <c r="S1122" s="30"/>
      <c r="T1122" s="33"/>
    </row>
    <row r="1123" spans="1:20" x14ac:dyDescent="0.25">
      <c r="A1123" s="30"/>
      <c r="B1123" s="37" t="str">
        <f t="shared" si="170"/>
        <v/>
      </c>
      <c r="C1123" s="30"/>
      <c r="D1123" s="34" t="str">
        <f t="shared" si="171"/>
        <v/>
      </c>
      <c r="E1123" s="34" t="str">
        <f t="shared" si="172"/>
        <v/>
      </c>
      <c r="F1123" s="34" t="str">
        <f t="shared" si="173"/>
        <v/>
      </c>
      <c r="G1123" s="35" t="str">
        <f t="shared" si="174"/>
        <v/>
      </c>
      <c r="H1123" s="30"/>
      <c r="I1123" s="36" t="str">
        <f t="shared" si="175"/>
        <v/>
      </c>
      <c r="J1123" s="34" t="str">
        <f t="shared" si="176"/>
        <v/>
      </c>
      <c r="K1123" s="49"/>
      <c r="L1123" s="55" t="str">
        <f t="shared" si="177"/>
        <v/>
      </c>
      <c r="M1123" s="54" t="str">
        <f t="shared" si="178"/>
        <v/>
      </c>
      <c r="N1123" s="30"/>
      <c r="O1123" s="31"/>
      <c r="P1123" s="53"/>
      <c r="Q1123" s="33"/>
      <c r="R1123" s="54" t="str">
        <f t="shared" si="179"/>
        <v/>
      </c>
      <c r="S1123" s="30"/>
      <c r="T1123" s="33"/>
    </row>
    <row r="1124" spans="1:20" x14ac:dyDescent="0.25">
      <c r="A1124" s="30"/>
      <c r="B1124" s="37" t="str">
        <f t="shared" si="170"/>
        <v/>
      </c>
      <c r="C1124" s="30"/>
      <c r="D1124" s="34" t="str">
        <f t="shared" si="171"/>
        <v/>
      </c>
      <c r="E1124" s="34" t="str">
        <f t="shared" si="172"/>
        <v/>
      </c>
      <c r="F1124" s="34" t="str">
        <f t="shared" si="173"/>
        <v/>
      </c>
      <c r="G1124" s="35" t="str">
        <f t="shared" si="174"/>
        <v/>
      </c>
      <c r="H1124" s="30"/>
      <c r="I1124" s="36" t="str">
        <f t="shared" si="175"/>
        <v/>
      </c>
      <c r="J1124" s="34" t="str">
        <f t="shared" si="176"/>
        <v/>
      </c>
      <c r="K1124" s="49"/>
      <c r="L1124" s="55" t="str">
        <f t="shared" si="177"/>
        <v/>
      </c>
      <c r="M1124" s="54" t="str">
        <f t="shared" si="178"/>
        <v/>
      </c>
      <c r="N1124" s="30"/>
      <c r="O1124" s="31"/>
      <c r="P1124" s="53"/>
      <c r="Q1124" s="33"/>
      <c r="R1124" s="54" t="str">
        <f t="shared" si="179"/>
        <v/>
      </c>
      <c r="S1124" s="30"/>
      <c r="T1124" s="33"/>
    </row>
    <row r="1125" spans="1:20" x14ac:dyDescent="0.25">
      <c r="A1125" s="30"/>
      <c r="B1125" s="37" t="str">
        <f t="shared" si="170"/>
        <v/>
      </c>
      <c r="C1125" s="30"/>
      <c r="D1125" s="34" t="str">
        <f t="shared" si="171"/>
        <v/>
      </c>
      <c r="E1125" s="34" t="str">
        <f t="shared" si="172"/>
        <v/>
      </c>
      <c r="F1125" s="34" t="str">
        <f t="shared" si="173"/>
        <v/>
      </c>
      <c r="G1125" s="35" t="str">
        <f t="shared" si="174"/>
        <v/>
      </c>
      <c r="H1125" s="30"/>
      <c r="I1125" s="36" t="str">
        <f t="shared" si="175"/>
        <v/>
      </c>
      <c r="J1125" s="34" t="str">
        <f t="shared" si="176"/>
        <v/>
      </c>
      <c r="K1125" s="49"/>
      <c r="L1125" s="55" t="str">
        <f t="shared" si="177"/>
        <v/>
      </c>
      <c r="M1125" s="54" t="str">
        <f t="shared" si="178"/>
        <v/>
      </c>
      <c r="N1125" s="30"/>
      <c r="O1125" s="31"/>
      <c r="P1125" s="53"/>
      <c r="Q1125" s="33"/>
      <c r="R1125" s="54" t="str">
        <f t="shared" si="179"/>
        <v/>
      </c>
      <c r="S1125" s="30"/>
      <c r="T1125" s="33"/>
    </row>
    <row r="1126" spans="1:20" x14ac:dyDescent="0.25">
      <c r="A1126" s="30"/>
      <c r="B1126" s="37" t="str">
        <f t="shared" si="170"/>
        <v/>
      </c>
      <c r="C1126" s="30"/>
      <c r="D1126" s="34" t="str">
        <f t="shared" si="171"/>
        <v/>
      </c>
      <c r="E1126" s="34" t="str">
        <f t="shared" si="172"/>
        <v/>
      </c>
      <c r="F1126" s="34" t="str">
        <f t="shared" si="173"/>
        <v/>
      </c>
      <c r="G1126" s="35" t="str">
        <f t="shared" si="174"/>
        <v/>
      </c>
      <c r="H1126" s="30"/>
      <c r="I1126" s="36" t="str">
        <f t="shared" si="175"/>
        <v/>
      </c>
      <c r="J1126" s="34" t="str">
        <f t="shared" si="176"/>
        <v/>
      </c>
      <c r="K1126" s="49"/>
      <c r="L1126" s="55" t="str">
        <f t="shared" si="177"/>
        <v/>
      </c>
      <c r="M1126" s="54" t="str">
        <f t="shared" si="178"/>
        <v/>
      </c>
      <c r="N1126" s="30"/>
      <c r="O1126" s="31"/>
      <c r="P1126" s="53"/>
      <c r="Q1126" s="33"/>
      <c r="R1126" s="54" t="str">
        <f t="shared" si="179"/>
        <v/>
      </c>
      <c r="S1126" s="30"/>
      <c r="T1126" s="33"/>
    </row>
    <row r="1127" spans="1:20" x14ac:dyDescent="0.25">
      <c r="A1127" s="30"/>
      <c r="B1127" s="37" t="str">
        <f t="shared" si="170"/>
        <v/>
      </c>
      <c r="C1127" s="30"/>
      <c r="D1127" s="34" t="str">
        <f t="shared" si="171"/>
        <v/>
      </c>
      <c r="E1127" s="34" t="str">
        <f t="shared" si="172"/>
        <v/>
      </c>
      <c r="F1127" s="34" t="str">
        <f t="shared" si="173"/>
        <v/>
      </c>
      <c r="G1127" s="35" t="str">
        <f t="shared" si="174"/>
        <v/>
      </c>
      <c r="H1127" s="30"/>
      <c r="I1127" s="36" t="str">
        <f t="shared" si="175"/>
        <v/>
      </c>
      <c r="J1127" s="34" t="str">
        <f t="shared" si="176"/>
        <v/>
      </c>
      <c r="K1127" s="49"/>
      <c r="L1127" s="55" t="str">
        <f t="shared" si="177"/>
        <v/>
      </c>
      <c r="M1127" s="54" t="str">
        <f t="shared" si="178"/>
        <v/>
      </c>
      <c r="N1127" s="30"/>
      <c r="O1127" s="31"/>
      <c r="P1127" s="53"/>
      <c r="Q1127" s="33"/>
      <c r="R1127" s="54" t="str">
        <f t="shared" si="179"/>
        <v/>
      </c>
      <c r="S1127" s="30"/>
      <c r="T1127" s="33"/>
    </row>
    <row r="1128" spans="1:20" x14ac:dyDescent="0.25">
      <c r="A1128" s="30"/>
      <c r="B1128" s="37" t="str">
        <f t="shared" si="170"/>
        <v/>
      </c>
      <c r="C1128" s="30"/>
      <c r="D1128" s="34" t="str">
        <f t="shared" si="171"/>
        <v/>
      </c>
      <c r="E1128" s="34" t="str">
        <f t="shared" si="172"/>
        <v/>
      </c>
      <c r="F1128" s="34" t="str">
        <f t="shared" si="173"/>
        <v/>
      </c>
      <c r="G1128" s="35" t="str">
        <f t="shared" si="174"/>
        <v/>
      </c>
      <c r="H1128" s="30"/>
      <c r="I1128" s="36" t="str">
        <f t="shared" si="175"/>
        <v/>
      </c>
      <c r="J1128" s="34" t="str">
        <f t="shared" si="176"/>
        <v/>
      </c>
      <c r="K1128" s="49"/>
      <c r="L1128" s="55" t="str">
        <f t="shared" si="177"/>
        <v/>
      </c>
      <c r="M1128" s="54" t="str">
        <f t="shared" si="178"/>
        <v/>
      </c>
      <c r="N1128" s="30"/>
      <c r="O1128" s="31"/>
      <c r="P1128" s="53"/>
      <c r="Q1128" s="33"/>
      <c r="R1128" s="54" t="str">
        <f t="shared" si="179"/>
        <v/>
      </c>
      <c r="S1128" s="30"/>
      <c r="T1128" s="33"/>
    </row>
    <row r="1129" spans="1:20" x14ac:dyDescent="0.25">
      <c r="A1129" s="30"/>
      <c r="B1129" s="37" t="str">
        <f t="shared" si="170"/>
        <v/>
      </c>
      <c r="C1129" s="30"/>
      <c r="D1129" s="34" t="str">
        <f t="shared" si="171"/>
        <v/>
      </c>
      <c r="E1129" s="34" t="str">
        <f t="shared" si="172"/>
        <v/>
      </c>
      <c r="F1129" s="34" t="str">
        <f t="shared" si="173"/>
        <v/>
      </c>
      <c r="G1129" s="35" t="str">
        <f t="shared" si="174"/>
        <v/>
      </c>
      <c r="H1129" s="30"/>
      <c r="I1129" s="36" t="str">
        <f t="shared" si="175"/>
        <v/>
      </c>
      <c r="J1129" s="34" t="str">
        <f t="shared" si="176"/>
        <v/>
      </c>
      <c r="K1129" s="49"/>
      <c r="L1129" s="55" t="str">
        <f t="shared" si="177"/>
        <v/>
      </c>
      <c r="M1129" s="54" t="str">
        <f t="shared" si="178"/>
        <v/>
      </c>
      <c r="N1129" s="30"/>
      <c r="O1129" s="31"/>
      <c r="P1129" s="53"/>
      <c r="Q1129" s="33"/>
      <c r="R1129" s="54" t="str">
        <f t="shared" si="179"/>
        <v/>
      </c>
      <c r="S1129" s="30"/>
      <c r="T1129" s="33"/>
    </row>
    <row r="1130" spans="1:20" x14ac:dyDescent="0.25">
      <c r="A1130" s="30"/>
      <c r="B1130" s="37" t="str">
        <f t="shared" si="170"/>
        <v/>
      </c>
      <c r="C1130" s="30"/>
      <c r="D1130" s="34" t="str">
        <f t="shared" si="171"/>
        <v/>
      </c>
      <c r="E1130" s="34" t="str">
        <f t="shared" si="172"/>
        <v/>
      </c>
      <c r="F1130" s="34" t="str">
        <f t="shared" si="173"/>
        <v/>
      </c>
      <c r="G1130" s="35" t="str">
        <f t="shared" si="174"/>
        <v/>
      </c>
      <c r="H1130" s="30"/>
      <c r="I1130" s="36" t="str">
        <f t="shared" si="175"/>
        <v/>
      </c>
      <c r="J1130" s="34" t="str">
        <f t="shared" si="176"/>
        <v/>
      </c>
      <c r="K1130" s="49"/>
      <c r="L1130" s="55" t="str">
        <f t="shared" si="177"/>
        <v/>
      </c>
      <c r="M1130" s="54" t="str">
        <f t="shared" si="178"/>
        <v/>
      </c>
      <c r="N1130" s="30"/>
      <c r="O1130" s="31"/>
      <c r="P1130" s="53"/>
      <c r="Q1130" s="33"/>
      <c r="R1130" s="54" t="str">
        <f t="shared" si="179"/>
        <v/>
      </c>
      <c r="S1130" s="30"/>
      <c r="T1130" s="33"/>
    </row>
    <row r="1131" spans="1:20" x14ac:dyDescent="0.25">
      <c r="A1131" s="30"/>
      <c r="B1131" s="37" t="str">
        <f t="shared" si="170"/>
        <v/>
      </c>
      <c r="C1131" s="30"/>
      <c r="D1131" s="34" t="str">
        <f t="shared" si="171"/>
        <v/>
      </c>
      <c r="E1131" s="34" t="str">
        <f t="shared" si="172"/>
        <v/>
      </c>
      <c r="F1131" s="34" t="str">
        <f t="shared" si="173"/>
        <v/>
      </c>
      <c r="G1131" s="35" t="str">
        <f t="shared" si="174"/>
        <v/>
      </c>
      <c r="H1131" s="30"/>
      <c r="I1131" s="36" t="str">
        <f t="shared" si="175"/>
        <v/>
      </c>
      <c r="J1131" s="34" t="str">
        <f t="shared" si="176"/>
        <v/>
      </c>
      <c r="K1131" s="49"/>
      <c r="L1131" s="55" t="str">
        <f t="shared" si="177"/>
        <v/>
      </c>
      <c r="M1131" s="54" t="str">
        <f t="shared" si="178"/>
        <v/>
      </c>
      <c r="N1131" s="30"/>
      <c r="O1131" s="31"/>
      <c r="P1131" s="53"/>
      <c r="Q1131" s="33"/>
      <c r="R1131" s="54" t="str">
        <f t="shared" si="179"/>
        <v/>
      </c>
      <c r="S1131" s="30"/>
      <c r="T1131" s="33"/>
    </row>
    <row r="1132" spans="1:20" x14ac:dyDescent="0.25">
      <c r="A1132" s="30"/>
      <c r="B1132" s="37" t="str">
        <f t="shared" si="170"/>
        <v/>
      </c>
      <c r="C1132" s="30"/>
      <c r="D1132" s="34" t="str">
        <f t="shared" si="171"/>
        <v/>
      </c>
      <c r="E1132" s="34" t="str">
        <f t="shared" si="172"/>
        <v/>
      </c>
      <c r="F1132" s="34" t="str">
        <f t="shared" si="173"/>
        <v/>
      </c>
      <c r="G1132" s="35" t="str">
        <f t="shared" si="174"/>
        <v/>
      </c>
      <c r="H1132" s="30"/>
      <c r="I1132" s="36" t="str">
        <f t="shared" si="175"/>
        <v/>
      </c>
      <c r="J1132" s="34" t="str">
        <f t="shared" si="176"/>
        <v/>
      </c>
      <c r="K1132" s="49"/>
      <c r="L1132" s="55" t="str">
        <f t="shared" si="177"/>
        <v/>
      </c>
      <c r="M1132" s="54" t="str">
        <f t="shared" si="178"/>
        <v/>
      </c>
      <c r="N1132" s="30"/>
      <c r="O1132" s="31"/>
      <c r="P1132" s="53"/>
      <c r="Q1132" s="33"/>
      <c r="R1132" s="54" t="str">
        <f t="shared" si="179"/>
        <v/>
      </c>
      <c r="S1132" s="30"/>
      <c r="T1132" s="33"/>
    </row>
    <row r="1133" spans="1:20" x14ac:dyDescent="0.25">
      <c r="A1133" s="30"/>
      <c r="B1133" s="37" t="str">
        <f t="shared" si="170"/>
        <v/>
      </c>
      <c r="C1133" s="30"/>
      <c r="D1133" s="34" t="str">
        <f t="shared" si="171"/>
        <v/>
      </c>
      <c r="E1133" s="34" t="str">
        <f t="shared" si="172"/>
        <v/>
      </c>
      <c r="F1133" s="34" t="str">
        <f t="shared" si="173"/>
        <v/>
      </c>
      <c r="G1133" s="35" t="str">
        <f t="shared" si="174"/>
        <v/>
      </c>
      <c r="H1133" s="30"/>
      <c r="I1133" s="36" t="str">
        <f t="shared" si="175"/>
        <v/>
      </c>
      <c r="J1133" s="34" t="str">
        <f t="shared" si="176"/>
        <v/>
      </c>
      <c r="K1133" s="49"/>
      <c r="L1133" s="55" t="str">
        <f t="shared" si="177"/>
        <v/>
      </c>
      <c r="M1133" s="54" t="str">
        <f t="shared" si="178"/>
        <v/>
      </c>
      <c r="N1133" s="30"/>
      <c r="O1133" s="31"/>
      <c r="P1133" s="53"/>
      <c r="Q1133" s="33"/>
      <c r="R1133" s="54" t="str">
        <f t="shared" si="179"/>
        <v/>
      </c>
      <c r="S1133" s="30"/>
      <c r="T1133" s="33"/>
    </row>
    <row r="1134" spans="1:20" x14ac:dyDescent="0.25">
      <c r="A1134" s="30"/>
      <c r="B1134" s="37" t="str">
        <f t="shared" si="170"/>
        <v/>
      </c>
      <c r="C1134" s="30"/>
      <c r="D1134" s="34" t="str">
        <f t="shared" si="171"/>
        <v/>
      </c>
      <c r="E1134" s="34" t="str">
        <f t="shared" si="172"/>
        <v/>
      </c>
      <c r="F1134" s="34" t="str">
        <f t="shared" si="173"/>
        <v/>
      </c>
      <c r="G1134" s="35" t="str">
        <f t="shared" si="174"/>
        <v/>
      </c>
      <c r="H1134" s="30"/>
      <c r="I1134" s="36" t="str">
        <f t="shared" si="175"/>
        <v/>
      </c>
      <c r="J1134" s="34" t="str">
        <f t="shared" si="176"/>
        <v/>
      </c>
      <c r="K1134" s="49"/>
      <c r="L1134" s="55" t="str">
        <f t="shared" si="177"/>
        <v/>
      </c>
      <c r="M1134" s="54" t="str">
        <f t="shared" si="178"/>
        <v/>
      </c>
      <c r="N1134" s="30"/>
      <c r="O1134" s="31"/>
      <c r="P1134" s="53"/>
      <c r="Q1134" s="33"/>
      <c r="R1134" s="54" t="str">
        <f t="shared" si="179"/>
        <v/>
      </c>
      <c r="S1134" s="30"/>
      <c r="T1134" s="33"/>
    </row>
    <row r="1135" spans="1:20" x14ac:dyDescent="0.25">
      <c r="A1135" s="30"/>
      <c r="B1135" s="37" t="str">
        <f t="shared" si="170"/>
        <v/>
      </c>
      <c r="C1135" s="30"/>
      <c r="D1135" s="34" t="str">
        <f t="shared" si="171"/>
        <v/>
      </c>
      <c r="E1135" s="34" t="str">
        <f t="shared" si="172"/>
        <v/>
      </c>
      <c r="F1135" s="34" t="str">
        <f t="shared" si="173"/>
        <v/>
      </c>
      <c r="G1135" s="35" t="str">
        <f t="shared" si="174"/>
        <v/>
      </c>
      <c r="H1135" s="30"/>
      <c r="I1135" s="36" t="str">
        <f t="shared" si="175"/>
        <v/>
      </c>
      <c r="J1135" s="34" t="str">
        <f t="shared" si="176"/>
        <v/>
      </c>
      <c r="K1135" s="49"/>
      <c r="L1135" s="55" t="str">
        <f t="shared" si="177"/>
        <v/>
      </c>
      <c r="M1135" s="54" t="str">
        <f t="shared" si="178"/>
        <v/>
      </c>
      <c r="N1135" s="30"/>
      <c r="O1135" s="31"/>
      <c r="P1135" s="53"/>
      <c r="Q1135" s="33"/>
      <c r="R1135" s="54" t="str">
        <f t="shared" si="179"/>
        <v/>
      </c>
      <c r="S1135" s="30"/>
      <c r="T1135" s="33"/>
    </row>
    <row r="1136" spans="1:20" x14ac:dyDescent="0.25">
      <c r="A1136" s="30"/>
      <c r="B1136" s="37" t="str">
        <f t="shared" si="170"/>
        <v/>
      </c>
      <c r="C1136" s="30"/>
      <c r="D1136" s="34" t="str">
        <f t="shared" si="171"/>
        <v/>
      </c>
      <c r="E1136" s="34" t="str">
        <f t="shared" si="172"/>
        <v/>
      </c>
      <c r="F1136" s="34" t="str">
        <f t="shared" si="173"/>
        <v/>
      </c>
      <c r="G1136" s="35" t="str">
        <f t="shared" si="174"/>
        <v/>
      </c>
      <c r="H1136" s="30"/>
      <c r="I1136" s="36" t="str">
        <f t="shared" si="175"/>
        <v/>
      </c>
      <c r="J1136" s="34" t="str">
        <f t="shared" si="176"/>
        <v/>
      </c>
      <c r="K1136" s="49"/>
      <c r="L1136" s="55" t="str">
        <f t="shared" si="177"/>
        <v/>
      </c>
      <c r="M1136" s="54" t="str">
        <f t="shared" si="178"/>
        <v/>
      </c>
      <c r="N1136" s="30"/>
      <c r="O1136" s="31"/>
      <c r="P1136" s="53"/>
      <c r="Q1136" s="33"/>
      <c r="R1136" s="54" t="str">
        <f t="shared" si="179"/>
        <v/>
      </c>
      <c r="S1136" s="30"/>
      <c r="T1136" s="33"/>
    </row>
    <row r="1137" spans="1:20" x14ac:dyDescent="0.25">
      <c r="A1137" s="30"/>
      <c r="B1137" s="37" t="str">
        <f t="shared" si="170"/>
        <v/>
      </c>
      <c r="C1137" s="30"/>
      <c r="D1137" s="34" t="str">
        <f t="shared" si="171"/>
        <v/>
      </c>
      <c r="E1137" s="34" t="str">
        <f t="shared" si="172"/>
        <v/>
      </c>
      <c r="F1137" s="34" t="str">
        <f t="shared" si="173"/>
        <v/>
      </c>
      <c r="G1137" s="35" t="str">
        <f t="shared" si="174"/>
        <v/>
      </c>
      <c r="H1137" s="30"/>
      <c r="I1137" s="36" t="str">
        <f t="shared" si="175"/>
        <v/>
      </c>
      <c r="J1137" s="34" t="str">
        <f t="shared" si="176"/>
        <v/>
      </c>
      <c r="K1137" s="49"/>
      <c r="L1137" s="55" t="str">
        <f t="shared" si="177"/>
        <v/>
      </c>
      <c r="M1137" s="54" t="str">
        <f t="shared" si="178"/>
        <v/>
      </c>
      <c r="N1137" s="30"/>
      <c r="O1137" s="31"/>
      <c r="P1137" s="53"/>
      <c r="Q1137" s="33"/>
      <c r="R1137" s="54" t="str">
        <f t="shared" si="179"/>
        <v/>
      </c>
      <c r="S1137" s="30"/>
      <c r="T1137" s="33"/>
    </row>
    <row r="1138" spans="1:20" x14ac:dyDescent="0.25">
      <c r="A1138" s="30"/>
      <c r="B1138" s="37" t="str">
        <f t="shared" si="170"/>
        <v/>
      </c>
      <c r="C1138" s="30"/>
      <c r="D1138" s="34" t="str">
        <f t="shared" si="171"/>
        <v/>
      </c>
      <c r="E1138" s="34" t="str">
        <f t="shared" si="172"/>
        <v/>
      </c>
      <c r="F1138" s="34" t="str">
        <f t="shared" si="173"/>
        <v/>
      </c>
      <c r="G1138" s="35" t="str">
        <f t="shared" si="174"/>
        <v/>
      </c>
      <c r="H1138" s="30"/>
      <c r="I1138" s="36" t="str">
        <f t="shared" si="175"/>
        <v/>
      </c>
      <c r="J1138" s="34" t="str">
        <f t="shared" si="176"/>
        <v/>
      </c>
      <c r="K1138" s="49"/>
      <c r="L1138" s="55" t="str">
        <f t="shared" si="177"/>
        <v/>
      </c>
      <c r="M1138" s="54" t="str">
        <f t="shared" si="178"/>
        <v/>
      </c>
      <c r="N1138" s="30"/>
      <c r="O1138" s="31"/>
      <c r="P1138" s="53"/>
      <c r="Q1138" s="33"/>
      <c r="R1138" s="54" t="str">
        <f t="shared" si="179"/>
        <v/>
      </c>
      <c r="S1138" s="30"/>
      <c r="T1138" s="33"/>
    </row>
    <row r="1139" spans="1:20" x14ac:dyDescent="0.25">
      <c r="A1139" s="30"/>
      <c r="B1139" s="37" t="str">
        <f t="shared" si="170"/>
        <v/>
      </c>
      <c r="C1139" s="30"/>
      <c r="D1139" s="34" t="str">
        <f t="shared" si="171"/>
        <v/>
      </c>
      <c r="E1139" s="34" t="str">
        <f t="shared" si="172"/>
        <v/>
      </c>
      <c r="F1139" s="34" t="str">
        <f t="shared" si="173"/>
        <v/>
      </c>
      <c r="G1139" s="35" t="str">
        <f t="shared" si="174"/>
        <v/>
      </c>
      <c r="H1139" s="30"/>
      <c r="I1139" s="36" t="str">
        <f t="shared" si="175"/>
        <v/>
      </c>
      <c r="J1139" s="34" t="str">
        <f t="shared" si="176"/>
        <v/>
      </c>
      <c r="K1139" s="49"/>
      <c r="L1139" s="55" t="str">
        <f t="shared" si="177"/>
        <v/>
      </c>
      <c r="M1139" s="54" t="str">
        <f t="shared" si="178"/>
        <v/>
      </c>
      <c r="N1139" s="30"/>
      <c r="O1139" s="31"/>
      <c r="P1139" s="53"/>
      <c r="Q1139" s="33"/>
      <c r="R1139" s="54" t="str">
        <f t="shared" si="179"/>
        <v/>
      </c>
      <c r="S1139" s="30"/>
      <c r="T1139" s="33"/>
    </row>
    <row r="1140" spans="1:20" x14ac:dyDescent="0.25">
      <c r="A1140" s="30"/>
      <c r="B1140" s="37" t="str">
        <f t="shared" si="170"/>
        <v/>
      </c>
      <c r="C1140" s="30"/>
      <c r="D1140" s="34" t="str">
        <f t="shared" si="171"/>
        <v/>
      </c>
      <c r="E1140" s="34" t="str">
        <f t="shared" si="172"/>
        <v/>
      </c>
      <c r="F1140" s="34" t="str">
        <f t="shared" si="173"/>
        <v/>
      </c>
      <c r="G1140" s="35" t="str">
        <f t="shared" si="174"/>
        <v/>
      </c>
      <c r="H1140" s="30"/>
      <c r="I1140" s="36" t="str">
        <f t="shared" si="175"/>
        <v/>
      </c>
      <c r="J1140" s="34" t="str">
        <f t="shared" si="176"/>
        <v/>
      </c>
      <c r="K1140" s="49"/>
      <c r="L1140" s="55" t="str">
        <f t="shared" si="177"/>
        <v/>
      </c>
      <c r="M1140" s="54" t="str">
        <f t="shared" si="178"/>
        <v/>
      </c>
      <c r="N1140" s="30"/>
      <c r="O1140" s="31"/>
      <c r="P1140" s="53"/>
      <c r="Q1140" s="33"/>
      <c r="R1140" s="54" t="str">
        <f t="shared" si="179"/>
        <v/>
      </c>
      <c r="S1140" s="30"/>
      <c r="T1140" s="33"/>
    </row>
    <row r="1141" spans="1:20" x14ac:dyDescent="0.25">
      <c r="A1141" s="30"/>
      <c r="B1141" s="37" t="str">
        <f t="shared" ref="B1141:B1204" si="180">IF($G1141="","",EOMONTH($G1141,0))</f>
        <v/>
      </c>
      <c r="C1141" s="30"/>
      <c r="D1141" s="34" t="str">
        <f t="shared" ref="D1141:D1204" si="181">IFERROR(IF($C1141="","",VLOOKUP($C1141,CAD_TAB,2,FALSE)),"")</f>
        <v/>
      </c>
      <c r="E1141" s="34" t="str">
        <f t="shared" ref="E1141:E1204" si="182">IFERROR(IF($C1141="","",VLOOKUP($C1141,CAD_TAB,3,FALSE)),"")</f>
        <v/>
      </c>
      <c r="F1141" s="34" t="str">
        <f t="shared" ref="F1141:F1204" si="183">IFERROR(IF($C1141="","",VLOOKUP($C1141,OS_TAB,7,FALSE)),"")</f>
        <v/>
      </c>
      <c r="G1141" s="35" t="str">
        <f t="shared" ref="G1141:G1204" si="184">IFERROR(IF($C1141="","",VLOOKUP($C1141,OS_TAB,10,FALSE)),"")</f>
        <v/>
      </c>
      <c r="H1141" s="30"/>
      <c r="I1141" s="36" t="str">
        <f t="shared" ref="I1141:I1204" si="185">IFERROR(IF($H1141="","",VLOOKUP($H1141,PRE_TAB,5,FALSE)),"CÓDIGO NÃO ENCONTRADO")</f>
        <v/>
      </c>
      <c r="J1141" s="34" t="str">
        <f t="shared" ref="J1141:J1204" si="186">IFERROR(IF($H1141="","",VLOOKUP($H1141,PRE_TAB,7,FALSE)),"")</f>
        <v/>
      </c>
      <c r="K1141" s="49"/>
      <c r="L1141" s="55" t="str">
        <f t="shared" ref="L1141:L1204" si="187">IFERROR(IF($H1141="","",VLOOKUP($H1141,PRE_TAB,8,FALSE)),0)</f>
        <v/>
      </c>
      <c r="M1141" s="54" t="str">
        <f t="shared" ref="M1141:M1204" si="188">IF($H1141="","",ROUND($K1141*$L1141,2))</f>
        <v/>
      </c>
      <c r="N1141" s="30"/>
      <c r="O1141" s="31"/>
      <c r="P1141" s="53"/>
      <c r="Q1141" s="33"/>
      <c r="R1141" s="54" t="str">
        <f t="shared" ref="R1141:R1204" si="189">IF($H1141="","",$M1141-$P1141)</f>
        <v/>
      </c>
      <c r="S1141" s="30"/>
      <c r="T1141" s="33"/>
    </row>
    <row r="1142" spans="1:20" x14ac:dyDescent="0.25">
      <c r="A1142" s="30"/>
      <c r="B1142" s="37" t="str">
        <f t="shared" si="180"/>
        <v/>
      </c>
      <c r="C1142" s="30"/>
      <c r="D1142" s="34" t="str">
        <f t="shared" si="181"/>
        <v/>
      </c>
      <c r="E1142" s="34" t="str">
        <f t="shared" si="182"/>
        <v/>
      </c>
      <c r="F1142" s="34" t="str">
        <f t="shared" si="183"/>
        <v/>
      </c>
      <c r="G1142" s="35" t="str">
        <f t="shared" si="184"/>
        <v/>
      </c>
      <c r="H1142" s="30"/>
      <c r="I1142" s="36" t="str">
        <f t="shared" si="185"/>
        <v/>
      </c>
      <c r="J1142" s="34" t="str">
        <f t="shared" si="186"/>
        <v/>
      </c>
      <c r="K1142" s="49"/>
      <c r="L1142" s="55" t="str">
        <f t="shared" si="187"/>
        <v/>
      </c>
      <c r="M1142" s="54" t="str">
        <f t="shared" si="188"/>
        <v/>
      </c>
      <c r="N1142" s="30"/>
      <c r="O1142" s="31"/>
      <c r="P1142" s="53"/>
      <c r="Q1142" s="33"/>
      <c r="R1142" s="54" t="str">
        <f t="shared" si="189"/>
        <v/>
      </c>
      <c r="S1142" s="30"/>
      <c r="T1142" s="33"/>
    </row>
    <row r="1143" spans="1:20" x14ac:dyDescent="0.25">
      <c r="A1143" s="30"/>
      <c r="B1143" s="37" t="str">
        <f t="shared" si="180"/>
        <v/>
      </c>
      <c r="C1143" s="30"/>
      <c r="D1143" s="34" t="str">
        <f t="shared" si="181"/>
        <v/>
      </c>
      <c r="E1143" s="34" t="str">
        <f t="shared" si="182"/>
        <v/>
      </c>
      <c r="F1143" s="34" t="str">
        <f t="shared" si="183"/>
        <v/>
      </c>
      <c r="G1143" s="35" t="str">
        <f t="shared" si="184"/>
        <v/>
      </c>
      <c r="H1143" s="30"/>
      <c r="I1143" s="36" t="str">
        <f t="shared" si="185"/>
        <v/>
      </c>
      <c r="J1143" s="34" t="str">
        <f t="shared" si="186"/>
        <v/>
      </c>
      <c r="K1143" s="49"/>
      <c r="L1143" s="55" t="str">
        <f t="shared" si="187"/>
        <v/>
      </c>
      <c r="M1143" s="54" t="str">
        <f t="shared" si="188"/>
        <v/>
      </c>
      <c r="N1143" s="30"/>
      <c r="O1143" s="31"/>
      <c r="P1143" s="53"/>
      <c r="Q1143" s="33"/>
      <c r="R1143" s="54" t="str">
        <f t="shared" si="189"/>
        <v/>
      </c>
      <c r="S1143" s="30"/>
      <c r="T1143" s="33"/>
    </row>
    <row r="1144" spans="1:20" x14ac:dyDescent="0.25">
      <c r="A1144" s="30"/>
      <c r="B1144" s="37" t="str">
        <f t="shared" si="180"/>
        <v/>
      </c>
      <c r="C1144" s="30"/>
      <c r="D1144" s="34" t="str">
        <f t="shared" si="181"/>
        <v/>
      </c>
      <c r="E1144" s="34" t="str">
        <f t="shared" si="182"/>
        <v/>
      </c>
      <c r="F1144" s="34" t="str">
        <f t="shared" si="183"/>
        <v/>
      </c>
      <c r="G1144" s="35" t="str">
        <f t="shared" si="184"/>
        <v/>
      </c>
      <c r="H1144" s="30"/>
      <c r="I1144" s="36" t="str">
        <f t="shared" si="185"/>
        <v/>
      </c>
      <c r="J1144" s="34" t="str">
        <f t="shared" si="186"/>
        <v/>
      </c>
      <c r="K1144" s="49"/>
      <c r="L1144" s="55" t="str">
        <f t="shared" si="187"/>
        <v/>
      </c>
      <c r="M1144" s="54" t="str">
        <f t="shared" si="188"/>
        <v/>
      </c>
      <c r="N1144" s="30"/>
      <c r="O1144" s="31"/>
      <c r="P1144" s="53"/>
      <c r="Q1144" s="33"/>
      <c r="R1144" s="54" t="str">
        <f t="shared" si="189"/>
        <v/>
      </c>
      <c r="S1144" s="30"/>
      <c r="T1144" s="33"/>
    </row>
    <row r="1145" spans="1:20" x14ac:dyDescent="0.25">
      <c r="A1145" s="30"/>
      <c r="B1145" s="37" t="str">
        <f t="shared" si="180"/>
        <v/>
      </c>
      <c r="C1145" s="30"/>
      <c r="D1145" s="34" t="str">
        <f t="shared" si="181"/>
        <v/>
      </c>
      <c r="E1145" s="34" t="str">
        <f t="shared" si="182"/>
        <v/>
      </c>
      <c r="F1145" s="34" t="str">
        <f t="shared" si="183"/>
        <v/>
      </c>
      <c r="G1145" s="35" t="str">
        <f t="shared" si="184"/>
        <v/>
      </c>
      <c r="H1145" s="30"/>
      <c r="I1145" s="36" t="str">
        <f t="shared" si="185"/>
        <v/>
      </c>
      <c r="J1145" s="34" t="str">
        <f t="shared" si="186"/>
        <v/>
      </c>
      <c r="K1145" s="49"/>
      <c r="L1145" s="55" t="str">
        <f t="shared" si="187"/>
        <v/>
      </c>
      <c r="M1145" s="54" t="str">
        <f t="shared" si="188"/>
        <v/>
      </c>
      <c r="N1145" s="30"/>
      <c r="O1145" s="31"/>
      <c r="P1145" s="53"/>
      <c r="Q1145" s="33"/>
      <c r="R1145" s="54" t="str">
        <f t="shared" si="189"/>
        <v/>
      </c>
      <c r="S1145" s="30"/>
      <c r="T1145" s="33"/>
    </row>
    <row r="1146" spans="1:20" x14ac:dyDescent="0.25">
      <c r="A1146" s="30"/>
      <c r="B1146" s="37" t="str">
        <f t="shared" si="180"/>
        <v/>
      </c>
      <c r="C1146" s="30"/>
      <c r="D1146" s="34" t="str">
        <f t="shared" si="181"/>
        <v/>
      </c>
      <c r="E1146" s="34" t="str">
        <f t="shared" si="182"/>
        <v/>
      </c>
      <c r="F1146" s="34" t="str">
        <f t="shared" si="183"/>
        <v/>
      </c>
      <c r="G1146" s="35" t="str">
        <f t="shared" si="184"/>
        <v/>
      </c>
      <c r="H1146" s="30"/>
      <c r="I1146" s="36" t="str">
        <f t="shared" si="185"/>
        <v/>
      </c>
      <c r="J1146" s="34" t="str">
        <f t="shared" si="186"/>
        <v/>
      </c>
      <c r="K1146" s="49"/>
      <c r="L1146" s="55" t="str">
        <f t="shared" si="187"/>
        <v/>
      </c>
      <c r="M1146" s="54" t="str">
        <f t="shared" si="188"/>
        <v/>
      </c>
      <c r="N1146" s="30"/>
      <c r="O1146" s="31"/>
      <c r="P1146" s="53"/>
      <c r="Q1146" s="33"/>
      <c r="R1146" s="54" t="str">
        <f t="shared" si="189"/>
        <v/>
      </c>
      <c r="S1146" s="30"/>
      <c r="T1146" s="33"/>
    </row>
    <row r="1147" spans="1:20" x14ac:dyDescent="0.25">
      <c r="A1147" s="30"/>
      <c r="B1147" s="37" t="str">
        <f t="shared" si="180"/>
        <v/>
      </c>
      <c r="C1147" s="30"/>
      <c r="D1147" s="34" t="str">
        <f t="shared" si="181"/>
        <v/>
      </c>
      <c r="E1147" s="34" t="str">
        <f t="shared" si="182"/>
        <v/>
      </c>
      <c r="F1147" s="34" t="str">
        <f t="shared" si="183"/>
        <v/>
      </c>
      <c r="G1147" s="35" t="str">
        <f t="shared" si="184"/>
        <v/>
      </c>
      <c r="H1147" s="30"/>
      <c r="I1147" s="36" t="str">
        <f t="shared" si="185"/>
        <v/>
      </c>
      <c r="J1147" s="34" t="str">
        <f t="shared" si="186"/>
        <v/>
      </c>
      <c r="K1147" s="49"/>
      <c r="L1147" s="55" t="str">
        <f t="shared" si="187"/>
        <v/>
      </c>
      <c r="M1147" s="54" t="str">
        <f t="shared" si="188"/>
        <v/>
      </c>
      <c r="N1147" s="30"/>
      <c r="O1147" s="31"/>
      <c r="P1147" s="53"/>
      <c r="Q1147" s="33"/>
      <c r="R1147" s="54" t="str">
        <f t="shared" si="189"/>
        <v/>
      </c>
      <c r="S1147" s="30"/>
      <c r="T1147" s="33"/>
    </row>
    <row r="1148" spans="1:20" x14ac:dyDescent="0.25">
      <c r="A1148" s="30"/>
      <c r="B1148" s="37" t="str">
        <f t="shared" si="180"/>
        <v/>
      </c>
      <c r="C1148" s="30"/>
      <c r="D1148" s="34" t="str">
        <f t="shared" si="181"/>
        <v/>
      </c>
      <c r="E1148" s="34" t="str">
        <f t="shared" si="182"/>
        <v/>
      </c>
      <c r="F1148" s="34" t="str">
        <f t="shared" si="183"/>
        <v/>
      </c>
      <c r="G1148" s="35" t="str">
        <f t="shared" si="184"/>
        <v/>
      </c>
      <c r="H1148" s="30"/>
      <c r="I1148" s="36" t="str">
        <f t="shared" si="185"/>
        <v/>
      </c>
      <c r="J1148" s="34" t="str">
        <f t="shared" si="186"/>
        <v/>
      </c>
      <c r="K1148" s="49"/>
      <c r="L1148" s="55" t="str">
        <f t="shared" si="187"/>
        <v/>
      </c>
      <c r="M1148" s="54" t="str">
        <f t="shared" si="188"/>
        <v/>
      </c>
      <c r="N1148" s="30"/>
      <c r="O1148" s="31"/>
      <c r="P1148" s="53"/>
      <c r="Q1148" s="33"/>
      <c r="R1148" s="54" t="str">
        <f t="shared" si="189"/>
        <v/>
      </c>
      <c r="S1148" s="30"/>
      <c r="T1148" s="33"/>
    </row>
    <row r="1149" spans="1:20" x14ac:dyDescent="0.25">
      <c r="A1149" s="30"/>
      <c r="B1149" s="37" t="str">
        <f t="shared" si="180"/>
        <v/>
      </c>
      <c r="C1149" s="30"/>
      <c r="D1149" s="34" t="str">
        <f t="shared" si="181"/>
        <v/>
      </c>
      <c r="E1149" s="34" t="str">
        <f t="shared" si="182"/>
        <v/>
      </c>
      <c r="F1149" s="34" t="str">
        <f t="shared" si="183"/>
        <v/>
      </c>
      <c r="G1149" s="35" t="str">
        <f t="shared" si="184"/>
        <v/>
      </c>
      <c r="H1149" s="30"/>
      <c r="I1149" s="36" t="str">
        <f t="shared" si="185"/>
        <v/>
      </c>
      <c r="J1149" s="34" t="str">
        <f t="shared" si="186"/>
        <v/>
      </c>
      <c r="K1149" s="49"/>
      <c r="L1149" s="55" t="str">
        <f t="shared" si="187"/>
        <v/>
      </c>
      <c r="M1149" s="54" t="str">
        <f t="shared" si="188"/>
        <v/>
      </c>
      <c r="N1149" s="30"/>
      <c r="O1149" s="31"/>
      <c r="P1149" s="53"/>
      <c r="Q1149" s="33"/>
      <c r="R1149" s="54" t="str">
        <f t="shared" si="189"/>
        <v/>
      </c>
      <c r="S1149" s="30"/>
      <c r="T1149" s="33"/>
    </row>
    <row r="1150" spans="1:20" x14ac:dyDescent="0.25">
      <c r="A1150" s="30"/>
      <c r="B1150" s="37" t="str">
        <f t="shared" si="180"/>
        <v/>
      </c>
      <c r="C1150" s="30"/>
      <c r="D1150" s="34" t="str">
        <f t="shared" si="181"/>
        <v/>
      </c>
      <c r="E1150" s="34" t="str">
        <f t="shared" si="182"/>
        <v/>
      </c>
      <c r="F1150" s="34" t="str">
        <f t="shared" si="183"/>
        <v/>
      </c>
      <c r="G1150" s="35" t="str">
        <f t="shared" si="184"/>
        <v/>
      </c>
      <c r="H1150" s="30"/>
      <c r="I1150" s="36" t="str">
        <f t="shared" si="185"/>
        <v/>
      </c>
      <c r="J1150" s="34" t="str">
        <f t="shared" si="186"/>
        <v/>
      </c>
      <c r="K1150" s="49"/>
      <c r="L1150" s="55" t="str">
        <f t="shared" si="187"/>
        <v/>
      </c>
      <c r="M1150" s="54" t="str">
        <f t="shared" si="188"/>
        <v/>
      </c>
      <c r="N1150" s="30"/>
      <c r="O1150" s="31"/>
      <c r="P1150" s="53"/>
      <c r="Q1150" s="33"/>
      <c r="R1150" s="54" t="str">
        <f t="shared" si="189"/>
        <v/>
      </c>
      <c r="S1150" s="30"/>
      <c r="T1150" s="33"/>
    </row>
    <row r="1151" spans="1:20" x14ac:dyDescent="0.25">
      <c r="A1151" s="30"/>
      <c r="B1151" s="37" t="str">
        <f t="shared" si="180"/>
        <v/>
      </c>
      <c r="C1151" s="30"/>
      <c r="D1151" s="34" t="str">
        <f t="shared" si="181"/>
        <v/>
      </c>
      <c r="E1151" s="34" t="str">
        <f t="shared" si="182"/>
        <v/>
      </c>
      <c r="F1151" s="34" t="str">
        <f t="shared" si="183"/>
        <v/>
      </c>
      <c r="G1151" s="35" t="str">
        <f t="shared" si="184"/>
        <v/>
      </c>
      <c r="H1151" s="30"/>
      <c r="I1151" s="36" t="str">
        <f t="shared" si="185"/>
        <v/>
      </c>
      <c r="J1151" s="34" t="str">
        <f t="shared" si="186"/>
        <v/>
      </c>
      <c r="K1151" s="49"/>
      <c r="L1151" s="55" t="str">
        <f t="shared" si="187"/>
        <v/>
      </c>
      <c r="M1151" s="54" t="str">
        <f t="shared" si="188"/>
        <v/>
      </c>
      <c r="N1151" s="30"/>
      <c r="O1151" s="31"/>
      <c r="P1151" s="53"/>
      <c r="Q1151" s="33"/>
      <c r="R1151" s="54" t="str">
        <f t="shared" si="189"/>
        <v/>
      </c>
      <c r="S1151" s="30"/>
      <c r="T1151" s="33"/>
    </row>
    <row r="1152" spans="1:20" x14ac:dyDescent="0.25">
      <c r="A1152" s="30"/>
      <c r="B1152" s="37" t="str">
        <f t="shared" si="180"/>
        <v/>
      </c>
      <c r="C1152" s="30"/>
      <c r="D1152" s="34" t="str">
        <f t="shared" si="181"/>
        <v/>
      </c>
      <c r="E1152" s="34" t="str">
        <f t="shared" si="182"/>
        <v/>
      </c>
      <c r="F1152" s="34" t="str">
        <f t="shared" si="183"/>
        <v/>
      </c>
      <c r="G1152" s="35" t="str">
        <f t="shared" si="184"/>
        <v/>
      </c>
      <c r="H1152" s="30"/>
      <c r="I1152" s="36" t="str">
        <f t="shared" si="185"/>
        <v/>
      </c>
      <c r="J1152" s="34" t="str">
        <f t="shared" si="186"/>
        <v/>
      </c>
      <c r="K1152" s="49"/>
      <c r="L1152" s="55" t="str">
        <f t="shared" si="187"/>
        <v/>
      </c>
      <c r="M1152" s="54" t="str">
        <f t="shared" si="188"/>
        <v/>
      </c>
      <c r="N1152" s="30"/>
      <c r="O1152" s="31"/>
      <c r="P1152" s="53"/>
      <c r="Q1152" s="33"/>
      <c r="R1152" s="54" t="str">
        <f t="shared" si="189"/>
        <v/>
      </c>
      <c r="S1152" s="30"/>
      <c r="T1152" s="33"/>
    </row>
    <row r="1153" spans="1:20" x14ac:dyDescent="0.25">
      <c r="A1153" s="30"/>
      <c r="B1153" s="37" t="str">
        <f t="shared" si="180"/>
        <v/>
      </c>
      <c r="C1153" s="30"/>
      <c r="D1153" s="34" t="str">
        <f t="shared" si="181"/>
        <v/>
      </c>
      <c r="E1153" s="34" t="str">
        <f t="shared" si="182"/>
        <v/>
      </c>
      <c r="F1153" s="34" t="str">
        <f t="shared" si="183"/>
        <v/>
      </c>
      <c r="G1153" s="35" t="str">
        <f t="shared" si="184"/>
        <v/>
      </c>
      <c r="H1153" s="30"/>
      <c r="I1153" s="36" t="str">
        <f t="shared" si="185"/>
        <v/>
      </c>
      <c r="J1153" s="34" t="str">
        <f t="shared" si="186"/>
        <v/>
      </c>
      <c r="K1153" s="49"/>
      <c r="L1153" s="55" t="str">
        <f t="shared" si="187"/>
        <v/>
      </c>
      <c r="M1153" s="54" t="str">
        <f t="shared" si="188"/>
        <v/>
      </c>
      <c r="N1153" s="30"/>
      <c r="O1153" s="31"/>
      <c r="P1153" s="53"/>
      <c r="Q1153" s="33"/>
      <c r="R1153" s="54" t="str">
        <f t="shared" si="189"/>
        <v/>
      </c>
      <c r="S1153" s="30"/>
      <c r="T1153" s="33"/>
    </row>
    <row r="1154" spans="1:20" x14ac:dyDescent="0.25">
      <c r="A1154" s="30"/>
      <c r="B1154" s="37" t="str">
        <f t="shared" si="180"/>
        <v/>
      </c>
      <c r="C1154" s="30"/>
      <c r="D1154" s="34" t="str">
        <f t="shared" si="181"/>
        <v/>
      </c>
      <c r="E1154" s="34" t="str">
        <f t="shared" si="182"/>
        <v/>
      </c>
      <c r="F1154" s="34" t="str">
        <f t="shared" si="183"/>
        <v/>
      </c>
      <c r="G1154" s="35" t="str">
        <f t="shared" si="184"/>
        <v/>
      </c>
      <c r="H1154" s="30"/>
      <c r="I1154" s="36" t="str">
        <f t="shared" si="185"/>
        <v/>
      </c>
      <c r="J1154" s="34" t="str">
        <f t="shared" si="186"/>
        <v/>
      </c>
      <c r="K1154" s="49"/>
      <c r="L1154" s="55" t="str">
        <f t="shared" si="187"/>
        <v/>
      </c>
      <c r="M1154" s="54" t="str">
        <f t="shared" si="188"/>
        <v/>
      </c>
      <c r="N1154" s="30"/>
      <c r="O1154" s="31"/>
      <c r="P1154" s="53"/>
      <c r="Q1154" s="33"/>
      <c r="R1154" s="54" t="str">
        <f t="shared" si="189"/>
        <v/>
      </c>
      <c r="S1154" s="30"/>
      <c r="T1154" s="33"/>
    </row>
    <row r="1155" spans="1:20" x14ac:dyDescent="0.25">
      <c r="A1155" s="30"/>
      <c r="B1155" s="37" t="str">
        <f t="shared" si="180"/>
        <v/>
      </c>
      <c r="C1155" s="30"/>
      <c r="D1155" s="34" t="str">
        <f t="shared" si="181"/>
        <v/>
      </c>
      <c r="E1155" s="34" t="str">
        <f t="shared" si="182"/>
        <v/>
      </c>
      <c r="F1155" s="34" t="str">
        <f t="shared" si="183"/>
        <v/>
      </c>
      <c r="G1155" s="35" t="str">
        <f t="shared" si="184"/>
        <v/>
      </c>
      <c r="H1155" s="30"/>
      <c r="I1155" s="36" t="str">
        <f t="shared" si="185"/>
        <v/>
      </c>
      <c r="J1155" s="34" t="str">
        <f t="shared" si="186"/>
        <v/>
      </c>
      <c r="K1155" s="49"/>
      <c r="L1155" s="55" t="str">
        <f t="shared" si="187"/>
        <v/>
      </c>
      <c r="M1155" s="54" t="str">
        <f t="shared" si="188"/>
        <v/>
      </c>
      <c r="N1155" s="30"/>
      <c r="O1155" s="31"/>
      <c r="P1155" s="53"/>
      <c r="Q1155" s="33"/>
      <c r="R1155" s="54" t="str">
        <f t="shared" si="189"/>
        <v/>
      </c>
      <c r="S1155" s="30"/>
      <c r="T1155" s="33"/>
    </row>
    <row r="1156" spans="1:20" x14ac:dyDescent="0.25">
      <c r="A1156" s="30"/>
      <c r="B1156" s="37" t="str">
        <f t="shared" si="180"/>
        <v/>
      </c>
      <c r="C1156" s="30"/>
      <c r="D1156" s="34" t="str">
        <f t="shared" si="181"/>
        <v/>
      </c>
      <c r="E1156" s="34" t="str">
        <f t="shared" si="182"/>
        <v/>
      </c>
      <c r="F1156" s="34" t="str">
        <f t="shared" si="183"/>
        <v/>
      </c>
      <c r="G1156" s="35" t="str">
        <f t="shared" si="184"/>
        <v/>
      </c>
      <c r="H1156" s="30"/>
      <c r="I1156" s="36" t="str">
        <f t="shared" si="185"/>
        <v/>
      </c>
      <c r="J1156" s="34" t="str">
        <f t="shared" si="186"/>
        <v/>
      </c>
      <c r="K1156" s="49"/>
      <c r="L1156" s="55" t="str">
        <f t="shared" si="187"/>
        <v/>
      </c>
      <c r="M1156" s="54" t="str">
        <f t="shared" si="188"/>
        <v/>
      </c>
      <c r="N1156" s="30"/>
      <c r="O1156" s="31"/>
      <c r="P1156" s="53"/>
      <c r="Q1156" s="33"/>
      <c r="R1156" s="54" t="str">
        <f t="shared" si="189"/>
        <v/>
      </c>
      <c r="S1156" s="30"/>
      <c r="T1156" s="33"/>
    </row>
    <row r="1157" spans="1:20" x14ac:dyDescent="0.25">
      <c r="A1157" s="30"/>
      <c r="B1157" s="37" t="str">
        <f t="shared" si="180"/>
        <v/>
      </c>
      <c r="C1157" s="30"/>
      <c r="D1157" s="34" t="str">
        <f t="shared" si="181"/>
        <v/>
      </c>
      <c r="E1157" s="34" t="str">
        <f t="shared" si="182"/>
        <v/>
      </c>
      <c r="F1157" s="34" t="str">
        <f t="shared" si="183"/>
        <v/>
      </c>
      <c r="G1157" s="35" t="str">
        <f t="shared" si="184"/>
        <v/>
      </c>
      <c r="H1157" s="30"/>
      <c r="I1157" s="36" t="str">
        <f t="shared" si="185"/>
        <v/>
      </c>
      <c r="J1157" s="34" t="str">
        <f t="shared" si="186"/>
        <v/>
      </c>
      <c r="K1157" s="49"/>
      <c r="L1157" s="55" t="str">
        <f t="shared" si="187"/>
        <v/>
      </c>
      <c r="M1157" s="54" t="str">
        <f t="shared" si="188"/>
        <v/>
      </c>
      <c r="N1157" s="30"/>
      <c r="O1157" s="31"/>
      <c r="P1157" s="53"/>
      <c r="Q1157" s="33"/>
      <c r="R1157" s="54" t="str">
        <f t="shared" si="189"/>
        <v/>
      </c>
      <c r="S1157" s="30"/>
      <c r="T1157" s="33"/>
    </row>
    <row r="1158" spans="1:20" x14ac:dyDescent="0.25">
      <c r="A1158" s="30"/>
      <c r="B1158" s="37" t="str">
        <f t="shared" si="180"/>
        <v/>
      </c>
      <c r="C1158" s="30"/>
      <c r="D1158" s="34" t="str">
        <f t="shared" si="181"/>
        <v/>
      </c>
      <c r="E1158" s="34" t="str">
        <f t="shared" si="182"/>
        <v/>
      </c>
      <c r="F1158" s="34" t="str">
        <f t="shared" si="183"/>
        <v/>
      </c>
      <c r="G1158" s="35" t="str">
        <f t="shared" si="184"/>
        <v/>
      </c>
      <c r="H1158" s="30"/>
      <c r="I1158" s="36" t="str">
        <f t="shared" si="185"/>
        <v/>
      </c>
      <c r="J1158" s="34" t="str">
        <f t="shared" si="186"/>
        <v/>
      </c>
      <c r="K1158" s="49"/>
      <c r="L1158" s="55" t="str">
        <f t="shared" si="187"/>
        <v/>
      </c>
      <c r="M1158" s="54" t="str">
        <f t="shared" si="188"/>
        <v/>
      </c>
      <c r="N1158" s="30"/>
      <c r="O1158" s="31"/>
      <c r="P1158" s="53"/>
      <c r="Q1158" s="33"/>
      <c r="R1158" s="54" t="str">
        <f t="shared" si="189"/>
        <v/>
      </c>
      <c r="S1158" s="30"/>
      <c r="T1158" s="33"/>
    </row>
    <row r="1159" spans="1:20" x14ac:dyDescent="0.25">
      <c r="A1159" s="30"/>
      <c r="B1159" s="37" t="str">
        <f t="shared" si="180"/>
        <v/>
      </c>
      <c r="C1159" s="30"/>
      <c r="D1159" s="34" t="str">
        <f t="shared" si="181"/>
        <v/>
      </c>
      <c r="E1159" s="34" t="str">
        <f t="shared" si="182"/>
        <v/>
      </c>
      <c r="F1159" s="34" t="str">
        <f t="shared" si="183"/>
        <v/>
      </c>
      <c r="G1159" s="35" t="str">
        <f t="shared" si="184"/>
        <v/>
      </c>
      <c r="H1159" s="30"/>
      <c r="I1159" s="36" t="str">
        <f t="shared" si="185"/>
        <v/>
      </c>
      <c r="J1159" s="34" t="str">
        <f t="shared" si="186"/>
        <v/>
      </c>
      <c r="K1159" s="49"/>
      <c r="L1159" s="55" t="str">
        <f t="shared" si="187"/>
        <v/>
      </c>
      <c r="M1159" s="54" t="str">
        <f t="shared" si="188"/>
        <v/>
      </c>
      <c r="N1159" s="30"/>
      <c r="O1159" s="31"/>
      <c r="P1159" s="53"/>
      <c r="Q1159" s="33"/>
      <c r="R1159" s="54" t="str">
        <f t="shared" si="189"/>
        <v/>
      </c>
      <c r="S1159" s="30"/>
      <c r="T1159" s="33"/>
    </row>
    <row r="1160" spans="1:20" x14ac:dyDescent="0.25">
      <c r="A1160" s="30"/>
      <c r="B1160" s="37" t="str">
        <f t="shared" si="180"/>
        <v/>
      </c>
      <c r="C1160" s="30"/>
      <c r="D1160" s="34" t="str">
        <f t="shared" si="181"/>
        <v/>
      </c>
      <c r="E1160" s="34" t="str">
        <f t="shared" si="182"/>
        <v/>
      </c>
      <c r="F1160" s="34" t="str">
        <f t="shared" si="183"/>
        <v/>
      </c>
      <c r="G1160" s="35" t="str">
        <f t="shared" si="184"/>
        <v/>
      </c>
      <c r="H1160" s="30"/>
      <c r="I1160" s="36" t="str">
        <f t="shared" si="185"/>
        <v/>
      </c>
      <c r="J1160" s="34" t="str">
        <f t="shared" si="186"/>
        <v/>
      </c>
      <c r="K1160" s="49"/>
      <c r="L1160" s="55" t="str">
        <f t="shared" si="187"/>
        <v/>
      </c>
      <c r="M1160" s="54" t="str">
        <f t="shared" si="188"/>
        <v/>
      </c>
      <c r="N1160" s="30"/>
      <c r="O1160" s="31"/>
      <c r="P1160" s="53"/>
      <c r="Q1160" s="33"/>
      <c r="R1160" s="54" t="str">
        <f t="shared" si="189"/>
        <v/>
      </c>
      <c r="S1160" s="30"/>
      <c r="T1160" s="33"/>
    </row>
    <row r="1161" spans="1:20" x14ac:dyDescent="0.25">
      <c r="A1161" s="30"/>
      <c r="B1161" s="37" t="str">
        <f t="shared" si="180"/>
        <v/>
      </c>
      <c r="C1161" s="30"/>
      <c r="D1161" s="34" t="str">
        <f t="shared" si="181"/>
        <v/>
      </c>
      <c r="E1161" s="34" t="str">
        <f t="shared" si="182"/>
        <v/>
      </c>
      <c r="F1161" s="34" t="str">
        <f t="shared" si="183"/>
        <v/>
      </c>
      <c r="G1161" s="35" t="str">
        <f t="shared" si="184"/>
        <v/>
      </c>
      <c r="H1161" s="30"/>
      <c r="I1161" s="36" t="str">
        <f t="shared" si="185"/>
        <v/>
      </c>
      <c r="J1161" s="34" t="str">
        <f t="shared" si="186"/>
        <v/>
      </c>
      <c r="K1161" s="49"/>
      <c r="L1161" s="55" t="str">
        <f t="shared" si="187"/>
        <v/>
      </c>
      <c r="M1161" s="54" t="str">
        <f t="shared" si="188"/>
        <v/>
      </c>
      <c r="N1161" s="30"/>
      <c r="O1161" s="31"/>
      <c r="P1161" s="53"/>
      <c r="Q1161" s="33"/>
      <c r="R1161" s="54" t="str">
        <f t="shared" si="189"/>
        <v/>
      </c>
      <c r="S1161" s="30"/>
      <c r="T1161" s="33"/>
    </row>
    <row r="1162" spans="1:20" x14ac:dyDescent="0.25">
      <c r="A1162" s="30"/>
      <c r="B1162" s="37" t="str">
        <f t="shared" si="180"/>
        <v/>
      </c>
      <c r="C1162" s="30"/>
      <c r="D1162" s="34" t="str">
        <f t="shared" si="181"/>
        <v/>
      </c>
      <c r="E1162" s="34" t="str">
        <f t="shared" si="182"/>
        <v/>
      </c>
      <c r="F1162" s="34" t="str">
        <f t="shared" si="183"/>
        <v/>
      </c>
      <c r="G1162" s="35" t="str">
        <f t="shared" si="184"/>
        <v/>
      </c>
      <c r="H1162" s="30"/>
      <c r="I1162" s="36" t="str">
        <f t="shared" si="185"/>
        <v/>
      </c>
      <c r="J1162" s="34" t="str">
        <f t="shared" si="186"/>
        <v/>
      </c>
      <c r="K1162" s="49"/>
      <c r="L1162" s="55" t="str">
        <f t="shared" si="187"/>
        <v/>
      </c>
      <c r="M1162" s="54" t="str">
        <f t="shared" si="188"/>
        <v/>
      </c>
      <c r="N1162" s="30"/>
      <c r="O1162" s="31"/>
      <c r="P1162" s="53"/>
      <c r="Q1162" s="33"/>
      <c r="R1162" s="54" t="str">
        <f t="shared" si="189"/>
        <v/>
      </c>
      <c r="S1162" s="30"/>
      <c r="T1162" s="33"/>
    </row>
    <row r="1163" spans="1:20" x14ac:dyDescent="0.25">
      <c r="A1163" s="30"/>
      <c r="B1163" s="37" t="str">
        <f t="shared" si="180"/>
        <v/>
      </c>
      <c r="C1163" s="30"/>
      <c r="D1163" s="34" t="str">
        <f t="shared" si="181"/>
        <v/>
      </c>
      <c r="E1163" s="34" t="str">
        <f t="shared" si="182"/>
        <v/>
      </c>
      <c r="F1163" s="34" t="str">
        <f t="shared" si="183"/>
        <v/>
      </c>
      <c r="G1163" s="35" t="str">
        <f t="shared" si="184"/>
        <v/>
      </c>
      <c r="H1163" s="30"/>
      <c r="I1163" s="36" t="str">
        <f t="shared" si="185"/>
        <v/>
      </c>
      <c r="J1163" s="34" t="str">
        <f t="shared" si="186"/>
        <v/>
      </c>
      <c r="K1163" s="49"/>
      <c r="L1163" s="55" t="str">
        <f t="shared" si="187"/>
        <v/>
      </c>
      <c r="M1163" s="54" t="str">
        <f t="shared" si="188"/>
        <v/>
      </c>
      <c r="N1163" s="30"/>
      <c r="O1163" s="31"/>
      <c r="P1163" s="53"/>
      <c r="Q1163" s="33"/>
      <c r="R1163" s="54" t="str">
        <f t="shared" si="189"/>
        <v/>
      </c>
      <c r="S1163" s="30"/>
      <c r="T1163" s="33"/>
    </row>
    <row r="1164" spans="1:20" x14ac:dyDescent="0.25">
      <c r="A1164" s="30"/>
      <c r="B1164" s="37" t="str">
        <f t="shared" si="180"/>
        <v/>
      </c>
      <c r="C1164" s="30"/>
      <c r="D1164" s="34" t="str">
        <f t="shared" si="181"/>
        <v/>
      </c>
      <c r="E1164" s="34" t="str">
        <f t="shared" si="182"/>
        <v/>
      </c>
      <c r="F1164" s="34" t="str">
        <f t="shared" si="183"/>
        <v/>
      </c>
      <c r="G1164" s="35" t="str">
        <f t="shared" si="184"/>
        <v/>
      </c>
      <c r="H1164" s="30"/>
      <c r="I1164" s="36" t="str">
        <f t="shared" si="185"/>
        <v/>
      </c>
      <c r="J1164" s="34" t="str">
        <f t="shared" si="186"/>
        <v/>
      </c>
      <c r="K1164" s="49"/>
      <c r="L1164" s="55" t="str">
        <f t="shared" si="187"/>
        <v/>
      </c>
      <c r="M1164" s="54" t="str">
        <f t="shared" si="188"/>
        <v/>
      </c>
      <c r="N1164" s="30"/>
      <c r="O1164" s="31"/>
      <c r="P1164" s="53"/>
      <c r="Q1164" s="33"/>
      <c r="R1164" s="54" t="str">
        <f t="shared" si="189"/>
        <v/>
      </c>
      <c r="S1164" s="30"/>
      <c r="T1164" s="33"/>
    </row>
    <row r="1165" spans="1:20" x14ac:dyDescent="0.25">
      <c r="A1165" s="30"/>
      <c r="B1165" s="37" t="str">
        <f t="shared" si="180"/>
        <v/>
      </c>
      <c r="C1165" s="30"/>
      <c r="D1165" s="34" t="str">
        <f t="shared" si="181"/>
        <v/>
      </c>
      <c r="E1165" s="34" t="str">
        <f t="shared" si="182"/>
        <v/>
      </c>
      <c r="F1165" s="34" t="str">
        <f t="shared" si="183"/>
        <v/>
      </c>
      <c r="G1165" s="35" t="str">
        <f t="shared" si="184"/>
        <v/>
      </c>
      <c r="H1165" s="30"/>
      <c r="I1165" s="36" t="str">
        <f t="shared" si="185"/>
        <v/>
      </c>
      <c r="J1165" s="34" t="str">
        <f t="shared" si="186"/>
        <v/>
      </c>
      <c r="K1165" s="49"/>
      <c r="L1165" s="55" t="str">
        <f t="shared" si="187"/>
        <v/>
      </c>
      <c r="M1165" s="54" t="str">
        <f t="shared" si="188"/>
        <v/>
      </c>
      <c r="N1165" s="30"/>
      <c r="O1165" s="31"/>
      <c r="P1165" s="53"/>
      <c r="Q1165" s="33"/>
      <c r="R1165" s="54" t="str">
        <f t="shared" si="189"/>
        <v/>
      </c>
      <c r="S1165" s="30"/>
      <c r="T1165" s="33"/>
    </row>
    <row r="1166" spans="1:20" x14ac:dyDescent="0.25">
      <c r="A1166" s="30"/>
      <c r="B1166" s="37" t="str">
        <f t="shared" si="180"/>
        <v/>
      </c>
      <c r="C1166" s="30"/>
      <c r="D1166" s="34" t="str">
        <f t="shared" si="181"/>
        <v/>
      </c>
      <c r="E1166" s="34" t="str">
        <f t="shared" si="182"/>
        <v/>
      </c>
      <c r="F1166" s="34" t="str">
        <f t="shared" si="183"/>
        <v/>
      </c>
      <c r="G1166" s="35" t="str">
        <f t="shared" si="184"/>
        <v/>
      </c>
      <c r="H1166" s="30"/>
      <c r="I1166" s="36" t="str">
        <f t="shared" si="185"/>
        <v/>
      </c>
      <c r="J1166" s="34" t="str">
        <f t="shared" si="186"/>
        <v/>
      </c>
      <c r="K1166" s="49"/>
      <c r="L1166" s="55" t="str">
        <f t="shared" si="187"/>
        <v/>
      </c>
      <c r="M1166" s="54" t="str">
        <f t="shared" si="188"/>
        <v/>
      </c>
      <c r="N1166" s="30"/>
      <c r="O1166" s="31"/>
      <c r="P1166" s="53"/>
      <c r="Q1166" s="33"/>
      <c r="R1166" s="54" t="str">
        <f t="shared" si="189"/>
        <v/>
      </c>
      <c r="S1166" s="30"/>
      <c r="T1166" s="33"/>
    </row>
    <row r="1167" spans="1:20" x14ac:dyDescent="0.25">
      <c r="A1167" s="30"/>
      <c r="B1167" s="37" t="str">
        <f t="shared" si="180"/>
        <v/>
      </c>
      <c r="C1167" s="30"/>
      <c r="D1167" s="34" t="str">
        <f t="shared" si="181"/>
        <v/>
      </c>
      <c r="E1167" s="34" t="str">
        <f t="shared" si="182"/>
        <v/>
      </c>
      <c r="F1167" s="34" t="str">
        <f t="shared" si="183"/>
        <v/>
      </c>
      <c r="G1167" s="35" t="str">
        <f t="shared" si="184"/>
        <v/>
      </c>
      <c r="H1167" s="30"/>
      <c r="I1167" s="36" t="str">
        <f t="shared" si="185"/>
        <v/>
      </c>
      <c r="J1167" s="34" t="str">
        <f t="shared" si="186"/>
        <v/>
      </c>
      <c r="K1167" s="49"/>
      <c r="L1167" s="55" t="str">
        <f t="shared" si="187"/>
        <v/>
      </c>
      <c r="M1167" s="54" t="str">
        <f t="shared" si="188"/>
        <v/>
      </c>
      <c r="N1167" s="30"/>
      <c r="O1167" s="31"/>
      <c r="P1167" s="53"/>
      <c r="Q1167" s="33"/>
      <c r="R1167" s="54" t="str">
        <f t="shared" si="189"/>
        <v/>
      </c>
      <c r="S1167" s="30"/>
      <c r="T1167" s="33"/>
    </row>
    <row r="1168" spans="1:20" x14ac:dyDescent="0.25">
      <c r="A1168" s="30"/>
      <c r="B1168" s="37" t="str">
        <f t="shared" si="180"/>
        <v/>
      </c>
      <c r="C1168" s="30"/>
      <c r="D1168" s="34" t="str">
        <f t="shared" si="181"/>
        <v/>
      </c>
      <c r="E1168" s="34" t="str">
        <f t="shared" si="182"/>
        <v/>
      </c>
      <c r="F1168" s="34" t="str">
        <f t="shared" si="183"/>
        <v/>
      </c>
      <c r="G1168" s="35" t="str">
        <f t="shared" si="184"/>
        <v/>
      </c>
      <c r="H1168" s="30"/>
      <c r="I1168" s="36" t="str">
        <f t="shared" si="185"/>
        <v/>
      </c>
      <c r="J1168" s="34" t="str">
        <f t="shared" si="186"/>
        <v/>
      </c>
      <c r="K1168" s="49"/>
      <c r="L1168" s="55" t="str">
        <f t="shared" si="187"/>
        <v/>
      </c>
      <c r="M1168" s="54" t="str">
        <f t="shared" si="188"/>
        <v/>
      </c>
      <c r="N1168" s="30"/>
      <c r="O1168" s="31"/>
      <c r="P1168" s="53"/>
      <c r="Q1168" s="33"/>
      <c r="R1168" s="54" t="str">
        <f t="shared" si="189"/>
        <v/>
      </c>
      <c r="S1168" s="30"/>
      <c r="T1168" s="33"/>
    </row>
    <row r="1169" spans="1:20" x14ac:dyDescent="0.25">
      <c r="A1169" s="30"/>
      <c r="B1169" s="37" t="str">
        <f t="shared" si="180"/>
        <v/>
      </c>
      <c r="C1169" s="30"/>
      <c r="D1169" s="34" t="str">
        <f t="shared" si="181"/>
        <v/>
      </c>
      <c r="E1169" s="34" t="str">
        <f t="shared" si="182"/>
        <v/>
      </c>
      <c r="F1169" s="34" t="str">
        <f t="shared" si="183"/>
        <v/>
      </c>
      <c r="G1169" s="35" t="str">
        <f t="shared" si="184"/>
        <v/>
      </c>
      <c r="H1169" s="30"/>
      <c r="I1169" s="36" t="str">
        <f t="shared" si="185"/>
        <v/>
      </c>
      <c r="J1169" s="34" t="str">
        <f t="shared" si="186"/>
        <v/>
      </c>
      <c r="K1169" s="49"/>
      <c r="L1169" s="55" t="str">
        <f t="shared" si="187"/>
        <v/>
      </c>
      <c r="M1169" s="54" t="str">
        <f t="shared" si="188"/>
        <v/>
      </c>
      <c r="N1169" s="30"/>
      <c r="O1169" s="31"/>
      <c r="P1169" s="53"/>
      <c r="Q1169" s="33"/>
      <c r="R1169" s="54" t="str">
        <f t="shared" si="189"/>
        <v/>
      </c>
      <c r="S1169" s="30"/>
      <c r="T1169" s="33"/>
    </row>
    <row r="1170" spans="1:20" x14ac:dyDescent="0.25">
      <c r="A1170" s="30"/>
      <c r="B1170" s="37" t="str">
        <f t="shared" si="180"/>
        <v/>
      </c>
      <c r="C1170" s="30"/>
      <c r="D1170" s="34" t="str">
        <f t="shared" si="181"/>
        <v/>
      </c>
      <c r="E1170" s="34" t="str">
        <f t="shared" si="182"/>
        <v/>
      </c>
      <c r="F1170" s="34" t="str">
        <f t="shared" si="183"/>
        <v/>
      </c>
      <c r="G1170" s="35" t="str">
        <f t="shared" si="184"/>
        <v/>
      </c>
      <c r="H1170" s="30"/>
      <c r="I1170" s="36" t="str">
        <f t="shared" si="185"/>
        <v/>
      </c>
      <c r="J1170" s="34" t="str">
        <f t="shared" si="186"/>
        <v/>
      </c>
      <c r="K1170" s="49"/>
      <c r="L1170" s="55" t="str">
        <f t="shared" si="187"/>
        <v/>
      </c>
      <c r="M1170" s="54" t="str">
        <f t="shared" si="188"/>
        <v/>
      </c>
      <c r="N1170" s="30"/>
      <c r="O1170" s="31"/>
      <c r="P1170" s="53"/>
      <c r="Q1170" s="33"/>
      <c r="R1170" s="54" t="str">
        <f t="shared" si="189"/>
        <v/>
      </c>
      <c r="S1170" s="30"/>
      <c r="T1170" s="33"/>
    </row>
    <row r="1171" spans="1:20" x14ac:dyDescent="0.25">
      <c r="A1171" s="30"/>
      <c r="B1171" s="37" t="str">
        <f t="shared" si="180"/>
        <v/>
      </c>
      <c r="C1171" s="30"/>
      <c r="D1171" s="34" t="str">
        <f t="shared" si="181"/>
        <v/>
      </c>
      <c r="E1171" s="34" t="str">
        <f t="shared" si="182"/>
        <v/>
      </c>
      <c r="F1171" s="34" t="str">
        <f t="shared" si="183"/>
        <v/>
      </c>
      <c r="G1171" s="35" t="str">
        <f t="shared" si="184"/>
        <v/>
      </c>
      <c r="H1171" s="30"/>
      <c r="I1171" s="36" t="str">
        <f t="shared" si="185"/>
        <v/>
      </c>
      <c r="J1171" s="34" t="str">
        <f t="shared" si="186"/>
        <v/>
      </c>
      <c r="K1171" s="49"/>
      <c r="L1171" s="55" t="str">
        <f t="shared" si="187"/>
        <v/>
      </c>
      <c r="M1171" s="54" t="str">
        <f t="shared" si="188"/>
        <v/>
      </c>
      <c r="N1171" s="30"/>
      <c r="O1171" s="31"/>
      <c r="P1171" s="53"/>
      <c r="Q1171" s="33"/>
      <c r="R1171" s="54" t="str">
        <f t="shared" si="189"/>
        <v/>
      </c>
      <c r="S1171" s="30"/>
      <c r="T1171" s="33"/>
    </row>
    <row r="1172" spans="1:20" x14ac:dyDescent="0.25">
      <c r="A1172" s="30"/>
      <c r="B1172" s="37" t="str">
        <f t="shared" si="180"/>
        <v/>
      </c>
      <c r="C1172" s="30"/>
      <c r="D1172" s="34" t="str">
        <f t="shared" si="181"/>
        <v/>
      </c>
      <c r="E1172" s="34" t="str">
        <f t="shared" si="182"/>
        <v/>
      </c>
      <c r="F1172" s="34" t="str">
        <f t="shared" si="183"/>
        <v/>
      </c>
      <c r="G1172" s="35" t="str">
        <f t="shared" si="184"/>
        <v/>
      </c>
      <c r="H1172" s="30"/>
      <c r="I1172" s="36" t="str">
        <f t="shared" si="185"/>
        <v/>
      </c>
      <c r="J1172" s="34" t="str">
        <f t="shared" si="186"/>
        <v/>
      </c>
      <c r="K1172" s="49"/>
      <c r="L1172" s="55" t="str">
        <f t="shared" si="187"/>
        <v/>
      </c>
      <c r="M1172" s="54" t="str">
        <f t="shared" si="188"/>
        <v/>
      </c>
      <c r="N1172" s="30"/>
      <c r="O1172" s="31"/>
      <c r="P1172" s="53"/>
      <c r="Q1172" s="33"/>
      <c r="R1172" s="54" t="str">
        <f t="shared" si="189"/>
        <v/>
      </c>
      <c r="S1172" s="30"/>
      <c r="T1172" s="33"/>
    </row>
    <row r="1173" spans="1:20" x14ac:dyDescent="0.25">
      <c r="A1173" s="30"/>
      <c r="B1173" s="37" t="str">
        <f t="shared" si="180"/>
        <v/>
      </c>
      <c r="C1173" s="30"/>
      <c r="D1173" s="34" t="str">
        <f t="shared" si="181"/>
        <v/>
      </c>
      <c r="E1173" s="34" t="str">
        <f t="shared" si="182"/>
        <v/>
      </c>
      <c r="F1173" s="34" t="str">
        <f t="shared" si="183"/>
        <v/>
      </c>
      <c r="G1173" s="35" t="str">
        <f t="shared" si="184"/>
        <v/>
      </c>
      <c r="H1173" s="30"/>
      <c r="I1173" s="36" t="str">
        <f t="shared" si="185"/>
        <v/>
      </c>
      <c r="J1173" s="34" t="str">
        <f t="shared" si="186"/>
        <v/>
      </c>
      <c r="K1173" s="49"/>
      <c r="L1173" s="55" t="str">
        <f t="shared" si="187"/>
        <v/>
      </c>
      <c r="M1173" s="54" t="str">
        <f t="shared" si="188"/>
        <v/>
      </c>
      <c r="N1173" s="30"/>
      <c r="O1173" s="31"/>
      <c r="P1173" s="53"/>
      <c r="Q1173" s="33"/>
      <c r="R1173" s="54" t="str">
        <f t="shared" si="189"/>
        <v/>
      </c>
      <c r="S1173" s="30"/>
      <c r="T1173" s="33"/>
    </row>
    <row r="1174" spans="1:20" x14ac:dyDescent="0.25">
      <c r="A1174" s="30"/>
      <c r="B1174" s="37" t="str">
        <f t="shared" si="180"/>
        <v/>
      </c>
      <c r="C1174" s="30"/>
      <c r="D1174" s="34" t="str">
        <f t="shared" si="181"/>
        <v/>
      </c>
      <c r="E1174" s="34" t="str">
        <f t="shared" si="182"/>
        <v/>
      </c>
      <c r="F1174" s="34" t="str">
        <f t="shared" si="183"/>
        <v/>
      </c>
      <c r="G1174" s="35" t="str">
        <f t="shared" si="184"/>
        <v/>
      </c>
      <c r="H1174" s="30"/>
      <c r="I1174" s="36" t="str">
        <f t="shared" si="185"/>
        <v/>
      </c>
      <c r="J1174" s="34" t="str">
        <f t="shared" si="186"/>
        <v/>
      </c>
      <c r="K1174" s="49"/>
      <c r="L1174" s="55" t="str">
        <f t="shared" si="187"/>
        <v/>
      </c>
      <c r="M1174" s="54" t="str">
        <f t="shared" si="188"/>
        <v/>
      </c>
      <c r="N1174" s="30"/>
      <c r="O1174" s="31"/>
      <c r="P1174" s="53"/>
      <c r="Q1174" s="33"/>
      <c r="R1174" s="54" t="str">
        <f t="shared" si="189"/>
        <v/>
      </c>
      <c r="S1174" s="30"/>
      <c r="T1174" s="33"/>
    </row>
    <row r="1175" spans="1:20" x14ac:dyDescent="0.25">
      <c r="A1175" s="30"/>
      <c r="B1175" s="37" t="str">
        <f t="shared" si="180"/>
        <v/>
      </c>
      <c r="C1175" s="30"/>
      <c r="D1175" s="34" t="str">
        <f t="shared" si="181"/>
        <v/>
      </c>
      <c r="E1175" s="34" t="str">
        <f t="shared" si="182"/>
        <v/>
      </c>
      <c r="F1175" s="34" t="str">
        <f t="shared" si="183"/>
        <v/>
      </c>
      <c r="G1175" s="35" t="str">
        <f t="shared" si="184"/>
        <v/>
      </c>
      <c r="H1175" s="30"/>
      <c r="I1175" s="36" t="str">
        <f t="shared" si="185"/>
        <v/>
      </c>
      <c r="J1175" s="34" t="str">
        <f t="shared" si="186"/>
        <v/>
      </c>
      <c r="K1175" s="49"/>
      <c r="L1175" s="55" t="str">
        <f t="shared" si="187"/>
        <v/>
      </c>
      <c r="M1175" s="54" t="str">
        <f t="shared" si="188"/>
        <v/>
      </c>
      <c r="N1175" s="30"/>
      <c r="O1175" s="31"/>
      <c r="P1175" s="53"/>
      <c r="Q1175" s="33"/>
      <c r="R1175" s="54" t="str">
        <f t="shared" si="189"/>
        <v/>
      </c>
      <c r="S1175" s="30"/>
      <c r="T1175" s="33"/>
    </row>
    <row r="1176" spans="1:20" x14ac:dyDescent="0.25">
      <c r="A1176" s="30"/>
      <c r="B1176" s="37" t="str">
        <f t="shared" si="180"/>
        <v/>
      </c>
      <c r="C1176" s="30"/>
      <c r="D1176" s="34" t="str">
        <f t="shared" si="181"/>
        <v/>
      </c>
      <c r="E1176" s="34" t="str">
        <f t="shared" si="182"/>
        <v/>
      </c>
      <c r="F1176" s="34" t="str">
        <f t="shared" si="183"/>
        <v/>
      </c>
      <c r="G1176" s="35" t="str">
        <f t="shared" si="184"/>
        <v/>
      </c>
      <c r="H1176" s="30"/>
      <c r="I1176" s="36" t="str">
        <f t="shared" si="185"/>
        <v/>
      </c>
      <c r="J1176" s="34" t="str">
        <f t="shared" si="186"/>
        <v/>
      </c>
      <c r="K1176" s="49"/>
      <c r="L1176" s="55" t="str">
        <f t="shared" si="187"/>
        <v/>
      </c>
      <c r="M1176" s="54" t="str">
        <f t="shared" si="188"/>
        <v/>
      </c>
      <c r="N1176" s="30"/>
      <c r="O1176" s="31"/>
      <c r="P1176" s="53"/>
      <c r="Q1176" s="33"/>
      <c r="R1176" s="54" t="str">
        <f t="shared" si="189"/>
        <v/>
      </c>
      <c r="S1176" s="30"/>
      <c r="T1176" s="33"/>
    </row>
    <row r="1177" spans="1:20" x14ac:dyDescent="0.25">
      <c r="A1177" s="30"/>
      <c r="B1177" s="37" t="str">
        <f t="shared" si="180"/>
        <v/>
      </c>
      <c r="C1177" s="30"/>
      <c r="D1177" s="34" t="str">
        <f t="shared" si="181"/>
        <v/>
      </c>
      <c r="E1177" s="34" t="str">
        <f t="shared" si="182"/>
        <v/>
      </c>
      <c r="F1177" s="34" t="str">
        <f t="shared" si="183"/>
        <v/>
      </c>
      <c r="G1177" s="35" t="str">
        <f t="shared" si="184"/>
        <v/>
      </c>
      <c r="H1177" s="30"/>
      <c r="I1177" s="36" t="str">
        <f t="shared" si="185"/>
        <v/>
      </c>
      <c r="J1177" s="34" t="str">
        <f t="shared" si="186"/>
        <v/>
      </c>
      <c r="K1177" s="49"/>
      <c r="L1177" s="55" t="str">
        <f t="shared" si="187"/>
        <v/>
      </c>
      <c r="M1177" s="54" t="str">
        <f t="shared" si="188"/>
        <v/>
      </c>
      <c r="N1177" s="30"/>
      <c r="O1177" s="31"/>
      <c r="P1177" s="53"/>
      <c r="Q1177" s="33"/>
      <c r="R1177" s="54" t="str">
        <f t="shared" si="189"/>
        <v/>
      </c>
      <c r="S1177" s="30"/>
      <c r="T1177" s="33"/>
    </row>
    <row r="1178" spans="1:20" x14ac:dyDescent="0.25">
      <c r="A1178" s="30"/>
      <c r="B1178" s="37" t="str">
        <f t="shared" si="180"/>
        <v/>
      </c>
      <c r="C1178" s="30"/>
      <c r="D1178" s="34" t="str">
        <f t="shared" si="181"/>
        <v/>
      </c>
      <c r="E1178" s="34" t="str">
        <f t="shared" si="182"/>
        <v/>
      </c>
      <c r="F1178" s="34" t="str">
        <f t="shared" si="183"/>
        <v/>
      </c>
      <c r="G1178" s="35" t="str">
        <f t="shared" si="184"/>
        <v/>
      </c>
      <c r="H1178" s="30"/>
      <c r="I1178" s="36" t="str">
        <f t="shared" si="185"/>
        <v/>
      </c>
      <c r="J1178" s="34" t="str">
        <f t="shared" si="186"/>
        <v/>
      </c>
      <c r="K1178" s="49"/>
      <c r="L1178" s="55" t="str">
        <f t="shared" si="187"/>
        <v/>
      </c>
      <c r="M1178" s="54" t="str">
        <f t="shared" si="188"/>
        <v/>
      </c>
      <c r="N1178" s="30"/>
      <c r="O1178" s="31"/>
      <c r="P1178" s="53"/>
      <c r="Q1178" s="33"/>
      <c r="R1178" s="54" t="str">
        <f t="shared" si="189"/>
        <v/>
      </c>
      <c r="S1178" s="30"/>
      <c r="T1178" s="33"/>
    </row>
    <row r="1179" spans="1:20" x14ac:dyDescent="0.25">
      <c r="A1179" s="30"/>
      <c r="B1179" s="37" t="str">
        <f t="shared" si="180"/>
        <v/>
      </c>
      <c r="C1179" s="30"/>
      <c r="D1179" s="34" t="str">
        <f t="shared" si="181"/>
        <v/>
      </c>
      <c r="E1179" s="34" t="str">
        <f t="shared" si="182"/>
        <v/>
      </c>
      <c r="F1179" s="34" t="str">
        <f t="shared" si="183"/>
        <v/>
      </c>
      <c r="G1179" s="35" t="str">
        <f t="shared" si="184"/>
        <v/>
      </c>
      <c r="H1179" s="30"/>
      <c r="I1179" s="36" t="str">
        <f t="shared" si="185"/>
        <v/>
      </c>
      <c r="J1179" s="34" t="str">
        <f t="shared" si="186"/>
        <v/>
      </c>
      <c r="K1179" s="49"/>
      <c r="L1179" s="55" t="str">
        <f t="shared" si="187"/>
        <v/>
      </c>
      <c r="M1179" s="54" t="str">
        <f t="shared" si="188"/>
        <v/>
      </c>
      <c r="N1179" s="30"/>
      <c r="O1179" s="31"/>
      <c r="P1179" s="53"/>
      <c r="Q1179" s="33"/>
      <c r="R1179" s="54" t="str">
        <f t="shared" si="189"/>
        <v/>
      </c>
      <c r="S1179" s="30"/>
      <c r="T1179" s="33"/>
    </row>
    <row r="1180" spans="1:20" x14ac:dyDescent="0.25">
      <c r="A1180" s="30"/>
      <c r="B1180" s="37" t="str">
        <f t="shared" si="180"/>
        <v/>
      </c>
      <c r="C1180" s="30"/>
      <c r="D1180" s="34" t="str">
        <f t="shared" si="181"/>
        <v/>
      </c>
      <c r="E1180" s="34" t="str">
        <f t="shared" si="182"/>
        <v/>
      </c>
      <c r="F1180" s="34" t="str">
        <f t="shared" si="183"/>
        <v/>
      </c>
      <c r="G1180" s="35" t="str">
        <f t="shared" si="184"/>
        <v/>
      </c>
      <c r="H1180" s="30"/>
      <c r="I1180" s="36" t="str">
        <f t="shared" si="185"/>
        <v/>
      </c>
      <c r="J1180" s="34" t="str">
        <f t="shared" si="186"/>
        <v/>
      </c>
      <c r="K1180" s="49"/>
      <c r="L1180" s="55" t="str">
        <f t="shared" si="187"/>
        <v/>
      </c>
      <c r="M1180" s="54" t="str">
        <f t="shared" si="188"/>
        <v/>
      </c>
      <c r="N1180" s="30"/>
      <c r="O1180" s="31"/>
      <c r="P1180" s="53"/>
      <c r="Q1180" s="33"/>
      <c r="R1180" s="54" t="str">
        <f t="shared" si="189"/>
        <v/>
      </c>
      <c r="S1180" s="30"/>
      <c r="T1180" s="33"/>
    </row>
    <row r="1181" spans="1:20" x14ac:dyDescent="0.25">
      <c r="A1181" s="30"/>
      <c r="B1181" s="37" t="str">
        <f t="shared" si="180"/>
        <v/>
      </c>
      <c r="C1181" s="30"/>
      <c r="D1181" s="34" t="str">
        <f t="shared" si="181"/>
        <v/>
      </c>
      <c r="E1181" s="34" t="str">
        <f t="shared" si="182"/>
        <v/>
      </c>
      <c r="F1181" s="34" t="str">
        <f t="shared" si="183"/>
        <v/>
      </c>
      <c r="G1181" s="35" t="str">
        <f t="shared" si="184"/>
        <v/>
      </c>
      <c r="H1181" s="30"/>
      <c r="I1181" s="36" t="str">
        <f t="shared" si="185"/>
        <v/>
      </c>
      <c r="J1181" s="34" t="str">
        <f t="shared" si="186"/>
        <v/>
      </c>
      <c r="K1181" s="49"/>
      <c r="L1181" s="55" t="str">
        <f t="shared" si="187"/>
        <v/>
      </c>
      <c r="M1181" s="54" t="str">
        <f t="shared" si="188"/>
        <v/>
      </c>
      <c r="N1181" s="30"/>
      <c r="O1181" s="31"/>
      <c r="P1181" s="53"/>
      <c r="Q1181" s="33"/>
      <c r="R1181" s="54" t="str">
        <f t="shared" si="189"/>
        <v/>
      </c>
      <c r="S1181" s="30"/>
      <c r="T1181" s="33"/>
    </row>
    <row r="1182" spans="1:20" x14ac:dyDescent="0.25">
      <c r="A1182" s="30"/>
      <c r="B1182" s="37" t="str">
        <f t="shared" si="180"/>
        <v/>
      </c>
      <c r="C1182" s="30"/>
      <c r="D1182" s="34" t="str">
        <f t="shared" si="181"/>
        <v/>
      </c>
      <c r="E1182" s="34" t="str">
        <f t="shared" si="182"/>
        <v/>
      </c>
      <c r="F1182" s="34" t="str">
        <f t="shared" si="183"/>
        <v/>
      </c>
      <c r="G1182" s="35" t="str">
        <f t="shared" si="184"/>
        <v/>
      </c>
      <c r="H1182" s="30"/>
      <c r="I1182" s="36" t="str">
        <f t="shared" si="185"/>
        <v/>
      </c>
      <c r="J1182" s="34" t="str">
        <f t="shared" si="186"/>
        <v/>
      </c>
      <c r="K1182" s="49"/>
      <c r="L1182" s="55" t="str">
        <f t="shared" si="187"/>
        <v/>
      </c>
      <c r="M1182" s="54" t="str">
        <f t="shared" si="188"/>
        <v/>
      </c>
      <c r="N1182" s="30"/>
      <c r="O1182" s="31"/>
      <c r="P1182" s="53"/>
      <c r="Q1182" s="33"/>
      <c r="R1182" s="54" t="str">
        <f t="shared" si="189"/>
        <v/>
      </c>
      <c r="S1182" s="30"/>
      <c r="T1182" s="33"/>
    </row>
    <row r="1183" spans="1:20" x14ac:dyDescent="0.25">
      <c r="A1183" s="30"/>
      <c r="B1183" s="37" t="str">
        <f t="shared" si="180"/>
        <v/>
      </c>
      <c r="C1183" s="30"/>
      <c r="D1183" s="34" t="str">
        <f t="shared" si="181"/>
        <v/>
      </c>
      <c r="E1183" s="34" t="str">
        <f t="shared" si="182"/>
        <v/>
      </c>
      <c r="F1183" s="34" t="str">
        <f t="shared" si="183"/>
        <v/>
      </c>
      <c r="G1183" s="35" t="str">
        <f t="shared" si="184"/>
        <v/>
      </c>
      <c r="H1183" s="30"/>
      <c r="I1183" s="36" t="str">
        <f t="shared" si="185"/>
        <v/>
      </c>
      <c r="J1183" s="34" t="str">
        <f t="shared" si="186"/>
        <v/>
      </c>
      <c r="K1183" s="49"/>
      <c r="L1183" s="55" t="str">
        <f t="shared" si="187"/>
        <v/>
      </c>
      <c r="M1183" s="54" t="str">
        <f t="shared" si="188"/>
        <v/>
      </c>
      <c r="N1183" s="30"/>
      <c r="O1183" s="31"/>
      <c r="P1183" s="53"/>
      <c r="Q1183" s="33"/>
      <c r="R1183" s="54" t="str">
        <f t="shared" si="189"/>
        <v/>
      </c>
      <c r="S1183" s="30"/>
      <c r="T1183" s="33"/>
    </row>
    <row r="1184" spans="1:20" x14ac:dyDescent="0.25">
      <c r="A1184" s="30"/>
      <c r="B1184" s="37" t="str">
        <f t="shared" si="180"/>
        <v/>
      </c>
      <c r="C1184" s="30"/>
      <c r="D1184" s="34" t="str">
        <f t="shared" si="181"/>
        <v/>
      </c>
      <c r="E1184" s="34" t="str">
        <f t="shared" si="182"/>
        <v/>
      </c>
      <c r="F1184" s="34" t="str">
        <f t="shared" si="183"/>
        <v/>
      </c>
      <c r="G1184" s="35" t="str">
        <f t="shared" si="184"/>
        <v/>
      </c>
      <c r="H1184" s="30"/>
      <c r="I1184" s="36" t="str">
        <f t="shared" si="185"/>
        <v/>
      </c>
      <c r="J1184" s="34" t="str">
        <f t="shared" si="186"/>
        <v/>
      </c>
      <c r="K1184" s="49"/>
      <c r="L1184" s="55" t="str">
        <f t="shared" si="187"/>
        <v/>
      </c>
      <c r="M1184" s="54" t="str">
        <f t="shared" si="188"/>
        <v/>
      </c>
      <c r="N1184" s="30"/>
      <c r="O1184" s="31"/>
      <c r="P1184" s="53"/>
      <c r="Q1184" s="33"/>
      <c r="R1184" s="54" t="str">
        <f t="shared" si="189"/>
        <v/>
      </c>
      <c r="S1184" s="30"/>
      <c r="T1184" s="33"/>
    </row>
    <row r="1185" spans="1:20" x14ac:dyDescent="0.25">
      <c r="A1185" s="30"/>
      <c r="B1185" s="37" t="str">
        <f t="shared" si="180"/>
        <v/>
      </c>
      <c r="C1185" s="30"/>
      <c r="D1185" s="34" t="str">
        <f t="shared" si="181"/>
        <v/>
      </c>
      <c r="E1185" s="34" t="str">
        <f t="shared" si="182"/>
        <v/>
      </c>
      <c r="F1185" s="34" t="str">
        <f t="shared" si="183"/>
        <v/>
      </c>
      <c r="G1185" s="35" t="str">
        <f t="shared" si="184"/>
        <v/>
      </c>
      <c r="H1185" s="30"/>
      <c r="I1185" s="36" t="str">
        <f t="shared" si="185"/>
        <v/>
      </c>
      <c r="J1185" s="34" t="str">
        <f t="shared" si="186"/>
        <v/>
      </c>
      <c r="K1185" s="49"/>
      <c r="L1185" s="55" t="str">
        <f t="shared" si="187"/>
        <v/>
      </c>
      <c r="M1185" s="54" t="str">
        <f t="shared" si="188"/>
        <v/>
      </c>
      <c r="N1185" s="30"/>
      <c r="O1185" s="31"/>
      <c r="P1185" s="53"/>
      <c r="Q1185" s="33"/>
      <c r="R1185" s="54" t="str">
        <f t="shared" si="189"/>
        <v/>
      </c>
      <c r="S1185" s="30"/>
      <c r="T1185" s="33"/>
    </row>
    <row r="1186" spans="1:20" x14ac:dyDescent="0.25">
      <c r="A1186" s="30"/>
      <c r="B1186" s="37" t="str">
        <f t="shared" si="180"/>
        <v/>
      </c>
      <c r="C1186" s="30"/>
      <c r="D1186" s="34" t="str">
        <f t="shared" si="181"/>
        <v/>
      </c>
      <c r="E1186" s="34" t="str">
        <f t="shared" si="182"/>
        <v/>
      </c>
      <c r="F1186" s="34" t="str">
        <f t="shared" si="183"/>
        <v/>
      </c>
      <c r="G1186" s="35" t="str">
        <f t="shared" si="184"/>
        <v/>
      </c>
      <c r="H1186" s="30"/>
      <c r="I1186" s="36" t="str">
        <f t="shared" si="185"/>
        <v/>
      </c>
      <c r="J1186" s="34" t="str">
        <f t="shared" si="186"/>
        <v/>
      </c>
      <c r="K1186" s="49"/>
      <c r="L1186" s="55" t="str">
        <f t="shared" si="187"/>
        <v/>
      </c>
      <c r="M1186" s="54" t="str">
        <f t="shared" si="188"/>
        <v/>
      </c>
      <c r="N1186" s="30"/>
      <c r="O1186" s="31"/>
      <c r="P1186" s="53"/>
      <c r="Q1186" s="33"/>
      <c r="R1186" s="54" t="str">
        <f t="shared" si="189"/>
        <v/>
      </c>
      <c r="S1186" s="30"/>
      <c r="T1186" s="33"/>
    </row>
    <row r="1187" spans="1:20" x14ac:dyDescent="0.25">
      <c r="A1187" s="30"/>
      <c r="B1187" s="37" t="str">
        <f t="shared" si="180"/>
        <v/>
      </c>
      <c r="C1187" s="30"/>
      <c r="D1187" s="34" t="str">
        <f t="shared" si="181"/>
        <v/>
      </c>
      <c r="E1187" s="34" t="str">
        <f t="shared" si="182"/>
        <v/>
      </c>
      <c r="F1187" s="34" t="str">
        <f t="shared" si="183"/>
        <v/>
      </c>
      <c r="G1187" s="35" t="str">
        <f t="shared" si="184"/>
        <v/>
      </c>
      <c r="H1187" s="30"/>
      <c r="I1187" s="36" t="str">
        <f t="shared" si="185"/>
        <v/>
      </c>
      <c r="J1187" s="34" t="str">
        <f t="shared" si="186"/>
        <v/>
      </c>
      <c r="K1187" s="49"/>
      <c r="L1187" s="55" t="str">
        <f t="shared" si="187"/>
        <v/>
      </c>
      <c r="M1187" s="54" t="str">
        <f t="shared" si="188"/>
        <v/>
      </c>
      <c r="N1187" s="30"/>
      <c r="O1187" s="31"/>
      <c r="P1187" s="53"/>
      <c r="Q1187" s="33"/>
      <c r="R1187" s="54" t="str">
        <f t="shared" si="189"/>
        <v/>
      </c>
      <c r="S1187" s="30"/>
      <c r="T1187" s="33"/>
    </row>
    <row r="1188" spans="1:20" x14ac:dyDescent="0.25">
      <c r="A1188" s="30"/>
      <c r="B1188" s="37" t="str">
        <f t="shared" si="180"/>
        <v/>
      </c>
      <c r="C1188" s="30"/>
      <c r="D1188" s="34" t="str">
        <f t="shared" si="181"/>
        <v/>
      </c>
      <c r="E1188" s="34" t="str">
        <f t="shared" si="182"/>
        <v/>
      </c>
      <c r="F1188" s="34" t="str">
        <f t="shared" si="183"/>
        <v/>
      </c>
      <c r="G1188" s="35" t="str">
        <f t="shared" si="184"/>
        <v/>
      </c>
      <c r="H1188" s="30"/>
      <c r="I1188" s="36" t="str">
        <f t="shared" si="185"/>
        <v/>
      </c>
      <c r="J1188" s="34" t="str">
        <f t="shared" si="186"/>
        <v/>
      </c>
      <c r="K1188" s="49"/>
      <c r="L1188" s="55" t="str">
        <f t="shared" si="187"/>
        <v/>
      </c>
      <c r="M1188" s="54" t="str">
        <f t="shared" si="188"/>
        <v/>
      </c>
      <c r="N1188" s="30"/>
      <c r="O1188" s="31"/>
      <c r="P1188" s="53"/>
      <c r="Q1188" s="33"/>
      <c r="R1188" s="54" t="str">
        <f t="shared" si="189"/>
        <v/>
      </c>
      <c r="S1188" s="30"/>
      <c r="T1188" s="33"/>
    </row>
    <row r="1189" spans="1:20" x14ac:dyDescent="0.25">
      <c r="A1189" s="30"/>
      <c r="B1189" s="37" t="str">
        <f t="shared" si="180"/>
        <v/>
      </c>
      <c r="C1189" s="30"/>
      <c r="D1189" s="34" t="str">
        <f t="shared" si="181"/>
        <v/>
      </c>
      <c r="E1189" s="34" t="str">
        <f t="shared" si="182"/>
        <v/>
      </c>
      <c r="F1189" s="34" t="str">
        <f t="shared" si="183"/>
        <v/>
      </c>
      <c r="G1189" s="35" t="str">
        <f t="shared" si="184"/>
        <v/>
      </c>
      <c r="H1189" s="30"/>
      <c r="I1189" s="36" t="str">
        <f t="shared" si="185"/>
        <v/>
      </c>
      <c r="J1189" s="34" t="str">
        <f t="shared" si="186"/>
        <v/>
      </c>
      <c r="K1189" s="49"/>
      <c r="L1189" s="55" t="str">
        <f t="shared" si="187"/>
        <v/>
      </c>
      <c r="M1189" s="54" t="str">
        <f t="shared" si="188"/>
        <v/>
      </c>
      <c r="N1189" s="30"/>
      <c r="O1189" s="31"/>
      <c r="P1189" s="53"/>
      <c r="Q1189" s="33"/>
      <c r="R1189" s="54" t="str">
        <f t="shared" si="189"/>
        <v/>
      </c>
      <c r="S1189" s="30"/>
      <c r="T1189" s="33"/>
    </row>
    <row r="1190" spans="1:20" x14ac:dyDescent="0.25">
      <c r="A1190" s="30"/>
      <c r="B1190" s="37" t="str">
        <f t="shared" si="180"/>
        <v/>
      </c>
      <c r="C1190" s="30"/>
      <c r="D1190" s="34" t="str">
        <f t="shared" si="181"/>
        <v/>
      </c>
      <c r="E1190" s="34" t="str">
        <f t="shared" si="182"/>
        <v/>
      </c>
      <c r="F1190" s="34" t="str">
        <f t="shared" si="183"/>
        <v/>
      </c>
      <c r="G1190" s="35" t="str">
        <f t="shared" si="184"/>
        <v/>
      </c>
      <c r="H1190" s="30"/>
      <c r="I1190" s="36" t="str">
        <f t="shared" si="185"/>
        <v/>
      </c>
      <c r="J1190" s="34" t="str">
        <f t="shared" si="186"/>
        <v/>
      </c>
      <c r="K1190" s="49"/>
      <c r="L1190" s="55" t="str">
        <f t="shared" si="187"/>
        <v/>
      </c>
      <c r="M1190" s="54" t="str">
        <f t="shared" si="188"/>
        <v/>
      </c>
      <c r="N1190" s="30"/>
      <c r="O1190" s="31"/>
      <c r="P1190" s="53"/>
      <c r="Q1190" s="33"/>
      <c r="R1190" s="54" t="str">
        <f t="shared" si="189"/>
        <v/>
      </c>
      <c r="S1190" s="30"/>
      <c r="T1190" s="33"/>
    </row>
    <row r="1191" spans="1:20" x14ac:dyDescent="0.25">
      <c r="A1191" s="30"/>
      <c r="B1191" s="37" t="str">
        <f t="shared" si="180"/>
        <v/>
      </c>
      <c r="C1191" s="30"/>
      <c r="D1191" s="34" t="str">
        <f t="shared" si="181"/>
        <v/>
      </c>
      <c r="E1191" s="34" t="str">
        <f t="shared" si="182"/>
        <v/>
      </c>
      <c r="F1191" s="34" t="str">
        <f t="shared" si="183"/>
        <v/>
      </c>
      <c r="G1191" s="35" t="str">
        <f t="shared" si="184"/>
        <v/>
      </c>
      <c r="H1191" s="30"/>
      <c r="I1191" s="36" t="str">
        <f t="shared" si="185"/>
        <v/>
      </c>
      <c r="J1191" s="34" t="str">
        <f t="shared" si="186"/>
        <v/>
      </c>
      <c r="K1191" s="49"/>
      <c r="L1191" s="55" t="str">
        <f t="shared" si="187"/>
        <v/>
      </c>
      <c r="M1191" s="54" t="str">
        <f t="shared" si="188"/>
        <v/>
      </c>
      <c r="N1191" s="30"/>
      <c r="O1191" s="31"/>
      <c r="P1191" s="53"/>
      <c r="Q1191" s="33"/>
      <c r="R1191" s="54" t="str">
        <f t="shared" si="189"/>
        <v/>
      </c>
      <c r="S1191" s="30"/>
      <c r="T1191" s="33"/>
    </row>
    <row r="1192" spans="1:20" x14ac:dyDescent="0.25">
      <c r="A1192" s="30"/>
      <c r="B1192" s="37" t="str">
        <f t="shared" si="180"/>
        <v/>
      </c>
      <c r="C1192" s="30"/>
      <c r="D1192" s="34" t="str">
        <f t="shared" si="181"/>
        <v/>
      </c>
      <c r="E1192" s="34" t="str">
        <f t="shared" si="182"/>
        <v/>
      </c>
      <c r="F1192" s="34" t="str">
        <f t="shared" si="183"/>
        <v/>
      </c>
      <c r="G1192" s="35" t="str">
        <f t="shared" si="184"/>
        <v/>
      </c>
      <c r="H1192" s="30"/>
      <c r="I1192" s="36" t="str">
        <f t="shared" si="185"/>
        <v/>
      </c>
      <c r="J1192" s="34" t="str">
        <f t="shared" si="186"/>
        <v/>
      </c>
      <c r="K1192" s="49"/>
      <c r="L1192" s="55" t="str">
        <f t="shared" si="187"/>
        <v/>
      </c>
      <c r="M1192" s="54" t="str">
        <f t="shared" si="188"/>
        <v/>
      </c>
      <c r="N1192" s="30"/>
      <c r="O1192" s="31"/>
      <c r="P1192" s="53"/>
      <c r="Q1192" s="33"/>
      <c r="R1192" s="54" t="str">
        <f t="shared" si="189"/>
        <v/>
      </c>
      <c r="S1192" s="30"/>
      <c r="T1192" s="33"/>
    </row>
    <row r="1193" spans="1:20" x14ac:dyDescent="0.25">
      <c r="A1193" s="30"/>
      <c r="B1193" s="37" t="str">
        <f t="shared" si="180"/>
        <v/>
      </c>
      <c r="C1193" s="30"/>
      <c r="D1193" s="34" t="str">
        <f t="shared" si="181"/>
        <v/>
      </c>
      <c r="E1193" s="34" t="str">
        <f t="shared" si="182"/>
        <v/>
      </c>
      <c r="F1193" s="34" t="str">
        <f t="shared" si="183"/>
        <v/>
      </c>
      <c r="G1193" s="35" t="str">
        <f t="shared" si="184"/>
        <v/>
      </c>
      <c r="H1193" s="30"/>
      <c r="I1193" s="36" t="str">
        <f t="shared" si="185"/>
        <v/>
      </c>
      <c r="J1193" s="34" t="str">
        <f t="shared" si="186"/>
        <v/>
      </c>
      <c r="K1193" s="49"/>
      <c r="L1193" s="55" t="str">
        <f t="shared" si="187"/>
        <v/>
      </c>
      <c r="M1193" s="54" t="str">
        <f t="shared" si="188"/>
        <v/>
      </c>
      <c r="N1193" s="30"/>
      <c r="O1193" s="31"/>
      <c r="P1193" s="53"/>
      <c r="Q1193" s="33"/>
      <c r="R1193" s="54" t="str">
        <f t="shared" si="189"/>
        <v/>
      </c>
      <c r="S1193" s="30"/>
      <c r="T1193" s="33"/>
    </row>
    <row r="1194" spans="1:20" x14ac:dyDescent="0.25">
      <c r="A1194" s="30"/>
      <c r="B1194" s="37" t="str">
        <f t="shared" si="180"/>
        <v/>
      </c>
      <c r="C1194" s="30"/>
      <c r="D1194" s="34" t="str">
        <f t="shared" si="181"/>
        <v/>
      </c>
      <c r="E1194" s="34" t="str">
        <f t="shared" si="182"/>
        <v/>
      </c>
      <c r="F1194" s="34" t="str">
        <f t="shared" si="183"/>
        <v/>
      </c>
      <c r="G1194" s="35" t="str">
        <f t="shared" si="184"/>
        <v/>
      </c>
      <c r="H1194" s="30"/>
      <c r="I1194" s="36" t="str">
        <f t="shared" si="185"/>
        <v/>
      </c>
      <c r="J1194" s="34" t="str">
        <f t="shared" si="186"/>
        <v/>
      </c>
      <c r="K1194" s="49"/>
      <c r="L1194" s="55" t="str">
        <f t="shared" si="187"/>
        <v/>
      </c>
      <c r="M1194" s="54" t="str">
        <f t="shared" si="188"/>
        <v/>
      </c>
      <c r="N1194" s="30"/>
      <c r="O1194" s="31"/>
      <c r="P1194" s="53"/>
      <c r="Q1194" s="33"/>
      <c r="R1194" s="54" t="str">
        <f t="shared" si="189"/>
        <v/>
      </c>
      <c r="S1194" s="30"/>
      <c r="T1194" s="33"/>
    </row>
    <row r="1195" spans="1:20" x14ac:dyDescent="0.25">
      <c r="A1195" s="30"/>
      <c r="B1195" s="37" t="str">
        <f t="shared" si="180"/>
        <v/>
      </c>
      <c r="C1195" s="30"/>
      <c r="D1195" s="34" t="str">
        <f t="shared" si="181"/>
        <v/>
      </c>
      <c r="E1195" s="34" t="str">
        <f t="shared" si="182"/>
        <v/>
      </c>
      <c r="F1195" s="34" t="str">
        <f t="shared" si="183"/>
        <v/>
      </c>
      <c r="G1195" s="35" t="str">
        <f t="shared" si="184"/>
        <v/>
      </c>
      <c r="H1195" s="30"/>
      <c r="I1195" s="36" t="str">
        <f t="shared" si="185"/>
        <v/>
      </c>
      <c r="J1195" s="34" t="str">
        <f t="shared" si="186"/>
        <v/>
      </c>
      <c r="K1195" s="49"/>
      <c r="L1195" s="55" t="str">
        <f t="shared" si="187"/>
        <v/>
      </c>
      <c r="M1195" s="54" t="str">
        <f t="shared" si="188"/>
        <v/>
      </c>
      <c r="N1195" s="30"/>
      <c r="O1195" s="31"/>
      <c r="P1195" s="53"/>
      <c r="Q1195" s="33"/>
      <c r="R1195" s="54" t="str">
        <f t="shared" si="189"/>
        <v/>
      </c>
      <c r="S1195" s="30"/>
      <c r="T1195" s="33"/>
    </row>
    <row r="1196" spans="1:20" x14ac:dyDescent="0.25">
      <c r="A1196" s="30"/>
      <c r="B1196" s="37" t="str">
        <f t="shared" si="180"/>
        <v/>
      </c>
      <c r="C1196" s="30"/>
      <c r="D1196" s="34" t="str">
        <f t="shared" si="181"/>
        <v/>
      </c>
      <c r="E1196" s="34" t="str">
        <f t="shared" si="182"/>
        <v/>
      </c>
      <c r="F1196" s="34" t="str">
        <f t="shared" si="183"/>
        <v/>
      </c>
      <c r="G1196" s="35" t="str">
        <f t="shared" si="184"/>
        <v/>
      </c>
      <c r="H1196" s="30"/>
      <c r="I1196" s="36" t="str">
        <f t="shared" si="185"/>
        <v/>
      </c>
      <c r="J1196" s="34" t="str">
        <f t="shared" si="186"/>
        <v/>
      </c>
      <c r="K1196" s="49"/>
      <c r="L1196" s="55" t="str">
        <f t="shared" si="187"/>
        <v/>
      </c>
      <c r="M1196" s="54" t="str">
        <f t="shared" si="188"/>
        <v/>
      </c>
      <c r="N1196" s="30"/>
      <c r="O1196" s="31"/>
      <c r="P1196" s="53"/>
      <c r="Q1196" s="33"/>
      <c r="R1196" s="54" t="str">
        <f t="shared" si="189"/>
        <v/>
      </c>
      <c r="S1196" s="30"/>
      <c r="T1196" s="33"/>
    </row>
    <row r="1197" spans="1:20" x14ac:dyDescent="0.25">
      <c r="A1197" s="30"/>
      <c r="B1197" s="37" t="str">
        <f t="shared" si="180"/>
        <v/>
      </c>
      <c r="C1197" s="30"/>
      <c r="D1197" s="34" t="str">
        <f t="shared" si="181"/>
        <v/>
      </c>
      <c r="E1197" s="34" t="str">
        <f t="shared" si="182"/>
        <v/>
      </c>
      <c r="F1197" s="34" t="str">
        <f t="shared" si="183"/>
        <v/>
      </c>
      <c r="G1197" s="35" t="str">
        <f t="shared" si="184"/>
        <v/>
      </c>
      <c r="H1197" s="30"/>
      <c r="I1197" s="36" t="str">
        <f t="shared" si="185"/>
        <v/>
      </c>
      <c r="J1197" s="34" t="str">
        <f t="shared" si="186"/>
        <v/>
      </c>
      <c r="K1197" s="49"/>
      <c r="L1197" s="55" t="str">
        <f t="shared" si="187"/>
        <v/>
      </c>
      <c r="M1197" s="54" t="str">
        <f t="shared" si="188"/>
        <v/>
      </c>
      <c r="N1197" s="30"/>
      <c r="O1197" s="31"/>
      <c r="P1197" s="53"/>
      <c r="Q1197" s="33"/>
      <c r="R1197" s="54" t="str">
        <f t="shared" si="189"/>
        <v/>
      </c>
      <c r="S1197" s="30"/>
      <c r="T1197" s="33"/>
    </row>
    <row r="1198" spans="1:20" x14ac:dyDescent="0.25">
      <c r="A1198" s="30"/>
      <c r="B1198" s="37" t="str">
        <f t="shared" si="180"/>
        <v/>
      </c>
      <c r="C1198" s="30"/>
      <c r="D1198" s="34" t="str">
        <f t="shared" si="181"/>
        <v/>
      </c>
      <c r="E1198" s="34" t="str">
        <f t="shared" si="182"/>
        <v/>
      </c>
      <c r="F1198" s="34" t="str">
        <f t="shared" si="183"/>
        <v/>
      </c>
      <c r="G1198" s="35" t="str">
        <f t="shared" si="184"/>
        <v/>
      </c>
      <c r="H1198" s="30"/>
      <c r="I1198" s="36" t="str">
        <f t="shared" si="185"/>
        <v/>
      </c>
      <c r="J1198" s="34" t="str">
        <f t="shared" si="186"/>
        <v/>
      </c>
      <c r="K1198" s="49"/>
      <c r="L1198" s="55" t="str">
        <f t="shared" si="187"/>
        <v/>
      </c>
      <c r="M1198" s="54" t="str">
        <f t="shared" si="188"/>
        <v/>
      </c>
      <c r="N1198" s="30"/>
      <c r="O1198" s="31"/>
      <c r="P1198" s="53"/>
      <c r="Q1198" s="33"/>
      <c r="R1198" s="54" t="str">
        <f t="shared" si="189"/>
        <v/>
      </c>
      <c r="S1198" s="30"/>
      <c r="T1198" s="33"/>
    </row>
    <row r="1199" spans="1:20" x14ac:dyDescent="0.25">
      <c r="A1199" s="30"/>
      <c r="B1199" s="37" t="str">
        <f t="shared" si="180"/>
        <v/>
      </c>
      <c r="C1199" s="30"/>
      <c r="D1199" s="34" t="str">
        <f t="shared" si="181"/>
        <v/>
      </c>
      <c r="E1199" s="34" t="str">
        <f t="shared" si="182"/>
        <v/>
      </c>
      <c r="F1199" s="34" t="str">
        <f t="shared" si="183"/>
        <v/>
      </c>
      <c r="G1199" s="35" t="str">
        <f t="shared" si="184"/>
        <v/>
      </c>
      <c r="H1199" s="30"/>
      <c r="I1199" s="36" t="str">
        <f t="shared" si="185"/>
        <v/>
      </c>
      <c r="J1199" s="34" t="str">
        <f t="shared" si="186"/>
        <v/>
      </c>
      <c r="K1199" s="49"/>
      <c r="L1199" s="55" t="str">
        <f t="shared" si="187"/>
        <v/>
      </c>
      <c r="M1199" s="54" t="str">
        <f t="shared" si="188"/>
        <v/>
      </c>
      <c r="N1199" s="30"/>
      <c r="O1199" s="31"/>
      <c r="P1199" s="53"/>
      <c r="Q1199" s="33"/>
      <c r="R1199" s="54" t="str">
        <f t="shared" si="189"/>
        <v/>
      </c>
      <c r="S1199" s="30"/>
      <c r="T1199" s="33"/>
    </row>
    <row r="1200" spans="1:20" x14ac:dyDescent="0.25">
      <c r="A1200" s="30"/>
      <c r="B1200" s="37" t="str">
        <f t="shared" si="180"/>
        <v/>
      </c>
      <c r="C1200" s="30"/>
      <c r="D1200" s="34" t="str">
        <f t="shared" si="181"/>
        <v/>
      </c>
      <c r="E1200" s="34" t="str">
        <f t="shared" si="182"/>
        <v/>
      </c>
      <c r="F1200" s="34" t="str">
        <f t="shared" si="183"/>
        <v/>
      </c>
      <c r="G1200" s="35" t="str">
        <f t="shared" si="184"/>
        <v/>
      </c>
      <c r="H1200" s="30"/>
      <c r="I1200" s="36" t="str">
        <f t="shared" si="185"/>
        <v/>
      </c>
      <c r="J1200" s="34" t="str">
        <f t="shared" si="186"/>
        <v/>
      </c>
      <c r="K1200" s="49"/>
      <c r="L1200" s="55" t="str">
        <f t="shared" si="187"/>
        <v/>
      </c>
      <c r="M1200" s="54" t="str">
        <f t="shared" si="188"/>
        <v/>
      </c>
      <c r="N1200" s="30"/>
      <c r="O1200" s="31"/>
      <c r="P1200" s="53"/>
      <c r="Q1200" s="33"/>
      <c r="R1200" s="54" t="str">
        <f t="shared" si="189"/>
        <v/>
      </c>
      <c r="S1200" s="30"/>
      <c r="T1200" s="33"/>
    </row>
    <row r="1201" spans="1:20" x14ac:dyDescent="0.25">
      <c r="A1201" s="30"/>
      <c r="B1201" s="37" t="str">
        <f t="shared" si="180"/>
        <v/>
      </c>
      <c r="C1201" s="30"/>
      <c r="D1201" s="34" t="str">
        <f t="shared" si="181"/>
        <v/>
      </c>
      <c r="E1201" s="34" t="str">
        <f t="shared" si="182"/>
        <v/>
      </c>
      <c r="F1201" s="34" t="str">
        <f t="shared" si="183"/>
        <v/>
      </c>
      <c r="G1201" s="35" t="str">
        <f t="shared" si="184"/>
        <v/>
      </c>
      <c r="H1201" s="30"/>
      <c r="I1201" s="36" t="str">
        <f t="shared" si="185"/>
        <v/>
      </c>
      <c r="J1201" s="34" t="str">
        <f t="shared" si="186"/>
        <v/>
      </c>
      <c r="K1201" s="49"/>
      <c r="L1201" s="55" t="str">
        <f t="shared" si="187"/>
        <v/>
      </c>
      <c r="M1201" s="54" t="str">
        <f t="shared" si="188"/>
        <v/>
      </c>
      <c r="N1201" s="30"/>
      <c r="O1201" s="31"/>
      <c r="P1201" s="53"/>
      <c r="Q1201" s="33"/>
      <c r="R1201" s="54" t="str">
        <f t="shared" si="189"/>
        <v/>
      </c>
      <c r="S1201" s="30"/>
      <c r="T1201" s="33"/>
    </row>
    <row r="1202" spans="1:20" x14ac:dyDescent="0.25">
      <c r="A1202" s="30"/>
      <c r="B1202" s="37" t="str">
        <f t="shared" si="180"/>
        <v/>
      </c>
      <c r="C1202" s="30"/>
      <c r="D1202" s="34" t="str">
        <f t="shared" si="181"/>
        <v/>
      </c>
      <c r="E1202" s="34" t="str">
        <f t="shared" si="182"/>
        <v/>
      </c>
      <c r="F1202" s="34" t="str">
        <f t="shared" si="183"/>
        <v/>
      </c>
      <c r="G1202" s="35" t="str">
        <f t="shared" si="184"/>
        <v/>
      </c>
      <c r="H1202" s="30"/>
      <c r="I1202" s="36" t="str">
        <f t="shared" si="185"/>
        <v/>
      </c>
      <c r="J1202" s="34" t="str">
        <f t="shared" si="186"/>
        <v/>
      </c>
      <c r="K1202" s="49"/>
      <c r="L1202" s="55" t="str">
        <f t="shared" si="187"/>
        <v/>
      </c>
      <c r="M1202" s="54" t="str">
        <f t="shared" si="188"/>
        <v/>
      </c>
      <c r="N1202" s="30"/>
      <c r="O1202" s="31"/>
      <c r="P1202" s="53"/>
      <c r="Q1202" s="33"/>
      <c r="R1202" s="54" t="str">
        <f t="shared" si="189"/>
        <v/>
      </c>
      <c r="S1202" s="30"/>
      <c r="T1202" s="33"/>
    </row>
    <row r="1203" spans="1:20" x14ac:dyDescent="0.25">
      <c r="A1203" s="30"/>
      <c r="B1203" s="37" t="str">
        <f t="shared" si="180"/>
        <v/>
      </c>
      <c r="C1203" s="30"/>
      <c r="D1203" s="34" t="str">
        <f t="shared" si="181"/>
        <v/>
      </c>
      <c r="E1203" s="34" t="str">
        <f t="shared" si="182"/>
        <v/>
      </c>
      <c r="F1203" s="34" t="str">
        <f t="shared" si="183"/>
        <v/>
      </c>
      <c r="G1203" s="35" t="str">
        <f t="shared" si="184"/>
        <v/>
      </c>
      <c r="H1203" s="30"/>
      <c r="I1203" s="36" t="str">
        <f t="shared" si="185"/>
        <v/>
      </c>
      <c r="J1203" s="34" t="str">
        <f t="shared" si="186"/>
        <v/>
      </c>
      <c r="K1203" s="49"/>
      <c r="L1203" s="55" t="str">
        <f t="shared" si="187"/>
        <v/>
      </c>
      <c r="M1203" s="54" t="str">
        <f t="shared" si="188"/>
        <v/>
      </c>
      <c r="N1203" s="30"/>
      <c r="O1203" s="31"/>
      <c r="P1203" s="53"/>
      <c r="Q1203" s="33"/>
      <c r="R1203" s="54" t="str">
        <f t="shared" si="189"/>
        <v/>
      </c>
      <c r="S1203" s="30"/>
      <c r="T1203" s="33"/>
    </row>
    <row r="1204" spans="1:20" x14ac:dyDescent="0.25">
      <c r="A1204" s="30"/>
      <c r="B1204" s="37" t="str">
        <f t="shared" si="180"/>
        <v/>
      </c>
      <c r="C1204" s="30"/>
      <c r="D1204" s="34" t="str">
        <f t="shared" si="181"/>
        <v/>
      </c>
      <c r="E1204" s="34" t="str">
        <f t="shared" si="182"/>
        <v/>
      </c>
      <c r="F1204" s="34" t="str">
        <f t="shared" si="183"/>
        <v/>
      </c>
      <c r="G1204" s="35" t="str">
        <f t="shared" si="184"/>
        <v/>
      </c>
      <c r="H1204" s="30"/>
      <c r="I1204" s="36" t="str">
        <f t="shared" si="185"/>
        <v/>
      </c>
      <c r="J1204" s="34" t="str">
        <f t="shared" si="186"/>
        <v/>
      </c>
      <c r="K1204" s="49"/>
      <c r="L1204" s="55" t="str">
        <f t="shared" si="187"/>
        <v/>
      </c>
      <c r="M1204" s="54" t="str">
        <f t="shared" si="188"/>
        <v/>
      </c>
      <c r="N1204" s="30"/>
      <c r="O1204" s="31"/>
      <c r="P1204" s="53"/>
      <c r="Q1204" s="33"/>
      <c r="R1204" s="54" t="str">
        <f t="shared" si="189"/>
        <v/>
      </c>
      <c r="S1204" s="30"/>
      <c r="T1204" s="33"/>
    </row>
    <row r="1205" spans="1:20" x14ac:dyDescent="0.25">
      <c r="A1205" s="30"/>
      <c r="B1205" s="37" t="str">
        <f t="shared" ref="B1205:B1268" si="190">IF($G1205="","",EOMONTH($G1205,0))</f>
        <v/>
      </c>
      <c r="C1205" s="30"/>
      <c r="D1205" s="34" t="str">
        <f t="shared" ref="D1205:D1268" si="191">IFERROR(IF($C1205="","",VLOOKUP($C1205,CAD_TAB,2,FALSE)),"")</f>
        <v/>
      </c>
      <c r="E1205" s="34" t="str">
        <f t="shared" ref="E1205:E1268" si="192">IFERROR(IF($C1205="","",VLOOKUP($C1205,CAD_TAB,3,FALSE)),"")</f>
        <v/>
      </c>
      <c r="F1205" s="34" t="str">
        <f t="shared" ref="F1205:F1268" si="193">IFERROR(IF($C1205="","",VLOOKUP($C1205,OS_TAB,7,FALSE)),"")</f>
        <v/>
      </c>
      <c r="G1205" s="35" t="str">
        <f t="shared" ref="G1205:G1268" si="194">IFERROR(IF($C1205="","",VLOOKUP($C1205,OS_TAB,10,FALSE)),"")</f>
        <v/>
      </c>
      <c r="H1205" s="30"/>
      <c r="I1205" s="36" t="str">
        <f t="shared" ref="I1205:I1268" si="195">IFERROR(IF($H1205="","",VLOOKUP($H1205,PRE_TAB,5,FALSE)),"CÓDIGO NÃO ENCONTRADO")</f>
        <v/>
      </c>
      <c r="J1205" s="34" t="str">
        <f t="shared" ref="J1205:J1268" si="196">IFERROR(IF($H1205="","",VLOOKUP($H1205,PRE_TAB,7,FALSE)),"")</f>
        <v/>
      </c>
      <c r="K1205" s="49"/>
      <c r="L1205" s="55" t="str">
        <f t="shared" ref="L1205:L1268" si="197">IFERROR(IF($H1205="","",VLOOKUP($H1205,PRE_TAB,8,FALSE)),0)</f>
        <v/>
      </c>
      <c r="M1205" s="54" t="str">
        <f t="shared" ref="M1205:M1268" si="198">IF($H1205="","",ROUND($K1205*$L1205,2))</f>
        <v/>
      </c>
      <c r="N1205" s="30"/>
      <c r="O1205" s="31"/>
      <c r="P1205" s="53"/>
      <c r="Q1205" s="33"/>
      <c r="R1205" s="54" t="str">
        <f t="shared" ref="R1205:R1268" si="199">IF($H1205="","",$M1205-$P1205)</f>
        <v/>
      </c>
      <c r="S1205" s="30"/>
      <c r="T1205" s="33"/>
    </row>
    <row r="1206" spans="1:20" x14ac:dyDescent="0.25">
      <c r="A1206" s="30"/>
      <c r="B1206" s="37" t="str">
        <f t="shared" si="190"/>
        <v/>
      </c>
      <c r="C1206" s="30"/>
      <c r="D1206" s="34" t="str">
        <f t="shared" si="191"/>
        <v/>
      </c>
      <c r="E1206" s="34" t="str">
        <f t="shared" si="192"/>
        <v/>
      </c>
      <c r="F1206" s="34" t="str">
        <f t="shared" si="193"/>
        <v/>
      </c>
      <c r="G1206" s="35" t="str">
        <f t="shared" si="194"/>
        <v/>
      </c>
      <c r="H1206" s="30"/>
      <c r="I1206" s="36" t="str">
        <f t="shared" si="195"/>
        <v/>
      </c>
      <c r="J1206" s="34" t="str">
        <f t="shared" si="196"/>
        <v/>
      </c>
      <c r="K1206" s="49"/>
      <c r="L1206" s="55" t="str">
        <f t="shared" si="197"/>
        <v/>
      </c>
      <c r="M1206" s="54" t="str">
        <f t="shared" si="198"/>
        <v/>
      </c>
      <c r="N1206" s="30"/>
      <c r="O1206" s="31"/>
      <c r="P1206" s="53"/>
      <c r="Q1206" s="33"/>
      <c r="R1206" s="54" t="str">
        <f t="shared" si="199"/>
        <v/>
      </c>
      <c r="S1206" s="30"/>
      <c r="T1206" s="33"/>
    </row>
    <row r="1207" spans="1:20" x14ac:dyDescent="0.25">
      <c r="A1207" s="30"/>
      <c r="B1207" s="37" t="str">
        <f t="shared" si="190"/>
        <v/>
      </c>
      <c r="C1207" s="30"/>
      <c r="D1207" s="34" t="str">
        <f t="shared" si="191"/>
        <v/>
      </c>
      <c r="E1207" s="34" t="str">
        <f t="shared" si="192"/>
        <v/>
      </c>
      <c r="F1207" s="34" t="str">
        <f t="shared" si="193"/>
        <v/>
      </c>
      <c r="G1207" s="35" t="str">
        <f t="shared" si="194"/>
        <v/>
      </c>
      <c r="H1207" s="30"/>
      <c r="I1207" s="36" t="str">
        <f t="shared" si="195"/>
        <v/>
      </c>
      <c r="J1207" s="34" t="str">
        <f t="shared" si="196"/>
        <v/>
      </c>
      <c r="K1207" s="49"/>
      <c r="L1207" s="55" t="str">
        <f t="shared" si="197"/>
        <v/>
      </c>
      <c r="M1207" s="54" t="str">
        <f t="shared" si="198"/>
        <v/>
      </c>
      <c r="N1207" s="30"/>
      <c r="O1207" s="31"/>
      <c r="P1207" s="53"/>
      <c r="Q1207" s="33"/>
      <c r="R1207" s="54" t="str">
        <f t="shared" si="199"/>
        <v/>
      </c>
      <c r="S1207" s="30"/>
      <c r="T1207" s="33"/>
    </row>
    <row r="1208" spans="1:20" x14ac:dyDescent="0.25">
      <c r="A1208" s="30"/>
      <c r="B1208" s="37" t="str">
        <f t="shared" si="190"/>
        <v/>
      </c>
      <c r="C1208" s="30"/>
      <c r="D1208" s="34" t="str">
        <f t="shared" si="191"/>
        <v/>
      </c>
      <c r="E1208" s="34" t="str">
        <f t="shared" si="192"/>
        <v/>
      </c>
      <c r="F1208" s="34" t="str">
        <f t="shared" si="193"/>
        <v/>
      </c>
      <c r="G1208" s="35" t="str">
        <f t="shared" si="194"/>
        <v/>
      </c>
      <c r="H1208" s="30"/>
      <c r="I1208" s="36" t="str">
        <f t="shared" si="195"/>
        <v/>
      </c>
      <c r="J1208" s="34" t="str">
        <f t="shared" si="196"/>
        <v/>
      </c>
      <c r="K1208" s="49"/>
      <c r="L1208" s="55" t="str">
        <f t="shared" si="197"/>
        <v/>
      </c>
      <c r="M1208" s="54" t="str">
        <f t="shared" si="198"/>
        <v/>
      </c>
      <c r="N1208" s="30"/>
      <c r="O1208" s="31"/>
      <c r="P1208" s="53"/>
      <c r="Q1208" s="33"/>
      <c r="R1208" s="54" t="str">
        <f t="shared" si="199"/>
        <v/>
      </c>
      <c r="S1208" s="30"/>
      <c r="T1208" s="33"/>
    </row>
    <row r="1209" spans="1:20" x14ac:dyDescent="0.25">
      <c r="A1209" s="30"/>
      <c r="B1209" s="37" t="str">
        <f t="shared" si="190"/>
        <v/>
      </c>
      <c r="C1209" s="30"/>
      <c r="D1209" s="34" t="str">
        <f t="shared" si="191"/>
        <v/>
      </c>
      <c r="E1209" s="34" t="str">
        <f t="shared" si="192"/>
        <v/>
      </c>
      <c r="F1209" s="34" t="str">
        <f t="shared" si="193"/>
        <v/>
      </c>
      <c r="G1209" s="35" t="str">
        <f t="shared" si="194"/>
        <v/>
      </c>
      <c r="H1209" s="30"/>
      <c r="I1209" s="36" t="str">
        <f t="shared" si="195"/>
        <v/>
      </c>
      <c r="J1209" s="34" t="str">
        <f t="shared" si="196"/>
        <v/>
      </c>
      <c r="K1209" s="49"/>
      <c r="L1209" s="55" t="str">
        <f t="shared" si="197"/>
        <v/>
      </c>
      <c r="M1209" s="54" t="str">
        <f t="shared" si="198"/>
        <v/>
      </c>
      <c r="N1209" s="30"/>
      <c r="O1209" s="31"/>
      <c r="P1209" s="53"/>
      <c r="Q1209" s="33"/>
      <c r="R1209" s="54" t="str">
        <f t="shared" si="199"/>
        <v/>
      </c>
      <c r="S1209" s="30"/>
      <c r="T1209" s="33"/>
    </row>
    <row r="1210" spans="1:20" x14ac:dyDescent="0.25">
      <c r="A1210" s="30"/>
      <c r="B1210" s="37" t="str">
        <f t="shared" si="190"/>
        <v/>
      </c>
      <c r="C1210" s="30"/>
      <c r="D1210" s="34" t="str">
        <f t="shared" si="191"/>
        <v/>
      </c>
      <c r="E1210" s="34" t="str">
        <f t="shared" si="192"/>
        <v/>
      </c>
      <c r="F1210" s="34" t="str">
        <f t="shared" si="193"/>
        <v/>
      </c>
      <c r="G1210" s="35" t="str">
        <f t="shared" si="194"/>
        <v/>
      </c>
      <c r="H1210" s="30"/>
      <c r="I1210" s="36" t="str">
        <f t="shared" si="195"/>
        <v/>
      </c>
      <c r="J1210" s="34" t="str">
        <f t="shared" si="196"/>
        <v/>
      </c>
      <c r="K1210" s="49"/>
      <c r="L1210" s="55" t="str">
        <f t="shared" si="197"/>
        <v/>
      </c>
      <c r="M1210" s="54" t="str">
        <f t="shared" si="198"/>
        <v/>
      </c>
      <c r="N1210" s="30"/>
      <c r="O1210" s="31"/>
      <c r="P1210" s="53"/>
      <c r="Q1210" s="33"/>
      <c r="R1210" s="54" t="str">
        <f t="shared" si="199"/>
        <v/>
      </c>
      <c r="S1210" s="30"/>
      <c r="T1210" s="33"/>
    </row>
    <row r="1211" spans="1:20" x14ac:dyDescent="0.25">
      <c r="A1211" s="30"/>
      <c r="B1211" s="37" t="str">
        <f t="shared" si="190"/>
        <v/>
      </c>
      <c r="C1211" s="30"/>
      <c r="D1211" s="34" t="str">
        <f t="shared" si="191"/>
        <v/>
      </c>
      <c r="E1211" s="34" t="str">
        <f t="shared" si="192"/>
        <v/>
      </c>
      <c r="F1211" s="34" t="str">
        <f t="shared" si="193"/>
        <v/>
      </c>
      <c r="G1211" s="35" t="str">
        <f t="shared" si="194"/>
        <v/>
      </c>
      <c r="H1211" s="30"/>
      <c r="I1211" s="36" t="str">
        <f t="shared" si="195"/>
        <v/>
      </c>
      <c r="J1211" s="34" t="str">
        <f t="shared" si="196"/>
        <v/>
      </c>
      <c r="K1211" s="49"/>
      <c r="L1211" s="55" t="str">
        <f t="shared" si="197"/>
        <v/>
      </c>
      <c r="M1211" s="54" t="str">
        <f t="shared" si="198"/>
        <v/>
      </c>
      <c r="N1211" s="30"/>
      <c r="O1211" s="31"/>
      <c r="P1211" s="53"/>
      <c r="Q1211" s="33"/>
      <c r="R1211" s="54" t="str">
        <f t="shared" si="199"/>
        <v/>
      </c>
      <c r="S1211" s="30"/>
      <c r="T1211" s="33"/>
    </row>
    <row r="1212" spans="1:20" x14ac:dyDescent="0.25">
      <c r="A1212" s="30"/>
      <c r="B1212" s="37" t="str">
        <f t="shared" si="190"/>
        <v/>
      </c>
      <c r="C1212" s="30"/>
      <c r="D1212" s="34" t="str">
        <f t="shared" si="191"/>
        <v/>
      </c>
      <c r="E1212" s="34" t="str">
        <f t="shared" si="192"/>
        <v/>
      </c>
      <c r="F1212" s="34" t="str">
        <f t="shared" si="193"/>
        <v/>
      </c>
      <c r="G1212" s="35" t="str">
        <f t="shared" si="194"/>
        <v/>
      </c>
      <c r="H1212" s="30"/>
      <c r="I1212" s="36" t="str">
        <f t="shared" si="195"/>
        <v/>
      </c>
      <c r="J1212" s="34" t="str">
        <f t="shared" si="196"/>
        <v/>
      </c>
      <c r="K1212" s="49"/>
      <c r="L1212" s="55" t="str">
        <f t="shared" si="197"/>
        <v/>
      </c>
      <c r="M1212" s="54" t="str">
        <f t="shared" si="198"/>
        <v/>
      </c>
      <c r="N1212" s="30"/>
      <c r="O1212" s="31"/>
      <c r="P1212" s="53"/>
      <c r="Q1212" s="33"/>
      <c r="R1212" s="54" t="str">
        <f t="shared" si="199"/>
        <v/>
      </c>
      <c r="S1212" s="30"/>
      <c r="T1212" s="33"/>
    </row>
    <row r="1213" spans="1:20" x14ac:dyDescent="0.25">
      <c r="A1213" s="30"/>
      <c r="B1213" s="37" t="str">
        <f t="shared" si="190"/>
        <v/>
      </c>
      <c r="C1213" s="30"/>
      <c r="D1213" s="34" t="str">
        <f t="shared" si="191"/>
        <v/>
      </c>
      <c r="E1213" s="34" t="str">
        <f t="shared" si="192"/>
        <v/>
      </c>
      <c r="F1213" s="34" t="str">
        <f t="shared" si="193"/>
        <v/>
      </c>
      <c r="G1213" s="35" t="str">
        <f t="shared" si="194"/>
        <v/>
      </c>
      <c r="H1213" s="30"/>
      <c r="I1213" s="36" t="str">
        <f t="shared" si="195"/>
        <v/>
      </c>
      <c r="J1213" s="34" t="str">
        <f t="shared" si="196"/>
        <v/>
      </c>
      <c r="K1213" s="49"/>
      <c r="L1213" s="55" t="str">
        <f t="shared" si="197"/>
        <v/>
      </c>
      <c r="M1213" s="54" t="str">
        <f t="shared" si="198"/>
        <v/>
      </c>
      <c r="N1213" s="30"/>
      <c r="O1213" s="31"/>
      <c r="P1213" s="53"/>
      <c r="Q1213" s="33"/>
      <c r="R1213" s="54" t="str">
        <f t="shared" si="199"/>
        <v/>
      </c>
      <c r="S1213" s="30"/>
      <c r="T1213" s="33"/>
    </row>
    <row r="1214" spans="1:20" x14ac:dyDescent="0.25">
      <c r="A1214" s="30"/>
      <c r="B1214" s="37" t="str">
        <f t="shared" si="190"/>
        <v/>
      </c>
      <c r="C1214" s="30"/>
      <c r="D1214" s="34" t="str">
        <f t="shared" si="191"/>
        <v/>
      </c>
      <c r="E1214" s="34" t="str">
        <f t="shared" si="192"/>
        <v/>
      </c>
      <c r="F1214" s="34" t="str">
        <f t="shared" si="193"/>
        <v/>
      </c>
      <c r="G1214" s="35" t="str">
        <f t="shared" si="194"/>
        <v/>
      </c>
      <c r="H1214" s="30"/>
      <c r="I1214" s="36" t="str">
        <f t="shared" si="195"/>
        <v/>
      </c>
      <c r="J1214" s="34" t="str">
        <f t="shared" si="196"/>
        <v/>
      </c>
      <c r="K1214" s="49"/>
      <c r="L1214" s="55" t="str">
        <f t="shared" si="197"/>
        <v/>
      </c>
      <c r="M1214" s="54" t="str">
        <f t="shared" si="198"/>
        <v/>
      </c>
      <c r="N1214" s="30"/>
      <c r="O1214" s="31"/>
      <c r="P1214" s="53"/>
      <c r="Q1214" s="33"/>
      <c r="R1214" s="54" t="str">
        <f t="shared" si="199"/>
        <v/>
      </c>
      <c r="S1214" s="30"/>
      <c r="T1214" s="33"/>
    </row>
    <row r="1215" spans="1:20" x14ac:dyDescent="0.25">
      <c r="A1215" s="30"/>
      <c r="B1215" s="37" t="str">
        <f t="shared" si="190"/>
        <v/>
      </c>
      <c r="C1215" s="30"/>
      <c r="D1215" s="34" t="str">
        <f t="shared" si="191"/>
        <v/>
      </c>
      <c r="E1215" s="34" t="str">
        <f t="shared" si="192"/>
        <v/>
      </c>
      <c r="F1215" s="34" t="str">
        <f t="shared" si="193"/>
        <v/>
      </c>
      <c r="G1215" s="35" t="str">
        <f t="shared" si="194"/>
        <v/>
      </c>
      <c r="H1215" s="30"/>
      <c r="I1215" s="36" t="str">
        <f t="shared" si="195"/>
        <v/>
      </c>
      <c r="J1215" s="34" t="str">
        <f t="shared" si="196"/>
        <v/>
      </c>
      <c r="K1215" s="49"/>
      <c r="L1215" s="55" t="str">
        <f t="shared" si="197"/>
        <v/>
      </c>
      <c r="M1215" s="54" t="str">
        <f t="shared" si="198"/>
        <v/>
      </c>
      <c r="N1215" s="30"/>
      <c r="O1215" s="31"/>
      <c r="P1215" s="53"/>
      <c r="Q1215" s="33"/>
      <c r="R1215" s="54" t="str">
        <f t="shared" si="199"/>
        <v/>
      </c>
      <c r="S1215" s="30"/>
      <c r="T1215" s="33"/>
    </row>
    <row r="1216" spans="1:20" x14ac:dyDescent="0.25">
      <c r="A1216" s="30"/>
      <c r="B1216" s="37" t="str">
        <f t="shared" si="190"/>
        <v/>
      </c>
      <c r="C1216" s="30"/>
      <c r="D1216" s="34" t="str">
        <f t="shared" si="191"/>
        <v/>
      </c>
      <c r="E1216" s="34" t="str">
        <f t="shared" si="192"/>
        <v/>
      </c>
      <c r="F1216" s="34" t="str">
        <f t="shared" si="193"/>
        <v/>
      </c>
      <c r="G1216" s="35" t="str">
        <f t="shared" si="194"/>
        <v/>
      </c>
      <c r="H1216" s="30"/>
      <c r="I1216" s="36" t="str">
        <f t="shared" si="195"/>
        <v/>
      </c>
      <c r="J1216" s="34" t="str">
        <f t="shared" si="196"/>
        <v/>
      </c>
      <c r="K1216" s="49"/>
      <c r="L1216" s="55" t="str">
        <f t="shared" si="197"/>
        <v/>
      </c>
      <c r="M1216" s="54" t="str">
        <f t="shared" si="198"/>
        <v/>
      </c>
      <c r="N1216" s="30"/>
      <c r="O1216" s="31"/>
      <c r="P1216" s="53"/>
      <c r="Q1216" s="33"/>
      <c r="R1216" s="54" t="str">
        <f t="shared" si="199"/>
        <v/>
      </c>
      <c r="S1216" s="30"/>
      <c r="T1216" s="33"/>
    </row>
    <row r="1217" spans="1:20" x14ac:dyDescent="0.25">
      <c r="A1217" s="30"/>
      <c r="B1217" s="37" t="str">
        <f t="shared" si="190"/>
        <v/>
      </c>
      <c r="C1217" s="30"/>
      <c r="D1217" s="34" t="str">
        <f t="shared" si="191"/>
        <v/>
      </c>
      <c r="E1217" s="34" t="str">
        <f t="shared" si="192"/>
        <v/>
      </c>
      <c r="F1217" s="34" t="str">
        <f t="shared" si="193"/>
        <v/>
      </c>
      <c r="G1217" s="35" t="str">
        <f t="shared" si="194"/>
        <v/>
      </c>
      <c r="H1217" s="30"/>
      <c r="I1217" s="36" t="str">
        <f t="shared" si="195"/>
        <v/>
      </c>
      <c r="J1217" s="34" t="str">
        <f t="shared" si="196"/>
        <v/>
      </c>
      <c r="K1217" s="49"/>
      <c r="L1217" s="55" t="str">
        <f t="shared" si="197"/>
        <v/>
      </c>
      <c r="M1217" s="54" t="str">
        <f t="shared" si="198"/>
        <v/>
      </c>
      <c r="N1217" s="30"/>
      <c r="O1217" s="31"/>
      <c r="P1217" s="53"/>
      <c r="Q1217" s="33"/>
      <c r="R1217" s="54" t="str">
        <f t="shared" si="199"/>
        <v/>
      </c>
      <c r="S1217" s="30"/>
      <c r="T1217" s="33"/>
    </row>
    <row r="1218" spans="1:20" x14ac:dyDescent="0.25">
      <c r="A1218" s="30"/>
      <c r="B1218" s="37" t="str">
        <f t="shared" si="190"/>
        <v/>
      </c>
      <c r="C1218" s="30"/>
      <c r="D1218" s="34" t="str">
        <f t="shared" si="191"/>
        <v/>
      </c>
      <c r="E1218" s="34" t="str">
        <f t="shared" si="192"/>
        <v/>
      </c>
      <c r="F1218" s="34" t="str">
        <f t="shared" si="193"/>
        <v/>
      </c>
      <c r="G1218" s="35" t="str">
        <f t="shared" si="194"/>
        <v/>
      </c>
      <c r="H1218" s="30"/>
      <c r="I1218" s="36" t="str">
        <f t="shared" si="195"/>
        <v/>
      </c>
      <c r="J1218" s="34" t="str">
        <f t="shared" si="196"/>
        <v/>
      </c>
      <c r="K1218" s="49"/>
      <c r="L1218" s="55" t="str">
        <f t="shared" si="197"/>
        <v/>
      </c>
      <c r="M1218" s="54" t="str">
        <f t="shared" si="198"/>
        <v/>
      </c>
      <c r="N1218" s="30"/>
      <c r="O1218" s="31"/>
      <c r="P1218" s="53"/>
      <c r="Q1218" s="33"/>
      <c r="R1218" s="54" t="str">
        <f t="shared" si="199"/>
        <v/>
      </c>
      <c r="S1218" s="30"/>
      <c r="T1218" s="33"/>
    </row>
    <row r="1219" spans="1:20" x14ac:dyDescent="0.25">
      <c r="A1219" s="30"/>
      <c r="B1219" s="37" t="str">
        <f t="shared" si="190"/>
        <v/>
      </c>
      <c r="C1219" s="30"/>
      <c r="D1219" s="34" t="str">
        <f t="shared" si="191"/>
        <v/>
      </c>
      <c r="E1219" s="34" t="str">
        <f t="shared" si="192"/>
        <v/>
      </c>
      <c r="F1219" s="34" t="str">
        <f t="shared" si="193"/>
        <v/>
      </c>
      <c r="G1219" s="35" t="str">
        <f t="shared" si="194"/>
        <v/>
      </c>
      <c r="H1219" s="30"/>
      <c r="I1219" s="36" t="str">
        <f t="shared" si="195"/>
        <v/>
      </c>
      <c r="J1219" s="34" t="str">
        <f t="shared" si="196"/>
        <v/>
      </c>
      <c r="K1219" s="49"/>
      <c r="L1219" s="55" t="str">
        <f t="shared" si="197"/>
        <v/>
      </c>
      <c r="M1219" s="54" t="str">
        <f t="shared" si="198"/>
        <v/>
      </c>
      <c r="N1219" s="30"/>
      <c r="O1219" s="31"/>
      <c r="P1219" s="53"/>
      <c r="Q1219" s="33"/>
      <c r="R1219" s="54" t="str">
        <f t="shared" si="199"/>
        <v/>
      </c>
      <c r="S1219" s="30"/>
      <c r="T1219" s="33"/>
    </row>
    <row r="1220" spans="1:20" x14ac:dyDescent="0.25">
      <c r="A1220" s="30"/>
      <c r="B1220" s="37" t="str">
        <f t="shared" si="190"/>
        <v/>
      </c>
      <c r="C1220" s="30"/>
      <c r="D1220" s="34" t="str">
        <f t="shared" si="191"/>
        <v/>
      </c>
      <c r="E1220" s="34" t="str">
        <f t="shared" si="192"/>
        <v/>
      </c>
      <c r="F1220" s="34" t="str">
        <f t="shared" si="193"/>
        <v/>
      </c>
      <c r="G1220" s="35" t="str">
        <f t="shared" si="194"/>
        <v/>
      </c>
      <c r="H1220" s="30"/>
      <c r="I1220" s="36" t="str">
        <f t="shared" si="195"/>
        <v/>
      </c>
      <c r="J1220" s="34" t="str">
        <f t="shared" si="196"/>
        <v/>
      </c>
      <c r="K1220" s="49"/>
      <c r="L1220" s="55" t="str">
        <f t="shared" si="197"/>
        <v/>
      </c>
      <c r="M1220" s="54" t="str">
        <f t="shared" si="198"/>
        <v/>
      </c>
      <c r="N1220" s="30"/>
      <c r="O1220" s="31"/>
      <c r="P1220" s="53"/>
      <c r="Q1220" s="33"/>
      <c r="R1220" s="54" t="str">
        <f t="shared" si="199"/>
        <v/>
      </c>
      <c r="S1220" s="30"/>
      <c r="T1220" s="33"/>
    </row>
    <row r="1221" spans="1:20" x14ac:dyDescent="0.25">
      <c r="A1221" s="30"/>
      <c r="B1221" s="37" t="str">
        <f t="shared" si="190"/>
        <v/>
      </c>
      <c r="C1221" s="30"/>
      <c r="D1221" s="34" t="str">
        <f t="shared" si="191"/>
        <v/>
      </c>
      <c r="E1221" s="34" t="str">
        <f t="shared" si="192"/>
        <v/>
      </c>
      <c r="F1221" s="34" t="str">
        <f t="shared" si="193"/>
        <v/>
      </c>
      <c r="G1221" s="35" t="str">
        <f t="shared" si="194"/>
        <v/>
      </c>
      <c r="H1221" s="30"/>
      <c r="I1221" s="36" t="str">
        <f t="shared" si="195"/>
        <v/>
      </c>
      <c r="J1221" s="34" t="str">
        <f t="shared" si="196"/>
        <v/>
      </c>
      <c r="K1221" s="49"/>
      <c r="L1221" s="55" t="str">
        <f t="shared" si="197"/>
        <v/>
      </c>
      <c r="M1221" s="54" t="str">
        <f t="shared" si="198"/>
        <v/>
      </c>
      <c r="N1221" s="30"/>
      <c r="O1221" s="31"/>
      <c r="P1221" s="53"/>
      <c r="Q1221" s="33"/>
      <c r="R1221" s="54" t="str">
        <f t="shared" si="199"/>
        <v/>
      </c>
      <c r="S1221" s="30"/>
      <c r="T1221" s="33"/>
    </row>
    <row r="1222" spans="1:20" x14ac:dyDescent="0.25">
      <c r="A1222" s="30"/>
      <c r="B1222" s="37" t="str">
        <f t="shared" si="190"/>
        <v/>
      </c>
      <c r="C1222" s="30"/>
      <c r="D1222" s="34" t="str">
        <f t="shared" si="191"/>
        <v/>
      </c>
      <c r="E1222" s="34" t="str">
        <f t="shared" si="192"/>
        <v/>
      </c>
      <c r="F1222" s="34" t="str">
        <f t="shared" si="193"/>
        <v/>
      </c>
      <c r="G1222" s="35" t="str">
        <f t="shared" si="194"/>
        <v/>
      </c>
      <c r="H1222" s="30"/>
      <c r="I1222" s="36" t="str">
        <f t="shared" si="195"/>
        <v/>
      </c>
      <c r="J1222" s="34" t="str">
        <f t="shared" si="196"/>
        <v/>
      </c>
      <c r="K1222" s="49"/>
      <c r="L1222" s="55" t="str">
        <f t="shared" si="197"/>
        <v/>
      </c>
      <c r="M1222" s="54" t="str">
        <f t="shared" si="198"/>
        <v/>
      </c>
      <c r="N1222" s="30"/>
      <c r="O1222" s="31"/>
      <c r="P1222" s="53"/>
      <c r="Q1222" s="33"/>
      <c r="R1222" s="54" t="str">
        <f t="shared" si="199"/>
        <v/>
      </c>
      <c r="S1222" s="30"/>
      <c r="T1222" s="33"/>
    </row>
    <row r="1223" spans="1:20" x14ac:dyDescent="0.25">
      <c r="A1223" s="30"/>
      <c r="B1223" s="37" t="str">
        <f t="shared" si="190"/>
        <v/>
      </c>
      <c r="C1223" s="30"/>
      <c r="D1223" s="34" t="str">
        <f t="shared" si="191"/>
        <v/>
      </c>
      <c r="E1223" s="34" t="str">
        <f t="shared" si="192"/>
        <v/>
      </c>
      <c r="F1223" s="34" t="str">
        <f t="shared" si="193"/>
        <v/>
      </c>
      <c r="G1223" s="35" t="str">
        <f t="shared" si="194"/>
        <v/>
      </c>
      <c r="H1223" s="30"/>
      <c r="I1223" s="36" t="str">
        <f t="shared" si="195"/>
        <v/>
      </c>
      <c r="J1223" s="34" t="str">
        <f t="shared" si="196"/>
        <v/>
      </c>
      <c r="K1223" s="49"/>
      <c r="L1223" s="55" t="str">
        <f t="shared" si="197"/>
        <v/>
      </c>
      <c r="M1223" s="54" t="str">
        <f t="shared" si="198"/>
        <v/>
      </c>
      <c r="N1223" s="30"/>
      <c r="O1223" s="31"/>
      <c r="P1223" s="53"/>
      <c r="Q1223" s="33"/>
      <c r="R1223" s="54" t="str">
        <f t="shared" si="199"/>
        <v/>
      </c>
      <c r="S1223" s="30"/>
      <c r="T1223" s="33"/>
    </row>
    <row r="1224" spans="1:20" x14ac:dyDescent="0.25">
      <c r="A1224" s="30"/>
      <c r="B1224" s="37" t="str">
        <f t="shared" si="190"/>
        <v/>
      </c>
      <c r="C1224" s="30"/>
      <c r="D1224" s="34" t="str">
        <f t="shared" si="191"/>
        <v/>
      </c>
      <c r="E1224" s="34" t="str">
        <f t="shared" si="192"/>
        <v/>
      </c>
      <c r="F1224" s="34" t="str">
        <f t="shared" si="193"/>
        <v/>
      </c>
      <c r="G1224" s="35" t="str">
        <f t="shared" si="194"/>
        <v/>
      </c>
      <c r="H1224" s="30"/>
      <c r="I1224" s="36" t="str">
        <f t="shared" si="195"/>
        <v/>
      </c>
      <c r="J1224" s="34" t="str">
        <f t="shared" si="196"/>
        <v/>
      </c>
      <c r="K1224" s="49"/>
      <c r="L1224" s="55" t="str">
        <f t="shared" si="197"/>
        <v/>
      </c>
      <c r="M1224" s="54" t="str">
        <f t="shared" si="198"/>
        <v/>
      </c>
      <c r="N1224" s="30"/>
      <c r="O1224" s="31"/>
      <c r="P1224" s="53"/>
      <c r="Q1224" s="33"/>
      <c r="R1224" s="54" t="str">
        <f t="shared" si="199"/>
        <v/>
      </c>
      <c r="S1224" s="30"/>
      <c r="T1224" s="33"/>
    </row>
    <row r="1225" spans="1:20" x14ac:dyDescent="0.25">
      <c r="A1225" s="30"/>
      <c r="B1225" s="37" t="str">
        <f t="shared" si="190"/>
        <v/>
      </c>
      <c r="C1225" s="30"/>
      <c r="D1225" s="34" t="str">
        <f t="shared" si="191"/>
        <v/>
      </c>
      <c r="E1225" s="34" t="str">
        <f t="shared" si="192"/>
        <v/>
      </c>
      <c r="F1225" s="34" t="str">
        <f t="shared" si="193"/>
        <v/>
      </c>
      <c r="G1225" s="35" t="str">
        <f t="shared" si="194"/>
        <v/>
      </c>
      <c r="H1225" s="30"/>
      <c r="I1225" s="36" t="str">
        <f t="shared" si="195"/>
        <v/>
      </c>
      <c r="J1225" s="34" t="str">
        <f t="shared" si="196"/>
        <v/>
      </c>
      <c r="K1225" s="49"/>
      <c r="L1225" s="55" t="str">
        <f t="shared" si="197"/>
        <v/>
      </c>
      <c r="M1225" s="54" t="str">
        <f t="shared" si="198"/>
        <v/>
      </c>
      <c r="N1225" s="30"/>
      <c r="O1225" s="31"/>
      <c r="P1225" s="53"/>
      <c r="Q1225" s="33"/>
      <c r="R1225" s="54" t="str">
        <f t="shared" si="199"/>
        <v/>
      </c>
      <c r="S1225" s="30"/>
      <c r="T1225" s="33"/>
    </row>
    <row r="1226" spans="1:20" x14ac:dyDescent="0.25">
      <c r="A1226" s="30"/>
      <c r="B1226" s="37" t="str">
        <f t="shared" si="190"/>
        <v/>
      </c>
      <c r="C1226" s="30"/>
      <c r="D1226" s="34" t="str">
        <f t="shared" si="191"/>
        <v/>
      </c>
      <c r="E1226" s="34" t="str">
        <f t="shared" si="192"/>
        <v/>
      </c>
      <c r="F1226" s="34" t="str">
        <f t="shared" si="193"/>
        <v/>
      </c>
      <c r="G1226" s="35" t="str">
        <f t="shared" si="194"/>
        <v/>
      </c>
      <c r="H1226" s="30"/>
      <c r="I1226" s="36" t="str">
        <f t="shared" si="195"/>
        <v/>
      </c>
      <c r="J1226" s="34" t="str">
        <f t="shared" si="196"/>
        <v/>
      </c>
      <c r="K1226" s="49"/>
      <c r="L1226" s="55" t="str">
        <f t="shared" si="197"/>
        <v/>
      </c>
      <c r="M1226" s="54" t="str">
        <f t="shared" si="198"/>
        <v/>
      </c>
      <c r="N1226" s="30"/>
      <c r="O1226" s="31"/>
      <c r="P1226" s="53"/>
      <c r="Q1226" s="33"/>
      <c r="R1226" s="54" t="str">
        <f t="shared" si="199"/>
        <v/>
      </c>
      <c r="S1226" s="30"/>
      <c r="T1226" s="33"/>
    </row>
    <row r="1227" spans="1:20" x14ac:dyDescent="0.25">
      <c r="A1227" s="30"/>
      <c r="B1227" s="37" t="str">
        <f t="shared" si="190"/>
        <v/>
      </c>
      <c r="C1227" s="30"/>
      <c r="D1227" s="34" t="str">
        <f t="shared" si="191"/>
        <v/>
      </c>
      <c r="E1227" s="34" t="str">
        <f t="shared" si="192"/>
        <v/>
      </c>
      <c r="F1227" s="34" t="str">
        <f t="shared" si="193"/>
        <v/>
      </c>
      <c r="G1227" s="35" t="str">
        <f t="shared" si="194"/>
        <v/>
      </c>
      <c r="H1227" s="30"/>
      <c r="I1227" s="36" t="str">
        <f t="shared" si="195"/>
        <v/>
      </c>
      <c r="J1227" s="34" t="str">
        <f t="shared" si="196"/>
        <v/>
      </c>
      <c r="K1227" s="49"/>
      <c r="L1227" s="55" t="str">
        <f t="shared" si="197"/>
        <v/>
      </c>
      <c r="M1227" s="54" t="str">
        <f t="shared" si="198"/>
        <v/>
      </c>
      <c r="N1227" s="30"/>
      <c r="O1227" s="31"/>
      <c r="P1227" s="53"/>
      <c r="Q1227" s="33"/>
      <c r="R1227" s="54" t="str">
        <f t="shared" si="199"/>
        <v/>
      </c>
      <c r="S1227" s="30"/>
      <c r="T1227" s="33"/>
    </row>
    <row r="1228" spans="1:20" x14ac:dyDescent="0.25">
      <c r="A1228" s="30"/>
      <c r="B1228" s="37" t="str">
        <f t="shared" si="190"/>
        <v/>
      </c>
      <c r="C1228" s="30"/>
      <c r="D1228" s="34" t="str">
        <f t="shared" si="191"/>
        <v/>
      </c>
      <c r="E1228" s="34" t="str">
        <f t="shared" si="192"/>
        <v/>
      </c>
      <c r="F1228" s="34" t="str">
        <f t="shared" si="193"/>
        <v/>
      </c>
      <c r="G1228" s="35" t="str">
        <f t="shared" si="194"/>
        <v/>
      </c>
      <c r="H1228" s="30"/>
      <c r="I1228" s="36" t="str">
        <f t="shared" si="195"/>
        <v/>
      </c>
      <c r="J1228" s="34" t="str">
        <f t="shared" si="196"/>
        <v/>
      </c>
      <c r="K1228" s="49"/>
      <c r="L1228" s="55" t="str">
        <f t="shared" si="197"/>
        <v/>
      </c>
      <c r="M1228" s="54" t="str">
        <f t="shared" si="198"/>
        <v/>
      </c>
      <c r="N1228" s="30"/>
      <c r="O1228" s="31"/>
      <c r="P1228" s="53"/>
      <c r="Q1228" s="33"/>
      <c r="R1228" s="54" t="str">
        <f t="shared" si="199"/>
        <v/>
      </c>
      <c r="S1228" s="30"/>
      <c r="T1228" s="33"/>
    </row>
    <row r="1229" spans="1:20" x14ac:dyDescent="0.25">
      <c r="A1229" s="30"/>
      <c r="B1229" s="37" t="str">
        <f t="shared" si="190"/>
        <v/>
      </c>
      <c r="C1229" s="30"/>
      <c r="D1229" s="34" t="str">
        <f t="shared" si="191"/>
        <v/>
      </c>
      <c r="E1229" s="34" t="str">
        <f t="shared" si="192"/>
        <v/>
      </c>
      <c r="F1229" s="34" t="str">
        <f t="shared" si="193"/>
        <v/>
      </c>
      <c r="G1229" s="35" t="str">
        <f t="shared" si="194"/>
        <v/>
      </c>
      <c r="H1229" s="30"/>
      <c r="I1229" s="36" t="str">
        <f t="shared" si="195"/>
        <v/>
      </c>
      <c r="J1229" s="34" t="str">
        <f t="shared" si="196"/>
        <v/>
      </c>
      <c r="K1229" s="49"/>
      <c r="L1229" s="55" t="str">
        <f t="shared" si="197"/>
        <v/>
      </c>
      <c r="M1229" s="54" t="str">
        <f t="shared" si="198"/>
        <v/>
      </c>
      <c r="N1229" s="30"/>
      <c r="O1229" s="31"/>
      <c r="P1229" s="53"/>
      <c r="Q1229" s="33"/>
      <c r="R1229" s="54" t="str">
        <f t="shared" si="199"/>
        <v/>
      </c>
      <c r="S1229" s="30"/>
      <c r="T1229" s="33"/>
    </row>
    <row r="1230" spans="1:20" x14ac:dyDescent="0.25">
      <c r="A1230" s="30"/>
      <c r="B1230" s="37" t="str">
        <f t="shared" si="190"/>
        <v/>
      </c>
      <c r="C1230" s="30"/>
      <c r="D1230" s="34" t="str">
        <f t="shared" si="191"/>
        <v/>
      </c>
      <c r="E1230" s="34" t="str">
        <f t="shared" si="192"/>
        <v/>
      </c>
      <c r="F1230" s="34" t="str">
        <f t="shared" si="193"/>
        <v/>
      </c>
      <c r="G1230" s="35" t="str">
        <f t="shared" si="194"/>
        <v/>
      </c>
      <c r="H1230" s="30"/>
      <c r="I1230" s="36" t="str">
        <f t="shared" si="195"/>
        <v/>
      </c>
      <c r="J1230" s="34" t="str">
        <f t="shared" si="196"/>
        <v/>
      </c>
      <c r="K1230" s="49"/>
      <c r="L1230" s="55" t="str">
        <f t="shared" si="197"/>
        <v/>
      </c>
      <c r="M1230" s="54" t="str">
        <f t="shared" si="198"/>
        <v/>
      </c>
      <c r="N1230" s="30"/>
      <c r="O1230" s="31"/>
      <c r="P1230" s="53"/>
      <c r="Q1230" s="33"/>
      <c r="R1230" s="54" t="str">
        <f t="shared" si="199"/>
        <v/>
      </c>
      <c r="S1230" s="30"/>
      <c r="T1230" s="33"/>
    </row>
    <row r="1231" spans="1:20" x14ac:dyDescent="0.25">
      <c r="A1231" s="30"/>
      <c r="B1231" s="37" t="str">
        <f t="shared" si="190"/>
        <v/>
      </c>
      <c r="C1231" s="30"/>
      <c r="D1231" s="34" t="str">
        <f t="shared" si="191"/>
        <v/>
      </c>
      <c r="E1231" s="34" t="str">
        <f t="shared" si="192"/>
        <v/>
      </c>
      <c r="F1231" s="34" t="str">
        <f t="shared" si="193"/>
        <v/>
      </c>
      <c r="G1231" s="35" t="str">
        <f t="shared" si="194"/>
        <v/>
      </c>
      <c r="H1231" s="30"/>
      <c r="I1231" s="36" t="str">
        <f t="shared" si="195"/>
        <v/>
      </c>
      <c r="J1231" s="34" t="str">
        <f t="shared" si="196"/>
        <v/>
      </c>
      <c r="K1231" s="49"/>
      <c r="L1231" s="55" t="str">
        <f t="shared" si="197"/>
        <v/>
      </c>
      <c r="M1231" s="54" t="str">
        <f t="shared" si="198"/>
        <v/>
      </c>
      <c r="N1231" s="30"/>
      <c r="O1231" s="31"/>
      <c r="P1231" s="53"/>
      <c r="Q1231" s="33"/>
      <c r="R1231" s="54" t="str">
        <f t="shared" si="199"/>
        <v/>
      </c>
      <c r="S1231" s="30"/>
      <c r="T1231" s="33"/>
    </row>
    <row r="1232" spans="1:20" x14ac:dyDescent="0.25">
      <c r="A1232" s="30"/>
      <c r="B1232" s="37" t="str">
        <f t="shared" si="190"/>
        <v/>
      </c>
      <c r="C1232" s="30"/>
      <c r="D1232" s="34" t="str">
        <f t="shared" si="191"/>
        <v/>
      </c>
      <c r="E1232" s="34" t="str">
        <f t="shared" si="192"/>
        <v/>
      </c>
      <c r="F1232" s="34" t="str">
        <f t="shared" si="193"/>
        <v/>
      </c>
      <c r="G1232" s="35" t="str">
        <f t="shared" si="194"/>
        <v/>
      </c>
      <c r="H1232" s="30"/>
      <c r="I1232" s="36" t="str">
        <f t="shared" si="195"/>
        <v/>
      </c>
      <c r="J1232" s="34" t="str">
        <f t="shared" si="196"/>
        <v/>
      </c>
      <c r="K1232" s="49"/>
      <c r="L1232" s="55" t="str">
        <f t="shared" si="197"/>
        <v/>
      </c>
      <c r="M1232" s="54" t="str">
        <f t="shared" si="198"/>
        <v/>
      </c>
      <c r="N1232" s="30"/>
      <c r="O1232" s="31"/>
      <c r="P1232" s="53"/>
      <c r="Q1232" s="33"/>
      <c r="R1232" s="54" t="str">
        <f t="shared" si="199"/>
        <v/>
      </c>
      <c r="S1232" s="30"/>
      <c r="T1232" s="33"/>
    </row>
    <row r="1233" spans="1:20" x14ac:dyDescent="0.25">
      <c r="A1233" s="30"/>
      <c r="B1233" s="37" t="str">
        <f t="shared" si="190"/>
        <v/>
      </c>
      <c r="C1233" s="30"/>
      <c r="D1233" s="34" t="str">
        <f t="shared" si="191"/>
        <v/>
      </c>
      <c r="E1233" s="34" t="str">
        <f t="shared" si="192"/>
        <v/>
      </c>
      <c r="F1233" s="34" t="str">
        <f t="shared" si="193"/>
        <v/>
      </c>
      <c r="G1233" s="35" t="str">
        <f t="shared" si="194"/>
        <v/>
      </c>
      <c r="H1233" s="30"/>
      <c r="I1233" s="36" t="str">
        <f t="shared" si="195"/>
        <v/>
      </c>
      <c r="J1233" s="34" t="str">
        <f t="shared" si="196"/>
        <v/>
      </c>
      <c r="K1233" s="49"/>
      <c r="L1233" s="55" t="str">
        <f t="shared" si="197"/>
        <v/>
      </c>
      <c r="M1233" s="54" t="str">
        <f t="shared" si="198"/>
        <v/>
      </c>
      <c r="N1233" s="30"/>
      <c r="O1233" s="31"/>
      <c r="P1233" s="53"/>
      <c r="Q1233" s="33"/>
      <c r="R1233" s="54" t="str">
        <f t="shared" si="199"/>
        <v/>
      </c>
      <c r="S1233" s="30"/>
      <c r="T1233" s="33"/>
    </row>
    <row r="1234" spans="1:20" x14ac:dyDescent="0.25">
      <c r="A1234" s="30"/>
      <c r="B1234" s="37" t="str">
        <f t="shared" si="190"/>
        <v/>
      </c>
      <c r="C1234" s="30"/>
      <c r="D1234" s="34" t="str">
        <f t="shared" si="191"/>
        <v/>
      </c>
      <c r="E1234" s="34" t="str">
        <f t="shared" si="192"/>
        <v/>
      </c>
      <c r="F1234" s="34" t="str">
        <f t="shared" si="193"/>
        <v/>
      </c>
      <c r="G1234" s="35" t="str">
        <f t="shared" si="194"/>
        <v/>
      </c>
      <c r="H1234" s="30"/>
      <c r="I1234" s="36" t="str">
        <f t="shared" si="195"/>
        <v/>
      </c>
      <c r="J1234" s="34" t="str">
        <f t="shared" si="196"/>
        <v/>
      </c>
      <c r="K1234" s="49"/>
      <c r="L1234" s="55" t="str">
        <f t="shared" si="197"/>
        <v/>
      </c>
      <c r="M1234" s="54" t="str">
        <f t="shared" si="198"/>
        <v/>
      </c>
      <c r="N1234" s="30"/>
      <c r="O1234" s="31"/>
      <c r="P1234" s="53"/>
      <c r="Q1234" s="33"/>
      <c r="R1234" s="54" t="str">
        <f t="shared" si="199"/>
        <v/>
      </c>
      <c r="S1234" s="30"/>
      <c r="T1234" s="33"/>
    </row>
    <row r="1235" spans="1:20" x14ac:dyDescent="0.25">
      <c r="A1235" s="30"/>
      <c r="B1235" s="37" t="str">
        <f t="shared" si="190"/>
        <v/>
      </c>
      <c r="C1235" s="30"/>
      <c r="D1235" s="34" t="str">
        <f t="shared" si="191"/>
        <v/>
      </c>
      <c r="E1235" s="34" t="str">
        <f t="shared" si="192"/>
        <v/>
      </c>
      <c r="F1235" s="34" t="str">
        <f t="shared" si="193"/>
        <v/>
      </c>
      <c r="G1235" s="35" t="str">
        <f t="shared" si="194"/>
        <v/>
      </c>
      <c r="H1235" s="30"/>
      <c r="I1235" s="36" t="str">
        <f t="shared" si="195"/>
        <v/>
      </c>
      <c r="J1235" s="34" t="str">
        <f t="shared" si="196"/>
        <v/>
      </c>
      <c r="K1235" s="49"/>
      <c r="L1235" s="55" t="str">
        <f t="shared" si="197"/>
        <v/>
      </c>
      <c r="M1235" s="54" t="str">
        <f t="shared" si="198"/>
        <v/>
      </c>
      <c r="N1235" s="30"/>
      <c r="O1235" s="31"/>
      <c r="P1235" s="53"/>
      <c r="Q1235" s="33"/>
      <c r="R1235" s="54" t="str">
        <f t="shared" si="199"/>
        <v/>
      </c>
      <c r="S1235" s="30"/>
      <c r="T1235" s="33"/>
    </row>
    <row r="1236" spans="1:20" x14ac:dyDescent="0.25">
      <c r="A1236" s="30"/>
      <c r="B1236" s="37" t="str">
        <f t="shared" si="190"/>
        <v/>
      </c>
      <c r="C1236" s="30"/>
      <c r="D1236" s="34" t="str">
        <f t="shared" si="191"/>
        <v/>
      </c>
      <c r="E1236" s="34" t="str">
        <f t="shared" si="192"/>
        <v/>
      </c>
      <c r="F1236" s="34" t="str">
        <f t="shared" si="193"/>
        <v/>
      </c>
      <c r="G1236" s="35" t="str">
        <f t="shared" si="194"/>
        <v/>
      </c>
      <c r="H1236" s="30"/>
      <c r="I1236" s="36" t="str">
        <f t="shared" si="195"/>
        <v/>
      </c>
      <c r="J1236" s="34" t="str">
        <f t="shared" si="196"/>
        <v/>
      </c>
      <c r="K1236" s="49"/>
      <c r="L1236" s="55" t="str">
        <f t="shared" si="197"/>
        <v/>
      </c>
      <c r="M1236" s="54" t="str">
        <f t="shared" si="198"/>
        <v/>
      </c>
      <c r="N1236" s="30"/>
      <c r="O1236" s="31"/>
      <c r="P1236" s="53"/>
      <c r="Q1236" s="33"/>
      <c r="R1236" s="54" t="str">
        <f t="shared" si="199"/>
        <v/>
      </c>
      <c r="S1236" s="30"/>
      <c r="T1236" s="33"/>
    </row>
    <row r="1237" spans="1:20" x14ac:dyDescent="0.25">
      <c r="A1237" s="30"/>
      <c r="B1237" s="37" t="str">
        <f t="shared" si="190"/>
        <v/>
      </c>
      <c r="C1237" s="30"/>
      <c r="D1237" s="34" t="str">
        <f t="shared" si="191"/>
        <v/>
      </c>
      <c r="E1237" s="34" t="str">
        <f t="shared" si="192"/>
        <v/>
      </c>
      <c r="F1237" s="34" t="str">
        <f t="shared" si="193"/>
        <v/>
      </c>
      <c r="G1237" s="35" t="str">
        <f t="shared" si="194"/>
        <v/>
      </c>
      <c r="H1237" s="30"/>
      <c r="I1237" s="36" t="str">
        <f t="shared" si="195"/>
        <v/>
      </c>
      <c r="J1237" s="34" t="str">
        <f t="shared" si="196"/>
        <v/>
      </c>
      <c r="K1237" s="49"/>
      <c r="L1237" s="55" t="str">
        <f t="shared" si="197"/>
        <v/>
      </c>
      <c r="M1237" s="54" t="str">
        <f t="shared" si="198"/>
        <v/>
      </c>
      <c r="N1237" s="30"/>
      <c r="O1237" s="31"/>
      <c r="P1237" s="53"/>
      <c r="Q1237" s="33"/>
      <c r="R1237" s="54" t="str">
        <f t="shared" si="199"/>
        <v/>
      </c>
      <c r="S1237" s="30"/>
      <c r="T1237" s="33"/>
    </row>
    <row r="1238" spans="1:20" x14ac:dyDescent="0.25">
      <c r="A1238" s="30"/>
      <c r="B1238" s="37" t="str">
        <f t="shared" si="190"/>
        <v/>
      </c>
      <c r="C1238" s="30"/>
      <c r="D1238" s="34" t="str">
        <f t="shared" si="191"/>
        <v/>
      </c>
      <c r="E1238" s="34" t="str">
        <f t="shared" si="192"/>
        <v/>
      </c>
      <c r="F1238" s="34" t="str">
        <f t="shared" si="193"/>
        <v/>
      </c>
      <c r="G1238" s="35" t="str">
        <f t="shared" si="194"/>
        <v/>
      </c>
      <c r="H1238" s="30"/>
      <c r="I1238" s="36" t="str">
        <f t="shared" si="195"/>
        <v/>
      </c>
      <c r="J1238" s="34" t="str">
        <f t="shared" si="196"/>
        <v/>
      </c>
      <c r="K1238" s="49"/>
      <c r="L1238" s="55" t="str">
        <f t="shared" si="197"/>
        <v/>
      </c>
      <c r="M1238" s="54" t="str">
        <f t="shared" si="198"/>
        <v/>
      </c>
      <c r="N1238" s="30"/>
      <c r="O1238" s="31"/>
      <c r="P1238" s="53"/>
      <c r="Q1238" s="33"/>
      <c r="R1238" s="54" t="str">
        <f t="shared" si="199"/>
        <v/>
      </c>
      <c r="S1238" s="30"/>
      <c r="T1238" s="33"/>
    </row>
    <row r="1239" spans="1:20" x14ac:dyDescent="0.25">
      <c r="A1239" s="30"/>
      <c r="B1239" s="37" t="str">
        <f t="shared" si="190"/>
        <v/>
      </c>
      <c r="C1239" s="30"/>
      <c r="D1239" s="34" t="str">
        <f t="shared" si="191"/>
        <v/>
      </c>
      <c r="E1239" s="34" t="str">
        <f t="shared" si="192"/>
        <v/>
      </c>
      <c r="F1239" s="34" t="str">
        <f t="shared" si="193"/>
        <v/>
      </c>
      <c r="G1239" s="35" t="str">
        <f t="shared" si="194"/>
        <v/>
      </c>
      <c r="H1239" s="30"/>
      <c r="I1239" s="36" t="str">
        <f t="shared" si="195"/>
        <v/>
      </c>
      <c r="J1239" s="34" t="str">
        <f t="shared" si="196"/>
        <v/>
      </c>
      <c r="K1239" s="49"/>
      <c r="L1239" s="55" t="str">
        <f t="shared" si="197"/>
        <v/>
      </c>
      <c r="M1239" s="54" t="str">
        <f t="shared" si="198"/>
        <v/>
      </c>
      <c r="N1239" s="30"/>
      <c r="O1239" s="31"/>
      <c r="P1239" s="53"/>
      <c r="Q1239" s="33"/>
      <c r="R1239" s="54" t="str">
        <f t="shared" si="199"/>
        <v/>
      </c>
      <c r="S1239" s="30"/>
      <c r="T1239" s="33"/>
    </row>
    <row r="1240" spans="1:20" x14ac:dyDescent="0.25">
      <c r="A1240" s="30"/>
      <c r="B1240" s="37" t="str">
        <f t="shared" si="190"/>
        <v/>
      </c>
      <c r="C1240" s="30"/>
      <c r="D1240" s="34" t="str">
        <f t="shared" si="191"/>
        <v/>
      </c>
      <c r="E1240" s="34" t="str">
        <f t="shared" si="192"/>
        <v/>
      </c>
      <c r="F1240" s="34" t="str">
        <f t="shared" si="193"/>
        <v/>
      </c>
      <c r="G1240" s="35" t="str">
        <f t="shared" si="194"/>
        <v/>
      </c>
      <c r="H1240" s="30"/>
      <c r="I1240" s="36" t="str">
        <f t="shared" si="195"/>
        <v/>
      </c>
      <c r="J1240" s="34" t="str">
        <f t="shared" si="196"/>
        <v/>
      </c>
      <c r="K1240" s="49"/>
      <c r="L1240" s="55" t="str">
        <f t="shared" si="197"/>
        <v/>
      </c>
      <c r="M1240" s="54" t="str">
        <f t="shared" si="198"/>
        <v/>
      </c>
      <c r="N1240" s="30"/>
      <c r="O1240" s="31"/>
      <c r="P1240" s="53"/>
      <c r="Q1240" s="33"/>
      <c r="R1240" s="54" t="str">
        <f t="shared" si="199"/>
        <v/>
      </c>
      <c r="S1240" s="30"/>
      <c r="T1240" s="33"/>
    </row>
    <row r="1241" spans="1:20" x14ac:dyDescent="0.25">
      <c r="A1241" s="30"/>
      <c r="B1241" s="37" t="str">
        <f t="shared" si="190"/>
        <v/>
      </c>
      <c r="C1241" s="30"/>
      <c r="D1241" s="34" t="str">
        <f t="shared" si="191"/>
        <v/>
      </c>
      <c r="E1241" s="34" t="str">
        <f t="shared" si="192"/>
        <v/>
      </c>
      <c r="F1241" s="34" t="str">
        <f t="shared" si="193"/>
        <v/>
      </c>
      <c r="G1241" s="35" t="str">
        <f t="shared" si="194"/>
        <v/>
      </c>
      <c r="H1241" s="30"/>
      <c r="I1241" s="36" t="str">
        <f t="shared" si="195"/>
        <v/>
      </c>
      <c r="J1241" s="34" t="str">
        <f t="shared" si="196"/>
        <v/>
      </c>
      <c r="K1241" s="49"/>
      <c r="L1241" s="55" t="str">
        <f t="shared" si="197"/>
        <v/>
      </c>
      <c r="M1241" s="54" t="str">
        <f t="shared" si="198"/>
        <v/>
      </c>
      <c r="N1241" s="30"/>
      <c r="O1241" s="31"/>
      <c r="P1241" s="53"/>
      <c r="Q1241" s="33"/>
      <c r="R1241" s="54" t="str">
        <f t="shared" si="199"/>
        <v/>
      </c>
      <c r="S1241" s="30"/>
      <c r="T1241" s="33"/>
    </row>
    <row r="1242" spans="1:20" x14ac:dyDescent="0.25">
      <c r="A1242" s="30"/>
      <c r="B1242" s="37" t="str">
        <f t="shared" si="190"/>
        <v/>
      </c>
      <c r="C1242" s="30"/>
      <c r="D1242" s="34" t="str">
        <f t="shared" si="191"/>
        <v/>
      </c>
      <c r="E1242" s="34" t="str">
        <f t="shared" si="192"/>
        <v/>
      </c>
      <c r="F1242" s="34" t="str">
        <f t="shared" si="193"/>
        <v/>
      </c>
      <c r="G1242" s="35" t="str">
        <f t="shared" si="194"/>
        <v/>
      </c>
      <c r="H1242" s="30"/>
      <c r="I1242" s="36" t="str">
        <f t="shared" si="195"/>
        <v/>
      </c>
      <c r="J1242" s="34" t="str">
        <f t="shared" si="196"/>
        <v/>
      </c>
      <c r="K1242" s="49"/>
      <c r="L1242" s="55" t="str">
        <f t="shared" si="197"/>
        <v/>
      </c>
      <c r="M1242" s="54" t="str">
        <f t="shared" si="198"/>
        <v/>
      </c>
      <c r="N1242" s="30"/>
      <c r="O1242" s="31"/>
      <c r="P1242" s="53"/>
      <c r="Q1242" s="33"/>
      <c r="R1242" s="54" t="str">
        <f t="shared" si="199"/>
        <v/>
      </c>
      <c r="S1242" s="30"/>
      <c r="T1242" s="33"/>
    </row>
    <row r="1243" spans="1:20" x14ac:dyDescent="0.25">
      <c r="A1243" s="30"/>
      <c r="B1243" s="37" t="str">
        <f t="shared" si="190"/>
        <v/>
      </c>
      <c r="C1243" s="30"/>
      <c r="D1243" s="34" t="str">
        <f t="shared" si="191"/>
        <v/>
      </c>
      <c r="E1243" s="34" t="str">
        <f t="shared" si="192"/>
        <v/>
      </c>
      <c r="F1243" s="34" t="str">
        <f t="shared" si="193"/>
        <v/>
      </c>
      <c r="G1243" s="35" t="str">
        <f t="shared" si="194"/>
        <v/>
      </c>
      <c r="H1243" s="30"/>
      <c r="I1243" s="36" t="str">
        <f t="shared" si="195"/>
        <v/>
      </c>
      <c r="J1243" s="34" t="str">
        <f t="shared" si="196"/>
        <v/>
      </c>
      <c r="K1243" s="49"/>
      <c r="L1243" s="55" t="str">
        <f t="shared" si="197"/>
        <v/>
      </c>
      <c r="M1243" s="54" t="str">
        <f t="shared" si="198"/>
        <v/>
      </c>
      <c r="N1243" s="30"/>
      <c r="O1243" s="31"/>
      <c r="P1243" s="53"/>
      <c r="Q1243" s="33"/>
      <c r="R1243" s="54" t="str">
        <f t="shared" si="199"/>
        <v/>
      </c>
      <c r="S1243" s="30"/>
      <c r="T1243" s="33"/>
    </row>
    <row r="1244" spans="1:20" x14ac:dyDescent="0.25">
      <c r="A1244" s="30"/>
      <c r="B1244" s="37" t="str">
        <f t="shared" si="190"/>
        <v/>
      </c>
      <c r="C1244" s="30"/>
      <c r="D1244" s="34" t="str">
        <f t="shared" si="191"/>
        <v/>
      </c>
      <c r="E1244" s="34" t="str">
        <f t="shared" si="192"/>
        <v/>
      </c>
      <c r="F1244" s="34" t="str">
        <f t="shared" si="193"/>
        <v/>
      </c>
      <c r="G1244" s="35" t="str">
        <f t="shared" si="194"/>
        <v/>
      </c>
      <c r="H1244" s="30"/>
      <c r="I1244" s="36" t="str">
        <f t="shared" si="195"/>
        <v/>
      </c>
      <c r="J1244" s="34" t="str">
        <f t="shared" si="196"/>
        <v/>
      </c>
      <c r="K1244" s="49"/>
      <c r="L1244" s="55" t="str">
        <f t="shared" si="197"/>
        <v/>
      </c>
      <c r="M1244" s="54" t="str">
        <f t="shared" si="198"/>
        <v/>
      </c>
      <c r="N1244" s="30"/>
      <c r="O1244" s="31"/>
      <c r="P1244" s="53"/>
      <c r="Q1244" s="33"/>
      <c r="R1244" s="54" t="str">
        <f t="shared" si="199"/>
        <v/>
      </c>
      <c r="S1244" s="30"/>
      <c r="T1244" s="33"/>
    </row>
    <row r="1245" spans="1:20" x14ac:dyDescent="0.25">
      <c r="A1245" s="30"/>
      <c r="B1245" s="37" t="str">
        <f t="shared" si="190"/>
        <v/>
      </c>
      <c r="C1245" s="30"/>
      <c r="D1245" s="34" t="str">
        <f t="shared" si="191"/>
        <v/>
      </c>
      <c r="E1245" s="34" t="str">
        <f t="shared" si="192"/>
        <v/>
      </c>
      <c r="F1245" s="34" t="str">
        <f t="shared" si="193"/>
        <v/>
      </c>
      <c r="G1245" s="35" t="str">
        <f t="shared" si="194"/>
        <v/>
      </c>
      <c r="H1245" s="30"/>
      <c r="I1245" s="36" t="str">
        <f t="shared" si="195"/>
        <v/>
      </c>
      <c r="J1245" s="34" t="str">
        <f t="shared" si="196"/>
        <v/>
      </c>
      <c r="K1245" s="49"/>
      <c r="L1245" s="55" t="str">
        <f t="shared" si="197"/>
        <v/>
      </c>
      <c r="M1245" s="54" t="str">
        <f t="shared" si="198"/>
        <v/>
      </c>
      <c r="N1245" s="30"/>
      <c r="O1245" s="31"/>
      <c r="P1245" s="53"/>
      <c r="Q1245" s="33"/>
      <c r="R1245" s="54" t="str">
        <f t="shared" si="199"/>
        <v/>
      </c>
      <c r="S1245" s="30"/>
      <c r="T1245" s="33"/>
    </row>
    <row r="1246" spans="1:20" x14ac:dyDescent="0.25">
      <c r="A1246" s="30"/>
      <c r="B1246" s="37" t="str">
        <f t="shared" si="190"/>
        <v/>
      </c>
      <c r="C1246" s="30"/>
      <c r="D1246" s="34" t="str">
        <f t="shared" si="191"/>
        <v/>
      </c>
      <c r="E1246" s="34" t="str">
        <f t="shared" si="192"/>
        <v/>
      </c>
      <c r="F1246" s="34" t="str">
        <f t="shared" si="193"/>
        <v/>
      </c>
      <c r="G1246" s="35" t="str">
        <f t="shared" si="194"/>
        <v/>
      </c>
      <c r="H1246" s="30"/>
      <c r="I1246" s="36" t="str">
        <f t="shared" si="195"/>
        <v/>
      </c>
      <c r="J1246" s="34" t="str">
        <f t="shared" si="196"/>
        <v/>
      </c>
      <c r="K1246" s="49"/>
      <c r="L1246" s="55" t="str">
        <f t="shared" si="197"/>
        <v/>
      </c>
      <c r="M1246" s="54" t="str">
        <f t="shared" si="198"/>
        <v/>
      </c>
      <c r="N1246" s="30"/>
      <c r="O1246" s="31"/>
      <c r="P1246" s="53"/>
      <c r="Q1246" s="33"/>
      <c r="R1246" s="54" t="str">
        <f t="shared" si="199"/>
        <v/>
      </c>
      <c r="S1246" s="30"/>
      <c r="T1246" s="33"/>
    </row>
    <row r="1247" spans="1:20" x14ac:dyDescent="0.25">
      <c r="A1247" s="30"/>
      <c r="B1247" s="37" t="str">
        <f t="shared" si="190"/>
        <v/>
      </c>
      <c r="C1247" s="30"/>
      <c r="D1247" s="34" t="str">
        <f t="shared" si="191"/>
        <v/>
      </c>
      <c r="E1247" s="34" t="str">
        <f t="shared" si="192"/>
        <v/>
      </c>
      <c r="F1247" s="34" t="str">
        <f t="shared" si="193"/>
        <v/>
      </c>
      <c r="G1247" s="35" t="str">
        <f t="shared" si="194"/>
        <v/>
      </c>
      <c r="H1247" s="30"/>
      <c r="I1247" s="36" t="str">
        <f t="shared" si="195"/>
        <v/>
      </c>
      <c r="J1247" s="34" t="str">
        <f t="shared" si="196"/>
        <v/>
      </c>
      <c r="K1247" s="49"/>
      <c r="L1247" s="55" t="str">
        <f t="shared" si="197"/>
        <v/>
      </c>
      <c r="M1247" s="54" t="str">
        <f t="shared" si="198"/>
        <v/>
      </c>
      <c r="N1247" s="30"/>
      <c r="O1247" s="31"/>
      <c r="P1247" s="53"/>
      <c r="Q1247" s="33"/>
      <c r="R1247" s="54" t="str">
        <f t="shared" si="199"/>
        <v/>
      </c>
      <c r="S1247" s="30"/>
      <c r="T1247" s="33"/>
    </row>
    <row r="1248" spans="1:20" x14ac:dyDescent="0.25">
      <c r="A1248" s="30"/>
      <c r="B1248" s="37" t="str">
        <f t="shared" si="190"/>
        <v/>
      </c>
      <c r="C1248" s="30"/>
      <c r="D1248" s="34" t="str">
        <f t="shared" si="191"/>
        <v/>
      </c>
      <c r="E1248" s="34" t="str">
        <f t="shared" si="192"/>
        <v/>
      </c>
      <c r="F1248" s="34" t="str">
        <f t="shared" si="193"/>
        <v/>
      </c>
      <c r="G1248" s="35" t="str">
        <f t="shared" si="194"/>
        <v/>
      </c>
      <c r="H1248" s="30"/>
      <c r="I1248" s="36" t="str">
        <f t="shared" si="195"/>
        <v/>
      </c>
      <c r="J1248" s="34" t="str">
        <f t="shared" si="196"/>
        <v/>
      </c>
      <c r="K1248" s="49"/>
      <c r="L1248" s="55" t="str">
        <f t="shared" si="197"/>
        <v/>
      </c>
      <c r="M1248" s="54" t="str">
        <f t="shared" si="198"/>
        <v/>
      </c>
      <c r="N1248" s="30"/>
      <c r="O1248" s="31"/>
      <c r="P1248" s="53"/>
      <c r="Q1248" s="33"/>
      <c r="R1248" s="54" t="str">
        <f t="shared" si="199"/>
        <v/>
      </c>
      <c r="S1248" s="30"/>
      <c r="T1248" s="33"/>
    </row>
    <row r="1249" spans="1:20" x14ac:dyDescent="0.25">
      <c r="A1249" s="30"/>
      <c r="B1249" s="37" t="str">
        <f t="shared" si="190"/>
        <v/>
      </c>
      <c r="C1249" s="30"/>
      <c r="D1249" s="34" t="str">
        <f t="shared" si="191"/>
        <v/>
      </c>
      <c r="E1249" s="34" t="str">
        <f t="shared" si="192"/>
        <v/>
      </c>
      <c r="F1249" s="34" t="str">
        <f t="shared" si="193"/>
        <v/>
      </c>
      <c r="G1249" s="35" t="str">
        <f t="shared" si="194"/>
        <v/>
      </c>
      <c r="H1249" s="30"/>
      <c r="I1249" s="36" t="str">
        <f t="shared" si="195"/>
        <v/>
      </c>
      <c r="J1249" s="34" t="str">
        <f t="shared" si="196"/>
        <v/>
      </c>
      <c r="K1249" s="49"/>
      <c r="L1249" s="55" t="str">
        <f t="shared" si="197"/>
        <v/>
      </c>
      <c r="M1249" s="54" t="str">
        <f t="shared" si="198"/>
        <v/>
      </c>
      <c r="N1249" s="30"/>
      <c r="O1249" s="31"/>
      <c r="P1249" s="53"/>
      <c r="Q1249" s="33"/>
      <c r="R1249" s="54" t="str">
        <f t="shared" si="199"/>
        <v/>
      </c>
      <c r="S1249" s="30"/>
      <c r="T1249" s="33"/>
    </row>
    <row r="1250" spans="1:20" x14ac:dyDescent="0.25">
      <c r="A1250" s="30"/>
      <c r="B1250" s="37" t="str">
        <f t="shared" si="190"/>
        <v/>
      </c>
      <c r="C1250" s="30"/>
      <c r="D1250" s="34" t="str">
        <f t="shared" si="191"/>
        <v/>
      </c>
      <c r="E1250" s="34" t="str">
        <f t="shared" si="192"/>
        <v/>
      </c>
      <c r="F1250" s="34" t="str">
        <f t="shared" si="193"/>
        <v/>
      </c>
      <c r="G1250" s="35" t="str">
        <f t="shared" si="194"/>
        <v/>
      </c>
      <c r="H1250" s="30"/>
      <c r="I1250" s="36" t="str">
        <f t="shared" si="195"/>
        <v/>
      </c>
      <c r="J1250" s="34" t="str">
        <f t="shared" si="196"/>
        <v/>
      </c>
      <c r="K1250" s="49"/>
      <c r="L1250" s="55" t="str">
        <f t="shared" si="197"/>
        <v/>
      </c>
      <c r="M1250" s="54" t="str">
        <f t="shared" si="198"/>
        <v/>
      </c>
      <c r="N1250" s="30"/>
      <c r="O1250" s="31"/>
      <c r="P1250" s="53"/>
      <c r="Q1250" s="33"/>
      <c r="R1250" s="54" t="str">
        <f t="shared" si="199"/>
        <v/>
      </c>
      <c r="S1250" s="30"/>
      <c r="T1250" s="33"/>
    </row>
    <row r="1251" spans="1:20" x14ac:dyDescent="0.25">
      <c r="A1251" s="30"/>
      <c r="B1251" s="37" t="str">
        <f t="shared" si="190"/>
        <v/>
      </c>
      <c r="C1251" s="30"/>
      <c r="D1251" s="34" t="str">
        <f t="shared" si="191"/>
        <v/>
      </c>
      <c r="E1251" s="34" t="str">
        <f t="shared" si="192"/>
        <v/>
      </c>
      <c r="F1251" s="34" t="str">
        <f t="shared" si="193"/>
        <v/>
      </c>
      <c r="G1251" s="35" t="str">
        <f t="shared" si="194"/>
        <v/>
      </c>
      <c r="H1251" s="30"/>
      <c r="I1251" s="36" t="str">
        <f t="shared" si="195"/>
        <v/>
      </c>
      <c r="J1251" s="34" t="str">
        <f t="shared" si="196"/>
        <v/>
      </c>
      <c r="K1251" s="49"/>
      <c r="L1251" s="55" t="str">
        <f t="shared" si="197"/>
        <v/>
      </c>
      <c r="M1251" s="54" t="str">
        <f t="shared" si="198"/>
        <v/>
      </c>
      <c r="N1251" s="30"/>
      <c r="O1251" s="31"/>
      <c r="P1251" s="53"/>
      <c r="Q1251" s="33"/>
      <c r="R1251" s="54" t="str">
        <f t="shared" si="199"/>
        <v/>
      </c>
      <c r="S1251" s="30"/>
      <c r="T1251" s="33"/>
    </row>
    <row r="1252" spans="1:20" x14ac:dyDescent="0.25">
      <c r="A1252" s="30"/>
      <c r="B1252" s="37" t="str">
        <f t="shared" si="190"/>
        <v/>
      </c>
      <c r="C1252" s="30"/>
      <c r="D1252" s="34" t="str">
        <f t="shared" si="191"/>
        <v/>
      </c>
      <c r="E1252" s="34" t="str">
        <f t="shared" si="192"/>
        <v/>
      </c>
      <c r="F1252" s="34" t="str">
        <f t="shared" si="193"/>
        <v/>
      </c>
      <c r="G1252" s="35" t="str">
        <f t="shared" si="194"/>
        <v/>
      </c>
      <c r="H1252" s="30"/>
      <c r="I1252" s="36" t="str">
        <f t="shared" si="195"/>
        <v/>
      </c>
      <c r="J1252" s="34" t="str">
        <f t="shared" si="196"/>
        <v/>
      </c>
      <c r="K1252" s="49"/>
      <c r="L1252" s="55" t="str">
        <f t="shared" si="197"/>
        <v/>
      </c>
      <c r="M1252" s="54" t="str">
        <f t="shared" si="198"/>
        <v/>
      </c>
      <c r="N1252" s="30"/>
      <c r="O1252" s="31"/>
      <c r="P1252" s="53"/>
      <c r="Q1252" s="33"/>
      <c r="R1252" s="54" t="str">
        <f t="shared" si="199"/>
        <v/>
      </c>
      <c r="S1252" s="30"/>
      <c r="T1252" s="33"/>
    </row>
    <row r="1253" spans="1:20" x14ac:dyDescent="0.25">
      <c r="A1253" s="30"/>
      <c r="B1253" s="37" t="str">
        <f t="shared" si="190"/>
        <v/>
      </c>
      <c r="C1253" s="30"/>
      <c r="D1253" s="34" t="str">
        <f t="shared" si="191"/>
        <v/>
      </c>
      <c r="E1253" s="34" t="str">
        <f t="shared" si="192"/>
        <v/>
      </c>
      <c r="F1253" s="34" t="str">
        <f t="shared" si="193"/>
        <v/>
      </c>
      <c r="G1253" s="35" t="str">
        <f t="shared" si="194"/>
        <v/>
      </c>
      <c r="H1253" s="30"/>
      <c r="I1253" s="36" t="str">
        <f t="shared" si="195"/>
        <v/>
      </c>
      <c r="J1253" s="34" t="str">
        <f t="shared" si="196"/>
        <v/>
      </c>
      <c r="K1253" s="49"/>
      <c r="L1253" s="55" t="str">
        <f t="shared" si="197"/>
        <v/>
      </c>
      <c r="M1253" s="54" t="str">
        <f t="shared" si="198"/>
        <v/>
      </c>
      <c r="N1253" s="30"/>
      <c r="O1253" s="31"/>
      <c r="P1253" s="53"/>
      <c r="Q1253" s="33"/>
      <c r="R1253" s="54" t="str">
        <f t="shared" si="199"/>
        <v/>
      </c>
      <c r="S1253" s="30"/>
      <c r="T1253" s="33"/>
    </row>
    <row r="1254" spans="1:20" x14ac:dyDescent="0.25">
      <c r="A1254" s="30"/>
      <c r="B1254" s="37" t="str">
        <f t="shared" si="190"/>
        <v/>
      </c>
      <c r="C1254" s="30"/>
      <c r="D1254" s="34" t="str">
        <f t="shared" si="191"/>
        <v/>
      </c>
      <c r="E1254" s="34" t="str">
        <f t="shared" si="192"/>
        <v/>
      </c>
      <c r="F1254" s="34" t="str">
        <f t="shared" si="193"/>
        <v/>
      </c>
      <c r="G1254" s="35" t="str">
        <f t="shared" si="194"/>
        <v/>
      </c>
      <c r="H1254" s="30"/>
      <c r="I1254" s="36" t="str">
        <f t="shared" si="195"/>
        <v/>
      </c>
      <c r="J1254" s="34" t="str">
        <f t="shared" si="196"/>
        <v/>
      </c>
      <c r="K1254" s="49"/>
      <c r="L1254" s="55" t="str">
        <f t="shared" si="197"/>
        <v/>
      </c>
      <c r="M1254" s="54" t="str">
        <f t="shared" si="198"/>
        <v/>
      </c>
      <c r="N1254" s="30"/>
      <c r="O1254" s="31"/>
      <c r="P1254" s="53"/>
      <c r="Q1254" s="33"/>
      <c r="R1254" s="54" t="str">
        <f t="shared" si="199"/>
        <v/>
      </c>
      <c r="S1254" s="30"/>
      <c r="T1254" s="33"/>
    </row>
    <row r="1255" spans="1:20" x14ac:dyDescent="0.25">
      <c r="A1255" s="30"/>
      <c r="B1255" s="37" t="str">
        <f t="shared" si="190"/>
        <v/>
      </c>
      <c r="C1255" s="30"/>
      <c r="D1255" s="34" t="str">
        <f t="shared" si="191"/>
        <v/>
      </c>
      <c r="E1255" s="34" t="str">
        <f t="shared" si="192"/>
        <v/>
      </c>
      <c r="F1255" s="34" t="str">
        <f t="shared" si="193"/>
        <v/>
      </c>
      <c r="G1255" s="35" t="str">
        <f t="shared" si="194"/>
        <v/>
      </c>
      <c r="H1255" s="30"/>
      <c r="I1255" s="36" t="str">
        <f t="shared" si="195"/>
        <v/>
      </c>
      <c r="J1255" s="34" t="str">
        <f t="shared" si="196"/>
        <v/>
      </c>
      <c r="K1255" s="49"/>
      <c r="L1255" s="55" t="str">
        <f t="shared" si="197"/>
        <v/>
      </c>
      <c r="M1255" s="54" t="str">
        <f t="shared" si="198"/>
        <v/>
      </c>
      <c r="N1255" s="30"/>
      <c r="O1255" s="31"/>
      <c r="P1255" s="53"/>
      <c r="Q1255" s="33"/>
      <c r="R1255" s="54" t="str">
        <f t="shared" si="199"/>
        <v/>
      </c>
      <c r="S1255" s="30"/>
      <c r="T1255" s="33"/>
    </row>
    <row r="1256" spans="1:20" x14ac:dyDescent="0.25">
      <c r="A1256" s="30"/>
      <c r="B1256" s="37" t="str">
        <f t="shared" si="190"/>
        <v/>
      </c>
      <c r="C1256" s="30"/>
      <c r="D1256" s="34" t="str">
        <f t="shared" si="191"/>
        <v/>
      </c>
      <c r="E1256" s="34" t="str">
        <f t="shared" si="192"/>
        <v/>
      </c>
      <c r="F1256" s="34" t="str">
        <f t="shared" si="193"/>
        <v/>
      </c>
      <c r="G1256" s="35" t="str">
        <f t="shared" si="194"/>
        <v/>
      </c>
      <c r="H1256" s="30"/>
      <c r="I1256" s="36" t="str">
        <f t="shared" si="195"/>
        <v/>
      </c>
      <c r="J1256" s="34" t="str">
        <f t="shared" si="196"/>
        <v/>
      </c>
      <c r="K1256" s="49"/>
      <c r="L1256" s="55" t="str">
        <f t="shared" si="197"/>
        <v/>
      </c>
      <c r="M1256" s="54" t="str">
        <f t="shared" si="198"/>
        <v/>
      </c>
      <c r="N1256" s="30"/>
      <c r="O1256" s="31"/>
      <c r="P1256" s="53"/>
      <c r="Q1256" s="33"/>
      <c r="R1256" s="54" t="str">
        <f t="shared" si="199"/>
        <v/>
      </c>
      <c r="S1256" s="30"/>
      <c r="T1256" s="33"/>
    </row>
    <row r="1257" spans="1:20" x14ac:dyDescent="0.25">
      <c r="A1257" s="30"/>
      <c r="B1257" s="37" t="str">
        <f t="shared" si="190"/>
        <v/>
      </c>
      <c r="C1257" s="30"/>
      <c r="D1257" s="34" t="str">
        <f t="shared" si="191"/>
        <v/>
      </c>
      <c r="E1257" s="34" t="str">
        <f t="shared" si="192"/>
        <v/>
      </c>
      <c r="F1257" s="34" t="str">
        <f t="shared" si="193"/>
        <v/>
      </c>
      <c r="G1257" s="35" t="str">
        <f t="shared" si="194"/>
        <v/>
      </c>
      <c r="H1257" s="30"/>
      <c r="I1257" s="36" t="str">
        <f t="shared" si="195"/>
        <v/>
      </c>
      <c r="J1257" s="34" t="str">
        <f t="shared" si="196"/>
        <v/>
      </c>
      <c r="K1257" s="49"/>
      <c r="L1257" s="55" t="str">
        <f t="shared" si="197"/>
        <v/>
      </c>
      <c r="M1257" s="54" t="str">
        <f t="shared" si="198"/>
        <v/>
      </c>
      <c r="N1257" s="30"/>
      <c r="O1257" s="31"/>
      <c r="P1257" s="53"/>
      <c r="Q1257" s="33"/>
      <c r="R1257" s="54" t="str">
        <f t="shared" si="199"/>
        <v/>
      </c>
      <c r="S1257" s="30"/>
      <c r="T1257" s="33"/>
    </row>
    <row r="1258" spans="1:20" x14ac:dyDescent="0.25">
      <c r="A1258" s="30"/>
      <c r="B1258" s="37" t="str">
        <f t="shared" si="190"/>
        <v/>
      </c>
      <c r="C1258" s="30"/>
      <c r="D1258" s="34" t="str">
        <f t="shared" si="191"/>
        <v/>
      </c>
      <c r="E1258" s="34" t="str">
        <f t="shared" si="192"/>
        <v/>
      </c>
      <c r="F1258" s="34" t="str">
        <f t="shared" si="193"/>
        <v/>
      </c>
      <c r="G1258" s="35" t="str">
        <f t="shared" si="194"/>
        <v/>
      </c>
      <c r="H1258" s="30"/>
      <c r="I1258" s="36" t="str">
        <f t="shared" si="195"/>
        <v/>
      </c>
      <c r="J1258" s="34" t="str">
        <f t="shared" si="196"/>
        <v/>
      </c>
      <c r="K1258" s="49"/>
      <c r="L1258" s="55" t="str">
        <f t="shared" si="197"/>
        <v/>
      </c>
      <c r="M1258" s="54" t="str">
        <f t="shared" si="198"/>
        <v/>
      </c>
      <c r="N1258" s="30"/>
      <c r="O1258" s="31"/>
      <c r="P1258" s="53"/>
      <c r="Q1258" s="33"/>
      <c r="R1258" s="54" t="str">
        <f t="shared" si="199"/>
        <v/>
      </c>
      <c r="S1258" s="30"/>
      <c r="T1258" s="33"/>
    </row>
    <row r="1259" spans="1:20" x14ac:dyDescent="0.25">
      <c r="A1259" s="30"/>
      <c r="B1259" s="37" t="str">
        <f t="shared" si="190"/>
        <v/>
      </c>
      <c r="C1259" s="30"/>
      <c r="D1259" s="34" t="str">
        <f t="shared" si="191"/>
        <v/>
      </c>
      <c r="E1259" s="34" t="str">
        <f t="shared" si="192"/>
        <v/>
      </c>
      <c r="F1259" s="34" t="str">
        <f t="shared" si="193"/>
        <v/>
      </c>
      <c r="G1259" s="35" t="str">
        <f t="shared" si="194"/>
        <v/>
      </c>
      <c r="H1259" s="30"/>
      <c r="I1259" s="36" t="str">
        <f t="shared" si="195"/>
        <v/>
      </c>
      <c r="J1259" s="34" t="str">
        <f t="shared" si="196"/>
        <v/>
      </c>
      <c r="K1259" s="49"/>
      <c r="L1259" s="55" t="str">
        <f t="shared" si="197"/>
        <v/>
      </c>
      <c r="M1259" s="54" t="str">
        <f t="shared" si="198"/>
        <v/>
      </c>
      <c r="N1259" s="30"/>
      <c r="O1259" s="31"/>
      <c r="P1259" s="53"/>
      <c r="Q1259" s="33"/>
      <c r="R1259" s="54" t="str">
        <f t="shared" si="199"/>
        <v/>
      </c>
      <c r="S1259" s="30"/>
      <c r="T1259" s="33"/>
    </row>
    <row r="1260" spans="1:20" x14ac:dyDescent="0.25">
      <c r="A1260" s="30"/>
      <c r="B1260" s="37" t="str">
        <f t="shared" si="190"/>
        <v/>
      </c>
      <c r="C1260" s="30"/>
      <c r="D1260" s="34" t="str">
        <f t="shared" si="191"/>
        <v/>
      </c>
      <c r="E1260" s="34" t="str">
        <f t="shared" si="192"/>
        <v/>
      </c>
      <c r="F1260" s="34" t="str">
        <f t="shared" si="193"/>
        <v/>
      </c>
      <c r="G1260" s="35" t="str">
        <f t="shared" si="194"/>
        <v/>
      </c>
      <c r="H1260" s="30"/>
      <c r="I1260" s="36" t="str">
        <f t="shared" si="195"/>
        <v/>
      </c>
      <c r="J1260" s="34" t="str">
        <f t="shared" si="196"/>
        <v/>
      </c>
      <c r="K1260" s="49"/>
      <c r="L1260" s="55" t="str">
        <f t="shared" si="197"/>
        <v/>
      </c>
      <c r="M1260" s="54" t="str">
        <f t="shared" si="198"/>
        <v/>
      </c>
      <c r="N1260" s="30"/>
      <c r="O1260" s="31"/>
      <c r="P1260" s="53"/>
      <c r="Q1260" s="33"/>
      <c r="R1260" s="54" t="str">
        <f t="shared" si="199"/>
        <v/>
      </c>
      <c r="S1260" s="30"/>
      <c r="T1260" s="33"/>
    </row>
    <row r="1261" spans="1:20" x14ac:dyDescent="0.25">
      <c r="A1261" s="30"/>
      <c r="B1261" s="37" t="str">
        <f t="shared" si="190"/>
        <v/>
      </c>
      <c r="C1261" s="30"/>
      <c r="D1261" s="34" t="str">
        <f t="shared" si="191"/>
        <v/>
      </c>
      <c r="E1261" s="34" t="str">
        <f t="shared" si="192"/>
        <v/>
      </c>
      <c r="F1261" s="34" t="str">
        <f t="shared" si="193"/>
        <v/>
      </c>
      <c r="G1261" s="35" t="str">
        <f t="shared" si="194"/>
        <v/>
      </c>
      <c r="H1261" s="30"/>
      <c r="I1261" s="36" t="str">
        <f t="shared" si="195"/>
        <v/>
      </c>
      <c r="J1261" s="34" t="str">
        <f t="shared" si="196"/>
        <v/>
      </c>
      <c r="K1261" s="49"/>
      <c r="L1261" s="55" t="str">
        <f t="shared" si="197"/>
        <v/>
      </c>
      <c r="M1261" s="54" t="str">
        <f t="shared" si="198"/>
        <v/>
      </c>
      <c r="N1261" s="30"/>
      <c r="O1261" s="31"/>
      <c r="P1261" s="53"/>
      <c r="Q1261" s="33"/>
      <c r="R1261" s="54" t="str">
        <f t="shared" si="199"/>
        <v/>
      </c>
      <c r="S1261" s="30"/>
      <c r="T1261" s="33"/>
    </row>
    <row r="1262" spans="1:20" x14ac:dyDescent="0.25">
      <c r="A1262" s="30"/>
      <c r="B1262" s="37" t="str">
        <f t="shared" si="190"/>
        <v/>
      </c>
      <c r="C1262" s="30"/>
      <c r="D1262" s="34" t="str">
        <f t="shared" si="191"/>
        <v/>
      </c>
      <c r="E1262" s="34" t="str">
        <f t="shared" si="192"/>
        <v/>
      </c>
      <c r="F1262" s="34" t="str">
        <f t="shared" si="193"/>
        <v/>
      </c>
      <c r="G1262" s="35" t="str">
        <f t="shared" si="194"/>
        <v/>
      </c>
      <c r="H1262" s="30"/>
      <c r="I1262" s="36" t="str">
        <f t="shared" si="195"/>
        <v/>
      </c>
      <c r="J1262" s="34" t="str">
        <f t="shared" si="196"/>
        <v/>
      </c>
      <c r="K1262" s="49"/>
      <c r="L1262" s="55" t="str">
        <f t="shared" si="197"/>
        <v/>
      </c>
      <c r="M1262" s="54" t="str">
        <f t="shared" si="198"/>
        <v/>
      </c>
      <c r="N1262" s="30"/>
      <c r="O1262" s="31"/>
      <c r="P1262" s="53"/>
      <c r="Q1262" s="33"/>
      <c r="R1262" s="54" t="str">
        <f t="shared" si="199"/>
        <v/>
      </c>
      <c r="S1262" s="30"/>
      <c r="T1262" s="33"/>
    </row>
    <row r="1263" spans="1:20" x14ac:dyDescent="0.25">
      <c r="A1263" s="30"/>
      <c r="B1263" s="37" t="str">
        <f t="shared" si="190"/>
        <v/>
      </c>
      <c r="C1263" s="30"/>
      <c r="D1263" s="34" t="str">
        <f t="shared" si="191"/>
        <v/>
      </c>
      <c r="E1263" s="34" t="str">
        <f t="shared" si="192"/>
        <v/>
      </c>
      <c r="F1263" s="34" t="str">
        <f t="shared" si="193"/>
        <v/>
      </c>
      <c r="G1263" s="35" t="str">
        <f t="shared" si="194"/>
        <v/>
      </c>
      <c r="H1263" s="30"/>
      <c r="I1263" s="36" t="str">
        <f t="shared" si="195"/>
        <v/>
      </c>
      <c r="J1263" s="34" t="str">
        <f t="shared" si="196"/>
        <v/>
      </c>
      <c r="K1263" s="49"/>
      <c r="L1263" s="55" t="str">
        <f t="shared" si="197"/>
        <v/>
      </c>
      <c r="M1263" s="54" t="str">
        <f t="shared" si="198"/>
        <v/>
      </c>
      <c r="N1263" s="30"/>
      <c r="O1263" s="31"/>
      <c r="P1263" s="53"/>
      <c r="Q1263" s="33"/>
      <c r="R1263" s="54" t="str">
        <f t="shared" si="199"/>
        <v/>
      </c>
      <c r="S1263" s="30"/>
      <c r="T1263" s="33"/>
    </row>
    <row r="1264" spans="1:20" x14ac:dyDescent="0.25">
      <c r="A1264" s="30"/>
      <c r="B1264" s="37" t="str">
        <f t="shared" si="190"/>
        <v/>
      </c>
      <c r="C1264" s="30"/>
      <c r="D1264" s="34" t="str">
        <f t="shared" si="191"/>
        <v/>
      </c>
      <c r="E1264" s="34" t="str">
        <f t="shared" si="192"/>
        <v/>
      </c>
      <c r="F1264" s="34" t="str">
        <f t="shared" si="193"/>
        <v/>
      </c>
      <c r="G1264" s="35" t="str">
        <f t="shared" si="194"/>
        <v/>
      </c>
      <c r="H1264" s="30"/>
      <c r="I1264" s="36" t="str">
        <f t="shared" si="195"/>
        <v/>
      </c>
      <c r="J1264" s="34" t="str">
        <f t="shared" si="196"/>
        <v/>
      </c>
      <c r="K1264" s="49"/>
      <c r="L1264" s="55" t="str">
        <f t="shared" si="197"/>
        <v/>
      </c>
      <c r="M1264" s="54" t="str">
        <f t="shared" si="198"/>
        <v/>
      </c>
      <c r="N1264" s="30"/>
      <c r="O1264" s="31"/>
      <c r="P1264" s="53"/>
      <c r="Q1264" s="33"/>
      <c r="R1264" s="54" t="str">
        <f t="shared" si="199"/>
        <v/>
      </c>
      <c r="S1264" s="30"/>
      <c r="T1264" s="33"/>
    </row>
    <row r="1265" spans="1:20" x14ac:dyDescent="0.25">
      <c r="A1265" s="30"/>
      <c r="B1265" s="37" t="str">
        <f t="shared" si="190"/>
        <v/>
      </c>
      <c r="C1265" s="30"/>
      <c r="D1265" s="34" t="str">
        <f t="shared" si="191"/>
        <v/>
      </c>
      <c r="E1265" s="34" t="str">
        <f t="shared" si="192"/>
        <v/>
      </c>
      <c r="F1265" s="34" t="str">
        <f t="shared" si="193"/>
        <v/>
      </c>
      <c r="G1265" s="35" t="str">
        <f t="shared" si="194"/>
        <v/>
      </c>
      <c r="H1265" s="30"/>
      <c r="I1265" s="36" t="str">
        <f t="shared" si="195"/>
        <v/>
      </c>
      <c r="J1265" s="34" t="str">
        <f t="shared" si="196"/>
        <v/>
      </c>
      <c r="K1265" s="49"/>
      <c r="L1265" s="55" t="str">
        <f t="shared" si="197"/>
        <v/>
      </c>
      <c r="M1265" s="54" t="str">
        <f t="shared" si="198"/>
        <v/>
      </c>
      <c r="N1265" s="30"/>
      <c r="O1265" s="31"/>
      <c r="P1265" s="53"/>
      <c r="Q1265" s="33"/>
      <c r="R1265" s="54" t="str">
        <f t="shared" si="199"/>
        <v/>
      </c>
      <c r="S1265" s="30"/>
      <c r="T1265" s="33"/>
    </row>
    <row r="1266" spans="1:20" x14ac:dyDescent="0.25">
      <c r="A1266" s="30"/>
      <c r="B1266" s="37" t="str">
        <f t="shared" si="190"/>
        <v/>
      </c>
      <c r="C1266" s="30"/>
      <c r="D1266" s="34" t="str">
        <f t="shared" si="191"/>
        <v/>
      </c>
      <c r="E1266" s="34" t="str">
        <f t="shared" si="192"/>
        <v/>
      </c>
      <c r="F1266" s="34" t="str">
        <f t="shared" si="193"/>
        <v/>
      </c>
      <c r="G1266" s="35" t="str">
        <f t="shared" si="194"/>
        <v/>
      </c>
      <c r="H1266" s="30"/>
      <c r="I1266" s="36" t="str">
        <f t="shared" si="195"/>
        <v/>
      </c>
      <c r="J1266" s="34" t="str">
        <f t="shared" si="196"/>
        <v/>
      </c>
      <c r="K1266" s="49"/>
      <c r="L1266" s="55" t="str">
        <f t="shared" si="197"/>
        <v/>
      </c>
      <c r="M1266" s="54" t="str">
        <f t="shared" si="198"/>
        <v/>
      </c>
      <c r="N1266" s="30"/>
      <c r="O1266" s="31"/>
      <c r="P1266" s="53"/>
      <c r="Q1266" s="33"/>
      <c r="R1266" s="54" t="str">
        <f t="shared" si="199"/>
        <v/>
      </c>
      <c r="S1266" s="30"/>
      <c r="T1266" s="33"/>
    </row>
    <row r="1267" spans="1:20" x14ac:dyDescent="0.25">
      <c r="A1267" s="30"/>
      <c r="B1267" s="37" t="str">
        <f t="shared" si="190"/>
        <v/>
      </c>
      <c r="C1267" s="30"/>
      <c r="D1267" s="34" t="str">
        <f t="shared" si="191"/>
        <v/>
      </c>
      <c r="E1267" s="34" t="str">
        <f t="shared" si="192"/>
        <v/>
      </c>
      <c r="F1267" s="34" t="str">
        <f t="shared" si="193"/>
        <v/>
      </c>
      <c r="G1267" s="35" t="str">
        <f t="shared" si="194"/>
        <v/>
      </c>
      <c r="H1267" s="30"/>
      <c r="I1267" s="36" t="str">
        <f t="shared" si="195"/>
        <v/>
      </c>
      <c r="J1267" s="34" t="str">
        <f t="shared" si="196"/>
        <v/>
      </c>
      <c r="K1267" s="49"/>
      <c r="L1267" s="55" t="str">
        <f t="shared" si="197"/>
        <v/>
      </c>
      <c r="M1267" s="54" t="str">
        <f t="shared" si="198"/>
        <v/>
      </c>
      <c r="N1267" s="30"/>
      <c r="O1267" s="31"/>
      <c r="P1267" s="53"/>
      <c r="Q1267" s="33"/>
      <c r="R1267" s="54" t="str">
        <f t="shared" si="199"/>
        <v/>
      </c>
      <c r="S1267" s="30"/>
      <c r="T1267" s="33"/>
    </row>
    <row r="1268" spans="1:20" x14ac:dyDescent="0.25">
      <c r="A1268" s="30"/>
      <c r="B1268" s="37" t="str">
        <f t="shared" si="190"/>
        <v/>
      </c>
      <c r="C1268" s="30"/>
      <c r="D1268" s="34" t="str">
        <f t="shared" si="191"/>
        <v/>
      </c>
      <c r="E1268" s="34" t="str">
        <f t="shared" si="192"/>
        <v/>
      </c>
      <c r="F1268" s="34" t="str">
        <f t="shared" si="193"/>
        <v/>
      </c>
      <c r="G1268" s="35" t="str">
        <f t="shared" si="194"/>
        <v/>
      </c>
      <c r="H1268" s="30"/>
      <c r="I1268" s="36" t="str">
        <f t="shared" si="195"/>
        <v/>
      </c>
      <c r="J1268" s="34" t="str">
        <f t="shared" si="196"/>
        <v/>
      </c>
      <c r="K1268" s="49"/>
      <c r="L1268" s="55" t="str">
        <f t="shared" si="197"/>
        <v/>
      </c>
      <c r="M1268" s="54" t="str">
        <f t="shared" si="198"/>
        <v/>
      </c>
      <c r="N1268" s="30"/>
      <c r="O1268" s="31"/>
      <c r="P1268" s="53"/>
      <c r="Q1268" s="33"/>
      <c r="R1268" s="54" t="str">
        <f t="shared" si="199"/>
        <v/>
      </c>
      <c r="S1268" s="30"/>
      <c r="T1268" s="33"/>
    </row>
    <row r="1269" spans="1:20" x14ac:dyDescent="0.25">
      <c r="A1269" s="30"/>
      <c r="B1269" s="37" t="str">
        <f t="shared" ref="B1269:B1332" si="200">IF($G1269="","",EOMONTH($G1269,0))</f>
        <v/>
      </c>
      <c r="C1269" s="30"/>
      <c r="D1269" s="34" t="str">
        <f t="shared" ref="D1269:D1332" si="201">IFERROR(IF($C1269="","",VLOOKUP($C1269,CAD_TAB,2,FALSE)),"")</f>
        <v/>
      </c>
      <c r="E1269" s="34" t="str">
        <f t="shared" ref="E1269:E1332" si="202">IFERROR(IF($C1269="","",VLOOKUP($C1269,CAD_TAB,3,FALSE)),"")</f>
        <v/>
      </c>
      <c r="F1269" s="34" t="str">
        <f t="shared" ref="F1269:F1332" si="203">IFERROR(IF($C1269="","",VLOOKUP($C1269,OS_TAB,7,FALSE)),"")</f>
        <v/>
      </c>
      <c r="G1269" s="35" t="str">
        <f t="shared" ref="G1269:G1332" si="204">IFERROR(IF($C1269="","",VLOOKUP($C1269,OS_TAB,10,FALSE)),"")</f>
        <v/>
      </c>
      <c r="H1269" s="30"/>
      <c r="I1269" s="36" t="str">
        <f t="shared" ref="I1269:I1332" si="205">IFERROR(IF($H1269="","",VLOOKUP($H1269,PRE_TAB,5,FALSE)),"CÓDIGO NÃO ENCONTRADO")</f>
        <v/>
      </c>
      <c r="J1269" s="34" t="str">
        <f t="shared" ref="J1269:J1332" si="206">IFERROR(IF($H1269="","",VLOOKUP($H1269,PRE_TAB,7,FALSE)),"")</f>
        <v/>
      </c>
      <c r="K1269" s="49"/>
      <c r="L1269" s="55" t="str">
        <f t="shared" ref="L1269:L1332" si="207">IFERROR(IF($H1269="","",VLOOKUP($H1269,PRE_TAB,8,FALSE)),0)</f>
        <v/>
      </c>
      <c r="M1269" s="54" t="str">
        <f t="shared" ref="M1269:M1332" si="208">IF($H1269="","",ROUND($K1269*$L1269,2))</f>
        <v/>
      </c>
      <c r="N1269" s="30"/>
      <c r="O1269" s="31"/>
      <c r="P1269" s="53"/>
      <c r="Q1269" s="33"/>
      <c r="R1269" s="54" t="str">
        <f t="shared" ref="R1269:R1332" si="209">IF($H1269="","",$M1269-$P1269)</f>
        <v/>
      </c>
      <c r="S1269" s="30"/>
      <c r="T1269" s="33"/>
    </row>
    <row r="1270" spans="1:20" x14ac:dyDescent="0.25">
      <c r="A1270" s="30"/>
      <c r="B1270" s="37" t="str">
        <f t="shared" si="200"/>
        <v/>
      </c>
      <c r="C1270" s="30"/>
      <c r="D1270" s="34" t="str">
        <f t="shared" si="201"/>
        <v/>
      </c>
      <c r="E1270" s="34" t="str">
        <f t="shared" si="202"/>
        <v/>
      </c>
      <c r="F1270" s="34" t="str">
        <f t="shared" si="203"/>
        <v/>
      </c>
      <c r="G1270" s="35" t="str">
        <f t="shared" si="204"/>
        <v/>
      </c>
      <c r="H1270" s="30"/>
      <c r="I1270" s="36" t="str">
        <f t="shared" si="205"/>
        <v/>
      </c>
      <c r="J1270" s="34" t="str">
        <f t="shared" si="206"/>
        <v/>
      </c>
      <c r="K1270" s="49"/>
      <c r="L1270" s="55" t="str">
        <f t="shared" si="207"/>
        <v/>
      </c>
      <c r="M1270" s="54" t="str">
        <f t="shared" si="208"/>
        <v/>
      </c>
      <c r="N1270" s="30"/>
      <c r="O1270" s="31"/>
      <c r="P1270" s="53"/>
      <c r="Q1270" s="33"/>
      <c r="R1270" s="54" t="str">
        <f t="shared" si="209"/>
        <v/>
      </c>
      <c r="S1270" s="30"/>
      <c r="T1270" s="33"/>
    </row>
    <row r="1271" spans="1:20" x14ac:dyDescent="0.25">
      <c r="A1271" s="30"/>
      <c r="B1271" s="37" t="str">
        <f t="shared" si="200"/>
        <v/>
      </c>
      <c r="C1271" s="30"/>
      <c r="D1271" s="34" t="str">
        <f t="shared" si="201"/>
        <v/>
      </c>
      <c r="E1271" s="34" t="str">
        <f t="shared" si="202"/>
        <v/>
      </c>
      <c r="F1271" s="34" t="str">
        <f t="shared" si="203"/>
        <v/>
      </c>
      <c r="G1271" s="35" t="str">
        <f t="shared" si="204"/>
        <v/>
      </c>
      <c r="H1271" s="30"/>
      <c r="I1271" s="36" t="str">
        <f t="shared" si="205"/>
        <v/>
      </c>
      <c r="J1271" s="34" t="str">
        <f t="shared" si="206"/>
        <v/>
      </c>
      <c r="K1271" s="49"/>
      <c r="L1271" s="55" t="str">
        <f t="shared" si="207"/>
        <v/>
      </c>
      <c r="M1271" s="54" t="str">
        <f t="shared" si="208"/>
        <v/>
      </c>
      <c r="N1271" s="30"/>
      <c r="O1271" s="31"/>
      <c r="P1271" s="53"/>
      <c r="Q1271" s="33"/>
      <c r="R1271" s="54" t="str">
        <f t="shared" si="209"/>
        <v/>
      </c>
      <c r="S1271" s="30"/>
      <c r="T1271" s="33"/>
    </row>
    <row r="1272" spans="1:20" x14ac:dyDescent="0.25">
      <c r="A1272" s="30"/>
      <c r="B1272" s="37" t="str">
        <f t="shared" si="200"/>
        <v/>
      </c>
      <c r="C1272" s="30"/>
      <c r="D1272" s="34" t="str">
        <f t="shared" si="201"/>
        <v/>
      </c>
      <c r="E1272" s="34" t="str">
        <f t="shared" si="202"/>
        <v/>
      </c>
      <c r="F1272" s="34" t="str">
        <f t="shared" si="203"/>
        <v/>
      </c>
      <c r="G1272" s="35" t="str">
        <f t="shared" si="204"/>
        <v/>
      </c>
      <c r="H1272" s="30"/>
      <c r="I1272" s="36" t="str">
        <f t="shared" si="205"/>
        <v/>
      </c>
      <c r="J1272" s="34" t="str">
        <f t="shared" si="206"/>
        <v/>
      </c>
      <c r="K1272" s="49"/>
      <c r="L1272" s="55" t="str">
        <f t="shared" si="207"/>
        <v/>
      </c>
      <c r="M1272" s="54" t="str">
        <f t="shared" si="208"/>
        <v/>
      </c>
      <c r="N1272" s="30"/>
      <c r="O1272" s="31"/>
      <c r="P1272" s="53"/>
      <c r="Q1272" s="33"/>
      <c r="R1272" s="54" t="str">
        <f t="shared" si="209"/>
        <v/>
      </c>
      <c r="S1272" s="30"/>
      <c r="T1272" s="33"/>
    </row>
    <row r="1273" spans="1:20" x14ac:dyDescent="0.25">
      <c r="A1273" s="30"/>
      <c r="B1273" s="37" t="str">
        <f t="shared" si="200"/>
        <v/>
      </c>
      <c r="C1273" s="30"/>
      <c r="D1273" s="34" t="str">
        <f t="shared" si="201"/>
        <v/>
      </c>
      <c r="E1273" s="34" t="str">
        <f t="shared" si="202"/>
        <v/>
      </c>
      <c r="F1273" s="34" t="str">
        <f t="shared" si="203"/>
        <v/>
      </c>
      <c r="G1273" s="35" t="str">
        <f t="shared" si="204"/>
        <v/>
      </c>
      <c r="H1273" s="30"/>
      <c r="I1273" s="36" t="str">
        <f t="shared" si="205"/>
        <v/>
      </c>
      <c r="J1273" s="34" t="str">
        <f t="shared" si="206"/>
        <v/>
      </c>
      <c r="K1273" s="49"/>
      <c r="L1273" s="55" t="str">
        <f t="shared" si="207"/>
        <v/>
      </c>
      <c r="M1273" s="54" t="str">
        <f t="shared" si="208"/>
        <v/>
      </c>
      <c r="N1273" s="30"/>
      <c r="O1273" s="31"/>
      <c r="P1273" s="53"/>
      <c r="Q1273" s="33"/>
      <c r="R1273" s="54" t="str">
        <f t="shared" si="209"/>
        <v/>
      </c>
      <c r="S1273" s="30"/>
      <c r="T1273" s="33"/>
    </row>
    <row r="1274" spans="1:20" x14ac:dyDescent="0.25">
      <c r="A1274" s="30"/>
      <c r="B1274" s="37" t="str">
        <f t="shared" si="200"/>
        <v/>
      </c>
      <c r="C1274" s="30"/>
      <c r="D1274" s="34" t="str">
        <f t="shared" si="201"/>
        <v/>
      </c>
      <c r="E1274" s="34" t="str">
        <f t="shared" si="202"/>
        <v/>
      </c>
      <c r="F1274" s="34" t="str">
        <f t="shared" si="203"/>
        <v/>
      </c>
      <c r="G1274" s="35" t="str">
        <f t="shared" si="204"/>
        <v/>
      </c>
      <c r="H1274" s="30"/>
      <c r="I1274" s="36" t="str">
        <f t="shared" si="205"/>
        <v/>
      </c>
      <c r="J1274" s="34" t="str">
        <f t="shared" si="206"/>
        <v/>
      </c>
      <c r="K1274" s="49"/>
      <c r="L1274" s="55" t="str">
        <f t="shared" si="207"/>
        <v/>
      </c>
      <c r="M1274" s="54" t="str">
        <f t="shared" si="208"/>
        <v/>
      </c>
      <c r="N1274" s="30"/>
      <c r="O1274" s="31"/>
      <c r="P1274" s="53"/>
      <c r="Q1274" s="33"/>
      <c r="R1274" s="54" t="str">
        <f t="shared" si="209"/>
        <v/>
      </c>
      <c r="S1274" s="30"/>
      <c r="T1274" s="33"/>
    </row>
    <row r="1275" spans="1:20" x14ac:dyDescent="0.25">
      <c r="A1275" s="30"/>
      <c r="B1275" s="37" t="str">
        <f t="shared" si="200"/>
        <v/>
      </c>
      <c r="C1275" s="30"/>
      <c r="D1275" s="34" t="str">
        <f t="shared" si="201"/>
        <v/>
      </c>
      <c r="E1275" s="34" t="str">
        <f t="shared" si="202"/>
        <v/>
      </c>
      <c r="F1275" s="34" t="str">
        <f t="shared" si="203"/>
        <v/>
      </c>
      <c r="G1275" s="35" t="str">
        <f t="shared" si="204"/>
        <v/>
      </c>
      <c r="H1275" s="30"/>
      <c r="I1275" s="36" t="str">
        <f t="shared" si="205"/>
        <v/>
      </c>
      <c r="J1275" s="34" t="str">
        <f t="shared" si="206"/>
        <v/>
      </c>
      <c r="K1275" s="49"/>
      <c r="L1275" s="55" t="str">
        <f t="shared" si="207"/>
        <v/>
      </c>
      <c r="M1275" s="54" t="str">
        <f t="shared" si="208"/>
        <v/>
      </c>
      <c r="N1275" s="30"/>
      <c r="O1275" s="31"/>
      <c r="P1275" s="53"/>
      <c r="Q1275" s="33"/>
      <c r="R1275" s="54" t="str">
        <f t="shared" si="209"/>
        <v/>
      </c>
      <c r="S1275" s="30"/>
      <c r="T1275" s="33"/>
    </row>
    <row r="1276" spans="1:20" x14ac:dyDescent="0.25">
      <c r="A1276" s="30"/>
      <c r="B1276" s="37" t="str">
        <f t="shared" si="200"/>
        <v/>
      </c>
      <c r="C1276" s="30"/>
      <c r="D1276" s="34" t="str">
        <f t="shared" si="201"/>
        <v/>
      </c>
      <c r="E1276" s="34" t="str">
        <f t="shared" si="202"/>
        <v/>
      </c>
      <c r="F1276" s="34" t="str">
        <f t="shared" si="203"/>
        <v/>
      </c>
      <c r="G1276" s="35" t="str">
        <f t="shared" si="204"/>
        <v/>
      </c>
      <c r="H1276" s="30"/>
      <c r="I1276" s="36" t="str">
        <f t="shared" si="205"/>
        <v/>
      </c>
      <c r="J1276" s="34" t="str">
        <f t="shared" si="206"/>
        <v/>
      </c>
      <c r="K1276" s="49"/>
      <c r="L1276" s="55" t="str">
        <f t="shared" si="207"/>
        <v/>
      </c>
      <c r="M1276" s="54" t="str">
        <f t="shared" si="208"/>
        <v/>
      </c>
      <c r="N1276" s="30"/>
      <c r="O1276" s="31"/>
      <c r="P1276" s="53"/>
      <c r="Q1276" s="33"/>
      <c r="R1276" s="54" t="str">
        <f t="shared" si="209"/>
        <v/>
      </c>
      <c r="S1276" s="30"/>
      <c r="T1276" s="33"/>
    </row>
    <row r="1277" spans="1:20" x14ac:dyDescent="0.25">
      <c r="A1277" s="30"/>
      <c r="B1277" s="37" t="str">
        <f t="shared" si="200"/>
        <v/>
      </c>
      <c r="C1277" s="30"/>
      <c r="D1277" s="34" t="str">
        <f t="shared" si="201"/>
        <v/>
      </c>
      <c r="E1277" s="34" t="str">
        <f t="shared" si="202"/>
        <v/>
      </c>
      <c r="F1277" s="34" t="str">
        <f t="shared" si="203"/>
        <v/>
      </c>
      <c r="G1277" s="35" t="str">
        <f t="shared" si="204"/>
        <v/>
      </c>
      <c r="H1277" s="30"/>
      <c r="I1277" s="36" t="str">
        <f t="shared" si="205"/>
        <v/>
      </c>
      <c r="J1277" s="34" t="str">
        <f t="shared" si="206"/>
        <v/>
      </c>
      <c r="K1277" s="49"/>
      <c r="L1277" s="55" t="str">
        <f t="shared" si="207"/>
        <v/>
      </c>
      <c r="M1277" s="54" t="str">
        <f t="shared" si="208"/>
        <v/>
      </c>
      <c r="N1277" s="30"/>
      <c r="O1277" s="31"/>
      <c r="P1277" s="53"/>
      <c r="Q1277" s="33"/>
      <c r="R1277" s="54" t="str">
        <f t="shared" si="209"/>
        <v/>
      </c>
      <c r="S1277" s="30"/>
      <c r="T1277" s="33"/>
    </row>
    <row r="1278" spans="1:20" x14ac:dyDescent="0.25">
      <c r="A1278" s="30"/>
      <c r="B1278" s="37" t="str">
        <f t="shared" si="200"/>
        <v/>
      </c>
      <c r="C1278" s="30"/>
      <c r="D1278" s="34" t="str">
        <f t="shared" si="201"/>
        <v/>
      </c>
      <c r="E1278" s="34" t="str">
        <f t="shared" si="202"/>
        <v/>
      </c>
      <c r="F1278" s="34" t="str">
        <f t="shared" si="203"/>
        <v/>
      </c>
      <c r="G1278" s="35" t="str">
        <f t="shared" si="204"/>
        <v/>
      </c>
      <c r="H1278" s="30"/>
      <c r="I1278" s="36" t="str">
        <f t="shared" si="205"/>
        <v/>
      </c>
      <c r="J1278" s="34" t="str">
        <f t="shared" si="206"/>
        <v/>
      </c>
      <c r="K1278" s="49"/>
      <c r="L1278" s="55" t="str">
        <f t="shared" si="207"/>
        <v/>
      </c>
      <c r="M1278" s="54" t="str">
        <f t="shared" si="208"/>
        <v/>
      </c>
      <c r="N1278" s="30"/>
      <c r="O1278" s="31"/>
      <c r="P1278" s="53"/>
      <c r="Q1278" s="33"/>
      <c r="R1278" s="54" t="str">
        <f t="shared" si="209"/>
        <v/>
      </c>
      <c r="S1278" s="30"/>
      <c r="T1278" s="33"/>
    </row>
    <row r="1279" spans="1:20" x14ac:dyDescent="0.25">
      <c r="A1279" s="30"/>
      <c r="B1279" s="37" t="str">
        <f t="shared" si="200"/>
        <v/>
      </c>
      <c r="C1279" s="30"/>
      <c r="D1279" s="34" t="str">
        <f t="shared" si="201"/>
        <v/>
      </c>
      <c r="E1279" s="34" t="str">
        <f t="shared" si="202"/>
        <v/>
      </c>
      <c r="F1279" s="34" t="str">
        <f t="shared" si="203"/>
        <v/>
      </c>
      <c r="G1279" s="35" t="str">
        <f t="shared" si="204"/>
        <v/>
      </c>
      <c r="H1279" s="30"/>
      <c r="I1279" s="36" t="str">
        <f t="shared" si="205"/>
        <v/>
      </c>
      <c r="J1279" s="34" t="str">
        <f t="shared" si="206"/>
        <v/>
      </c>
      <c r="K1279" s="49"/>
      <c r="L1279" s="55" t="str">
        <f t="shared" si="207"/>
        <v/>
      </c>
      <c r="M1279" s="54" t="str">
        <f t="shared" si="208"/>
        <v/>
      </c>
      <c r="N1279" s="30"/>
      <c r="O1279" s="31"/>
      <c r="P1279" s="53"/>
      <c r="Q1279" s="33"/>
      <c r="R1279" s="54" t="str">
        <f t="shared" si="209"/>
        <v/>
      </c>
      <c r="S1279" s="30"/>
      <c r="T1279" s="33"/>
    </row>
    <row r="1280" spans="1:20" x14ac:dyDescent="0.25">
      <c r="A1280" s="30"/>
      <c r="B1280" s="37" t="str">
        <f t="shared" si="200"/>
        <v/>
      </c>
      <c r="C1280" s="30"/>
      <c r="D1280" s="34" t="str">
        <f t="shared" si="201"/>
        <v/>
      </c>
      <c r="E1280" s="34" t="str">
        <f t="shared" si="202"/>
        <v/>
      </c>
      <c r="F1280" s="34" t="str">
        <f t="shared" si="203"/>
        <v/>
      </c>
      <c r="G1280" s="35" t="str">
        <f t="shared" si="204"/>
        <v/>
      </c>
      <c r="H1280" s="30"/>
      <c r="I1280" s="36" t="str">
        <f t="shared" si="205"/>
        <v/>
      </c>
      <c r="J1280" s="34" t="str">
        <f t="shared" si="206"/>
        <v/>
      </c>
      <c r="K1280" s="49"/>
      <c r="L1280" s="55" t="str">
        <f t="shared" si="207"/>
        <v/>
      </c>
      <c r="M1280" s="54" t="str">
        <f t="shared" si="208"/>
        <v/>
      </c>
      <c r="N1280" s="30"/>
      <c r="O1280" s="31"/>
      <c r="P1280" s="53"/>
      <c r="Q1280" s="33"/>
      <c r="R1280" s="54" t="str">
        <f t="shared" si="209"/>
        <v/>
      </c>
      <c r="S1280" s="30"/>
      <c r="T1280" s="33"/>
    </row>
    <row r="1281" spans="1:20" x14ac:dyDescent="0.25">
      <c r="A1281" s="30"/>
      <c r="B1281" s="37" t="str">
        <f t="shared" si="200"/>
        <v/>
      </c>
      <c r="C1281" s="30"/>
      <c r="D1281" s="34" t="str">
        <f t="shared" si="201"/>
        <v/>
      </c>
      <c r="E1281" s="34" t="str">
        <f t="shared" si="202"/>
        <v/>
      </c>
      <c r="F1281" s="34" t="str">
        <f t="shared" si="203"/>
        <v/>
      </c>
      <c r="G1281" s="35" t="str">
        <f t="shared" si="204"/>
        <v/>
      </c>
      <c r="H1281" s="30"/>
      <c r="I1281" s="36" t="str">
        <f t="shared" si="205"/>
        <v/>
      </c>
      <c r="J1281" s="34" t="str">
        <f t="shared" si="206"/>
        <v/>
      </c>
      <c r="K1281" s="49"/>
      <c r="L1281" s="55" t="str">
        <f t="shared" si="207"/>
        <v/>
      </c>
      <c r="M1281" s="54" t="str">
        <f t="shared" si="208"/>
        <v/>
      </c>
      <c r="N1281" s="30"/>
      <c r="O1281" s="31"/>
      <c r="P1281" s="53"/>
      <c r="Q1281" s="33"/>
      <c r="R1281" s="54" t="str">
        <f t="shared" si="209"/>
        <v/>
      </c>
      <c r="S1281" s="30"/>
      <c r="T1281" s="33"/>
    </row>
    <row r="1282" spans="1:20" x14ac:dyDescent="0.25">
      <c r="A1282" s="30"/>
      <c r="B1282" s="37" t="str">
        <f t="shared" si="200"/>
        <v/>
      </c>
      <c r="C1282" s="30"/>
      <c r="D1282" s="34" t="str">
        <f t="shared" si="201"/>
        <v/>
      </c>
      <c r="E1282" s="34" t="str">
        <f t="shared" si="202"/>
        <v/>
      </c>
      <c r="F1282" s="34" t="str">
        <f t="shared" si="203"/>
        <v/>
      </c>
      <c r="G1282" s="35" t="str">
        <f t="shared" si="204"/>
        <v/>
      </c>
      <c r="H1282" s="30"/>
      <c r="I1282" s="36" t="str">
        <f t="shared" si="205"/>
        <v/>
      </c>
      <c r="J1282" s="34" t="str">
        <f t="shared" si="206"/>
        <v/>
      </c>
      <c r="K1282" s="49"/>
      <c r="L1282" s="55" t="str">
        <f t="shared" si="207"/>
        <v/>
      </c>
      <c r="M1282" s="54" t="str">
        <f t="shared" si="208"/>
        <v/>
      </c>
      <c r="N1282" s="30"/>
      <c r="O1282" s="31"/>
      <c r="P1282" s="53"/>
      <c r="Q1282" s="33"/>
      <c r="R1282" s="54" t="str">
        <f t="shared" si="209"/>
        <v/>
      </c>
      <c r="S1282" s="30"/>
      <c r="T1282" s="33"/>
    </row>
    <row r="1283" spans="1:20" x14ac:dyDescent="0.25">
      <c r="A1283" s="30"/>
      <c r="B1283" s="37" t="str">
        <f t="shared" si="200"/>
        <v/>
      </c>
      <c r="C1283" s="30"/>
      <c r="D1283" s="34" t="str">
        <f t="shared" si="201"/>
        <v/>
      </c>
      <c r="E1283" s="34" t="str">
        <f t="shared" si="202"/>
        <v/>
      </c>
      <c r="F1283" s="34" t="str">
        <f t="shared" si="203"/>
        <v/>
      </c>
      <c r="G1283" s="35" t="str">
        <f t="shared" si="204"/>
        <v/>
      </c>
      <c r="H1283" s="30"/>
      <c r="I1283" s="36" t="str">
        <f t="shared" si="205"/>
        <v/>
      </c>
      <c r="J1283" s="34" t="str">
        <f t="shared" si="206"/>
        <v/>
      </c>
      <c r="K1283" s="49"/>
      <c r="L1283" s="55" t="str">
        <f t="shared" si="207"/>
        <v/>
      </c>
      <c r="M1283" s="54" t="str">
        <f t="shared" si="208"/>
        <v/>
      </c>
      <c r="N1283" s="30"/>
      <c r="O1283" s="31"/>
      <c r="P1283" s="53"/>
      <c r="Q1283" s="33"/>
      <c r="R1283" s="54" t="str">
        <f t="shared" si="209"/>
        <v/>
      </c>
      <c r="S1283" s="30"/>
      <c r="T1283" s="33"/>
    </row>
    <row r="1284" spans="1:20" x14ac:dyDescent="0.25">
      <c r="A1284" s="30"/>
      <c r="B1284" s="37" t="str">
        <f t="shared" si="200"/>
        <v/>
      </c>
      <c r="C1284" s="30"/>
      <c r="D1284" s="34" t="str">
        <f t="shared" si="201"/>
        <v/>
      </c>
      <c r="E1284" s="34" t="str">
        <f t="shared" si="202"/>
        <v/>
      </c>
      <c r="F1284" s="34" t="str">
        <f t="shared" si="203"/>
        <v/>
      </c>
      <c r="G1284" s="35" t="str">
        <f t="shared" si="204"/>
        <v/>
      </c>
      <c r="H1284" s="30"/>
      <c r="I1284" s="36" t="str">
        <f t="shared" si="205"/>
        <v/>
      </c>
      <c r="J1284" s="34" t="str">
        <f t="shared" si="206"/>
        <v/>
      </c>
      <c r="K1284" s="49"/>
      <c r="L1284" s="55" t="str">
        <f t="shared" si="207"/>
        <v/>
      </c>
      <c r="M1284" s="54" t="str">
        <f t="shared" si="208"/>
        <v/>
      </c>
      <c r="N1284" s="30"/>
      <c r="O1284" s="31"/>
      <c r="P1284" s="53"/>
      <c r="Q1284" s="33"/>
      <c r="R1284" s="54" t="str">
        <f t="shared" si="209"/>
        <v/>
      </c>
      <c r="S1284" s="30"/>
      <c r="T1284" s="33"/>
    </row>
    <row r="1285" spans="1:20" x14ac:dyDescent="0.25">
      <c r="A1285" s="30"/>
      <c r="B1285" s="37" t="str">
        <f t="shared" si="200"/>
        <v/>
      </c>
      <c r="C1285" s="30"/>
      <c r="D1285" s="34" t="str">
        <f t="shared" si="201"/>
        <v/>
      </c>
      <c r="E1285" s="34" t="str">
        <f t="shared" si="202"/>
        <v/>
      </c>
      <c r="F1285" s="34" t="str">
        <f t="shared" si="203"/>
        <v/>
      </c>
      <c r="G1285" s="35" t="str">
        <f t="shared" si="204"/>
        <v/>
      </c>
      <c r="H1285" s="30"/>
      <c r="I1285" s="36" t="str">
        <f t="shared" si="205"/>
        <v/>
      </c>
      <c r="J1285" s="34" t="str">
        <f t="shared" si="206"/>
        <v/>
      </c>
      <c r="K1285" s="49"/>
      <c r="L1285" s="55" t="str">
        <f t="shared" si="207"/>
        <v/>
      </c>
      <c r="M1285" s="54" t="str">
        <f t="shared" si="208"/>
        <v/>
      </c>
      <c r="N1285" s="30"/>
      <c r="O1285" s="31"/>
      <c r="P1285" s="53"/>
      <c r="Q1285" s="33"/>
      <c r="R1285" s="54" t="str">
        <f t="shared" si="209"/>
        <v/>
      </c>
      <c r="S1285" s="30"/>
      <c r="T1285" s="33"/>
    </row>
    <row r="1286" spans="1:20" x14ac:dyDescent="0.25">
      <c r="A1286" s="30"/>
      <c r="B1286" s="37" t="str">
        <f t="shared" si="200"/>
        <v/>
      </c>
      <c r="C1286" s="30"/>
      <c r="D1286" s="34" t="str">
        <f t="shared" si="201"/>
        <v/>
      </c>
      <c r="E1286" s="34" t="str">
        <f t="shared" si="202"/>
        <v/>
      </c>
      <c r="F1286" s="34" t="str">
        <f t="shared" si="203"/>
        <v/>
      </c>
      <c r="G1286" s="35" t="str">
        <f t="shared" si="204"/>
        <v/>
      </c>
      <c r="H1286" s="30"/>
      <c r="I1286" s="36" t="str">
        <f t="shared" si="205"/>
        <v/>
      </c>
      <c r="J1286" s="34" t="str">
        <f t="shared" si="206"/>
        <v/>
      </c>
      <c r="K1286" s="49"/>
      <c r="L1286" s="55" t="str">
        <f t="shared" si="207"/>
        <v/>
      </c>
      <c r="M1286" s="54" t="str">
        <f t="shared" si="208"/>
        <v/>
      </c>
      <c r="N1286" s="30"/>
      <c r="O1286" s="31"/>
      <c r="P1286" s="53"/>
      <c r="Q1286" s="33"/>
      <c r="R1286" s="54" t="str">
        <f t="shared" si="209"/>
        <v/>
      </c>
      <c r="S1286" s="30"/>
      <c r="T1286" s="33"/>
    </row>
    <row r="1287" spans="1:20" x14ac:dyDescent="0.25">
      <c r="A1287" s="30"/>
      <c r="B1287" s="37" t="str">
        <f t="shared" si="200"/>
        <v/>
      </c>
      <c r="C1287" s="30"/>
      <c r="D1287" s="34" t="str">
        <f t="shared" si="201"/>
        <v/>
      </c>
      <c r="E1287" s="34" t="str">
        <f t="shared" si="202"/>
        <v/>
      </c>
      <c r="F1287" s="34" t="str">
        <f t="shared" si="203"/>
        <v/>
      </c>
      <c r="G1287" s="35" t="str">
        <f t="shared" si="204"/>
        <v/>
      </c>
      <c r="H1287" s="30"/>
      <c r="I1287" s="36" t="str">
        <f t="shared" si="205"/>
        <v/>
      </c>
      <c r="J1287" s="34" t="str">
        <f t="shared" si="206"/>
        <v/>
      </c>
      <c r="K1287" s="49"/>
      <c r="L1287" s="55" t="str">
        <f t="shared" si="207"/>
        <v/>
      </c>
      <c r="M1287" s="54" t="str">
        <f t="shared" si="208"/>
        <v/>
      </c>
      <c r="N1287" s="30"/>
      <c r="O1287" s="31"/>
      <c r="P1287" s="53"/>
      <c r="Q1287" s="33"/>
      <c r="R1287" s="54" t="str">
        <f t="shared" si="209"/>
        <v/>
      </c>
      <c r="S1287" s="30"/>
      <c r="T1287" s="33"/>
    </row>
    <row r="1288" spans="1:20" x14ac:dyDescent="0.25">
      <c r="A1288" s="30"/>
      <c r="B1288" s="37" t="str">
        <f t="shared" si="200"/>
        <v/>
      </c>
      <c r="C1288" s="30"/>
      <c r="D1288" s="34" t="str">
        <f t="shared" si="201"/>
        <v/>
      </c>
      <c r="E1288" s="34" t="str">
        <f t="shared" si="202"/>
        <v/>
      </c>
      <c r="F1288" s="34" t="str">
        <f t="shared" si="203"/>
        <v/>
      </c>
      <c r="G1288" s="35" t="str">
        <f t="shared" si="204"/>
        <v/>
      </c>
      <c r="H1288" s="30"/>
      <c r="I1288" s="36" t="str">
        <f t="shared" si="205"/>
        <v/>
      </c>
      <c r="J1288" s="34" t="str">
        <f t="shared" si="206"/>
        <v/>
      </c>
      <c r="K1288" s="49"/>
      <c r="L1288" s="55" t="str">
        <f t="shared" si="207"/>
        <v/>
      </c>
      <c r="M1288" s="54" t="str">
        <f t="shared" si="208"/>
        <v/>
      </c>
      <c r="N1288" s="30"/>
      <c r="O1288" s="31"/>
      <c r="P1288" s="53"/>
      <c r="Q1288" s="33"/>
      <c r="R1288" s="54" t="str">
        <f t="shared" si="209"/>
        <v/>
      </c>
      <c r="S1288" s="30"/>
      <c r="T1288" s="33"/>
    </row>
    <row r="1289" spans="1:20" x14ac:dyDescent="0.25">
      <c r="A1289" s="30"/>
      <c r="B1289" s="37" t="str">
        <f t="shared" si="200"/>
        <v/>
      </c>
      <c r="C1289" s="30"/>
      <c r="D1289" s="34" t="str">
        <f t="shared" si="201"/>
        <v/>
      </c>
      <c r="E1289" s="34" t="str">
        <f t="shared" si="202"/>
        <v/>
      </c>
      <c r="F1289" s="34" t="str">
        <f t="shared" si="203"/>
        <v/>
      </c>
      <c r="G1289" s="35" t="str">
        <f t="shared" si="204"/>
        <v/>
      </c>
      <c r="H1289" s="30"/>
      <c r="I1289" s="36" t="str">
        <f t="shared" si="205"/>
        <v/>
      </c>
      <c r="J1289" s="34" t="str">
        <f t="shared" si="206"/>
        <v/>
      </c>
      <c r="K1289" s="49"/>
      <c r="L1289" s="55" t="str">
        <f t="shared" si="207"/>
        <v/>
      </c>
      <c r="M1289" s="54" t="str">
        <f t="shared" si="208"/>
        <v/>
      </c>
      <c r="N1289" s="30"/>
      <c r="O1289" s="31"/>
      <c r="P1289" s="53"/>
      <c r="Q1289" s="33"/>
      <c r="R1289" s="54" t="str">
        <f t="shared" si="209"/>
        <v/>
      </c>
      <c r="S1289" s="30"/>
      <c r="T1289" s="33"/>
    </row>
    <row r="1290" spans="1:20" x14ac:dyDescent="0.25">
      <c r="A1290" s="30"/>
      <c r="B1290" s="37" t="str">
        <f t="shared" si="200"/>
        <v/>
      </c>
      <c r="C1290" s="30"/>
      <c r="D1290" s="34" t="str">
        <f t="shared" si="201"/>
        <v/>
      </c>
      <c r="E1290" s="34" t="str">
        <f t="shared" si="202"/>
        <v/>
      </c>
      <c r="F1290" s="34" t="str">
        <f t="shared" si="203"/>
        <v/>
      </c>
      <c r="G1290" s="35" t="str">
        <f t="shared" si="204"/>
        <v/>
      </c>
      <c r="H1290" s="30"/>
      <c r="I1290" s="36" t="str">
        <f t="shared" si="205"/>
        <v/>
      </c>
      <c r="J1290" s="34" t="str">
        <f t="shared" si="206"/>
        <v/>
      </c>
      <c r="K1290" s="49"/>
      <c r="L1290" s="55" t="str">
        <f t="shared" si="207"/>
        <v/>
      </c>
      <c r="M1290" s="54" t="str">
        <f t="shared" si="208"/>
        <v/>
      </c>
      <c r="N1290" s="30"/>
      <c r="O1290" s="31"/>
      <c r="P1290" s="53"/>
      <c r="Q1290" s="33"/>
      <c r="R1290" s="54" t="str">
        <f t="shared" si="209"/>
        <v/>
      </c>
      <c r="S1290" s="30"/>
      <c r="T1290" s="33"/>
    </row>
    <row r="1291" spans="1:20" x14ac:dyDescent="0.25">
      <c r="A1291" s="30"/>
      <c r="B1291" s="37" t="str">
        <f t="shared" si="200"/>
        <v/>
      </c>
      <c r="C1291" s="30"/>
      <c r="D1291" s="34" t="str">
        <f t="shared" si="201"/>
        <v/>
      </c>
      <c r="E1291" s="34" t="str">
        <f t="shared" si="202"/>
        <v/>
      </c>
      <c r="F1291" s="34" t="str">
        <f t="shared" si="203"/>
        <v/>
      </c>
      <c r="G1291" s="35" t="str">
        <f t="shared" si="204"/>
        <v/>
      </c>
      <c r="H1291" s="30"/>
      <c r="I1291" s="36" t="str">
        <f t="shared" si="205"/>
        <v/>
      </c>
      <c r="J1291" s="34" t="str">
        <f t="shared" si="206"/>
        <v/>
      </c>
      <c r="K1291" s="49"/>
      <c r="L1291" s="55" t="str">
        <f t="shared" si="207"/>
        <v/>
      </c>
      <c r="M1291" s="54" t="str">
        <f t="shared" si="208"/>
        <v/>
      </c>
      <c r="N1291" s="30"/>
      <c r="O1291" s="31"/>
      <c r="P1291" s="53"/>
      <c r="Q1291" s="33"/>
      <c r="R1291" s="54" t="str">
        <f t="shared" si="209"/>
        <v/>
      </c>
      <c r="S1291" s="30"/>
      <c r="T1291" s="33"/>
    </row>
    <row r="1292" spans="1:20" x14ac:dyDescent="0.25">
      <c r="A1292" s="30"/>
      <c r="B1292" s="37" t="str">
        <f t="shared" si="200"/>
        <v/>
      </c>
      <c r="C1292" s="30"/>
      <c r="D1292" s="34" t="str">
        <f t="shared" si="201"/>
        <v/>
      </c>
      <c r="E1292" s="34" t="str">
        <f t="shared" si="202"/>
        <v/>
      </c>
      <c r="F1292" s="34" t="str">
        <f t="shared" si="203"/>
        <v/>
      </c>
      <c r="G1292" s="35" t="str">
        <f t="shared" si="204"/>
        <v/>
      </c>
      <c r="H1292" s="30"/>
      <c r="I1292" s="36" t="str">
        <f t="shared" si="205"/>
        <v/>
      </c>
      <c r="J1292" s="34" t="str">
        <f t="shared" si="206"/>
        <v/>
      </c>
      <c r="K1292" s="49"/>
      <c r="L1292" s="55" t="str">
        <f t="shared" si="207"/>
        <v/>
      </c>
      <c r="M1292" s="54" t="str">
        <f t="shared" si="208"/>
        <v/>
      </c>
      <c r="N1292" s="30"/>
      <c r="O1292" s="31"/>
      <c r="P1292" s="53"/>
      <c r="Q1292" s="33"/>
      <c r="R1292" s="54" t="str">
        <f t="shared" si="209"/>
        <v/>
      </c>
      <c r="S1292" s="30"/>
      <c r="T1292" s="33"/>
    </row>
    <row r="1293" spans="1:20" x14ac:dyDescent="0.25">
      <c r="A1293" s="30"/>
      <c r="B1293" s="37" t="str">
        <f t="shared" si="200"/>
        <v/>
      </c>
      <c r="C1293" s="30"/>
      <c r="D1293" s="34" t="str">
        <f t="shared" si="201"/>
        <v/>
      </c>
      <c r="E1293" s="34" t="str">
        <f t="shared" si="202"/>
        <v/>
      </c>
      <c r="F1293" s="34" t="str">
        <f t="shared" si="203"/>
        <v/>
      </c>
      <c r="G1293" s="35" t="str">
        <f t="shared" si="204"/>
        <v/>
      </c>
      <c r="H1293" s="30"/>
      <c r="I1293" s="36" t="str">
        <f t="shared" si="205"/>
        <v/>
      </c>
      <c r="J1293" s="34" t="str">
        <f t="shared" si="206"/>
        <v/>
      </c>
      <c r="K1293" s="49"/>
      <c r="L1293" s="55" t="str">
        <f t="shared" si="207"/>
        <v/>
      </c>
      <c r="M1293" s="54" t="str">
        <f t="shared" si="208"/>
        <v/>
      </c>
      <c r="N1293" s="30"/>
      <c r="O1293" s="31"/>
      <c r="P1293" s="53"/>
      <c r="Q1293" s="33"/>
      <c r="R1293" s="54" t="str">
        <f t="shared" si="209"/>
        <v/>
      </c>
      <c r="S1293" s="30"/>
      <c r="T1293" s="33"/>
    </row>
    <row r="1294" spans="1:20" x14ac:dyDescent="0.25">
      <c r="A1294" s="30"/>
      <c r="B1294" s="37" t="str">
        <f t="shared" si="200"/>
        <v/>
      </c>
      <c r="C1294" s="30"/>
      <c r="D1294" s="34" t="str">
        <f t="shared" si="201"/>
        <v/>
      </c>
      <c r="E1294" s="34" t="str">
        <f t="shared" si="202"/>
        <v/>
      </c>
      <c r="F1294" s="34" t="str">
        <f t="shared" si="203"/>
        <v/>
      </c>
      <c r="G1294" s="35" t="str">
        <f t="shared" si="204"/>
        <v/>
      </c>
      <c r="H1294" s="30"/>
      <c r="I1294" s="36" t="str">
        <f t="shared" si="205"/>
        <v/>
      </c>
      <c r="J1294" s="34" t="str">
        <f t="shared" si="206"/>
        <v/>
      </c>
      <c r="K1294" s="49"/>
      <c r="L1294" s="55" t="str">
        <f t="shared" si="207"/>
        <v/>
      </c>
      <c r="M1294" s="54" t="str">
        <f t="shared" si="208"/>
        <v/>
      </c>
      <c r="N1294" s="30"/>
      <c r="O1294" s="31"/>
      <c r="P1294" s="53"/>
      <c r="Q1294" s="33"/>
      <c r="R1294" s="54" t="str">
        <f t="shared" si="209"/>
        <v/>
      </c>
      <c r="S1294" s="30"/>
      <c r="T1294" s="33"/>
    </row>
    <row r="1295" spans="1:20" x14ac:dyDescent="0.25">
      <c r="A1295" s="30"/>
      <c r="B1295" s="37" t="str">
        <f t="shared" si="200"/>
        <v/>
      </c>
      <c r="C1295" s="30"/>
      <c r="D1295" s="34" t="str">
        <f t="shared" si="201"/>
        <v/>
      </c>
      <c r="E1295" s="34" t="str">
        <f t="shared" si="202"/>
        <v/>
      </c>
      <c r="F1295" s="34" t="str">
        <f t="shared" si="203"/>
        <v/>
      </c>
      <c r="G1295" s="35" t="str">
        <f t="shared" si="204"/>
        <v/>
      </c>
      <c r="H1295" s="30"/>
      <c r="I1295" s="36" t="str">
        <f t="shared" si="205"/>
        <v/>
      </c>
      <c r="J1295" s="34" t="str">
        <f t="shared" si="206"/>
        <v/>
      </c>
      <c r="K1295" s="49"/>
      <c r="L1295" s="55" t="str">
        <f t="shared" si="207"/>
        <v/>
      </c>
      <c r="M1295" s="54" t="str">
        <f t="shared" si="208"/>
        <v/>
      </c>
      <c r="N1295" s="30"/>
      <c r="O1295" s="31"/>
      <c r="P1295" s="53"/>
      <c r="Q1295" s="33"/>
      <c r="R1295" s="54" t="str">
        <f t="shared" si="209"/>
        <v/>
      </c>
      <c r="S1295" s="30"/>
      <c r="T1295" s="33"/>
    </row>
    <row r="1296" spans="1:20" x14ac:dyDescent="0.25">
      <c r="A1296" s="30"/>
      <c r="B1296" s="37" t="str">
        <f t="shared" si="200"/>
        <v/>
      </c>
      <c r="C1296" s="30"/>
      <c r="D1296" s="34" t="str">
        <f t="shared" si="201"/>
        <v/>
      </c>
      <c r="E1296" s="34" t="str">
        <f t="shared" si="202"/>
        <v/>
      </c>
      <c r="F1296" s="34" t="str">
        <f t="shared" si="203"/>
        <v/>
      </c>
      <c r="G1296" s="35" t="str">
        <f t="shared" si="204"/>
        <v/>
      </c>
      <c r="H1296" s="30"/>
      <c r="I1296" s="36" t="str">
        <f t="shared" si="205"/>
        <v/>
      </c>
      <c r="J1296" s="34" t="str">
        <f t="shared" si="206"/>
        <v/>
      </c>
      <c r="K1296" s="49"/>
      <c r="L1296" s="55" t="str">
        <f t="shared" si="207"/>
        <v/>
      </c>
      <c r="M1296" s="54" t="str">
        <f t="shared" si="208"/>
        <v/>
      </c>
      <c r="N1296" s="30"/>
      <c r="O1296" s="31"/>
      <c r="P1296" s="53"/>
      <c r="Q1296" s="33"/>
      <c r="R1296" s="54" t="str">
        <f t="shared" si="209"/>
        <v/>
      </c>
      <c r="S1296" s="30"/>
      <c r="T1296" s="33"/>
    </row>
    <row r="1297" spans="1:20" x14ac:dyDescent="0.25">
      <c r="A1297" s="30"/>
      <c r="B1297" s="37" t="str">
        <f t="shared" si="200"/>
        <v/>
      </c>
      <c r="C1297" s="30"/>
      <c r="D1297" s="34" t="str">
        <f t="shared" si="201"/>
        <v/>
      </c>
      <c r="E1297" s="34" t="str">
        <f t="shared" si="202"/>
        <v/>
      </c>
      <c r="F1297" s="34" t="str">
        <f t="shared" si="203"/>
        <v/>
      </c>
      <c r="G1297" s="35" t="str">
        <f t="shared" si="204"/>
        <v/>
      </c>
      <c r="H1297" s="30"/>
      <c r="I1297" s="36" t="str">
        <f t="shared" si="205"/>
        <v/>
      </c>
      <c r="J1297" s="34" t="str">
        <f t="shared" si="206"/>
        <v/>
      </c>
      <c r="K1297" s="49"/>
      <c r="L1297" s="55" t="str">
        <f t="shared" si="207"/>
        <v/>
      </c>
      <c r="M1297" s="54" t="str">
        <f t="shared" si="208"/>
        <v/>
      </c>
      <c r="N1297" s="30"/>
      <c r="O1297" s="31"/>
      <c r="P1297" s="53"/>
      <c r="Q1297" s="33"/>
      <c r="R1297" s="54" t="str">
        <f t="shared" si="209"/>
        <v/>
      </c>
      <c r="S1297" s="30"/>
      <c r="T1297" s="33"/>
    </row>
    <row r="1298" spans="1:20" x14ac:dyDescent="0.25">
      <c r="A1298" s="30"/>
      <c r="B1298" s="37" t="str">
        <f t="shared" si="200"/>
        <v/>
      </c>
      <c r="C1298" s="30"/>
      <c r="D1298" s="34" t="str">
        <f t="shared" si="201"/>
        <v/>
      </c>
      <c r="E1298" s="34" t="str">
        <f t="shared" si="202"/>
        <v/>
      </c>
      <c r="F1298" s="34" t="str">
        <f t="shared" si="203"/>
        <v/>
      </c>
      <c r="G1298" s="35" t="str">
        <f t="shared" si="204"/>
        <v/>
      </c>
      <c r="H1298" s="30"/>
      <c r="I1298" s="36" t="str">
        <f t="shared" si="205"/>
        <v/>
      </c>
      <c r="J1298" s="34" t="str">
        <f t="shared" si="206"/>
        <v/>
      </c>
      <c r="K1298" s="49"/>
      <c r="L1298" s="55" t="str">
        <f t="shared" si="207"/>
        <v/>
      </c>
      <c r="M1298" s="54" t="str">
        <f t="shared" si="208"/>
        <v/>
      </c>
      <c r="N1298" s="30"/>
      <c r="O1298" s="31"/>
      <c r="P1298" s="53"/>
      <c r="Q1298" s="33"/>
      <c r="R1298" s="54" t="str">
        <f t="shared" si="209"/>
        <v/>
      </c>
      <c r="S1298" s="30"/>
      <c r="T1298" s="33"/>
    </row>
    <row r="1299" spans="1:20" x14ac:dyDescent="0.25">
      <c r="A1299" s="30"/>
      <c r="B1299" s="37" t="str">
        <f t="shared" si="200"/>
        <v/>
      </c>
      <c r="C1299" s="30"/>
      <c r="D1299" s="34" t="str">
        <f t="shared" si="201"/>
        <v/>
      </c>
      <c r="E1299" s="34" t="str">
        <f t="shared" si="202"/>
        <v/>
      </c>
      <c r="F1299" s="34" t="str">
        <f t="shared" si="203"/>
        <v/>
      </c>
      <c r="G1299" s="35" t="str">
        <f t="shared" si="204"/>
        <v/>
      </c>
      <c r="H1299" s="30"/>
      <c r="I1299" s="36" t="str">
        <f t="shared" si="205"/>
        <v/>
      </c>
      <c r="J1299" s="34" t="str">
        <f t="shared" si="206"/>
        <v/>
      </c>
      <c r="K1299" s="49"/>
      <c r="L1299" s="55" t="str">
        <f t="shared" si="207"/>
        <v/>
      </c>
      <c r="M1299" s="54" t="str">
        <f t="shared" si="208"/>
        <v/>
      </c>
      <c r="N1299" s="30"/>
      <c r="O1299" s="31"/>
      <c r="P1299" s="53"/>
      <c r="Q1299" s="33"/>
      <c r="R1299" s="54" t="str">
        <f t="shared" si="209"/>
        <v/>
      </c>
      <c r="S1299" s="30"/>
      <c r="T1299" s="33"/>
    </row>
    <row r="1300" spans="1:20" x14ac:dyDescent="0.25">
      <c r="A1300" s="30"/>
      <c r="B1300" s="37" t="str">
        <f t="shared" si="200"/>
        <v/>
      </c>
      <c r="C1300" s="30"/>
      <c r="D1300" s="34" t="str">
        <f t="shared" si="201"/>
        <v/>
      </c>
      <c r="E1300" s="34" t="str">
        <f t="shared" si="202"/>
        <v/>
      </c>
      <c r="F1300" s="34" t="str">
        <f t="shared" si="203"/>
        <v/>
      </c>
      <c r="G1300" s="35" t="str">
        <f t="shared" si="204"/>
        <v/>
      </c>
      <c r="H1300" s="30"/>
      <c r="I1300" s="36" t="str">
        <f t="shared" si="205"/>
        <v/>
      </c>
      <c r="J1300" s="34" t="str">
        <f t="shared" si="206"/>
        <v/>
      </c>
      <c r="K1300" s="49"/>
      <c r="L1300" s="55" t="str">
        <f t="shared" si="207"/>
        <v/>
      </c>
      <c r="M1300" s="54" t="str">
        <f t="shared" si="208"/>
        <v/>
      </c>
      <c r="N1300" s="30"/>
      <c r="O1300" s="31"/>
      <c r="P1300" s="53"/>
      <c r="Q1300" s="33"/>
      <c r="R1300" s="54" t="str">
        <f t="shared" si="209"/>
        <v/>
      </c>
      <c r="S1300" s="30"/>
      <c r="T1300" s="33"/>
    </row>
    <row r="1301" spans="1:20" x14ac:dyDescent="0.25">
      <c r="A1301" s="30"/>
      <c r="B1301" s="37" t="str">
        <f t="shared" si="200"/>
        <v/>
      </c>
      <c r="C1301" s="30"/>
      <c r="D1301" s="34" t="str">
        <f t="shared" si="201"/>
        <v/>
      </c>
      <c r="E1301" s="34" t="str">
        <f t="shared" si="202"/>
        <v/>
      </c>
      <c r="F1301" s="34" t="str">
        <f t="shared" si="203"/>
        <v/>
      </c>
      <c r="G1301" s="35" t="str">
        <f t="shared" si="204"/>
        <v/>
      </c>
      <c r="H1301" s="30"/>
      <c r="I1301" s="36" t="str">
        <f t="shared" si="205"/>
        <v/>
      </c>
      <c r="J1301" s="34" t="str">
        <f t="shared" si="206"/>
        <v/>
      </c>
      <c r="K1301" s="49"/>
      <c r="L1301" s="55" t="str">
        <f t="shared" si="207"/>
        <v/>
      </c>
      <c r="M1301" s="54" t="str">
        <f t="shared" si="208"/>
        <v/>
      </c>
      <c r="N1301" s="30"/>
      <c r="O1301" s="31"/>
      <c r="P1301" s="53"/>
      <c r="Q1301" s="33"/>
      <c r="R1301" s="54" t="str">
        <f t="shared" si="209"/>
        <v/>
      </c>
      <c r="S1301" s="30"/>
      <c r="T1301" s="33"/>
    </row>
    <row r="1302" spans="1:20" x14ac:dyDescent="0.25">
      <c r="A1302" s="30"/>
      <c r="B1302" s="37" t="str">
        <f t="shared" si="200"/>
        <v/>
      </c>
      <c r="C1302" s="30"/>
      <c r="D1302" s="34" t="str">
        <f t="shared" si="201"/>
        <v/>
      </c>
      <c r="E1302" s="34" t="str">
        <f t="shared" si="202"/>
        <v/>
      </c>
      <c r="F1302" s="34" t="str">
        <f t="shared" si="203"/>
        <v/>
      </c>
      <c r="G1302" s="35" t="str">
        <f t="shared" si="204"/>
        <v/>
      </c>
      <c r="H1302" s="30"/>
      <c r="I1302" s="36" t="str">
        <f t="shared" si="205"/>
        <v/>
      </c>
      <c r="J1302" s="34" t="str">
        <f t="shared" si="206"/>
        <v/>
      </c>
      <c r="K1302" s="49"/>
      <c r="L1302" s="55" t="str">
        <f t="shared" si="207"/>
        <v/>
      </c>
      <c r="M1302" s="54" t="str">
        <f t="shared" si="208"/>
        <v/>
      </c>
      <c r="N1302" s="30"/>
      <c r="O1302" s="31"/>
      <c r="P1302" s="53"/>
      <c r="Q1302" s="33"/>
      <c r="R1302" s="54" t="str">
        <f t="shared" si="209"/>
        <v/>
      </c>
      <c r="S1302" s="30"/>
      <c r="T1302" s="33"/>
    </row>
    <row r="1303" spans="1:20" x14ac:dyDescent="0.25">
      <c r="A1303" s="30"/>
      <c r="B1303" s="37" t="str">
        <f t="shared" si="200"/>
        <v/>
      </c>
      <c r="C1303" s="30"/>
      <c r="D1303" s="34" t="str">
        <f t="shared" si="201"/>
        <v/>
      </c>
      <c r="E1303" s="34" t="str">
        <f t="shared" si="202"/>
        <v/>
      </c>
      <c r="F1303" s="34" t="str">
        <f t="shared" si="203"/>
        <v/>
      </c>
      <c r="G1303" s="35" t="str">
        <f t="shared" si="204"/>
        <v/>
      </c>
      <c r="H1303" s="30"/>
      <c r="I1303" s="36" t="str">
        <f t="shared" si="205"/>
        <v/>
      </c>
      <c r="J1303" s="34" t="str">
        <f t="shared" si="206"/>
        <v/>
      </c>
      <c r="K1303" s="49"/>
      <c r="L1303" s="55" t="str">
        <f t="shared" si="207"/>
        <v/>
      </c>
      <c r="M1303" s="54" t="str">
        <f t="shared" si="208"/>
        <v/>
      </c>
      <c r="N1303" s="30"/>
      <c r="O1303" s="31"/>
      <c r="P1303" s="53"/>
      <c r="Q1303" s="33"/>
      <c r="R1303" s="54" t="str">
        <f t="shared" si="209"/>
        <v/>
      </c>
      <c r="S1303" s="30"/>
      <c r="T1303" s="33"/>
    </row>
    <row r="1304" spans="1:20" x14ac:dyDescent="0.25">
      <c r="A1304" s="30"/>
      <c r="B1304" s="37" t="str">
        <f t="shared" si="200"/>
        <v/>
      </c>
      <c r="C1304" s="30"/>
      <c r="D1304" s="34" t="str">
        <f t="shared" si="201"/>
        <v/>
      </c>
      <c r="E1304" s="34" t="str">
        <f t="shared" si="202"/>
        <v/>
      </c>
      <c r="F1304" s="34" t="str">
        <f t="shared" si="203"/>
        <v/>
      </c>
      <c r="G1304" s="35" t="str">
        <f t="shared" si="204"/>
        <v/>
      </c>
      <c r="H1304" s="30"/>
      <c r="I1304" s="36" t="str">
        <f t="shared" si="205"/>
        <v/>
      </c>
      <c r="J1304" s="34" t="str">
        <f t="shared" si="206"/>
        <v/>
      </c>
      <c r="K1304" s="49"/>
      <c r="L1304" s="55" t="str">
        <f t="shared" si="207"/>
        <v/>
      </c>
      <c r="M1304" s="54" t="str">
        <f t="shared" si="208"/>
        <v/>
      </c>
      <c r="N1304" s="30"/>
      <c r="O1304" s="31"/>
      <c r="P1304" s="53"/>
      <c r="Q1304" s="33"/>
      <c r="R1304" s="54" t="str">
        <f t="shared" si="209"/>
        <v/>
      </c>
      <c r="S1304" s="30"/>
      <c r="T1304" s="33"/>
    </row>
    <row r="1305" spans="1:20" x14ac:dyDescent="0.25">
      <c r="A1305" s="30"/>
      <c r="B1305" s="37" t="str">
        <f t="shared" si="200"/>
        <v/>
      </c>
      <c r="C1305" s="30"/>
      <c r="D1305" s="34" t="str">
        <f t="shared" si="201"/>
        <v/>
      </c>
      <c r="E1305" s="34" t="str">
        <f t="shared" si="202"/>
        <v/>
      </c>
      <c r="F1305" s="34" t="str">
        <f t="shared" si="203"/>
        <v/>
      </c>
      <c r="G1305" s="35" t="str">
        <f t="shared" si="204"/>
        <v/>
      </c>
      <c r="H1305" s="30"/>
      <c r="I1305" s="36" t="str">
        <f t="shared" si="205"/>
        <v/>
      </c>
      <c r="J1305" s="34" t="str">
        <f t="shared" si="206"/>
        <v/>
      </c>
      <c r="K1305" s="49"/>
      <c r="L1305" s="55" t="str">
        <f t="shared" si="207"/>
        <v/>
      </c>
      <c r="M1305" s="54" t="str">
        <f t="shared" si="208"/>
        <v/>
      </c>
      <c r="N1305" s="30"/>
      <c r="O1305" s="31"/>
      <c r="P1305" s="53"/>
      <c r="Q1305" s="33"/>
      <c r="R1305" s="54" t="str">
        <f t="shared" si="209"/>
        <v/>
      </c>
      <c r="S1305" s="30"/>
      <c r="T1305" s="33"/>
    </row>
    <row r="1306" spans="1:20" x14ac:dyDescent="0.25">
      <c r="A1306" s="30"/>
      <c r="B1306" s="37" t="str">
        <f t="shared" si="200"/>
        <v/>
      </c>
      <c r="C1306" s="30"/>
      <c r="D1306" s="34" t="str">
        <f t="shared" si="201"/>
        <v/>
      </c>
      <c r="E1306" s="34" t="str">
        <f t="shared" si="202"/>
        <v/>
      </c>
      <c r="F1306" s="34" t="str">
        <f t="shared" si="203"/>
        <v/>
      </c>
      <c r="G1306" s="35" t="str">
        <f t="shared" si="204"/>
        <v/>
      </c>
      <c r="H1306" s="30"/>
      <c r="I1306" s="36" t="str">
        <f t="shared" si="205"/>
        <v/>
      </c>
      <c r="J1306" s="34" t="str">
        <f t="shared" si="206"/>
        <v/>
      </c>
      <c r="K1306" s="49"/>
      <c r="L1306" s="55" t="str">
        <f t="shared" si="207"/>
        <v/>
      </c>
      <c r="M1306" s="54" t="str">
        <f t="shared" si="208"/>
        <v/>
      </c>
      <c r="N1306" s="30"/>
      <c r="O1306" s="31"/>
      <c r="P1306" s="53"/>
      <c r="Q1306" s="33"/>
      <c r="R1306" s="54" t="str">
        <f t="shared" si="209"/>
        <v/>
      </c>
      <c r="S1306" s="30"/>
      <c r="T1306" s="33"/>
    </row>
    <row r="1307" spans="1:20" x14ac:dyDescent="0.25">
      <c r="A1307" s="30"/>
      <c r="B1307" s="37" t="str">
        <f t="shared" si="200"/>
        <v/>
      </c>
      <c r="C1307" s="30"/>
      <c r="D1307" s="34" t="str">
        <f t="shared" si="201"/>
        <v/>
      </c>
      <c r="E1307" s="34" t="str">
        <f t="shared" si="202"/>
        <v/>
      </c>
      <c r="F1307" s="34" t="str">
        <f t="shared" si="203"/>
        <v/>
      </c>
      <c r="G1307" s="35" t="str">
        <f t="shared" si="204"/>
        <v/>
      </c>
      <c r="H1307" s="30"/>
      <c r="I1307" s="36" t="str">
        <f t="shared" si="205"/>
        <v/>
      </c>
      <c r="J1307" s="34" t="str">
        <f t="shared" si="206"/>
        <v/>
      </c>
      <c r="K1307" s="49"/>
      <c r="L1307" s="55" t="str">
        <f t="shared" si="207"/>
        <v/>
      </c>
      <c r="M1307" s="54" t="str">
        <f t="shared" si="208"/>
        <v/>
      </c>
      <c r="N1307" s="30"/>
      <c r="O1307" s="31"/>
      <c r="P1307" s="53"/>
      <c r="Q1307" s="33"/>
      <c r="R1307" s="54" t="str">
        <f t="shared" si="209"/>
        <v/>
      </c>
      <c r="S1307" s="30"/>
      <c r="T1307" s="33"/>
    </row>
    <row r="1308" spans="1:20" x14ac:dyDescent="0.25">
      <c r="A1308" s="30"/>
      <c r="B1308" s="37" t="str">
        <f t="shared" si="200"/>
        <v/>
      </c>
      <c r="C1308" s="30"/>
      <c r="D1308" s="34" t="str">
        <f t="shared" si="201"/>
        <v/>
      </c>
      <c r="E1308" s="34" t="str">
        <f t="shared" si="202"/>
        <v/>
      </c>
      <c r="F1308" s="34" t="str">
        <f t="shared" si="203"/>
        <v/>
      </c>
      <c r="G1308" s="35" t="str">
        <f t="shared" si="204"/>
        <v/>
      </c>
      <c r="H1308" s="30"/>
      <c r="I1308" s="36" t="str">
        <f t="shared" si="205"/>
        <v/>
      </c>
      <c r="J1308" s="34" t="str">
        <f t="shared" si="206"/>
        <v/>
      </c>
      <c r="K1308" s="49"/>
      <c r="L1308" s="55" t="str">
        <f t="shared" si="207"/>
        <v/>
      </c>
      <c r="M1308" s="54" t="str">
        <f t="shared" si="208"/>
        <v/>
      </c>
      <c r="N1308" s="30"/>
      <c r="O1308" s="31"/>
      <c r="P1308" s="53"/>
      <c r="Q1308" s="33"/>
      <c r="R1308" s="54" t="str">
        <f t="shared" si="209"/>
        <v/>
      </c>
      <c r="S1308" s="30"/>
      <c r="T1308" s="33"/>
    </row>
    <row r="1309" spans="1:20" x14ac:dyDescent="0.25">
      <c r="A1309" s="30"/>
      <c r="B1309" s="37" t="str">
        <f t="shared" si="200"/>
        <v/>
      </c>
      <c r="C1309" s="30"/>
      <c r="D1309" s="34" t="str">
        <f t="shared" si="201"/>
        <v/>
      </c>
      <c r="E1309" s="34" t="str">
        <f t="shared" si="202"/>
        <v/>
      </c>
      <c r="F1309" s="34" t="str">
        <f t="shared" si="203"/>
        <v/>
      </c>
      <c r="G1309" s="35" t="str">
        <f t="shared" si="204"/>
        <v/>
      </c>
      <c r="H1309" s="30"/>
      <c r="I1309" s="36" t="str">
        <f t="shared" si="205"/>
        <v/>
      </c>
      <c r="J1309" s="34" t="str">
        <f t="shared" si="206"/>
        <v/>
      </c>
      <c r="K1309" s="49"/>
      <c r="L1309" s="55" t="str">
        <f t="shared" si="207"/>
        <v/>
      </c>
      <c r="M1309" s="54" t="str">
        <f t="shared" si="208"/>
        <v/>
      </c>
      <c r="N1309" s="30"/>
      <c r="O1309" s="31"/>
      <c r="P1309" s="53"/>
      <c r="Q1309" s="33"/>
      <c r="R1309" s="54" t="str">
        <f t="shared" si="209"/>
        <v/>
      </c>
      <c r="S1309" s="30"/>
      <c r="T1309" s="33"/>
    </row>
    <row r="1310" spans="1:20" x14ac:dyDescent="0.25">
      <c r="A1310" s="30"/>
      <c r="B1310" s="37" t="str">
        <f t="shared" si="200"/>
        <v/>
      </c>
      <c r="C1310" s="30"/>
      <c r="D1310" s="34" t="str">
        <f t="shared" si="201"/>
        <v/>
      </c>
      <c r="E1310" s="34" t="str">
        <f t="shared" si="202"/>
        <v/>
      </c>
      <c r="F1310" s="34" t="str">
        <f t="shared" si="203"/>
        <v/>
      </c>
      <c r="G1310" s="35" t="str">
        <f t="shared" si="204"/>
        <v/>
      </c>
      <c r="H1310" s="30"/>
      <c r="I1310" s="36" t="str">
        <f t="shared" si="205"/>
        <v/>
      </c>
      <c r="J1310" s="34" t="str">
        <f t="shared" si="206"/>
        <v/>
      </c>
      <c r="K1310" s="49"/>
      <c r="L1310" s="55" t="str">
        <f t="shared" si="207"/>
        <v/>
      </c>
      <c r="M1310" s="54" t="str">
        <f t="shared" si="208"/>
        <v/>
      </c>
      <c r="N1310" s="30"/>
      <c r="O1310" s="31"/>
      <c r="P1310" s="53"/>
      <c r="Q1310" s="33"/>
      <c r="R1310" s="54" t="str">
        <f t="shared" si="209"/>
        <v/>
      </c>
      <c r="S1310" s="30"/>
      <c r="T1310" s="33"/>
    </row>
    <row r="1311" spans="1:20" x14ac:dyDescent="0.25">
      <c r="A1311" s="30"/>
      <c r="B1311" s="37" t="str">
        <f t="shared" si="200"/>
        <v/>
      </c>
      <c r="C1311" s="30"/>
      <c r="D1311" s="34" t="str">
        <f t="shared" si="201"/>
        <v/>
      </c>
      <c r="E1311" s="34" t="str">
        <f t="shared" si="202"/>
        <v/>
      </c>
      <c r="F1311" s="34" t="str">
        <f t="shared" si="203"/>
        <v/>
      </c>
      <c r="G1311" s="35" t="str">
        <f t="shared" si="204"/>
        <v/>
      </c>
      <c r="H1311" s="30"/>
      <c r="I1311" s="36" t="str">
        <f t="shared" si="205"/>
        <v/>
      </c>
      <c r="J1311" s="34" t="str">
        <f t="shared" si="206"/>
        <v/>
      </c>
      <c r="K1311" s="49"/>
      <c r="L1311" s="55" t="str">
        <f t="shared" si="207"/>
        <v/>
      </c>
      <c r="M1311" s="54" t="str">
        <f t="shared" si="208"/>
        <v/>
      </c>
      <c r="N1311" s="30"/>
      <c r="O1311" s="31"/>
      <c r="P1311" s="53"/>
      <c r="Q1311" s="33"/>
      <c r="R1311" s="54" t="str">
        <f t="shared" si="209"/>
        <v/>
      </c>
      <c r="S1311" s="30"/>
      <c r="T1311" s="33"/>
    </row>
    <row r="1312" spans="1:20" x14ac:dyDescent="0.25">
      <c r="A1312" s="30"/>
      <c r="B1312" s="37" t="str">
        <f t="shared" si="200"/>
        <v/>
      </c>
      <c r="C1312" s="30"/>
      <c r="D1312" s="34" t="str">
        <f t="shared" si="201"/>
        <v/>
      </c>
      <c r="E1312" s="34" t="str">
        <f t="shared" si="202"/>
        <v/>
      </c>
      <c r="F1312" s="34" t="str">
        <f t="shared" si="203"/>
        <v/>
      </c>
      <c r="G1312" s="35" t="str">
        <f t="shared" si="204"/>
        <v/>
      </c>
      <c r="H1312" s="30"/>
      <c r="I1312" s="36" t="str">
        <f t="shared" si="205"/>
        <v/>
      </c>
      <c r="J1312" s="34" t="str">
        <f t="shared" si="206"/>
        <v/>
      </c>
      <c r="K1312" s="49"/>
      <c r="L1312" s="55" t="str">
        <f t="shared" si="207"/>
        <v/>
      </c>
      <c r="M1312" s="54" t="str">
        <f t="shared" si="208"/>
        <v/>
      </c>
      <c r="N1312" s="30"/>
      <c r="O1312" s="31"/>
      <c r="P1312" s="53"/>
      <c r="Q1312" s="33"/>
      <c r="R1312" s="54" t="str">
        <f t="shared" si="209"/>
        <v/>
      </c>
      <c r="S1312" s="30"/>
      <c r="T1312" s="33"/>
    </row>
    <row r="1313" spans="1:20" x14ac:dyDescent="0.25">
      <c r="A1313" s="30"/>
      <c r="B1313" s="37" t="str">
        <f t="shared" si="200"/>
        <v/>
      </c>
      <c r="C1313" s="30"/>
      <c r="D1313" s="34" t="str">
        <f t="shared" si="201"/>
        <v/>
      </c>
      <c r="E1313" s="34" t="str">
        <f t="shared" si="202"/>
        <v/>
      </c>
      <c r="F1313" s="34" t="str">
        <f t="shared" si="203"/>
        <v/>
      </c>
      <c r="G1313" s="35" t="str">
        <f t="shared" si="204"/>
        <v/>
      </c>
      <c r="H1313" s="30"/>
      <c r="I1313" s="36" t="str">
        <f t="shared" si="205"/>
        <v/>
      </c>
      <c r="J1313" s="34" t="str">
        <f t="shared" si="206"/>
        <v/>
      </c>
      <c r="K1313" s="49"/>
      <c r="L1313" s="55" t="str">
        <f t="shared" si="207"/>
        <v/>
      </c>
      <c r="M1313" s="54" t="str">
        <f t="shared" si="208"/>
        <v/>
      </c>
      <c r="N1313" s="30"/>
      <c r="O1313" s="31"/>
      <c r="P1313" s="53"/>
      <c r="Q1313" s="33"/>
      <c r="R1313" s="54" t="str">
        <f t="shared" si="209"/>
        <v/>
      </c>
      <c r="S1313" s="30"/>
      <c r="T1313" s="33"/>
    </row>
    <row r="1314" spans="1:20" x14ac:dyDescent="0.25">
      <c r="A1314" s="30"/>
      <c r="B1314" s="37" t="str">
        <f t="shared" si="200"/>
        <v/>
      </c>
      <c r="C1314" s="30"/>
      <c r="D1314" s="34" t="str">
        <f t="shared" si="201"/>
        <v/>
      </c>
      <c r="E1314" s="34" t="str">
        <f t="shared" si="202"/>
        <v/>
      </c>
      <c r="F1314" s="34" t="str">
        <f t="shared" si="203"/>
        <v/>
      </c>
      <c r="G1314" s="35" t="str">
        <f t="shared" si="204"/>
        <v/>
      </c>
      <c r="H1314" s="30"/>
      <c r="I1314" s="36" t="str">
        <f t="shared" si="205"/>
        <v/>
      </c>
      <c r="J1314" s="34" t="str">
        <f t="shared" si="206"/>
        <v/>
      </c>
      <c r="K1314" s="49"/>
      <c r="L1314" s="55" t="str">
        <f t="shared" si="207"/>
        <v/>
      </c>
      <c r="M1314" s="54" t="str">
        <f t="shared" si="208"/>
        <v/>
      </c>
      <c r="N1314" s="30"/>
      <c r="O1314" s="31"/>
      <c r="P1314" s="53"/>
      <c r="Q1314" s="33"/>
      <c r="R1314" s="54" t="str">
        <f t="shared" si="209"/>
        <v/>
      </c>
      <c r="S1314" s="30"/>
      <c r="T1314" s="33"/>
    </row>
    <row r="1315" spans="1:20" x14ac:dyDescent="0.25">
      <c r="A1315" s="30"/>
      <c r="B1315" s="37" t="str">
        <f t="shared" si="200"/>
        <v/>
      </c>
      <c r="C1315" s="30"/>
      <c r="D1315" s="34" t="str">
        <f t="shared" si="201"/>
        <v/>
      </c>
      <c r="E1315" s="34" t="str">
        <f t="shared" si="202"/>
        <v/>
      </c>
      <c r="F1315" s="34" t="str">
        <f t="shared" si="203"/>
        <v/>
      </c>
      <c r="G1315" s="35" t="str">
        <f t="shared" si="204"/>
        <v/>
      </c>
      <c r="H1315" s="30"/>
      <c r="I1315" s="36" t="str">
        <f t="shared" si="205"/>
        <v/>
      </c>
      <c r="J1315" s="34" t="str">
        <f t="shared" si="206"/>
        <v/>
      </c>
      <c r="K1315" s="49"/>
      <c r="L1315" s="55" t="str">
        <f t="shared" si="207"/>
        <v/>
      </c>
      <c r="M1315" s="54" t="str">
        <f t="shared" si="208"/>
        <v/>
      </c>
      <c r="N1315" s="30"/>
      <c r="O1315" s="31"/>
      <c r="P1315" s="53"/>
      <c r="Q1315" s="33"/>
      <c r="R1315" s="54" t="str">
        <f t="shared" si="209"/>
        <v/>
      </c>
      <c r="S1315" s="30"/>
      <c r="T1315" s="33"/>
    </row>
    <row r="1316" spans="1:20" x14ac:dyDescent="0.25">
      <c r="A1316" s="30"/>
      <c r="B1316" s="37" t="str">
        <f t="shared" si="200"/>
        <v/>
      </c>
      <c r="C1316" s="30"/>
      <c r="D1316" s="34" t="str">
        <f t="shared" si="201"/>
        <v/>
      </c>
      <c r="E1316" s="34" t="str">
        <f t="shared" si="202"/>
        <v/>
      </c>
      <c r="F1316" s="34" t="str">
        <f t="shared" si="203"/>
        <v/>
      </c>
      <c r="G1316" s="35" t="str">
        <f t="shared" si="204"/>
        <v/>
      </c>
      <c r="H1316" s="30"/>
      <c r="I1316" s="36" t="str">
        <f t="shared" si="205"/>
        <v/>
      </c>
      <c r="J1316" s="34" t="str">
        <f t="shared" si="206"/>
        <v/>
      </c>
      <c r="K1316" s="49"/>
      <c r="L1316" s="55" t="str">
        <f t="shared" si="207"/>
        <v/>
      </c>
      <c r="M1316" s="54" t="str">
        <f t="shared" si="208"/>
        <v/>
      </c>
      <c r="N1316" s="30"/>
      <c r="O1316" s="31"/>
      <c r="P1316" s="53"/>
      <c r="Q1316" s="33"/>
      <c r="R1316" s="54" t="str">
        <f t="shared" si="209"/>
        <v/>
      </c>
      <c r="S1316" s="30"/>
      <c r="T1316" s="33"/>
    </row>
    <row r="1317" spans="1:20" x14ac:dyDescent="0.25">
      <c r="A1317" s="30"/>
      <c r="B1317" s="37" t="str">
        <f t="shared" si="200"/>
        <v/>
      </c>
      <c r="C1317" s="30"/>
      <c r="D1317" s="34" t="str">
        <f t="shared" si="201"/>
        <v/>
      </c>
      <c r="E1317" s="34" t="str">
        <f t="shared" si="202"/>
        <v/>
      </c>
      <c r="F1317" s="34" t="str">
        <f t="shared" si="203"/>
        <v/>
      </c>
      <c r="G1317" s="35" t="str">
        <f t="shared" si="204"/>
        <v/>
      </c>
      <c r="H1317" s="30"/>
      <c r="I1317" s="36" t="str">
        <f t="shared" si="205"/>
        <v/>
      </c>
      <c r="J1317" s="34" t="str">
        <f t="shared" si="206"/>
        <v/>
      </c>
      <c r="K1317" s="49"/>
      <c r="L1317" s="55" t="str">
        <f t="shared" si="207"/>
        <v/>
      </c>
      <c r="M1317" s="54" t="str">
        <f t="shared" si="208"/>
        <v/>
      </c>
      <c r="N1317" s="30"/>
      <c r="O1317" s="31"/>
      <c r="P1317" s="53"/>
      <c r="Q1317" s="33"/>
      <c r="R1317" s="54" t="str">
        <f t="shared" si="209"/>
        <v/>
      </c>
      <c r="S1317" s="30"/>
      <c r="T1317" s="33"/>
    </row>
    <row r="1318" spans="1:20" x14ac:dyDescent="0.25">
      <c r="A1318" s="30"/>
      <c r="B1318" s="37" t="str">
        <f t="shared" si="200"/>
        <v/>
      </c>
      <c r="C1318" s="30"/>
      <c r="D1318" s="34" t="str">
        <f t="shared" si="201"/>
        <v/>
      </c>
      <c r="E1318" s="34" t="str">
        <f t="shared" si="202"/>
        <v/>
      </c>
      <c r="F1318" s="34" t="str">
        <f t="shared" si="203"/>
        <v/>
      </c>
      <c r="G1318" s="35" t="str">
        <f t="shared" si="204"/>
        <v/>
      </c>
      <c r="H1318" s="30"/>
      <c r="I1318" s="36" t="str">
        <f t="shared" si="205"/>
        <v/>
      </c>
      <c r="J1318" s="34" t="str">
        <f t="shared" si="206"/>
        <v/>
      </c>
      <c r="K1318" s="49"/>
      <c r="L1318" s="55" t="str">
        <f t="shared" si="207"/>
        <v/>
      </c>
      <c r="M1318" s="54" t="str">
        <f t="shared" si="208"/>
        <v/>
      </c>
      <c r="N1318" s="30"/>
      <c r="O1318" s="31"/>
      <c r="P1318" s="53"/>
      <c r="Q1318" s="33"/>
      <c r="R1318" s="54" t="str">
        <f t="shared" si="209"/>
        <v/>
      </c>
      <c r="S1318" s="30"/>
      <c r="T1318" s="33"/>
    </row>
    <row r="1319" spans="1:20" x14ac:dyDescent="0.25">
      <c r="A1319" s="30"/>
      <c r="B1319" s="37" t="str">
        <f t="shared" si="200"/>
        <v/>
      </c>
      <c r="C1319" s="30"/>
      <c r="D1319" s="34" t="str">
        <f t="shared" si="201"/>
        <v/>
      </c>
      <c r="E1319" s="34" t="str">
        <f t="shared" si="202"/>
        <v/>
      </c>
      <c r="F1319" s="34" t="str">
        <f t="shared" si="203"/>
        <v/>
      </c>
      <c r="G1319" s="35" t="str">
        <f t="shared" si="204"/>
        <v/>
      </c>
      <c r="H1319" s="30"/>
      <c r="I1319" s="36" t="str">
        <f t="shared" si="205"/>
        <v/>
      </c>
      <c r="J1319" s="34" t="str">
        <f t="shared" si="206"/>
        <v/>
      </c>
      <c r="K1319" s="49"/>
      <c r="L1319" s="55" t="str">
        <f t="shared" si="207"/>
        <v/>
      </c>
      <c r="M1319" s="54" t="str">
        <f t="shared" si="208"/>
        <v/>
      </c>
      <c r="N1319" s="30"/>
      <c r="O1319" s="31"/>
      <c r="P1319" s="53"/>
      <c r="Q1319" s="33"/>
      <c r="R1319" s="54" t="str">
        <f t="shared" si="209"/>
        <v/>
      </c>
      <c r="S1319" s="30"/>
      <c r="T1319" s="33"/>
    </row>
    <row r="1320" spans="1:20" x14ac:dyDescent="0.25">
      <c r="A1320" s="30"/>
      <c r="B1320" s="37" t="str">
        <f t="shared" si="200"/>
        <v/>
      </c>
      <c r="C1320" s="30"/>
      <c r="D1320" s="34" t="str">
        <f t="shared" si="201"/>
        <v/>
      </c>
      <c r="E1320" s="34" t="str">
        <f t="shared" si="202"/>
        <v/>
      </c>
      <c r="F1320" s="34" t="str">
        <f t="shared" si="203"/>
        <v/>
      </c>
      <c r="G1320" s="35" t="str">
        <f t="shared" si="204"/>
        <v/>
      </c>
      <c r="H1320" s="30"/>
      <c r="I1320" s="36" t="str">
        <f t="shared" si="205"/>
        <v/>
      </c>
      <c r="J1320" s="34" t="str">
        <f t="shared" si="206"/>
        <v/>
      </c>
      <c r="K1320" s="49"/>
      <c r="L1320" s="55" t="str">
        <f t="shared" si="207"/>
        <v/>
      </c>
      <c r="M1320" s="54" t="str">
        <f t="shared" si="208"/>
        <v/>
      </c>
      <c r="N1320" s="30"/>
      <c r="O1320" s="31"/>
      <c r="P1320" s="53"/>
      <c r="Q1320" s="33"/>
      <c r="R1320" s="54" t="str">
        <f t="shared" si="209"/>
        <v/>
      </c>
      <c r="S1320" s="30"/>
      <c r="T1320" s="33"/>
    </row>
    <row r="1321" spans="1:20" x14ac:dyDescent="0.25">
      <c r="A1321" s="30"/>
      <c r="B1321" s="37" t="str">
        <f t="shared" si="200"/>
        <v/>
      </c>
      <c r="C1321" s="30"/>
      <c r="D1321" s="34" t="str">
        <f t="shared" si="201"/>
        <v/>
      </c>
      <c r="E1321" s="34" t="str">
        <f t="shared" si="202"/>
        <v/>
      </c>
      <c r="F1321" s="34" t="str">
        <f t="shared" si="203"/>
        <v/>
      </c>
      <c r="G1321" s="35" t="str">
        <f t="shared" si="204"/>
        <v/>
      </c>
      <c r="H1321" s="30"/>
      <c r="I1321" s="36" t="str">
        <f t="shared" si="205"/>
        <v/>
      </c>
      <c r="J1321" s="34" t="str">
        <f t="shared" si="206"/>
        <v/>
      </c>
      <c r="K1321" s="49"/>
      <c r="L1321" s="55" t="str">
        <f t="shared" si="207"/>
        <v/>
      </c>
      <c r="M1321" s="54" t="str">
        <f t="shared" si="208"/>
        <v/>
      </c>
      <c r="N1321" s="30"/>
      <c r="O1321" s="31"/>
      <c r="P1321" s="53"/>
      <c r="Q1321" s="33"/>
      <c r="R1321" s="54" t="str">
        <f t="shared" si="209"/>
        <v/>
      </c>
      <c r="S1321" s="30"/>
      <c r="T1321" s="33"/>
    </row>
    <row r="1322" spans="1:20" x14ac:dyDescent="0.25">
      <c r="A1322" s="30"/>
      <c r="B1322" s="37" t="str">
        <f t="shared" si="200"/>
        <v/>
      </c>
      <c r="C1322" s="30"/>
      <c r="D1322" s="34" t="str">
        <f t="shared" si="201"/>
        <v/>
      </c>
      <c r="E1322" s="34" t="str">
        <f t="shared" si="202"/>
        <v/>
      </c>
      <c r="F1322" s="34" t="str">
        <f t="shared" si="203"/>
        <v/>
      </c>
      <c r="G1322" s="35" t="str">
        <f t="shared" si="204"/>
        <v/>
      </c>
      <c r="H1322" s="30"/>
      <c r="I1322" s="36" t="str">
        <f t="shared" si="205"/>
        <v/>
      </c>
      <c r="J1322" s="34" t="str">
        <f t="shared" si="206"/>
        <v/>
      </c>
      <c r="K1322" s="49"/>
      <c r="L1322" s="55" t="str">
        <f t="shared" si="207"/>
        <v/>
      </c>
      <c r="M1322" s="54" t="str">
        <f t="shared" si="208"/>
        <v/>
      </c>
      <c r="N1322" s="30"/>
      <c r="O1322" s="31"/>
      <c r="P1322" s="53"/>
      <c r="Q1322" s="33"/>
      <c r="R1322" s="54" t="str">
        <f t="shared" si="209"/>
        <v/>
      </c>
      <c r="S1322" s="30"/>
      <c r="T1322" s="33"/>
    </row>
    <row r="1323" spans="1:20" x14ac:dyDescent="0.25">
      <c r="A1323" s="30"/>
      <c r="B1323" s="37" t="str">
        <f t="shared" si="200"/>
        <v/>
      </c>
      <c r="C1323" s="30"/>
      <c r="D1323" s="34" t="str">
        <f t="shared" si="201"/>
        <v/>
      </c>
      <c r="E1323" s="34" t="str">
        <f t="shared" si="202"/>
        <v/>
      </c>
      <c r="F1323" s="34" t="str">
        <f t="shared" si="203"/>
        <v/>
      </c>
      <c r="G1323" s="35" t="str">
        <f t="shared" si="204"/>
        <v/>
      </c>
      <c r="H1323" s="30"/>
      <c r="I1323" s="36" t="str">
        <f t="shared" si="205"/>
        <v/>
      </c>
      <c r="J1323" s="34" t="str">
        <f t="shared" si="206"/>
        <v/>
      </c>
      <c r="K1323" s="49"/>
      <c r="L1323" s="55" t="str">
        <f t="shared" si="207"/>
        <v/>
      </c>
      <c r="M1323" s="54" t="str">
        <f t="shared" si="208"/>
        <v/>
      </c>
      <c r="N1323" s="30"/>
      <c r="O1323" s="31"/>
      <c r="P1323" s="53"/>
      <c r="Q1323" s="33"/>
      <c r="R1323" s="54" t="str">
        <f t="shared" si="209"/>
        <v/>
      </c>
      <c r="S1323" s="30"/>
      <c r="T1323" s="33"/>
    </row>
    <row r="1324" spans="1:20" x14ac:dyDescent="0.25">
      <c r="A1324" s="30"/>
      <c r="B1324" s="37" t="str">
        <f t="shared" si="200"/>
        <v/>
      </c>
      <c r="C1324" s="30"/>
      <c r="D1324" s="34" t="str">
        <f t="shared" si="201"/>
        <v/>
      </c>
      <c r="E1324" s="34" t="str">
        <f t="shared" si="202"/>
        <v/>
      </c>
      <c r="F1324" s="34" t="str">
        <f t="shared" si="203"/>
        <v/>
      </c>
      <c r="G1324" s="35" t="str">
        <f t="shared" si="204"/>
        <v/>
      </c>
      <c r="H1324" s="30"/>
      <c r="I1324" s="36" t="str">
        <f t="shared" si="205"/>
        <v/>
      </c>
      <c r="J1324" s="34" t="str">
        <f t="shared" si="206"/>
        <v/>
      </c>
      <c r="K1324" s="49"/>
      <c r="L1324" s="55" t="str">
        <f t="shared" si="207"/>
        <v/>
      </c>
      <c r="M1324" s="54" t="str">
        <f t="shared" si="208"/>
        <v/>
      </c>
      <c r="N1324" s="30"/>
      <c r="O1324" s="31"/>
      <c r="P1324" s="53"/>
      <c r="Q1324" s="33"/>
      <c r="R1324" s="54" t="str">
        <f t="shared" si="209"/>
        <v/>
      </c>
      <c r="S1324" s="30"/>
      <c r="T1324" s="33"/>
    </row>
    <row r="1325" spans="1:20" x14ac:dyDescent="0.25">
      <c r="A1325" s="30"/>
      <c r="B1325" s="37" t="str">
        <f t="shared" si="200"/>
        <v/>
      </c>
      <c r="C1325" s="30"/>
      <c r="D1325" s="34" t="str">
        <f t="shared" si="201"/>
        <v/>
      </c>
      <c r="E1325" s="34" t="str">
        <f t="shared" si="202"/>
        <v/>
      </c>
      <c r="F1325" s="34" t="str">
        <f t="shared" si="203"/>
        <v/>
      </c>
      <c r="G1325" s="35" t="str">
        <f t="shared" si="204"/>
        <v/>
      </c>
      <c r="H1325" s="30"/>
      <c r="I1325" s="36" t="str">
        <f t="shared" si="205"/>
        <v/>
      </c>
      <c r="J1325" s="34" t="str">
        <f t="shared" si="206"/>
        <v/>
      </c>
      <c r="K1325" s="49"/>
      <c r="L1325" s="55" t="str">
        <f t="shared" si="207"/>
        <v/>
      </c>
      <c r="M1325" s="54" t="str">
        <f t="shared" si="208"/>
        <v/>
      </c>
      <c r="N1325" s="30"/>
      <c r="O1325" s="31"/>
      <c r="P1325" s="53"/>
      <c r="Q1325" s="33"/>
      <c r="R1325" s="54" t="str">
        <f t="shared" si="209"/>
        <v/>
      </c>
      <c r="S1325" s="30"/>
      <c r="T1325" s="33"/>
    </row>
    <row r="1326" spans="1:20" x14ac:dyDescent="0.25">
      <c r="A1326" s="30"/>
      <c r="B1326" s="37" t="str">
        <f t="shared" si="200"/>
        <v/>
      </c>
      <c r="C1326" s="30"/>
      <c r="D1326" s="34" t="str">
        <f t="shared" si="201"/>
        <v/>
      </c>
      <c r="E1326" s="34" t="str">
        <f t="shared" si="202"/>
        <v/>
      </c>
      <c r="F1326" s="34" t="str">
        <f t="shared" si="203"/>
        <v/>
      </c>
      <c r="G1326" s="35" t="str">
        <f t="shared" si="204"/>
        <v/>
      </c>
      <c r="H1326" s="30"/>
      <c r="I1326" s="36" t="str">
        <f t="shared" si="205"/>
        <v/>
      </c>
      <c r="J1326" s="34" t="str">
        <f t="shared" si="206"/>
        <v/>
      </c>
      <c r="K1326" s="49"/>
      <c r="L1326" s="55" t="str">
        <f t="shared" si="207"/>
        <v/>
      </c>
      <c r="M1326" s="54" t="str">
        <f t="shared" si="208"/>
        <v/>
      </c>
      <c r="N1326" s="30"/>
      <c r="O1326" s="31"/>
      <c r="P1326" s="53"/>
      <c r="Q1326" s="33"/>
      <c r="R1326" s="54" t="str">
        <f t="shared" si="209"/>
        <v/>
      </c>
      <c r="S1326" s="30"/>
      <c r="T1326" s="33"/>
    </row>
    <row r="1327" spans="1:20" x14ac:dyDescent="0.25">
      <c r="A1327" s="30"/>
      <c r="B1327" s="37" t="str">
        <f t="shared" si="200"/>
        <v/>
      </c>
      <c r="C1327" s="30"/>
      <c r="D1327" s="34" t="str">
        <f t="shared" si="201"/>
        <v/>
      </c>
      <c r="E1327" s="34" t="str">
        <f t="shared" si="202"/>
        <v/>
      </c>
      <c r="F1327" s="34" t="str">
        <f t="shared" si="203"/>
        <v/>
      </c>
      <c r="G1327" s="35" t="str">
        <f t="shared" si="204"/>
        <v/>
      </c>
      <c r="H1327" s="30"/>
      <c r="I1327" s="36" t="str">
        <f t="shared" si="205"/>
        <v/>
      </c>
      <c r="J1327" s="34" t="str">
        <f t="shared" si="206"/>
        <v/>
      </c>
      <c r="K1327" s="49"/>
      <c r="L1327" s="55" t="str">
        <f t="shared" si="207"/>
        <v/>
      </c>
      <c r="M1327" s="54" t="str">
        <f t="shared" si="208"/>
        <v/>
      </c>
      <c r="N1327" s="30"/>
      <c r="O1327" s="31"/>
      <c r="P1327" s="53"/>
      <c r="Q1327" s="33"/>
      <c r="R1327" s="54" t="str">
        <f t="shared" si="209"/>
        <v/>
      </c>
      <c r="S1327" s="30"/>
      <c r="T1327" s="33"/>
    </row>
    <row r="1328" spans="1:20" x14ac:dyDescent="0.25">
      <c r="A1328" s="30"/>
      <c r="B1328" s="37" t="str">
        <f t="shared" si="200"/>
        <v/>
      </c>
      <c r="C1328" s="30"/>
      <c r="D1328" s="34" t="str">
        <f t="shared" si="201"/>
        <v/>
      </c>
      <c r="E1328" s="34" t="str">
        <f t="shared" si="202"/>
        <v/>
      </c>
      <c r="F1328" s="34" t="str">
        <f t="shared" si="203"/>
        <v/>
      </c>
      <c r="G1328" s="35" t="str">
        <f t="shared" si="204"/>
        <v/>
      </c>
      <c r="H1328" s="30"/>
      <c r="I1328" s="36" t="str">
        <f t="shared" si="205"/>
        <v/>
      </c>
      <c r="J1328" s="34" t="str">
        <f t="shared" si="206"/>
        <v/>
      </c>
      <c r="K1328" s="49"/>
      <c r="L1328" s="55" t="str">
        <f t="shared" si="207"/>
        <v/>
      </c>
      <c r="M1328" s="54" t="str">
        <f t="shared" si="208"/>
        <v/>
      </c>
      <c r="N1328" s="30"/>
      <c r="O1328" s="31"/>
      <c r="P1328" s="53"/>
      <c r="Q1328" s="33"/>
      <c r="R1328" s="54" t="str">
        <f t="shared" si="209"/>
        <v/>
      </c>
      <c r="S1328" s="30"/>
      <c r="T1328" s="33"/>
    </row>
    <row r="1329" spans="1:20" x14ac:dyDescent="0.25">
      <c r="A1329" s="30"/>
      <c r="B1329" s="37" t="str">
        <f t="shared" si="200"/>
        <v/>
      </c>
      <c r="C1329" s="30"/>
      <c r="D1329" s="34" t="str">
        <f t="shared" si="201"/>
        <v/>
      </c>
      <c r="E1329" s="34" t="str">
        <f t="shared" si="202"/>
        <v/>
      </c>
      <c r="F1329" s="34" t="str">
        <f t="shared" si="203"/>
        <v/>
      </c>
      <c r="G1329" s="35" t="str">
        <f t="shared" si="204"/>
        <v/>
      </c>
      <c r="H1329" s="30"/>
      <c r="I1329" s="36" t="str">
        <f t="shared" si="205"/>
        <v/>
      </c>
      <c r="J1329" s="34" t="str">
        <f t="shared" si="206"/>
        <v/>
      </c>
      <c r="K1329" s="49"/>
      <c r="L1329" s="55" t="str">
        <f t="shared" si="207"/>
        <v/>
      </c>
      <c r="M1329" s="54" t="str">
        <f t="shared" si="208"/>
        <v/>
      </c>
      <c r="N1329" s="30"/>
      <c r="O1329" s="31"/>
      <c r="P1329" s="53"/>
      <c r="Q1329" s="33"/>
      <c r="R1329" s="54" t="str">
        <f t="shared" si="209"/>
        <v/>
      </c>
      <c r="S1329" s="30"/>
      <c r="T1329" s="33"/>
    </row>
    <row r="1330" spans="1:20" x14ac:dyDescent="0.25">
      <c r="A1330" s="30"/>
      <c r="B1330" s="37" t="str">
        <f t="shared" si="200"/>
        <v/>
      </c>
      <c r="C1330" s="30"/>
      <c r="D1330" s="34" t="str">
        <f t="shared" si="201"/>
        <v/>
      </c>
      <c r="E1330" s="34" t="str">
        <f t="shared" si="202"/>
        <v/>
      </c>
      <c r="F1330" s="34" t="str">
        <f t="shared" si="203"/>
        <v/>
      </c>
      <c r="G1330" s="35" t="str">
        <f t="shared" si="204"/>
        <v/>
      </c>
      <c r="H1330" s="30"/>
      <c r="I1330" s="36" t="str">
        <f t="shared" si="205"/>
        <v/>
      </c>
      <c r="J1330" s="34" t="str">
        <f t="shared" si="206"/>
        <v/>
      </c>
      <c r="K1330" s="49"/>
      <c r="L1330" s="55" t="str">
        <f t="shared" si="207"/>
        <v/>
      </c>
      <c r="M1330" s="54" t="str">
        <f t="shared" si="208"/>
        <v/>
      </c>
      <c r="N1330" s="30"/>
      <c r="O1330" s="31"/>
      <c r="P1330" s="53"/>
      <c r="Q1330" s="33"/>
      <c r="R1330" s="54" t="str">
        <f t="shared" si="209"/>
        <v/>
      </c>
      <c r="S1330" s="30"/>
      <c r="T1330" s="33"/>
    </row>
    <row r="1331" spans="1:20" x14ac:dyDescent="0.25">
      <c r="A1331" s="30"/>
      <c r="B1331" s="37" t="str">
        <f t="shared" si="200"/>
        <v/>
      </c>
      <c r="C1331" s="30"/>
      <c r="D1331" s="34" t="str">
        <f t="shared" si="201"/>
        <v/>
      </c>
      <c r="E1331" s="34" t="str">
        <f t="shared" si="202"/>
        <v/>
      </c>
      <c r="F1331" s="34" t="str">
        <f t="shared" si="203"/>
        <v/>
      </c>
      <c r="G1331" s="35" t="str">
        <f t="shared" si="204"/>
        <v/>
      </c>
      <c r="H1331" s="30"/>
      <c r="I1331" s="36" t="str">
        <f t="shared" si="205"/>
        <v/>
      </c>
      <c r="J1331" s="34" t="str">
        <f t="shared" si="206"/>
        <v/>
      </c>
      <c r="K1331" s="49"/>
      <c r="L1331" s="55" t="str">
        <f t="shared" si="207"/>
        <v/>
      </c>
      <c r="M1331" s="54" t="str">
        <f t="shared" si="208"/>
        <v/>
      </c>
      <c r="N1331" s="30"/>
      <c r="O1331" s="31"/>
      <c r="P1331" s="53"/>
      <c r="Q1331" s="33"/>
      <c r="R1331" s="54" t="str">
        <f t="shared" si="209"/>
        <v/>
      </c>
      <c r="S1331" s="30"/>
      <c r="T1331" s="33"/>
    </row>
    <row r="1332" spans="1:20" x14ac:dyDescent="0.25">
      <c r="A1332" s="30"/>
      <c r="B1332" s="37" t="str">
        <f t="shared" si="200"/>
        <v/>
      </c>
      <c r="C1332" s="30"/>
      <c r="D1332" s="34" t="str">
        <f t="shared" si="201"/>
        <v/>
      </c>
      <c r="E1332" s="34" t="str">
        <f t="shared" si="202"/>
        <v/>
      </c>
      <c r="F1332" s="34" t="str">
        <f t="shared" si="203"/>
        <v/>
      </c>
      <c r="G1332" s="35" t="str">
        <f t="shared" si="204"/>
        <v/>
      </c>
      <c r="H1332" s="30"/>
      <c r="I1332" s="36" t="str">
        <f t="shared" si="205"/>
        <v/>
      </c>
      <c r="J1332" s="34" t="str">
        <f t="shared" si="206"/>
        <v/>
      </c>
      <c r="K1332" s="49"/>
      <c r="L1332" s="55" t="str">
        <f t="shared" si="207"/>
        <v/>
      </c>
      <c r="M1332" s="54" t="str">
        <f t="shared" si="208"/>
        <v/>
      </c>
      <c r="N1332" s="30"/>
      <c r="O1332" s="31"/>
      <c r="P1332" s="53"/>
      <c r="Q1332" s="33"/>
      <c r="R1332" s="54" t="str">
        <f t="shared" si="209"/>
        <v/>
      </c>
      <c r="S1332" s="30"/>
      <c r="T1332" s="33"/>
    </row>
    <row r="1333" spans="1:20" x14ac:dyDescent="0.25">
      <c r="A1333" s="30"/>
      <c r="B1333" s="37" t="str">
        <f t="shared" ref="B1333:B1396" si="210">IF($G1333="","",EOMONTH($G1333,0))</f>
        <v/>
      </c>
      <c r="C1333" s="30"/>
      <c r="D1333" s="34" t="str">
        <f t="shared" ref="D1333:D1396" si="211">IFERROR(IF($C1333="","",VLOOKUP($C1333,CAD_TAB,2,FALSE)),"")</f>
        <v/>
      </c>
      <c r="E1333" s="34" t="str">
        <f t="shared" ref="E1333:E1396" si="212">IFERROR(IF($C1333="","",VLOOKUP($C1333,CAD_TAB,3,FALSE)),"")</f>
        <v/>
      </c>
      <c r="F1333" s="34" t="str">
        <f t="shared" ref="F1333:F1396" si="213">IFERROR(IF($C1333="","",VLOOKUP($C1333,OS_TAB,7,FALSE)),"")</f>
        <v/>
      </c>
      <c r="G1333" s="35" t="str">
        <f t="shared" ref="G1333:G1396" si="214">IFERROR(IF($C1333="","",VLOOKUP($C1333,OS_TAB,10,FALSE)),"")</f>
        <v/>
      </c>
      <c r="H1333" s="30"/>
      <c r="I1333" s="36" t="str">
        <f t="shared" ref="I1333:I1396" si="215">IFERROR(IF($H1333="","",VLOOKUP($H1333,PRE_TAB,5,FALSE)),"CÓDIGO NÃO ENCONTRADO")</f>
        <v/>
      </c>
      <c r="J1333" s="34" t="str">
        <f t="shared" ref="J1333:J1396" si="216">IFERROR(IF($H1333="","",VLOOKUP($H1333,PRE_TAB,7,FALSE)),"")</f>
        <v/>
      </c>
      <c r="K1333" s="49"/>
      <c r="L1333" s="55" t="str">
        <f t="shared" ref="L1333:L1396" si="217">IFERROR(IF($H1333="","",VLOOKUP($H1333,PRE_TAB,8,FALSE)),0)</f>
        <v/>
      </c>
      <c r="M1333" s="54" t="str">
        <f t="shared" ref="M1333:M1396" si="218">IF($H1333="","",ROUND($K1333*$L1333,2))</f>
        <v/>
      </c>
      <c r="N1333" s="30"/>
      <c r="O1333" s="31"/>
      <c r="P1333" s="53"/>
      <c r="Q1333" s="33"/>
      <c r="R1333" s="54" t="str">
        <f t="shared" ref="R1333:R1396" si="219">IF($H1333="","",$M1333-$P1333)</f>
        <v/>
      </c>
      <c r="S1333" s="30"/>
      <c r="T1333" s="33"/>
    </row>
    <row r="1334" spans="1:20" x14ac:dyDescent="0.25">
      <c r="A1334" s="30"/>
      <c r="B1334" s="37" t="str">
        <f t="shared" si="210"/>
        <v/>
      </c>
      <c r="C1334" s="30"/>
      <c r="D1334" s="34" t="str">
        <f t="shared" si="211"/>
        <v/>
      </c>
      <c r="E1334" s="34" t="str">
        <f t="shared" si="212"/>
        <v/>
      </c>
      <c r="F1334" s="34" t="str">
        <f t="shared" si="213"/>
        <v/>
      </c>
      <c r="G1334" s="35" t="str">
        <f t="shared" si="214"/>
        <v/>
      </c>
      <c r="H1334" s="30"/>
      <c r="I1334" s="36" t="str">
        <f t="shared" si="215"/>
        <v/>
      </c>
      <c r="J1334" s="34" t="str">
        <f t="shared" si="216"/>
        <v/>
      </c>
      <c r="K1334" s="49"/>
      <c r="L1334" s="55" t="str">
        <f t="shared" si="217"/>
        <v/>
      </c>
      <c r="M1334" s="54" t="str">
        <f t="shared" si="218"/>
        <v/>
      </c>
      <c r="N1334" s="30"/>
      <c r="O1334" s="31"/>
      <c r="P1334" s="53"/>
      <c r="Q1334" s="33"/>
      <c r="R1334" s="54" t="str">
        <f t="shared" si="219"/>
        <v/>
      </c>
      <c r="S1334" s="30"/>
      <c r="T1334" s="33"/>
    </row>
    <row r="1335" spans="1:20" x14ac:dyDescent="0.25">
      <c r="A1335" s="30"/>
      <c r="B1335" s="37" t="str">
        <f t="shared" si="210"/>
        <v/>
      </c>
      <c r="C1335" s="30"/>
      <c r="D1335" s="34" t="str">
        <f t="shared" si="211"/>
        <v/>
      </c>
      <c r="E1335" s="34" t="str">
        <f t="shared" si="212"/>
        <v/>
      </c>
      <c r="F1335" s="34" t="str">
        <f t="shared" si="213"/>
        <v/>
      </c>
      <c r="G1335" s="35" t="str">
        <f t="shared" si="214"/>
        <v/>
      </c>
      <c r="H1335" s="30"/>
      <c r="I1335" s="36" t="str">
        <f t="shared" si="215"/>
        <v/>
      </c>
      <c r="J1335" s="34" t="str">
        <f t="shared" si="216"/>
        <v/>
      </c>
      <c r="K1335" s="49"/>
      <c r="L1335" s="55" t="str">
        <f t="shared" si="217"/>
        <v/>
      </c>
      <c r="M1335" s="54" t="str">
        <f t="shared" si="218"/>
        <v/>
      </c>
      <c r="N1335" s="30"/>
      <c r="O1335" s="31"/>
      <c r="P1335" s="53"/>
      <c r="Q1335" s="33"/>
      <c r="R1335" s="54" t="str">
        <f t="shared" si="219"/>
        <v/>
      </c>
      <c r="S1335" s="30"/>
      <c r="T1335" s="33"/>
    </row>
    <row r="1336" spans="1:20" x14ac:dyDescent="0.25">
      <c r="A1336" s="30"/>
      <c r="B1336" s="37" t="str">
        <f t="shared" si="210"/>
        <v/>
      </c>
      <c r="C1336" s="30"/>
      <c r="D1336" s="34" t="str">
        <f t="shared" si="211"/>
        <v/>
      </c>
      <c r="E1336" s="34" t="str">
        <f t="shared" si="212"/>
        <v/>
      </c>
      <c r="F1336" s="34" t="str">
        <f t="shared" si="213"/>
        <v/>
      </c>
      <c r="G1336" s="35" t="str">
        <f t="shared" si="214"/>
        <v/>
      </c>
      <c r="H1336" s="30"/>
      <c r="I1336" s="36" t="str">
        <f t="shared" si="215"/>
        <v/>
      </c>
      <c r="J1336" s="34" t="str">
        <f t="shared" si="216"/>
        <v/>
      </c>
      <c r="K1336" s="49"/>
      <c r="L1336" s="55" t="str">
        <f t="shared" si="217"/>
        <v/>
      </c>
      <c r="M1336" s="54" t="str">
        <f t="shared" si="218"/>
        <v/>
      </c>
      <c r="N1336" s="30"/>
      <c r="O1336" s="31"/>
      <c r="P1336" s="53"/>
      <c r="Q1336" s="33"/>
      <c r="R1336" s="54" t="str">
        <f t="shared" si="219"/>
        <v/>
      </c>
      <c r="S1336" s="30"/>
      <c r="T1336" s="33"/>
    </row>
    <row r="1337" spans="1:20" x14ac:dyDescent="0.25">
      <c r="A1337" s="30"/>
      <c r="B1337" s="37" t="str">
        <f t="shared" si="210"/>
        <v/>
      </c>
      <c r="C1337" s="30"/>
      <c r="D1337" s="34" t="str">
        <f t="shared" si="211"/>
        <v/>
      </c>
      <c r="E1337" s="34" t="str">
        <f t="shared" si="212"/>
        <v/>
      </c>
      <c r="F1337" s="34" t="str">
        <f t="shared" si="213"/>
        <v/>
      </c>
      <c r="G1337" s="35" t="str">
        <f t="shared" si="214"/>
        <v/>
      </c>
      <c r="H1337" s="30"/>
      <c r="I1337" s="36" t="str">
        <f t="shared" si="215"/>
        <v/>
      </c>
      <c r="J1337" s="34" t="str">
        <f t="shared" si="216"/>
        <v/>
      </c>
      <c r="K1337" s="49"/>
      <c r="L1337" s="55" t="str">
        <f t="shared" si="217"/>
        <v/>
      </c>
      <c r="M1337" s="54" t="str">
        <f t="shared" si="218"/>
        <v/>
      </c>
      <c r="N1337" s="30"/>
      <c r="O1337" s="31"/>
      <c r="P1337" s="53"/>
      <c r="Q1337" s="33"/>
      <c r="R1337" s="54" t="str">
        <f t="shared" si="219"/>
        <v/>
      </c>
      <c r="S1337" s="30"/>
      <c r="T1337" s="33"/>
    </row>
    <row r="1338" spans="1:20" x14ac:dyDescent="0.25">
      <c r="A1338" s="30"/>
      <c r="B1338" s="37" t="str">
        <f t="shared" si="210"/>
        <v/>
      </c>
      <c r="C1338" s="30"/>
      <c r="D1338" s="34" t="str">
        <f t="shared" si="211"/>
        <v/>
      </c>
      <c r="E1338" s="34" t="str">
        <f t="shared" si="212"/>
        <v/>
      </c>
      <c r="F1338" s="34" t="str">
        <f t="shared" si="213"/>
        <v/>
      </c>
      <c r="G1338" s="35" t="str">
        <f t="shared" si="214"/>
        <v/>
      </c>
      <c r="H1338" s="30"/>
      <c r="I1338" s="36" t="str">
        <f t="shared" si="215"/>
        <v/>
      </c>
      <c r="J1338" s="34" t="str">
        <f t="shared" si="216"/>
        <v/>
      </c>
      <c r="K1338" s="49"/>
      <c r="L1338" s="55" t="str">
        <f t="shared" si="217"/>
        <v/>
      </c>
      <c r="M1338" s="54" t="str">
        <f t="shared" si="218"/>
        <v/>
      </c>
      <c r="N1338" s="30"/>
      <c r="O1338" s="31"/>
      <c r="P1338" s="53"/>
      <c r="Q1338" s="33"/>
      <c r="R1338" s="54" t="str">
        <f t="shared" si="219"/>
        <v/>
      </c>
      <c r="S1338" s="30"/>
      <c r="T1338" s="33"/>
    </row>
    <row r="1339" spans="1:20" x14ac:dyDescent="0.25">
      <c r="A1339" s="30"/>
      <c r="B1339" s="37" t="str">
        <f t="shared" si="210"/>
        <v/>
      </c>
      <c r="C1339" s="30"/>
      <c r="D1339" s="34" t="str">
        <f t="shared" si="211"/>
        <v/>
      </c>
      <c r="E1339" s="34" t="str">
        <f t="shared" si="212"/>
        <v/>
      </c>
      <c r="F1339" s="34" t="str">
        <f t="shared" si="213"/>
        <v/>
      </c>
      <c r="G1339" s="35" t="str">
        <f t="shared" si="214"/>
        <v/>
      </c>
      <c r="H1339" s="30"/>
      <c r="I1339" s="36" t="str">
        <f t="shared" si="215"/>
        <v/>
      </c>
      <c r="J1339" s="34" t="str">
        <f t="shared" si="216"/>
        <v/>
      </c>
      <c r="K1339" s="49"/>
      <c r="L1339" s="55" t="str">
        <f t="shared" si="217"/>
        <v/>
      </c>
      <c r="M1339" s="54" t="str">
        <f t="shared" si="218"/>
        <v/>
      </c>
      <c r="N1339" s="30"/>
      <c r="O1339" s="31"/>
      <c r="P1339" s="53"/>
      <c r="Q1339" s="33"/>
      <c r="R1339" s="54" t="str">
        <f t="shared" si="219"/>
        <v/>
      </c>
      <c r="S1339" s="30"/>
      <c r="T1339" s="33"/>
    </row>
    <row r="1340" spans="1:20" x14ac:dyDescent="0.25">
      <c r="A1340" s="30"/>
      <c r="B1340" s="37" t="str">
        <f t="shared" si="210"/>
        <v/>
      </c>
      <c r="C1340" s="30"/>
      <c r="D1340" s="34" t="str">
        <f t="shared" si="211"/>
        <v/>
      </c>
      <c r="E1340" s="34" t="str">
        <f t="shared" si="212"/>
        <v/>
      </c>
      <c r="F1340" s="34" t="str">
        <f t="shared" si="213"/>
        <v/>
      </c>
      <c r="G1340" s="35" t="str">
        <f t="shared" si="214"/>
        <v/>
      </c>
      <c r="H1340" s="30"/>
      <c r="I1340" s="36" t="str">
        <f t="shared" si="215"/>
        <v/>
      </c>
      <c r="J1340" s="34" t="str">
        <f t="shared" si="216"/>
        <v/>
      </c>
      <c r="K1340" s="49"/>
      <c r="L1340" s="55" t="str">
        <f t="shared" si="217"/>
        <v/>
      </c>
      <c r="M1340" s="54" t="str">
        <f t="shared" si="218"/>
        <v/>
      </c>
      <c r="N1340" s="30"/>
      <c r="O1340" s="31"/>
      <c r="P1340" s="53"/>
      <c r="Q1340" s="33"/>
      <c r="R1340" s="54" t="str">
        <f t="shared" si="219"/>
        <v/>
      </c>
      <c r="S1340" s="30"/>
      <c r="T1340" s="33"/>
    </row>
    <row r="1341" spans="1:20" x14ac:dyDescent="0.25">
      <c r="A1341" s="30"/>
      <c r="B1341" s="37" t="str">
        <f t="shared" si="210"/>
        <v/>
      </c>
      <c r="C1341" s="30"/>
      <c r="D1341" s="34" t="str">
        <f t="shared" si="211"/>
        <v/>
      </c>
      <c r="E1341" s="34" t="str">
        <f t="shared" si="212"/>
        <v/>
      </c>
      <c r="F1341" s="34" t="str">
        <f t="shared" si="213"/>
        <v/>
      </c>
      <c r="G1341" s="35" t="str">
        <f t="shared" si="214"/>
        <v/>
      </c>
      <c r="H1341" s="30"/>
      <c r="I1341" s="36" t="str">
        <f t="shared" si="215"/>
        <v/>
      </c>
      <c r="J1341" s="34" t="str">
        <f t="shared" si="216"/>
        <v/>
      </c>
      <c r="K1341" s="49"/>
      <c r="L1341" s="55" t="str">
        <f t="shared" si="217"/>
        <v/>
      </c>
      <c r="M1341" s="54" t="str">
        <f t="shared" si="218"/>
        <v/>
      </c>
      <c r="N1341" s="30"/>
      <c r="O1341" s="31"/>
      <c r="P1341" s="53"/>
      <c r="Q1341" s="33"/>
      <c r="R1341" s="54" t="str">
        <f t="shared" si="219"/>
        <v/>
      </c>
      <c r="S1341" s="30"/>
      <c r="T1341" s="33"/>
    </row>
    <row r="1342" spans="1:20" x14ac:dyDescent="0.25">
      <c r="A1342" s="30"/>
      <c r="B1342" s="37" t="str">
        <f t="shared" si="210"/>
        <v/>
      </c>
      <c r="C1342" s="30"/>
      <c r="D1342" s="34" t="str">
        <f t="shared" si="211"/>
        <v/>
      </c>
      <c r="E1342" s="34" t="str">
        <f t="shared" si="212"/>
        <v/>
      </c>
      <c r="F1342" s="34" t="str">
        <f t="shared" si="213"/>
        <v/>
      </c>
      <c r="G1342" s="35" t="str">
        <f t="shared" si="214"/>
        <v/>
      </c>
      <c r="H1342" s="30"/>
      <c r="I1342" s="36" t="str">
        <f t="shared" si="215"/>
        <v/>
      </c>
      <c r="J1342" s="34" t="str">
        <f t="shared" si="216"/>
        <v/>
      </c>
      <c r="K1342" s="49"/>
      <c r="L1342" s="55" t="str">
        <f t="shared" si="217"/>
        <v/>
      </c>
      <c r="M1342" s="54" t="str">
        <f t="shared" si="218"/>
        <v/>
      </c>
      <c r="N1342" s="30"/>
      <c r="O1342" s="31"/>
      <c r="P1342" s="53"/>
      <c r="Q1342" s="33"/>
      <c r="R1342" s="54" t="str">
        <f t="shared" si="219"/>
        <v/>
      </c>
      <c r="S1342" s="30"/>
      <c r="T1342" s="33"/>
    </row>
    <row r="1343" spans="1:20" x14ac:dyDescent="0.25">
      <c r="A1343" s="30"/>
      <c r="B1343" s="37" t="str">
        <f t="shared" si="210"/>
        <v/>
      </c>
      <c r="C1343" s="30"/>
      <c r="D1343" s="34" t="str">
        <f t="shared" si="211"/>
        <v/>
      </c>
      <c r="E1343" s="34" t="str">
        <f t="shared" si="212"/>
        <v/>
      </c>
      <c r="F1343" s="34" t="str">
        <f t="shared" si="213"/>
        <v/>
      </c>
      <c r="G1343" s="35" t="str">
        <f t="shared" si="214"/>
        <v/>
      </c>
      <c r="H1343" s="30"/>
      <c r="I1343" s="36" t="str">
        <f t="shared" si="215"/>
        <v/>
      </c>
      <c r="J1343" s="34" t="str">
        <f t="shared" si="216"/>
        <v/>
      </c>
      <c r="K1343" s="49"/>
      <c r="L1343" s="55" t="str">
        <f t="shared" si="217"/>
        <v/>
      </c>
      <c r="M1343" s="54" t="str">
        <f t="shared" si="218"/>
        <v/>
      </c>
      <c r="N1343" s="30"/>
      <c r="O1343" s="31"/>
      <c r="P1343" s="53"/>
      <c r="Q1343" s="33"/>
      <c r="R1343" s="54" t="str">
        <f t="shared" si="219"/>
        <v/>
      </c>
      <c r="S1343" s="30"/>
      <c r="T1343" s="33"/>
    </row>
    <row r="1344" spans="1:20" x14ac:dyDescent="0.25">
      <c r="A1344" s="30"/>
      <c r="B1344" s="37" t="str">
        <f t="shared" si="210"/>
        <v/>
      </c>
      <c r="C1344" s="30"/>
      <c r="D1344" s="34" t="str">
        <f t="shared" si="211"/>
        <v/>
      </c>
      <c r="E1344" s="34" t="str">
        <f t="shared" si="212"/>
        <v/>
      </c>
      <c r="F1344" s="34" t="str">
        <f t="shared" si="213"/>
        <v/>
      </c>
      <c r="G1344" s="35" t="str">
        <f t="shared" si="214"/>
        <v/>
      </c>
      <c r="H1344" s="30"/>
      <c r="I1344" s="36" t="str">
        <f t="shared" si="215"/>
        <v/>
      </c>
      <c r="J1344" s="34" t="str">
        <f t="shared" si="216"/>
        <v/>
      </c>
      <c r="K1344" s="49"/>
      <c r="L1344" s="55" t="str">
        <f t="shared" si="217"/>
        <v/>
      </c>
      <c r="M1344" s="54" t="str">
        <f t="shared" si="218"/>
        <v/>
      </c>
      <c r="N1344" s="30"/>
      <c r="O1344" s="31"/>
      <c r="P1344" s="53"/>
      <c r="Q1344" s="33"/>
      <c r="R1344" s="54" t="str">
        <f t="shared" si="219"/>
        <v/>
      </c>
      <c r="S1344" s="30"/>
      <c r="T1344" s="33"/>
    </row>
    <row r="1345" spans="1:20" x14ac:dyDescent="0.25">
      <c r="A1345" s="30"/>
      <c r="B1345" s="37" t="str">
        <f t="shared" si="210"/>
        <v/>
      </c>
      <c r="C1345" s="30"/>
      <c r="D1345" s="34" t="str">
        <f t="shared" si="211"/>
        <v/>
      </c>
      <c r="E1345" s="34" t="str">
        <f t="shared" si="212"/>
        <v/>
      </c>
      <c r="F1345" s="34" t="str">
        <f t="shared" si="213"/>
        <v/>
      </c>
      <c r="G1345" s="35" t="str">
        <f t="shared" si="214"/>
        <v/>
      </c>
      <c r="H1345" s="30"/>
      <c r="I1345" s="36" t="str">
        <f t="shared" si="215"/>
        <v/>
      </c>
      <c r="J1345" s="34" t="str">
        <f t="shared" si="216"/>
        <v/>
      </c>
      <c r="K1345" s="49"/>
      <c r="L1345" s="55" t="str">
        <f t="shared" si="217"/>
        <v/>
      </c>
      <c r="M1345" s="54" t="str">
        <f t="shared" si="218"/>
        <v/>
      </c>
      <c r="N1345" s="30"/>
      <c r="O1345" s="31"/>
      <c r="P1345" s="53"/>
      <c r="Q1345" s="33"/>
      <c r="R1345" s="54" t="str">
        <f t="shared" si="219"/>
        <v/>
      </c>
      <c r="S1345" s="30"/>
      <c r="T1345" s="33"/>
    </row>
    <row r="1346" spans="1:20" x14ac:dyDescent="0.25">
      <c r="A1346" s="30"/>
      <c r="B1346" s="37" t="str">
        <f t="shared" si="210"/>
        <v/>
      </c>
      <c r="C1346" s="30"/>
      <c r="D1346" s="34" t="str">
        <f t="shared" si="211"/>
        <v/>
      </c>
      <c r="E1346" s="34" t="str">
        <f t="shared" si="212"/>
        <v/>
      </c>
      <c r="F1346" s="34" t="str">
        <f t="shared" si="213"/>
        <v/>
      </c>
      <c r="G1346" s="35" t="str">
        <f t="shared" si="214"/>
        <v/>
      </c>
      <c r="H1346" s="30"/>
      <c r="I1346" s="36" t="str">
        <f t="shared" si="215"/>
        <v/>
      </c>
      <c r="J1346" s="34" t="str">
        <f t="shared" si="216"/>
        <v/>
      </c>
      <c r="K1346" s="49"/>
      <c r="L1346" s="55" t="str">
        <f t="shared" si="217"/>
        <v/>
      </c>
      <c r="M1346" s="54" t="str">
        <f t="shared" si="218"/>
        <v/>
      </c>
      <c r="N1346" s="30"/>
      <c r="O1346" s="31"/>
      <c r="P1346" s="53"/>
      <c r="Q1346" s="33"/>
      <c r="R1346" s="54" t="str">
        <f t="shared" si="219"/>
        <v/>
      </c>
      <c r="S1346" s="30"/>
      <c r="T1346" s="33"/>
    </row>
    <row r="1347" spans="1:20" x14ac:dyDescent="0.25">
      <c r="A1347" s="30"/>
      <c r="B1347" s="37" t="str">
        <f t="shared" si="210"/>
        <v/>
      </c>
      <c r="C1347" s="30"/>
      <c r="D1347" s="34" t="str">
        <f t="shared" si="211"/>
        <v/>
      </c>
      <c r="E1347" s="34" t="str">
        <f t="shared" si="212"/>
        <v/>
      </c>
      <c r="F1347" s="34" t="str">
        <f t="shared" si="213"/>
        <v/>
      </c>
      <c r="G1347" s="35" t="str">
        <f t="shared" si="214"/>
        <v/>
      </c>
      <c r="H1347" s="30"/>
      <c r="I1347" s="36" t="str">
        <f t="shared" si="215"/>
        <v/>
      </c>
      <c r="J1347" s="34" t="str">
        <f t="shared" si="216"/>
        <v/>
      </c>
      <c r="K1347" s="49"/>
      <c r="L1347" s="55" t="str">
        <f t="shared" si="217"/>
        <v/>
      </c>
      <c r="M1347" s="54" t="str">
        <f t="shared" si="218"/>
        <v/>
      </c>
      <c r="N1347" s="30"/>
      <c r="O1347" s="31"/>
      <c r="P1347" s="53"/>
      <c r="Q1347" s="33"/>
      <c r="R1347" s="54" t="str">
        <f t="shared" si="219"/>
        <v/>
      </c>
      <c r="S1347" s="30"/>
      <c r="T1347" s="33"/>
    </row>
    <row r="1348" spans="1:20" x14ac:dyDescent="0.25">
      <c r="A1348" s="30"/>
      <c r="B1348" s="37" t="str">
        <f t="shared" si="210"/>
        <v/>
      </c>
      <c r="C1348" s="30"/>
      <c r="D1348" s="34" t="str">
        <f t="shared" si="211"/>
        <v/>
      </c>
      <c r="E1348" s="34" t="str">
        <f t="shared" si="212"/>
        <v/>
      </c>
      <c r="F1348" s="34" t="str">
        <f t="shared" si="213"/>
        <v/>
      </c>
      <c r="G1348" s="35" t="str">
        <f t="shared" si="214"/>
        <v/>
      </c>
      <c r="H1348" s="30"/>
      <c r="I1348" s="36" t="str">
        <f t="shared" si="215"/>
        <v/>
      </c>
      <c r="J1348" s="34" t="str">
        <f t="shared" si="216"/>
        <v/>
      </c>
      <c r="K1348" s="49"/>
      <c r="L1348" s="55" t="str">
        <f t="shared" si="217"/>
        <v/>
      </c>
      <c r="M1348" s="54" t="str">
        <f t="shared" si="218"/>
        <v/>
      </c>
      <c r="N1348" s="30"/>
      <c r="O1348" s="31"/>
      <c r="P1348" s="53"/>
      <c r="Q1348" s="33"/>
      <c r="R1348" s="54" t="str">
        <f t="shared" si="219"/>
        <v/>
      </c>
      <c r="S1348" s="30"/>
      <c r="T1348" s="33"/>
    </row>
    <row r="1349" spans="1:20" x14ac:dyDescent="0.25">
      <c r="A1349" s="30"/>
      <c r="B1349" s="37" t="str">
        <f t="shared" si="210"/>
        <v/>
      </c>
      <c r="C1349" s="30"/>
      <c r="D1349" s="34" t="str">
        <f t="shared" si="211"/>
        <v/>
      </c>
      <c r="E1349" s="34" t="str">
        <f t="shared" si="212"/>
        <v/>
      </c>
      <c r="F1349" s="34" t="str">
        <f t="shared" si="213"/>
        <v/>
      </c>
      <c r="G1349" s="35" t="str">
        <f t="shared" si="214"/>
        <v/>
      </c>
      <c r="H1349" s="30"/>
      <c r="I1349" s="36" t="str">
        <f t="shared" si="215"/>
        <v/>
      </c>
      <c r="J1349" s="34" t="str">
        <f t="shared" si="216"/>
        <v/>
      </c>
      <c r="K1349" s="49"/>
      <c r="L1349" s="55" t="str">
        <f t="shared" si="217"/>
        <v/>
      </c>
      <c r="M1349" s="54" t="str">
        <f t="shared" si="218"/>
        <v/>
      </c>
      <c r="N1349" s="30"/>
      <c r="O1349" s="31"/>
      <c r="P1349" s="53"/>
      <c r="Q1349" s="33"/>
      <c r="R1349" s="54" t="str">
        <f t="shared" si="219"/>
        <v/>
      </c>
      <c r="S1349" s="30"/>
      <c r="T1349" s="33"/>
    </row>
    <row r="1350" spans="1:20" x14ac:dyDescent="0.25">
      <c r="A1350" s="30"/>
      <c r="B1350" s="37" t="str">
        <f t="shared" si="210"/>
        <v/>
      </c>
      <c r="C1350" s="30"/>
      <c r="D1350" s="34" t="str">
        <f t="shared" si="211"/>
        <v/>
      </c>
      <c r="E1350" s="34" t="str">
        <f t="shared" si="212"/>
        <v/>
      </c>
      <c r="F1350" s="34" t="str">
        <f t="shared" si="213"/>
        <v/>
      </c>
      <c r="G1350" s="35" t="str">
        <f t="shared" si="214"/>
        <v/>
      </c>
      <c r="H1350" s="30"/>
      <c r="I1350" s="36" t="str">
        <f t="shared" si="215"/>
        <v/>
      </c>
      <c r="J1350" s="34" t="str">
        <f t="shared" si="216"/>
        <v/>
      </c>
      <c r="K1350" s="49"/>
      <c r="L1350" s="55" t="str">
        <f t="shared" si="217"/>
        <v/>
      </c>
      <c r="M1350" s="54" t="str">
        <f t="shared" si="218"/>
        <v/>
      </c>
      <c r="N1350" s="30"/>
      <c r="O1350" s="31"/>
      <c r="P1350" s="53"/>
      <c r="Q1350" s="33"/>
      <c r="R1350" s="54" t="str">
        <f t="shared" si="219"/>
        <v/>
      </c>
      <c r="S1350" s="30"/>
      <c r="T1350" s="33"/>
    </row>
    <row r="1351" spans="1:20" x14ac:dyDescent="0.25">
      <c r="A1351" s="30"/>
      <c r="B1351" s="37" t="str">
        <f t="shared" si="210"/>
        <v/>
      </c>
      <c r="C1351" s="30"/>
      <c r="D1351" s="34" t="str">
        <f t="shared" si="211"/>
        <v/>
      </c>
      <c r="E1351" s="34" t="str">
        <f t="shared" si="212"/>
        <v/>
      </c>
      <c r="F1351" s="34" t="str">
        <f t="shared" si="213"/>
        <v/>
      </c>
      <c r="G1351" s="35" t="str">
        <f t="shared" si="214"/>
        <v/>
      </c>
      <c r="H1351" s="30"/>
      <c r="I1351" s="36" t="str">
        <f t="shared" si="215"/>
        <v/>
      </c>
      <c r="J1351" s="34" t="str">
        <f t="shared" si="216"/>
        <v/>
      </c>
      <c r="K1351" s="49"/>
      <c r="L1351" s="55" t="str">
        <f t="shared" si="217"/>
        <v/>
      </c>
      <c r="M1351" s="54" t="str">
        <f t="shared" si="218"/>
        <v/>
      </c>
      <c r="N1351" s="30"/>
      <c r="O1351" s="31"/>
      <c r="P1351" s="53"/>
      <c r="Q1351" s="33"/>
      <c r="R1351" s="54" t="str">
        <f t="shared" si="219"/>
        <v/>
      </c>
      <c r="S1351" s="30"/>
      <c r="T1351" s="33"/>
    </row>
    <row r="1352" spans="1:20" x14ac:dyDescent="0.25">
      <c r="A1352" s="30"/>
      <c r="B1352" s="37" t="str">
        <f t="shared" si="210"/>
        <v/>
      </c>
      <c r="C1352" s="30"/>
      <c r="D1352" s="34" t="str">
        <f t="shared" si="211"/>
        <v/>
      </c>
      <c r="E1352" s="34" t="str">
        <f t="shared" si="212"/>
        <v/>
      </c>
      <c r="F1352" s="34" t="str">
        <f t="shared" si="213"/>
        <v/>
      </c>
      <c r="G1352" s="35" t="str">
        <f t="shared" si="214"/>
        <v/>
      </c>
      <c r="H1352" s="30"/>
      <c r="I1352" s="36" t="str">
        <f t="shared" si="215"/>
        <v/>
      </c>
      <c r="J1352" s="34" t="str">
        <f t="shared" si="216"/>
        <v/>
      </c>
      <c r="K1352" s="49"/>
      <c r="L1352" s="55" t="str">
        <f t="shared" si="217"/>
        <v/>
      </c>
      <c r="M1352" s="54" t="str">
        <f t="shared" si="218"/>
        <v/>
      </c>
      <c r="N1352" s="30"/>
      <c r="O1352" s="31"/>
      <c r="P1352" s="53"/>
      <c r="Q1352" s="33"/>
      <c r="R1352" s="54" t="str">
        <f t="shared" si="219"/>
        <v/>
      </c>
      <c r="S1352" s="30"/>
      <c r="T1352" s="33"/>
    </row>
    <row r="1353" spans="1:20" x14ac:dyDescent="0.25">
      <c r="A1353" s="30"/>
      <c r="B1353" s="37" t="str">
        <f t="shared" si="210"/>
        <v/>
      </c>
      <c r="C1353" s="30"/>
      <c r="D1353" s="34" t="str">
        <f t="shared" si="211"/>
        <v/>
      </c>
      <c r="E1353" s="34" t="str">
        <f t="shared" si="212"/>
        <v/>
      </c>
      <c r="F1353" s="34" t="str">
        <f t="shared" si="213"/>
        <v/>
      </c>
      <c r="G1353" s="35" t="str">
        <f t="shared" si="214"/>
        <v/>
      </c>
      <c r="H1353" s="30"/>
      <c r="I1353" s="36" t="str">
        <f t="shared" si="215"/>
        <v/>
      </c>
      <c r="J1353" s="34" t="str">
        <f t="shared" si="216"/>
        <v/>
      </c>
      <c r="K1353" s="49"/>
      <c r="L1353" s="55" t="str">
        <f t="shared" si="217"/>
        <v/>
      </c>
      <c r="M1353" s="54" t="str">
        <f t="shared" si="218"/>
        <v/>
      </c>
      <c r="N1353" s="30"/>
      <c r="O1353" s="31"/>
      <c r="P1353" s="53"/>
      <c r="Q1353" s="33"/>
      <c r="R1353" s="54" t="str">
        <f t="shared" si="219"/>
        <v/>
      </c>
      <c r="S1353" s="30"/>
      <c r="T1353" s="33"/>
    </row>
    <row r="1354" spans="1:20" x14ac:dyDescent="0.25">
      <c r="A1354" s="30"/>
      <c r="B1354" s="37" t="str">
        <f t="shared" si="210"/>
        <v/>
      </c>
      <c r="C1354" s="30"/>
      <c r="D1354" s="34" t="str">
        <f t="shared" si="211"/>
        <v/>
      </c>
      <c r="E1354" s="34" t="str">
        <f t="shared" si="212"/>
        <v/>
      </c>
      <c r="F1354" s="34" t="str">
        <f t="shared" si="213"/>
        <v/>
      </c>
      <c r="G1354" s="35" t="str">
        <f t="shared" si="214"/>
        <v/>
      </c>
      <c r="H1354" s="30"/>
      <c r="I1354" s="36" t="str">
        <f t="shared" si="215"/>
        <v/>
      </c>
      <c r="J1354" s="34" t="str">
        <f t="shared" si="216"/>
        <v/>
      </c>
      <c r="K1354" s="49"/>
      <c r="L1354" s="55" t="str">
        <f t="shared" si="217"/>
        <v/>
      </c>
      <c r="M1354" s="54" t="str">
        <f t="shared" si="218"/>
        <v/>
      </c>
      <c r="N1354" s="30"/>
      <c r="O1354" s="31"/>
      <c r="P1354" s="53"/>
      <c r="Q1354" s="33"/>
      <c r="R1354" s="54" t="str">
        <f t="shared" si="219"/>
        <v/>
      </c>
      <c r="S1354" s="30"/>
      <c r="T1354" s="33"/>
    </row>
    <row r="1355" spans="1:20" x14ac:dyDescent="0.25">
      <c r="A1355" s="30"/>
      <c r="B1355" s="37" t="str">
        <f t="shared" si="210"/>
        <v/>
      </c>
      <c r="C1355" s="30"/>
      <c r="D1355" s="34" t="str">
        <f t="shared" si="211"/>
        <v/>
      </c>
      <c r="E1355" s="34" t="str">
        <f t="shared" si="212"/>
        <v/>
      </c>
      <c r="F1355" s="34" t="str">
        <f t="shared" si="213"/>
        <v/>
      </c>
      <c r="G1355" s="35" t="str">
        <f t="shared" si="214"/>
        <v/>
      </c>
      <c r="H1355" s="30"/>
      <c r="I1355" s="36" t="str">
        <f t="shared" si="215"/>
        <v/>
      </c>
      <c r="J1355" s="34" t="str">
        <f t="shared" si="216"/>
        <v/>
      </c>
      <c r="K1355" s="49"/>
      <c r="L1355" s="55" t="str">
        <f t="shared" si="217"/>
        <v/>
      </c>
      <c r="M1355" s="54" t="str">
        <f t="shared" si="218"/>
        <v/>
      </c>
      <c r="N1355" s="30"/>
      <c r="O1355" s="31"/>
      <c r="P1355" s="53"/>
      <c r="Q1355" s="33"/>
      <c r="R1355" s="54" t="str">
        <f t="shared" si="219"/>
        <v/>
      </c>
      <c r="S1355" s="30"/>
      <c r="T1355" s="33"/>
    </row>
    <row r="1356" spans="1:20" x14ac:dyDescent="0.25">
      <c r="A1356" s="30"/>
      <c r="B1356" s="37" t="str">
        <f t="shared" si="210"/>
        <v/>
      </c>
      <c r="C1356" s="30"/>
      <c r="D1356" s="34" t="str">
        <f t="shared" si="211"/>
        <v/>
      </c>
      <c r="E1356" s="34" t="str">
        <f t="shared" si="212"/>
        <v/>
      </c>
      <c r="F1356" s="34" t="str">
        <f t="shared" si="213"/>
        <v/>
      </c>
      <c r="G1356" s="35" t="str">
        <f t="shared" si="214"/>
        <v/>
      </c>
      <c r="H1356" s="30"/>
      <c r="I1356" s="36" t="str">
        <f t="shared" si="215"/>
        <v/>
      </c>
      <c r="J1356" s="34" t="str">
        <f t="shared" si="216"/>
        <v/>
      </c>
      <c r="K1356" s="49"/>
      <c r="L1356" s="55" t="str">
        <f t="shared" si="217"/>
        <v/>
      </c>
      <c r="M1356" s="54" t="str">
        <f t="shared" si="218"/>
        <v/>
      </c>
      <c r="N1356" s="30"/>
      <c r="O1356" s="31"/>
      <c r="P1356" s="53"/>
      <c r="Q1356" s="33"/>
      <c r="R1356" s="54" t="str">
        <f t="shared" si="219"/>
        <v/>
      </c>
      <c r="S1356" s="30"/>
      <c r="T1356" s="33"/>
    </row>
    <row r="1357" spans="1:20" x14ac:dyDescent="0.25">
      <c r="A1357" s="30"/>
      <c r="B1357" s="37" t="str">
        <f t="shared" si="210"/>
        <v/>
      </c>
      <c r="C1357" s="30"/>
      <c r="D1357" s="34" t="str">
        <f t="shared" si="211"/>
        <v/>
      </c>
      <c r="E1357" s="34" t="str">
        <f t="shared" si="212"/>
        <v/>
      </c>
      <c r="F1357" s="34" t="str">
        <f t="shared" si="213"/>
        <v/>
      </c>
      <c r="G1357" s="35" t="str">
        <f t="shared" si="214"/>
        <v/>
      </c>
      <c r="H1357" s="30"/>
      <c r="I1357" s="36" t="str">
        <f t="shared" si="215"/>
        <v/>
      </c>
      <c r="J1357" s="34" t="str">
        <f t="shared" si="216"/>
        <v/>
      </c>
      <c r="K1357" s="49"/>
      <c r="L1357" s="55" t="str">
        <f t="shared" si="217"/>
        <v/>
      </c>
      <c r="M1357" s="54" t="str">
        <f t="shared" si="218"/>
        <v/>
      </c>
      <c r="N1357" s="30"/>
      <c r="O1357" s="31"/>
      <c r="P1357" s="53"/>
      <c r="Q1357" s="33"/>
      <c r="R1357" s="54" t="str">
        <f t="shared" si="219"/>
        <v/>
      </c>
      <c r="S1357" s="30"/>
      <c r="T1357" s="33"/>
    </row>
    <row r="1358" spans="1:20" x14ac:dyDescent="0.25">
      <c r="A1358" s="30"/>
      <c r="B1358" s="37" t="str">
        <f t="shared" si="210"/>
        <v/>
      </c>
      <c r="C1358" s="30"/>
      <c r="D1358" s="34" t="str">
        <f t="shared" si="211"/>
        <v/>
      </c>
      <c r="E1358" s="34" t="str">
        <f t="shared" si="212"/>
        <v/>
      </c>
      <c r="F1358" s="34" t="str">
        <f t="shared" si="213"/>
        <v/>
      </c>
      <c r="G1358" s="35" t="str">
        <f t="shared" si="214"/>
        <v/>
      </c>
      <c r="H1358" s="30"/>
      <c r="I1358" s="36" t="str">
        <f t="shared" si="215"/>
        <v/>
      </c>
      <c r="J1358" s="34" t="str">
        <f t="shared" si="216"/>
        <v/>
      </c>
      <c r="K1358" s="49"/>
      <c r="L1358" s="55" t="str">
        <f t="shared" si="217"/>
        <v/>
      </c>
      <c r="M1358" s="54" t="str">
        <f t="shared" si="218"/>
        <v/>
      </c>
      <c r="N1358" s="30"/>
      <c r="O1358" s="31"/>
      <c r="P1358" s="53"/>
      <c r="Q1358" s="33"/>
      <c r="R1358" s="54" t="str">
        <f t="shared" si="219"/>
        <v/>
      </c>
      <c r="S1358" s="30"/>
      <c r="T1358" s="33"/>
    </row>
    <row r="1359" spans="1:20" x14ac:dyDescent="0.25">
      <c r="A1359" s="30"/>
      <c r="B1359" s="37" t="str">
        <f t="shared" si="210"/>
        <v/>
      </c>
      <c r="C1359" s="30"/>
      <c r="D1359" s="34" t="str">
        <f t="shared" si="211"/>
        <v/>
      </c>
      <c r="E1359" s="34" t="str">
        <f t="shared" si="212"/>
        <v/>
      </c>
      <c r="F1359" s="34" t="str">
        <f t="shared" si="213"/>
        <v/>
      </c>
      <c r="G1359" s="35" t="str">
        <f t="shared" si="214"/>
        <v/>
      </c>
      <c r="H1359" s="30"/>
      <c r="I1359" s="36" t="str">
        <f t="shared" si="215"/>
        <v/>
      </c>
      <c r="J1359" s="34" t="str">
        <f t="shared" si="216"/>
        <v/>
      </c>
      <c r="K1359" s="49"/>
      <c r="L1359" s="55" t="str">
        <f t="shared" si="217"/>
        <v/>
      </c>
      <c r="M1359" s="54" t="str">
        <f t="shared" si="218"/>
        <v/>
      </c>
      <c r="N1359" s="30"/>
      <c r="O1359" s="31"/>
      <c r="P1359" s="53"/>
      <c r="Q1359" s="33"/>
      <c r="R1359" s="54" t="str">
        <f t="shared" si="219"/>
        <v/>
      </c>
      <c r="S1359" s="30"/>
      <c r="T1359" s="33"/>
    </row>
    <row r="1360" spans="1:20" x14ac:dyDescent="0.25">
      <c r="A1360" s="30"/>
      <c r="B1360" s="37" t="str">
        <f t="shared" si="210"/>
        <v/>
      </c>
      <c r="C1360" s="30"/>
      <c r="D1360" s="34" t="str">
        <f t="shared" si="211"/>
        <v/>
      </c>
      <c r="E1360" s="34" t="str">
        <f t="shared" si="212"/>
        <v/>
      </c>
      <c r="F1360" s="34" t="str">
        <f t="shared" si="213"/>
        <v/>
      </c>
      <c r="G1360" s="35" t="str">
        <f t="shared" si="214"/>
        <v/>
      </c>
      <c r="H1360" s="30"/>
      <c r="I1360" s="36" t="str">
        <f t="shared" si="215"/>
        <v/>
      </c>
      <c r="J1360" s="34" t="str">
        <f t="shared" si="216"/>
        <v/>
      </c>
      <c r="K1360" s="49"/>
      <c r="L1360" s="55" t="str">
        <f t="shared" si="217"/>
        <v/>
      </c>
      <c r="M1360" s="54" t="str">
        <f t="shared" si="218"/>
        <v/>
      </c>
      <c r="N1360" s="30"/>
      <c r="O1360" s="31"/>
      <c r="P1360" s="53"/>
      <c r="Q1360" s="33"/>
      <c r="R1360" s="54" t="str">
        <f t="shared" si="219"/>
        <v/>
      </c>
      <c r="S1360" s="30"/>
      <c r="T1360" s="33"/>
    </row>
    <row r="1361" spans="1:20" x14ac:dyDescent="0.25">
      <c r="A1361" s="30"/>
      <c r="B1361" s="37" t="str">
        <f t="shared" si="210"/>
        <v/>
      </c>
      <c r="C1361" s="30"/>
      <c r="D1361" s="34" t="str">
        <f t="shared" si="211"/>
        <v/>
      </c>
      <c r="E1361" s="34" t="str">
        <f t="shared" si="212"/>
        <v/>
      </c>
      <c r="F1361" s="34" t="str">
        <f t="shared" si="213"/>
        <v/>
      </c>
      <c r="G1361" s="35" t="str">
        <f t="shared" si="214"/>
        <v/>
      </c>
      <c r="H1361" s="30"/>
      <c r="I1361" s="36" t="str">
        <f t="shared" si="215"/>
        <v/>
      </c>
      <c r="J1361" s="34" t="str">
        <f t="shared" si="216"/>
        <v/>
      </c>
      <c r="K1361" s="49"/>
      <c r="L1361" s="55" t="str">
        <f t="shared" si="217"/>
        <v/>
      </c>
      <c r="M1361" s="54" t="str">
        <f t="shared" si="218"/>
        <v/>
      </c>
      <c r="N1361" s="30"/>
      <c r="O1361" s="31"/>
      <c r="P1361" s="53"/>
      <c r="Q1361" s="33"/>
      <c r="R1361" s="54" t="str">
        <f t="shared" si="219"/>
        <v/>
      </c>
      <c r="S1361" s="30"/>
      <c r="T1361" s="33"/>
    </row>
    <row r="1362" spans="1:20" x14ac:dyDescent="0.25">
      <c r="A1362" s="30"/>
      <c r="B1362" s="37" t="str">
        <f t="shared" si="210"/>
        <v/>
      </c>
      <c r="C1362" s="30"/>
      <c r="D1362" s="34" t="str">
        <f t="shared" si="211"/>
        <v/>
      </c>
      <c r="E1362" s="34" t="str">
        <f t="shared" si="212"/>
        <v/>
      </c>
      <c r="F1362" s="34" t="str">
        <f t="shared" si="213"/>
        <v/>
      </c>
      <c r="G1362" s="35" t="str">
        <f t="shared" si="214"/>
        <v/>
      </c>
      <c r="H1362" s="30"/>
      <c r="I1362" s="36" t="str">
        <f t="shared" si="215"/>
        <v/>
      </c>
      <c r="J1362" s="34" t="str">
        <f t="shared" si="216"/>
        <v/>
      </c>
      <c r="K1362" s="49"/>
      <c r="L1362" s="55" t="str">
        <f t="shared" si="217"/>
        <v/>
      </c>
      <c r="M1362" s="54" t="str">
        <f t="shared" si="218"/>
        <v/>
      </c>
      <c r="N1362" s="30"/>
      <c r="O1362" s="31"/>
      <c r="P1362" s="53"/>
      <c r="Q1362" s="33"/>
      <c r="R1362" s="54" t="str">
        <f t="shared" si="219"/>
        <v/>
      </c>
      <c r="S1362" s="30"/>
      <c r="T1362" s="33"/>
    </row>
    <row r="1363" spans="1:20" x14ac:dyDescent="0.25">
      <c r="A1363" s="30"/>
      <c r="B1363" s="37" t="str">
        <f t="shared" si="210"/>
        <v/>
      </c>
      <c r="C1363" s="30"/>
      <c r="D1363" s="34" t="str">
        <f t="shared" si="211"/>
        <v/>
      </c>
      <c r="E1363" s="34" t="str">
        <f t="shared" si="212"/>
        <v/>
      </c>
      <c r="F1363" s="34" t="str">
        <f t="shared" si="213"/>
        <v/>
      </c>
      <c r="G1363" s="35" t="str">
        <f t="shared" si="214"/>
        <v/>
      </c>
      <c r="H1363" s="30"/>
      <c r="I1363" s="36" t="str">
        <f t="shared" si="215"/>
        <v/>
      </c>
      <c r="J1363" s="34" t="str">
        <f t="shared" si="216"/>
        <v/>
      </c>
      <c r="K1363" s="49"/>
      <c r="L1363" s="55" t="str">
        <f t="shared" si="217"/>
        <v/>
      </c>
      <c r="M1363" s="54" t="str">
        <f t="shared" si="218"/>
        <v/>
      </c>
      <c r="N1363" s="30"/>
      <c r="O1363" s="31"/>
      <c r="P1363" s="53"/>
      <c r="Q1363" s="33"/>
      <c r="R1363" s="54" t="str">
        <f t="shared" si="219"/>
        <v/>
      </c>
      <c r="S1363" s="30"/>
      <c r="T1363" s="33"/>
    </row>
    <row r="1364" spans="1:20" x14ac:dyDescent="0.25">
      <c r="A1364" s="30"/>
      <c r="B1364" s="37" t="str">
        <f t="shared" si="210"/>
        <v/>
      </c>
      <c r="C1364" s="30"/>
      <c r="D1364" s="34" t="str">
        <f t="shared" si="211"/>
        <v/>
      </c>
      <c r="E1364" s="34" t="str">
        <f t="shared" si="212"/>
        <v/>
      </c>
      <c r="F1364" s="34" t="str">
        <f t="shared" si="213"/>
        <v/>
      </c>
      <c r="G1364" s="35" t="str">
        <f t="shared" si="214"/>
        <v/>
      </c>
      <c r="H1364" s="30"/>
      <c r="I1364" s="36" t="str">
        <f t="shared" si="215"/>
        <v/>
      </c>
      <c r="J1364" s="34" t="str">
        <f t="shared" si="216"/>
        <v/>
      </c>
      <c r="K1364" s="49"/>
      <c r="L1364" s="55" t="str">
        <f t="shared" si="217"/>
        <v/>
      </c>
      <c r="M1364" s="54" t="str">
        <f t="shared" si="218"/>
        <v/>
      </c>
      <c r="N1364" s="30"/>
      <c r="O1364" s="31"/>
      <c r="P1364" s="53"/>
      <c r="Q1364" s="33"/>
      <c r="R1364" s="54" t="str">
        <f t="shared" si="219"/>
        <v/>
      </c>
      <c r="S1364" s="30"/>
      <c r="T1364" s="33"/>
    </row>
    <row r="1365" spans="1:20" x14ac:dyDescent="0.25">
      <c r="A1365" s="30"/>
      <c r="B1365" s="37" t="str">
        <f t="shared" si="210"/>
        <v/>
      </c>
      <c r="C1365" s="30"/>
      <c r="D1365" s="34" t="str">
        <f t="shared" si="211"/>
        <v/>
      </c>
      <c r="E1365" s="34" t="str">
        <f t="shared" si="212"/>
        <v/>
      </c>
      <c r="F1365" s="34" t="str">
        <f t="shared" si="213"/>
        <v/>
      </c>
      <c r="G1365" s="35" t="str">
        <f t="shared" si="214"/>
        <v/>
      </c>
      <c r="H1365" s="30"/>
      <c r="I1365" s="36" t="str">
        <f t="shared" si="215"/>
        <v/>
      </c>
      <c r="J1365" s="34" t="str">
        <f t="shared" si="216"/>
        <v/>
      </c>
      <c r="K1365" s="49"/>
      <c r="L1365" s="55" t="str">
        <f t="shared" si="217"/>
        <v/>
      </c>
      <c r="M1365" s="54" t="str">
        <f t="shared" si="218"/>
        <v/>
      </c>
      <c r="N1365" s="30"/>
      <c r="O1365" s="31"/>
      <c r="P1365" s="53"/>
      <c r="Q1365" s="33"/>
      <c r="R1365" s="54" t="str">
        <f t="shared" si="219"/>
        <v/>
      </c>
      <c r="S1365" s="30"/>
      <c r="T1365" s="33"/>
    </row>
    <row r="1366" spans="1:20" x14ac:dyDescent="0.25">
      <c r="A1366" s="30"/>
      <c r="B1366" s="37" t="str">
        <f t="shared" si="210"/>
        <v/>
      </c>
      <c r="C1366" s="30"/>
      <c r="D1366" s="34" t="str">
        <f t="shared" si="211"/>
        <v/>
      </c>
      <c r="E1366" s="34" t="str">
        <f t="shared" si="212"/>
        <v/>
      </c>
      <c r="F1366" s="34" t="str">
        <f t="shared" si="213"/>
        <v/>
      </c>
      <c r="G1366" s="35" t="str">
        <f t="shared" si="214"/>
        <v/>
      </c>
      <c r="H1366" s="30"/>
      <c r="I1366" s="36" t="str">
        <f t="shared" si="215"/>
        <v/>
      </c>
      <c r="J1366" s="34" t="str">
        <f t="shared" si="216"/>
        <v/>
      </c>
      <c r="K1366" s="49"/>
      <c r="L1366" s="55" t="str">
        <f t="shared" si="217"/>
        <v/>
      </c>
      <c r="M1366" s="54" t="str">
        <f t="shared" si="218"/>
        <v/>
      </c>
      <c r="N1366" s="30"/>
      <c r="O1366" s="31"/>
      <c r="P1366" s="53"/>
      <c r="Q1366" s="33"/>
      <c r="R1366" s="54" t="str">
        <f t="shared" si="219"/>
        <v/>
      </c>
      <c r="S1366" s="30"/>
      <c r="T1366" s="33"/>
    </row>
    <row r="1367" spans="1:20" x14ac:dyDescent="0.25">
      <c r="A1367" s="30"/>
      <c r="B1367" s="37" t="str">
        <f t="shared" si="210"/>
        <v/>
      </c>
      <c r="C1367" s="30"/>
      <c r="D1367" s="34" t="str">
        <f t="shared" si="211"/>
        <v/>
      </c>
      <c r="E1367" s="34" t="str">
        <f t="shared" si="212"/>
        <v/>
      </c>
      <c r="F1367" s="34" t="str">
        <f t="shared" si="213"/>
        <v/>
      </c>
      <c r="G1367" s="35" t="str">
        <f t="shared" si="214"/>
        <v/>
      </c>
      <c r="H1367" s="30"/>
      <c r="I1367" s="36" t="str">
        <f t="shared" si="215"/>
        <v/>
      </c>
      <c r="J1367" s="34" t="str">
        <f t="shared" si="216"/>
        <v/>
      </c>
      <c r="K1367" s="49"/>
      <c r="L1367" s="55" t="str">
        <f t="shared" si="217"/>
        <v/>
      </c>
      <c r="M1367" s="54" t="str">
        <f t="shared" si="218"/>
        <v/>
      </c>
      <c r="N1367" s="30"/>
      <c r="O1367" s="31"/>
      <c r="P1367" s="53"/>
      <c r="Q1367" s="33"/>
      <c r="R1367" s="54" t="str">
        <f t="shared" si="219"/>
        <v/>
      </c>
      <c r="S1367" s="30"/>
      <c r="T1367" s="33"/>
    </row>
    <row r="1368" spans="1:20" x14ac:dyDescent="0.25">
      <c r="A1368" s="30"/>
      <c r="B1368" s="37" t="str">
        <f t="shared" si="210"/>
        <v/>
      </c>
      <c r="C1368" s="30"/>
      <c r="D1368" s="34" t="str">
        <f t="shared" si="211"/>
        <v/>
      </c>
      <c r="E1368" s="34" t="str">
        <f t="shared" si="212"/>
        <v/>
      </c>
      <c r="F1368" s="34" t="str">
        <f t="shared" si="213"/>
        <v/>
      </c>
      <c r="G1368" s="35" t="str">
        <f t="shared" si="214"/>
        <v/>
      </c>
      <c r="H1368" s="30"/>
      <c r="I1368" s="36" t="str">
        <f t="shared" si="215"/>
        <v/>
      </c>
      <c r="J1368" s="34" t="str">
        <f t="shared" si="216"/>
        <v/>
      </c>
      <c r="K1368" s="49"/>
      <c r="L1368" s="55" t="str">
        <f t="shared" si="217"/>
        <v/>
      </c>
      <c r="M1368" s="54" t="str">
        <f t="shared" si="218"/>
        <v/>
      </c>
      <c r="N1368" s="30"/>
      <c r="O1368" s="31"/>
      <c r="P1368" s="53"/>
      <c r="Q1368" s="33"/>
      <c r="R1368" s="54" t="str">
        <f t="shared" si="219"/>
        <v/>
      </c>
      <c r="S1368" s="30"/>
      <c r="T1368" s="33"/>
    </row>
    <row r="1369" spans="1:20" x14ac:dyDescent="0.25">
      <c r="A1369" s="30"/>
      <c r="B1369" s="37" t="str">
        <f t="shared" si="210"/>
        <v/>
      </c>
      <c r="C1369" s="30"/>
      <c r="D1369" s="34" t="str">
        <f t="shared" si="211"/>
        <v/>
      </c>
      <c r="E1369" s="34" t="str">
        <f t="shared" si="212"/>
        <v/>
      </c>
      <c r="F1369" s="34" t="str">
        <f t="shared" si="213"/>
        <v/>
      </c>
      <c r="G1369" s="35" t="str">
        <f t="shared" si="214"/>
        <v/>
      </c>
      <c r="H1369" s="30"/>
      <c r="I1369" s="36" t="str">
        <f t="shared" si="215"/>
        <v/>
      </c>
      <c r="J1369" s="34" t="str">
        <f t="shared" si="216"/>
        <v/>
      </c>
      <c r="K1369" s="49"/>
      <c r="L1369" s="55" t="str">
        <f t="shared" si="217"/>
        <v/>
      </c>
      <c r="M1369" s="54" t="str">
        <f t="shared" si="218"/>
        <v/>
      </c>
      <c r="N1369" s="30"/>
      <c r="O1369" s="31"/>
      <c r="P1369" s="53"/>
      <c r="Q1369" s="33"/>
      <c r="R1369" s="54" t="str">
        <f t="shared" si="219"/>
        <v/>
      </c>
      <c r="S1369" s="30"/>
      <c r="T1369" s="33"/>
    </row>
    <row r="1370" spans="1:20" x14ac:dyDescent="0.25">
      <c r="A1370" s="30"/>
      <c r="B1370" s="37" t="str">
        <f t="shared" si="210"/>
        <v/>
      </c>
      <c r="C1370" s="30"/>
      <c r="D1370" s="34" t="str">
        <f t="shared" si="211"/>
        <v/>
      </c>
      <c r="E1370" s="34" t="str">
        <f t="shared" si="212"/>
        <v/>
      </c>
      <c r="F1370" s="34" t="str">
        <f t="shared" si="213"/>
        <v/>
      </c>
      <c r="G1370" s="35" t="str">
        <f t="shared" si="214"/>
        <v/>
      </c>
      <c r="H1370" s="30"/>
      <c r="I1370" s="36" t="str">
        <f t="shared" si="215"/>
        <v/>
      </c>
      <c r="J1370" s="34" t="str">
        <f t="shared" si="216"/>
        <v/>
      </c>
      <c r="K1370" s="49"/>
      <c r="L1370" s="55" t="str">
        <f t="shared" si="217"/>
        <v/>
      </c>
      <c r="M1370" s="54" t="str">
        <f t="shared" si="218"/>
        <v/>
      </c>
      <c r="N1370" s="30"/>
      <c r="O1370" s="31"/>
      <c r="P1370" s="53"/>
      <c r="Q1370" s="33"/>
      <c r="R1370" s="54" t="str">
        <f t="shared" si="219"/>
        <v/>
      </c>
      <c r="S1370" s="30"/>
      <c r="T1370" s="33"/>
    </row>
    <row r="1371" spans="1:20" x14ac:dyDescent="0.25">
      <c r="A1371" s="30"/>
      <c r="B1371" s="37" t="str">
        <f t="shared" si="210"/>
        <v/>
      </c>
      <c r="C1371" s="30"/>
      <c r="D1371" s="34" t="str">
        <f t="shared" si="211"/>
        <v/>
      </c>
      <c r="E1371" s="34" t="str">
        <f t="shared" si="212"/>
        <v/>
      </c>
      <c r="F1371" s="34" t="str">
        <f t="shared" si="213"/>
        <v/>
      </c>
      <c r="G1371" s="35" t="str">
        <f t="shared" si="214"/>
        <v/>
      </c>
      <c r="H1371" s="30"/>
      <c r="I1371" s="36" t="str">
        <f t="shared" si="215"/>
        <v/>
      </c>
      <c r="J1371" s="34" t="str">
        <f t="shared" si="216"/>
        <v/>
      </c>
      <c r="K1371" s="49"/>
      <c r="L1371" s="55" t="str">
        <f t="shared" si="217"/>
        <v/>
      </c>
      <c r="M1371" s="54" t="str">
        <f t="shared" si="218"/>
        <v/>
      </c>
      <c r="N1371" s="30"/>
      <c r="O1371" s="31"/>
      <c r="P1371" s="53"/>
      <c r="Q1371" s="33"/>
      <c r="R1371" s="54" t="str">
        <f t="shared" si="219"/>
        <v/>
      </c>
      <c r="S1371" s="30"/>
      <c r="T1371" s="33"/>
    </row>
    <row r="1372" spans="1:20" x14ac:dyDescent="0.25">
      <c r="A1372" s="30"/>
      <c r="B1372" s="37" t="str">
        <f t="shared" si="210"/>
        <v/>
      </c>
      <c r="C1372" s="30"/>
      <c r="D1372" s="34" t="str">
        <f t="shared" si="211"/>
        <v/>
      </c>
      <c r="E1372" s="34" t="str">
        <f t="shared" si="212"/>
        <v/>
      </c>
      <c r="F1372" s="34" t="str">
        <f t="shared" si="213"/>
        <v/>
      </c>
      <c r="G1372" s="35" t="str">
        <f t="shared" si="214"/>
        <v/>
      </c>
      <c r="H1372" s="30"/>
      <c r="I1372" s="36" t="str">
        <f t="shared" si="215"/>
        <v/>
      </c>
      <c r="J1372" s="34" t="str">
        <f t="shared" si="216"/>
        <v/>
      </c>
      <c r="K1372" s="49"/>
      <c r="L1372" s="55" t="str">
        <f t="shared" si="217"/>
        <v/>
      </c>
      <c r="M1372" s="54" t="str">
        <f t="shared" si="218"/>
        <v/>
      </c>
      <c r="N1372" s="30"/>
      <c r="O1372" s="31"/>
      <c r="P1372" s="53"/>
      <c r="Q1372" s="33"/>
      <c r="R1372" s="54" t="str">
        <f t="shared" si="219"/>
        <v/>
      </c>
      <c r="S1372" s="30"/>
      <c r="T1372" s="33"/>
    </row>
    <row r="1373" spans="1:20" x14ac:dyDescent="0.25">
      <c r="A1373" s="30"/>
      <c r="B1373" s="37" t="str">
        <f t="shared" si="210"/>
        <v/>
      </c>
      <c r="C1373" s="30"/>
      <c r="D1373" s="34" t="str">
        <f t="shared" si="211"/>
        <v/>
      </c>
      <c r="E1373" s="34" t="str">
        <f t="shared" si="212"/>
        <v/>
      </c>
      <c r="F1373" s="34" t="str">
        <f t="shared" si="213"/>
        <v/>
      </c>
      <c r="G1373" s="35" t="str">
        <f t="shared" si="214"/>
        <v/>
      </c>
      <c r="H1373" s="30"/>
      <c r="I1373" s="36" t="str">
        <f t="shared" si="215"/>
        <v/>
      </c>
      <c r="J1373" s="34" t="str">
        <f t="shared" si="216"/>
        <v/>
      </c>
      <c r="K1373" s="49"/>
      <c r="L1373" s="55" t="str">
        <f t="shared" si="217"/>
        <v/>
      </c>
      <c r="M1373" s="54" t="str">
        <f t="shared" si="218"/>
        <v/>
      </c>
      <c r="N1373" s="30"/>
      <c r="O1373" s="31"/>
      <c r="P1373" s="53"/>
      <c r="Q1373" s="33"/>
      <c r="R1373" s="54" t="str">
        <f t="shared" si="219"/>
        <v/>
      </c>
      <c r="S1373" s="30"/>
      <c r="T1373" s="33"/>
    </row>
    <row r="1374" spans="1:20" x14ac:dyDescent="0.25">
      <c r="A1374" s="30"/>
      <c r="B1374" s="37" t="str">
        <f t="shared" si="210"/>
        <v/>
      </c>
      <c r="C1374" s="30"/>
      <c r="D1374" s="34" t="str">
        <f t="shared" si="211"/>
        <v/>
      </c>
      <c r="E1374" s="34" t="str">
        <f t="shared" si="212"/>
        <v/>
      </c>
      <c r="F1374" s="34" t="str">
        <f t="shared" si="213"/>
        <v/>
      </c>
      <c r="G1374" s="35" t="str">
        <f t="shared" si="214"/>
        <v/>
      </c>
      <c r="H1374" s="30"/>
      <c r="I1374" s="36" t="str">
        <f t="shared" si="215"/>
        <v/>
      </c>
      <c r="J1374" s="34" t="str">
        <f t="shared" si="216"/>
        <v/>
      </c>
      <c r="K1374" s="49"/>
      <c r="L1374" s="55" t="str">
        <f t="shared" si="217"/>
        <v/>
      </c>
      <c r="M1374" s="54" t="str">
        <f t="shared" si="218"/>
        <v/>
      </c>
      <c r="N1374" s="30"/>
      <c r="O1374" s="31"/>
      <c r="P1374" s="53"/>
      <c r="Q1374" s="33"/>
      <c r="R1374" s="54" t="str">
        <f t="shared" si="219"/>
        <v/>
      </c>
      <c r="S1374" s="30"/>
      <c r="T1374" s="33"/>
    </row>
    <row r="1375" spans="1:20" x14ac:dyDescent="0.25">
      <c r="A1375" s="30"/>
      <c r="B1375" s="37" t="str">
        <f t="shared" si="210"/>
        <v/>
      </c>
      <c r="C1375" s="30"/>
      <c r="D1375" s="34" t="str">
        <f t="shared" si="211"/>
        <v/>
      </c>
      <c r="E1375" s="34" t="str">
        <f t="shared" si="212"/>
        <v/>
      </c>
      <c r="F1375" s="34" t="str">
        <f t="shared" si="213"/>
        <v/>
      </c>
      <c r="G1375" s="35" t="str">
        <f t="shared" si="214"/>
        <v/>
      </c>
      <c r="H1375" s="30"/>
      <c r="I1375" s="36" t="str">
        <f t="shared" si="215"/>
        <v/>
      </c>
      <c r="J1375" s="34" t="str">
        <f t="shared" si="216"/>
        <v/>
      </c>
      <c r="K1375" s="49"/>
      <c r="L1375" s="55" t="str">
        <f t="shared" si="217"/>
        <v/>
      </c>
      <c r="M1375" s="54" t="str">
        <f t="shared" si="218"/>
        <v/>
      </c>
      <c r="N1375" s="30"/>
      <c r="O1375" s="31"/>
      <c r="P1375" s="53"/>
      <c r="Q1375" s="33"/>
      <c r="R1375" s="54" t="str">
        <f t="shared" si="219"/>
        <v/>
      </c>
      <c r="S1375" s="30"/>
      <c r="T1375" s="33"/>
    </row>
    <row r="1376" spans="1:20" x14ac:dyDescent="0.25">
      <c r="A1376" s="30"/>
      <c r="B1376" s="37" t="str">
        <f t="shared" si="210"/>
        <v/>
      </c>
      <c r="C1376" s="30"/>
      <c r="D1376" s="34" t="str">
        <f t="shared" si="211"/>
        <v/>
      </c>
      <c r="E1376" s="34" t="str">
        <f t="shared" si="212"/>
        <v/>
      </c>
      <c r="F1376" s="34" t="str">
        <f t="shared" si="213"/>
        <v/>
      </c>
      <c r="G1376" s="35" t="str">
        <f t="shared" si="214"/>
        <v/>
      </c>
      <c r="H1376" s="30"/>
      <c r="I1376" s="36" t="str">
        <f t="shared" si="215"/>
        <v/>
      </c>
      <c r="J1376" s="34" t="str">
        <f t="shared" si="216"/>
        <v/>
      </c>
      <c r="K1376" s="49"/>
      <c r="L1376" s="55" t="str">
        <f t="shared" si="217"/>
        <v/>
      </c>
      <c r="M1376" s="54" t="str">
        <f t="shared" si="218"/>
        <v/>
      </c>
      <c r="N1376" s="30"/>
      <c r="O1376" s="31"/>
      <c r="P1376" s="53"/>
      <c r="Q1376" s="33"/>
      <c r="R1376" s="54" t="str">
        <f t="shared" si="219"/>
        <v/>
      </c>
      <c r="S1376" s="30"/>
      <c r="T1376" s="33"/>
    </row>
    <row r="1377" spans="1:20" x14ac:dyDescent="0.25">
      <c r="A1377" s="30"/>
      <c r="B1377" s="37" t="str">
        <f t="shared" si="210"/>
        <v/>
      </c>
      <c r="C1377" s="30"/>
      <c r="D1377" s="34" t="str">
        <f t="shared" si="211"/>
        <v/>
      </c>
      <c r="E1377" s="34" t="str">
        <f t="shared" si="212"/>
        <v/>
      </c>
      <c r="F1377" s="34" t="str">
        <f t="shared" si="213"/>
        <v/>
      </c>
      <c r="G1377" s="35" t="str">
        <f t="shared" si="214"/>
        <v/>
      </c>
      <c r="H1377" s="30"/>
      <c r="I1377" s="36" t="str">
        <f t="shared" si="215"/>
        <v/>
      </c>
      <c r="J1377" s="34" t="str">
        <f t="shared" si="216"/>
        <v/>
      </c>
      <c r="K1377" s="49"/>
      <c r="L1377" s="55" t="str">
        <f t="shared" si="217"/>
        <v/>
      </c>
      <c r="M1377" s="54" t="str">
        <f t="shared" si="218"/>
        <v/>
      </c>
      <c r="N1377" s="30"/>
      <c r="O1377" s="31"/>
      <c r="P1377" s="53"/>
      <c r="Q1377" s="33"/>
      <c r="R1377" s="54" t="str">
        <f t="shared" si="219"/>
        <v/>
      </c>
      <c r="S1377" s="30"/>
      <c r="T1377" s="33"/>
    </row>
    <row r="1378" spans="1:20" x14ac:dyDescent="0.25">
      <c r="A1378" s="30"/>
      <c r="B1378" s="37" t="str">
        <f t="shared" si="210"/>
        <v/>
      </c>
      <c r="C1378" s="30"/>
      <c r="D1378" s="34" t="str">
        <f t="shared" si="211"/>
        <v/>
      </c>
      <c r="E1378" s="34" t="str">
        <f t="shared" si="212"/>
        <v/>
      </c>
      <c r="F1378" s="34" t="str">
        <f t="shared" si="213"/>
        <v/>
      </c>
      <c r="G1378" s="35" t="str">
        <f t="shared" si="214"/>
        <v/>
      </c>
      <c r="H1378" s="30"/>
      <c r="I1378" s="36" t="str">
        <f t="shared" si="215"/>
        <v/>
      </c>
      <c r="J1378" s="34" t="str">
        <f t="shared" si="216"/>
        <v/>
      </c>
      <c r="K1378" s="49"/>
      <c r="L1378" s="55" t="str">
        <f t="shared" si="217"/>
        <v/>
      </c>
      <c r="M1378" s="54" t="str">
        <f t="shared" si="218"/>
        <v/>
      </c>
      <c r="N1378" s="30"/>
      <c r="O1378" s="31"/>
      <c r="P1378" s="53"/>
      <c r="Q1378" s="33"/>
      <c r="R1378" s="54" t="str">
        <f t="shared" si="219"/>
        <v/>
      </c>
      <c r="S1378" s="30"/>
      <c r="T1378" s="33"/>
    </row>
    <row r="1379" spans="1:20" x14ac:dyDescent="0.25">
      <c r="A1379" s="30"/>
      <c r="B1379" s="37" t="str">
        <f t="shared" si="210"/>
        <v/>
      </c>
      <c r="C1379" s="30"/>
      <c r="D1379" s="34" t="str">
        <f t="shared" si="211"/>
        <v/>
      </c>
      <c r="E1379" s="34" t="str">
        <f t="shared" si="212"/>
        <v/>
      </c>
      <c r="F1379" s="34" t="str">
        <f t="shared" si="213"/>
        <v/>
      </c>
      <c r="G1379" s="35" t="str">
        <f t="shared" si="214"/>
        <v/>
      </c>
      <c r="H1379" s="30"/>
      <c r="I1379" s="36" t="str">
        <f t="shared" si="215"/>
        <v/>
      </c>
      <c r="J1379" s="34" t="str">
        <f t="shared" si="216"/>
        <v/>
      </c>
      <c r="K1379" s="49"/>
      <c r="L1379" s="55" t="str">
        <f t="shared" si="217"/>
        <v/>
      </c>
      <c r="M1379" s="54" t="str">
        <f t="shared" si="218"/>
        <v/>
      </c>
      <c r="N1379" s="30"/>
      <c r="O1379" s="31"/>
      <c r="P1379" s="53"/>
      <c r="Q1379" s="33"/>
      <c r="R1379" s="54" t="str">
        <f t="shared" si="219"/>
        <v/>
      </c>
      <c r="S1379" s="30"/>
      <c r="T1379" s="33"/>
    </row>
    <row r="1380" spans="1:20" x14ac:dyDescent="0.25">
      <c r="A1380" s="30"/>
      <c r="B1380" s="37" t="str">
        <f t="shared" si="210"/>
        <v/>
      </c>
      <c r="C1380" s="30"/>
      <c r="D1380" s="34" t="str">
        <f t="shared" si="211"/>
        <v/>
      </c>
      <c r="E1380" s="34" t="str">
        <f t="shared" si="212"/>
        <v/>
      </c>
      <c r="F1380" s="34" t="str">
        <f t="shared" si="213"/>
        <v/>
      </c>
      <c r="G1380" s="35" t="str">
        <f t="shared" si="214"/>
        <v/>
      </c>
      <c r="H1380" s="30"/>
      <c r="I1380" s="36" t="str">
        <f t="shared" si="215"/>
        <v/>
      </c>
      <c r="J1380" s="34" t="str">
        <f t="shared" si="216"/>
        <v/>
      </c>
      <c r="K1380" s="49"/>
      <c r="L1380" s="55" t="str">
        <f t="shared" si="217"/>
        <v/>
      </c>
      <c r="M1380" s="54" t="str">
        <f t="shared" si="218"/>
        <v/>
      </c>
      <c r="N1380" s="30"/>
      <c r="O1380" s="31"/>
      <c r="P1380" s="53"/>
      <c r="Q1380" s="33"/>
      <c r="R1380" s="54" t="str">
        <f t="shared" si="219"/>
        <v/>
      </c>
      <c r="S1380" s="30"/>
      <c r="T1380" s="33"/>
    </row>
    <row r="1381" spans="1:20" x14ac:dyDescent="0.25">
      <c r="A1381" s="30"/>
      <c r="B1381" s="37" t="str">
        <f t="shared" si="210"/>
        <v/>
      </c>
      <c r="C1381" s="30"/>
      <c r="D1381" s="34" t="str">
        <f t="shared" si="211"/>
        <v/>
      </c>
      <c r="E1381" s="34" t="str">
        <f t="shared" si="212"/>
        <v/>
      </c>
      <c r="F1381" s="34" t="str">
        <f t="shared" si="213"/>
        <v/>
      </c>
      <c r="G1381" s="35" t="str">
        <f t="shared" si="214"/>
        <v/>
      </c>
      <c r="H1381" s="30"/>
      <c r="I1381" s="36" t="str">
        <f t="shared" si="215"/>
        <v/>
      </c>
      <c r="J1381" s="34" t="str">
        <f t="shared" si="216"/>
        <v/>
      </c>
      <c r="K1381" s="49"/>
      <c r="L1381" s="55" t="str">
        <f t="shared" si="217"/>
        <v/>
      </c>
      <c r="M1381" s="54" t="str">
        <f t="shared" si="218"/>
        <v/>
      </c>
      <c r="N1381" s="30"/>
      <c r="O1381" s="31"/>
      <c r="P1381" s="53"/>
      <c r="Q1381" s="33"/>
      <c r="R1381" s="54" t="str">
        <f t="shared" si="219"/>
        <v/>
      </c>
      <c r="S1381" s="30"/>
      <c r="T1381" s="33"/>
    </row>
    <row r="1382" spans="1:20" x14ac:dyDescent="0.25">
      <c r="A1382" s="30"/>
      <c r="B1382" s="37" t="str">
        <f t="shared" si="210"/>
        <v/>
      </c>
      <c r="C1382" s="30"/>
      <c r="D1382" s="34" t="str">
        <f t="shared" si="211"/>
        <v/>
      </c>
      <c r="E1382" s="34" t="str">
        <f t="shared" si="212"/>
        <v/>
      </c>
      <c r="F1382" s="34" t="str">
        <f t="shared" si="213"/>
        <v/>
      </c>
      <c r="G1382" s="35" t="str">
        <f t="shared" si="214"/>
        <v/>
      </c>
      <c r="H1382" s="30"/>
      <c r="I1382" s="36" t="str">
        <f t="shared" si="215"/>
        <v/>
      </c>
      <c r="J1382" s="34" t="str">
        <f t="shared" si="216"/>
        <v/>
      </c>
      <c r="K1382" s="49"/>
      <c r="L1382" s="55" t="str">
        <f t="shared" si="217"/>
        <v/>
      </c>
      <c r="M1382" s="54" t="str">
        <f t="shared" si="218"/>
        <v/>
      </c>
      <c r="N1382" s="30"/>
      <c r="O1382" s="31"/>
      <c r="P1382" s="53"/>
      <c r="Q1382" s="33"/>
      <c r="R1382" s="54" t="str">
        <f t="shared" si="219"/>
        <v/>
      </c>
      <c r="S1382" s="30"/>
      <c r="T1382" s="33"/>
    </row>
    <row r="1383" spans="1:20" x14ac:dyDescent="0.25">
      <c r="A1383" s="30"/>
      <c r="B1383" s="37" t="str">
        <f t="shared" si="210"/>
        <v/>
      </c>
      <c r="C1383" s="30"/>
      <c r="D1383" s="34" t="str">
        <f t="shared" si="211"/>
        <v/>
      </c>
      <c r="E1383" s="34" t="str">
        <f t="shared" si="212"/>
        <v/>
      </c>
      <c r="F1383" s="34" t="str">
        <f t="shared" si="213"/>
        <v/>
      </c>
      <c r="G1383" s="35" t="str">
        <f t="shared" si="214"/>
        <v/>
      </c>
      <c r="H1383" s="30"/>
      <c r="I1383" s="36" t="str">
        <f t="shared" si="215"/>
        <v/>
      </c>
      <c r="J1383" s="34" t="str">
        <f t="shared" si="216"/>
        <v/>
      </c>
      <c r="K1383" s="49"/>
      <c r="L1383" s="55" t="str">
        <f t="shared" si="217"/>
        <v/>
      </c>
      <c r="M1383" s="54" t="str">
        <f t="shared" si="218"/>
        <v/>
      </c>
      <c r="N1383" s="30"/>
      <c r="O1383" s="31"/>
      <c r="P1383" s="53"/>
      <c r="Q1383" s="33"/>
      <c r="R1383" s="54" t="str">
        <f t="shared" si="219"/>
        <v/>
      </c>
      <c r="S1383" s="30"/>
      <c r="T1383" s="33"/>
    </row>
    <row r="1384" spans="1:20" x14ac:dyDescent="0.25">
      <c r="A1384" s="30"/>
      <c r="B1384" s="37" t="str">
        <f t="shared" si="210"/>
        <v/>
      </c>
      <c r="C1384" s="30"/>
      <c r="D1384" s="34" t="str">
        <f t="shared" si="211"/>
        <v/>
      </c>
      <c r="E1384" s="34" t="str">
        <f t="shared" si="212"/>
        <v/>
      </c>
      <c r="F1384" s="34" t="str">
        <f t="shared" si="213"/>
        <v/>
      </c>
      <c r="G1384" s="35" t="str">
        <f t="shared" si="214"/>
        <v/>
      </c>
      <c r="H1384" s="30"/>
      <c r="I1384" s="36" t="str">
        <f t="shared" si="215"/>
        <v/>
      </c>
      <c r="J1384" s="34" t="str">
        <f t="shared" si="216"/>
        <v/>
      </c>
      <c r="K1384" s="49"/>
      <c r="L1384" s="55" t="str">
        <f t="shared" si="217"/>
        <v/>
      </c>
      <c r="M1384" s="54" t="str">
        <f t="shared" si="218"/>
        <v/>
      </c>
      <c r="N1384" s="30"/>
      <c r="O1384" s="31"/>
      <c r="P1384" s="53"/>
      <c r="Q1384" s="33"/>
      <c r="R1384" s="54" t="str">
        <f t="shared" si="219"/>
        <v/>
      </c>
      <c r="S1384" s="30"/>
      <c r="T1384" s="33"/>
    </row>
    <row r="1385" spans="1:20" x14ac:dyDescent="0.25">
      <c r="A1385" s="30"/>
      <c r="B1385" s="37" t="str">
        <f t="shared" si="210"/>
        <v/>
      </c>
      <c r="C1385" s="30"/>
      <c r="D1385" s="34" t="str">
        <f t="shared" si="211"/>
        <v/>
      </c>
      <c r="E1385" s="34" t="str">
        <f t="shared" si="212"/>
        <v/>
      </c>
      <c r="F1385" s="34" t="str">
        <f t="shared" si="213"/>
        <v/>
      </c>
      <c r="G1385" s="35" t="str">
        <f t="shared" si="214"/>
        <v/>
      </c>
      <c r="H1385" s="30"/>
      <c r="I1385" s="36" t="str">
        <f t="shared" si="215"/>
        <v/>
      </c>
      <c r="J1385" s="34" t="str">
        <f t="shared" si="216"/>
        <v/>
      </c>
      <c r="K1385" s="49"/>
      <c r="L1385" s="55" t="str">
        <f t="shared" si="217"/>
        <v/>
      </c>
      <c r="M1385" s="54" t="str">
        <f t="shared" si="218"/>
        <v/>
      </c>
      <c r="N1385" s="30"/>
      <c r="O1385" s="31"/>
      <c r="P1385" s="53"/>
      <c r="Q1385" s="33"/>
      <c r="R1385" s="54" t="str">
        <f t="shared" si="219"/>
        <v/>
      </c>
      <c r="S1385" s="30"/>
      <c r="T1385" s="33"/>
    </row>
    <row r="1386" spans="1:20" x14ac:dyDescent="0.25">
      <c r="A1386" s="30"/>
      <c r="B1386" s="37" t="str">
        <f t="shared" si="210"/>
        <v/>
      </c>
      <c r="C1386" s="30"/>
      <c r="D1386" s="34" t="str">
        <f t="shared" si="211"/>
        <v/>
      </c>
      <c r="E1386" s="34" t="str">
        <f t="shared" si="212"/>
        <v/>
      </c>
      <c r="F1386" s="34" t="str">
        <f t="shared" si="213"/>
        <v/>
      </c>
      <c r="G1386" s="35" t="str">
        <f t="shared" si="214"/>
        <v/>
      </c>
      <c r="H1386" s="30"/>
      <c r="I1386" s="36" t="str">
        <f t="shared" si="215"/>
        <v/>
      </c>
      <c r="J1386" s="34" t="str">
        <f t="shared" si="216"/>
        <v/>
      </c>
      <c r="K1386" s="49"/>
      <c r="L1386" s="55" t="str">
        <f t="shared" si="217"/>
        <v/>
      </c>
      <c r="M1386" s="54" t="str">
        <f t="shared" si="218"/>
        <v/>
      </c>
      <c r="N1386" s="30"/>
      <c r="O1386" s="31"/>
      <c r="P1386" s="53"/>
      <c r="Q1386" s="33"/>
      <c r="R1386" s="54" t="str">
        <f t="shared" si="219"/>
        <v/>
      </c>
      <c r="S1386" s="30"/>
      <c r="T1386" s="33"/>
    </row>
    <row r="1387" spans="1:20" x14ac:dyDescent="0.25">
      <c r="A1387" s="30"/>
      <c r="B1387" s="37" t="str">
        <f t="shared" si="210"/>
        <v/>
      </c>
      <c r="C1387" s="30"/>
      <c r="D1387" s="34" t="str">
        <f t="shared" si="211"/>
        <v/>
      </c>
      <c r="E1387" s="34" t="str">
        <f t="shared" si="212"/>
        <v/>
      </c>
      <c r="F1387" s="34" t="str">
        <f t="shared" si="213"/>
        <v/>
      </c>
      <c r="G1387" s="35" t="str">
        <f t="shared" si="214"/>
        <v/>
      </c>
      <c r="H1387" s="30"/>
      <c r="I1387" s="36" t="str">
        <f t="shared" si="215"/>
        <v/>
      </c>
      <c r="J1387" s="34" t="str">
        <f t="shared" si="216"/>
        <v/>
      </c>
      <c r="K1387" s="49"/>
      <c r="L1387" s="55" t="str">
        <f t="shared" si="217"/>
        <v/>
      </c>
      <c r="M1387" s="54" t="str">
        <f t="shared" si="218"/>
        <v/>
      </c>
      <c r="N1387" s="30"/>
      <c r="O1387" s="31"/>
      <c r="P1387" s="53"/>
      <c r="Q1387" s="33"/>
      <c r="R1387" s="54" t="str">
        <f t="shared" si="219"/>
        <v/>
      </c>
      <c r="S1387" s="30"/>
      <c r="T1387" s="33"/>
    </row>
    <row r="1388" spans="1:20" x14ac:dyDescent="0.25">
      <c r="A1388" s="30"/>
      <c r="B1388" s="37" t="str">
        <f t="shared" si="210"/>
        <v/>
      </c>
      <c r="C1388" s="30"/>
      <c r="D1388" s="34" t="str">
        <f t="shared" si="211"/>
        <v/>
      </c>
      <c r="E1388" s="34" t="str">
        <f t="shared" si="212"/>
        <v/>
      </c>
      <c r="F1388" s="34" t="str">
        <f t="shared" si="213"/>
        <v/>
      </c>
      <c r="G1388" s="35" t="str">
        <f t="shared" si="214"/>
        <v/>
      </c>
      <c r="H1388" s="30"/>
      <c r="I1388" s="36" t="str">
        <f t="shared" si="215"/>
        <v/>
      </c>
      <c r="J1388" s="34" t="str">
        <f t="shared" si="216"/>
        <v/>
      </c>
      <c r="K1388" s="49"/>
      <c r="L1388" s="55" t="str">
        <f t="shared" si="217"/>
        <v/>
      </c>
      <c r="M1388" s="54" t="str">
        <f t="shared" si="218"/>
        <v/>
      </c>
      <c r="N1388" s="30"/>
      <c r="O1388" s="31"/>
      <c r="P1388" s="53"/>
      <c r="Q1388" s="33"/>
      <c r="R1388" s="54" t="str">
        <f t="shared" si="219"/>
        <v/>
      </c>
      <c r="S1388" s="30"/>
      <c r="T1388" s="33"/>
    </row>
    <row r="1389" spans="1:20" x14ac:dyDescent="0.25">
      <c r="A1389" s="30"/>
      <c r="B1389" s="37" t="str">
        <f t="shared" si="210"/>
        <v/>
      </c>
      <c r="C1389" s="30"/>
      <c r="D1389" s="34" t="str">
        <f t="shared" si="211"/>
        <v/>
      </c>
      <c r="E1389" s="34" t="str">
        <f t="shared" si="212"/>
        <v/>
      </c>
      <c r="F1389" s="34" t="str">
        <f t="shared" si="213"/>
        <v/>
      </c>
      <c r="G1389" s="35" t="str">
        <f t="shared" si="214"/>
        <v/>
      </c>
      <c r="H1389" s="30"/>
      <c r="I1389" s="36" t="str">
        <f t="shared" si="215"/>
        <v/>
      </c>
      <c r="J1389" s="34" t="str">
        <f t="shared" si="216"/>
        <v/>
      </c>
      <c r="K1389" s="49"/>
      <c r="L1389" s="55" t="str">
        <f t="shared" si="217"/>
        <v/>
      </c>
      <c r="M1389" s="54" t="str">
        <f t="shared" si="218"/>
        <v/>
      </c>
      <c r="N1389" s="30"/>
      <c r="O1389" s="31"/>
      <c r="P1389" s="53"/>
      <c r="Q1389" s="33"/>
      <c r="R1389" s="54" t="str">
        <f t="shared" si="219"/>
        <v/>
      </c>
      <c r="S1389" s="30"/>
      <c r="T1389" s="33"/>
    </row>
    <row r="1390" spans="1:20" x14ac:dyDescent="0.25">
      <c r="A1390" s="30"/>
      <c r="B1390" s="37" t="str">
        <f t="shared" si="210"/>
        <v/>
      </c>
      <c r="C1390" s="30"/>
      <c r="D1390" s="34" t="str">
        <f t="shared" si="211"/>
        <v/>
      </c>
      <c r="E1390" s="34" t="str">
        <f t="shared" si="212"/>
        <v/>
      </c>
      <c r="F1390" s="34" t="str">
        <f t="shared" si="213"/>
        <v/>
      </c>
      <c r="G1390" s="35" t="str">
        <f t="shared" si="214"/>
        <v/>
      </c>
      <c r="H1390" s="30"/>
      <c r="I1390" s="36" t="str">
        <f t="shared" si="215"/>
        <v/>
      </c>
      <c r="J1390" s="34" t="str">
        <f t="shared" si="216"/>
        <v/>
      </c>
      <c r="K1390" s="49"/>
      <c r="L1390" s="55" t="str">
        <f t="shared" si="217"/>
        <v/>
      </c>
      <c r="M1390" s="54" t="str">
        <f t="shared" si="218"/>
        <v/>
      </c>
      <c r="N1390" s="30"/>
      <c r="O1390" s="31"/>
      <c r="P1390" s="53"/>
      <c r="Q1390" s="33"/>
      <c r="R1390" s="54" t="str">
        <f t="shared" si="219"/>
        <v/>
      </c>
      <c r="S1390" s="30"/>
      <c r="T1390" s="33"/>
    </row>
    <row r="1391" spans="1:20" x14ac:dyDescent="0.25">
      <c r="A1391" s="30"/>
      <c r="B1391" s="37" t="str">
        <f t="shared" si="210"/>
        <v/>
      </c>
      <c r="C1391" s="30"/>
      <c r="D1391" s="34" t="str">
        <f t="shared" si="211"/>
        <v/>
      </c>
      <c r="E1391" s="34" t="str">
        <f t="shared" si="212"/>
        <v/>
      </c>
      <c r="F1391" s="34" t="str">
        <f t="shared" si="213"/>
        <v/>
      </c>
      <c r="G1391" s="35" t="str">
        <f t="shared" si="214"/>
        <v/>
      </c>
      <c r="H1391" s="30"/>
      <c r="I1391" s="36" t="str">
        <f t="shared" si="215"/>
        <v/>
      </c>
      <c r="J1391" s="34" t="str">
        <f t="shared" si="216"/>
        <v/>
      </c>
      <c r="K1391" s="49"/>
      <c r="L1391" s="55" t="str">
        <f t="shared" si="217"/>
        <v/>
      </c>
      <c r="M1391" s="54" t="str">
        <f t="shared" si="218"/>
        <v/>
      </c>
      <c r="N1391" s="30"/>
      <c r="O1391" s="31"/>
      <c r="P1391" s="53"/>
      <c r="Q1391" s="33"/>
      <c r="R1391" s="54" t="str">
        <f t="shared" si="219"/>
        <v/>
      </c>
      <c r="S1391" s="30"/>
      <c r="T1391" s="33"/>
    </row>
    <row r="1392" spans="1:20" x14ac:dyDescent="0.25">
      <c r="A1392" s="30"/>
      <c r="B1392" s="37" t="str">
        <f t="shared" si="210"/>
        <v/>
      </c>
      <c r="C1392" s="30"/>
      <c r="D1392" s="34" t="str">
        <f t="shared" si="211"/>
        <v/>
      </c>
      <c r="E1392" s="34" t="str">
        <f t="shared" si="212"/>
        <v/>
      </c>
      <c r="F1392" s="34" t="str">
        <f t="shared" si="213"/>
        <v/>
      </c>
      <c r="G1392" s="35" t="str">
        <f t="shared" si="214"/>
        <v/>
      </c>
      <c r="H1392" s="30"/>
      <c r="I1392" s="36" t="str">
        <f t="shared" si="215"/>
        <v/>
      </c>
      <c r="J1392" s="34" t="str">
        <f t="shared" si="216"/>
        <v/>
      </c>
      <c r="K1392" s="49"/>
      <c r="L1392" s="55" t="str">
        <f t="shared" si="217"/>
        <v/>
      </c>
      <c r="M1392" s="54" t="str">
        <f t="shared" si="218"/>
        <v/>
      </c>
      <c r="N1392" s="30"/>
      <c r="O1392" s="31"/>
      <c r="P1392" s="53"/>
      <c r="Q1392" s="33"/>
      <c r="R1392" s="54" t="str">
        <f t="shared" si="219"/>
        <v/>
      </c>
      <c r="S1392" s="30"/>
      <c r="T1392" s="33"/>
    </row>
    <row r="1393" spans="1:20" x14ac:dyDescent="0.25">
      <c r="A1393" s="30"/>
      <c r="B1393" s="37" t="str">
        <f t="shared" si="210"/>
        <v/>
      </c>
      <c r="C1393" s="30"/>
      <c r="D1393" s="34" t="str">
        <f t="shared" si="211"/>
        <v/>
      </c>
      <c r="E1393" s="34" t="str">
        <f t="shared" si="212"/>
        <v/>
      </c>
      <c r="F1393" s="34" t="str">
        <f t="shared" si="213"/>
        <v/>
      </c>
      <c r="G1393" s="35" t="str">
        <f t="shared" si="214"/>
        <v/>
      </c>
      <c r="H1393" s="30"/>
      <c r="I1393" s="36" t="str">
        <f t="shared" si="215"/>
        <v/>
      </c>
      <c r="J1393" s="34" t="str">
        <f t="shared" si="216"/>
        <v/>
      </c>
      <c r="K1393" s="49"/>
      <c r="L1393" s="55" t="str">
        <f t="shared" si="217"/>
        <v/>
      </c>
      <c r="M1393" s="54" t="str">
        <f t="shared" si="218"/>
        <v/>
      </c>
      <c r="N1393" s="30"/>
      <c r="O1393" s="31"/>
      <c r="P1393" s="53"/>
      <c r="Q1393" s="33"/>
      <c r="R1393" s="54" t="str">
        <f t="shared" si="219"/>
        <v/>
      </c>
      <c r="S1393" s="30"/>
      <c r="T1393" s="33"/>
    </row>
    <row r="1394" spans="1:20" x14ac:dyDescent="0.25">
      <c r="A1394" s="30"/>
      <c r="B1394" s="37" t="str">
        <f t="shared" si="210"/>
        <v/>
      </c>
      <c r="C1394" s="30"/>
      <c r="D1394" s="34" t="str">
        <f t="shared" si="211"/>
        <v/>
      </c>
      <c r="E1394" s="34" t="str">
        <f t="shared" si="212"/>
        <v/>
      </c>
      <c r="F1394" s="34" t="str">
        <f t="shared" si="213"/>
        <v/>
      </c>
      <c r="G1394" s="35" t="str">
        <f t="shared" si="214"/>
        <v/>
      </c>
      <c r="H1394" s="30"/>
      <c r="I1394" s="36" t="str">
        <f t="shared" si="215"/>
        <v/>
      </c>
      <c r="J1394" s="34" t="str">
        <f t="shared" si="216"/>
        <v/>
      </c>
      <c r="K1394" s="49"/>
      <c r="L1394" s="55" t="str">
        <f t="shared" si="217"/>
        <v/>
      </c>
      <c r="M1394" s="54" t="str">
        <f t="shared" si="218"/>
        <v/>
      </c>
      <c r="N1394" s="30"/>
      <c r="O1394" s="31"/>
      <c r="P1394" s="53"/>
      <c r="Q1394" s="33"/>
      <c r="R1394" s="54" t="str">
        <f t="shared" si="219"/>
        <v/>
      </c>
      <c r="S1394" s="30"/>
      <c r="T1394" s="33"/>
    </row>
    <row r="1395" spans="1:20" x14ac:dyDescent="0.25">
      <c r="A1395" s="30"/>
      <c r="B1395" s="37" t="str">
        <f t="shared" si="210"/>
        <v/>
      </c>
      <c r="C1395" s="30"/>
      <c r="D1395" s="34" t="str">
        <f t="shared" si="211"/>
        <v/>
      </c>
      <c r="E1395" s="34" t="str">
        <f t="shared" si="212"/>
        <v/>
      </c>
      <c r="F1395" s="34" t="str">
        <f t="shared" si="213"/>
        <v/>
      </c>
      <c r="G1395" s="35" t="str">
        <f t="shared" si="214"/>
        <v/>
      </c>
      <c r="H1395" s="30"/>
      <c r="I1395" s="36" t="str">
        <f t="shared" si="215"/>
        <v/>
      </c>
      <c r="J1395" s="34" t="str">
        <f t="shared" si="216"/>
        <v/>
      </c>
      <c r="K1395" s="49"/>
      <c r="L1395" s="55" t="str">
        <f t="shared" si="217"/>
        <v/>
      </c>
      <c r="M1395" s="54" t="str">
        <f t="shared" si="218"/>
        <v/>
      </c>
      <c r="N1395" s="30"/>
      <c r="O1395" s="31"/>
      <c r="P1395" s="53"/>
      <c r="Q1395" s="33"/>
      <c r="R1395" s="54" t="str">
        <f t="shared" si="219"/>
        <v/>
      </c>
      <c r="S1395" s="30"/>
      <c r="T1395" s="33"/>
    </row>
    <row r="1396" spans="1:20" x14ac:dyDescent="0.25">
      <c r="A1396" s="30"/>
      <c r="B1396" s="37" t="str">
        <f t="shared" si="210"/>
        <v/>
      </c>
      <c r="C1396" s="30"/>
      <c r="D1396" s="34" t="str">
        <f t="shared" si="211"/>
        <v/>
      </c>
      <c r="E1396" s="34" t="str">
        <f t="shared" si="212"/>
        <v/>
      </c>
      <c r="F1396" s="34" t="str">
        <f t="shared" si="213"/>
        <v/>
      </c>
      <c r="G1396" s="35" t="str">
        <f t="shared" si="214"/>
        <v/>
      </c>
      <c r="H1396" s="30"/>
      <c r="I1396" s="36" t="str">
        <f t="shared" si="215"/>
        <v/>
      </c>
      <c r="J1396" s="34" t="str">
        <f t="shared" si="216"/>
        <v/>
      </c>
      <c r="K1396" s="49"/>
      <c r="L1396" s="55" t="str">
        <f t="shared" si="217"/>
        <v/>
      </c>
      <c r="M1396" s="54" t="str">
        <f t="shared" si="218"/>
        <v/>
      </c>
      <c r="N1396" s="30"/>
      <c r="O1396" s="31"/>
      <c r="P1396" s="53"/>
      <c r="Q1396" s="33"/>
      <c r="R1396" s="54" t="str">
        <f t="shared" si="219"/>
        <v/>
      </c>
      <c r="S1396" s="30"/>
      <c r="T1396" s="33"/>
    </row>
    <row r="1397" spans="1:20" x14ac:dyDescent="0.25">
      <c r="A1397" s="30"/>
      <c r="B1397" s="37" t="str">
        <f t="shared" ref="B1397:B1460" si="220">IF($G1397="","",EOMONTH($G1397,0))</f>
        <v/>
      </c>
      <c r="C1397" s="30"/>
      <c r="D1397" s="34" t="str">
        <f t="shared" ref="D1397:D1460" si="221">IFERROR(IF($C1397="","",VLOOKUP($C1397,CAD_TAB,2,FALSE)),"")</f>
        <v/>
      </c>
      <c r="E1397" s="34" t="str">
        <f t="shared" ref="E1397:E1460" si="222">IFERROR(IF($C1397="","",VLOOKUP($C1397,CAD_TAB,3,FALSE)),"")</f>
        <v/>
      </c>
      <c r="F1397" s="34" t="str">
        <f t="shared" ref="F1397:F1460" si="223">IFERROR(IF($C1397="","",VLOOKUP($C1397,OS_TAB,7,FALSE)),"")</f>
        <v/>
      </c>
      <c r="G1397" s="35" t="str">
        <f t="shared" ref="G1397:G1460" si="224">IFERROR(IF($C1397="","",VLOOKUP($C1397,OS_TAB,10,FALSE)),"")</f>
        <v/>
      </c>
      <c r="H1397" s="30"/>
      <c r="I1397" s="36" t="str">
        <f t="shared" ref="I1397:I1460" si="225">IFERROR(IF($H1397="","",VLOOKUP($H1397,PRE_TAB,5,FALSE)),"CÓDIGO NÃO ENCONTRADO")</f>
        <v/>
      </c>
      <c r="J1397" s="34" t="str">
        <f t="shared" ref="J1397:J1460" si="226">IFERROR(IF($H1397="","",VLOOKUP($H1397,PRE_TAB,7,FALSE)),"")</f>
        <v/>
      </c>
      <c r="K1397" s="49"/>
      <c r="L1397" s="55" t="str">
        <f t="shared" ref="L1397:L1460" si="227">IFERROR(IF($H1397="","",VLOOKUP($H1397,PRE_TAB,8,FALSE)),0)</f>
        <v/>
      </c>
      <c r="M1397" s="54" t="str">
        <f t="shared" ref="M1397:M1460" si="228">IF($H1397="","",ROUND($K1397*$L1397,2))</f>
        <v/>
      </c>
      <c r="N1397" s="30"/>
      <c r="O1397" s="31"/>
      <c r="P1397" s="53"/>
      <c r="Q1397" s="33"/>
      <c r="R1397" s="54" t="str">
        <f t="shared" ref="R1397:R1460" si="229">IF($H1397="","",$M1397-$P1397)</f>
        <v/>
      </c>
      <c r="S1397" s="30"/>
      <c r="T1397" s="33"/>
    </row>
    <row r="1398" spans="1:20" x14ac:dyDescent="0.25">
      <c r="A1398" s="30"/>
      <c r="B1398" s="37" t="str">
        <f t="shared" si="220"/>
        <v/>
      </c>
      <c r="C1398" s="30"/>
      <c r="D1398" s="34" t="str">
        <f t="shared" si="221"/>
        <v/>
      </c>
      <c r="E1398" s="34" t="str">
        <f t="shared" si="222"/>
        <v/>
      </c>
      <c r="F1398" s="34" t="str">
        <f t="shared" si="223"/>
        <v/>
      </c>
      <c r="G1398" s="35" t="str">
        <f t="shared" si="224"/>
        <v/>
      </c>
      <c r="H1398" s="30"/>
      <c r="I1398" s="36" t="str">
        <f t="shared" si="225"/>
        <v/>
      </c>
      <c r="J1398" s="34" t="str">
        <f t="shared" si="226"/>
        <v/>
      </c>
      <c r="K1398" s="49"/>
      <c r="L1398" s="55" t="str">
        <f t="shared" si="227"/>
        <v/>
      </c>
      <c r="M1398" s="54" t="str">
        <f t="shared" si="228"/>
        <v/>
      </c>
      <c r="N1398" s="30"/>
      <c r="O1398" s="31"/>
      <c r="P1398" s="53"/>
      <c r="Q1398" s="33"/>
      <c r="R1398" s="54" t="str">
        <f t="shared" si="229"/>
        <v/>
      </c>
      <c r="S1398" s="30"/>
      <c r="T1398" s="33"/>
    </row>
    <row r="1399" spans="1:20" x14ac:dyDescent="0.25">
      <c r="A1399" s="30"/>
      <c r="B1399" s="37" t="str">
        <f t="shared" si="220"/>
        <v/>
      </c>
      <c r="C1399" s="30"/>
      <c r="D1399" s="34" t="str">
        <f t="shared" si="221"/>
        <v/>
      </c>
      <c r="E1399" s="34" t="str">
        <f t="shared" si="222"/>
        <v/>
      </c>
      <c r="F1399" s="34" t="str">
        <f t="shared" si="223"/>
        <v/>
      </c>
      <c r="G1399" s="35" t="str">
        <f t="shared" si="224"/>
        <v/>
      </c>
      <c r="H1399" s="30"/>
      <c r="I1399" s="36" t="str">
        <f t="shared" si="225"/>
        <v/>
      </c>
      <c r="J1399" s="34" t="str">
        <f t="shared" si="226"/>
        <v/>
      </c>
      <c r="K1399" s="49"/>
      <c r="L1399" s="55" t="str">
        <f t="shared" si="227"/>
        <v/>
      </c>
      <c r="M1399" s="54" t="str">
        <f t="shared" si="228"/>
        <v/>
      </c>
      <c r="N1399" s="30"/>
      <c r="O1399" s="31"/>
      <c r="P1399" s="53"/>
      <c r="Q1399" s="33"/>
      <c r="R1399" s="54" t="str">
        <f t="shared" si="229"/>
        <v/>
      </c>
      <c r="S1399" s="30"/>
      <c r="T1399" s="33"/>
    </row>
    <row r="1400" spans="1:20" x14ac:dyDescent="0.25">
      <c r="A1400" s="30"/>
      <c r="B1400" s="37" t="str">
        <f t="shared" si="220"/>
        <v/>
      </c>
      <c r="C1400" s="30"/>
      <c r="D1400" s="34" t="str">
        <f t="shared" si="221"/>
        <v/>
      </c>
      <c r="E1400" s="34" t="str">
        <f t="shared" si="222"/>
        <v/>
      </c>
      <c r="F1400" s="34" t="str">
        <f t="shared" si="223"/>
        <v/>
      </c>
      <c r="G1400" s="35" t="str">
        <f t="shared" si="224"/>
        <v/>
      </c>
      <c r="H1400" s="30"/>
      <c r="I1400" s="36" t="str">
        <f t="shared" si="225"/>
        <v/>
      </c>
      <c r="J1400" s="34" t="str">
        <f t="shared" si="226"/>
        <v/>
      </c>
      <c r="K1400" s="49"/>
      <c r="L1400" s="55" t="str">
        <f t="shared" si="227"/>
        <v/>
      </c>
      <c r="M1400" s="54" t="str">
        <f t="shared" si="228"/>
        <v/>
      </c>
      <c r="N1400" s="30"/>
      <c r="O1400" s="31"/>
      <c r="P1400" s="53"/>
      <c r="Q1400" s="33"/>
      <c r="R1400" s="54" t="str">
        <f t="shared" si="229"/>
        <v/>
      </c>
      <c r="S1400" s="30"/>
      <c r="T1400" s="33"/>
    </row>
    <row r="1401" spans="1:20" x14ac:dyDescent="0.25">
      <c r="A1401" s="30"/>
      <c r="B1401" s="37" t="str">
        <f t="shared" si="220"/>
        <v/>
      </c>
      <c r="C1401" s="30"/>
      <c r="D1401" s="34" t="str">
        <f t="shared" si="221"/>
        <v/>
      </c>
      <c r="E1401" s="34" t="str">
        <f t="shared" si="222"/>
        <v/>
      </c>
      <c r="F1401" s="34" t="str">
        <f t="shared" si="223"/>
        <v/>
      </c>
      <c r="G1401" s="35" t="str">
        <f t="shared" si="224"/>
        <v/>
      </c>
      <c r="H1401" s="30"/>
      <c r="I1401" s="36" t="str">
        <f t="shared" si="225"/>
        <v/>
      </c>
      <c r="J1401" s="34" t="str">
        <f t="shared" si="226"/>
        <v/>
      </c>
      <c r="K1401" s="49"/>
      <c r="L1401" s="55" t="str">
        <f t="shared" si="227"/>
        <v/>
      </c>
      <c r="M1401" s="54" t="str">
        <f t="shared" si="228"/>
        <v/>
      </c>
      <c r="N1401" s="30"/>
      <c r="O1401" s="31"/>
      <c r="P1401" s="53"/>
      <c r="Q1401" s="33"/>
      <c r="R1401" s="54" t="str">
        <f t="shared" si="229"/>
        <v/>
      </c>
      <c r="S1401" s="30"/>
      <c r="T1401" s="33"/>
    </row>
    <row r="1402" spans="1:20" x14ac:dyDescent="0.25">
      <c r="A1402" s="30"/>
      <c r="B1402" s="37" t="str">
        <f t="shared" si="220"/>
        <v/>
      </c>
      <c r="C1402" s="30"/>
      <c r="D1402" s="34" t="str">
        <f t="shared" si="221"/>
        <v/>
      </c>
      <c r="E1402" s="34" t="str">
        <f t="shared" si="222"/>
        <v/>
      </c>
      <c r="F1402" s="34" t="str">
        <f t="shared" si="223"/>
        <v/>
      </c>
      <c r="G1402" s="35" t="str">
        <f t="shared" si="224"/>
        <v/>
      </c>
      <c r="H1402" s="30"/>
      <c r="I1402" s="36" t="str">
        <f t="shared" si="225"/>
        <v/>
      </c>
      <c r="J1402" s="34" t="str">
        <f t="shared" si="226"/>
        <v/>
      </c>
      <c r="K1402" s="49"/>
      <c r="L1402" s="55" t="str">
        <f t="shared" si="227"/>
        <v/>
      </c>
      <c r="M1402" s="54" t="str">
        <f t="shared" si="228"/>
        <v/>
      </c>
      <c r="N1402" s="30"/>
      <c r="O1402" s="31"/>
      <c r="P1402" s="53"/>
      <c r="Q1402" s="33"/>
      <c r="R1402" s="54" t="str">
        <f t="shared" si="229"/>
        <v/>
      </c>
      <c r="S1402" s="30"/>
      <c r="T1402" s="33"/>
    </row>
    <row r="1403" spans="1:20" x14ac:dyDescent="0.25">
      <c r="A1403" s="30"/>
      <c r="B1403" s="37" t="str">
        <f t="shared" si="220"/>
        <v/>
      </c>
      <c r="C1403" s="30"/>
      <c r="D1403" s="34" t="str">
        <f t="shared" si="221"/>
        <v/>
      </c>
      <c r="E1403" s="34" t="str">
        <f t="shared" si="222"/>
        <v/>
      </c>
      <c r="F1403" s="34" t="str">
        <f t="shared" si="223"/>
        <v/>
      </c>
      <c r="G1403" s="35" t="str">
        <f t="shared" si="224"/>
        <v/>
      </c>
      <c r="H1403" s="30"/>
      <c r="I1403" s="36" t="str">
        <f t="shared" si="225"/>
        <v/>
      </c>
      <c r="J1403" s="34" t="str">
        <f t="shared" si="226"/>
        <v/>
      </c>
      <c r="K1403" s="49"/>
      <c r="L1403" s="55" t="str">
        <f t="shared" si="227"/>
        <v/>
      </c>
      <c r="M1403" s="54" t="str">
        <f t="shared" si="228"/>
        <v/>
      </c>
      <c r="N1403" s="30"/>
      <c r="O1403" s="31"/>
      <c r="P1403" s="53"/>
      <c r="Q1403" s="33"/>
      <c r="R1403" s="54" t="str">
        <f t="shared" si="229"/>
        <v/>
      </c>
      <c r="S1403" s="30"/>
      <c r="T1403" s="33"/>
    </row>
    <row r="1404" spans="1:20" x14ac:dyDescent="0.25">
      <c r="A1404" s="30"/>
      <c r="B1404" s="37" t="str">
        <f t="shared" si="220"/>
        <v/>
      </c>
      <c r="C1404" s="30"/>
      <c r="D1404" s="34" t="str">
        <f t="shared" si="221"/>
        <v/>
      </c>
      <c r="E1404" s="34" t="str">
        <f t="shared" si="222"/>
        <v/>
      </c>
      <c r="F1404" s="34" t="str">
        <f t="shared" si="223"/>
        <v/>
      </c>
      <c r="G1404" s="35" t="str">
        <f t="shared" si="224"/>
        <v/>
      </c>
      <c r="H1404" s="30"/>
      <c r="I1404" s="36" t="str">
        <f t="shared" si="225"/>
        <v/>
      </c>
      <c r="J1404" s="34" t="str">
        <f t="shared" si="226"/>
        <v/>
      </c>
      <c r="K1404" s="49"/>
      <c r="L1404" s="55" t="str">
        <f t="shared" si="227"/>
        <v/>
      </c>
      <c r="M1404" s="54" t="str">
        <f t="shared" si="228"/>
        <v/>
      </c>
      <c r="N1404" s="30"/>
      <c r="O1404" s="31"/>
      <c r="P1404" s="53"/>
      <c r="Q1404" s="33"/>
      <c r="R1404" s="54" t="str">
        <f t="shared" si="229"/>
        <v/>
      </c>
      <c r="S1404" s="30"/>
      <c r="T1404" s="33"/>
    </row>
    <row r="1405" spans="1:20" x14ac:dyDescent="0.25">
      <c r="A1405" s="30"/>
      <c r="B1405" s="37" t="str">
        <f t="shared" si="220"/>
        <v/>
      </c>
      <c r="C1405" s="30"/>
      <c r="D1405" s="34" t="str">
        <f t="shared" si="221"/>
        <v/>
      </c>
      <c r="E1405" s="34" t="str">
        <f t="shared" si="222"/>
        <v/>
      </c>
      <c r="F1405" s="34" t="str">
        <f t="shared" si="223"/>
        <v/>
      </c>
      <c r="G1405" s="35" t="str">
        <f t="shared" si="224"/>
        <v/>
      </c>
      <c r="H1405" s="30"/>
      <c r="I1405" s="36" t="str">
        <f t="shared" si="225"/>
        <v/>
      </c>
      <c r="J1405" s="34" t="str">
        <f t="shared" si="226"/>
        <v/>
      </c>
      <c r="K1405" s="49"/>
      <c r="L1405" s="55" t="str">
        <f t="shared" si="227"/>
        <v/>
      </c>
      <c r="M1405" s="54" t="str">
        <f t="shared" si="228"/>
        <v/>
      </c>
      <c r="N1405" s="30"/>
      <c r="O1405" s="31"/>
      <c r="P1405" s="53"/>
      <c r="Q1405" s="33"/>
      <c r="R1405" s="54" t="str">
        <f t="shared" si="229"/>
        <v/>
      </c>
      <c r="S1405" s="30"/>
      <c r="T1405" s="33"/>
    </row>
    <row r="1406" spans="1:20" x14ac:dyDescent="0.25">
      <c r="A1406" s="30"/>
      <c r="B1406" s="37" t="str">
        <f t="shared" si="220"/>
        <v/>
      </c>
      <c r="C1406" s="30"/>
      <c r="D1406" s="34" t="str">
        <f t="shared" si="221"/>
        <v/>
      </c>
      <c r="E1406" s="34" t="str">
        <f t="shared" si="222"/>
        <v/>
      </c>
      <c r="F1406" s="34" t="str">
        <f t="shared" si="223"/>
        <v/>
      </c>
      <c r="G1406" s="35" t="str">
        <f t="shared" si="224"/>
        <v/>
      </c>
      <c r="H1406" s="30"/>
      <c r="I1406" s="36" t="str">
        <f t="shared" si="225"/>
        <v/>
      </c>
      <c r="J1406" s="34" t="str">
        <f t="shared" si="226"/>
        <v/>
      </c>
      <c r="K1406" s="49"/>
      <c r="L1406" s="55" t="str">
        <f t="shared" si="227"/>
        <v/>
      </c>
      <c r="M1406" s="54" t="str">
        <f t="shared" si="228"/>
        <v/>
      </c>
      <c r="N1406" s="30"/>
      <c r="O1406" s="31"/>
      <c r="P1406" s="53"/>
      <c r="Q1406" s="33"/>
      <c r="R1406" s="54" t="str">
        <f t="shared" si="229"/>
        <v/>
      </c>
      <c r="S1406" s="30"/>
      <c r="T1406" s="33"/>
    </row>
    <row r="1407" spans="1:20" x14ac:dyDescent="0.25">
      <c r="A1407" s="30"/>
      <c r="B1407" s="37" t="str">
        <f t="shared" si="220"/>
        <v/>
      </c>
      <c r="C1407" s="30"/>
      <c r="D1407" s="34" t="str">
        <f t="shared" si="221"/>
        <v/>
      </c>
      <c r="E1407" s="34" t="str">
        <f t="shared" si="222"/>
        <v/>
      </c>
      <c r="F1407" s="34" t="str">
        <f t="shared" si="223"/>
        <v/>
      </c>
      <c r="G1407" s="35" t="str">
        <f t="shared" si="224"/>
        <v/>
      </c>
      <c r="H1407" s="30"/>
      <c r="I1407" s="36" t="str">
        <f t="shared" si="225"/>
        <v/>
      </c>
      <c r="J1407" s="34" t="str">
        <f t="shared" si="226"/>
        <v/>
      </c>
      <c r="K1407" s="49"/>
      <c r="L1407" s="55" t="str">
        <f t="shared" si="227"/>
        <v/>
      </c>
      <c r="M1407" s="54" t="str">
        <f t="shared" si="228"/>
        <v/>
      </c>
      <c r="N1407" s="30"/>
      <c r="O1407" s="31"/>
      <c r="P1407" s="53"/>
      <c r="Q1407" s="33"/>
      <c r="R1407" s="54" t="str">
        <f t="shared" si="229"/>
        <v/>
      </c>
      <c r="S1407" s="30"/>
      <c r="T1407" s="33"/>
    </row>
    <row r="1408" spans="1:20" x14ac:dyDescent="0.25">
      <c r="A1408" s="30"/>
      <c r="B1408" s="37" t="str">
        <f t="shared" si="220"/>
        <v/>
      </c>
      <c r="C1408" s="30"/>
      <c r="D1408" s="34" t="str">
        <f t="shared" si="221"/>
        <v/>
      </c>
      <c r="E1408" s="34" t="str">
        <f t="shared" si="222"/>
        <v/>
      </c>
      <c r="F1408" s="34" t="str">
        <f t="shared" si="223"/>
        <v/>
      </c>
      <c r="G1408" s="35" t="str">
        <f t="shared" si="224"/>
        <v/>
      </c>
      <c r="H1408" s="30"/>
      <c r="I1408" s="36" t="str">
        <f t="shared" si="225"/>
        <v/>
      </c>
      <c r="J1408" s="34" t="str">
        <f t="shared" si="226"/>
        <v/>
      </c>
      <c r="K1408" s="49"/>
      <c r="L1408" s="55" t="str">
        <f t="shared" si="227"/>
        <v/>
      </c>
      <c r="M1408" s="54" t="str">
        <f t="shared" si="228"/>
        <v/>
      </c>
      <c r="N1408" s="30"/>
      <c r="O1408" s="31"/>
      <c r="P1408" s="53"/>
      <c r="Q1408" s="33"/>
      <c r="R1408" s="54" t="str">
        <f t="shared" si="229"/>
        <v/>
      </c>
      <c r="S1408" s="30"/>
      <c r="T1408" s="33"/>
    </row>
    <row r="1409" spans="1:20" x14ac:dyDescent="0.25">
      <c r="A1409" s="30"/>
      <c r="B1409" s="37" t="str">
        <f t="shared" si="220"/>
        <v/>
      </c>
      <c r="C1409" s="30"/>
      <c r="D1409" s="34" t="str">
        <f t="shared" si="221"/>
        <v/>
      </c>
      <c r="E1409" s="34" t="str">
        <f t="shared" si="222"/>
        <v/>
      </c>
      <c r="F1409" s="34" t="str">
        <f t="shared" si="223"/>
        <v/>
      </c>
      <c r="G1409" s="35" t="str">
        <f t="shared" si="224"/>
        <v/>
      </c>
      <c r="H1409" s="30"/>
      <c r="I1409" s="36" t="str">
        <f t="shared" si="225"/>
        <v/>
      </c>
      <c r="J1409" s="34" t="str">
        <f t="shared" si="226"/>
        <v/>
      </c>
      <c r="K1409" s="49"/>
      <c r="L1409" s="55" t="str">
        <f t="shared" si="227"/>
        <v/>
      </c>
      <c r="M1409" s="54" t="str">
        <f t="shared" si="228"/>
        <v/>
      </c>
      <c r="N1409" s="30"/>
      <c r="O1409" s="31"/>
      <c r="P1409" s="53"/>
      <c r="Q1409" s="33"/>
      <c r="R1409" s="54" t="str">
        <f t="shared" si="229"/>
        <v/>
      </c>
      <c r="S1409" s="30"/>
      <c r="T1409" s="33"/>
    </row>
    <row r="1410" spans="1:20" x14ac:dyDescent="0.25">
      <c r="A1410" s="30"/>
      <c r="B1410" s="37" t="str">
        <f t="shared" si="220"/>
        <v/>
      </c>
      <c r="C1410" s="30"/>
      <c r="D1410" s="34" t="str">
        <f t="shared" si="221"/>
        <v/>
      </c>
      <c r="E1410" s="34" t="str">
        <f t="shared" si="222"/>
        <v/>
      </c>
      <c r="F1410" s="34" t="str">
        <f t="shared" si="223"/>
        <v/>
      </c>
      <c r="G1410" s="35" t="str">
        <f t="shared" si="224"/>
        <v/>
      </c>
      <c r="H1410" s="30"/>
      <c r="I1410" s="36" t="str">
        <f t="shared" si="225"/>
        <v/>
      </c>
      <c r="J1410" s="34" t="str">
        <f t="shared" si="226"/>
        <v/>
      </c>
      <c r="K1410" s="49"/>
      <c r="L1410" s="55" t="str">
        <f t="shared" si="227"/>
        <v/>
      </c>
      <c r="M1410" s="54" t="str">
        <f t="shared" si="228"/>
        <v/>
      </c>
      <c r="N1410" s="30"/>
      <c r="O1410" s="31"/>
      <c r="P1410" s="53"/>
      <c r="Q1410" s="33"/>
      <c r="R1410" s="54" t="str">
        <f t="shared" si="229"/>
        <v/>
      </c>
      <c r="S1410" s="30"/>
      <c r="T1410" s="33"/>
    </row>
    <row r="1411" spans="1:20" x14ac:dyDescent="0.25">
      <c r="A1411" s="30"/>
      <c r="B1411" s="37" t="str">
        <f t="shared" si="220"/>
        <v/>
      </c>
      <c r="C1411" s="30"/>
      <c r="D1411" s="34" t="str">
        <f t="shared" si="221"/>
        <v/>
      </c>
      <c r="E1411" s="34" t="str">
        <f t="shared" si="222"/>
        <v/>
      </c>
      <c r="F1411" s="34" t="str">
        <f t="shared" si="223"/>
        <v/>
      </c>
      <c r="G1411" s="35" t="str">
        <f t="shared" si="224"/>
        <v/>
      </c>
      <c r="H1411" s="30"/>
      <c r="I1411" s="36" t="str">
        <f t="shared" si="225"/>
        <v/>
      </c>
      <c r="J1411" s="34" t="str">
        <f t="shared" si="226"/>
        <v/>
      </c>
      <c r="K1411" s="49"/>
      <c r="L1411" s="55" t="str">
        <f t="shared" si="227"/>
        <v/>
      </c>
      <c r="M1411" s="54" t="str">
        <f t="shared" si="228"/>
        <v/>
      </c>
      <c r="N1411" s="30"/>
      <c r="O1411" s="31"/>
      <c r="P1411" s="53"/>
      <c r="Q1411" s="33"/>
      <c r="R1411" s="54" t="str">
        <f t="shared" si="229"/>
        <v/>
      </c>
      <c r="S1411" s="30"/>
      <c r="T1411" s="33"/>
    </row>
    <row r="1412" spans="1:20" x14ac:dyDescent="0.25">
      <c r="A1412" s="30"/>
      <c r="B1412" s="37" t="str">
        <f t="shared" si="220"/>
        <v/>
      </c>
      <c r="C1412" s="30"/>
      <c r="D1412" s="34" t="str">
        <f t="shared" si="221"/>
        <v/>
      </c>
      <c r="E1412" s="34" t="str">
        <f t="shared" si="222"/>
        <v/>
      </c>
      <c r="F1412" s="34" t="str">
        <f t="shared" si="223"/>
        <v/>
      </c>
      <c r="G1412" s="35" t="str">
        <f t="shared" si="224"/>
        <v/>
      </c>
      <c r="H1412" s="30"/>
      <c r="I1412" s="36" t="str">
        <f t="shared" si="225"/>
        <v/>
      </c>
      <c r="J1412" s="34" t="str">
        <f t="shared" si="226"/>
        <v/>
      </c>
      <c r="K1412" s="49"/>
      <c r="L1412" s="55" t="str">
        <f t="shared" si="227"/>
        <v/>
      </c>
      <c r="M1412" s="54" t="str">
        <f t="shared" si="228"/>
        <v/>
      </c>
      <c r="N1412" s="30"/>
      <c r="O1412" s="31"/>
      <c r="P1412" s="53"/>
      <c r="Q1412" s="33"/>
      <c r="R1412" s="54" t="str">
        <f t="shared" si="229"/>
        <v/>
      </c>
      <c r="S1412" s="30"/>
      <c r="T1412" s="33"/>
    </row>
    <row r="1413" spans="1:20" x14ac:dyDescent="0.25">
      <c r="A1413" s="30"/>
      <c r="B1413" s="37" t="str">
        <f t="shared" si="220"/>
        <v/>
      </c>
      <c r="C1413" s="30"/>
      <c r="D1413" s="34" t="str">
        <f t="shared" si="221"/>
        <v/>
      </c>
      <c r="E1413" s="34" t="str">
        <f t="shared" si="222"/>
        <v/>
      </c>
      <c r="F1413" s="34" t="str">
        <f t="shared" si="223"/>
        <v/>
      </c>
      <c r="G1413" s="35" t="str">
        <f t="shared" si="224"/>
        <v/>
      </c>
      <c r="H1413" s="30"/>
      <c r="I1413" s="36" t="str">
        <f t="shared" si="225"/>
        <v/>
      </c>
      <c r="J1413" s="34" t="str">
        <f t="shared" si="226"/>
        <v/>
      </c>
      <c r="K1413" s="49"/>
      <c r="L1413" s="55" t="str">
        <f t="shared" si="227"/>
        <v/>
      </c>
      <c r="M1413" s="54" t="str">
        <f t="shared" si="228"/>
        <v/>
      </c>
      <c r="N1413" s="30"/>
      <c r="O1413" s="31"/>
      <c r="P1413" s="53"/>
      <c r="Q1413" s="33"/>
      <c r="R1413" s="54" t="str">
        <f t="shared" si="229"/>
        <v/>
      </c>
      <c r="S1413" s="30"/>
      <c r="T1413" s="33"/>
    </row>
    <row r="1414" spans="1:20" x14ac:dyDescent="0.25">
      <c r="A1414" s="30"/>
      <c r="B1414" s="37" t="str">
        <f t="shared" si="220"/>
        <v/>
      </c>
      <c r="C1414" s="30"/>
      <c r="D1414" s="34" t="str">
        <f t="shared" si="221"/>
        <v/>
      </c>
      <c r="E1414" s="34" t="str">
        <f t="shared" si="222"/>
        <v/>
      </c>
      <c r="F1414" s="34" t="str">
        <f t="shared" si="223"/>
        <v/>
      </c>
      <c r="G1414" s="35" t="str">
        <f t="shared" si="224"/>
        <v/>
      </c>
      <c r="H1414" s="30"/>
      <c r="I1414" s="36" t="str">
        <f t="shared" si="225"/>
        <v/>
      </c>
      <c r="J1414" s="34" t="str">
        <f t="shared" si="226"/>
        <v/>
      </c>
      <c r="K1414" s="49"/>
      <c r="L1414" s="55" t="str">
        <f t="shared" si="227"/>
        <v/>
      </c>
      <c r="M1414" s="54" t="str">
        <f t="shared" si="228"/>
        <v/>
      </c>
      <c r="N1414" s="30"/>
      <c r="O1414" s="31"/>
      <c r="P1414" s="53"/>
      <c r="Q1414" s="33"/>
      <c r="R1414" s="54" t="str">
        <f t="shared" si="229"/>
        <v/>
      </c>
      <c r="S1414" s="30"/>
      <c r="T1414" s="33"/>
    </row>
    <row r="1415" spans="1:20" x14ac:dyDescent="0.25">
      <c r="A1415" s="30"/>
      <c r="B1415" s="37" t="str">
        <f t="shared" si="220"/>
        <v/>
      </c>
      <c r="C1415" s="30"/>
      <c r="D1415" s="34" t="str">
        <f t="shared" si="221"/>
        <v/>
      </c>
      <c r="E1415" s="34" t="str">
        <f t="shared" si="222"/>
        <v/>
      </c>
      <c r="F1415" s="34" t="str">
        <f t="shared" si="223"/>
        <v/>
      </c>
      <c r="G1415" s="35" t="str">
        <f t="shared" si="224"/>
        <v/>
      </c>
      <c r="H1415" s="30"/>
      <c r="I1415" s="36" t="str">
        <f t="shared" si="225"/>
        <v/>
      </c>
      <c r="J1415" s="34" t="str">
        <f t="shared" si="226"/>
        <v/>
      </c>
      <c r="K1415" s="49"/>
      <c r="L1415" s="55" t="str">
        <f t="shared" si="227"/>
        <v/>
      </c>
      <c r="M1415" s="54" t="str">
        <f t="shared" si="228"/>
        <v/>
      </c>
      <c r="N1415" s="30"/>
      <c r="O1415" s="31"/>
      <c r="P1415" s="53"/>
      <c r="Q1415" s="33"/>
      <c r="R1415" s="54" t="str">
        <f t="shared" si="229"/>
        <v/>
      </c>
      <c r="S1415" s="30"/>
      <c r="T1415" s="33"/>
    </row>
    <row r="1416" spans="1:20" x14ac:dyDescent="0.25">
      <c r="A1416" s="30"/>
      <c r="B1416" s="37" t="str">
        <f t="shared" si="220"/>
        <v/>
      </c>
      <c r="C1416" s="30"/>
      <c r="D1416" s="34" t="str">
        <f t="shared" si="221"/>
        <v/>
      </c>
      <c r="E1416" s="34" t="str">
        <f t="shared" si="222"/>
        <v/>
      </c>
      <c r="F1416" s="34" t="str">
        <f t="shared" si="223"/>
        <v/>
      </c>
      <c r="G1416" s="35" t="str">
        <f t="shared" si="224"/>
        <v/>
      </c>
      <c r="H1416" s="30"/>
      <c r="I1416" s="36" t="str">
        <f t="shared" si="225"/>
        <v/>
      </c>
      <c r="J1416" s="34" t="str">
        <f t="shared" si="226"/>
        <v/>
      </c>
      <c r="K1416" s="49"/>
      <c r="L1416" s="55" t="str">
        <f t="shared" si="227"/>
        <v/>
      </c>
      <c r="M1416" s="54" t="str">
        <f t="shared" si="228"/>
        <v/>
      </c>
      <c r="N1416" s="30"/>
      <c r="O1416" s="31"/>
      <c r="P1416" s="53"/>
      <c r="Q1416" s="33"/>
      <c r="R1416" s="54" t="str">
        <f t="shared" si="229"/>
        <v/>
      </c>
      <c r="S1416" s="30"/>
      <c r="T1416" s="33"/>
    </row>
    <row r="1417" spans="1:20" x14ac:dyDescent="0.25">
      <c r="A1417" s="30"/>
      <c r="B1417" s="37" t="str">
        <f t="shared" si="220"/>
        <v/>
      </c>
      <c r="C1417" s="30"/>
      <c r="D1417" s="34" t="str">
        <f t="shared" si="221"/>
        <v/>
      </c>
      <c r="E1417" s="34" t="str">
        <f t="shared" si="222"/>
        <v/>
      </c>
      <c r="F1417" s="34" t="str">
        <f t="shared" si="223"/>
        <v/>
      </c>
      <c r="G1417" s="35" t="str">
        <f t="shared" si="224"/>
        <v/>
      </c>
      <c r="H1417" s="30"/>
      <c r="I1417" s="36" t="str">
        <f t="shared" si="225"/>
        <v/>
      </c>
      <c r="J1417" s="34" t="str">
        <f t="shared" si="226"/>
        <v/>
      </c>
      <c r="K1417" s="49"/>
      <c r="L1417" s="55" t="str">
        <f t="shared" si="227"/>
        <v/>
      </c>
      <c r="M1417" s="54" t="str">
        <f t="shared" si="228"/>
        <v/>
      </c>
      <c r="N1417" s="30"/>
      <c r="O1417" s="31"/>
      <c r="P1417" s="53"/>
      <c r="Q1417" s="33"/>
      <c r="R1417" s="54" t="str">
        <f t="shared" si="229"/>
        <v/>
      </c>
      <c r="S1417" s="30"/>
      <c r="T1417" s="33"/>
    </row>
    <row r="1418" spans="1:20" x14ac:dyDescent="0.25">
      <c r="A1418" s="30"/>
      <c r="B1418" s="37" t="str">
        <f t="shared" si="220"/>
        <v/>
      </c>
      <c r="C1418" s="30"/>
      <c r="D1418" s="34" t="str">
        <f t="shared" si="221"/>
        <v/>
      </c>
      <c r="E1418" s="34" t="str">
        <f t="shared" si="222"/>
        <v/>
      </c>
      <c r="F1418" s="34" t="str">
        <f t="shared" si="223"/>
        <v/>
      </c>
      <c r="G1418" s="35" t="str">
        <f t="shared" si="224"/>
        <v/>
      </c>
      <c r="H1418" s="30"/>
      <c r="I1418" s="36" t="str">
        <f t="shared" si="225"/>
        <v/>
      </c>
      <c r="J1418" s="34" t="str">
        <f t="shared" si="226"/>
        <v/>
      </c>
      <c r="K1418" s="49"/>
      <c r="L1418" s="55" t="str">
        <f t="shared" si="227"/>
        <v/>
      </c>
      <c r="M1418" s="54" t="str">
        <f t="shared" si="228"/>
        <v/>
      </c>
      <c r="N1418" s="30"/>
      <c r="O1418" s="31"/>
      <c r="P1418" s="53"/>
      <c r="Q1418" s="33"/>
      <c r="R1418" s="54" t="str">
        <f t="shared" si="229"/>
        <v/>
      </c>
      <c r="S1418" s="30"/>
      <c r="T1418" s="33"/>
    </row>
    <row r="1419" spans="1:20" x14ac:dyDescent="0.25">
      <c r="A1419" s="30"/>
      <c r="B1419" s="37" t="str">
        <f t="shared" si="220"/>
        <v/>
      </c>
      <c r="C1419" s="30"/>
      <c r="D1419" s="34" t="str">
        <f t="shared" si="221"/>
        <v/>
      </c>
      <c r="E1419" s="34" t="str">
        <f t="shared" si="222"/>
        <v/>
      </c>
      <c r="F1419" s="34" t="str">
        <f t="shared" si="223"/>
        <v/>
      </c>
      <c r="G1419" s="35" t="str">
        <f t="shared" si="224"/>
        <v/>
      </c>
      <c r="H1419" s="30"/>
      <c r="I1419" s="36" t="str">
        <f t="shared" si="225"/>
        <v/>
      </c>
      <c r="J1419" s="34" t="str">
        <f t="shared" si="226"/>
        <v/>
      </c>
      <c r="K1419" s="49"/>
      <c r="L1419" s="55" t="str">
        <f t="shared" si="227"/>
        <v/>
      </c>
      <c r="M1419" s="54" t="str">
        <f t="shared" si="228"/>
        <v/>
      </c>
      <c r="N1419" s="30"/>
      <c r="O1419" s="31"/>
      <c r="P1419" s="53"/>
      <c r="Q1419" s="33"/>
      <c r="R1419" s="54" t="str">
        <f t="shared" si="229"/>
        <v/>
      </c>
      <c r="S1419" s="30"/>
      <c r="T1419" s="33"/>
    </row>
    <row r="1420" spans="1:20" x14ac:dyDescent="0.25">
      <c r="A1420" s="30"/>
      <c r="B1420" s="37" t="str">
        <f t="shared" si="220"/>
        <v/>
      </c>
      <c r="C1420" s="30"/>
      <c r="D1420" s="34" t="str">
        <f t="shared" si="221"/>
        <v/>
      </c>
      <c r="E1420" s="34" t="str">
        <f t="shared" si="222"/>
        <v/>
      </c>
      <c r="F1420" s="34" t="str">
        <f t="shared" si="223"/>
        <v/>
      </c>
      <c r="G1420" s="35" t="str">
        <f t="shared" si="224"/>
        <v/>
      </c>
      <c r="H1420" s="30"/>
      <c r="I1420" s="36" t="str">
        <f t="shared" si="225"/>
        <v/>
      </c>
      <c r="J1420" s="34" t="str">
        <f t="shared" si="226"/>
        <v/>
      </c>
      <c r="K1420" s="49"/>
      <c r="L1420" s="55" t="str">
        <f t="shared" si="227"/>
        <v/>
      </c>
      <c r="M1420" s="54" t="str">
        <f t="shared" si="228"/>
        <v/>
      </c>
      <c r="N1420" s="30"/>
      <c r="O1420" s="31"/>
      <c r="P1420" s="53"/>
      <c r="Q1420" s="33"/>
      <c r="R1420" s="54" t="str">
        <f t="shared" si="229"/>
        <v/>
      </c>
      <c r="S1420" s="30"/>
      <c r="T1420" s="33"/>
    </row>
    <row r="1421" spans="1:20" x14ac:dyDescent="0.25">
      <c r="A1421" s="30"/>
      <c r="B1421" s="37" t="str">
        <f t="shared" si="220"/>
        <v/>
      </c>
      <c r="C1421" s="30"/>
      <c r="D1421" s="34" t="str">
        <f t="shared" si="221"/>
        <v/>
      </c>
      <c r="E1421" s="34" t="str">
        <f t="shared" si="222"/>
        <v/>
      </c>
      <c r="F1421" s="34" t="str">
        <f t="shared" si="223"/>
        <v/>
      </c>
      <c r="G1421" s="35" t="str">
        <f t="shared" si="224"/>
        <v/>
      </c>
      <c r="H1421" s="30"/>
      <c r="I1421" s="36" t="str">
        <f t="shared" si="225"/>
        <v/>
      </c>
      <c r="J1421" s="34" t="str">
        <f t="shared" si="226"/>
        <v/>
      </c>
      <c r="K1421" s="49"/>
      <c r="L1421" s="55" t="str">
        <f t="shared" si="227"/>
        <v/>
      </c>
      <c r="M1421" s="54" t="str">
        <f t="shared" si="228"/>
        <v/>
      </c>
      <c r="N1421" s="30"/>
      <c r="O1421" s="31"/>
      <c r="P1421" s="53"/>
      <c r="Q1421" s="33"/>
      <c r="R1421" s="54" t="str">
        <f t="shared" si="229"/>
        <v/>
      </c>
      <c r="S1421" s="30"/>
      <c r="T1421" s="33"/>
    </row>
    <row r="1422" spans="1:20" x14ac:dyDescent="0.25">
      <c r="A1422" s="30"/>
      <c r="B1422" s="37" t="str">
        <f t="shared" si="220"/>
        <v/>
      </c>
      <c r="C1422" s="30"/>
      <c r="D1422" s="34" t="str">
        <f t="shared" si="221"/>
        <v/>
      </c>
      <c r="E1422" s="34" t="str">
        <f t="shared" si="222"/>
        <v/>
      </c>
      <c r="F1422" s="34" t="str">
        <f t="shared" si="223"/>
        <v/>
      </c>
      <c r="G1422" s="35" t="str">
        <f t="shared" si="224"/>
        <v/>
      </c>
      <c r="H1422" s="30"/>
      <c r="I1422" s="36" t="str">
        <f t="shared" si="225"/>
        <v/>
      </c>
      <c r="J1422" s="34" t="str">
        <f t="shared" si="226"/>
        <v/>
      </c>
      <c r="K1422" s="49"/>
      <c r="L1422" s="55" t="str">
        <f t="shared" si="227"/>
        <v/>
      </c>
      <c r="M1422" s="54" t="str">
        <f t="shared" si="228"/>
        <v/>
      </c>
      <c r="N1422" s="30"/>
      <c r="O1422" s="31"/>
      <c r="P1422" s="53"/>
      <c r="Q1422" s="33"/>
      <c r="R1422" s="54" t="str">
        <f t="shared" si="229"/>
        <v/>
      </c>
      <c r="S1422" s="30"/>
      <c r="T1422" s="33"/>
    </row>
    <row r="1423" spans="1:20" x14ac:dyDescent="0.25">
      <c r="A1423" s="30"/>
      <c r="B1423" s="37" t="str">
        <f t="shared" si="220"/>
        <v/>
      </c>
      <c r="C1423" s="30"/>
      <c r="D1423" s="34" t="str">
        <f t="shared" si="221"/>
        <v/>
      </c>
      <c r="E1423" s="34" t="str">
        <f t="shared" si="222"/>
        <v/>
      </c>
      <c r="F1423" s="34" t="str">
        <f t="shared" si="223"/>
        <v/>
      </c>
      <c r="G1423" s="35" t="str">
        <f t="shared" si="224"/>
        <v/>
      </c>
      <c r="H1423" s="30"/>
      <c r="I1423" s="36" t="str">
        <f t="shared" si="225"/>
        <v/>
      </c>
      <c r="J1423" s="34" t="str">
        <f t="shared" si="226"/>
        <v/>
      </c>
      <c r="K1423" s="49"/>
      <c r="L1423" s="55" t="str">
        <f t="shared" si="227"/>
        <v/>
      </c>
      <c r="M1423" s="54" t="str">
        <f t="shared" si="228"/>
        <v/>
      </c>
      <c r="N1423" s="30"/>
      <c r="O1423" s="31"/>
      <c r="P1423" s="53"/>
      <c r="Q1423" s="33"/>
      <c r="R1423" s="54" t="str">
        <f t="shared" si="229"/>
        <v/>
      </c>
      <c r="S1423" s="30"/>
      <c r="T1423" s="33"/>
    </row>
    <row r="1424" spans="1:20" x14ac:dyDescent="0.25">
      <c r="A1424" s="30"/>
      <c r="B1424" s="37" t="str">
        <f t="shared" si="220"/>
        <v/>
      </c>
      <c r="C1424" s="30"/>
      <c r="D1424" s="34" t="str">
        <f t="shared" si="221"/>
        <v/>
      </c>
      <c r="E1424" s="34" t="str">
        <f t="shared" si="222"/>
        <v/>
      </c>
      <c r="F1424" s="34" t="str">
        <f t="shared" si="223"/>
        <v/>
      </c>
      <c r="G1424" s="35" t="str">
        <f t="shared" si="224"/>
        <v/>
      </c>
      <c r="H1424" s="30"/>
      <c r="I1424" s="36" t="str">
        <f t="shared" si="225"/>
        <v/>
      </c>
      <c r="J1424" s="34" t="str">
        <f t="shared" si="226"/>
        <v/>
      </c>
      <c r="K1424" s="49"/>
      <c r="L1424" s="55" t="str">
        <f t="shared" si="227"/>
        <v/>
      </c>
      <c r="M1424" s="54" t="str">
        <f t="shared" si="228"/>
        <v/>
      </c>
      <c r="N1424" s="30"/>
      <c r="O1424" s="31"/>
      <c r="P1424" s="53"/>
      <c r="Q1424" s="33"/>
      <c r="R1424" s="54" t="str">
        <f t="shared" si="229"/>
        <v/>
      </c>
      <c r="S1424" s="30"/>
      <c r="T1424" s="33"/>
    </row>
    <row r="1425" spans="1:20" x14ac:dyDescent="0.25">
      <c r="A1425" s="30"/>
      <c r="B1425" s="37" t="str">
        <f t="shared" si="220"/>
        <v/>
      </c>
      <c r="C1425" s="30"/>
      <c r="D1425" s="34" t="str">
        <f t="shared" si="221"/>
        <v/>
      </c>
      <c r="E1425" s="34" t="str">
        <f t="shared" si="222"/>
        <v/>
      </c>
      <c r="F1425" s="34" t="str">
        <f t="shared" si="223"/>
        <v/>
      </c>
      <c r="G1425" s="35" t="str">
        <f t="shared" si="224"/>
        <v/>
      </c>
      <c r="H1425" s="30"/>
      <c r="I1425" s="36" t="str">
        <f t="shared" si="225"/>
        <v/>
      </c>
      <c r="J1425" s="34" t="str">
        <f t="shared" si="226"/>
        <v/>
      </c>
      <c r="K1425" s="49"/>
      <c r="L1425" s="55" t="str">
        <f t="shared" si="227"/>
        <v/>
      </c>
      <c r="M1425" s="54" t="str">
        <f t="shared" si="228"/>
        <v/>
      </c>
      <c r="N1425" s="30"/>
      <c r="O1425" s="31"/>
      <c r="P1425" s="53"/>
      <c r="Q1425" s="33"/>
      <c r="R1425" s="54" t="str">
        <f t="shared" si="229"/>
        <v/>
      </c>
      <c r="S1425" s="30"/>
      <c r="T1425" s="33"/>
    </row>
    <row r="1426" spans="1:20" x14ac:dyDescent="0.25">
      <c r="A1426" s="30"/>
      <c r="B1426" s="37" t="str">
        <f t="shared" si="220"/>
        <v/>
      </c>
      <c r="C1426" s="30"/>
      <c r="D1426" s="34" t="str">
        <f t="shared" si="221"/>
        <v/>
      </c>
      <c r="E1426" s="34" t="str">
        <f t="shared" si="222"/>
        <v/>
      </c>
      <c r="F1426" s="34" t="str">
        <f t="shared" si="223"/>
        <v/>
      </c>
      <c r="G1426" s="35" t="str">
        <f t="shared" si="224"/>
        <v/>
      </c>
      <c r="H1426" s="30"/>
      <c r="I1426" s="36" t="str">
        <f t="shared" si="225"/>
        <v/>
      </c>
      <c r="J1426" s="34" t="str">
        <f t="shared" si="226"/>
        <v/>
      </c>
      <c r="K1426" s="49"/>
      <c r="L1426" s="55" t="str">
        <f t="shared" si="227"/>
        <v/>
      </c>
      <c r="M1426" s="54" t="str">
        <f t="shared" si="228"/>
        <v/>
      </c>
      <c r="N1426" s="30"/>
      <c r="O1426" s="31"/>
      <c r="P1426" s="53"/>
      <c r="Q1426" s="33"/>
      <c r="R1426" s="54" t="str">
        <f t="shared" si="229"/>
        <v/>
      </c>
      <c r="S1426" s="30"/>
      <c r="T1426" s="33"/>
    </row>
    <row r="1427" spans="1:20" x14ac:dyDescent="0.25">
      <c r="A1427" s="30"/>
      <c r="B1427" s="37" t="str">
        <f t="shared" si="220"/>
        <v/>
      </c>
      <c r="C1427" s="30"/>
      <c r="D1427" s="34" t="str">
        <f t="shared" si="221"/>
        <v/>
      </c>
      <c r="E1427" s="34" t="str">
        <f t="shared" si="222"/>
        <v/>
      </c>
      <c r="F1427" s="34" t="str">
        <f t="shared" si="223"/>
        <v/>
      </c>
      <c r="G1427" s="35" t="str">
        <f t="shared" si="224"/>
        <v/>
      </c>
      <c r="H1427" s="30"/>
      <c r="I1427" s="36" t="str">
        <f t="shared" si="225"/>
        <v/>
      </c>
      <c r="J1427" s="34" t="str">
        <f t="shared" si="226"/>
        <v/>
      </c>
      <c r="K1427" s="49"/>
      <c r="L1427" s="55" t="str">
        <f t="shared" si="227"/>
        <v/>
      </c>
      <c r="M1427" s="54" t="str">
        <f t="shared" si="228"/>
        <v/>
      </c>
      <c r="N1427" s="30"/>
      <c r="O1427" s="31"/>
      <c r="P1427" s="53"/>
      <c r="Q1427" s="33"/>
      <c r="R1427" s="54" t="str">
        <f t="shared" si="229"/>
        <v/>
      </c>
      <c r="S1427" s="30"/>
      <c r="T1427" s="33"/>
    </row>
    <row r="1428" spans="1:20" x14ac:dyDescent="0.25">
      <c r="A1428" s="30"/>
      <c r="B1428" s="37" t="str">
        <f t="shared" si="220"/>
        <v/>
      </c>
      <c r="C1428" s="30"/>
      <c r="D1428" s="34" t="str">
        <f t="shared" si="221"/>
        <v/>
      </c>
      <c r="E1428" s="34" t="str">
        <f t="shared" si="222"/>
        <v/>
      </c>
      <c r="F1428" s="34" t="str">
        <f t="shared" si="223"/>
        <v/>
      </c>
      <c r="G1428" s="35" t="str">
        <f t="shared" si="224"/>
        <v/>
      </c>
      <c r="H1428" s="30"/>
      <c r="I1428" s="36" t="str">
        <f t="shared" si="225"/>
        <v/>
      </c>
      <c r="J1428" s="34" t="str">
        <f t="shared" si="226"/>
        <v/>
      </c>
      <c r="K1428" s="49"/>
      <c r="L1428" s="55" t="str">
        <f t="shared" si="227"/>
        <v/>
      </c>
      <c r="M1428" s="54" t="str">
        <f t="shared" si="228"/>
        <v/>
      </c>
      <c r="N1428" s="30"/>
      <c r="O1428" s="31"/>
      <c r="P1428" s="53"/>
      <c r="Q1428" s="33"/>
      <c r="R1428" s="54" t="str">
        <f t="shared" si="229"/>
        <v/>
      </c>
      <c r="S1428" s="30"/>
      <c r="T1428" s="33"/>
    </row>
    <row r="1429" spans="1:20" x14ac:dyDescent="0.25">
      <c r="A1429" s="30"/>
      <c r="B1429" s="37" t="str">
        <f t="shared" si="220"/>
        <v/>
      </c>
      <c r="C1429" s="30"/>
      <c r="D1429" s="34" t="str">
        <f t="shared" si="221"/>
        <v/>
      </c>
      <c r="E1429" s="34" t="str">
        <f t="shared" si="222"/>
        <v/>
      </c>
      <c r="F1429" s="34" t="str">
        <f t="shared" si="223"/>
        <v/>
      </c>
      <c r="G1429" s="35" t="str">
        <f t="shared" si="224"/>
        <v/>
      </c>
      <c r="H1429" s="30"/>
      <c r="I1429" s="36" t="str">
        <f t="shared" si="225"/>
        <v/>
      </c>
      <c r="J1429" s="34" t="str">
        <f t="shared" si="226"/>
        <v/>
      </c>
      <c r="K1429" s="49"/>
      <c r="L1429" s="55" t="str">
        <f t="shared" si="227"/>
        <v/>
      </c>
      <c r="M1429" s="54" t="str">
        <f t="shared" si="228"/>
        <v/>
      </c>
      <c r="N1429" s="30"/>
      <c r="O1429" s="31"/>
      <c r="P1429" s="53"/>
      <c r="Q1429" s="33"/>
      <c r="R1429" s="54" t="str">
        <f t="shared" si="229"/>
        <v/>
      </c>
      <c r="S1429" s="30"/>
      <c r="T1429" s="33"/>
    </row>
    <row r="1430" spans="1:20" x14ac:dyDescent="0.25">
      <c r="A1430" s="30"/>
      <c r="B1430" s="37" t="str">
        <f t="shared" si="220"/>
        <v/>
      </c>
      <c r="C1430" s="30"/>
      <c r="D1430" s="34" t="str">
        <f t="shared" si="221"/>
        <v/>
      </c>
      <c r="E1430" s="34" t="str">
        <f t="shared" si="222"/>
        <v/>
      </c>
      <c r="F1430" s="34" t="str">
        <f t="shared" si="223"/>
        <v/>
      </c>
      <c r="G1430" s="35" t="str">
        <f t="shared" si="224"/>
        <v/>
      </c>
      <c r="H1430" s="30"/>
      <c r="I1430" s="36" t="str">
        <f t="shared" si="225"/>
        <v/>
      </c>
      <c r="J1430" s="34" t="str">
        <f t="shared" si="226"/>
        <v/>
      </c>
      <c r="K1430" s="49"/>
      <c r="L1430" s="55" t="str">
        <f t="shared" si="227"/>
        <v/>
      </c>
      <c r="M1430" s="54" t="str">
        <f t="shared" si="228"/>
        <v/>
      </c>
      <c r="N1430" s="30"/>
      <c r="O1430" s="31"/>
      <c r="P1430" s="53"/>
      <c r="Q1430" s="33"/>
      <c r="R1430" s="54" t="str">
        <f t="shared" si="229"/>
        <v/>
      </c>
      <c r="S1430" s="30"/>
      <c r="T1430" s="33"/>
    </row>
    <row r="1431" spans="1:20" x14ac:dyDescent="0.25">
      <c r="A1431" s="30"/>
      <c r="B1431" s="37" t="str">
        <f t="shared" si="220"/>
        <v/>
      </c>
      <c r="C1431" s="30"/>
      <c r="D1431" s="34" t="str">
        <f t="shared" si="221"/>
        <v/>
      </c>
      <c r="E1431" s="34" t="str">
        <f t="shared" si="222"/>
        <v/>
      </c>
      <c r="F1431" s="34" t="str">
        <f t="shared" si="223"/>
        <v/>
      </c>
      <c r="G1431" s="35" t="str">
        <f t="shared" si="224"/>
        <v/>
      </c>
      <c r="H1431" s="30"/>
      <c r="I1431" s="36" t="str">
        <f t="shared" si="225"/>
        <v/>
      </c>
      <c r="J1431" s="34" t="str">
        <f t="shared" si="226"/>
        <v/>
      </c>
      <c r="K1431" s="49"/>
      <c r="L1431" s="55" t="str">
        <f t="shared" si="227"/>
        <v/>
      </c>
      <c r="M1431" s="54" t="str">
        <f t="shared" si="228"/>
        <v/>
      </c>
      <c r="N1431" s="30"/>
      <c r="O1431" s="31"/>
      <c r="P1431" s="53"/>
      <c r="Q1431" s="33"/>
      <c r="R1431" s="54" t="str">
        <f t="shared" si="229"/>
        <v/>
      </c>
      <c r="S1431" s="30"/>
      <c r="T1431" s="33"/>
    </row>
    <row r="1432" spans="1:20" x14ac:dyDescent="0.25">
      <c r="A1432" s="30"/>
      <c r="B1432" s="37" t="str">
        <f t="shared" si="220"/>
        <v/>
      </c>
      <c r="C1432" s="30"/>
      <c r="D1432" s="34" t="str">
        <f t="shared" si="221"/>
        <v/>
      </c>
      <c r="E1432" s="34" t="str">
        <f t="shared" si="222"/>
        <v/>
      </c>
      <c r="F1432" s="34" t="str">
        <f t="shared" si="223"/>
        <v/>
      </c>
      <c r="G1432" s="35" t="str">
        <f t="shared" si="224"/>
        <v/>
      </c>
      <c r="H1432" s="30"/>
      <c r="I1432" s="36" t="str">
        <f t="shared" si="225"/>
        <v/>
      </c>
      <c r="J1432" s="34" t="str">
        <f t="shared" si="226"/>
        <v/>
      </c>
      <c r="K1432" s="49"/>
      <c r="L1432" s="55" t="str">
        <f t="shared" si="227"/>
        <v/>
      </c>
      <c r="M1432" s="54" t="str">
        <f t="shared" si="228"/>
        <v/>
      </c>
      <c r="N1432" s="30"/>
      <c r="O1432" s="31"/>
      <c r="P1432" s="53"/>
      <c r="Q1432" s="33"/>
      <c r="R1432" s="54" t="str">
        <f t="shared" si="229"/>
        <v/>
      </c>
      <c r="S1432" s="30"/>
      <c r="T1432" s="33"/>
    </row>
    <row r="1433" spans="1:20" x14ac:dyDescent="0.25">
      <c r="A1433" s="30"/>
      <c r="B1433" s="37" t="str">
        <f t="shared" si="220"/>
        <v/>
      </c>
      <c r="C1433" s="30"/>
      <c r="D1433" s="34" t="str">
        <f t="shared" si="221"/>
        <v/>
      </c>
      <c r="E1433" s="34" t="str">
        <f t="shared" si="222"/>
        <v/>
      </c>
      <c r="F1433" s="34" t="str">
        <f t="shared" si="223"/>
        <v/>
      </c>
      <c r="G1433" s="35" t="str">
        <f t="shared" si="224"/>
        <v/>
      </c>
      <c r="H1433" s="30"/>
      <c r="I1433" s="36" t="str">
        <f t="shared" si="225"/>
        <v/>
      </c>
      <c r="J1433" s="34" t="str">
        <f t="shared" si="226"/>
        <v/>
      </c>
      <c r="K1433" s="49"/>
      <c r="L1433" s="55" t="str">
        <f t="shared" si="227"/>
        <v/>
      </c>
      <c r="M1433" s="54" t="str">
        <f t="shared" si="228"/>
        <v/>
      </c>
      <c r="N1433" s="30"/>
      <c r="O1433" s="31"/>
      <c r="P1433" s="53"/>
      <c r="Q1433" s="33"/>
      <c r="R1433" s="54" t="str">
        <f t="shared" si="229"/>
        <v/>
      </c>
      <c r="S1433" s="30"/>
      <c r="T1433" s="33"/>
    </row>
    <row r="1434" spans="1:20" x14ac:dyDescent="0.25">
      <c r="A1434" s="30"/>
      <c r="B1434" s="37" t="str">
        <f t="shared" si="220"/>
        <v/>
      </c>
      <c r="C1434" s="30"/>
      <c r="D1434" s="34" t="str">
        <f t="shared" si="221"/>
        <v/>
      </c>
      <c r="E1434" s="34" t="str">
        <f t="shared" si="222"/>
        <v/>
      </c>
      <c r="F1434" s="34" t="str">
        <f t="shared" si="223"/>
        <v/>
      </c>
      <c r="G1434" s="35" t="str">
        <f t="shared" si="224"/>
        <v/>
      </c>
      <c r="H1434" s="30"/>
      <c r="I1434" s="36" t="str">
        <f t="shared" si="225"/>
        <v/>
      </c>
      <c r="J1434" s="34" t="str">
        <f t="shared" si="226"/>
        <v/>
      </c>
      <c r="K1434" s="49"/>
      <c r="L1434" s="55" t="str">
        <f t="shared" si="227"/>
        <v/>
      </c>
      <c r="M1434" s="54" t="str">
        <f t="shared" si="228"/>
        <v/>
      </c>
      <c r="N1434" s="30"/>
      <c r="O1434" s="31"/>
      <c r="P1434" s="53"/>
      <c r="Q1434" s="33"/>
      <c r="R1434" s="54" t="str">
        <f t="shared" si="229"/>
        <v/>
      </c>
      <c r="S1434" s="30"/>
      <c r="T1434" s="33"/>
    </row>
    <row r="1435" spans="1:20" x14ac:dyDescent="0.25">
      <c r="A1435" s="30"/>
      <c r="B1435" s="37" t="str">
        <f t="shared" si="220"/>
        <v/>
      </c>
      <c r="C1435" s="30"/>
      <c r="D1435" s="34" t="str">
        <f t="shared" si="221"/>
        <v/>
      </c>
      <c r="E1435" s="34" t="str">
        <f t="shared" si="222"/>
        <v/>
      </c>
      <c r="F1435" s="34" t="str">
        <f t="shared" si="223"/>
        <v/>
      </c>
      <c r="G1435" s="35" t="str">
        <f t="shared" si="224"/>
        <v/>
      </c>
      <c r="H1435" s="30"/>
      <c r="I1435" s="36" t="str">
        <f t="shared" si="225"/>
        <v/>
      </c>
      <c r="J1435" s="34" t="str">
        <f t="shared" si="226"/>
        <v/>
      </c>
      <c r="K1435" s="49"/>
      <c r="L1435" s="55" t="str">
        <f t="shared" si="227"/>
        <v/>
      </c>
      <c r="M1435" s="54" t="str">
        <f t="shared" si="228"/>
        <v/>
      </c>
      <c r="N1435" s="30"/>
      <c r="O1435" s="31"/>
      <c r="P1435" s="53"/>
      <c r="Q1435" s="33"/>
      <c r="R1435" s="54" t="str">
        <f t="shared" si="229"/>
        <v/>
      </c>
      <c r="S1435" s="30"/>
      <c r="T1435" s="33"/>
    </row>
    <row r="1436" spans="1:20" x14ac:dyDescent="0.25">
      <c r="A1436" s="30"/>
      <c r="B1436" s="37" t="str">
        <f t="shared" si="220"/>
        <v/>
      </c>
      <c r="C1436" s="30"/>
      <c r="D1436" s="34" t="str">
        <f t="shared" si="221"/>
        <v/>
      </c>
      <c r="E1436" s="34" t="str">
        <f t="shared" si="222"/>
        <v/>
      </c>
      <c r="F1436" s="34" t="str">
        <f t="shared" si="223"/>
        <v/>
      </c>
      <c r="G1436" s="35" t="str">
        <f t="shared" si="224"/>
        <v/>
      </c>
      <c r="H1436" s="30"/>
      <c r="I1436" s="36" t="str">
        <f t="shared" si="225"/>
        <v/>
      </c>
      <c r="J1436" s="34" t="str">
        <f t="shared" si="226"/>
        <v/>
      </c>
      <c r="K1436" s="49"/>
      <c r="L1436" s="55" t="str">
        <f t="shared" si="227"/>
        <v/>
      </c>
      <c r="M1436" s="54" t="str">
        <f t="shared" si="228"/>
        <v/>
      </c>
      <c r="N1436" s="30"/>
      <c r="O1436" s="31"/>
      <c r="P1436" s="53"/>
      <c r="Q1436" s="33"/>
      <c r="R1436" s="54" t="str">
        <f t="shared" si="229"/>
        <v/>
      </c>
      <c r="S1436" s="30"/>
      <c r="T1436" s="33"/>
    </row>
    <row r="1437" spans="1:20" x14ac:dyDescent="0.25">
      <c r="A1437" s="30"/>
      <c r="B1437" s="37" t="str">
        <f t="shared" si="220"/>
        <v/>
      </c>
      <c r="C1437" s="30"/>
      <c r="D1437" s="34" t="str">
        <f t="shared" si="221"/>
        <v/>
      </c>
      <c r="E1437" s="34" t="str">
        <f t="shared" si="222"/>
        <v/>
      </c>
      <c r="F1437" s="34" t="str">
        <f t="shared" si="223"/>
        <v/>
      </c>
      <c r="G1437" s="35" t="str">
        <f t="shared" si="224"/>
        <v/>
      </c>
      <c r="H1437" s="30"/>
      <c r="I1437" s="36" t="str">
        <f t="shared" si="225"/>
        <v/>
      </c>
      <c r="J1437" s="34" t="str">
        <f t="shared" si="226"/>
        <v/>
      </c>
      <c r="K1437" s="49"/>
      <c r="L1437" s="55" t="str">
        <f t="shared" si="227"/>
        <v/>
      </c>
      <c r="M1437" s="54" t="str">
        <f t="shared" si="228"/>
        <v/>
      </c>
      <c r="N1437" s="30"/>
      <c r="O1437" s="31"/>
      <c r="P1437" s="53"/>
      <c r="Q1437" s="33"/>
      <c r="R1437" s="54" t="str">
        <f t="shared" si="229"/>
        <v/>
      </c>
      <c r="S1437" s="30"/>
      <c r="T1437" s="33"/>
    </row>
    <row r="1438" spans="1:20" x14ac:dyDescent="0.25">
      <c r="A1438" s="30"/>
      <c r="B1438" s="37" t="str">
        <f t="shared" si="220"/>
        <v/>
      </c>
      <c r="C1438" s="30"/>
      <c r="D1438" s="34" t="str">
        <f t="shared" si="221"/>
        <v/>
      </c>
      <c r="E1438" s="34" t="str">
        <f t="shared" si="222"/>
        <v/>
      </c>
      <c r="F1438" s="34" t="str">
        <f t="shared" si="223"/>
        <v/>
      </c>
      <c r="G1438" s="35" t="str">
        <f t="shared" si="224"/>
        <v/>
      </c>
      <c r="H1438" s="30"/>
      <c r="I1438" s="36" t="str">
        <f t="shared" si="225"/>
        <v/>
      </c>
      <c r="J1438" s="34" t="str">
        <f t="shared" si="226"/>
        <v/>
      </c>
      <c r="K1438" s="49"/>
      <c r="L1438" s="55" t="str">
        <f t="shared" si="227"/>
        <v/>
      </c>
      <c r="M1438" s="54" t="str">
        <f t="shared" si="228"/>
        <v/>
      </c>
      <c r="N1438" s="30"/>
      <c r="O1438" s="31"/>
      <c r="P1438" s="53"/>
      <c r="Q1438" s="33"/>
      <c r="R1438" s="54" t="str">
        <f t="shared" si="229"/>
        <v/>
      </c>
      <c r="S1438" s="30"/>
      <c r="T1438" s="33"/>
    </row>
    <row r="1439" spans="1:20" x14ac:dyDescent="0.25">
      <c r="A1439" s="30"/>
      <c r="B1439" s="37" t="str">
        <f t="shared" si="220"/>
        <v/>
      </c>
      <c r="C1439" s="30"/>
      <c r="D1439" s="34" t="str">
        <f t="shared" si="221"/>
        <v/>
      </c>
      <c r="E1439" s="34" t="str">
        <f t="shared" si="222"/>
        <v/>
      </c>
      <c r="F1439" s="34" t="str">
        <f t="shared" si="223"/>
        <v/>
      </c>
      <c r="G1439" s="35" t="str">
        <f t="shared" si="224"/>
        <v/>
      </c>
      <c r="H1439" s="30"/>
      <c r="I1439" s="36" t="str">
        <f t="shared" si="225"/>
        <v/>
      </c>
      <c r="J1439" s="34" t="str">
        <f t="shared" si="226"/>
        <v/>
      </c>
      <c r="K1439" s="49"/>
      <c r="L1439" s="55" t="str">
        <f t="shared" si="227"/>
        <v/>
      </c>
      <c r="M1439" s="54" t="str">
        <f t="shared" si="228"/>
        <v/>
      </c>
      <c r="N1439" s="30"/>
      <c r="O1439" s="31"/>
      <c r="P1439" s="53"/>
      <c r="Q1439" s="33"/>
      <c r="R1439" s="54" t="str">
        <f t="shared" si="229"/>
        <v/>
      </c>
      <c r="S1439" s="30"/>
      <c r="T1439" s="33"/>
    </row>
    <row r="1440" spans="1:20" x14ac:dyDescent="0.25">
      <c r="A1440" s="30"/>
      <c r="B1440" s="37" t="str">
        <f t="shared" si="220"/>
        <v/>
      </c>
      <c r="C1440" s="30"/>
      <c r="D1440" s="34" t="str">
        <f t="shared" si="221"/>
        <v/>
      </c>
      <c r="E1440" s="34" t="str">
        <f t="shared" si="222"/>
        <v/>
      </c>
      <c r="F1440" s="34" t="str">
        <f t="shared" si="223"/>
        <v/>
      </c>
      <c r="G1440" s="35" t="str">
        <f t="shared" si="224"/>
        <v/>
      </c>
      <c r="H1440" s="30"/>
      <c r="I1440" s="36" t="str">
        <f t="shared" si="225"/>
        <v/>
      </c>
      <c r="J1440" s="34" t="str">
        <f t="shared" si="226"/>
        <v/>
      </c>
      <c r="K1440" s="49"/>
      <c r="L1440" s="55" t="str">
        <f t="shared" si="227"/>
        <v/>
      </c>
      <c r="M1440" s="54" t="str">
        <f t="shared" si="228"/>
        <v/>
      </c>
      <c r="N1440" s="30"/>
      <c r="O1440" s="31"/>
      <c r="P1440" s="53"/>
      <c r="Q1440" s="33"/>
      <c r="R1440" s="54" t="str">
        <f t="shared" si="229"/>
        <v/>
      </c>
      <c r="S1440" s="30"/>
      <c r="T1440" s="33"/>
    </row>
    <row r="1441" spans="1:20" x14ac:dyDescent="0.25">
      <c r="A1441" s="30"/>
      <c r="B1441" s="37" t="str">
        <f t="shared" si="220"/>
        <v/>
      </c>
      <c r="C1441" s="30"/>
      <c r="D1441" s="34" t="str">
        <f t="shared" si="221"/>
        <v/>
      </c>
      <c r="E1441" s="34" t="str">
        <f t="shared" si="222"/>
        <v/>
      </c>
      <c r="F1441" s="34" t="str">
        <f t="shared" si="223"/>
        <v/>
      </c>
      <c r="G1441" s="35" t="str">
        <f t="shared" si="224"/>
        <v/>
      </c>
      <c r="H1441" s="30"/>
      <c r="I1441" s="36" t="str">
        <f t="shared" si="225"/>
        <v/>
      </c>
      <c r="J1441" s="34" t="str">
        <f t="shared" si="226"/>
        <v/>
      </c>
      <c r="K1441" s="49"/>
      <c r="L1441" s="55" t="str">
        <f t="shared" si="227"/>
        <v/>
      </c>
      <c r="M1441" s="54" t="str">
        <f t="shared" si="228"/>
        <v/>
      </c>
      <c r="N1441" s="30"/>
      <c r="O1441" s="31"/>
      <c r="P1441" s="53"/>
      <c r="Q1441" s="33"/>
      <c r="R1441" s="54" t="str">
        <f t="shared" si="229"/>
        <v/>
      </c>
      <c r="S1441" s="30"/>
      <c r="T1441" s="33"/>
    </row>
    <row r="1442" spans="1:20" x14ac:dyDescent="0.25">
      <c r="A1442" s="30"/>
      <c r="B1442" s="37" t="str">
        <f t="shared" si="220"/>
        <v/>
      </c>
      <c r="C1442" s="30"/>
      <c r="D1442" s="34" t="str">
        <f t="shared" si="221"/>
        <v/>
      </c>
      <c r="E1442" s="34" t="str">
        <f t="shared" si="222"/>
        <v/>
      </c>
      <c r="F1442" s="34" t="str">
        <f t="shared" si="223"/>
        <v/>
      </c>
      <c r="G1442" s="35" t="str">
        <f t="shared" si="224"/>
        <v/>
      </c>
      <c r="H1442" s="30"/>
      <c r="I1442" s="36" t="str">
        <f t="shared" si="225"/>
        <v/>
      </c>
      <c r="J1442" s="34" t="str">
        <f t="shared" si="226"/>
        <v/>
      </c>
      <c r="K1442" s="49"/>
      <c r="L1442" s="55" t="str">
        <f t="shared" si="227"/>
        <v/>
      </c>
      <c r="M1442" s="54" t="str">
        <f t="shared" si="228"/>
        <v/>
      </c>
      <c r="N1442" s="30"/>
      <c r="O1442" s="31"/>
      <c r="P1442" s="53"/>
      <c r="Q1442" s="33"/>
      <c r="R1442" s="54" t="str">
        <f t="shared" si="229"/>
        <v/>
      </c>
      <c r="S1442" s="30"/>
      <c r="T1442" s="33"/>
    </row>
    <row r="1443" spans="1:20" x14ac:dyDescent="0.25">
      <c r="A1443" s="30"/>
      <c r="B1443" s="37" t="str">
        <f t="shared" si="220"/>
        <v/>
      </c>
      <c r="C1443" s="30"/>
      <c r="D1443" s="34" t="str">
        <f t="shared" si="221"/>
        <v/>
      </c>
      <c r="E1443" s="34" t="str">
        <f t="shared" si="222"/>
        <v/>
      </c>
      <c r="F1443" s="34" t="str">
        <f t="shared" si="223"/>
        <v/>
      </c>
      <c r="G1443" s="35" t="str">
        <f t="shared" si="224"/>
        <v/>
      </c>
      <c r="H1443" s="30"/>
      <c r="I1443" s="36" t="str">
        <f t="shared" si="225"/>
        <v/>
      </c>
      <c r="J1443" s="34" t="str">
        <f t="shared" si="226"/>
        <v/>
      </c>
      <c r="K1443" s="49"/>
      <c r="L1443" s="55" t="str">
        <f t="shared" si="227"/>
        <v/>
      </c>
      <c r="M1443" s="54" t="str">
        <f t="shared" si="228"/>
        <v/>
      </c>
      <c r="N1443" s="30"/>
      <c r="O1443" s="31"/>
      <c r="P1443" s="53"/>
      <c r="Q1443" s="33"/>
      <c r="R1443" s="54" t="str">
        <f t="shared" si="229"/>
        <v/>
      </c>
      <c r="S1443" s="30"/>
      <c r="T1443" s="33"/>
    </row>
    <row r="1444" spans="1:20" x14ac:dyDescent="0.25">
      <c r="A1444" s="30"/>
      <c r="B1444" s="37" t="str">
        <f t="shared" si="220"/>
        <v/>
      </c>
      <c r="C1444" s="30"/>
      <c r="D1444" s="34" t="str">
        <f t="shared" si="221"/>
        <v/>
      </c>
      <c r="E1444" s="34" t="str">
        <f t="shared" si="222"/>
        <v/>
      </c>
      <c r="F1444" s="34" t="str">
        <f t="shared" si="223"/>
        <v/>
      </c>
      <c r="G1444" s="35" t="str">
        <f t="shared" si="224"/>
        <v/>
      </c>
      <c r="H1444" s="30"/>
      <c r="I1444" s="36" t="str">
        <f t="shared" si="225"/>
        <v/>
      </c>
      <c r="J1444" s="34" t="str">
        <f t="shared" si="226"/>
        <v/>
      </c>
      <c r="K1444" s="49"/>
      <c r="L1444" s="55" t="str">
        <f t="shared" si="227"/>
        <v/>
      </c>
      <c r="M1444" s="54" t="str">
        <f t="shared" si="228"/>
        <v/>
      </c>
      <c r="N1444" s="30"/>
      <c r="O1444" s="31"/>
      <c r="P1444" s="53"/>
      <c r="Q1444" s="33"/>
      <c r="R1444" s="54" t="str">
        <f t="shared" si="229"/>
        <v/>
      </c>
      <c r="S1444" s="30"/>
      <c r="T1444" s="33"/>
    </row>
    <row r="1445" spans="1:20" x14ac:dyDescent="0.25">
      <c r="A1445" s="30"/>
      <c r="B1445" s="37" t="str">
        <f t="shared" si="220"/>
        <v/>
      </c>
      <c r="C1445" s="30"/>
      <c r="D1445" s="34" t="str">
        <f t="shared" si="221"/>
        <v/>
      </c>
      <c r="E1445" s="34" t="str">
        <f t="shared" si="222"/>
        <v/>
      </c>
      <c r="F1445" s="34" t="str">
        <f t="shared" si="223"/>
        <v/>
      </c>
      <c r="G1445" s="35" t="str">
        <f t="shared" si="224"/>
        <v/>
      </c>
      <c r="H1445" s="30"/>
      <c r="I1445" s="36" t="str">
        <f t="shared" si="225"/>
        <v/>
      </c>
      <c r="J1445" s="34" t="str">
        <f t="shared" si="226"/>
        <v/>
      </c>
      <c r="K1445" s="49"/>
      <c r="L1445" s="55" t="str">
        <f t="shared" si="227"/>
        <v/>
      </c>
      <c r="M1445" s="54" t="str">
        <f t="shared" si="228"/>
        <v/>
      </c>
      <c r="N1445" s="30"/>
      <c r="O1445" s="31"/>
      <c r="P1445" s="53"/>
      <c r="Q1445" s="33"/>
      <c r="R1445" s="54" t="str">
        <f t="shared" si="229"/>
        <v/>
      </c>
      <c r="S1445" s="30"/>
      <c r="T1445" s="33"/>
    </row>
    <row r="1446" spans="1:20" x14ac:dyDescent="0.25">
      <c r="A1446" s="30"/>
      <c r="B1446" s="37" t="str">
        <f t="shared" si="220"/>
        <v/>
      </c>
      <c r="C1446" s="30"/>
      <c r="D1446" s="34" t="str">
        <f t="shared" si="221"/>
        <v/>
      </c>
      <c r="E1446" s="34" t="str">
        <f t="shared" si="222"/>
        <v/>
      </c>
      <c r="F1446" s="34" t="str">
        <f t="shared" si="223"/>
        <v/>
      </c>
      <c r="G1446" s="35" t="str">
        <f t="shared" si="224"/>
        <v/>
      </c>
      <c r="H1446" s="30"/>
      <c r="I1446" s="36" t="str">
        <f t="shared" si="225"/>
        <v/>
      </c>
      <c r="J1446" s="34" t="str">
        <f t="shared" si="226"/>
        <v/>
      </c>
      <c r="K1446" s="49"/>
      <c r="L1446" s="55" t="str">
        <f t="shared" si="227"/>
        <v/>
      </c>
      <c r="M1446" s="54" t="str">
        <f t="shared" si="228"/>
        <v/>
      </c>
      <c r="N1446" s="30"/>
      <c r="O1446" s="31"/>
      <c r="P1446" s="53"/>
      <c r="Q1446" s="33"/>
      <c r="R1446" s="54" t="str">
        <f t="shared" si="229"/>
        <v/>
      </c>
      <c r="S1446" s="30"/>
      <c r="T1446" s="33"/>
    </row>
    <row r="1447" spans="1:20" x14ac:dyDescent="0.25">
      <c r="A1447" s="30"/>
      <c r="B1447" s="37" t="str">
        <f t="shared" si="220"/>
        <v/>
      </c>
      <c r="C1447" s="30"/>
      <c r="D1447" s="34" t="str">
        <f t="shared" si="221"/>
        <v/>
      </c>
      <c r="E1447" s="34" t="str">
        <f t="shared" si="222"/>
        <v/>
      </c>
      <c r="F1447" s="34" t="str">
        <f t="shared" si="223"/>
        <v/>
      </c>
      <c r="G1447" s="35" t="str">
        <f t="shared" si="224"/>
        <v/>
      </c>
      <c r="H1447" s="30"/>
      <c r="I1447" s="36" t="str">
        <f t="shared" si="225"/>
        <v/>
      </c>
      <c r="J1447" s="34" t="str">
        <f t="shared" si="226"/>
        <v/>
      </c>
      <c r="K1447" s="49"/>
      <c r="L1447" s="55" t="str">
        <f t="shared" si="227"/>
        <v/>
      </c>
      <c r="M1447" s="54" t="str">
        <f t="shared" si="228"/>
        <v/>
      </c>
      <c r="N1447" s="30"/>
      <c r="O1447" s="31"/>
      <c r="P1447" s="53"/>
      <c r="Q1447" s="33"/>
      <c r="R1447" s="54" t="str">
        <f t="shared" si="229"/>
        <v/>
      </c>
      <c r="S1447" s="30"/>
      <c r="T1447" s="33"/>
    </row>
    <row r="1448" spans="1:20" x14ac:dyDescent="0.25">
      <c r="A1448" s="30"/>
      <c r="B1448" s="37" t="str">
        <f t="shared" si="220"/>
        <v/>
      </c>
      <c r="C1448" s="30"/>
      <c r="D1448" s="34" t="str">
        <f t="shared" si="221"/>
        <v/>
      </c>
      <c r="E1448" s="34" t="str">
        <f t="shared" si="222"/>
        <v/>
      </c>
      <c r="F1448" s="34" t="str">
        <f t="shared" si="223"/>
        <v/>
      </c>
      <c r="G1448" s="35" t="str">
        <f t="shared" si="224"/>
        <v/>
      </c>
      <c r="H1448" s="30"/>
      <c r="I1448" s="36" t="str">
        <f t="shared" si="225"/>
        <v/>
      </c>
      <c r="J1448" s="34" t="str">
        <f t="shared" si="226"/>
        <v/>
      </c>
      <c r="K1448" s="49"/>
      <c r="L1448" s="55" t="str">
        <f t="shared" si="227"/>
        <v/>
      </c>
      <c r="M1448" s="54" t="str">
        <f t="shared" si="228"/>
        <v/>
      </c>
      <c r="N1448" s="30"/>
      <c r="O1448" s="31"/>
      <c r="P1448" s="53"/>
      <c r="Q1448" s="33"/>
      <c r="R1448" s="54" t="str">
        <f t="shared" si="229"/>
        <v/>
      </c>
      <c r="S1448" s="30"/>
      <c r="T1448" s="33"/>
    </row>
    <row r="1449" spans="1:20" x14ac:dyDescent="0.25">
      <c r="A1449" s="30"/>
      <c r="B1449" s="37" t="str">
        <f t="shared" si="220"/>
        <v/>
      </c>
      <c r="C1449" s="30"/>
      <c r="D1449" s="34" t="str">
        <f t="shared" si="221"/>
        <v/>
      </c>
      <c r="E1449" s="34" t="str">
        <f t="shared" si="222"/>
        <v/>
      </c>
      <c r="F1449" s="34" t="str">
        <f t="shared" si="223"/>
        <v/>
      </c>
      <c r="G1449" s="35" t="str">
        <f t="shared" si="224"/>
        <v/>
      </c>
      <c r="H1449" s="30"/>
      <c r="I1449" s="36" t="str">
        <f t="shared" si="225"/>
        <v/>
      </c>
      <c r="J1449" s="34" t="str">
        <f t="shared" si="226"/>
        <v/>
      </c>
      <c r="K1449" s="49"/>
      <c r="L1449" s="55" t="str">
        <f t="shared" si="227"/>
        <v/>
      </c>
      <c r="M1449" s="54" t="str">
        <f t="shared" si="228"/>
        <v/>
      </c>
      <c r="N1449" s="30"/>
      <c r="O1449" s="31"/>
      <c r="P1449" s="53"/>
      <c r="Q1449" s="33"/>
      <c r="R1449" s="54" t="str">
        <f t="shared" si="229"/>
        <v/>
      </c>
      <c r="S1449" s="30"/>
      <c r="T1449" s="33"/>
    </row>
    <row r="1450" spans="1:20" x14ac:dyDescent="0.25">
      <c r="A1450" s="30"/>
      <c r="B1450" s="37" t="str">
        <f t="shared" si="220"/>
        <v/>
      </c>
      <c r="C1450" s="30"/>
      <c r="D1450" s="34" t="str">
        <f t="shared" si="221"/>
        <v/>
      </c>
      <c r="E1450" s="34" t="str">
        <f t="shared" si="222"/>
        <v/>
      </c>
      <c r="F1450" s="34" t="str">
        <f t="shared" si="223"/>
        <v/>
      </c>
      <c r="G1450" s="35" t="str">
        <f t="shared" si="224"/>
        <v/>
      </c>
      <c r="H1450" s="30"/>
      <c r="I1450" s="36" t="str">
        <f t="shared" si="225"/>
        <v/>
      </c>
      <c r="J1450" s="34" t="str">
        <f t="shared" si="226"/>
        <v/>
      </c>
      <c r="K1450" s="49"/>
      <c r="L1450" s="55" t="str">
        <f t="shared" si="227"/>
        <v/>
      </c>
      <c r="M1450" s="54" t="str">
        <f t="shared" si="228"/>
        <v/>
      </c>
      <c r="N1450" s="30"/>
      <c r="O1450" s="31"/>
      <c r="P1450" s="53"/>
      <c r="Q1450" s="33"/>
      <c r="R1450" s="54" t="str">
        <f t="shared" si="229"/>
        <v/>
      </c>
      <c r="S1450" s="30"/>
      <c r="T1450" s="33"/>
    </row>
    <row r="1451" spans="1:20" x14ac:dyDescent="0.25">
      <c r="A1451" s="30"/>
      <c r="B1451" s="37" t="str">
        <f t="shared" si="220"/>
        <v/>
      </c>
      <c r="C1451" s="30"/>
      <c r="D1451" s="34" t="str">
        <f t="shared" si="221"/>
        <v/>
      </c>
      <c r="E1451" s="34" t="str">
        <f t="shared" si="222"/>
        <v/>
      </c>
      <c r="F1451" s="34" t="str">
        <f t="shared" si="223"/>
        <v/>
      </c>
      <c r="G1451" s="35" t="str">
        <f t="shared" si="224"/>
        <v/>
      </c>
      <c r="H1451" s="30"/>
      <c r="I1451" s="36" t="str">
        <f t="shared" si="225"/>
        <v/>
      </c>
      <c r="J1451" s="34" t="str">
        <f t="shared" si="226"/>
        <v/>
      </c>
      <c r="K1451" s="49"/>
      <c r="L1451" s="55" t="str">
        <f t="shared" si="227"/>
        <v/>
      </c>
      <c r="M1451" s="54" t="str">
        <f t="shared" si="228"/>
        <v/>
      </c>
      <c r="N1451" s="30"/>
      <c r="O1451" s="31"/>
      <c r="P1451" s="53"/>
      <c r="Q1451" s="33"/>
      <c r="R1451" s="54" t="str">
        <f t="shared" si="229"/>
        <v/>
      </c>
      <c r="S1451" s="30"/>
      <c r="T1451" s="33"/>
    </row>
    <row r="1452" spans="1:20" x14ac:dyDescent="0.25">
      <c r="A1452" s="30"/>
      <c r="B1452" s="37" t="str">
        <f t="shared" si="220"/>
        <v/>
      </c>
      <c r="C1452" s="30"/>
      <c r="D1452" s="34" t="str">
        <f t="shared" si="221"/>
        <v/>
      </c>
      <c r="E1452" s="34" t="str">
        <f t="shared" si="222"/>
        <v/>
      </c>
      <c r="F1452" s="34" t="str">
        <f t="shared" si="223"/>
        <v/>
      </c>
      <c r="G1452" s="35" t="str">
        <f t="shared" si="224"/>
        <v/>
      </c>
      <c r="H1452" s="30"/>
      <c r="I1452" s="36" t="str">
        <f t="shared" si="225"/>
        <v/>
      </c>
      <c r="J1452" s="34" t="str">
        <f t="shared" si="226"/>
        <v/>
      </c>
      <c r="K1452" s="49"/>
      <c r="L1452" s="55" t="str">
        <f t="shared" si="227"/>
        <v/>
      </c>
      <c r="M1452" s="54" t="str">
        <f t="shared" si="228"/>
        <v/>
      </c>
      <c r="N1452" s="30"/>
      <c r="O1452" s="31"/>
      <c r="P1452" s="53"/>
      <c r="Q1452" s="33"/>
      <c r="R1452" s="54" t="str">
        <f t="shared" si="229"/>
        <v/>
      </c>
      <c r="S1452" s="30"/>
      <c r="T1452" s="33"/>
    </row>
    <row r="1453" spans="1:20" x14ac:dyDescent="0.25">
      <c r="A1453" s="30"/>
      <c r="B1453" s="37" t="str">
        <f t="shared" si="220"/>
        <v/>
      </c>
      <c r="C1453" s="30"/>
      <c r="D1453" s="34" t="str">
        <f t="shared" si="221"/>
        <v/>
      </c>
      <c r="E1453" s="34" t="str">
        <f t="shared" si="222"/>
        <v/>
      </c>
      <c r="F1453" s="34" t="str">
        <f t="shared" si="223"/>
        <v/>
      </c>
      <c r="G1453" s="35" t="str">
        <f t="shared" si="224"/>
        <v/>
      </c>
      <c r="H1453" s="30"/>
      <c r="I1453" s="36" t="str">
        <f t="shared" si="225"/>
        <v/>
      </c>
      <c r="J1453" s="34" t="str">
        <f t="shared" si="226"/>
        <v/>
      </c>
      <c r="K1453" s="49"/>
      <c r="L1453" s="55" t="str">
        <f t="shared" si="227"/>
        <v/>
      </c>
      <c r="M1453" s="54" t="str">
        <f t="shared" si="228"/>
        <v/>
      </c>
      <c r="N1453" s="30"/>
      <c r="O1453" s="31"/>
      <c r="P1453" s="53"/>
      <c r="Q1453" s="33"/>
      <c r="R1453" s="54" t="str">
        <f t="shared" si="229"/>
        <v/>
      </c>
      <c r="S1453" s="30"/>
      <c r="T1453" s="33"/>
    </row>
    <row r="1454" spans="1:20" x14ac:dyDescent="0.25">
      <c r="A1454" s="30"/>
      <c r="B1454" s="37" t="str">
        <f t="shared" si="220"/>
        <v/>
      </c>
      <c r="C1454" s="30"/>
      <c r="D1454" s="34" t="str">
        <f t="shared" si="221"/>
        <v/>
      </c>
      <c r="E1454" s="34" t="str">
        <f t="shared" si="222"/>
        <v/>
      </c>
      <c r="F1454" s="34" t="str">
        <f t="shared" si="223"/>
        <v/>
      </c>
      <c r="G1454" s="35" t="str">
        <f t="shared" si="224"/>
        <v/>
      </c>
      <c r="H1454" s="30"/>
      <c r="I1454" s="36" t="str">
        <f t="shared" si="225"/>
        <v/>
      </c>
      <c r="J1454" s="34" t="str">
        <f t="shared" si="226"/>
        <v/>
      </c>
      <c r="K1454" s="49"/>
      <c r="L1454" s="55" t="str">
        <f t="shared" si="227"/>
        <v/>
      </c>
      <c r="M1454" s="54" t="str">
        <f t="shared" si="228"/>
        <v/>
      </c>
      <c r="N1454" s="30"/>
      <c r="O1454" s="31"/>
      <c r="P1454" s="53"/>
      <c r="Q1454" s="33"/>
      <c r="R1454" s="54" t="str">
        <f t="shared" si="229"/>
        <v/>
      </c>
      <c r="S1454" s="30"/>
      <c r="T1454" s="33"/>
    </row>
    <row r="1455" spans="1:20" x14ac:dyDescent="0.25">
      <c r="A1455" s="30"/>
      <c r="B1455" s="37" t="str">
        <f t="shared" si="220"/>
        <v/>
      </c>
      <c r="C1455" s="30"/>
      <c r="D1455" s="34" t="str">
        <f t="shared" si="221"/>
        <v/>
      </c>
      <c r="E1455" s="34" t="str">
        <f t="shared" si="222"/>
        <v/>
      </c>
      <c r="F1455" s="34" t="str">
        <f t="shared" si="223"/>
        <v/>
      </c>
      <c r="G1455" s="35" t="str">
        <f t="shared" si="224"/>
        <v/>
      </c>
      <c r="H1455" s="30"/>
      <c r="I1455" s="36" t="str">
        <f t="shared" si="225"/>
        <v/>
      </c>
      <c r="J1455" s="34" t="str">
        <f t="shared" si="226"/>
        <v/>
      </c>
      <c r="K1455" s="49"/>
      <c r="L1455" s="55" t="str">
        <f t="shared" si="227"/>
        <v/>
      </c>
      <c r="M1455" s="54" t="str">
        <f t="shared" si="228"/>
        <v/>
      </c>
      <c r="N1455" s="30"/>
      <c r="O1455" s="31"/>
      <c r="P1455" s="53"/>
      <c r="Q1455" s="33"/>
      <c r="R1455" s="54" t="str">
        <f t="shared" si="229"/>
        <v/>
      </c>
      <c r="S1455" s="30"/>
      <c r="T1455" s="33"/>
    </row>
    <row r="1456" spans="1:20" x14ac:dyDescent="0.25">
      <c r="A1456" s="30"/>
      <c r="B1456" s="37" t="str">
        <f t="shared" si="220"/>
        <v/>
      </c>
      <c r="C1456" s="30"/>
      <c r="D1456" s="34" t="str">
        <f t="shared" si="221"/>
        <v/>
      </c>
      <c r="E1456" s="34" t="str">
        <f t="shared" si="222"/>
        <v/>
      </c>
      <c r="F1456" s="34" t="str">
        <f t="shared" si="223"/>
        <v/>
      </c>
      <c r="G1456" s="35" t="str">
        <f t="shared" si="224"/>
        <v/>
      </c>
      <c r="H1456" s="30"/>
      <c r="I1456" s="36" t="str">
        <f t="shared" si="225"/>
        <v/>
      </c>
      <c r="J1456" s="34" t="str">
        <f t="shared" si="226"/>
        <v/>
      </c>
      <c r="K1456" s="49"/>
      <c r="L1456" s="55" t="str">
        <f t="shared" si="227"/>
        <v/>
      </c>
      <c r="M1456" s="54" t="str">
        <f t="shared" si="228"/>
        <v/>
      </c>
      <c r="N1456" s="30"/>
      <c r="O1456" s="31"/>
      <c r="P1456" s="53"/>
      <c r="Q1456" s="33"/>
      <c r="R1456" s="54" t="str">
        <f t="shared" si="229"/>
        <v/>
      </c>
      <c r="S1456" s="30"/>
      <c r="T1456" s="33"/>
    </row>
    <row r="1457" spans="1:20" x14ac:dyDescent="0.25">
      <c r="A1457" s="30"/>
      <c r="B1457" s="37" t="str">
        <f t="shared" si="220"/>
        <v/>
      </c>
      <c r="C1457" s="30"/>
      <c r="D1457" s="34" t="str">
        <f t="shared" si="221"/>
        <v/>
      </c>
      <c r="E1457" s="34" t="str">
        <f t="shared" si="222"/>
        <v/>
      </c>
      <c r="F1457" s="34" t="str">
        <f t="shared" si="223"/>
        <v/>
      </c>
      <c r="G1457" s="35" t="str">
        <f t="shared" si="224"/>
        <v/>
      </c>
      <c r="H1457" s="30"/>
      <c r="I1457" s="36" t="str">
        <f t="shared" si="225"/>
        <v/>
      </c>
      <c r="J1457" s="34" t="str">
        <f t="shared" si="226"/>
        <v/>
      </c>
      <c r="K1457" s="49"/>
      <c r="L1457" s="55" t="str">
        <f t="shared" si="227"/>
        <v/>
      </c>
      <c r="M1457" s="54" t="str">
        <f t="shared" si="228"/>
        <v/>
      </c>
      <c r="N1457" s="30"/>
      <c r="O1457" s="31"/>
      <c r="P1457" s="53"/>
      <c r="Q1457" s="33"/>
      <c r="R1457" s="54" t="str">
        <f t="shared" si="229"/>
        <v/>
      </c>
      <c r="S1457" s="30"/>
      <c r="T1457" s="33"/>
    </row>
    <row r="1458" spans="1:20" x14ac:dyDescent="0.25">
      <c r="A1458" s="30"/>
      <c r="B1458" s="37" t="str">
        <f t="shared" si="220"/>
        <v/>
      </c>
      <c r="C1458" s="30"/>
      <c r="D1458" s="34" t="str">
        <f t="shared" si="221"/>
        <v/>
      </c>
      <c r="E1458" s="34" t="str">
        <f t="shared" si="222"/>
        <v/>
      </c>
      <c r="F1458" s="34" t="str">
        <f t="shared" si="223"/>
        <v/>
      </c>
      <c r="G1458" s="35" t="str">
        <f t="shared" si="224"/>
        <v/>
      </c>
      <c r="H1458" s="30"/>
      <c r="I1458" s="36" t="str">
        <f t="shared" si="225"/>
        <v/>
      </c>
      <c r="J1458" s="34" t="str">
        <f t="shared" si="226"/>
        <v/>
      </c>
      <c r="K1458" s="49"/>
      <c r="L1458" s="55" t="str">
        <f t="shared" si="227"/>
        <v/>
      </c>
      <c r="M1458" s="54" t="str">
        <f t="shared" si="228"/>
        <v/>
      </c>
      <c r="N1458" s="30"/>
      <c r="O1458" s="31"/>
      <c r="P1458" s="53"/>
      <c r="Q1458" s="33"/>
      <c r="R1458" s="54" t="str">
        <f t="shared" si="229"/>
        <v/>
      </c>
      <c r="S1458" s="30"/>
      <c r="T1458" s="33"/>
    </row>
    <row r="1459" spans="1:20" x14ac:dyDescent="0.25">
      <c r="A1459" s="30"/>
      <c r="B1459" s="37" t="str">
        <f t="shared" si="220"/>
        <v/>
      </c>
      <c r="C1459" s="30"/>
      <c r="D1459" s="34" t="str">
        <f t="shared" si="221"/>
        <v/>
      </c>
      <c r="E1459" s="34" t="str">
        <f t="shared" si="222"/>
        <v/>
      </c>
      <c r="F1459" s="34" t="str">
        <f t="shared" si="223"/>
        <v/>
      </c>
      <c r="G1459" s="35" t="str">
        <f t="shared" si="224"/>
        <v/>
      </c>
      <c r="H1459" s="30"/>
      <c r="I1459" s="36" t="str">
        <f t="shared" si="225"/>
        <v/>
      </c>
      <c r="J1459" s="34" t="str">
        <f t="shared" si="226"/>
        <v/>
      </c>
      <c r="K1459" s="49"/>
      <c r="L1459" s="55" t="str">
        <f t="shared" si="227"/>
        <v/>
      </c>
      <c r="M1459" s="54" t="str">
        <f t="shared" si="228"/>
        <v/>
      </c>
      <c r="N1459" s="30"/>
      <c r="O1459" s="31"/>
      <c r="P1459" s="53"/>
      <c r="Q1459" s="33"/>
      <c r="R1459" s="54" t="str">
        <f t="shared" si="229"/>
        <v/>
      </c>
      <c r="S1459" s="30"/>
      <c r="T1459" s="33"/>
    </row>
    <row r="1460" spans="1:20" x14ac:dyDescent="0.25">
      <c r="A1460" s="30"/>
      <c r="B1460" s="37" t="str">
        <f t="shared" si="220"/>
        <v/>
      </c>
      <c r="C1460" s="30"/>
      <c r="D1460" s="34" t="str">
        <f t="shared" si="221"/>
        <v/>
      </c>
      <c r="E1460" s="34" t="str">
        <f t="shared" si="222"/>
        <v/>
      </c>
      <c r="F1460" s="34" t="str">
        <f t="shared" si="223"/>
        <v/>
      </c>
      <c r="G1460" s="35" t="str">
        <f t="shared" si="224"/>
        <v/>
      </c>
      <c r="H1460" s="30"/>
      <c r="I1460" s="36" t="str">
        <f t="shared" si="225"/>
        <v/>
      </c>
      <c r="J1460" s="34" t="str">
        <f t="shared" si="226"/>
        <v/>
      </c>
      <c r="K1460" s="49"/>
      <c r="L1460" s="55" t="str">
        <f t="shared" si="227"/>
        <v/>
      </c>
      <c r="M1460" s="54" t="str">
        <f t="shared" si="228"/>
        <v/>
      </c>
      <c r="N1460" s="30"/>
      <c r="O1460" s="31"/>
      <c r="P1460" s="53"/>
      <c r="Q1460" s="33"/>
      <c r="R1460" s="54" t="str">
        <f t="shared" si="229"/>
        <v/>
      </c>
      <c r="S1460" s="30"/>
      <c r="T1460" s="33"/>
    </row>
    <row r="1461" spans="1:20" x14ac:dyDescent="0.25">
      <c r="A1461" s="30"/>
      <c r="B1461" s="37" t="str">
        <f t="shared" ref="B1461:B1512" si="230">IF($G1461="","",EOMONTH($G1461,0))</f>
        <v/>
      </c>
      <c r="C1461" s="30"/>
      <c r="D1461" s="34" t="str">
        <f t="shared" ref="D1461:D1512" si="231">IFERROR(IF($C1461="","",VLOOKUP($C1461,CAD_TAB,2,FALSE)),"")</f>
        <v/>
      </c>
      <c r="E1461" s="34" t="str">
        <f t="shared" ref="E1461:E1512" si="232">IFERROR(IF($C1461="","",VLOOKUP($C1461,CAD_TAB,3,FALSE)),"")</f>
        <v/>
      </c>
      <c r="F1461" s="34" t="str">
        <f t="shared" ref="F1461:F1512" si="233">IFERROR(IF($C1461="","",VLOOKUP($C1461,OS_TAB,7,FALSE)),"")</f>
        <v/>
      </c>
      <c r="G1461" s="35" t="str">
        <f t="shared" ref="G1461:G1512" si="234">IFERROR(IF($C1461="","",VLOOKUP($C1461,OS_TAB,10,FALSE)),"")</f>
        <v/>
      </c>
      <c r="H1461" s="30"/>
      <c r="I1461" s="36" t="str">
        <f t="shared" ref="I1461:I1512" si="235">IFERROR(IF($H1461="","",VLOOKUP($H1461,PRE_TAB,5,FALSE)),"CÓDIGO NÃO ENCONTRADO")</f>
        <v/>
      </c>
      <c r="J1461" s="34" t="str">
        <f t="shared" ref="J1461:J1512" si="236">IFERROR(IF($H1461="","",VLOOKUP($H1461,PRE_TAB,7,FALSE)),"")</f>
        <v/>
      </c>
      <c r="K1461" s="49"/>
      <c r="L1461" s="55" t="str">
        <f t="shared" ref="L1461:L1512" si="237">IFERROR(IF($H1461="","",VLOOKUP($H1461,PRE_TAB,8,FALSE)),0)</f>
        <v/>
      </c>
      <c r="M1461" s="54" t="str">
        <f t="shared" ref="M1461:M1512" si="238">IF($H1461="","",ROUND($K1461*$L1461,2))</f>
        <v/>
      </c>
      <c r="N1461" s="30"/>
      <c r="O1461" s="31"/>
      <c r="P1461" s="53"/>
      <c r="Q1461" s="33"/>
      <c r="R1461" s="54" t="str">
        <f t="shared" ref="R1461:R1512" si="239">IF($H1461="","",$M1461-$P1461)</f>
        <v/>
      </c>
      <c r="S1461" s="30"/>
      <c r="T1461" s="33"/>
    </row>
    <row r="1462" spans="1:20" x14ac:dyDescent="0.25">
      <c r="A1462" s="30"/>
      <c r="B1462" s="37" t="str">
        <f t="shared" si="230"/>
        <v/>
      </c>
      <c r="C1462" s="30"/>
      <c r="D1462" s="34" t="str">
        <f t="shared" si="231"/>
        <v/>
      </c>
      <c r="E1462" s="34" t="str">
        <f t="shared" si="232"/>
        <v/>
      </c>
      <c r="F1462" s="34" t="str">
        <f t="shared" si="233"/>
        <v/>
      </c>
      <c r="G1462" s="35" t="str">
        <f t="shared" si="234"/>
        <v/>
      </c>
      <c r="H1462" s="30"/>
      <c r="I1462" s="36" t="str">
        <f t="shared" si="235"/>
        <v/>
      </c>
      <c r="J1462" s="34" t="str">
        <f t="shared" si="236"/>
        <v/>
      </c>
      <c r="K1462" s="49"/>
      <c r="L1462" s="55" t="str">
        <f t="shared" si="237"/>
        <v/>
      </c>
      <c r="M1462" s="54" t="str">
        <f t="shared" si="238"/>
        <v/>
      </c>
      <c r="N1462" s="30"/>
      <c r="O1462" s="31"/>
      <c r="P1462" s="53"/>
      <c r="Q1462" s="33"/>
      <c r="R1462" s="54" t="str">
        <f t="shared" si="239"/>
        <v/>
      </c>
      <c r="S1462" s="30"/>
      <c r="T1462" s="33"/>
    </row>
    <row r="1463" spans="1:20" x14ac:dyDescent="0.25">
      <c r="A1463" s="30"/>
      <c r="B1463" s="37" t="str">
        <f t="shared" si="230"/>
        <v/>
      </c>
      <c r="C1463" s="30"/>
      <c r="D1463" s="34" t="str">
        <f t="shared" si="231"/>
        <v/>
      </c>
      <c r="E1463" s="34" t="str">
        <f t="shared" si="232"/>
        <v/>
      </c>
      <c r="F1463" s="34" t="str">
        <f t="shared" si="233"/>
        <v/>
      </c>
      <c r="G1463" s="35" t="str">
        <f t="shared" si="234"/>
        <v/>
      </c>
      <c r="H1463" s="30"/>
      <c r="I1463" s="36" t="str">
        <f t="shared" si="235"/>
        <v/>
      </c>
      <c r="J1463" s="34" t="str">
        <f t="shared" si="236"/>
        <v/>
      </c>
      <c r="K1463" s="49"/>
      <c r="L1463" s="55" t="str">
        <f t="shared" si="237"/>
        <v/>
      </c>
      <c r="M1463" s="54" t="str">
        <f t="shared" si="238"/>
        <v/>
      </c>
      <c r="N1463" s="30"/>
      <c r="O1463" s="31"/>
      <c r="P1463" s="53"/>
      <c r="Q1463" s="33"/>
      <c r="R1463" s="54" t="str">
        <f t="shared" si="239"/>
        <v/>
      </c>
      <c r="S1463" s="30"/>
      <c r="T1463" s="33"/>
    </row>
    <row r="1464" spans="1:20" x14ac:dyDescent="0.25">
      <c r="A1464" s="30"/>
      <c r="B1464" s="37" t="str">
        <f t="shared" si="230"/>
        <v/>
      </c>
      <c r="C1464" s="30"/>
      <c r="D1464" s="34" t="str">
        <f t="shared" si="231"/>
        <v/>
      </c>
      <c r="E1464" s="34" t="str">
        <f t="shared" si="232"/>
        <v/>
      </c>
      <c r="F1464" s="34" t="str">
        <f t="shared" si="233"/>
        <v/>
      </c>
      <c r="G1464" s="35" t="str">
        <f t="shared" si="234"/>
        <v/>
      </c>
      <c r="H1464" s="30"/>
      <c r="I1464" s="36" t="str">
        <f t="shared" si="235"/>
        <v/>
      </c>
      <c r="J1464" s="34" t="str">
        <f t="shared" si="236"/>
        <v/>
      </c>
      <c r="K1464" s="49"/>
      <c r="L1464" s="55" t="str">
        <f t="shared" si="237"/>
        <v/>
      </c>
      <c r="M1464" s="54" t="str">
        <f t="shared" si="238"/>
        <v/>
      </c>
      <c r="N1464" s="30"/>
      <c r="O1464" s="31"/>
      <c r="P1464" s="53"/>
      <c r="Q1464" s="33"/>
      <c r="R1464" s="54" t="str">
        <f t="shared" si="239"/>
        <v/>
      </c>
      <c r="S1464" s="30"/>
      <c r="T1464" s="33"/>
    </row>
    <row r="1465" spans="1:20" x14ac:dyDescent="0.25">
      <c r="A1465" s="30"/>
      <c r="B1465" s="37" t="str">
        <f t="shared" si="230"/>
        <v/>
      </c>
      <c r="C1465" s="30"/>
      <c r="D1465" s="34" t="str">
        <f t="shared" si="231"/>
        <v/>
      </c>
      <c r="E1465" s="34" t="str">
        <f t="shared" si="232"/>
        <v/>
      </c>
      <c r="F1465" s="34" t="str">
        <f t="shared" si="233"/>
        <v/>
      </c>
      <c r="G1465" s="35" t="str">
        <f t="shared" si="234"/>
        <v/>
      </c>
      <c r="H1465" s="30"/>
      <c r="I1465" s="36" t="str">
        <f t="shared" si="235"/>
        <v/>
      </c>
      <c r="J1465" s="34" t="str">
        <f t="shared" si="236"/>
        <v/>
      </c>
      <c r="K1465" s="49"/>
      <c r="L1465" s="55" t="str">
        <f t="shared" si="237"/>
        <v/>
      </c>
      <c r="M1465" s="54" t="str">
        <f t="shared" si="238"/>
        <v/>
      </c>
      <c r="N1465" s="30"/>
      <c r="O1465" s="31"/>
      <c r="P1465" s="53"/>
      <c r="Q1465" s="33"/>
      <c r="R1465" s="54" t="str">
        <f t="shared" si="239"/>
        <v/>
      </c>
      <c r="S1465" s="30"/>
      <c r="T1465" s="33"/>
    </row>
    <row r="1466" spans="1:20" x14ac:dyDescent="0.25">
      <c r="A1466" s="30"/>
      <c r="B1466" s="37" t="str">
        <f t="shared" si="230"/>
        <v/>
      </c>
      <c r="C1466" s="30"/>
      <c r="D1466" s="34" t="str">
        <f t="shared" si="231"/>
        <v/>
      </c>
      <c r="E1466" s="34" t="str">
        <f t="shared" si="232"/>
        <v/>
      </c>
      <c r="F1466" s="34" t="str">
        <f t="shared" si="233"/>
        <v/>
      </c>
      <c r="G1466" s="35" t="str">
        <f t="shared" si="234"/>
        <v/>
      </c>
      <c r="H1466" s="30"/>
      <c r="I1466" s="36" t="str">
        <f t="shared" si="235"/>
        <v/>
      </c>
      <c r="J1466" s="34" t="str">
        <f t="shared" si="236"/>
        <v/>
      </c>
      <c r="K1466" s="49"/>
      <c r="L1466" s="55" t="str">
        <f t="shared" si="237"/>
        <v/>
      </c>
      <c r="M1466" s="54" t="str">
        <f t="shared" si="238"/>
        <v/>
      </c>
      <c r="N1466" s="30"/>
      <c r="O1466" s="31"/>
      <c r="P1466" s="53"/>
      <c r="Q1466" s="33"/>
      <c r="R1466" s="54" t="str">
        <f t="shared" si="239"/>
        <v/>
      </c>
      <c r="S1466" s="30"/>
      <c r="T1466" s="33"/>
    </row>
    <row r="1467" spans="1:20" x14ac:dyDescent="0.25">
      <c r="A1467" s="30"/>
      <c r="B1467" s="37" t="str">
        <f t="shared" si="230"/>
        <v/>
      </c>
      <c r="C1467" s="30"/>
      <c r="D1467" s="34" t="str">
        <f t="shared" si="231"/>
        <v/>
      </c>
      <c r="E1467" s="34" t="str">
        <f t="shared" si="232"/>
        <v/>
      </c>
      <c r="F1467" s="34" t="str">
        <f t="shared" si="233"/>
        <v/>
      </c>
      <c r="G1467" s="35" t="str">
        <f t="shared" si="234"/>
        <v/>
      </c>
      <c r="H1467" s="30"/>
      <c r="I1467" s="36" t="str">
        <f t="shared" si="235"/>
        <v/>
      </c>
      <c r="J1467" s="34" t="str">
        <f t="shared" si="236"/>
        <v/>
      </c>
      <c r="K1467" s="49"/>
      <c r="L1467" s="55" t="str">
        <f t="shared" si="237"/>
        <v/>
      </c>
      <c r="M1467" s="54" t="str">
        <f t="shared" si="238"/>
        <v/>
      </c>
      <c r="N1467" s="30"/>
      <c r="O1467" s="31"/>
      <c r="P1467" s="53"/>
      <c r="Q1467" s="33"/>
      <c r="R1467" s="54" t="str">
        <f t="shared" si="239"/>
        <v/>
      </c>
      <c r="S1467" s="30"/>
      <c r="T1467" s="33"/>
    </row>
    <row r="1468" spans="1:20" x14ac:dyDescent="0.25">
      <c r="A1468" s="30"/>
      <c r="B1468" s="37" t="str">
        <f t="shared" si="230"/>
        <v/>
      </c>
      <c r="C1468" s="30"/>
      <c r="D1468" s="34" t="str">
        <f t="shared" si="231"/>
        <v/>
      </c>
      <c r="E1468" s="34" t="str">
        <f t="shared" si="232"/>
        <v/>
      </c>
      <c r="F1468" s="34" t="str">
        <f t="shared" si="233"/>
        <v/>
      </c>
      <c r="G1468" s="35" t="str">
        <f t="shared" si="234"/>
        <v/>
      </c>
      <c r="H1468" s="30"/>
      <c r="I1468" s="36" t="str">
        <f t="shared" si="235"/>
        <v/>
      </c>
      <c r="J1468" s="34" t="str">
        <f t="shared" si="236"/>
        <v/>
      </c>
      <c r="K1468" s="49"/>
      <c r="L1468" s="55" t="str">
        <f t="shared" si="237"/>
        <v/>
      </c>
      <c r="M1468" s="54" t="str">
        <f t="shared" si="238"/>
        <v/>
      </c>
      <c r="N1468" s="30"/>
      <c r="O1468" s="31"/>
      <c r="P1468" s="53"/>
      <c r="Q1468" s="33"/>
      <c r="R1468" s="54" t="str">
        <f t="shared" si="239"/>
        <v/>
      </c>
      <c r="S1468" s="30"/>
      <c r="T1468" s="33"/>
    </row>
    <row r="1469" spans="1:20" x14ac:dyDescent="0.25">
      <c r="A1469" s="30"/>
      <c r="B1469" s="37" t="str">
        <f t="shared" si="230"/>
        <v/>
      </c>
      <c r="C1469" s="30"/>
      <c r="D1469" s="34" t="str">
        <f t="shared" si="231"/>
        <v/>
      </c>
      <c r="E1469" s="34" t="str">
        <f t="shared" si="232"/>
        <v/>
      </c>
      <c r="F1469" s="34" t="str">
        <f t="shared" si="233"/>
        <v/>
      </c>
      <c r="G1469" s="35" t="str">
        <f t="shared" si="234"/>
        <v/>
      </c>
      <c r="H1469" s="30"/>
      <c r="I1469" s="36" t="str">
        <f t="shared" si="235"/>
        <v/>
      </c>
      <c r="J1469" s="34" t="str">
        <f t="shared" si="236"/>
        <v/>
      </c>
      <c r="K1469" s="49"/>
      <c r="L1469" s="55" t="str">
        <f t="shared" si="237"/>
        <v/>
      </c>
      <c r="M1469" s="54" t="str">
        <f t="shared" si="238"/>
        <v/>
      </c>
      <c r="N1469" s="30"/>
      <c r="O1469" s="31"/>
      <c r="P1469" s="53"/>
      <c r="Q1469" s="33"/>
      <c r="R1469" s="54" t="str">
        <f t="shared" si="239"/>
        <v/>
      </c>
      <c r="S1469" s="30"/>
      <c r="T1469" s="33"/>
    </row>
    <row r="1470" spans="1:20" x14ac:dyDescent="0.25">
      <c r="A1470" s="30"/>
      <c r="B1470" s="37" t="str">
        <f t="shared" si="230"/>
        <v/>
      </c>
      <c r="C1470" s="30"/>
      <c r="D1470" s="34" t="str">
        <f t="shared" si="231"/>
        <v/>
      </c>
      <c r="E1470" s="34" t="str">
        <f t="shared" si="232"/>
        <v/>
      </c>
      <c r="F1470" s="34" t="str">
        <f t="shared" si="233"/>
        <v/>
      </c>
      <c r="G1470" s="35" t="str">
        <f t="shared" si="234"/>
        <v/>
      </c>
      <c r="H1470" s="30"/>
      <c r="I1470" s="36" t="str">
        <f t="shared" si="235"/>
        <v/>
      </c>
      <c r="J1470" s="34" t="str">
        <f t="shared" si="236"/>
        <v/>
      </c>
      <c r="K1470" s="49"/>
      <c r="L1470" s="55" t="str">
        <f t="shared" si="237"/>
        <v/>
      </c>
      <c r="M1470" s="54" t="str">
        <f t="shared" si="238"/>
        <v/>
      </c>
      <c r="N1470" s="30"/>
      <c r="O1470" s="31"/>
      <c r="P1470" s="53"/>
      <c r="Q1470" s="33"/>
      <c r="R1470" s="54" t="str">
        <f t="shared" si="239"/>
        <v/>
      </c>
      <c r="S1470" s="30"/>
      <c r="T1470" s="33"/>
    </row>
    <row r="1471" spans="1:20" x14ac:dyDescent="0.25">
      <c r="A1471" s="30"/>
      <c r="B1471" s="37" t="str">
        <f t="shared" si="230"/>
        <v/>
      </c>
      <c r="C1471" s="30"/>
      <c r="D1471" s="34" t="str">
        <f t="shared" si="231"/>
        <v/>
      </c>
      <c r="E1471" s="34" t="str">
        <f t="shared" si="232"/>
        <v/>
      </c>
      <c r="F1471" s="34" t="str">
        <f t="shared" si="233"/>
        <v/>
      </c>
      <c r="G1471" s="35" t="str">
        <f t="shared" si="234"/>
        <v/>
      </c>
      <c r="H1471" s="30"/>
      <c r="I1471" s="36" t="str">
        <f t="shared" si="235"/>
        <v/>
      </c>
      <c r="J1471" s="34" t="str">
        <f t="shared" si="236"/>
        <v/>
      </c>
      <c r="K1471" s="49"/>
      <c r="L1471" s="55" t="str">
        <f t="shared" si="237"/>
        <v/>
      </c>
      <c r="M1471" s="54" t="str">
        <f t="shared" si="238"/>
        <v/>
      </c>
      <c r="N1471" s="30"/>
      <c r="O1471" s="31"/>
      <c r="P1471" s="53"/>
      <c r="Q1471" s="33"/>
      <c r="R1471" s="54" t="str">
        <f t="shared" si="239"/>
        <v/>
      </c>
      <c r="S1471" s="30"/>
      <c r="T1471" s="33"/>
    </row>
    <row r="1472" spans="1:20" x14ac:dyDescent="0.25">
      <c r="A1472" s="30"/>
      <c r="B1472" s="37" t="str">
        <f t="shared" si="230"/>
        <v/>
      </c>
      <c r="C1472" s="30"/>
      <c r="D1472" s="34" t="str">
        <f t="shared" si="231"/>
        <v/>
      </c>
      <c r="E1472" s="34" t="str">
        <f t="shared" si="232"/>
        <v/>
      </c>
      <c r="F1472" s="34" t="str">
        <f t="shared" si="233"/>
        <v/>
      </c>
      <c r="G1472" s="35" t="str">
        <f t="shared" si="234"/>
        <v/>
      </c>
      <c r="H1472" s="30"/>
      <c r="I1472" s="36" t="str">
        <f t="shared" si="235"/>
        <v/>
      </c>
      <c r="J1472" s="34" t="str">
        <f t="shared" si="236"/>
        <v/>
      </c>
      <c r="K1472" s="49"/>
      <c r="L1472" s="55" t="str">
        <f t="shared" si="237"/>
        <v/>
      </c>
      <c r="M1472" s="54" t="str">
        <f t="shared" si="238"/>
        <v/>
      </c>
      <c r="N1472" s="30"/>
      <c r="O1472" s="31"/>
      <c r="P1472" s="53"/>
      <c r="Q1472" s="33"/>
      <c r="R1472" s="54" t="str">
        <f t="shared" si="239"/>
        <v/>
      </c>
      <c r="S1472" s="30"/>
      <c r="T1472" s="33"/>
    </row>
    <row r="1473" spans="1:20" x14ac:dyDescent="0.25">
      <c r="A1473" s="30"/>
      <c r="B1473" s="37" t="str">
        <f t="shared" si="230"/>
        <v/>
      </c>
      <c r="C1473" s="30"/>
      <c r="D1473" s="34" t="str">
        <f t="shared" si="231"/>
        <v/>
      </c>
      <c r="E1473" s="34" t="str">
        <f t="shared" si="232"/>
        <v/>
      </c>
      <c r="F1473" s="34" t="str">
        <f t="shared" si="233"/>
        <v/>
      </c>
      <c r="G1473" s="35" t="str">
        <f t="shared" si="234"/>
        <v/>
      </c>
      <c r="H1473" s="30"/>
      <c r="I1473" s="36" t="str">
        <f t="shared" si="235"/>
        <v/>
      </c>
      <c r="J1473" s="34" t="str">
        <f t="shared" si="236"/>
        <v/>
      </c>
      <c r="K1473" s="49"/>
      <c r="L1473" s="55" t="str">
        <f t="shared" si="237"/>
        <v/>
      </c>
      <c r="M1473" s="54" t="str">
        <f t="shared" si="238"/>
        <v/>
      </c>
      <c r="N1473" s="30"/>
      <c r="O1473" s="31"/>
      <c r="P1473" s="53"/>
      <c r="Q1473" s="33"/>
      <c r="R1473" s="54" t="str">
        <f t="shared" si="239"/>
        <v/>
      </c>
      <c r="S1473" s="30"/>
      <c r="T1473" s="33"/>
    </row>
    <row r="1474" spans="1:20" x14ac:dyDescent="0.25">
      <c r="A1474" s="30"/>
      <c r="B1474" s="37" t="str">
        <f t="shared" si="230"/>
        <v/>
      </c>
      <c r="C1474" s="30"/>
      <c r="D1474" s="34" t="str">
        <f t="shared" si="231"/>
        <v/>
      </c>
      <c r="E1474" s="34" t="str">
        <f t="shared" si="232"/>
        <v/>
      </c>
      <c r="F1474" s="34" t="str">
        <f t="shared" si="233"/>
        <v/>
      </c>
      <c r="G1474" s="35" t="str">
        <f t="shared" si="234"/>
        <v/>
      </c>
      <c r="H1474" s="30"/>
      <c r="I1474" s="36" t="str">
        <f t="shared" si="235"/>
        <v/>
      </c>
      <c r="J1474" s="34" t="str">
        <f t="shared" si="236"/>
        <v/>
      </c>
      <c r="K1474" s="49"/>
      <c r="L1474" s="55" t="str">
        <f t="shared" si="237"/>
        <v/>
      </c>
      <c r="M1474" s="54" t="str">
        <f t="shared" si="238"/>
        <v/>
      </c>
      <c r="N1474" s="30"/>
      <c r="O1474" s="31"/>
      <c r="P1474" s="53"/>
      <c r="Q1474" s="33"/>
      <c r="R1474" s="54" t="str">
        <f t="shared" si="239"/>
        <v/>
      </c>
      <c r="S1474" s="30"/>
      <c r="T1474" s="33"/>
    </row>
    <row r="1475" spans="1:20" x14ac:dyDescent="0.25">
      <c r="A1475" s="30"/>
      <c r="B1475" s="37" t="str">
        <f t="shared" si="230"/>
        <v/>
      </c>
      <c r="C1475" s="30"/>
      <c r="D1475" s="34" t="str">
        <f t="shared" si="231"/>
        <v/>
      </c>
      <c r="E1475" s="34" t="str">
        <f t="shared" si="232"/>
        <v/>
      </c>
      <c r="F1475" s="34" t="str">
        <f t="shared" si="233"/>
        <v/>
      </c>
      <c r="G1475" s="35" t="str">
        <f t="shared" si="234"/>
        <v/>
      </c>
      <c r="H1475" s="30"/>
      <c r="I1475" s="36" t="str">
        <f t="shared" si="235"/>
        <v/>
      </c>
      <c r="J1475" s="34" t="str">
        <f t="shared" si="236"/>
        <v/>
      </c>
      <c r="K1475" s="49"/>
      <c r="L1475" s="55" t="str">
        <f t="shared" si="237"/>
        <v/>
      </c>
      <c r="M1475" s="54" t="str">
        <f t="shared" si="238"/>
        <v/>
      </c>
      <c r="N1475" s="30"/>
      <c r="O1475" s="31"/>
      <c r="P1475" s="53"/>
      <c r="Q1475" s="33"/>
      <c r="R1475" s="54" t="str">
        <f t="shared" si="239"/>
        <v/>
      </c>
      <c r="S1475" s="30"/>
      <c r="T1475" s="33"/>
    </row>
    <row r="1476" spans="1:20" x14ac:dyDescent="0.25">
      <c r="A1476" s="30"/>
      <c r="B1476" s="37" t="str">
        <f t="shared" si="230"/>
        <v/>
      </c>
      <c r="C1476" s="30"/>
      <c r="D1476" s="34" t="str">
        <f t="shared" si="231"/>
        <v/>
      </c>
      <c r="E1476" s="34" t="str">
        <f t="shared" si="232"/>
        <v/>
      </c>
      <c r="F1476" s="34" t="str">
        <f t="shared" si="233"/>
        <v/>
      </c>
      <c r="G1476" s="35" t="str">
        <f t="shared" si="234"/>
        <v/>
      </c>
      <c r="H1476" s="30"/>
      <c r="I1476" s="36" t="str">
        <f t="shared" si="235"/>
        <v/>
      </c>
      <c r="J1476" s="34" t="str">
        <f t="shared" si="236"/>
        <v/>
      </c>
      <c r="K1476" s="49"/>
      <c r="L1476" s="55" t="str">
        <f t="shared" si="237"/>
        <v/>
      </c>
      <c r="M1476" s="54" t="str">
        <f t="shared" si="238"/>
        <v/>
      </c>
      <c r="N1476" s="30"/>
      <c r="O1476" s="31"/>
      <c r="P1476" s="53"/>
      <c r="Q1476" s="33"/>
      <c r="R1476" s="54" t="str">
        <f t="shared" si="239"/>
        <v/>
      </c>
      <c r="S1476" s="30"/>
      <c r="T1476" s="33"/>
    </row>
    <row r="1477" spans="1:20" x14ac:dyDescent="0.25">
      <c r="A1477" s="30"/>
      <c r="B1477" s="37" t="str">
        <f t="shared" si="230"/>
        <v/>
      </c>
      <c r="C1477" s="30"/>
      <c r="D1477" s="34" t="str">
        <f t="shared" si="231"/>
        <v/>
      </c>
      <c r="E1477" s="34" t="str">
        <f t="shared" si="232"/>
        <v/>
      </c>
      <c r="F1477" s="34" t="str">
        <f t="shared" si="233"/>
        <v/>
      </c>
      <c r="G1477" s="35" t="str">
        <f t="shared" si="234"/>
        <v/>
      </c>
      <c r="H1477" s="30"/>
      <c r="I1477" s="36" t="str">
        <f t="shared" si="235"/>
        <v/>
      </c>
      <c r="J1477" s="34" t="str">
        <f t="shared" si="236"/>
        <v/>
      </c>
      <c r="K1477" s="49"/>
      <c r="L1477" s="55" t="str">
        <f t="shared" si="237"/>
        <v/>
      </c>
      <c r="M1477" s="54" t="str">
        <f t="shared" si="238"/>
        <v/>
      </c>
      <c r="N1477" s="30"/>
      <c r="O1477" s="31"/>
      <c r="P1477" s="53"/>
      <c r="Q1477" s="33"/>
      <c r="R1477" s="54" t="str">
        <f t="shared" si="239"/>
        <v/>
      </c>
      <c r="S1477" s="30"/>
      <c r="T1477" s="33"/>
    </row>
    <row r="1478" spans="1:20" x14ac:dyDescent="0.25">
      <c r="A1478" s="30"/>
      <c r="B1478" s="37" t="str">
        <f t="shared" si="230"/>
        <v/>
      </c>
      <c r="C1478" s="30"/>
      <c r="D1478" s="34" t="str">
        <f t="shared" si="231"/>
        <v/>
      </c>
      <c r="E1478" s="34" t="str">
        <f t="shared" si="232"/>
        <v/>
      </c>
      <c r="F1478" s="34" t="str">
        <f t="shared" si="233"/>
        <v/>
      </c>
      <c r="G1478" s="35" t="str">
        <f t="shared" si="234"/>
        <v/>
      </c>
      <c r="H1478" s="30"/>
      <c r="I1478" s="36" t="str">
        <f t="shared" si="235"/>
        <v/>
      </c>
      <c r="J1478" s="34" t="str">
        <f t="shared" si="236"/>
        <v/>
      </c>
      <c r="K1478" s="49"/>
      <c r="L1478" s="55" t="str">
        <f t="shared" si="237"/>
        <v/>
      </c>
      <c r="M1478" s="54" t="str">
        <f t="shared" si="238"/>
        <v/>
      </c>
      <c r="N1478" s="30"/>
      <c r="O1478" s="31"/>
      <c r="P1478" s="53"/>
      <c r="Q1478" s="33"/>
      <c r="R1478" s="54" t="str">
        <f t="shared" si="239"/>
        <v/>
      </c>
      <c r="S1478" s="30"/>
      <c r="T1478" s="33"/>
    </row>
    <row r="1479" spans="1:20" x14ac:dyDescent="0.25">
      <c r="A1479" s="30"/>
      <c r="B1479" s="37" t="str">
        <f t="shared" si="230"/>
        <v/>
      </c>
      <c r="C1479" s="30"/>
      <c r="D1479" s="34" t="str">
        <f t="shared" si="231"/>
        <v/>
      </c>
      <c r="E1479" s="34" t="str">
        <f t="shared" si="232"/>
        <v/>
      </c>
      <c r="F1479" s="34" t="str">
        <f t="shared" si="233"/>
        <v/>
      </c>
      <c r="G1479" s="35" t="str">
        <f t="shared" si="234"/>
        <v/>
      </c>
      <c r="H1479" s="30"/>
      <c r="I1479" s="36" t="str">
        <f t="shared" si="235"/>
        <v/>
      </c>
      <c r="J1479" s="34" t="str">
        <f t="shared" si="236"/>
        <v/>
      </c>
      <c r="K1479" s="49"/>
      <c r="L1479" s="55" t="str">
        <f t="shared" si="237"/>
        <v/>
      </c>
      <c r="M1479" s="54" t="str">
        <f t="shared" si="238"/>
        <v/>
      </c>
      <c r="N1479" s="30"/>
      <c r="O1479" s="31"/>
      <c r="P1479" s="53"/>
      <c r="Q1479" s="33"/>
      <c r="R1479" s="54" t="str">
        <f t="shared" si="239"/>
        <v/>
      </c>
      <c r="S1479" s="30"/>
      <c r="T1479" s="33"/>
    </row>
    <row r="1480" spans="1:20" x14ac:dyDescent="0.25">
      <c r="A1480" s="30"/>
      <c r="B1480" s="37" t="str">
        <f t="shared" si="230"/>
        <v/>
      </c>
      <c r="C1480" s="30"/>
      <c r="D1480" s="34" t="str">
        <f t="shared" si="231"/>
        <v/>
      </c>
      <c r="E1480" s="34" t="str">
        <f t="shared" si="232"/>
        <v/>
      </c>
      <c r="F1480" s="34" t="str">
        <f t="shared" si="233"/>
        <v/>
      </c>
      <c r="G1480" s="35" t="str">
        <f t="shared" si="234"/>
        <v/>
      </c>
      <c r="H1480" s="30"/>
      <c r="I1480" s="36" t="str">
        <f t="shared" si="235"/>
        <v/>
      </c>
      <c r="J1480" s="34" t="str">
        <f t="shared" si="236"/>
        <v/>
      </c>
      <c r="K1480" s="49"/>
      <c r="L1480" s="55" t="str">
        <f t="shared" si="237"/>
        <v/>
      </c>
      <c r="M1480" s="54" t="str">
        <f t="shared" si="238"/>
        <v/>
      </c>
      <c r="N1480" s="30"/>
      <c r="O1480" s="31"/>
      <c r="P1480" s="53"/>
      <c r="Q1480" s="33"/>
      <c r="R1480" s="54" t="str">
        <f t="shared" si="239"/>
        <v/>
      </c>
      <c r="S1480" s="30"/>
      <c r="T1480" s="33"/>
    </row>
    <row r="1481" spans="1:20" x14ac:dyDescent="0.25">
      <c r="A1481" s="30"/>
      <c r="B1481" s="37" t="str">
        <f t="shared" si="230"/>
        <v/>
      </c>
      <c r="C1481" s="30"/>
      <c r="D1481" s="34" t="str">
        <f t="shared" si="231"/>
        <v/>
      </c>
      <c r="E1481" s="34" t="str">
        <f t="shared" si="232"/>
        <v/>
      </c>
      <c r="F1481" s="34" t="str">
        <f t="shared" si="233"/>
        <v/>
      </c>
      <c r="G1481" s="35" t="str">
        <f t="shared" si="234"/>
        <v/>
      </c>
      <c r="H1481" s="30"/>
      <c r="I1481" s="36" t="str">
        <f t="shared" si="235"/>
        <v/>
      </c>
      <c r="J1481" s="34" t="str">
        <f t="shared" si="236"/>
        <v/>
      </c>
      <c r="K1481" s="49"/>
      <c r="L1481" s="55" t="str">
        <f t="shared" si="237"/>
        <v/>
      </c>
      <c r="M1481" s="54" t="str">
        <f t="shared" si="238"/>
        <v/>
      </c>
      <c r="N1481" s="30"/>
      <c r="O1481" s="31"/>
      <c r="P1481" s="53"/>
      <c r="Q1481" s="33"/>
      <c r="R1481" s="54" t="str">
        <f t="shared" si="239"/>
        <v/>
      </c>
      <c r="S1481" s="30"/>
      <c r="T1481" s="33"/>
    </row>
    <row r="1482" spans="1:20" x14ac:dyDescent="0.25">
      <c r="A1482" s="30"/>
      <c r="B1482" s="37" t="str">
        <f t="shared" si="230"/>
        <v/>
      </c>
      <c r="C1482" s="30"/>
      <c r="D1482" s="34" t="str">
        <f t="shared" si="231"/>
        <v/>
      </c>
      <c r="E1482" s="34" t="str">
        <f t="shared" si="232"/>
        <v/>
      </c>
      <c r="F1482" s="34" t="str">
        <f t="shared" si="233"/>
        <v/>
      </c>
      <c r="G1482" s="35" t="str">
        <f t="shared" si="234"/>
        <v/>
      </c>
      <c r="H1482" s="30"/>
      <c r="I1482" s="36" t="str">
        <f t="shared" si="235"/>
        <v/>
      </c>
      <c r="J1482" s="34" t="str">
        <f t="shared" si="236"/>
        <v/>
      </c>
      <c r="K1482" s="49"/>
      <c r="L1482" s="55" t="str">
        <f t="shared" si="237"/>
        <v/>
      </c>
      <c r="M1482" s="54" t="str">
        <f t="shared" si="238"/>
        <v/>
      </c>
      <c r="N1482" s="30"/>
      <c r="O1482" s="31"/>
      <c r="P1482" s="53"/>
      <c r="Q1482" s="33"/>
      <c r="R1482" s="54" t="str">
        <f t="shared" si="239"/>
        <v/>
      </c>
      <c r="S1482" s="30"/>
      <c r="T1482" s="33"/>
    </row>
    <row r="1483" spans="1:20" x14ac:dyDescent="0.25">
      <c r="A1483" s="30"/>
      <c r="B1483" s="37" t="str">
        <f t="shared" si="230"/>
        <v/>
      </c>
      <c r="C1483" s="30"/>
      <c r="D1483" s="34" t="str">
        <f t="shared" si="231"/>
        <v/>
      </c>
      <c r="E1483" s="34" t="str">
        <f t="shared" si="232"/>
        <v/>
      </c>
      <c r="F1483" s="34" t="str">
        <f t="shared" si="233"/>
        <v/>
      </c>
      <c r="G1483" s="35" t="str">
        <f t="shared" si="234"/>
        <v/>
      </c>
      <c r="H1483" s="30"/>
      <c r="I1483" s="36" t="str">
        <f t="shared" si="235"/>
        <v/>
      </c>
      <c r="J1483" s="34" t="str">
        <f t="shared" si="236"/>
        <v/>
      </c>
      <c r="K1483" s="49"/>
      <c r="L1483" s="55" t="str">
        <f t="shared" si="237"/>
        <v/>
      </c>
      <c r="M1483" s="54" t="str">
        <f t="shared" si="238"/>
        <v/>
      </c>
      <c r="N1483" s="30"/>
      <c r="O1483" s="31"/>
      <c r="P1483" s="53"/>
      <c r="Q1483" s="33"/>
      <c r="R1483" s="54" t="str">
        <f t="shared" si="239"/>
        <v/>
      </c>
      <c r="S1483" s="30"/>
      <c r="T1483" s="33"/>
    </row>
    <row r="1484" spans="1:20" x14ac:dyDescent="0.25">
      <c r="A1484" s="30"/>
      <c r="B1484" s="37" t="str">
        <f t="shared" si="230"/>
        <v/>
      </c>
      <c r="C1484" s="30"/>
      <c r="D1484" s="34" t="str">
        <f t="shared" si="231"/>
        <v/>
      </c>
      <c r="E1484" s="34" t="str">
        <f t="shared" si="232"/>
        <v/>
      </c>
      <c r="F1484" s="34" t="str">
        <f t="shared" si="233"/>
        <v/>
      </c>
      <c r="G1484" s="35" t="str">
        <f t="shared" si="234"/>
        <v/>
      </c>
      <c r="H1484" s="30"/>
      <c r="I1484" s="36" t="str">
        <f t="shared" si="235"/>
        <v/>
      </c>
      <c r="J1484" s="34" t="str">
        <f t="shared" si="236"/>
        <v/>
      </c>
      <c r="K1484" s="49"/>
      <c r="L1484" s="55" t="str">
        <f t="shared" si="237"/>
        <v/>
      </c>
      <c r="M1484" s="54" t="str">
        <f t="shared" si="238"/>
        <v/>
      </c>
      <c r="N1484" s="30"/>
      <c r="O1484" s="31"/>
      <c r="P1484" s="53"/>
      <c r="Q1484" s="33"/>
      <c r="R1484" s="54" t="str">
        <f t="shared" si="239"/>
        <v/>
      </c>
      <c r="S1484" s="30"/>
      <c r="T1484" s="33"/>
    </row>
    <row r="1485" spans="1:20" x14ac:dyDescent="0.25">
      <c r="A1485" s="30"/>
      <c r="B1485" s="37" t="str">
        <f t="shared" si="230"/>
        <v/>
      </c>
      <c r="C1485" s="30"/>
      <c r="D1485" s="34" t="str">
        <f t="shared" si="231"/>
        <v/>
      </c>
      <c r="E1485" s="34" t="str">
        <f t="shared" si="232"/>
        <v/>
      </c>
      <c r="F1485" s="34" t="str">
        <f t="shared" si="233"/>
        <v/>
      </c>
      <c r="G1485" s="35" t="str">
        <f t="shared" si="234"/>
        <v/>
      </c>
      <c r="H1485" s="30"/>
      <c r="I1485" s="36" t="str">
        <f t="shared" si="235"/>
        <v/>
      </c>
      <c r="J1485" s="34" t="str">
        <f t="shared" si="236"/>
        <v/>
      </c>
      <c r="K1485" s="49"/>
      <c r="L1485" s="55" t="str">
        <f t="shared" si="237"/>
        <v/>
      </c>
      <c r="M1485" s="54" t="str">
        <f t="shared" si="238"/>
        <v/>
      </c>
      <c r="N1485" s="30"/>
      <c r="O1485" s="31"/>
      <c r="P1485" s="53"/>
      <c r="Q1485" s="33"/>
      <c r="R1485" s="54" t="str">
        <f t="shared" si="239"/>
        <v/>
      </c>
      <c r="S1485" s="30"/>
      <c r="T1485" s="33"/>
    </row>
    <row r="1486" spans="1:20" x14ac:dyDescent="0.25">
      <c r="A1486" s="30"/>
      <c r="B1486" s="37" t="str">
        <f t="shared" si="230"/>
        <v/>
      </c>
      <c r="C1486" s="30"/>
      <c r="D1486" s="34" t="str">
        <f t="shared" si="231"/>
        <v/>
      </c>
      <c r="E1486" s="34" t="str">
        <f t="shared" si="232"/>
        <v/>
      </c>
      <c r="F1486" s="34" t="str">
        <f t="shared" si="233"/>
        <v/>
      </c>
      <c r="G1486" s="35" t="str">
        <f t="shared" si="234"/>
        <v/>
      </c>
      <c r="H1486" s="30"/>
      <c r="I1486" s="36" t="str">
        <f t="shared" si="235"/>
        <v/>
      </c>
      <c r="J1486" s="34" t="str">
        <f t="shared" si="236"/>
        <v/>
      </c>
      <c r="K1486" s="49"/>
      <c r="L1486" s="55" t="str">
        <f t="shared" si="237"/>
        <v/>
      </c>
      <c r="M1486" s="54" t="str">
        <f t="shared" si="238"/>
        <v/>
      </c>
      <c r="N1486" s="30"/>
      <c r="O1486" s="31"/>
      <c r="P1486" s="53"/>
      <c r="Q1486" s="33"/>
      <c r="R1486" s="54" t="str">
        <f t="shared" si="239"/>
        <v/>
      </c>
      <c r="S1486" s="30"/>
      <c r="T1486" s="33"/>
    </row>
    <row r="1487" spans="1:20" x14ac:dyDescent="0.25">
      <c r="A1487" s="30"/>
      <c r="B1487" s="37" t="str">
        <f t="shared" si="230"/>
        <v/>
      </c>
      <c r="C1487" s="30"/>
      <c r="D1487" s="34" t="str">
        <f t="shared" si="231"/>
        <v/>
      </c>
      <c r="E1487" s="34" t="str">
        <f t="shared" si="232"/>
        <v/>
      </c>
      <c r="F1487" s="34" t="str">
        <f t="shared" si="233"/>
        <v/>
      </c>
      <c r="G1487" s="35" t="str">
        <f t="shared" si="234"/>
        <v/>
      </c>
      <c r="H1487" s="30"/>
      <c r="I1487" s="36" t="str">
        <f t="shared" si="235"/>
        <v/>
      </c>
      <c r="J1487" s="34" t="str">
        <f t="shared" si="236"/>
        <v/>
      </c>
      <c r="K1487" s="49"/>
      <c r="L1487" s="55" t="str">
        <f t="shared" si="237"/>
        <v/>
      </c>
      <c r="M1487" s="54" t="str">
        <f t="shared" si="238"/>
        <v/>
      </c>
      <c r="N1487" s="30"/>
      <c r="O1487" s="31"/>
      <c r="P1487" s="53"/>
      <c r="Q1487" s="33"/>
      <c r="R1487" s="54" t="str">
        <f t="shared" si="239"/>
        <v/>
      </c>
      <c r="S1487" s="30"/>
      <c r="T1487" s="33"/>
    </row>
    <row r="1488" spans="1:20" x14ac:dyDescent="0.25">
      <c r="A1488" s="30"/>
      <c r="B1488" s="37" t="str">
        <f t="shared" si="230"/>
        <v/>
      </c>
      <c r="C1488" s="30"/>
      <c r="D1488" s="34" t="str">
        <f t="shared" si="231"/>
        <v/>
      </c>
      <c r="E1488" s="34" t="str">
        <f t="shared" si="232"/>
        <v/>
      </c>
      <c r="F1488" s="34" t="str">
        <f t="shared" si="233"/>
        <v/>
      </c>
      <c r="G1488" s="35" t="str">
        <f t="shared" si="234"/>
        <v/>
      </c>
      <c r="H1488" s="30"/>
      <c r="I1488" s="36" t="str">
        <f t="shared" si="235"/>
        <v/>
      </c>
      <c r="J1488" s="34" t="str">
        <f t="shared" si="236"/>
        <v/>
      </c>
      <c r="K1488" s="49"/>
      <c r="L1488" s="55" t="str">
        <f t="shared" si="237"/>
        <v/>
      </c>
      <c r="M1488" s="54" t="str">
        <f t="shared" si="238"/>
        <v/>
      </c>
      <c r="N1488" s="30"/>
      <c r="O1488" s="31"/>
      <c r="P1488" s="53"/>
      <c r="Q1488" s="33"/>
      <c r="R1488" s="54" t="str">
        <f t="shared" si="239"/>
        <v/>
      </c>
      <c r="S1488" s="30"/>
      <c r="T1488" s="33"/>
    </row>
    <row r="1489" spans="1:20" x14ac:dyDescent="0.25">
      <c r="A1489" s="30"/>
      <c r="B1489" s="37" t="str">
        <f t="shared" si="230"/>
        <v/>
      </c>
      <c r="C1489" s="30"/>
      <c r="D1489" s="34" t="str">
        <f t="shared" si="231"/>
        <v/>
      </c>
      <c r="E1489" s="34" t="str">
        <f t="shared" si="232"/>
        <v/>
      </c>
      <c r="F1489" s="34" t="str">
        <f t="shared" si="233"/>
        <v/>
      </c>
      <c r="G1489" s="35" t="str">
        <f t="shared" si="234"/>
        <v/>
      </c>
      <c r="H1489" s="30"/>
      <c r="I1489" s="36" t="str">
        <f t="shared" si="235"/>
        <v/>
      </c>
      <c r="J1489" s="34" t="str">
        <f t="shared" si="236"/>
        <v/>
      </c>
      <c r="K1489" s="49"/>
      <c r="L1489" s="55" t="str">
        <f t="shared" si="237"/>
        <v/>
      </c>
      <c r="M1489" s="54" t="str">
        <f t="shared" si="238"/>
        <v/>
      </c>
      <c r="N1489" s="30"/>
      <c r="O1489" s="31"/>
      <c r="P1489" s="53"/>
      <c r="Q1489" s="33"/>
      <c r="R1489" s="54" t="str">
        <f t="shared" si="239"/>
        <v/>
      </c>
      <c r="S1489" s="30"/>
      <c r="T1489" s="33"/>
    </row>
    <row r="1490" spans="1:20" x14ac:dyDescent="0.25">
      <c r="A1490" s="30"/>
      <c r="B1490" s="37" t="str">
        <f t="shared" si="230"/>
        <v/>
      </c>
      <c r="C1490" s="30"/>
      <c r="D1490" s="34" t="str">
        <f t="shared" si="231"/>
        <v/>
      </c>
      <c r="E1490" s="34" t="str">
        <f t="shared" si="232"/>
        <v/>
      </c>
      <c r="F1490" s="34" t="str">
        <f t="shared" si="233"/>
        <v/>
      </c>
      <c r="G1490" s="35" t="str">
        <f t="shared" si="234"/>
        <v/>
      </c>
      <c r="H1490" s="30"/>
      <c r="I1490" s="36" t="str">
        <f t="shared" si="235"/>
        <v/>
      </c>
      <c r="J1490" s="34" t="str">
        <f t="shared" si="236"/>
        <v/>
      </c>
      <c r="K1490" s="49"/>
      <c r="L1490" s="55" t="str">
        <f t="shared" si="237"/>
        <v/>
      </c>
      <c r="M1490" s="54" t="str">
        <f t="shared" si="238"/>
        <v/>
      </c>
      <c r="N1490" s="30"/>
      <c r="O1490" s="31"/>
      <c r="P1490" s="53"/>
      <c r="Q1490" s="33"/>
      <c r="R1490" s="54" t="str">
        <f t="shared" si="239"/>
        <v/>
      </c>
      <c r="S1490" s="30"/>
      <c r="T1490" s="33"/>
    </row>
    <row r="1491" spans="1:20" x14ac:dyDescent="0.25">
      <c r="A1491" s="30"/>
      <c r="B1491" s="37" t="str">
        <f t="shared" si="230"/>
        <v/>
      </c>
      <c r="C1491" s="30"/>
      <c r="D1491" s="34" t="str">
        <f t="shared" si="231"/>
        <v/>
      </c>
      <c r="E1491" s="34" t="str">
        <f t="shared" si="232"/>
        <v/>
      </c>
      <c r="F1491" s="34" t="str">
        <f t="shared" si="233"/>
        <v/>
      </c>
      <c r="G1491" s="35" t="str">
        <f t="shared" si="234"/>
        <v/>
      </c>
      <c r="H1491" s="30"/>
      <c r="I1491" s="36" t="str">
        <f t="shared" si="235"/>
        <v/>
      </c>
      <c r="J1491" s="34" t="str">
        <f t="shared" si="236"/>
        <v/>
      </c>
      <c r="K1491" s="49"/>
      <c r="L1491" s="55" t="str">
        <f t="shared" si="237"/>
        <v/>
      </c>
      <c r="M1491" s="54" t="str">
        <f t="shared" si="238"/>
        <v/>
      </c>
      <c r="N1491" s="30"/>
      <c r="O1491" s="31"/>
      <c r="P1491" s="53"/>
      <c r="Q1491" s="33"/>
      <c r="R1491" s="54" t="str">
        <f t="shared" si="239"/>
        <v/>
      </c>
      <c r="S1491" s="30"/>
      <c r="T1491" s="33"/>
    </row>
    <row r="1492" spans="1:20" x14ac:dyDescent="0.25">
      <c r="A1492" s="30"/>
      <c r="B1492" s="37" t="str">
        <f t="shared" si="230"/>
        <v/>
      </c>
      <c r="C1492" s="30"/>
      <c r="D1492" s="34" t="str">
        <f t="shared" si="231"/>
        <v/>
      </c>
      <c r="E1492" s="34" t="str">
        <f t="shared" si="232"/>
        <v/>
      </c>
      <c r="F1492" s="34" t="str">
        <f t="shared" si="233"/>
        <v/>
      </c>
      <c r="G1492" s="35" t="str">
        <f t="shared" si="234"/>
        <v/>
      </c>
      <c r="H1492" s="30"/>
      <c r="I1492" s="36" t="str">
        <f t="shared" si="235"/>
        <v/>
      </c>
      <c r="J1492" s="34" t="str">
        <f t="shared" si="236"/>
        <v/>
      </c>
      <c r="K1492" s="49"/>
      <c r="L1492" s="55" t="str">
        <f t="shared" si="237"/>
        <v/>
      </c>
      <c r="M1492" s="54" t="str">
        <f t="shared" si="238"/>
        <v/>
      </c>
      <c r="N1492" s="30"/>
      <c r="O1492" s="31"/>
      <c r="P1492" s="53"/>
      <c r="Q1492" s="33"/>
      <c r="R1492" s="54" t="str">
        <f t="shared" si="239"/>
        <v/>
      </c>
      <c r="S1492" s="30"/>
      <c r="T1492" s="33"/>
    </row>
    <row r="1493" spans="1:20" x14ac:dyDescent="0.25">
      <c r="A1493" s="30"/>
      <c r="B1493" s="37" t="str">
        <f t="shared" si="230"/>
        <v/>
      </c>
      <c r="C1493" s="30"/>
      <c r="D1493" s="34" t="str">
        <f t="shared" si="231"/>
        <v/>
      </c>
      <c r="E1493" s="34" t="str">
        <f t="shared" si="232"/>
        <v/>
      </c>
      <c r="F1493" s="34" t="str">
        <f t="shared" si="233"/>
        <v/>
      </c>
      <c r="G1493" s="35" t="str">
        <f t="shared" si="234"/>
        <v/>
      </c>
      <c r="H1493" s="30"/>
      <c r="I1493" s="36" t="str">
        <f t="shared" si="235"/>
        <v/>
      </c>
      <c r="J1493" s="34" t="str">
        <f t="shared" si="236"/>
        <v/>
      </c>
      <c r="K1493" s="49"/>
      <c r="L1493" s="55" t="str">
        <f t="shared" si="237"/>
        <v/>
      </c>
      <c r="M1493" s="54" t="str">
        <f t="shared" si="238"/>
        <v/>
      </c>
      <c r="N1493" s="30"/>
      <c r="O1493" s="31"/>
      <c r="P1493" s="53"/>
      <c r="Q1493" s="33"/>
      <c r="R1493" s="54" t="str">
        <f t="shared" si="239"/>
        <v/>
      </c>
      <c r="S1493" s="30"/>
      <c r="T1493" s="33"/>
    </row>
    <row r="1494" spans="1:20" x14ac:dyDescent="0.25">
      <c r="A1494" s="30"/>
      <c r="B1494" s="37" t="str">
        <f t="shared" si="230"/>
        <v/>
      </c>
      <c r="C1494" s="30"/>
      <c r="D1494" s="34" t="str">
        <f t="shared" si="231"/>
        <v/>
      </c>
      <c r="E1494" s="34" t="str">
        <f t="shared" si="232"/>
        <v/>
      </c>
      <c r="F1494" s="34" t="str">
        <f t="shared" si="233"/>
        <v/>
      </c>
      <c r="G1494" s="35" t="str">
        <f t="shared" si="234"/>
        <v/>
      </c>
      <c r="H1494" s="30"/>
      <c r="I1494" s="36" t="str">
        <f t="shared" si="235"/>
        <v/>
      </c>
      <c r="J1494" s="34" t="str">
        <f t="shared" si="236"/>
        <v/>
      </c>
      <c r="K1494" s="49"/>
      <c r="L1494" s="55" t="str">
        <f t="shared" si="237"/>
        <v/>
      </c>
      <c r="M1494" s="54" t="str">
        <f t="shared" si="238"/>
        <v/>
      </c>
      <c r="N1494" s="30"/>
      <c r="O1494" s="31"/>
      <c r="P1494" s="53"/>
      <c r="Q1494" s="33"/>
      <c r="R1494" s="54" t="str">
        <f t="shared" si="239"/>
        <v/>
      </c>
      <c r="S1494" s="30"/>
      <c r="T1494" s="33"/>
    </row>
    <row r="1495" spans="1:20" x14ac:dyDescent="0.25">
      <c r="A1495" s="30"/>
      <c r="B1495" s="37" t="str">
        <f t="shared" si="230"/>
        <v/>
      </c>
      <c r="C1495" s="30"/>
      <c r="D1495" s="34" t="str">
        <f t="shared" si="231"/>
        <v/>
      </c>
      <c r="E1495" s="34" t="str">
        <f t="shared" si="232"/>
        <v/>
      </c>
      <c r="F1495" s="34" t="str">
        <f t="shared" si="233"/>
        <v/>
      </c>
      <c r="G1495" s="35" t="str">
        <f t="shared" si="234"/>
        <v/>
      </c>
      <c r="H1495" s="30"/>
      <c r="I1495" s="36" t="str">
        <f t="shared" si="235"/>
        <v/>
      </c>
      <c r="J1495" s="34" t="str">
        <f t="shared" si="236"/>
        <v/>
      </c>
      <c r="K1495" s="49"/>
      <c r="L1495" s="55" t="str">
        <f t="shared" si="237"/>
        <v/>
      </c>
      <c r="M1495" s="54" t="str">
        <f t="shared" si="238"/>
        <v/>
      </c>
      <c r="N1495" s="30"/>
      <c r="O1495" s="31"/>
      <c r="P1495" s="53"/>
      <c r="Q1495" s="33"/>
      <c r="R1495" s="54" t="str">
        <f t="shared" si="239"/>
        <v/>
      </c>
      <c r="S1495" s="30"/>
      <c r="T1495" s="33"/>
    </row>
    <row r="1496" spans="1:20" x14ac:dyDescent="0.25">
      <c r="A1496" s="30"/>
      <c r="B1496" s="37" t="str">
        <f t="shared" si="230"/>
        <v/>
      </c>
      <c r="C1496" s="30"/>
      <c r="D1496" s="34" t="str">
        <f t="shared" si="231"/>
        <v/>
      </c>
      <c r="E1496" s="34" t="str">
        <f t="shared" si="232"/>
        <v/>
      </c>
      <c r="F1496" s="34" t="str">
        <f t="shared" si="233"/>
        <v/>
      </c>
      <c r="G1496" s="35" t="str">
        <f t="shared" si="234"/>
        <v/>
      </c>
      <c r="H1496" s="30"/>
      <c r="I1496" s="36" t="str">
        <f t="shared" si="235"/>
        <v/>
      </c>
      <c r="J1496" s="34" t="str">
        <f t="shared" si="236"/>
        <v/>
      </c>
      <c r="K1496" s="49"/>
      <c r="L1496" s="55" t="str">
        <f t="shared" si="237"/>
        <v/>
      </c>
      <c r="M1496" s="54" t="str">
        <f t="shared" si="238"/>
        <v/>
      </c>
      <c r="N1496" s="30"/>
      <c r="O1496" s="31"/>
      <c r="P1496" s="53"/>
      <c r="Q1496" s="33"/>
      <c r="R1496" s="54" t="str">
        <f t="shared" si="239"/>
        <v/>
      </c>
      <c r="S1496" s="30"/>
      <c r="T1496" s="33"/>
    </row>
    <row r="1497" spans="1:20" x14ac:dyDescent="0.25">
      <c r="A1497" s="30"/>
      <c r="B1497" s="37" t="str">
        <f t="shared" si="230"/>
        <v/>
      </c>
      <c r="C1497" s="30"/>
      <c r="D1497" s="34" t="str">
        <f t="shared" si="231"/>
        <v/>
      </c>
      <c r="E1497" s="34" t="str">
        <f t="shared" si="232"/>
        <v/>
      </c>
      <c r="F1497" s="34" t="str">
        <f t="shared" si="233"/>
        <v/>
      </c>
      <c r="G1497" s="35" t="str">
        <f t="shared" si="234"/>
        <v/>
      </c>
      <c r="H1497" s="30"/>
      <c r="I1497" s="36" t="str">
        <f t="shared" si="235"/>
        <v/>
      </c>
      <c r="J1497" s="34" t="str">
        <f t="shared" si="236"/>
        <v/>
      </c>
      <c r="K1497" s="49"/>
      <c r="L1497" s="55" t="str">
        <f t="shared" si="237"/>
        <v/>
      </c>
      <c r="M1497" s="54" t="str">
        <f t="shared" si="238"/>
        <v/>
      </c>
      <c r="N1497" s="30"/>
      <c r="O1497" s="31"/>
      <c r="P1497" s="53"/>
      <c r="Q1497" s="33"/>
      <c r="R1497" s="54" t="str">
        <f t="shared" si="239"/>
        <v/>
      </c>
      <c r="S1497" s="30"/>
      <c r="T1497" s="33"/>
    </row>
    <row r="1498" spans="1:20" x14ac:dyDescent="0.25">
      <c r="A1498" s="30"/>
      <c r="B1498" s="37" t="str">
        <f t="shared" si="230"/>
        <v/>
      </c>
      <c r="C1498" s="30"/>
      <c r="D1498" s="34" t="str">
        <f t="shared" si="231"/>
        <v/>
      </c>
      <c r="E1498" s="34" t="str">
        <f t="shared" si="232"/>
        <v/>
      </c>
      <c r="F1498" s="34" t="str">
        <f t="shared" si="233"/>
        <v/>
      </c>
      <c r="G1498" s="35" t="str">
        <f t="shared" si="234"/>
        <v/>
      </c>
      <c r="H1498" s="30"/>
      <c r="I1498" s="36" t="str">
        <f t="shared" si="235"/>
        <v/>
      </c>
      <c r="J1498" s="34" t="str">
        <f t="shared" si="236"/>
        <v/>
      </c>
      <c r="K1498" s="49"/>
      <c r="L1498" s="55" t="str">
        <f t="shared" si="237"/>
        <v/>
      </c>
      <c r="M1498" s="54" t="str">
        <f t="shared" si="238"/>
        <v/>
      </c>
      <c r="N1498" s="30"/>
      <c r="O1498" s="31"/>
      <c r="P1498" s="53"/>
      <c r="Q1498" s="33"/>
      <c r="R1498" s="54" t="str">
        <f t="shared" si="239"/>
        <v/>
      </c>
      <c r="S1498" s="30"/>
      <c r="T1498" s="33"/>
    </row>
    <row r="1499" spans="1:20" x14ac:dyDescent="0.25">
      <c r="A1499" s="30"/>
      <c r="B1499" s="37" t="str">
        <f t="shared" si="230"/>
        <v/>
      </c>
      <c r="C1499" s="30"/>
      <c r="D1499" s="34" t="str">
        <f t="shared" si="231"/>
        <v/>
      </c>
      <c r="E1499" s="34" t="str">
        <f t="shared" si="232"/>
        <v/>
      </c>
      <c r="F1499" s="34" t="str">
        <f t="shared" si="233"/>
        <v/>
      </c>
      <c r="G1499" s="35" t="str">
        <f t="shared" si="234"/>
        <v/>
      </c>
      <c r="H1499" s="30"/>
      <c r="I1499" s="36" t="str">
        <f t="shared" si="235"/>
        <v/>
      </c>
      <c r="J1499" s="34" t="str">
        <f t="shared" si="236"/>
        <v/>
      </c>
      <c r="K1499" s="49"/>
      <c r="L1499" s="55" t="str">
        <f t="shared" si="237"/>
        <v/>
      </c>
      <c r="M1499" s="54" t="str">
        <f t="shared" si="238"/>
        <v/>
      </c>
      <c r="N1499" s="30"/>
      <c r="O1499" s="31"/>
      <c r="P1499" s="53"/>
      <c r="Q1499" s="33"/>
      <c r="R1499" s="54" t="str">
        <f t="shared" si="239"/>
        <v/>
      </c>
      <c r="S1499" s="30"/>
      <c r="T1499" s="33"/>
    </row>
    <row r="1500" spans="1:20" x14ac:dyDescent="0.25">
      <c r="A1500" s="30"/>
      <c r="B1500" s="37" t="str">
        <f t="shared" si="230"/>
        <v/>
      </c>
      <c r="C1500" s="30"/>
      <c r="D1500" s="34" t="str">
        <f t="shared" si="231"/>
        <v/>
      </c>
      <c r="E1500" s="34" t="str">
        <f t="shared" si="232"/>
        <v/>
      </c>
      <c r="F1500" s="34" t="str">
        <f t="shared" si="233"/>
        <v/>
      </c>
      <c r="G1500" s="35" t="str">
        <f t="shared" si="234"/>
        <v/>
      </c>
      <c r="H1500" s="30"/>
      <c r="I1500" s="36" t="str">
        <f t="shared" si="235"/>
        <v/>
      </c>
      <c r="J1500" s="34" t="str">
        <f t="shared" si="236"/>
        <v/>
      </c>
      <c r="K1500" s="49"/>
      <c r="L1500" s="55" t="str">
        <f t="shared" si="237"/>
        <v/>
      </c>
      <c r="M1500" s="54" t="str">
        <f t="shared" si="238"/>
        <v/>
      </c>
      <c r="N1500" s="30"/>
      <c r="O1500" s="31"/>
      <c r="P1500" s="53"/>
      <c r="Q1500" s="33"/>
      <c r="R1500" s="54" t="str">
        <f t="shared" si="239"/>
        <v/>
      </c>
      <c r="S1500" s="30"/>
      <c r="T1500" s="33"/>
    </row>
    <row r="1501" spans="1:20" x14ac:dyDescent="0.25">
      <c r="A1501" s="30"/>
      <c r="B1501" s="37" t="str">
        <f t="shared" si="230"/>
        <v/>
      </c>
      <c r="C1501" s="30"/>
      <c r="D1501" s="34" t="str">
        <f t="shared" si="231"/>
        <v/>
      </c>
      <c r="E1501" s="34" t="str">
        <f t="shared" si="232"/>
        <v/>
      </c>
      <c r="F1501" s="34" t="str">
        <f t="shared" si="233"/>
        <v/>
      </c>
      <c r="G1501" s="35" t="str">
        <f t="shared" si="234"/>
        <v/>
      </c>
      <c r="H1501" s="30"/>
      <c r="I1501" s="36" t="str">
        <f t="shared" si="235"/>
        <v/>
      </c>
      <c r="J1501" s="34" t="str">
        <f t="shared" si="236"/>
        <v/>
      </c>
      <c r="K1501" s="49"/>
      <c r="L1501" s="55" t="str">
        <f t="shared" si="237"/>
        <v/>
      </c>
      <c r="M1501" s="54" t="str">
        <f t="shared" si="238"/>
        <v/>
      </c>
      <c r="N1501" s="30"/>
      <c r="O1501" s="31"/>
      <c r="P1501" s="53"/>
      <c r="Q1501" s="33"/>
      <c r="R1501" s="54" t="str">
        <f t="shared" si="239"/>
        <v/>
      </c>
      <c r="S1501" s="30"/>
      <c r="T1501" s="33"/>
    </row>
    <row r="1502" spans="1:20" x14ac:dyDescent="0.25">
      <c r="A1502" s="30"/>
      <c r="B1502" s="37" t="str">
        <f t="shared" si="230"/>
        <v/>
      </c>
      <c r="C1502" s="30"/>
      <c r="D1502" s="34" t="str">
        <f t="shared" si="231"/>
        <v/>
      </c>
      <c r="E1502" s="34" t="str">
        <f t="shared" si="232"/>
        <v/>
      </c>
      <c r="F1502" s="34" t="str">
        <f t="shared" si="233"/>
        <v/>
      </c>
      <c r="G1502" s="35" t="str">
        <f t="shared" si="234"/>
        <v/>
      </c>
      <c r="H1502" s="30"/>
      <c r="I1502" s="36" t="str">
        <f t="shared" si="235"/>
        <v/>
      </c>
      <c r="J1502" s="34" t="str">
        <f t="shared" si="236"/>
        <v/>
      </c>
      <c r="K1502" s="49"/>
      <c r="L1502" s="55" t="str">
        <f t="shared" si="237"/>
        <v/>
      </c>
      <c r="M1502" s="54" t="str">
        <f t="shared" si="238"/>
        <v/>
      </c>
      <c r="N1502" s="30"/>
      <c r="O1502" s="31"/>
      <c r="P1502" s="53"/>
      <c r="Q1502" s="33"/>
      <c r="R1502" s="54" t="str">
        <f t="shared" si="239"/>
        <v/>
      </c>
      <c r="S1502" s="30"/>
      <c r="T1502" s="33"/>
    </row>
    <row r="1503" spans="1:20" x14ac:dyDescent="0.25">
      <c r="A1503" s="30"/>
      <c r="B1503" s="37" t="str">
        <f t="shared" si="230"/>
        <v/>
      </c>
      <c r="C1503" s="30"/>
      <c r="D1503" s="34" t="str">
        <f t="shared" si="231"/>
        <v/>
      </c>
      <c r="E1503" s="34" t="str">
        <f t="shared" si="232"/>
        <v/>
      </c>
      <c r="F1503" s="34" t="str">
        <f t="shared" si="233"/>
        <v/>
      </c>
      <c r="G1503" s="35" t="str">
        <f t="shared" si="234"/>
        <v/>
      </c>
      <c r="H1503" s="30"/>
      <c r="I1503" s="36" t="str">
        <f t="shared" si="235"/>
        <v/>
      </c>
      <c r="J1503" s="34" t="str">
        <f t="shared" si="236"/>
        <v/>
      </c>
      <c r="K1503" s="49"/>
      <c r="L1503" s="55" t="str">
        <f t="shared" si="237"/>
        <v/>
      </c>
      <c r="M1503" s="54" t="str">
        <f t="shared" si="238"/>
        <v/>
      </c>
      <c r="N1503" s="30"/>
      <c r="O1503" s="31"/>
      <c r="P1503" s="53"/>
      <c r="Q1503" s="33"/>
      <c r="R1503" s="54" t="str">
        <f t="shared" si="239"/>
        <v/>
      </c>
      <c r="S1503" s="30"/>
      <c r="T1503" s="33"/>
    </row>
    <row r="1504" spans="1:20" x14ac:dyDescent="0.25">
      <c r="A1504" s="30"/>
      <c r="B1504" s="37" t="str">
        <f t="shared" si="230"/>
        <v/>
      </c>
      <c r="C1504" s="30"/>
      <c r="D1504" s="34" t="str">
        <f t="shared" si="231"/>
        <v/>
      </c>
      <c r="E1504" s="34" t="str">
        <f t="shared" si="232"/>
        <v/>
      </c>
      <c r="F1504" s="34" t="str">
        <f t="shared" si="233"/>
        <v/>
      </c>
      <c r="G1504" s="35" t="str">
        <f t="shared" si="234"/>
        <v/>
      </c>
      <c r="H1504" s="30"/>
      <c r="I1504" s="36" t="str">
        <f t="shared" si="235"/>
        <v/>
      </c>
      <c r="J1504" s="34" t="str">
        <f t="shared" si="236"/>
        <v/>
      </c>
      <c r="K1504" s="49"/>
      <c r="L1504" s="55" t="str">
        <f t="shared" si="237"/>
        <v/>
      </c>
      <c r="M1504" s="54" t="str">
        <f t="shared" si="238"/>
        <v/>
      </c>
      <c r="N1504" s="30"/>
      <c r="O1504" s="31"/>
      <c r="P1504" s="53"/>
      <c r="Q1504" s="33"/>
      <c r="R1504" s="54" t="str">
        <f t="shared" si="239"/>
        <v/>
      </c>
      <c r="S1504" s="30"/>
      <c r="T1504" s="33"/>
    </row>
    <row r="1505" spans="1:20" x14ac:dyDescent="0.25">
      <c r="A1505" s="30"/>
      <c r="B1505" s="37" t="str">
        <f t="shared" si="230"/>
        <v/>
      </c>
      <c r="C1505" s="30"/>
      <c r="D1505" s="34" t="str">
        <f t="shared" si="231"/>
        <v/>
      </c>
      <c r="E1505" s="34" t="str">
        <f t="shared" si="232"/>
        <v/>
      </c>
      <c r="F1505" s="34" t="str">
        <f t="shared" si="233"/>
        <v/>
      </c>
      <c r="G1505" s="35" t="str">
        <f t="shared" si="234"/>
        <v/>
      </c>
      <c r="H1505" s="30"/>
      <c r="I1505" s="36" t="str">
        <f t="shared" si="235"/>
        <v/>
      </c>
      <c r="J1505" s="34" t="str">
        <f t="shared" si="236"/>
        <v/>
      </c>
      <c r="K1505" s="49"/>
      <c r="L1505" s="55" t="str">
        <f t="shared" si="237"/>
        <v/>
      </c>
      <c r="M1505" s="54" t="str">
        <f t="shared" si="238"/>
        <v/>
      </c>
      <c r="N1505" s="30"/>
      <c r="O1505" s="31"/>
      <c r="P1505" s="53"/>
      <c r="Q1505" s="33"/>
      <c r="R1505" s="54" t="str">
        <f t="shared" si="239"/>
        <v/>
      </c>
      <c r="S1505" s="30"/>
      <c r="T1505" s="33"/>
    </row>
    <row r="1506" spans="1:20" x14ac:dyDescent="0.25">
      <c r="A1506" s="30"/>
      <c r="B1506" s="37" t="str">
        <f t="shared" si="230"/>
        <v/>
      </c>
      <c r="C1506" s="30"/>
      <c r="D1506" s="34" t="str">
        <f t="shared" si="231"/>
        <v/>
      </c>
      <c r="E1506" s="34" t="str">
        <f t="shared" si="232"/>
        <v/>
      </c>
      <c r="F1506" s="34" t="str">
        <f t="shared" si="233"/>
        <v/>
      </c>
      <c r="G1506" s="35" t="str">
        <f t="shared" si="234"/>
        <v/>
      </c>
      <c r="H1506" s="30"/>
      <c r="I1506" s="36" t="str">
        <f t="shared" si="235"/>
        <v/>
      </c>
      <c r="J1506" s="34" t="str">
        <f t="shared" si="236"/>
        <v/>
      </c>
      <c r="K1506" s="49"/>
      <c r="L1506" s="55" t="str">
        <f t="shared" si="237"/>
        <v/>
      </c>
      <c r="M1506" s="54" t="str">
        <f t="shared" si="238"/>
        <v/>
      </c>
      <c r="N1506" s="30"/>
      <c r="O1506" s="31"/>
      <c r="P1506" s="53"/>
      <c r="Q1506" s="33"/>
      <c r="R1506" s="54" t="str">
        <f t="shared" si="239"/>
        <v/>
      </c>
      <c r="S1506" s="30"/>
      <c r="T1506" s="33"/>
    </row>
    <row r="1507" spans="1:20" x14ac:dyDescent="0.25">
      <c r="A1507" s="30"/>
      <c r="B1507" s="37" t="str">
        <f t="shared" si="230"/>
        <v/>
      </c>
      <c r="C1507" s="30"/>
      <c r="D1507" s="34" t="str">
        <f t="shared" si="231"/>
        <v/>
      </c>
      <c r="E1507" s="34" t="str">
        <f t="shared" si="232"/>
        <v/>
      </c>
      <c r="F1507" s="34" t="str">
        <f t="shared" si="233"/>
        <v/>
      </c>
      <c r="G1507" s="35" t="str">
        <f t="shared" si="234"/>
        <v/>
      </c>
      <c r="H1507" s="30"/>
      <c r="I1507" s="36" t="str">
        <f t="shared" si="235"/>
        <v/>
      </c>
      <c r="J1507" s="34" t="str">
        <f t="shared" si="236"/>
        <v/>
      </c>
      <c r="K1507" s="49"/>
      <c r="L1507" s="55" t="str">
        <f t="shared" si="237"/>
        <v/>
      </c>
      <c r="M1507" s="54" t="str">
        <f t="shared" si="238"/>
        <v/>
      </c>
      <c r="N1507" s="30"/>
      <c r="O1507" s="31"/>
      <c r="P1507" s="53"/>
      <c r="Q1507" s="33"/>
      <c r="R1507" s="54" t="str">
        <f t="shared" si="239"/>
        <v/>
      </c>
      <c r="S1507" s="30"/>
      <c r="T1507" s="33"/>
    </row>
    <row r="1508" spans="1:20" x14ac:dyDescent="0.25">
      <c r="A1508" s="30"/>
      <c r="B1508" s="37" t="str">
        <f t="shared" si="230"/>
        <v/>
      </c>
      <c r="C1508" s="30"/>
      <c r="D1508" s="34" t="str">
        <f t="shared" si="231"/>
        <v/>
      </c>
      <c r="E1508" s="34" t="str">
        <f t="shared" si="232"/>
        <v/>
      </c>
      <c r="F1508" s="34" t="str">
        <f t="shared" si="233"/>
        <v/>
      </c>
      <c r="G1508" s="35" t="str">
        <f t="shared" si="234"/>
        <v/>
      </c>
      <c r="H1508" s="30"/>
      <c r="I1508" s="36" t="str">
        <f t="shared" si="235"/>
        <v/>
      </c>
      <c r="J1508" s="34" t="str">
        <f t="shared" si="236"/>
        <v/>
      </c>
      <c r="K1508" s="49"/>
      <c r="L1508" s="55" t="str">
        <f t="shared" si="237"/>
        <v/>
      </c>
      <c r="M1508" s="54" t="str">
        <f t="shared" si="238"/>
        <v/>
      </c>
      <c r="N1508" s="30"/>
      <c r="O1508" s="31"/>
      <c r="P1508" s="53"/>
      <c r="Q1508" s="33"/>
      <c r="R1508" s="54" t="str">
        <f t="shared" si="239"/>
        <v/>
      </c>
      <c r="S1508" s="30"/>
      <c r="T1508" s="33"/>
    </row>
    <row r="1509" spans="1:20" x14ac:dyDescent="0.25">
      <c r="A1509" s="30"/>
      <c r="B1509" s="37" t="str">
        <f t="shared" si="230"/>
        <v/>
      </c>
      <c r="C1509" s="30"/>
      <c r="D1509" s="34" t="str">
        <f t="shared" si="231"/>
        <v/>
      </c>
      <c r="E1509" s="34" t="str">
        <f t="shared" si="232"/>
        <v/>
      </c>
      <c r="F1509" s="34" t="str">
        <f t="shared" si="233"/>
        <v/>
      </c>
      <c r="G1509" s="35" t="str">
        <f t="shared" si="234"/>
        <v/>
      </c>
      <c r="H1509" s="30"/>
      <c r="I1509" s="36" t="str">
        <f t="shared" si="235"/>
        <v/>
      </c>
      <c r="J1509" s="34" t="str">
        <f t="shared" si="236"/>
        <v/>
      </c>
      <c r="K1509" s="49"/>
      <c r="L1509" s="55" t="str">
        <f t="shared" si="237"/>
        <v/>
      </c>
      <c r="M1509" s="54" t="str">
        <f t="shared" si="238"/>
        <v/>
      </c>
      <c r="N1509" s="30"/>
      <c r="O1509" s="31"/>
      <c r="P1509" s="53"/>
      <c r="Q1509" s="33"/>
      <c r="R1509" s="54" t="str">
        <f t="shared" si="239"/>
        <v/>
      </c>
      <c r="S1509" s="30"/>
      <c r="T1509" s="33"/>
    </row>
    <row r="1510" spans="1:20" x14ac:dyDescent="0.25">
      <c r="A1510" s="30"/>
      <c r="B1510" s="37" t="str">
        <f t="shared" si="230"/>
        <v/>
      </c>
      <c r="C1510" s="30"/>
      <c r="D1510" s="34" t="str">
        <f t="shared" si="231"/>
        <v/>
      </c>
      <c r="E1510" s="34" t="str">
        <f t="shared" si="232"/>
        <v/>
      </c>
      <c r="F1510" s="34" t="str">
        <f t="shared" si="233"/>
        <v/>
      </c>
      <c r="G1510" s="35" t="str">
        <f t="shared" si="234"/>
        <v/>
      </c>
      <c r="H1510" s="30"/>
      <c r="I1510" s="36" t="str">
        <f t="shared" si="235"/>
        <v/>
      </c>
      <c r="J1510" s="34" t="str">
        <f t="shared" si="236"/>
        <v/>
      </c>
      <c r="K1510" s="49"/>
      <c r="L1510" s="55" t="str">
        <f t="shared" si="237"/>
        <v/>
      </c>
      <c r="M1510" s="54" t="str">
        <f t="shared" si="238"/>
        <v/>
      </c>
      <c r="N1510" s="30"/>
      <c r="O1510" s="31"/>
      <c r="P1510" s="53"/>
      <c r="Q1510" s="33"/>
      <c r="R1510" s="54" t="str">
        <f t="shared" si="239"/>
        <v/>
      </c>
      <c r="S1510" s="30"/>
      <c r="T1510" s="33"/>
    </row>
    <row r="1511" spans="1:20" x14ac:dyDescent="0.25">
      <c r="A1511" s="30"/>
      <c r="B1511" s="37" t="str">
        <f t="shared" si="230"/>
        <v/>
      </c>
      <c r="C1511" s="30"/>
      <c r="D1511" s="34" t="str">
        <f t="shared" si="231"/>
        <v/>
      </c>
      <c r="E1511" s="34" t="str">
        <f t="shared" si="232"/>
        <v/>
      </c>
      <c r="F1511" s="34" t="str">
        <f t="shared" si="233"/>
        <v/>
      </c>
      <c r="G1511" s="35" t="str">
        <f t="shared" si="234"/>
        <v/>
      </c>
      <c r="H1511" s="30"/>
      <c r="I1511" s="36" t="str">
        <f t="shared" si="235"/>
        <v/>
      </c>
      <c r="J1511" s="34" t="str">
        <f t="shared" si="236"/>
        <v/>
      </c>
      <c r="K1511" s="49"/>
      <c r="L1511" s="55" t="str">
        <f t="shared" si="237"/>
        <v/>
      </c>
      <c r="M1511" s="54" t="str">
        <f t="shared" si="238"/>
        <v/>
      </c>
      <c r="N1511" s="30"/>
      <c r="O1511" s="31"/>
      <c r="P1511" s="53"/>
      <c r="Q1511" s="33"/>
      <c r="R1511" s="54" t="str">
        <f t="shared" si="239"/>
        <v/>
      </c>
      <c r="S1511" s="30"/>
      <c r="T1511" s="33"/>
    </row>
    <row r="1512" spans="1:20" x14ac:dyDescent="0.25">
      <c r="A1512" s="30"/>
      <c r="B1512" s="37" t="str">
        <f t="shared" si="230"/>
        <v/>
      </c>
      <c r="C1512" s="30"/>
      <c r="D1512" s="34" t="str">
        <f t="shared" si="231"/>
        <v/>
      </c>
      <c r="E1512" s="34" t="str">
        <f t="shared" si="232"/>
        <v/>
      </c>
      <c r="F1512" s="34" t="str">
        <f t="shared" si="233"/>
        <v/>
      </c>
      <c r="G1512" s="35" t="str">
        <f t="shared" si="234"/>
        <v/>
      </c>
      <c r="H1512" s="30"/>
      <c r="I1512" s="36" t="str">
        <f t="shared" si="235"/>
        <v/>
      </c>
      <c r="J1512" s="34" t="str">
        <f t="shared" si="236"/>
        <v/>
      </c>
      <c r="K1512" s="49"/>
      <c r="L1512" s="55" t="str">
        <f t="shared" si="237"/>
        <v/>
      </c>
      <c r="M1512" s="54" t="str">
        <f t="shared" si="238"/>
        <v/>
      </c>
      <c r="N1512" s="30"/>
      <c r="O1512" s="31"/>
      <c r="P1512" s="53"/>
      <c r="Q1512" s="33"/>
      <c r="R1512" s="54" t="str">
        <f t="shared" si="239"/>
        <v/>
      </c>
      <c r="S1512" s="30"/>
      <c r="T1512" s="33"/>
    </row>
  </sheetData>
  <autoFilter ref="A4:T4"/>
  <mergeCells count="34">
    <mergeCell ref="W44:AB44"/>
    <mergeCell ref="W49:AB49"/>
    <mergeCell ref="W25:AB25"/>
    <mergeCell ref="W34:AB34"/>
    <mergeCell ref="W10:AB10"/>
    <mergeCell ref="W24:AB24"/>
    <mergeCell ref="W15:AB15"/>
    <mergeCell ref="W33:AB33"/>
    <mergeCell ref="W30:AB30"/>
    <mergeCell ref="W26:AB26"/>
    <mergeCell ref="A1:T1"/>
    <mergeCell ref="W21:AB21"/>
    <mergeCell ref="W18:AB18"/>
    <mergeCell ref="W9:AB9"/>
    <mergeCell ref="W39:AB39"/>
    <mergeCell ref="W8:AB8"/>
    <mergeCell ref="W2:AB2"/>
    <mergeCell ref="W11:AB11"/>
    <mergeCell ref="W29:AB29"/>
    <mergeCell ref="W23:AB23"/>
    <mergeCell ref="W14:AB14"/>
    <mergeCell ref="W28:AB28"/>
    <mergeCell ref="W19:AB19"/>
    <mergeCell ref="A2:T2"/>
    <mergeCell ref="W4:AB4"/>
    <mergeCell ref="W13:AB13"/>
    <mergeCell ref="W35:AB35"/>
    <mergeCell ref="W1:AB1"/>
    <mergeCell ref="W32:AB32"/>
    <mergeCell ref="W3:AB3"/>
    <mergeCell ref="W31:AB31"/>
    <mergeCell ref="W22:AB22"/>
    <mergeCell ref="W16:AB16"/>
    <mergeCell ref="W6:AB6"/>
  </mergeCells>
  <conditionalFormatting sqref="A5:A34">
    <cfRule type="expression" dxfId="43" priority="3">
      <formula>AND($A5&lt;&gt;"",COUNTIF(CAD_ID,$A5)=0)</formula>
    </cfRule>
    <cfRule type="expression" dxfId="42" priority="4">
      <formula>AND($A5&lt;&gt;"",COUNTIF($A$5:$A$616,$A5)&gt;1)</formula>
    </cfRule>
  </conditionalFormatting>
  <conditionalFormatting sqref="A5:A618">
    <cfRule type="expression" dxfId="41" priority="54">
      <formula>AND(A5&lt;&gt;"",LEN(A5)=8,MID(A5,4,1)="-",ISNUMBER(VALUE(RIGHT(A5,4))))</formula>
    </cfRule>
  </conditionalFormatting>
  <conditionalFormatting sqref="C5:C618">
    <cfRule type="expression" dxfId="40" priority="55">
      <formula>AND(C5="",OR(A5&lt;&gt;"",H5&lt;&gt;"",K5&lt;&gt;""))</formula>
    </cfRule>
  </conditionalFormatting>
  <conditionalFormatting sqref="C5:C1512">
    <cfRule type="expression" dxfId="39" priority="12">
      <formula>AND($C5&lt;&gt;"",COUNTIF(OS_ID,$C5)=0)</formula>
    </cfRule>
  </conditionalFormatting>
  <conditionalFormatting sqref="I5:I1512">
    <cfRule type="cellIs" dxfId="38" priority="11" operator="equal">
      <formula>"CÓDIGO NÃO ENCONTRADO"</formula>
    </cfRule>
  </conditionalFormatting>
  <conditionalFormatting sqref="N5:N1512">
    <cfRule type="cellIs" dxfId="37" priority="13" operator="equal">
      <formula>"GLOSADA"</formula>
    </cfRule>
    <cfRule type="cellIs" dxfId="36" priority="14" operator="equal">
      <formula>"PAGA"</formula>
    </cfRule>
  </conditionalFormatting>
  <conditionalFormatting sqref="A35:A74">
    <cfRule type="expression" dxfId="35" priority="1">
      <formula>AND($A35&lt;&gt;"",COUNTIF(CAD_ID,$A35)=0)</formula>
    </cfRule>
    <cfRule type="expression" dxfId="34" priority="2">
      <formula>AND($A35&lt;&gt;"",COUNTIF($A$5:$A$616,$A35)&gt;1)</formula>
    </cfRule>
  </conditionalFormatting>
  <dataValidations count="3">
    <dataValidation type="list" allowBlank="1" showInputMessage="1" errorTitle="Entrada invalida" error="Valor fora da lista padronizada. Use a seta para escolher." promptTitle="Status" prompt="A MEDIR → MEDIDA → APRESENTADA → APROVADA/GLOSADA → PAGA" sqref="N5:N1512">
      <formula1>LST_STATUS_MED</formula1>
    </dataValidation>
    <dataValidation type="list" allowBlank="1" errorTitle="Entrada invalida" error="Valor fora da lista padronizada. Use a seta para escolher." sqref="S5:S1512">
      <formula1>LST_SN</formula1>
    </dataValidation>
    <dataValidation type="decimal" allowBlank="1" errorTitle="Valor invalido" error="Informe um numero entre 0 e 10000." sqref="K5:K1512">
      <formula1>0</formula1>
      <formula2>10000</formula2>
    </dataValidation>
  </dataValidations>
  <printOptions horizontalCentered="1"/>
  <pageMargins left="0.3" right="0.3" top="0.5" bottom="0.5" header="0.5" footer="0.5"/>
  <pageSetup paperSize="9" fitToHeight="0" orientation="landscape"/>
  <headerFooter>
    <oddFooter>&amp;L&amp;8 WCR Saneamento — Controle Operacional SABESP&amp;R&amp;8 Página &amp;P de &amp;N</oddFooter>
  </headerFooter>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2E75B6"/>
    <pageSetUpPr fitToPage="1"/>
  </sheetPr>
  <dimension ref="A1:Y304"/>
  <sheetViews>
    <sheetView showGridLines="0" workbookViewId="0">
      <pane ySplit="4" topLeftCell="A5" activePane="bottomLeft" state="frozen"/>
      <selection sqref="A1:T1"/>
      <selection pane="bottomLeft" activeCell="A15" sqref="A15"/>
    </sheetView>
  </sheetViews>
  <sheetFormatPr defaultRowHeight="15" x14ac:dyDescent="0.25"/>
  <cols>
    <col min="1" max="2" width="11" style="109" customWidth="1"/>
    <col min="3" max="3" width="12" style="109" customWidth="1"/>
    <col min="4" max="5" width="13" style="109" customWidth="1"/>
    <col min="6" max="6" width="15" style="109" customWidth="1"/>
    <col min="7" max="7" width="11" style="109" customWidth="1"/>
    <col min="8" max="8" width="12" style="109" customWidth="1"/>
    <col min="9" max="9" width="10" style="109" customWidth="1"/>
    <col min="10" max="10" width="12" style="109" customWidth="1"/>
    <col min="11" max="11" width="14" style="109" customWidth="1"/>
    <col min="12" max="12" width="46" style="109" customWidth="1"/>
    <col min="13" max="14" width="34" style="109" customWidth="1"/>
    <col min="15" max="15" width="18" style="109" customWidth="1"/>
    <col min="16" max="16" width="22" style="109" customWidth="1"/>
    <col min="17" max="17" width="30" style="109" customWidth="1"/>
    <col min="20" max="25" width="10.42578125" style="109" customWidth="1"/>
  </cols>
  <sheetData>
    <row r="1" spans="1:25" ht="26.1" customHeight="1" x14ac:dyDescent="0.25">
      <c r="A1" s="151" t="s">
        <v>2793</v>
      </c>
      <c r="B1" s="149"/>
      <c r="C1" s="149"/>
      <c r="D1" s="149"/>
      <c r="E1" s="149"/>
      <c r="F1" s="149"/>
      <c r="G1" s="149"/>
      <c r="H1" s="149"/>
      <c r="I1" s="149"/>
      <c r="J1" s="149"/>
      <c r="K1" s="149"/>
      <c r="L1" s="149"/>
      <c r="M1" s="149"/>
      <c r="N1" s="149"/>
      <c r="O1" s="149"/>
      <c r="P1" s="149"/>
      <c r="Q1" s="149"/>
      <c r="T1" s="154" t="s">
        <v>280</v>
      </c>
      <c r="U1" s="155"/>
      <c r="V1" s="155"/>
      <c r="W1" s="155"/>
      <c r="X1" s="155"/>
      <c r="Y1" s="156"/>
    </row>
    <row r="2" spans="1:25" ht="14.1" customHeight="1" x14ac:dyDescent="0.25">
      <c r="A2" s="153" t="s">
        <v>2794</v>
      </c>
      <c r="B2" s="149"/>
      <c r="C2" s="149"/>
      <c r="D2" s="149"/>
      <c r="E2" s="149"/>
      <c r="F2" s="149"/>
      <c r="G2" s="149"/>
      <c r="H2" s="149"/>
      <c r="I2" s="149"/>
      <c r="J2" s="149"/>
      <c r="K2" s="149"/>
      <c r="L2" s="149"/>
      <c r="M2" s="149"/>
      <c r="N2" s="149"/>
      <c r="O2" s="149"/>
      <c r="P2" s="149"/>
      <c r="Q2" s="149"/>
      <c r="T2" s="158" t="s">
        <v>166</v>
      </c>
      <c r="U2" s="155"/>
      <c r="V2" s="155"/>
      <c r="W2" s="155"/>
      <c r="X2" s="155"/>
      <c r="Y2" s="156"/>
    </row>
    <row r="3" spans="1:25" x14ac:dyDescent="0.25">
      <c r="T3" s="157" t="s">
        <v>167</v>
      </c>
      <c r="U3" s="155"/>
      <c r="V3" s="155"/>
      <c r="W3" s="155"/>
      <c r="X3" s="155"/>
      <c r="Y3" s="156"/>
    </row>
    <row r="4" spans="1:25" ht="32.1" customHeight="1" x14ac:dyDescent="0.25">
      <c r="A4" s="46" t="s">
        <v>2599</v>
      </c>
      <c r="B4" s="46" t="s">
        <v>2536</v>
      </c>
      <c r="C4" s="46" t="s">
        <v>591</v>
      </c>
      <c r="D4" s="46" t="s">
        <v>2795</v>
      </c>
      <c r="E4" s="46" t="s">
        <v>2796</v>
      </c>
      <c r="F4" s="46" t="s">
        <v>2797</v>
      </c>
      <c r="G4" s="46" t="s">
        <v>2798</v>
      </c>
      <c r="H4" s="46" t="s">
        <v>2799</v>
      </c>
      <c r="I4" s="46" t="s">
        <v>2800</v>
      </c>
      <c r="J4" s="46" t="s">
        <v>2801</v>
      </c>
      <c r="K4" s="46" t="s">
        <v>2646</v>
      </c>
      <c r="L4" s="46" t="s">
        <v>2802</v>
      </c>
      <c r="M4" s="46" t="s">
        <v>2803</v>
      </c>
      <c r="N4" s="46" t="s">
        <v>2804</v>
      </c>
      <c r="O4" s="46" t="s">
        <v>2805</v>
      </c>
      <c r="P4" s="46" t="s">
        <v>2806</v>
      </c>
      <c r="Q4" s="46" t="s">
        <v>561</v>
      </c>
      <c r="T4" s="157" t="s">
        <v>168</v>
      </c>
      <c r="U4" s="155"/>
      <c r="V4" s="155"/>
      <c r="W4" s="155"/>
      <c r="X4" s="155"/>
      <c r="Y4" s="156"/>
    </row>
    <row r="5" spans="1:25" x14ac:dyDescent="0.25">
      <c r="A5" s="29" t="str">
        <f t="shared" ref="A5:A68" si="0">IF($B5="","",LEFT($C5,3)&amp;"-"&amp;TEXT(ROW()-4,"0000"))</f>
        <v>Ber-0001</v>
      </c>
      <c r="B5" s="31">
        <v>46266</v>
      </c>
      <c r="C5" s="30" t="s">
        <v>2437</v>
      </c>
      <c r="D5" s="30" t="s">
        <v>649</v>
      </c>
      <c r="E5" s="30" t="s">
        <v>649</v>
      </c>
      <c r="F5" s="30" t="s">
        <v>2807</v>
      </c>
      <c r="G5" s="11">
        <f t="shared" ref="G5:G68" si="1">IF($B5="","",SUMIFS(APT_PESSOAS,APT_DATA,$B5,APT_CONTR,$C5))</f>
        <v>9</v>
      </c>
      <c r="H5" s="11">
        <f t="shared" ref="H5:H68" si="2">IF($B5="","",COUNTIFS(APT_DATA,$B5,APT_CONTR,$C5))</f>
        <v>1</v>
      </c>
      <c r="I5" s="65">
        <f t="shared" ref="I5:I68" si="3">IF($B5="","",SUMIFS(APT_HH,APT_DATA,$B5,APT_CONTR,$C5))</f>
        <v>72</v>
      </c>
      <c r="J5" s="11">
        <f t="shared" ref="J5:J68" si="4">IF($B5="","",COUNTIFS(OS_FIM,$B5,OS_CONTR,$C5))</f>
        <v>0</v>
      </c>
      <c r="K5" s="55">
        <f t="shared" ref="K5:K68" si="5">IF($B5="","",SUMIFS(MED_VLR,MED_DATA,$B5,MED_CONTR,$C5))</f>
        <v>0</v>
      </c>
      <c r="L5" s="33" t="s">
        <v>2654</v>
      </c>
      <c r="M5" s="33"/>
      <c r="N5" s="36" t="str">
        <f t="shared" ref="N5:N68" si="6">IF($B5="","",IF(COUNTIFS(OC_DATA,$B5,OC_CONTR,$C5)=0,"Sem ocorrências",COUNTIFS(OC_DATA,$B5,OC_CONTR,$C5)&amp;" ocorrência(s) — ver aba 11"))</f>
        <v>1 ocorrência(s) — ver aba 11</v>
      </c>
      <c r="O5" s="30"/>
      <c r="P5" s="33" t="s">
        <v>2808</v>
      </c>
      <c r="Q5" s="33"/>
      <c r="T5" s="157" t="s">
        <v>169</v>
      </c>
      <c r="U5" s="155"/>
      <c r="V5" s="155"/>
      <c r="W5" s="155"/>
      <c r="X5" s="155"/>
      <c r="Y5" s="156"/>
    </row>
    <row r="6" spans="1:25" x14ac:dyDescent="0.25">
      <c r="A6" s="29" t="str">
        <f t="shared" si="0"/>
        <v>Ber-0002</v>
      </c>
      <c r="B6" s="31">
        <v>46267</v>
      </c>
      <c r="C6" s="30" t="s">
        <v>2437</v>
      </c>
      <c r="D6" s="30" t="s">
        <v>649</v>
      </c>
      <c r="E6" s="30" t="s">
        <v>2809</v>
      </c>
      <c r="F6" s="30" t="s">
        <v>2807</v>
      </c>
      <c r="G6" s="11">
        <f t="shared" si="1"/>
        <v>9</v>
      </c>
      <c r="H6" s="11">
        <f t="shared" si="2"/>
        <v>1</v>
      </c>
      <c r="I6" s="65">
        <f t="shared" si="3"/>
        <v>72</v>
      </c>
      <c r="J6" s="11">
        <f t="shared" si="4"/>
        <v>0</v>
      </c>
      <c r="K6" s="55">
        <f t="shared" si="5"/>
        <v>0</v>
      </c>
      <c r="L6" s="33" t="s">
        <v>2810</v>
      </c>
      <c r="M6" s="33"/>
      <c r="N6" s="36" t="str">
        <f t="shared" si="6"/>
        <v>1 ocorrência(s) — ver aba 11</v>
      </c>
      <c r="O6" s="30"/>
      <c r="P6" s="33" t="s">
        <v>2808</v>
      </c>
      <c r="Q6" s="33"/>
      <c r="T6" s="157" t="s">
        <v>170</v>
      </c>
      <c r="U6" s="155"/>
      <c r="V6" s="155"/>
      <c r="W6" s="155"/>
      <c r="X6" s="155"/>
      <c r="Y6" s="156"/>
    </row>
    <row r="7" spans="1:25" x14ac:dyDescent="0.25">
      <c r="A7" s="29" t="str">
        <f t="shared" si="0"/>
        <v>Ber-0003</v>
      </c>
      <c r="B7" s="31">
        <v>46268</v>
      </c>
      <c r="C7" s="30" t="s">
        <v>2437</v>
      </c>
      <c r="D7" s="30" t="s">
        <v>2811</v>
      </c>
      <c r="E7" s="30" t="s">
        <v>2811</v>
      </c>
      <c r="F7" s="30" t="s">
        <v>2812</v>
      </c>
      <c r="G7" s="11">
        <f t="shared" si="1"/>
        <v>8</v>
      </c>
      <c r="H7" s="11">
        <f t="shared" si="2"/>
        <v>1</v>
      </c>
      <c r="I7" s="65">
        <f t="shared" si="3"/>
        <v>64</v>
      </c>
      <c r="J7" s="11">
        <f t="shared" si="4"/>
        <v>7</v>
      </c>
      <c r="K7" s="55">
        <f t="shared" si="5"/>
        <v>7199.2100000000009</v>
      </c>
      <c r="L7" s="33" t="s">
        <v>2813</v>
      </c>
      <c r="M7" s="33"/>
      <c r="N7" s="36" t="str">
        <f t="shared" si="6"/>
        <v>Sem ocorrências</v>
      </c>
      <c r="O7" s="30"/>
      <c r="P7" s="33" t="s">
        <v>2808</v>
      </c>
      <c r="Q7" s="33"/>
      <c r="T7" s="157" t="s">
        <v>171</v>
      </c>
      <c r="U7" s="155"/>
      <c r="V7" s="155"/>
      <c r="W7" s="155"/>
      <c r="X7" s="155"/>
      <c r="Y7" s="156"/>
    </row>
    <row r="8" spans="1:25" x14ac:dyDescent="0.25">
      <c r="A8" s="29" t="str">
        <f t="shared" si="0"/>
        <v>Ber-0004</v>
      </c>
      <c r="B8" s="31">
        <v>46269</v>
      </c>
      <c r="C8" s="30" t="s">
        <v>2437</v>
      </c>
      <c r="D8" s="30" t="s">
        <v>2811</v>
      </c>
      <c r="E8" s="30" t="s">
        <v>2811</v>
      </c>
      <c r="F8" s="30" t="s">
        <v>2811</v>
      </c>
      <c r="G8" s="11">
        <f t="shared" si="1"/>
        <v>9</v>
      </c>
      <c r="H8" s="11">
        <f t="shared" si="2"/>
        <v>1</v>
      </c>
      <c r="I8" s="65">
        <f t="shared" si="3"/>
        <v>72</v>
      </c>
      <c r="J8" s="11">
        <f t="shared" si="4"/>
        <v>4</v>
      </c>
      <c r="K8" s="55">
        <f t="shared" si="5"/>
        <v>3316.09</v>
      </c>
      <c r="L8" s="33" t="s">
        <v>2813</v>
      </c>
      <c r="M8" s="33"/>
      <c r="N8" s="36" t="str">
        <f t="shared" si="6"/>
        <v>Sem ocorrências</v>
      </c>
      <c r="O8" s="30"/>
      <c r="P8" s="33" t="s">
        <v>2808</v>
      </c>
      <c r="Q8" s="33"/>
      <c r="T8" s="157" t="s">
        <v>172</v>
      </c>
      <c r="U8" s="155"/>
      <c r="V8" s="155"/>
      <c r="W8" s="155"/>
      <c r="X8" s="155"/>
      <c r="Y8" s="156"/>
    </row>
    <row r="9" spans="1:25" x14ac:dyDescent="0.25">
      <c r="A9" s="29" t="str">
        <f t="shared" si="0"/>
        <v>Ber-0005</v>
      </c>
      <c r="B9" s="31">
        <v>46273</v>
      </c>
      <c r="C9" s="30" t="s">
        <v>2437</v>
      </c>
      <c r="D9" s="30" t="s">
        <v>2811</v>
      </c>
      <c r="E9" s="30" t="s">
        <v>2811</v>
      </c>
      <c r="F9" s="30" t="s">
        <v>2811</v>
      </c>
      <c r="G9" s="11">
        <f t="shared" si="1"/>
        <v>9</v>
      </c>
      <c r="H9" s="11">
        <f t="shared" si="2"/>
        <v>1</v>
      </c>
      <c r="I9" s="65">
        <f t="shared" si="3"/>
        <v>72</v>
      </c>
      <c r="J9" s="11">
        <f t="shared" si="4"/>
        <v>4</v>
      </c>
      <c r="K9" s="55">
        <f t="shared" si="5"/>
        <v>2355.21</v>
      </c>
      <c r="L9" s="33" t="s">
        <v>2813</v>
      </c>
      <c r="M9" s="33"/>
      <c r="N9" s="36" t="str">
        <f t="shared" si="6"/>
        <v>Sem ocorrências</v>
      </c>
      <c r="O9" s="30"/>
      <c r="P9" s="33" t="s">
        <v>2808</v>
      </c>
      <c r="Q9" s="33"/>
      <c r="T9" s="157" t="s">
        <v>173</v>
      </c>
      <c r="U9" s="155"/>
      <c r="V9" s="155"/>
      <c r="W9" s="155"/>
      <c r="X9" s="155"/>
      <c r="Y9" s="156"/>
    </row>
    <row r="10" spans="1:25" x14ac:dyDescent="0.25">
      <c r="A10" s="29" t="str">
        <f t="shared" si="0"/>
        <v>Ber-0006</v>
      </c>
      <c r="B10" s="31">
        <v>46274</v>
      </c>
      <c r="C10" s="30" t="s">
        <v>2437</v>
      </c>
      <c r="D10" s="30" t="s">
        <v>2807</v>
      </c>
      <c r="E10" s="30" t="s">
        <v>649</v>
      </c>
      <c r="F10" s="30" t="s">
        <v>2807</v>
      </c>
      <c r="G10" s="11">
        <f t="shared" si="1"/>
        <v>9</v>
      </c>
      <c r="H10" s="11">
        <f t="shared" si="2"/>
        <v>1</v>
      </c>
      <c r="I10" s="65">
        <f t="shared" si="3"/>
        <v>72</v>
      </c>
      <c r="J10" s="11">
        <f t="shared" si="4"/>
        <v>2</v>
      </c>
      <c r="K10" s="55">
        <f t="shared" si="5"/>
        <v>602.94000000000005</v>
      </c>
      <c r="L10" s="33" t="s">
        <v>2814</v>
      </c>
      <c r="M10" s="33"/>
      <c r="N10" s="36" t="str">
        <f t="shared" si="6"/>
        <v>1 ocorrência(s) — ver aba 11</v>
      </c>
      <c r="O10" s="30"/>
      <c r="P10" s="33" t="s">
        <v>2808</v>
      </c>
      <c r="Q10" s="33"/>
      <c r="T10" s="157" t="s">
        <v>174</v>
      </c>
      <c r="U10" s="155"/>
      <c r="V10" s="155"/>
      <c r="W10" s="155"/>
      <c r="X10" s="155"/>
      <c r="Y10" s="156"/>
    </row>
    <row r="11" spans="1:25" x14ac:dyDescent="0.25">
      <c r="A11" s="29" t="str">
        <f t="shared" si="0"/>
        <v>Ber-0007</v>
      </c>
      <c r="B11" s="31">
        <v>46275</v>
      </c>
      <c r="C11" s="30" t="s">
        <v>2437</v>
      </c>
      <c r="D11" s="30" t="s">
        <v>649</v>
      </c>
      <c r="E11" s="30" t="s">
        <v>649</v>
      </c>
      <c r="F11" s="30" t="s">
        <v>2807</v>
      </c>
      <c r="G11" s="11">
        <f t="shared" si="1"/>
        <v>9</v>
      </c>
      <c r="H11" s="11">
        <f t="shared" si="2"/>
        <v>1</v>
      </c>
      <c r="I11" s="65">
        <f t="shared" si="3"/>
        <v>72</v>
      </c>
      <c r="J11" s="11">
        <f t="shared" si="4"/>
        <v>0</v>
      </c>
      <c r="K11" s="55">
        <f t="shared" si="5"/>
        <v>0</v>
      </c>
      <c r="L11" s="33" t="s">
        <v>2815</v>
      </c>
      <c r="M11" s="33"/>
      <c r="N11" s="36" t="str">
        <f t="shared" si="6"/>
        <v>1 ocorrência(s) — ver aba 11</v>
      </c>
      <c r="O11" s="30"/>
      <c r="P11" s="33" t="s">
        <v>2808</v>
      </c>
      <c r="Q11" s="33"/>
      <c r="T11" s="157" t="s">
        <v>175</v>
      </c>
      <c r="U11" s="155"/>
      <c r="V11" s="155"/>
      <c r="W11" s="155"/>
      <c r="X11" s="155"/>
      <c r="Y11" s="156"/>
    </row>
    <row r="12" spans="1:25" x14ac:dyDescent="0.25">
      <c r="A12" s="29" t="str">
        <f t="shared" si="0"/>
        <v>Ber-0008</v>
      </c>
      <c r="B12" s="31">
        <v>46276</v>
      </c>
      <c r="C12" s="30" t="s">
        <v>2437</v>
      </c>
      <c r="D12" s="30" t="s">
        <v>2807</v>
      </c>
      <c r="E12" s="30" t="s">
        <v>2811</v>
      </c>
      <c r="F12" s="30" t="s">
        <v>2812</v>
      </c>
      <c r="G12" s="11">
        <f t="shared" si="1"/>
        <v>9</v>
      </c>
      <c r="H12" s="11">
        <f t="shared" si="2"/>
        <v>1</v>
      </c>
      <c r="I12" s="65">
        <f t="shared" si="3"/>
        <v>72</v>
      </c>
      <c r="J12" s="11">
        <f t="shared" si="4"/>
        <v>4</v>
      </c>
      <c r="K12" s="55">
        <f t="shared" si="5"/>
        <v>3563.11</v>
      </c>
      <c r="L12" s="33" t="s">
        <v>2813</v>
      </c>
      <c r="M12" s="33"/>
      <c r="N12" s="36" t="str">
        <f t="shared" si="6"/>
        <v>1 ocorrência(s) — ver aba 11</v>
      </c>
      <c r="O12" s="30"/>
      <c r="P12" s="33" t="s">
        <v>2808</v>
      </c>
      <c r="Q12" s="33"/>
      <c r="T12" s="157" t="s">
        <v>176</v>
      </c>
      <c r="U12" s="155"/>
      <c r="V12" s="155"/>
      <c r="W12" s="155"/>
      <c r="X12" s="155"/>
      <c r="Y12" s="156"/>
    </row>
    <row r="13" spans="1:25" x14ac:dyDescent="0.25">
      <c r="A13" s="29" t="str">
        <f t="shared" si="0"/>
        <v>Ber-0009</v>
      </c>
      <c r="B13" s="31">
        <v>46279</v>
      </c>
      <c r="C13" s="30" t="s">
        <v>2437</v>
      </c>
      <c r="D13" s="30" t="s">
        <v>649</v>
      </c>
      <c r="E13" s="30" t="s">
        <v>649</v>
      </c>
      <c r="F13" s="30" t="s">
        <v>2812</v>
      </c>
      <c r="G13" s="11">
        <f t="shared" si="1"/>
        <v>10</v>
      </c>
      <c r="H13" s="11">
        <f t="shared" si="2"/>
        <v>1</v>
      </c>
      <c r="I13" s="65">
        <f t="shared" si="3"/>
        <v>80</v>
      </c>
      <c r="J13" s="11">
        <f t="shared" si="4"/>
        <v>1</v>
      </c>
      <c r="K13" s="55">
        <f t="shared" si="5"/>
        <v>2813.95</v>
      </c>
      <c r="L13" s="33" t="s">
        <v>2816</v>
      </c>
      <c r="M13" s="33"/>
      <c r="N13" s="36" t="str">
        <f t="shared" si="6"/>
        <v>1 ocorrência(s) — ver aba 11</v>
      </c>
      <c r="O13" s="30"/>
      <c r="P13" s="33" t="s">
        <v>2808</v>
      </c>
      <c r="Q13" s="33"/>
      <c r="T13" s="157" t="s">
        <v>177</v>
      </c>
      <c r="U13" s="155"/>
      <c r="V13" s="155"/>
      <c r="W13" s="155"/>
      <c r="X13" s="155"/>
      <c r="Y13" s="156"/>
    </row>
    <row r="14" spans="1:25" x14ac:dyDescent="0.25">
      <c r="A14" s="29" t="str">
        <f t="shared" si="0"/>
        <v>Ber-0010</v>
      </c>
      <c r="B14" s="31">
        <v>46280</v>
      </c>
      <c r="C14" s="30" t="s">
        <v>2437</v>
      </c>
      <c r="D14" s="30" t="s">
        <v>2809</v>
      </c>
      <c r="E14" s="30" t="s">
        <v>2809</v>
      </c>
      <c r="F14" s="30" t="s">
        <v>2812</v>
      </c>
      <c r="G14" s="11">
        <f t="shared" si="1"/>
        <v>8</v>
      </c>
      <c r="H14" s="11">
        <f t="shared" si="2"/>
        <v>1</v>
      </c>
      <c r="I14" s="65">
        <f t="shared" si="3"/>
        <v>64</v>
      </c>
      <c r="J14" s="11">
        <f t="shared" si="4"/>
        <v>4</v>
      </c>
      <c r="K14" s="55">
        <f t="shared" si="5"/>
        <v>7521.06</v>
      </c>
      <c r="L14" s="33" t="s">
        <v>2817</v>
      </c>
      <c r="M14" s="33"/>
      <c r="N14" s="36" t="str">
        <f t="shared" si="6"/>
        <v>1 ocorrência(s) — ver aba 11</v>
      </c>
      <c r="O14" s="30"/>
      <c r="P14" s="33" t="s">
        <v>2808</v>
      </c>
      <c r="Q14" s="33"/>
      <c r="T14" s="159" t="s">
        <v>178</v>
      </c>
      <c r="U14" s="155"/>
      <c r="V14" s="155"/>
      <c r="W14" s="155"/>
      <c r="X14" s="155"/>
      <c r="Y14" s="156"/>
    </row>
    <row r="15" spans="1:25" x14ac:dyDescent="0.25">
      <c r="A15" s="29" t="str">
        <f t="shared" si="0"/>
        <v>Ber-0011</v>
      </c>
      <c r="B15" s="31">
        <v>46281</v>
      </c>
      <c r="C15" s="30" t="s">
        <v>2437</v>
      </c>
      <c r="D15" s="30" t="s">
        <v>2811</v>
      </c>
      <c r="E15" s="30" t="s">
        <v>2809</v>
      </c>
      <c r="F15" s="30" t="s">
        <v>2812</v>
      </c>
      <c r="G15" s="11">
        <f t="shared" si="1"/>
        <v>10</v>
      </c>
      <c r="H15" s="11">
        <f t="shared" si="2"/>
        <v>1</v>
      </c>
      <c r="I15" s="65">
        <f t="shared" si="3"/>
        <v>80</v>
      </c>
      <c r="J15" s="11">
        <f t="shared" si="4"/>
        <v>3</v>
      </c>
      <c r="K15" s="55">
        <f t="shared" si="5"/>
        <v>9716.98</v>
      </c>
      <c r="L15" s="33" t="s">
        <v>3094</v>
      </c>
      <c r="M15" s="33"/>
      <c r="N15" s="36" t="str">
        <f t="shared" si="6"/>
        <v>Sem ocorrências</v>
      </c>
      <c r="O15" s="30"/>
      <c r="P15" s="33"/>
      <c r="Q15" s="33"/>
      <c r="T15" s="159" t="s">
        <v>179</v>
      </c>
      <c r="U15" s="155"/>
      <c r="V15" s="155"/>
      <c r="W15" s="155"/>
      <c r="X15" s="155"/>
      <c r="Y15" s="156"/>
    </row>
    <row r="16" spans="1:25" x14ac:dyDescent="0.25">
      <c r="A16" s="29" t="str">
        <f t="shared" si="0"/>
        <v/>
      </c>
      <c r="B16" s="31"/>
      <c r="C16" s="30"/>
      <c r="D16" s="30"/>
      <c r="E16" s="30"/>
      <c r="F16" s="30"/>
      <c r="G16" s="11" t="str">
        <f t="shared" si="1"/>
        <v/>
      </c>
      <c r="H16" s="11" t="str">
        <f t="shared" si="2"/>
        <v/>
      </c>
      <c r="I16" s="65" t="str">
        <f t="shared" si="3"/>
        <v/>
      </c>
      <c r="J16" s="11" t="str">
        <f t="shared" si="4"/>
        <v/>
      </c>
      <c r="K16" s="55" t="str">
        <f t="shared" si="5"/>
        <v/>
      </c>
      <c r="L16" s="33"/>
      <c r="M16" s="33"/>
      <c r="N16" s="36" t="str">
        <f t="shared" si="6"/>
        <v/>
      </c>
      <c r="O16" s="30"/>
      <c r="P16" s="33"/>
      <c r="Q16" s="33"/>
    </row>
    <row r="17" spans="1:17" x14ac:dyDescent="0.25">
      <c r="A17" s="29" t="str">
        <f t="shared" si="0"/>
        <v/>
      </c>
      <c r="B17" s="31"/>
      <c r="C17" s="30"/>
      <c r="D17" s="30"/>
      <c r="E17" s="30"/>
      <c r="F17" s="30"/>
      <c r="G17" s="11" t="str">
        <f t="shared" si="1"/>
        <v/>
      </c>
      <c r="H17" s="11" t="str">
        <f t="shared" si="2"/>
        <v/>
      </c>
      <c r="I17" s="65" t="str">
        <f t="shared" si="3"/>
        <v/>
      </c>
      <c r="J17" s="11" t="str">
        <f t="shared" si="4"/>
        <v/>
      </c>
      <c r="K17" s="55" t="str">
        <f t="shared" si="5"/>
        <v/>
      </c>
      <c r="L17" s="33"/>
      <c r="M17" s="33"/>
      <c r="N17" s="36" t="str">
        <f t="shared" si="6"/>
        <v/>
      </c>
      <c r="O17" s="30"/>
      <c r="P17" s="33"/>
      <c r="Q17" s="33"/>
    </row>
    <row r="18" spans="1:17" x14ac:dyDescent="0.25">
      <c r="A18" s="29" t="str">
        <f t="shared" si="0"/>
        <v/>
      </c>
      <c r="B18" s="31"/>
      <c r="C18" s="30"/>
      <c r="D18" s="30"/>
      <c r="E18" s="30"/>
      <c r="F18" s="30"/>
      <c r="G18" s="11" t="str">
        <f t="shared" si="1"/>
        <v/>
      </c>
      <c r="H18" s="11" t="str">
        <f t="shared" si="2"/>
        <v/>
      </c>
      <c r="I18" s="65" t="str">
        <f t="shared" si="3"/>
        <v/>
      </c>
      <c r="J18" s="11" t="str">
        <f t="shared" si="4"/>
        <v/>
      </c>
      <c r="K18" s="55" t="str">
        <f t="shared" si="5"/>
        <v/>
      </c>
      <c r="L18" s="33"/>
      <c r="M18" s="33"/>
      <c r="N18" s="36" t="str">
        <f t="shared" si="6"/>
        <v/>
      </c>
      <c r="O18" s="30"/>
      <c r="P18" s="33"/>
      <c r="Q18" s="33"/>
    </row>
    <row r="19" spans="1:17" x14ac:dyDescent="0.25">
      <c r="A19" s="29" t="str">
        <f t="shared" si="0"/>
        <v/>
      </c>
      <c r="B19" s="31"/>
      <c r="C19" s="30"/>
      <c r="D19" s="30"/>
      <c r="E19" s="30"/>
      <c r="F19" s="30"/>
      <c r="G19" s="11" t="str">
        <f t="shared" si="1"/>
        <v/>
      </c>
      <c r="H19" s="11" t="str">
        <f t="shared" si="2"/>
        <v/>
      </c>
      <c r="I19" s="65" t="str">
        <f t="shared" si="3"/>
        <v/>
      </c>
      <c r="J19" s="11" t="str">
        <f t="shared" si="4"/>
        <v/>
      </c>
      <c r="K19" s="55" t="str">
        <f t="shared" si="5"/>
        <v/>
      </c>
      <c r="L19" s="33"/>
      <c r="M19" s="33"/>
      <c r="N19" s="36" t="str">
        <f t="shared" si="6"/>
        <v/>
      </c>
      <c r="O19" s="30"/>
      <c r="P19" s="33"/>
      <c r="Q19" s="33"/>
    </row>
    <row r="20" spans="1:17" x14ac:dyDescent="0.25">
      <c r="A20" s="29" t="str">
        <f t="shared" si="0"/>
        <v/>
      </c>
      <c r="B20" s="31"/>
      <c r="C20" s="30"/>
      <c r="D20" s="30"/>
      <c r="E20" s="30"/>
      <c r="F20" s="30"/>
      <c r="G20" s="11" t="str">
        <f t="shared" si="1"/>
        <v/>
      </c>
      <c r="H20" s="11" t="str">
        <f t="shared" si="2"/>
        <v/>
      </c>
      <c r="I20" s="65" t="str">
        <f t="shared" si="3"/>
        <v/>
      </c>
      <c r="J20" s="11" t="str">
        <f t="shared" si="4"/>
        <v/>
      </c>
      <c r="K20" s="55" t="str">
        <f t="shared" si="5"/>
        <v/>
      </c>
      <c r="L20" s="33"/>
      <c r="M20" s="33"/>
      <c r="N20" s="36" t="str">
        <f t="shared" si="6"/>
        <v/>
      </c>
      <c r="O20" s="30"/>
      <c r="P20" s="33"/>
      <c r="Q20" s="33"/>
    </row>
    <row r="21" spans="1:17" x14ac:dyDescent="0.25">
      <c r="A21" s="29" t="str">
        <f t="shared" si="0"/>
        <v/>
      </c>
      <c r="B21" s="31"/>
      <c r="C21" s="30"/>
      <c r="D21" s="30"/>
      <c r="E21" s="30"/>
      <c r="F21" s="30"/>
      <c r="G21" s="11" t="str">
        <f t="shared" si="1"/>
        <v/>
      </c>
      <c r="H21" s="11" t="str">
        <f t="shared" si="2"/>
        <v/>
      </c>
      <c r="I21" s="65" t="str">
        <f t="shared" si="3"/>
        <v/>
      </c>
      <c r="J21" s="11" t="str">
        <f t="shared" si="4"/>
        <v/>
      </c>
      <c r="K21" s="55" t="str">
        <f t="shared" si="5"/>
        <v/>
      </c>
      <c r="L21" s="33"/>
      <c r="M21" s="33"/>
      <c r="N21" s="36" t="str">
        <f t="shared" si="6"/>
        <v/>
      </c>
      <c r="O21" s="30"/>
      <c r="P21" s="33"/>
      <c r="Q21" s="33"/>
    </row>
    <row r="22" spans="1:17" x14ac:dyDescent="0.25">
      <c r="A22" s="29" t="str">
        <f t="shared" si="0"/>
        <v/>
      </c>
      <c r="B22" s="31"/>
      <c r="C22" s="30"/>
      <c r="D22" s="30"/>
      <c r="E22" s="30"/>
      <c r="F22" s="30"/>
      <c r="G22" s="11" t="str">
        <f t="shared" si="1"/>
        <v/>
      </c>
      <c r="H22" s="11" t="str">
        <f t="shared" si="2"/>
        <v/>
      </c>
      <c r="I22" s="65" t="str">
        <f t="shared" si="3"/>
        <v/>
      </c>
      <c r="J22" s="11" t="str">
        <f t="shared" si="4"/>
        <v/>
      </c>
      <c r="K22" s="55" t="str">
        <f t="shared" si="5"/>
        <v/>
      </c>
      <c r="L22" s="33"/>
      <c r="M22" s="33"/>
      <c r="N22" s="36" t="str">
        <f t="shared" si="6"/>
        <v/>
      </c>
      <c r="O22" s="30"/>
      <c r="P22" s="33"/>
      <c r="Q22" s="33"/>
    </row>
    <row r="23" spans="1:17" x14ac:dyDescent="0.25">
      <c r="A23" s="29" t="str">
        <f t="shared" si="0"/>
        <v/>
      </c>
      <c r="B23" s="31"/>
      <c r="C23" s="30"/>
      <c r="D23" s="30"/>
      <c r="E23" s="30"/>
      <c r="F23" s="30"/>
      <c r="G23" s="11" t="str">
        <f t="shared" si="1"/>
        <v/>
      </c>
      <c r="H23" s="11" t="str">
        <f t="shared" si="2"/>
        <v/>
      </c>
      <c r="I23" s="65" t="str">
        <f t="shared" si="3"/>
        <v/>
      </c>
      <c r="J23" s="11" t="str">
        <f t="shared" si="4"/>
        <v/>
      </c>
      <c r="K23" s="55" t="str">
        <f t="shared" si="5"/>
        <v/>
      </c>
      <c r="L23" s="33"/>
      <c r="M23" s="33"/>
      <c r="N23" s="36" t="str">
        <f t="shared" si="6"/>
        <v/>
      </c>
      <c r="O23" s="30"/>
      <c r="P23" s="33"/>
      <c r="Q23" s="33"/>
    </row>
    <row r="24" spans="1:17" x14ac:dyDescent="0.25">
      <c r="A24" s="29" t="str">
        <f t="shared" si="0"/>
        <v/>
      </c>
      <c r="B24" s="31"/>
      <c r="C24" s="30"/>
      <c r="D24" s="30"/>
      <c r="E24" s="30"/>
      <c r="F24" s="30"/>
      <c r="G24" s="11" t="str">
        <f t="shared" si="1"/>
        <v/>
      </c>
      <c r="H24" s="11" t="str">
        <f t="shared" si="2"/>
        <v/>
      </c>
      <c r="I24" s="65" t="str">
        <f t="shared" si="3"/>
        <v/>
      </c>
      <c r="J24" s="11" t="str">
        <f t="shared" si="4"/>
        <v/>
      </c>
      <c r="K24" s="55" t="str">
        <f t="shared" si="5"/>
        <v/>
      </c>
      <c r="L24" s="33"/>
      <c r="M24" s="33"/>
      <c r="N24" s="36" t="str">
        <f t="shared" si="6"/>
        <v/>
      </c>
      <c r="O24" s="30"/>
      <c r="P24" s="33"/>
      <c r="Q24" s="33"/>
    </row>
    <row r="25" spans="1:17" x14ac:dyDescent="0.25">
      <c r="A25" s="29" t="str">
        <f t="shared" si="0"/>
        <v/>
      </c>
      <c r="B25" s="31"/>
      <c r="C25" s="30"/>
      <c r="D25" s="30"/>
      <c r="E25" s="30"/>
      <c r="F25" s="30"/>
      <c r="G25" s="11" t="str">
        <f t="shared" si="1"/>
        <v/>
      </c>
      <c r="H25" s="11" t="str">
        <f t="shared" si="2"/>
        <v/>
      </c>
      <c r="I25" s="65" t="str">
        <f t="shared" si="3"/>
        <v/>
      </c>
      <c r="J25" s="11" t="str">
        <f t="shared" si="4"/>
        <v/>
      </c>
      <c r="K25" s="55" t="str">
        <f t="shared" si="5"/>
        <v/>
      </c>
      <c r="L25" s="33"/>
      <c r="M25" s="33"/>
      <c r="N25" s="36" t="str">
        <f t="shared" si="6"/>
        <v/>
      </c>
      <c r="O25" s="30"/>
      <c r="P25" s="33"/>
      <c r="Q25" s="33"/>
    </row>
    <row r="26" spans="1:17" x14ac:dyDescent="0.25">
      <c r="A26" s="29" t="str">
        <f t="shared" si="0"/>
        <v/>
      </c>
      <c r="B26" s="31"/>
      <c r="C26" s="30"/>
      <c r="D26" s="30"/>
      <c r="E26" s="30"/>
      <c r="F26" s="30"/>
      <c r="G26" s="11" t="str">
        <f t="shared" si="1"/>
        <v/>
      </c>
      <c r="H26" s="11" t="str">
        <f t="shared" si="2"/>
        <v/>
      </c>
      <c r="I26" s="65" t="str">
        <f t="shared" si="3"/>
        <v/>
      </c>
      <c r="J26" s="11" t="str">
        <f t="shared" si="4"/>
        <v/>
      </c>
      <c r="K26" s="55" t="str">
        <f t="shared" si="5"/>
        <v/>
      </c>
      <c r="L26" s="33"/>
      <c r="M26" s="33"/>
      <c r="N26" s="36" t="str">
        <f t="shared" si="6"/>
        <v/>
      </c>
      <c r="O26" s="30"/>
      <c r="P26" s="33"/>
      <c r="Q26" s="33"/>
    </row>
    <row r="27" spans="1:17" x14ac:dyDescent="0.25">
      <c r="A27" s="29" t="str">
        <f t="shared" si="0"/>
        <v/>
      </c>
      <c r="B27" s="31"/>
      <c r="C27" s="30"/>
      <c r="D27" s="30"/>
      <c r="E27" s="30"/>
      <c r="F27" s="30"/>
      <c r="G27" s="11" t="str">
        <f t="shared" si="1"/>
        <v/>
      </c>
      <c r="H27" s="11" t="str">
        <f t="shared" si="2"/>
        <v/>
      </c>
      <c r="I27" s="65" t="str">
        <f t="shared" si="3"/>
        <v/>
      </c>
      <c r="J27" s="11" t="str">
        <f t="shared" si="4"/>
        <v/>
      </c>
      <c r="K27" s="55" t="str">
        <f t="shared" si="5"/>
        <v/>
      </c>
      <c r="L27" s="33"/>
      <c r="M27" s="33"/>
      <c r="N27" s="36" t="str">
        <f t="shared" si="6"/>
        <v/>
      </c>
      <c r="O27" s="30"/>
      <c r="P27" s="33"/>
      <c r="Q27" s="33"/>
    </row>
    <row r="28" spans="1:17" x14ac:dyDescent="0.25">
      <c r="A28" s="29" t="str">
        <f t="shared" si="0"/>
        <v/>
      </c>
      <c r="B28" s="31"/>
      <c r="C28" s="30"/>
      <c r="D28" s="30"/>
      <c r="E28" s="30"/>
      <c r="F28" s="30"/>
      <c r="G28" s="11" t="str">
        <f t="shared" si="1"/>
        <v/>
      </c>
      <c r="H28" s="11" t="str">
        <f t="shared" si="2"/>
        <v/>
      </c>
      <c r="I28" s="65" t="str">
        <f t="shared" si="3"/>
        <v/>
      </c>
      <c r="J28" s="11" t="str">
        <f t="shared" si="4"/>
        <v/>
      </c>
      <c r="K28" s="55" t="str">
        <f t="shared" si="5"/>
        <v/>
      </c>
      <c r="L28" s="33"/>
      <c r="M28" s="33"/>
      <c r="N28" s="36" t="str">
        <f t="shared" si="6"/>
        <v/>
      </c>
      <c r="O28" s="30"/>
      <c r="P28" s="33"/>
      <c r="Q28" s="33"/>
    </row>
    <row r="29" spans="1:17" x14ac:dyDescent="0.25">
      <c r="A29" s="29" t="str">
        <f t="shared" si="0"/>
        <v/>
      </c>
      <c r="B29" s="31"/>
      <c r="C29" s="30"/>
      <c r="D29" s="30"/>
      <c r="E29" s="30"/>
      <c r="F29" s="30"/>
      <c r="G29" s="11" t="str">
        <f t="shared" si="1"/>
        <v/>
      </c>
      <c r="H29" s="11" t="str">
        <f t="shared" si="2"/>
        <v/>
      </c>
      <c r="I29" s="65" t="str">
        <f t="shared" si="3"/>
        <v/>
      </c>
      <c r="J29" s="11" t="str">
        <f t="shared" si="4"/>
        <v/>
      </c>
      <c r="K29" s="55" t="str">
        <f t="shared" si="5"/>
        <v/>
      </c>
      <c r="L29" s="33"/>
      <c r="M29" s="33"/>
      <c r="N29" s="36" t="str">
        <f t="shared" si="6"/>
        <v/>
      </c>
      <c r="O29" s="30"/>
      <c r="P29" s="33"/>
      <c r="Q29" s="33"/>
    </row>
    <row r="30" spans="1:17" x14ac:dyDescent="0.25">
      <c r="A30" s="29" t="str">
        <f t="shared" si="0"/>
        <v/>
      </c>
      <c r="B30" s="31"/>
      <c r="C30" s="30"/>
      <c r="D30" s="30"/>
      <c r="E30" s="30"/>
      <c r="F30" s="30"/>
      <c r="G30" s="11" t="str">
        <f t="shared" si="1"/>
        <v/>
      </c>
      <c r="H30" s="11" t="str">
        <f t="shared" si="2"/>
        <v/>
      </c>
      <c r="I30" s="65" t="str">
        <f t="shared" si="3"/>
        <v/>
      </c>
      <c r="J30" s="11" t="str">
        <f t="shared" si="4"/>
        <v/>
      </c>
      <c r="K30" s="55" t="str">
        <f t="shared" si="5"/>
        <v/>
      </c>
      <c r="L30" s="33"/>
      <c r="M30" s="33"/>
      <c r="N30" s="36" t="str">
        <f t="shared" si="6"/>
        <v/>
      </c>
      <c r="O30" s="30"/>
      <c r="P30" s="33"/>
      <c r="Q30" s="33"/>
    </row>
    <row r="31" spans="1:17" x14ac:dyDescent="0.25">
      <c r="A31" s="29" t="str">
        <f t="shared" si="0"/>
        <v/>
      </c>
      <c r="B31" s="31"/>
      <c r="C31" s="30"/>
      <c r="D31" s="30"/>
      <c r="E31" s="30"/>
      <c r="F31" s="30"/>
      <c r="G31" s="11" t="str">
        <f t="shared" si="1"/>
        <v/>
      </c>
      <c r="H31" s="11" t="str">
        <f t="shared" si="2"/>
        <v/>
      </c>
      <c r="I31" s="65" t="str">
        <f t="shared" si="3"/>
        <v/>
      </c>
      <c r="J31" s="11" t="str">
        <f t="shared" si="4"/>
        <v/>
      </c>
      <c r="K31" s="55" t="str">
        <f t="shared" si="5"/>
        <v/>
      </c>
      <c r="L31" s="33"/>
      <c r="M31" s="33"/>
      <c r="N31" s="36" t="str">
        <f t="shared" si="6"/>
        <v/>
      </c>
      <c r="O31" s="30"/>
      <c r="P31" s="33"/>
      <c r="Q31" s="33"/>
    </row>
    <row r="32" spans="1:17" x14ac:dyDescent="0.25">
      <c r="A32" s="29" t="str">
        <f t="shared" si="0"/>
        <v/>
      </c>
      <c r="B32" s="31"/>
      <c r="C32" s="30"/>
      <c r="D32" s="30"/>
      <c r="E32" s="30"/>
      <c r="F32" s="30"/>
      <c r="G32" s="11" t="str">
        <f t="shared" si="1"/>
        <v/>
      </c>
      <c r="H32" s="11" t="str">
        <f t="shared" si="2"/>
        <v/>
      </c>
      <c r="I32" s="65" t="str">
        <f t="shared" si="3"/>
        <v/>
      </c>
      <c r="J32" s="11" t="str">
        <f t="shared" si="4"/>
        <v/>
      </c>
      <c r="K32" s="55" t="str">
        <f t="shared" si="5"/>
        <v/>
      </c>
      <c r="L32" s="33"/>
      <c r="M32" s="33"/>
      <c r="N32" s="36" t="str">
        <f t="shared" si="6"/>
        <v/>
      </c>
      <c r="O32" s="30"/>
      <c r="P32" s="33"/>
      <c r="Q32" s="33"/>
    </row>
    <row r="33" spans="1:17" x14ac:dyDescent="0.25">
      <c r="A33" s="29" t="str">
        <f t="shared" si="0"/>
        <v/>
      </c>
      <c r="B33" s="31"/>
      <c r="C33" s="30"/>
      <c r="D33" s="30"/>
      <c r="E33" s="30"/>
      <c r="F33" s="30"/>
      <c r="G33" s="11" t="str">
        <f t="shared" si="1"/>
        <v/>
      </c>
      <c r="H33" s="11" t="str">
        <f t="shared" si="2"/>
        <v/>
      </c>
      <c r="I33" s="65" t="str">
        <f t="shared" si="3"/>
        <v/>
      </c>
      <c r="J33" s="11" t="str">
        <f t="shared" si="4"/>
        <v/>
      </c>
      <c r="K33" s="55" t="str">
        <f t="shared" si="5"/>
        <v/>
      </c>
      <c r="L33" s="33"/>
      <c r="M33" s="33"/>
      <c r="N33" s="36" t="str">
        <f t="shared" si="6"/>
        <v/>
      </c>
      <c r="O33" s="30"/>
      <c r="P33" s="33"/>
      <c r="Q33" s="33"/>
    </row>
    <row r="34" spans="1:17" x14ac:dyDescent="0.25">
      <c r="A34" s="29" t="str">
        <f t="shared" si="0"/>
        <v/>
      </c>
      <c r="B34" s="31"/>
      <c r="C34" s="30"/>
      <c r="D34" s="30"/>
      <c r="E34" s="30"/>
      <c r="F34" s="30"/>
      <c r="G34" s="11" t="str">
        <f t="shared" si="1"/>
        <v/>
      </c>
      <c r="H34" s="11" t="str">
        <f t="shared" si="2"/>
        <v/>
      </c>
      <c r="I34" s="65" t="str">
        <f t="shared" si="3"/>
        <v/>
      </c>
      <c r="J34" s="11" t="str">
        <f t="shared" si="4"/>
        <v/>
      </c>
      <c r="K34" s="55" t="str">
        <f t="shared" si="5"/>
        <v/>
      </c>
      <c r="L34" s="33"/>
      <c r="M34" s="33"/>
      <c r="N34" s="36" t="str">
        <f t="shared" si="6"/>
        <v/>
      </c>
      <c r="O34" s="30"/>
      <c r="P34" s="33"/>
      <c r="Q34" s="33"/>
    </row>
    <row r="35" spans="1:17" x14ac:dyDescent="0.25">
      <c r="A35" s="29" t="str">
        <f t="shared" si="0"/>
        <v/>
      </c>
      <c r="B35" s="31"/>
      <c r="C35" s="30"/>
      <c r="D35" s="30"/>
      <c r="E35" s="30"/>
      <c r="F35" s="30"/>
      <c r="G35" s="11" t="str">
        <f t="shared" si="1"/>
        <v/>
      </c>
      <c r="H35" s="11" t="str">
        <f t="shared" si="2"/>
        <v/>
      </c>
      <c r="I35" s="65" t="str">
        <f t="shared" si="3"/>
        <v/>
      </c>
      <c r="J35" s="11" t="str">
        <f t="shared" si="4"/>
        <v/>
      </c>
      <c r="K35" s="55" t="str">
        <f t="shared" si="5"/>
        <v/>
      </c>
      <c r="L35" s="33"/>
      <c r="M35" s="33"/>
      <c r="N35" s="36" t="str">
        <f t="shared" si="6"/>
        <v/>
      </c>
      <c r="O35" s="30"/>
      <c r="P35" s="33"/>
      <c r="Q35" s="33"/>
    </row>
    <row r="36" spans="1:17" x14ac:dyDescent="0.25">
      <c r="A36" s="29" t="str">
        <f t="shared" si="0"/>
        <v/>
      </c>
      <c r="B36" s="31"/>
      <c r="C36" s="30"/>
      <c r="D36" s="30"/>
      <c r="E36" s="30"/>
      <c r="F36" s="30"/>
      <c r="G36" s="11" t="str">
        <f t="shared" si="1"/>
        <v/>
      </c>
      <c r="H36" s="11" t="str">
        <f t="shared" si="2"/>
        <v/>
      </c>
      <c r="I36" s="65" t="str">
        <f t="shared" si="3"/>
        <v/>
      </c>
      <c r="J36" s="11" t="str">
        <f t="shared" si="4"/>
        <v/>
      </c>
      <c r="K36" s="55" t="str">
        <f t="shared" si="5"/>
        <v/>
      </c>
      <c r="L36" s="33"/>
      <c r="M36" s="33"/>
      <c r="N36" s="36" t="str">
        <f t="shared" si="6"/>
        <v/>
      </c>
      <c r="O36" s="30"/>
      <c r="P36" s="33"/>
      <c r="Q36" s="33"/>
    </row>
    <row r="37" spans="1:17" x14ac:dyDescent="0.25">
      <c r="A37" s="29" t="str">
        <f t="shared" si="0"/>
        <v/>
      </c>
      <c r="B37" s="31"/>
      <c r="C37" s="30"/>
      <c r="D37" s="30"/>
      <c r="E37" s="30"/>
      <c r="F37" s="30"/>
      <c r="G37" s="11" t="str">
        <f t="shared" si="1"/>
        <v/>
      </c>
      <c r="H37" s="11" t="str">
        <f t="shared" si="2"/>
        <v/>
      </c>
      <c r="I37" s="65" t="str">
        <f t="shared" si="3"/>
        <v/>
      </c>
      <c r="J37" s="11" t="str">
        <f t="shared" si="4"/>
        <v/>
      </c>
      <c r="K37" s="55" t="str">
        <f t="shared" si="5"/>
        <v/>
      </c>
      <c r="L37" s="33"/>
      <c r="M37" s="33"/>
      <c r="N37" s="36" t="str">
        <f t="shared" si="6"/>
        <v/>
      </c>
      <c r="O37" s="30"/>
      <c r="P37" s="33"/>
      <c r="Q37" s="33"/>
    </row>
    <row r="38" spans="1:17" x14ac:dyDescent="0.25">
      <c r="A38" s="29" t="str">
        <f t="shared" si="0"/>
        <v/>
      </c>
      <c r="B38" s="31"/>
      <c r="C38" s="30"/>
      <c r="D38" s="30"/>
      <c r="E38" s="30"/>
      <c r="F38" s="30"/>
      <c r="G38" s="11" t="str">
        <f t="shared" si="1"/>
        <v/>
      </c>
      <c r="H38" s="11" t="str">
        <f t="shared" si="2"/>
        <v/>
      </c>
      <c r="I38" s="65" t="str">
        <f t="shared" si="3"/>
        <v/>
      </c>
      <c r="J38" s="11" t="str">
        <f t="shared" si="4"/>
        <v/>
      </c>
      <c r="K38" s="55" t="str">
        <f t="shared" si="5"/>
        <v/>
      </c>
      <c r="L38" s="33"/>
      <c r="M38" s="33"/>
      <c r="N38" s="36" t="str">
        <f t="shared" si="6"/>
        <v/>
      </c>
      <c r="O38" s="30"/>
      <c r="P38" s="33"/>
      <c r="Q38" s="33"/>
    </row>
    <row r="39" spans="1:17" x14ac:dyDescent="0.25">
      <c r="A39" s="29" t="str">
        <f t="shared" si="0"/>
        <v/>
      </c>
      <c r="B39" s="31"/>
      <c r="C39" s="30"/>
      <c r="D39" s="30"/>
      <c r="E39" s="30"/>
      <c r="F39" s="30"/>
      <c r="G39" s="11" t="str">
        <f t="shared" si="1"/>
        <v/>
      </c>
      <c r="H39" s="11" t="str">
        <f t="shared" si="2"/>
        <v/>
      </c>
      <c r="I39" s="65" t="str">
        <f t="shared" si="3"/>
        <v/>
      </c>
      <c r="J39" s="11" t="str">
        <f t="shared" si="4"/>
        <v/>
      </c>
      <c r="K39" s="55" t="str">
        <f t="shared" si="5"/>
        <v/>
      </c>
      <c r="L39" s="33"/>
      <c r="M39" s="33"/>
      <c r="N39" s="36" t="str">
        <f t="shared" si="6"/>
        <v/>
      </c>
      <c r="O39" s="30"/>
      <c r="P39" s="33"/>
      <c r="Q39" s="33"/>
    </row>
    <row r="40" spans="1:17" x14ac:dyDescent="0.25">
      <c r="A40" s="29" t="str">
        <f t="shared" si="0"/>
        <v/>
      </c>
      <c r="B40" s="31"/>
      <c r="C40" s="30"/>
      <c r="D40" s="30"/>
      <c r="E40" s="30"/>
      <c r="F40" s="30"/>
      <c r="G40" s="11" t="str">
        <f t="shared" si="1"/>
        <v/>
      </c>
      <c r="H40" s="11" t="str">
        <f t="shared" si="2"/>
        <v/>
      </c>
      <c r="I40" s="65" t="str">
        <f t="shared" si="3"/>
        <v/>
      </c>
      <c r="J40" s="11" t="str">
        <f t="shared" si="4"/>
        <v/>
      </c>
      <c r="K40" s="55" t="str">
        <f t="shared" si="5"/>
        <v/>
      </c>
      <c r="L40" s="33"/>
      <c r="M40" s="33"/>
      <c r="N40" s="36" t="str">
        <f t="shared" si="6"/>
        <v/>
      </c>
      <c r="O40" s="30"/>
      <c r="P40" s="33"/>
      <c r="Q40" s="33"/>
    </row>
    <row r="41" spans="1:17" x14ac:dyDescent="0.25">
      <c r="A41" s="29" t="str">
        <f t="shared" si="0"/>
        <v/>
      </c>
      <c r="B41" s="31"/>
      <c r="C41" s="30"/>
      <c r="D41" s="30"/>
      <c r="E41" s="30"/>
      <c r="F41" s="30"/>
      <c r="G41" s="11" t="str">
        <f t="shared" si="1"/>
        <v/>
      </c>
      <c r="H41" s="11" t="str">
        <f t="shared" si="2"/>
        <v/>
      </c>
      <c r="I41" s="65" t="str">
        <f t="shared" si="3"/>
        <v/>
      </c>
      <c r="J41" s="11" t="str">
        <f t="shared" si="4"/>
        <v/>
      </c>
      <c r="K41" s="55" t="str">
        <f t="shared" si="5"/>
        <v/>
      </c>
      <c r="L41" s="33"/>
      <c r="M41" s="33"/>
      <c r="N41" s="36" t="str">
        <f t="shared" si="6"/>
        <v/>
      </c>
      <c r="O41" s="30"/>
      <c r="P41" s="33"/>
      <c r="Q41" s="33"/>
    </row>
    <row r="42" spans="1:17" x14ac:dyDescent="0.25">
      <c r="A42" s="29" t="str">
        <f t="shared" si="0"/>
        <v/>
      </c>
      <c r="B42" s="31"/>
      <c r="C42" s="30"/>
      <c r="D42" s="30"/>
      <c r="E42" s="30"/>
      <c r="F42" s="30"/>
      <c r="G42" s="11" t="str">
        <f t="shared" si="1"/>
        <v/>
      </c>
      <c r="H42" s="11" t="str">
        <f t="shared" si="2"/>
        <v/>
      </c>
      <c r="I42" s="65" t="str">
        <f t="shared" si="3"/>
        <v/>
      </c>
      <c r="J42" s="11" t="str">
        <f t="shared" si="4"/>
        <v/>
      </c>
      <c r="K42" s="55" t="str">
        <f t="shared" si="5"/>
        <v/>
      </c>
      <c r="L42" s="33"/>
      <c r="M42" s="33"/>
      <c r="N42" s="36" t="str">
        <f t="shared" si="6"/>
        <v/>
      </c>
      <c r="O42" s="30"/>
      <c r="P42" s="33"/>
      <c r="Q42" s="33"/>
    </row>
    <row r="43" spans="1:17" x14ac:dyDescent="0.25">
      <c r="A43" s="29" t="str">
        <f t="shared" si="0"/>
        <v/>
      </c>
      <c r="B43" s="31"/>
      <c r="C43" s="30"/>
      <c r="D43" s="30"/>
      <c r="E43" s="30"/>
      <c r="F43" s="30"/>
      <c r="G43" s="11" t="str">
        <f t="shared" si="1"/>
        <v/>
      </c>
      <c r="H43" s="11" t="str">
        <f t="shared" si="2"/>
        <v/>
      </c>
      <c r="I43" s="65" t="str">
        <f t="shared" si="3"/>
        <v/>
      </c>
      <c r="J43" s="11" t="str">
        <f t="shared" si="4"/>
        <v/>
      </c>
      <c r="K43" s="55" t="str">
        <f t="shared" si="5"/>
        <v/>
      </c>
      <c r="L43" s="33"/>
      <c r="M43" s="33"/>
      <c r="N43" s="36" t="str">
        <f t="shared" si="6"/>
        <v/>
      </c>
      <c r="O43" s="30"/>
      <c r="P43" s="33"/>
      <c r="Q43" s="33"/>
    </row>
    <row r="44" spans="1:17" x14ac:dyDescent="0.25">
      <c r="A44" s="29" t="str">
        <f t="shared" si="0"/>
        <v/>
      </c>
      <c r="B44" s="31"/>
      <c r="C44" s="30"/>
      <c r="D44" s="30"/>
      <c r="E44" s="30"/>
      <c r="F44" s="30"/>
      <c r="G44" s="11" t="str">
        <f t="shared" si="1"/>
        <v/>
      </c>
      <c r="H44" s="11" t="str">
        <f t="shared" si="2"/>
        <v/>
      </c>
      <c r="I44" s="65" t="str">
        <f t="shared" si="3"/>
        <v/>
      </c>
      <c r="J44" s="11" t="str">
        <f t="shared" si="4"/>
        <v/>
      </c>
      <c r="K44" s="55" t="str">
        <f t="shared" si="5"/>
        <v/>
      </c>
      <c r="L44" s="33"/>
      <c r="M44" s="33"/>
      <c r="N44" s="36" t="str">
        <f t="shared" si="6"/>
        <v/>
      </c>
      <c r="O44" s="30"/>
      <c r="P44" s="33"/>
      <c r="Q44" s="33"/>
    </row>
    <row r="45" spans="1:17" x14ac:dyDescent="0.25">
      <c r="A45" s="29" t="str">
        <f t="shared" si="0"/>
        <v/>
      </c>
      <c r="B45" s="31"/>
      <c r="C45" s="30"/>
      <c r="D45" s="30"/>
      <c r="E45" s="30"/>
      <c r="F45" s="30"/>
      <c r="G45" s="11" t="str">
        <f t="shared" si="1"/>
        <v/>
      </c>
      <c r="H45" s="11" t="str">
        <f t="shared" si="2"/>
        <v/>
      </c>
      <c r="I45" s="65" t="str">
        <f t="shared" si="3"/>
        <v/>
      </c>
      <c r="J45" s="11" t="str">
        <f t="shared" si="4"/>
        <v/>
      </c>
      <c r="K45" s="55" t="str">
        <f t="shared" si="5"/>
        <v/>
      </c>
      <c r="L45" s="33"/>
      <c r="M45" s="33"/>
      <c r="N45" s="36" t="str">
        <f t="shared" si="6"/>
        <v/>
      </c>
      <c r="O45" s="30"/>
      <c r="P45" s="33"/>
      <c r="Q45" s="33"/>
    </row>
    <row r="46" spans="1:17" x14ac:dyDescent="0.25">
      <c r="A46" s="29" t="str">
        <f t="shared" si="0"/>
        <v/>
      </c>
      <c r="B46" s="31"/>
      <c r="C46" s="30"/>
      <c r="D46" s="30"/>
      <c r="E46" s="30"/>
      <c r="F46" s="30"/>
      <c r="G46" s="11" t="str">
        <f t="shared" si="1"/>
        <v/>
      </c>
      <c r="H46" s="11" t="str">
        <f t="shared" si="2"/>
        <v/>
      </c>
      <c r="I46" s="65" t="str">
        <f t="shared" si="3"/>
        <v/>
      </c>
      <c r="J46" s="11" t="str">
        <f t="shared" si="4"/>
        <v/>
      </c>
      <c r="K46" s="55" t="str">
        <f t="shared" si="5"/>
        <v/>
      </c>
      <c r="L46" s="33"/>
      <c r="M46" s="33"/>
      <c r="N46" s="36" t="str">
        <f t="shared" si="6"/>
        <v/>
      </c>
      <c r="O46" s="30"/>
      <c r="P46" s="33"/>
      <c r="Q46" s="33"/>
    </row>
    <row r="47" spans="1:17" x14ac:dyDescent="0.25">
      <c r="A47" s="29" t="str">
        <f t="shared" si="0"/>
        <v/>
      </c>
      <c r="B47" s="31"/>
      <c r="C47" s="30"/>
      <c r="D47" s="30"/>
      <c r="E47" s="30"/>
      <c r="F47" s="30"/>
      <c r="G47" s="11" t="str">
        <f t="shared" si="1"/>
        <v/>
      </c>
      <c r="H47" s="11" t="str">
        <f t="shared" si="2"/>
        <v/>
      </c>
      <c r="I47" s="65" t="str">
        <f t="shared" si="3"/>
        <v/>
      </c>
      <c r="J47" s="11" t="str">
        <f t="shared" si="4"/>
        <v/>
      </c>
      <c r="K47" s="55" t="str">
        <f t="shared" si="5"/>
        <v/>
      </c>
      <c r="L47" s="33"/>
      <c r="M47" s="33"/>
      <c r="N47" s="36" t="str">
        <f t="shared" si="6"/>
        <v/>
      </c>
      <c r="O47" s="30"/>
      <c r="P47" s="33"/>
      <c r="Q47" s="33"/>
    </row>
    <row r="48" spans="1:17" x14ac:dyDescent="0.25">
      <c r="A48" s="29" t="str">
        <f t="shared" si="0"/>
        <v/>
      </c>
      <c r="B48" s="31"/>
      <c r="C48" s="30"/>
      <c r="D48" s="30"/>
      <c r="E48" s="30"/>
      <c r="F48" s="30"/>
      <c r="G48" s="11" t="str">
        <f t="shared" si="1"/>
        <v/>
      </c>
      <c r="H48" s="11" t="str">
        <f t="shared" si="2"/>
        <v/>
      </c>
      <c r="I48" s="65" t="str">
        <f t="shared" si="3"/>
        <v/>
      </c>
      <c r="J48" s="11" t="str">
        <f t="shared" si="4"/>
        <v/>
      </c>
      <c r="K48" s="55" t="str">
        <f t="shared" si="5"/>
        <v/>
      </c>
      <c r="L48" s="33"/>
      <c r="M48" s="33"/>
      <c r="N48" s="36" t="str">
        <f t="shared" si="6"/>
        <v/>
      </c>
      <c r="O48" s="30"/>
      <c r="P48" s="33"/>
      <c r="Q48" s="33"/>
    </row>
    <row r="49" spans="1:17" x14ac:dyDescent="0.25">
      <c r="A49" s="29" t="str">
        <f t="shared" si="0"/>
        <v/>
      </c>
      <c r="B49" s="31"/>
      <c r="C49" s="30"/>
      <c r="D49" s="30"/>
      <c r="E49" s="30"/>
      <c r="F49" s="30"/>
      <c r="G49" s="11" t="str">
        <f t="shared" si="1"/>
        <v/>
      </c>
      <c r="H49" s="11" t="str">
        <f t="shared" si="2"/>
        <v/>
      </c>
      <c r="I49" s="65" t="str">
        <f t="shared" si="3"/>
        <v/>
      </c>
      <c r="J49" s="11" t="str">
        <f t="shared" si="4"/>
        <v/>
      </c>
      <c r="K49" s="55" t="str">
        <f t="shared" si="5"/>
        <v/>
      </c>
      <c r="L49" s="33"/>
      <c r="M49" s="33"/>
      <c r="N49" s="36" t="str">
        <f t="shared" si="6"/>
        <v/>
      </c>
      <c r="O49" s="30"/>
      <c r="P49" s="33"/>
      <c r="Q49" s="33"/>
    </row>
    <row r="50" spans="1:17" x14ac:dyDescent="0.25">
      <c r="A50" s="29" t="str">
        <f t="shared" si="0"/>
        <v/>
      </c>
      <c r="B50" s="31"/>
      <c r="C50" s="30"/>
      <c r="D50" s="30"/>
      <c r="E50" s="30"/>
      <c r="F50" s="30"/>
      <c r="G50" s="11" t="str">
        <f t="shared" si="1"/>
        <v/>
      </c>
      <c r="H50" s="11" t="str">
        <f t="shared" si="2"/>
        <v/>
      </c>
      <c r="I50" s="65" t="str">
        <f t="shared" si="3"/>
        <v/>
      </c>
      <c r="J50" s="11" t="str">
        <f t="shared" si="4"/>
        <v/>
      </c>
      <c r="K50" s="55" t="str">
        <f t="shared" si="5"/>
        <v/>
      </c>
      <c r="L50" s="33"/>
      <c r="M50" s="33"/>
      <c r="N50" s="36" t="str">
        <f t="shared" si="6"/>
        <v/>
      </c>
      <c r="O50" s="30"/>
      <c r="P50" s="33"/>
      <c r="Q50" s="33"/>
    </row>
    <row r="51" spans="1:17" x14ac:dyDescent="0.25">
      <c r="A51" s="29" t="str">
        <f t="shared" si="0"/>
        <v/>
      </c>
      <c r="B51" s="31"/>
      <c r="C51" s="30"/>
      <c r="D51" s="30"/>
      <c r="E51" s="30"/>
      <c r="F51" s="30"/>
      <c r="G51" s="11" t="str">
        <f t="shared" si="1"/>
        <v/>
      </c>
      <c r="H51" s="11" t="str">
        <f t="shared" si="2"/>
        <v/>
      </c>
      <c r="I51" s="65" t="str">
        <f t="shared" si="3"/>
        <v/>
      </c>
      <c r="J51" s="11" t="str">
        <f t="shared" si="4"/>
        <v/>
      </c>
      <c r="K51" s="55" t="str">
        <f t="shared" si="5"/>
        <v/>
      </c>
      <c r="L51" s="33"/>
      <c r="M51" s="33"/>
      <c r="N51" s="36" t="str">
        <f t="shared" si="6"/>
        <v/>
      </c>
      <c r="O51" s="30"/>
      <c r="P51" s="33"/>
      <c r="Q51" s="33"/>
    </row>
    <row r="52" spans="1:17" x14ac:dyDescent="0.25">
      <c r="A52" s="29" t="str">
        <f t="shared" si="0"/>
        <v/>
      </c>
      <c r="B52" s="31"/>
      <c r="C52" s="30"/>
      <c r="D52" s="30"/>
      <c r="E52" s="30"/>
      <c r="F52" s="30"/>
      <c r="G52" s="11" t="str">
        <f t="shared" si="1"/>
        <v/>
      </c>
      <c r="H52" s="11" t="str">
        <f t="shared" si="2"/>
        <v/>
      </c>
      <c r="I52" s="65" t="str">
        <f t="shared" si="3"/>
        <v/>
      </c>
      <c r="J52" s="11" t="str">
        <f t="shared" si="4"/>
        <v/>
      </c>
      <c r="K52" s="55" t="str">
        <f t="shared" si="5"/>
        <v/>
      </c>
      <c r="L52" s="33"/>
      <c r="M52" s="33"/>
      <c r="N52" s="36" t="str">
        <f t="shared" si="6"/>
        <v/>
      </c>
      <c r="O52" s="30"/>
      <c r="P52" s="33"/>
      <c r="Q52" s="33"/>
    </row>
    <row r="53" spans="1:17" x14ac:dyDescent="0.25">
      <c r="A53" s="29" t="str">
        <f t="shared" si="0"/>
        <v/>
      </c>
      <c r="B53" s="31"/>
      <c r="C53" s="30"/>
      <c r="D53" s="30"/>
      <c r="E53" s="30"/>
      <c r="F53" s="30"/>
      <c r="G53" s="11" t="str">
        <f t="shared" si="1"/>
        <v/>
      </c>
      <c r="H53" s="11" t="str">
        <f t="shared" si="2"/>
        <v/>
      </c>
      <c r="I53" s="65" t="str">
        <f t="shared" si="3"/>
        <v/>
      </c>
      <c r="J53" s="11" t="str">
        <f t="shared" si="4"/>
        <v/>
      </c>
      <c r="K53" s="55" t="str">
        <f t="shared" si="5"/>
        <v/>
      </c>
      <c r="L53" s="33"/>
      <c r="M53" s="33"/>
      <c r="N53" s="36" t="str">
        <f t="shared" si="6"/>
        <v/>
      </c>
      <c r="O53" s="30"/>
      <c r="P53" s="33"/>
      <c r="Q53" s="33"/>
    </row>
    <row r="54" spans="1:17" x14ac:dyDescent="0.25">
      <c r="A54" s="29" t="str">
        <f t="shared" si="0"/>
        <v/>
      </c>
      <c r="B54" s="31"/>
      <c r="C54" s="30"/>
      <c r="D54" s="30"/>
      <c r="E54" s="30"/>
      <c r="F54" s="30"/>
      <c r="G54" s="11" t="str">
        <f t="shared" si="1"/>
        <v/>
      </c>
      <c r="H54" s="11" t="str">
        <f t="shared" si="2"/>
        <v/>
      </c>
      <c r="I54" s="65" t="str">
        <f t="shared" si="3"/>
        <v/>
      </c>
      <c r="J54" s="11" t="str">
        <f t="shared" si="4"/>
        <v/>
      </c>
      <c r="K54" s="55" t="str">
        <f t="shared" si="5"/>
        <v/>
      </c>
      <c r="L54" s="33"/>
      <c r="M54" s="33"/>
      <c r="N54" s="36" t="str">
        <f t="shared" si="6"/>
        <v/>
      </c>
      <c r="O54" s="30"/>
      <c r="P54" s="33"/>
      <c r="Q54" s="33"/>
    </row>
    <row r="55" spans="1:17" x14ac:dyDescent="0.25">
      <c r="A55" s="29" t="str">
        <f t="shared" si="0"/>
        <v/>
      </c>
      <c r="B55" s="31"/>
      <c r="C55" s="30"/>
      <c r="D55" s="30"/>
      <c r="E55" s="30"/>
      <c r="F55" s="30"/>
      <c r="G55" s="11" t="str">
        <f t="shared" si="1"/>
        <v/>
      </c>
      <c r="H55" s="11" t="str">
        <f t="shared" si="2"/>
        <v/>
      </c>
      <c r="I55" s="65" t="str">
        <f t="shared" si="3"/>
        <v/>
      </c>
      <c r="J55" s="11" t="str">
        <f t="shared" si="4"/>
        <v/>
      </c>
      <c r="K55" s="55" t="str">
        <f t="shared" si="5"/>
        <v/>
      </c>
      <c r="L55" s="33"/>
      <c r="M55" s="33"/>
      <c r="N55" s="36" t="str">
        <f t="shared" si="6"/>
        <v/>
      </c>
      <c r="O55" s="30"/>
      <c r="P55" s="33"/>
      <c r="Q55" s="33"/>
    </row>
    <row r="56" spans="1:17" x14ac:dyDescent="0.25">
      <c r="A56" s="29" t="str">
        <f t="shared" si="0"/>
        <v/>
      </c>
      <c r="B56" s="31"/>
      <c r="C56" s="30"/>
      <c r="D56" s="30"/>
      <c r="E56" s="30"/>
      <c r="F56" s="30"/>
      <c r="G56" s="11" t="str">
        <f t="shared" si="1"/>
        <v/>
      </c>
      <c r="H56" s="11" t="str">
        <f t="shared" si="2"/>
        <v/>
      </c>
      <c r="I56" s="65" t="str">
        <f t="shared" si="3"/>
        <v/>
      </c>
      <c r="J56" s="11" t="str">
        <f t="shared" si="4"/>
        <v/>
      </c>
      <c r="K56" s="55" t="str">
        <f t="shared" si="5"/>
        <v/>
      </c>
      <c r="L56" s="33"/>
      <c r="M56" s="33"/>
      <c r="N56" s="36" t="str">
        <f t="shared" si="6"/>
        <v/>
      </c>
      <c r="O56" s="30"/>
      <c r="P56" s="33"/>
      <c r="Q56" s="33"/>
    </row>
    <row r="57" spans="1:17" x14ac:dyDescent="0.25">
      <c r="A57" s="29" t="str">
        <f t="shared" si="0"/>
        <v/>
      </c>
      <c r="B57" s="31"/>
      <c r="C57" s="30"/>
      <c r="D57" s="30"/>
      <c r="E57" s="30"/>
      <c r="F57" s="30"/>
      <c r="G57" s="11" t="str">
        <f t="shared" si="1"/>
        <v/>
      </c>
      <c r="H57" s="11" t="str">
        <f t="shared" si="2"/>
        <v/>
      </c>
      <c r="I57" s="65" t="str">
        <f t="shared" si="3"/>
        <v/>
      </c>
      <c r="J57" s="11" t="str">
        <f t="shared" si="4"/>
        <v/>
      </c>
      <c r="K57" s="55" t="str">
        <f t="shared" si="5"/>
        <v/>
      </c>
      <c r="L57" s="33"/>
      <c r="M57" s="33"/>
      <c r="N57" s="36" t="str">
        <f t="shared" si="6"/>
        <v/>
      </c>
      <c r="O57" s="30"/>
      <c r="P57" s="33"/>
      <c r="Q57" s="33"/>
    </row>
    <row r="58" spans="1:17" x14ac:dyDescent="0.25">
      <c r="A58" s="29" t="str">
        <f t="shared" si="0"/>
        <v/>
      </c>
      <c r="B58" s="31"/>
      <c r="C58" s="30"/>
      <c r="D58" s="30"/>
      <c r="E58" s="30"/>
      <c r="F58" s="30"/>
      <c r="G58" s="11" t="str">
        <f t="shared" si="1"/>
        <v/>
      </c>
      <c r="H58" s="11" t="str">
        <f t="shared" si="2"/>
        <v/>
      </c>
      <c r="I58" s="65" t="str">
        <f t="shared" si="3"/>
        <v/>
      </c>
      <c r="J58" s="11" t="str">
        <f t="shared" si="4"/>
        <v/>
      </c>
      <c r="K58" s="55" t="str">
        <f t="shared" si="5"/>
        <v/>
      </c>
      <c r="L58" s="33"/>
      <c r="M58" s="33"/>
      <c r="N58" s="36" t="str">
        <f t="shared" si="6"/>
        <v/>
      </c>
      <c r="O58" s="30"/>
      <c r="P58" s="33"/>
      <c r="Q58" s="33"/>
    </row>
    <row r="59" spans="1:17" x14ac:dyDescent="0.25">
      <c r="A59" s="29" t="str">
        <f t="shared" si="0"/>
        <v/>
      </c>
      <c r="B59" s="31"/>
      <c r="C59" s="30"/>
      <c r="D59" s="30"/>
      <c r="E59" s="30"/>
      <c r="F59" s="30"/>
      <c r="G59" s="11" t="str">
        <f t="shared" si="1"/>
        <v/>
      </c>
      <c r="H59" s="11" t="str">
        <f t="shared" si="2"/>
        <v/>
      </c>
      <c r="I59" s="65" t="str">
        <f t="shared" si="3"/>
        <v/>
      </c>
      <c r="J59" s="11" t="str">
        <f t="shared" si="4"/>
        <v/>
      </c>
      <c r="K59" s="55" t="str">
        <f t="shared" si="5"/>
        <v/>
      </c>
      <c r="L59" s="33"/>
      <c r="M59" s="33"/>
      <c r="N59" s="36" t="str">
        <f t="shared" si="6"/>
        <v/>
      </c>
      <c r="O59" s="30"/>
      <c r="P59" s="33"/>
      <c r="Q59" s="33"/>
    </row>
    <row r="60" spans="1:17" x14ac:dyDescent="0.25">
      <c r="A60" s="29" t="str">
        <f t="shared" si="0"/>
        <v/>
      </c>
      <c r="B60" s="31"/>
      <c r="C60" s="30"/>
      <c r="D60" s="30"/>
      <c r="E60" s="30"/>
      <c r="F60" s="30"/>
      <c r="G60" s="11" t="str">
        <f t="shared" si="1"/>
        <v/>
      </c>
      <c r="H60" s="11" t="str">
        <f t="shared" si="2"/>
        <v/>
      </c>
      <c r="I60" s="65" t="str">
        <f t="shared" si="3"/>
        <v/>
      </c>
      <c r="J60" s="11" t="str">
        <f t="shared" si="4"/>
        <v/>
      </c>
      <c r="K60" s="55" t="str">
        <f t="shared" si="5"/>
        <v/>
      </c>
      <c r="L60" s="33"/>
      <c r="M60" s="33"/>
      <c r="N60" s="36" t="str">
        <f t="shared" si="6"/>
        <v/>
      </c>
      <c r="O60" s="30"/>
      <c r="P60" s="33"/>
      <c r="Q60" s="33"/>
    </row>
    <row r="61" spans="1:17" x14ac:dyDescent="0.25">
      <c r="A61" s="29" t="str">
        <f t="shared" si="0"/>
        <v/>
      </c>
      <c r="B61" s="31"/>
      <c r="C61" s="30"/>
      <c r="D61" s="30"/>
      <c r="E61" s="30"/>
      <c r="F61" s="30"/>
      <c r="G61" s="11" t="str">
        <f t="shared" si="1"/>
        <v/>
      </c>
      <c r="H61" s="11" t="str">
        <f t="shared" si="2"/>
        <v/>
      </c>
      <c r="I61" s="65" t="str">
        <f t="shared" si="3"/>
        <v/>
      </c>
      <c r="J61" s="11" t="str">
        <f t="shared" si="4"/>
        <v/>
      </c>
      <c r="K61" s="55" t="str">
        <f t="shared" si="5"/>
        <v/>
      </c>
      <c r="L61" s="33"/>
      <c r="M61" s="33"/>
      <c r="N61" s="36" t="str">
        <f t="shared" si="6"/>
        <v/>
      </c>
      <c r="O61" s="30"/>
      <c r="P61" s="33"/>
      <c r="Q61" s="33"/>
    </row>
    <row r="62" spans="1:17" x14ac:dyDescent="0.25">
      <c r="A62" s="29" t="str">
        <f t="shared" si="0"/>
        <v/>
      </c>
      <c r="B62" s="31"/>
      <c r="C62" s="30"/>
      <c r="D62" s="30"/>
      <c r="E62" s="30"/>
      <c r="F62" s="30"/>
      <c r="G62" s="11" t="str">
        <f t="shared" si="1"/>
        <v/>
      </c>
      <c r="H62" s="11" t="str">
        <f t="shared" si="2"/>
        <v/>
      </c>
      <c r="I62" s="65" t="str">
        <f t="shared" si="3"/>
        <v/>
      </c>
      <c r="J62" s="11" t="str">
        <f t="shared" si="4"/>
        <v/>
      </c>
      <c r="K62" s="55" t="str">
        <f t="shared" si="5"/>
        <v/>
      </c>
      <c r="L62" s="33"/>
      <c r="M62" s="33"/>
      <c r="N62" s="36" t="str">
        <f t="shared" si="6"/>
        <v/>
      </c>
      <c r="O62" s="30"/>
      <c r="P62" s="33"/>
      <c r="Q62" s="33"/>
    </row>
    <row r="63" spans="1:17" x14ac:dyDescent="0.25">
      <c r="A63" s="29" t="str">
        <f t="shared" si="0"/>
        <v/>
      </c>
      <c r="B63" s="31"/>
      <c r="C63" s="30"/>
      <c r="D63" s="30"/>
      <c r="E63" s="30"/>
      <c r="F63" s="30"/>
      <c r="G63" s="11" t="str">
        <f t="shared" si="1"/>
        <v/>
      </c>
      <c r="H63" s="11" t="str">
        <f t="shared" si="2"/>
        <v/>
      </c>
      <c r="I63" s="65" t="str">
        <f t="shared" si="3"/>
        <v/>
      </c>
      <c r="J63" s="11" t="str">
        <f t="shared" si="4"/>
        <v/>
      </c>
      <c r="K63" s="55" t="str">
        <f t="shared" si="5"/>
        <v/>
      </c>
      <c r="L63" s="33"/>
      <c r="M63" s="33"/>
      <c r="N63" s="36" t="str">
        <f t="shared" si="6"/>
        <v/>
      </c>
      <c r="O63" s="30"/>
      <c r="P63" s="33"/>
      <c r="Q63" s="33"/>
    </row>
    <row r="64" spans="1:17" x14ac:dyDescent="0.25">
      <c r="A64" s="29" t="str">
        <f t="shared" si="0"/>
        <v/>
      </c>
      <c r="B64" s="31"/>
      <c r="C64" s="30"/>
      <c r="D64" s="30"/>
      <c r="E64" s="30"/>
      <c r="F64" s="30"/>
      <c r="G64" s="11" t="str">
        <f t="shared" si="1"/>
        <v/>
      </c>
      <c r="H64" s="11" t="str">
        <f t="shared" si="2"/>
        <v/>
      </c>
      <c r="I64" s="65" t="str">
        <f t="shared" si="3"/>
        <v/>
      </c>
      <c r="J64" s="11" t="str">
        <f t="shared" si="4"/>
        <v/>
      </c>
      <c r="K64" s="55" t="str">
        <f t="shared" si="5"/>
        <v/>
      </c>
      <c r="L64" s="33"/>
      <c r="M64" s="33"/>
      <c r="N64" s="36" t="str">
        <f t="shared" si="6"/>
        <v/>
      </c>
      <c r="O64" s="30"/>
      <c r="P64" s="33"/>
      <c r="Q64" s="33"/>
    </row>
    <row r="65" spans="1:17" x14ac:dyDescent="0.25">
      <c r="A65" s="29" t="str">
        <f t="shared" si="0"/>
        <v/>
      </c>
      <c r="B65" s="31"/>
      <c r="C65" s="30"/>
      <c r="D65" s="30"/>
      <c r="E65" s="30"/>
      <c r="F65" s="30"/>
      <c r="G65" s="11" t="str">
        <f t="shared" si="1"/>
        <v/>
      </c>
      <c r="H65" s="11" t="str">
        <f t="shared" si="2"/>
        <v/>
      </c>
      <c r="I65" s="65" t="str">
        <f t="shared" si="3"/>
        <v/>
      </c>
      <c r="J65" s="11" t="str">
        <f t="shared" si="4"/>
        <v/>
      </c>
      <c r="K65" s="55" t="str">
        <f t="shared" si="5"/>
        <v/>
      </c>
      <c r="L65" s="33"/>
      <c r="M65" s="33"/>
      <c r="N65" s="36" t="str">
        <f t="shared" si="6"/>
        <v/>
      </c>
      <c r="O65" s="30"/>
      <c r="P65" s="33"/>
      <c r="Q65" s="33"/>
    </row>
    <row r="66" spans="1:17" x14ac:dyDescent="0.25">
      <c r="A66" s="29" t="str">
        <f t="shared" si="0"/>
        <v/>
      </c>
      <c r="B66" s="31"/>
      <c r="C66" s="30"/>
      <c r="D66" s="30"/>
      <c r="E66" s="30"/>
      <c r="F66" s="30"/>
      <c r="G66" s="11" t="str">
        <f t="shared" si="1"/>
        <v/>
      </c>
      <c r="H66" s="11" t="str">
        <f t="shared" si="2"/>
        <v/>
      </c>
      <c r="I66" s="65" t="str">
        <f t="shared" si="3"/>
        <v/>
      </c>
      <c r="J66" s="11" t="str">
        <f t="shared" si="4"/>
        <v/>
      </c>
      <c r="K66" s="55" t="str">
        <f t="shared" si="5"/>
        <v/>
      </c>
      <c r="L66" s="33"/>
      <c r="M66" s="33"/>
      <c r="N66" s="36" t="str">
        <f t="shared" si="6"/>
        <v/>
      </c>
      <c r="O66" s="30"/>
      <c r="P66" s="33"/>
      <c r="Q66" s="33"/>
    </row>
    <row r="67" spans="1:17" x14ac:dyDescent="0.25">
      <c r="A67" s="29" t="str">
        <f t="shared" si="0"/>
        <v/>
      </c>
      <c r="B67" s="31"/>
      <c r="C67" s="30"/>
      <c r="D67" s="30"/>
      <c r="E67" s="30"/>
      <c r="F67" s="30"/>
      <c r="G67" s="11" t="str">
        <f t="shared" si="1"/>
        <v/>
      </c>
      <c r="H67" s="11" t="str">
        <f t="shared" si="2"/>
        <v/>
      </c>
      <c r="I67" s="65" t="str">
        <f t="shared" si="3"/>
        <v/>
      </c>
      <c r="J67" s="11" t="str">
        <f t="shared" si="4"/>
        <v/>
      </c>
      <c r="K67" s="55" t="str">
        <f t="shared" si="5"/>
        <v/>
      </c>
      <c r="L67" s="33"/>
      <c r="M67" s="33"/>
      <c r="N67" s="36" t="str">
        <f t="shared" si="6"/>
        <v/>
      </c>
      <c r="O67" s="30"/>
      <c r="P67" s="33"/>
      <c r="Q67" s="33"/>
    </row>
    <row r="68" spans="1:17" x14ac:dyDescent="0.25">
      <c r="A68" s="29" t="str">
        <f t="shared" si="0"/>
        <v/>
      </c>
      <c r="B68" s="31"/>
      <c r="C68" s="30"/>
      <c r="D68" s="30"/>
      <c r="E68" s="30"/>
      <c r="F68" s="30"/>
      <c r="G68" s="11" t="str">
        <f t="shared" si="1"/>
        <v/>
      </c>
      <c r="H68" s="11" t="str">
        <f t="shared" si="2"/>
        <v/>
      </c>
      <c r="I68" s="65" t="str">
        <f t="shared" si="3"/>
        <v/>
      </c>
      <c r="J68" s="11" t="str">
        <f t="shared" si="4"/>
        <v/>
      </c>
      <c r="K68" s="55" t="str">
        <f t="shared" si="5"/>
        <v/>
      </c>
      <c r="L68" s="33"/>
      <c r="M68" s="33"/>
      <c r="N68" s="36" t="str">
        <f t="shared" si="6"/>
        <v/>
      </c>
      <c r="O68" s="30"/>
      <c r="P68" s="33"/>
      <c r="Q68" s="33"/>
    </row>
    <row r="69" spans="1:17" x14ac:dyDescent="0.25">
      <c r="A69" s="29" t="str">
        <f t="shared" ref="A69:A132" si="7">IF($B69="","",LEFT($C69,3)&amp;"-"&amp;TEXT(ROW()-4,"0000"))</f>
        <v/>
      </c>
      <c r="B69" s="31"/>
      <c r="C69" s="30"/>
      <c r="D69" s="30"/>
      <c r="E69" s="30"/>
      <c r="F69" s="30"/>
      <c r="G69" s="11" t="str">
        <f t="shared" ref="G69:G132" si="8">IF($B69="","",SUMIFS(APT_PESSOAS,APT_DATA,$B69,APT_CONTR,$C69))</f>
        <v/>
      </c>
      <c r="H69" s="11" t="str">
        <f t="shared" ref="H69:H132" si="9">IF($B69="","",COUNTIFS(APT_DATA,$B69,APT_CONTR,$C69))</f>
        <v/>
      </c>
      <c r="I69" s="65" t="str">
        <f t="shared" ref="I69:I132" si="10">IF($B69="","",SUMIFS(APT_HH,APT_DATA,$B69,APT_CONTR,$C69))</f>
        <v/>
      </c>
      <c r="J69" s="11" t="str">
        <f t="shared" ref="J69:J132" si="11">IF($B69="","",COUNTIFS(OS_FIM,$B69,OS_CONTR,$C69))</f>
        <v/>
      </c>
      <c r="K69" s="55" t="str">
        <f t="shared" ref="K69:K132" si="12">IF($B69="","",SUMIFS(MED_VLR,MED_DATA,$B69,MED_CONTR,$C69))</f>
        <v/>
      </c>
      <c r="L69" s="33"/>
      <c r="M69" s="33"/>
      <c r="N69" s="36" t="str">
        <f t="shared" ref="N69:N132" si="13">IF($B69="","",IF(COUNTIFS(OC_DATA,$B69,OC_CONTR,$C69)=0,"Sem ocorrências",COUNTIFS(OC_DATA,$B69,OC_CONTR,$C69)&amp;" ocorrência(s) — ver aba 11"))</f>
        <v/>
      </c>
      <c r="O69" s="30"/>
      <c r="P69" s="33"/>
      <c r="Q69" s="33"/>
    </row>
    <row r="70" spans="1:17" x14ac:dyDescent="0.25">
      <c r="A70" s="29" t="str">
        <f t="shared" si="7"/>
        <v/>
      </c>
      <c r="B70" s="31"/>
      <c r="C70" s="30"/>
      <c r="D70" s="30"/>
      <c r="E70" s="30"/>
      <c r="F70" s="30"/>
      <c r="G70" s="11" t="str">
        <f t="shared" si="8"/>
        <v/>
      </c>
      <c r="H70" s="11" t="str">
        <f t="shared" si="9"/>
        <v/>
      </c>
      <c r="I70" s="65" t="str">
        <f t="shared" si="10"/>
        <v/>
      </c>
      <c r="J70" s="11" t="str">
        <f t="shared" si="11"/>
        <v/>
      </c>
      <c r="K70" s="55" t="str">
        <f t="shared" si="12"/>
        <v/>
      </c>
      <c r="L70" s="33"/>
      <c r="M70" s="33"/>
      <c r="N70" s="36" t="str">
        <f t="shared" si="13"/>
        <v/>
      </c>
      <c r="O70" s="30"/>
      <c r="P70" s="33"/>
      <c r="Q70" s="33"/>
    </row>
    <row r="71" spans="1:17" x14ac:dyDescent="0.25">
      <c r="A71" s="29" t="str">
        <f t="shared" si="7"/>
        <v/>
      </c>
      <c r="B71" s="31"/>
      <c r="C71" s="30"/>
      <c r="D71" s="30"/>
      <c r="E71" s="30"/>
      <c r="F71" s="30"/>
      <c r="G71" s="11" t="str">
        <f t="shared" si="8"/>
        <v/>
      </c>
      <c r="H71" s="11" t="str">
        <f t="shared" si="9"/>
        <v/>
      </c>
      <c r="I71" s="65" t="str">
        <f t="shared" si="10"/>
        <v/>
      </c>
      <c r="J71" s="11" t="str">
        <f t="shared" si="11"/>
        <v/>
      </c>
      <c r="K71" s="55" t="str">
        <f t="shared" si="12"/>
        <v/>
      </c>
      <c r="L71" s="33"/>
      <c r="M71" s="33"/>
      <c r="N71" s="36" t="str">
        <f t="shared" si="13"/>
        <v/>
      </c>
      <c r="O71" s="30"/>
      <c r="P71" s="33"/>
      <c r="Q71" s="33"/>
    </row>
    <row r="72" spans="1:17" x14ac:dyDescent="0.25">
      <c r="A72" s="29" t="str">
        <f t="shared" si="7"/>
        <v/>
      </c>
      <c r="B72" s="31"/>
      <c r="C72" s="30"/>
      <c r="D72" s="30"/>
      <c r="E72" s="30"/>
      <c r="F72" s="30"/>
      <c r="G72" s="11" t="str">
        <f t="shared" si="8"/>
        <v/>
      </c>
      <c r="H72" s="11" t="str">
        <f t="shared" si="9"/>
        <v/>
      </c>
      <c r="I72" s="65" t="str">
        <f t="shared" si="10"/>
        <v/>
      </c>
      <c r="J72" s="11" t="str">
        <f t="shared" si="11"/>
        <v/>
      </c>
      <c r="K72" s="55" t="str">
        <f t="shared" si="12"/>
        <v/>
      </c>
      <c r="L72" s="33"/>
      <c r="M72" s="33"/>
      <c r="N72" s="36" t="str">
        <f t="shared" si="13"/>
        <v/>
      </c>
      <c r="O72" s="30"/>
      <c r="P72" s="33"/>
      <c r="Q72" s="33"/>
    </row>
    <row r="73" spans="1:17" x14ac:dyDescent="0.25">
      <c r="A73" s="29" t="str">
        <f t="shared" si="7"/>
        <v/>
      </c>
      <c r="B73" s="31"/>
      <c r="C73" s="30"/>
      <c r="D73" s="30"/>
      <c r="E73" s="30"/>
      <c r="F73" s="30"/>
      <c r="G73" s="11" t="str">
        <f t="shared" si="8"/>
        <v/>
      </c>
      <c r="H73" s="11" t="str">
        <f t="shared" si="9"/>
        <v/>
      </c>
      <c r="I73" s="65" t="str">
        <f t="shared" si="10"/>
        <v/>
      </c>
      <c r="J73" s="11" t="str">
        <f t="shared" si="11"/>
        <v/>
      </c>
      <c r="K73" s="55" t="str">
        <f t="shared" si="12"/>
        <v/>
      </c>
      <c r="L73" s="33"/>
      <c r="M73" s="33"/>
      <c r="N73" s="36" t="str">
        <f t="shared" si="13"/>
        <v/>
      </c>
      <c r="O73" s="30"/>
      <c r="P73" s="33"/>
      <c r="Q73" s="33"/>
    </row>
    <row r="74" spans="1:17" x14ac:dyDescent="0.25">
      <c r="A74" s="29" t="str">
        <f t="shared" si="7"/>
        <v/>
      </c>
      <c r="B74" s="31"/>
      <c r="C74" s="30"/>
      <c r="D74" s="30"/>
      <c r="E74" s="30"/>
      <c r="F74" s="30"/>
      <c r="G74" s="11" t="str">
        <f t="shared" si="8"/>
        <v/>
      </c>
      <c r="H74" s="11" t="str">
        <f t="shared" si="9"/>
        <v/>
      </c>
      <c r="I74" s="65" t="str">
        <f t="shared" si="10"/>
        <v/>
      </c>
      <c r="J74" s="11" t="str">
        <f t="shared" si="11"/>
        <v/>
      </c>
      <c r="K74" s="55" t="str">
        <f t="shared" si="12"/>
        <v/>
      </c>
      <c r="L74" s="33"/>
      <c r="M74" s="33"/>
      <c r="N74" s="36" t="str">
        <f t="shared" si="13"/>
        <v/>
      </c>
      <c r="O74" s="30"/>
      <c r="P74" s="33"/>
      <c r="Q74" s="33"/>
    </row>
    <row r="75" spans="1:17" x14ac:dyDescent="0.25">
      <c r="A75" s="29" t="str">
        <f t="shared" si="7"/>
        <v/>
      </c>
      <c r="B75" s="31"/>
      <c r="C75" s="30"/>
      <c r="D75" s="30"/>
      <c r="E75" s="30"/>
      <c r="F75" s="30"/>
      <c r="G75" s="11" t="str">
        <f t="shared" si="8"/>
        <v/>
      </c>
      <c r="H75" s="11" t="str">
        <f t="shared" si="9"/>
        <v/>
      </c>
      <c r="I75" s="65" t="str">
        <f t="shared" si="10"/>
        <v/>
      </c>
      <c r="J75" s="11" t="str">
        <f t="shared" si="11"/>
        <v/>
      </c>
      <c r="K75" s="55" t="str">
        <f t="shared" si="12"/>
        <v/>
      </c>
      <c r="L75" s="33"/>
      <c r="M75" s="33"/>
      <c r="N75" s="36" t="str">
        <f t="shared" si="13"/>
        <v/>
      </c>
      <c r="O75" s="30"/>
      <c r="P75" s="33"/>
      <c r="Q75" s="33"/>
    </row>
    <row r="76" spans="1:17" x14ac:dyDescent="0.25">
      <c r="A76" s="29" t="str">
        <f t="shared" si="7"/>
        <v/>
      </c>
      <c r="B76" s="31"/>
      <c r="C76" s="30"/>
      <c r="D76" s="30"/>
      <c r="E76" s="30"/>
      <c r="F76" s="30"/>
      <c r="G76" s="11" t="str">
        <f t="shared" si="8"/>
        <v/>
      </c>
      <c r="H76" s="11" t="str">
        <f t="shared" si="9"/>
        <v/>
      </c>
      <c r="I76" s="65" t="str">
        <f t="shared" si="10"/>
        <v/>
      </c>
      <c r="J76" s="11" t="str">
        <f t="shared" si="11"/>
        <v/>
      </c>
      <c r="K76" s="55" t="str">
        <f t="shared" si="12"/>
        <v/>
      </c>
      <c r="L76" s="33"/>
      <c r="M76" s="33"/>
      <c r="N76" s="36" t="str">
        <f t="shared" si="13"/>
        <v/>
      </c>
      <c r="O76" s="30"/>
      <c r="P76" s="33"/>
      <c r="Q76" s="33"/>
    </row>
    <row r="77" spans="1:17" x14ac:dyDescent="0.25">
      <c r="A77" s="29" t="str">
        <f t="shared" si="7"/>
        <v/>
      </c>
      <c r="B77" s="31"/>
      <c r="C77" s="30"/>
      <c r="D77" s="30"/>
      <c r="E77" s="30"/>
      <c r="F77" s="30"/>
      <c r="G77" s="11" t="str">
        <f t="shared" si="8"/>
        <v/>
      </c>
      <c r="H77" s="11" t="str">
        <f t="shared" si="9"/>
        <v/>
      </c>
      <c r="I77" s="65" t="str">
        <f t="shared" si="10"/>
        <v/>
      </c>
      <c r="J77" s="11" t="str">
        <f t="shared" si="11"/>
        <v/>
      </c>
      <c r="K77" s="55" t="str">
        <f t="shared" si="12"/>
        <v/>
      </c>
      <c r="L77" s="33"/>
      <c r="M77" s="33"/>
      <c r="N77" s="36" t="str">
        <f t="shared" si="13"/>
        <v/>
      </c>
      <c r="O77" s="30"/>
      <c r="P77" s="33"/>
      <c r="Q77" s="33"/>
    </row>
    <row r="78" spans="1:17" x14ac:dyDescent="0.25">
      <c r="A78" s="29" t="str">
        <f t="shared" si="7"/>
        <v/>
      </c>
      <c r="B78" s="31"/>
      <c r="C78" s="30"/>
      <c r="D78" s="30"/>
      <c r="E78" s="30"/>
      <c r="F78" s="30"/>
      <c r="G78" s="11" t="str">
        <f t="shared" si="8"/>
        <v/>
      </c>
      <c r="H78" s="11" t="str">
        <f t="shared" si="9"/>
        <v/>
      </c>
      <c r="I78" s="65" t="str">
        <f t="shared" si="10"/>
        <v/>
      </c>
      <c r="J78" s="11" t="str">
        <f t="shared" si="11"/>
        <v/>
      </c>
      <c r="K78" s="55" t="str">
        <f t="shared" si="12"/>
        <v/>
      </c>
      <c r="L78" s="33"/>
      <c r="M78" s="33"/>
      <c r="N78" s="36" t="str">
        <f t="shared" si="13"/>
        <v/>
      </c>
      <c r="O78" s="30"/>
      <c r="P78" s="33"/>
      <c r="Q78" s="33"/>
    </row>
    <row r="79" spans="1:17" x14ac:dyDescent="0.25">
      <c r="A79" s="29" t="str">
        <f t="shared" si="7"/>
        <v/>
      </c>
      <c r="B79" s="31"/>
      <c r="C79" s="30"/>
      <c r="D79" s="30"/>
      <c r="E79" s="30"/>
      <c r="F79" s="30"/>
      <c r="G79" s="11" t="str">
        <f t="shared" si="8"/>
        <v/>
      </c>
      <c r="H79" s="11" t="str">
        <f t="shared" si="9"/>
        <v/>
      </c>
      <c r="I79" s="65" t="str">
        <f t="shared" si="10"/>
        <v/>
      </c>
      <c r="J79" s="11" t="str">
        <f t="shared" si="11"/>
        <v/>
      </c>
      <c r="K79" s="55" t="str">
        <f t="shared" si="12"/>
        <v/>
      </c>
      <c r="L79" s="33"/>
      <c r="M79" s="33"/>
      <c r="N79" s="36" t="str">
        <f t="shared" si="13"/>
        <v/>
      </c>
      <c r="O79" s="30"/>
      <c r="P79" s="33"/>
      <c r="Q79" s="33"/>
    </row>
    <row r="80" spans="1:17" x14ac:dyDescent="0.25">
      <c r="A80" s="29" t="str">
        <f t="shared" si="7"/>
        <v/>
      </c>
      <c r="B80" s="31"/>
      <c r="C80" s="30"/>
      <c r="D80" s="30"/>
      <c r="E80" s="30"/>
      <c r="F80" s="30"/>
      <c r="G80" s="11" t="str">
        <f t="shared" si="8"/>
        <v/>
      </c>
      <c r="H80" s="11" t="str">
        <f t="shared" si="9"/>
        <v/>
      </c>
      <c r="I80" s="65" t="str">
        <f t="shared" si="10"/>
        <v/>
      </c>
      <c r="J80" s="11" t="str">
        <f t="shared" si="11"/>
        <v/>
      </c>
      <c r="K80" s="55" t="str">
        <f t="shared" si="12"/>
        <v/>
      </c>
      <c r="L80" s="33"/>
      <c r="M80" s="33"/>
      <c r="N80" s="36" t="str">
        <f t="shared" si="13"/>
        <v/>
      </c>
      <c r="O80" s="30"/>
      <c r="P80" s="33"/>
      <c r="Q80" s="33"/>
    </row>
    <row r="81" spans="1:17" x14ac:dyDescent="0.25">
      <c r="A81" s="29" t="str">
        <f t="shared" si="7"/>
        <v/>
      </c>
      <c r="B81" s="31"/>
      <c r="C81" s="30"/>
      <c r="D81" s="30"/>
      <c r="E81" s="30"/>
      <c r="F81" s="30"/>
      <c r="G81" s="11" t="str">
        <f t="shared" si="8"/>
        <v/>
      </c>
      <c r="H81" s="11" t="str">
        <f t="shared" si="9"/>
        <v/>
      </c>
      <c r="I81" s="65" t="str">
        <f t="shared" si="10"/>
        <v/>
      </c>
      <c r="J81" s="11" t="str">
        <f t="shared" si="11"/>
        <v/>
      </c>
      <c r="K81" s="55" t="str">
        <f t="shared" si="12"/>
        <v/>
      </c>
      <c r="L81" s="33"/>
      <c r="M81" s="33"/>
      <c r="N81" s="36" t="str">
        <f t="shared" si="13"/>
        <v/>
      </c>
      <c r="O81" s="30"/>
      <c r="P81" s="33"/>
      <c r="Q81" s="33"/>
    </row>
    <row r="82" spans="1:17" x14ac:dyDescent="0.25">
      <c r="A82" s="29" t="str">
        <f t="shared" si="7"/>
        <v/>
      </c>
      <c r="B82" s="31"/>
      <c r="C82" s="30"/>
      <c r="D82" s="30"/>
      <c r="E82" s="30"/>
      <c r="F82" s="30"/>
      <c r="G82" s="11" t="str">
        <f t="shared" si="8"/>
        <v/>
      </c>
      <c r="H82" s="11" t="str">
        <f t="shared" si="9"/>
        <v/>
      </c>
      <c r="I82" s="65" t="str">
        <f t="shared" si="10"/>
        <v/>
      </c>
      <c r="J82" s="11" t="str">
        <f t="shared" si="11"/>
        <v/>
      </c>
      <c r="K82" s="55" t="str">
        <f t="shared" si="12"/>
        <v/>
      </c>
      <c r="L82" s="33"/>
      <c r="M82" s="33"/>
      <c r="N82" s="36" t="str">
        <f t="shared" si="13"/>
        <v/>
      </c>
      <c r="O82" s="30"/>
      <c r="P82" s="33"/>
      <c r="Q82" s="33"/>
    </row>
    <row r="83" spans="1:17" x14ac:dyDescent="0.25">
      <c r="A83" s="29" t="str">
        <f t="shared" si="7"/>
        <v/>
      </c>
      <c r="B83" s="31"/>
      <c r="C83" s="30"/>
      <c r="D83" s="30"/>
      <c r="E83" s="30"/>
      <c r="F83" s="30"/>
      <c r="G83" s="11" t="str">
        <f t="shared" si="8"/>
        <v/>
      </c>
      <c r="H83" s="11" t="str">
        <f t="shared" si="9"/>
        <v/>
      </c>
      <c r="I83" s="65" t="str">
        <f t="shared" si="10"/>
        <v/>
      </c>
      <c r="J83" s="11" t="str">
        <f t="shared" si="11"/>
        <v/>
      </c>
      <c r="K83" s="55" t="str">
        <f t="shared" si="12"/>
        <v/>
      </c>
      <c r="L83" s="33"/>
      <c r="M83" s="33"/>
      <c r="N83" s="36" t="str">
        <f t="shared" si="13"/>
        <v/>
      </c>
      <c r="O83" s="30"/>
      <c r="P83" s="33"/>
      <c r="Q83" s="33"/>
    </row>
    <row r="84" spans="1:17" x14ac:dyDescent="0.25">
      <c r="A84" s="29" t="str">
        <f t="shared" si="7"/>
        <v/>
      </c>
      <c r="B84" s="31"/>
      <c r="C84" s="30"/>
      <c r="D84" s="30"/>
      <c r="E84" s="30"/>
      <c r="F84" s="30"/>
      <c r="G84" s="11" t="str">
        <f t="shared" si="8"/>
        <v/>
      </c>
      <c r="H84" s="11" t="str">
        <f t="shared" si="9"/>
        <v/>
      </c>
      <c r="I84" s="65" t="str">
        <f t="shared" si="10"/>
        <v/>
      </c>
      <c r="J84" s="11" t="str">
        <f t="shared" si="11"/>
        <v/>
      </c>
      <c r="K84" s="55" t="str">
        <f t="shared" si="12"/>
        <v/>
      </c>
      <c r="L84" s="33"/>
      <c r="M84" s="33"/>
      <c r="N84" s="36" t="str">
        <f t="shared" si="13"/>
        <v/>
      </c>
      <c r="O84" s="30"/>
      <c r="P84" s="33"/>
      <c r="Q84" s="33"/>
    </row>
    <row r="85" spans="1:17" x14ac:dyDescent="0.25">
      <c r="A85" s="29" t="str">
        <f t="shared" si="7"/>
        <v/>
      </c>
      <c r="B85" s="31"/>
      <c r="C85" s="30"/>
      <c r="D85" s="30"/>
      <c r="E85" s="30"/>
      <c r="F85" s="30"/>
      <c r="G85" s="11" t="str">
        <f t="shared" si="8"/>
        <v/>
      </c>
      <c r="H85" s="11" t="str">
        <f t="shared" si="9"/>
        <v/>
      </c>
      <c r="I85" s="65" t="str">
        <f t="shared" si="10"/>
        <v/>
      </c>
      <c r="J85" s="11" t="str">
        <f t="shared" si="11"/>
        <v/>
      </c>
      <c r="K85" s="55" t="str">
        <f t="shared" si="12"/>
        <v/>
      </c>
      <c r="L85" s="33"/>
      <c r="M85" s="33"/>
      <c r="N85" s="36" t="str">
        <f t="shared" si="13"/>
        <v/>
      </c>
      <c r="O85" s="30"/>
      <c r="P85" s="33"/>
      <c r="Q85" s="33"/>
    </row>
    <row r="86" spans="1:17" x14ac:dyDescent="0.25">
      <c r="A86" s="29" t="str">
        <f t="shared" si="7"/>
        <v/>
      </c>
      <c r="B86" s="31"/>
      <c r="C86" s="30"/>
      <c r="D86" s="30"/>
      <c r="E86" s="30"/>
      <c r="F86" s="30"/>
      <c r="G86" s="11" t="str">
        <f t="shared" si="8"/>
        <v/>
      </c>
      <c r="H86" s="11" t="str">
        <f t="shared" si="9"/>
        <v/>
      </c>
      <c r="I86" s="65" t="str">
        <f t="shared" si="10"/>
        <v/>
      </c>
      <c r="J86" s="11" t="str">
        <f t="shared" si="11"/>
        <v/>
      </c>
      <c r="K86" s="55" t="str">
        <f t="shared" si="12"/>
        <v/>
      </c>
      <c r="L86" s="33"/>
      <c r="M86" s="33"/>
      <c r="N86" s="36" t="str">
        <f t="shared" si="13"/>
        <v/>
      </c>
      <c r="O86" s="30"/>
      <c r="P86" s="33"/>
      <c r="Q86" s="33"/>
    </row>
    <row r="87" spans="1:17" x14ac:dyDescent="0.25">
      <c r="A87" s="29" t="str">
        <f t="shared" si="7"/>
        <v/>
      </c>
      <c r="B87" s="31"/>
      <c r="C87" s="30"/>
      <c r="D87" s="30"/>
      <c r="E87" s="30"/>
      <c r="F87" s="30"/>
      <c r="G87" s="11" t="str">
        <f t="shared" si="8"/>
        <v/>
      </c>
      <c r="H87" s="11" t="str">
        <f t="shared" si="9"/>
        <v/>
      </c>
      <c r="I87" s="65" t="str">
        <f t="shared" si="10"/>
        <v/>
      </c>
      <c r="J87" s="11" t="str">
        <f t="shared" si="11"/>
        <v/>
      </c>
      <c r="K87" s="55" t="str">
        <f t="shared" si="12"/>
        <v/>
      </c>
      <c r="L87" s="33"/>
      <c r="M87" s="33"/>
      <c r="N87" s="36" t="str">
        <f t="shared" si="13"/>
        <v/>
      </c>
      <c r="O87" s="30"/>
      <c r="P87" s="33"/>
      <c r="Q87" s="33"/>
    </row>
    <row r="88" spans="1:17" x14ac:dyDescent="0.25">
      <c r="A88" s="29" t="str">
        <f t="shared" si="7"/>
        <v/>
      </c>
      <c r="B88" s="31"/>
      <c r="C88" s="30"/>
      <c r="D88" s="30"/>
      <c r="E88" s="30"/>
      <c r="F88" s="30"/>
      <c r="G88" s="11" t="str">
        <f t="shared" si="8"/>
        <v/>
      </c>
      <c r="H88" s="11" t="str">
        <f t="shared" si="9"/>
        <v/>
      </c>
      <c r="I88" s="65" t="str">
        <f t="shared" si="10"/>
        <v/>
      </c>
      <c r="J88" s="11" t="str">
        <f t="shared" si="11"/>
        <v/>
      </c>
      <c r="K88" s="55" t="str">
        <f t="shared" si="12"/>
        <v/>
      </c>
      <c r="L88" s="33"/>
      <c r="M88" s="33"/>
      <c r="N88" s="36" t="str">
        <f t="shared" si="13"/>
        <v/>
      </c>
      <c r="O88" s="30"/>
      <c r="P88" s="33"/>
      <c r="Q88" s="33"/>
    </row>
    <row r="89" spans="1:17" x14ac:dyDescent="0.25">
      <c r="A89" s="29" t="str">
        <f t="shared" si="7"/>
        <v/>
      </c>
      <c r="B89" s="31"/>
      <c r="C89" s="30"/>
      <c r="D89" s="30"/>
      <c r="E89" s="30"/>
      <c r="F89" s="30"/>
      <c r="G89" s="11" t="str">
        <f t="shared" si="8"/>
        <v/>
      </c>
      <c r="H89" s="11" t="str">
        <f t="shared" si="9"/>
        <v/>
      </c>
      <c r="I89" s="65" t="str">
        <f t="shared" si="10"/>
        <v/>
      </c>
      <c r="J89" s="11" t="str">
        <f t="shared" si="11"/>
        <v/>
      </c>
      <c r="K89" s="55" t="str">
        <f t="shared" si="12"/>
        <v/>
      </c>
      <c r="L89" s="33"/>
      <c r="M89" s="33"/>
      <c r="N89" s="36" t="str">
        <f t="shared" si="13"/>
        <v/>
      </c>
      <c r="O89" s="30"/>
      <c r="P89" s="33"/>
      <c r="Q89" s="33"/>
    </row>
    <row r="90" spans="1:17" x14ac:dyDescent="0.25">
      <c r="A90" s="29" t="str">
        <f t="shared" si="7"/>
        <v/>
      </c>
      <c r="B90" s="31"/>
      <c r="C90" s="30"/>
      <c r="D90" s="30"/>
      <c r="E90" s="30"/>
      <c r="F90" s="30"/>
      <c r="G90" s="11" t="str">
        <f t="shared" si="8"/>
        <v/>
      </c>
      <c r="H90" s="11" t="str">
        <f t="shared" si="9"/>
        <v/>
      </c>
      <c r="I90" s="65" t="str">
        <f t="shared" si="10"/>
        <v/>
      </c>
      <c r="J90" s="11" t="str">
        <f t="shared" si="11"/>
        <v/>
      </c>
      <c r="K90" s="55" t="str">
        <f t="shared" si="12"/>
        <v/>
      </c>
      <c r="L90" s="33"/>
      <c r="M90" s="33"/>
      <c r="N90" s="36" t="str">
        <f t="shared" si="13"/>
        <v/>
      </c>
      <c r="O90" s="30"/>
      <c r="P90" s="33"/>
      <c r="Q90" s="33"/>
    </row>
    <row r="91" spans="1:17" x14ac:dyDescent="0.25">
      <c r="A91" s="29" t="str">
        <f t="shared" si="7"/>
        <v/>
      </c>
      <c r="B91" s="31"/>
      <c r="C91" s="30"/>
      <c r="D91" s="30"/>
      <c r="E91" s="30"/>
      <c r="F91" s="30"/>
      <c r="G91" s="11" t="str">
        <f t="shared" si="8"/>
        <v/>
      </c>
      <c r="H91" s="11" t="str">
        <f t="shared" si="9"/>
        <v/>
      </c>
      <c r="I91" s="65" t="str">
        <f t="shared" si="10"/>
        <v/>
      </c>
      <c r="J91" s="11" t="str">
        <f t="shared" si="11"/>
        <v/>
      </c>
      <c r="K91" s="55" t="str">
        <f t="shared" si="12"/>
        <v/>
      </c>
      <c r="L91" s="33"/>
      <c r="M91" s="33"/>
      <c r="N91" s="36" t="str">
        <f t="shared" si="13"/>
        <v/>
      </c>
      <c r="O91" s="30"/>
      <c r="P91" s="33"/>
      <c r="Q91" s="33"/>
    </row>
    <row r="92" spans="1:17" x14ac:dyDescent="0.25">
      <c r="A92" s="29" t="str">
        <f t="shared" si="7"/>
        <v/>
      </c>
      <c r="B92" s="31"/>
      <c r="C92" s="30"/>
      <c r="D92" s="30"/>
      <c r="E92" s="30"/>
      <c r="F92" s="30"/>
      <c r="G92" s="11" t="str">
        <f t="shared" si="8"/>
        <v/>
      </c>
      <c r="H92" s="11" t="str">
        <f t="shared" si="9"/>
        <v/>
      </c>
      <c r="I92" s="65" t="str">
        <f t="shared" si="10"/>
        <v/>
      </c>
      <c r="J92" s="11" t="str">
        <f t="shared" si="11"/>
        <v/>
      </c>
      <c r="K92" s="55" t="str">
        <f t="shared" si="12"/>
        <v/>
      </c>
      <c r="L92" s="33"/>
      <c r="M92" s="33"/>
      <c r="N92" s="36" t="str">
        <f t="shared" si="13"/>
        <v/>
      </c>
      <c r="O92" s="30"/>
      <c r="P92" s="33"/>
      <c r="Q92" s="33"/>
    </row>
    <row r="93" spans="1:17" x14ac:dyDescent="0.25">
      <c r="A93" s="29" t="str">
        <f t="shared" si="7"/>
        <v/>
      </c>
      <c r="B93" s="31"/>
      <c r="C93" s="30"/>
      <c r="D93" s="30"/>
      <c r="E93" s="30"/>
      <c r="F93" s="30"/>
      <c r="G93" s="11" t="str">
        <f t="shared" si="8"/>
        <v/>
      </c>
      <c r="H93" s="11" t="str">
        <f t="shared" si="9"/>
        <v/>
      </c>
      <c r="I93" s="65" t="str">
        <f t="shared" si="10"/>
        <v/>
      </c>
      <c r="J93" s="11" t="str">
        <f t="shared" si="11"/>
        <v/>
      </c>
      <c r="K93" s="55" t="str">
        <f t="shared" si="12"/>
        <v/>
      </c>
      <c r="L93" s="33"/>
      <c r="M93" s="33"/>
      <c r="N93" s="36" t="str">
        <f t="shared" si="13"/>
        <v/>
      </c>
      <c r="O93" s="30"/>
      <c r="P93" s="33"/>
      <c r="Q93" s="33"/>
    </row>
    <row r="94" spans="1:17" x14ac:dyDescent="0.25">
      <c r="A94" s="29" t="str">
        <f t="shared" si="7"/>
        <v/>
      </c>
      <c r="B94" s="31"/>
      <c r="C94" s="30"/>
      <c r="D94" s="30"/>
      <c r="E94" s="30"/>
      <c r="F94" s="30"/>
      <c r="G94" s="11" t="str">
        <f t="shared" si="8"/>
        <v/>
      </c>
      <c r="H94" s="11" t="str">
        <f t="shared" si="9"/>
        <v/>
      </c>
      <c r="I94" s="65" t="str">
        <f t="shared" si="10"/>
        <v/>
      </c>
      <c r="J94" s="11" t="str">
        <f t="shared" si="11"/>
        <v/>
      </c>
      <c r="K94" s="55" t="str">
        <f t="shared" si="12"/>
        <v/>
      </c>
      <c r="L94" s="33"/>
      <c r="M94" s="33"/>
      <c r="N94" s="36" t="str">
        <f t="shared" si="13"/>
        <v/>
      </c>
      <c r="O94" s="30"/>
      <c r="P94" s="33"/>
      <c r="Q94" s="33"/>
    </row>
    <row r="95" spans="1:17" x14ac:dyDescent="0.25">
      <c r="A95" s="29" t="str">
        <f t="shared" si="7"/>
        <v/>
      </c>
      <c r="B95" s="31"/>
      <c r="C95" s="30"/>
      <c r="D95" s="30"/>
      <c r="E95" s="30"/>
      <c r="F95" s="30"/>
      <c r="G95" s="11" t="str">
        <f t="shared" si="8"/>
        <v/>
      </c>
      <c r="H95" s="11" t="str">
        <f t="shared" si="9"/>
        <v/>
      </c>
      <c r="I95" s="65" t="str">
        <f t="shared" si="10"/>
        <v/>
      </c>
      <c r="J95" s="11" t="str">
        <f t="shared" si="11"/>
        <v/>
      </c>
      <c r="K95" s="55" t="str">
        <f t="shared" si="12"/>
        <v/>
      </c>
      <c r="L95" s="33"/>
      <c r="M95" s="33"/>
      <c r="N95" s="36" t="str">
        <f t="shared" si="13"/>
        <v/>
      </c>
      <c r="O95" s="30"/>
      <c r="P95" s="33"/>
      <c r="Q95" s="33"/>
    </row>
    <row r="96" spans="1:17" x14ac:dyDescent="0.25">
      <c r="A96" s="29" t="str">
        <f t="shared" si="7"/>
        <v/>
      </c>
      <c r="B96" s="31"/>
      <c r="C96" s="30"/>
      <c r="D96" s="30"/>
      <c r="E96" s="30"/>
      <c r="F96" s="30"/>
      <c r="G96" s="11" t="str">
        <f t="shared" si="8"/>
        <v/>
      </c>
      <c r="H96" s="11" t="str">
        <f t="shared" si="9"/>
        <v/>
      </c>
      <c r="I96" s="65" t="str">
        <f t="shared" si="10"/>
        <v/>
      </c>
      <c r="J96" s="11" t="str">
        <f t="shared" si="11"/>
        <v/>
      </c>
      <c r="K96" s="55" t="str">
        <f t="shared" si="12"/>
        <v/>
      </c>
      <c r="L96" s="33"/>
      <c r="M96" s="33"/>
      <c r="N96" s="36" t="str">
        <f t="shared" si="13"/>
        <v/>
      </c>
      <c r="O96" s="30"/>
      <c r="P96" s="33"/>
      <c r="Q96" s="33"/>
    </row>
    <row r="97" spans="1:17" x14ac:dyDescent="0.25">
      <c r="A97" s="29" t="str">
        <f t="shared" si="7"/>
        <v/>
      </c>
      <c r="B97" s="31"/>
      <c r="C97" s="30"/>
      <c r="D97" s="30"/>
      <c r="E97" s="30"/>
      <c r="F97" s="30"/>
      <c r="G97" s="11" t="str">
        <f t="shared" si="8"/>
        <v/>
      </c>
      <c r="H97" s="11" t="str">
        <f t="shared" si="9"/>
        <v/>
      </c>
      <c r="I97" s="65" t="str">
        <f t="shared" si="10"/>
        <v/>
      </c>
      <c r="J97" s="11" t="str">
        <f t="shared" si="11"/>
        <v/>
      </c>
      <c r="K97" s="55" t="str">
        <f t="shared" si="12"/>
        <v/>
      </c>
      <c r="L97" s="33"/>
      <c r="M97" s="33"/>
      <c r="N97" s="36" t="str">
        <f t="shared" si="13"/>
        <v/>
      </c>
      <c r="O97" s="30"/>
      <c r="P97" s="33"/>
      <c r="Q97" s="33"/>
    </row>
    <row r="98" spans="1:17" x14ac:dyDescent="0.25">
      <c r="A98" s="29" t="str">
        <f t="shared" si="7"/>
        <v/>
      </c>
      <c r="B98" s="31"/>
      <c r="C98" s="30"/>
      <c r="D98" s="30"/>
      <c r="E98" s="30"/>
      <c r="F98" s="30"/>
      <c r="G98" s="11" t="str">
        <f t="shared" si="8"/>
        <v/>
      </c>
      <c r="H98" s="11" t="str">
        <f t="shared" si="9"/>
        <v/>
      </c>
      <c r="I98" s="65" t="str">
        <f t="shared" si="10"/>
        <v/>
      </c>
      <c r="J98" s="11" t="str">
        <f t="shared" si="11"/>
        <v/>
      </c>
      <c r="K98" s="55" t="str">
        <f t="shared" si="12"/>
        <v/>
      </c>
      <c r="L98" s="33"/>
      <c r="M98" s="33"/>
      <c r="N98" s="36" t="str">
        <f t="shared" si="13"/>
        <v/>
      </c>
      <c r="O98" s="30"/>
      <c r="P98" s="33"/>
      <c r="Q98" s="33"/>
    </row>
    <row r="99" spans="1:17" x14ac:dyDescent="0.25">
      <c r="A99" s="29" t="str">
        <f t="shared" si="7"/>
        <v/>
      </c>
      <c r="B99" s="31"/>
      <c r="C99" s="30"/>
      <c r="D99" s="30"/>
      <c r="E99" s="30"/>
      <c r="F99" s="30"/>
      <c r="G99" s="11" t="str">
        <f t="shared" si="8"/>
        <v/>
      </c>
      <c r="H99" s="11" t="str">
        <f t="shared" si="9"/>
        <v/>
      </c>
      <c r="I99" s="65" t="str">
        <f t="shared" si="10"/>
        <v/>
      </c>
      <c r="J99" s="11" t="str">
        <f t="shared" si="11"/>
        <v/>
      </c>
      <c r="K99" s="55" t="str">
        <f t="shared" si="12"/>
        <v/>
      </c>
      <c r="L99" s="33"/>
      <c r="M99" s="33"/>
      <c r="N99" s="36" t="str">
        <f t="shared" si="13"/>
        <v/>
      </c>
      <c r="O99" s="30"/>
      <c r="P99" s="33"/>
      <c r="Q99" s="33"/>
    </row>
    <row r="100" spans="1:17" x14ac:dyDescent="0.25">
      <c r="A100" s="29" t="str">
        <f t="shared" si="7"/>
        <v/>
      </c>
      <c r="B100" s="31"/>
      <c r="C100" s="30"/>
      <c r="D100" s="30"/>
      <c r="E100" s="30"/>
      <c r="F100" s="30"/>
      <c r="G100" s="11" t="str">
        <f t="shared" si="8"/>
        <v/>
      </c>
      <c r="H100" s="11" t="str">
        <f t="shared" si="9"/>
        <v/>
      </c>
      <c r="I100" s="65" t="str">
        <f t="shared" si="10"/>
        <v/>
      </c>
      <c r="J100" s="11" t="str">
        <f t="shared" si="11"/>
        <v/>
      </c>
      <c r="K100" s="55" t="str">
        <f t="shared" si="12"/>
        <v/>
      </c>
      <c r="L100" s="33"/>
      <c r="M100" s="33"/>
      <c r="N100" s="36" t="str">
        <f t="shared" si="13"/>
        <v/>
      </c>
      <c r="O100" s="30"/>
      <c r="P100" s="33"/>
      <c r="Q100" s="33"/>
    </row>
    <row r="101" spans="1:17" x14ac:dyDescent="0.25">
      <c r="A101" s="29" t="str">
        <f t="shared" si="7"/>
        <v/>
      </c>
      <c r="B101" s="31"/>
      <c r="C101" s="30"/>
      <c r="D101" s="30"/>
      <c r="E101" s="30"/>
      <c r="F101" s="30"/>
      <c r="G101" s="11" t="str">
        <f t="shared" si="8"/>
        <v/>
      </c>
      <c r="H101" s="11" t="str">
        <f t="shared" si="9"/>
        <v/>
      </c>
      <c r="I101" s="65" t="str">
        <f t="shared" si="10"/>
        <v/>
      </c>
      <c r="J101" s="11" t="str">
        <f t="shared" si="11"/>
        <v/>
      </c>
      <c r="K101" s="55" t="str">
        <f t="shared" si="12"/>
        <v/>
      </c>
      <c r="L101" s="33"/>
      <c r="M101" s="33"/>
      <c r="N101" s="36" t="str">
        <f t="shared" si="13"/>
        <v/>
      </c>
      <c r="O101" s="30"/>
      <c r="P101" s="33"/>
      <c r="Q101" s="33"/>
    </row>
    <row r="102" spans="1:17" x14ac:dyDescent="0.25">
      <c r="A102" s="29" t="str">
        <f t="shared" si="7"/>
        <v/>
      </c>
      <c r="B102" s="31"/>
      <c r="C102" s="30"/>
      <c r="D102" s="30"/>
      <c r="E102" s="30"/>
      <c r="F102" s="30"/>
      <c r="G102" s="11" t="str">
        <f t="shared" si="8"/>
        <v/>
      </c>
      <c r="H102" s="11" t="str">
        <f t="shared" si="9"/>
        <v/>
      </c>
      <c r="I102" s="65" t="str">
        <f t="shared" si="10"/>
        <v/>
      </c>
      <c r="J102" s="11" t="str">
        <f t="shared" si="11"/>
        <v/>
      </c>
      <c r="K102" s="55" t="str">
        <f t="shared" si="12"/>
        <v/>
      </c>
      <c r="L102" s="33"/>
      <c r="M102" s="33"/>
      <c r="N102" s="36" t="str">
        <f t="shared" si="13"/>
        <v/>
      </c>
      <c r="O102" s="30"/>
      <c r="P102" s="33"/>
      <c r="Q102" s="33"/>
    </row>
    <row r="103" spans="1:17" x14ac:dyDescent="0.25">
      <c r="A103" s="29" t="str">
        <f t="shared" si="7"/>
        <v/>
      </c>
      <c r="B103" s="31"/>
      <c r="C103" s="30"/>
      <c r="D103" s="30"/>
      <c r="E103" s="30"/>
      <c r="F103" s="30"/>
      <c r="G103" s="11" t="str">
        <f t="shared" si="8"/>
        <v/>
      </c>
      <c r="H103" s="11" t="str">
        <f t="shared" si="9"/>
        <v/>
      </c>
      <c r="I103" s="65" t="str">
        <f t="shared" si="10"/>
        <v/>
      </c>
      <c r="J103" s="11" t="str">
        <f t="shared" si="11"/>
        <v/>
      </c>
      <c r="K103" s="55" t="str">
        <f t="shared" si="12"/>
        <v/>
      </c>
      <c r="L103" s="33"/>
      <c r="M103" s="33"/>
      <c r="N103" s="36" t="str">
        <f t="shared" si="13"/>
        <v/>
      </c>
      <c r="O103" s="30"/>
      <c r="P103" s="33"/>
      <c r="Q103" s="33"/>
    </row>
    <row r="104" spans="1:17" x14ac:dyDescent="0.25">
      <c r="A104" s="29" t="str">
        <f t="shared" si="7"/>
        <v/>
      </c>
      <c r="B104" s="31"/>
      <c r="C104" s="30"/>
      <c r="D104" s="30"/>
      <c r="E104" s="30"/>
      <c r="F104" s="30"/>
      <c r="G104" s="11" t="str">
        <f t="shared" si="8"/>
        <v/>
      </c>
      <c r="H104" s="11" t="str">
        <f t="shared" si="9"/>
        <v/>
      </c>
      <c r="I104" s="65" t="str">
        <f t="shared" si="10"/>
        <v/>
      </c>
      <c r="J104" s="11" t="str">
        <f t="shared" si="11"/>
        <v/>
      </c>
      <c r="K104" s="55" t="str">
        <f t="shared" si="12"/>
        <v/>
      </c>
      <c r="L104" s="33"/>
      <c r="M104" s="33"/>
      <c r="N104" s="36" t="str">
        <f t="shared" si="13"/>
        <v/>
      </c>
      <c r="O104" s="30"/>
      <c r="P104" s="33"/>
      <c r="Q104" s="33"/>
    </row>
    <row r="105" spans="1:17" x14ac:dyDescent="0.25">
      <c r="A105" s="29" t="str">
        <f t="shared" si="7"/>
        <v/>
      </c>
      <c r="B105" s="31"/>
      <c r="C105" s="30"/>
      <c r="D105" s="30"/>
      <c r="E105" s="30"/>
      <c r="F105" s="30"/>
      <c r="G105" s="11" t="str">
        <f t="shared" si="8"/>
        <v/>
      </c>
      <c r="H105" s="11" t="str">
        <f t="shared" si="9"/>
        <v/>
      </c>
      <c r="I105" s="65" t="str">
        <f t="shared" si="10"/>
        <v/>
      </c>
      <c r="J105" s="11" t="str">
        <f t="shared" si="11"/>
        <v/>
      </c>
      <c r="K105" s="55" t="str">
        <f t="shared" si="12"/>
        <v/>
      </c>
      <c r="L105" s="33"/>
      <c r="M105" s="33"/>
      <c r="N105" s="36" t="str">
        <f t="shared" si="13"/>
        <v/>
      </c>
      <c r="O105" s="30"/>
      <c r="P105" s="33"/>
      <c r="Q105" s="33"/>
    </row>
    <row r="106" spans="1:17" x14ac:dyDescent="0.25">
      <c r="A106" s="29" t="str">
        <f t="shared" si="7"/>
        <v/>
      </c>
      <c r="B106" s="31"/>
      <c r="C106" s="30"/>
      <c r="D106" s="30"/>
      <c r="E106" s="30"/>
      <c r="F106" s="30"/>
      <c r="G106" s="11" t="str">
        <f t="shared" si="8"/>
        <v/>
      </c>
      <c r="H106" s="11" t="str">
        <f t="shared" si="9"/>
        <v/>
      </c>
      <c r="I106" s="65" t="str">
        <f t="shared" si="10"/>
        <v/>
      </c>
      <c r="J106" s="11" t="str">
        <f t="shared" si="11"/>
        <v/>
      </c>
      <c r="K106" s="55" t="str">
        <f t="shared" si="12"/>
        <v/>
      </c>
      <c r="L106" s="33"/>
      <c r="M106" s="33"/>
      <c r="N106" s="36" t="str">
        <f t="shared" si="13"/>
        <v/>
      </c>
      <c r="O106" s="30"/>
      <c r="P106" s="33"/>
      <c r="Q106" s="33"/>
    </row>
    <row r="107" spans="1:17" x14ac:dyDescent="0.25">
      <c r="A107" s="29" t="str">
        <f t="shared" si="7"/>
        <v/>
      </c>
      <c r="B107" s="31"/>
      <c r="C107" s="30"/>
      <c r="D107" s="30"/>
      <c r="E107" s="30"/>
      <c r="F107" s="30"/>
      <c r="G107" s="11" t="str">
        <f t="shared" si="8"/>
        <v/>
      </c>
      <c r="H107" s="11" t="str">
        <f t="shared" si="9"/>
        <v/>
      </c>
      <c r="I107" s="65" t="str">
        <f t="shared" si="10"/>
        <v/>
      </c>
      <c r="J107" s="11" t="str">
        <f t="shared" si="11"/>
        <v/>
      </c>
      <c r="K107" s="55" t="str">
        <f t="shared" si="12"/>
        <v/>
      </c>
      <c r="L107" s="33"/>
      <c r="M107" s="33"/>
      <c r="N107" s="36" t="str">
        <f t="shared" si="13"/>
        <v/>
      </c>
      <c r="O107" s="30"/>
      <c r="P107" s="33"/>
      <c r="Q107" s="33"/>
    </row>
    <row r="108" spans="1:17" x14ac:dyDescent="0.25">
      <c r="A108" s="29" t="str">
        <f t="shared" si="7"/>
        <v/>
      </c>
      <c r="B108" s="31"/>
      <c r="C108" s="30"/>
      <c r="D108" s="30"/>
      <c r="E108" s="30"/>
      <c r="F108" s="30"/>
      <c r="G108" s="11" t="str">
        <f t="shared" si="8"/>
        <v/>
      </c>
      <c r="H108" s="11" t="str">
        <f t="shared" si="9"/>
        <v/>
      </c>
      <c r="I108" s="65" t="str">
        <f t="shared" si="10"/>
        <v/>
      </c>
      <c r="J108" s="11" t="str">
        <f t="shared" si="11"/>
        <v/>
      </c>
      <c r="K108" s="55" t="str">
        <f t="shared" si="12"/>
        <v/>
      </c>
      <c r="L108" s="33"/>
      <c r="M108" s="33"/>
      <c r="N108" s="36" t="str">
        <f t="shared" si="13"/>
        <v/>
      </c>
      <c r="O108" s="30"/>
      <c r="P108" s="33"/>
      <c r="Q108" s="33"/>
    </row>
    <row r="109" spans="1:17" x14ac:dyDescent="0.25">
      <c r="A109" s="29" t="str">
        <f t="shared" si="7"/>
        <v/>
      </c>
      <c r="B109" s="31"/>
      <c r="C109" s="30"/>
      <c r="D109" s="30"/>
      <c r="E109" s="30"/>
      <c r="F109" s="30"/>
      <c r="G109" s="11" t="str">
        <f t="shared" si="8"/>
        <v/>
      </c>
      <c r="H109" s="11" t="str">
        <f t="shared" si="9"/>
        <v/>
      </c>
      <c r="I109" s="65" t="str">
        <f t="shared" si="10"/>
        <v/>
      </c>
      <c r="J109" s="11" t="str">
        <f t="shared" si="11"/>
        <v/>
      </c>
      <c r="K109" s="55" t="str">
        <f t="shared" si="12"/>
        <v/>
      </c>
      <c r="L109" s="33"/>
      <c r="M109" s="33"/>
      <c r="N109" s="36" t="str">
        <f t="shared" si="13"/>
        <v/>
      </c>
      <c r="O109" s="30"/>
      <c r="P109" s="33"/>
      <c r="Q109" s="33"/>
    </row>
    <row r="110" spans="1:17" x14ac:dyDescent="0.25">
      <c r="A110" s="29" t="str">
        <f t="shared" si="7"/>
        <v/>
      </c>
      <c r="B110" s="31"/>
      <c r="C110" s="30"/>
      <c r="D110" s="30"/>
      <c r="E110" s="30"/>
      <c r="F110" s="30"/>
      <c r="G110" s="11" t="str">
        <f t="shared" si="8"/>
        <v/>
      </c>
      <c r="H110" s="11" t="str">
        <f t="shared" si="9"/>
        <v/>
      </c>
      <c r="I110" s="65" t="str">
        <f t="shared" si="10"/>
        <v/>
      </c>
      <c r="J110" s="11" t="str">
        <f t="shared" si="11"/>
        <v/>
      </c>
      <c r="K110" s="55" t="str">
        <f t="shared" si="12"/>
        <v/>
      </c>
      <c r="L110" s="33"/>
      <c r="M110" s="33"/>
      <c r="N110" s="36" t="str">
        <f t="shared" si="13"/>
        <v/>
      </c>
      <c r="O110" s="30"/>
      <c r="P110" s="33"/>
      <c r="Q110" s="33"/>
    </row>
    <row r="111" spans="1:17" x14ac:dyDescent="0.25">
      <c r="A111" s="29" t="str">
        <f t="shared" si="7"/>
        <v/>
      </c>
      <c r="B111" s="31"/>
      <c r="C111" s="30"/>
      <c r="D111" s="30"/>
      <c r="E111" s="30"/>
      <c r="F111" s="30"/>
      <c r="G111" s="11" t="str">
        <f t="shared" si="8"/>
        <v/>
      </c>
      <c r="H111" s="11" t="str">
        <f t="shared" si="9"/>
        <v/>
      </c>
      <c r="I111" s="65" t="str">
        <f t="shared" si="10"/>
        <v/>
      </c>
      <c r="J111" s="11" t="str">
        <f t="shared" si="11"/>
        <v/>
      </c>
      <c r="K111" s="55" t="str">
        <f t="shared" si="12"/>
        <v/>
      </c>
      <c r="L111" s="33"/>
      <c r="M111" s="33"/>
      <c r="N111" s="36" t="str">
        <f t="shared" si="13"/>
        <v/>
      </c>
      <c r="O111" s="30"/>
      <c r="P111" s="33"/>
      <c r="Q111" s="33"/>
    </row>
    <row r="112" spans="1:17" x14ac:dyDescent="0.25">
      <c r="A112" s="29" t="str">
        <f t="shared" si="7"/>
        <v/>
      </c>
      <c r="B112" s="31"/>
      <c r="C112" s="30"/>
      <c r="D112" s="30"/>
      <c r="E112" s="30"/>
      <c r="F112" s="30"/>
      <c r="G112" s="11" t="str">
        <f t="shared" si="8"/>
        <v/>
      </c>
      <c r="H112" s="11" t="str">
        <f t="shared" si="9"/>
        <v/>
      </c>
      <c r="I112" s="65" t="str">
        <f t="shared" si="10"/>
        <v/>
      </c>
      <c r="J112" s="11" t="str">
        <f t="shared" si="11"/>
        <v/>
      </c>
      <c r="K112" s="55" t="str">
        <f t="shared" si="12"/>
        <v/>
      </c>
      <c r="L112" s="33"/>
      <c r="M112" s="33"/>
      <c r="N112" s="36" t="str">
        <f t="shared" si="13"/>
        <v/>
      </c>
      <c r="O112" s="30"/>
      <c r="P112" s="33"/>
      <c r="Q112" s="33"/>
    </row>
    <row r="113" spans="1:17" x14ac:dyDescent="0.25">
      <c r="A113" s="29" t="str">
        <f t="shared" si="7"/>
        <v/>
      </c>
      <c r="B113" s="31"/>
      <c r="C113" s="30"/>
      <c r="D113" s="30"/>
      <c r="E113" s="30"/>
      <c r="F113" s="30"/>
      <c r="G113" s="11" t="str">
        <f t="shared" si="8"/>
        <v/>
      </c>
      <c r="H113" s="11" t="str">
        <f t="shared" si="9"/>
        <v/>
      </c>
      <c r="I113" s="65" t="str">
        <f t="shared" si="10"/>
        <v/>
      </c>
      <c r="J113" s="11" t="str">
        <f t="shared" si="11"/>
        <v/>
      </c>
      <c r="K113" s="55" t="str">
        <f t="shared" si="12"/>
        <v/>
      </c>
      <c r="L113" s="33"/>
      <c r="M113" s="33"/>
      <c r="N113" s="36" t="str">
        <f t="shared" si="13"/>
        <v/>
      </c>
      <c r="O113" s="30"/>
      <c r="P113" s="33"/>
      <c r="Q113" s="33"/>
    </row>
    <row r="114" spans="1:17" x14ac:dyDescent="0.25">
      <c r="A114" s="29" t="str">
        <f t="shared" si="7"/>
        <v/>
      </c>
      <c r="B114" s="31"/>
      <c r="C114" s="30"/>
      <c r="D114" s="30"/>
      <c r="E114" s="30"/>
      <c r="F114" s="30"/>
      <c r="G114" s="11" t="str">
        <f t="shared" si="8"/>
        <v/>
      </c>
      <c r="H114" s="11" t="str">
        <f t="shared" si="9"/>
        <v/>
      </c>
      <c r="I114" s="65" t="str">
        <f t="shared" si="10"/>
        <v/>
      </c>
      <c r="J114" s="11" t="str">
        <f t="shared" si="11"/>
        <v/>
      </c>
      <c r="K114" s="55" t="str">
        <f t="shared" si="12"/>
        <v/>
      </c>
      <c r="L114" s="33"/>
      <c r="M114" s="33"/>
      <c r="N114" s="36" t="str">
        <f t="shared" si="13"/>
        <v/>
      </c>
      <c r="O114" s="30"/>
      <c r="P114" s="33"/>
      <c r="Q114" s="33"/>
    </row>
    <row r="115" spans="1:17" x14ac:dyDescent="0.25">
      <c r="A115" s="29" t="str">
        <f t="shared" si="7"/>
        <v/>
      </c>
      <c r="B115" s="31"/>
      <c r="C115" s="30"/>
      <c r="D115" s="30"/>
      <c r="E115" s="30"/>
      <c r="F115" s="30"/>
      <c r="G115" s="11" t="str">
        <f t="shared" si="8"/>
        <v/>
      </c>
      <c r="H115" s="11" t="str">
        <f t="shared" si="9"/>
        <v/>
      </c>
      <c r="I115" s="65" t="str">
        <f t="shared" si="10"/>
        <v/>
      </c>
      <c r="J115" s="11" t="str">
        <f t="shared" si="11"/>
        <v/>
      </c>
      <c r="K115" s="55" t="str">
        <f t="shared" si="12"/>
        <v/>
      </c>
      <c r="L115" s="33"/>
      <c r="M115" s="33"/>
      <c r="N115" s="36" t="str">
        <f t="shared" si="13"/>
        <v/>
      </c>
      <c r="O115" s="30"/>
      <c r="P115" s="33"/>
      <c r="Q115" s="33"/>
    </row>
    <row r="116" spans="1:17" x14ac:dyDescent="0.25">
      <c r="A116" s="29" t="str">
        <f t="shared" si="7"/>
        <v/>
      </c>
      <c r="B116" s="31"/>
      <c r="C116" s="30"/>
      <c r="D116" s="30"/>
      <c r="E116" s="30"/>
      <c r="F116" s="30"/>
      <c r="G116" s="11" t="str">
        <f t="shared" si="8"/>
        <v/>
      </c>
      <c r="H116" s="11" t="str">
        <f t="shared" si="9"/>
        <v/>
      </c>
      <c r="I116" s="65" t="str">
        <f t="shared" si="10"/>
        <v/>
      </c>
      <c r="J116" s="11" t="str">
        <f t="shared" si="11"/>
        <v/>
      </c>
      <c r="K116" s="55" t="str">
        <f t="shared" si="12"/>
        <v/>
      </c>
      <c r="L116" s="33"/>
      <c r="M116" s="33"/>
      <c r="N116" s="36" t="str">
        <f t="shared" si="13"/>
        <v/>
      </c>
      <c r="O116" s="30"/>
      <c r="P116" s="33"/>
      <c r="Q116" s="33"/>
    </row>
    <row r="117" spans="1:17" x14ac:dyDescent="0.25">
      <c r="A117" s="29" t="str">
        <f t="shared" si="7"/>
        <v/>
      </c>
      <c r="B117" s="31"/>
      <c r="C117" s="30"/>
      <c r="D117" s="30"/>
      <c r="E117" s="30"/>
      <c r="F117" s="30"/>
      <c r="G117" s="11" t="str">
        <f t="shared" si="8"/>
        <v/>
      </c>
      <c r="H117" s="11" t="str">
        <f t="shared" si="9"/>
        <v/>
      </c>
      <c r="I117" s="65" t="str">
        <f t="shared" si="10"/>
        <v/>
      </c>
      <c r="J117" s="11" t="str">
        <f t="shared" si="11"/>
        <v/>
      </c>
      <c r="K117" s="55" t="str">
        <f t="shared" si="12"/>
        <v/>
      </c>
      <c r="L117" s="33"/>
      <c r="M117" s="33"/>
      <c r="N117" s="36" t="str">
        <f t="shared" si="13"/>
        <v/>
      </c>
      <c r="O117" s="30"/>
      <c r="P117" s="33"/>
      <c r="Q117" s="33"/>
    </row>
    <row r="118" spans="1:17" x14ac:dyDescent="0.25">
      <c r="A118" s="29" t="str">
        <f t="shared" si="7"/>
        <v/>
      </c>
      <c r="B118" s="31"/>
      <c r="C118" s="30"/>
      <c r="D118" s="30"/>
      <c r="E118" s="30"/>
      <c r="F118" s="30"/>
      <c r="G118" s="11" t="str">
        <f t="shared" si="8"/>
        <v/>
      </c>
      <c r="H118" s="11" t="str">
        <f t="shared" si="9"/>
        <v/>
      </c>
      <c r="I118" s="65" t="str">
        <f t="shared" si="10"/>
        <v/>
      </c>
      <c r="J118" s="11" t="str">
        <f t="shared" si="11"/>
        <v/>
      </c>
      <c r="K118" s="55" t="str">
        <f t="shared" si="12"/>
        <v/>
      </c>
      <c r="L118" s="33"/>
      <c r="M118" s="33"/>
      <c r="N118" s="36" t="str">
        <f t="shared" si="13"/>
        <v/>
      </c>
      <c r="O118" s="30"/>
      <c r="P118" s="33"/>
      <c r="Q118" s="33"/>
    </row>
    <row r="119" spans="1:17" x14ac:dyDescent="0.25">
      <c r="A119" s="29" t="str">
        <f t="shared" si="7"/>
        <v/>
      </c>
      <c r="B119" s="31"/>
      <c r="C119" s="30"/>
      <c r="D119" s="30"/>
      <c r="E119" s="30"/>
      <c r="F119" s="30"/>
      <c r="G119" s="11" t="str">
        <f t="shared" si="8"/>
        <v/>
      </c>
      <c r="H119" s="11" t="str">
        <f t="shared" si="9"/>
        <v/>
      </c>
      <c r="I119" s="65" t="str">
        <f t="shared" si="10"/>
        <v/>
      </c>
      <c r="J119" s="11" t="str">
        <f t="shared" si="11"/>
        <v/>
      </c>
      <c r="K119" s="55" t="str">
        <f t="shared" si="12"/>
        <v/>
      </c>
      <c r="L119" s="33"/>
      <c r="M119" s="33"/>
      <c r="N119" s="36" t="str">
        <f t="shared" si="13"/>
        <v/>
      </c>
      <c r="O119" s="30"/>
      <c r="P119" s="33"/>
      <c r="Q119" s="33"/>
    </row>
    <row r="120" spans="1:17" x14ac:dyDescent="0.25">
      <c r="A120" s="29" t="str">
        <f t="shared" si="7"/>
        <v/>
      </c>
      <c r="B120" s="31"/>
      <c r="C120" s="30"/>
      <c r="D120" s="30"/>
      <c r="E120" s="30"/>
      <c r="F120" s="30"/>
      <c r="G120" s="11" t="str">
        <f t="shared" si="8"/>
        <v/>
      </c>
      <c r="H120" s="11" t="str">
        <f t="shared" si="9"/>
        <v/>
      </c>
      <c r="I120" s="65" t="str">
        <f t="shared" si="10"/>
        <v/>
      </c>
      <c r="J120" s="11" t="str">
        <f t="shared" si="11"/>
        <v/>
      </c>
      <c r="K120" s="55" t="str">
        <f t="shared" si="12"/>
        <v/>
      </c>
      <c r="L120" s="33"/>
      <c r="M120" s="33"/>
      <c r="N120" s="36" t="str">
        <f t="shared" si="13"/>
        <v/>
      </c>
      <c r="O120" s="30"/>
      <c r="P120" s="33"/>
      <c r="Q120" s="33"/>
    </row>
    <row r="121" spans="1:17" x14ac:dyDescent="0.25">
      <c r="A121" s="29" t="str">
        <f t="shared" si="7"/>
        <v/>
      </c>
      <c r="B121" s="31"/>
      <c r="C121" s="30"/>
      <c r="D121" s="30"/>
      <c r="E121" s="30"/>
      <c r="F121" s="30"/>
      <c r="G121" s="11" t="str">
        <f t="shared" si="8"/>
        <v/>
      </c>
      <c r="H121" s="11" t="str">
        <f t="shared" si="9"/>
        <v/>
      </c>
      <c r="I121" s="65" t="str">
        <f t="shared" si="10"/>
        <v/>
      </c>
      <c r="J121" s="11" t="str">
        <f t="shared" si="11"/>
        <v/>
      </c>
      <c r="K121" s="55" t="str">
        <f t="shared" si="12"/>
        <v/>
      </c>
      <c r="L121" s="33"/>
      <c r="M121" s="33"/>
      <c r="N121" s="36" t="str">
        <f t="shared" si="13"/>
        <v/>
      </c>
      <c r="O121" s="30"/>
      <c r="P121" s="33"/>
      <c r="Q121" s="33"/>
    </row>
    <row r="122" spans="1:17" x14ac:dyDescent="0.25">
      <c r="A122" s="29" t="str">
        <f t="shared" si="7"/>
        <v/>
      </c>
      <c r="B122" s="31"/>
      <c r="C122" s="30"/>
      <c r="D122" s="30"/>
      <c r="E122" s="30"/>
      <c r="F122" s="30"/>
      <c r="G122" s="11" t="str">
        <f t="shared" si="8"/>
        <v/>
      </c>
      <c r="H122" s="11" t="str">
        <f t="shared" si="9"/>
        <v/>
      </c>
      <c r="I122" s="65" t="str">
        <f t="shared" si="10"/>
        <v/>
      </c>
      <c r="J122" s="11" t="str">
        <f t="shared" si="11"/>
        <v/>
      </c>
      <c r="K122" s="55" t="str">
        <f t="shared" si="12"/>
        <v/>
      </c>
      <c r="L122" s="33"/>
      <c r="M122" s="33"/>
      <c r="N122" s="36" t="str">
        <f t="shared" si="13"/>
        <v/>
      </c>
      <c r="O122" s="30"/>
      <c r="P122" s="33"/>
      <c r="Q122" s="33"/>
    </row>
    <row r="123" spans="1:17" x14ac:dyDescent="0.25">
      <c r="A123" s="29" t="str">
        <f t="shared" si="7"/>
        <v/>
      </c>
      <c r="B123" s="31"/>
      <c r="C123" s="30"/>
      <c r="D123" s="30"/>
      <c r="E123" s="30"/>
      <c r="F123" s="30"/>
      <c r="G123" s="11" t="str">
        <f t="shared" si="8"/>
        <v/>
      </c>
      <c r="H123" s="11" t="str">
        <f t="shared" si="9"/>
        <v/>
      </c>
      <c r="I123" s="65" t="str">
        <f t="shared" si="10"/>
        <v/>
      </c>
      <c r="J123" s="11" t="str">
        <f t="shared" si="11"/>
        <v/>
      </c>
      <c r="K123" s="55" t="str">
        <f t="shared" si="12"/>
        <v/>
      </c>
      <c r="L123" s="33"/>
      <c r="M123" s="33"/>
      <c r="N123" s="36" t="str">
        <f t="shared" si="13"/>
        <v/>
      </c>
      <c r="O123" s="30"/>
      <c r="P123" s="33"/>
      <c r="Q123" s="33"/>
    </row>
    <row r="124" spans="1:17" x14ac:dyDescent="0.25">
      <c r="A124" s="29" t="str">
        <f t="shared" si="7"/>
        <v/>
      </c>
      <c r="B124" s="31"/>
      <c r="C124" s="30"/>
      <c r="D124" s="30"/>
      <c r="E124" s="30"/>
      <c r="F124" s="30"/>
      <c r="G124" s="11" t="str">
        <f t="shared" si="8"/>
        <v/>
      </c>
      <c r="H124" s="11" t="str">
        <f t="shared" si="9"/>
        <v/>
      </c>
      <c r="I124" s="65" t="str">
        <f t="shared" si="10"/>
        <v/>
      </c>
      <c r="J124" s="11" t="str">
        <f t="shared" si="11"/>
        <v/>
      </c>
      <c r="K124" s="55" t="str">
        <f t="shared" si="12"/>
        <v/>
      </c>
      <c r="L124" s="33"/>
      <c r="M124" s="33"/>
      <c r="N124" s="36" t="str">
        <f t="shared" si="13"/>
        <v/>
      </c>
      <c r="O124" s="30"/>
      <c r="P124" s="33"/>
      <c r="Q124" s="33"/>
    </row>
    <row r="125" spans="1:17" x14ac:dyDescent="0.25">
      <c r="A125" s="29" t="str">
        <f t="shared" si="7"/>
        <v/>
      </c>
      <c r="B125" s="31"/>
      <c r="C125" s="30"/>
      <c r="D125" s="30"/>
      <c r="E125" s="30"/>
      <c r="F125" s="30"/>
      <c r="G125" s="11" t="str">
        <f t="shared" si="8"/>
        <v/>
      </c>
      <c r="H125" s="11" t="str">
        <f t="shared" si="9"/>
        <v/>
      </c>
      <c r="I125" s="65" t="str">
        <f t="shared" si="10"/>
        <v/>
      </c>
      <c r="J125" s="11" t="str">
        <f t="shared" si="11"/>
        <v/>
      </c>
      <c r="K125" s="55" t="str">
        <f t="shared" si="12"/>
        <v/>
      </c>
      <c r="L125" s="33"/>
      <c r="M125" s="33"/>
      <c r="N125" s="36" t="str">
        <f t="shared" si="13"/>
        <v/>
      </c>
      <c r="O125" s="30"/>
      <c r="P125" s="33"/>
      <c r="Q125" s="33"/>
    </row>
    <row r="126" spans="1:17" x14ac:dyDescent="0.25">
      <c r="A126" s="29" t="str">
        <f t="shared" si="7"/>
        <v/>
      </c>
      <c r="B126" s="31"/>
      <c r="C126" s="30"/>
      <c r="D126" s="30"/>
      <c r="E126" s="30"/>
      <c r="F126" s="30"/>
      <c r="G126" s="11" t="str">
        <f t="shared" si="8"/>
        <v/>
      </c>
      <c r="H126" s="11" t="str">
        <f t="shared" si="9"/>
        <v/>
      </c>
      <c r="I126" s="65" t="str">
        <f t="shared" si="10"/>
        <v/>
      </c>
      <c r="J126" s="11" t="str">
        <f t="shared" si="11"/>
        <v/>
      </c>
      <c r="K126" s="55" t="str">
        <f t="shared" si="12"/>
        <v/>
      </c>
      <c r="L126" s="33"/>
      <c r="M126" s="33"/>
      <c r="N126" s="36" t="str">
        <f t="shared" si="13"/>
        <v/>
      </c>
      <c r="O126" s="30"/>
      <c r="P126" s="33"/>
      <c r="Q126" s="33"/>
    </row>
    <row r="127" spans="1:17" x14ac:dyDescent="0.25">
      <c r="A127" s="29" t="str">
        <f t="shared" si="7"/>
        <v/>
      </c>
      <c r="B127" s="31"/>
      <c r="C127" s="30"/>
      <c r="D127" s="30"/>
      <c r="E127" s="30"/>
      <c r="F127" s="30"/>
      <c r="G127" s="11" t="str">
        <f t="shared" si="8"/>
        <v/>
      </c>
      <c r="H127" s="11" t="str">
        <f t="shared" si="9"/>
        <v/>
      </c>
      <c r="I127" s="65" t="str">
        <f t="shared" si="10"/>
        <v/>
      </c>
      <c r="J127" s="11" t="str">
        <f t="shared" si="11"/>
        <v/>
      </c>
      <c r="K127" s="55" t="str">
        <f t="shared" si="12"/>
        <v/>
      </c>
      <c r="L127" s="33"/>
      <c r="M127" s="33"/>
      <c r="N127" s="36" t="str">
        <f t="shared" si="13"/>
        <v/>
      </c>
      <c r="O127" s="30"/>
      <c r="P127" s="33"/>
      <c r="Q127" s="33"/>
    </row>
    <row r="128" spans="1:17" x14ac:dyDescent="0.25">
      <c r="A128" s="29" t="str">
        <f t="shared" si="7"/>
        <v/>
      </c>
      <c r="B128" s="31"/>
      <c r="C128" s="30"/>
      <c r="D128" s="30"/>
      <c r="E128" s="30"/>
      <c r="F128" s="30"/>
      <c r="G128" s="11" t="str">
        <f t="shared" si="8"/>
        <v/>
      </c>
      <c r="H128" s="11" t="str">
        <f t="shared" si="9"/>
        <v/>
      </c>
      <c r="I128" s="65" t="str">
        <f t="shared" si="10"/>
        <v/>
      </c>
      <c r="J128" s="11" t="str">
        <f t="shared" si="11"/>
        <v/>
      </c>
      <c r="K128" s="55" t="str">
        <f t="shared" si="12"/>
        <v/>
      </c>
      <c r="L128" s="33"/>
      <c r="M128" s="33"/>
      <c r="N128" s="36" t="str">
        <f t="shared" si="13"/>
        <v/>
      </c>
      <c r="O128" s="30"/>
      <c r="P128" s="33"/>
      <c r="Q128" s="33"/>
    </row>
    <row r="129" spans="1:17" x14ac:dyDescent="0.25">
      <c r="A129" s="29" t="str">
        <f t="shared" si="7"/>
        <v/>
      </c>
      <c r="B129" s="31"/>
      <c r="C129" s="30"/>
      <c r="D129" s="30"/>
      <c r="E129" s="30"/>
      <c r="F129" s="30"/>
      <c r="G129" s="11" t="str">
        <f t="shared" si="8"/>
        <v/>
      </c>
      <c r="H129" s="11" t="str">
        <f t="shared" si="9"/>
        <v/>
      </c>
      <c r="I129" s="65" t="str">
        <f t="shared" si="10"/>
        <v/>
      </c>
      <c r="J129" s="11" t="str">
        <f t="shared" si="11"/>
        <v/>
      </c>
      <c r="K129" s="55" t="str">
        <f t="shared" si="12"/>
        <v/>
      </c>
      <c r="L129" s="33"/>
      <c r="M129" s="33"/>
      <c r="N129" s="36" t="str">
        <f t="shared" si="13"/>
        <v/>
      </c>
      <c r="O129" s="30"/>
      <c r="P129" s="33"/>
      <c r="Q129" s="33"/>
    </row>
    <row r="130" spans="1:17" x14ac:dyDescent="0.25">
      <c r="A130" s="29" t="str">
        <f t="shared" si="7"/>
        <v/>
      </c>
      <c r="B130" s="31"/>
      <c r="C130" s="30"/>
      <c r="D130" s="30"/>
      <c r="E130" s="30"/>
      <c r="F130" s="30"/>
      <c r="G130" s="11" t="str">
        <f t="shared" si="8"/>
        <v/>
      </c>
      <c r="H130" s="11" t="str">
        <f t="shared" si="9"/>
        <v/>
      </c>
      <c r="I130" s="65" t="str">
        <f t="shared" si="10"/>
        <v/>
      </c>
      <c r="J130" s="11" t="str">
        <f t="shared" si="11"/>
        <v/>
      </c>
      <c r="K130" s="55" t="str">
        <f t="shared" si="12"/>
        <v/>
      </c>
      <c r="L130" s="33"/>
      <c r="M130" s="33"/>
      <c r="N130" s="36" t="str">
        <f t="shared" si="13"/>
        <v/>
      </c>
      <c r="O130" s="30"/>
      <c r="P130" s="33"/>
      <c r="Q130" s="33"/>
    </row>
    <row r="131" spans="1:17" x14ac:dyDescent="0.25">
      <c r="A131" s="29" t="str">
        <f t="shared" si="7"/>
        <v/>
      </c>
      <c r="B131" s="31"/>
      <c r="C131" s="30"/>
      <c r="D131" s="30"/>
      <c r="E131" s="30"/>
      <c r="F131" s="30"/>
      <c r="G131" s="11" t="str">
        <f t="shared" si="8"/>
        <v/>
      </c>
      <c r="H131" s="11" t="str">
        <f t="shared" si="9"/>
        <v/>
      </c>
      <c r="I131" s="65" t="str">
        <f t="shared" si="10"/>
        <v/>
      </c>
      <c r="J131" s="11" t="str">
        <f t="shared" si="11"/>
        <v/>
      </c>
      <c r="K131" s="55" t="str">
        <f t="shared" si="12"/>
        <v/>
      </c>
      <c r="L131" s="33"/>
      <c r="M131" s="33"/>
      <c r="N131" s="36" t="str">
        <f t="shared" si="13"/>
        <v/>
      </c>
      <c r="O131" s="30"/>
      <c r="P131" s="33"/>
      <c r="Q131" s="33"/>
    </row>
    <row r="132" spans="1:17" x14ac:dyDescent="0.25">
      <c r="A132" s="29" t="str">
        <f t="shared" si="7"/>
        <v/>
      </c>
      <c r="B132" s="31"/>
      <c r="C132" s="30"/>
      <c r="D132" s="30"/>
      <c r="E132" s="30"/>
      <c r="F132" s="30"/>
      <c r="G132" s="11" t="str">
        <f t="shared" si="8"/>
        <v/>
      </c>
      <c r="H132" s="11" t="str">
        <f t="shared" si="9"/>
        <v/>
      </c>
      <c r="I132" s="65" t="str">
        <f t="shared" si="10"/>
        <v/>
      </c>
      <c r="J132" s="11" t="str">
        <f t="shared" si="11"/>
        <v/>
      </c>
      <c r="K132" s="55" t="str">
        <f t="shared" si="12"/>
        <v/>
      </c>
      <c r="L132" s="33"/>
      <c r="M132" s="33"/>
      <c r="N132" s="36" t="str">
        <f t="shared" si="13"/>
        <v/>
      </c>
      <c r="O132" s="30"/>
      <c r="P132" s="33"/>
      <c r="Q132" s="33"/>
    </row>
    <row r="133" spans="1:17" x14ac:dyDescent="0.25">
      <c r="A133" s="29" t="str">
        <f t="shared" ref="A133:A196" si="14">IF($B133="","",LEFT($C133,3)&amp;"-"&amp;TEXT(ROW()-4,"0000"))</f>
        <v/>
      </c>
      <c r="B133" s="31"/>
      <c r="C133" s="30"/>
      <c r="D133" s="30"/>
      <c r="E133" s="30"/>
      <c r="F133" s="30"/>
      <c r="G133" s="11" t="str">
        <f t="shared" ref="G133:G196" si="15">IF($B133="","",SUMIFS(APT_PESSOAS,APT_DATA,$B133,APT_CONTR,$C133))</f>
        <v/>
      </c>
      <c r="H133" s="11" t="str">
        <f t="shared" ref="H133:H196" si="16">IF($B133="","",COUNTIFS(APT_DATA,$B133,APT_CONTR,$C133))</f>
        <v/>
      </c>
      <c r="I133" s="65" t="str">
        <f t="shared" ref="I133:I196" si="17">IF($B133="","",SUMIFS(APT_HH,APT_DATA,$B133,APT_CONTR,$C133))</f>
        <v/>
      </c>
      <c r="J133" s="11" t="str">
        <f t="shared" ref="J133:J196" si="18">IF($B133="","",COUNTIFS(OS_FIM,$B133,OS_CONTR,$C133))</f>
        <v/>
      </c>
      <c r="K133" s="55" t="str">
        <f t="shared" ref="K133:K196" si="19">IF($B133="","",SUMIFS(MED_VLR,MED_DATA,$B133,MED_CONTR,$C133))</f>
        <v/>
      </c>
      <c r="L133" s="33"/>
      <c r="M133" s="33"/>
      <c r="N133" s="36" t="str">
        <f t="shared" ref="N133:N196" si="20">IF($B133="","",IF(COUNTIFS(OC_DATA,$B133,OC_CONTR,$C133)=0,"Sem ocorrências",COUNTIFS(OC_DATA,$B133,OC_CONTR,$C133)&amp;" ocorrência(s) — ver aba 11"))</f>
        <v/>
      </c>
      <c r="O133" s="30"/>
      <c r="P133" s="33"/>
      <c r="Q133" s="33"/>
    </row>
    <row r="134" spans="1:17" x14ac:dyDescent="0.25">
      <c r="A134" s="29" t="str">
        <f t="shared" si="14"/>
        <v/>
      </c>
      <c r="B134" s="31"/>
      <c r="C134" s="30"/>
      <c r="D134" s="30"/>
      <c r="E134" s="30"/>
      <c r="F134" s="30"/>
      <c r="G134" s="11" t="str">
        <f t="shared" si="15"/>
        <v/>
      </c>
      <c r="H134" s="11" t="str">
        <f t="shared" si="16"/>
        <v/>
      </c>
      <c r="I134" s="65" t="str">
        <f t="shared" si="17"/>
        <v/>
      </c>
      <c r="J134" s="11" t="str">
        <f t="shared" si="18"/>
        <v/>
      </c>
      <c r="K134" s="55" t="str">
        <f t="shared" si="19"/>
        <v/>
      </c>
      <c r="L134" s="33"/>
      <c r="M134" s="33"/>
      <c r="N134" s="36" t="str">
        <f t="shared" si="20"/>
        <v/>
      </c>
      <c r="O134" s="30"/>
      <c r="P134" s="33"/>
      <c r="Q134" s="33"/>
    </row>
    <row r="135" spans="1:17" x14ac:dyDescent="0.25">
      <c r="A135" s="29" t="str">
        <f t="shared" si="14"/>
        <v/>
      </c>
      <c r="B135" s="31"/>
      <c r="C135" s="30"/>
      <c r="D135" s="30"/>
      <c r="E135" s="30"/>
      <c r="F135" s="30"/>
      <c r="G135" s="11" t="str">
        <f t="shared" si="15"/>
        <v/>
      </c>
      <c r="H135" s="11" t="str">
        <f t="shared" si="16"/>
        <v/>
      </c>
      <c r="I135" s="65" t="str">
        <f t="shared" si="17"/>
        <v/>
      </c>
      <c r="J135" s="11" t="str">
        <f t="shared" si="18"/>
        <v/>
      </c>
      <c r="K135" s="55" t="str">
        <f t="shared" si="19"/>
        <v/>
      </c>
      <c r="L135" s="33"/>
      <c r="M135" s="33"/>
      <c r="N135" s="36" t="str">
        <f t="shared" si="20"/>
        <v/>
      </c>
      <c r="O135" s="30"/>
      <c r="P135" s="33"/>
      <c r="Q135" s="33"/>
    </row>
    <row r="136" spans="1:17" x14ac:dyDescent="0.25">
      <c r="A136" s="29" t="str">
        <f t="shared" si="14"/>
        <v/>
      </c>
      <c r="B136" s="31"/>
      <c r="C136" s="30"/>
      <c r="D136" s="30"/>
      <c r="E136" s="30"/>
      <c r="F136" s="30"/>
      <c r="G136" s="11" t="str">
        <f t="shared" si="15"/>
        <v/>
      </c>
      <c r="H136" s="11" t="str">
        <f t="shared" si="16"/>
        <v/>
      </c>
      <c r="I136" s="65" t="str">
        <f t="shared" si="17"/>
        <v/>
      </c>
      <c r="J136" s="11" t="str">
        <f t="shared" si="18"/>
        <v/>
      </c>
      <c r="K136" s="55" t="str">
        <f t="shared" si="19"/>
        <v/>
      </c>
      <c r="L136" s="33"/>
      <c r="M136" s="33"/>
      <c r="N136" s="36" t="str">
        <f t="shared" si="20"/>
        <v/>
      </c>
      <c r="O136" s="30"/>
      <c r="P136" s="33"/>
      <c r="Q136" s="33"/>
    </row>
    <row r="137" spans="1:17" x14ac:dyDescent="0.25">
      <c r="A137" s="29" t="str">
        <f t="shared" si="14"/>
        <v/>
      </c>
      <c r="B137" s="31"/>
      <c r="C137" s="30"/>
      <c r="D137" s="30"/>
      <c r="E137" s="30"/>
      <c r="F137" s="30"/>
      <c r="G137" s="11" t="str">
        <f t="shared" si="15"/>
        <v/>
      </c>
      <c r="H137" s="11" t="str">
        <f t="shared" si="16"/>
        <v/>
      </c>
      <c r="I137" s="65" t="str">
        <f t="shared" si="17"/>
        <v/>
      </c>
      <c r="J137" s="11" t="str">
        <f t="shared" si="18"/>
        <v/>
      </c>
      <c r="K137" s="55" t="str">
        <f t="shared" si="19"/>
        <v/>
      </c>
      <c r="L137" s="33"/>
      <c r="M137" s="33"/>
      <c r="N137" s="36" t="str">
        <f t="shared" si="20"/>
        <v/>
      </c>
      <c r="O137" s="30"/>
      <c r="P137" s="33"/>
      <c r="Q137" s="33"/>
    </row>
    <row r="138" spans="1:17" x14ac:dyDescent="0.25">
      <c r="A138" s="29" t="str">
        <f t="shared" si="14"/>
        <v/>
      </c>
      <c r="B138" s="31"/>
      <c r="C138" s="30"/>
      <c r="D138" s="30"/>
      <c r="E138" s="30"/>
      <c r="F138" s="30"/>
      <c r="G138" s="11" t="str">
        <f t="shared" si="15"/>
        <v/>
      </c>
      <c r="H138" s="11" t="str">
        <f t="shared" si="16"/>
        <v/>
      </c>
      <c r="I138" s="65" t="str">
        <f t="shared" si="17"/>
        <v/>
      </c>
      <c r="J138" s="11" t="str">
        <f t="shared" si="18"/>
        <v/>
      </c>
      <c r="K138" s="55" t="str">
        <f t="shared" si="19"/>
        <v/>
      </c>
      <c r="L138" s="33"/>
      <c r="M138" s="33"/>
      <c r="N138" s="36" t="str">
        <f t="shared" si="20"/>
        <v/>
      </c>
      <c r="O138" s="30"/>
      <c r="P138" s="33"/>
      <c r="Q138" s="33"/>
    </row>
    <row r="139" spans="1:17" x14ac:dyDescent="0.25">
      <c r="A139" s="29" t="str">
        <f t="shared" si="14"/>
        <v/>
      </c>
      <c r="B139" s="31"/>
      <c r="C139" s="30"/>
      <c r="D139" s="30"/>
      <c r="E139" s="30"/>
      <c r="F139" s="30"/>
      <c r="G139" s="11" t="str">
        <f t="shared" si="15"/>
        <v/>
      </c>
      <c r="H139" s="11" t="str">
        <f t="shared" si="16"/>
        <v/>
      </c>
      <c r="I139" s="65" t="str">
        <f t="shared" si="17"/>
        <v/>
      </c>
      <c r="J139" s="11" t="str">
        <f t="shared" si="18"/>
        <v/>
      </c>
      <c r="K139" s="55" t="str">
        <f t="shared" si="19"/>
        <v/>
      </c>
      <c r="L139" s="33"/>
      <c r="M139" s="33"/>
      <c r="N139" s="36" t="str">
        <f t="shared" si="20"/>
        <v/>
      </c>
      <c r="O139" s="30"/>
      <c r="P139" s="33"/>
      <c r="Q139" s="33"/>
    </row>
    <row r="140" spans="1:17" x14ac:dyDescent="0.25">
      <c r="A140" s="29" t="str">
        <f t="shared" si="14"/>
        <v/>
      </c>
      <c r="B140" s="31"/>
      <c r="C140" s="30"/>
      <c r="D140" s="30"/>
      <c r="E140" s="30"/>
      <c r="F140" s="30"/>
      <c r="G140" s="11" t="str">
        <f t="shared" si="15"/>
        <v/>
      </c>
      <c r="H140" s="11" t="str">
        <f t="shared" si="16"/>
        <v/>
      </c>
      <c r="I140" s="65" t="str">
        <f t="shared" si="17"/>
        <v/>
      </c>
      <c r="J140" s="11" t="str">
        <f t="shared" si="18"/>
        <v/>
      </c>
      <c r="K140" s="55" t="str">
        <f t="shared" si="19"/>
        <v/>
      </c>
      <c r="L140" s="33"/>
      <c r="M140" s="33"/>
      <c r="N140" s="36" t="str">
        <f t="shared" si="20"/>
        <v/>
      </c>
      <c r="O140" s="30"/>
      <c r="P140" s="33"/>
      <c r="Q140" s="33"/>
    </row>
    <row r="141" spans="1:17" x14ac:dyDescent="0.25">
      <c r="A141" s="29" t="str">
        <f t="shared" si="14"/>
        <v/>
      </c>
      <c r="B141" s="31"/>
      <c r="C141" s="30"/>
      <c r="D141" s="30"/>
      <c r="E141" s="30"/>
      <c r="F141" s="30"/>
      <c r="G141" s="11" t="str">
        <f t="shared" si="15"/>
        <v/>
      </c>
      <c r="H141" s="11" t="str">
        <f t="shared" si="16"/>
        <v/>
      </c>
      <c r="I141" s="65" t="str">
        <f t="shared" si="17"/>
        <v/>
      </c>
      <c r="J141" s="11" t="str">
        <f t="shared" si="18"/>
        <v/>
      </c>
      <c r="K141" s="55" t="str">
        <f t="shared" si="19"/>
        <v/>
      </c>
      <c r="L141" s="33"/>
      <c r="M141" s="33"/>
      <c r="N141" s="36" t="str">
        <f t="shared" si="20"/>
        <v/>
      </c>
      <c r="O141" s="30"/>
      <c r="P141" s="33"/>
      <c r="Q141" s="33"/>
    </row>
    <row r="142" spans="1:17" x14ac:dyDescent="0.25">
      <c r="A142" s="29" t="str">
        <f t="shared" si="14"/>
        <v/>
      </c>
      <c r="B142" s="31"/>
      <c r="C142" s="30"/>
      <c r="D142" s="30"/>
      <c r="E142" s="30"/>
      <c r="F142" s="30"/>
      <c r="G142" s="11" t="str">
        <f t="shared" si="15"/>
        <v/>
      </c>
      <c r="H142" s="11" t="str">
        <f t="shared" si="16"/>
        <v/>
      </c>
      <c r="I142" s="65" t="str">
        <f t="shared" si="17"/>
        <v/>
      </c>
      <c r="J142" s="11" t="str">
        <f t="shared" si="18"/>
        <v/>
      </c>
      <c r="K142" s="55" t="str">
        <f t="shared" si="19"/>
        <v/>
      </c>
      <c r="L142" s="33"/>
      <c r="M142" s="33"/>
      <c r="N142" s="36" t="str">
        <f t="shared" si="20"/>
        <v/>
      </c>
      <c r="O142" s="30"/>
      <c r="P142" s="33"/>
      <c r="Q142" s="33"/>
    </row>
    <row r="143" spans="1:17" x14ac:dyDescent="0.25">
      <c r="A143" s="29" t="str">
        <f t="shared" si="14"/>
        <v/>
      </c>
      <c r="B143" s="31"/>
      <c r="C143" s="30"/>
      <c r="D143" s="30"/>
      <c r="E143" s="30"/>
      <c r="F143" s="30"/>
      <c r="G143" s="11" t="str">
        <f t="shared" si="15"/>
        <v/>
      </c>
      <c r="H143" s="11" t="str">
        <f t="shared" si="16"/>
        <v/>
      </c>
      <c r="I143" s="65" t="str">
        <f t="shared" si="17"/>
        <v/>
      </c>
      <c r="J143" s="11" t="str">
        <f t="shared" si="18"/>
        <v/>
      </c>
      <c r="K143" s="55" t="str">
        <f t="shared" si="19"/>
        <v/>
      </c>
      <c r="L143" s="33"/>
      <c r="M143" s="33"/>
      <c r="N143" s="36" t="str">
        <f t="shared" si="20"/>
        <v/>
      </c>
      <c r="O143" s="30"/>
      <c r="P143" s="33"/>
      <c r="Q143" s="33"/>
    </row>
    <row r="144" spans="1:17" x14ac:dyDescent="0.25">
      <c r="A144" s="29" t="str">
        <f t="shared" si="14"/>
        <v/>
      </c>
      <c r="B144" s="31"/>
      <c r="C144" s="30"/>
      <c r="D144" s="30"/>
      <c r="E144" s="30"/>
      <c r="F144" s="30"/>
      <c r="G144" s="11" t="str">
        <f t="shared" si="15"/>
        <v/>
      </c>
      <c r="H144" s="11" t="str">
        <f t="shared" si="16"/>
        <v/>
      </c>
      <c r="I144" s="65" t="str">
        <f t="shared" si="17"/>
        <v/>
      </c>
      <c r="J144" s="11" t="str">
        <f t="shared" si="18"/>
        <v/>
      </c>
      <c r="K144" s="55" t="str">
        <f t="shared" si="19"/>
        <v/>
      </c>
      <c r="L144" s="33"/>
      <c r="M144" s="33"/>
      <c r="N144" s="36" t="str">
        <f t="shared" si="20"/>
        <v/>
      </c>
      <c r="O144" s="30"/>
      <c r="P144" s="33"/>
      <c r="Q144" s="33"/>
    </row>
    <row r="145" spans="1:17" x14ac:dyDescent="0.25">
      <c r="A145" s="29" t="str">
        <f t="shared" si="14"/>
        <v/>
      </c>
      <c r="B145" s="31"/>
      <c r="C145" s="30"/>
      <c r="D145" s="30"/>
      <c r="E145" s="30"/>
      <c r="F145" s="30"/>
      <c r="G145" s="11" t="str">
        <f t="shared" si="15"/>
        <v/>
      </c>
      <c r="H145" s="11" t="str">
        <f t="shared" si="16"/>
        <v/>
      </c>
      <c r="I145" s="65" t="str">
        <f t="shared" si="17"/>
        <v/>
      </c>
      <c r="J145" s="11" t="str">
        <f t="shared" si="18"/>
        <v/>
      </c>
      <c r="K145" s="55" t="str">
        <f t="shared" si="19"/>
        <v/>
      </c>
      <c r="L145" s="33"/>
      <c r="M145" s="33"/>
      <c r="N145" s="36" t="str">
        <f t="shared" si="20"/>
        <v/>
      </c>
      <c r="O145" s="30"/>
      <c r="P145" s="33"/>
      <c r="Q145" s="33"/>
    </row>
    <row r="146" spans="1:17" x14ac:dyDescent="0.25">
      <c r="A146" s="29" t="str">
        <f t="shared" si="14"/>
        <v/>
      </c>
      <c r="B146" s="31"/>
      <c r="C146" s="30"/>
      <c r="D146" s="30"/>
      <c r="E146" s="30"/>
      <c r="F146" s="30"/>
      <c r="G146" s="11" t="str">
        <f t="shared" si="15"/>
        <v/>
      </c>
      <c r="H146" s="11" t="str">
        <f t="shared" si="16"/>
        <v/>
      </c>
      <c r="I146" s="65" t="str">
        <f t="shared" si="17"/>
        <v/>
      </c>
      <c r="J146" s="11" t="str">
        <f t="shared" si="18"/>
        <v/>
      </c>
      <c r="K146" s="55" t="str">
        <f t="shared" si="19"/>
        <v/>
      </c>
      <c r="L146" s="33"/>
      <c r="M146" s="33"/>
      <c r="N146" s="36" t="str">
        <f t="shared" si="20"/>
        <v/>
      </c>
      <c r="O146" s="30"/>
      <c r="P146" s="33"/>
      <c r="Q146" s="33"/>
    </row>
    <row r="147" spans="1:17" x14ac:dyDescent="0.25">
      <c r="A147" s="29" t="str">
        <f t="shared" si="14"/>
        <v/>
      </c>
      <c r="B147" s="31"/>
      <c r="C147" s="30"/>
      <c r="D147" s="30"/>
      <c r="E147" s="30"/>
      <c r="F147" s="30"/>
      <c r="G147" s="11" t="str">
        <f t="shared" si="15"/>
        <v/>
      </c>
      <c r="H147" s="11" t="str">
        <f t="shared" si="16"/>
        <v/>
      </c>
      <c r="I147" s="65" t="str">
        <f t="shared" si="17"/>
        <v/>
      </c>
      <c r="J147" s="11" t="str">
        <f t="shared" si="18"/>
        <v/>
      </c>
      <c r="K147" s="55" t="str">
        <f t="shared" si="19"/>
        <v/>
      </c>
      <c r="L147" s="33"/>
      <c r="M147" s="33"/>
      <c r="N147" s="36" t="str">
        <f t="shared" si="20"/>
        <v/>
      </c>
      <c r="O147" s="30"/>
      <c r="P147" s="33"/>
      <c r="Q147" s="33"/>
    </row>
    <row r="148" spans="1:17" x14ac:dyDescent="0.25">
      <c r="A148" s="29" t="str">
        <f t="shared" si="14"/>
        <v/>
      </c>
      <c r="B148" s="31"/>
      <c r="C148" s="30"/>
      <c r="D148" s="30"/>
      <c r="E148" s="30"/>
      <c r="F148" s="30"/>
      <c r="G148" s="11" t="str">
        <f t="shared" si="15"/>
        <v/>
      </c>
      <c r="H148" s="11" t="str">
        <f t="shared" si="16"/>
        <v/>
      </c>
      <c r="I148" s="65" t="str">
        <f t="shared" si="17"/>
        <v/>
      </c>
      <c r="J148" s="11" t="str">
        <f t="shared" si="18"/>
        <v/>
      </c>
      <c r="K148" s="55" t="str">
        <f t="shared" si="19"/>
        <v/>
      </c>
      <c r="L148" s="33"/>
      <c r="M148" s="33"/>
      <c r="N148" s="36" t="str">
        <f t="shared" si="20"/>
        <v/>
      </c>
      <c r="O148" s="30"/>
      <c r="P148" s="33"/>
      <c r="Q148" s="33"/>
    </row>
    <row r="149" spans="1:17" x14ac:dyDescent="0.25">
      <c r="A149" s="29" t="str">
        <f t="shared" si="14"/>
        <v/>
      </c>
      <c r="B149" s="31"/>
      <c r="C149" s="30"/>
      <c r="D149" s="30"/>
      <c r="E149" s="30"/>
      <c r="F149" s="30"/>
      <c r="G149" s="11" t="str">
        <f t="shared" si="15"/>
        <v/>
      </c>
      <c r="H149" s="11" t="str">
        <f t="shared" si="16"/>
        <v/>
      </c>
      <c r="I149" s="65" t="str">
        <f t="shared" si="17"/>
        <v/>
      </c>
      <c r="J149" s="11" t="str">
        <f t="shared" si="18"/>
        <v/>
      </c>
      <c r="K149" s="55" t="str">
        <f t="shared" si="19"/>
        <v/>
      </c>
      <c r="L149" s="33"/>
      <c r="M149" s="33"/>
      <c r="N149" s="36" t="str">
        <f t="shared" si="20"/>
        <v/>
      </c>
      <c r="O149" s="30"/>
      <c r="P149" s="33"/>
      <c r="Q149" s="33"/>
    </row>
    <row r="150" spans="1:17" x14ac:dyDescent="0.25">
      <c r="A150" s="29" t="str">
        <f t="shared" si="14"/>
        <v/>
      </c>
      <c r="B150" s="31"/>
      <c r="C150" s="30"/>
      <c r="D150" s="30"/>
      <c r="E150" s="30"/>
      <c r="F150" s="30"/>
      <c r="G150" s="11" t="str">
        <f t="shared" si="15"/>
        <v/>
      </c>
      <c r="H150" s="11" t="str">
        <f t="shared" si="16"/>
        <v/>
      </c>
      <c r="I150" s="65" t="str">
        <f t="shared" si="17"/>
        <v/>
      </c>
      <c r="J150" s="11" t="str">
        <f t="shared" si="18"/>
        <v/>
      </c>
      <c r="K150" s="55" t="str">
        <f t="shared" si="19"/>
        <v/>
      </c>
      <c r="L150" s="33"/>
      <c r="M150" s="33"/>
      <c r="N150" s="36" t="str">
        <f t="shared" si="20"/>
        <v/>
      </c>
      <c r="O150" s="30"/>
      <c r="P150" s="33"/>
      <c r="Q150" s="33"/>
    </row>
    <row r="151" spans="1:17" x14ac:dyDescent="0.25">
      <c r="A151" s="29" t="str">
        <f t="shared" si="14"/>
        <v/>
      </c>
      <c r="B151" s="31"/>
      <c r="C151" s="30"/>
      <c r="D151" s="30"/>
      <c r="E151" s="30"/>
      <c r="F151" s="30"/>
      <c r="G151" s="11" t="str">
        <f t="shared" si="15"/>
        <v/>
      </c>
      <c r="H151" s="11" t="str">
        <f t="shared" si="16"/>
        <v/>
      </c>
      <c r="I151" s="65" t="str">
        <f t="shared" si="17"/>
        <v/>
      </c>
      <c r="J151" s="11" t="str">
        <f t="shared" si="18"/>
        <v/>
      </c>
      <c r="K151" s="55" t="str">
        <f t="shared" si="19"/>
        <v/>
      </c>
      <c r="L151" s="33"/>
      <c r="M151" s="33"/>
      <c r="N151" s="36" t="str">
        <f t="shared" si="20"/>
        <v/>
      </c>
      <c r="O151" s="30"/>
      <c r="P151" s="33"/>
      <c r="Q151" s="33"/>
    </row>
    <row r="152" spans="1:17" x14ac:dyDescent="0.25">
      <c r="A152" s="29" t="str">
        <f t="shared" si="14"/>
        <v/>
      </c>
      <c r="B152" s="31"/>
      <c r="C152" s="30"/>
      <c r="D152" s="30"/>
      <c r="E152" s="30"/>
      <c r="F152" s="30"/>
      <c r="G152" s="11" t="str">
        <f t="shared" si="15"/>
        <v/>
      </c>
      <c r="H152" s="11" t="str">
        <f t="shared" si="16"/>
        <v/>
      </c>
      <c r="I152" s="65" t="str">
        <f t="shared" si="17"/>
        <v/>
      </c>
      <c r="J152" s="11" t="str">
        <f t="shared" si="18"/>
        <v/>
      </c>
      <c r="K152" s="55" t="str">
        <f t="shared" si="19"/>
        <v/>
      </c>
      <c r="L152" s="33"/>
      <c r="M152" s="33"/>
      <c r="N152" s="36" t="str">
        <f t="shared" si="20"/>
        <v/>
      </c>
      <c r="O152" s="30"/>
      <c r="P152" s="33"/>
      <c r="Q152" s="33"/>
    </row>
    <row r="153" spans="1:17" x14ac:dyDescent="0.25">
      <c r="A153" s="29" t="str">
        <f t="shared" si="14"/>
        <v/>
      </c>
      <c r="B153" s="31"/>
      <c r="C153" s="30"/>
      <c r="D153" s="30"/>
      <c r="E153" s="30"/>
      <c r="F153" s="30"/>
      <c r="G153" s="11" t="str">
        <f t="shared" si="15"/>
        <v/>
      </c>
      <c r="H153" s="11" t="str">
        <f t="shared" si="16"/>
        <v/>
      </c>
      <c r="I153" s="65" t="str">
        <f t="shared" si="17"/>
        <v/>
      </c>
      <c r="J153" s="11" t="str">
        <f t="shared" si="18"/>
        <v/>
      </c>
      <c r="K153" s="55" t="str">
        <f t="shared" si="19"/>
        <v/>
      </c>
      <c r="L153" s="33"/>
      <c r="M153" s="33"/>
      <c r="N153" s="36" t="str">
        <f t="shared" si="20"/>
        <v/>
      </c>
      <c r="O153" s="30"/>
      <c r="P153" s="33"/>
      <c r="Q153" s="33"/>
    </row>
    <row r="154" spans="1:17" x14ac:dyDescent="0.25">
      <c r="A154" s="29" t="str">
        <f t="shared" si="14"/>
        <v/>
      </c>
      <c r="B154" s="31"/>
      <c r="C154" s="30"/>
      <c r="D154" s="30"/>
      <c r="E154" s="30"/>
      <c r="F154" s="30"/>
      <c r="G154" s="11" t="str">
        <f t="shared" si="15"/>
        <v/>
      </c>
      <c r="H154" s="11" t="str">
        <f t="shared" si="16"/>
        <v/>
      </c>
      <c r="I154" s="65" t="str">
        <f t="shared" si="17"/>
        <v/>
      </c>
      <c r="J154" s="11" t="str">
        <f t="shared" si="18"/>
        <v/>
      </c>
      <c r="K154" s="55" t="str">
        <f t="shared" si="19"/>
        <v/>
      </c>
      <c r="L154" s="33"/>
      <c r="M154" s="33"/>
      <c r="N154" s="36" t="str">
        <f t="shared" si="20"/>
        <v/>
      </c>
      <c r="O154" s="30"/>
      <c r="P154" s="33"/>
      <c r="Q154" s="33"/>
    </row>
    <row r="155" spans="1:17" x14ac:dyDescent="0.25">
      <c r="A155" s="29" t="str">
        <f t="shared" si="14"/>
        <v/>
      </c>
      <c r="B155" s="31"/>
      <c r="C155" s="30"/>
      <c r="D155" s="30"/>
      <c r="E155" s="30"/>
      <c r="F155" s="30"/>
      <c r="G155" s="11" t="str">
        <f t="shared" si="15"/>
        <v/>
      </c>
      <c r="H155" s="11" t="str">
        <f t="shared" si="16"/>
        <v/>
      </c>
      <c r="I155" s="65" t="str">
        <f t="shared" si="17"/>
        <v/>
      </c>
      <c r="J155" s="11" t="str">
        <f t="shared" si="18"/>
        <v/>
      </c>
      <c r="K155" s="55" t="str">
        <f t="shared" si="19"/>
        <v/>
      </c>
      <c r="L155" s="33"/>
      <c r="M155" s="33"/>
      <c r="N155" s="36" t="str">
        <f t="shared" si="20"/>
        <v/>
      </c>
      <c r="O155" s="30"/>
      <c r="P155" s="33"/>
      <c r="Q155" s="33"/>
    </row>
    <row r="156" spans="1:17" x14ac:dyDescent="0.25">
      <c r="A156" s="29" t="str">
        <f t="shared" si="14"/>
        <v/>
      </c>
      <c r="B156" s="31"/>
      <c r="C156" s="30"/>
      <c r="D156" s="30"/>
      <c r="E156" s="30"/>
      <c r="F156" s="30"/>
      <c r="G156" s="11" t="str">
        <f t="shared" si="15"/>
        <v/>
      </c>
      <c r="H156" s="11" t="str">
        <f t="shared" si="16"/>
        <v/>
      </c>
      <c r="I156" s="65" t="str">
        <f t="shared" si="17"/>
        <v/>
      </c>
      <c r="J156" s="11" t="str">
        <f t="shared" si="18"/>
        <v/>
      </c>
      <c r="K156" s="55" t="str">
        <f t="shared" si="19"/>
        <v/>
      </c>
      <c r="L156" s="33"/>
      <c r="M156" s="33"/>
      <c r="N156" s="36" t="str">
        <f t="shared" si="20"/>
        <v/>
      </c>
      <c r="O156" s="30"/>
      <c r="P156" s="33"/>
      <c r="Q156" s="33"/>
    </row>
    <row r="157" spans="1:17" x14ac:dyDescent="0.25">
      <c r="A157" s="29" t="str">
        <f t="shared" si="14"/>
        <v/>
      </c>
      <c r="B157" s="31"/>
      <c r="C157" s="30"/>
      <c r="D157" s="30"/>
      <c r="E157" s="30"/>
      <c r="F157" s="30"/>
      <c r="G157" s="11" t="str">
        <f t="shared" si="15"/>
        <v/>
      </c>
      <c r="H157" s="11" t="str">
        <f t="shared" si="16"/>
        <v/>
      </c>
      <c r="I157" s="65" t="str">
        <f t="shared" si="17"/>
        <v/>
      </c>
      <c r="J157" s="11" t="str">
        <f t="shared" si="18"/>
        <v/>
      </c>
      <c r="K157" s="55" t="str">
        <f t="shared" si="19"/>
        <v/>
      </c>
      <c r="L157" s="33"/>
      <c r="M157" s="33"/>
      <c r="N157" s="36" t="str">
        <f t="shared" si="20"/>
        <v/>
      </c>
      <c r="O157" s="30"/>
      <c r="P157" s="33"/>
      <c r="Q157" s="33"/>
    </row>
    <row r="158" spans="1:17" x14ac:dyDescent="0.25">
      <c r="A158" s="29" t="str">
        <f t="shared" si="14"/>
        <v/>
      </c>
      <c r="B158" s="31"/>
      <c r="C158" s="30"/>
      <c r="D158" s="30"/>
      <c r="E158" s="30"/>
      <c r="F158" s="30"/>
      <c r="G158" s="11" t="str">
        <f t="shared" si="15"/>
        <v/>
      </c>
      <c r="H158" s="11" t="str">
        <f t="shared" si="16"/>
        <v/>
      </c>
      <c r="I158" s="65" t="str">
        <f t="shared" si="17"/>
        <v/>
      </c>
      <c r="J158" s="11" t="str">
        <f t="shared" si="18"/>
        <v/>
      </c>
      <c r="K158" s="55" t="str">
        <f t="shared" si="19"/>
        <v/>
      </c>
      <c r="L158" s="33"/>
      <c r="M158" s="33"/>
      <c r="N158" s="36" t="str">
        <f t="shared" si="20"/>
        <v/>
      </c>
      <c r="O158" s="30"/>
      <c r="P158" s="33"/>
      <c r="Q158" s="33"/>
    </row>
    <row r="159" spans="1:17" x14ac:dyDescent="0.25">
      <c r="A159" s="29" t="str">
        <f t="shared" si="14"/>
        <v/>
      </c>
      <c r="B159" s="31"/>
      <c r="C159" s="30"/>
      <c r="D159" s="30"/>
      <c r="E159" s="30"/>
      <c r="F159" s="30"/>
      <c r="G159" s="11" t="str">
        <f t="shared" si="15"/>
        <v/>
      </c>
      <c r="H159" s="11" t="str">
        <f t="shared" si="16"/>
        <v/>
      </c>
      <c r="I159" s="65" t="str">
        <f t="shared" si="17"/>
        <v/>
      </c>
      <c r="J159" s="11" t="str">
        <f t="shared" si="18"/>
        <v/>
      </c>
      <c r="K159" s="55" t="str">
        <f t="shared" si="19"/>
        <v/>
      </c>
      <c r="L159" s="33"/>
      <c r="M159" s="33"/>
      <c r="N159" s="36" t="str">
        <f t="shared" si="20"/>
        <v/>
      </c>
      <c r="O159" s="30"/>
      <c r="P159" s="33"/>
      <c r="Q159" s="33"/>
    </row>
    <row r="160" spans="1:17" x14ac:dyDescent="0.25">
      <c r="A160" s="29" t="str">
        <f t="shared" si="14"/>
        <v/>
      </c>
      <c r="B160" s="31"/>
      <c r="C160" s="30"/>
      <c r="D160" s="30"/>
      <c r="E160" s="30"/>
      <c r="F160" s="30"/>
      <c r="G160" s="11" t="str">
        <f t="shared" si="15"/>
        <v/>
      </c>
      <c r="H160" s="11" t="str">
        <f t="shared" si="16"/>
        <v/>
      </c>
      <c r="I160" s="65" t="str">
        <f t="shared" si="17"/>
        <v/>
      </c>
      <c r="J160" s="11" t="str">
        <f t="shared" si="18"/>
        <v/>
      </c>
      <c r="K160" s="55" t="str">
        <f t="shared" si="19"/>
        <v/>
      </c>
      <c r="L160" s="33"/>
      <c r="M160" s="33"/>
      <c r="N160" s="36" t="str">
        <f t="shared" si="20"/>
        <v/>
      </c>
      <c r="O160" s="30"/>
      <c r="P160" s="33"/>
      <c r="Q160" s="33"/>
    </row>
    <row r="161" spans="1:17" x14ac:dyDescent="0.25">
      <c r="A161" s="29" t="str">
        <f t="shared" si="14"/>
        <v/>
      </c>
      <c r="B161" s="31"/>
      <c r="C161" s="30"/>
      <c r="D161" s="30"/>
      <c r="E161" s="30"/>
      <c r="F161" s="30"/>
      <c r="G161" s="11" t="str">
        <f t="shared" si="15"/>
        <v/>
      </c>
      <c r="H161" s="11" t="str">
        <f t="shared" si="16"/>
        <v/>
      </c>
      <c r="I161" s="65" t="str">
        <f t="shared" si="17"/>
        <v/>
      </c>
      <c r="J161" s="11" t="str">
        <f t="shared" si="18"/>
        <v/>
      </c>
      <c r="K161" s="55" t="str">
        <f t="shared" si="19"/>
        <v/>
      </c>
      <c r="L161" s="33"/>
      <c r="M161" s="33"/>
      <c r="N161" s="36" t="str">
        <f t="shared" si="20"/>
        <v/>
      </c>
      <c r="O161" s="30"/>
      <c r="P161" s="33"/>
      <c r="Q161" s="33"/>
    </row>
    <row r="162" spans="1:17" x14ac:dyDescent="0.25">
      <c r="A162" s="29" t="str">
        <f t="shared" si="14"/>
        <v/>
      </c>
      <c r="B162" s="31"/>
      <c r="C162" s="30"/>
      <c r="D162" s="30"/>
      <c r="E162" s="30"/>
      <c r="F162" s="30"/>
      <c r="G162" s="11" t="str">
        <f t="shared" si="15"/>
        <v/>
      </c>
      <c r="H162" s="11" t="str">
        <f t="shared" si="16"/>
        <v/>
      </c>
      <c r="I162" s="65" t="str">
        <f t="shared" si="17"/>
        <v/>
      </c>
      <c r="J162" s="11" t="str">
        <f t="shared" si="18"/>
        <v/>
      </c>
      <c r="K162" s="55" t="str">
        <f t="shared" si="19"/>
        <v/>
      </c>
      <c r="L162" s="33"/>
      <c r="M162" s="33"/>
      <c r="N162" s="36" t="str">
        <f t="shared" si="20"/>
        <v/>
      </c>
      <c r="O162" s="30"/>
      <c r="P162" s="33"/>
      <c r="Q162" s="33"/>
    </row>
    <row r="163" spans="1:17" x14ac:dyDescent="0.25">
      <c r="A163" s="29" t="str">
        <f t="shared" si="14"/>
        <v/>
      </c>
      <c r="B163" s="31"/>
      <c r="C163" s="30"/>
      <c r="D163" s="30"/>
      <c r="E163" s="30"/>
      <c r="F163" s="30"/>
      <c r="G163" s="11" t="str">
        <f t="shared" si="15"/>
        <v/>
      </c>
      <c r="H163" s="11" t="str">
        <f t="shared" si="16"/>
        <v/>
      </c>
      <c r="I163" s="65" t="str">
        <f t="shared" si="17"/>
        <v/>
      </c>
      <c r="J163" s="11" t="str">
        <f t="shared" si="18"/>
        <v/>
      </c>
      <c r="K163" s="55" t="str">
        <f t="shared" si="19"/>
        <v/>
      </c>
      <c r="L163" s="33"/>
      <c r="M163" s="33"/>
      <c r="N163" s="36" t="str">
        <f t="shared" si="20"/>
        <v/>
      </c>
      <c r="O163" s="30"/>
      <c r="P163" s="33"/>
      <c r="Q163" s="33"/>
    </row>
    <row r="164" spans="1:17" x14ac:dyDescent="0.25">
      <c r="A164" s="29" t="str">
        <f t="shared" si="14"/>
        <v/>
      </c>
      <c r="B164" s="31"/>
      <c r="C164" s="30"/>
      <c r="D164" s="30"/>
      <c r="E164" s="30"/>
      <c r="F164" s="30"/>
      <c r="G164" s="11" t="str">
        <f t="shared" si="15"/>
        <v/>
      </c>
      <c r="H164" s="11" t="str">
        <f t="shared" si="16"/>
        <v/>
      </c>
      <c r="I164" s="65" t="str">
        <f t="shared" si="17"/>
        <v/>
      </c>
      <c r="J164" s="11" t="str">
        <f t="shared" si="18"/>
        <v/>
      </c>
      <c r="K164" s="55" t="str">
        <f t="shared" si="19"/>
        <v/>
      </c>
      <c r="L164" s="33"/>
      <c r="M164" s="33"/>
      <c r="N164" s="36" t="str">
        <f t="shared" si="20"/>
        <v/>
      </c>
      <c r="O164" s="30"/>
      <c r="P164" s="33"/>
      <c r="Q164" s="33"/>
    </row>
    <row r="165" spans="1:17" x14ac:dyDescent="0.25">
      <c r="A165" s="29" t="str">
        <f t="shared" si="14"/>
        <v/>
      </c>
      <c r="B165" s="31"/>
      <c r="C165" s="30"/>
      <c r="D165" s="30"/>
      <c r="E165" s="30"/>
      <c r="F165" s="30"/>
      <c r="G165" s="11" t="str">
        <f t="shared" si="15"/>
        <v/>
      </c>
      <c r="H165" s="11" t="str">
        <f t="shared" si="16"/>
        <v/>
      </c>
      <c r="I165" s="65" t="str">
        <f t="shared" si="17"/>
        <v/>
      </c>
      <c r="J165" s="11" t="str">
        <f t="shared" si="18"/>
        <v/>
      </c>
      <c r="K165" s="55" t="str">
        <f t="shared" si="19"/>
        <v/>
      </c>
      <c r="L165" s="33"/>
      <c r="M165" s="33"/>
      <c r="N165" s="36" t="str">
        <f t="shared" si="20"/>
        <v/>
      </c>
      <c r="O165" s="30"/>
      <c r="P165" s="33"/>
      <c r="Q165" s="33"/>
    </row>
    <row r="166" spans="1:17" x14ac:dyDescent="0.25">
      <c r="A166" s="29" t="str">
        <f t="shared" si="14"/>
        <v/>
      </c>
      <c r="B166" s="31"/>
      <c r="C166" s="30"/>
      <c r="D166" s="30"/>
      <c r="E166" s="30"/>
      <c r="F166" s="30"/>
      <c r="G166" s="11" t="str">
        <f t="shared" si="15"/>
        <v/>
      </c>
      <c r="H166" s="11" t="str">
        <f t="shared" si="16"/>
        <v/>
      </c>
      <c r="I166" s="65" t="str">
        <f t="shared" si="17"/>
        <v/>
      </c>
      <c r="J166" s="11" t="str">
        <f t="shared" si="18"/>
        <v/>
      </c>
      <c r="K166" s="55" t="str">
        <f t="shared" si="19"/>
        <v/>
      </c>
      <c r="L166" s="33"/>
      <c r="M166" s="33"/>
      <c r="N166" s="36" t="str">
        <f t="shared" si="20"/>
        <v/>
      </c>
      <c r="O166" s="30"/>
      <c r="P166" s="33"/>
      <c r="Q166" s="33"/>
    </row>
    <row r="167" spans="1:17" x14ac:dyDescent="0.25">
      <c r="A167" s="29" t="str">
        <f t="shared" si="14"/>
        <v/>
      </c>
      <c r="B167" s="31"/>
      <c r="C167" s="30"/>
      <c r="D167" s="30"/>
      <c r="E167" s="30"/>
      <c r="F167" s="30"/>
      <c r="G167" s="11" t="str">
        <f t="shared" si="15"/>
        <v/>
      </c>
      <c r="H167" s="11" t="str">
        <f t="shared" si="16"/>
        <v/>
      </c>
      <c r="I167" s="65" t="str">
        <f t="shared" si="17"/>
        <v/>
      </c>
      <c r="J167" s="11" t="str">
        <f t="shared" si="18"/>
        <v/>
      </c>
      <c r="K167" s="55" t="str">
        <f t="shared" si="19"/>
        <v/>
      </c>
      <c r="L167" s="33"/>
      <c r="M167" s="33"/>
      <c r="N167" s="36" t="str">
        <f t="shared" si="20"/>
        <v/>
      </c>
      <c r="O167" s="30"/>
      <c r="P167" s="33"/>
      <c r="Q167" s="33"/>
    </row>
    <row r="168" spans="1:17" x14ac:dyDescent="0.25">
      <c r="A168" s="29" t="str">
        <f t="shared" si="14"/>
        <v/>
      </c>
      <c r="B168" s="31"/>
      <c r="C168" s="30"/>
      <c r="D168" s="30"/>
      <c r="E168" s="30"/>
      <c r="F168" s="30"/>
      <c r="G168" s="11" t="str">
        <f t="shared" si="15"/>
        <v/>
      </c>
      <c r="H168" s="11" t="str">
        <f t="shared" si="16"/>
        <v/>
      </c>
      <c r="I168" s="65" t="str">
        <f t="shared" si="17"/>
        <v/>
      </c>
      <c r="J168" s="11" t="str">
        <f t="shared" si="18"/>
        <v/>
      </c>
      <c r="K168" s="55" t="str">
        <f t="shared" si="19"/>
        <v/>
      </c>
      <c r="L168" s="33"/>
      <c r="M168" s="33"/>
      <c r="N168" s="36" t="str">
        <f t="shared" si="20"/>
        <v/>
      </c>
      <c r="O168" s="30"/>
      <c r="P168" s="33"/>
      <c r="Q168" s="33"/>
    </row>
    <row r="169" spans="1:17" x14ac:dyDescent="0.25">
      <c r="A169" s="29" t="str">
        <f t="shared" si="14"/>
        <v/>
      </c>
      <c r="B169" s="31"/>
      <c r="C169" s="30"/>
      <c r="D169" s="30"/>
      <c r="E169" s="30"/>
      <c r="F169" s="30"/>
      <c r="G169" s="11" t="str">
        <f t="shared" si="15"/>
        <v/>
      </c>
      <c r="H169" s="11" t="str">
        <f t="shared" si="16"/>
        <v/>
      </c>
      <c r="I169" s="65" t="str">
        <f t="shared" si="17"/>
        <v/>
      </c>
      <c r="J169" s="11" t="str">
        <f t="shared" si="18"/>
        <v/>
      </c>
      <c r="K169" s="55" t="str">
        <f t="shared" si="19"/>
        <v/>
      </c>
      <c r="L169" s="33"/>
      <c r="M169" s="33"/>
      <c r="N169" s="36" t="str">
        <f t="shared" si="20"/>
        <v/>
      </c>
      <c r="O169" s="30"/>
      <c r="P169" s="33"/>
      <c r="Q169" s="33"/>
    </row>
    <row r="170" spans="1:17" x14ac:dyDescent="0.25">
      <c r="A170" s="29" t="str">
        <f t="shared" si="14"/>
        <v/>
      </c>
      <c r="B170" s="31"/>
      <c r="C170" s="30"/>
      <c r="D170" s="30"/>
      <c r="E170" s="30"/>
      <c r="F170" s="30"/>
      <c r="G170" s="11" t="str">
        <f t="shared" si="15"/>
        <v/>
      </c>
      <c r="H170" s="11" t="str">
        <f t="shared" si="16"/>
        <v/>
      </c>
      <c r="I170" s="65" t="str">
        <f t="shared" si="17"/>
        <v/>
      </c>
      <c r="J170" s="11" t="str">
        <f t="shared" si="18"/>
        <v/>
      </c>
      <c r="K170" s="55" t="str">
        <f t="shared" si="19"/>
        <v/>
      </c>
      <c r="L170" s="33"/>
      <c r="M170" s="33"/>
      <c r="N170" s="36" t="str">
        <f t="shared" si="20"/>
        <v/>
      </c>
      <c r="O170" s="30"/>
      <c r="P170" s="33"/>
      <c r="Q170" s="33"/>
    </row>
    <row r="171" spans="1:17" x14ac:dyDescent="0.25">
      <c r="A171" s="29" t="str">
        <f t="shared" si="14"/>
        <v/>
      </c>
      <c r="B171" s="31"/>
      <c r="C171" s="30"/>
      <c r="D171" s="30"/>
      <c r="E171" s="30"/>
      <c r="F171" s="30"/>
      <c r="G171" s="11" t="str">
        <f t="shared" si="15"/>
        <v/>
      </c>
      <c r="H171" s="11" t="str">
        <f t="shared" si="16"/>
        <v/>
      </c>
      <c r="I171" s="65" t="str">
        <f t="shared" si="17"/>
        <v/>
      </c>
      <c r="J171" s="11" t="str">
        <f t="shared" si="18"/>
        <v/>
      </c>
      <c r="K171" s="55" t="str">
        <f t="shared" si="19"/>
        <v/>
      </c>
      <c r="L171" s="33"/>
      <c r="M171" s="33"/>
      <c r="N171" s="36" t="str">
        <f t="shared" si="20"/>
        <v/>
      </c>
      <c r="O171" s="30"/>
      <c r="P171" s="33"/>
      <c r="Q171" s="33"/>
    </row>
    <row r="172" spans="1:17" x14ac:dyDescent="0.25">
      <c r="A172" s="29" t="str">
        <f t="shared" si="14"/>
        <v/>
      </c>
      <c r="B172" s="31"/>
      <c r="C172" s="30"/>
      <c r="D172" s="30"/>
      <c r="E172" s="30"/>
      <c r="F172" s="30"/>
      <c r="G172" s="11" t="str">
        <f t="shared" si="15"/>
        <v/>
      </c>
      <c r="H172" s="11" t="str">
        <f t="shared" si="16"/>
        <v/>
      </c>
      <c r="I172" s="65" t="str">
        <f t="shared" si="17"/>
        <v/>
      </c>
      <c r="J172" s="11" t="str">
        <f t="shared" si="18"/>
        <v/>
      </c>
      <c r="K172" s="55" t="str">
        <f t="shared" si="19"/>
        <v/>
      </c>
      <c r="L172" s="33"/>
      <c r="M172" s="33"/>
      <c r="N172" s="36" t="str">
        <f t="shared" si="20"/>
        <v/>
      </c>
      <c r="O172" s="30"/>
      <c r="P172" s="33"/>
      <c r="Q172" s="33"/>
    </row>
    <row r="173" spans="1:17" x14ac:dyDescent="0.25">
      <c r="A173" s="29" t="str">
        <f t="shared" si="14"/>
        <v/>
      </c>
      <c r="B173" s="31"/>
      <c r="C173" s="30"/>
      <c r="D173" s="30"/>
      <c r="E173" s="30"/>
      <c r="F173" s="30"/>
      <c r="G173" s="11" t="str">
        <f t="shared" si="15"/>
        <v/>
      </c>
      <c r="H173" s="11" t="str">
        <f t="shared" si="16"/>
        <v/>
      </c>
      <c r="I173" s="65" t="str">
        <f t="shared" si="17"/>
        <v/>
      </c>
      <c r="J173" s="11" t="str">
        <f t="shared" si="18"/>
        <v/>
      </c>
      <c r="K173" s="55" t="str">
        <f t="shared" si="19"/>
        <v/>
      </c>
      <c r="L173" s="33"/>
      <c r="M173" s="33"/>
      <c r="N173" s="36" t="str">
        <f t="shared" si="20"/>
        <v/>
      </c>
      <c r="O173" s="30"/>
      <c r="P173" s="33"/>
      <c r="Q173" s="33"/>
    </row>
    <row r="174" spans="1:17" x14ac:dyDescent="0.25">
      <c r="A174" s="29" t="str">
        <f t="shared" si="14"/>
        <v/>
      </c>
      <c r="B174" s="31"/>
      <c r="C174" s="30"/>
      <c r="D174" s="30"/>
      <c r="E174" s="30"/>
      <c r="F174" s="30"/>
      <c r="G174" s="11" t="str">
        <f t="shared" si="15"/>
        <v/>
      </c>
      <c r="H174" s="11" t="str">
        <f t="shared" si="16"/>
        <v/>
      </c>
      <c r="I174" s="65" t="str">
        <f t="shared" si="17"/>
        <v/>
      </c>
      <c r="J174" s="11" t="str">
        <f t="shared" si="18"/>
        <v/>
      </c>
      <c r="K174" s="55" t="str">
        <f t="shared" si="19"/>
        <v/>
      </c>
      <c r="L174" s="33"/>
      <c r="M174" s="33"/>
      <c r="N174" s="36" t="str">
        <f t="shared" si="20"/>
        <v/>
      </c>
      <c r="O174" s="30"/>
      <c r="P174" s="33"/>
      <c r="Q174" s="33"/>
    </row>
    <row r="175" spans="1:17" x14ac:dyDescent="0.25">
      <c r="A175" s="29" t="str">
        <f t="shared" si="14"/>
        <v/>
      </c>
      <c r="B175" s="31"/>
      <c r="C175" s="30"/>
      <c r="D175" s="30"/>
      <c r="E175" s="30"/>
      <c r="F175" s="30"/>
      <c r="G175" s="11" t="str">
        <f t="shared" si="15"/>
        <v/>
      </c>
      <c r="H175" s="11" t="str">
        <f t="shared" si="16"/>
        <v/>
      </c>
      <c r="I175" s="65" t="str">
        <f t="shared" si="17"/>
        <v/>
      </c>
      <c r="J175" s="11" t="str">
        <f t="shared" si="18"/>
        <v/>
      </c>
      <c r="K175" s="55" t="str">
        <f t="shared" si="19"/>
        <v/>
      </c>
      <c r="L175" s="33"/>
      <c r="M175" s="33"/>
      <c r="N175" s="36" t="str">
        <f t="shared" si="20"/>
        <v/>
      </c>
      <c r="O175" s="30"/>
      <c r="P175" s="33"/>
      <c r="Q175" s="33"/>
    </row>
    <row r="176" spans="1:17" x14ac:dyDescent="0.25">
      <c r="A176" s="29" t="str">
        <f t="shared" si="14"/>
        <v/>
      </c>
      <c r="B176" s="31"/>
      <c r="C176" s="30"/>
      <c r="D176" s="30"/>
      <c r="E176" s="30"/>
      <c r="F176" s="30"/>
      <c r="G176" s="11" t="str">
        <f t="shared" si="15"/>
        <v/>
      </c>
      <c r="H176" s="11" t="str">
        <f t="shared" si="16"/>
        <v/>
      </c>
      <c r="I176" s="65" t="str">
        <f t="shared" si="17"/>
        <v/>
      </c>
      <c r="J176" s="11" t="str">
        <f t="shared" si="18"/>
        <v/>
      </c>
      <c r="K176" s="55" t="str">
        <f t="shared" si="19"/>
        <v/>
      </c>
      <c r="L176" s="33"/>
      <c r="M176" s="33"/>
      <c r="N176" s="36" t="str">
        <f t="shared" si="20"/>
        <v/>
      </c>
      <c r="O176" s="30"/>
      <c r="P176" s="33"/>
      <c r="Q176" s="33"/>
    </row>
    <row r="177" spans="1:17" x14ac:dyDescent="0.25">
      <c r="A177" s="29" t="str">
        <f t="shared" si="14"/>
        <v/>
      </c>
      <c r="B177" s="31"/>
      <c r="C177" s="30"/>
      <c r="D177" s="30"/>
      <c r="E177" s="30"/>
      <c r="F177" s="30"/>
      <c r="G177" s="11" t="str">
        <f t="shared" si="15"/>
        <v/>
      </c>
      <c r="H177" s="11" t="str">
        <f t="shared" si="16"/>
        <v/>
      </c>
      <c r="I177" s="65" t="str">
        <f t="shared" si="17"/>
        <v/>
      </c>
      <c r="J177" s="11" t="str">
        <f t="shared" si="18"/>
        <v/>
      </c>
      <c r="K177" s="55" t="str">
        <f t="shared" si="19"/>
        <v/>
      </c>
      <c r="L177" s="33"/>
      <c r="M177" s="33"/>
      <c r="N177" s="36" t="str">
        <f t="shared" si="20"/>
        <v/>
      </c>
      <c r="O177" s="30"/>
      <c r="P177" s="33"/>
      <c r="Q177" s="33"/>
    </row>
    <row r="178" spans="1:17" x14ac:dyDescent="0.25">
      <c r="A178" s="29" t="str">
        <f t="shared" si="14"/>
        <v/>
      </c>
      <c r="B178" s="31"/>
      <c r="C178" s="30"/>
      <c r="D178" s="30"/>
      <c r="E178" s="30"/>
      <c r="F178" s="30"/>
      <c r="G178" s="11" t="str">
        <f t="shared" si="15"/>
        <v/>
      </c>
      <c r="H178" s="11" t="str">
        <f t="shared" si="16"/>
        <v/>
      </c>
      <c r="I178" s="65" t="str">
        <f t="shared" si="17"/>
        <v/>
      </c>
      <c r="J178" s="11" t="str">
        <f t="shared" si="18"/>
        <v/>
      </c>
      <c r="K178" s="55" t="str">
        <f t="shared" si="19"/>
        <v/>
      </c>
      <c r="L178" s="33"/>
      <c r="M178" s="33"/>
      <c r="N178" s="36" t="str">
        <f t="shared" si="20"/>
        <v/>
      </c>
      <c r="O178" s="30"/>
      <c r="P178" s="33"/>
      <c r="Q178" s="33"/>
    </row>
    <row r="179" spans="1:17" x14ac:dyDescent="0.25">
      <c r="A179" s="29" t="str">
        <f t="shared" si="14"/>
        <v/>
      </c>
      <c r="B179" s="31"/>
      <c r="C179" s="30"/>
      <c r="D179" s="30"/>
      <c r="E179" s="30"/>
      <c r="F179" s="30"/>
      <c r="G179" s="11" t="str">
        <f t="shared" si="15"/>
        <v/>
      </c>
      <c r="H179" s="11" t="str">
        <f t="shared" si="16"/>
        <v/>
      </c>
      <c r="I179" s="65" t="str">
        <f t="shared" si="17"/>
        <v/>
      </c>
      <c r="J179" s="11" t="str">
        <f t="shared" si="18"/>
        <v/>
      </c>
      <c r="K179" s="55" t="str">
        <f t="shared" si="19"/>
        <v/>
      </c>
      <c r="L179" s="33"/>
      <c r="M179" s="33"/>
      <c r="N179" s="36" t="str">
        <f t="shared" si="20"/>
        <v/>
      </c>
      <c r="O179" s="30"/>
      <c r="P179" s="33"/>
      <c r="Q179" s="33"/>
    </row>
    <row r="180" spans="1:17" x14ac:dyDescent="0.25">
      <c r="A180" s="29" t="str">
        <f t="shared" si="14"/>
        <v/>
      </c>
      <c r="B180" s="31"/>
      <c r="C180" s="30"/>
      <c r="D180" s="30"/>
      <c r="E180" s="30"/>
      <c r="F180" s="30"/>
      <c r="G180" s="11" t="str">
        <f t="shared" si="15"/>
        <v/>
      </c>
      <c r="H180" s="11" t="str">
        <f t="shared" si="16"/>
        <v/>
      </c>
      <c r="I180" s="65" t="str">
        <f t="shared" si="17"/>
        <v/>
      </c>
      <c r="J180" s="11" t="str">
        <f t="shared" si="18"/>
        <v/>
      </c>
      <c r="K180" s="55" t="str">
        <f t="shared" si="19"/>
        <v/>
      </c>
      <c r="L180" s="33"/>
      <c r="M180" s="33"/>
      <c r="N180" s="36" t="str">
        <f t="shared" si="20"/>
        <v/>
      </c>
      <c r="O180" s="30"/>
      <c r="P180" s="33"/>
      <c r="Q180" s="33"/>
    </row>
    <row r="181" spans="1:17" x14ac:dyDescent="0.25">
      <c r="A181" s="29" t="str">
        <f t="shared" si="14"/>
        <v/>
      </c>
      <c r="B181" s="31"/>
      <c r="C181" s="30"/>
      <c r="D181" s="30"/>
      <c r="E181" s="30"/>
      <c r="F181" s="30"/>
      <c r="G181" s="11" t="str">
        <f t="shared" si="15"/>
        <v/>
      </c>
      <c r="H181" s="11" t="str">
        <f t="shared" si="16"/>
        <v/>
      </c>
      <c r="I181" s="65" t="str">
        <f t="shared" si="17"/>
        <v/>
      </c>
      <c r="J181" s="11" t="str">
        <f t="shared" si="18"/>
        <v/>
      </c>
      <c r="K181" s="55" t="str">
        <f t="shared" si="19"/>
        <v/>
      </c>
      <c r="L181" s="33"/>
      <c r="M181" s="33"/>
      <c r="N181" s="36" t="str">
        <f t="shared" si="20"/>
        <v/>
      </c>
      <c r="O181" s="30"/>
      <c r="P181" s="33"/>
      <c r="Q181" s="33"/>
    </row>
    <row r="182" spans="1:17" x14ac:dyDescent="0.25">
      <c r="A182" s="29" t="str">
        <f t="shared" si="14"/>
        <v/>
      </c>
      <c r="B182" s="31"/>
      <c r="C182" s="30"/>
      <c r="D182" s="30"/>
      <c r="E182" s="30"/>
      <c r="F182" s="30"/>
      <c r="G182" s="11" t="str">
        <f t="shared" si="15"/>
        <v/>
      </c>
      <c r="H182" s="11" t="str">
        <f t="shared" si="16"/>
        <v/>
      </c>
      <c r="I182" s="65" t="str">
        <f t="shared" si="17"/>
        <v/>
      </c>
      <c r="J182" s="11" t="str">
        <f t="shared" si="18"/>
        <v/>
      </c>
      <c r="K182" s="55" t="str">
        <f t="shared" si="19"/>
        <v/>
      </c>
      <c r="L182" s="33"/>
      <c r="M182" s="33"/>
      <c r="N182" s="36" t="str">
        <f t="shared" si="20"/>
        <v/>
      </c>
      <c r="O182" s="30"/>
      <c r="P182" s="33"/>
      <c r="Q182" s="33"/>
    </row>
    <row r="183" spans="1:17" x14ac:dyDescent="0.25">
      <c r="A183" s="29" t="str">
        <f t="shared" si="14"/>
        <v/>
      </c>
      <c r="B183" s="31"/>
      <c r="C183" s="30"/>
      <c r="D183" s="30"/>
      <c r="E183" s="30"/>
      <c r="F183" s="30"/>
      <c r="G183" s="11" t="str">
        <f t="shared" si="15"/>
        <v/>
      </c>
      <c r="H183" s="11" t="str">
        <f t="shared" si="16"/>
        <v/>
      </c>
      <c r="I183" s="65" t="str">
        <f t="shared" si="17"/>
        <v/>
      </c>
      <c r="J183" s="11" t="str">
        <f t="shared" si="18"/>
        <v/>
      </c>
      <c r="K183" s="55" t="str">
        <f t="shared" si="19"/>
        <v/>
      </c>
      <c r="L183" s="33"/>
      <c r="M183" s="33"/>
      <c r="N183" s="36" t="str">
        <f t="shared" si="20"/>
        <v/>
      </c>
      <c r="O183" s="30"/>
      <c r="P183" s="33"/>
      <c r="Q183" s="33"/>
    </row>
    <row r="184" spans="1:17" x14ac:dyDescent="0.25">
      <c r="A184" s="29" t="str">
        <f t="shared" si="14"/>
        <v/>
      </c>
      <c r="B184" s="31"/>
      <c r="C184" s="30"/>
      <c r="D184" s="30"/>
      <c r="E184" s="30"/>
      <c r="F184" s="30"/>
      <c r="G184" s="11" t="str">
        <f t="shared" si="15"/>
        <v/>
      </c>
      <c r="H184" s="11" t="str">
        <f t="shared" si="16"/>
        <v/>
      </c>
      <c r="I184" s="65" t="str">
        <f t="shared" si="17"/>
        <v/>
      </c>
      <c r="J184" s="11" t="str">
        <f t="shared" si="18"/>
        <v/>
      </c>
      <c r="K184" s="55" t="str">
        <f t="shared" si="19"/>
        <v/>
      </c>
      <c r="L184" s="33"/>
      <c r="M184" s="33"/>
      <c r="N184" s="36" t="str">
        <f t="shared" si="20"/>
        <v/>
      </c>
      <c r="O184" s="30"/>
      <c r="P184" s="33"/>
      <c r="Q184" s="33"/>
    </row>
    <row r="185" spans="1:17" x14ac:dyDescent="0.25">
      <c r="A185" s="29" t="str">
        <f t="shared" si="14"/>
        <v/>
      </c>
      <c r="B185" s="31"/>
      <c r="C185" s="30"/>
      <c r="D185" s="30"/>
      <c r="E185" s="30"/>
      <c r="F185" s="30"/>
      <c r="G185" s="11" t="str">
        <f t="shared" si="15"/>
        <v/>
      </c>
      <c r="H185" s="11" t="str">
        <f t="shared" si="16"/>
        <v/>
      </c>
      <c r="I185" s="65" t="str">
        <f t="shared" si="17"/>
        <v/>
      </c>
      <c r="J185" s="11" t="str">
        <f t="shared" si="18"/>
        <v/>
      </c>
      <c r="K185" s="55" t="str">
        <f t="shared" si="19"/>
        <v/>
      </c>
      <c r="L185" s="33"/>
      <c r="M185" s="33"/>
      <c r="N185" s="36" t="str">
        <f t="shared" si="20"/>
        <v/>
      </c>
      <c r="O185" s="30"/>
      <c r="P185" s="33"/>
      <c r="Q185" s="33"/>
    </row>
    <row r="186" spans="1:17" x14ac:dyDescent="0.25">
      <c r="A186" s="29" t="str">
        <f t="shared" si="14"/>
        <v/>
      </c>
      <c r="B186" s="31"/>
      <c r="C186" s="30"/>
      <c r="D186" s="30"/>
      <c r="E186" s="30"/>
      <c r="F186" s="30"/>
      <c r="G186" s="11" t="str">
        <f t="shared" si="15"/>
        <v/>
      </c>
      <c r="H186" s="11" t="str">
        <f t="shared" si="16"/>
        <v/>
      </c>
      <c r="I186" s="65" t="str">
        <f t="shared" si="17"/>
        <v/>
      </c>
      <c r="J186" s="11" t="str">
        <f t="shared" si="18"/>
        <v/>
      </c>
      <c r="K186" s="55" t="str">
        <f t="shared" si="19"/>
        <v/>
      </c>
      <c r="L186" s="33"/>
      <c r="M186" s="33"/>
      <c r="N186" s="36" t="str">
        <f t="shared" si="20"/>
        <v/>
      </c>
      <c r="O186" s="30"/>
      <c r="P186" s="33"/>
      <c r="Q186" s="33"/>
    </row>
    <row r="187" spans="1:17" x14ac:dyDescent="0.25">
      <c r="A187" s="29" t="str">
        <f t="shared" si="14"/>
        <v/>
      </c>
      <c r="B187" s="31"/>
      <c r="C187" s="30"/>
      <c r="D187" s="30"/>
      <c r="E187" s="30"/>
      <c r="F187" s="30"/>
      <c r="G187" s="11" t="str">
        <f t="shared" si="15"/>
        <v/>
      </c>
      <c r="H187" s="11" t="str">
        <f t="shared" si="16"/>
        <v/>
      </c>
      <c r="I187" s="65" t="str">
        <f t="shared" si="17"/>
        <v/>
      </c>
      <c r="J187" s="11" t="str">
        <f t="shared" si="18"/>
        <v/>
      </c>
      <c r="K187" s="55" t="str">
        <f t="shared" si="19"/>
        <v/>
      </c>
      <c r="L187" s="33"/>
      <c r="M187" s="33"/>
      <c r="N187" s="36" t="str">
        <f t="shared" si="20"/>
        <v/>
      </c>
      <c r="O187" s="30"/>
      <c r="P187" s="33"/>
      <c r="Q187" s="33"/>
    </row>
    <row r="188" spans="1:17" x14ac:dyDescent="0.25">
      <c r="A188" s="29" t="str">
        <f t="shared" si="14"/>
        <v/>
      </c>
      <c r="B188" s="31"/>
      <c r="C188" s="30"/>
      <c r="D188" s="30"/>
      <c r="E188" s="30"/>
      <c r="F188" s="30"/>
      <c r="G188" s="11" t="str">
        <f t="shared" si="15"/>
        <v/>
      </c>
      <c r="H188" s="11" t="str">
        <f t="shared" si="16"/>
        <v/>
      </c>
      <c r="I188" s="65" t="str">
        <f t="shared" si="17"/>
        <v/>
      </c>
      <c r="J188" s="11" t="str">
        <f t="shared" si="18"/>
        <v/>
      </c>
      <c r="K188" s="55" t="str">
        <f t="shared" si="19"/>
        <v/>
      </c>
      <c r="L188" s="33"/>
      <c r="M188" s="33"/>
      <c r="N188" s="36" t="str">
        <f t="shared" si="20"/>
        <v/>
      </c>
      <c r="O188" s="30"/>
      <c r="P188" s="33"/>
      <c r="Q188" s="33"/>
    </row>
    <row r="189" spans="1:17" x14ac:dyDescent="0.25">
      <c r="A189" s="29" t="str">
        <f t="shared" si="14"/>
        <v/>
      </c>
      <c r="B189" s="31"/>
      <c r="C189" s="30"/>
      <c r="D189" s="30"/>
      <c r="E189" s="30"/>
      <c r="F189" s="30"/>
      <c r="G189" s="11" t="str">
        <f t="shared" si="15"/>
        <v/>
      </c>
      <c r="H189" s="11" t="str">
        <f t="shared" si="16"/>
        <v/>
      </c>
      <c r="I189" s="65" t="str">
        <f t="shared" si="17"/>
        <v/>
      </c>
      <c r="J189" s="11" t="str">
        <f t="shared" si="18"/>
        <v/>
      </c>
      <c r="K189" s="55" t="str">
        <f t="shared" si="19"/>
        <v/>
      </c>
      <c r="L189" s="33"/>
      <c r="M189" s="33"/>
      <c r="N189" s="36" t="str">
        <f t="shared" si="20"/>
        <v/>
      </c>
      <c r="O189" s="30"/>
      <c r="P189" s="33"/>
      <c r="Q189" s="33"/>
    </row>
    <row r="190" spans="1:17" x14ac:dyDescent="0.25">
      <c r="A190" s="29" t="str">
        <f t="shared" si="14"/>
        <v/>
      </c>
      <c r="B190" s="31"/>
      <c r="C190" s="30"/>
      <c r="D190" s="30"/>
      <c r="E190" s="30"/>
      <c r="F190" s="30"/>
      <c r="G190" s="11" t="str">
        <f t="shared" si="15"/>
        <v/>
      </c>
      <c r="H190" s="11" t="str">
        <f t="shared" si="16"/>
        <v/>
      </c>
      <c r="I190" s="65" t="str">
        <f t="shared" si="17"/>
        <v/>
      </c>
      <c r="J190" s="11" t="str">
        <f t="shared" si="18"/>
        <v/>
      </c>
      <c r="K190" s="55" t="str">
        <f t="shared" si="19"/>
        <v/>
      </c>
      <c r="L190" s="33"/>
      <c r="M190" s="33"/>
      <c r="N190" s="36" t="str">
        <f t="shared" si="20"/>
        <v/>
      </c>
      <c r="O190" s="30"/>
      <c r="P190" s="33"/>
      <c r="Q190" s="33"/>
    </row>
    <row r="191" spans="1:17" x14ac:dyDescent="0.25">
      <c r="A191" s="29" t="str">
        <f t="shared" si="14"/>
        <v/>
      </c>
      <c r="B191" s="31"/>
      <c r="C191" s="30"/>
      <c r="D191" s="30"/>
      <c r="E191" s="30"/>
      <c r="F191" s="30"/>
      <c r="G191" s="11" t="str">
        <f t="shared" si="15"/>
        <v/>
      </c>
      <c r="H191" s="11" t="str">
        <f t="shared" si="16"/>
        <v/>
      </c>
      <c r="I191" s="65" t="str">
        <f t="shared" si="17"/>
        <v/>
      </c>
      <c r="J191" s="11" t="str">
        <f t="shared" si="18"/>
        <v/>
      </c>
      <c r="K191" s="55" t="str">
        <f t="shared" si="19"/>
        <v/>
      </c>
      <c r="L191" s="33"/>
      <c r="M191" s="33"/>
      <c r="N191" s="36" t="str">
        <f t="shared" si="20"/>
        <v/>
      </c>
      <c r="O191" s="30"/>
      <c r="P191" s="33"/>
      <c r="Q191" s="33"/>
    </row>
    <row r="192" spans="1:17" x14ac:dyDescent="0.25">
      <c r="A192" s="29" t="str">
        <f t="shared" si="14"/>
        <v/>
      </c>
      <c r="B192" s="31"/>
      <c r="C192" s="30"/>
      <c r="D192" s="30"/>
      <c r="E192" s="30"/>
      <c r="F192" s="30"/>
      <c r="G192" s="11" t="str">
        <f t="shared" si="15"/>
        <v/>
      </c>
      <c r="H192" s="11" t="str">
        <f t="shared" si="16"/>
        <v/>
      </c>
      <c r="I192" s="65" t="str">
        <f t="shared" si="17"/>
        <v/>
      </c>
      <c r="J192" s="11" t="str">
        <f t="shared" si="18"/>
        <v/>
      </c>
      <c r="K192" s="55" t="str">
        <f t="shared" si="19"/>
        <v/>
      </c>
      <c r="L192" s="33"/>
      <c r="M192" s="33"/>
      <c r="N192" s="36" t="str">
        <f t="shared" si="20"/>
        <v/>
      </c>
      <c r="O192" s="30"/>
      <c r="P192" s="33"/>
      <c r="Q192" s="33"/>
    </row>
    <row r="193" spans="1:17" x14ac:dyDescent="0.25">
      <c r="A193" s="29" t="str">
        <f t="shared" si="14"/>
        <v/>
      </c>
      <c r="B193" s="31"/>
      <c r="C193" s="30"/>
      <c r="D193" s="30"/>
      <c r="E193" s="30"/>
      <c r="F193" s="30"/>
      <c r="G193" s="11" t="str">
        <f t="shared" si="15"/>
        <v/>
      </c>
      <c r="H193" s="11" t="str">
        <f t="shared" si="16"/>
        <v/>
      </c>
      <c r="I193" s="65" t="str">
        <f t="shared" si="17"/>
        <v/>
      </c>
      <c r="J193" s="11" t="str">
        <f t="shared" si="18"/>
        <v/>
      </c>
      <c r="K193" s="55" t="str">
        <f t="shared" si="19"/>
        <v/>
      </c>
      <c r="L193" s="33"/>
      <c r="M193" s="33"/>
      <c r="N193" s="36" t="str">
        <f t="shared" si="20"/>
        <v/>
      </c>
      <c r="O193" s="30"/>
      <c r="P193" s="33"/>
      <c r="Q193" s="33"/>
    </row>
    <row r="194" spans="1:17" x14ac:dyDescent="0.25">
      <c r="A194" s="29" t="str">
        <f t="shared" si="14"/>
        <v/>
      </c>
      <c r="B194" s="31"/>
      <c r="C194" s="30"/>
      <c r="D194" s="30"/>
      <c r="E194" s="30"/>
      <c r="F194" s="30"/>
      <c r="G194" s="11" t="str">
        <f t="shared" si="15"/>
        <v/>
      </c>
      <c r="H194" s="11" t="str">
        <f t="shared" si="16"/>
        <v/>
      </c>
      <c r="I194" s="65" t="str">
        <f t="shared" si="17"/>
        <v/>
      </c>
      <c r="J194" s="11" t="str">
        <f t="shared" si="18"/>
        <v/>
      </c>
      <c r="K194" s="55" t="str">
        <f t="shared" si="19"/>
        <v/>
      </c>
      <c r="L194" s="33"/>
      <c r="M194" s="33"/>
      <c r="N194" s="36" t="str">
        <f t="shared" si="20"/>
        <v/>
      </c>
      <c r="O194" s="30"/>
      <c r="P194" s="33"/>
      <c r="Q194" s="33"/>
    </row>
    <row r="195" spans="1:17" x14ac:dyDescent="0.25">
      <c r="A195" s="29" t="str">
        <f t="shared" si="14"/>
        <v/>
      </c>
      <c r="B195" s="31"/>
      <c r="C195" s="30"/>
      <c r="D195" s="30"/>
      <c r="E195" s="30"/>
      <c r="F195" s="30"/>
      <c r="G195" s="11" t="str">
        <f t="shared" si="15"/>
        <v/>
      </c>
      <c r="H195" s="11" t="str">
        <f t="shared" si="16"/>
        <v/>
      </c>
      <c r="I195" s="65" t="str">
        <f t="shared" si="17"/>
        <v/>
      </c>
      <c r="J195" s="11" t="str">
        <f t="shared" si="18"/>
        <v/>
      </c>
      <c r="K195" s="55" t="str">
        <f t="shared" si="19"/>
        <v/>
      </c>
      <c r="L195" s="33"/>
      <c r="M195" s="33"/>
      <c r="N195" s="36" t="str">
        <f t="shared" si="20"/>
        <v/>
      </c>
      <c r="O195" s="30"/>
      <c r="P195" s="33"/>
      <c r="Q195" s="33"/>
    </row>
    <row r="196" spans="1:17" x14ac:dyDescent="0.25">
      <c r="A196" s="29" t="str">
        <f t="shared" si="14"/>
        <v/>
      </c>
      <c r="B196" s="31"/>
      <c r="C196" s="30"/>
      <c r="D196" s="30"/>
      <c r="E196" s="30"/>
      <c r="F196" s="30"/>
      <c r="G196" s="11" t="str">
        <f t="shared" si="15"/>
        <v/>
      </c>
      <c r="H196" s="11" t="str">
        <f t="shared" si="16"/>
        <v/>
      </c>
      <c r="I196" s="65" t="str">
        <f t="shared" si="17"/>
        <v/>
      </c>
      <c r="J196" s="11" t="str">
        <f t="shared" si="18"/>
        <v/>
      </c>
      <c r="K196" s="55" t="str">
        <f t="shared" si="19"/>
        <v/>
      </c>
      <c r="L196" s="33"/>
      <c r="M196" s="33"/>
      <c r="N196" s="36" t="str">
        <f t="shared" si="20"/>
        <v/>
      </c>
      <c r="O196" s="30"/>
      <c r="P196" s="33"/>
      <c r="Q196" s="33"/>
    </row>
    <row r="197" spans="1:17" x14ac:dyDescent="0.25">
      <c r="A197" s="29" t="str">
        <f t="shared" ref="A197:A260" si="21">IF($B197="","",LEFT($C197,3)&amp;"-"&amp;TEXT(ROW()-4,"0000"))</f>
        <v/>
      </c>
      <c r="B197" s="31"/>
      <c r="C197" s="30"/>
      <c r="D197" s="30"/>
      <c r="E197" s="30"/>
      <c r="F197" s="30"/>
      <c r="G197" s="11" t="str">
        <f t="shared" ref="G197:G260" si="22">IF($B197="","",SUMIFS(APT_PESSOAS,APT_DATA,$B197,APT_CONTR,$C197))</f>
        <v/>
      </c>
      <c r="H197" s="11" t="str">
        <f t="shared" ref="H197:H260" si="23">IF($B197="","",COUNTIFS(APT_DATA,$B197,APT_CONTR,$C197))</f>
        <v/>
      </c>
      <c r="I197" s="65" t="str">
        <f t="shared" ref="I197:I260" si="24">IF($B197="","",SUMIFS(APT_HH,APT_DATA,$B197,APT_CONTR,$C197))</f>
        <v/>
      </c>
      <c r="J197" s="11" t="str">
        <f t="shared" ref="J197:J260" si="25">IF($B197="","",COUNTIFS(OS_FIM,$B197,OS_CONTR,$C197))</f>
        <v/>
      </c>
      <c r="K197" s="55" t="str">
        <f t="shared" ref="K197:K260" si="26">IF($B197="","",SUMIFS(MED_VLR,MED_DATA,$B197,MED_CONTR,$C197))</f>
        <v/>
      </c>
      <c r="L197" s="33"/>
      <c r="M197" s="33"/>
      <c r="N197" s="36" t="str">
        <f t="shared" ref="N197:N260" si="27">IF($B197="","",IF(COUNTIFS(OC_DATA,$B197,OC_CONTR,$C197)=0,"Sem ocorrências",COUNTIFS(OC_DATA,$B197,OC_CONTR,$C197)&amp;" ocorrência(s) — ver aba 11"))</f>
        <v/>
      </c>
      <c r="O197" s="30"/>
      <c r="P197" s="33"/>
      <c r="Q197" s="33"/>
    </row>
    <row r="198" spans="1:17" x14ac:dyDescent="0.25">
      <c r="A198" s="29" t="str">
        <f t="shared" si="21"/>
        <v/>
      </c>
      <c r="B198" s="31"/>
      <c r="C198" s="30"/>
      <c r="D198" s="30"/>
      <c r="E198" s="30"/>
      <c r="F198" s="30"/>
      <c r="G198" s="11" t="str">
        <f t="shared" si="22"/>
        <v/>
      </c>
      <c r="H198" s="11" t="str">
        <f t="shared" si="23"/>
        <v/>
      </c>
      <c r="I198" s="65" t="str">
        <f t="shared" si="24"/>
        <v/>
      </c>
      <c r="J198" s="11" t="str">
        <f t="shared" si="25"/>
        <v/>
      </c>
      <c r="K198" s="55" t="str">
        <f t="shared" si="26"/>
        <v/>
      </c>
      <c r="L198" s="33"/>
      <c r="M198" s="33"/>
      <c r="N198" s="36" t="str">
        <f t="shared" si="27"/>
        <v/>
      </c>
      <c r="O198" s="30"/>
      <c r="P198" s="33"/>
      <c r="Q198" s="33"/>
    </row>
    <row r="199" spans="1:17" x14ac:dyDescent="0.25">
      <c r="A199" s="29" t="str">
        <f t="shared" si="21"/>
        <v/>
      </c>
      <c r="B199" s="31"/>
      <c r="C199" s="30"/>
      <c r="D199" s="30"/>
      <c r="E199" s="30"/>
      <c r="F199" s="30"/>
      <c r="G199" s="11" t="str">
        <f t="shared" si="22"/>
        <v/>
      </c>
      <c r="H199" s="11" t="str">
        <f t="shared" si="23"/>
        <v/>
      </c>
      <c r="I199" s="65" t="str">
        <f t="shared" si="24"/>
        <v/>
      </c>
      <c r="J199" s="11" t="str">
        <f t="shared" si="25"/>
        <v/>
      </c>
      <c r="K199" s="55" t="str">
        <f t="shared" si="26"/>
        <v/>
      </c>
      <c r="L199" s="33"/>
      <c r="M199" s="33"/>
      <c r="N199" s="36" t="str">
        <f t="shared" si="27"/>
        <v/>
      </c>
      <c r="O199" s="30"/>
      <c r="P199" s="33"/>
      <c r="Q199" s="33"/>
    </row>
    <row r="200" spans="1:17" x14ac:dyDescent="0.25">
      <c r="A200" s="29" t="str">
        <f t="shared" si="21"/>
        <v/>
      </c>
      <c r="B200" s="31"/>
      <c r="C200" s="30"/>
      <c r="D200" s="30"/>
      <c r="E200" s="30"/>
      <c r="F200" s="30"/>
      <c r="G200" s="11" t="str">
        <f t="shared" si="22"/>
        <v/>
      </c>
      <c r="H200" s="11" t="str">
        <f t="shared" si="23"/>
        <v/>
      </c>
      <c r="I200" s="65" t="str">
        <f t="shared" si="24"/>
        <v/>
      </c>
      <c r="J200" s="11" t="str">
        <f t="shared" si="25"/>
        <v/>
      </c>
      <c r="K200" s="55" t="str">
        <f t="shared" si="26"/>
        <v/>
      </c>
      <c r="L200" s="33"/>
      <c r="M200" s="33"/>
      <c r="N200" s="36" t="str">
        <f t="shared" si="27"/>
        <v/>
      </c>
      <c r="O200" s="30"/>
      <c r="P200" s="33"/>
      <c r="Q200" s="33"/>
    </row>
    <row r="201" spans="1:17" x14ac:dyDescent="0.25">
      <c r="A201" s="29" t="str">
        <f t="shared" si="21"/>
        <v/>
      </c>
      <c r="B201" s="31"/>
      <c r="C201" s="30"/>
      <c r="D201" s="30"/>
      <c r="E201" s="30"/>
      <c r="F201" s="30"/>
      <c r="G201" s="11" t="str">
        <f t="shared" si="22"/>
        <v/>
      </c>
      <c r="H201" s="11" t="str">
        <f t="shared" si="23"/>
        <v/>
      </c>
      <c r="I201" s="65" t="str">
        <f t="shared" si="24"/>
        <v/>
      </c>
      <c r="J201" s="11" t="str">
        <f t="shared" si="25"/>
        <v/>
      </c>
      <c r="K201" s="55" t="str">
        <f t="shared" si="26"/>
        <v/>
      </c>
      <c r="L201" s="33"/>
      <c r="M201" s="33"/>
      <c r="N201" s="36" t="str">
        <f t="shared" si="27"/>
        <v/>
      </c>
      <c r="O201" s="30"/>
      <c r="P201" s="33"/>
      <c r="Q201" s="33"/>
    </row>
    <row r="202" spans="1:17" x14ac:dyDescent="0.25">
      <c r="A202" s="29" t="str">
        <f t="shared" si="21"/>
        <v/>
      </c>
      <c r="B202" s="31"/>
      <c r="C202" s="30"/>
      <c r="D202" s="30"/>
      <c r="E202" s="30"/>
      <c r="F202" s="30"/>
      <c r="G202" s="11" t="str">
        <f t="shared" si="22"/>
        <v/>
      </c>
      <c r="H202" s="11" t="str">
        <f t="shared" si="23"/>
        <v/>
      </c>
      <c r="I202" s="65" t="str">
        <f t="shared" si="24"/>
        <v/>
      </c>
      <c r="J202" s="11" t="str">
        <f t="shared" si="25"/>
        <v/>
      </c>
      <c r="K202" s="55" t="str">
        <f t="shared" si="26"/>
        <v/>
      </c>
      <c r="L202" s="33"/>
      <c r="M202" s="33"/>
      <c r="N202" s="36" t="str">
        <f t="shared" si="27"/>
        <v/>
      </c>
      <c r="O202" s="30"/>
      <c r="P202" s="33"/>
      <c r="Q202" s="33"/>
    </row>
    <row r="203" spans="1:17" x14ac:dyDescent="0.25">
      <c r="A203" s="29" t="str">
        <f t="shared" si="21"/>
        <v/>
      </c>
      <c r="B203" s="31"/>
      <c r="C203" s="30"/>
      <c r="D203" s="30"/>
      <c r="E203" s="30"/>
      <c r="F203" s="30"/>
      <c r="G203" s="11" t="str">
        <f t="shared" si="22"/>
        <v/>
      </c>
      <c r="H203" s="11" t="str">
        <f t="shared" si="23"/>
        <v/>
      </c>
      <c r="I203" s="65" t="str">
        <f t="shared" si="24"/>
        <v/>
      </c>
      <c r="J203" s="11" t="str">
        <f t="shared" si="25"/>
        <v/>
      </c>
      <c r="K203" s="55" t="str">
        <f t="shared" si="26"/>
        <v/>
      </c>
      <c r="L203" s="33"/>
      <c r="M203" s="33"/>
      <c r="N203" s="36" t="str">
        <f t="shared" si="27"/>
        <v/>
      </c>
      <c r="O203" s="30"/>
      <c r="P203" s="33"/>
      <c r="Q203" s="33"/>
    </row>
    <row r="204" spans="1:17" x14ac:dyDescent="0.25">
      <c r="A204" s="29" t="str">
        <f t="shared" si="21"/>
        <v/>
      </c>
      <c r="B204" s="31"/>
      <c r="C204" s="30"/>
      <c r="D204" s="30"/>
      <c r="E204" s="30"/>
      <c r="F204" s="30"/>
      <c r="G204" s="11" t="str">
        <f t="shared" si="22"/>
        <v/>
      </c>
      <c r="H204" s="11" t="str">
        <f t="shared" si="23"/>
        <v/>
      </c>
      <c r="I204" s="65" t="str">
        <f t="shared" si="24"/>
        <v/>
      </c>
      <c r="J204" s="11" t="str">
        <f t="shared" si="25"/>
        <v/>
      </c>
      <c r="K204" s="55" t="str">
        <f t="shared" si="26"/>
        <v/>
      </c>
      <c r="L204" s="33"/>
      <c r="M204" s="33"/>
      <c r="N204" s="36" t="str">
        <f t="shared" si="27"/>
        <v/>
      </c>
      <c r="O204" s="30"/>
      <c r="P204" s="33"/>
      <c r="Q204" s="33"/>
    </row>
    <row r="205" spans="1:17" x14ac:dyDescent="0.25">
      <c r="A205" s="29" t="str">
        <f t="shared" si="21"/>
        <v/>
      </c>
      <c r="B205" s="31"/>
      <c r="C205" s="30"/>
      <c r="D205" s="30"/>
      <c r="E205" s="30"/>
      <c r="F205" s="30"/>
      <c r="G205" s="11" t="str">
        <f t="shared" si="22"/>
        <v/>
      </c>
      <c r="H205" s="11" t="str">
        <f t="shared" si="23"/>
        <v/>
      </c>
      <c r="I205" s="65" t="str">
        <f t="shared" si="24"/>
        <v/>
      </c>
      <c r="J205" s="11" t="str">
        <f t="shared" si="25"/>
        <v/>
      </c>
      <c r="K205" s="55" t="str">
        <f t="shared" si="26"/>
        <v/>
      </c>
      <c r="L205" s="33"/>
      <c r="M205" s="33"/>
      <c r="N205" s="36" t="str">
        <f t="shared" si="27"/>
        <v/>
      </c>
      <c r="O205" s="30"/>
      <c r="P205" s="33"/>
      <c r="Q205" s="33"/>
    </row>
    <row r="206" spans="1:17" x14ac:dyDescent="0.25">
      <c r="A206" s="29" t="str">
        <f t="shared" si="21"/>
        <v/>
      </c>
      <c r="B206" s="31"/>
      <c r="C206" s="30"/>
      <c r="D206" s="30"/>
      <c r="E206" s="30"/>
      <c r="F206" s="30"/>
      <c r="G206" s="11" t="str">
        <f t="shared" si="22"/>
        <v/>
      </c>
      <c r="H206" s="11" t="str">
        <f t="shared" si="23"/>
        <v/>
      </c>
      <c r="I206" s="65" t="str">
        <f t="shared" si="24"/>
        <v/>
      </c>
      <c r="J206" s="11" t="str">
        <f t="shared" si="25"/>
        <v/>
      </c>
      <c r="K206" s="55" t="str">
        <f t="shared" si="26"/>
        <v/>
      </c>
      <c r="L206" s="33"/>
      <c r="M206" s="33"/>
      <c r="N206" s="36" t="str">
        <f t="shared" si="27"/>
        <v/>
      </c>
      <c r="O206" s="30"/>
      <c r="P206" s="33"/>
      <c r="Q206" s="33"/>
    </row>
    <row r="207" spans="1:17" x14ac:dyDescent="0.25">
      <c r="A207" s="29" t="str">
        <f t="shared" si="21"/>
        <v/>
      </c>
      <c r="B207" s="31"/>
      <c r="C207" s="30"/>
      <c r="D207" s="30"/>
      <c r="E207" s="30"/>
      <c r="F207" s="30"/>
      <c r="G207" s="11" t="str">
        <f t="shared" si="22"/>
        <v/>
      </c>
      <c r="H207" s="11" t="str">
        <f t="shared" si="23"/>
        <v/>
      </c>
      <c r="I207" s="65" t="str">
        <f t="shared" si="24"/>
        <v/>
      </c>
      <c r="J207" s="11" t="str">
        <f t="shared" si="25"/>
        <v/>
      </c>
      <c r="K207" s="55" t="str">
        <f t="shared" si="26"/>
        <v/>
      </c>
      <c r="L207" s="33"/>
      <c r="M207" s="33"/>
      <c r="N207" s="36" t="str">
        <f t="shared" si="27"/>
        <v/>
      </c>
      <c r="O207" s="30"/>
      <c r="P207" s="33"/>
      <c r="Q207" s="33"/>
    </row>
    <row r="208" spans="1:17" x14ac:dyDescent="0.25">
      <c r="A208" s="29" t="str">
        <f t="shared" si="21"/>
        <v/>
      </c>
      <c r="B208" s="31"/>
      <c r="C208" s="30"/>
      <c r="D208" s="30"/>
      <c r="E208" s="30"/>
      <c r="F208" s="30"/>
      <c r="G208" s="11" t="str">
        <f t="shared" si="22"/>
        <v/>
      </c>
      <c r="H208" s="11" t="str">
        <f t="shared" si="23"/>
        <v/>
      </c>
      <c r="I208" s="65" t="str">
        <f t="shared" si="24"/>
        <v/>
      </c>
      <c r="J208" s="11" t="str">
        <f t="shared" si="25"/>
        <v/>
      </c>
      <c r="K208" s="55" t="str">
        <f t="shared" si="26"/>
        <v/>
      </c>
      <c r="L208" s="33"/>
      <c r="M208" s="33"/>
      <c r="N208" s="36" t="str">
        <f t="shared" si="27"/>
        <v/>
      </c>
      <c r="O208" s="30"/>
      <c r="P208" s="33"/>
      <c r="Q208" s="33"/>
    </row>
    <row r="209" spans="1:17" x14ac:dyDescent="0.25">
      <c r="A209" s="29" t="str">
        <f t="shared" si="21"/>
        <v/>
      </c>
      <c r="B209" s="31"/>
      <c r="C209" s="30"/>
      <c r="D209" s="30"/>
      <c r="E209" s="30"/>
      <c r="F209" s="30"/>
      <c r="G209" s="11" t="str">
        <f t="shared" si="22"/>
        <v/>
      </c>
      <c r="H209" s="11" t="str">
        <f t="shared" si="23"/>
        <v/>
      </c>
      <c r="I209" s="65" t="str">
        <f t="shared" si="24"/>
        <v/>
      </c>
      <c r="J209" s="11" t="str">
        <f t="shared" si="25"/>
        <v/>
      </c>
      <c r="K209" s="55" t="str">
        <f t="shared" si="26"/>
        <v/>
      </c>
      <c r="L209" s="33"/>
      <c r="M209" s="33"/>
      <c r="N209" s="36" t="str">
        <f t="shared" si="27"/>
        <v/>
      </c>
      <c r="O209" s="30"/>
      <c r="P209" s="33"/>
      <c r="Q209" s="33"/>
    </row>
    <row r="210" spans="1:17" x14ac:dyDescent="0.25">
      <c r="A210" s="29" t="str">
        <f t="shared" si="21"/>
        <v/>
      </c>
      <c r="B210" s="31"/>
      <c r="C210" s="30"/>
      <c r="D210" s="30"/>
      <c r="E210" s="30"/>
      <c r="F210" s="30"/>
      <c r="G210" s="11" t="str">
        <f t="shared" si="22"/>
        <v/>
      </c>
      <c r="H210" s="11" t="str">
        <f t="shared" si="23"/>
        <v/>
      </c>
      <c r="I210" s="65" t="str">
        <f t="shared" si="24"/>
        <v/>
      </c>
      <c r="J210" s="11" t="str">
        <f t="shared" si="25"/>
        <v/>
      </c>
      <c r="K210" s="55" t="str">
        <f t="shared" si="26"/>
        <v/>
      </c>
      <c r="L210" s="33"/>
      <c r="M210" s="33"/>
      <c r="N210" s="36" t="str">
        <f t="shared" si="27"/>
        <v/>
      </c>
      <c r="O210" s="30"/>
      <c r="P210" s="33"/>
      <c r="Q210" s="33"/>
    </row>
    <row r="211" spans="1:17" x14ac:dyDescent="0.25">
      <c r="A211" s="29" t="str">
        <f t="shared" si="21"/>
        <v/>
      </c>
      <c r="B211" s="31"/>
      <c r="C211" s="30"/>
      <c r="D211" s="30"/>
      <c r="E211" s="30"/>
      <c r="F211" s="30"/>
      <c r="G211" s="11" t="str">
        <f t="shared" si="22"/>
        <v/>
      </c>
      <c r="H211" s="11" t="str">
        <f t="shared" si="23"/>
        <v/>
      </c>
      <c r="I211" s="65" t="str">
        <f t="shared" si="24"/>
        <v/>
      </c>
      <c r="J211" s="11" t="str">
        <f t="shared" si="25"/>
        <v/>
      </c>
      <c r="K211" s="55" t="str">
        <f t="shared" si="26"/>
        <v/>
      </c>
      <c r="L211" s="33"/>
      <c r="M211" s="33"/>
      <c r="N211" s="36" t="str">
        <f t="shared" si="27"/>
        <v/>
      </c>
      <c r="O211" s="30"/>
      <c r="P211" s="33"/>
      <c r="Q211" s="33"/>
    </row>
    <row r="212" spans="1:17" x14ac:dyDescent="0.25">
      <c r="A212" s="29" t="str">
        <f t="shared" si="21"/>
        <v/>
      </c>
      <c r="B212" s="31"/>
      <c r="C212" s="30"/>
      <c r="D212" s="30"/>
      <c r="E212" s="30"/>
      <c r="F212" s="30"/>
      <c r="G212" s="11" t="str">
        <f t="shared" si="22"/>
        <v/>
      </c>
      <c r="H212" s="11" t="str">
        <f t="shared" si="23"/>
        <v/>
      </c>
      <c r="I212" s="65" t="str">
        <f t="shared" si="24"/>
        <v/>
      </c>
      <c r="J212" s="11" t="str">
        <f t="shared" si="25"/>
        <v/>
      </c>
      <c r="K212" s="55" t="str">
        <f t="shared" si="26"/>
        <v/>
      </c>
      <c r="L212" s="33"/>
      <c r="M212" s="33"/>
      <c r="N212" s="36" t="str">
        <f t="shared" si="27"/>
        <v/>
      </c>
      <c r="O212" s="30"/>
      <c r="P212" s="33"/>
      <c r="Q212" s="33"/>
    </row>
    <row r="213" spans="1:17" x14ac:dyDescent="0.25">
      <c r="A213" s="29" t="str">
        <f t="shared" si="21"/>
        <v/>
      </c>
      <c r="B213" s="31"/>
      <c r="C213" s="30"/>
      <c r="D213" s="30"/>
      <c r="E213" s="30"/>
      <c r="F213" s="30"/>
      <c r="G213" s="11" t="str">
        <f t="shared" si="22"/>
        <v/>
      </c>
      <c r="H213" s="11" t="str">
        <f t="shared" si="23"/>
        <v/>
      </c>
      <c r="I213" s="65" t="str">
        <f t="shared" si="24"/>
        <v/>
      </c>
      <c r="J213" s="11" t="str">
        <f t="shared" si="25"/>
        <v/>
      </c>
      <c r="K213" s="55" t="str">
        <f t="shared" si="26"/>
        <v/>
      </c>
      <c r="L213" s="33"/>
      <c r="M213" s="33"/>
      <c r="N213" s="36" t="str">
        <f t="shared" si="27"/>
        <v/>
      </c>
      <c r="O213" s="30"/>
      <c r="P213" s="33"/>
      <c r="Q213" s="33"/>
    </row>
    <row r="214" spans="1:17" x14ac:dyDescent="0.25">
      <c r="A214" s="29" t="str">
        <f t="shared" si="21"/>
        <v/>
      </c>
      <c r="B214" s="31"/>
      <c r="C214" s="30"/>
      <c r="D214" s="30"/>
      <c r="E214" s="30"/>
      <c r="F214" s="30"/>
      <c r="G214" s="11" t="str">
        <f t="shared" si="22"/>
        <v/>
      </c>
      <c r="H214" s="11" t="str">
        <f t="shared" si="23"/>
        <v/>
      </c>
      <c r="I214" s="65" t="str">
        <f t="shared" si="24"/>
        <v/>
      </c>
      <c r="J214" s="11" t="str">
        <f t="shared" si="25"/>
        <v/>
      </c>
      <c r="K214" s="55" t="str">
        <f t="shared" si="26"/>
        <v/>
      </c>
      <c r="L214" s="33"/>
      <c r="M214" s="33"/>
      <c r="N214" s="36" t="str">
        <f t="shared" si="27"/>
        <v/>
      </c>
      <c r="O214" s="30"/>
      <c r="P214" s="33"/>
      <c r="Q214" s="33"/>
    </row>
    <row r="215" spans="1:17" x14ac:dyDescent="0.25">
      <c r="A215" s="29" t="str">
        <f t="shared" si="21"/>
        <v/>
      </c>
      <c r="B215" s="31"/>
      <c r="C215" s="30"/>
      <c r="D215" s="30"/>
      <c r="E215" s="30"/>
      <c r="F215" s="30"/>
      <c r="G215" s="11" t="str">
        <f t="shared" si="22"/>
        <v/>
      </c>
      <c r="H215" s="11" t="str">
        <f t="shared" si="23"/>
        <v/>
      </c>
      <c r="I215" s="65" t="str">
        <f t="shared" si="24"/>
        <v/>
      </c>
      <c r="J215" s="11" t="str">
        <f t="shared" si="25"/>
        <v/>
      </c>
      <c r="K215" s="55" t="str">
        <f t="shared" si="26"/>
        <v/>
      </c>
      <c r="L215" s="33"/>
      <c r="M215" s="33"/>
      <c r="N215" s="36" t="str">
        <f t="shared" si="27"/>
        <v/>
      </c>
      <c r="O215" s="30"/>
      <c r="P215" s="33"/>
      <c r="Q215" s="33"/>
    </row>
    <row r="216" spans="1:17" x14ac:dyDescent="0.25">
      <c r="A216" s="29" t="str">
        <f t="shared" si="21"/>
        <v/>
      </c>
      <c r="B216" s="31"/>
      <c r="C216" s="30"/>
      <c r="D216" s="30"/>
      <c r="E216" s="30"/>
      <c r="F216" s="30"/>
      <c r="G216" s="11" t="str">
        <f t="shared" si="22"/>
        <v/>
      </c>
      <c r="H216" s="11" t="str">
        <f t="shared" si="23"/>
        <v/>
      </c>
      <c r="I216" s="65" t="str">
        <f t="shared" si="24"/>
        <v/>
      </c>
      <c r="J216" s="11" t="str">
        <f t="shared" si="25"/>
        <v/>
      </c>
      <c r="K216" s="55" t="str">
        <f t="shared" si="26"/>
        <v/>
      </c>
      <c r="L216" s="33"/>
      <c r="M216" s="33"/>
      <c r="N216" s="36" t="str">
        <f t="shared" si="27"/>
        <v/>
      </c>
      <c r="O216" s="30"/>
      <c r="P216" s="33"/>
      <c r="Q216" s="33"/>
    </row>
    <row r="217" spans="1:17" x14ac:dyDescent="0.25">
      <c r="A217" s="29" t="str">
        <f t="shared" si="21"/>
        <v/>
      </c>
      <c r="B217" s="31"/>
      <c r="C217" s="30"/>
      <c r="D217" s="30"/>
      <c r="E217" s="30"/>
      <c r="F217" s="30"/>
      <c r="G217" s="11" t="str">
        <f t="shared" si="22"/>
        <v/>
      </c>
      <c r="H217" s="11" t="str">
        <f t="shared" si="23"/>
        <v/>
      </c>
      <c r="I217" s="65" t="str">
        <f t="shared" si="24"/>
        <v/>
      </c>
      <c r="J217" s="11" t="str">
        <f t="shared" si="25"/>
        <v/>
      </c>
      <c r="K217" s="55" t="str">
        <f t="shared" si="26"/>
        <v/>
      </c>
      <c r="L217" s="33"/>
      <c r="M217" s="33"/>
      <c r="N217" s="36" t="str">
        <f t="shared" si="27"/>
        <v/>
      </c>
      <c r="O217" s="30"/>
      <c r="P217" s="33"/>
      <c r="Q217" s="33"/>
    </row>
    <row r="218" spans="1:17" x14ac:dyDescent="0.25">
      <c r="A218" s="29" t="str">
        <f t="shared" si="21"/>
        <v/>
      </c>
      <c r="B218" s="31"/>
      <c r="C218" s="30"/>
      <c r="D218" s="30"/>
      <c r="E218" s="30"/>
      <c r="F218" s="30"/>
      <c r="G218" s="11" t="str">
        <f t="shared" si="22"/>
        <v/>
      </c>
      <c r="H218" s="11" t="str">
        <f t="shared" si="23"/>
        <v/>
      </c>
      <c r="I218" s="65" t="str">
        <f t="shared" si="24"/>
        <v/>
      </c>
      <c r="J218" s="11" t="str">
        <f t="shared" si="25"/>
        <v/>
      </c>
      <c r="K218" s="55" t="str">
        <f t="shared" si="26"/>
        <v/>
      </c>
      <c r="L218" s="33"/>
      <c r="M218" s="33"/>
      <c r="N218" s="36" t="str">
        <f t="shared" si="27"/>
        <v/>
      </c>
      <c r="O218" s="30"/>
      <c r="P218" s="33"/>
      <c r="Q218" s="33"/>
    </row>
    <row r="219" spans="1:17" x14ac:dyDescent="0.25">
      <c r="A219" s="29" t="str">
        <f t="shared" si="21"/>
        <v/>
      </c>
      <c r="B219" s="31"/>
      <c r="C219" s="30"/>
      <c r="D219" s="30"/>
      <c r="E219" s="30"/>
      <c r="F219" s="30"/>
      <c r="G219" s="11" t="str">
        <f t="shared" si="22"/>
        <v/>
      </c>
      <c r="H219" s="11" t="str">
        <f t="shared" si="23"/>
        <v/>
      </c>
      <c r="I219" s="65" t="str">
        <f t="shared" si="24"/>
        <v/>
      </c>
      <c r="J219" s="11" t="str">
        <f t="shared" si="25"/>
        <v/>
      </c>
      <c r="K219" s="55" t="str">
        <f t="shared" si="26"/>
        <v/>
      </c>
      <c r="L219" s="33"/>
      <c r="M219" s="33"/>
      <c r="N219" s="36" t="str">
        <f t="shared" si="27"/>
        <v/>
      </c>
      <c r="O219" s="30"/>
      <c r="P219" s="33"/>
      <c r="Q219" s="33"/>
    </row>
    <row r="220" spans="1:17" x14ac:dyDescent="0.25">
      <c r="A220" s="29" t="str">
        <f t="shared" si="21"/>
        <v/>
      </c>
      <c r="B220" s="31"/>
      <c r="C220" s="30"/>
      <c r="D220" s="30"/>
      <c r="E220" s="30"/>
      <c r="F220" s="30"/>
      <c r="G220" s="11" t="str">
        <f t="shared" si="22"/>
        <v/>
      </c>
      <c r="H220" s="11" t="str">
        <f t="shared" si="23"/>
        <v/>
      </c>
      <c r="I220" s="65" t="str">
        <f t="shared" si="24"/>
        <v/>
      </c>
      <c r="J220" s="11" t="str">
        <f t="shared" si="25"/>
        <v/>
      </c>
      <c r="K220" s="55" t="str">
        <f t="shared" si="26"/>
        <v/>
      </c>
      <c r="L220" s="33"/>
      <c r="M220" s="33"/>
      <c r="N220" s="36" t="str">
        <f t="shared" si="27"/>
        <v/>
      </c>
      <c r="O220" s="30"/>
      <c r="P220" s="33"/>
      <c r="Q220" s="33"/>
    </row>
    <row r="221" spans="1:17" x14ac:dyDescent="0.25">
      <c r="A221" s="29" t="str">
        <f t="shared" si="21"/>
        <v/>
      </c>
      <c r="B221" s="31"/>
      <c r="C221" s="30"/>
      <c r="D221" s="30"/>
      <c r="E221" s="30"/>
      <c r="F221" s="30"/>
      <c r="G221" s="11" t="str">
        <f t="shared" si="22"/>
        <v/>
      </c>
      <c r="H221" s="11" t="str">
        <f t="shared" si="23"/>
        <v/>
      </c>
      <c r="I221" s="65" t="str">
        <f t="shared" si="24"/>
        <v/>
      </c>
      <c r="J221" s="11" t="str">
        <f t="shared" si="25"/>
        <v/>
      </c>
      <c r="K221" s="55" t="str">
        <f t="shared" si="26"/>
        <v/>
      </c>
      <c r="L221" s="33"/>
      <c r="M221" s="33"/>
      <c r="N221" s="36" t="str">
        <f t="shared" si="27"/>
        <v/>
      </c>
      <c r="O221" s="30"/>
      <c r="P221" s="33"/>
      <c r="Q221" s="33"/>
    </row>
    <row r="222" spans="1:17" x14ac:dyDescent="0.25">
      <c r="A222" s="29" t="str">
        <f t="shared" si="21"/>
        <v/>
      </c>
      <c r="B222" s="31"/>
      <c r="C222" s="30"/>
      <c r="D222" s="30"/>
      <c r="E222" s="30"/>
      <c r="F222" s="30"/>
      <c r="G222" s="11" t="str">
        <f t="shared" si="22"/>
        <v/>
      </c>
      <c r="H222" s="11" t="str">
        <f t="shared" si="23"/>
        <v/>
      </c>
      <c r="I222" s="65" t="str">
        <f t="shared" si="24"/>
        <v/>
      </c>
      <c r="J222" s="11" t="str">
        <f t="shared" si="25"/>
        <v/>
      </c>
      <c r="K222" s="55" t="str">
        <f t="shared" si="26"/>
        <v/>
      </c>
      <c r="L222" s="33"/>
      <c r="M222" s="33"/>
      <c r="N222" s="36" t="str">
        <f t="shared" si="27"/>
        <v/>
      </c>
      <c r="O222" s="30"/>
      <c r="P222" s="33"/>
      <c r="Q222" s="33"/>
    </row>
    <row r="223" spans="1:17" x14ac:dyDescent="0.25">
      <c r="A223" s="29" t="str">
        <f t="shared" si="21"/>
        <v/>
      </c>
      <c r="B223" s="31"/>
      <c r="C223" s="30"/>
      <c r="D223" s="30"/>
      <c r="E223" s="30"/>
      <c r="F223" s="30"/>
      <c r="G223" s="11" t="str">
        <f t="shared" si="22"/>
        <v/>
      </c>
      <c r="H223" s="11" t="str">
        <f t="shared" si="23"/>
        <v/>
      </c>
      <c r="I223" s="65" t="str">
        <f t="shared" si="24"/>
        <v/>
      </c>
      <c r="J223" s="11" t="str">
        <f t="shared" si="25"/>
        <v/>
      </c>
      <c r="K223" s="55" t="str">
        <f t="shared" si="26"/>
        <v/>
      </c>
      <c r="L223" s="33"/>
      <c r="M223" s="33"/>
      <c r="N223" s="36" t="str">
        <f t="shared" si="27"/>
        <v/>
      </c>
      <c r="O223" s="30"/>
      <c r="P223" s="33"/>
      <c r="Q223" s="33"/>
    </row>
    <row r="224" spans="1:17" x14ac:dyDescent="0.25">
      <c r="A224" s="29" t="str">
        <f t="shared" si="21"/>
        <v/>
      </c>
      <c r="B224" s="31"/>
      <c r="C224" s="30"/>
      <c r="D224" s="30"/>
      <c r="E224" s="30"/>
      <c r="F224" s="30"/>
      <c r="G224" s="11" t="str">
        <f t="shared" si="22"/>
        <v/>
      </c>
      <c r="H224" s="11" t="str">
        <f t="shared" si="23"/>
        <v/>
      </c>
      <c r="I224" s="65" t="str">
        <f t="shared" si="24"/>
        <v/>
      </c>
      <c r="J224" s="11" t="str">
        <f t="shared" si="25"/>
        <v/>
      </c>
      <c r="K224" s="55" t="str">
        <f t="shared" si="26"/>
        <v/>
      </c>
      <c r="L224" s="33"/>
      <c r="M224" s="33"/>
      <c r="N224" s="36" t="str">
        <f t="shared" si="27"/>
        <v/>
      </c>
      <c r="O224" s="30"/>
      <c r="P224" s="33"/>
      <c r="Q224" s="33"/>
    </row>
    <row r="225" spans="1:17" x14ac:dyDescent="0.25">
      <c r="A225" s="29" t="str">
        <f t="shared" si="21"/>
        <v/>
      </c>
      <c r="B225" s="31"/>
      <c r="C225" s="30"/>
      <c r="D225" s="30"/>
      <c r="E225" s="30"/>
      <c r="F225" s="30"/>
      <c r="G225" s="11" t="str">
        <f t="shared" si="22"/>
        <v/>
      </c>
      <c r="H225" s="11" t="str">
        <f t="shared" si="23"/>
        <v/>
      </c>
      <c r="I225" s="65" t="str">
        <f t="shared" si="24"/>
        <v/>
      </c>
      <c r="J225" s="11" t="str">
        <f t="shared" si="25"/>
        <v/>
      </c>
      <c r="K225" s="55" t="str">
        <f t="shared" si="26"/>
        <v/>
      </c>
      <c r="L225" s="33"/>
      <c r="M225" s="33"/>
      <c r="N225" s="36" t="str">
        <f t="shared" si="27"/>
        <v/>
      </c>
      <c r="O225" s="30"/>
      <c r="P225" s="33"/>
      <c r="Q225" s="33"/>
    </row>
    <row r="226" spans="1:17" x14ac:dyDescent="0.25">
      <c r="A226" s="29" t="str">
        <f t="shared" si="21"/>
        <v/>
      </c>
      <c r="B226" s="31"/>
      <c r="C226" s="30"/>
      <c r="D226" s="30"/>
      <c r="E226" s="30"/>
      <c r="F226" s="30"/>
      <c r="G226" s="11" t="str">
        <f t="shared" si="22"/>
        <v/>
      </c>
      <c r="H226" s="11" t="str">
        <f t="shared" si="23"/>
        <v/>
      </c>
      <c r="I226" s="65" t="str">
        <f t="shared" si="24"/>
        <v/>
      </c>
      <c r="J226" s="11" t="str">
        <f t="shared" si="25"/>
        <v/>
      </c>
      <c r="K226" s="55" t="str">
        <f t="shared" si="26"/>
        <v/>
      </c>
      <c r="L226" s="33"/>
      <c r="M226" s="33"/>
      <c r="N226" s="36" t="str">
        <f t="shared" si="27"/>
        <v/>
      </c>
      <c r="O226" s="30"/>
      <c r="P226" s="33"/>
      <c r="Q226" s="33"/>
    </row>
    <row r="227" spans="1:17" x14ac:dyDescent="0.25">
      <c r="A227" s="29" t="str">
        <f t="shared" si="21"/>
        <v/>
      </c>
      <c r="B227" s="31"/>
      <c r="C227" s="30"/>
      <c r="D227" s="30"/>
      <c r="E227" s="30"/>
      <c r="F227" s="30"/>
      <c r="G227" s="11" t="str">
        <f t="shared" si="22"/>
        <v/>
      </c>
      <c r="H227" s="11" t="str">
        <f t="shared" si="23"/>
        <v/>
      </c>
      <c r="I227" s="65" t="str">
        <f t="shared" si="24"/>
        <v/>
      </c>
      <c r="J227" s="11" t="str">
        <f t="shared" si="25"/>
        <v/>
      </c>
      <c r="K227" s="55" t="str">
        <f t="shared" si="26"/>
        <v/>
      </c>
      <c r="L227" s="33"/>
      <c r="M227" s="33"/>
      <c r="N227" s="36" t="str">
        <f t="shared" si="27"/>
        <v/>
      </c>
      <c r="O227" s="30"/>
      <c r="P227" s="33"/>
      <c r="Q227" s="33"/>
    </row>
    <row r="228" spans="1:17" x14ac:dyDescent="0.25">
      <c r="A228" s="29" t="str">
        <f t="shared" si="21"/>
        <v/>
      </c>
      <c r="B228" s="31"/>
      <c r="C228" s="30"/>
      <c r="D228" s="30"/>
      <c r="E228" s="30"/>
      <c r="F228" s="30"/>
      <c r="G228" s="11" t="str">
        <f t="shared" si="22"/>
        <v/>
      </c>
      <c r="H228" s="11" t="str">
        <f t="shared" si="23"/>
        <v/>
      </c>
      <c r="I228" s="65" t="str">
        <f t="shared" si="24"/>
        <v/>
      </c>
      <c r="J228" s="11" t="str">
        <f t="shared" si="25"/>
        <v/>
      </c>
      <c r="K228" s="55" t="str">
        <f t="shared" si="26"/>
        <v/>
      </c>
      <c r="L228" s="33"/>
      <c r="M228" s="33"/>
      <c r="N228" s="36" t="str">
        <f t="shared" si="27"/>
        <v/>
      </c>
      <c r="O228" s="30"/>
      <c r="P228" s="33"/>
      <c r="Q228" s="33"/>
    </row>
    <row r="229" spans="1:17" x14ac:dyDescent="0.25">
      <c r="A229" s="29" t="str">
        <f t="shared" si="21"/>
        <v/>
      </c>
      <c r="B229" s="31"/>
      <c r="C229" s="30"/>
      <c r="D229" s="30"/>
      <c r="E229" s="30"/>
      <c r="F229" s="30"/>
      <c r="G229" s="11" t="str">
        <f t="shared" si="22"/>
        <v/>
      </c>
      <c r="H229" s="11" t="str">
        <f t="shared" si="23"/>
        <v/>
      </c>
      <c r="I229" s="65" t="str">
        <f t="shared" si="24"/>
        <v/>
      </c>
      <c r="J229" s="11" t="str">
        <f t="shared" si="25"/>
        <v/>
      </c>
      <c r="K229" s="55" t="str">
        <f t="shared" si="26"/>
        <v/>
      </c>
      <c r="L229" s="33"/>
      <c r="M229" s="33"/>
      <c r="N229" s="36" t="str">
        <f t="shared" si="27"/>
        <v/>
      </c>
      <c r="O229" s="30"/>
      <c r="P229" s="33"/>
      <c r="Q229" s="33"/>
    </row>
    <row r="230" spans="1:17" x14ac:dyDescent="0.25">
      <c r="A230" s="29" t="str">
        <f t="shared" si="21"/>
        <v/>
      </c>
      <c r="B230" s="31"/>
      <c r="C230" s="30"/>
      <c r="D230" s="30"/>
      <c r="E230" s="30"/>
      <c r="F230" s="30"/>
      <c r="G230" s="11" t="str">
        <f t="shared" si="22"/>
        <v/>
      </c>
      <c r="H230" s="11" t="str">
        <f t="shared" si="23"/>
        <v/>
      </c>
      <c r="I230" s="65" t="str">
        <f t="shared" si="24"/>
        <v/>
      </c>
      <c r="J230" s="11" t="str">
        <f t="shared" si="25"/>
        <v/>
      </c>
      <c r="K230" s="55" t="str">
        <f t="shared" si="26"/>
        <v/>
      </c>
      <c r="L230" s="33"/>
      <c r="M230" s="33"/>
      <c r="N230" s="36" t="str">
        <f t="shared" si="27"/>
        <v/>
      </c>
      <c r="O230" s="30"/>
      <c r="P230" s="33"/>
      <c r="Q230" s="33"/>
    </row>
    <row r="231" spans="1:17" x14ac:dyDescent="0.25">
      <c r="A231" s="29" t="str">
        <f t="shared" si="21"/>
        <v/>
      </c>
      <c r="B231" s="31"/>
      <c r="C231" s="30"/>
      <c r="D231" s="30"/>
      <c r="E231" s="30"/>
      <c r="F231" s="30"/>
      <c r="G231" s="11" t="str">
        <f t="shared" si="22"/>
        <v/>
      </c>
      <c r="H231" s="11" t="str">
        <f t="shared" si="23"/>
        <v/>
      </c>
      <c r="I231" s="65" t="str">
        <f t="shared" si="24"/>
        <v/>
      </c>
      <c r="J231" s="11" t="str">
        <f t="shared" si="25"/>
        <v/>
      </c>
      <c r="K231" s="55" t="str">
        <f t="shared" si="26"/>
        <v/>
      </c>
      <c r="L231" s="33"/>
      <c r="M231" s="33"/>
      <c r="N231" s="36" t="str">
        <f t="shared" si="27"/>
        <v/>
      </c>
      <c r="O231" s="30"/>
      <c r="P231" s="33"/>
      <c r="Q231" s="33"/>
    </row>
    <row r="232" spans="1:17" x14ac:dyDescent="0.25">
      <c r="A232" s="29" t="str">
        <f t="shared" si="21"/>
        <v/>
      </c>
      <c r="B232" s="31"/>
      <c r="C232" s="30"/>
      <c r="D232" s="30"/>
      <c r="E232" s="30"/>
      <c r="F232" s="30"/>
      <c r="G232" s="11" t="str">
        <f t="shared" si="22"/>
        <v/>
      </c>
      <c r="H232" s="11" t="str">
        <f t="shared" si="23"/>
        <v/>
      </c>
      <c r="I232" s="65" t="str">
        <f t="shared" si="24"/>
        <v/>
      </c>
      <c r="J232" s="11" t="str">
        <f t="shared" si="25"/>
        <v/>
      </c>
      <c r="K232" s="55" t="str">
        <f t="shared" si="26"/>
        <v/>
      </c>
      <c r="L232" s="33"/>
      <c r="M232" s="33"/>
      <c r="N232" s="36" t="str">
        <f t="shared" si="27"/>
        <v/>
      </c>
      <c r="O232" s="30"/>
      <c r="P232" s="33"/>
      <c r="Q232" s="33"/>
    </row>
    <row r="233" spans="1:17" x14ac:dyDescent="0.25">
      <c r="A233" s="29" t="str">
        <f t="shared" si="21"/>
        <v/>
      </c>
      <c r="B233" s="31"/>
      <c r="C233" s="30"/>
      <c r="D233" s="30"/>
      <c r="E233" s="30"/>
      <c r="F233" s="30"/>
      <c r="G233" s="11" t="str">
        <f t="shared" si="22"/>
        <v/>
      </c>
      <c r="H233" s="11" t="str">
        <f t="shared" si="23"/>
        <v/>
      </c>
      <c r="I233" s="65" t="str">
        <f t="shared" si="24"/>
        <v/>
      </c>
      <c r="J233" s="11" t="str">
        <f t="shared" si="25"/>
        <v/>
      </c>
      <c r="K233" s="55" t="str">
        <f t="shared" si="26"/>
        <v/>
      </c>
      <c r="L233" s="33"/>
      <c r="M233" s="33"/>
      <c r="N233" s="36" t="str">
        <f t="shared" si="27"/>
        <v/>
      </c>
      <c r="O233" s="30"/>
      <c r="P233" s="33"/>
      <c r="Q233" s="33"/>
    </row>
    <row r="234" spans="1:17" x14ac:dyDescent="0.25">
      <c r="A234" s="29" t="str">
        <f t="shared" si="21"/>
        <v/>
      </c>
      <c r="B234" s="31"/>
      <c r="C234" s="30"/>
      <c r="D234" s="30"/>
      <c r="E234" s="30"/>
      <c r="F234" s="30"/>
      <c r="G234" s="11" t="str">
        <f t="shared" si="22"/>
        <v/>
      </c>
      <c r="H234" s="11" t="str">
        <f t="shared" si="23"/>
        <v/>
      </c>
      <c r="I234" s="65" t="str">
        <f t="shared" si="24"/>
        <v/>
      </c>
      <c r="J234" s="11" t="str">
        <f t="shared" si="25"/>
        <v/>
      </c>
      <c r="K234" s="55" t="str">
        <f t="shared" si="26"/>
        <v/>
      </c>
      <c r="L234" s="33"/>
      <c r="M234" s="33"/>
      <c r="N234" s="36" t="str">
        <f t="shared" si="27"/>
        <v/>
      </c>
      <c r="O234" s="30"/>
      <c r="P234" s="33"/>
      <c r="Q234" s="33"/>
    </row>
    <row r="235" spans="1:17" x14ac:dyDescent="0.25">
      <c r="A235" s="29" t="str">
        <f t="shared" si="21"/>
        <v/>
      </c>
      <c r="B235" s="31"/>
      <c r="C235" s="30"/>
      <c r="D235" s="30"/>
      <c r="E235" s="30"/>
      <c r="F235" s="30"/>
      <c r="G235" s="11" t="str">
        <f t="shared" si="22"/>
        <v/>
      </c>
      <c r="H235" s="11" t="str">
        <f t="shared" si="23"/>
        <v/>
      </c>
      <c r="I235" s="65" t="str">
        <f t="shared" si="24"/>
        <v/>
      </c>
      <c r="J235" s="11" t="str">
        <f t="shared" si="25"/>
        <v/>
      </c>
      <c r="K235" s="55" t="str">
        <f t="shared" si="26"/>
        <v/>
      </c>
      <c r="L235" s="33"/>
      <c r="M235" s="33"/>
      <c r="N235" s="36" t="str">
        <f t="shared" si="27"/>
        <v/>
      </c>
      <c r="O235" s="30"/>
      <c r="P235" s="33"/>
      <c r="Q235" s="33"/>
    </row>
    <row r="236" spans="1:17" x14ac:dyDescent="0.25">
      <c r="A236" s="29" t="str">
        <f t="shared" si="21"/>
        <v/>
      </c>
      <c r="B236" s="31"/>
      <c r="C236" s="30"/>
      <c r="D236" s="30"/>
      <c r="E236" s="30"/>
      <c r="F236" s="30"/>
      <c r="G236" s="11" t="str">
        <f t="shared" si="22"/>
        <v/>
      </c>
      <c r="H236" s="11" t="str">
        <f t="shared" si="23"/>
        <v/>
      </c>
      <c r="I236" s="65" t="str">
        <f t="shared" si="24"/>
        <v/>
      </c>
      <c r="J236" s="11" t="str">
        <f t="shared" si="25"/>
        <v/>
      </c>
      <c r="K236" s="55" t="str">
        <f t="shared" si="26"/>
        <v/>
      </c>
      <c r="L236" s="33"/>
      <c r="M236" s="33"/>
      <c r="N236" s="36" t="str">
        <f t="shared" si="27"/>
        <v/>
      </c>
      <c r="O236" s="30"/>
      <c r="P236" s="33"/>
      <c r="Q236" s="33"/>
    </row>
    <row r="237" spans="1:17" x14ac:dyDescent="0.25">
      <c r="A237" s="29" t="str">
        <f t="shared" si="21"/>
        <v/>
      </c>
      <c r="B237" s="31"/>
      <c r="C237" s="30"/>
      <c r="D237" s="30"/>
      <c r="E237" s="30"/>
      <c r="F237" s="30"/>
      <c r="G237" s="11" t="str">
        <f t="shared" si="22"/>
        <v/>
      </c>
      <c r="H237" s="11" t="str">
        <f t="shared" si="23"/>
        <v/>
      </c>
      <c r="I237" s="65" t="str">
        <f t="shared" si="24"/>
        <v/>
      </c>
      <c r="J237" s="11" t="str">
        <f t="shared" si="25"/>
        <v/>
      </c>
      <c r="K237" s="55" t="str">
        <f t="shared" si="26"/>
        <v/>
      </c>
      <c r="L237" s="33"/>
      <c r="M237" s="33"/>
      <c r="N237" s="36" t="str">
        <f t="shared" si="27"/>
        <v/>
      </c>
      <c r="O237" s="30"/>
      <c r="P237" s="33"/>
      <c r="Q237" s="33"/>
    </row>
    <row r="238" spans="1:17" x14ac:dyDescent="0.25">
      <c r="A238" s="29" t="str">
        <f t="shared" si="21"/>
        <v/>
      </c>
      <c r="B238" s="31"/>
      <c r="C238" s="30"/>
      <c r="D238" s="30"/>
      <c r="E238" s="30"/>
      <c r="F238" s="30"/>
      <c r="G238" s="11" t="str">
        <f t="shared" si="22"/>
        <v/>
      </c>
      <c r="H238" s="11" t="str">
        <f t="shared" si="23"/>
        <v/>
      </c>
      <c r="I238" s="65" t="str">
        <f t="shared" si="24"/>
        <v/>
      </c>
      <c r="J238" s="11" t="str">
        <f t="shared" si="25"/>
        <v/>
      </c>
      <c r="K238" s="55" t="str">
        <f t="shared" si="26"/>
        <v/>
      </c>
      <c r="L238" s="33"/>
      <c r="M238" s="33"/>
      <c r="N238" s="36" t="str">
        <f t="shared" si="27"/>
        <v/>
      </c>
      <c r="O238" s="30"/>
      <c r="P238" s="33"/>
      <c r="Q238" s="33"/>
    </row>
    <row r="239" spans="1:17" x14ac:dyDescent="0.25">
      <c r="A239" s="29" t="str">
        <f t="shared" si="21"/>
        <v/>
      </c>
      <c r="B239" s="31"/>
      <c r="C239" s="30"/>
      <c r="D239" s="30"/>
      <c r="E239" s="30"/>
      <c r="F239" s="30"/>
      <c r="G239" s="11" t="str">
        <f t="shared" si="22"/>
        <v/>
      </c>
      <c r="H239" s="11" t="str">
        <f t="shared" si="23"/>
        <v/>
      </c>
      <c r="I239" s="65" t="str">
        <f t="shared" si="24"/>
        <v/>
      </c>
      <c r="J239" s="11" t="str">
        <f t="shared" si="25"/>
        <v/>
      </c>
      <c r="K239" s="55" t="str">
        <f t="shared" si="26"/>
        <v/>
      </c>
      <c r="L239" s="33"/>
      <c r="M239" s="33"/>
      <c r="N239" s="36" t="str">
        <f t="shared" si="27"/>
        <v/>
      </c>
      <c r="O239" s="30"/>
      <c r="P239" s="33"/>
      <c r="Q239" s="33"/>
    </row>
    <row r="240" spans="1:17" x14ac:dyDescent="0.25">
      <c r="A240" s="29" t="str">
        <f t="shared" si="21"/>
        <v/>
      </c>
      <c r="B240" s="31"/>
      <c r="C240" s="30"/>
      <c r="D240" s="30"/>
      <c r="E240" s="30"/>
      <c r="F240" s="30"/>
      <c r="G240" s="11" t="str">
        <f t="shared" si="22"/>
        <v/>
      </c>
      <c r="H240" s="11" t="str">
        <f t="shared" si="23"/>
        <v/>
      </c>
      <c r="I240" s="65" t="str">
        <f t="shared" si="24"/>
        <v/>
      </c>
      <c r="J240" s="11" t="str">
        <f t="shared" si="25"/>
        <v/>
      </c>
      <c r="K240" s="55" t="str">
        <f t="shared" si="26"/>
        <v/>
      </c>
      <c r="L240" s="33"/>
      <c r="M240" s="33"/>
      <c r="N240" s="36" t="str">
        <f t="shared" si="27"/>
        <v/>
      </c>
      <c r="O240" s="30"/>
      <c r="P240" s="33"/>
      <c r="Q240" s="33"/>
    </row>
    <row r="241" spans="1:17" x14ac:dyDescent="0.25">
      <c r="A241" s="29" t="str">
        <f t="shared" si="21"/>
        <v/>
      </c>
      <c r="B241" s="31"/>
      <c r="C241" s="30"/>
      <c r="D241" s="30"/>
      <c r="E241" s="30"/>
      <c r="F241" s="30"/>
      <c r="G241" s="11" t="str">
        <f t="shared" si="22"/>
        <v/>
      </c>
      <c r="H241" s="11" t="str">
        <f t="shared" si="23"/>
        <v/>
      </c>
      <c r="I241" s="65" t="str">
        <f t="shared" si="24"/>
        <v/>
      </c>
      <c r="J241" s="11" t="str">
        <f t="shared" si="25"/>
        <v/>
      </c>
      <c r="K241" s="55" t="str">
        <f t="shared" si="26"/>
        <v/>
      </c>
      <c r="L241" s="33"/>
      <c r="M241" s="33"/>
      <c r="N241" s="36" t="str">
        <f t="shared" si="27"/>
        <v/>
      </c>
      <c r="O241" s="30"/>
      <c r="P241" s="33"/>
      <c r="Q241" s="33"/>
    </row>
    <row r="242" spans="1:17" x14ac:dyDescent="0.25">
      <c r="A242" s="29" t="str">
        <f t="shared" si="21"/>
        <v/>
      </c>
      <c r="B242" s="31"/>
      <c r="C242" s="30"/>
      <c r="D242" s="30"/>
      <c r="E242" s="30"/>
      <c r="F242" s="30"/>
      <c r="G242" s="11" t="str">
        <f t="shared" si="22"/>
        <v/>
      </c>
      <c r="H242" s="11" t="str">
        <f t="shared" si="23"/>
        <v/>
      </c>
      <c r="I242" s="65" t="str">
        <f t="shared" si="24"/>
        <v/>
      </c>
      <c r="J242" s="11" t="str">
        <f t="shared" si="25"/>
        <v/>
      </c>
      <c r="K242" s="55" t="str">
        <f t="shared" si="26"/>
        <v/>
      </c>
      <c r="L242" s="33"/>
      <c r="M242" s="33"/>
      <c r="N242" s="36" t="str">
        <f t="shared" si="27"/>
        <v/>
      </c>
      <c r="O242" s="30"/>
      <c r="P242" s="33"/>
      <c r="Q242" s="33"/>
    </row>
    <row r="243" spans="1:17" x14ac:dyDescent="0.25">
      <c r="A243" s="29" t="str">
        <f t="shared" si="21"/>
        <v/>
      </c>
      <c r="B243" s="31"/>
      <c r="C243" s="30"/>
      <c r="D243" s="30"/>
      <c r="E243" s="30"/>
      <c r="F243" s="30"/>
      <c r="G243" s="11" t="str">
        <f t="shared" si="22"/>
        <v/>
      </c>
      <c r="H243" s="11" t="str">
        <f t="shared" si="23"/>
        <v/>
      </c>
      <c r="I243" s="65" t="str">
        <f t="shared" si="24"/>
        <v/>
      </c>
      <c r="J243" s="11" t="str">
        <f t="shared" si="25"/>
        <v/>
      </c>
      <c r="K243" s="55" t="str">
        <f t="shared" si="26"/>
        <v/>
      </c>
      <c r="L243" s="33"/>
      <c r="M243" s="33"/>
      <c r="N243" s="36" t="str">
        <f t="shared" si="27"/>
        <v/>
      </c>
      <c r="O243" s="30"/>
      <c r="P243" s="33"/>
      <c r="Q243" s="33"/>
    </row>
    <row r="244" spans="1:17" x14ac:dyDescent="0.25">
      <c r="A244" s="29" t="str">
        <f t="shared" si="21"/>
        <v/>
      </c>
      <c r="B244" s="31"/>
      <c r="C244" s="30"/>
      <c r="D244" s="30"/>
      <c r="E244" s="30"/>
      <c r="F244" s="30"/>
      <c r="G244" s="11" t="str">
        <f t="shared" si="22"/>
        <v/>
      </c>
      <c r="H244" s="11" t="str">
        <f t="shared" si="23"/>
        <v/>
      </c>
      <c r="I244" s="65" t="str">
        <f t="shared" si="24"/>
        <v/>
      </c>
      <c r="J244" s="11" t="str">
        <f t="shared" si="25"/>
        <v/>
      </c>
      <c r="K244" s="55" t="str">
        <f t="shared" si="26"/>
        <v/>
      </c>
      <c r="L244" s="33"/>
      <c r="M244" s="33"/>
      <c r="N244" s="36" t="str">
        <f t="shared" si="27"/>
        <v/>
      </c>
      <c r="O244" s="30"/>
      <c r="P244" s="33"/>
      <c r="Q244" s="33"/>
    </row>
    <row r="245" spans="1:17" x14ac:dyDescent="0.25">
      <c r="A245" s="29" t="str">
        <f t="shared" si="21"/>
        <v/>
      </c>
      <c r="B245" s="31"/>
      <c r="C245" s="30"/>
      <c r="D245" s="30"/>
      <c r="E245" s="30"/>
      <c r="F245" s="30"/>
      <c r="G245" s="11" t="str">
        <f t="shared" si="22"/>
        <v/>
      </c>
      <c r="H245" s="11" t="str">
        <f t="shared" si="23"/>
        <v/>
      </c>
      <c r="I245" s="65" t="str">
        <f t="shared" si="24"/>
        <v/>
      </c>
      <c r="J245" s="11" t="str">
        <f t="shared" si="25"/>
        <v/>
      </c>
      <c r="K245" s="55" t="str">
        <f t="shared" si="26"/>
        <v/>
      </c>
      <c r="L245" s="33"/>
      <c r="M245" s="33"/>
      <c r="N245" s="36" t="str">
        <f t="shared" si="27"/>
        <v/>
      </c>
      <c r="O245" s="30"/>
      <c r="P245" s="33"/>
      <c r="Q245" s="33"/>
    </row>
    <row r="246" spans="1:17" x14ac:dyDescent="0.25">
      <c r="A246" s="29" t="str">
        <f t="shared" si="21"/>
        <v/>
      </c>
      <c r="B246" s="31"/>
      <c r="C246" s="30"/>
      <c r="D246" s="30"/>
      <c r="E246" s="30"/>
      <c r="F246" s="30"/>
      <c r="G246" s="11" t="str">
        <f t="shared" si="22"/>
        <v/>
      </c>
      <c r="H246" s="11" t="str">
        <f t="shared" si="23"/>
        <v/>
      </c>
      <c r="I246" s="65" t="str">
        <f t="shared" si="24"/>
        <v/>
      </c>
      <c r="J246" s="11" t="str">
        <f t="shared" si="25"/>
        <v/>
      </c>
      <c r="K246" s="55" t="str">
        <f t="shared" si="26"/>
        <v/>
      </c>
      <c r="L246" s="33"/>
      <c r="M246" s="33"/>
      <c r="N246" s="36" t="str">
        <f t="shared" si="27"/>
        <v/>
      </c>
      <c r="O246" s="30"/>
      <c r="P246" s="33"/>
      <c r="Q246" s="33"/>
    </row>
    <row r="247" spans="1:17" x14ac:dyDescent="0.25">
      <c r="A247" s="29" t="str">
        <f t="shared" si="21"/>
        <v/>
      </c>
      <c r="B247" s="31"/>
      <c r="C247" s="30"/>
      <c r="D247" s="30"/>
      <c r="E247" s="30"/>
      <c r="F247" s="30"/>
      <c r="G247" s="11" t="str">
        <f t="shared" si="22"/>
        <v/>
      </c>
      <c r="H247" s="11" t="str">
        <f t="shared" si="23"/>
        <v/>
      </c>
      <c r="I247" s="65" t="str">
        <f t="shared" si="24"/>
        <v/>
      </c>
      <c r="J247" s="11" t="str">
        <f t="shared" si="25"/>
        <v/>
      </c>
      <c r="K247" s="55" t="str">
        <f t="shared" si="26"/>
        <v/>
      </c>
      <c r="L247" s="33"/>
      <c r="M247" s="33"/>
      <c r="N247" s="36" t="str">
        <f t="shared" si="27"/>
        <v/>
      </c>
      <c r="O247" s="30"/>
      <c r="P247" s="33"/>
      <c r="Q247" s="33"/>
    </row>
    <row r="248" spans="1:17" x14ac:dyDescent="0.25">
      <c r="A248" s="29" t="str">
        <f t="shared" si="21"/>
        <v/>
      </c>
      <c r="B248" s="31"/>
      <c r="C248" s="30"/>
      <c r="D248" s="30"/>
      <c r="E248" s="30"/>
      <c r="F248" s="30"/>
      <c r="G248" s="11" t="str">
        <f t="shared" si="22"/>
        <v/>
      </c>
      <c r="H248" s="11" t="str">
        <f t="shared" si="23"/>
        <v/>
      </c>
      <c r="I248" s="65" t="str">
        <f t="shared" si="24"/>
        <v/>
      </c>
      <c r="J248" s="11" t="str">
        <f t="shared" si="25"/>
        <v/>
      </c>
      <c r="K248" s="55" t="str">
        <f t="shared" si="26"/>
        <v/>
      </c>
      <c r="L248" s="33"/>
      <c r="M248" s="33"/>
      <c r="N248" s="36" t="str">
        <f t="shared" si="27"/>
        <v/>
      </c>
      <c r="O248" s="30"/>
      <c r="P248" s="33"/>
      <c r="Q248" s="33"/>
    </row>
    <row r="249" spans="1:17" x14ac:dyDescent="0.25">
      <c r="A249" s="29" t="str">
        <f t="shared" si="21"/>
        <v/>
      </c>
      <c r="B249" s="31"/>
      <c r="C249" s="30"/>
      <c r="D249" s="30"/>
      <c r="E249" s="30"/>
      <c r="F249" s="30"/>
      <c r="G249" s="11" t="str">
        <f t="shared" si="22"/>
        <v/>
      </c>
      <c r="H249" s="11" t="str">
        <f t="shared" si="23"/>
        <v/>
      </c>
      <c r="I249" s="65" t="str">
        <f t="shared" si="24"/>
        <v/>
      </c>
      <c r="J249" s="11" t="str">
        <f t="shared" si="25"/>
        <v/>
      </c>
      <c r="K249" s="55" t="str">
        <f t="shared" si="26"/>
        <v/>
      </c>
      <c r="L249" s="33"/>
      <c r="M249" s="33"/>
      <c r="N249" s="36" t="str">
        <f t="shared" si="27"/>
        <v/>
      </c>
      <c r="O249" s="30"/>
      <c r="P249" s="33"/>
      <c r="Q249" s="33"/>
    </row>
    <row r="250" spans="1:17" x14ac:dyDescent="0.25">
      <c r="A250" s="29" t="str">
        <f t="shared" si="21"/>
        <v/>
      </c>
      <c r="B250" s="31"/>
      <c r="C250" s="30"/>
      <c r="D250" s="30"/>
      <c r="E250" s="30"/>
      <c r="F250" s="30"/>
      <c r="G250" s="11" t="str">
        <f t="shared" si="22"/>
        <v/>
      </c>
      <c r="H250" s="11" t="str">
        <f t="shared" si="23"/>
        <v/>
      </c>
      <c r="I250" s="65" t="str">
        <f t="shared" si="24"/>
        <v/>
      </c>
      <c r="J250" s="11" t="str">
        <f t="shared" si="25"/>
        <v/>
      </c>
      <c r="K250" s="55" t="str">
        <f t="shared" si="26"/>
        <v/>
      </c>
      <c r="L250" s="33"/>
      <c r="M250" s="33"/>
      <c r="N250" s="36" t="str">
        <f t="shared" si="27"/>
        <v/>
      </c>
      <c r="O250" s="30"/>
      <c r="P250" s="33"/>
      <c r="Q250" s="33"/>
    </row>
    <row r="251" spans="1:17" x14ac:dyDescent="0.25">
      <c r="A251" s="29" t="str">
        <f t="shared" si="21"/>
        <v/>
      </c>
      <c r="B251" s="31"/>
      <c r="C251" s="30"/>
      <c r="D251" s="30"/>
      <c r="E251" s="30"/>
      <c r="F251" s="30"/>
      <c r="G251" s="11" t="str">
        <f t="shared" si="22"/>
        <v/>
      </c>
      <c r="H251" s="11" t="str">
        <f t="shared" si="23"/>
        <v/>
      </c>
      <c r="I251" s="65" t="str">
        <f t="shared" si="24"/>
        <v/>
      </c>
      <c r="J251" s="11" t="str">
        <f t="shared" si="25"/>
        <v/>
      </c>
      <c r="K251" s="55" t="str">
        <f t="shared" si="26"/>
        <v/>
      </c>
      <c r="L251" s="33"/>
      <c r="M251" s="33"/>
      <c r="N251" s="36" t="str">
        <f t="shared" si="27"/>
        <v/>
      </c>
      <c r="O251" s="30"/>
      <c r="P251" s="33"/>
      <c r="Q251" s="33"/>
    </row>
    <row r="252" spans="1:17" x14ac:dyDescent="0.25">
      <c r="A252" s="29" t="str">
        <f t="shared" si="21"/>
        <v/>
      </c>
      <c r="B252" s="31"/>
      <c r="C252" s="30"/>
      <c r="D252" s="30"/>
      <c r="E252" s="30"/>
      <c r="F252" s="30"/>
      <c r="G252" s="11" t="str">
        <f t="shared" si="22"/>
        <v/>
      </c>
      <c r="H252" s="11" t="str">
        <f t="shared" si="23"/>
        <v/>
      </c>
      <c r="I252" s="65" t="str">
        <f t="shared" si="24"/>
        <v/>
      </c>
      <c r="J252" s="11" t="str">
        <f t="shared" si="25"/>
        <v/>
      </c>
      <c r="K252" s="55" t="str">
        <f t="shared" si="26"/>
        <v/>
      </c>
      <c r="L252" s="33"/>
      <c r="M252" s="33"/>
      <c r="N252" s="36" t="str">
        <f t="shared" si="27"/>
        <v/>
      </c>
      <c r="O252" s="30"/>
      <c r="P252" s="33"/>
      <c r="Q252" s="33"/>
    </row>
    <row r="253" spans="1:17" x14ac:dyDescent="0.25">
      <c r="A253" s="29" t="str">
        <f t="shared" si="21"/>
        <v/>
      </c>
      <c r="B253" s="31"/>
      <c r="C253" s="30"/>
      <c r="D253" s="30"/>
      <c r="E253" s="30"/>
      <c r="F253" s="30"/>
      <c r="G253" s="11" t="str">
        <f t="shared" si="22"/>
        <v/>
      </c>
      <c r="H253" s="11" t="str">
        <f t="shared" si="23"/>
        <v/>
      </c>
      <c r="I253" s="65" t="str">
        <f t="shared" si="24"/>
        <v/>
      </c>
      <c r="J253" s="11" t="str">
        <f t="shared" si="25"/>
        <v/>
      </c>
      <c r="K253" s="55" t="str">
        <f t="shared" si="26"/>
        <v/>
      </c>
      <c r="L253" s="33"/>
      <c r="M253" s="33"/>
      <c r="N253" s="36" t="str">
        <f t="shared" si="27"/>
        <v/>
      </c>
      <c r="O253" s="30"/>
      <c r="P253" s="33"/>
      <c r="Q253" s="33"/>
    </row>
    <row r="254" spans="1:17" x14ac:dyDescent="0.25">
      <c r="A254" s="29" t="str">
        <f t="shared" si="21"/>
        <v/>
      </c>
      <c r="B254" s="31"/>
      <c r="C254" s="30"/>
      <c r="D254" s="30"/>
      <c r="E254" s="30"/>
      <c r="F254" s="30"/>
      <c r="G254" s="11" t="str">
        <f t="shared" si="22"/>
        <v/>
      </c>
      <c r="H254" s="11" t="str">
        <f t="shared" si="23"/>
        <v/>
      </c>
      <c r="I254" s="65" t="str">
        <f t="shared" si="24"/>
        <v/>
      </c>
      <c r="J254" s="11" t="str">
        <f t="shared" si="25"/>
        <v/>
      </c>
      <c r="K254" s="55" t="str">
        <f t="shared" si="26"/>
        <v/>
      </c>
      <c r="L254" s="33"/>
      <c r="M254" s="33"/>
      <c r="N254" s="36" t="str">
        <f t="shared" si="27"/>
        <v/>
      </c>
      <c r="O254" s="30"/>
      <c r="P254" s="33"/>
      <c r="Q254" s="33"/>
    </row>
    <row r="255" spans="1:17" x14ac:dyDescent="0.25">
      <c r="A255" s="29" t="str">
        <f t="shared" si="21"/>
        <v/>
      </c>
      <c r="B255" s="31"/>
      <c r="C255" s="30"/>
      <c r="D255" s="30"/>
      <c r="E255" s="30"/>
      <c r="F255" s="30"/>
      <c r="G255" s="11" t="str">
        <f t="shared" si="22"/>
        <v/>
      </c>
      <c r="H255" s="11" t="str">
        <f t="shared" si="23"/>
        <v/>
      </c>
      <c r="I255" s="65" t="str">
        <f t="shared" si="24"/>
        <v/>
      </c>
      <c r="J255" s="11" t="str">
        <f t="shared" si="25"/>
        <v/>
      </c>
      <c r="K255" s="55" t="str">
        <f t="shared" si="26"/>
        <v/>
      </c>
      <c r="L255" s="33"/>
      <c r="M255" s="33"/>
      <c r="N255" s="36" t="str">
        <f t="shared" si="27"/>
        <v/>
      </c>
      <c r="O255" s="30"/>
      <c r="P255" s="33"/>
      <c r="Q255" s="33"/>
    </row>
    <row r="256" spans="1:17" x14ac:dyDescent="0.25">
      <c r="A256" s="29" t="str">
        <f t="shared" si="21"/>
        <v/>
      </c>
      <c r="B256" s="31"/>
      <c r="C256" s="30"/>
      <c r="D256" s="30"/>
      <c r="E256" s="30"/>
      <c r="F256" s="30"/>
      <c r="G256" s="11" t="str">
        <f t="shared" si="22"/>
        <v/>
      </c>
      <c r="H256" s="11" t="str">
        <f t="shared" si="23"/>
        <v/>
      </c>
      <c r="I256" s="65" t="str">
        <f t="shared" si="24"/>
        <v/>
      </c>
      <c r="J256" s="11" t="str">
        <f t="shared" si="25"/>
        <v/>
      </c>
      <c r="K256" s="55" t="str">
        <f t="shared" si="26"/>
        <v/>
      </c>
      <c r="L256" s="33"/>
      <c r="M256" s="33"/>
      <c r="N256" s="36" t="str">
        <f t="shared" si="27"/>
        <v/>
      </c>
      <c r="O256" s="30"/>
      <c r="P256" s="33"/>
      <c r="Q256" s="33"/>
    </row>
    <row r="257" spans="1:17" x14ac:dyDescent="0.25">
      <c r="A257" s="29" t="str">
        <f t="shared" si="21"/>
        <v/>
      </c>
      <c r="B257" s="31"/>
      <c r="C257" s="30"/>
      <c r="D257" s="30"/>
      <c r="E257" s="30"/>
      <c r="F257" s="30"/>
      <c r="G257" s="11" t="str">
        <f t="shared" si="22"/>
        <v/>
      </c>
      <c r="H257" s="11" t="str">
        <f t="shared" si="23"/>
        <v/>
      </c>
      <c r="I257" s="65" t="str">
        <f t="shared" si="24"/>
        <v/>
      </c>
      <c r="J257" s="11" t="str">
        <f t="shared" si="25"/>
        <v/>
      </c>
      <c r="K257" s="55" t="str">
        <f t="shared" si="26"/>
        <v/>
      </c>
      <c r="L257" s="33"/>
      <c r="M257" s="33"/>
      <c r="N257" s="36" t="str">
        <f t="shared" si="27"/>
        <v/>
      </c>
      <c r="O257" s="30"/>
      <c r="P257" s="33"/>
      <c r="Q257" s="33"/>
    </row>
    <row r="258" spans="1:17" x14ac:dyDescent="0.25">
      <c r="A258" s="29" t="str">
        <f t="shared" si="21"/>
        <v/>
      </c>
      <c r="B258" s="31"/>
      <c r="C258" s="30"/>
      <c r="D258" s="30"/>
      <c r="E258" s="30"/>
      <c r="F258" s="30"/>
      <c r="G258" s="11" t="str">
        <f t="shared" si="22"/>
        <v/>
      </c>
      <c r="H258" s="11" t="str">
        <f t="shared" si="23"/>
        <v/>
      </c>
      <c r="I258" s="65" t="str">
        <f t="shared" si="24"/>
        <v/>
      </c>
      <c r="J258" s="11" t="str">
        <f t="shared" si="25"/>
        <v/>
      </c>
      <c r="K258" s="55" t="str">
        <f t="shared" si="26"/>
        <v/>
      </c>
      <c r="L258" s="33"/>
      <c r="M258" s="33"/>
      <c r="N258" s="36" t="str">
        <f t="shared" si="27"/>
        <v/>
      </c>
      <c r="O258" s="30"/>
      <c r="P258" s="33"/>
      <c r="Q258" s="33"/>
    </row>
    <row r="259" spans="1:17" x14ac:dyDescent="0.25">
      <c r="A259" s="29" t="str">
        <f t="shared" si="21"/>
        <v/>
      </c>
      <c r="B259" s="31"/>
      <c r="C259" s="30"/>
      <c r="D259" s="30"/>
      <c r="E259" s="30"/>
      <c r="F259" s="30"/>
      <c r="G259" s="11" t="str">
        <f t="shared" si="22"/>
        <v/>
      </c>
      <c r="H259" s="11" t="str">
        <f t="shared" si="23"/>
        <v/>
      </c>
      <c r="I259" s="65" t="str">
        <f t="shared" si="24"/>
        <v/>
      </c>
      <c r="J259" s="11" t="str">
        <f t="shared" si="25"/>
        <v/>
      </c>
      <c r="K259" s="55" t="str">
        <f t="shared" si="26"/>
        <v/>
      </c>
      <c r="L259" s="33"/>
      <c r="M259" s="33"/>
      <c r="N259" s="36" t="str">
        <f t="shared" si="27"/>
        <v/>
      </c>
      <c r="O259" s="30"/>
      <c r="P259" s="33"/>
      <c r="Q259" s="33"/>
    </row>
    <row r="260" spans="1:17" x14ac:dyDescent="0.25">
      <c r="A260" s="29" t="str">
        <f t="shared" si="21"/>
        <v/>
      </c>
      <c r="B260" s="31"/>
      <c r="C260" s="30"/>
      <c r="D260" s="30"/>
      <c r="E260" s="30"/>
      <c r="F260" s="30"/>
      <c r="G260" s="11" t="str">
        <f t="shared" si="22"/>
        <v/>
      </c>
      <c r="H260" s="11" t="str">
        <f t="shared" si="23"/>
        <v/>
      </c>
      <c r="I260" s="65" t="str">
        <f t="shared" si="24"/>
        <v/>
      </c>
      <c r="J260" s="11" t="str">
        <f t="shared" si="25"/>
        <v/>
      </c>
      <c r="K260" s="55" t="str">
        <f t="shared" si="26"/>
        <v/>
      </c>
      <c r="L260" s="33"/>
      <c r="M260" s="33"/>
      <c r="N260" s="36" t="str">
        <f t="shared" si="27"/>
        <v/>
      </c>
      <c r="O260" s="30"/>
      <c r="P260" s="33"/>
      <c r="Q260" s="33"/>
    </row>
    <row r="261" spans="1:17" x14ac:dyDescent="0.25">
      <c r="A261" s="29" t="str">
        <f t="shared" ref="A261:A304" si="28">IF($B261="","",LEFT($C261,3)&amp;"-"&amp;TEXT(ROW()-4,"0000"))</f>
        <v/>
      </c>
      <c r="B261" s="31"/>
      <c r="C261" s="30"/>
      <c r="D261" s="30"/>
      <c r="E261" s="30"/>
      <c r="F261" s="30"/>
      <c r="G261" s="11" t="str">
        <f t="shared" ref="G261:G304" si="29">IF($B261="","",SUMIFS(APT_PESSOAS,APT_DATA,$B261,APT_CONTR,$C261))</f>
        <v/>
      </c>
      <c r="H261" s="11" t="str">
        <f t="shared" ref="H261:H304" si="30">IF($B261="","",COUNTIFS(APT_DATA,$B261,APT_CONTR,$C261))</f>
        <v/>
      </c>
      <c r="I261" s="65" t="str">
        <f t="shared" ref="I261:I304" si="31">IF($B261="","",SUMIFS(APT_HH,APT_DATA,$B261,APT_CONTR,$C261))</f>
        <v/>
      </c>
      <c r="J261" s="11" t="str">
        <f t="shared" ref="J261:J304" si="32">IF($B261="","",COUNTIFS(OS_FIM,$B261,OS_CONTR,$C261))</f>
        <v/>
      </c>
      <c r="K261" s="55" t="str">
        <f t="shared" ref="K261:K304" si="33">IF($B261="","",SUMIFS(MED_VLR,MED_DATA,$B261,MED_CONTR,$C261))</f>
        <v/>
      </c>
      <c r="L261" s="33"/>
      <c r="M261" s="33"/>
      <c r="N261" s="36" t="str">
        <f t="shared" ref="N261:N304" si="34">IF($B261="","",IF(COUNTIFS(OC_DATA,$B261,OC_CONTR,$C261)=0,"Sem ocorrências",COUNTIFS(OC_DATA,$B261,OC_CONTR,$C261)&amp;" ocorrência(s) — ver aba 11"))</f>
        <v/>
      </c>
      <c r="O261" s="30"/>
      <c r="P261" s="33"/>
      <c r="Q261" s="33"/>
    </row>
    <row r="262" spans="1:17" x14ac:dyDescent="0.25">
      <c r="A262" s="29" t="str">
        <f t="shared" si="28"/>
        <v/>
      </c>
      <c r="B262" s="31"/>
      <c r="C262" s="30"/>
      <c r="D262" s="30"/>
      <c r="E262" s="30"/>
      <c r="F262" s="30"/>
      <c r="G262" s="11" t="str">
        <f t="shared" si="29"/>
        <v/>
      </c>
      <c r="H262" s="11" t="str">
        <f t="shared" si="30"/>
        <v/>
      </c>
      <c r="I262" s="65" t="str">
        <f t="shared" si="31"/>
        <v/>
      </c>
      <c r="J262" s="11" t="str">
        <f t="shared" si="32"/>
        <v/>
      </c>
      <c r="K262" s="55" t="str">
        <f t="shared" si="33"/>
        <v/>
      </c>
      <c r="L262" s="33"/>
      <c r="M262" s="33"/>
      <c r="N262" s="36" t="str">
        <f t="shared" si="34"/>
        <v/>
      </c>
      <c r="O262" s="30"/>
      <c r="P262" s="33"/>
      <c r="Q262" s="33"/>
    </row>
    <row r="263" spans="1:17" x14ac:dyDescent="0.25">
      <c r="A263" s="29" t="str">
        <f t="shared" si="28"/>
        <v/>
      </c>
      <c r="B263" s="31"/>
      <c r="C263" s="30"/>
      <c r="D263" s="30"/>
      <c r="E263" s="30"/>
      <c r="F263" s="30"/>
      <c r="G263" s="11" t="str">
        <f t="shared" si="29"/>
        <v/>
      </c>
      <c r="H263" s="11" t="str">
        <f t="shared" si="30"/>
        <v/>
      </c>
      <c r="I263" s="65" t="str">
        <f t="shared" si="31"/>
        <v/>
      </c>
      <c r="J263" s="11" t="str">
        <f t="shared" si="32"/>
        <v/>
      </c>
      <c r="K263" s="55" t="str">
        <f t="shared" si="33"/>
        <v/>
      </c>
      <c r="L263" s="33"/>
      <c r="M263" s="33"/>
      <c r="N263" s="36" t="str">
        <f t="shared" si="34"/>
        <v/>
      </c>
      <c r="O263" s="30"/>
      <c r="P263" s="33"/>
      <c r="Q263" s="33"/>
    </row>
    <row r="264" spans="1:17" x14ac:dyDescent="0.25">
      <c r="A264" s="29" t="str">
        <f t="shared" si="28"/>
        <v/>
      </c>
      <c r="B264" s="31"/>
      <c r="C264" s="30"/>
      <c r="D264" s="30"/>
      <c r="E264" s="30"/>
      <c r="F264" s="30"/>
      <c r="G264" s="11" t="str">
        <f t="shared" si="29"/>
        <v/>
      </c>
      <c r="H264" s="11" t="str">
        <f t="shared" si="30"/>
        <v/>
      </c>
      <c r="I264" s="65" t="str">
        <f t="shared" si="31"/>
        <v/>
      </c>
      <c r="J264" s="11" t="str">
        <f t="shared" si="32"/>
        <v/>
      </c>
      <c r="K264" s="55" t="str">
        <f t="shared" si="33"/>
        <v/>
      </c>
      <c r="L264" s="33"/>
      <c r="M264" s="33"/>
      <c r="N264" s="36" t="str">
        <f t="shared" si="34"/>
        <v/>
      </c>
      <c r="O264" s="30"/>
      <c r="P264" s="33"/>
      <c r="Q264" s="33"/>
    </row>
    <row r="265" spans="1:17" x14ac:dyDescent="0.25">
      <c r="A265" s="29" t="str">
        <f t="shared" si="28"/>
        <v/>
      </c>
      <c r="B265" s="31"/>
      <c r="C265" s="30"/>
      <c r="D265" s="30"/>
      <c r="E265" s="30"/>
      <c r="F265" s="30"/>
      <c r="G265" s="11" t="str">
        <f t="shared" si="29"/>
        <v/>
      </c>
      <c r="H265" s="11" t="str">
        <f t="shared" si="30"/>
        <v/>
      </c>
      <c r="I265" s="65" t="str">
        <f t="shared" si="31"/>
        <v/>
      </c>
      <c r="J265" s="11" t="str">
        <f t="shared" si="32"/>
        <v/>
      </c>
      <c r="K265" s="55" t="str">
        <f t="shared" si="33"/>
        <v/>
      </c>
      <c r="L265" s="33"/>
      <c r="M265" s="33"/>
      <c r="N265" s="36" t="str">
        <f t="shared" si="34"/>
        <v/>
      </c>
      <c r="O265" s="30"/>
      <c r="P265" s="33"/>
      <c r="Q265" s="33"/>
    </row>
    <row r="266" spans="1:17" x14ac:dyDescent="0.25">
      <c r="A266" s="29" t="str">
        <f t="shared" si="28"/>
        <v/>
      </c>
      <c r="B266" s="31"/>
      <c r="C266" s="30"/>
      <c r="D266" s="30"/>
      <c r="E266" s="30"/>
      <c r="F266" s="30"/>
      <c r="G266" s="11" t="str">
        <f t="shared" si="29"/>
        <v/>
      </c>
      <c r="H266" s="11" t="str">
        <f t="shared" si="30"/>
        <v/>
      </c>
      <c r="I266" s="65" t="str">
        <f t="shared" si="31"/>
        <v/>
      </c>
      <c r="J266" s="11" t="str">
        <f t="shared" si="32"/>
        <v/>
      </c>
      <c r="K266" s="55" t="str">
        <f t="shared" si="33"/>
        <v/>
      </c>
      <c r="L266" s="33"/>
      <c r="M266" s="33"/>
      <c r="N266" s="36" t="str">
        <f t="shared" si="34"/>
        <v/>
      </c>
      <c r="O266" s="30"/>
      <c r="P266" s="33"/>
      <c r="Q266" s="33"/>
    </row>
    <row r="267" spans="1:17" x14ac:dyDescent="0.25">
      <c r="A267" s="29" t="str">
        <f t="shared" si="28"/>
        <v/>
      </c>
      <c r="B267" s="31"/>
      <c r="C267" s="30"/>
      <c r="D267" s="30"/>
      <c r="E267" s="30"/>
      <c r="F267" s="30"/>
      <c r="G267" s="11" t="str">
        <f t="shared" si="29"/>
        <v/>
      </c>
      <c r="H267" s="11" t="str">
        <f t="shared" si="30"/>
        <v/>
      </c>
      <c r="I267" s="65" t="str">
        <f t="shared" si="31"/>
        <v/>
      </c>
      <c r="J267" s="11" t="str">
        <f t="shared" si="32"/>
        <v/>
      </c>
      <c r="K267" s="55" t="str">
        <f t="shared" si="33"/>
        <v/>
      </c>
      <c r="L267" s="33"/>
      <c r="M267" s="33"/>
      <c r="N267" s="36" t="str">
        <f t="shared" si="34"/>
        <v/>
      </c>
      <c r="O267" s="30"/>
      <c r="P267" s="33"/>
      <c r="Q267" s="33"/>
    </row>
    <row r="268" spans="1:17" x14ac:dyDescent="0.25">
      <c r="A268" s="29" t="str">
        <f t="shared" si="28"/>
        <v/>
      </c>
      <c r="B268" s="31"/>
      <c r="C268" s="30"/>
      <c r="D268" s="30"/>
      <c r="E268" s="30"/>
      <c r="F268" s="30"/>
      <c r="G268" s="11" t="str">
        <f t="shared" si="29"/>
        <v/>
      </c>
      <c r="H268" s="11" t="str">
        <f t="shared" si="30"/>
        <v/>
      </c>
      <c r="I268" s="65" t="str">
        <f t="shared" si="31"/>
        <v/>
      </c>
      <c r="J268" s="11" t="str">
        <f t="shared" si="32"/>
        <v/>
      </c>
      <c r="K268" s="55" t="str">
        <f t="shared" si="33"/>
        <v/>
      </c>
      <c r="L268" s="33"/>
      <c r="M268" s="33"/>
      <c r="N268" s="36" t="str">
        <f t="shared" si="34"/>
        <v/>
      </c>
      <c r="O268" s="30"/>
      <c r="P268" s="33"/>
      <c r="Q268" s="33"/>
    </row>
    <row r="269" spans="1:17" x14ac:dyDescent="0.25">
      <c r="A269" s="29" t="str">
        <f t="shared" si="28"/>
        <v/>
      </c>
      <c r="B269" s="31"/>
      <c r="C269" s="30"/>
      <c r="D269" s="30"/>
      <c r="E269" s="30"/>
      <c r="F269" s="30"/>
      <c r="G269" s="11" t="str">
        <f t="shared" si="29"/>
        <v/>
      </c>
      <c r="H269" s="11" t="str">
        <f t="shared" si="30"/>
        <v/>
      </c>
      <c r="I269" s="65" t="str">
        <f t="shared" si="31"/>
        <v/>
      </c>
      <c r="J269" s="11" t="str">
        <f t="shared" si="32"/>
        <v/>
      </c>
      <c r="K269" s="55" t="str">
        <f t="shared" si="33"/>
        <v/>
      </c>
      <c r="L269" s="33"/>
      <c r="M269" s="33"/>
      <c r="N269" s="36" t="str">
        <f t="shared" si="34"/>
        <v/>
      </c>
      <c r="O269" s="30"/>
      <c r="P269" s="33"/>
      <c r="Q269" s="33"/>
    </row>
    <row r="270" spans="1:17" x14ac:dyDescent="0.25">
      <c r="A270" s="29" t="str">
        <f t="shared" si="28"/>
        <v/>
      </c>
      <c r="B270" s="31"/>
      <c r="C270" s="30"/>
      <c r="D270" s="30"/>
      <c r="E270" s="30"/>
      <c r="F270" s="30"/>
      <c r="G270" s="11" t="str">
        <f t="shared" si="29"/>
        <v/>
      </c>
      <c r="H270" s="11" t="str">
        <f t="shared" si="30"/>
        <v/>
      </c>
      <c r="I270" s="65" t="str">
        <f t="shared" si="31"/>
        <v/>
      </c>
      <c r="J270" s="11" t="str">
        <f t="shared" si="32"/>
        <v/>
      </c>
      <c r="K270" s="55" t="str">
        <f t="shared" si="33"/>
        <v/>
      </c>
      <c r="L270" s="33"/>
      <c r="M270" s="33"/>
      <c r="N270" s="36" t="str">
        <f t="shared" si="34"/>
        <v/>
      </c>
      <c r="O270" s="30"/>
      <c r="P270" s="33"/>
      <c r="Q270" s="33"/>
    </row>
    <row r="271" spans="1:17" x14ac:dyDescent="0.25">
      <c r="A271" s="29" t="str">
        <f t="shared" si="28"/>
        <v/>
      </c>
      <c r="B271" s="31"/>
      <c r="C271" s="30"/>
      <c r="D271" s="30"/>
      <c r="E271" s="30"/>
      <c r="F271" s="30"/>
      <c r="G271" s="11" t="str">
        <f t="shared" si="29"/>
        <v/>
      </c>
      <c r="H271" s="11" t="str">
        <f t="shared" si="30"/>
        <v/>
      </c>
      <c r="I271" s="65" t="str">
        <f t="shared" si="31"/>
        <v/>
      </c>
      <c r="J271" s="11" t="str">
        <f t="shared" si="32"/>
        <v/>
      </c>
      <c r="K271" s="55" t="str">
        <f t="shared" si="33"/>
        <v/>
      </c>
      <c r="L271" s="33"/>
      <c r="M271" s="33"/>
      <c r="N271" s="36" t="str">
        <f t="shared" si="34"/>
        <v/>
      </c>
      <c r="O271" s="30"/>
      <c r="P271" s="33"/>
      <c r="Q271" s="33"/>
    </row>
    <row r="272" spans="1:17" x14ac:dyDescent="0.25">
      <c r="A272" s="29" t="str">
        <f t="shared" si="28"/>
        <v/>
      </c>
      <c r="B272" s="31"/>
      <c r="C272" s="30"/>
      <c r="D272" s="30"/>
      <c r="E272" s="30"/>
      <c r="F272" s="30"/>
      <c r="G272" s="11" t="str">
        <f t="shared" si="29"/>
        <v/>
      </c>
      <c r="H272" s="11" t="str">
        <f t="shared" si="30"/>
        <v/>
      </c>
      <c r="I272" s="65" t="str">
        <f t="shared" si="31"/>
        <v/>
      </c>
      <c r="J272" s="11" t="str">
        <f t="shared" si="32"/>
        <v/>
      </c>
      <c r="K272" s="55" t="str">
        <f t="shared" si="33"/>
        <v/>
      </c>
      <c r="L272" s="33"/>
      <c r="M272" s="33"/>
      <c r="N272" s="36" t="str">
        <f t="shared" si="34"/>
        <v/>
      </c>
      <c r="O272" s="30"/>
      <c r="P272" s="33"/>
      <c r="Q272" s="33"/>
    </row>
    <row r="273" spans="1:17" x14ac:dyDescent="0.25">
      <c r="A273" s="29" t="str">
        <f t="shared" si="28"/>
        <v/>
      </c>
      <c r="B273" s="31"/>
      <c r="C273" s="30"/>
      <c r="D273" s="30"/>
      <c r="E273" s="30"/>
      <c r="F273" s="30"/>
      <c r="G273" s="11" t="str">
        <f t="shared" si="29"/>
        <v/>
      </c>
      <c r="H273" s="11" t="str">
        <f t="shared" si="30"/>
        <v/>
      </c>
      <c r="I273" s="65" t="str">
        <f t="shared" si="31"/>
        <v/>
      </c>
      <c r="J273" s="11" t="str">
        <f t="shared" si="32"/>
        <v/>
      </c>
      <c r="K273" s="55" t="str">
        <f t="shared" si="33"/>
        <v/>
      </c>
      <c r="L273" s="33"/>
      <c r="M273" s="33"/>
      <c r="N273" s="36" t="str">
        <f t="shared" si="34"/>
        <v/>
      </c>
      <c r="O273" s="30"/>
      <c r="P273" s="33"/>
      <c r="Q273" s="33"/>
    </row>
    <row r="274" spans="1:17" x14ac:dyDescent="0.25">
      <c r="A274" s="29" t="str">
        <f t="shared" si="28"/>
        <v/>
      </c>
      <c r="B274" s="31"/>
      <c r="C274" s="30"/>
      <c r="D274" s="30"/>
      <c r="E274" s="30"/>
      <c r="F274" s="30"/>
      <c r="G274" s="11" t="str">
        <f t="shared" si="29"/>
        <v/>
      </c>
      <c r="H274" s="11" t="str">
        <f t="shared" si="30"/>
        <v/>
      </c>
      <c r="I274" s="65" t="str">
        <f t="shared" si="31"/>
        <v/>
      </c>
      <c r="J274" s="11" t="str">
        <f t="shared" si="32"/>
        <v/>
      </c>
      <c r="K274" s="55" t="str">
        <f t="shared" si="33"/>
        <v/>
      </c>
      <c r="L274" s="33"/>
      <c r="M274" s="33"/>
      <c r="N274" s="36" t="str">
        <f t="shared" si="34"/>
        <v/>
      </c>
      <c r="O274" s="30"/>
      <c r="P274" s="33"/>
      <c r="Q274" s="33"/>
    </row>
    <row r="275" spans="1:17" x14ac:dyDescent="0.25">
      <c r="A275" s="29" t="str">
        <f t="shared" si="28"/>
        <v/>
      </c>
      <c r="B275" s="31"/>
      <c r="C275" s="30"/>
      <c r="D275" s="30"/>
      <c r="E275" s="30"/>
      <c r="F275" s="30"/>
      <c r="G275" s="11" t="str">
        <f t="shared" si="29"/>
        <v/>
      </c>
      <c r="H275" s="11" t="str">
        <f t="shared" si="30"/>
        <v/>
      </c>
      <c r="I275" s="65" t="str">
        <f t="shared" si="31"/>
        <v/>
      </c>
      <c r="J275" s="11" t="str">
        <f t="shared" si="32"/>
        <v/>
      </c>
      <c r="K275" s="55" t="str">
        <f t="shared" si="33"/>
        <v/>
      </c>
      <c r="L275" s="33"/>
      <c r="M275" s="33"/>
      <c r="N275" s="36" t="str">
        <f t="shared" si="34"/>
        <v/>
      </c>
      <c r="O275" s="30"/>
      <c r="P275" s="33"/>
      <c r="Q275" s="33"/>
    </row>
    <row r="276" spans="1:17" x14ac:dyDescent="0.25">
      <c r="A276" s="29" t="str">
        <f t="shared" si="28"/>
        <v/>
      </c>
      <c r="B276" s="31"/>
      <c r="C276" s="30"/>
      <c r="D276" s="30"/>
      <c r="E276" s="30"/>
      <c r="F276" s="30"/>
      <c r="G276" s="11" t="str">
        <f t="shared" si="29"/>
        <v/>
      </c>
      <c r="H276" s="11" t="str">
        <f t="shared" si="30"/>
        <v/>
      </c>
      <c r="I276" s="65" t="str">
        <f t="shared" si="31"/>
        <v/>
      </c>
      <c r="J276" s="11" t="str">
        <f t="shared" si="32"/>
        <v/>
      </c>
      <c r="K276" s="55" t="str">
        <f t="shared" si="33"/>
        <v/>
      </c>
      <c r="L276" s="33"/>
      <c r="M276" s="33"/>
      <c r="N276" s="36" t="str">
        <f t="shared" si="34"/>
        <v/>
      </c>
      <c r="O276" s="30"/>
      <c r="P276" s="33"/>
      <c r="Q276" s="33"/>
    </row>
    <row r="277" spans="1:17" x14ac:dyDescent="0.25">
      <c r="A277" s="29" t="str">
        <f t="shared" si="28"/>
        <v/>
      </c>
      <c r="B277" s="31"/>
      <c r="C277" s="30"/>
      <c r="D277" s="30"/>
      <c r="E277" s="30"/>
      <c r="F277" s="30"/>
      <c r="G277" s="11" t="str">
        <f t="shared" si="29"/>
        <v/>
      </c>
      <c r="H277" s="11" t="str">
        <f t="shared" si="30"/>
        <v/>
      </c>
      <c r="I277" s="65" t="str">
        <f t="shared" si="31"/>
        <v/>
      </c>
      <c r="J277" s="11" t="str">
        <f t="shared" si="32"/>
        <v/>
      </c>
      <c r="K277" s="55" t="str">
        <f t="shared" si="33"/>
        <v/>
      </c>
      <c r="L277" s="33"/>
      <c r="M277" s="33"/>
      <c r="N277" s="36" t="str">
        <f t="shared" si="34"/>
        <v/>
      </c>
      <c r="O277" s="30"/>
      <c r="P277" s="33"/>
      <c r="Q277" s="33"/>
    </row>
    <row r="278" spans="1:17" x14ac:dyDescent="0.25">
      <c r="A278" s="29" t="str">
        <f t="shared" si="28"/>
        <v/>
      </c>
      <c r="B278" s="31"/>
      <c r="C278" s="30"/>
      <c r="D278" s="30"/>
      <c r="E278" s="30"/>
      <c r="F278" s="30"/>
      <c r="G278" s="11" t="str">
        <f t="shared" si="29"/>
        <v/>
      </c>
      <c r="H278" s="11" t="str">
        <f t="shared" si="30"/>
        <v/>
      </c>
      <c r="I278" s="65" t="str">
        <f t="shared" si="31"/>
        <v/>
      </c>
      <c r="J278" s="11" t="str">
        <f t="shared" si="32"/>
        <v/>
      </c>
      <c r="K278" s="55" t="str">
        <f t="shared" si="33"/>
        <v/>
      </c>
      <c r="L278" s="33"/>
      <c r="M278" s="33"/>
      <c r="N278" s="36" t="str">
        <f t="shared" si="34"/>
        <v/>
      </c>
      <c r="O278" s="30"/>
      <c r="P278" s="33"/>
      <c r="Q278" s="33"/>
    </row>
    <row r="279" spans="1:17" x14ac:dyDescent="0.25">
      <c r="A279" s="29" t="str">
        <f t="shared" si="28"/>
        <v/>
      </c>
      <c r="B279" s="31"/>
      <c r="C279" s="30"/>
      <c r="D279" s="30"/>
      <c r="E279" s="30"/>
      <c r="F279" s="30"/>
      <c r="G279" s="11" t="str">
        <f t="shared" si="29"/>
        <v/>
      </c>
      <c r="H279" s="11" t="str">
        <f t="shared" si="30"/>
        <v/>
      </c>
      <c r="I279" s="65" t="str">
        <f t="shared" si="31"/>
        <v/>
      </c>
      <c r="J279" s="11" t="str">
        <f t="shared" si="32"/>
        <v/>
      </c>
      <c r="K279" s="55" t="str">
        <f t="shared" si="33"/>
        <v/>
      </c>
      <c r="L279" s="33"/>
      <c r="M279" s="33"/>
      <c r="N279" s="36" t="str">
        <f t="shared" si="34"/>
        <v/>
      </c>
      <c r="O279" s="30"/>
      <c r="P279" s="33"/>
      <c r="Q279" s="33"/>
    </row>
    <row r="280" spans="1:17" x14ac:dyDescent="0.25">
      <c r="A280" s="29" t="str">
        <f t="shared" si="28"/>
        <v/>
      </c>
      <c r="B280" s="31"/>
      <c r="C280" s="30"/>
      <c r="D280" s="30"/>
      <c r="E280" s="30"/>
      <c r="F280" s="30"/>
      <c r="G280" s="11" t="str">
        <f t="shared" si="29"/>
        <v/>
      </c>
      <c r="H280" s="11" t="str">
        <f t="shared" si="30"/>
        <v/>
      </c>
      <c r="I280" s="65" t="str">
        <f t="shared" si="31"/>
        <v/>
      </c>
      <c r="J280" s="11" t="str">
        <f t="shared" si="32"/>
        <v/>
      </c>
      <c r="K280" s="55" t="str">
        <f t="shared" si="33"/>
        <v/>
      </c>
      <c r="L280" s="33"/>
      <c r="M280" s="33"/>
      <c r="N280" s="36" t="str">
        <f t="shared" si="34"/>
        <v/>
      </c>
      <c r="O280" s="30"/>
      <c r="P280" s="33"/>
      <c r="Q280" s="33"/>
    </row>
    <row r="281" spans="1:17" x14ac:dyDescent="0.25">
      <c r="A281" s="29" t="str">
        <f t="shared" si="28"/>
        <v/>
      </c>
      <c r="B281" s="31"/>
      <c r="C281" s="30"/>
      <c r="D281" s="30"/>
      <c r="E281" s="30"/>
      <c r="F281" s="30"/>
      <c r="G281" s="11" t="str">
        <f t="shared" si="29"/>
        <v/>
      </c>
      <c r="H281" s="11" t="str">
        <f t="shared" si="30"/>
        <v/>
      </c>
      <c r="I281" s="65" t="str">
        <f t="shared" si="31"/>
        <v/>
      </c>
      <c r="J281" s="11" t="str">
        <f t="shared" si="32"/>
        <v/>
      </c>
      <c r="K281" s="55" t="str">
        <f t="shared" si="33"/>
        <v/>
      </c>
      <c r="L281" s="33"/>
      <c r="M281" s="33"/>
      <c r="N281" s="36" t="str">
        <f t="shared" si="34"/>
        <v/>
      </c>
      <c r="O281" s="30"/>
      <c r="P281" s="33"/>
      <c r="Q281" s="33"/>
    </row>
    <row r="282" spans="1:17" x14ac:dyDescent="0.25">
      <c r="A282" s="29" t="str">
        <f t="shared" si="28"/>
        <v/>
      </c>
      <c r="B282" s="31"/>
      <c r="C282" s="30"/>
      <c r="D282" s="30"/>
      <c r="E282" s="30"/>
      <c r="F282" s="30"/>
      <c r="G282" s="11" t="str">
        <f t="shared" si="29"/>
        <v/>
      </c>
      <c r="H282" s="11" t="str">
        <f t="shared" si="30"/>
        <v/>
      </c>
      <c r="I282" s="65" t="str">
        <f t="shared" si="31"/>
        <v/>
      </c>
      <c r="J282" s="11" t="str">
        <f t="shared" si="32"/>
        <v/>
      </c>
      <c r="K282" s="55" t="str">
        <f t="shared" si="33"/>
        <v/>
      </c>
      <c r="L282" s="33"/>
      <c r="M282" s="33"/>
      <c r="N282" s="36" t="str">
        <f t="shared" si="34"/>
        <v/>
      </c>
      <c r="O282" s="30"/>
      <c r="P282" s="33"/>
      <c r="Q282" s="33"/>
    </row>
    <row r="283" spans="1:17" x14ac:dyDescent="0.25">
      <c r="A283" s="29" t="str">
        <f t="shared" si="28"/>
        <v/>
      </c>
      <c r="B283" s="31"/>
      <c r="C283" s="30"/>
      <c r="D283" s="30"/>
      <c r="E283" s="30"/>
      <c r="F283" s="30"/>
      <c r="G283" s="11" t="str">
        <f t="shared" si="29"/>
        <v/>
      </c>
      <c r="H283" s="11" t="str">
        <f t="shared" si="30"/>
        <v/>
      </c>
      <c r="I283" s="65" t="str">
        <f t="shared" si="31"/>
        <v/>
      </c>
      <c r="J283" s="11" t="str">
        <f t="shared" si="32"/>
        <v/>
      </c>
      <c r="K283" s="55" t="str">
        <f t="shared" si="33"/>
        <v/>
      </c>
      <c r="L283" s="33"/>
      <c r="M283" s="33"/>
      <c r="N283" s="36" t="str">
        <f t="shared" si="34"/>
        <v/>
      </c>
      <c r="O283" s="30"/>
      <c r="P283" s="33"/>
      <c r="Q283" s="33"/>
    </row>
    <row r="284" spans="1:17" x14ac:dyDescent="0.25">
      <c r="A284" s="29" t="str">
        <f t="shared" si="28"/>
        <v/>
      </c>
      <c r="B284" s="31"/>
      <c r="C284" s="30"/>
      <c r="D284" s="30"/>
      <c r="E284" s="30"/>
      <c r="F284" s="30"/>
      <c r="G284" s="11" t="str">
        <f t="shared" si="29"/>
        <v/>
      </c>
      <c r="H284" s="11" t="str">
        <f t="shared" si="30"/>
        <v/>
      </c>
      <c r="I284" s="65" t="str">
        <f t="shared" si="31"/>
        <v/>
      </c>
      <c r="J284" s="11" t="str">
        <f t="shared" si="32"/>
        <v/>
      </c>
      <c r="K284" s="55" t="str">
        <f t="shared" si="33"/>
        <v/>
      </c>
      <c r="L284" s="33"/>
      <c r="M284" s="33"/>
      <c r="N284" s="36" t="str">
        <f t="shared" si="34"/>
        <v/>
      </c>
      <c r="O284" s="30"/>
      <c r="P284" s="33"/>
      <c r="Q284" s="33"/>
    </row>
    <row r="285" spans="1:17" x14ac:dyDescent="0.25">
      <c r="A285" s="29" t="str">
        <f t="shared" si="28"/>
        <v/>
      </c>
      <c r="B285" s="31"/>
      <c r="C285" s="30"/>
      <c r="D285" s="30"/>
      <c r="E285" s="30"/>
      <c r="F285" s="30"/>
      <c r="G285" s="11" t="str">
        <f t="shared" si="29"/>
        <v/>
      </c>
      <c r="H285" s="11" t="str">
        <f t="shared" si="30"/>
        <v/>
      </c>
      <c r="I285" s="65" t="str">
        <f t="shared" si="31"/>
        <v/>
      </c>
      <c r="J285" s="11" t="str">
        <f t="shared" si="32"/>
        <v/>
      </c>
      <c r="K285" s="55" t="str">
        <f t="shared" si="33"/>
        <v/>
      </c>
      <c r="L285" s="33"/>
      <c r="M285" s="33"/>
      <c r="N285" s="36" t="str">
        <f t="shared" si="34"/>
        <v/>
      </c>
      <c r="O285" s="30"/>
      <c r="P285" s="33"/>
      <c r="Q285" s="33"/>
    </row>
    <row r="286" spans="1:17" x14ac:dyDescent="0.25">
      <c r="A286" s="29" t="str">
        <f t="shared" si="28"/>
        <v/>
      </c>
      <c r="B286" s="31"/>
      <c r="C286" s="30"/>
      <c r="D286" s="30"/>
      <c r="E286" s="30"/>
      <c r="F286" s="30"/>
      <c r="G286" s="11" t="str">
        <f t="shared" si="29"/>
        <v/>
      </c>
      <c r="H286" s="11" t="str">
        <f t="shared" si="30"/>
        <v/>
      </c>
      <c r="I286" s="65" t="str">
        <f t="shared" si="31"/>
        <v/>
      </c>
      <c r="J286" s="11" t="str">
        <f t="shared" si="32"/>
        <v/>
      </c>
      <c r="K286" s="55" t="str">
        <f t="shared" si="33"/>
        <v/>
      </c>
      <c r="L286" s="33"/>
      <c r="M286" s="33"/>
      <c r="N286" s="36" t="str">
        <f t="shared" si="34"/>
        <v/>
      </c>
      <c r="O286" s="30"/>
      <c r="P286" s="33"/>
      <c r="Q286" s="33"/>
    </row>
    <row r="287" spans="1:17" x14ac:dyDescent="0.25">
      <c r="A287" s="29" t="str">
        <f t="shared" si="28"/>
        <v/>
      </c>
      <c r="B287" s="31"/>
      <c r="C287" s="30"/>
      <c r="D287" s="30"/>
      <c r="E287" s="30"/>
      <c r="F287" s="30"/>
      <c r="G287" s="11" t="str">
        <f t="shared" si="29"/>
        <v/>
      </c>
      <c r="H287" s="11" t="str">
        <f t="shared" si="30"/>
        <v/>
      </c>
      <c r="I287" s="65" t="str">
        <f t="shared" si="31"/>
        <v/>
      </c>
      <c r="J287" s="11" t="str">
        <f t="shared" si="32"/>
        <v/>
      </c>
      <c r="K287" s="55" t="str">
        <f t="shared" si="33"/>
        <v/>
      </c>
      <c r="L287" s="33"/>
      <c r="M287" s="33"/>
      <c r="N287" s="36" t="str">
        <f t="shared" si="34"/>
        <v/>
      </c>
      <c r="O287" s="30"/>
      <c r="P287" s="33"/>
      <c r="Q287" s="33"/>
    </row>
    <row r="288" spans="1:17" x14ac:dyDescent="0.25">
      <c r="A288" s="29" t="str">
        <f t="shared" si="28"/>
        <v/>
      </c>
      <c r="B288" s="31"/>
      <c r="C288" s="30"/>
      <c r="D288" s="30"/>
      <c r="E288" s="30"/>
      <c r="F288" s="30"/>
      <c r="G288" s="11" t="str">
        <f t="shared" si="29"/>
        <v/>
      </c>
      <c r="H288" s="11" t="str">
        <f t="shared" si="30"/>
        <v/>
      </c>
      <c r="I288" s="65" t="str">
        <f t="shared" si="31"/>
        <v/>
      </c>
      <c r="J288" s="11" t="str">
        <f t="shared" si="32"/>
        <v/>
      </c>
      <c r="K288" s="55" t="str">
        <f t="shared" si="33"/>
        <v/>
      </c>
      <c r="L288" s="33"/>
      <c r="M288" s="33"/>
      <c r="N288" s="36" t="str">
        <f t="shared" si="34"/>
        <v/>
      </c>
      <c r="O288" s="30"/>
      <c r="P288" s="33"/>
      <c r="Q288" s="33"/>
    </row>
    <row r="289" spans="1:17" x14ac:dyDescent="0.25">
      <c r="A289" s="29" t="str">
        <f t="shared" si="28"/>
        <v/>
      </c>
      <c r="B289" s="31"/>
      <c r="C289" s="30"/>
      <c r="D289" s="30"/>
      <c r="E289" s="30"/>
      <c r="F289" s="30"/>
      <c r="G289" s="11" t="str">
        <f t="shared" si="29"/>
        <v/>
      </c>
      <c r="H289" s="11" t="str">
        <f t="shared" si="30"/>
        <v/>
      </c>
      <c r="I289" s="65" t="str">
        <f t="shared" si="31"/>
        <v/>
      </c>
      <c r="J289" s="11" t="str">
        <f t="shared" si="32"/>
        <v/>
      </c>
      <c r="K289" s="55" t="str">
        <f t="shared" si="33"/>
        <v/>
      </c>
      <c r="L289" s="33"/>
      <c r="M289" s="33"/>
      <c r="N289" s="36" t="str">
        <f t="shared" si="34"/>
        <v/>
      </c>
      <c r="O289" s="30"/>
      <c r="P289" s="33"/>
      <c r="Q289" s="33"/>
    </row>
    <row r="290" spans="1:17" x14ac:dyDescent="0.25">
      <c r="A290" s="29" t="str">
        <f t="shared" si="28"/>
        <v/>
      </c>
      <c r="B290" s="31"/>
      <c r="C290" s="30"/>
      <c r="D290" s="30"/>
      <c r="E290" s="30"/>
      <c r="F290" s="30"/>
      <c r="G290" s="11" t="str">
        <f t="shared" si="29"/>
        <v/>
      </c>
      <c r="H290" s="11" t="str">
        <f t="shared" si="30"/>
        <v/>
      </c>
      <c r="I290" s="65" t="str">
        <f t="shared" si="31"/>
        <v/>
      </c>
      <c r="J290" s="11" t="str">
        <f t="shared" si="32"/>
        <v/>
      </c>
      <c r="K290" s="55" t="str">
        <f t="shared" si="33"/>
        <v/>
      </c>
      <c r="L290" s="33"/>
      <c r="M290" s="33"/>
      <c r="N290" s="36" t="str">
        <f t="shared" si="34"/>
        <v/>
      </c>
      <c r="O290" s="30"/>
      <c r="P290" s="33"/>
      <c r="Q290" s="33"/>
    </row>
    <row r="291" spans="1:17" x14ac:dyDescent="0.25">
      <c r="A291" s="29" t="str">
        <f t="shared" si="28"/>
        <v/>
      </c>
      <c r="B291" s="31"/>
      <c r="C291" s="30"/>
      <c r="D291" s="30"/>
      <c r="E291" s="30"/>
      <c r="F291" s="30"/>
      <c r="G291" s="11" t="str">
        <f t="shared" si="29"/>
        <v/>
      </c>
      <c r="H291" s="11" t="str">
        <f t="shared" si="30"/>
        <v/>
      </c>
      <c r="I291" s="65" t="str">
        <f t="shared" si="31"/>
        <v/>
      </c>
      <c r="J291" s="11" t="str">
        <f t="shared" si="32"/>
        <v/>
      </c>
      <c r="K291" s="55" t="str">
        <f t="shared" si="33"/>
        <v/>
      </c>
      <c r="L291" s="33"/>
      <c r="M291" s="33"/>
      <c r="N291" s="36" t="str">
        <f t="shared" si="34"/>
        <v/>
      </c>
      <c r="O291" s="30"/>
      <c r="P291" s="33"/>
      <c r="Q291" s="33"/>
    </row>
    <row r="292" spans="1:17" x14ac:dyDescent="0.25">
      <c r="A292" s="29" t="str">
        <f t="shared" si="28"/>
        <v/>
      </c>
      <c r="B292" s="31"/>
      <c r="C292" s="30"/>
      <c r="D292" s="30"/>
      <c r="E292" s="30"/>
      <c r="F292" s="30"/>
      <c r="G292" s="11" t="str">
        <f t="shared" si="29"/>
        <v/>
      </c>
      <c r="H292" s="11" t="str">
        <f t="shared" si="30"/>
        <v/>
      </c>
      <c r="I292" s="65" t="str">
        <f t="shared" si="31"/>
        <v/>
      </c>
      <c r="J292" s="11" t="str">
        <f t="shared" si="32"/>
        <v/>
      </c>
      <c r="K292" s="55" t="str">
        <f t="shared" si="33"/>
        <v/>
      </c>
      <c r="L292" s="33"/>
      <c r="M292" s="33"/>
      <c r="N292" s="36" t="str">
        <f t="shared" si="34"/>
        <v/>
      </c>
      <c r="O292" s="30"/>
      <c r="P292" s="33"/>
      <c r="Q292" s="33"/>
    </row>
    <row r="293" spans="1:17" x14ac:dyDescent="0.25">
      <c r="A293" s="29" t="str">
        <f t="shared" si="28"/>
        <v/>
      </c>
      <c r="B293" s="31"/>
      <c r="C293" s="30"/>
      <c r="D293" s="30"/>
      <c r="E293" s="30"/>
      <c r="F293" s="30"/>
      <c r="G293" s="11" t="str">
        <f t="shared" si="29"/>
        <v/>
      </c>
      <c r="H293" s="11" t="str">
        <f t="shared" si="30"/>
        <v/>
      </c>
      <c r="I293" s="65" t="str">
        <f t="shared" si="31"/>
        <v/>
      </c>
      <c r="J293" s="11" t="str">
        <f t="shared" si="32"/>
        <v/>
      </c>
      <c r="K293" s="55" t="str">
        <f t="shared" si="33"/>
        <v/>
      </c>
      <c r="L293" s="33"/>
      <c r="M293" s="33"/>
      <c r="N293" s="36" t="str">
        <f t="shared" si="34"/>
        <v/>
      </c>
      <c r="O293" s="30"/>
      <c r="P293" s="33"/>
      <c r="Q293" s="33"/>
    </row>
    <row r="294" spans="1:17" x14ac:dyDescent="0.25">
      <c r="A294" s="29" t="str">
        <f t="shared" si="28"/>
        <v/>
      </c>
      <c r="B294" s="31"/>
      <c r="C294" s="30"/>
      <c r="D294" s="30"/>
      <c r="E294" s="30"/>
      <c r="F294" s="30"/>
      <c r="G294" s="11" t="str">
        <f t="shared" si="29"/>
        <v/>
      </c>
      <c r="H294" s="11" t="str">
        <f t="shared" si="30"/>
        <v/>
      </c>
      <c r="I294" s="65" t="str">
        <f t="shared" si="31"/>
        <v/>
      </c>
      <c r="J294" s="11" t="str">
        <f t="shared" si="32"/>
        <v/>
      </c>
      <c r="K294" s="55" t="str">
        <f t="shared" si="33"/>
        <v/>
      </c>
      <c r="L294" s="33"/>
      <c r="M294" s="33"/>
      <c r="N294" s="36" t="str">
        <f t="shared" si="34"/>
        <v/>
      </c>
      <c r="O294" s="30"/>
      <c r="P294" s="33"/>
      <c r="Q294" s="33"/>
    </row>
    <row r="295" spans="1:17" x14ac:dyDescent="0.25">
      <c r="A295" s="29" t="str">
        <f t="shared" si="28"/>
        <v/>
      </c>
      <c r="B295" s="31"/>
      <c r="C295" s="30"/>
      <c r="D295" s="30"/>
      <c r="E295" s="30"/>
      <c r="F295" s="30"/>
      <c r="G295" s="11" t="str">
        <f t="shared" si="29"/>
        <v/>
      </c>
      <c r="H295" s="11" t="str">
        <f t="shared" si="30"/>
        <v/>
      </c>
      <c r="I295" s="65" t="str">
        <f t="shared" si="31"/>
        <v/>
      </c>
      <c r="J295" s="11" t="str">
        <f t="shared" si="32"/>
        <v/>
      </c>
      <c r="K295" s="55" t="str">
        <f t="shared" si="33"/>
        <v/>
      </c>
      <c r="L295" s="33"/>
      <c r="M295" s="33"/>
      <c r="N295" s="36" t="str">
        <f t="shared" si="34"/>
        <v/>
      </c>
      <c r="O295" s="30"/>
      <c r="P295" s="33"/>
      <c r="Q295" s="33"/>
    </row>
    <row r="296" spans="1:17" x14ac:dyDescent="0.25">
      <c r="A296" s="29" t="str">
        <f t="shared" si="28"/>
        <v/>
      </c>
      <c r="B296" s="31"/>
      <c r="C296" s="30"/>
      <c r="D296" s="30"/>
      <c r="E296" s="30"/>
      <c r="F296" s="30"/>
      <c r="G296" s="11" t="str">
        <f t="shared" si="29"/>
        <v/>
      </c>
      <c r="H296" s="11" t="str">
        <f t="shared" si="30"/>
        <v/>
      </c>
      <c r="I296" s="65" t="str">
        <f t="shared" si="31"/>
        <v/>
      </c>
      <c r="J296" s="11" t="str">
        <f t="shared" si="32"/>
        <v/>
      </c>
      <c r="K296" s="55" t="str">
        <f t="shared" si="33"/>
        <v/>
      </c>
      <c r="L296" s="33"/>
      <c r="M296" s="33"/>
      <c r="N296" s="36" t="str">
        <f t="shared" si="34"/>
        <v/>
      </c>
      <c r="O296" s="30"/>
      <c r="P296" s="33"/>
      <c r="Q296" s="33"/>
    </row>
    <row r="297" spans="1:17" x14ac:dyDescent="0.25">
      <c r="A297" s="29" t="str">
        <f t="shared" si="28"/>
        <v/>
      </c>
      <c r="B297" s="31"/>
      <c r="C297" s="30"/>
      <c r="D297" s="30"/>
      <c r="E297" s="30"/>
      <c r="F297" s="30"/>
      <c r="G297" s="11" t="str">
        <f t="shared" si="29"/>
        <v/>
      </c>
      <c r="H297" s="11" t="str">
        <f t="shared" si="30"/>
        <v/>
      </c>
      <c r="I297" s="65" t="str">
        <f t="shared" si="31"/>
        <v/>
      </c>
      <c r="J297" s="11" t="str">
        <f t="shared" si="32"/>
        <v/>
      </c>
      <c r="K297" s="55" t="str">
        <f t="shared" si="33"/>
        <v/>
      </c>
      <c r="L297" s="33"/>
      <c r="M297" s="33"/>
      <c r="N297" s="36" t="str">
        <f t="shared" si="34"/>
        <v/>
      </c>
      <c r="O297" s="30"/>
      <c r="P297" s="33"/>
      <c r="Q297" s="33"/>
    </row>
    <row r="298" spans="1:17" x14ac:dyDescent="0.25">
      <c r="A298" s="29" t="str">
        <f t="shared" si="28"/>
        <v/>
      </c>
      <c r="B298" s="31"/>
      <c r="C298" s="30"/>
      <c r="D298" s="30"/>
      <c r="E298" s="30"/>
      <c r="F298" s="30"/>
      <c r="G298" s="11" t="str">
        <f t="shared" si="29"/>
        <v/>
      </c>
      <c r="H298" s="11" t="str">
        <f t="shared" si="30"/>
        <v/>
      </c>
      <c r="I298" s="65" t="str">
        <f t="shared" si="31"/>
        <v/>
      </c>
      <c r="J298" s="11" t="str">
        <f t="shared" si="32"/>
        <v/>
      </c>
      <c r="K298" s="55" t="str">
        <f t="shared" si="33"/>
        <v/>
      </c>
      <c r="L298" s="33"/>
      <c r="M298" s="33"/>
      <c r="N298" s="36" t="str">
        <f t="shared" si="34"/>
        <v/>
      </c>
      <c r="O298" s="30"/>
      <c r="P298" s="33"/>
      <c r="Q298" s="33"/>
    </row>
    <row r="299" spans="1:17" x14ac:dyDescent="0.25">
      <c r="A299" s="29" t="str">
        <f t="shared" si="28"/>
        <v/>
      </c>
      <c r="B299" s="31"/>
      <c r="C299" s="30"/>
      <c r="D299" s="30"/>
      <c r="E299" s="30"/>
      <c r="F299" s="30"/>
      <c r="G299" s="11" t="str">
        <f t="shared" si="29"/>
        <v/>
      </c>
      <c r="H299" s="11" t="str">
        <f t="shared" si="30"/>
        <v/>
      </c>
      <c r="I299" s="65" t="str">
        <f t="shared" si="31"/>
        <v/>
      </c>
      <c r="J299" s="11" t="str">
        <f t="shared" si="32"/>
        <v/>
      </c>
      <c r="K299" s="55" t="str">
        <f t="shared" si="33"/>
        <v/>
      </c>
      <c r="L299" s="33"/>
      <c r="M299" s="33"/>
      <c r="N299" s="36" t="str">
        <f t="shared" si="34"/>
        <v/>
      </c>
      <c r="O299" s="30"/>
      <c r="P299" s="33"/>
      <c r="Q299" s="33"/>
    </row>
    <row r="300" spans="1:17" x14ac:dyDescent="0.25">
      <c r="A300" s="29" t="str">
        <f t="shared" si="28"/>
        <v/>
      </c>
      <c r="B300" s="31"/>
      <c r="C300" s="30"/>
      <c r="D300" s="30"/>
      <c r="E300" s="30"/>
      <c r="F300" s="30"/>
      <c r="G300" s="11" t="str">
        <f t="shared" si="29"/>
        <v/>
      </c>
      <c r="H300" s="11" t="str">
        <f t="shared" si="30"/>
        <v/>
      </c>
      <c r="I300" s="65" t="str">
        <f t="shared" si="31"/>
        <v/>
      </c>
      <c r="J300" s="11" t="str">
        <f t="shared" si="32"/>
        <v/>
      </c>
      <c r="K300" s="55" t="str">
        <f t="shared" si="33"/>
        <v/>
      </c>
      <c r="L300" s="33"/>
      <c r="M300" s="33"/>
      <c r="N300" s="36" t="str">
        <f t="shared" si="34"/>
        <v/>
      </c>
      <c r="O300" s="30"/>
      <c r="P300" s="33"/>
      <c r="Q300" s="33"/>
    </row>
    <row r="301" spans="1:17" x14ac:dyDescent="0.25">
      <c r="A301" s="29" t="str">
        <f t="shared" si="28"/>
        <v/>
      </c>
      <c r="B301" s="31"/>
      <c r="C301" s="30"/>
      <c r="D301" s="30"/>
      <c r="E301" s="30"/>
      <c r="F301" s="30"/>
      <c r="G301" s="11" t="str">
        <f t="shared" si="29"/>
        <v/>
      </c>
      <c r="H301" s="11" t="str">
        <f t="shared" si="30"/>
        <v/>
      </c>
      <c r="I301" s="65" t="str">
        <f t="shared" si="31"/>
        <v/>
      </c>
      <c r="J301" s="11" t="str">
        <f t="shared" si="32"/>
        <v/>
      </c>
      <c r="K301" s="55" t="str">
        <f t="shared" si="33"/>
        <v/>
      </c>
      <c r="L301" s="33"/>
      <c r="M301" s="33"/>
      <c r="N301" s="36" t="str">
        <f t="shared" si="34"/>
        <v/>
      </c>
      <c r="O301" s="30"/>
      <c r="P301" s="33"/>
      <c r="Q301" s="33"/>
    </row>
    <row r="302" spans="1:17" x14ac:dyDescent="0.25">
      <c r="A302" s="29" t="str">
        <f t="shared" si="28"/>
        <v/>
      </c>
      <c r="B302" s="31"/>
      <c r="C302" s="30"/>
      <c r="D302" s="30"/>
      <c r="E302" s="30"/>
      <c r="F302" s="30"/>
      <c r="G302" s="11" t="str">
        <f t="shared" si="29"/>
        <v/>
      </c>
      <c r="H302" s="11" t="str">
        <f t="shared" si="30"/>
        <v/>
      </c>
      <c r="I302" s="65" t="str">
        <f t="shared" si="31"/>
        <v/>
      </c>
      <c r="J302" s="11" t="str">
        <f t="shared" si="32"/>
        <v/>
      </c>
      <c r="K302" s="55" t="str">
        <f t="shared" si="33"/>
        <v/>
      </c>
      <c r="L302" s="33"/>
      <c r="M302" s="33"/>
      <c r="N302" s="36" t="str">
        <f t="shared" si="34"/>
        <v/>
      </c>
      <c r="O302" s="30"/>
      <c r="P302" s="33"/>
      <c r="Q302" s="33"/>
    </row>
    <row r="303" spans="1:17" x14ac:dyDescent="0.25">
      <c r="A303" s="29" t="str">
        <f t="shared" si="28"/>
        <v/>
      </c>
      <c r="B303" s="31"/>
      <c r="C303" s="30"/>
      <c r="D303" s="30"/>
      <c r="E303" s="30"/>
      <c r="F303" s="30"/>
      <c r="G303" s="11" t="str">
        <f t="shared" si="29"/>
        <v/>
      </c>
      <c r="H303" s="11" t="str">
        <f t="shared" si="30"/>
        <v/>
      </c>
      <c r="I303" s="65" t="str">
        <f t="shared" si="31"/>
        <v/>
      </c>
      <c r="J303" s="11" t="str">
        <f t="shared" si="32"/>
        <v/>
      </c>
      <c r="K303" s="55" t="str">
        <f t="shared" si="33"/>
        <v/>
      </c>
      <c r="L303" s="33"/>
      <c r="M303" s="33"/>
      <c r="N303" s="36" t="str">
        <f t="shared" si="34"/>
        <v/>
      </c>
      <c r="O303" s="30"/>
      <c r="P303" s="33"/>
      <c r="Q303" s="33"/>
    </row>
    <row r="304" spans="1:17" x14ac:dyDescent="0.25">
      <c r="A304" s="29" t="str">
        <f t="shared" si="28"/>
        <v/>
      </c>
      <c r="B304" s="31"/>
      <c r="C304" s="30"/>
      <c r="D304" s="30"/>
      <c r="E304" s="30"/>
      <c r="F304" s="30"/>
      <c r="G304" s="11" t="str">
        <f t="shared" si="29"/>
        <v/>
      </c>
      <c r="H304" s="11" t="str">
        <f t="shared" si="30"/>
        <v/>
      </c>
      <c r="I304" s="65" t="str">
        <f t="shared" si="31"/>
        <v/>
      </c>
      <c r="J304" s="11" t="str">
        <f t="shared" si="32"/>
        <v/>
      </c>
      <c r="K304" s="55" t="str">
        <f t="shared" si="33"/>
        <v/>
      </c>
      <c r="L304" s="33"/>
      <c r="M304" s="33"/>
      <c r="N304" s="36" t="str">
        <f t="shared" si="34"/>
        <v/>
      </c>
      <c r="O304" s="30"/>
      <c r="P304" s="33"/>
      <c r="Q304" s="33"/>
    </row>
  </sheetData>
  <autoFilter ref="A4:Q4"/>
  <mergeCells count="17">
    <mergeCell ref="T15:Y15"/>
    <mergeCell ref="A1:Q1"/>
    <mergeCell ref="T14:Y14"/>
    <mergeCell ref="T1:Y1"/>
    <mergeCell ref="T9:Y9"/>
    <mergeCell ref="T3:Y3"/>
    <mergeCell ref="A2:Q2"/>
    <mergeCell ref="T8:Y8"/>
    <mergeCell ref="T4:Y4"/>
    <mergeCell ref="T12:Y12"/>
    <mergeCell ref="T13:Y13"/>
    <mergeCell ref="T7:Y7"/>
    <mergeCell ref="T11:Y11"/>
    <mergeCell ref="T6:Y6"/>
    <mergeCell ref="T10:Y10"/>
    <mergeCell ref="T2:Y2"/>
    <mergeCell ref="T5:Y5"/>
  </mergeCells>
  <conditionalFormatting sqref="D5:E304">
    <cfRule type="cellIs" dxfId="33" priority="1" operator="equal">
      <formula>"CHUVA FORTE"</formula>
    </cfRule>
    <cfRule type="cellIs" dxfId="32" priority="2" operator="equal">
      <formula>"IMPRATICÁVEL"</formula>
    </cfRule>
  </conditionalFormatting>
  <dataValidations count="6">
    <dataValidation type="list" allowBlank="1" errorTitle="Entrada invalida" error="Valor fora da lista padronizada. Use a seta para escolher." sqref="C5:C304">
      <formula1>LST_CONTRATO</formula1>
    </dataValidation>
    <dataValidation type="list" allowBlank="1" errorTitle="Entrada invalida" error="Valor fora da lista padronizada. Use a seta para escolher." sqref="D5:E304">
      <formula1>LST_CLIMA</formula1>
    </dataValidation>
    <dataValidation type="list" allowBlank="1" errorTitle="Entrada invalida" error="Valor fora da lista padronizada. Use a seta para escolher." sqref="F5:F304">
      <formula1>LST_SOLO</formula1>
    </dataValidation>
    <dataValidation type="list" allowBlank="1" errorTitle="Entrada invalida" error="Valor fora da lista padronizada. Use a seta para escolher." sqref="O5:O304">
      <formula1>LST_SN</formula1>
    </dataValidation>
    <dataValidation type="list" allowBlank="1" errorTitle="Entrada invalida" error="Valor fora da lista padronizada. Use a seta para escolher." sqref="P5:P304">
      <formula1>EQP_NOMES</formula1>
    </dataValidation>
    <dataValidation type="date" allowBlank="1" errorTitle="Data invalida" error="Informe uma data valida (dd/mm/aaaa) entre 2026 e 2030." sqref="B5:B304">
      <formula1>DATE(2026,1,1)</formula1>
      <formula2>DATE(2030,12,31)</formula2>
    </dataValidation>
  </dataValidations>
  <printOptions horizontalCentered="1"/>
  <pageMargins left="0.3" right="0.3" top="0.5" bottom="0.5" header="0.5" footer="0.5"/>
  <pageSetup paperSize="9" fitToHeight="0" orientation="landscape"/>
  <headerFooter>
    <oddFooter>&amp;L&amp;8 WCR Saneamento — Controle Operacional SABESP&amp;R&amp;8 Página &amp;P de &amp;N</oddFooter>
  </headerFooter>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pageSetUpPr fitToPage="1"/>
  </sheetPr>
  <dimension ref="A1:Y304"/>
  <sheetViews>
    <sheetView showGridLines="0" workbookViewId="0">
      <pane ySplit="4" topLeftCell="A5" activePane="bottomLeft" state="frozen"/>
      <selection pane="bottomLeft" activeCell="A12" sqref="A12"/>
    </sheetView>
  </sheetViews>
  <sheetFormatPr defaultRowHeight="15" x14ac:dyDescent="0.25"/>
  <cols>
    <col min="1" max="1" width="7" style="109" customWidth="1"/>
    <col min="2" max="2" width="11" style="109" customWidth="1"/>
    <col min="3" max="3" width="12" style="109" customWidth="1"/>
    <col min="4" max="4" width="16" style="109" customWidth="1"/>
    <col min="5" max="5" width="9" style="109" customWidth="1"/>
    <col min="6" max="6" width="28" style="109" customWidth="1"/>
    <col min="7" max="7" width="12" style="109" customWidth="1"/>
    <col min="8" max="8" width="48" style="109" customWidth="1"/>
    <col min="9" max="9" width="10" style="109" customWidth="1"/>
    <col min="10" max="10" width="14" style="109" customWidth="1"/>
    <col min="11" max="11" width="40" style="109" customWidth="1"/>
    <col min="12" max="12" width="20" style="109" customWidth="1"/>
    <col min="13" max="13" width="11" style="109" customWidth="1"/>
    <col min="14" max="15" width="14" style="109" customWidth="1"/>
    <col min="16" max="16" width="12" style="109" customWidth="1"/>
    <col min="17" max="17" width="17" style="109" customWidth="1"/>
    <col min="20" max="25" width="10.42578125" style="109" customWidth="1"/>
  </cols>
  <sheetData>
    <row r="1" spans="1:25" ht="26.1" customHeight="1" x14ac:dyDescent="0.25">
      <c r="A1" s="151" t="s">
        <v>2818</v>
      </c>
      <c r="B1" s="149"/>
      <c r="C1" s="149"/>
      <c r="D1" s="149"/>
      <c r="E1" s="149"/>
      <c r="F1" s="149"/>
      <c r="G1" s="149"/>
      <c r="H1" s="149"/>
      <c r="I1" s="149"/>
      <c r="J1" s="149"/>
      <c r="K1" s="149"/>
      <c r="L1" s="149"/>
      <c r="M1" s="149"/>
      <c r="N1" s="149"/>
      <c r="O1" s="149"/>
      <c r="P1" s="149"/>
      <c r="Q1" s="149"/>
      <c r="T1" s="154" t="s">
        <v>280</v>
      </c>
      <c r="U1" s="155"/>
      <c r="V1" s="155"/>
      <c r="W1" s="155"/>
      <c r="X1" s="155"/>
      <c r="Y1" s="156"/>
    </row>
    <row r="2" spans="1:25" ht="14.1" customHeight="1" x14ac:dyDescent="0.25">
      <c r="A2" s="153" t="s">
        <v>2819</v>
      </c>
      <c r="B2" s="149"/>
      <c r="C2" s="149"/>
      <c r="D2" s="149"/>
      <c r="E2" s="149"/>
      <c r="F2" s="149"/>
      <c r="G2" s="149"/>
      <c r="H2" s="149"/>
      <c r="I2" s="149"/>
      <c r="J2" s="149"/>
      <c r="K2" s="149"/>
      <c r="L2" s="149"/>
      <c r="M2" s="149"/>
      <c r="N2" s="149"/>
      <c r="O2" s="149"/>
      <c r="P2" s="149"/>
      <c r="Q2" s="149"/>
      <c r="T2" s="158" t="s">
        <v>181</v>
      </c>
      <c r="U2" s="155"/>
      <c r="V2" s="155"/>
      <c r="W2" s="155"/>
      <c r="X2" s="155"/>
      <c r="Y2" s="156"/>
    </row>
    <row r="3" spans="1:25" x14ac:dyDescent="0.25">
      <c r="T3" s="157" t="s">
        <v>168</v>
      </c>
      <c r="U3" s="155"/>
      <c r="V3" s="155"/>
      <c r="W3" s="155"/>
      <c r="X3" s="155"/>
      <c r="Y3" s="156"/>
    </row>
    <row r="4" spans="1:25" ht="32.1" customHeight="1" x14ac:dyDescent="0.25">
      <c r="A4" s="46" t="s">
        <v>2423</v>
      </c>
      <c r="B4" s="46" t="s">
        <v>2536</v>
      </c>
      <c r="C4" s="46" t="s">
        <v>591</v>
      </c>
      <c r="D4" s="46" t="s">
        <v>2661</v>
      </c>
      <c r="E4" s="46" t="s">
        <v>592</v>
      </c>
      <c r="F4" s="46" t="s">
        <v>2820</v>
      </c>
      <c r="G4" s="46" t="s">
        <v>613</v>
      </c>
      <c r="H4" s="46" t="s">
        <v>2821</v>
      </c>
      <c r="I4" s="46" t="s">
        <v>2822</v>
      </c>
      <c r="J4" s="46" t="s">
        <v>2823</v>
      </c>
      <c r="K4" s="46" t="s">
        <v>2824</v>
      </c>
      <c r="L4" s="46" t="s">
        <v>2665</v>
      </c>
      <c r="M4" s="46" t="s">
        <v>2825</v>
      </c>
      <c r="N4" s="46" t="s">
        <v>2430</v>
      </c>
      <c r="O4" s="46" t="s">
        <v>2826</v>
      </c>
      <c r="P4" s="46" t="s">
        <v>2431</v>
      </c>
      <c r="Q4" s="46" t="s">
        <v>2827</v>
      </c>
      <c r="T4" s="157" t="s">
        <v>169</v>
      </c>
      <c r="U4" s="155"/>
      <c r="V4" s="155"/>
      <c r="W4" s="155"/>
      <c r="X4" s="155"/>
      <c r="Y4" s="156"/>
    </row>
    <row r="5" spans="1:25" x14ac:dyDescent="0.25">
      <c r="A5" s="13">
        <f>IF($B5="","",ROW()-4)</f>
        <v>1</v>
      </c>
      <c r="B5" s="31">
        <v>46266</v>
      </c>
      <c r="C5" s="30" t="s">
        <v>2437</v>
      </c>
      <c r="D5" s="30"/>
      <c r="E5" s="30"/>
      <c r="F5" s="33" t="s">
        <v>2654</v>
      </c>
      <c r="G5" s="30" t="s">
        <v>2828</v>
      </c>
      <c r="H5" s="33" t="s">
        <v>2829</v>
      </c>
      <c r="I5" s="49">
        <v>8</v>
      </c>
      <c r="J5" s="53"/>
      <c r="K5" s="33" t="s">
        <v>2830</v>
      </c>
      <c r="L5" s="33" t="s">
        <v>2831</v>
      </c>
      <c r="M5" s="31" t="s">
        <v>2832</v>
      </c>
      <c r="N5" s="30" t="s">
        <v>2833</v>
      </c>
      <c r="O5" s="31">
        <v>46266</v>
      </c>
      <c r="P5" s="13">
        <f t="shared" ref="P5:P68" ca="1" si="0">IF($B5="","",IF($O5&lt;&gt;"",$O5-$B5,TODAY()-$B5))</f>
        <v>0</v>
      </c>
      <c r="Q5" s="30"/>
      <c r="T5" s="157" t="s">
        <v>182</v>
      </c>
      <c r="U5" s="155"/>
      <c r="V5" s="155"/>
      <c r="W5" s="155"/>
      <c r="X5" s="155"/>
      <c r="Y5" s="156"/>
    </row>
    <row r="6" spans="1:25" x14ac:dyDescent="0.25">
      <c r="A6" s="13">
        <f>IF($B6="","",ROW()-4)</f>
        <v>2</v>
      </c>
      <c r="B6" s="31">
        <v>46267</v>
      </c>
      <c r="C6" s="30" t="s">
        <v>2437</v>
      </c>
      <c r="D6" s="30"/>
      <c r="E6" s="30"/>
      <c r="F6" s="33" t="s">
        <v>2834</v>
      </c>
      <c r="G6" s="30" t="s">
        <v>2835</v>
      </c>
      <c r="H6" s="33" t="s">
        <v>2836</v>
      </c>
      <c r="I6" s="49">
        <v>8</v>
      </c>
      <c r="J6" s="53"/>
      <c r="K6" s="33" t="s">
        <v>2830</v>
      </c>
      <c r="L6" s="33" t="s">
        <v>2831</v>
      </c>
      <c r="M6" s="31" t="s">
        <v>2832</v>
      </c>
      <c r="N6" s="30" t="s">
        <v>2833</v>
      </c>
      <c r="O6" s="31">
        <v>46267</v>
      </c>
      <c r="P6" s="13">
        <f t="shared" ca="1" si="0"/>
        <v>0</v>
      </c>
      <c r="Q6" s="30"/>
      <c r="T6" s="157" t="s">
        <v>183</v>
      </c>
      <c r="U6" s="155"/>
      <c r="V6" s="155"/>
      <c r="W6" s="155"/>
      <c r="X6" s="155"/>
      <c r="Y6" s="156"/>
    </row>
    <row r="7" spans="1:25" x14ac:dyDescent="0.25">
      <c r="A7" s="13">
        <f>IF($B7="","",ROW()-4)</f>
        <v>3</v>
      </c>
      <c r="B7" s="31">
        <v>46274</v>
      </c>
      <c r="C7" s="30" t="s">
        <v>2437</v>
      </c>
      <c r="D7" s="30"/>
      <c r="E7" s="30"/>
      <c r="F7" s="33" t="s">
        <v>649</v>
      </c>
      <c r="G7" s="30" t="s">
        <v>2835</v>
      </c>
      <c r="H7" s="33" t="s">
        <v>2837</v>
      </c>
      <c r="I7" s="49">
        <v>4</v>
      </c>
      <c r="J7" s="53"/>
      <c r="K7" s="33" t="s">
        <v>2830</v>
      </c>
      <c r="L7" s="33" t="s">
        <v>2838</v>
      </c>
      <c r="M7" s="31"/>
      <c r="N7" s="30"/>
      <c r="O7" s="31">
        <v>46274</v>
      </c>
      <c r="P7" s="13">
        <f t="shared" ca="1" si="0"/>
        <v>0</v>
      </c>
      <c r="Q7" s="30"/>
      <c r="T7" s="157" t="s">
        <v>184</v>
      </c>
      <c r="U7" s="155"/>
      <c r="V7" s="155"/>
      <c r="W7" s="155"/>
      <c r="X7" s="155"/>
      <c r="Y7" s="156"/>
    </row>
    <row r="8" spans="1:25" x14ac:dyDescent="0.25">
      <c r="A8" s="13">
        <f>IF($B8="","",ROW()-4)</f>
        <v>4</v>
      </c>
      <c r="B8" s="31">
        <v>46275</v>
      </c>
      <c r="C8" s="30" t="s">
        <v>2437</v>
      </c>
      <c r="D8" s="30"/>
      <c r="E8" s="30"/>
      <c r="F8" s="33" t="s">
        <v>649</v>
      </c>
      <c r="G8" s="30" t="s">
        <v>2835</v>
      </c>
      <c r="H8" s="33" t="s">
        <v>2837</v>
      </c>
      <c r="I8" s="49">
        <v>8</v>
      </c>
      <c r="J8" s="53"/>
      <c r="K8" s="33" t="s">
        <v>2830</v>
      </c>
      <c r="L8" s="33" t="s">
        <v>2838</v>
      </c>
      <c r="M8" s="31"/>
      <c r="N8" s="30"/>
      <c r="O8" s="31">
        <v>46275</v>
      </c>
      <c r="P8" s="13">
        <f t="shared" ca="1" si="0"/>
        <v>0</v>
      </c>
      <c r="Q8" s="30"/>
      <c r="T8" s="157" t="s">
        <v>185</v>
      </c>
      <c r="U8" s="155"/>
      <c r="V8" s="155"/>
      <c r="W8" s="155"/>
      <c r="X8" s="155"/>
      <c r="Y8" s="156"/>
    </row>
    <row r="9" spans="1:25" x14ac:dyDescent="0.25">
      <c r="A9" s="13">
        <f>IF($B9="","",ROW()-4)</f>
        <v>5</v>
      </c>
      <c r="B9" s="31">
        <v>46276</v>
      </c>
      <c r="C9" s="30" t="s">
        <v>2437</v>
      </c>
      <c r="D9" s="30"/>
      <c r="E9" s="30"/>
      <c r="F9" s="33" t="s">
        <v>649</v>
      </c>
      <c r="G9" s="30" t="s">
        <v>2835</v>
      </c>
      <c r="H9" s="33" t="s">
        <v>2837</v>
      </c>
      <c r="I9" s="49">
        <v>2</v>
      </c>
      <c r="J9" s="53"/>
      <c r="K9" s="33" t="s">
        <v>2830</v>
      </c>
      <c r="L9" s="33" t="s">
        <v>2838</v>
      </c>
      <c r="M9" s="31"/>
      <c r="N9" s="30"/>
      <c r="O9" s="31">
        <v>46276</v>
      </c>
      <c r="P9" s="13">
        <f t="shared" ca="1" si="0"/>
        <v>0</v>
      </c>
      <c r="Q9" s="30"/>
      <c r="T9" s="157" t="s">
        <v>186</v>
      </c>
      <c r="U9" s="155"/>
      <c r="V9" s="155"/>
      <c r="W9" s="155"/>
      <c r="X9" s="155"/>
      <c r="Y9" s="156"/>
    </row>
    <row r="10" spans="1:25" x14ac:dyDescent="0.25">
      <c r="A10" s="13">
        <v>6</v>
      </c>
      <c r="B10" s="31">
        <v>46279</v>
      </c>
      <c r="C10" s="30" t="s">
        <v>2437</v>
      </c>
      <c r="D10" s="30"/>
      <c r="E10" s="30"/>
      <c r="F10" s="33" t="s">
        <v>649</v>
      </c>
      <c r="G10" s="30" t="s">
        <v>2835</v>
      </c>
      <c r="H10" s="33" t="s">
        <v>2837</v>
      </c>
      <c r="I10" s="49">
        <v>6</v>
      </c>
      <c r="J10" s="53"/>
      <c r="K10" s="33" t="s">
        <v>2830</v>
      </c>
      <c r="L10" s="33" t="s">
        <v>2838</v>
      </c>
      <c r="M10" s="31"/>
      <c r="N10" s="30"/>
      <c r="O10" s="31">
        <v>46279</v>
      </c>
      <c r="P10" s="13">
        <f t="shared" ca="1" si="0"/>
        <v>0</v>
      </c>
      <c r="Q10" s="30"/>
      <c r="T10" s="157" t="s">
        <v>187</v>
      </c>
      <c r="U10" s="155"/>
      <c r="V10" s="155"/>
      <c r="W10" s="155"/>
      <c r="X10" s="155"/>
      <c r="Y10" s="156"/>
    </row>
    <row r="11" spans="1:25" ht="25.5" customHeight="1" x14ac:dyDescent="0.25">
      <c r="A11" s="13">
        <v>7</v>
      </c>
      <c r="B11" s="31">
        <v>46280</v>
      </c>
      <c r="C11" s="30" t="s">
        <v>2437</v>
      </c>
      <c r="D11" s="30"/>
      <c r="E11" s="30"/>
      <c r="F11" s="33" t="s">
        <v>779</v>
      </c>
      <c r="G11" s="30" t="s">
        <v>2835</v>
      </c>
      <c r="H11" s="33" t="s">
        <v>2839</v>
      </c>
      <c r="I11" s="49">
        <v>8</v>
      </c>
      <c r="J11" s="53"/>
      <c r="K11" s="33" t="s">
        <v>2840</v>
      </c>
      <c r="L11" s="33" t="s">
        <v>2838</v>
      </c>
      <c r="M11" s="31"/>
      <c r="N11" s="30"/>
      <c r="O11" s="31">
        <v>46280</v>
      </c>
      <c r="P11" s="13">
        <f t="shared" ca="1" si="0"/>
        <v>0</v>
      </c>
      <c r="Q11" s="30"/>
      <c r="T11" s="157" t="s">
        <v>188</v>
      </c>
      <c r="U11" s="155"/>
      <c r="V11" s="155"/>
      <c r="W11" s="155"/>
      <c r="X11" s="155"/>
      <c r="Y11" s="156"/>
    </row>
    <row r="12" spans="1:25" x14ac:dyDescent="0.25">
      <c r="A12" s="13" t="str">
        <f t="shared" ref="A12:A75" si="1">IF($B12="","",ROW()-4)</f>
        <v/>
      </c>
      <c r="B12" s="31"/>
      <c r="C12" s="30"/>
      <c r="D12" s="30"/>
      <c r="E12" s="30"/>
      <c r="F12" s="33"/>
      <c r="G12" s="30"/>
      <c r="H12" s="33"/>
      <c r="I12" s="49"/>
      <c r="J12" s="53"/>
      <c r="K12" s="33"/>
      <c r="L12" s="33"/>
      <c r="M12" s="31"/>
      <c r="N12" s="30"/>
      <c r="O12" s="31"/>
      <c r="P12" s="13" t="str">
        <f t="shared" ca="1" si="0"/>
        <v/>
      </c>
      <c r="Q12" s="30"/>
      <c r="T12" s="157" t="s">
        <v>189</v>
      </c>
      <c r="U12" s="155"/>
      <c r="V12" s="155"/>
      <c r="W12" s="155"/>
      <c r="X12" s="155"/>
      <c r="Y12" s="156"/>
    </row>
    <row r="13" spans="1:25" x14ac:dyDescent="0.25">
      <c r="A13" s="13" t="str">
        <f t="shared" si="1"/>
        <v/>
      </c>
      <c r="B13" s="31"/>
      <c r="C13" s="30"/>
      <c r="D13" s="30"/>
      <c r="E13" s="30"/>
      <c r="F13" s="33"/>
      <c r="G13" s="30"/>
      <c r="H13" s="33"/>
      <c r="I13" s="49"/>
      <c r="J13" s="53"/>
      <c r="K13" s="33"/>
      <c r="L13" s="33"/>
      <c r="M13" s="31"/>
      <c r="N13" s="30"/>
      <c r="O13" s="31"/>
      <c r="P13" s="13" t="str">
        <f t="shared" ca="1" si="0"/>
        <v/>
      </c>
      <c r="Q13" s="30"/>
      <c r="T13" s="157" t="s">
        <v>190</v>
      </c>
      <c r="U13" s="155"/>
      <c r="V13" s="155"/>
      <c r="W13" s="155"/>
      <c r="X13" s="155"/>
      <c r="Y13" s="156"/>
    </row>
    <row r="14" spans="1:25" x14ac:dyDescent="0.25">
      <c r="A14" s="13" t="str">
        <f t="shared" si="1"/>
        <v/>
      </c>
      <c r="B14" s="31"/>
      <c r="C14" s="30"/>
      <c r="D14" s="30"/>
      <c r="E14" s="30"/>
      <c r="F14" s="33"/>
      <c r="G14" s="30"/>
      <c r="H14" s="33"/>
      <c r="I14" s="49"/>
      <c r="J14" s="53"/>
      <c r="K14" s="33"/>
      <c r="L14" s="33"/>
      <c r="M14" s="31"/>
      <c r="N14" s="30"/>
      <c r="O14" s="31"/>
      <c r="P14" s="13" t="str">
        <f t="shared" ca="1" si="0"/>
        <v/>
      </c>
      <c r="Q14" s="30"/>
      <c r="T14" s="157" t="s">
        <v>191</v>
      </c>
      <c r="U14" s="155"/>
      <c r="V14" s="155"/>
      <c r="W14" s="155"/>
      <c r="X14" s="155"/>
      <c r="Y14" s="156"/>
    </row>
    <row r="15" spans="1:25" x14ac:dyDescent="0.25">
      <c r="A15" s="13" t="str">
        <f t="shared" si="1"/>
        <v/>
      </c>
      <c r="B15" s="31"/>
      <c r="C15" s="30"/>
      <c r="D15" s="30"/>
      <c r="E15" s="30"/>
      <c r="F15" s="33"/>
      <c r="G15" s="30"/>
      <c r="H15" s="33"/>
      <c r="I15" s="49"/>
      <c r="J15" s="53"/>
      <c r="K15" s="33"/>
      <c r="L15" s="33"/>
      <c r="M15" s="31"/>
      <c r="N15" s="30"/>
      <c r="O15" s="31"/>
      <c r="P15" s="13" t="str">
        <f t="shared" ca="1" si="0"/>
        <v/>
      </c>
      <c r="Q15" s="30"/>
      <c r="T15" s="157" t="s">
        <v>192</v>
      </c>
      <c r="U15" s="155"/>
      <c r="V15" s="155"/>
      <c r="W15" s="155"/>
      <c r="X15" s="155"/>
      <c r="Y15" s="156"/>
    </row>
    <row r="16" spans="1:25" x14ac:dyDescent="0.25">
      <c r="A16" s="13" t="str">
        <f t="shared" si="1"/>
        <v/>
      </c>
      <c r="B16" s="31"/>
      <c r="C16" s="30"/>
      <c r="D16" s="30"/>
      <c r="E16" s="30"/>
      <c r="F16" s="33"/>
      <c r="G16" s="30"/>
      <c r="H16" s="33"/>
      <c r="I16" s="49"/>
      <c r="J16" s="53"/>
      <c r="K16" s="33"/>
      <c r="L16" s="33"/>
      <c r="M16" s="31"/>
      <c r="N16" s="30"/>
      <c r="O16" s="31"/>
      <c r="P16" s="13" t="str">
        <f t="shared" ca="1" si="0"/>
        <v/>
      </c>
      <c r="Q16" s="30"/>
      <c r="T16" s="157" t="s">
        <v>193</v>
      </c>
      <c r="U16" s="155"/>
      <c r="V16" s="155"/>
      <c r="W16" s="155"/>
      <c r="X16" s="155"/>
      <c r="Y16" s="156"/>
    </row>
    <row r="17" spans="1:25" x14ac:dyDescent="0.25">
      <c r="A17" s="13" t="str">
        <f t="shared" si="1"/>
        <v/>
      </c>
      <c r="B17" s="31"/>
      <c r="C17" s="30"/>
      <c r="D17" s="30"/>
      <c r="E17" s="30"/>
      <c r="F17" s="33"/>
      <c r="G17" s="30"/>
      <c r="H17" s="33"/>
      <c r="I17" s="49"/>
      <c r="J17" s="53"/>
      <c r="K17" s="33"/>
      <c r="L17" s="33"/>
      <c r="M17" s="31"/>
      <c r="N17" s="30"/>
      <c r="O17" s="31"/>
      <c r="P17" s="13" t="str">
        <f t="shared" ca="1" si="0"/>
        <v/>
      </c>
      <c r="Q17" s="30"/>
      <c r="T17" s="157" t="s">
        <v>194</v>
      </c>
      <c r="U17" s="155"/>
      <c r="V17" s="155"/>
      <c r="W17" s="155"/>
      <c r="X17" s="155"/>
      <c r="Y17" s="156"/>
    </row>
    <row r="18" spans="1:25" x14ac:dyDescent="0.25">
      <c r="A18" s="13" t="str">
        <f t="shared" si="1"/>
        <v/>
      </c>
      <c r="B18" s="31"/>
      <c r="C18" s="30"/>
      <c r="D18" s="30"/>
      <c r="E18" s="30"/>
      <c r="F18" s="33"/>
      <c r="G18" s="30"/>
      <c r="H18" s="33"/>
      <c r="I18" s="49"/>
      <c r="J18" s="53"/>
      <c r="K18" s="33"/>
      <c r="L18" s="33"/>
      <c r="M18" s="31"/>
      <c r="N18" s="30"/>
      <c r="O18" s="31"/>
      <c r="P18" s="13" t="str">
        <f t="shared" ca="1" si="0"/>
        <v/>
      </c>
      <c r="Q18" s="30"/>
      <c r="T18" s="159" t="s">
        <v>195</v>
      </c>
      <c r="U18" s="155"/>
      <c r="V18" s="155"/>
      <c r="W18" s="155"/>
      <c r="X18" s="155"/>
      <c r="Y18" s="156"/>
    </row>
    <row r="19" spans="1:25" x14ac:dyDescent="0.25">
      <c r="A19" s="13" t="str">
        <f t="shared" si="1"/>
        <v/>
      </c>
      <c r="B19" s="31"/>
      <c r="C19" s="30"/>
      <c r="D19" s="30"/>
      <c r="E19" s="30"/>
      <c r="F19" s="33"/>
      <c r="G19" s="30"/>
      <c r="H19" s="33"/>
      <c r="I19" s="49"/>
      <c r="J19" s="53"/>
      <c r="K19" s="33"/>
      <c r="L19" s="33"/>
      <c r="M19" s="31"/>
      <c r="N19" s="30"/>
      <c r="O19" s="31"/>
      <c r="P19" s="13" t="str">
        <f t="shared" ca="1" si="0"/>
        <v/>
      </c>
      <c r="Q19" s="30"/>
    </row>
    <row r="20" spans="1:25" x14ac:dyDescent="0.25">
      <c r="A20" s="13" t="str">
        <f t="shared" si="1"/>
        <v/>
      </c>
      <c r="B20" s="31"/>
      <c r="C20" s="30"/>
      <c r="D20" s="30"/>
      <c r="E20" s="30"/>
      <c r="F20" s="33"/>
      <c r="G20" s="30"/>
      <c r="H20" s="33"/>
      <c r="I20" s="49"/>
      <c r="J20" s="53"/>
      <c r="K20" s="33"/>
      <c r="L20" s="33"/>
      <c r="M20" s="31"/>
      <c r="N20" s="30"/>
      <c r="O20" s="31"/>
      <c r="P20" s="13" t="str">
        <f t="shared" ca="1" si="0"/>
        <v/>
      </c>
      <c r="Q20" s="30"/>
    </row>
    <row r="21" spans="1:25" x14ac:dyDescent="0.25">
      <c r="A21" s="13" t="str">
        <f t="shared" si="1"/>
        <v/>
      </c>
      <c r="B21" s="31"/>
      <c r="C21" s="30"/>
      <c r="D21" s="30"/>
      <c r="E21" s="30"/>
      <c r="F21" s="33"/>
      <c r="G21" s="30"/>
      <c r="H21" s="33"/>
      <c r="I21" s="49"/>
      <c r="J21" s="53"/>
      <c r="K21" s="33"/>
      <c r="L21" s="33"/>
      <c r="M21" s="31"/>
      <c r="N21" s="30"/>
      <c r="O21" s="31"/>
      <c r="P21" s="13" t="str">
        <f t="shared" ca="1" si="0"/>
        <v/>
      </c>
      <c r="Q21" s="30"/>
    </row>
    <row r="22" spans="1:25" x14ac:dyDescent="0.25">
      <c r="A22" s="13" t="str">
        <f t="shared" si="1"/>
        <v/>
      </c>
      <c r="B22" s="31"/>
      <c r="C22" s="30"/>
      <c r="D22" s="30"/>
      <c r="E22" s="30"/>
      <c r="F22" s="33"/>
      <c r="G22" s="30"/>
      <c r="H22" s="33"/>
      <c r="I22" s="49"/>
      <c r="J22" s="53"/>
      <c r="K22" s="33"/>
      <c r="L22" s="33"/>
      <c r="M22" s="31"/>
      <c r="N22" s="30"/>
      <c r="O22" s="31"/>
      <c r="P22" s="13" t="str">
        <f t="shared" ca="1" si="0"/>
        <v/>
      </c>
      <c r="Q22" s="30"/>
    </row>
    <row r="23" spans="1:25" x14ac:dyDescent="0.25">
      <c r="A23" s="13" t="str">
        <f t="shared" si="1"/>
        <v/>
      </c>
      <c r="B23" s="31"/>
      <c r="C23" s="30"/>
      <c r="D23" s="30"/>
      <c r="E23" s="30"/>
      <c r="F23" s="33"/>
      <c r="G23" s="30"/>
      <c r="H23" s="33"/>
      <c r="I23" s="49"/>
      <c r="J23" s="53"/>
      <c r="K23" s="33"/>
      <c r="L23" s="33"/>
      <c r="M23" s="31"/>
      <c r="N23" s="30"/>
      <c r="O23" s="31"/>
      <c r="P23" s="13" t="str">
        <f t="shared" ca="1" si="0"/>
        <v/>
      </c>
      <c r="Q23" s="30"/>
    </row>
    <row r="24" spans="1:25" x14ac:dyDescent="0.25">
      <c r="A24" s="13" t="str">
        <f t="shared" si="1"/>
        <v/>
      </c>
      <c r="B24" s="31"/>
      <c r="C24" s="30"/>
      <c r="D24" s="30"/>
      <c r="E24" s="30"/>
      <c r="F24" s="33"/>
      <c r="G24" s="30"/>
      <c r="H24" s="33"/>
      <c r="I24" s="49"/>
      <c r="J24" s="53"/>
      <c r="K24" s="33"/>
      <c r="L24" s="33"/>
      <c r="M24" s="31"/>
      <c r="N24" s="30"/>
      <c r="O24" s="31"/>
      <c r="P24" s="13" t="str">
        <f t="shared" ca="1" si="0"/>
        <v/>
      </c>
      <c r="Q24" s="30"/>
    </row>
    <row r="25" spans="1:25" x14ac:dyDescent="0.25">
      <c r="A25" s="13" t="str">
        <f t="shared" si="1"/>
        <v/>
      </c>
      <c r="B25" s="31"/>
      <c r="C25" s="30"/>
      <c r="D25" s="30"/>
      <c r="E25" s="30"/>
      <c r="F25" s="33"/>
      <c r="G25" s="30"/>
      <c r="H25" s="33"/>
      <c r="I25" s="49"/>
      <c r="J25" s="53"/>
      <c r="K25" s="33"/>
      <c r="L25" s="33"/>
      <c r="M25" s="31"/>
      <c r="N25" s="30"/>
      <c r="O25" s="31"/>
      <c r="P25" s="13" t="str">
        <f t="shared" ca="1" si="0"/>
        <v/>
      </c>
      <c r="Q25" s="30"/>
    </row>
    <row r="26" spans="1:25" x14ac:dyDescent="0.25">
      <c r="A26" s="13" t="str">
        <f t="shared" si="1"/>
        <v/>
      </c>
      <c r="B26" s="31"/>
      <c r="C26" s="30"/>
      <c r="D26" s="30"/>
      <c r="E26" s="30"/>
      <c r="F26" s="33"/>
      <c r="G26" s="30"/>
      <c r="H26" s="33"/>
      <c r="I26" s="49"/>
      <c r="J26" s="53"/>
      <c r="K26" s="33"/>
      <c r="L26" s="33"/>
      <c r="M26" s="31"/>
      <c r="N26" s="30"/>
      <c r="O26" s="31"/>
      <c r="P26" s="13" t="str">
        <f t="shared" ca="1" si="0"/>
        <v/>
      </c>
      <c r="Q26" s="30"/>
    </row>
    <row r="27" spans="1:25" x14ac:dyDescent="0.25">
      <c r="A27" s="13" t="str">
        <f t="shared" si="1"/>
        <v/>
      </c>
      <c r="B27" s="31"/>
      <c r="C27" s="30"/>
      <c r="D27" s="30"/>
      <c r="E27" s="30"/>
      <c r="F27" s="33"/>
      <c r="G27" s="30"/>
      <c r="H27" s="33"/>
      <c r="I27" s="49"/>
      <c r="J27" s="53"/>
      <c r="K27" s="33"/>
      <c r="L27" s="33"/>
      <c r="M27" s="31"/>
      <c r="N27" s="30"/>
      <c r="O27" s="31"/>
      <c r="P27" s="13" t="str">
        <f t="shared" ca="1" si="0"/>
        <v/>
      </c>
      <c r="Q27" s="30"/>
    </row>
    <row r="28" spans="1:25" x14ac:dyDescent="0.25">
      <c r="A28" s="13" t="str">
        <f t="shared" si="1"/>
        <v/>
      </c>
      <c r="B28" s="31"/>
      <c r="C28" s="30"/>
      <c r="D28" s="30"/>
      <c r="E28" s="30"/>
      <c r="F28" s="33"/>
      <c r="G28" s="30"/>
      <c r="H28" s="33"/>
      <c r="I28" s="49"/>
      <c r="J28" s="53"/>
      <c r="K28" s="33"/>
      <c r="L28" s="33"/>
      <c r="M28" s="31"/>
      <c r="N28" s="30"/>
      <c r="O28" s="31"/>
      <c r="P28" s="13" t="str">
        <f t="shared" ca="1" si="0"/>
        <v/>
      </c>
      <c r="Q28" s="30"/>
    </row>
    <row r="29" spans="1:25" x14ac:dyDescent="0.25">
      <c r="A29" s="13" t="str">
        <f t="shared" si="1"/>
        <v/>
      </c>
      <c r="B29" s="31"/>
      <c r="C29" s="30"/>
      <c r="D29" s="30"/>
      <c r="E29" s="30"/>
      <c r="F29" s="33"/>
      <c r="G29" s="30"/>
      <c r="H29" s="33"/>
      <c r="I29" s="49"/>
      <c r="J29" s="53"/>
      <c r="K29" s="33"/>
      <c r="L29" s="33"/>
      <c r="M29" s="31"/>
      <c r="N29" s="30"/>
      <c r="O29" s="31"/>
      <c r="P29" s="13" t="str">
        <f t="shared" ca="1" si="0"/>
        <v/>
      </c>
      <c r="Q29" s="30"/>
    </row>
    <row r="30" spans="1:25" x14ac:dyDescent="0.25">
      <c r="A30" s="13" t="str">
        <f t="shared" si="1"/>
        <v/>
      </c>
      <c r="B30" s="31"/>
      <c r="C30" s="30"/>
      <c r="D30" s="30"/>
      <c r="E30" s="30"/>
      <c r="F30" s="33"/>
      <c r="G30" s="30"/>
      <c r="H30" s="33"/>
      <c r="I30" s="49"/>
      <c r="J30" s="53"/>
      <c r="K30" s="33"/>
      <c r="L30" s="33"/>
      <c r="M30" s="31"/>
      <c r="N30" s="30"/>
      <c r="O30" s="31"/>
      <c r="P30" s="13" t="str">
        <f t="shared" ca="1" si="0"/>
        <v/>
      </c>
      <c r="Q30" s="30"/>
    </row>
    <row r="31" spans="1:25" x14ac:dyDescent="0.25">
      <c r="A31" s="13" t="str">
        <f t="shared" si="1"/>
        <v/>
      </c>
      <c r="B31" s="31"/>
      <c r="C31" s="30"/>
      <c r="D31" s="30"/>
      <c r="E31" s="30"/>
      <c r="F31" s="33"/>
      <c r="G31" s="30"/>
      <c r="H31" s="33"/>
      <c r="I31" s="49"/>
      <c r="J31" s="53"/>
      <c r="K31" s="33"/>
      <c r="L31" s="33"/>
      <c r="M31" s="31"/>
      <c r="N31" s="30"/>
      <c r="O31" s="31"/>
      <c r="P31" s="13" t="str">
        <f t="shared" ca="1" si="0"/>
        <v/>
      </c>
      <c r="Q31" s="30"/>
    </row>
    <row r="32" spans="1:25" x14ac:dyDescent="0.25">
      <c r="A32" s="13" t="str">
        <f t="shared" si="1"/>
        <v/>
      </c>
      <c r="B32" s="31"/>
      <c r="C32" s="30"/>
      <c r="D32" s="30"/>
      <c r="E32" s="30"/>
      <c r="F32" s="33"/>
      <c r="G32" s="30"/>
      <c r="H32" s="33"/>
      <c r="I32" s="49"/>
      <c r="J32" s="53"/>
      <c r="K32" s="33"/>
      <c r="L32" s="33"/>
      <c r="M32" s="31"/>
      <c r="N32" s="30"/>
      <c r="O32" s="31"/>
      <c r="P32" s="13" t="str">
        <f t="shared" ca="1" si="0"/>
        <v/>
      </c>
      <c r="Q32" s="30"/>
    </row>
    <row r="33" spans="1:17" x14ac:dyDescent="0.25">
      <c r="A33" s="13" t="str">
        <f t="shared" si="1"/>
        <v/>
      </c>
      <c r="B33" s="31"/>
      <c r="C33" s="30"/>
      <c r="D33" s="30"/>
      <c r="E33" s="30"/>
      <c r="F33" s="33"/>
      <c r="G33" s="30"/>
      <c r="H33" s="33"/>
      <c r="I33" s="49"/>
      <c r="J33" s="53"/>
      <c r="K33" s="33"/>
      <c r="L33" s="33"/>
      <c r="M33" s="31"/>
      <c r="N33" s="30"/>
      <c r="O33" s="31"/>
      <c r="P33" s="13" t="str">
        <f t="shared" ca="1" si="0"/>
        <v/>
      </c>
      <c r="Q33" s="30"/>
    </row>
    <row r="34" spans="1:17" x14ac:dyDescent="0.25">
      <c r="A34" s="13" t="str">
        <f t="shared" si="1"/>
        <v/>
      </c>
      <c r="B34" s="31"/>
      <c r="C34" s="30"/>
      <c r="D34" s="30"/>
      <c r="E34" s="30"/>
      <c r="F34" s="33"/>
      <c r="G34" s="30"/>
      <c r="H34" s="33"/>
      <c r="I34" s="49"/>
      <c r="J34" s="53"/>
      <c r="K34" s="33"/>
      <c r="L34" s="33"/>
      <c r="M34" s="31"/>
      <c r="N34" s="30"/>
      <c r="O34" s="31"/>
      <c r="P34" s="13" t="str">
        <f t="shared" ca="1" si="0"/>
        <v/>
      </c>
      <c r="Q34" s="30"/>
    </row>
    <row r="35" spans="1:17" x14ac:dyDescent="0.25">
      <c r="A35" s="13" t="str">
        <f t="shared" si="1"/>
        <v/>
      </c>
      <c r="B35" s="31"/>
      <c r="C35" s="30"/>
      <c r="D35" s="30"/>
      <c r="E35" s="30"/>
      <c r="F35" s="33"/>
      <c r="G35" s="30"/>
      <c r="H35" s="33"/>
      <c r="I35" s="49"/>
      <c r="J35" s="53"/>
      <c r="K35" s="33"/>
      <c r="L35" s="33"/>
      <c r="M35" s="31"/>
      <c r="N35" s="30"/>
      <c r="O35" s="31"/>
      <c r="P35" s="13" t="str">
        <f t="shared" ca="1" si="0"/>
        <v/>
      </c>
      <c r="Q35" s="30"/>
    </row>
    <row r="36" spans="1:17" x14ac:dyDescent="0.25">
      <c r="A36" s="13" t="str">
        <f t="shared" si="1"/>
        <v/>
      </c>
      <c r="B36" s="31"/>
      <c r="C36" s="30"/>
      <c r="D36" s="30"/>
      <c r="E36" s="30"/>
      <c r="F36" s="33"/>
      <c r="G36" s="30"/>
      <c r="H36" s="33"/>
      <c r="I36" s="49"/>
      <c r="J36" s="53"/>
      <c r="K36" s="33"/>
      <c r="L36" s="33"/>
      <c r="M36" s="31"/>
      <c r="N36" s="30"/>
      <c r="O36" s="31"/>
      <c r="P36" s="13" t="str">
        <f t="shared" ca="1" si="0"/>
        <v/>
      </c>
      <c r="Q36" s="30"/>
    </row>
    <row r="37" spans="1:17" x14ac:dyDescent="0.25">
      <c r="A37" s="13" t="str">
        <f t="shared" si="1"/>
        <v/>
      </c>
      <c r="B37" s="31"/>
      <c r="C37" s="30"/>
      <c r="D37" s="30"/>
      <c r="E37" s="30"/>
      <c r="F37" s="33"/>
      <c r="G37" s="30"/>
      <c r="H37" s="33"/>
      <c r="I37" s="49"/>
      <c r="J37" s="53"/>
      <c r="K37" s="33"/>
      <c r="L37" s="33"/>
      <c r="M37" s="31"/>
      <c r="N37" s="30"/>
      <c r="O37" s="31"/>
      <c r="P37" s="13" t="str">
        <f t="shared" ca="1" si="0"/>
        <v/>
      </c>
      <c r="Q37" s="30"/>
    </row>
    <row r="38" spans="1:17" x14ac:dyDescent="0.25">
      <c r="A38" s="13" t="str">
        <f t="shared" si="1"/>
        <v/>
      </c>
      <c r="B38" s="31"/>
      <c r="C38" s="30"/>
      <c r="D38" s="30"/>
      <c r="E38" s="30"/>
      <c r="F38" s="33"/>
      <c r="G38" s="30"/>
      <c r="H38" s="33"/>
      <c r="I38" s="49"/>
      <c r="J38" s="53"/>
      <c r="K38" s="33"/>
      <c r="L38" s="33"/>
      <c r="M38" s="31"/>
      <c r="N38" s="30"/>
      <c r="O38" s="31"/>
      <c r="P38" s="13" t="str">
        <f t="shared" ca="1" si="0"/>
        <v/>
      </c>
      <c r="Q38" s="30"/>
    </row>
    <row r="39" spans="1:17" x14ac:dyDescent="0.25">
      <c r="A39" s="13" t="str">
        <f t="shared" si="1"/>
        <v/>
      </c>
      <c r="B39" s="31"/>
      <c r="C39" s="30"/>
      <c r="D39" s="30"/>
      <c r="E39" s="30"/>
      <c r="F39" s="33"/>
      <c r="G39" s="30"/>
      <c r="H39" s="33"/>
      <c r="I39" s="49"/>
      <c r="J39" s="53"/>
      <c r="K39" s="33"/>
      <c r="L39" s="33"/>
      <c r="M39" s="31"/>
      <c r="N39" s="30"/>
      <c r="O39" s="31"/>
      <c r="P39" s="13" t="str">
        <f t="shared" ca="1" si="0"/>
        <v/>
      </c>
      <c r="Q39" s="30"/>
    </row>
    <row r="40" spans="1:17" x14ac:dyDescent="0.25">
      <c r="A40" s="13" t="str">
        <f t="shared" si="1"/>
        <v/>
      </c>
      <c r="B40" s="31"/>
      <c r="C40" s="30"/>
      <c r="D40" s="30"/>
      <c r="E40" s="30"/>
      <c r="F40" s="33"/>
      <c r="G40" s="30"/>
      <c r="H40" s="33"/>
      <c r="I40" s="49"/>
      <c r="J40" s="53"/>
      <c r="K40" s="33"/>
      <c r="L40" s="33"/>
      <c r="M40" s="31"/>
      <c r="N40" s="30"/>
      <c r="O40" s="31"/>
      <c r="P40" s="13" t="str">
        <f t="shared" ca="1" si="0"/>
        <v/>
      </c>
      <c r="Q40" s="30"/>
    </row>
    <row r="41" spans="1:17" x14ac:dyDescent="0.25">
      <c r="A41" s="13" t="str">
        <f t="shared" si="1"/>
        <v/>
      </c>
      <c r="B41" s="31"/>
      <c r="C41" s="30"/>
      <c r="D41" s="30"/>
      <c r="E41" s="30"/>
      <c r="F41" s="33"/>
      <c r="G41" s="30"/>
      <c r="H41" s="33"/>
      <c r="I41" s="49"/>
      <c r="J41" s="53"/>
      <c r="K41" s="33"/>
      <c r="L41" s="33"/>
      <c r="M41" s="31"/>
      <c r="N41" s="30"/>
      <c r="O41" s="31"/>
      <c r="P41" s="13" t="str">
        <f t="shared" ca="1" si="0"/>
        <v/>
      </c>
      <c r="Q41" s="30"/>
    </row>
    <row r="42" spans="1:17" x14ac:dyDescent="0.25">
      <c r="A42" s="13" t="str">
        <f t="shared" si="1"/>
        <v/>
      </c>
      <c r="B42" s="31"/>
      <c r="C42" s="30"/>
      <c r="D42" s="30"/>
      <c r="E42" s="30"/>
      <c r="F42" s="33"/>
      <c r="G42" s="30"/>
      <c r="H42" s="33"/>
      <c r="I42" s="49"/>
      <c r="J42" s="53"/>
      <c r="K42" s="33"/>
      <c r="L42" s="33"/>
      <c r="M42" s="31"/>
      <c r="N42" s="30"/>
      <c r="O42" s="31"/>
      <c r="P42" s="13" t="str">
        <f t="shared" ca="1" si="0"/>
        <v/>
      </c>
      <c r="Q42" s="30"/>
    </row>
    <row r="43" spans="1:17" x14ac:dyDescent="0.25">
      <c r="A43" s="13" t="str">
        <f t="shared" si="1"/>
        <v/>
      </c>
      <c r="B43" s="31"/>
      <c r="C43" s="30"/>
      <c r="D43" s="30"/>
      <c r="E43" s="30"/>
      <c r="F43" s="33"/>
      <c r="G43" s="30"/>
      <c r="H43" s="33"/>
      <c r="I43" s="49"/>
      <c r="J43" s="53"/>
      <c r="K43" s="33"/>
      <c r="L43" s="33"/>
      <c r="M43" s="31"/>
      <c r="N43" s="30"/>
      <c r="O43" s="31"/>
      <c r="P43" s="13" t="str">
        <f t="shared" ca="1" si="0"/>
        <v/>
      </c>
      <c r="Q43" s="30"/>
    </row>
    <row r="44" spans="1:17" x14ac:dyDescent="0.25">
      <c r="A44" s="13" t="str">
        <f t="shared" si="1"/>
        <v/>
      </c>
      <c r="B44" s="31"/>
      <c r="C44" s="30"/>
      <c r="D44" s="30"/>
      <c r="E44" s="30"/>
      <c r="F44" s="33"/>
      <c r="G44" s="30"/>
      <c r="H44" s="33"/>
      <c r="I44" s="49"/>
      <c r="J44" s="53"/>
      <c r="K44" s="33"/>
      <c r="L44" s="33"/>
      <c r="M44" s="31"/>
      <c r="N44" s="30"/>
      <c r="O44" s="31"/>
      <c r="P44" s="13" t="str">
        <f t="shared" ca="1" si="0"/>
        <v/>
      </c>
      <c r="Q44" s="30"/>
    </row>
    <row r="45" spans="1:17" x14ac:dyDescent="0.25">
      <c r="A45" s="13" t="str">
        <f t="shared" si="1"/>
        <v/>
      </c>
      <c r="B45" s="31"/>
      <c r="C45" s="30"/>
      <c r="D45" s="30"/>
      <c r="E45" s="30"/>
      <c r="F45" s="33"/>
      <c r="G45" s="30"/>
      <c r="H45" s="33"/>
      <c r="I45" s="49"/>
      <c r="J45" s="53"/>
      <c r="K45" s="33"/>
      <c r="L45" s="33"/>
      <c r="M45" s="31"/>
      <c r="N45" s="30"/>
      <c r="O45" s="31"/>
      <c r="P45" s="13" t="str">
        <f t="shared" ca="1" si="0"/>
        <v/>
      </c>
      <c r="Q45" s="30"/>
    </row>
    <row r="46" spans="1:17" x14ac:dyDescent="0.25">
      <c r="A46" s="13" t="str">
        <f t="shared" si="1"/>
        <v/>
      </c>
      <c r="B46" s="31"/>
      <c r="C46" s="30"/>
      <c r="D46" s="30"/>
      <c r="E46" s="30"/>
      <c r="F46" s="33"/>
      <c r="G46" s="30"/>
      <c r="H46" s="33"/>
      <c r="I46" s="49"/>
      <c r="J46" s="53"/>
      <c r="K46" s="33"/>
      <c r="L46" s="33"/>
      <c r="M46" s="31"/>
      <c r="N46" s="30"/>
      <c r="O46" s="31"/>
      <c r="P46" s="13" t="str">
        <f t="shared" ca="1" si="0"/>
        <v/>
      </c>
      <c r="Q46" s="30"/>
    </row>
    <row r="47" spans="1:17" x14ac:dyDescent="0.25">
      <c r="A47" s="13" t="str">
        <f t="shared" si="1"/>
        <v/>
      </c>
      <c r="B47" s="31"/>
      <c r="C47" s="30"/>
      <c r="D47" s="30"/>
      <c r="E47" s="30"/>
      <c r="F47" s="33"/>
      <c r="G47" s="30"/>
      <c r="H47" s="33"/>
      <c r="I47" s="49"/>
      <c r="J47" s="53"/>
      <c r="K47" s="33"/>
      <c r="L47" s="33"/>
      <c r="M47" s="31"/>
      <c r="N47" s="30"/>
      <c r="O47" s="31"/>
      <c r="P47" s="13" t="str">
        <f t="shared" ca="1" si="0"/>
        <v/>
      </c>
      <c r="Q47" s="30"/>
    </row>
    <row r="48" spans="1:17" x14ac:dyDescent="0.25">
      <c r="A48" s="13" t="str">
        <f t="shared" si="1"/>
        <v/>
      </c>
      <c r="B48" s="31"/>
      <c r="C48" s="30"/>
      <c r="D48" s="30"/>
      <c r="E48" s="30"/>
      <c r="F48" s="33"/>
      <c r="G48" s="30"/>
      <c r="H48" s="33"/>
      <c r="I48" s="49"/>
      <c r="J48" s="53"/>
      <c r="K48" s="33"/>
      <c r="L48" s="33"/>
      <c r="M48" s="31"/>
      <c r="N48" s="30"/>
      <c r="O48" s="31"/>
      <c r="P48" s="13" t="str">
        <f t="shared" ca="1" si="0"/>
        <v/>
      </c>
      <c r="Q48" s="30"/>
    </row>
    <row r="49" spans="1:17" x14ac:dyDescent="0.25">
      <c r="A49" s="13" t="str">
        <f t="shared" si="1"/>
        <v/>
      </c>
      <c r="B49" s="31"/>
      <c r="C49" s="30"/>
      <c r="D49" s="30"/>
      <c r="E49" s="30"/>
      <c r="F49" s="33"/>
      <c r="G49" s="30"/>
      <c r="H49" s="33"/>
      <c r="I49" s="49"/>
      <c r="J49" s="53"/>
      <c r="K49" s="33"/>
      <c r="L49" s="33"/>
      <c r="M49" s="31"/>
      <c r="N49" s="30"/>
      <c r="O49" s="31"/>
      <c r="P49" s="13" t="str">
        <f t="shared" ca="1" si="0"/>
        <v/>
      </c>
      <c r="Q49" s="30"/>
    </row>
    <row r="50" spans="1:17" x14ac:dyDescent="0.25">
      <c r="A50" s="13" t="str">
        <f t="shared" si="1"/>
        <v/>
      </c>
      <c r="B50" s="31"/>
      <c r="C50" s="30"/>
      <c r="D50" s="30"/>
      <c r="E50" s="30"/>
      <c r="F50" s="33"/>
      <c r="G50" s="30"/>
      <c r="H50" s="33"/>
      <c r="I50" s="49"/>
      <c r="J50" s="53"/>
      <c r="K50" s="33"/>
      <c r="L50" s="33"/>
      <c r="M50" s="31"/>
      <c r="N50" s="30"/>
      <c r="O50" s="31"/>
      <c r="P50" s="13" t="str">
        <f t="shared" ca="1" si="0"/>
        <v/>
      </c>
      <c r="Q50" s="30"/>
    </row>
    <row r="51" spans="1:17" x14ac:dyDescent="0.25">
      <c r="A51" s="13" t="str">
        <f t="shared" si="1"/>
        <v/>
      </c>
      <c r="B51" s="31"/>
      <c r="C51" s="30"/>
      <c r="D51" s="30"/>
      <c r="E51" s="30"/>
      <c r="F51" s="33"/>
      <c r="G51" s="30"/>
      <c r="H51" s="33"/>
      <c r="I51" s="49"/>
      <c r="J51" s="53"/>
      <c r="K51" s="33"/>
      <c r="L51" s="33"/>
      <c r="M51" s="31"/>
      <c r="N51" s="30"/>
      <c r="O51" s="31"/>
      <c r="P51" s="13" t="str">
        <f t="shared" ca="1" si="0"/>
        <v/>
      </c>
      <c r="Q51" s="30"/>
    </row>
    <row r="52" spans="1:17" x14ac:dyDescent="0.25">
      <c r="A52" s="13" t="str">
        <f t="shared" si="1"/>
        <v/>
      </c>
      <c r="B52" s="31"/>
      <c r="C52" s="30"/>
      <c r="D52" s="30"/>
      <c r="E52" s="30"/>
      <c r="F52" s="33"/>
      <c r="G52" s="30"/>
      <c r="H52" s="33"/>
      <c r="I52" s="49"/>
      <c r="J52" s="53"/>
      <c r="K52" s="33"/>
      <c r="L52" s="33"/>
      <c r="M52" s="31"/>
      <c r="N52" s="30"/>
      <c r="O52" s="31"/>
      <c r="P52" s="13" t="str">
        <f t="shared" ca="1" si="0"/>
        <v/>
      </c>
      <c r="Q52" s="30"/>
    </row>
    <row r="53" spans="1:17" x14ac:dyDescent="0.25">
      <c r="A53" s="13" t="str">
        <f t="shared" si="1"/>
        <v/>
      </c>
      <c r="B53" s="31"/>
      <c r="C53" s="30"/>
      <c r="D53" s="30"/>
      <c r="E53" s="30"/>
      <c r="F53" s="33"/>
      <c r="G53" s="30"/>
      <c r="H53" s="33"/>
      <c r="I53" s="49"/>
      <c r="J53" s="53"/>
      <c r="K53" s="33"/>
      <c r="L53" s="33"/>
      <c r="M53" s="31"/>
      <c r="N53" s="30"/>
      <c r="O53" s="31"/>
      <c r="P53" s="13" t="str">
        <f t="shared" ca="1" si="0"/>
        <v/>
      </c>
      <c r="Q53" s="30"/>
    </row>
    <row r="54" spans="1:17" x14ac:dyDescent="0.25">
      <c r="A54" s="13" t="str">
        <f t="shared" si="1"/>
        <v/>
      </c>
      <c r="B54" s="31"/>
      <c r="C54" s="30"/>
      <c r="D54" s="30"/>
      <c r="E54" s="30"/>
      <c r="F54" s="33"/>
      <c r="G54" s="30"/>
      <c r="H54" s="33"/>
      <c r="I54" s="49"/>
      <c r="J54" s="53"/>
      <c r="K54" s="33"/>
      <c r="L54" s="33"/>
      <c r="M54" s="31"/>
      <c r="N54" s="30"/>
      <c r="O54" s="31"/>
      <c r="P54" s="13" t="str">
        <f t="shared" ca="1" si="0"/>
        <v/>
      </c>
      <c r="Q54" s="30"/>
    </row>
    <row r="55" spans="1:17" x14ac:dyDescent="0.25">
      <c r="A55" s="13" t="str">
        <f t="shared" si="1"/>
        <v/>
      </c>
      <c r="B55" s="31"/>
      <c r="C55" s="30"/>
      <c r="D55" s="30"/>
      <c r="E55" s="30"/>
      <c r="F55" s="33"/>
      <c r="G55" s="30"/>
      <c r="H55" s="33"/>
      <c r="I55" s="49"/>
      <c r="J55" s="53"/>
      <c r="K55" s="33"/>
      <c r="L55" s="33"/>
      <c r="M55" s="31"/>
      <c r="N55" s="30"/>
      <c r="O55" s="31"/>
      <c r="P55" s="13" t="str">
        <f t="shared" ca="1" si="0"/>
        <v/>
      </c>
      <c r="Q55" s="30"/>
    </row>
    <row r="56" spans="1:17" x14ac:dyDescent="0.25">
      <c r="A56" s="13" t="str">
        <f t="shared" si="1"/>
        <v/>
      </c>
      <c r="B56" s="31"/>
      <c r="C56" s="30"/>
      <c r="D56" s="30"/>
      <c r="E56" s="30"/>
      <c r="F56" s="33"/>
      <c r="G56" s="30"/>
      <c r="H56" s="33"/>
      <c r="I56" s="49"/>
      <c r="J56" s="53"/>
      <c r="K56" s="33"/>
      <c r="L56" s="33"/>
      <c r="M56" s="31"/>
      <c r="N56" s="30"/>
      <c r="O56" s="31"/>
      <c r="P56" s="13" t="str">
        <f t="shared" ca="1" si="0"/>
        <v/>
      </c>
      <c r="Q56" s="30"/>
    </row>
    <row r="57" spans="1:17" x14ac:dyDescent="0.25">
      <c r="A57" s="13" t="str">
        <f t="shared" si="1"/>
        <v/>
      </c>
      <c r="B57" s="31"/>
      <c r="C57" s="30"/>
      <c r="D57" s="30"/>
      <c r="E57" s="30"/>
      <c r="F57" s="33"/>
      <c r="G57" s="30"/>
      <c r="H57" s="33"/>
      <c r="I57" s="49"/>
      <c r="J57" s="53"/>
      <c r="K57" s="33"/>
      <c r="L57" s="33"/>
      <c r="M57" s="31"/>
      <c r="N57" s="30"/>
      <c r="O57" s="31"/>
      <c r="P57" s="13" t="str">
        <f t="shared" ca="1" si="0"/>
        <v/>
      </c>
      <c r="Q57" s="30"/>
    </row>
    <row r="58" spans="1:17" x14ac:dyDescent="0.25">
      <c r="A58" s="13" t="str">
        <f t="shared" si="1"/>
        <v/>
      </c>
      <c r="B58" s="31"/>
      <c r="C58" s="30"/>
      <c r="D58" s="30"/>
      <c r="E58" s="30"/>
      <c r="F58" s="33"/>
      <c r="G58" s="30"/>
      <c r="H58" s="33"/>
      <c r="I58" s="49"/>
      <c r="J58" s="53"/>
      <c r="K58" s="33"/>
      <c r="L58" s="33"/>
      <c r="M58" s="31"/>
      <c r="N58" s="30"/>
      <c r="O58" s="31"/>
      <c r="P58" s="13" t="str">
        <f t="shared" ca="1" si="0"/>
        <v/>
      </c>
      <c r="Q58" s="30"/>
    </row>
    <row r="59" spans="1:17" x14ac:dyDescent="0.25">
      <c r="A59" s="13" t="str">
        <f t="shared" si="1"/>
        <v/>
      </c>
      <c r="B59" s="31"/>
      <c r="C59" s="30"/>
      <c r="D59" s="30"/>
      <c r="E59" s="30"/>
      <c r="F59" s="33"/>
      <c r="G59" s="30"/>
      <c r="H59" s="33"/>
      <c r="I59" s="49"/>
      <c r="J59" s="53"/>
      <c r="K59" s="33"/>
      <c r="L59" s="33"/>
      <c r="M59" s="31"/>
      <c r="N59" s="30"/>
      <c r="O59" s="31"/>
      <c r="P59" s="13" t="str">
        <f t="shared" ca="1" si="0"/>
        <v/>
      </c>
      <c r="Q59" s="30"/>
    </row>
    <row r="60" spans="1:17" x14ac:dyDescent="0.25">
      <c r="A60" s="13" t="str">
        <f t="shared" si="1"/>
        <v/>
      </c>
      <c r="B60" s="31"/>
      <c r="C60" s="30"/>
      <c r="D60" s="30"/>
      <c r="E60" s="30"/>
      <c r="F60" s="33"/>
      <c r="G60" s="30"/>
      <c r="H60" s="33"/>
      <c r="I60" s="49"/>
      <c r="J60" s="53"/>
      <c r="K60" s="33"/>
      <c r="L60" s="33"/>
      <c r="M60" s="31"/>
      <c r="N60" s="30"/>
      <c r="O60" s="31"/>
      <c r="P60" s="13" t="str">
        <f t="shared" ca="1" si="0"/>
        <v/>
      </c>
      <c r="Q60" s="30"/>
    </row>
    <row r="61" spans="1:17" x14ac:dyDescent="0.25">
      <c r="A61" s="13" t="str">
        <f t="shared" si="1"/>
        <v/>
      </c>
      <c r="B61" s="31"/>
      <c r="C61" s="30"/>
      <c r="D61" s="30"/>
      <c r="E61" s="30"/>
      <c r="F61" s="33"/>
      <c r="G61" s="30"/>
      <c r="H61" s="33"/>
      <c r="I61" s="49"/>
      <c r="J61" s="53"/>
      <c r="K61" s="33"/>
      <c r="L61" s="33"/>
      <c r="M61" s="31"/>
      <c r="N61" s="30"/>
      <c r="O61" s="31"/>
      <c r="P61" s="13" t="str">
        <f t="shared" ca="1" si="0"/>
        <v/>
      </c>
      <c r="Q61" s="30"/>
    </row>
    <row r="62" spans="1:17" x14ac:dyDescent="0.25">
      <c r="A62" s="13" t="str">
        <f t="shared" si="1"/>
        <v/>
      </c>
      <c r="B62" s="31"/>
      <c r="C62" s="30"/>
      <c r="D62" s="30"/>
      <c r="E62" s="30"/>
      <c r="F62" s="33"/>
      <c r="G62" s="30"/>
      <c r="H62" s="33"/>
      <c r="I62" s="49"/>
      <c r="J62" s="53"/>
      <c r="K62" s="33"/>
      <c r="L62" s="33"/>
      <c r="M62" s="31"/>
      <c r="N62" s="30"/>
      <c r="O62" s="31"/>
      <c r="P62" s="13" t="str">
        <f t="shared" ca="1" si="0"/>
        <v/>
      </c>
      <c r="Q62" s="30"/>
    </row>
    <row r="63" spans="1:17" x14ac:dyDescent="0.25">
      <c r="A63" s="13" t="str">
        <f t="shared" si="1"/>
        <v/>
      </c>
      <c r="B63" s="31"/>
      <c r="C63" s="30"/>
      <c r="D63" s="30"/>
      <c r="E63" s="30"/>
      <c r="F63" s="33"/>
      <c r="G63" s="30"/>
      <c r="H63" s="33"/>
      <c r="I63" s="49"/>
      <c r="J63" s="53"/>
      <c r="K63" s="33"/>
      <c r="L63" s="33"/>
      <c r="M63" s="31"/>
      <c r="N63" s="30"/>
      <c r="O63" s="31"/>
      <c r="P63" s="13" t="str">
        <f t="shared" ca="1" si="0"/>
        <v/>
      </c>
      <c r="Q63" s="30"/>
    </row>
    <row r="64" spans="1:17" x14ac:dyDescent="0.25">
      <c r="A64" s="13" t="str">
        <f t="shared" si="1"/>
        <v/>
      </c>
      <c r="B64" s="31"/>
      <c r="C64" s="30"/>
      <c r="D64" s="30"/>
      <c r="E64" s="30"/>
      <c r="F64" s="33"/>
      <c r="G64" s="30"/>
      <c r="H64" s="33"/>
      <c r="I64" s="49"/>
      <c r="J64" s="53"/>
      <c r="K64" s="33"/>
      <c r="L64" s="33"/>
      <c r="M64" s="31"/>
      <c r="N64" s="30"/>
      <c r="O64" s="31"/>
      <c r="P64" s="13" t="str">
        <f t="shared" ca="1" si="0"/>
        <v/>
      </c>
      <c r="Q64" s="30"/>
    </row>
    <row r="65" spans="1:17" x14ac:dyDescent="0.25">
      <c r="A65" s="13" t="str">
        <f t="shared" si="1"/>
        <v/>
      </c>
      <c r="B65" s="31"/>
      <c r="C65" s="30"/>
      <c r="D65" s="30"/>
      <c r="E65" s="30"/>
      <c r="F65" s="33"/>
      <c r="G65" s="30"/>
      <c r="H65" s="33"/>
      <c r="I65" s="49"/>
      <c r="J65" s="53"/>
      <c r="K65" s="33"/>
      <c r="L65" s="33"/>
      <c r="M65" s="31"/>
      <c r="N65" s="30"/>
      <c r="O65" s="31"/>
      <c r="P65" s="13" t="str">
        <f t="shared" ca="1" si="0"/>
        <v/>
      </c>
      <c r="Q65" s="30"/>
    </row>
    <row r="66" spans="1:17" x14ac:dyDescent="0.25">
      <c r="A66" s="13" t="str">
        <f t="shared" si="1"/>
        <v/>
      </c>
      <c r="B66" s="31"/>
      <c r="C66" s="30"/>
      <c r="D66" s="30"/>
      <c r="E66" s="30"/>
      <c r="F66" s="33"/>
      <c r="G66" s="30"/>
      <c r="H66" s="33"/>
      <c r="I66" s="49"/>
      <c r="J66" s="53"/>
      <c r="K66" s="33"/>
      <c r="L66" s="33"/>
      <c r="M66" s="31"/>
      <c r="N66" s="30"/>
      <c r="O66" s="31"/>
      <c r="P66" s="13" t="str">
        <f t="shared" ca="1" si="0"/>
        <v/>
      </c>
      <c r="Q66" s="30"/>
    </row>
    <row r="67" spans="1:17" x14ac:dyDescent="0.25">
      <c r="A67" s="13" t="str">
        <f t="shared" si="1"/>
        <v/>
      </c>
      <c r="B67" s="31"/>
      <c r="C67" s="30"/>
      <c r="D67" s="30"/>
      <c r="E67" s="30"/>
      <c r="F67" s="33"/>
      <c r="G67" s="30"/>
      <c r="H67" s="33"/>
      <c r="I67" s="49"/>
      <c r="J67" s="53"/>
      <c r="K67" s="33"/>
      <c r="L67" s="33"/>
      <c r="M67" s="31"/>
      <c r="N67" s="30"/>
      <c r="O67" s="31"/>
      <c r="P67" s="13" t="str">
        <f t="shared" ca="1" si="0"/>
        <v/>
      </c>
      <c r="Q67" s="30"/>
    </row>
    <row r="68" spans="1:17" x14ac:dyDescent="0.25">
      <c r="A68" s="13" t="str">
        <f t="shared" si="1"/>
        <v/>
      </c>
      <c r="B68" s="31"/>
      <c r="C68" s="30"/>
      <c r="D68" s="30"/>
      <c r="E68" s="30"/>
      <c r="F68" s="33"/>
      <c r="G68" s="30"/>
      <c r="H68" s="33"/>
      <c r="I68" s="49"/>
      <c r="J68" s="53"/>
      <c r="K68" s="33"/>
      <c r="L68" s="33"/>
      <c r="M68" s="31"/>
      <c r="N68" s="30"/>
      <c r="O68" s="31"/>
      <c r="P68" s="13" t="str">
        <f t="shared" ca="1" si="0"/>
        <v/>
      </c>
      <c r="Q68" s="30"/>
    </row>
    <row r="69" spans="1:17" x14ac:dyDescent="0.25">
      <c r="A69" s="13" t="str">
        <f t="shared" si="1"/>
        <v/>
      </c>
      <c r="B69" s="31"/>
      <c r="C69" s="30"/>
      <c r="D69" s="30"/>
      <c r="E69" s="30"/>
      <c r="F69" s="33"/>
      <c r="G69" s="30"/>
      <c r="H69" s="33"/>
      <c r="I69" s="49"/>
      <c r="J69" s="53"/>
      <c r="K69" s="33"/>
      <c r="L69" s="33"/>
      <c r="M69" s="31"/>
      <c r="N69" s="30"/>
      <c r="O69" s="31"/>
      <c r="P69" s="13" t="str">
        <f t="shared" ref="P69:P132" ca="1" si="2">IF($B69="","",IF($O69&lt;&gt;"",$O69-$B69,TODAY()-$B69))</f>
        <v/>
      </c>
      <c r="Q69" s="30"/>
    </row>
    <row r="70" spans="1:17" x14ac:dyDescent="0.25">
      <c r="A70" s="13" t="str">
        <f t="shared" si="1"/>
        <v/>
      </c>
      <c r="B70" s="31"/>
      <c r="C70" s="30"/>
      <c r="D70" s="30"/>
      <c r="E70" s="30"/>
      <c r="F70" s="33"/>
      <c r="G70" s="30"/>
      <c r="H70" s="33"/>
      <c r="I70" s="49"/>
      <c r="J70" s="53"/>
      <c r="K70" s="33"/>
      <c r="L70" s="33"/>
      <c r="M70" s="31"/>
      <c r="N70" s="30"/>
      <c r="O70" s="31"/>
      <c r="P70" s="13" t="str">
        <f t="shared" ca="1" si="2"/>
        <v/>
      </c>
      <c r="Q70" s="30"/>
    </row>
    <row r="71" spans="1:17" x14ac:dyDescent="0.25">
      <c r="A71" s="13" t="str">
        <f t="shared" si="1"/>
        <v/>
      </c>
      <c r="B71" s="31"/>
      <c r="C71" s="30"/>
      <c r="D71" s="30"/>
      <c r="E71" s="30"/>
      <c r="F71" s="33"/>
      <c r="G71" s="30"/>
      <c r="H71" s="33"/>
      <c r="I71" s="49"/>
      <c r="J71" s="53"/>
      <c r="K71" s="33"/>
      <c r="L71" s="33"/>
      <c r="M71" s="31"/>
      <c r="N71" s="30"/>
      <c r="O71" s="31"/>
      <c r="P71" s="13" t="str">
        <f t="shared" ca="1" si="2"/>
        <v/>
      </c>
      <c r="Q71" s="30"/>
    </row>
    <row r="72" spans="1:17" x14ac:dyDescent="0.25">
      <c r="A72" s="13" t="str">
        <f t="shared" si="1"/>
        <v/>
      </c>
      <c r="B72" s="31"/>
      <c r="C72" s="30"/>
      <c r="D72" s="30"/>
      <c r="E72" s="30"/>
      <c r="F72" s="33"/>
      <c r="G72" s="30"/>
      <c r="H72" s="33"/>
      <c r="I72" s="49"/>
      <c r="J72" s="53"/>
      <c r="K72" s="33"/>
      <c r="L72" s="33"/>
      <c r="M72" s="31"/>
      <c r="N72" s="30"/>
      <c r="O72" s="31"/>
      <c r="P72" s="13" t="str">
        <f t="shared" ca="1" si="2"/>
        <v/>
      </c>
      <c r="Q72" s="30"/>
    </row>
    <row r="73" spans="1:17" x14ac:dyDescent="0.25">
      <c r="A73" s="13" t="str">
        <f t="shared" si="1"/>
        <v/>
      </c>
      <c r="B73" s="31"/>
      <c r="C73" s="30"/>
      <c r="D73" s="30"/>
      <c r="E73" s="30"/>
      <c r="F73" s="33"/>
      <c r="G73" s="30"/>
      <c r="H73" s="33"/>
      <c r="I73" s="49"/>
      <c r="J73" s="53"/>
      <c r="K73" s="33"/>
      <c r="L73" s="33"/>
      <c r="M73" s="31"/>
      <c r="N73" s="30"/>
      <c r="O73" s="31"/>
      <c r="P73" s="13" t="str">
        <f t="shared" ca="1" si="2"/>
        <v/>
      </c>
      <c r="Q73" s="30"/>
    </row>
    <row r="74" spans="1:17" x14ac:dyDescent="0.25">
      <c r="A74" s="13" t="str">
        <f t="shared" si="1"/>
        <v/>
      </c>
      <c r="B74" s="31"/>
      <c r="C74" s="30"/>
      <c r="D74" s="30"/>
      <c r="E74" s="30"/>
      <c r="F74" s="33"/>
      <c r="G74" s="30"/>
      <c r="H74" s="33"/>
      <c r="I74" s="49"/>
      <c r="J74" s="53"/>
      <c r="K74" s="33"/>
      <c r="L74" s="33"/>
      <c r="M74" s="31"/>
      <c r="N74" s="30"/>
      <c r="O74" s="31"/>
      <c r="P74" s="13" t="str">
        <f t="shared" ca="1" si="2"/>
        <v/>
      </c>
      <c r="Q74" s="30"/>
    </row>
    <row r="75" spans="1:17" x14ac:dyDescent="0.25">
      <c r="A75" s="13" t="str">
        <f t="shared" si="1"/>
        <v/>
      </c>
      <c r="B75" s="31"/>
      <c r="C75" s="30"/>
      <c r="D75" s="30"/>
      <c r="E75" s="30"/>
      <c r="F75" s="33"/>
      <c r="G75" s="30"/>
      <c r="H75" s="33"/>
      <c r="I75" s="49"/>
      <c r="J75" s="53"/>
      <c r="K75" s="33"/>
      <c r="L75" s="33"/>
      <c r="M75" s="31"/>
      <c r="N75" s="30"/>
      <c r="O75" s="31"/>
      <c r="P75" s="13" t="str">
        <f t="shared" ca="1" si="2"/>
        <v/>
      </c>
      <c r="Q75" s="30"/>
    </row>
    <row r="76" spans="1:17" x14ac:dyDescent="0.25">
      <c r="A76" s="13" t="str">
        <f t="shared" ref="A76:A139" si="3">IF($B76="","",ROW()-4)</f>
        <v/>
      </c>
      <c r="B76" s="31"/>
      <c r="C76" s="30"/>
      <c r="D76" s="30"/>
      <c r="E76" s="30"/>
      <c r="F76" s="33"/>
      <c r="G76" s="30"/>
      <c r="H76" s="33"/>
      <c r="I76" s="49"/>
      <c r="J76" s="53"/>
      <c r="K76" s="33"/>
      <c r="L76" s="33"/>
      <c r="M76" s="31"/>
      <c r="N76" s="30"/>
      <c r="O76" s="31"/>
      <c r="P76" s="13" t="str">
        <f t="shared" ca="1" si="2"/>
        <v/>
      </c>
      <c r="Q76" s="30"/>
    </row>
    <row r="77" spans="1:17" x14ac:dyDescent="0.25">
      <c r="A77" s="13" t="str">
        <f t="shared" si="3"/>
        <v/>
      </c>
      <c r="B77" s="31"/>
      <c r="C77" s="30"/>
      <c r="D77" s="30"/>
      <c r="E77" s="30"/>
      <c r="F77" s="33"/>
      <c r="G77" s="30"/>
      <c r="H77" s="33"/>
      <c r="I77" s="49"/>
      <c r="J77" s="53"/>
      <c r="K77" s="33"/>
      <c r="L77" s="33"/>
      <c r="M77" s="31"/>
      <c r="N77" s="30"/>
      <c r="O77" s="31"/>
      <c r="P77" s="13" t="str">
        <f t="shared" ca="1" si="2"/>
        <v/>
      </c>
      <c r="Q77" s="30"/>
    </row>
    <row r="78" spans="1:17" x14ac:dyDescent="0.25">
      <c r="A78" s="13" t="str">
        <f t="shared" si="3"/>
        <v/>
      </c>
      <c r="B78" s="31"/>
      <c r="C78" s="30"/>
      <c r="D78" s="30"/>
      <c r="E78" s="30"/>
      <c r="F78" s="33"/>
      <c r="G78" s="30"/>
      <c r="H78" s="33"/>
      <c r="I78" s="49"/>
      <c r="J78" s="53"/>
      <c r="K78" s="33"/>
      <c r="L78" s="33"/>
      <c r="M78" s="31"/>
      <c r="N78" s="30"/>
      <c r="O78" s="31"/>
      <c r="P78" s="13" t="str">
        <f t="shared" ca="1" si="2"/>
        <v/>
      </c>
      <c r="Q78" s="30"/>
    </row>
    <row r="79" spans="1:17" x14ac:dyDescent="0.25">
      <c r="A79" s="13" t="str">
        <f t="shared" si="3"/>
        <v/>
      </c>
      <c r="B79" s="31"/>
      <c r="C79" s="30"/>
      <c r="D79" s="30"/>
      <c r="E79" s="30"/>
      <c r="F79" s="33"/>
      <c r="G79" s="30"/>
      <c r="H79" s="33"/>
      <c r="I79" s="49"/>
      <c r="J79" s="53"/>
      <c r="K79" s="33"/>
      <c r="L79" s="33"/>
      <c r="M79" s="31"/>
      <c r="N79" s="30"/>
      <c r="O79" s="31"/>
      <c r="P79" s="13" t="str">
        <f t="shared" ca="1" si="2"/>
        <v/>
      </c>
      <c r="Q79" s="30"/>
    </row>
    <row r="80" spans="1:17" x14ac:dyDescent="0.25">
      <c r="A80" s="13" t="str">
        <f t="shared" si="3"/>
        <v/>
      </c>
      <c r="B80" s="31"/>
      <c r="C80" s="30"/>
      <c r="D80" s="30"/>
      <c r="E80" s="30"/>
      <c r="F80" s="33"/>
      <c r="G80" s="30"/>
      <c r="H80" s="33"/>
      <c r="I80" s="49"/>
      <c r="J80" s="53"/>
      <c r="K80" s="33"/>
      <c r="L80" s="33"/>
      <c r="M80" s="31"/>
      <c r="N80" s="30"/>
      <c r="O80" s="31"/>
      <c r="P80" s="13" t="str">
        <f t="shared" ca="1" si="2"/>
        <v/>
      </c>
      <c r="Q80" s="30"/>
    </row>
    <row r="81" spans="1:17" x14ac:dyDescent="0.25">
      <c r="A81" s="13" t="str">
        <f t="shared" si="3"/>
        <v/>
      </c>
      <c r="B81" s="31"/>
      <c r="C81" s="30"/>
      <c r="D81" s="30"/>
      <c r="E81" s="30"/>
      <c r="F81" s="33"/>
      <c r="G81" s="30"/>
      <c r="H81" s="33"/>
      <c r="I81" s="49"/>
      <c r="J81" s="53"/>
      <c r="K81" s="33"/>
      <c r="L81" s="33"/>
      <c r="M81" s="31"/>
      <c r="N81" s="30"/>
      <c r="O81" s="31"/>
      <c r="P81" s="13" t="str">
        <f t="shared" ca="1" si="2"/>
        <v/>
      </c>
      <c r="Q81" s="30"/>
    </row>
    <row r="82" spans="1:17" x14ac:dyDescent="0.25">
      <c r="A82" s="13" t="str">
        <f t="shared" si="3"/>
        <v/>
      </c>
      <c r="B82" s="31"/>
      <c r="C82" s="30"/>
      <c r="D82" s="30"/>
      <c r="E82" s="30"/>
      <c r="F82" s="33"/>
      <c r="G82" s="30"/>
      <c r="H82" s="33"/>
      <c r="I82" s="49"/>
      <c r="J82" s="53"/>
      <c r="K82" s="33"/>
      <c r="L82" s="33"/>
      <c r="M82" s="31"/>
      <c r="N82" s="30"/>
      <c r="O82" s="31"/>
      <c r="P82" s="13" t="str">
        <f t="shared" ca="1" si="2"/>
        <v/>
      </c>
      <c r="Q82" s="30"/>
    </row>
    <row r="83" spans="1:17" x14ac:dyDescent="0.25">
      <c r="A83" s="13" t="str">
        <f t="shared" si="3"/>
        <v/>
      </c>
      <c r="B83" s="31"/>
      <c r="C83" s="30"/>
      <c r="D83" s="30"/>
      <c r="E83" s="30"/>
      <c r="F83" s="33"/>
      <c r="G83" s="30"/>
      <c r="H83" s="33"/>
      <c r="I83" s="49"/>
      <c r="J83" s="53"/>
      <c r="K83" s="33"/>
      <c r="L83" s="33"/>
      <c r="M83" s="31"/>
      <c r="N83" s="30"/>
      <c r="O83" s="31"/>
      <c r="P83" s="13" t="str">
        <f t="shared" ca="1" si="2"/>
        <v/>
      </c>
      <c r="Q83" s="30"/>
    </row>
    <row r="84" spans="1:17" x14ac:dyDescent="0.25">
      <c r="A84" s="13" t="str">
        <f t="shared" si="3"/>
        <v/>
      </c>
      <c r="B84" s="31"/>
      <c r="C84" s="30"/>
      <c r="D84" s="30"/>
      <c r="E84" s="30"/>
      <c r="F84" s="33"/>
      <c r="G84" s="30"/>
      <c r="H84" s="33"/>
      <c r="I84" s="49"/>
      <c r="J84" s="53"/>
      <c r="K84" s="33"/>
      <c r="L84" s="33"/>
      <c r="M84" s="31"/>
      <c r="N84" s="30"/>
      <c r="O84" s="31"/>
      <c r="P84" s="13" t="str">
        <f t="shared" ca="1" si="2"/>
        <v/>
      </c>
      <c r="Q84" s="30"/>
    </row>
    <row r="85" spans="1:17" x14ac:dyDescent="0.25">
      <c r="A85" s="13" t="str">
        <f t="shared" si="3"/>
        <v/>
      </c>
      <c r="B85" s="31"/>
      <c r="C85" s="30"/>
      <c r="D85" s="30"/>
      <c r="E85" s="30"/>
      <c r="F85" s="33"/>
      <c r="G85" s="30"/>
      <c r="H85" s="33"/>
      <c r="I85" s="49"/>
      <c r="J85" s="53"/>
      <c r="K85" s="33"/>
      <c r="L85" s="33"/>
      <c r="M85" s="31"/>
      <c r="N85" s="30"/>
      <c r="O85" s="31"/>
      <c r="P85" s="13" t="str">
        <f t="shared" ca="1" si="2"/>
        <v/>
      </c>
      <c r="Q85" s="30"/>
    </row>
    <row r="86" spans="1:17" x14ac:dyDescent="0.25">
      <c r="A86" s="13" t="str">
        <f t="shared" si="3"/>
        <v/>
      </c>
      <c r="B86" s="31"/>
      <c r="C86" s="30"/>
      <c r="D86" s="30"/>
      <c r="E86" s="30"/>
      <c r="F86" s="33"/>
      <c r="G86" s="30"/>
      <c r="H86" s="33"/>
      <c r="I86" s="49"/>
      <c r="J86" s="53"/>
      <c r="K86" s="33"/>
      <c r="L86" s="33"/>
      <c r="M86" s="31"/>
      <c r="N86" s="30"/>
      <c r="O86" s="31"/>
      <c r="P86" s="13" t="str">
        <f t="shared" ca="1" si="2"/>
        <v/>
      </c>
      <c r="Q86" s="30"/>
    </row>
    <row r="87" spans="1:17" x14ac:dyDescent="0.25">
      <c r="A87" s="13" t="str">
        <f t="shared" si="3"/>
        <v/>
      </c>
      <c r="B87" s="31"/>
      <c r="C87" s="30"/>
      <c r="D87" s="30"/>
      <c r="E87" s="30"/>
      <c r="F87" s="33"/>
      <c r="G87" s="30"/>
      <c r="H87" s="33"/>
      <c r="I87" s="49"/>
      <c r="J87" s="53"/>
      <c r="K87" s="33"/>
      <c r="L87" s="33"/>
      <c r="M87" s="31"/>
      <c r="N87" s="30"/>
      <c r="O87" s="31"/>
      <c r="P87" s="13" t="str">
        <f t="shared" ca="1" si="2"/>
        <v/>
      </c>
      <c r="Q87" s="30"/>
    </row>
    <row r="88" spans="1:17" x14ac:dyDescent="0.25">
      <c r="A88" s="13" t="str">
        <f t="shared" si="3"/>
        <v/>
      </c>
      <c r="B88" s="31"/>
      <c r="C88" s="30"/>
      <c r="D88" s="30"/>
      <c r="E88" s="30"/>
      <c r="F88" s="33"/>
      <c r="G88" s="30"/>
      <c r="H88" s="33"/>
      <c r="I88" s="49"/>
      <c r="J88" s="53"/>
      <c r="K88" s="33"/>
      <c r="L88" s="33"/>
      <c r="M88" s="31"/>
      <c r="N88" s="30"/>
      <c r="O88" s="31"/>
      <c r="P88" s="13" t="str">
        <f t="shared" ca="1" si="2"/>
        <v/>
      </c>
      <c r="Q88" s="30"/>
    </row>
    <row r="89" spans="1:17" x14ac:dyDescent="0.25">
      <c r="A89" s="13" t="str">
        <f t="shared" si="3"/>
        <v/>
      </c>
      <c r="B89" s="31"/>
      <c r="C89" s="30"/>
      <c r="D89" s="30"/>
      <c r="E89" s="30"/>
      <c r="F89" s="33"/>
      <c r="G89" s="30"/>
      <c r="H89" s="33"/>
      <c r="I89" s="49"/>
      <c r="J89" s="53"/>
      <c r="K89" s="33"/>
      <c r="L89" s="33"/>
      <c r="M89" s="31"/>
      <c r="N89" s="30"/>
      <c r="O89" s="31"/>
      <c r="P89" s="13" t="str">
        <f t="shared" ca="1" si="2"/>
        <v/>
      </c>
      <c r="Q89" s="30"/>
    </row>
    <row r="90" spans="1:17" x14ac:dyDescent="0.25">
      <c r="A90" s="13" t="str">
        <f t="shared" si="3"/>
        <v/>
      </c>
      <c r="B90" s="31"/>
      <c r="C90" s="30"/>
      <c r="D90" s="30"/>
      <c r="E90" s="30"/>
      <c r="F90" s="33"/>
      <c r="G90" s="30"/>
      <c r="H90" s="33"/>
      <c r="I90" s="49"/>
      <c r="J90" s="53"/>
      <c r="K90" s="33"/>
      <c r="L90" s="33"/>
      <c r="M90" s="31"/>
      <c r="N90" s="30"/>
      <c r="O90" s="31"/>
      <c r="P90" s="13" t="str">
        <f t="shared" ca="1" si="2"/>
        <v/>
      </c>
      <c r="Q90" s="30"/>
    </row>
    <row r="91" spans="1:17" x14ac:dyDescent="0.25">
      <c r="A91" s="13" t="str">
        <f t="shared" si="3"/>
        <v/>
      </c>
      <c r="B91" s="31"/>
      <c r="C91" s="30"/>
      <c r="D91" s="30"/>
      <c r="E91" s="30"/>
      <c r="F91" s="33"/>
      <c r="G91" s="30"/>
      <c r="H91" s="33"/>
      <c r="I91" s="49"/>
      <c r="J91" s="53"/>
      <c r="K91" s="33"/>
      <c r="L91" s="33"/>
      <c r="M91" s="31"/>
      <c r="N91" s="30"/>
      <c r="O91" s="31"/>
      <c r="P91" s="13" t="str">
        <f t="shared" ca="1" si="2"/>
        <v/>
      </c>
      <c r="Q91" s="30"/>
    </row>
    <row r="92" spans="1:17" x14ac:dyDescent="0.25">
      <c r="A92" s="13" t="str">
        <f t="shared" si="3"/>
        <v/>
      </c>
      <c r="B92" s="31"/>
      <c r="C92" s="30"/>
      <c r="D92" s="30"/>
      <c r="E92" s="30"/>
      <c r="F92" s="33"/>
      <c r="G92" s="30"/>
      <c r="H92" s="33"/>
      <c r="I92" s="49"/>
      <c r="J92" s="53"/>
      <c r="K92" s="33"/>
      <c r="L92" s="33"/>
      <c r="M92" s="31"/>
      <c r="N92" s="30"/>
      <c r="O92" s="31"/>
      <c r="P92" s="13" t="str">
        <f t="shared" ca="1" si="2"/>
        <v/>
      </c>
      <c r="Q92" s="30"/>
    </row>
    <row r="93" spans="1:17" x14ac:dyDescent="0.25">
      <c r="A93" s="13" t="str">
        <f t="shared" si="3"/>
        <v/>
      </c>
      <c r="B93" s="31"/>
      <c r="C93" s="30"/>
      <c r="D93" s="30"/>
      <c r="E93" s="30"/>
      <c r="F93" s="33"/>
      <c r="G93" s="30"/>
      <c r="H93" s="33"/>
      <c r="I93" s="49"/>
      <c r="J93" s="53"/>
      <c r="K93" s="33"/>
      <c r="L93" s="33"/>
      <c r="M93" s="31"/>
      <c r="N93" s="30"/>
      <c r="O93" s="31"/>
      <c r="P93" s="13" t="str">
        <f t="shared" ca="1" si="2"/>
        <v/>
      </c>
      <c r="Q93" s="30"/>
    </row>
    <row r="94" spans="1:17" x14ac:dyDescent="0.25">
      <c r="A94" s="13" t="str">
        <f t="shared" si="3"/>
        <v/>
      </c>
      <c r="B94" s="31"/>
      <c r="C94" s="30"/>
      <c r="D94" s="30"/>
      <c r="E94" s="30"/>
      <c r="F94" s="33"/>
      <c r="G94" s="30"/>
      <c r="H94" s="33"/>
      <c r="I94" s="49"/>
      <c r="J94" s="53"/>
      <c r="K94" s="33"/>
      <c r="L94" s="33"/>
      <c r="M94" s="31"/>
      <c r="N94" s="30"/>
      <c r="O94" s="31"/>
      <c r="P94" s="13" t="str">
        <f t="shared" ca="1" si="2"/>
        <v/>
      </c>
      <c r="Q94" s="30"/>
    </row>
    <row r="95" spans="1:17" x14ac:dyDescent="0.25">
      <c r="A95" s="13" t="str">
        <f t="shared" si="3"/>
        <v/>
      </c>
      <c r="B95" s="31"/>
      <c r="C95" s="30"/>
      <c r="D95" s="30"/>
      <c r="E95" s="30"/>
      <c r="F95" s="33"/>
      <c r="G95" s="30"/>
      <c r="H95" s="33"/>
      <c r="I95" s="49"/>
      <c r="J95" s="53"/>
      <c r="K95" s="33"/>
      <c r="L95" s="33"/>
      <c r="M95" s="31"/>
      <c r="N95" s="30"/>
      <c r="O95" s="31"/>
      <c r="P95" s="13" t="str">
        <f t="shared" ca="1" si="2"/>
        <v/>
      </c>
      <c r="Q95" s="30"/>
    </row>
    <row r="96" spans="1:17" x14ac:dyDescent="0.25">
      <c r="A96" s="13" t="str">
        <f t="shared" si="3"/>
        <v/>
      </c>
      <c r="B96" s="31"/>
      <c r="C96" s="30"/>
      <c r="D96" s="30"/>
      <c r="E96" s="30"/>
      <c r="F96" s="33"/>
      <c r="G96" s="30"/>
      <c r="H96" s="33"/>
      <c r="I96" s="49"/>
      <c r="J96" s="53"/>
      <c r="K96" s="33"/>
      <c r="L96" s="33"/>
      <c r="M96" s="31"/>
      <c r="N96" s="30"/>
      <c r="O96" s="31"/>
      <c r="P96" s="13" t="str">
        <f t="shared" ca="1" si="2"/>
        <v/>
      </c>
      <c r="Q96" s="30"/>
    </row>
    <row r="97" spans="1:17" x14ac:dyDescent="0.25">
      <c r="A97" s="13" t="str">
        <f t="shared" si="3"/>
        <v/>
      </c>
      <c r="B97" s="31"/>
      <c r="C97" s="30"/>
      <c r="D97" s="30"/>
      <c r="E97" s="30"/>
      <c r="F97" s="33"/>
      <c r="G97" s="30"/>
      <c r="H97" s="33"/>
      <c r="I97" s="49"/>
      <c r="J97" s="53"/>
      <c r="K97" s="33"/>
      <c r="L97" s="33"/>
      <c r="M97" s="31"/>
      <c r="N97" s="30"/>
      <c r="O97" s="31"/>
      <c r="P97" s="13" t="str">
        <f t="shared" ca="1" si="2"/>
        <v/>
      </c>
      <c r="Q97" s="30"/>
    </row>
    <row r="98" spans="1:17" x14ac:dyDescent="0.25">
      <c r="A98" s="13" t="str">
        <f t="shared" si="3"/>
        <v/>
      </c>
      <c r="B98" s="31"/>
      <c r="C98" s="30"/>
      <c r="D98" s="30"/>
      <c r="E98" s="30"/>
      <c r="F98" s="33"/>
      <c r="G98" s="30"/>
      <c r="H98" s="33"/>
      <c r="I98" s="49"/>
      <c r="J98" s="53"/>
      <c r="K98" s="33"/>
      <c r="L98" s="33"/>
      <c r="M98" s="31"/>
      <c r="N98" s="30"/>
      <c r="O98" s="31"/>
      <c r="P98" s="13" t="str">
        <f t="shared" ca="1" si="2"/>
        <v/>
      </c>
      <c r="Q98" s="30"/>
    </row>
    <row r="99" spans="1:17" x14ac:dyDescent="0.25">
      <c r="A99" s="13" t="str">
        <f t="shared" si="3"/>
        <v/>
      </c>
      <c r="B99" s="31"/>
      <c r="C99" s="30"/>
      <c r="D99" s="30"/>
      <c r="E99" s="30"/>
      <c r="F99" s="33"/>
      <c r="G99" s="30"/>
      <c r="H99" s="33"/>
      <c r="I99" s="49"/>
      <c r="J99" s="53"/>
      <c r="K99" s="33"/>
      <c r="L99" s="33"/>
      <c r="M99" s="31"/>
      <c r="N99" s="30"/>
      <c r="O99" s="31"/>
      <c r="P99" s="13" t="str">
        <f t="shared" ca="1" si="2"/>
        <v/>
      </c>
      <c r="Q99" s="30"/>
    </row>
    <row r="100" spans="1:17" x14ac:dyDescent="0.25">
      <c r="A100" s="13" t="str">
        <f t="shared" si="3"/>
        <v/>
      </c>
      <c r="B100" s="31"/>
      <c r="C100" s="30"/>
      <c r="D100" s="30"/>
      <c r="E100" s="30"/>
      <c r="F100" s="33"/>
      <c r="G100" s="30"/>
      <c r="H100" s="33"/>
      <c r="I100" s="49"/>
      <c r="J100" s="53"/>
      <c r="K100" s="33"/>
      <c r="L100" s="33"/>
      <c r="M100" s="31"/>
      <c r="N100" s="30"/>
      <c r="O100" s="31"/>
      <c r="P100" s="13" t="str">
        <f t="shared" ca="1" si="2"/>
        <v/>
      </c>
      <c r="Q100" s="30"/>
    </row>
    <row r="101" spans="1:17" x14ac:dyDescent="0.25">
      <c r="A101" s="13" t="str">
        <f t="shared" si="3"/>
        <v/>
      </c>
      <c r="B101" s="31"/>
      <c r="C101" s="30"/>
      <c r="D101" s="30"/>
      <c r="E101" s="30"/>
      <c r="F101" s="33"/>
      <c r="G101" s="30"/>
      <c r="H101" s="33"/>
      <c r="I101" s="49"/>
      <c r="J101" s="53"/>
      <c r="K101" s="33"/>
      <c r="L101" s="33"/>
      <c r="M101" s="31"/>
      <c r="N101" s="30"/>
      <c r="O101" s="31"/>
      <c r="P101" s="13" t="str">
        <f t="shared" ca="1" si="2"/>
        <v/>
      </c>
      <c r="Q101" s="30"/>
    </row>
    <row r="102" spans="1:17" x14ac:dyDescent="0.25">
      <c r="A102" s="13" t="str">
        <f t="shared" si="3"/>
        <v/>
      </c>
      <c r="B102" s="31"/>
      <c r="C102" s="30"/>
      <c r="D102" s="30"/>
      <c r="E102" s="30"/>
      <c r="F102" s="33"/>
      <c r="G102" s="30"/>
      <c r="H102" s="33"/>
      <c r="I102" s="49"/>
      <c r="J102" s="53"/>
      <c r="K102" s="33"/>
      <c r="L102" s="33"/>
      <c r="M102" s="31"/>
      <c r="N102" s="30"/>
      <c r="O102" s="31"/>
      <c r="P102" s="13" t="str">
        <f t="shared" ca="1" si="2"/>
        <v/>
      </c>
      <c r="Q102" s="30"/>
    </row>
    <row r="103" spans="1:17" x14ac:dyDescent="0.25">
      <c r="A103" s="13" t="str">
        <f t="shared" si="3"/>
        <v/>
      </c>
      <c r="B103" s="31"/>
      <c r="C103" s="30"/>
      <c r="D103" s="30"/>
      <c r="E103" s="30"/>
      <c r="F103" s="33"/>
      <c r="G103" s="30"/>
      <c r="H103" s="33"/>
      <c r="I103" s="49"/>
      <c r="J103" s="53"/>
      <c r="K103" s="33"/>
      <c r="L103" s="33"/>
      <c r="M103" s="31"/>
      <c r="N103" s="30"/>
      <c r="O103" s="31"/>
      <c r="P103" s="13" t="str">
        <f t="shared" ca="1" si="2"/>
        <v/>
      </c>
      <c r="Q103" s="30"/>
    </row>
    <row r="104" spans="1:17" x14ac:dyDescent="0.25">
      <c r="A104" s="13" t="str">
        <f t="shared" si="3"/>
        <v/>
      </c>
      <c r="B104" s="31"/>
      <c r="C104" s="30"/>
      <c r="D104" s="30"/>
      <c r="E104" s="30"/>
      <c r="F104" s="33"/>
      <c r="G104" s="30"/>
      <c r="H104" s="33"/>
      <c r="I104" s="49"/>
      <c r="J104" s="53"/>
      <c r="K104" s="33"/>
      <c r="L104" s="33"/>
      <c r="M104" s="31"/>
      <c r="N104" s="30"/>
      <c r="O104" s="31"/>
      <c r="P104" s="13" t="str">
        <f t="shared" ca="1" si="2"/>
        <v/>
      </c>
      <c r="Q104" s="30"/>
    </row>
    <row r="105" spans="1:17" x14ac:dyDescent="0.25">
      <c r="A105" s="13" t="str">
        <f t="shared" si="3"/>
        <v/>
      </c>
      <c r="B105" s="31"/>
      <c r="C105" s="30"/>
      <c r="D105" s="30"/>
      <c r="E105" s="30"/>
      <c r="F105" s="33"/>
      <c r="G105" s="30"/>
      <c r="H105" s="33"/>
      <c r="I105" s="49"/>
      <c r="J105" s="53"/>
      <c r="K105" s="33"/>
      <c r="L105" s="33"/>
      <c r="M105" s="31"/>
      <c r="N105" s="30"/>
      <c r="O105" s="31"/>
      <c r="P105" s="13" t="str">
        <f t="shared" ca="1" si="2"/>
        <v/>
      </c>
      <c r="Q105" s="30"/>
    </row>
    <row r="106" spans="1:17" x14ac:dyDescent="0.25">
      <c r="A106" s="13" t="str">
        <f t="shared" si="3"/>
        <v/>
      </c>
      <c r="B106" s="31"/>
      <c r="C106" s="30"/>
      <c r="D106" s="30"/>
      <c r="E106" s="30"/>
      <c r="F106" s="33"/>
      <c r="G106" s="30"/>
      <c r="H106" s="33"/>
      <c r="I106" s="49"/>
      <c r="J106" s="53"/>
      <c r="K106" s="33"/>
      <c r="L106" s="33"/>
      <c r="M106" s="31"/>
      <c r="N106" s="30"/>
      <c r="O106" s="31"/>
      <c r="P106" s="13" t="str">
        <f t="shared" ca="1" si="2"/>
        <v/>
      </c>
      <c r="Q106" s="30"/>
    </row>
    <row r="107" spans="1:17" x14ac:dyDescent="0.25">
      <c r="A107" s="13" t="str">
        <f t="shared" si="3"/>
        <v/>
      </c>
      <c r="B107" s="31"/>
      <c r="C107" s="30"/>
      <c r="D107" s="30"/>
      <c r="E107" s="30"/>
      <c r="F107" s="33"/>
      <c r="G107" s="30"/>
      <c r="H107" s="33"/>
      <c r="I107" s="49"/>
      <c r="J107" s="53"/>
      <c r="K107" s="33"/>
      <c r="L107" s="33"/>
      <c r="M107" s="31"/>
      <c r="N107" s="30"/>
      <c r="O107" s="31"/>
      <c r="P107" s="13" t="str">
        <f t="shared" ca="1" si="2"/>
        <v/>
      </c>
      <c r="Q107" s="30"/>
    </row>
    <row r="108" spans="1:17" x14ac:dyDescent="0.25">
      <c r="A108" s="13" t="str">
        <f t="shared" si="3"/>
        <v/>
      </c>
      <c r="B108" s="31"/>
      <c r="C108" s="30"/>
      <c r="D108" s="30"/>
      <c r="E108" s="30"/>
      <c r="F108" s="33"/>
      <c r="G108" s="30"/>
      <c r="H108" s="33"/>
      <c r="I108" s="49"/>
      <c r="J108" s="53"/>
      <c r="K108" s="33"/>
      <c r="L108" s="33"/>
      <c r="M108" s="31"/>
      <c r="N108" s="30"/>
      <c r="O108" s="31"/>
      <c r="P108" s="13" t="str">
        <f t="shared" ca="1" si="2"/>
        <v/>
      </c>
      <c r="Q108" s="30"/>
    </row>
    <row r="109" spans="1:17" x14ac:dyDescent="0.25">
      <c r="A109" s="13" t="str">
        <f t="shared" si="3"/>
        <v/>
      </c>
      <c r="B109" s="31"/>
      <c r="C109" s="30"/>
      <c r="D109" s="30"/>
      <c r="E109" s="30"/>
      <c r="F109" s="33"/>
      <c r="G109" s="30"/>
      <c r="H109" s="33"/>
      <c r="I109" s="49"/>
      <c r="J109" s="53"/>
      <c r="K109" s="33"/>
      <c r="L109" s="33"/>
      <c r="M109" s="31"/>
      <c r="N109" s="30"/>
      <c r="O109" s="31"/>
      <c r="P109" s="13" t="str">
        <f t="shared" ca="1" si="2"/>
        <v/>
      </c>
      <c r="Q109" s="30"/>
    </row>
    <row r="110" spans="1:17" x14ac:dyDescent="0.25">
      <c r="A110" s="13" t="str">
        <f t="shared" si="3"/>
        <v/>
      </c>
      <c r="B110" s="31"/>
      <c r="C110" s="30"/>
      <c r="D110" s="30"/>
      <c r="E110" s="30"/>
      <c r="F110" s="33"/>
      <c r="G110" s="30"/>
      <c r="H110" s="33"/>
      <c r="I110" s="49"/>
      <c r="J110" s="53"/>
      <c r="K110" s="33"/>
      <c r="L110" s="33"/>
      <c r="M110" s="31"/>
      <c r="N110" s="30"/>
      <c r="O110" s="31"/>
      <c r="P110" s="13" t="str">
        <f t="shared" ca="1" si="2"/>
        <v/>
      </c>
      <c r="Q110" s="30"/>
    </row>
    <row r="111" spans="1:17" x14ac:dyDescent="0.25">
      <c r="A111" s="13" t="str">
        <f t="shared" si="3"/>
        <v/>
      </c>
      <c r="B111" s="31"/>
      <c r="C111" s="30"/>
      <c r="D111" s="30"/>
      <c r="E111" s="30"/>
      <c r="F111" s="33"/>
      <c r="G111" s="30"/>
      <c r="H111" s="33"/>
      <c r="I111" s="49"/>
      <c r="J111" s="53"/>
      <c r="K111" s="33"/>
      <c r="L111" s="33"/>
      <c r="M111" s="31"/>
      <c r="N111" s="30"/>
      <c r="O111" s="31"/>
      <c r="P111" s="13" t="str">
        <f t="shared" ca="1" si="2"/>
        <v/>
      </c>
      <c r="Q111" s="30"/>
    </row>
    <row r="112" spans="1:17" x14ac:dyDescent="0.25">
      <c r="A112" s="13" t="str">
        <f t="shared" si="3"/>
        <v/>
      </c>
      <c r="B112" s="31"/>
      <c r="C112" s="30"/>
      <c r="D112" s="30"/>
      <c r="E112" s="30"/>
      <c r="F112" s="33"/>
      <c r="G112" s="30"/>
      <c r="H112" s="33"/>
      <c r="I112" s="49"/>
      <c r="J112" s="53"/>
      <c r="K112" s="33"/>
      <c r="L112" s="33"/>
      <c r="M112" s="31"/>
      <c r="N112" s="30"/>
      <c r="O112" s="31"/>
      <c r="P112" s="13" t="str">
        <f t="shared" ca="1" si="2"/>
        <v/>
      </c>
      <c r="Q112" s="30"/>
    </row>
    <row r="113" spans="1:17" x14ac:dyDescent="0.25">
      <c r="A113" s="13" t="str">
        <f t="shared" si="3"/>
        <v/>
      </c>
      <c r="B113" s="31"/>
      <c r="C113" s="30"/>
      <c r="D113" s="30"/>
      <c r="E113" s="30"/>
      <c r="F113" s="33"/>
      <c r="G113" s="30"/>
      <c r="H113" s="33"/>
      <c r="I113" s="49"/>
      <c r="J113" s="53"/>
      <c r="K113" s="33"/>
      <c r="L113" s="33"/>
      <c r="M113" s="31"/>
      <c r="N113" s="30"/>
      <c r="O113" s="31"/>
      <c r="P113" s="13" t="str">
        <f t="shared" ca="1" si="2"/>
        <v/>
      </c>
      <c r="Q113" s="30"/>
    </row>
    <row r="114" spans="1:17" x14ac:dyDescent="0.25">
      <c r="A114" s="13" t="str">
        <f t="shared" si="3"/>
        <v/>
      </c>
      <c r="B114" s="31"/>
      <c r="C114" s="30"/>
      <c r="D114" s="30"/>
      <c r="E114" s="30"/>
      <c r="F114" s="33"/>
      <c r="G114" s="30"/>
      <c r="H114" s="33"/>
      <c r="I114" s="49"/>
      <c r="J114" s="53"/>
      <c r="K114" s="33"/>
      <c r="L114" s="33"/>
      <c r="M114" s="31"/>
      <c r="N114" s="30"/>
      <c r="O114" s="31"/>
      <c r="P114" s="13" t="str">
        <f t="shared" ca="1" si="2"/>
        <v/>
      </c>
      <c r="Q114" s="30"/>
    </row>
    <row r="115" spans="1:17" x14ac:dyDescent="0.25">
      <c r="A115" s="13" t="str">
        <f t="shared" si="3"/>
        <v/>
      </c>
      <c r="B115" s="31"/>
      <c r="C115" s="30"/>
      <c r="D115" s="30"/>
      <c r="E115" s="30"/>
      <c r="F115" s="33"/>
      <c r="G115" s="30"/>
      <c r="H115" s="33"/>
      <c r="I115" s="49"/>
      <c r="J115" s="53"/>
      <c r="K115" s="33"/>
      <c r="L115" s="33"/>
      <c r="M115" s="31"/>
      <c r="N115" s="30"/>
      <c r="O115" s="31"/>
      <c r="P115" s="13" t="str">
        <f t="shared" ca="1" si="2"/>
        <v/>
      </c>
      <c r="Q115" s="30"/>
    </row>
    <row r="116" spans="1:17" x14ac:dyDescent="0.25">
      <c r="A116" s="13" t="str">
        <f t="shared" si="3"/>
        <v/>
      </c>
      <c r="B116" s="31"/>
      <c r="C116" s="30"/>
      <c r="D116" s="30"/>
      <c r="E116" s="30"/>
      <c r="F116" s="33"/>
      <c r="G116" s="30"/>
      <c r="H116" s="33"/>
      <c r="I116" s="49"/>
      <c r="J116" s="53"/>
      <c r="K116" s="33"/>
      <c r="L116" s="33"/>
      <c r="M116" s="31"/>
      <c r="N116" s="30"/>
      <c r="O116" s="31"/>
      <c r="P116" s="13" t="str">
        <f t="shared" ca="1" si="2"/>
        <v/>
      </c>
      <c r="Q116" s="30"/>
    </row>
    <row r="117" spans="1:17" x14ac:dyDescent="0.25">
      <c r="A117" s="13" t="str">
        <f t="shared" si="3"/>
        <v/>
      </c>
      <c r="B117" s="31"/>
      <c r="C117" s="30"/>
      <c r="D117" s="30"/>
      <c r="E117" s="30"/>
      <c r="F117" s="33"/>
      <c r="G117" s="30"/>
      <c r="H117" s="33"/>
      <c r="I117" s="49"/>
      <c r="J117" s="53"/>
      <c r="K117" s="33"/>
      <c r="L117" s="33"/>
      <c r="M117" s="31"/>
      <c r="N117" s="30"/>
      <c r="O117" s="31"/>
      <c r="P117" s="13" t="str">
        <f t="shared" ca="1" si="2"/>
        <v/>
      </c>
      <c r="Q117" s="30"/>
    </row>
    <row r="118" spans="1:17" x14ac:dyDescent="0.25">
      <c r="A118" s="13" t="str">
        <f t="shared" si="3"/>
        <v/>
      </c>
      <c r="B118" s="31"/>
      <c r="C118" s="30"/>
      <c r="D118" s="30"/>
      <c r="E118" s="30"/>
      <c r="F118" s="33"/>
      <c r="G118" s="30"/>
      <c r="H118" s="33"/>
      <c r="I118" s="49"/>
      <c r="J118" s="53"/>
      <c r="K118" s="33"/>
      <c r="L118" s="33"/>
      <c r="M118" s="31"/>
      <c r="N118" s="30"/>
      <c r="O118" s="31"/>
      <c r="P118" s="13" t="str">
        <f t="shared" ca="1" si="2"/>
        <v/>
      </c>
      <c r="Q118" s="30"/>
    </row>
    <row r="119" spans="1:17" x14ac:dyDescent="0.25">
      <c r="A119" s="13" t="str">
        <f t="shared" si="3"/>
        <v/>
      </c>
      <c r="B119" s="31"/>
      <c r="C119" s="30"/>
      <c r="D119" s="30"/>
      <c r="E119" s="30"/>
      <c r="F119" s="33"/>
      <c r="G119" s="30"/>
      <c r="H119" s="33"/>
      <c r="I119" s="49"/>
      <c r="J119" s="53"/>
      <c r="K119" s="33"/>
      <c r="L119" s="33"/>
      <c r="M119" s="31"/>
      <c r="N119" s="30"/>
      <c r="O119" s="31"/>
      <c r="P119" s="13" t="str">
        <f t="shared" ca="1" si="2"/>
        <v/>
      </c>
      <c r="Q119" s="30"/>
    </row>
    <row r="120" spans="1:17" x14ac:dyDescent="0.25">
      <c r="A120" s="13" t="str">
        <f t="shared" si="3"/>
        <v/>
      </c>
      <c r="B120" s="31"/>
      <c r="C120" s="30"/>
      <c r="D120" s="30"/>
      <c r="E120" s="30"/>
      <c r="F120" s="33"/>
      <c r="G120" s="30"/>
      <c r="H120" s="33"/>
      <c r="I120" s="49"/>
      <c r="J120" s="53"/>
      <c r="K120" s="33"/>
      <c r="L120" s="33"/>
      <c r="M120" s="31"/>
      <c r="N120" s="30"/>
      <c r="O120" s="31"/>
      <c r="P120" s="13" t="str">
        <f t="shared" ca="1" si="2"/>
        <v/>
      </c>
      <c r="Q120" s="30"/>
    </row>
    <row r="121" spans="1:17" x14ac:dyDescent="0.25">
      <c r="A121" s="13" t="str">
        <f t="shared" si="3"/>
        <v/>
      </c>
      <c r="B121" s="31"/>
      <c r="C121" s="30"/>
      <c r="D121" s="30"/>
      <c r="E121" s="30"/>
      <c r="F121" s="33"/>
      <c r="G121" s="30"/>
      <c r="H121" s="33"/>
      <c r="I121" s="49"/>
      <c r="J121" s="53"/>
      <c r="K121" s="33"/>
      <c r="L121" s="33"/>
      <c r="M121" s="31"/>
      <c r="N121" s="30"/>
      <c r="O121" s="31"/>
      <c r="P121" s="13" t="str">
        <f t="shared" ca="1" si="2"/>
        <v/>
      </c>
      <c r="Q121" s="30"/>
    </row>
    <row r="122" spans="1:17" x14ac:dyDescent="0.25">
      <c r="A122" s="13" t="str">
        <f t="shared" si="3"/>
        <v/>
      </c>
      <c r="B122" s="31"/>
      <c r="C122" s="30"/>
      <c r="D122" s="30"/>
      <c r="E122" s="30"/>
      <c r="F122" s="33"/>
      <c r="G122" s="30"/>
      <c r="H122" s="33"/>
      <c r="I122" s="49"/>
      <c r="J122" s="53"/>
      <c r="K122" s="33"/>
      <c r="L122" s="33"/>
      <c r="M122" s="31"/>
      <c r="N122" s="30"/>
      <c r="O122" s="31"/>
      <c r="P122" s="13" t="str">
        <f t="shared" ca="1" si="2"/>
        <v/>
      </c>
      <c r="Q122" s="30"/>
    </row>
    <row r="123" spans="1:17" x14ac:dyDescent="0.25">
      <c r="A123" s="13" t="str">
        <f t="shared" si="3"/>
        <v/>
      </c>
      <c r="B123" s="31"/>
      <c r="C123" s="30"/>
      <c r="D123" s="30"/>
      <c r="E123" s="30"/>
      <c r="F123" s="33"/>
      <c r="G123" s="30"/>
      <c r="H123" s="33"/>
      <c r="I123" s="49"/>
      <c r="J123" s="53"/>
      <c r="K123" s="33"/>
      <c r="L123" s="33"/>
      <c r="M123" s="31"/>
      <c r="N123" s="30"/>
      <c r="O123" s="31"/>
      <c r="P123" s="13" t="str">
        <f t="shared" ca="1" si="2"/>
        <v/>
      </c>
      <c r="Q123" s="30"/>
    </row>
    <row r="124" spans="1:17" x14ac:dyDescent="0.25">
      <c r="A124" s="13" t="str">
        <f t="shared" si="3"/>
        <v/>
      </c>
      <c r="B124" s="31"/>
      <c r="C124" s="30"/>
      <c r="D124" s="30"/>
      <c r="E124" s="30"/>
      <c r="F124" s="33"/>
      <c r="G124" s="30"/>
      <c r="H124" s="33"/>
      <c r="I124" s="49"/>
      <c r="J124" s="53"/>
      <c r="K124" s="33"/>
      <c r="L124" s="33"/>
      <c r="M124" s="31"/>
      <c r="N124" s="30"/>
      <c r="O124" s="31"/>
      <c r="P124" s="13" t="str">
        <f t="shared" ca="1" si="2"/>
        <v/>
      </c>
      <c r="Q124" s="30"/>
    </row>
    <row r="125" spans="1:17" x14ac:dyDescent="0.25">
      <c r="A125" s="13" t="str">
        <f t="shared" si="3"/>
        <v/>
      </c>
      <c r="B125" s="31"/>
      <c r="C125" s="30"/>
      <c r="D125" s="30"/>
      <c r="E125" s="30"/>
      <c r="F125" s="33"/>
      <c r="G125" s="30"/>
      <c r="H125" s="33"/>
      <c r="I125" s="49"/>
      <c r="J125" s="53"/>
      <c r="K125" s="33"/>
      <c r="L125" s="33"/>
      <c r="M125" s="31"/>
      <c r="N125" s="30"/>
      <c r="O125" s="31"/>
      <c r="P125" s="13" t="str">
        <f t="shared" ca="1" si="2"/>
        <v/>
      </c>
      <c r="Q125" s="30"/>
    </row>
    <row r="126" spans="1:17" x14ac:dyDescent="0.25">
      <c r="A126" s="13" t="str">
        <f t="shared" si="3"/>
        <v/>
      </c>
      <c r="B126" s="31"/>
      <c r="C126" s="30"/>
      <c r="D126" s="30"/>
      <c r="E126" s="30"/>
      <c r="F126" s="33"/>
      <c r="G126" s="30"/>
      <c r="H126" s="33"/>
      <c r="I126" s="49"/>
      <c r="J126" s="53"/>
      <c r="K126" s="33"/>
      <c r="L126" s="33"/>
      <c r="M126" s="31"/>
      <c r="N126" s="30"/>
      <c r="O126" s="31"/>
      <c r="P126" s="13" t="str">
        <f t="shared" ca="1" si="2"/>
        <v/>
      </c>
      <c r="Q126" s="30"/>
    </row>
    <row r="127" spans="1:17" x14ac:dyDescent="0.25">
      <c r="A127" s="13" t="str">
        <f t="shared" si="3"/>
        <v/>
      </c>
      <c r="B127" s="31"/>
      <c r="C127" s="30"/>
      <c r="D127" s="30"/>
      <c r="E127" s="30"/>
      <c r="F127" s="33"/>
      <c r="G127" s="30"/>
      <c r="H127" s="33"/>
      <c r="I127" s="49"/>
      <c r="J127" s="53"/>
      <c r="K127" s="33"/>
      <c r="L127" s="33"/>
      <c r="M127" s="31"/>
      <c r="N127" s="30"/>
      <c r="O127" s="31"/>
      <c r="P127" s="13" t="str">
        <f t="shared" ca="1" si="2"/>
        <v/>
      </c>
      <c r="Q127" s="30"/>
    </row>
    <row r="128" spans="1:17" x14ac:dyDescent="0.25">
      <c r="A128" s="13" t="str">
        <f t="shared" si="3"/>
        <v/>
      </c>
      <c r="B128" s="31"/>
      <c r="C128" s="30"/>
      <c r="D128" s="30"/>
      <c r="E128" s="30"/>
      <c r="F128" s="33"/>
      <c r="G128" s="30"/>
      <c r="H128" s="33"/>
      <c r="I128" s="49"/>
      <c r="J128" s="53"/>
      <c r="K128" s="33"/>
      <c r="L128" s="33"/>
      <c r="M128" s="31"/>
      <c r="N128" s="30"/>
      <c r="O128" s="31"/>
      <c r="P128" s="13" t="str">
        <f t="shared" ca="1" si="2"/>
        <v/>
      </c>
      <c r="Q128" s="30"/>
    </row>
    <row r="129" spans="1:17" x14ac:dyDescent="0.25">
      <c r="A129" s="13" t="str">
        <f t="shared" si="3"/>
        <v/>
      </c>
      <c r="B129" s="31"/>
      <c r="C129" s="30"/>
      <c r="D129" s="30"/>
      <c r="E129" s="30"/>
      <c r="F129" s="33"/>
      <c r="G129" s="30"/>
      <c r="H129" s="33"/>
      <c r="I129" s="49"/>
      <c r="J129" s="53"/>
      <c r="K129" s="33"/>
      <c r="L129" s="33"/>
      <c r="M129" s="31"/>
      <c r="N129" s="30"/>
      <c r="O129" s="31"/>
      <c r="P129" s="13" t="str">
        <f t="shared" ca="1" si="2"/>
        <v/>
      </c>
      <c r="Q129" s="30"/>
    </row>
    <row r="130" spans="1:17" x14ac:dyDescent="0.25">
      <c r="A130" s="13" t="str">
        <f t="shared" si="3"/>
        <v/>
      </c>
      <c r="B130" s="31"/>
      <c r="C130" s="30"/>
      <c r="D130" s="30"/>
      <c r="E130" s="30"/>
      <c r="F130" s="33"/>
      <c r="G130" s="30"/>
      <c r="H130" s="33"/>
      <c r="I130" s="49"/>
      <c r="J130" s="53"/>
      <c r="K130" s="33"/>
      <c r="L130" s="33"/>
      <c r="M130" s="31"/>
      <c r="N130" s="30"/>
      <c r="O130" s="31"/>
      <c r="P130" s="13" t="str">
        <f t="shared" ca="1" si="2"/>
        <v/>
      </c>
      <c r="Q130" s="30"/>
    </row>
    <row r="131" spans="1:17" x14ac:dyDescent="0.25">
      <c r="A131" s="13" t="str">
        <f t="shared" si="3"/>
        <v/>
      </c>
      <c r="B131" s="31"/>
      <c r="C131" s="30"/>
      <c r="D131" s="30"/>
      <c r="E131" s="30"/>
      <c r="F131" s="33"/>
      <c r="G131" s="30"/>
      <c r="H131" s="33"/>
      <c r="I131" s="49"/>
      <c r="J131" s="53"/>
      <c r="K131" s="33"/>
      <c r="L131" s="33"/>
      <c r="M131" s="31"/>
      <c r="N131" s="30"/>
      <c r="O131" s="31"/>
      <c r="P131" s="13" t="str">
        <f t="shared" ca="1" si="2"/>
        <v/>
      </c>
      <c r="Q131" s="30"/>
    </row>
    <row r="132" spans="1:17" x14ac:dyDescent="0.25">
      <c r="A132" s="13" t="str">
        <f t="shared" si="3"/>
        <v/>
      </c>
      <c r="B132" s="31"/>
      <c r="C132" s="30"/>
      <c r="D132" s="30"/>
      <c r="E132" s="30"/>
      <c r="F132" s="33"/>
      <c r="G132" s="30"/>
      <c r="H132" s="33"/>
      <c r="I132" s="49"/>
      <c r="J132" s="53"/>
      <c r="K132" s="33"/>
      <c r="L132" s="33"/>
      <c r="M132" s="31"/>
      <c r="N132" s="30"/>
      <c r="O132" s="31"/>
      <c r="P132" s="13" t="str">
        <f t="shared" ca="1" si="2"/>
        <v/>
      </c>
      <c r="Q132" s="30"/>
    </row>
    <row r="133" spans="1:17" x14ac:dyDescent="0.25">
      <c r="A133" s="13" t="str">
        <f t="shared" si="3"/>
        <v/>
      </c>
      <c r="B133" s="31"/>
      <c r="C133" s="30"/>
      <c r="D133" s="30"/>
      <c r="E133" s="30"/>
      <c r="F133" s="33"/>
      <c r="G133" s="30"/>
      <c r="H133" s="33"/>
      <c r="I133" s="49"/>
      <c r="J133" s="53"/>
      <c r="K133" s="33"/>
      <c r="L133" s="33"/>
      <c r="M133" s="31"/>
      <c r="N133" s="30"/>
      <c r="O133" s="31"/>
      <c r="P133" s="13" t="str">
        <f t="shared" ref="P133:P196" ca="1" si="4">IF($B133="","",IF($O133&lt;&gt;"",$O133-$B133,TODAY()-$B133))</f>
        <v/>
      </c>
      <c r="Q133" s="30"/>
    </row>
    <row r="134" spans="1:17" x14ac:dyDescent="0.25">
      <c r="A134" s="13" t="str">
        <f t="shared" si="3"/>
        <v/>
      </c>
      <c r="B134" s="31"/>
      <c r="C134" s="30"/>
      <c r="D134" s="30"/>
      <c r="E134" s="30"/>
      <c r="F134" s="33"/>
      <c r="G134" s="30"/>
      <c r="H134" s="33"/>
      <c r="I134" s="49"/>
      <c r="J134" s="53"/>
      <c r="K134" s="33"/>
      <c r="L134" s="33"/>
      <c r="M134" s="31"/>
      <c r="N134" s="30"/>
      <c r="O134" s="31"/>
      <c r="P134" s="13" t="str">
        <f t="shared" ca="1" si="4"/>
        <v/>
      </c>
      <c r="Q134" s="30"/>
    </row>
    <row r="135" spans="1:17" x14ac:dyDescent="0.25">
      <c r="A135" s="13" t="str">
        <f t="shared" si="3"/>
        <v/>
      </c>
      <c r="B135" s="31"/>
      <c r="C135" s="30"/>
      <c r="D135" s="30"/>
      <c r="E135" s="30"/>
      <c r="F135" s="33"/>
      <c r="G135" s="30"/>
      <c r="H135" s="33"/>
      <c r="I135" s="49"/>
      <c r="J135" s="53"/>
      <c r="K135" s="33"/>
      <c r="L135" s="33"/>
      <c r="M135" s="31"/>
      <c r="N135" s="30"/>
      <c r="O135" s="31"/>
      <c r="P135" s="13" t="str">
        <f t="shared" ca="1" si="4"/>
        <v/>
      </c>
      <c r="Q135" s="30"/>
    </row>
    <row r="136" spans="1:17" x14ac:dyDescent="0.25">
      <c r="A136" s="13" t="str">
        <f t="shared" si="3"/>
        <v/>
      </c>
      <c r="B136" s="31"/>
      <c r="C136" s="30"/>
      <c r="D136" s="30"/>
      <c r="E136" s="30"/>
      <c r="F136" s="33"/>
      <c r="G136" s="30"/>
      <c r="H136" s="33"/>
      <c r="I136" s="49"/>
      <c r="J136" s="53"/>
      <c r="K136" s="33"/>
      <c r="L136" s="33"/>
      <c r="M136" s="31"/>
      <c r="N136" s="30"/>
      <c r="O136" s="31"/>
      <c r="P136" s="13" t="str">
        <f t="shared" ca="1" si="4"/>
        <v/>
      </c>
      <c r="Q136" s="30"/>
    </row>
    <row r="137" spans="1:17" x14ac:dyDescent="0.25">
      <c r="A137" s="13" t="str">
        <f t="shared" si="3"/>
        <v/>
      </c>
      <c r="B137" s="31"/>
      <c r="C137" s="30"/>
      <c r="D137" s="30"/>
      <c r="E137" s="30"/>
      <c r="F137" s="33"/>
      <c r="G137" s="30"/>
      <c r="H137" s="33"/>
      <c r="I137" s="49"/>
      <c r="J137" s="53"/>
      <c r="K137" s="33"/>
      <c r="L137" s="33"/>
      <c r="M137" s="31"/>
      <c r="N137" s="30"/>
      <c r="O137" s="31"/>
      <c r="P137" s="13" t="str">
        <f t="shared" ca="1" si="4"/>
        <v/>
      </c>
      <c r="Q137" s="30"/>
    </row>
    <row r="138" spans="1:17" x14ac:dyDescent="0.25">
      <c r="A138" s="13" t="str">
        <f t="shared" si="3"/>
        <v/>
      </c>
      <c r="B138" s="31"/>
      <c r="C138" s="30"/>
      <c r="D138" s="30"/>
      <c r="E138" s="30"/>
      <c r="F138" s="33"/>
      <c r="G138" s="30"/>
      <c r="H138" s="33"/>
      <c r="I138" s="49"/>
      <c r="J138" s="53"/>
      <c r="K138" s="33"/>
      <c r="L138" s="33"/>
      <c r="M138" s="31"/>
      <c r="N138" s="30"/>
      <c r="O138" s="31"/>
      <c r="P138" s="13" t="str">
        <f t="shared" ca="1" si="4"/>
        <v/>
      </c>
      <c r="Q138" s="30"/>
    </row>
    <row r="139" spans="1:17" x14ac:dyDescent="0.25">
      <c r="A139" s="13" t="str">
        <f t="shared" si="3"/>
        <v/>
      </c>
      <c r="B139" s="31"/>
      <c r="C139" s="30"/>
      <c r="D139" s="30"/>
      <c r="E139" s="30"/>
      <c r="F139" s="33"/>
      <c r="G139" s="30"/>
      <c r="H139" s="33"/>
      <c r="I139" s="49"/>
      <c r="J139" s="53"/>
      <c r="K139" s="33"/>
      <c r="L139" s="33"/>
      <c r="M139" s="31"/>
      <c r="N139" s="30"/>
      <c r="O139" s="31"/>
      <c r="P139" s="13" t="str">
        <f t="shared" ca="1" si="4"/>
        <v/>
      </c>
      <c r="Q139" s="30"/>
    </row>
    <row r="140" spans="1:17" x14ac:dyDescent="0.25">
      <c r="A140" s="13" t="str">
        <f t="shared" ref="A140:A203" si="5">IF($B140="","",ROW()-4)</f>
        <v/>
      </c>
      <c r="B140" s="31"/>
      <c r="C140" s="30"/>
      <c r="D140" s="30"/>
      <c r="E140" s="30"/>
      <c r="F140" s="33"/>
      <c r="G140" s="30"/>
      <c r="H140" s="33"/>
      <c r="I140" s="49"/>
      <c r="J140" s="53"/>
      <c r="K140" s="33"/>
      <c r="L140" s="33"/>
      <c r="M140" s="31"/>
      <c r="N140" s="30"/>
      <c r="O140" s="31"/>
      <c r="P140" s="13" t="str">
        <f t="shared" ca="1" si="4"/>
        <v/>
      </c>
      <c r="Q140" s="30"/>
    </row>
    <row r="141" spans="1:17" x14ac:dyDescent="0.25">
      <c r="A141" s="13" t="str">
        <f t="shared" si="5"/>
        <v/>
      </c>
      <c r="B141" s="31"/>
      <c r="C141" s="30"/>
      <c r="D141" s="30"/>
      <c r="E141" s="30"/>
      <c r="F141" s="33"/>
      <c r="G141" s="30"/>
      <c r="H141" s="33"/>
      <c r="I141" s="49"/>
      <c r="J141" s="53"/>
      <c r="K141" s="33"/>
      <c r="L141" s="33"/>
      <c r="M141" s="31"/>
      <c r="N141" s="30"/>
      <c r="O141" s="31"/>
      <c r="P141" s="13" t="str">
        <f t="shared" ca="1" si="4"/>
        <v/>
      </c>
      <c r="Q141" s="30"/>
    </row>
    <row r="142" spans="1:17" x14ac:dyDescent="0.25">
      <c r="A142" s="13" t="str">
        <f t="shared" si="5"/>
        <v/>
      </c>
      <c r="B142" s="31"/>
      <c r="C142" s="30"/>
      <c r="D142" s="30"/>
      <c r="E142" s="30"/>
      <c r="F142" s="33"/>
      <c r="G142" s="30"/>
      <c r="H142" s="33"/>
      <c r="I142" s="49"/>
      <c r="J142" s="53"/>
      <c r="K142" s="33"/>
      <c r="L142" s="33"/>
      <c r="M142" s="31"/>
      <c r="N142" s="30"/>
      <c r="O142" s="31"/>
      <c r="P142" s="13" t="str">
        <f t="shared" ca="1" si="4"/>
        <v/>
      </c>
      <c r="Q142" s="30"/>
    </row>
    <row r="143" spans="1:17" x14ac:dyDescent="0.25">
      <c r="A143" s="13" t="str">
        <f t="shared" si="5"/>
        <v/>
      </c>
      <c r="B143" s="31"/>
      <c r="C143" s="30"/>
      <c r="D143" s="30"/>
      <c r="E143" s="30"/>
      <c r="F143" s="33"/>
      <c r="G143" s="30"/>
      <c r="H143" s="33"/>
      <c r="I143" s="49"/>
      <c r="J143" s="53"/>
      <c r="K143" s="33"/>
      <c r="L143" s="33"/>
      <c r="M143" s="31"/>
      <c r="N143" s="30"/>
      <c r="O143" s="31"/>
      <c r="P143" s="13" t="str">
        <f t="shared" ca="1" si="4"/>
        <v/>
      </c>
      <c r="Q143" s="30"/>
    </row>
    <row r="144" spans="1:17" x14ac:dyDescent="0.25">
      <c r="A144" s="13" t="str">
        <f t="shared" si="5"/>
        <v/>
      </c>
      <c r="B144" s="31"/>
      <c r="C144" s="30"/>
      <c r="D144" s="30"/>
      <c r="E144" s="30"/>
      <c r="F144" s="33"/>
      <c r="G144" s="30"/>
      <c r="H144" s="33"/>
      <c r="I144" s="49"/>
      <c r="J144" s="53"/>
      <c r="K144" s="33"/>
      <c r="L144" s="33"/>
      <c r="M144" s="31"/>
      <c r="N144" s="30"/>
      <c r="O144" s="31"/>
      <c r="P144" s="13" t="str">
        <f t="shared" ca="1" si="4"/>
        <v/>
      </c>
      <c r="Q144" s="30"/>
    </row>
    <row r="145" spans="1:17" x14ac:dyDescent="0.25">
      <c r="A145" s="13" t="str">
        <f t="shared" si="5"/>
        <v/>
      </c>
      <c r="B145" s="31"/>
      <c r="C145" s="30"/>
      <c r="D145" s="30"/>
      <c r="E145" s="30"/>
      <c r="F145" s="33"/>
      <c r="G145" s="30"/>
      <c r="H145" s="33"/>
      <c r="I145" s="49"/>
      <c r="J145" s="53"/>
      <c r="K145" s="33"/>
      <c r="L145" s="33"/>
      <c r="M145" s="31"/>
      <c r="N145" s="30"/>
      <c r="O145" s="31"/>
      <c r="P145" s="13" t="str">
        <f t="shared" ca="1" si="4"/>
        <v/>
      </c>
      <c r="Q145" s="30"/>
    </row>
    <row r="146" spans="1:17" x14ac:dyDescent="0.25">
      <c r="A146" s="13" t="str">
        <f t="shared" si="5"/>
        <v/>
      </c>
      <c r="B146" s="31"/>
      <c r="C146" s="30"/>
      <c r="D146" s="30"/>
      <c r="E146" s="30"/>
      <c r="F146" s="33"/>
      <c r="G146" s="30"/>
      <c r="H146" s="33"/>
      <c r="I146" s="49"/>
      <c r="J146" s="53"/>
      <c r="K146" s="33"/>
      <c r="L146" s="33"/>
      <c r="M146" s="31"/>
      <c r="N146" s="30"/>
      <c r="O146" s="31"/>
      <c r="P146" s="13" t="str">
        <f t="shared" ca="1" si="4"/>
        <v/>
      </c>
      <c r="Q146" s="30"/>
    </row>
    <row r="147" spans="1:17" x14ac:dyDescent="0.25">
      <c r="A147" s="13" t="str">
        <f t="shared" si="5"/>
        <v/>
      </c>
      <c r="B147" s="31"/>
      <c r="C147" s="30"/>
      <c r="D147" s="30"/>
      <c r="E147" s="30"/>
      <c r="F147" s="33"/>
      <c r="G147" s="30"/>
      <c r="H147" s="33"/>
      <c r="I147" s="49"/>
      <c r="J147" s="53"/>
      <c r="K147" s="33"/>
      <c r="L147" s="33"/>
      <c r="M147" s="31"/>
      <c r="N147" s="30"/>
      <c r="O147" s="31"/>
      <c r="P147" s="13" t="str">
        <f t="shared" ca="1" si="4"/>
        <v/>
      </c>
      <c r="Q147" s="30"/>
    </row>
    <row r="148" spans="1:17" x14ac:dyDescent="0.25">
      <c r="A148" s="13" t="str">
        <f t="shared" si="5"/>
        <v/>
      </c>
      <c r="B148" s="31"/>
      <c r="C148" s="30"/>
      <c r="D148" s="30"/>
      <c r="E148" s="30"/>
      <c r="F148" s="33"/>
      <c r="G148" s="30"/>
      <c r="H148" s="33"/>
      <c r="I148" s="49"/>
      <c r="J148" s="53"/>
      <c r="K148" s="33"/>
      <c r="L148" s="33"/>
      <c r="M148" s="31"/>
      <c r="N148" s="30"/>
      <c r="O148" s="31"/>
      <c r="P148" s="13" t="str">
        <f t="shared" ca="1" si="4"/>
        <v/>
      </c>
      <c r="Q148" s="30"/>
    </row>
    <row r="149" spans="1:17" x14ac:dyDescent="0.25">
      <c r="A149" s="13" t="str">
        <f t="shared" si="5"/>
        <v/>
      </c>
      <c r="B149" s="31"/>
      <c r="C149" s="30"/>
      <c r="D149" s="30"/>
      <c r="E149" s="30"/>
      <c r="F149" s="33"/>
      <c r="G149" s="30"/>
      <c r="H149" s="33"/>
      <c r="I149" s="49"/>
      <c r="J149" s="53"/>
      <c r="K149" s="33"/>
      <c r="L149" s="33"/>
      <c r="M149" s="31"/>
      <c r="N149" s="30"/>
      <c r="O149" s="31"/>
      <c r="P149" s="13" t="str">
        <f t="shared" ca="1" si="4"/>
        <v/>
      </c>
      <c r="Q149" s="30"/>
    </row>
    <row r="150" spans="1:17" x14ac:dyDescent="0.25">
      <c r="A150" s="13" t="str">
        <f t="shared" si="5"/>
        <v/>
      </c>
      <c r="B150" s="31"/>
      <c r="C150" s="30"/>
      <c r="D150" s="30"/>
      <c r="E150" s="30"/>
      <c r="F150" s="33"/>
      <c r="G150" s="30"/>
      <c r="H150" s="33"/>
      <c r="I150" s="49"/>
      <c r="J150" s="53"/>
      <c r="K150" s="33"/>
      <c r="L150" s="33"/>
      <c r="M150" s="31"/>
      <c r="N150" s="30"/>
      <c r="O150" s="31"/>
      <c r="P150" s="13" t="str">
        <f t="shared" ca="1" si="4"/>
        <v/>
      </c>
      <c r="Q150" s="30"/>
    </row>
    <row r="151" spans="1:17" x14ac:dyDescent="0.25">
      <c r="A151" s="13" t="str">
        <f t="shared" si="5"/>
        <v/>
      </c>
      <c r="B151" s="31"/>
      <c r="C151" s="30"/>
      <c r="D151" s="30"/>
      <c r="E151" s="30"/>
      <c r="F151" s="33"/>
      <c r="G151" s="30"/>
      <c r="H151" s="33"/>
      <c r="I151" s="49"/>
      <c r="J151" s="53"/>
      <c r="K151" s="33"/>
      <c r="L151" s="33"/>
      <c r="M151" s="31"/>
      <c r="N151" s="30"/>
      <c r="O151" s="31"/>
      <c r="P151" s="13" t="str">
        <f t="shared" ca="1" si="4"/>
        <v/>
      </c>
      <c r="Q151" s="30"/>
    </row>
    <row r="152" spans="1:17" x14ac:dyDescent="0.25">
      <c r="A152" s="13" t="str">
        <f t="shared" si="5"/>
        <v/>
      </c>
      <c r="B152" s="31"/>
      <c r="C152" s="30"/>
      <c r="D152" s="30"/>
      <c r="E152" s="30"/>
      <c r="F152" s="33"/>
      <c r="G152" s="30"/>
      <c r="H152" s="33"/>
      <c r="I152" s="49"/>
      <c r="J152" s="53"/>
      <c r="K152" s="33"/>
      <c r="L152" s="33"/>
      <c r="M152" s="31"/>
      <c r="N152" s="30"/>
      <c r="O152" s="31"/>
      <c r="P152" s="13" t="str">
        <f t="shared" ca="1" si="4"/>
        <v/>
      </c>
      <c r="Q152" s="30"/>
    </row>
    <row r="153" spans="1:17" x14ac:dyDescent="0.25">
      <c r="A153" s="13" t="str">
        <f t="shared" si="5"/>
        <v/>
      </c>
      <c r="B153" s="31"/>
      <c r="C153" s="30"/>
      <c r="D153" s="30"/>
      <c r="E153" s="30"/>
      <c r="F153" s="33"/>
      <c r="G153" s="30"/>
      <c r="H153" s="33"/>
      <c r="I153" s="49"/>
      <c r="J153" s="53"/>
      <c r="K153" s="33"/>
      <c r="L153" s="33"/>
      <c r="M153" s="31"/>
      <c r="N153" s="30"/>
      <c r="O153" s="31"/>
      <c r="P153" s="13" t="str">
        <f t="shared" ca="1" si="4"/>
        <v/>
      </c>
      <c r="Q153" s="30"/>
    </row>
    <row r="154" spans="1:17" x14ac:dyDescent="0.25">
      <c r="A154" s="13" t="str">
        <f t="shared" si="5"/>
        <v/>
      </c>
      <c r="B154" s="31"/>
      <c r="C154" s="30"/>
      <c r="D154" s="30"/>
      <c r="E154" s="30"/>
      <c r="F154" s="33"/>
      <c r="G154" s="30"/>
      <c r="H154" s="33"/>
      <c r="I154" s="49"/>
      <c r="J154" s="53"/>
      <c r="K154" s="33"/>
      <c r="L154" s="33"/>
      <c r="M154" s="31"/>
      <c r="N154" s="30"/>
      <c r="O154" s="31"/>
      <c r="P154" s="13" t="str">
        <f t="shared" ca="1" si="4"/>
        <v/>
      </c>
      <c r="Q154" s="30"/>
    </row>
    <row r="155" spans="1:17" x14ac:dyDescent="0.25">
      <c r="A155" s="13" t="str">
        <f t="shared" si="5"/>
        <v/>
      </c>
      <c r="B155" s="31"/>
      <c r="C155" s="30"/>
      <c r="D155" s="30"/>
      <c r="E155" s="30"/>
      <c r="F155" s="33"/>
      <c r="G155" s="30"/>
      <c r="H155" s="33"/>
      <c r="I155" s="49"/>
      <c r="J155" s="53"/>
      <c r="K155" s="33"/>
      <c r="L155" s="33"/>
      <c r="M155" s="31"/>
      <c r="N155" s="30"/>
      <c r="O155" s="31"/>
      <c r="P155" s="13" t="str">
        <f t="shared" ca="1" si="4"/>
        <v/>
      </c>
      <c r="Q155" s="30"/>
    </row>
    <row r="156" spans="1:17" x14ac:dyDescent="0.25">
      <c r="A156" s="13" t="str">
        <f t="shared" si="5"/>
        <v/>
      </c>
      <c r="B156" s="31"/>
      <c r="C156" s="30"/>
      <c r="D156" s="30"/>
      <c r="E156" s="30"/>
      <c r="F156" s="33"/>
      <c r="G156" s="30"/>
      <c r="H156" s="33"/>
      <c r="I156" s="49"/>
      <c r="J156" s="53"/>
      <c r="K156" s="33"/>
      <c r="L156" s="33"/>
      <c r="M156" s="31"/>
      <c r="N156" s="30"/>
      <c r="O156" s="31"/>
      <c r="P156" s="13" t="str">
        <f t="shared" ca="1" si="4"/>
        <v/>
      </c>
      <c r="Q156" s="30"/>
    </row>
    <row r="157" spans="1:17" x14ac:dyDescent="0.25">
      <c r="A157" s="13" t="str">
        <f t="shared" si="5"/>
        <v/>
      </c>
      <c r="B157" s="31"/>
      <c r="C157" s="30"/>
      <c r="D157" s="30"/>
      <c r="E157" s="30"/>
      <c r="F157" s="33"/>
      <c r="G157" s="30"/>
      <c r="H157" s="33"/>
      <c r="I157" s="49"/>
      <c r="J157" s="53"/>
      <c r="K157" s="33"/>
      <c r="L157" s="33"/>
      <c r="M157" s="31"/>
      <c r="N157" s="30"/>
      <c r="O157" s="31"/>
      <c r="P157" s="13" t="str">
        <f t="shared" ca="1" si="4"/>
        <v/>
      </c>
      <c r="Q157" s="30"/>
    </row>
    <row r="158" spans="1:17" x14ac:dyDescent="0.25">
      <c r="A158" s="13" t="str">
        <f t="shared" si="5"/>
        <v/>
      </c>
      <c r="B158" s="31"/>
      <c r="C158" s="30"/>
      <c r="D158" s="30"/>
      <c r="E158" s="30"/>
      <c r="F158" s="33"/>
      <c r="G158" s="30"/>
      <c r="H158" s="33"/>
      <c r="I158" s="49"/>
      <c r="J158" s="53"/>
      <c r="K158" s="33"/>
      <c r="L158" s="33"/>
      <c r="M158" s="31"/>
      <c r="N158" s="30"/>
      <c r="O158" s="31"/>
      <c r="P158" s="13" t="str">
        <f t="shared" ca="1" si="4"/>
        <v/>
      </c>
      <c r="Q158" s="30"/>
    </row>
    <row r="159" spans="1:17" x14ac:dyDescent="0.25">
      <c r="A159" s="13" t="str">
        <f t="shared" si="5"/>
        <v/>
      </c>
      <c r="B159" s="31"/>
      <c r="C159" s="30"/>
      <c r="D159" s="30"/>
      <c r="E159" s="30"/>
      <c r="F159" s="33"/>
      <c r="G159" s="30"/>
      <c r="H159" s="33"/>
      <c r="I159" s="49"/>
      <c r="J159" s="53"/>
      <c r="K159" s="33"/>
      <c r="L159" s="33"/>
      <c r="M159" s="31"/>
      <c r="N159" s="30"/>
      <c r="O159" s="31"/>
      <c r="P159" s="13" t="str">
        <f t="shared" ca="1" si="4"/>
        <v/>
      </c>
      <c r="Q159" s="30"/>
    </row>
    <row r="160" spans="1:17" x14ac:dyDescent="0.25">
      <c r="A160" s="13" t="str">
        <f t="shared" si="5"/>
        <v/>
      </c>
      <c r="B160" s="31"/>
      <c r="C160" s="30"/>
      <c r="D160" s="30"/>
      <c r="E160" s="30"/>
      <c r="F160" s="33"/>
      <c r="G160" s="30"/>
      <c r="H160" s="33"/>
      <c r="I160" s="49"/>
      <c r="J160" s="53"/>
      <c r="K160" s="33"/>
      <c r="L160" s="33"/>
      <c r="M160" s="31"/>
      <c r="N160" s="30"/>
      <c r="O160" s="31"/>
      <c r="P160" s="13" t="str">
        <f t="shared" ca="1" si="4"/>
        <v/>
      </c>
      <c r="Q160" s="30"/>
    </row>
    <row r="161" spans="1:17" x14ac:dyDescent="0.25">
      <c r="A161" s="13" t="str">
        <f t="shared" si="5"/>
        <v/>
      </c>
      <c r="B161" s="31"/>
      <c r="C161" s="30"/>
      <c r="D161" s="30"/>
      <c r="E161" s="30"/>
      <c r="F161" s="33"/>
      <c r="G161" s="30"/>
      <c r="H161" s="33"/>
      <c r="I161" s="49"/>
      <c r="J161" s="53"/>
      <c r="K161" s="33"/>
      <c r="L161" s="33"/>
      <c r="M161" s="31"/>
      <c r="N161" s="30"/>
      <c r="O161" s="31"/>
      <c r="P161" s="13" t="str">
        <f t="shared" ca="1" si="4"/>
        <v/>
      </c>
      <c r="Q161" s="30"/>
    </row>
    <row r="162" spans="1:17" x14ac:dyDescent="0.25">
      <c r="A162" s="13" t="str">
        <f t="shared" si="5"/>
        <v/>
      </c>
      <c r="B162" s="31"/>
      <c r="C162" s="30"/>
      <c r="D162" s="30"/>
      <c r="E162" s="30"/>
      <c r="F162" s="33"/>
      <c r="G162" s="30"/>
      <c r="H162" s="33"/>
      <c r="I162" s="49"/>
      <c r="J162" s="53"/>
      <c r="K162" s="33"/>
      <c r="L162" s="33"/>
      <c r="M162" s="31"/>
      <c r="N162" s="30"/>
      <c r="O162" s="31"/>
      <c r="P162" s="13" t="str">
        <f t="shared" ca="1" si="4"/>
        <v/>
      </c>
      <c r="Q162" s="30"/>
    </row>
    <row r="163" spans="1:17" x14ac:dyDescent="0.25">
      <c r="A163" s="13" t="str">
        <f t="shared" si="5"/>
        <v/>
      </c>
      <c r="B163" s="31"/>
      <c r="C163" s="30"/>
      <c r="D163" s="30"/>
      <c r="E163" s="30"/>
      <c r="F163" s="33"/>
      <c r="G163" s="30"/>
      <c r="H163" s="33"/>
      <c r="I163" s="49"/>
      <c r="J163" s="53"/>
      <c r="K163" s="33"/>
      <c r="L163" s="33"/>
      <c r="M163" s="31"/>
      <c r="N163" s="30"/>
      <c r="O163" s="31"/>
      <c r="P163" s="13" t="str">
        <f t="shared" ca="1" si="4"/>
        <v/>
      </c>
      <c r="Q163" s="30"/>
    </row>
    <row r="164" spans="1:17" x14ac:dyDescent="0.25">
      <c r="A164" s="13" t="str">
        <f t="shared" si="5"/>
        <v/>
      </c>
      <c r="B164" s="31"/>
      <c r="C164" s="30"/>
      <c r="D164" s="30"/>
      <c r="E164" s="30"/>
      <c r="F164" s="33"/>
      <c r="G164" s="30"/>
      <c r="H164" s="33"/>
      <c r="I164" s="49"/>
      <c r="J164" s="53"/>
      <c r="K164" s="33"/>
      <c r="L164" s="33"/>
      <c r="M164" s="31"/>
      <c r="N164" s="30"/>
      <c r="O164" s="31"/>
      <c r="P164" s="13" t="str">
        <f t="shared" ca="1" si="4"/>
        <v/>
      </c>
      <c r="Q164" s="30"/>
    </row>
    <row r="165" spans="1:17" x14ac:dyDescent="0.25">
      <c r="A165" s="13" t="str">
        <f t="shared" si="5"/>
        <v/>
      </c>
      <c r="B165" s="31"/>
      <c r="C165" s="30"/>
      <c r="D165" s="30"/>
      <c r="E165" s="30"/>
      <c r="F165" s="33"/>
      <c r="G165" s="30"/>
      <c r="H165" s="33"/>
      <c r="I165" s="49"/>
      <c r="J165" s="53"/>
      <c r="K165" s="33"/>
      <c r="L165" s="33"/>
      <c r="M165" s="31"/>
      <c r="N165" s="30"/>
      <c r="O165" s="31"/>
      <c r="P165" s="13" t="str">
        <f t="shared" ca="1" si="4"/>
        <v/>
      </c>
      <c r="Q165" s="30"/>
    </row>
    <row r="166" spans="1:17" x14ac:dyDescent="0.25">
      <c r="A166" s="13" t="str">
        <f t="shared" si="5"/>
        <v/>
      </c>
      <c r="B166" s="31"/>
      <c r="C166" s="30"/>
      <c r="D166" s="30"/>
      <c r="E166" s="30"/>
      <c r="F166" s="33"/>
      <c r="G166" s="30"/>
      <c r="H166" s="33"/>
      <c r="I166" s="49"/>
      <c r="J166" s="53"/>
      <c r="K166" s="33"/>
      <c r="L166" s="33"/>
      <c r="M166" s="31"/>
      <c r="N166" s="30"/>
      <c r="O166" s="31"/>
      <c r="P166" s="13" t="str">
        <f t="shared" ca="1" si="4"/>
        <v/>
      </c>
      <c r="Q166" s="30"/>
    </row>
    <row r="167" spans="1:17" x14ac:dyDescent="0.25">
      <c r="A167" s="13" t="str">
        <f t="shared" si="5"/>
        <v/>
      </c>
      <c r="B167" s="31"/>
      <c r="C167" s="30"/>
      <c r="D167" s="30"/>
      <c r="E167" s="30"/>
      <c r="F167" s="33"/>
      <c r="G167" s="30"/>
      <c r="H167" s="33"/>
      <c r="I167" s="49"/>
      <c r="J167" s="53"/>
      <c r="K167" s="33"/>
      <c r="L167" s="33"/>
      <c r="M167" s="31"/>
      <c r="N167" s="30"/>
      <c r="O167" s="31"/>
      <c r="P167" s="13" t="str">
        <f t="shared" ca="1" si="4"/>
        <v/>
      </c>
      <c r="Q167" s="30"/>
    </row>
    <row r="168" spans="1:17" x14ac:dyDescent="0.25">
      <c r="A168" s="13" t="str">
        <f t="shared" si="5"/>
        <v/>
      </c>
      <c r="B168" s="31"/>
      <c r="C168" s="30"/>
      <c r="D168" s="30"/>
      <c r="E168" s="30"/>
      <c r="F168" s="33"/>
      <c r="G168" s="30"/>
      <c r="H168" s="33"/>
      <c r="I168" s="49"/>
      <c r="J168" s="53"/>
      <c r="K168" s="33"/>
      <c r="L168" s="33"/>
      <c r="M168" s="31"/>
      <c r="N168" s="30"/>
      <c r="O168" s="31"/>
      <c r="P168" s="13" t="str">
        <f t="shared" ca="1" si="4"/>
        <v/>
      </c>
      <c r="Q168" s="30"/>
    </row>
    <row r="169" spans="1:17" x14ac:dyDescent="0.25">
      <c r="A169" s="13" t="str">
        <f t="shared" si="5"/>
        <v/>
      </c>
      <c r="B169" s="31"/>
      <c r="C169" s="30"/>
      <c r="D169" s="30"/>
      <c r="E169" s="30"/>
      <c r="F169" s="33"/>
      <c r="G169" s="30"/>
      <c r="H169" s="33"/>
      <c r="I169" s="49"/>
      <c r="J169" s="53"/>
      <c r="K169" s="33"/>
      <c r="L169" s="33"/>
      <c r="M169" s="31"/>
      <c r="N169" s="30"/>
      <c r="O169" s="31"/>
      <c r="P169" s="13" t="str">
        <f t="shared" ca="1" si="4"/>
        <v/>
      </c>
      <c r="Q169" s="30"/>
    </row>
    <row r="170" spans="1:17" x14ac:dyDescent="0.25">
      <c r="A170" s="13" t="str">
        <f t="shared" si="5"/>
        <v/>
      </c>
      <c r="B170" s="31"/>
      <c r="C170" s="30"/>
      <c r="D170" s="30"/>
      <c r="E170" s="30"/>
      <c r="F170" s="33"/>
      <c r="G170" s="30"/>
      <c r="H170" s="33"/>
      <c r="I170" s="49"/>
      <c r="J170" s="53"/>
      <c r="K170" s="33"/>
      <c r="L170" s="33"/>
      <c r="M170" s="31"/>
      <c r="N170" s="30"/>
      <c r="O170" s="31"/>
      <c r="P170" s="13" t="str">
        <f t="shared" ca="1" si="4"/>
        <v/>
      </c>
      <c r="Q170" s="30"/>
    </row>
    <row r="171" spans="1:17" x14ac:dyDescent="0.25">
      <c r="A171" s="13" t="str">
        <f t="shared" si="5"/>
        <v/>
      </c>
      <c r="B171" s="31"/>
      <c r="C171" s="30"/>
      <c r="D171" s="30"/>
      <c r="E171" s="30"/>
      <c r="F171" s="33"/>
      <c r="G171" s="30"/>
      <c r="H171" s="33"/>
      <c r="I171" s="49"/>
      <c r="J171" s="53"/>
      <c r="K171" s="33"/>
      <c r="L171" s="33"/>
      <c r="M171" s="31"/>
      <c r="N171" s="30"/>
      <c r="O171" s="31"/>
      <c r="P171" s="13" t="str">
        <f t="shared" ca="1" si="4"/>
        <v/>
      </c>
      <c r="Q171" s="30"/>
    </row>
    <row r="172" spans="1:17" x14ac:dyDescent="0.25">
      <c r="A172" s="13" t="str">
        <f t="shared" si="5"/>
        <v/>
      </c>
      <c r="B172" s="31"/>
      <c r="C172" s="30"/>
      <c r="D172" s="30"/>
      <c r="E172" s="30"/>
      <c r="F172" s="33"/>
      <c r="G172" s="30"/>
      <c r="H172" s="33"/>
      <c r="I172" s="49"/>
      <c r="J172" s="53"/>
      <c r="K172" s="33"/>
      <c r="L172" s="33"/>
      <c r="M172" s="31"/>
      <c r="N172" s="30"/>
      <c r="O172" s="31"/>
      <c r="P172" s="13" t="str">
        <f t="shared" ca="1" si="4"/>
        <v/>
      </c>
      <c r="Q172" s="30"/>
    </row>
    <row r="173" spans="1:17" x14ac:dyDescent="0.25">
      <c r="A173" s="13" t="str">
        <f t="shared" si="5"/>
        <v/>
      </c>
      <c r="B173" s="31"/>
      <c r="C173" s="30"/>
      <c r="D173" s="30"/>
      <c r="E173" s="30"/>
      <c r="F173" s="33"/>
      <c r="G173" s="30"/>
      <c r="H173" s="33"/>
      <c r="I173" s="49"/>
      <c r="J173" s="53"/>
      <c r="K173" s="33"/>
      <c r="L173" s="33"/>
      <c r="M173" s="31"/>
      <c r="N173" s="30"/>
      <c r="O173" s="31"/>
      <c r="P173" s="13" t="str">
        <f t="shared" ca="1" si="4"/>
        <v/>
      </c>
      <c r="Q173" s="30"/>
    </row>
    <row r="174" spans="1:17" x14ac:dyDescent="0.25">
      <c r="A174" s="13" t="str">
        <f t="shared" si="5"/>
        <v/>
      </c>
      <c r="B174" s="31"/>
      <c r="C174" s="30"/>
      <c r="D174" s="30"/>
      <c r="E174" s="30"/>
      <c r="F174" s="33"/>
      <c r="G174" s="30"/>
      <c r="H174" s="33"/>
      <c r="I174" s="49"/>
      <c r="J174" s="53"/>
      <c r="K174" s="33"/>
      <c r="L174" s="33"/>
      <c r="M174" s="31"/>
      <c r="N174" s="30"/>
      <c r="O174" s="31"/>
      <c r="P174" s="13" t="str">
        <f t="shared" ca="1" si="4"/>
        <v/>
      </c>
      <c r="Q174" s="30"/>
    </row>
    <row r="175" spans="1:17" x14ac:dyDescent="0.25">
      <c r="A175" s="13" t="str">
        <f t="shared" si="5"/>
        <v/>
      </c>
      <c r="B175" s="31"/>
      <c r="C175" s="30"/>
      <c r="D175" s="30"/>
      <c r="E175" s="30"/>
      <c r="F175" s="33"/>
      <c r="G175" s="30"/>
      <c r="H175" s="33"/>
      <c r="I175" s="49"/>
      <c r="J175" s="53"/>
      <c r="K175" s="33"/>
      <c r="L175" s="33"/>
      <c r="M175" s="31"/>
      <c r="N175" s="30"/>
      <c r="O175" s="31"/>
      <c r="P175" s="13" t="str">
        <f t="shared" ca="1" si="4"/>
        <v/>
      </c>
      <c r="Q175" s="30"/>
    </row>
    <row r="176" spans="1:17" x14ac:dyDescent="0.25">
      <c r="A176" s="13" t="str">
        <f t="shared" si="5"/>
        <v/>
      </c>
      <c r="B176" s="31"/>
      <c r="C176" s="30"/>
      <c r="D176" s="30"/>
      <c r="E176" s="30"/>
      <c r="F176" s="33"/>
      <c r="G176" s="30"/>
      <c r="H176" s="33"/>
      <c r="I176" s="49"/>
      <c r="J176" s="53"/>
      <c r="K176" s="33"/>
      <c r="L176" s="33"/>
      <c r="M176" s="31"/>
      <c r="N176" s="30"/>
      <c r="O176" s="31"/>
      <c r="P176" s="13" t="str">
        <f t="shared" ca="1" si="4"/>
        <v/>
      </c>
      <c r="Q176" s="30"/>
    </row>
    <row r="177" spans="1:17" x14ac:dyDescent="0.25">
      <c r="A177" s="13" t="str">
        <f t="shared" si="5"/>
        <v/>
      </c>
      <c r="B177" s="31"/>
      <c r="C177" s="30"/>
      <c r="D177" s="30"/>
      <c r="E177" s="30"/>
      <c r="F177" s="33"/>
      <c r="G177" s="30"/>
      <c r="H177" s="33"/>
      <c r="I177" s="49"/>
      <c r="J177" s="53"/>
      <c r="K177" s="33"/>
      <c r="L177" s="33"/>
      <c r="M177" s="31"/>
      <c r="N177" s="30"/>
      <c r="O177" s="31"/>
      <c r="P177" s="13" t="str">
        <f t="shared" ca="1" si="4"/>
        <v/>
      </c>
      <c r="Q177" s="30"/>
    </row>
    <row r="178" spans="1:17" x14ac:dyDescent="0.25">
      <c r="A178" s="13" t="str">
        <f t="shared" si="5"/>
        <v/>
      </c>
      <c r="B178" s="31"/>
      <c r="C178" s="30"/>
      <c r="D178" s="30"/>
      <c r="E178" s="30"/>
      <c r="F178" s="33"/>
      <c r="G178" s="30"/>
      <c r="H178" s="33"/>
      <c r="I178" s="49"/>
      <c r="J178" s="53"/>
      <c r="K178" s="33"/>
      <c r="L178" s="33"/>
      <c r="M178" s="31"/>
      <c r="N178" s="30"/>
      <c r="O178" s="31"/>
      <c r="P178" s="13" t="str">
        <f t="shared" ca="1" si="4"/>
        <v/>
      </c>
      <c r="Q178" s="30"/>
    </row>
    <row r="179" spans="1:17" x14ac:dyDescent="0.25">
      <c r="A179" s="13" t="str">
        <f t="shared" si="5"/>
        <v/>
      </c>
      <c r="B179" s="31"/>
      <c r="C179" s="30"/>
      <c r="D179" s="30"/>
      <c r="E179" s="30"/>
      <c r="F179" s="33"/>
      <c r="G179" s="30"/>
      <c r="H179" s="33"/>
      <c r="I179" s="49"/>
      <c r="J179" s="53"/>
      <c r="K179" s="33"/>
      <c r="L179" s="33"/>
      <c r="M179" s="31"/>
      <c r="N179" s="30"/>
      <c r="O179" s="31"/>
      <c r="P179" s="13" t="str">
        <f t="shared" ca="1" si="4"/>
        <v/>
      </c>
      <c r="Q179" s="30"/>
    </row>
    <row r="180" spans="1:17" x14ac:dyDescent="0.25">
      <c r="A180" s="13" t="str">
        <f t="shared" si="5"/>
        <v/>
      </c>
      <c r="B180" s="31"/>
      <c r="C180" s="30"/>
      <c r="D180" s="30"/>
      <c r="E180" s="30"/>
      <c r="F180" s="33"/>
      <c r="G180" s="30"/>
      <c r="H180" s="33"/>
      <c r="I180" s="49"/>
      <c r="J180" s="53"/>
      <c r="K180" s="33"/>
      <c r="L180" s="33"/>
      <c r="M180" s="31"/>
      <c r="N180" s="30"/>
      <c r="O180" s="31"/>
      <c r="P180" s="13" t="str">
        <f t="shared" ca="1" si="4"/>
        <v/>
      </c>
      <c r="Q180" s="30"/>
    </row>
    <row r="181" spans="1:17" x14ac:dyDescent="0.25">
      <c r="A181" s="13" t="str">
        <f t="shared" si="5"/>
        <v/>
      </c>
      <c r="B181" s="31"/>
      <c r="C181" s="30"/>
      <c r="D181" s="30"/>
      <c r="E181" s="30"/>
      <c r="F181" s="33"/>
      <c r="G181" s="30"/>
      <c r="H181" s="33"/>
      <c r="I181" s="49"/>
      <c r="J181" s="53"/>
      <c r="K181" s="33"/>
      <c r="L181" s="33"/>
      <c r="M181" s="31"/>
      <c r="N181" s="30"/>
      <c r="O181" s="31"/>
      <c r="P181" s="13" t="str">
        <f t="shared" ca="1" si="4"/>
        <v/>
      </c>
      <c r="Q181" s="30"/>
    </row>
    <row r="182" spans="1:17" x14ac:dyDescent="0.25">
      <c r="A182" s="13" t="str">
        <f t="shared" si="5"/>
        <v/>
      </c>
      <c r="B182" s="31"/>
      <c r="C182" s="30"/>
      <c r="D182" s="30"/>
      <c r="E182" s="30"/>
      <c r="F182" s="33"/>
      <c r="G182" s="30"/>
      <c r="H182" s="33"/>
      <c r="I182" s="49"/>
      <c r="J182" s="53"/>
      <c r="K182" s="33"/>
      <c r="L182" s="33"/>
      <c r="M182" s="31"/>
      <c r="N182" s="30"/>
      <c r="O182" s="31"/>
      <c r="P182" s="13" t="str">
        <f t="shared" ca="1" si="4"/>
        <v/>
      </c>
      <c r="Q182" s="30"/>
    </row>
    <row r="183" spans="1:17" x14ac:dyDescent="0.25">
      <c r="A183" s="13" t="str">
        <f t="shared" si="5"/>
        <v/>
      </c>
      <c r="B183" s="31"/>
      <c r="C183" s="30"/>
      <c r="D183" s="30"/>
      <c r="E183" s="30"/>
      <c r="F183" s="33"/>
      <c r="G183" s="30"/>
      <c r="H183" s="33"/>
      <c r="I183" s="49"/>
      <c r="J183" s="53"/>
      <c r="K183" s="33"/>
      <c r="L183" s="33"/>
      <c r="M183" s="31"/>
      <c r="N183" s="30"/>
      <c r="O183" s="31"/>
      <c r="P183" s="13" t="str">
        <f t="shared" ca="1" si="4"/>
        <v/>
      </c>
      <c r="Q183" s="30"/>
    </row>
    <row r="184" spans="1:17" x14ac:dyDescent="0.25">
      <c r="A184" s="13" t="str">
        <f t="shared" si="5"/>
        <v/>
      </c>
      <c r="B184" s="31"/>
      <c r="C184" s="30"/>
      <c r="D184" s="30"/>
      <c r="E184" s="30"/>
      <c r="F184" s="33"/>
      <c r="G184" s="30"/>
      <c r="H184" s="33"/>
      <c r="I184" s="49"/>
      <c r="J184" s="53"/>
      <c r="K184" s="33"/>
      <c r="L184" s="33"/>
      <c r="M184" s="31"/>
      <c r="N184" s="30"/>
      <c r="O184" s="31"/>
      <c r="P184" s="13" t="str">
        <f t="shared" ca="1" si="4"/>
        <v/>
      </c>
      <c r="Q184" s="30"/>
    </row>
    <row r="185" spans="1:17" x14ac:dyDescent="0.25">
      <c r="A185" s="13" t="str">
        <f t="shared" si="5"/>
        <v/>
      </c>
      <c r="B185" s="31"/>
      <c r="C185" s="30"/>
      <c r="D185" s="30"/>
      <c r="E185" s="30"/>
      <c r="F185" s="33"/>
      <c r="G185" s="30"/>
      <c r="H185" s="33"/>
      <c r="I185" s="49"/>
      <c r="J185" s="53"/>
      <c r="K185" s="33"/>
      <c r="L185" s="33"/>
      <c r="M185" s="31"/>
      <c r="N185" s="30"/>
      <c r="O185" s="31"/>
      <c r="P185" s="13" t="str">
        <f t="shared" ca="1" si="4"/>
        <v/>
      </c>
      <c r="Q185" s="30"/>
    </row>
    <row r="186" spans="1:17" x14ac:dyDescent="0.25">
      <c r="A186" s="13" t="str">
        <f t="shared" si="5"/>
        <v/>
      </c>
      <c r="B186" s="31"/>
      <c r="C186" s="30"/>
      <c r="D186" s="30"/>
      <c r="E186" s="30"/>
      <c r="F186" s="33"/>
      <c r="G186" s="30"/>
      <c r="H186" s="33"/>
      <c r="I186" s="49"/>
      <c r="J186" s="53"/>
      <c r="K186" s="33"/>
      <c r="L186" s="33"/>
      <c r="M186" s="31"/>
      <c r="N186" s="30"/>
      <c r="O186" s="31"/>
      <c r="P186" s="13" t="str">
        <f t="shared" ca="1" si="4"/>
        <v/>
      </c>
      <c r="Q186" s="30"/>
    </row>
    <row r="187" spans="1:17" x14ac:dyDescent="0.25">
      <c r="A187" s="13" t="str">
        <f t="shared" si="5"/>
        <v/>
      </c>
      <c r="B187" s="31"/>
      <c r="C187" s="30"/>
      <c r="D187" s="30"/>
      <c r="E187" s="30"/>
      <c r="F187" s="33"/>
      <c r="G187" s="30"/>
      <c r="H187" s="33"/>
      <c r="I187" s="49"/>
      <c r="J187" s="53"/>
      <c r="K187" s="33"/>
      <c r="L187" s="33"/>
      <c r="M187" s="31"/>
      <c r="N187" s="30"/>
      <c r="O187" s="31"/>
      <c r="P187" s="13" t="str">
        <f t="shared" ca="1" si="4"/>
        <v/>
      </c>
      <c r="Q187" s="30"/>
    </row>
    <row r="188" spans="1:17" x14ac:dyDescent="0.25">
      <c r="A188" s="13" t="str">
        <f t="shared" si="5"/>
        <v/>
      </c>
      <c r="B188" s="31"/>
      <c r="C188" s="30"/>
      <c r="D188" s="30"/>
      <c r="E188" s="30"/>
      <c r="F188" s="33"/>
      <c r="G188" s="30"/>
      <c r="H188" s="33"/>
      <c r="I188" s="49"/>
      <c r="J188" s="53"/>
      <c r="K188" s="33"/>
      <c r="L188" s="33"/>
      <c r="M188" s="31"/>
      <c r="N188" s="30"/>
      <c r="O188" s="31"/>
      <c r="P188" s="13" t="str">
        <f t="shared" ca="1" si="4"/>
        <v/>
      </c>
      <c r="Q188" s="30"/>
    </row>
    <row r="189" spans="1:17" x14ac:dyDescent="0.25">
      <c r="A189" s="13" t="str">
        <f t="shared" si="5"/>
        <v/>
      </c>
      <c r="B189" s="31"/>
      <c r="C189" s="30"/>
      <c r="D189" s="30"/>
      <c r="E189" s="30"/>
      <c r="F189" s="33"/>
      <c r="G189" s="30"/>
      <c r="H189" s="33"/>
      <c r="I189" s="49"/>
      <c r="J189" s="53"/>
      <c r="K189" s="33"/>
      <c r="L189" s="33"/>
      <c r="M189" s="31"/>
      <c r="N189" s="30"/>
      <c r="O189" s="31"/>
      <c r="P189" s="13" t="str">
        <f t="shared" ca="1" si="4"/>
        <v/>
      </c>
      <c r="Q189" s="30"/>
    </row>
    <row r="190" spans="1:17" x14ac:dyDescent="0.25">
      <c r="A190" s="13" t="str">
        <f t="shared" si="5"/>
        <v/>
      </c>
      <c r="B190" s="31"/>
      <c r="C190" s="30"/>
      <c r="D190" s="30"/>
      <c r="E190" s="30"/>
      <c r="F190" s="33"/>
      <c r="G190" s="30"/>
      <c r="H190" s="33"/>
      <c r="I190" s="49"/>
      <c r="J190" s="53"/>
      <c r="K190" s="33"/>
      <c r="L190" s="33"/>
      <c r="M190" s="31"/>
      <c r="N190" s="30"/>
      <c r="O190" s="31"/>
      <c r="P190" s="13" t="str">
        <f t="shared" ca="1" si="4"/>
        <v/>
      </c>
      <c r="Q190" s="30"/>
    </row>
    <row r="191" spans="1:17" x14ac:dyDescent="0.25">
      <c r="A191" s="13" t="str">
        <f t="shared" si="5"/>
        <v/>
      </c>
      <c r="B191" s="31"/>
      <c r="C191" s="30"/>
      <c r="D191" s="30"/>
      <c r="E191" s="30"/>
      <c r="F191" s="33"/>
      <c r="G191" s="30"/>
      <c r="H191" s="33"/>
      <c r="I191" s="49"/>
      <c r="J191" s="53"/>
      <c r="K191" s="33"/>
      <c r="L191" s="33"/>
      <c r="M191" s="31"/>
      <c r="N191" s="30"/>
      <c r="O191" s="31"/>
      <c r="P191" s="13" t="str">
        <f t="shared" ca="1" si="4"/>
        <v/>
      </c>
      <c r="Q191" s="30"/>
    </row>
    <row r="192" spans="1:17" x14ac:dyDescent="0.25">
      <c r="A192" s="13" t="str">
        <f t="shared" si="5"/>
        <v/>
      </c>
      <c r="B192" s="31"/>
      <c r="C192" s="30"/>
      <c r="D192" s="30"/>
      <c r="E192" s="30"/>
      <c r="F192" s="33"/>
      <c r="G192" s="30"/>
      <c r="H192" s="33"/>
      <c r="I192" s="49"/>
      <c r="J192" s="53"/>
      <c r="K192" s="33"/>
      <c r="L192" s="33"/>
      <c r="M192" s="31"/>
      <c r="N192" s="30"/>
      <c r="O192" s="31"/>
      <c r="P192" s="13" t="str">
        <f t="shared" ca="1" si="4"/>
        <v/>
      </c>
      <c r="Q192" s="30"/>
    </row>
    <row r="193" spans="1:17" x14ac:dyDescent="0.25">
      <c r="A193" s="13" t="str">
        <f t="shared" si="5"/>
        <v/>
      </c>
      <c r="B193" s="31"/>
      <c r="C193" s="30"/>
      <c r="D193" s="30"/>
      <c r="E193" s="30"/>
      <c r="F193" s="33"/>
      <c r="G193" s="30"/>
      <c r="H193" s="33"/>
      <c r="I193" s="49"/>
      <c r="J193" s="53"/>
      <c r="K193" s="33"/>
      <c r="L193" s="33"/>
      <c r="M193" s="31"/>
      <c r="N193" s="30"/>
      <c r="O193" s="31"/>
      <c r="P193" s="13" t="str">
        <f t="shared" ca="1" si="4"/>
        <v/>
      </c>
      <c r="Q193" s="30"/>
    </row>
    <row r="194" spans="1:17" x14ac:dyDescent="0.25">
      <c r="A194" s="13" t="str">
        <f t="shared" si="5"/>
        <v/>
      </c>
      <c r="B194" s="31"/>
      <c r="C194" s="30"/>
      <c r="D194" s="30"/>
      <c r="E194" s="30"/>
      <c r="F194" s="33"/>
      <c r="G194" s="30"/>
      <c r="H194" s="33"/>
      <c r="I194" s="49"/>
      <c r="J194" s="53"/>
      <c r="K194" s="33"/>
      <c r="L194" s="33"/>
      <c r="M194" s="31"/>
      <c r="N194" s="30"/>
      <c r="O194" s="31"/>
      <c r="P194" s="13" t="str">
        <f t="shared" ca="1" si="4"/>
        <v/>
      </c>
      <c r="Q194" s="30"/>
    </row>
    <row r="195" spans="1:17" x14ac:dyDescent="0.25">
      <c r="A195" s="13" t="str">
        <f t="shared" si="5"/>
        <v/>
      </c>
      <c r="B195" s="31"/>
      <c r="C195" s="30"/>
      <c r="D195" s="30"/>
      <c r="E195" s="30"/>
      <c r="F195" s="33"/>
      <c r="G195" s="30"/>
      <c r="H195" s="33"/>
      <c r="I195" s="49"/>
      <c r="J195" s="53"/>
      <c r="K195" s="33"/>
      <c r="L195" s="33"/>
      <c r="M195" s="31"/>
      <c r="N195" s="30"/>
      <c r="O195" s="31"/>
      <c r="P195" s="13" t="str">
        <f t="shared" ca="1" si="4"/>
        <v/>
      </c>
      <c r="Q195" s="30"/>
    </row>
    <row r="196" spans="1:17" x14ac:dyDescent="0.25">
      <c r="A196" s="13" t="str">
        <f t="shared" si="5"/>
        <v/>
      </c>
      <c r="B196" s="31"/>
      <c r="C196" s="30"/>
      <c r="D196" s="30"/>
      <c r="E196" s="30"/>
      <c r="F196" s="33"/>
      <c r="G196" s="30"/>
      <c r="H196" s="33"/>
      <c r="I196" s="49"/>
      <c r="J196" s="53"/>
      <c r="K196" s="33"/>
      <c r="L196" s="33"/>
      <c r="M196" s="31"/>
      <c r="N196" s="30"/>
      <c r="O196" s="31"/>
      <c r="P196" s="13" t="str">
        <f t="shared" ca="1" si="4"/>
        <v/>
      </c>
      <c r="Q196" s="30"/>
    </row>
    <row r="197" spans="1:17" x14ac:dyDescent="0.25">
      <c r="A197" s="13" t="str">
        <f t="shared" si="5"/>
        <v/>
      </c>
      <c r="B197" s="31"/>
      <c r="C197" s="30"/>
      <c r="D197" s="30"/>
      <c r="E197" s="30"/>
      <c r="F197" s="33"/>
      <c r="G197" s="30"/>
      <c r="H197" s="33"/>
      <c r="I197" s="49"/>
      <c r="J197" s="53"/>
      <c r="K197" s="33"/>
      <c r="L197" s="33"/>
      <c r="M197" s="31"/>
      <c r="N197" s="30"/>
      <c r="O197" s="31"/>
      <c r="P197" s="13" t="str">
        <f t="shared" ref="P197:P260" ca="1" si="6">IF($B197="","",IF($O197&lt;&gt;"",$O197-$B197,TODAY()-$B197))</f>
        <v/>
      </c>
      <c r="Q197" s="30"/>
    </row>
    <row r="198" spans="1:17" x14ac:dyDescent="0.25">
      <c r="A198" s="13" t="str">
        <f t="shared" si="5"/>
        <v/>
      </c>
      <c r="B198" s="31"/>
      <c r="C198" s="30"/>
      <c r="D198" s="30"/>
      <c r="E198" s="30"/>
      <c r="F198" s="33"/>
      <c r="G198" s="30"/>
      <c r="H198" s="33"/>
      <c r="I198" s="49"/>
      <c r="J198" s="53"/>
      <c r="K198" s="33"/>
      <c r="L198" s="33"/>
      <c r="M198" s="31"/>
      <c r="N198" s="30"/>
      <c r="O198" s="31"/>
      <c r="P198" s="13" t="str">
        <f t="shared" ca="1" si="6"/>
        <v/>
      </c>
      <c r="Q198" s="30"/>
    </row>
    <row r="199" spans="1:17" x14ac:dyDescent="0.25">
      <c r="A199" s="13" t="str">
        <f t="shared" si="5"/>
        <v/>
      </c>
      <c r="B199" s="31"/>
      <c r="C199" s="30"/>
      <c r="D199" s="30"/>
      <c r="E199" s="30"/>
      <c r="F199" s="33"/>
      <c r="G199" s="30"/>
      <c r="H199" s="33"/>
      <c r="I199" s="49"/>
      <c r="J199" s="53"/>
      <c r="K199" s="33"/>
      <c r="L199" s="33"/>
      <c r="M199" s="31"/>
      <c r="N199" s="30"/>
      <c r="O199" s="31"/>
      <c r="P199" s="13" t="str">
        <f t="shared" ca="1" si="6"/>
        <v/>
      </c>
      <c r="Q199" s="30"/>
    </row>
    <row r="200" spans="1:17" x14ac:dyDescent="0.25">
      <c r="A200" s="13" t="str">
        <f t="shared" si="5"/>
        <v/>
      </c>
      <c r="B200" s="31"/>
      <c r="C200" s="30"/>
      <c r="D200" s="30"/>
      <c r="E200" s="30"/>
      <c r="F200" s="33"/>
      <c r="G200" s="30"/>
      <c r="H200" s="33"/>
      <c r="I200" s="49"/>
      <c r="J200" s="53"/>
      <c r="K200" s="33"/>
      <c r="L200" s="33"/>
      <c r="M200" s="31"/>
      <c r="N200" s="30"/>
      <c r="O200" s="31"/>
      <c r="P200" s="13" t="str">
        <f t="shared" ca="1" si="6"/>
        <v/>
      </c>
      <c r="Q200" s="30"/>
    </row>
    <row r="201" spans="1:17" x14ac:dyDescent="0.25">
      <c r="A201" s="13" t="str">
        <f t="shared" si="5"/>
        <v/>
      </c>
      <c r="B201" s="31"/>
      <c r="C201" s="30"/>
      <c r="D201" s="30"/>
      <c r="E201" s="30"/>
      <c r="F201" s="33"/>
      <c r="G201" s="30"/>
      <c r="H201" s="33"/>
      <c r="I201" s="49"/>
      <c r="J201" s="53"/>
      <c r="K201" s="33"/>
      <c r="L201" s="33"/>
      <c r="M201" s="31"/>
      <c r="N201" s="30"/>
      <c r="O201" s="31"/>
      <c r="P201" s="13" t="str">
        <f t="shared" ca="1" si="6"/>
        <v/>
      </c>
      <c r="Q201" s="30"/>
    </row>
    <row r="202" spans="1:17" x14ac:dyDescent="0.25">
      <c r="A202" s="13" t="str">
        <f t="shared" si="5"/>
        <v/>
      </c>
      <c r="B202" s="31"/>
      <c r="C202" s="30"/>
      <c r="D202" s="30"/>
      <c r="E202" s="30"/>
      <c r="F202" s="33"/>
      <c r="G202" s="30"/>
      <c r="H202" s="33"/>
      <c r="I202" s="49"/>
      <c r="J202" s="53"/>
      <c r="K202" s="33"/>
      <c r="L202" s="33"/>
      <c r="M202" s="31"/>
      <c r="N202" s="30"/>
      <c r="O202" s="31"/>
      <c r="P202" s="13" t="str">
        <f t="shared" ca="1" si="6"/>
        <v/>
      </c>
      <c r="Q202" s="30"/>
    </row>
    <row r="203" spans="1:17" x14ac:dyDescent="0.25">
      <c r="A203" s="13" t="str">
        <f t="shared" si="5"/>
        <v/>
      </c>
      <c r="B203" s="31"/>
      <c r="C203" s="30"/>
      <c r="D203" s="30"/>
      <c r="E203" s="30"/>
      <c r="F203" s="33"/>
      <c r="G203" s="30"/>
      <c r="H203" s="33"/>
      <c r="I203" s="49"/>
      <c r="J203" s="53"/>
      <c r="K203" s="33"/>
      <c r="L203" s="33"/>
      <c r="M203" s="31"/>
      <c r="N203" s="30"/>
      <c r="O203" s="31"/>
      <c r="P203" s="13" t="str">
        <f t="shared" ca="1" si="6"/>
        <v/>
      </c>
      <c r="Q203" s="30"/>
    </row>
    <row r="204" spans="1:17" x14ac:dyDescent="0.25">
      <c r="A204" s="13" t="str">
        <f t="shared" ref="A204:A267" si="7">IF($B204="","",ROW()-4)</f>
        <v/>
      </c>
      <c r="B204" s="31"/>
      <c r="C204" s="30"/>
      <c r="D204" s="30"/>
      <c r="E204" s="30"/>
      <c r="F204" s="33"/>
      <c r="G204" s="30"/>
      <c r="H204" s="33"/>
      <c r="I204" s="49"/>
      <c r="J204" s="53"/>
      <c r="K204" s="33"/>
      <c r="L204" s="33"/>
      <c r="M204" s="31"/>
      <c r="N204" s="30"/>
      <c r="O204" s="31"/>
      <c r="P204" s="13" t="str">
        <f t="shared" ca="1" si="6"/>
        <v/>
      </c>
      <c r="Q204" s="30"/>
    </row>
    <row r="205" spans="1:17" x14ac:dyDescent="0.25">
      <c r="A205" s="13" t="str">
        <f t="shared" si="7"/>
        <v/>
      </c>
      <c r="B205" s="31"/>
      <c r="C205" s="30"/>
      <c r="D205" s="30"/>
      <c r="E205" s="30"/>
      <c r="F205" s="33"/>
      <c r="G205" s="30"/>
      <c r="H205" s="33"/>
      <c r="I205" s="49"/>
      <c r="J205" s="53"/>
      <c r="K205" s="33"/>
      <c r="L205" s="33"/>
      <c r="M205" s="31"/>
      <c r="N205" s="30"/>
      <c r="O205" s="31"/>
      <c r="P205" s="13" t="str">
        <f t="shared" ca="1" si="6"/>
        <v/>
      </c>
      <c r="Q205" s="30"/>
    </row>
    <row r="206" spans="1:17" x14ac:dyDescent="0.25">
      <c r="A206" s="13" t="str">
        <f t="shared" si="7"/>
        <v/>
      </c>
      <c r="B206" s="31"/>
      <c r="C206" s="30"/>
      <c r="D206" s="30"/>
      <c r="E206" s="30"/>
      <c r="F206" s="33"/>
      <c r="G206" s="30"/>
      <c r="H206" s="33"/>
      <c r="I206" s="49"/>
      <c r="J206" s="53"/>
      <c r="K206" s="33"/>
      <c r="L206" s="33"/>
      <c r="M206" s="31"/>
      <c r="N206" s="30"/>
      <c r="O206" s="31"/>
      <c r="P206" s="13" t="str">
        <f t="shared" ca="1" si="6"/>
        <v/>
      </c>
      <c r="Q206" s="30"/>
    </row>
    <row r="207" spans="1:17" x14ac:dyDescent="0.25">
      <c r="A207" s="13" t="str">
        <f t="shared" si="7"/>
        <v/>
      </c>
      <c r="B207" s="31"/>
      <c r="C207" s="30"/>
      <c r="D207" s="30"/>
      <c r="E207" s="30"/>
      <c r="F207" s="33"/>
      <c r="G207" s="30"/>
      <c r="H207" s="33"/>
      <c r="I207" s="49"/>
      <c r="J207" s="53"/>
      <c r="K207" s="33"/>
      <c r="L207" s="33"/>
      <c r="M207" s="31"/>
      <c r="N207" s="30"/>
      <c r="O207" s="31"/>
      <c r="P207" s="13" t="str">
        <f t="shared" ca="1" si="6"/>
        <v/>
      </c>
      <c r="Q207" s="30"/>
    </row>
    <row r="208" spans="1:17" x14ac:dyDescent="0.25">
      <c r="A208" s="13" t="str">
        <f t="shared" si="7"/>
        <v/>
      </c>
      <c r="B208" s="31"/>
      <c r="C208" s="30"/>
      <c r="D208" s="30"/>
      <c r="E208" s="30"/>
      <c r="F208" s="33"/>
      <c r="G208" s="30"/>
      <c r="H208" s="33"/>
      <c r="I208" s="49"/>
      <c r="J208" s="53"/>
      <c r="K208" s="33"/>
      <c r="L208" s="33"/>
      <c r="M208" s="31"/>
      <c r="N208" s="30"/>
      <c r="O208" s="31"/>
      <c r="P208" s="13" t="str">
        <f t="shared" ca="1" si="6"/>
        <v/>
      </c>
      <c r="Q208" s="30"/>
    </row>
    <row r="209" spans="1:17" x14ac:dyDescent="0.25">
      <c r="A209" s="13" t="str">
        <f t="shared" si="7"/>
        <v/>
      </c>
      <c r="B209" s="31"/>
      <c r="C209" s="30"/>
      <c r="D209" s="30"/>
      <c r="E209" s="30"/>
      <c r="F209" s="33"/>
      <c r="G209" s="30"/>
      <c r="H209" s="33"/>
      <c r="I209" s="49"/>
      <c r="J209" s="53"/>
      <c r="K209" s="33"/>
      <c r="L209" s="33"/>
      <c r="M209" s="31"/>
      <c r="N209" s="30"/>
      <c r="O209" s="31"/>
      <c r="P209" s="13" t="str">
        <f t="shared" ca="1" si="6"/>
        <v/>
      </c>
      <c r="Q209" s="30"/>
    </row>
    <row r="210" spans="1:17" x14ac:dyDescent="0.25">
      <c r="A210" s="13" t="str">
        <f t="shared" si="7"/>
        <v/>
      </c>
      <c r="B210" s="31"/>
      <c r="C210" s="30"/>
      <c r="D210" s="30"/>
      <c r="E210" s="30"/>
      <c r="F210" s="33"/>
      <c r="G210" s="30"/>
      <c r="H210" s="33"/>
      <c r="I210" s="49"/>
      <c r="J210" s="53"/>
      <c r="K210" s="33"/>
      <c r="L210" s="33"/>
      <c r="M210" s="31"/>
      <c r="N210" s="30"/>
      <c r="O210" s="31"/>
      <c r="P210" s="13" t="str">
        <f t="shared" ca="1" si="6"/>
        <v/>
      </c>
      <c r="Q210" s="30"/>
    </row>
    <row r="211" spans="1:17" x14ac:dyDescent="0.25">
      <c r="A211" s="13" t="str">
        <f t="shared" si="7"/>
        <v/>
      </c>
      <c r="B211" s="31"/>
      <c r="C211" s="30"/>
      <c r="D211" s="30"/>
      <c r="E211" s="30"/>
      <c r="F211" s="33"/>
      <c r="G211" s="30"/>
      <c r="H211" s="33"/>
      <c r="I211" s="49"/>
      <c r="J211" s="53"/>
      <c r="K211" s="33"/>
      <c r="L211" s="33"/>
      <c r="M211" s="31"/>
      <c r="N211" s="30"/>
      <c r="O211" s="31"/>
      <c r="P211" s="13" t="str">
        <f t="shared" ca="1" si="6"/>
        <v/>
      </c>
      <c r="Q211" s="30"/>
    </row>
    <row r="212" spans="1:17" x14ac:dyDescent="0.25">
      <c r="A212" s="13" t="str">
        <f t="shared" si="7"/>
        <v/>
      </c>
      <c r="B212" s="31"/>
      <c r="C212" s="30"/>
      <c r="D212" s="30"/>
      <c r="E212" s="30"/>
      <c r="F212" s="33"/>
      <c r="G212" s="30"/>
      <c r="H212" s="33"/>
      <c r="I212" s="49"/>
      <c r="J212" s="53"/>
      <c r="K212" s="33"/>
      <c r="L212" s="33"/>
      <c r="M212" s="31"/>
      <c r="N212" s="30"/>
      <c r="O212" s="31"/>
      <c r="P212" s="13" t="str">
        <f t="shared" ca="1" si="6"/>
        <v/>
      </c>
      <c r="Q212" s="30"/>
    </row>
    <row r="213" spans="1:17" x14ac:dyDescent="0.25">
      <c r="A213" s="13" t="str">
        <f t="shared" si="7"/>
        <v/>
      </c>
      <c r="B213" s="31"/>
      <c r="C213" s="30"/>
      <c r="D213" s="30"/>
      <c r="E213" s="30"/>
      <c r="F213" s="33"/>
      <c r="G213" s="30"/>
      <c r="H213" s="33"/>
      <c r="I213" s="49"/>
      <c r="J213" s="53"/>
      <c r="K213" s="33"/>
      <c r="L213" s="33"/>
      <c r="M213" s="31"/>
      <c r="N213" s="30"/>
      <c r="O213" s="31"/>
      <c r="P213" s="13" t="str">
        <f t="shared" ca="1" si="6"/>
        <v/>
      </c>
      <c r="Q213" s="30"/>
    </row>
    <row r="214" spans="1:17" x14ac:dyDescent="0.25">
      <c r="A214" s="13" t="str">
        <f t="shared" si="7"/>
        <v/>
      </c>
      <c r="B214" s="31"/>
      <c r="C214" s="30"/>
      <c r="D214" s="30"/>
      <c r="E214" s="30"/>
      <c r="F214" s="33"/>
      <c r="G214" s="30"/>
      <c r="H214" s="33"/>
      <c r="I214" s="49"/>
      <c r="J214" s="53"/>
      <c r="K214" s="33"/>
      <c r="L214" s="33"/>
      <c r="M214" s="31"/>
      <c r="N214" s="30"/>
      <c r="O214" s="31"/>
      <c r="P214" s="13" t="str">
        <f t="shared" ca="1" si="6"/>
        <v/>
      </c>
      <c r="Q214" s="30"/>
    </row>
    <row r="215" spans="1:17" x14ac:dyDescent="0.25">
      <c r="A215" s="13" t="str">
        <f t="shared" si="7"/>
        <v/>
      </c>
      <c r="B215" s="31"/>
      <c r="C215" s="30"/>
      <c r="D215" s="30"/>
      <c r="E215" s="30"/>
      <c r="F215" s="33"/>
      <c r="G215" s="30"/>
      <c r="H215" s="33"/>
      <c r="I215" s="49"/>
      <c r="J215" s="53"/>
      <c r="K215" s="33"/>
      <c r="L215" s="33"/>
      <c r="M215" s="31"/>
      <c r="N215" s="30"/>
      <c r="O215" s="31"/>
      <c r="P215" s="13" t="str">
        <f t="shared" ca="1" si="6"/>
        <v/>
      </c>
      <c r="Q215" s="30"/>
    </row>
    <row r="216" spans="1:17" x14ac:dyDescent="0.25">
      <c r="A216" s="13" t="str">
        <f t="shared" si="7"/>
        <v/>
      </c>
      <c r="B216" s="31"/>
      <c r="C216" s="30"/>
      <c r="D216" s="30"/>
      <c r="E216" s="30"/>
      <c r="F216" s="33"/>
      <c r="G216" s="30"/>
      <c r="H216" s="33"/>
      <c r="I216" s="49"/>
      <c r="J216" s="53"/>
      <c r="K216" s="33"/>
      <c r="L216" s="33"/>
      <c r="M216" s="31"/>
      <c r="N216" s="30"/>
      <c r="O216" s="31"/>
      <c r="P216" s="13" t="str">
        <f t="shared" ca="1" si="6"/>
        <v/>
      </c>
      <c r="Q216" s="30"/>
    </row>
    <row r="217" spans="1:17" x14ac:dyDescent="0.25">
      <c r="A217" s="13" t="str">
        <f t="shared" si="7"/>
        <v/>
      </c>
      <c r="B217" s="31"/>
      <c r="C217" s="30"/>
      <c r="D217" s="30"/>
      <c r="E217" s="30"/>
      <c r="F217" s="33"/>
      <c r="G217" s="30"/>
      <c r="H217" s="33"/>
      <c r="I217" s="49"/>
      <c r="J217" s="53"/>
      <c r="K217" s="33"/>
      <c r="L217" s="33"/>
      <c r="M217" s="31"/>
      <c r="N217" s="30"/>
      <c r="O217" s="31"/>
      <c r="P217" s="13" t="str">
        <f t="shared" ca="1" si="6"/>
        <v/>
      </c>
      <c r="Q217" s="30"/>
    </row>
    <row r="218" spans="1:17" x14ac:dyDescent="0.25">
      <c r="A218" s="13" t="str">
        <f t="shared" si="7"/>
        <v/>
      </c>
      <c r="B218" s="31"/>
      <c r="C218" s="30"/>
      <c r="D218" s="30"/>
      <c r="E218" s="30"/>
      <c r="F218" s="33"/>
      <c r="G218" s="30"/>
      <c r="H218" s="33"/>
      <c r="I218" s="49"/>
      <c r="J218" s="53"/>
      <c r="K218" s="33"/>
      <c r="L218" s="33"/>
      <c r="M218" s="31"/>
      <c r="N218" s="30"/>
      <c r="O218" s="31"/>
      <c r="P218" s="13" t="str">
        <f t="shared" ca="1" si="6"/>
        <v/>
      </c>
      <c r="Q218" s="30"/>
    </row>
    <row r="219" spans="1:17" x14ac:dyDescent="0.25">
      <c r="A219" s="13" t="str">
        <f t="shared" si="7"/>
        <v/>
      </c>
      <c r="B219" s="31"/>
      <c r="C219" s="30"/>
      <c r="D219" s="30"/>
      <c r="E219" s="30"/>
      <c r="F219" s="33"/>
      <c r="G219" s="30"/>
      <c r="H219" s="33"/>
      <c r="I219" s="49"/>
      <c r="J219" s="53"/>
      <c r="K219" s="33"/>
      <c r="L219" s="33"/>
      <c r="M219" s="31"/>
      <c r="N219" s="30"/>
      <c r="O219" s="31"/>
      <c r="P219" s="13" t="str">
        <f t="shared" ca="1" si="6"/>
        <v/>
      </c>
      <c r="Q219" s="30"/>
    </row>
    <row r="220" spans="1:17" x14ac:dyDescent="0.25">
      <c r="A220" s="13" t="str">
        <f t="shared" si="7"/>
        <v/>
      </c>
      <c r="B220" s="31"/>
      <c r="C220" s="30"/>
      <c r="D220" s="30"/>
      <c r="E220" s="30"/>
      <c r="F220" s="33"/>
      <c r="G220" s="30"/>
      <c r="H220" s="33"/>
      <c r="I220" s="49"/>
      <c r="J220" s="53"/>
      <c r="K220" s="33"/>
      <c r="L220" s="33"/>
      <c r="M220" s="31"/>
      <c r="N220" s="30"/>
      <c r="O220" s="31"/>
      <c r="P220" s="13" t="str">
        <f t="shared" ca="1" si="6"/>
        <v/>
      </c>
      <c r="Q220" s="30"/>
    </row>
    <row r="221" spans="1:17" x14ac:dyDescent="0.25">
      <c r="A221" s="13" t="str">
        <f t="shared" si="7"/>
        <v/>
      </c>
      <c r="B221" s="31"/>
      <c r="C221" s="30"/>
      <c r="D221" s="30"/>
      <c r="E221" s="30"/>
      <c r="F221" s="33"/>
      <c r="G221" s="30"/>
      <c r="H221" s="33"/>
      <c r="I221" s="49"/>
      <c r="J221" s="53"/>
      <c r="K221" s="33"/>
      <c r="L221" s="33"/>
      <c r="M221" s="31"/>
      <c r="N221" s="30"/>
      <c r="O221" s="31"/>
      <c r="P221" s="13" t="str">
        <f t="shared" ca="1" si="6"/>
        <v/>
      </c>
      <c r="Q221" s="30"/>
    </row>
    <row r="222" spans="1:17" x14ac:dyDescent="0.25">
      <c r="A222" s="13" t="str">
        <f t="shared" si="7"/>
        <v/>
      </c>
      <c r="B222" s="31"/>
      <c r="C222" s="30"/>
      <c r="D222" s="30"/>
      <c r="E222" s="30"/>
      <c r="F222" s="33"/>
      <c r="G222" s="30"/>
      <c r="H222" s="33"/>
      <c r="I222" s="49"/>
      <c r="J222" s="53"/>
      <c r="K222" s="33"/>
      <c r="L222" s="33"/>
      <c r="M222" s="31"/>
      <c r="N222" s="30"/>
      <c r="O222" s="31"/>
      <c r="P222" s="13" t="str">
        <f t="shared" ca="1" si="6"/>
        <v/>
      </c>
      <c r="Q222" s="30"/>
    </row>
    <row r="223" spans="1:17" x14ac:dyDescent="0.25">
      <c r="A223" s="13" t="str">
        <f t="shared" si="7"/>
        <v/>
      </c>
      <c r="B223" s="31"/>
      <c r="C223" s="30"/>
      <c r="D223" s="30"/>
      <c r="E223" s="30"/>
      <c r="F223" s="33"/>
      <c r="G223" s="30"/>
      <c r="H223" s="33"/>
      <c r="I223" s="49"/>
      <c r="J223" s="53"/>
      <c r="K223" s="33"/>
      <c r="L223" s="33"/>
      <c r="M223" s="31"/>
      <c r="N223" s="30"/>
      <c r="O223" s="31"/>
      <c r="P223" s="13" t="str">
        <f t="shared" ca="1" si="6"/>
        <v/>
      </c>
      <c r="Q223" s="30"/>
    </row>
    <row r="224" spans="1:17" x14ac:dyDescent="0.25">
      <c r="A224" s="13" t="str">
        <f t="shared" si="7"/>
        <v/>
      </c>
      <c r="B224" s="31"/>
      <c r="C224" s="30"/>
      <c r="D224" s="30"/>
      <c r="E224" s="30"/>
      <c r="F224" s="33"/>
      <c r="G224" s="30"/>
      <c r="H224" s="33"/>
      <c r="I224" s="49"/>
      <c r="J224" s="53"/>
      <c r="K224" s="33"/>
      <c r="L224" s="33"/>
      <c r="M224" s="31"/>
      <c r="N224" s="30"/>
      <c r="O224" s="31"/>
      <c r="P224" s="13" t="str">
        <f t="shared" ca="1" si="6"/>
        <v/>
      </c>
      <c r="Q224" s="30"/>
    </row>
    <row r="225" spans="1:17" x14ac:dyDescent="0.25">
      <c r="A225" s="13" t="str">
        <f t="shared" si="7"/>
        <v/>
      </c>
      <c r="B225" s="31"/>
      <c r="C225" s="30"/>
      <c r="D225" s="30"/>
      <c r="E225" s="30"/>
      <c r="F225" s="33"/>
      <c r="G225" s="30"/>
      <c r="H225" s="33"/>
      <c r="I225" s="49"/>
      <c r="J225" s="53"/>
      <c r="K225" s="33"/>
      <c r="L225" s="33"/>
      <c r="M225" s="31"/>
      <c r="N225" s="30"/>
      <c r="O225" s="31"/>
      <c r="P225" s="13" t="str">
        <f t="shared" ca="1" si="6"/>
        <v/>
      </c>
      <c r="Q225" s="30"/>
    </row>
    <row r="226" spans="1:17" x14ac:dyDescent="0.25">
      <c r="A226" s="13" t="str">
        <f t="shared" si="7"/>
        <v/>
      </c>
      <c r="B226" s="31"/>
      <c r="C226" s="30"/>
      <c r="D226" s="30"/>
      <c r="E226" s="30"/>
      <c r="F226" s="33"/>
      <c r="G226" s="30"/>
      <c r="H226" s="33"/>
      <c r="I226" s="49"/>
      <c r="J226" s="53"/>
      <c r="K226" s="33"/>
      <c r="L226" s="33"/>
      <c r="M226" s="31"/>
      <c r="N226" s="30"/>
      <c r="O226" s="31"/>
      <c r="P226" s="13" t="str">
        <f t="shared" ca="1" si="6"/>
        <v/>
      </c>
      <c r="Q226" s="30"/>
    </row>
    <row r="227" spans="1:17" x14ac:dyDescent="0.25">
      <c r="A227" s="13" t="str">
        <f t="shared" si="7"/>
        <v/>
      </c>
      <c r="B227" s="31"/>
      <c r="C227" s="30"/>
      <c r="D227" s="30"/>
      <c r="E227" s="30"/>
      <c r="F227" s="33"/>
      <c r="G227" s="30"/>
      <c r="H227" s="33"/>
      <c r="I227" s="49"/>
      <c r="J227" s="53"/>
      <c r="K227" s="33"/>
      <c r="L227" s="33"/>
      <c r="M227" s="31"/>
      <c r="N227" s="30"/>
      <c r="O227" s="31"/>
      <c r="P227" s="13" t="str">
        <f t="shared" ca="1" si="6"/>
        <v/>
      </c>
      <c r="Q227" s="30"/>
    </row>
    <row r="228" spans="1:17" x14ac:dyDescent="0.25">
      <c r="A228" s="13" t="str">
        <f t="shared" si="7"/>
        <v/>
      </c>
      <c r="B228" s="31"/>
      <c r="C228" s="30"/>
      <c r="D228" s="30"/>
      <c r="E228" s="30"/>
      <c r="F228" s="33"/>
      <c r="G228" s="30"/>
      <c r="H228" s="33"/>
      <c r="I228" s="49"/>
      <c r="J228" s="53"/>
      <c r="K228" s="33"/>
      <c r="L228" s="33"/>
      <c r="M228" s="31"/>
      <c r="N228" s="30"/>
      <c r="O228" s="31"/>
      <c r="P228" s="13" t="str">
        <f t="shared" ca="1" si="6"/>
        <v/>
      </c>
      <c r="Q228" s="30"/>
    </row>
    <row r="229" spans="1:17" x14ac:dyDescent="0.25">
      <c r="A229" s="13" t="str">
        <f t="shared" si="7"/>
        <v/>
      </c>
      <c r="B229" s="31"/>
      <c r="C229" s="30"/>
      <c r="D229" s="30"/>
      <c r="E229" s="30"/>
      <c r="F229" s="33"/>
      <c r="G229" s="30"/>
      <c r="H229" s="33"/>
      <c r="I229" s="49"/>
      <c r="J229" s="53"/>
      <c r="K229" s="33"/>
      <c r="L229" s="33"/>
      <c r="M229" s="31"/>
      <c r="N229" s="30"/>
      <c r="O229" s="31"/>
      <c r="P229" s="13" t="str">
        <f t="shared" ca="1" si="6"/>
        <v/>
      </c>
      <c r="Q229" s="30"/>
    </row>
    <row r="230" spans="1:17" x14ac:dyDescent="0.25">
      <c r="A230" s="13" t="str">
        <f t="shared" si="7"/>
        <v/>
      </c>
      <c r="B230" s="31"/>
      <c r="C230" s="30"/>
      <c r="D230" s="30"/>
      <c r="E230" s="30"/>
      <c r="F230" s="33"/>
      <c r="G230" s="30"/>
      <c r="H230" s="33"/>
      <c r="I230" s="49"/>
      <c r="J230" s="53"/>
      <c r="K230" s="33"/>
      <c r="L230" s="33"/>
      <c r="M230" s="31"/>
      <c r="N230" s="30"/>
      <c r="O230" s="31"/>
      <c r="P230" s="13" t="str">
        <f t="shared" ca="1" si="6"/>
        <v/>
      </c>
      <c r="Q230" s="30"/>
    </row>
    <row r="231" spans="1:17" x14ac:dyDescent="0.25">
      <c r="A231" s="13" t="str">
        <f t="shared" si="7"/>
        <v/>
      </c>
      <c r="B231" s="31"/>
      <c r="C231" s="30"/>
      <c r="D231" s="30"/>
      <c r="E231" s="30"/>
      <c r="F231" s="33"/>
      <c r="G231" s="30"/>
      <c r="H231" s="33"/>
      <c r="I231" s="49"/>
      <c r="J231" s="53"/>
      <c r="K231" s="33"/>
      <c r="L231" s="33"/>
      <c r="M231" s="31"/>
      <c r="N231" s="30"/>
      <c r="O231" s="31"/>
      <c r="P231" s="13" t="str">
        <f t="shared" ca="1" si="6"/>
        <v/>
      </c>
      <c r="Q231" s="30"/>
    </row>
    <row r="232" spans="1:17" x14ac:dyDescent="0.25">
      <c r="A232" s="13" t="str">
        <f t="shared" si="7"/>
        <v/>
      </c>
      <c r="B232" s="31"/>
      <c r="C232" s="30"/>
      <c r="D232" s="30"/>
      <c r="E232" s="30"/>
      <c r="F232" s="33"/>
      <c r="G232" s="30"/>
      <c r="H232" s="33"/>
      <c r="I232" s="49"/>
      <c r="J232" s="53"/>
      <c r="K232" s="33"/>
      <c r="L232" s="33"/>
      <c r="M232" s="31"/>
      <c r="N232" s="30"/>
      <c r="O232" s="31"/>
      <c r="P232" s="13" t="str">
        <f t="shared" ca="1" si="6"/>
        <v/>
      </c>
      <c r="Q232" s="30"/>
    </row>
    <row r="233" spans="1:17" x14ac:dyDescent="0.25">
      <c r="A233" s="13" t="str">
        <f t="shared" si="7"/>
        <v/>
      </c>
      <c r="B233" s="31"/>
      <c r="C233" s="30"/>
      <c r="D233" s="30"/>
      <c r="E233" s="30"/>
      <c r="F233" s="33"/>
      <c r="G233" s="30"/>
      <c r="H233" s="33"/>
      <c r="I233" s="49"/>
      <c r="J233" s="53"/>
      <c r="K233" s="33"/>
      <c r="L233" s="33"/>
      <c r="M233" s="31"/>
      <c r="N233" s="30"/>
      <c r="O233" s="31"/>
      <c r="P233" s="13" t="str">
        <f t="shared" ca="1" si="6"/>
        <v/>
      </c>
      <c r="Q233" s="30"/>
    </row>
    <row r="234" spans="1:17" x14ac:dyDescent="0.25">
      <c r="A234" s="13" t="str">
        <f t="shared" si="7"/>
        <v/>
      </c>
      <c r="B234" s="31"/>
      <c r="C234" s="30"/>
      <c r="D234" s="30"/>
      <c r="E234" s="30"/>
      <c r="F234" s="33"/>
      <c r="G234" s="30"/>
      <c r="H234" s="33"/>
      <c r="I234" s="49"/>
      <c r="J234" s="53"/>
      <c r="K234" s="33"/>
      <c r="L234" s="33"/>
      <c r="M234" s="31"/>
      <c r="N234" s="30"/>
      <c r="O234" s="31"/>
      <c r="P234" s="13" t="str">
        <f t="shared" ca="1" si="6"/>
        <v/>
      </c>
      <c r="Q234" s="30"/>
    </row>
    <row r="235" spans="1:17" x14ac:dyDescent="0.25">
      <c r="A235" s="13" t="str">
        <f t="shared" si="7"/>
        <v/>
      </c>
      <c r="B235" s="31"/>
      <c r="C235" s="30"/>
      <c r="D235" s="30"/>
      <c r="E235" s="30"/>
      <c r="F235" s="33"/>
      <c r="G235" s="30"/>
      <c r="H235" s="33"/>
      <c r="I235" s="49"/>
      <c r="J235" s="53"/>
      <c r="K235" s="33"/>
      <c r="L235" s="33"/>
      <c r="M235" s="31"/>
      <c r="N235" s="30"/>
      <c r="O235" s="31"/>
      <c r="P235" s="13" t="str">
        <f t="shared" ca="1" si="6"/>
        <v/>
      </c>
      <c r="Q235" s="30"/>
    </row>
    <row r="236" spans="1:17" x14ac:dyDescent="0.25">
      <c r="A236" s="13" t="str">
        <f t="shared" si="7"/>
        <v/>
      </c>
      <c r="B236" s="31"/>
      <c r="C236" s="30"/>
      <c r="D236" s="30"/>
      <c r="E236" s="30"/>
      <c r="F236" s="33"/>
      <c r="G236" s="30"/>
      <c r="H236" s="33"/>
      <c r="I236" s="49"/>
      <c r="J236" s="53"/>
      <c r="K236" s="33"/>
      <c r="L236" s="33"/>
      <c r="M236" s="31"/>
      <c r="N236" s="30"/>
      <c r="O236" s="31"/>
      <c r="P236" s="13" t="str">
        <f t="shared" ca="1" si="6"/>
        <v/>
      </c>
      <c r="Q236" s="30"/>
    </row>
    <row r="237" spans="1:17" x14ac:dyDescent="0.25">
      <c r="A237" s="13" t="str">
        <f t="shared" si="7"/>
        <v/>
      </c>
      <c r="B237" s="31"/>
      <c r="C237" s="30"/>
      <c r="D237" s="30"/>
      <c r="E237" s="30"/>
      <c r="F237" s="33"/>
      <c r="G237" s="30"/>
      <c r="H237" s="33"/>
      <c r="I237" s="49"/>
      <c r="J237" s="53"/>
      <c r="K237" s="33"/>
      <c r="L237" s="33"/>
      <c r="M237" s="31"/>
      <c r="N237" s="30"/>
      <c r="O237" s="31"/>
      <c r="P237" s="13" t="str">
        <f t="shared" ca="1" si="6"/>
        <v/>
      </c>
      <c r="Q237" s="30"/>
    </row>
    <row r="238" spans="1:17" x14ac:dyDescent="0.25">
      <c r="A238" s="13" t="str">
        <f t="shared" si="7"/>
        <v/>
      </c>
      <c r="B238" s="31"/>
      <c r="C238" s="30"/>
      <c r="D238" s="30"/>
      <c r="E238" s="30"/>
      <c r="F238" s="33"/>
      <c r="G238" s="30"/>
      <c r="H238" s="33"/>
      <c r="I238" s="49"/>
      <c r="J238" s="53"/>
      <c r="K238" s="33"/>
      <c r="L238" s="33"/>
      <c r="M238" s="31"/>
      <c r="N238" s="30"/>
      <c r="O238" s="31"/>
      <c r="P238" s="13" t="str">
        <f t="shared" ca="1" si="6"/>
        <v/>
      </c>
      <c r="Q238" s="30"/>
    </row>
    <row r="239" spans="1:17" x14ac:dyDescent="0.25">
      <c r="A239" s="13" t="str">
        <f t="shared" si="7"/>
        <v/>
      </c>
      <c r="B239" s="31"/>
      <c r="C239" s="30"/>
      <c r="D239" s="30"/>
      <c r="E239" s="30"/>
      <c r="F239" s="33"/>
      <c r="G239" s="30"/>
      <c r="H239" s="33"/>
      <c r="I239" s="49"/>
      <c r="J239" s="53"/>
      <c r="K239" s="33"/>
      <c r="L239" s="33"/>
      <c r="M239" s="31"/>
      <c r="N239" s="30"/>
      <c r="O239" s="31"/>
      <c r="P239" s="13" t="str">
        <f t="shared" ca="1" si="6"/>
        <v/>
      </c>
      <c r="Q239" s="30"/>
    </row>
    <row r="240" spans="1:17" x14ac:dyDescent="0.25">
      <c r="A240" s="13" t="str">
        <f t="shared" si="7"/>
        <v/>
      </c>
      <c r="B240" s="31"/>
      <c r="C240" s="30"/>
      <c r="D240" s="30"/>
      <c r="E240" s="30"/>
      <c r="F240" s="33"/>
      <c r="G240" s="30"/>
      <c r="H240" s="33"/>
      <c r="I240" s="49"/>
      <c r="J240" s="53"/>
      <c r="K240" s="33"/>
      <c r="L240" s="33"/>
      <c r="M240" s="31"/>
      <c r="N240" s="30"/>
      <c r="O240" s="31"/>
      <c r="P240" s="13" t="str">
        <f t="shared" ca="1" si="6"/>
        <v/>
      </c>
      <c r="Q240" s="30"/>
    </row>
    <row r="241" spans="1:17" x14ac:dyDescent="0.25">
      <c r="A241" s="13" t="str">
        <f t="shared" si="7"/>
        <v/>
      </c>
      <c r="B241" s="31"/>
      <c r="C241" s="30"/>
      <c r="D241" s="30"/>
      <c r="E241" s="30"/>
      <c r="F241" s="33"/>
      <c r="G241" s="30"/>
      <c r="H241" s="33"/>
      <c r="I241" s="49"/>
      <c r="J241" s="53"/>
      <c r="K241" s="33"/>
      <c r="L241" s="33"/>
      <c r="M241" s="31"/>
      <c r="N241" s="30"/>
      <c r="O241" s="31"/>
      <c r="P241" s="13" t="str">
        <f t="shared" ca="1" si="6"/>
        <v/>
      </c>
      <c r="Q241" s="30"/>
    </row>
    <row r="242" spans="1:17" x14ac:dyDescent="0.25">
      <c r="A242" s="13" t="str">
        <f t="shared" si="7"/>
        <v/>
      </c>
      <c r="B242" s="31"/>
      <c r="C242" s="30"/>
      <c r="D242" s="30"/>
      <c r="E242" s="30"/>
      <c r="F242" s="33"/>
      <c r="G242" s="30"/>
      <c r="H242" s="33"/>
      <c r="I242" s="49"/>
      <c r="J242" s="53"/>
      <c r="K242" s="33"/>
      <c r="L242" s="33"/>
      <c r="M242" s="31"/>
      <c r="N242" s="30"/>
      <c r="O242" s="31"/>
      <c r="P242" s="13" t="str">
        <f t="shared" ca="1" si="6"/>
        <v/>
      </c>
      <c r="Q242" s="30"/>
    </row>
    <row r="243" spans="1:17" x14ac:dyDescent="0.25">
      <c r="A243" s="13" t="str">
        <f t="shared" si="7"/>
        <v/>
      </c>
      <c r="B243" s="31"/>
      <c r="C243" s="30"/>
      <c r="D243" s="30"/>
      <c r="E243" s="30"/>
      <c r="F243" s="33"/>
      <c r="G243" s="30"/>
      <c r="H243" s="33"/>
      <c r="I243" s="49"/>
      <c r="J243" s="53"/>
      <c r="K243" s="33"/>
      <c r="L243" s="33"/>
      <c r="M243" s="31"/>
      <c r="N243" s="30"/>
      <c r="O243" s="31"/>
      <c r="P243" s="13" t="str">
        <f t="shared" ca="1" si="6"/>
        <v/>
      </c>
      <c r="Q243" s="30"/>
    </row>
    <row r="244" spans="1:17" x14ac:dyDescent="0.25">
      <c r="A244" s="13" t="str">
        <f t="shared" si="7"/>
        <v/>
      </c>
      <c r="B244" s="31"/>
      <c r="C244" s="30"/>
      <c r="D244" s="30"/>
      <c r="E244" s="30"/>
      <c r="F244" s="33"/>
      <c r="G244" s="30"/>
      <c r="H244" s="33"/>
      <c r="I244" s="49"/>
      <c r="J244" s="53"/>
      <c r="K244" s="33"/>
      <c r="L244" s="33"/>
      <c r="M244" s="31"/>
      <c r="N244" s="30"/>
      <c r="O244" s="31"/>
      <c r="P244" s="13" t="str">
        <f t="shared" ca="1" si="6"/>
        <v/>
      </c>
      <c r="Q244" s="30"/>
    </row>
    <row r="245" spans="1:17" x14ac:dyDescent="0.25">
      <c r="A245" s="13" t="str">
        <f t="shared" si="7"/>
        <v/>
      </c>
      <c r="B245" s="31"/>
      <c r="C245" s="30"/>
      <c r="D245" s="30"/>
      <c r="E245" s="30"/>
      <c r="F245" s="33"/>
      <c r="G245" s="30"/>
      <c r="H245" s="33"/>
      <c r="I245" s="49"/>
      <c r="J245" s="53"/>
      <c r="K245" s="33"/>
      <c r="L245" s="33"/>
      <c r="M245" s="31"/>
      <c r="N245" s="30"/>
      <c r="O245" s="31"/>
      <c r="P245" s="13" t="str">
        <f t="shared" ca="1" si="6"/>
        <v/>
      </c>
      <c r="Q245" s="30"/>
    </row>
    <row r="246" spans="1:17" x14ac:dyDescent="0.25">
      <c r="A246" s="13" t="str">
        <f t="shared" si="7"/>
        <v/>
      </c>
      <c r="B246" s="31"/>
      <c r="C246" s="30"/>
      <c r="D246" s="30"/>
      <c r="E246" s="30"/>
      <c r="F246" s="33"/>
      <c r="G246" s="30"/>
      <c r="H246" s="33"/>
      <c r="I246" s="49"/>
      <c r="J246" s="53"/>
      <c r="K246" s="33"/>
      <c r="L246" s="33"/>
      <c r="M246" s="31"/>
      <c r="N246" s="30"/>
      <c r="O246" s="31"/>
      <c r="P246" s="13" t="str">
        <f t="shared" ca="1" si="6"/>
        <v/>
      </c>
      <c r="Q246" s="30"/>
    </row>
    <row r="247" spans="1:17" x14ac:dyDescent="0.25">
      <c r="A247" s="13" t="str">
        <f t="shared" si="7"/>
        <v/>
      </c>
      <c r="B247" s="31"/>
      <c r="C247" s="30"/>
      <c r="D247" s="30"/>
      <c r="E247" s="30"/>
      <c r="F247" s="33"/>
      <c r="G247" s="30"/>
      <c r="H247" s="33"/>
      <c r="I247" s="49"/>
      <c r="J247" s="53"/>
      <c r="K247" s="33"/>
      <c r="L247" s="33"/>
      <c r="M247" s="31"/>
      <c r="N247" s="30"/>
      <c r="O247" s="31"/>
      <c r="P247" s="13" t="str">
        <f t="shared" ca="1" si="6"/>
        <v/>
      </c>
      <c r="Q247" s="30"/>
    </row>
    <row r="248" spans="1:17" x14ac:dyDescent="0.25">
      <c r="A248" s="13" t="str">
        <f t="shared" si="7"/>
        <v/>
      </c>
      <c r="B248" s="31"/>
      <c r="C248" s="30"/>
      <c r="D248" s="30"/>
      <c r="E248" s="30"/>
      <c r="F248" s="33"/>
      <c r="G248" s="30"/>
      <c r="H248" s="33"/>
      <c r="I248" s="49"/>
      <c r="J248" s="53"/>
      <c r="K248" s="33"/>
      <c r="L248" s="33"/>
      <c r="M248" s="31"/>
      <c r="N248" s="30"/>
      <c r="O248" s="31"/>
      <c r="P248" s="13" t="str">
        <f t="shared" ca="1" si="6"/>
        <v/>
      </c>
      <c r="Q248" s="30"/>
    </row>
    <row r="249" spans="1:17" x14ac:dyDescent="0.25">
      <c r="A249" s="13" t="str">
        <f t="shared" si="7"/>
        <v/>
      </c>
      <c r="B249" s="31"/>
      <c r="C249" s="30"/>
      <c r="D249" s="30"/>
      <c r="E249" s="30"/>
      <c r="F249" s="33"/>
      <c r="G249" s="30"/>
      <c r="H249" s="33"/>
      <c r="I249" s="49"/>
      <c r="J249" s="53"/>
      <c r="K249" s="33"/>
      <c r="L249" s="33"/>
      <c r="M249" s="31"/>
      <c r="N249" s="30"/>
      <c r="O249" s="31"/>
      <c r="P249" s="13" t="str">
        <f t="shared" ca="1" si="6"/>
        <v/>
      </c>
      <c r="Q249" s="30"/>
    </row>
    <row r="250" spans="1:17" x14ac:dyDescent="0.25">
      <c r="A250" s="13" t="str">
        <f t="shared" si="7"/>
        <v/>
      </c>
      <c r="B250" s="31"/>
      <c r="C250" s="30"/>
      <c r="D250" s="30"/>
      <c r="E250" s="30"/>
      <c r="F250" s="33"/>
      <c r="G250" s="30"/>
      <c r="H250" s="33"/>
      <c r="I250" s="49"/>
      <c r="J250" s="53"/>
      <c r="K250" s="33"/>
      <c r="L250" s="33"/>
      <c r="M250" s="31"/>
      <c r="N250" s="30"/>
      <c r="O250" s="31"/>
      <c r="P250" s="13" t="str">
        <f t="shared" ca="1" si="6"/>
        <v/>
      </c>
      <c r="Q250" s="30"/>
    </row>
    <row r="251" spans="1:17" x14ac:dyDescent="0.25">
      <c r="A251" s="13" t="str">
        <f t="shared" si="7"/>
        <v/>
      </c>
      <c r="B251" s="31"/>
      <c r="C251" s="30"/>
      <c r="D251" s="30"/>
      <c r="E251" s="30"/>
      <c r="F251" s="33"/>
      <c r="G251" s="30"/>
      <c r="H251" s="33"/>
      <c r="I251" s="49"/>
      <c r="J251" s="53"/>
      <c r="K251" s="33"/>
      <c r="L251" s="33"/>
      <c r="M251" s="31"/>
      <c r="N251" s="30"/>
      <c r="O251" s="31"/>
      <c r="P251" s="13" t="str">
        <f t="shared" ca="1" si="6"/>
        <v/>
      </c>
      <c r="Q251" s="30"/>
    </row>
    <row r="252" spans="1:17" x14ac:dyDescent="0.25">
      <c r="A252" s="13" t="str">
        <f t="shared" si="7"/>
        <v/>
      </c>
      <c r="B252" s="31"/>
      <c r="C252" s="30"/>
      <c r="D252" s="30"/>
      <c r="E252" s="30"/>
      <c r="F252" s="33"/>
      <c r="G252" s="30"/>
      <c r="H252" s="33"/>
      <c r="I252" s="49"/>
      <c r="J252" s="53"/>
      <c r="K252" s="33"/>
      <c r="L252" s="33"/>
      <c r="M252" s="31"/>
      <c r="N252" s="30"/>
      <c r="O252" s="31"/>
      <c r="P252" s="13" t="str">
        <f t="shared" ca="1" si="6"/>
        <v/>
      </c>
      <c r="Q252" s="30"/>
    </row>
    <row r="253" spans="1:17" x14ac:dyDescent="0.25">
      <c r="A253" s="13" t="str">
        <f t="shared" si="7"/>
        <v/>
      </c>
      <c r="B253" s="31"/>
      <c r="C253" s="30"/>
      <c r="D253" s="30"/>
      <c r="E253" s="30"/>
      <c r="F253" s="33"/>
      <c r="G253" s="30"/>
      <c r="H253" s="33"/>
      <c r="I253" s="49"/>
      <c r="J253" s="53"/>
      <c r="K253" s="33"/>
      <c r="L253" s="33"/>
      <c r="M253" s="31"/>
      <c r="N253" s="30"/>
      <c r="O253" s="31"/>
      <c r="P253" s="13" t="str">
        <f t="shared" ca="1" si="6"/>
        <v/>
      </c>
      <c r="Q253" s="30"/>
    </row>
    <row r="254" spans="1:17" x14ac:dyDescent="0.25">
      <c r="A254" s="13" t="str">
        <f t="shared" si="7"/>
        <v/>
      </c>
      <c r="B254" s="31"/>
      <c r="C254" s="30"/>
      <c r="D254" s="30"/>
      <c r="E254" s="30"/>
      <c r="F254" s="33"/>
      <c r="G254" s="30"/>
      <c r="H254" s="33"/>
      <c r="I254" s="49"/>
      <c r="J254" s="53"/>
      <c r="K254" s="33"/>
      <c r="L254" s="33"/>
      <c r="M254" s="31"/>
      <c r="N254" s="30"/>
      <c r="O254" s="31"/>
      <c r="P254" s="13" t="str">
        <f t="shared" ca="1" si="6"/>
        <v/>
      </c>
      <c r="Q254" s="30"/>
    </row>
    <row r="255" spans="1:17" x14ac:dyDescent="0.25">
      <c r="A255" s="13" t="str">
        <f t="shared" si="7"/>
        <v/>
      </c>
      <c r="B255" s="31"/>
      <c r="C255" s="30"/>
      <c r="D255" s="30"/>
      <c r="E255" s="30"/>
      <c r="F255" s="33"/>
      <c r="G255" s="30"/>
      <c r="H255" s="33"/>
      <c r="I255" s="49"/>
      <c r="J255" s="53"/>
      <c r="K255" s="33"/>
      <c r="L255" s="33"/>
      <c r="M255" s="31"/>
      <c r="N255" s="30"/>
      <c r="O255" s="31"/>
      <c r="P255" s="13" t="str">
        <f t="shared" ca="1" si="6"/>
        <v/>
      </c>
      <c r="Q255" s="30"/>
    </row>
    <row r="256" spans="1:17" x14ac:dyDescent="0.25">
      <c r="A256" s="13" t="str">
        <f t="shared" si="7"/>
        <v/>
      </c>
      <c r="B256" s="31"/>
      <c r="C256" s="30"/>
      <c r="D256" s="30"/>
      <c r="E256" s="30"/>
      <c r="F256" s="33"/>
      <c r="G256" s="30"/>
      <c r="H256" s="33"/>
      <c r="I256" s="49"/>
      <c r="J256" s="53"/>
      <c r="K256" s="33"/>
      <c r="L256" s="33"/>
      <c r="M256" s="31"/>
      <c r="N256" s="30"/>
      <c r="O256" s="31"/>
      <c r="P256" s="13" t="str">
        <f t="shared" ca="1" si="6"/>
        <v/>
      </c>
      <c r="Q256" s="30"/>
    </row>
    <row r="257" spans="1:17" x14ac:dyDescent="0.25">
      <c r="A257" s="13" t="str">
        <f t="shared" si="7"/>
        <v/>
      </c>
      <c r="B257" s="31"/>
      <c r="C257" s="30"/>
      <c r="D257" s="30"/>
      <c r="E257" s="30"/>
      <c r="F257" s="33"/>
      <c r="G257" s="30"/>
      <c r="H257" s="33"/>
      <c r="I257" s="49"/>
      <c r="J257" s="53"/>
      <c r="K257" s="33"/>
      <c r="L257" s="33"/>
      <c r="M257" s="31"/>
      <c r="N257" s="30"/>
      <c r="O257" s="31"/>
      <c r="P257" s="13" t="str">
        <f t="shared" ca="1" si="6"/>
        <v/>
      </c>
      <c r="Q257" s="30"/>
    </row>
    <row r="258" spans="1:17" x14ac:dyDescent="0.25">
      <c r="A258" s="13" t="str">
        <f t="shared" si="7"/>
        <v/>
      </c>
      <c r="B258" s="31"/>
      <c r="C258" s="30"/>
      <c r="D258" s="30"/>
      <c r="E258" s="30"/>
      <c r="F258" s="33"/>
      <c r="G258" s="30"/>
      <c r="H258" s="33"/>
      <c r="I258" s="49"/>
      <c r="J258" s="53"/>
      <c r="K258" s="33"/>
      <c r="L258" s="33"/>
      <c r="M258" s="31"/>
      <c r="N258" s="30"/>
      <c r="O258" s="31"/>
      <c r="P258" s="13" t="str">
        <f t="shared" ca="1" si="6"/>
        <v/>
      </c>
      <c r="Q258" s="30"/>
    </row>
    <row r="259" spans="1:17" x14ac:dyDescent="0.25">
      <c r="A259" s="13" t="str">
        <f t="shared" si="7"/>
        <v/>
      </c>
      <c r="B259" s="31"/>
      <c r="C259" s="30"/>
      <c r="D259" s="30"/>
      <c r="E259" s="30"/>
      <c r="F259" s="33"/>
      <c r="G259" s="30"/>
      <c r="H259" s="33"/>
      <c r="I259" s="49"/>
      <c r="J259" s="53"/>
      <c r="K259" s="33"/>
      <c r="L259" s="33"/>
      <c r="M259" s="31"/>
      <c r="N259" s="30"/>
      <c r="O259" s="31"/>
      <c r="P259" s="13" t="str">
        <f t="shared" ca="1" si="6"/>
        <v/>
      </c>
      <c r="Q259" s="30"/>
    </row>
    <row r="260" spans="1:17" x14ac:dyDescent="0.25">
      <c r="A260" s="13" t="str">
        <f t="shared" si="7"/>
        <v/>
      </c>
      <c r="B260" s="31"/>
      <c r="C260" s="30"/>
      <c r="D260" s="30"/>
      <c r="E260" s="30"/>
      <c r="F260" s="33"/>
      <c r="G260" s="30"/>
      <c r="H260" s="33"/>
      <c r="I260" s="49"/>
      <c r="J260" s="53"/>
      <c r="K260" s="33"/>
      <c r="L260" s="33"/>
      <c r="M260" s="31"/>
      <c r="N260" s="30"/>
      <c r="O260" s="31"/>
      <c r="P260" s="13" t="str">
        <f t="shared" ca="1" si="6"/>
        <v/>
      </c>
      <c r="Q260" s="30"/>
    </row>
    <row r="261" spans="1:17" x14ac:dyDescent="0.25">
      <c r="A261" s="13" t="str">
        <f t="shared" si="7"/>
        <v/>
      </c>
      <c r="B261" s="31"/>
      <c r="C261" s="30"/>
      <c r="D261" s="30"/>
      <c r="E261" s="30"/>
      <c r="F261" s="33"/>
      <c r="G261" s="30"/>
      <c r="H261" s="33"/>
      <c r="I261" s="49"/>
      <c r="J261" s="53"/>
      <c r="K261" s="33"/>
      <c r="L261" s="33"/>
      <c r="M261" s="31"/>
      <c r="N261" s="30"/>
      <c r="O261" s="31"/>
      <c r="P261" s="13" t="str">
        <f t="shared" ref="P261:P304" ca="1" si="8">IF($B261="","",IF($O261&lt;&gt;"",$O261-$B261,TODAY()-$B261))</f>
        <v/>
      </c>
      <c r="Q261" s="30"/>
    </row>
    <row r="262" spans="1:17" x14ac:dyDescent="0.25">
      <c r="A262" s="13" t="str">
        <f t="shared" si="7"/>
        <v/>
      </c>
      <c r="B262" s="31"/>
      <c r="C262" s="30"/>
      <c r="D262" s="30"/>
      <c r="E262" s="30"/>
      <c r="F262" s="33"/>
      <c r="G262" s="30"/>
      <c r="H262" s="33"/>
      <c r="I262" s="49"/>
      <c r="J262" s="53"/>
      <c r="K262" s="33"/>
      <c r="L262" s="33"/>
      <c r="M262" s="31"/>
      <c r="N262" s="30"/>
      <c r="O262" s="31"/>
      <c r="P262" s="13" t="str">
        <f t="shared" ca="1" si="8"/>
        <v/>
      </c>
      <c r="Q262" s="30"/>
    </row>
    <row r="263" spans="1:17" x14ac:dyDescent="0.25">
      <c r="A263" s="13" t="str">
        <f t="shared" si="7"/>
        <v/>
      </c>
      <c r="B263" s="31"/>
      <c r="C263" s="30"/>
      <c r="D263" s="30"/>
      <c r="E263" s="30"/>
      <c r="F263" s="33"/>
      <c r="G263" s="30"/>
      <c r="H263" s="33"/>
      <c r="I263" s="49"/>
      <c r="J263" s="53"/>
      <c r="K263" s="33"/>
      <c r="L263" s="33"/>
      <c r="M263" s="31"/>
      <c r="N263" s="30"/>
      <c r="O263" s="31"/>
      <c r="P263" s="13" t="str">
        <f t="shared" ca="1" si="8"/>
        <v/>
      </c>
      <c r="Q263" s="30"/>
    </row>
    <row r="264" spans="1:17" x14ac:dyDescent="0.25">
      <c r="A264" s="13" t="str">
        <f t="shared" si="7"/>
        <v/>
      </c>
      <c r="B264" s="31"/>
      <c r="C264" s="30"/>
      <c r="D264" s="30"/>
      <c r="E264" s="30"/>
      <c r="F264" s="33"/>
      <c r="G264" s="30"/>
      <c r="H264" s="33"/>
      <c r="I264" s="49"/>
      <c r="J264" s="53"/>
      <c r="K264" s="33"/>
      <c r="L264" s="33"/>
      <c r="M264" s="31"/>
      <c r="N264" s="30"/>
      <c r="O264" s="31"/>
      <c r="P264" s="13" t="str">
        <f t="shared" ca="1" si="8"/>
        <v/>
      </c>
      <c r="Q264" s="30"/>
    </row>
    <row r="265" spans="1:17" x14ac:dyDescent="0.25">
      <c r="A265" s="13" t="str">
        <f t="shared" si="7"/>
        <v/>
      </c>
      <c r="B265" s="31"/>
      <c r="C265" s="30"/>
      <c r="D265" s="30"/>
      <c r="E265" s="30"/>
      <c r="F265" s="33"/>
      <c r="G265" s="30"/>
      <c r="H265" s="33"/>
      <c r="I265" s="49"/>
      <c r="J265" s="53"/>
      <c r="K265" s="33"/>
      <c r="L265" s="33"/>
      <c r="M265" s="31"/>
      <c r="N265" s="30"/>
      <c r="O265" s="31"/>
      <c r="P265" s="13" t="str">
        <f t="shared" ca="1" si="8"/>
        <v/>
      </c>
      <c r="Q265" s="30"/>
    </row>
    <row r="266" spans="1:17" x14ac:dyDescent="0.25">
      <c r="A266" s="13" t="str">
        <f t="shared" si="7"/>
        <v/>
      </c>
      <c r="B266" s="31"/>
      <c r="C266" s="30"/>
      <c r="D266" s="30"/>
      <c r="E266" s="30"/>
      <c r="F266" s="33"/>
      <c r="G266" s="30"/>
      <c r="H266" s="33"/>
      <c r="I266" s="49"/>
      <c r="J266" s="53"/>
      <c r="K266" s="33"/>
      <c r="L266" s="33"/>
      <c r="M266" s="31"/>
      <c r="N266" s="30"/>
      <c r="O266" s="31"/>
      <c r="P266" s="13" t="str">
        <f t="shared" ca="1" si="8"/>
        <v/>
      </c>
      <c r="Q266" s="30"/>
    </row>
    <row r="267" spans="1:17" x14ac:dyDescent="0.25">
      <c r="A267" s="13" t="str">
        <f t="shared" si="7"/>
        <v/>
      </c>
      <c r="B267" s="31"/>
      <c r="C267" s="30"/>
      <c r="D267" s="30"/>
      <c r="E267" s="30"/>
      <c r="F267" s="33"/>
      <c r="G267" s="30"/>
      <c r="H267" s="33"/>
      <c r="I267" s="49"/>
      <c r="J267" s="53"/>
      <c r="K267" s="33"/>
      <c r="L267" s="33"/>
      <c r="M267" s="31"/>
      <c r="N267" s="30"/>
      <c r="O267" s="31"/>
      <c r="P267" s="13" t="str">
        <f t="shared" ca="1" si="8"/>
        <v/>
      </c>
      <c r="Q267" s="30"/>
    </row>
    <row r="268" spans="1:17" x14ac:dyDescent="0.25">
      <c r="A268" s="13" t="str">
        <f t="shared" ref="A268:A304" si="9">IF($B268="","",ROW()-4)</f>
        <v/>
      </c>
      <c r="B268" s="31"/>
      <c r="C268" s="30"/>
      <c r="D268" s="30"/>
      <c r="E268" s="30"/>
      <c r="F268" s="33"/>
      <c r="G268" s="30"/>
      <c r="H268" s="33"/>
      <c r="I268" s="49"/>
      <c r="J268" s="53"/>
      <c r="K268" s="33"/>
      <c r="L268" s="33"/>
      <c r="M268" s="31"/>
      <c r="N268" s="30"/>
      <c r="O268" s="31"/>
      <c r="P268" s="13" t="str">
        <f t="shared" ca="1" si="8"/>
        <v/>
      </c>
      <c r="Q268" s="30"/>
    </row>
    <row r="269" spans="1:17" x14ac:dyDescent="0.25">
      <c r="A269" s="13" t="str">
        <f t="shared" si="9"/>
        <v/>
      </c>
      <c r="B269" s="31"/>
      <c r="C269" s="30"/>
      <c r="D269" s="30"/>
      <c r="E269" s="30"/>
      <c r="F269" s="33"/>
      <c r="G269" s="30"/>
      <c r="H269" s="33"/>
      <c r="I269" s="49"/>
      <c r="J269" s="53"/>
      <c r="K269" s="33"/>
      <c r="L269" s="33"/>
      <c r="M269" s="31"/>
      <c r="N269" s="30"/>
      <c r="O269" s="31"/>
      <c r="P269" s="13" t="str">
        <f t="shared" ca="1" si="8"/>
        <v/>
      </c>
      <c r="Q269" s="30"/>
    </row>
    <row r="270" spans="1:17" x14ac:dyDescent="0.25">
      <c r="A270" s="13" t="str">
        <f t="shared" si="9"/>
        <v/>
      </c>
      <c r="B270" s="31"/>
      <c r="C270" s="30"/>
      <c r="D270" s="30"/>
      <c r="E270" s="30"/>
      <c r="F270" s="33"/>
      <c r="G270" s="30"/>
      <c r="H270" s="33"/>
      <c r="I270" s="49"/>
      <c r="J270" s="53"/>
      <c r="K270" s="33"/>
      <c r="L270" s="33"/>
      <c r="M270" s="31"/>
      <c r="N270" s="30"/>
      <c r="O270" s="31"/>
      <c r="P270" s="13" t="str">
        <f t="shared" ca="1" si="8"/>
        <v/>
      </c>
      <c r="Q270" s="30"/>
    </row>
    <row r="271" spans="1:17" x14ac:dyDescent="0.25">
      <c r="A271" s="13" t="str">
        <f t="shared" si="9"/>
        <v/>
      </c>
      <c r="B271" s="31"/>
      <c r="C271" s="30"/>
      <c r="D271" s="30"/>
      <c r="E271" s="30"/>
      <c r="F271" s="33"/>
      <c r="G271" s="30"/>
      <c r="H271" s="33"/>
      <c r="I271" s="49"/>
      <c r="J271" s="53"/>
      <c r="K271" s="33"/>
      <c r="L271" s="33"/>
      <c r="M271" s="31"/>
      <c r="N271" s="30"/>
      <c r="O271" s="31"/>
      <c r="P271" s="13" t="str">
        <f t="shared" ca="1" si="8"/>
        <v/>
      </c>
      <c r="Q271" s="30"/>
    </row>
    <row r="272" spans="1:17" x14ac:dyDescent="0.25">
      <c r="A272" s="13" t="str">
        <f t="shared" si="9"/>
        <v/>
      </c>
      <c r="B272" s="31"/>
      <c r="C272" s="30"/>
      <c r="D272" s="30"/>
      <c r="E272" s="30"/>
      <c r="F272" s="33"/>
      <c r="G272" s="30"/>
      <c r="H272" s="33"/>
      <c r="I272" s="49"/>
      <c r="J272" s="53"/>
      <c r="K272" s="33"/>
      <c r="L272" s="33"/>
      <c r="M272" s="31"/>
      <c r="N272" s="30"/>
      <c r="O272" s="31"/>
      <c r="P272" s="13" t="str">
        <f t="shared" ca="1" si="8"/>
        <v/>
      </c>
      <c r="Q272" s="30"/>
    </row>
    <row r="273" spans="1:17" x14ac:dyDescent="0.25">
      <c r="A273" s="13" t="str">
        <f t="shared" si="9"/>
        <v/>
      </c>
      <c r="B273" s="31"/>
      <c r="C273" s="30"/>
      <c r="D273" s="30"/>
      <c r="E273" s="30"/>
      <c r="F273" s="33"/>
      <c r="G273" s="30"/>
      <c r="H273" s="33"/>
      <c r="I273" s="49"/>
      <c r="J273" s="53"/>
      <c r="K273" s="33"/>
      <c r="L273" s="33"/>
      <c r="M273" s="31"/>
      <c r="N273" s="30"/>
      <c r="O273" s="31"/>
      <c r="P273" s="13" t="str">
        <f t="shared" ca="1" si="8"/>
        <v/>
      </c>
      <c r="Q273" s="30"/>
    </row>
    <row r="274" spans="1:17" x14ac:dyDescent="0.25">
      <c r="A274" s="13" t="str">
        <f t="shared" si="9"/>
        <v/>
      </c>
      <c r="B274" s="31"/>
      <c r="C274" s="30"/>
      <c r="D274" s="30"/>
      <c r="E274" s="30"/>
      <c r="F274" s="33"/>
      <c r="G274" s="30"/>
      <c r="H274" s="33"/>
      <c r="I274" s="49"/>
      <c r="J274" s="53"/>
      <c r="K274" s="33"/>
      <c r="L274" s="33"/>
      <c r="M274" s="31"/>
      <c r="N274" s="30"/>
      <c r="O274" s="31"/>
      <c r="P274" s="13" t="str">
        <f t="shared" ca="1" si="8"/>
        <v/>
      </c>
      <c r="Q274" s="30"/>
    </row>
    <row r="275" spans="1:17" x14ac:dyDescent="0.25">
      <c r="A275" s="13" t="str">
        <f t="shared" si="9"/>
        <v/>
      </c>
      <c r="B275" s="31"/>
      <c r="C275" s="30"/>
      <c r="D275" s="30"/>
      <c r="E275" s="30"/>
      <c r="F275" s="33"/>
      <c r="G275" s="30"/>
      <c r="H275" s="33"/>
      <c r="I275" s="49"/>
      <c r="J275" s="53"/>
      <c r="K275" s="33"/>
      <c r="L275" s="33"/>
      <c r="M275" s="31"/>
      <c r="N275" s="30"/>
      <c r="O275" s="31"/>
      <c r="P275" s="13" t="str">
        <f t="shared" ca="1" si="8"/>
        <v/>
      </c>
      <c r="Q275" s="30"/>
    </row>
    <row r="276" spans="1:17" x14ac:dyDescent="0.25">
      <c r="A276" s="13" t="str">
        <f t="shared" si="9"/>
        <v/>
      </c>
      <c r="B276" s="31"/>
      <c r="C276" s="30"/>
      <c r="D276" s="30"/>
      <c r="E276" s="30"/>
      <c r="F276" s="33"/>
      <c r="G276" s="30"/>
      <c r="H276" s="33"/>
      <c r="I276" s="49"/>
      <c r="J276" s="53"/>
      <c r="K276" s="33"/>
      <c r="L276" s="33"/>
      <c r="M276" s="31"/>
      <c r="N276" s="30"/>
      <c r="O276" s="31"/>
      <c r="P276" s="13" t="str">
        <f t="shared" ca="1" si="8"/>
        <v/>
      </c>
      <c r="Q276" s="30"/>
    </row>
    <row r="277" spans="1:17" x14ac:dyDescent="0.25">
      <c r="A277" s="13" t="str">
        <f t="shared" si="9"/>
        <v/>
      </c>
      <c r="B277" s="31"/>
      <c r="C277" s="30"/>
      <c r="D277" s="30"/>
      <c r="E277" s="30"/>
      <c r="F277" s="33"/>
      <c r="G277" s="30"/>
      <c r="H277" s="33"/>
      <c r="I277" s="49"/>
      <c r="J277" s="53"/>
      <c r="K277" s="33"/>
      <c r="L277" s="33"/>
      <c r="M277" s="31"/>
      <c r="N277" s="30"/>
      <c r="O277" s="31"/>
      <c r="P277" s="13" t="str">
        <f t="shared" ca="1" si="8"/>
        <v/>
      </c>
      <c r="Q277" s="30"/>
    </row>
    <row r="278" spans="1:17" x14ac:dyDescent="0.25">
      <c r="A278" s="13" t="str">
        <f t="shared" si="9"/>
        <v/>
      </c>
      <c r="B278" s="31"/>
      <c r="C278" s="30"/>
      <c r="D278" s="30"/>
      <c r="E278" s="30"/>
      <c r="F278" s="33"/>
      <c r="G278" s="30"/>
      <c r="H278" s="33"/>
      <c r="I278" s="49"/>
      <c r="J278" s="53"/>
      <c r="K278" s="33"/>
      <c r="L278" s="33"/>
      <c r="M278" s="31"/>
      <c r="N278" s="30"/>
      <c r="O278" s="31"/>
      <c r="P278" s="13" t="str">
        <f t="shared" ca="1" si="8"/>
        <v/>
      </c>
      <c r="Q278" s="30"/>
    </row>
    <row r="279" spans="1:17" x14ac:dyDescent="0.25">
      <c r="A279" s="13" t="str">
        <f t="shared" si="9"/>
        <v/>
      </c>
      <c r="B279" s="31"/>
      <c r="C279" s="30"/>
      <c r="D279" s="30"/>
      <c r="E279" s="30"/>
      <c r="F279" s="33"/>
      <c r="G279" s="30"/>
      <c r="H279" s="33"/>
      <c r="I279" s="49"/>
      <c r="J279" s="53"/>
      <c r="K279" s="33"/>
      <c r="L279" s="33"/>
      <c r="M279" s="31"/>
      <c r="N279" s="30"/>
      <c r="O279" s="31"/>
      <c r="P279" s="13" t="str">
        <f t="shared" ca="1" si="8"/>
        <v/>
      </c>
      <c r="Q279" s="30"/>
    </row>
    <row r="280" spans="1:17" x14ac:dyDescent="0.25">
      <c r="A280" s="13" t="str">
        <f t="shared" si="9"/>
        <v/>
      </c>
      <c r="B280" s="31"/>
      <c r="C280" s="30"/>
      <c r="D280" s="30"/>
      <c r="E280" s="30"/>
      <c r="F280" s="33"/>
      <c r="G280" s="30"/>
      <c r="H280" s="33"/>
      <c r="I280" s="49"/>
      <c r="J280" s="53"/>
      <c r="K280" s="33"/>
      <c r="L280" s="33"/>
      <c r="M280" s="31"/>
      <c r="N280" s="30"/>
      <c r="O280" s="31"/>
      <c r="P280" s="13" t="str">
        <f t="shared" ca="1" si="8"/>
        <v/>
      </c>
      <c r="Q280" s="30"/>
    </row>
    <row r="281" spans="1:17" x14ac:dyDescent="0.25">
      <c r="A281" s="13" t="str">
        <f t="shared" si="9"/>
        <v/>
      </c>
      <c r="B281" s="31"/>
      <c r="C281" s="30"/>
      <c r="D281" s="30"/>
      <c r="E281" s="30"/>
      <c r="F281" s="33"/>
      <c r="G281" s="30"/>
      <c r="H281" s="33"/>
      <c r="I281" s="49"/>
      <c r="J281" s="53"/>
      <c r="K281" s="33"/>
      <c r="L281" s="33"/>
      <c r="M281" s="31"/>
      <c r="N281" s="30"/>
      <c r="O281" s="31"/>
      <c r="P281" s="13" t="str">
        <f t="shared" ca="1" si="8"/>
        <v/>
      </c>
      <c r="Q281" s="30"/>
    </row>
    <row r="282" spans="1:17" x14ac:dyDescent="0.25">
      <c r="A282" s="13" t="str">
        <f t="shared" si="9"/>
        <v/>
      </c>
      <c r="B282" s="31"/>
      <c r="C282" s="30"/>
      <c r="D282" s="30"/>
      <c r="E282" s="30"/>
      <c r="F282" s="33"/>
      <c r="G282" s="30"/>
      <c r="H282" s="33"/>
      <c r="I282" s="49"/>
      <c r="J282" s="53"/>
      <c r="K282" s="33"/>
      <c r="L282" s="33"/>
      <c r="M282" s="31"/>
      <c r="N282" s="30"/>
      <c r="O282" s="31"/>
      <c r="P282" s="13" t="str">
        <f t="shared" ca="1" si="8"/>
        <v/>
      </c>
      <c r="Q282" s="30"/>
    </row>
    <row r="283" spans="1:17" x14ac:dyDescent="0.25">
      <c r="A283" s="13" t="str">
        <f t="shared" si="9"/>
        <v/>
      </c>
      <c r="B283" s="31"/>
      <c r="C283" s="30"/>
      <c r="D283" s="30"/>
      <c r="E283" s="30"/>
      <c r="F283" s="33"/>
      <c r="G283" s="30"/>
      <c r="H283" s="33"/>
      <c r="I283" s="49"/>
      <c r="J283" s="53"/>
      <c r="K283" s="33"/>
      <c r="L283" s="33"/>
      <c r="M283" s="31"/>
      <c r="N283" s="30"/>
      <c r="O283" s="31"/>
      <c r="P283" s="13" t="str">
        <f t="shared" ca="1" si="8"/>
        <v/>
      </c>
      <c r="Q283" s="30"/>
    </row>
    <row r="284" spans="1:17" x14ac:dyDescent="0.25">
      <c r="A284" s="13" t="str">
        <f t="shared" si="9"/>
        <v/>
      </c>
      <c r="B284" s="31"/>
      <c r="C284" s="30"/>
      <c r="D284" s="30"/>
      <c r="E284" s="30"/>
      <c r="F284" s="33"/>
      <c r="G284" s="30"/>
      <c r="H284" s="33"/>
      <c r="I284" s="49"/>
      <c r="J284" s="53"/>
      <c r="K284" s="33"/>
      <c r="L284" s="33"/>
      <c r="M284" s="31"/>
      <c r="N284" s="30"/>
      <c r="O284" s="31"/>
      <c r="P284" s="13" t="str">
        <f t="shared" ca="1" si="8"/>
        <v/>
      </c>
      <c r="Q284" s="30"/>
    </row>
    <row r="285" spans="1:17" x14ac:dyDescent="0.25">
      <c r="A285" s="13" t="str">
        <f t="shared" si="9"/>
        <v/>
      </c>
      <c r="B285" s="31"/>
      <c r="C285" s="30"/>
      <c r="D285" s="30"/>
      <c r="E285" s="30"/>
      <c r="F285" s="33"/>
      <c r="G285" s="30"/>
      <c r="H285" s="33"/>
      <c r="I285" s="49"/>
      <c r="J285" s="53"/>
      <c r="K285" s="33"/>
      <c r="L285" s="33"/>
      <c r="M285" s="31"/>
      <c r="N285" s="30"/>
      <c r="O285" s="31"/>
      <c r="P285" s="13" t="str">
        <f t="shared" ca="1" si="8"/>
        <v/>
      </c>
      <c r="Q285" s="30"/>
    </row>
    <row r="286" spans="1:17" x14ac:dyDescent="0.25">
      <c r="A286" s="13" t="str">
        <f t="shared" si="9"/>
        <v/>
      </c>
      <c r="B286" s="31"/>
      <c r="C286" s="30"/>
      <c r="D286" s="30"/>
      <c r="E286" s="30"/>
      <c r="F286" s="33"/>
      <c r="G286" s="30"/>
      <c r="H286" s="33"/>
      <c r="I286" s="49"/>
      <c r="J286" s="53"/>
      <c r="K286" s="33"/>
      <c r="L286" s="33"/>
      <c r="M286" s="31"/>
      <c r="N286" s="30"/>
      <c r="O286" s="31"/>
      <c r="P286" s="13" t="str">
        <f t="shared" ca="1" si="8"/>
        <v/>
      </c>
      <c r="Q286" s="30"/>
    </row>
    <row r="287" spans="1:17" x14ac:dyDescent="0.25">
      <c r="A287" s="13" t="str">
        <f t="shared" si="9"/>
        <v/>
      </c>
      <c r="B287" s="31"/>
      <c r="C287" s="30"/>
      <c r="D287" s="30"/>
      <c r="E287" s="30"/>
      <c r="F287" s="33"/>
      <c r="G287" s="30"/>
      <c r="H287" s="33"/>
      <c r="I287" s="49"/>
      <c r="J287" s="53"/>
      <c r="K287" s="33"/>
      <c r="L287" s="33"/>
      <c r="M287" s="31"/>
      <c r="N287" s="30"/>
      <c r="O287" s="31"/>
      <c r="P287" s="13" t="str">
        <f t="shared" ca="1" si="8"/>
        <v/>
      </c>
      <c r="Q287" s="30"/>
    </row>
    <row r="288" spans="1:17" x14ac:dyDescent="0.25">
      <c r="A288" s="13" t="str">
        <f t="shared" si="9"/>
        <v/>
      </c>
      <c r="B288" s="31"/>
      <c r="C288" s="30"/>
      <c r="D288" s="30"/>
      <c r="E288" s="30"/>
      <c r="F288" s="33"/>
      <c r="G288" s="30"/>
      <c r="H288" s="33"/>
      <c r="I288" s="49"/>
      <c r="J288" s="53"/>
      <c r="K288" s="33"/>
      <c r="L288" s="33"/>
      <c r="M288" s="31"/>
      <c r="N288" s="30"/>
      <c r="O288" s="31"/>
      <c r="P288" s="13" t="str">
        <f t="shared" ca="1" si="8"/>
        <v/>
      </c>
      <c r="Q288" s="30"/>
    </row>
    <row r="289" spans="1:17" x14ac:dyDescent="0.25">
      <c r="A289" s="13" t="str">
        <f t="shared" si="9"/>
        <v/>
      </c>
      <c r="B289" s="31"/>
      <c r="C289" s="30"/>
      <c r="D289" s="30"/>
      <c r="E289" s="30"/>
      <c r="F289" s="33"/>
      <c r="G289" s="30"/>
      <c r="H289" s="33"/>
      <c r="I289" s="49"/>
      <c r="J289" s="53"/>
      <c r="K289" s="33"/>
      <c r="L289" s="33"/>
      <c r="M289" s="31"/>
      <c r="N289" s="30"/>
      <c r="O289" s="31"/>
      <c r="P289" s="13" t="str">
        <f t="shared" ca="1" si="8"/>
        <v/>
      </c>
      <c r="Q289" s="30"/>
    </row>
    <row r="290" spans="1:17" x14ac:dyDescent="0.25">
      <c r="A290" s="13" t="str">
        <f t="shared" si="9"/>
        <v/>
      </c>
      <c r="B290" s="31"/>
      <c r="C290" s="30"/>
      <c r="D290" s="30"/>
      <c r="E290" s="30"/>
      <c r="F290" s="33"/>
      <c r="G290" s="30"/>
      <c r="H290" s="33"/>
      <c r="I290" s="49"/>
      <c r="J290" s="53"/>
      <c r="K290" s="33"/>
      <c r="L290" s="33"/>
      <c r="M290" s="31"/>
      <c r="N290" s="30"/>
      <c r="O290" s="31"/>
      <c r="P290" s="13" t="str">
        <f t="shared" ca="1" si="8"/>
        <v/>
      </c>
      <c r="Q290" s="30"/>
    </row>
    <row r="291" spans="1:17" x14ac:dyDescent="0.25">
      <c r="A291" s="13" t="str">
        <f t="shared" si="9"/>
        <v/>
      </c>
      <c r="B291" s="31"/>
      <c r="C291" s="30"/>
      <c r="D291" s="30"/>
      <c r="E291" s="30"/>
      <c r="F291" s="33"/>
      <c r="G291" s="30"/>
      <c r="H291" s="33"/>
      <c r="I291" s="49"/>
      <c r="J291" s="53"/>
      <c r="K291" s="33"/>
      <c r="L291" s="33"/>
      <c r="M291" s="31"/>
      <c r="N291" s="30"/>
      <c r="O291" s="31"/>
      <c r="P291" s="13" t="str">
        <f t="shared" ca="1" si="8"/>
        <v/>
      </c>
      <c r="Q291" s="30"/>
    </row>
    <row r="292" spans="1:17" x14ac:dyDescent="0.25">
      <c r="A292" s="13" t="str">
        <f t="shared" si="9"/>
        <v/>
      </c>
      <c r="B292" s="31"/>
      <c r="C292" s="30"/>
      <c r="D292" s="30"/>
      <c r="E292" s="30"/>
      <c r="F292" s="33"/>
      <c r="G292" s="30"/>
      <c r="H292" s="33"/>
      <c r="I292" s="49"/>
      <c r="J292" s="53"/>
      <c r="K292" s="33"/>
      <c r="L292" s="33"/>
      <c r="M292" s="31"/>
      <c r="N292" s="30"/>
      <c r="O292" s="31"/>
      <c r="P292" s="13" t="str">
        <f t="shared" ca="1" si="8"/>
        <v/>
      </c>
      <c r="Q292" s="30"/>
    </row>
    <row r="293" spans="1:17" x14ac:dyDescent="0.25">
      <c r="A293" s="13" t="str">
        <f t="shared" si="9"/>
        <v/>
      </c>
      <c r="B293" s="31"/>
      <c r="C293" s="30"/>
      <c r="D293" s="30"/>
      <c r="E293" s="30"/>
      <c r="F293" s="33"/>
      <c r="G293" s="30"/>
      <c r="H293" s="33"/>
      <c r="I293" s="49"/>
      <c r="J293" s="53"/>
      <c r="K293" s="33"/>
      <c r="L293" s="33"/>
      <c r="M293" s="31"/>
      <c r="N293" s="30"/>
      <c r="O293" s="31"/>
      <c r="P293" s="13" t="str">
        <f t="shared" ca="1" si="8"/>
        <v/>
      </c>
      <c r="Q293" s="30"/>
    </row>
    <row r="294" spans="1:17" x14ac:dyDescent="0.25">
      <c r="A294" s="13" t="str">
        <f t="shared" si="9"/>
        <v/>
      </c>
      <c r="B294" s="31"/>
      <c r="C294" s="30"/>
      <c r="D294" s="30"/>
      <c r="E294" s="30"/>
      <c r="F294" s="33"/>
      <c r="G294" s="30"/>
      <c r="H294" s="33"/>
      <c r="I294" s="49"/>
      <c r="J294" s="53"/>
      <c r="K294" s="33"/>
      <c r="L294" s="33"/>
      <c r="M294" s="31"/>
      <c r="N294" s="30"/>
      <c r="O294" s="31"/>
      <c r="P294" s="13" t="str">
        <f t="shared" ca="1" si="8"/>
        <v/>
      </c>
      <c r="Q294" s="30"/>
    </row>
    <row r="295" spans="1:17" x14ac:dyDescent="0.25">
      <c r="A295" s="13" t="str">
        <f t="shared" si="9"/>
        <v/>
      </c>
      <c r="B295" s="31"/>
      <c r="C295" s="30"/>
      <c r="D295" s="30"/>
      <c r="E295" s="30"/>
      <c r="F295" s="33"/>
      <c r="G295" s="30"/>
      <c r="H295" s="33"/>
      <c r="I295" s="49"/>
      <c r="J295" s="53"/>
      <c r="K295" s="33"/>
      <c r="L295" s="33"/>
      <c r="M295" s="31"/>
      <c r="N295" s="30"/>
      <c r="O295" s="31"/>
      <c r="P295" s="13" t="str">
        <f t="shared" ca="1" si="8"/>
        <v/>
      </c>
      <c r="Q295" s="30"/>
    </row>
    <row r="296" spans="1:17" x14ac:dyDescent="0.25">
      <c r="A296" s="13" t="str">
        <f t="shared" si="9"/>
        <v/>
      </c>
      <c r="B296" s="31"/>
      <c r="C296" s="30"/>
      <c r="D296" s="30"/>
      <c r="E296" s="30"/>
      <c r="F296" s="33"/>
      <c r="G296" s="30"/>
      <c r="H296" s="33"/>
      <c r="I296" s="49"/>
      <c r="J296" s="53"/>
      <c r="K296" s="33"/>
      <c r="L296" s="33"/>
      <c r="M296" s="31"/>
      <c r="N296" s="30"/>
      <c r="O296" s="31"/>
      <c r="P296" s="13" t="str">
        <f t="shared" ca="1" si="8"/>
        <v/>
      </c>
      <c r="Q296" s="30"/>
    </row>
    <row r="297" spans="1:17" x14ac:dyDescent="0.25">
      <c r="A297" s="13" t="str">
        <f t="shared" si="9"/>
        <v/>
      </c>
      <c r="B297" s="31"/>
      <c r="C297" s="30"/>
      <c r="D297" s="30"/>
      <c r="E297" s="30"/>
      <c r="F297" s="33"/>
      <c r="G297" s="30"/>
      <c r="H297" s="33"/>
      <c r="I297" s="49"/>
      <c r="J297" s="53"/>
      <c r="K297" s="33"/>
      <c r="L297" s="33"/>
      <c r="M297" s="31"/>
      <c r="N297" s="30"/>
      <c r="O297" s="31"/>
      <c r="P297" s="13" t="str">
        <f t="shared" ca="1" si="8"/>
        <v/>
      </c>
      <c r="Q297" s="30"/>
    </row>
    <row r="298" spans="1:17" x14ac:dyDescent="0.25">
      <c r="A298" s="13" t="str">
        <f t="shared" si="9"/>
        <v/>
      </c>
      <c r="B298" s="31"/>
      <c r="C298" s="30"/>
      <c r="D298" s="30"/>
      <c r="E298" s="30"/>
      <c r="F298" s="33"/>
      <c r="G298" s="30"/>
      <c r="H298" s="33"/>
      <c r="I298" s="49"/>
      <c r="J298" s="53"/>
      <c r="K298" s="33"/>
      <c r="L298" s="33"/>
      <c r="M298" s="31"/>
      <c r="N298" s="30"/>
      <c r="O298" s="31"/>
      <c r="P298" s="13" t="str">
        <f t="shared" ca="1" si="8"/>
        <v/>
      </c>
      <c r="Q298" s="30"/>
    </row>
    <row r="299" spans="1:17" x14ac:dyDescent="0.25">
      <c r="A299" s="13" t="str">
        <f t="shared" si="9"/>
        <v/>
      </c>
      <c r="B299" s="31"/>
      <c r="C299" s="30"/>
      <c r="D299" s="30"/>
      <c r="E299" s="30"/>
      <c r="F299" s="33"/>
      <c r="G299" s="30"/>
      <c r="H299" s="33"/>
      <c r="I299" s="49"/>
      <c r="J299" s="53"/>
      <c r="K299" s="33"/>
      <c r="L299" s="33"/>
      <c r="M299" s="31"/>
      <c r="N299" s="30"/>
      <c r="O299" s="31"/>
      <c r="P299" s="13" t="str">
        <f t="shared" ca="1" si="8"/>
        <v/>
      </c>
      <c r="Q299" s="30"/>
    </row>
    <row r="300" spans="1:17" x14ac:dyDescent="0.25">
      <c r="A300" s="13" t="str">
        <f t="shared" si="9"/>
        <v/>
      </c>
      <c r="B300" s="31"/>
      <c r="C300" s="30"/>
      <c r="D300" s="30"/>
      <c r="E300" s="30"/>
      <c r="F300" s="33"/>
      <c r="G300" s="30"/>
      <c r="H300" s="33"/>
      <c r="I300" s="49"/>
      <c r="J300" s="53"/>
      <c r="K300" s="33"/>
      <c r="L300" s="33"/>
      <c r="M300" s="31"/>
      <c r="N300" s="30"/>
      <c r="O300" s="31"/>
      <c r="P300" s="13" t="str">
        <f t="shared" ca="1" si="8"/>
        <v/>
      </c>
      <c r="Q300" s="30"/>
    </row>
    <row r="301" spans="1:17" x14ac:dyDescent="0.25">
      <c r="A301" s="13" t="str">
        <f t="shared" si="9"/>
        <v/>
      </c>
      <c r="B301" s="31"/>
      <c r="C301" s="30"/>
      <c r="D301" s="30"/>
      <c r="E301" s="30"/>
      <c r="F301" s="33"/>
      <c r="G301" s="30"/>
      <c r="H301" s="33"/>
      <c r="I301" s="49"/>
      <c r="J301" s="53"/>
      <c r="K301" s="33"/>
      <c r="L301" s="33"/>
      <c r="M301" s="31"/>
      <c r="N301" s="30"/>
      <c r="O301" s="31"/>
      <c r="P301" s="13" t="str">
        <f t="shared" ca="1" si="8"/>
        <v/>
      </c>
      <c r="Q301" s="30"/>
    </row>
    <row r="302" spans="1:17" x14ac:dyDescent="0.25">
      <c r="A302" s="13" t="str">
        <f t="shared" si="9"/>
        <v/>
      </c>
      <c r="B302" s="31"/>
      <c r="C302" s="30"/>
      <c r="D302" s="30"/>
      <c r="E302" s="30"/>
      <c r="F302" s="33"/>
      <c r="G302" s="30"/>
      <c r="H302" s="33"/>
      <c r="I302" s="49"/>
      <c r="J302" s="53"/>
      <c r="K302" s="33"/>
      <c r="L302" s="33"/>
      <c r="M302" s="31"/>
      <c r="N302" s="30"/>
      <c r="O302" s="31"/>
      <c r="P302" s="13" t="str">
        <f t="shared" ca="1" si="8"/>
        <v/>
      </c>
      <c r="Q302" s="30"/>
    </row>
    <row r="303" spans="1:17" x14ac:dyDescent="0.25">
      <c r="A303" s="13" t="str">
        <f t="shared" si="9"/>
        <v/>
      </c>
      <c r="B303" s="31"/>
      <c r="C303" s="30"/>
      <c r="D303" s="30"/>
      <c r="E303" s="30"/>
      <c r="F303" s="33"/>
      <c r="G303" s="30"/>
      <c r="H303" s="33"/>
      <c r="I303" s="49"/>
      <c r="J303" s="53"/>
      <c r="K303" s="33"/>
      <c r="L303" s="33"/>
      <c r="M303" s="31"/>
      <c r="N303" s="30"/>
      <c r="O303" s="31"/>
      <c r="P303" s="13" t="str">
        <f t="shared" ca="1" si="8"/>
        <v/>
      </c>
      <c r="Q303" s="30"/>
    </row>
    <row r="304" spans="1:17" x14ac:dyDescent="0.25">
      <c r="A304" s="13" t="str">
        <f t="shared" si="9"/>
        <v/>
      </c>
      <c r="B304" s="31"/>
      <c r="C304" s="30"/>
      <c r="D304" s="30"/>
      <c r="E304" s="30"/>
      <c r="F304" s="33"/>
      <c r="G304" s="30"/>
      <c r="H304" s="33"/>
      <c r="I304" s="49"/>
      <c r="J304" s="53"/>
      <c r="K304" s="33"/>
      <c r="L304" s="33"/>
      <c r="M304" s="31"/>
      <c r="N304" s="30"/>
      <c r="O304" s="31"/>
      <c r="P304" s="13" t="str">
        <f t="shared" ca="1" si="8"/>
        <v/>
      </c>
      <c r="Q304" s="30"/>
    </row>
  </sheetData>
  <autoFilter ref="A4:Q4"/>
  <mergeCells count="20">
    <mergeCell ref="T18:Y18"/>
    <mergeCell ref="T3:Y3"/>
    <mergeCell ref="A2:Q2"/>
    <mergeCell ref="T15:Y15"/>
    <mergeCell ref="T5:Y5"/>
    <mergeCell ref="T14:Y14"/>
    <mergeCell ref="T4:Y4"/>
    <mergeCell ref="T17:Y17"/>
    <mergeCell ref="T8:Y8"/>
    <mergeCell ref="T13:Y13"/>
    <mergeCell ref="T16:Y16"/>
    <mergeCell ref="T7:Y7"/>
    <mergeCell ref="T10:Y10"/>
    <mergeCell ref="T9:Y9"/>
    <mergeCell ref="T12:Y12"/>
    <mergeCell ref="A1:Q1"/>
    <mergeCell ref="T11:Y11"/>
    <mergeCell ref="T2:Y2"/>
    <mergeCell ref="T1:Y1"/>
    <mergeCell ref="T6:Y6"/>
  </mergeCells>
  <conditionalFormatting sqref="G5:G304">
    <cfRule type="cellIs" dxfId="31" priority="1" operator="equal">
      <formula>"CRÍTICA"</formula>
    </cfRule>
    <cfRule type="cellIs" dxfId="30" priority="2" operator="equal">
      <formula>"ALTA"</formula>
    </cfRule>
  </conditionalFormatting>
  <conditionalFormatting sqref="P5:P304">
    <cfRule type="expression" dxfId="29" priority="3">
      <formula>AND($N5="ABERTA",$P5&gt;7)</formula>
    </cfRule>
  </conditionalFormatting>
  <dataValidations count="7">
    <dataValidation type="list" allowBlank="1" errorTitle="Entrada invalida" error="Valor fora da lista padronizada. Use a seta para escolher." sqref="C5:C304">
      <formula1>LST_CONTRATO</formula1>
    </dataValidation>
    <dataValidation type="list" allowBlank="1" errorTitle="Entrada invalida" error="Valor fora da lista padronizada. Use a seta para escolher." sqref="E5:E304">
      <formula1>LST_EQUIPE</formula1>
    </dataValidation>
    <dataValidation type="list" allowBlank="1" errorTitle="Entrada invalida" error="Valor fora da lista padronizada. Use a seta para escolher." sqref="F5:F304">
      <formula1>LST_TIPO_OCOR</formula1>
    </dataValidation>
    <dataValidation type="list" allowBlank="1" errorTitle="Entrada invalida" error="Valor fora da lista padronizada. Use a seta para escolher." sqref="G5:G304">
      <formula1>LST_GRAVIDADE</formula1>
    </dataValidation>
    <dataValidation type="list" allowBlank="1" errorTitle="Entrada invalida" error="Valor fora da lista padronizada. Use a seta para escolher." sqref="N5:N304">
      <formula1>LST_STATUS_OC</formula1>
    </dataValidation>
    <dataValidation type="list" allowBlank="1" errorTitle="Entrada invalida" error="Valor fora da lista padronizada. Use a seta para escolher." sqref="Q5:Q304">
      <formula1>LST_SN</formula1>
    </dataValidation>
    <dataValidation type="date" allowBlank="1" errorTitle="Data invalida" error="Informe uma data valida (dd/mm/aaaa) entre 2026 e 2030." sqref="B5:B304">
      <formula1>DATE(2026,1,1)</formula1>
      <formula2>DATE(2030,12,31)</formula2>
    </dataValidation>
  </dataValidations>
  <printOptions horizontalCentered="1"/>
  <pageMargins left="0.3" right="0.3" top="0.5" bottom="0.5" header="0.5" footer="0.5"/>
  <pageSetup paperSize="9" fitToHeight="0" orientation="landscape"/>
  <headerFooter>
    <oddFooter>&amp;L&amp;8 WCR Saneamento — Controle Operacional SABESP&amp;R&amp;8 Página &amp;P de &amp;N</oddFooter>
  </headerFooter>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pageSetUpPr fitToPage="1"/>
  </sheetPr>
  <dimension ref="A1:AA54"/>
  <sheetViews>
    <sheetView showGridLines="0" workbookViewId="0">
      <pane ySplit="4" topLeftCell="A5" activePane="bottomLeft" state="frozen"/>
      <selection pane="bottomLeft" sqref="A1:S1"/>
    </sheetView>
  </sheetViews>
  <sheetFormatPr defaultRowHeight="15" x14ac:dyDescent="0.25"/>
  <cols>
    <col min="1" max="2" width="12" style="109" customWidth="1"/>
    <col min="3" max="3" width="15" style="109" customWidth="1"/>
    <col min="4" max="4" width="13" style="109" customWidth="1"/>
    <col min="5" max="5" width="16" style="109" customWidth="1"/>
    <col min="6" max="7" width="12" style="109" customWidth="1"/>
    <col min="8" max="8" width="13" style="109" customWidth="1"/>
    <col min="9" max="9" width="16" style="109" customWidth="1"/>
    <col min="10" max="10" width="15" style="109" customWidth="1"/>
    <col min="11" max="11" width="16" style="109" customWidth="1"/>
    <col min="12" max="13" width="15" style="109" customWidth="1"/>
    <col min="14" max="14" width="14" style="109" customWidth="1"/>
    <col min="15" max="15" width="11" style="109" customWidth="1"/>
    <col min="16" max="16" width="16" style="109" customWidth="1"/>
    <col min="17" max="18" width="15" style="109" customWidth="1"/>
    <col min="19" max="19" width="10" style="109" customWidth="1"/>
    <col min="22" max="27" width="10.42578125" style="109" customWidth="1"/>
  </cols>
  <sheetData>
    <row r="1" spans="1:27" ht="26.1" customHeight="1" x14ac:dyDescent="0.25">
      <c r="A1" s="151" t="s">
        <v>2841</v>
      </c>
      <c r="B1" s="149"/>
      <c r="C1" s="149"/>
      <c r="D1" s="149"/>
      <c r="E1" s="149"/>
      <c r="F1" s="149"/>
      <c r="G1" s="149"/>
      <c r="H1" s="149"/>
      <c r="I1" s="149"/>
      <c r="J1" s="149"/>
      <c r="K1" s="149"/>
      <c r="L1" s="149"/>
      <c r="M1" s="149"/>
      <c r="N1" s="149"/>
      <c r="O1" s="149"/>
      <c r="P1" s="149"/>
      <c r="Q1" s="149"/>
      <c r="R1" s="149"/>
      <c r="S1" s="149"/>
      <c r="V1" s="154" t="s">
        <v>280</v>
      </c>
      <c r="W1" s="155"/>
      <c r="X1" s="155"/>
      <c r="Y1" s="155"/>
      <c r="Z1" s="155"/>
      <c r="AA1" s="156"/>
    </row>
    <row r="2" spans="1:27" ht="14.1" customHeight="1" x14ac:dyDescent="0.25">
      <c r="A2" s="153" t="s">
        <v>2842</v>
      </c>
      <c r="B2" s="149"/>
      <c r="C2" s="149"/>
      <c r="D2" s="149"/>
      <c r="E2" s="149"/>
      <c r="F2" s="149"/>
      <c r="G2" s="149"/>
      <c r="H2" s="149"/>
      <c r="I2" s="149"/>
      <c r="J2" s="149"/>
      <c r="K2" s="149"/>
      <c r="L2" s="149"/>
      <c r="M2" s="149"/>
      <c r="N2" s="149"/>
      <c r="O2" s="149"/>
      <c r="P2" s="149"/>
      <c r="Q2" s="149"/>
      <c r="R2" s="149"/>
      <c r="S2" s="149"/>
      <c r="V2" s="158" t="s">
        <v>197</v>
      </c>
      <c r="W2" s="155"/>
      <c r="X2" s="155"/>
      <c r="Y2" s="155"/>
      <c r="Z2" s="155"/>
      <c r="AA2" s="156"/>
    </row>
    <row r="3" spans="1:27" x14ac:dyDescent="0.25">
      <c r="V3" s="157" t="s">
        <v>198</v>
      </c>
      <c r="W3" s="155"/>
      <c r="X3" s="155"/>
      <c r="Y3" s="155"/>
      <c r="Z3" s="155"/>
      <c r="AA3" s="156"/>
    </row>
    <row r="4" spans="1:27" ht="32.1" customHeight="1" x14ac:dyDescent="0.25">
      <c r="A4" s="46" t="s">
        <v>2843</v>
      </c>
      <c r="B4" s="46" t="s">
        <v>591</v>
      </c>
      <c r="C4" s="46" t="s">
        <v>2844</v>
      </c>
      <c r="D4" s="46" t="s">
        <v>2845</v>
      </c>
      <c r="E4" s="46" t="s">
        <v>2846</v>
      </c>
      <c r="F4" s="46" t="s">
        <v>2847</v>
      </c>
      <c r="G4" s="46" t="s">
        <v>2848</v>
      </c>
      <c r="H4" s="46" t="s">
        <v>2849</v>
      </c>
      <c r="I4" s="46" t="s">
        <v>2850</v>
      </c>
      <c r="J4" s="46" t="s">
        <v>2851</v>
      </c>
      <c r="K4" s="46" t="s">
        <v>2852</v>
      </c>
      <c r="L4" s="46" t="s">
        <v>2853</v>
      </c>
      <c r="M4" s="46" t="s">
        <v>2854</v>
      </c>
      <c r="N4" s="46" t="s">
        <v>2855</v>
      </c>
      <c r="O4" s="46" t="s">
        <v>2856</v>
      </c>
      <c r="P4" s="46" t="s">
        <v>2430</v>
      </c>
      <c r="Q4" s="46" t="s">
        <v>2857</v>
      </c>
      <c r="R4" s="46" t="s">
        <v>2858</v>
      </c>
      <c r="S4" s="46" t="s">
        <v>2859</v>
      </c>
      <c r="V4" s="158" t="s">
        <v>199</v>
      </c>
      <c r="W4" s="155"/>
      <c r="X4" s="155"/>
      <c r="Y4" s="155"/>
      <c r="Z4" s="155"/>
      <c r="AA4" s="156"/>
    </row>
    <row r="5" spans="1:27" x14ac:dyDescent="0.25">
      <c r="A5" s="40">
        <v>46265</v>
      </c>
      <c r="B5" s="25" t="s">
        <v>529</v>
      </c>
      <c r="C5" s="55">
        <f t="shared" ref="C5:C52" si="0">SUMIFS(MED_VLR,MED_MES,$A5,MED_CONTR,$B5)</f>
        <v>0</v>
      </c>
      <c r="D5" s="55">
        <f t="shared" ref="D5:D52" si="1">SUMIFS(MED_GLOSA,MED_MES,$A5,MED_CONTR,$B5)</f>
        <v>0</v>
      </c>
      <c r="E5" s="54">
        <f t="shared" ref="E5:E52" si="2">$C5-$D5</f>
        <v>0</v>
      </c>
      <c r="F5" s="30"/>
      <c r="G5" s="31"/>
      <c r="H5" s="54">
        <f>$E5*'01. CONFIGURAÇÕES'!$C$16</f>
        <v>0</v>
      </c>
      <c r="I5" s="54">
        <f>$E5*'01. CONFIGURAÇÕES'!$C$17</f>
        <v>0</v>
      </c>
      <c r="J5" s="54">
        <f t="shared" ref="J5:J52" si="3">$E5-$H5-$I5</f>
        <v>0</v>
      </c>
      <c r="K5" s="32">
        <f>$A5+'01. CONFIGURAÇÕES'!$C$19</f>
        <v>46285</v>
      </c>
      <c r="L5" s="31"/>
      <c r="M5" s="53"/>
      <c r="N5" s="54" t="str">
        <f t="shared" ref="N5:N52" si="4">IF($M5="","",$M5-$J5)</f>
        <v/>
      </c>
      <c r="O5" s="13" t="str">
        <f t="shared" ref="O5:O52" ca="1" si="5">IF($E5=0,"",IF($L5&lt;&gt;"",MAX(0,$L5-$K5),IF(TODAY()&gt;$K5,TODAY()-$K5,0)))</f>
        <v/>
      </c>
      <c r="P5" s="29" t="str">
        <f t="shared" ref="P5:P52" si="6">IF($E5=0,"",IF($M5&gt;0,IF($M5&gt;=$J5*0.995,"RECEBIDA","RECEBIDA PARCIAL"),IF(AND($O5&lt;&gt;"",$O5&gt;0),"EM ATRASO",IF($F5&lt;&gt;"","NF EMITIDA","A FATURAR"))))</f>
        <v/>
      </c>
      <c r="Q5" s="55" t="str">
        <f>IF($E5=0,"",IF($B5='01. CONFIGURAÇÕES'!$C$8,'01. CONFIGURAÇÕES'!$C$29,'01. CONFIGURAÇÕES'!$D$29))</f>
        <v/>
      </c>
      <c r="R5" s="54" t="str">
        <f t="shared" ref="R5:R52" si="7">IF($E5=0,"",$J5-$Q5)</f>
        <v/>
      </c>
      <c r="S5" s="58" t="str">
        <f t="shared" ref="S5:S52" si="8">IF(OR($E5=0,$C5=0),"",$R5/$C5)</f>
        <v/>
      </c>
      <c r="V5" s="157" t="s">
        <v>200</v>
      </c>
      <c r="W5" s="155"/>
      <c r="X5" s="155"/>
      <c r="Y5" s="155"/>
      <c r="Z5" s="155"/>
      <c r="AA5" s="156"/>
    </row>
    <row r="6" spans="1:27" x14ac:dyDescent="0.25">
      <c r="A6" s="40">
        <v>46265</v>
      </c>
      <c r="B6" s="25" t="s">
        <v>533</v>
      </c>
      <c r="C6" s="55">
        <f t="shared" si="0"/>
        <v>0</v>
      </c>
      <c r="D6" s="55">
        <f t="shared" si="1"/>
        <v>0</v>
      </c>
      <c r="E6" s="54">
        <f t="shared" si="2"/>
        <v>0</v>
      </c>
      <c r="F6" s="30"/>
      <c r="G6" s="31"/>
      <c r="H6" s="54">
        <f>$E6*'01. CONFIGURAÇÕES'!$C$16</f>
        <v>0</v>
      </c>
      <c r="I6" s="54">
        <f>$E6*'01. CONFIGURAÇÕES'!$C$17</f>
        <v>0</v>
      </c>
      <c r="J6" s="54">
        <f t="shared" si="3"/>
        <v>0</v>
      </c>
      <c r="K6" s="32">
        <f>$A6+'01. CONFIGURAÇÕES'!$C$19</f>
        <v>46285</v>
      </c>
      <c r="L6" s="31"/>
      <c r="M6" s="53"/>
      <c r="N6" s="54" t="str">
        <f t="shared" si="4"/>
        <v/>
      </c>
      <c r="O6" s="13" t="str">
        <f t="shared" ca="1" si="5"/>
        <v/>
      </c>
      <c r="P6" s="29" t="str">
        <f t="shared" si="6"/>
        <v/>
      </c>
      <c r="Q6" s="55" t="str">
        <f>IF($E6=0,"",IF($B6='01. CONFIGURAÇÕES'!$C$8,'01. CONFIGURAÇÕES'!$C$29,'01. CONFIGURAÇÕES'!$D$29))</f>
        <v/>
      </c>
      <c r="R6" s="54" t="str">
        <f t="shared" si="7"/>
        <v/>
      </c>
      <c r="S6" s="58" t="str">
        <f t="shared" si="8"/>
        <v/>
      </c>
      <c r="V6" s="157" t="s">
        <v>201</v>
      </c>
      <c r="W6" s="155"/>
      <c r="X6" s="155"/>
      <c r="Y6" s="155"/>
      <c r="Z6" s="155"/>
      <c r="AA6" s="156"/>
    </row>
    <row r="7" spans="1:27" x14ac:dyDescent="0.25">
      <c r="A7" s="40">
        <v>46295</v>
      </c>
      <c r="B7" s="25" t="s">
        <v>529</v>
      </c>
      <c r="C7" s="55">
        <f t="shared" si="0"/>
        <v>37390.020000000011</v>
      </c>
      <c r="D7" s="55">
        <f t="shared" si="1"/>
        <v>0</v>
      </c>
      <c r="E7" s="54">
        <f t="shared" si="2"/>
        <v>37390.020000000011</v>
      </c>
      <c r="F7" s="30"/>
      <c r="G7" s="31"/>
      <c r="H7" s="54">
        <f>$E7*'01. CONFIGURAÇÕES'!$C$16</f>
        <v>8225.8044000000027</v>
      </c>
      <c r="I7" s="54">
        <f>$E7*'01. CONFIGURAÇÕES'!$C$17</f>
        <v>0</v>
      </c>
      <c r="J7" s="54">
        <f t="shared" si="3"/>
        <v>29164.21560000001</v>
      </c>
      <c r="K7" s="32">
        <f>$A7+'01. CONFIGURAÇÕES'!$C$19</f>
        <v>46315</v>
      </c>
      <c r="L7" s="31"/>
      <c r="M7" s="53"/>
      <c r="N7" s="54" t="str">
        <f t="shared" si="4"/>
        <v/>
      </c>
      <c r="O7" s="13">
        <f t="shared" ca="1" si="5"/>
        <v>0</v>
      </c>
      <c r="P7" s="29" t="str">
        <f t="shared" ca="1" si="6"/>
        <v>A FATURAR</v>
      </c>
      <c r="Q7" s="55">
        <f>IF($E7=0,"",IF($B7='01. CONFIGURAÇÕES'!$C$8,'01. CONFIGURAÇÕES'!$C$29,'01. CONFIGURAÇÕES'!$D$29))</f>
        <v>230982.81</v>
      </c>
      <c r="R7" s="54">
        <f t="shared" si="7"/>
        <v>-201818.5944</v>
      </c>
      <c r="S7" s="58">
        <f t="shared" si="8"/>
        <v>-5.3976594396044701</v>
      </c>
      <c r="V7" s="157" t="s">
        <v>202</v>
      </c>
      <c r="W7" s="155"/>
      <c r="X7" s="155"/>
      <c r="Y7" s="155"/>
      <c r="Z7" s="155"/>
      <c r="AA7" s="156"/>
    </row>
    <row r="8" spans="1:27" x14ac:dyDescent="0.25">
      <c r="A8" s="40">
        <v>46295</v>
      </c>
      <c r="B8" s="25" t="s">
        <v>533</v>
      </c>
      <c r="C8" s="55">
        <f t="shared" si="0"/>
        <v>0</v>
      </c>
      <c r="D8" s="55">
        <f t="shared" si="1"/>
        <v>0</v>
      </c>
      <c r="E8" s="54">
        <f t="shared" si="2"/>
        <v>0</v>
      </c>
      <c r="F8" s="30"/>
      <c r="G8" s="31"/>
      <c r="H8" s="54">
        <f>$E8*'01. CONFIGURAÇÕES'!$C$16</f>
        <v>0</v>
      </c>
      <c r="I8" s="54">
        <f>$E8*'01. CONFIGURAÇÕES'!$C$17</f>
        <v>0</v>
      </c>
      <c r="J8" s="54">
        <f t="shared" si="3"/>
        <v>0</v>
      </c>
      <c r="K8" s="32">
        <f>$A8+'01. CONFIGURAÇÕES'!$C$19</f>
        <v>46315</v>
      </c>
      <c r="L8" s="31"/>
      <c r="M8" s="53"/>
      <c r="N8" s="54" t="str">
        <f t="shared" si="4"/>
        <v/>
      </c>
      <c r="O8" s="13" t="str">
        <f t="shared" ca="1" si="5"/>
        <v/>
      </c>
      <c r="P8" s="29" t="str">
        <f t="shared" si="6"/>
        <v/>
      </c>
      <c r="Q8" s="55" t="str">
        <f>IF($E8=0,"",IF($B8='01. CONFIGURAÇÕES'!$C$8,'01. CONFIGURAÇÕES'!$C$29,'01. CONFIGURAÇÕES'!$D$29))</f>
        <v/>
      </c>
      <c r="R8" s="54" t="str">
        <f t="shared" si="7"/>
        <v/>
      </c>
      <c r="S8" s="58" t="str">
        <f t="shared" si="8"/>
        <v/>
      </c>
      <c r="V8" s="157" t="s">
        <v>203</v>
      </c>
      <c r="W8" s="155"/>
      <c r="X8" s="155"/>
      <c r="Y8" s="155"/>
      <c r="Z8" s="155"/>
      <c r="AA8" s="156"/>
    </row>
    <row r="9" spans="1:27" x14ac:dyDescent="0.25">
      <c r="A9" s="40">
        <v>46326</v>
      </c>
      <c r="B9" s="25" t="s">
        <v>529</v>
      </c>
      <c r="C9" s="55">
        <f t="shared" si="0"/>
        <v>0</v>
      </c>
      <c r="D9" s="55">
        <f t="shared" si="1"/>
        <v>0</v>
      </c>
      <c r="E9" s="54">
        <f t="shared" si="2"/>
        <v>0</v>
      </c>
      <c r="F9" s="30"/>
      <c r="G9" s="31"/>
      <c r="H9" s="54">
        <f>$E9*'01. CONFIGURAÇÕES'!$C$16</f>
        <v>0</v>
      </c>
      <c r="I9" s="54">
        <f>$E9*'01. CONFIGURAÇÕES'!$C$17</f>
        <v>0</v>
      </c>
      <c r="J9" s="54">
        <f t="shared" si="3"/>
        <v>0</v>
      </c>
      <c r="K9" s="32">
        <f>$A9+'01. CONFIGURAÇÕES'!$C$19</f>
        <v>46346</v>
      </c>
      <c r="L9" s="31"/>
      <c r="M9" s="53"/>
      <c r="N9" s="54" t="str">
        <f t="shared" si="4"/>
        <v/>
      </c>
      <c r="O9" s="13" t="str">
        <f t="shared" ca="1" si="5"/>
        <v/>
      </c>
      <c r="P9" s="29" t="str">
        <f t="shared" si="6"/>
        <v/>
      </c>
      <c r="Q9" s="55" t="str">
        <f>IF($E9=0,"",IF($B9='01. CONFIGURAÇÕES'!$C$8,'01. CONFIGURAÇÕES'!$C$29,'01. CONFIGURAÇÕES'!$D$29))</f>
        <v/>
      </c>
      <c r="R9" s="54" t="str">
        <f t="shared" si="7"/>
        <v/>
      </c>
      <c r="S9" s="58" t="str">
        <f t="shared" si="8"/>
        <v/>
      </c>
      <c r="V9" s="157" t="s">
        <v>204</v>
      </c>
      <c r="W9" s="155"/>
      <c r="X9" s="155"/>
      <c r="Y9" s="155"/>
      <c r="Z9" s="155"/>
      <c r="AA9" s="156"/>
    </row>
    <row r="10" spans="1:27" x14ac:dyDescent="0.25">
      <c r="A10" s="40">
        <v>46326</v>
      </c>
      <c r="B10" s="25" t="s">
        <v>533</v>
      </c>
      <c r="C10" s="55">
        <f t="shared" si="0"/>
        <v>0</v>
      </c>
      <c r="D10" s="55">
        <f t="shared" si="1"/>
        <v>0</v>
      </c>
      <c r="E10" s="54">
        <f t="shared" si="2"/>
        <v>0</v>
      </c>
      <c r="F10" s="30"/>
      <c r="G10" s="31"/>
      <c r="H10" s="54">
        <f>$E10*'01. CONFIGURAÇÕES'!$C$16</f>
        <v>0</v>
      </c>
      <c r="I10" s="54">
        <f>$E10*'01. CONFIGURAÇÕES'!$C$17</f>
        <v>0</v>
      </c>
      <c r="J10" s="54">
        <f t="shared" si="3"/>
        <v>0</v>
      </c>
      <c r="K10" s="32">
        <f>$A10+'01. CONFIGURAÇÕES'!$C$19</f>
        <v>46346</v>
      </c>
      <c r="L10" s="31"/>
      <c r="M10" s="53"/>
      <c r="N10" s="54" t="str">
        <f t="shared" si="4"/>
        <v/>
      </c>
      <c r="O10" s="13" t="str">
        <f t="shared" ca="1" si="5"/>
        <v/>
      </c>
      <c r="P10" s="29" t="str">
        <f t="shared" si="6"/>
        <v/>
      </c>
      <c r="Q10" s="55" t="str">
        <f>IF($E10=0,"",IF($B10='01. CONFIGURAÇÕES'!$C$8,'01. CONFIGURAÇÕES'!$C$29,'01. CONFIGURAÇÕES'!$D$29))</f>
        <v/>
      </c>
      <c r="R10" s="54" t="str">
        <f t="shared" si="7"/>
        <v/>
      </c>
      <c r="S10" s="58" t="str">
        <f t="shared" si="8"/>
        <v/>
      </c>
      <c r="V10" s="157" t="s">
        <v>205</v>
      </c>
      <c r="W10" s="155"/>
      <c r="X10" s="155"/>
      <c r="Y10" s="155"/>
      <c r="Z10" s="155"/>
      <c r="AA10" s="156"/>
    </row>
    <row r="11" spans="1:27" x14ac:dyDescent="0.25">
      <c r="A11" s="40">
        <v>46356</v>
      </c>
      <c r="B11" s="25" t="s">
        <v>529</v>
      </c>
      <c r="C11" s="55">
        <f t="shared" si="0"/>
        <v>0</v>
      </c>
      <c r="D11" s="55">
        <f t="shared" si="1"/>
        <v>0</v>
      </c>
      <c r="E11" s="54">
        <f t="shared" si="2"/>
        <v>0</v>
      </c>
      <c r="F11" s="30"/>
      <c r="G11" s="31"/>
      <c r="H11" s="54">
        <f>$E11*'01. CONFIGURAÇÕES'!$C$16</f>
        <v>0</v>
      </c>
      <c r="I11" s="54">
        <f>$E11*'01. CONFIGURAÇÕES'!$C$17</f>
        <v>0</v>
      </c>
      <c r="J11" s="54">
        <f t="shared" si="3"/>
        <v>0</v>
      </c>
      <c r="K11" s="32">
        <f>$A11+'01. CONFIGURAÇÕES'!$C$19</f>
        <v>46376</v>
      </c>
      <c r="L11" s="31"/>
      <c r="M11" s="53"/>
      <c r="N11" s="54" t="str">
        <f t="shared" si="4"/>
        <v/>
      </c>
      <c r="O11" s="13" t="str">
        <f t="shared" ca="1" si="5"/>
        <v/>
      </c>
      <c r="P11" s="29" t="str">
        <f t="shared" si="6"/>
        <v/>
      </c>
      <c r="Q11" s="55" t="str">
        <f>IF($E11=0,"",IF($B11='01. CONFIGURAÇÕES'!$C$8,'01. CONFIGURAÇÕES'!$C$29,'01. CONFIGURAÇÕES'!$D$29))</f>
        <v/>
      </c>
      <c r="R11" s="54" t="str">
        <f t="shared" si="7"/>
        <v/>
      </c>
      <c r="S11" s="58" t="str">
        <f t="shared" si="8"/>
        <v/>
      </c>
      <c r="V11" s="159" t="s">
        <v>206</v>
      </c>
      <c r="W11" s="155"/>
      <c r="X11" s="155"/>
      <c r="Y11" s="155"/>
      <c r="Z11" s="155"/>
      <c r="AA11" s="156"/>
    </row>
    <row r="12" spans="1:27" x14ac:dyDescent="0.25">
      <c r="A12" s="40">
        <v>46356</v>
      </c>
      <c r="B12" s="25" t="s">
        <v>533</v>
      </c>
      <c r="C12" s="55">
        <f t="shared" si="0"/>
        <v>0</v>
      </c>
      <c r="D12" s="55">
        <f t="shared" si="1"/>
        <v>0</v>
      </c>
      <c r="E12" s="54">
        <f t="shared" si="2"/>
        <v>0</v>
      </c>
      <c r="F12" s="30"/>
      <c r="G12" s="31"/>
      <c r="H12" s="54">
        <f>$E12*'01. CONFIGURAÇÕES'!$C$16</f>
        <v>0</v>
      </c>
      <c r="I12" s="54">
        <f>$E12*'01. CONFIGURAÇÕES'!$C$17</f>
        <v>0</v>
      </c>
      <c r="J12" s="54">
        <f t="shared" si="3"/>
        <v>0</v>
      </c>
      <c r="K12" s="32">
        <f>$A12+'01. CONFIGURAÇÕES'!$C$19</f>
        <v>46376</v>
      </c>
      <c r="L12" s="31"/>
      <c r="M12" s="53"/>
      <c r="N12" s="54" t="str">
        <f t="shared" si="4"/>
        <v/>
      </c>
      <c r="O12" s="13" t="str">
        <f t="shared" ca="1" si="5"/>
        <v/>
      </c>
      <c r="P12" s="29" t="str">
        <f t="shared" si="6"/>
        <v/>
      </c>
      <c r="Q12" s="55" t="str">
        <f>IF($E12=0,"",IF($B12='01. CONFIGURAÇÕES'!$C$8,'01. CONFIGURAÇÕES'!$C$29,'01. CONFIGURAÇÕES'!$D$29))</f>
        <v/>
      </c>
      <c r="R12" s="54" t="str">
        <f t="shared" si="7"/>
        <v/>
      </c>
      <c r="S12" s="58" t="str">
        <f t="shared" si="8"/>
        <v/>
      </c>
      <c r="V12" s="159" t="s">
        <v>207</v>
      </c>
      <c r="W12" s="155"/>
      <c r="X12" s="155"/>
      <c r="Y12" s="155"/>
      <c r="Z12" s="155"/>
      <c r="AA12" s="156"/>
    </row>
    <row r="13" spans="1:27" x14ac:dyDescent="0.25">
      <c r="A13" s="40">
        <v>46387</v>
      </c>
      <c r="B13" s="25" t="s">
        <v>529</v>
      </c>
      <c r="C13" s="55">
        <f t="shared" si="0"/>
        <v>0</v>
      </c>
      <c r="D13" s="55">
        <f t="shared" si="1"/>
        <v>0</v>
      </c>
      <c r="E13" s="54">
        <f t="shared" si="2"/>
        <v>0</v>
      </c>
      <c r="F13" s="30"/>
      <c r="G13" s="31"/>
      <c r="H13" s="54">
        <f>$E13*'01. CONFIGURAÇÕES'!$C$16</f>
        <v>0</v>
      </c>
      <c r="I13" s="54">
        <f>$E13*'01. CONFIGURAÇÕES'!$C$17</f>
        <v>0</v>
      </c>
      <c r="J13" s="54">
        <f t="shared" si="3"/>
        <v>0</v>
      </c>
      <c r="K13" s="32">
        <f>$A13+'01. CONFIGURAÇÕES'!$C$19</f>
        <v>46407</v>
      </c>
      <c r="L13" s="31"/>
      <c r="M13" s="53"/>
      <c r="N13" s="54" t="str">
        <f t="shared" si="4"/>
        <v/>
      </c>
      <c r="O13" s="13" t="str">
        <f t="shared" ca="1" si="5"/>
        <v/>
      </c>
      <c r="P13" s="29" t="str">
        <f t="shared" si="6"/>
        <v/>
      </c>
      <c r="Q13" s="55" t="str">
        <f>IF($E13=0,"",IF($B13='01. CONFIGURAÇÕES'!$C$8,'01. CONFIGURAÇÕES'!$C$29,'01. CONFIGURAÇÕES'!$D$29))</f>
        <v/>
      </c>
      <c r="R13" s="54" t="str">
        <f t="shared" si="7"/>
        <v/>
      </c>
      <c r="S13" s="58" t="str">
        <f t="shared" si="8"/>
        <v/>
      </c>
    </row>
    <row r="14" spans="1:27" x14ac:dyDescent="0.25">
      <c r="A14" s="40">
        <v>46387</v>
      </c>
      <c r="B14" s="25" t="s">
        <v>533</v>
      </c>
      <c r="C14" s="55">
        <f t="shared" si="0"/>
        <v>0</v>
      </c>
      <c r="D14" s="55">
        <f t="shared" si="1"/>
        <v>0</v>
      </c>
      <c r="E14" s="54">
        <f t="shared" si="2"/>
        <v>0</v>
      </c>
      <c r="F14" s="30"/>
      <c r="G14" s="31"/>
      <c r="H14" s="54">
        <f>$E14*'01. CONFIGURAÇÕES'!$C$16</f>
        <v>0</v>
      </c>
      <c r="I14" s="54">
        <f>$E14*'01. CONFIGURAÇÕES'!$C$17</f>
        <v>0</v>
      </c>
      <c r="J14" s="54">
        <f t="shared" si="3"/>
        <v>0</v>
      </c>
      <c r="K14" s="32">
        <f>$A14+'01. CONFIGURAÇÕES'!$C$19</f>
        <v>46407</v>
      </c>
      <c r="L14" s="31"/>
      <c r="M14" s="53"/>
      <c r="N14" s="54" t="str">
        <f t="shared" si="4"/>
        <v/>
      </c>
      <c r="O14" s="13" t="str">
        <f t="shared" ca="1" si="5"/>
        <v/>
      </c>
      <c r="P14" s="29" t="str">
        <f t="shared" si="6"/>
        <v/>
      </c>
      <c r="Q14" s="55" t="str">
        <f>IF($E14=0,"",IF($B14='01. CONFIGURAÇÕES'!$C$8,'01. CONFIGURAÇÕES'!$C$29,'01. CONFIGURAÇÕES'!$D$29))</f>
        <v/>
      </c>
      <c r="R14" s="54" t="str">
        <f t="shared" si="7"/>
        <v/>
      </c>
      <c r="S14" s="58" t="str">
        <f t="shared" si="8"/>
        <v/>
      </c>
    </row>
    <row r="15" spans="1:27" x14ac:dyDescent="0.25">
      <c r="A15" s="40">
        <v>46418</v>
      </c>
      <c r="B15" s="25" t="s">
        <v>529</v>
      </c>
      <c r="C15" s="55">
        <f t="shared" si="0"/>
        <v>0</v>
      </c>
      <c r="D15" s="55">
        <f t="shared" si="1"/>
        <v>0</v>
      </c>
      <c r="E15" s="54">
        <f t="shared" si="2"/>
        <v>0</v>
      </c>
      <c r="F15" s="30"/>
      <c r="G15" s="31"/>
      <c r="H15" s="54">
        <f>$E15*'01. CONFIGURAÇÕES'!$C$16</f>
        <v>0</v>
      </c>
      <c r="I15" s="54">
        <f>$E15*'01. CONFIGURAÇÕES'!$C$17</f>
        <v>0</v>
      </c>
      <c r="J15" s="54">
        <f t="shared" si="3"/>
        <v>0</v>
      </c>
      <c r="K15" s="32">
        <f>$A15+'01. CONFIGURAÇÕES'!$C$19</f>
        <v>46438</v>
      </c>
      <c r="L15" s="31"/>
      <c r="M15" s="53"/>
      <c r="N15" s="54" t="str">
        <f t="shared" si="4"/>
        <v/>
      </c>
      <c r="O15" s="13" t="str">
        <f t="shared" ca="1" si="5"/>
        <v/>
      </c>
      <c r="P15" s="29" t="str">
        <f t="shared" si="6"/>
        <v/>
      </c>
      <c r="Q15" s="55" t="str">
        <f>IF($E15=0,"",IF($B15='01. CONFIGURAÇÕES'!$C$8,'01. CONFIGURAÇÕES'!$C$29,'01. CONFIGURAÇÕES'!$D$29))</f>
        <v/>
      </c>
      <c r="R15" s="54" t="str">
        <f t="shared" si="7"/>
        <v/>
      </c>
      <c r="S15" s="58" t="str">
        <f t="shared" si="8"/>
        <v/>
      </c>
    </row>
    <row r="16" spans="1:27" x14ac:dyDescent="0.25">
      <c r="A16" s="40">
        <v>46418</v>
      </c>
      <c r="B16" s="25" t="s">
        <v>533</v>
      </c>
      <c r="C16" s="55">
        <f t="shared" si="0"/>
        <v>0</v>
      </c>
      <c r="D16" s="55">
        <f t="shared" si="1"/>
        <v>0</v>
      </c>
      <c r="E16" s="54">
        <f t="shared" si="2"/>
        <v>0</v>
      </c>
      <c r="F16" s="30"/>
      <c r="G16" s="31"/>
      <c r="H16" s="54">
        <f>$E16*'01. CONFIGURAÇÕES'!$C$16</f>
        <v>0</v>
      </c>
      <c r="I16" s="54">
        <f>$E16*'01. CONFIGURAÇÕES'!$C$17</f>
        <v>0</v>
      </c>
      <c r="J16" s="54">
        <f t="shared" si="3"/>
        <v>0</v>
      </c>
      <c r="K16" s="32">
        <f>$A16+'01. CONFIGURAÇÕES'!$C$19</f>
        <v>46438</v>
      </c>
      <c r="L16" s="31"/>
      <c r="M16" s="53"/>
      <c r="N16" s="54" t="str">
        <f t="shared" si="4"/>
        <v/>
      </c>
      <c r="O16" s="13" t="str">
        <f t="shared" ca="1" si="5"/>
        <v/>
      </c>
      <c r="P16" s="29" t="str">
        <f t="shared" si="6"/>
        <v/>
      </c>
      <c r="Q16" s="55" t="str">
        <f>IF($E16=0,"",IF($B16='01. CONFIGURAÇÕES'!$C$8,'01. CONFIGURAÇÕES'!$C$29,'01. CONFIGURAÇÕES'!$D$29))</f>
        <v/>
      </c>
      <c r="R16" s="54" t="str">
        <f t="shared" si="7"/>
        <v/>
      </c>
      <c r="S16" s="58" t="str">
        <f t="shared" si="8"/>
        <v/>
      </c>
    </row>
    <row r="17" spans="1:19" x14ac:dyDescent="0.25">
      <c r="A17" s="40">
        <v>46446</v>
      </c>
      <c r="B17" s="25" t="s">
        <v>529</v>
      </c>
      <c r="C17" s="55">
        <f t="shared" si="0"/>
        <v>0</v>
      </c>
      <c r="D17" s="55">
        <f t="shared" si="1"/>
        <v>0</v>
      </c>
      <c r="E17" s="54">
        <f t="shared" si="2"/>
        <v>0</v>
      </c>
      <c r="F17" s="30"/>
      <c r="G17" s="31"/>
      <c r="H17" s="54">
        <f>$E17*'01. CONFIGURAÇÕES'!$C$16</f>
        <v>0</v>
      </c>
      <c r="I17" s="54">
        <f>$E17*'01. CONFIGURAÇÕES'!$C$17</f>
        <v>0</v>
      </c>
      <c r="J17" s="54">
        <f t="shared" si="3"/>
        <v>0</v>
      </c>
      <c r="K17" s="32">
        <f>$A17+'01. CONFIGURAÇÕES'!$C$19</f>
        <v>46466</v>
      </c>
      <c r="L17" s="31"/>
      <c r="M17" s="53"/>
      <c r="N17" s="54" t="str">
        <f t="shared" si="4"/>
        <v/>
      </c>
      <c r="O17" s="13" t="str">
        <f t="shared" ca="1" si="5"/>
        <v/>
      </c>
      <c r="P17" s="29" t="str">
        <f t="shared" si="6"/>
        <v/>
      </c>
      <c r="Q17" s="55" t="str">
        <f>IF($E17=0,"",IF($B17='01. CONFIGURAÇÕES'!$C$8,'01. CONFIGURAÇÕES'!$C$29,'01. CONFIGURAÇÕES'!$D$29))</f>
        <v/>
      </c>
      <c r="R17" s="54" t="str">
        <f t="shared" si="7"/>
        <v/>
      </c>
      <c r="S17" s="58" t="str">
        <f t="shared" si="8"/>
        <v/>
      </c>
    </row>
    <row r="18" spans="1:19" x14ac:dyDescent="0.25">
      <c r="A18" s="40">
        <v>46446</v>
      </c>
      <c r="B18" s="25" t="s">
        <v>533</v>
      </c>
      <c r="C18" s="55">
        <f t="shared" si="0"/>
        <v>0</v>
      </c>
      <c r="D18" s="55">
        <f t="shared" si="1"/>
        <v>0</v>
      </c>
      <c r="E18" s="54">
        <f t="shared" si="2"/>
        <v>0</v>
      </c>
      <c r="F18" s="30"/>
      <c r="G18" s="31"/>
      <c r="H18" s="54">
        <f>$E18*'01. CONFIGURAÇÕES'!$C$16</f>
        <v>0</v>
      </c>
      <c r="I18" s="54">
        <f>$E18*'01. CONFIGURAÇÕES'!$C$17</f>
        <v>0</v>
      </c>
      <c r="J18" s="54">
        <f t="shared" si="3"/>
        <v>0</v>
      </c>
      <c r="K18" s="32">
        <f>$A18+'01. CONFIGURAÇÕES'!$C$19</f>
        <v>46466</v>
      </c>
      <c r="L18" s="31"/>
      <c r="M18" s="53"/>
      <c r="N18" s="54" t="str">
        <f t="shared" si="4"/>
        <v/>
      </c>
      <c r="O18" s="13" t="str">
        <f t="shared" ca="1" si="5"/>
        <v/>
      </c>
      <c r="P18" s="29" t="str">
        <f t="shared" si="6"/>
        <v/>
      </c>
      <c r="Q18" s="55" t="str">
        <f>IF($E18=0,"",IF($B18='01. CONFIGURAÇÕES'!$C$8,'01. CONFIGURAÇÕES'!$C$29,'01. CONFIGURAÇÕES'!$D$29))</f>
        <v/>
      </c>
      <c r="R18" s="54" t="str">
        <f t="shared" si="7"/>
        <v/>
      </c>
      <c r="S18" s="58" t="str">
        <f t="shared" si="8"/>
        <v/>
      </c>
    </row>
    <row r="19" spans="1:19" x14ac:dyDescent="0.25">
      <c r="A19" s="40">
        <v>46477</v>
      </c>
      <c r="B19" s="25" t="s">
        <v>529</v>
      </c>
      <c r="C19" s="55">
        <f t="shared" si="0"/>
        <v>0</v>
      </c>
      <c r="D19" s="55">
        <f t="shared" si="1"/>
        <v>0</v>
      </c>
      <c r="E19" s="54">
        <f t="shared" si="2"/>
        <v>0</v>
      </c>
      <c r="F19" s="30"/>
      <c r="G19" s="31"/>
      <c r="H19" s="54">
        <f>$E19*'01. CONFIGURAÇÕES'!$C$16</f>
        <v>0</v>
      </c>
      <c r="I19" s="54">
        <f>$E19*'01. CONFIGURAÇÕES'!$C$17</f>
        <v>0</v>
      </c>
      <c r="J19" s="54">
        <f t="shared" si="3"/>
        <v>0</v>
      </c>
      <c r="K19" s="32">
        <f>$A19+'01. CONFIGURAÇÕES'!$C$19</f>
        <v>46497</v>
      </c>
      <c r="L19" s="31"/>
      <c r="M19" s="53"/>
      <c r="N19" s="54" t="str">
        <f t="shared" si="4"/>
        <v/>
      </c>
      <c r="O19" s="13" t="str">
        <f t="shared" ca="1" si="5"/>
        <v/>
      </c>
      <c r="P19" s="29" t="str">
        <f t="shared" si="6"/>
        <v/>
      </c>
      <c r="Q19" s="55" t="str">
        <f>IF($E19=0,"",IF($B19='01. CONFIGURAÇÕES'!$C$8,'01. CONFIGURAÇÕES'!$C$29,'01. CONFIGURAÇÕES'!$D$29))</f>
        <v/>
      </c>
      <c r="R19" s="54" t="str">
        <f t="shared" si="7"/>
        <v/>
      </c>
      <c r="S19" s="58" t="str">
        <f t="shared" si="8"/>
        <v/>
      </c>
    </row>
    <row r="20" spans="1:19" x14ac:dyDescent="0.25">
      <c r="A20" s="40">
        <v>46477</v>
      </c>
      <c r="B20" s="25" t="s">
        <v>533</v>
      </c>
      <c r="C20" s="55">
        <f t="shared" si="0"/>
        <v>0</v>
      </c>
      <c r="D20" s="55">
        <f t="shared" si="1"/>
        <v>0</v>
      </c>
      <c r="E20" s="54">
        <f t="shared" si="2"/>
        <v>0</v>
      </c>
      <c r="F20" s="30"/>
      <c r="G20" s="31"/>
      <c r="H20" s="54">
        <f>$E20*'01. CONFIGURAÇÕES'!$C$16</f>
        <v>0</v>
      </c>
      <c r="I20" s="54">
        <f>$E20*'01. CONFIGURAÇÕES'!$C$17</f>
        <v>0</v>
      </c>
      <c r="J20" s="54">
        <f t="shared" si="3"/>
        <v>0</v>
      </c>
      <c r="K20" s="32">
        <f>$A20+'01. CONFIGURAÇÕES'!$C$19</f>
        <v>46497</v>
      </c>
      <c r="L20" s="31"/>
      <c r="M20" s="53"/>
      <c r="N20" s="54" t="str">
        <f t="shared" si="4"/>
        <v/>
      </c>
      <c r="O20" s="13" t="str">
        <f t="shared" ca="1" si="5"/>
        <v/>
      </c>
      <c r="P20" s="29" t="str">
        <f t="shared" si="6"/>
        <v/>
      </c>
      <c r="Q20" s="55" t="str">
        <f>IF($E20=0,"",IF($B20='01. CONFIGURAÇÕES'!$C$8,'01. CONFIGURAÇÕES'!$C$29,'01. CONFIGURAÇÕES'!$D$29))</f>
        <v/>
      </c>
      <c r="R20" s="54" t="str">
        <f t="shared" si="7"/>
        <v/>
      </c>
      <c r="S20" s="58" t="str">
        <f t="shared" si="8"/>
        <v/>
      </c>
    </row>
    <row r="21" spans="1:19" x14ac:dyDescent="0.25">
      <c r="A21" s="40">
        <v>46507</v>
      </c>
      <c r="B21" s="25" t="s">
        <v>529</v>
      </c>
      <c r="C21" s="55">
        <f t="shared" si="0"/>
        <v>0</v>
      </c>
      <c r="D21" s="55">
        <f t="shared" si="1"/>
        <v>0</v>
      </c>
      <c r="E21" s="54">
        <f t="shared" si="2"/>
        <v>0</v>
      </c>
      <c r="F21" s="30"/>
      <c r="G21" s="31"/>
      <c r="H21" s="54">
        <f>$E21*'01. CONFIGURAÇÕES'!$C$16</f>
        <v>0</v>
      </c>
      <c r="I21" s="54">
        <f>$E21*'01. CONFIGURAÇÕES'!$C$17</f>
        <v>0</v>
      </c>
      <c r="J21" s="54">
        <f t="shared" si="3"/>
        <v>0</v>
      </c>
      <c r="K21" s="32">
        <f>$A21+'01. CONFIGURAÇÕES'!$C$19</f>
        <v>46527</v>
      </c>
      <c r="L21" s="31"/>
      <c r="M21" s="53"/>
      <c r="N21" s="54" t="str">
        <f t="shared" si="4"/>
        <v/>
      </c>
      <c r="O21" s="13" t="str">
        <f t="shared" ca="1" si="5"/>
        <v/>
      </c>
      <c r="P21" s="29" t="str">
        <f t="shared" si="6"/>
        <v/>
      </c>
      <c r="Q21" s="55" t="str">
        <f>IF($E21=0,"",IF($B21='01. CONFIGURAÇÕES'!$C$8,'01. CONFIGURAÇÕES'!$C$29,'01. CONFIGURAÇÕES'!$D$29))</f>
        <v/>
      </c>
      <c r="R21" s="54" t="str">
        <f t="shared" si="7"/>
        <v/>
      </c>
      <c r="S21" s="58" t="str">
        <f t="shared" si="8"/>
        <v/>
      </c>
    </row>
    <row r="22" spans="1:19" x14ac:dyDescent="0.25">
      <c r="A22" s="40">
        <v>46507</v>
      </c>
      <c r="B22" s="25" t="s">
        <v>533</v>
      </c>
      <c r="C22" s="55">
        <f t="shared" si="0"/>
        <v>0</v>
      </c>
      <c r="D22" s="55">
        <f t="shared" si="1"/>
        <v>0</v>
      </c>
      <c r="E22" s="54">
        <f t="shared" si="2"/>
        <v>0</v>
      </c>
      <c r="F22" s="30"/>
      <c r="G22" s="31"/>
      <c r="H22" s="54">
        <f>$E22*'01. CONFIGURAÇÕES'!$C$16</f>
        <v>0</v>
      </c>
      <c r="I22" s="54">
        <f>$E22*'01. CONFIGURAÇÕES'!$C$17</f>
        <v>0</v>
      </c>
      <c r="J22" s="54">
        <f t="shared" si="3"/>
        <v>0</v>
      </c>
      <c r="K22" s="32">
        <f>$A22+'01. CONFIGURAÇÕES'!$C$19</f>
        <v>46527</v>
      </c>
      <c r="L22" s="31"/>
      <c r="M22" s="53"/>
      <c r="N22" s="54" t="str">
        <f t="shared" si="4"/>
        <v/>
      </c>
      <c r="O22" s="13" t="str">
        <f t="shared" ca="1" si="5"/>
        <v/>
      </c>
      <c r="P22" s="29" t="str">
        <f t="shared" si="6"/>
        <v/>
      </c>
      <c r="Q22" s="55" t="str">
        <f>IF($E22=0,"",IF($B22='01. CONFIGURAÇÕES'!$C$8,'01. CONFIGURAÇÕES'!$C$29,'01. CONFIGURAÇÕES'!$D$29))</f>
        <v/>
      </c>
      <c r="R22" s="54" t="str">
        <f t="shared" si="7"/>
        <v/>
      </c>
      <c r="S22" s="58" t="str">
        <f t="shared" si="8"/>
        <v/>
      </c>
    </row>
    <row r="23" spans="1:19" x14ac:dyDescent="0.25">
      <c r="A23" s="40">
        <v>46538</v>
      </c>
      <c r="B23" s="25" t="s">
        <v>529</v>
      </c>
      <c r="C23" s="55">
        <f t="shared" si="0"/>
        <v>0</v>
      </c>
      <c r="D23" s="55">
        <f t="shared" si="1"/>
        <v>0</v>
      </c>
      <c r="E23" s="54">
        <f t="shared" si="2"/>
        <v>0</v>
      </c>
      <c r="F23" s="30"/>
      <c r="G23" s="31"/>
      <c r="H23" s="54">
        <f>$E23*'01. CONFIGURAÇÕES'!$C$16</f>
        <v>0</v>
      </c>
      <c r="I23" s="54">
        <f>$E23*'01. CONFIGURAÇÕES'!$C$17</f>
        <v>0</v>
      </c>
      <c r="J23" s="54">
        <f t="shared" si="3"/>
        <v>0</v>
      </c>
      <c r="K23" s="32">
        <f>$A23+'01. CONFIGURAÇÕES'!$C$19</f>
        <v>46558</v>
      </c>
      <c r="L23" s="31"/>
      <c r="M23" s="53"/>
      <c r="N23" s="54" t="str">
        <f t="shared" si="4"/>
        <v/>
      </c>
      <c r="O23" s="13" t="str">
        <f t="shared" ca="1" si="5"/>
        <v/>
      </c>
      <c r="P23" s="29" t="str">
        <f t="shared" si="6"/>
        <v/>
      </c>
      <c r="Q23" s="55" t="str">
        <f>IF($E23=0,"",IF($B23='01. CONFIGURAÇÕES'!$C$8,'01. CONFIGURAÇÕES'!$C$29,'01. CONFIGURAÇÕES'!$D$29))</f>
        <v/>
      </c>
      <c r="R23" s="54" t="str">
        <f t="shared" si="7"/>
        <v/>
      </c>
      <c r="S23" s="58" t="str">
        <f t="shared" si="8"/>
        <v/>
      </c>
    </row>
    <row r="24" spans="1:19" x14ac:dyDescent="0.25">
      <c r="A24" s="40">
        <v>46538</v>
      </c>
      <c r="B24" s="25" t="s">
        <v>533</v>
      </c>
      <c r="C24" s="55">
        <f t="shared" si="0"/>
        <v>0</v>
      </c>
      <c r="D24" s="55">
        <f t="shared" si="1"/>
        <v>0</v>
      </c>
      <c r="E24" s="54">
        <f t="shared" si="2"/>
        <v>0</v>
      </c>
      <c r="F24" s="30"/>
      <c r="G24" s="31"/>
      <c r="H24" s="54">
        <f>$E24*'01. CONFIGURAÇÕES'!$C$16</f>
        <v>0</v>
      </c>
      <c r="I24" s="54">
        <f>$E24*'01. CONFIGURAÇÕES'!$C$17</f>
        <v>0</v>
      </c>
      <c r="J24" s="54">
        <f t="shared" si="3"/>
        <v>0</v>
      </c>
      <c r="K24" s="32">
        <f>$A24+'01. CONFIGURAÇÕES'!$C$19</f>
        <v>46558</v>
      </c>
      <c r="L24" s="31"/>
      <c r="M24" s="53"/>
      <c r="N24" s="54" t="str">
        <f t="shared" si="4"/>
        <v/>
      </c>
      <c r="O24" s="13" t="str">
        <f t="shared" ca="1" si="5"/>
        <v/>
      </c>
      <c r="P24" s="29" t="str">
        <f t="shared" si="6"/>
        <v/>
      </c>
      <c r="Q24" s="55" t="str">
        <f>IF($E24=0,"",IF($B24='01. CONFIGURAÇÕES'!$C$8,'01. CONFIGURAÇÕES'!$C$29,'01. CONFIGURAÇÕES'!$D$29))</f>
        <v/>
      </c>
      <c r="R24" s="54" t="str">
        <f t="shared" si="7"/>
        <v/>
      </c>
      <c r="S24" s="58" t="str">
        <f t="shared" si="8"/>
        <v/>
      </c>
    </row>
    <row r="25" spans="1:19" x14ac:dyDescent="0.25">
      <c r="A25" s="40">
        <v>46568</v>
      </c>
      <c r="B25" s="25" t="s">
        <v>529</v>
      </c>
      <c r="C25" s="55">
        <f t="shared" si="0"/>
        <v>0</v>
      </c>
      <c r="D25" s="55">
        <f t="shared" si="1"/>
        <v>0</v>
      </c>
      <c r="E25" s="54">
        <f t="shared" si="2"/>
        <v>0</v>
      </c>
      <c r="F25" s="30"/>
      <c r="G25" s="31"/>
      <c r="H25" s="54">
        <f>$E25*'01. CONFIGURAÇÕES'!$C$16</f>
        <v>0</v>
      </c>
      <c r="I25" s="54">
        <f>$E25*'01. CONFIGURAÇÕES'!$C$17</f>
        <v>0</v>
      </c>
      <c r="J25" s="54">
        <f t="shared" si="3"/>
        <v>0</v>
      </c>
      <c r="K25" s="32">
        <f>$A25+'01. CONFIGURAÇÕES'!$C$19</f>
        <v>46588</v>
      </c>
      <c r="L25" s="31"/>
      <c r="M25" s="53"/>
      <c r="N25" s="54" t="str">
        <f t="shared" si="4"/>
        <v/>
      </c>
      <c r="O25" s="13" t="str">
        <f t="shared" ca="1" si="5"/>
        <v/>
      </c>
      <c r="P25" s="29" t="str">
        <f t="shared" si="6"/>
        <v/>
      </c>
      <c r="Q25" s="55" t="str">
        <f>IF($E25=0,"",IF($B25='01. CONFIGURAÇÕES'!$C$8,'01. CONFIGURAÇÕES'!$C$29,'01. CONFIGURAÇÕES'!$D$29))</f>
        <v/>
      </c>
      <c r="R25" s="54" t="str">
        <f t="shared" si="7"/>
        <v/>
      </c>
      <c r="S25" s="58" t="str">
        <f t="shared" si="8"/>
        <v/>
      </c>
    </row>
    <row r="26" spans="1:19" x14ac:dyDescent="0.25">
      <c r="A26" s="40">
        <v>46568</v>
      </c>
      <c r="B26" s="25" t="s">
        <v>533</v>
      </c>
      <c r="C26" s="55">
        <f t="shared" si="0"/>
        <v>0</v>
      </c>
      <c r="D26" s="55">
        <f t="shared" si="1"/>
        <v>0</v>
      </c>
      <c r="E26" s="54">
        <f t="shared" si="2"/>
        <v>0</v>
      </c>
      <c r="F26" s="30"/>
      <c r="G26" s="31"/>
      <c r="H26" s="54">
        <f>$E26*'01. CONFIGURAÇÕES'!$C$16</f>
        <v>0</v>
      </c>
      <c r="I26" s="54">
        <f>$E26*'01. CONFIGURAÇÕES'!$C$17</f>
        <v>0</v>
      </c>
      <c r="J26" s="54">
        <f t="shared" si="3"/>
        <v>0</v>
      </c>
      <c r="K26" s="32">
        <f>$A26+'01. CONFIGURAÇÕES'!$C$19</f>
        <v>46588</v>
      </c>
      <c r="L26" s="31"/>
      <c r="M26" s="53"/>
      <c r="N26" s="54" t="str">
        <f t="shared" si="4"/>
        <v/>
      </c>
      <c r="O26" s="13" t="str">
        <f t="shared" ca="1" si="5"/>
        <v/>
      </c>
      <c r="P26" s="29" t="str">
        <f t="shared" si="6"/>
        <v/>
      </c>
      <c r="Q26" s="55" t="str">
        <f>IF($E26=0,"",IF($B26='01. CONFIGURAÇÕES'!$C$8,'01. CONFIGURAÇÕES'!$C$29,'01. CONFIGURAÇÕES'!$D$29))</f>
        <v/>
      </c>
      <c r="R26" s="54" t="str">
        <f t="shared" si="7"/>
        <v/>
      </c>
      <c r="S26" s="58" t="str">
        <f t="shared" si="8"/>
        <v/>
      </c>
    </row>
    <row r="27" spans="1:19" x14ac:dyDescent="0.25">
      <c r="A27" s="40">
        <v>46599</v>
      </c>
      <c r="B27" s="25" t="s">
        <v>529</v>
      </c>
      <c r="C27" s="55">
        <f t="shared" si="0"/>
        <v>0</v>
      </c>
      <c r="D27" s="55">
        <f t="shared" si="1"/>
        <v>0</v>
      </c>
      <c r="E27" s="54">
        <f t="shared" si="2"/>
        <v>0</v>
      </c>
      <c r="F27" s="30"/>
      <c r="G27" s="31"/>
      <c r="H27" s="54">
        <f>$E27*'01. CONFIGURAÇÕES'!$C$16</f>
        <v>0</v>
      </c>
      <c r="I27" s="54">
        <f>$E27*'01. CONFIGURAÇÕES'!$C$17</f>
        <v>0</v>
      </c>
      <c r="J27" s="54">
        <f t="shared" si="3"/>
        <v>0</v>
      </c>
      <c r="K27" s="32">
        <f>$A27+'01. CONFIGURAÇÕES'!$C$19</f>
        <v>46619</v>
      </c>
      <c r="L27" s="31"/>
      <c r="M27" s="53"/>
      <c r="N27" s="54" t="str">
        <f t="shared" si="4"/>
        <v/>
      </c>
      <c r="O27" s="13" t="str">
        <f t="shared" ca="1" si="5"/>
        <v/>
      </c>
      <c r="P27" s="29" t="str">
        <f t="shared" si="6"/>
        <v/>
      </c>
      <c r="Q27" s="55" t="str">
        <f>IF($E27=0,"",IF($B27='01. CONFIGURAÇÕES'!$C$8,'01. CONFIGURAÇÕES'!$C$29,'01. CONFIGURAÇÕES'!$D$29))</f>
        <v/>
      </c>
      <c r="R27" s="54" t="str">
        <f t="shared" si="7"/>
        <v/>
      </c>
      <c r="S27" s="58" t="str">
        <f t="shared" si="8"/>
        <v/>
      </c>
    </row>
    <row r="28" spans="1:19" x14ac:dyDescent="0.25">
      <c r="A28" s="40">
        <v>46599</v>
      </c>
      <c r="B28" s="25" t="s">
        <v>533</v>
      </c>
      <c r="C28" s="55">
        <f t="shared" si="0"/>
        <v>0</v>
      </c>
      <c r="D28" s="55">
        <f t="shared" si="1"/>
        <v>0</v>
      </c>
      <c r="E28" s="54">
        <f t="shared" si="2"/>
        <v>0</v>
      </c>
      <c r="F28" s="30"/>
      <c r="G28" s="31"/>
      <c r="H28" s="54">
        <f>$E28*'01. CONFIGURAÇÕES'!$C$16</f>
        <v>0</v>
      </c>
      <c r="I28" s="54">
        <f>$E28*'01. CONFIGURAÇÕES'!$C$17</f>
        <v>0</v>
      </c>
      <c r="J28" s="54">
        <f t="shared" si="3"/>
        <v>0</v>
      </c>
      <c r="K28" s="32">
        <f>$A28+'01. CONFIGURAÇÕES'!$C$19</f>
        <v>46619</v>
      </c>
      <c r="L28" s="31"/>
      <c r="M28" s="53"/>
      <c r="N28" s="54" t="str">
        <f t="shared" si="4"/>
        <v/>
      </c>
      <c r="O28" s="13" t="str">
        <f t="shared" ca="1" si="5"/>
        <v/>
      </c>
      <c r="P28" s="29" t="str">
        <f t="shared" si="6"/>
        <v/>
      </c>
      <c r="Q28" s="55" t="str">
        <f>IF($E28=0,"",IF($B28='01. CONFIGURAÇÕES'!$C$8,'01. CONFIGURAÇÕES'!$C$29,'01. CONFIGURAÇÕES'!$D$29))</f>
        <v/>
      </c>
      <c r="R28" s="54" t="str">
        <f t="shared" si="7"/>
        <v/>
      </c>
      <c r="S28" s="58" t="str">
        <f t="shared" si="8"/>
        <v/>
      </c>
    </row>
    <row r="29" spans="1:19" x14ac:dyDescent="0.25">
      <c r="A29" s="40">
        <v>46630</v>
      </c>
      <c r="B29" s="25" t="s">
        <v>529</v>
      </c>
      <c r="C29" s="55">
        <f t="shared" si="0"/>
        <v>0</v>
      </c>
      <c r="D29" s="55">
        <f t="shared" si="1"/>
        <v>0</v>
      </c>
      <c r="E29" s="54">
        <f t="shared" si="2"/>
        <v>0</v>
      </c>
      <c r="F29" s="30"/>
      <c r="G29" s="31"/>
      <c r="H29" s="54">
        <f>$E29*'01. CONFIGURAÇÕES'!$C$16</f>
        <v>0</v>
      </c>
      <c r="I29" s="54">
        <f>$E29*'01. CONFIGURAÇÕES'!$C$17</f>
        <v>0</v>
      </c>
      <c r="J29" s="54">
        <f t="shared" si="3"/>
        <v>0</v>
      </c>
      <c r="K29" s="32">
        <f>$A29+'01. CONFIGURAÇÕES'!$C$19</f>
        <v>46650</v>
      </c>
      <c r="L29" s="31"/>
      <c r="M29" s="53"/>
      <c r="N29" s="54" t="str">
        <f t="shared" si="4"/>
        <v/>
      </c>
      <c r="O29" s="13" t="str">
        <f t="shared" ca="1" si="5"/>
        <v/>
      </c>
      <c r="P29" s="29" t="str">
        <f t="shared" si="6"/>
        <v/>
      </c>
      <c r="Q29" s="55" t="str">
        <f>IF($E29=0,"",IF($B29='01. CONFIGURAÇÕES'!$C$8,'01. CONFIGURAÇÕES'!$C$29,'01. CONFIGURAÇÕES'!$D$29))</f>
        <v/>
      </c>
      <c r="R29" s="54" t="str">
        <f t="shared" si="7"/>
        <v/>
      </c>
      <c r="S29" s="58" t="str">
        <f t="shared" si="8"/>
        <v/>
      </c>
    </row>
    <row r="30" spans="1:19" x14ac:dyDescent="0.25">
      <c r="A30" s="40">
        <v>46630</v>
      </c>
      <c r="B30" s="25" t="s">
        <v>533</v>
      </c>
      <c r="C30" s="55">
        <f t="shared" si="0"/>
        <v>0</v>
      </c>
      <c r="D30" s="55">
        <f t="shared" si="1"/>
        <v>0</v>
      </c>
      <c r="E30" s="54">
        <f t="shared" si="2"/>
        <v>0</v>
      </c>
      <c r="F30" s="30"/>
      <c r="G30" s="31"/>
      <c r="H30" s="54">
        <f>$E30*'01. CONFIGURAÇÕES'!$C$16</f>
        <v>0</v>
      </c>
      <c r="I30" s="54">
        <f>$E30*'01. CONFIGURAÇÕES'!$C$17</f>
        <v>0</v>
      </c>
      <c r="J30" s="54">
        <f t="shared" si="3"/>
        <v>0</v>
      </c>
      <c r="K30" s="32">
        <f>$A30+'01. CONFIGURAÇÕES'!$C$19</f>
        <v>46650</v>
      </c>
      <c r="L30" s="31"/>
      <c r="M30" s="53"/>
      <c r="N30" s="54" t="str">
        <f t="shared" si="4"/>
        <v/>
      </c>
      <c r="O30" s="13" t="str">
        <f t="shared" ca="1" si="5"/>
        <v/>
      </c>
      <c r="P30" s="29" t="str">
        <f t="shared" si="6"/>
        <v/>
      </c>
      <c r="Q30" s="55" t="str">
        <f>IF($E30=0,"",IF($B30='01. CONFIGURAÇÕES'!$C$8,'01. CONFIGURAÇÕES'!$C$29,'01. CONFIGURAÇÕES'!$D$29))</f>
        <v/>
      </c>
      <c r="R30" s="54" t="str">
        <f t="shared" si="7"/>
        <v/>
      </c>
      <c r="S30" s="58" t="str">
        <f t="shared" si="8"/>
        <v/>
      </c>
    </row>
    <row r="31" spans="1:19" x14ac:dyDescent="0.25">
      <c r="A31" s="40">
        <v>46660</v>
      </c>
      <c r="B31" s="25" t="s">
        <v>529</v>
      </c>
      <c r="C31" s="55">
        <f t="shared" si="0"/>
        <v>0</v>
      </c>
      <c r="D31" s="55">
        <f t="shared" si="1"/>
        <v>0</v>
      </c>
      <c r="E31" s="54">
        <f t="shared" si="2"/>
        <v>0</v>
      </c>
      <c r="F31" s="30"/>
      <c r="G31" s="31"/>
      <c r="H31" s="54">
        <f>$E31*'01. CONFIGURAÇÕES'!$C$16</f>
        <v>0</v>
      </c>
      <c r="I31" s="54">
        <f>$E31*'01. CONFIGURAÇÕES'!$C$17</f>
        <v>0</v>
      </c>
      <c r="J31" s="54">
        <f t="shared" si="3"/>
        <v>0</v>
      </c>
      <c r="K31" s="32">
        <f>$A31+'01. CONFIGURAÇÕES'!$C$19</f>
        <v>46680</v>
      </c>
      <c r="L31" s="31"/>
      <c r="M31" s="53"/>
      <c r="N31" s="54" t="str">
        <f t="shared" si="4"/>
        <v/>
      </c>
      <c r="O31" s="13" t="str">
        <f t="shared" ca="1" si="5"/>
        <v/>
      </c>
      <c r="P31" s="29" t="str">
        <f t="shared" si="6"/>
        <v/>
      </c>
      <c r="Q31" s="55" t="str">
        <f>IF($E31=0,"",IF($B31='01. CONFIGURAÇÕES'!$C$8,'01. CONFIGURAÇÕES'!$C$29,'01. CONFIGURAÇÕES'!$D$29))</f>
        <v/>
      </c>
      <c r="R31" s="54" t="str">
        <f t="shared" si="7"/>
        <v/>
      </c>
      <c r="S31" s="58" t="str">
        <f t="shared" si="8"/>
        <v/>
      </c>
    </row>
    <row r="32" spans="1:19" x14ac:dyDescent="0.25">
      <c r="A32" s="40">
        <v>46660</v>
      </c>
      <c r="B32" s="25" t="s">
        <v>533</v>
      </c>
      <c r="C32" s="55">
        <f t="shared" si="0"/>
        <v>0</v>
      </c>
      <c r="D32" s="55">
        <f t="shared" si="1"/>
        <v>0</v>
      </c>
      <c r="E32" s="54">
        <f t="shared" si="2"/>
        <v>0</v>
      </c>
      <c r="F32" s="30"/>
      <c r="G32" s="31"/>
      <c r="H32" s="54">
        <f>$E32*'01. CONFIGURAÇÕES'!$C$16</f>
        <v>0</v>
      </c>
      <c r="I32" s="54">
        <f>$E32*'01. CONFIGURAÇÕES'!$C$17</f>
        <v>0</v>
      </c>
      <c r="J32" s="54">
        <f t="shared" si="3"/>
        <v>0</v>
      </c>
      <c r="K32" s="32">
        <f>$A32+'01. CONFIGURAÇÕES'!$C$19</f>
        <v>46680</v>
      </c>
      <c r="L32" s="31"/>
      <c r="M32" s="53"/>
      <c r="N32" s="54" t="str">
        <f t="shared" si="4"/>
        <v/>
      </c>
      <c r="O32" s="13" t="str">
        <f t="shared" ca="1" si="5"/>
        <v/>
      </c>
      <c r="P32" s="29" t="str">
        <f t="shared" si="6"/>
        <v/>
      </c>
      <c r="Q32" s="55" t="str">
        <f>IF($E32=0,"",IF($B32='01. CONFIGURAÇÕES'!$C$8,'01. CONFIGURAÇÕES'!$C$29,'01. CONFIGURAÇÕES'!$D$29))</f>
        <v/>
      </c>
      <c r="R32" s="54" t="str">
        <f t="shared" si="7"/>
        <v/>
      </c>
      <c r="S32" s="58" t="str">
        <f t="shared" si="8"/>
        <v/>
      </c>
    </row>
    <row r="33" spans="1:19" x14ac:dyDescent="0.25">
      <c r="A33" s="40">
        <v>46691</v>
      </c>
      <c r="B33" s="25" t="s">
        <v>529</v>
      </c>
      <c r="C33" s="55">
        <f t="shared" si="0"/>
        <v>0</v>
      </c>
      <c r="D33" s="55">
        <f t="shared" si="1"/>
        <v>0</v>
      </c>
      <c r="E33" s="54">
        <f t="shared" si="2"/>
        <v>0</v>
      </c>
      <c r="F33" s="30"/>
      <c r="G33" s="31"/>
      <c r="H33" s="54">
        <f>$E33*'01. CONFIGURAÇÕES'!$C$16</f>
        <v>0</v>
      </c>
      <c r="I33" s="54">
        <f>$E33*'01. CONFIGURAÇÕES'!$C$17</f>
        <v>0</v>
      </c>
      <c r="J33" s="54">
        <f t="shared" si="3"/>
        <v>0</v>
      </c>
      <c r="K33" s="32">
        <f>$A33+'01. CONFIGURAÇÕES'!$C$19</f>
        <v>46711</v>
      </c>
      <c r="L33" s="31"/>
      <c r="M33" s="53"/>
      <c r="N33" s="54" t="str">
        <f t="shared" si="4"/>
        <v/>
      </c>
      <c r="O33" s="13" t="str">
        <f t="shared" ca="1" si="5"/>
        <v/>
      </c>
      <c r="P33" s="29" t="str">
        <f t="shared" si="6"/>
        <v/>
      </c>
      <c r="Q33" s="55" t="str">
        <f>IF($E33=0,"",IF($B33='01. CONFIGURAÇÕES'!$C$8,'01. CONFIGURAÇÕES'!$C$29,'01. CONFIGURAÇÕES'!$D$29))</f>
        <v/>
      </c>
      <c r="R33" s="54" t="str">
        <f t="shared" si="7"/>
        <v/>
      </c>
      <c r="S33" s="58" t="str">
        <f t="shared" si="8"/>
        <v/>
      </c>
    </row>
    <row r="34" spans="1:19" x14ac:dyDescent="0.25">
      <c r="A34" s="40">
        <v>46691</v>
      </c>
      <c r="B34" s="25" t="s">
        <v>533</v>
      </c>
      <c r="C34" s="55">
        <f t="shared" si="0"/>
        <v>0</v>
      </c>
      <c r="D34" s="55">
        <f t="shared" si="1"/>
        <v>0</v>
      </c>
      <c r="E34" s="54">
        <f t="shared" si="2"/>
        <v>0</v>
      </c>
      <c r="F34" s="30"/>
      <c r="G34" s="31"/>
      <c r="H34" s="54">
        <f>$E34*'01. CONFIGURAÇÕES'!$C$16</f>
        <v>0</v>
      </c>
      <c r="I34" s="54">
        <f>$E34*'01. CONFIGURAÇÕES'!$C$17</f>
        <v>0</v>
      </c>
      <c r="J34" s="54">
        <f t="shared" si="3"/>
        <v>0</v>
      </c>
      <c r="K34" s="32">
        <f>$A34+'01. CONFIGURAÇÕES'!$C$19</f>
        <v>46711</v>
      </c>
      <c r="L34" s="31"/>
      <c r="M34" s="53"/>
      <c r="N34" s="54" t="str">
        <f t="shared" si="4"/>
        <v/>
      </c>
      <c r="O34" s="13" t="str">
        <f t="shared" ca="1" si="5"/>
        <v/>
      </c>
      <c r="P34" s="29" t="str">
        <f t="shared" si="6"/>
        <v/>
      </c>
      <c r="Q34" s="55" t="str">
        <f>IF($E34=0,"",IF($B34='01. CONFIGURAÇÕES'!$C$8,'01. CONFIGURAÇÕES'!$C$29,'01. CONFIGURAÇÕES'!$D$29))</f>
        <v/>
      </c>
      <c r="R34" s="54" t="str">
        <f t="shared" si="7"/>
        <v/>
      </c>
      <c r="S34" s="58" t="str">
        <f t="shared" si="8"/>
        <v/>
      </c>
    </row>
    <row r="35" spans="1:19" x14ac:dyDescent="0.25">
      <c r="A35" s="40">
        <v>46721</v>
      </c>
      <c r="B35" s="25" t="s">
        <v>529</v>
      </c>
      <c r="C35" s="55">
        <f t="shared" si="0"/>
        <v>0</v>
      </c>
      <c r="D35" s="55">
        <f t="shared" si="1"/>
        <v>0</v>
      </c>
      <c r="E35" s="54">
        <f t="shared" si="2"/>
        <v>0</v>
      </c>
      <c r="F35" s="30"/>
      <c r="G35" s="31"/>
      <c r="H35" s="54">
        <f>$E35*'01. CONFIGURAÇÕES'!$C$16</f>
        <v>0</v>
      </c>
      <c r="I35" s="54">
        <f>$E35*'01. CONFIGURAÇÕES'!$C$17</f>
        <v>0</v>
      </c>
      <c r="J35" s="54">
        <f t="shared" si="3"/>
        <v>0</v>
      </c>
      <c r="K35" s="32">
        <f>$A35+'01. CONFIGURAÇÕES'!$C$19</f>
        <v>46741</v>
      </c>
      <c r="L35" s="31"/>
      <c r="M35" s="53"/>
      <c r="N35" s="54" t="str">
        <f t="shared" si="4"/>
        <v/>
      </c>
      <c r="O35" s="13" t="str">
        <f t="shared" ca="1" si="5"/>
        <v/>
      </c>
      <c r="P35" s="29" t="str">
        <f t="shared" si="6"/>
        <v/>
      </c>
      <c r="Q35" s="55" t="str">
        <f>IF($E35=0,"",IF($B35='01. CONFIGURAÇÕES'!$C$8,'01. CONFIGURAÇÕES'!$C$29,'01. CONFIGURAÇÕES'!$D$29))</f>
        <v/>
      </c>
      <c r="R35" s="54" t="str">
        <f t="shared" si="7"/>
        <v/>
      </c>
      <c r="S35" s="58" t="str">
        <f t="shared" si="8"/>
        <v/>
      </c>
    </row>
    <row r="36" spans="1:19" x14ac:dyDescent="0.25">
      <c r="A36" s="40">
        <v>46721</v>
      </c>
      <c r="B36" s="25" t="s">
        <v>533</v>
      </c>
      <c r="C36" s="55">
        <f t="shared" si="0"/>
        <v>0</v>
      </c>
      <c r="D36" s="55">
        <f t="shared" si="1"/>
        <v>0</v>
      </c>
      <c r="E36" s="54">
        <f t="shared" si="2"/>
        <v>0</v>
      </c>
      <c r="F36" s="30"/>
      <c r="G36" s="31"/>
      <c r="H36" s="54">
        <f>$E36*'01. CONFIGURAÇÕES'!$C$16</f>
        <v>0</v>
      </c>
      <c r="I36" s="54">
        <f>$E36*'01. CONFIGURAÇÕES'!$C$17</f>
        <v>0</v>
      </c>
      <c r="J36" s="54">
        <f t="shared" si="3"/>
        <v>0</v>
      </c>
      <c r="K36" s="32">
        <f>$A36+'01. CONFIGURAÇÕES'!$C$19</f>
        <v>46741</v>
      </c>
      <c r="L36" s="31"/>
      <c r="M36" s="53"/>
      <c r="N36" s="54" t="str">
        <f t="shared" si="4"/>
        <v/>
      </c>
      <c r="O36" s="13" t="str">
        <f t="shared" ca="1" si="5"/>
        <v/>
      </c>
      <c r="P36" s="29" t="str">
        <f t="shared" si="6"/>
        <v/>
      </c>
      <c r="Q36" s="55" t="str">
        <f>IF($E36=0,"",IF($B36='01. CONFIGURAÇÕES'!$C$8,'01. CONFIGURAÇÕES'!$C$29,'01. CONFIGURAÇÕES'!$D$29))</f>
        <v/>
      </c>
      <c r="R36" s="54" t="str">
        <f t="shared" si="7"/>
        <v/>
      </c>
      <c r="S36" s="58" t="str">
        <f t="shared" si="8"/>
        <v/>
      </c>
    </row>
    <row r="37" spans="1:19" x14ac:dyDescent="0.25">
      <c r="A37" s="40">
        <v>46752</v>
      </c>
      <c r="B37" s="25" t="s">
        <v>529</v>
      </c>
      <c r="C37" s="55">
        <f t="shared" si="0"/>
        <v>0</v>
      </c>
      <c r="D37" s="55">
        <f t="shared" si="1"/>
        <v>0</v>
      </c>
      <c r="E37" s="54">
        <f t="shared" si="2"/>
        <v>0</v>
      </c>
      <c r="F37" s="30"/>
      <c r="G37" s="31"/>
      <c r="H37" s="54">
        <f>$E37*'01. CONFIGURAÇÕES'!$C$16</f>
        <v>0</v>
      </c>
      <c r="I37" s="54">
        <f>$E37*'01. CONFIGURAÇÕES'!$C$17</f>
        <v>0</v>
      </c>
      <c r="J37" s="54">
        <f t="shared" si="3"/>
        <v>0</v>
      </c>
      <c r="K37" s="32">
        <f>$A37+'01. CONFIGURAÇÕES'!$C$19</f>
        <v>46772</v>
      </c>
      <c r="L37" s="31"/>
      <c r="M37" s="53"/>
      <c r="N37" s="54" t="str">
        <f t="shared" si="4"/>
        <v/>
      </c>
      <c r="O37" s="13" t="str">
        <f t="shared" ca="1" si="5"/>
        <v/>
      </c>
      <c r="P37" s="29" t="str">
        <f t="shared" si="6"/>
        <v/>
      </c>
      <c r="Q37" s="55" t="str">
        <f>IF($E37=0,"",IF($B37='01. CONFIGURAÇÕES'!$C$8,'01. CONFIGURAÇÕES'!$C$29,'01. CONFIGURAÇÕES'!$D$29))</f>
        <v/>
      </c>
      <c r="R37" s="54" t="str">
        <f t="shared" si="7"/>
        <v/>
      </c>
      <c r="S37" s="58" t="str">
        <f t="shared" si="8"/>
        <v/>
      </c>
    </row>
    <row r="38" spans="1:19" x14ac:dyDescent="0.25">
      <c r="A38" s="40">
        <v>46752</v>
      </c>
      <c r="B38" s="25" t="s">
        <v>533</v>
      </c>
      <c r="C38" s="55">
        <f t="shared" si="0"/>
        <v>0</v>
      </c>
      <c r="D38" s="55">
        <f t="shared" si="1"/>
        <v>0</v>
      </c>
      <c r="E38" s="54">
        <f t="shared" si="2"/>
        <v>0</v>
      </c>
      <c r="F38" s="30"/>
      <c r="G38" s="31"/>
      <c r="H38" s="54">
        <f>$E38*'01. CONFIGURAÇÕES'!$C$16</f>
        <v>0</v>
      </c>
      <c r="I38" s="54">
        <f>$E38*'01. CONFIGURAÇÕES'!$C$17</f>
        <v>0</v>
      </c>
      <c r="J38" s="54">
        <f t="shared" si="3"/>
        <v>0</v>
      </c>
      <c r="K38" s="32">
        <f>$A38+'01. CONFIGURAÇÕES'!$C$19</f>
        <v>46772</v>
      </c>
      <c r="L38" s="31"/>
      <c r="M38" s="53"/>
      <c r="N38" s="54" t="str">
        <f t="shared" si="4"/>
        <v/>
      </c>
      <c r="O38" s="13" t="str">
        <f t="shared" ca="1" si="5"/>
        <v/>
      </c>
      <c r="P38" s="29" t="str">
        <f t="shared" si="6"/>
        <v/>
      </c>
      <c r="Q38" s="55" t="str">
        <f>IF($E38=0,"",IF($B38='01. CONFIGURAÇÕES'!$C$8,'01. CONFIGURAÇÕES'!$C$29,'01. CONFIGURAÇÕES'!$D$29))</f>
        <v/>
      </c>
      <c r="R38" s="54" t="str">
        <f t="shared" si="7"/>
        <v/>
      </c>
      <c r="S38" s="58" t="str">
        <f t="shared" si="8"/>
        <v/>
      </c>
    </row>
    <row r="39" spans="1:19" x14ac:dyDescent="0.25">
      <c r="A39" s="40">
        <v>46783</v>
      </c>
      <c r="B39" s="25" t="s">
        <v>529</v>
      </c>
      <c r="C39" s="55">
        <f t="shared" si="0"/>
        <v>0</v>
      </c>
      <c r="D39" s="55">
        <f t="shared" si="1"/>
        <v>0</v>
      </c>
      <c r="E39" s="54">
        <f t="shared" si="2"/>
        <v>0</v>
      </c>
      <c r="F39" s="30"/>
      <c r="G39" s="31"/>
      <c r="H39" s="54">
        <f>$E39*'01. CONFIGURAÇÕES'!$C$16</f>
        <v>0</v>
      </c>
      <c r="I39" s="54">
        <f>$E39*'01. CONFIGURAÇÕES'!$C$17</f>
        <v>0</v>
      </c>
      <c r="J39" s="54">
        <f t="shared" si="3"/>
        <v>0</v>
      </c>
      <c r="K39" s="32">
        <f>$A39+'01. CONFIGURAÇÕES'!$C$19</f>
        <v>46803</v>
      </c>
      <c r="L39" s="31"/>
      <c r="M39" s="53"/>
      <c r="N39" s="54" t="str">
        <f t="shared" si="4"/>
        <v/>
      </c>
      <c r="O39" s="13" t="str">
        <f t="shared" ca="1" si="5"/>
        <v/>
      </c>
      <c r="P39" s="29" t="str">
        <f t="shared" si="6"/>
        <v/>
      </c>
      <c r="Q39" s="55" t="str">
        <f>IF($E39=0,"",IF($B39='01. CONFIGURAÇÕES'!$C$8,'01. CONFIGURAÇÕES'!$C$29,'01. CONFIGURAÇÕES'!$D$29))</f>
        <v/>
      </c>
      <c r="R39" s="54" t="str">
        <f t="shared" si="7"/>
        <v/>
      </c>
      <c r="S39" s="58" t="str">
        <f t="shared" si="8"/>
        <v/>
      </c>
    </row>
    <row r="40" spans="1:19" x14ac:dyDescent="0.25">
      <c r="A40" s="40">
        <v>46783</v>
      </c>
      <c r="B40" s="25" t="s">
        <v>533</v>
      </c>
      <c r="C40" s="55">
        <f t="shared" si="0"/>
        <v>0</v>
      </c>
      <c r="D40" s="55">
        <f t="shared" si="1"/>
        <v>0</v>
      </c>
      <c r="E40" s="54">
        <f t="shared" si="2"/>
        <v>0</v>
      </c>
      <c r="F40" s="30"/>
      <c r="G40" s="31"/>
      <c r="H40" s="54">
        <f>$E40*'01. CONFIGURAÇÕES'!$C$16</f>
        <v>0</v>
      </c>
      <c r="I40" s="54">
        <f>$E40*'01. CONFIGURAÇÕES'!$C$17</f>
        <v>0</v>
      </c>
      <c r="J40" s="54">
        <f t="shared" si="3"/>
        <v>0</v>
      </c>
      <c r="K40" s="32">
        <f>$A40+'01. CONFIGURAÇÕES'!$C$19</f>
        <v>46803</v>
      </c>
      <c r="L40" s="31"/>
      <c r="M40" s="53"/>
      <c r="N40" s="54" t="str">
        <f t="shared" si="4"/>
        <v/>
      </c>
      <c r="O40" s="13" t="str">
        <f t="shared" ca="1" si="5"/>
        <v/>
      </c>
      <c r="P40" s="29" t="str">
        <f t="shared" si="6"/>
        <v/>
      </c>
      <c r="Q40" s="55" t="str">
        <f>IF($E40=0,"",IF($B40='01. CONFIGURAÇÕES'!$C$8,'01. CONFIGURAÇÕES'!$C$29,'01. CONFIGURAÇÕES'!$D$29))</f>
        <v/>
      </c>
      <c r="R40" s="54" t="str">
        <f t="shared" si="7"/>
        <v/>
      </c>
      <c r="S40" s="58" t="str">
        <f t="shared" si="8"/>
        <v/>
      </c>
    </row>
    <row r="41" spans="1:19" x14ac:dyDescent="0.25">
      <c r="A41" s="40">
        <v>46812</v>
      </c>
      <c r="B41" s="25" t="s">
        <v>529</v>
      </c>
      <c r="C41" s="55">
        <f t="shared" si="0"/>
        <v>0</v>
      </c>
      <c r="D41" s="55">
        <f t="shared" si="1"/>
        <v>0</v>
      </c>
      <c r="E41" s="54">
        <f t="shared" si="2"/>
        <v>0</v>
      </c>
      <c r="F41" s="30"/>
      <c r="G41" s="31"/>
      <c r="H41" s="54">
        <f>$E41*'01. CONFIGURAÇÕES'!$C$16</f>
        <v>0</v>
      </c>
      <c r="I41" s="54">
        <f>$E41*'01. CONFIGURAÇÕES'!$C$17</f>
        <v>0</v>
      </c>
      <c r="J41" s="54">
        <f t="shared" si="3"/>
        <v>0</v>
      </c>
      <c r="K41" s="32">
        <f>$A41+'01. CONFIGURAÇÕES'!$C$19</f>
        <v>46832</v>
      </c>
      <c r="L41" s="31"/>
      <c r="M41" s="53"/>
      <c r="N41" s="54" t="str">
        <f t="shared" si="4"/>
        <v/>
      </c>
      <c r="O41" s="13" t="str">
        <f t="shared" ca="1" si="5"/>
        <v/>
      </c>
      <c r="P41" s="29" t="str">
        <f t="shared" si="6"/>
        <v/>
      </c>
      <c r="Q41" s="55" t="str">
        <f>IF($E41=0,"",IF($B41='01. CONFIGURAÇÕES'!$C$8,'01. CONFIGURAÇÕES'!$C$29,'01. CONFIGURAÇÕES'!$D$29))</f>
        <v/>
      </c>
      <c r="R41" s="54" t="str">
        <f t="shared" si="7"/>
        <v/>
      </c>
      <c r="S41" s="58" t="str">
        <f t="shared" si="8"/>
        <v/>
      </c>
    </row>
    <row r="42" spans="1:19" x14ac:dyDescent="0.25">
      <c r="A42" s="40">
        <v>46812</v>
      </c>
      <c r="B42" s="25" t="s">
        <v>533</v>
      </c>
      <c r="C42" s="55">
        <f t="shared" si="0"/>
        <v>0</v>
      </c>
      <c r="D42" s="55">
        <f t="shared" si="1"/>
        <v>0</v>
      </c>
      <c r="E42" s="54">
        <f t="shared" si="2"/>
        <v>0</v>
      </c>
      <c r="F42" s="30"/>
      <c r="G42" s="31"/>
      <c r="H42" s="54">
        <f>$E42*'01. CONFIGURAÇÕES'!$C$16</f>
        <v>0</v>
      </c>
      <c r="I42" s="54">
        <f>$E42*'01. CONFIGURAÇÕES'!$C$17</f>
        <v>0</v>
      </c>
      <c r="J42" s="54">
        <f t="shared" si="3"/>
        <v>0</v>
      </c>
      <c r="K42" s="32">
        <f>$A42+'01. CONFIGURAÇÕES'!$C$19</f>
        <v>46832</v>
      </c>
      <c r="L42" s="31"/>
      <c r="M42" s="53"/>
      <c r="N42" s="54" t="str">
        <f t="shared" si="4"/>
        <v/>
      </c>
      <c r="O42" s="13" t="str">
        <f t="shared" ca="1" si="5"/>
        <v/>
      </c>
      <c r="P42" s="29" t="str">
        <f t="shared" si="6"/>
        <v/>
      </c>
      <c r="Q42" s="55" t="str">
        <f>IF($E42=0,"",IF($B42='01. CONFIGURAÇÕES'!$C$8,'01. CONFIGURAÇÕES'!$C$29,'01. CONFIGURAÇÕES'!$D$29))</f>
        <v/>
      </c>
      <c r="R42" s="54" t="str">
        <f t="shared" si="7"/>
        <v/>
      </c>
      <c r="S42" s="58" t="str">
        <f t="shared" si="8"/>
        <v/>
      </c>
    </row>
    <row r="43" spans="1:19" x14ac:dyDescent="0.25">
      <c r="A43" s="40">
        <v>46843</v>
      </c>
      <c r="B43" s="25" t="s">
        <v>529</v>
      </c>
      <c r="C43" s="55">
        <f t="shared" si="0"/>
        <v>0</v>
      </c>
      <c r="D43" s="55">
        <f t="shared" si="1"/>
        <v>0</v>
      </c>
      <c r="E43" s="54">
        <f t="shared" si="2"/>
        <v>0</v>
      </c>
      <c r="F43" s="30"/>
      <c r="G43" s="31"/>
      <c r="H43" s="54">
        <f>$E43*'01. CONFIGURAÇÕES'!$C$16</f>
        <v>0</v>
      </c>
      <c r="I43" s="54">
        <f>$E43*'01. CONFIGURAÇÕES'!$C$17</f>
        <v>0</v>
      </c>
      <c r="J43" s="54">
        <f t="shared" si="3"/>
        <v>0</v>
      </c>
      <c r="K43" s="32">
        <f>$A43+'01. CONFIGURAÇÕES'!$C$19</f>
        <v>46863</v>
      </c>
      <c r="L43" s="31"/>
      <c r="M43" s="53"/>
      <c r="N43" s="54" t="str">
        <f t="shared" si="4"/>
        <v/>
      </c>
      <c r="O43" s="13" t="str">
        <f t="shared" ca="1" si="5"/>
        <v/>
      </c>
      <c r="P43" s="29" t="str">
        <f t="shared" si="6"/>
        <v/>
      </c>
      <c r="Q43" s="55" t="str">
        <f>IF($E43=0,"",IF($B43='01. CONFIGURAÇÕES'!$C$8,'01. CONFIGURAÇÕES'!$C$29,'01. CONFIGURAÇÕES'!$D$29))</f>
        <v/>
      </c>
      <c r="R43" s="54" t="str">
        <f t="shared" si="7"/>
        <v/>
      </c>
      <c r="S43" s="58" t="str">
        <f t="shared" si="8"/>
        <v/>
      </c>
    </row>
    <row r="44" spans="1:19" x14ac:dyDescent="0.25">
      <c r="A44" s="40">
        <v>46843</v>
      </c>
      <c r="B44" s="25" t="s">
        <v>533</v>
      </c>
      <c r="C44" s="55">
        <f t="shared" si="0"/>
        <v>0</v>
      </c>
      <c r="D44" s="55">
        <f t="shared" si="1"/>
        <v>0</v>
      </c>
      <c r="E44" s="54">
        <f t="shared" si="2"/>
        <v>0</v>
      </c>
      <c r="F44" s="30"/>
      <c r="G44" s="31"/>
      <c r="H44" s="54">
        <f>$E44*'01. CONFIGURAÇÕES'!$C$16</f>
        <v>0</v>
      </c>
      <c r="I44" s="54">
        <f>$E44*'01. CONFIGURAÇÕES'!$C$17</f>
        <v>0</v>
      </c>
      <c r="J44" s="54">
        <f t="shared" si="3"/>
        <v>0</v>
      </c>
      <c r="K44" s="32">
        <f>$A44+'01. CONFIGURAÇÕES'!$C$19</f>
        <v>46863</v>
      </c>
      <c r="L44" s="31"/>
      <c r="M44" s="53"/>
      <c r="N44" s="54" t="str">
        <f t="shared" si="4"/>
        <v/>
      </c>
      <c r="O44" s="13" t="str">
        <f t="shared" ca="1" si="5"/>
        <v/>
      </c>
      <c r="P44" s="29" t="str">
        <f t="shared" si="6"/>
        <v/>
      </c>
      <c r="Q44" s="55" t="str">
        <f>IF($E44=0,"",IF($B44='01. CONFIGURAÇÕES'!$C$8,'01. CONFIGURAÇÕES'!$C$29,'01. CONFIGURAÇÕES'!$D$29))</f>
        <v/>
      </c>
      <c r="R44" s="54" t="str">
        <f t="shared" si="7"/>
        <v/>
      </c>
      <c r="S44" s="58" t="str">
        <f t="shared" si="8"/>
        <v/>
      </c>
    </row>
    <row r="45" spans="1:19" x14ac:dyDescent="0.25">
      <c r="A45" s="40">
        <v>46873</v>
      </c>
      <c r="B45" s="25" t="s">
        <v>529</v>
      </c>
      <c r="C45" s="55">
        <f t="shared" si="0"/>
        <v>0</v>
      </c>
      <c r="D45" s="55">
        <f t="shared" si="1"/>
        <v>0</v>
      </c>
      <c r="E45" s="54">
        <f t="shared" si="2"/>
        <v>0</v>
      </c>
      <c r="F45" s="30"/>
      <c r="G45" s="31"/>
      <c r="H45" s="54">
        <f>$E45*'01. CONFIGURAÇÕES'!$C$16</f>
        <v>0</v>
      </c>
      <c r="I45" s="54">
        <f>$E45*'01. CONFIGURAÇÕES'!$C$17</f>
        <v>0</v>
      </c>
      <c r="J45" s="54">
        <f t="shared" si="3"/>
        <v>0</v>
      </c>
      <c r="K45" s="32">
        <f>$A45+'01. CONFIGURAÇÕES'!$C$19</f>
        <v>46893</v>
      </c>
      <c r="L45" s="31"/>
      <c r="M45" s="53"/>
      <c r="N45" s="54" t="str">
        <f t="shared" si="4"/>
        <v/>
      </c>
      <c r="O45" s="13" t="str">
        <f t="shared" ca="1" si="5"/>
        <v/>
      </c>
      <c r="P45" s="29" t="str">
        <f t="shared" si="6"/>
        <v/>
      </c>
      <c r="Q45" s="55" t="str">
        <f>IF($E45=0,"",IF($B45='01. CONFIGURAÇÕES'!$C$8,'01. CONFIGURAÇÕES'!$C$29,'01. CONFIGURAÇÕES'!$D$29))</f>
        <v/>
      </c>
      <c r="R45" s="54" t="str">
        <f t="shared" si="7"/>
        <v/>
      </c>
      <c r="S45" s="58" t="str">
        <f t="shared" si="8"/>
        <v/>
      </c>
    </row>
    <row r="46" spans="1:19" x14ac:dyDescent="0.25">
      <c r="A46" s="40">
        <v>46873</v>
      </c>
      <c r="B46" s="25" t="s">
        <v>533</v>
      </c>
      <c r="C46" s="55">
        <f t="shared" si="0"/>
        <v>0</v>
      </c>
      <c r="D46" s="55">
        <f t="shared" si="1"/>
        <v>0</v>
      </c>
      <c r="E46" s="54">
        <f t="shared" si="2"/>
        <v>0</v>
      </c>
      <c r="F46" s="30"/>
      <c r="G46" s="31"/>
      <c r="H46" s="54">
        <f>$E46*'01. CONFIGURAÇÕES'!$C$16</f>
        <v>0</v>
      </c>
      <c r="I46" s="54">
        <f>$E46*'01. CONFIGURAÇÕES'!$C$17</f>
        <v>0</v>
      </c>
      <c r="J46" s="54">
        <f t="shared" si="3"/>
        <v>0</v>
      </c>
      <c r="K46" s="32">
        <f>$A46+'01. CONFIGURAÇÕES'!$C$19</f>
        <v>46893</v>
      </c>
      <c r="L46" s="31"/>
      <c r="M46" s="53"/>
      <c r="N46" s="54" t="str">
        <f t="shared" si="4"/>
        <v/>
      </c>
      <c r="O46" s="13" t="str">
        <f t="shared" ca="1" si="5"/>
        <v/>
      </c>
      <c r="P46" s="29" t="str">
        <f t="shared" si="6"/>
        <v/>
      </c>
      <c r="Q46" s="55" t="str">
        <f>IF($E46=0,"",IF($B46='01. CONFIGURAÇÕES'!$C$8,'01. CONFIGURAÇÕES'!$C$29,'01. CONFIGURAÇÕES'!$D$29))</f>
        <v/>
      </c>
      <c r="R46" s="54" t="str">
        <f t="shared" si="7"/>
        <v/>
      </c>
      <c r="S46" s="58" t="str">
        <f t="shared" si="8"/>
        <v/>
      </c>
    </row>
    <row r="47" spans="1:19" x14ac:dyDescent="0.25">
      <c r="A47" s="40">
        <v>46904</v>
      </c>
      <c r="B47" s="25" t="s">
        <v>529</v>
      </c>
      <c r="C47" s="55">
        <f t="shared" si="0"/>
        <v>0</v>
      </c>
      <c r="D47" s="55">
        <f t="shared" si="1"/>
        <v>0</v>
      </c>
      <c r="E47" s="54">
        <f t="shared" si="2"/>
        <v>0</v>
      </c>
      <c r="F47" s="30"/>
      <c r="G47" s="31"/>
      <c r="H47" s="54">
        <f>$E47*'01. CONFIGURAÇÕES'!$C$16</f>
        <v>0</v>
      </c>
      <c r="I47" s="54">
        <f>$E47*'01. CONFIGURAÇÕES'!$C$17</f>
        <v>0</v>
      </c>
      <c r="J47" s="54">
        <f t="shared" si="3"/>
        <v>0</v>
      </c>
      <c r="K47" s="32">
        <f>$A47+'01. CONFIGURAÇÕES'!$C$19</f>
        <v>46924</v>
      </c>
      <c r="L47" s="31"/>
      <c r="M47" s="53"/>
      <c r="N47" s="54" t="str">
        <f t="shared" si="4"/>
        <v/>
      </c>
      <c r="O47" s="13" t="str">
        <f t="shared" ca="1" si="5"/>
        <v/>
      </c>
      <c r="P47" s="29" t="str">
        <f t="shared" si="6"/>
        <v/>
      </c>
      <c r="Q47" s="55" t="str">
        <f>IF($E47=0,"",IF($B47='01. CONFIGURAÇÕES'!$C$8,'01. CONFIGURAÇÕES'!$C$29,'01. CONFIGURAÇÕES'!$D$29))</f>
        <v/>
      </c>
      <c r="R47" s="54" t="str">
        <f t="shared" si="7"/>
        <v/>
      </c>
      <c r="S47" s="58" t="str">
        <f t="shared" si="8"/>
        <v/>
      </c>
    </row>
    <row r="48" spans="1:19" x14ac:dyDescent="0.25">
      <c r="A48" s="40">
        <v>46904</v>
      </c>
      <c r="B48" s="25" t="s">
        <v>533</v>
      </c>
      <c r="C48" s="55">
        <f t="shared" si="0"/>
        <v>0</v>
      </c>
      <c r="D48" s="55">
        <f t="shared" si="1"/>
        <v>0</v>
      </c>
      <c r="E48" s="54">
        <f t="shared" si="2"/>
        <v>0</v>
      </c>
      <c r="F48" s="30"/>
      <c r="G48" s="31"/>
      <c r="H48" s="54">
        <f>$E48*'01. CONFIGURAÇÕES'!$C$16</f>
        <v>0</v>
      </c>
      <c r="I48" s="54">
        <f>$E48*'01. CONFIGURAÇÕES'!$C$17</f>
        <v>0</v>
      </c>
      <c r="J48" s="54">
        <f t="shared" si="3"/>
        <v>0</v>
      </c>
      <c r="K48" s="32">
        <f>$A48+'01. CONFIGURAÇÕES'!$C$19</f>
        <v>46924</v>
      </c>
      <c r="L48" s="31"/>
      <c r="M48" s="53"/>
      <c r="N48" s="54" t="str">
        <f t="shared" si="4"/>
        <v/>
      </c>
      <c r="O48" s="13" t="str">
        <f t="shared" ca="1" si="5"/>
        <v/>
      </c>
      <c r="P48" s="29" t="str">
        <f t="shared" si="6"/>
        <v/>
      </c>
      <c r="Q48" s="55" t="str">
        <f>IF($E48=0,"",IF($B48='01. CONFIGURAÇÕES'!$C$8,'01. CONFIGURAÇÕES'!$C$29,'01. CONFIGURAÇÕES'!$D$29))</f>
        <v/>
      </c>
      <c r="R48" s="54" t="str">
        <f t="shared" si="7"/>
        <v/>
      </c>
      <c r="S48" s="58" t="str">
        <f t="shared" si="8"/>
        <v/>
      </c>
    </row>
    <row r="49" spans="1:19" x14ac:dyDescent="0.25">
      <c r="A49" s="40">
        <v>46934</v>
      </c>
      <c r="B49" s="25" t="s">
        <v>529</v>
      </c>
      <c r="C49" s="55">
        <f t="shared" si="0"/>
        <v>0</v>
      </c>
      <c r="D49" s="55">
        <f t="shared" si="1"/>
        <v>0</v>
      </c>
      <c r="E49" s="54">
        <f t="shared" si="2"/>
        <v>0</v>
      </c>
      <c r="F49" s="30"/>
      <c r="G49" s="31"/>
      <c r="H49" s="54">
        <f>$E49*'01. CONFIGURAÇÕES'!$C$16</f>
        <v>0</v>
      </c>
      <c r="I49" s="54">
        <f>$E49*'01. CONFIGURAÇÕES'!$C$17</f>
        <v>0</v>
      </c>
      <c r="J49" s="54">
        <f t="shared" si="3"/>
        <v>0</v>
      </c>
      <c r="K49" s="32">
        <f>$A49+'01. CONFIGURAÇÕES'!$C$19</f>
        <v>46954</v>
      </c>
      <c r="L49" s="31"/>
      <c r="M49" s="53"/>
      <c r="N49" s="54" t="str">
        <f t="shared" si="4"/>
        <v/>
      </c>
      <c r="O49" s="13" t="str">
        <f t="shared" ca="1" si="5"/>
        <v/>
      </c>
      <c r="P49" s="29" t="str">
        <f t="shared" si="6"/>
        <v/>
      </c>
      <c r="Q49" s="55" t="str">
        <f>IF($E49=0,"",IF($B49='01. CONFIGURAÇÕES'!$C$8,'01. CONFIGURAÇÕES'!$C$29,'01. CONFIGURAÇÕES'!$D$29))</f>
        <v/>
      </c>
      <c r="R49" s="54" t="str">
        <f t="shared" si="7"/>
        <v/>
      </c>
      <c r="S49" s="58" t="str">
        <f t="shared" si="8"/>
        <v/>
      </c>
    </row>
    <row r="50" spans="1:19" x14ac:dyDescent="0.25">
      <c r="A50" s="40">
        <v>46934</v>
      </c>
      <c r="B50" s="25" t="s">
        <v>533</v>
      </c>
      <c r="C50" s="55">
        <f t="shared" si="0"/>
        <v>0</v>
      </c>
      <c r="D50" s="55">
        <f t="shared" si="1"/>
        <v>0</v>
      </c>
      <c r="E50" s="54">
        <f t="shared" si="2"/>
        <v>0</v>
      </c>
      <c r="F50" s="30"/>
      <c r="G50" s="31"/>
      <c r="H50" s="54">
        <f>$E50*'01. CONFIGURAÇÕES'!$C$16</f>
        <v>0</v>
      </c>
      <c r="I50" s="54">
        <f>$E50*'01. CONFIGURAÇÕES'!$C$17</f>
        <v>0</v>
      </c>
      <c r="J50" s="54">
        <f t="shared" si="3"/>
        <v>0</v>
      </c>
      <c r="K50" s="32">
        <f>$A50+'01. CONFIGURAÇÕES'!$C$19</f>
        <v>46954</v>
      </c>
      <c r="L50" s="31"/>
      <c r="M50" s="53"/>
      <c r="N50" s="54" t="str">
        <f t="shared" si="4"/>
        <v/>
      </c>
      <c r="O50" s="13" t="str">
        <f t="shared" ca="1" si="5"/>
        <v/>
      </c>
      <c r="P50" s="29" t="str">
        <f t="shared" si="6"/>
        <v/>
      </c>
      <c r="Q50" s="55" t="str">
        <f>IF($E50=0,"",IF($B50='01. CONFIGURAÇÕES'!$C$8,'01. CONFIGURAÇÕES'!$C$29,'01. CONFIGURAÇÕES'!$D$29))</f>
        <v/>
      </c>
      <c r="R50" s="54" t="str">
        <f t="shared" si="7"/>
        <v/>
      </c>
      <c r="S50" s="58" t="str">
        <f t="shared" si="8"/>
        <v/>
      </c>
    </row>
    <row r="51" spans="1:19" x14ac:dyDescent="0.25">
      <c r="A51" s="40">
        <v>46965</v>
      </c>
      <c r="B51" s="25" t="s">
        <v>529</v>
      </c>
      <c r="C51" s="55">
        <f t="shared" si="0"/>
        <v>0</v>
      </c>
      <c r="D51" s="55">
        <f t="shared" si="1"/>
        <v>0</v>
      </c>
      <c r="E51" s="54">
        <f t="shared" si="2"/>
        <v>0</v>
      </c>
      <c r="F51" s="30"/>
      <c r="G51" s="31"/>
      <c r="H51" s="54">
        <f>$E51*'01. CONFIGURAÇÕES'!$C$16</f>
        <v>0</v>
      </c>
      <c r="I51" s="54">
        <f>$E51*'01. CONFIGURAÇÕES'!$C$17</f>
        <v>0</v>
      </c>
      <c r="J51" s="54">
        <f t="shared" si="3"/>
        <v>0</v>
      </c>
      <c r="K51" s="32">
        <f>$A51+'01. CONFIGURAÇÕES'!$C$19</f>
        <v>46985</v>
      </c>
      <c r="L51" s="31"/>
      <c r="M51" s="53"/>
      <c r="N51" s="54" t="str">
        <f t="shared" si="4"/>
        <v/>
      </c>
      <c r="O51" s="13" t="str">
        <f t="shared" ca="1" si="5"/>
        <v/>
      </c>
      <c r="P51" s="29" t="str">
        <f t="shared" si="6"/>
        <v/>
      </c>
      <c r="Q51" s="55" t="str">
        <f>IF($E51=0,"",IF($B51='01. CONFIGURAÇÕES'!$C$8,'01. CONFIGURAÇÕES'!$C$29,'01. CONFIGURAÇÕES'!$D$29))</f>
        <v/>
      </c>
      <c r="R51" s="54" t="str">
        <f t="shared" si="7"/>
        <v/>
      </c>
      <c r="S51" s="58" t="str">
        <f t="shared" si="8"/>
        <v/>
      </c>
    </row>
    <row r="52" spans="1:19" x14ac:dyDescent="0.25">
      <c r="A52" s="40">
        <v>46965</v>
      </c>
      <c r="B52" s="25" t="s">
        <v>533</v>
      </c>
      <c r="C52" s="55">
        <f t="shared" si="0"/>
        <v>0</v>
      </c>
      <c r="D52" s="55">
        <f t="shared" si="1"/>
        <v>0</v>
      </c>
      <c r="E52" s="54">
        <f t="shared" si="2"/>
        <v>0</v>
      </c>
      <c r="F52" s="30"/>
      <c r="G52" s="31"/>
      <c r="H52" s="54">
        <f>$E52*'01. CONFIGURAÇÕES'!$C$16</f>
        <v>0</v>
      </c>
      <c r="I52" s="54">
        <f>$E52*'01. CONFIGURAÇÕES'!$C$17</f>
        <v>0</v>
      </c>
      <c r="J52" s="54">
        <f t="shared" si="3"/>
        <v>0</v>
      </c>
      <c r="K52" s="32">
        <f>$A52+'01. CONFIGURAÇÕES'!$C$19</f>
        <v>46985</v>
      </c>
      <c r="L52" s="31"/>
      <c r="M52" s="53"/>
      <c r="N52" s="54" t="str">
        <f t="shared" si="4"/>
        <v/>
      </c>
      <c r="O52" s="13" t="str">
        <f t="shared" ca="1" si="5"/>
        <v/>
      </c>
      <c r="P52" s="29" t="str">
        <f t="shared" si="6"/>
        <v/>
      </c>
      <c r="Q52" s="55" t="str">
        <f>IF($E52=0,"",IF($B52='01. CONFIGURAÇÕES'!$C$8,'01. CONFIGURAÇÕES'!$C$29,'01. CONFIGURAÇÕES'!$D$29))</f>
        <v/>
      </c>
      <c r="R52" s="54" t="str">
        <f t="shared" si="7"/>
        <v/>
      </c>
      <c r="S52" s="58" t="str">
        <f t="shared" si="8"/>
        <v/>
      </c>
    </row>
    <row r="54" spans="1:19" x14ac:dyDescent="0.25">
      <c r="B54" s="39" t="s">
        <v>2860</v>
      </c>
      <c r="C54" s="64">
        <f>SUM(C5:C52)</f>
        <v>37390.020000000011</v>
      </c>
      <c r="D54" s="64">
        <f>SUM(D5:D52)</f>
        <v>0</v>
      </c>
      <c r="E54" s="64">
        <f>SUM(E5:E52)</f>
        <v>37390.020000000011</v>
      </c>
      <c r="H54" s="64">
        <f>SUM(H5:H52)</f>
        <v>8225.8044000000027</v>
      </c>
      <c r="J54" s="64">
        <f>SUM(J5:J52)</f>
        <v>29164.21560000001</v>
      </c>
      <c r="M54" s="64">
        <f>SUM(M5:M52)</f>
        <v>0</v>
      </c>
      <c r="Q54" s="64">
        <f>SUM(Q5:Q52)</f>
        <v>230982.81</v>
      </c>
      <c r="R54" s="64">
        <f>SUM(R5:R52)</f>
        <v>-201818.5944</v>
      </c>
      <c r="S54" s="66">
        <f>IF($C54=0,"",$R54/$C54)</f>
        <v>-5.3976594396044701</v>
      </c>
    </row>
  </sheetData>
  <autoFilter ref="A4:S4"/>
  <mergeCells count="14">
    <mergeCell ref="V12:AA12"/>
    <mergeCell ref="V4:AA4"/>
    <mergeCell ref="V6:AA6"/>
    <mergeCell ref="V2:AA2"/>
    <mergeCell ref="V7:AA7"/>
    <mergeCell ref="V1:AA1"/>
    <mergeCell ref="V11:AA11"/>
    <mergeCell ref="A2:S2"/>
    <mergeCell ref="V10:AA10"/>
    <mergeCell ref="V5:AA5"/>
    <mergeCell ref="A1:S1"/>
    <mergeCell ref="V9:AA9"/>
    <mergeCell ref="V8:AA8"/>
    <mergeCell ref="V3:AA3"/>
  </mergeCells>
  <conditionalFormatting sqref="N5:N52">
    <cfRule type="cellIs" dxfId="28" priority="4" operator="lessThan">
      <formula>-0.01</formula>
    </cfRule>
  </conditionalFormatting>
  <conditionalFormatting sqref="P5:P52">
    <cfRule type="cellIs" dxfId="27" priority="1" operator="equal">
      <formula>"EM ATRASO"</formula>
    </cfRule>
    <cfRule type="cellIs" dxfId="26" priority="2" operator="equal">
      <formula>"RECEBIDA"</formula>
    </cfRule>
  </conditionalFormatting>
  <conditionalFormatting sqref="R5:R52">
    <cfRule type="cellIs" dxfId="25" priority="3" operator="lessThan">
      <formula>0</formula>
    </cfRule>
  </conditionalFormatting>
  <printOptions horizontalCentered="1"/>
  <pageMargins left="0.3" right="0.3" top="0.5" bottom="0.5" header="0.5" footer="0.5"/>
  <pageSetup paperSize="9" fitToHeight="0" orientation="landscape"/>
  <headerFooter>
    <oddFooter>&amp;L&amp;8 WCR Saneamento — Controle Operacional SABESP&amp;R&amp;8 Página &amp;P de &amp;N</oddFooter>
  </headerFooter>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pageSetUpPr fitToPage="1"/>
  </sheetPr>
  <dimension ref="A1:S109"/>
  <sheetViews>
    <sheetView showGridLines="0" workbookViewId="0">
      <pane xSplit="1" ySplit="5" topLeftCell="B6" activePane="bottomRight" state="frozen"/>
      <selection pane="topRight"/>
      <selection pane="bottomLeft"/>
      <selection pane="bottomRight" sqref="A1:J1"/>
    </sheetView>
  </sheetViews>
  <sheetFormatPr defaultRowHeight="15" x14ac:dyDescent="0.25"/>
  <cols>
    <col min="1" max="1" width="3" style="109" customWidth="1"/>
    <col min="2" max="2" width="44" style="109" customWidth="1"/>
    <col min="3" max="5" width="16" style="109" customWidth="1"/>
    <col min="6" max="6" width="18" style="109" customWidth="1"/>
    <col min="7" max="7" width="44" style="109" customWidth="1"/>
    <col min="8" max="9" width="15" style="109" customWidth="1"/>
    <col min="10" max="10" width="16" style="109" customWidth="1"/>
    <col min="11" max="11" width="17" style="109" customWidth="1"/>
    <col min="14" max="19" width="10.42578125" style="109" customWidth="1"/>
  </cols>
  <sheetData>
    <row r="1" spans="1:19" ht="26.1" customHeight="1" x14ac:dyDescent="0.25">
      <c r="A1" s="151" t="s">
        <v>2861</v>
      </c>
      <c r="B1" s="149"/>
      <c r="C1" s="149"/>
      <c r="D1" s="149"/>
      <c r="E1" s="149"/>
      <c r="F1" s="149"/>
      <c r="G1" s="149"/>
      <c r="H1" s="149"/>
      <c r="I1" s="149"/>
      <c r="J1" s="149"/>
      <c r="N1" s="154" t="s">
        <v>280</v>
      </c>
      <c r="O1" s="155"/>
      <c r="P1" s="155"/>
      <c r="Q1" s="155"/>
      <c r="R1" s="155"/>
      <c r="S1" s="156"/>
    </row>
    <row r="2" spans="1:19" ht="14.1" customHeight="1" x14ac:dyDescent="0.25">
      <c r="A2" s="153" t="s">
        <v>2862</v>
      </c>
      <c r="B2" s="149"/>
      <c r="C2" s="149"/>
      <c r="D2" s="149"/>
      <c r="E2" s="149"/>
      <c r="F2" s="149"/>
      <c r="G2" s="149"/>
      <c r="H2" s="149"/>
      <c r="I2" s="149"/>
      <c r="J2" s="149"/>
      <c r="N2" s="158" t="s">
        <v>209</v>
      </c>
      <c r="O2" s="155"/>
      <c r="P2" s="155"/>
      <c r="Q2" s="155"/>
      <c r="R2" s="155"/>
      <c r="S2" s="156"/>
    </row>
    <row r="3" spans="1:19" x14ac:dyDescent="0.25">
      <c r="N3" s="157" t="s">
        <v>210</v>
      </c>
      <c r="O3" s="155"/>
      <c r="P3" s="155"/>
      <c r="Q3" s="155"/>
      <c r="R3" s="155"/>
      <c r="S3" s="156"/>
    </row>
    <row r="4" spans="1:19" x14ac:dyDescent="0.25">
      <c r="B4" s="23" t="s">
        <v>2863</v>
      </c>
      <c r="C4" s="41">
        <v>46266</v>
      </c>
      <c r="D4" s="42" t="s">
        <v>2864</v>
      </c>
      <c r="N4" s="158" t="s">
        <v>211</v>
      </c>
      <c r="O4" s="155"/>
      <c r="P4" s="155"/>
      <c r="Q4" s="155"/>
      <c r="R4" s="155"/>
      <c r="S4" s="156"/>
    </row>
    <row r="5" spans="1:19" x14ac:dyDescent="0.25">
      <c r="N5" s="157" t="s">
        <v>212</v>
      </c>
      <c r="O5" s="155"/>
      <c r="P5" s="155"/>
      <c r="Q5" s="155"/>
      <c r="R5" s="155"/>
      <c r="S5" s="156"/>
    </row>
    <row r="6" spans="1:19" x14ac:dyDescent="0.25">
      <c r="A6" s="150" t="s">
        <v>2865</v>
      </c>
      <c r="B6" s="149"/>
      <c r="C6" s="149"/>
      <c r="D6" s="149"/>
      <c r="E6" s="149"/>
      <c r="F6" s="149"/>
      <c r="G6" s="149"/>
      <c r="H6" s="149"/>
      <c r="N6" s="157" t="s">
        <v>213</v>
      </c>
      <c r="O6" s="155"/>
      <c r="P6" s="155"/>
      <c r="Q6" s="155"/>
      <c r="R6" s="155"/>
      <c r="S6" s="156"/>
    </row>
    <row r="7" spans="1:19" x14ac:dyDescent="0.25">
      <c r="A7" s="46"/>
      <c r="B7" s="46" t="s">
        <v>2866</v>
      </c>
      <c r="C7" s="46" t="s">
        <v>529</v>
      </c>
      <c r="D7" s="46" t="s">
        <v>533</v>
      </c>
      <c r="E7" s="46" t="s">
        <v>2867</v>
      </c>
      <c r="F7" s="46" t="s">
        <v>2868</v>
      </c>
      <c r="G7" s="46" t="s">
        <v>2869</v>
      </c>
      <c r="N7" s="157" t="s">
        <v>214</v>
      </c>
      <c r="O7" s="155"/>
      <c r="P7" s="155"/>
      <c r="Q7" s="155"/>
      <c r="R7" s="155"/>
      <c r="S7" s="156"/>
    </row>
    <row r="8" spans="1:19" x14ac:dyDescent="0.25">
      <c r="B8" s="93" t="s">
        <v>2870</v>
      </c>
      <c r="C8" s="13">
        <f>COUNTIFS(CAD_CONTR,"BERTIOGA",CAD_DTSOL,"&gt;="&amp;$C$4,CAD_DTSOL,"&lt;="&amp;EOMONTH($C$4,0))</f>
        <v>44</v>
      </c>
      <c r="D8" s="13">
        <f>COUNTIFS(CAD_CONTR,"SANTOS",CAD_DTSOL,"&gt;="&amp;$C$4,CAD_DTSOL,"&lt;="&amp;EOMONTH($C$4,0))</f>
        <v>0</v>
      </c>
      <c r="E8" s="13">
        <f>C8+D8</f>
        <v>44</v>
      </c>
      <c r="F8" s="12" t="s">
        <v>2871</v>
      </c>
      <c r="G8" s="94" t="s">
        <v>2872</v>
      </c>
    </row>
    <row r="9" spans="1:19" x14ac:dyDescent="0.25">
      <c r="B9" s="93" t="s">
        <v>2873</v>
      </c>
      <c r="C9" s="13">
        <f>COUNTIFS(PROG_CONTR,"BERTIOGA",PROG_DATA,"&gt;="&amp;$C$4,PROG_DATA,"&lt;="&amp;EOMONTH($C$4,0))</f>
        <v>44</v>
      </c>
      <c r="D9" s="13">
        <f>COUNTIFS(PROG_CONTR,"SANTOS",PROG_DATA,"&gt;="&amp;$C$4,PROG_DATA,"&lt;="&amp;EOMONTH($C$4,0))</f>
        <v>0</v>
      </c>
      <c r="E9" s="13">
        <f>C9+D9</f>
        <v>44</v>
      </c>
      <c r="F9" s="12" t="s">
        <v>2871</v>
      </c>
      <c r="G9" s="94" t="s">
        <v>2874</v>
      </c>
    </row>
    <row r="10" spans="1:19" x14ac:dyDescent="0.25">
      <c r="B10" s="93" t="s">
        <v>2875</v>
      </c>
      <c r="C10" s="13">
        <f>COUNTIFS(OS_CONTR,"BERTIOGA",OS_FIM,"&gt;="&amp;$C$4,OS_FIM,"&lt;="&amp;EOMONTH($C$4,0))</f>
        <v>29</v>
      </c>
      <c r="D10" s="13">
        <f>COUNTIFS(OS_CONTR,"SANTOS",OS_FIM,"&gt;="&amp;$C$4,OS_FIM,"&lt;="&amp;EOMONTH($C$4,0))</f>
        <v>0</v>
      </c>
      <c r="E10" s="13">
        <f>C10+D10</f>
        <v>29</v>
      </c>
      <c r="F10" s="12" t="str">
        <f>'01. CONFIGURAÇÕES'!$C$35&amp;" / "&amp;'01. CONFIGURAÇÕES'!$D$35</f>
        <v>1119,2507317644 / 313,895013958801</v>
      </c>
      <c r="G10" s="94" t="s">
        <v>2876</v>
      </c>
    </row>
    <row r="11" spans="1:19" ht="24" customHeight="1" x14ac:dyDescent="0.25">
      <c r="B11" s="93" t="s">
        <v>2877</v>
      </c>
      <c r="C11" s="58">
        <f>IF(C9=0,"",C10/C9)</f>
        <v>0.65909090909090906</v>
      </c>
      <c r="D11" s="58" t="str">
        <f>IF(D9=0,"",D10/D9)</f>
        <v/>
      </c>
      <c r="E11" s="58">
        <f>IF(E9=0,"",E10/E9)</f>
        <v>0.65909090909090906</v>
      </c>
      <c r="F11" s="12" t="s">
        <v>2878</v>
      </c>
      <c r="G11" s="94" t="s">
        <v>2879</v>
      </c>
    </row>
    <row r="12" spans="1:19" ht="24" customHeight="1" x14ac:dyDescent="0.25">
      <c r="B12" s="93" t="s">
        <v>2880</v>
      </c>
      <c r="C12" s="58">
        <f ca="1">IF(C10=0,"",COUNTIFS(CAD_CONTR,"BERTIOGA",CAD_SITPZ,"NO PRAZO",CAD_DTEXEC,"&gt;="&amp;$C$4,CAD_DTEXEC,"&lt;="&amp;EOMONTH($C$4,0))/C10)</f>
        <v>0.96551724137931039</v>
      </c>
      <c r="D12" s="58" t="str">
        <f>IF(D10=0,"",COUNTIFS(CAD_CONTR,"SANTOS",CAD_SITPZ,"NO PRAZO",CAD_DTEXEC,"&gt;="&amp;$C$4,CAD_DTEXEC,"&lt;="&amp;EOMONTH($C$4,0))/D10)</f>
        <v/>
      </c>
      <c r="E12" s="58">
        <f ca="1">IF(E10=0,"",(IF(C12="",0,C12)*C10+IF(D12="",0,D12)*D10)/E10)</f>
        <v>0.96551724137931039</v>
      </c>
      <c r="F12" s="12" t="s">
        <v>2881</v>
      </c>
      <c r="G12" s="94" t="s">
        <v>2882</v>
      </c>
    </row>
    <row r="13" spans="1:19" ht="24" customHeight="1" x14ac:dyDescent="0.25">
      <c r="B13" s="93" t="s">
        <v>2883</v>
      </c>
      <c r="C13" s="13">
        <f>COUNTIFS(CAD_CONTR,"BERTIOGA",CAD_STATUS,"CADASTRADO")+COUNTIFS(CAD_CONTR,"BERTIOGA",CAD_STATUS,"PROGRAMADO")+COUNTIFS(CAD_CONTR,"BERTIOGA",CAD_STATUS,"EM EXECUÇÃO")</f>
        <v>25</v>
      </c>
      <c r="D13" s="13">
        <f>COUNTIFS(CAD_CONTR,"SANTOS",CAD_STATUS,"CADASTRADO")+COUNTIFS(CAD_CONTR,"SANTOS",CAD_STATUS,"PROGRAMADO")+COUNTIFS(CAD_CONTR,"SANTOS",CAD_STATUS,"EM EXECUÇÃO")</f>
        <v>0</v>
      </c>
      <c r="E13" s="13">
        <f>C13+D13</f>
        <v>25</v>
      </c>
      <c r="F13" s="12" t="s">
        <v>2871</v>
      </c>
      <c r="G13" s="94" t="s">
        <v>2884</v>
      </c>
    </row>
    <row r="14" spans="1:19" x14ac:dyDescent="0.25">
      <c r="B14" s="93" t="s">
        <v>2885</v>
      </c>
      <c r="C14" s="13">
        <f ca="1">COUNTIFS(CAD_CONTR,"BERTIOGA",CAD_SITPZ,"VENCIDO")</f>
        <v>2</v>
      </c>
      <c r="D14" s="13">
        <f>COUNTIFS(CAD_CONTR,"SANTOS",CAD_SITPZ,"VENCIDO")</f>
        <v>0</v>
      </c>
      <c r="E14" s="13">
        <f ca="1">C14+D14</f>
        <v>2</v>
      </c>
      <c r="F14" s="12" t="s">
        <v>2886</v>
      </c>
      <c r="G14" s="94" t="s">
        <v>2887</v>
      </c>
    </row>
    <row r="16" spans="1:19" x14ac:dyDescent="0.25">
      <c r="B16" s="93" t="s">
        <v>2888</v>
      </c>
      <c r="C16" s="51">
        <f>SUMIFS(MED_VLR,MED_CONTR,"BERTIOGA",MED_MES,EOMONTH($C$4,0))</f>
        <v>37390.020000000011</v>
      </c>
      <c r="D16" s="51">
        <f>SUMIFS(MED_VLR,MED_CONTR,"SANTOS",MED_MES,EOMONTH($C$4,0))</f>
        <v>0</v>
      </c>
      <c r="E16" s="51">
        <f>C16+D16</f>
        <v>37390.020000000011</v>
      </c>
      <c r="F16" s="12"/>
      <c r="G16" s="94" t="s">
        <v>2889</v>
      </c>
    </row>
    <row r="17" spans="2:7" x14ac:dyDescent="0.25">
      <c r="B17" s="93" t="s">
        <v>2890</v>
      </c>
      <c r="C17" s="51">
        <f>'01. CONFIGURAÇÕES'!$C$34</f>
        <v>355358.16923076921</v>
      </c>
      <c r="D17" s="51">
        <f>'01. CONFIGURAÇÕES'!$D$34</f>
        <v>420252.06153846148</v>
      </c>
      <c r="E17" s="51">
        <f>C17+D17</f>
        <v>775610.23076923075</v>
      </c>
      <c r="F17" s="12"/>
      <c r="G17" s="94" t="s">
        <v>2891</v>
      </c>
    </row>
    <row r="18" spans="2:7" x14ac:dyDescent="0.25">
      <c r="B18" s="93" t="s">
        <v>2892</v>
      </c>
      <c r="C18" s="58">
        <f>IF(C17=0,"",C16/C17)</f>
        <v>0.10521784283427849</v>
      </c>
      <c r="D18" s="58">
        <f>IF(D17=0,"",D16/D17)</f>
        <v>0</v>
      </c>
      <c r="E18" s="58">
        <f>IF(E17=0,"",E16/E17)</f>
        <v>4.82072289878352E-2</v>
      </c>
      <c r="F18" s="12" t="s">
        <v>2893</v>
      </c>
      <c r="G18" s="94" t="s">
        <v>2894</v>
      </c>
    </row>
    <row r="19" spans="2:7" x14ac:dyDescent="0.25">
      <c r="B19" s="93" t="s">
        <v>2895</v>
      </c>
      <c r="C19" s="51">
        <f>IF(C10=0,"",C16/C10)</f>
        <v>1289.3110344827589</v>
      </c>
      <c r="D19" s="51" t="str">
        <f>IF(D10=0,"",D16/D10)</f>
        <v/>
      </c>
      <c r="E19" s="51">
        <f>IF(E10=0,"",E16/E10)</f>
        <v>1289.3110344827589</v>
      </c>
      <c r="F19" s="12" t="str">
        <f>'01. CONFIGURAÇÕES'!$C$32&amp;" / "&amp;'01. CONFIGURAÇÕES'!$D$32</f>
        <v>317,496481481481 / 1338,83</v>
      </c>
      <c r="G19" s="94" t="s">
        <v>2896</v>
      </c>
    </row>
    <row r="20" spans="2:7" x14ac:dyDescent="0.25">
      <c r="B20" s="93" t="s">
        <v>2897</v>
      </c>
      <c r="C20" s="51">
        <f>SUMIFS(MED_GLOSA,MED_CONTR,"BERTIOGA",MED_MES,EOMONTH($C$4,0))</f>
        <v>0</v>
      </c>
      <c r="D20" s="51">
        <f>SUMIFS(MED_GLOSA,MED_CONTR,"SANTOS",MED_MES,EOMONTH($C$4,0))</f>
        <v>0</v>
      </c>
      <c r="E20" s="51">
        <f>C20+D20</f>
        <v>0</v>
      </c>
      <c r="F20" s="12" t="s">
        <v>2886</v>
      </c>
      <c r="G20" s="94" t="s">
        <v>2898</v>
      </c>
    </row>
    <row r="21" spans="2:7" ht="24" customHeight="1" x14ac:dyDescent="0.25">
      <c r="B21" s="93" t="s">
        <v>2899</v>
      </c>
      <c r="C21" s="58">
        <f>IF(C16=0,"",C20/C16)</f>
        <v>0</v>
      </c>
      <c r="D21" s="58" t="str">
        <f>IF(D16=0,"",D20/D16)</f>
        <v/>
      </c>
      <c r="E21" s="58">
        <f>IF(E16=0,"",E20/E16)</f>
        <v>0</v>
      </c>
      <c r="F21" s="12" t="s">
        <v>2900</v>
      </c>
      <c r="G21" s="94" t="s">
        <v>2901</v>
      </c>
    </row>
    <row r="23" spans="2:7" x14ac:dyDescent="0.25">
      <c r="B23" s="93" t="s">
        <v>2902</v>
      </c>
      <c r="C23" s="51">
        <f>'01. CONFIGURAÇÕES'!$C$29</f>
        <v>230982.81</v>
      </c>
      <c r="D23" s="51">
        <f>'01. CONFIGURAÇÕES'!$D$29</f>
        <v>273163.83999999997</v>
      </c>
      <c r="E23" s="51">
        <f>C23+D23</f>
        <v>504146.64999999997</v>
      </c>
      <c r="F23" s="12"/>
      <c r="G23" s="94" t="s">
        <v>2903</v>
      </c>
    </row>
    <row r="24" spans="2:7" x14ac:dyDescent="0.25">
      <c r="B24" s="93" t="s">
        <v>2904</v>
      </c>
      <c r="C24" s="51">
        <f>C16*(1-'01. CONFIGURAÇÕES'!$C$16)-C23</f>
        <v>-201818.5944</v>
      </c>
      <c r="D24" s="51">
        <f>D16*(1-'01. CONFIGURAÇÕES'!$C$16)-D23</f>
        <v>-273163.83999999997</v>
      </c>
      <c r="E24" s="51">
        <f>C24+D24</f>
        <v>-474982.43439999997</v>
      </c>
      <c r="F24" s="12" t="s">
        <v>2905</v>
      </c>
      <c r="G24" s="94"/>
    </row>
    <row r="25" spans="2:7" x14ac:dyDescent="0.25">
      <c r="B25" s="93" t="s">
        <v>2906</v>
      </c>
      <c r="C25" s="58">
        <f>IF(C16=0,"",C24/C16)</f>
        <v>-5.3976594396044701</v>
      </c>
      <c r="D25" s="58" t="str">
        <f>IF(D16=0,"",D24/D16)</f>
        <v/>
      </c>
      <c r="E25" s="58">
        <f>IF(E16=0,"",E24/E16)</f>
        <v>-12.703454943324443</v>
      </c>
      <c r="F25" s="12" t="s">
        <v>2907</v>
      </c>
      <c r="G25" s="94" t="s">
        <v>2908</v>
      </c>
    </row>
    <row r="27" spans="2:7" x14ac:dyDescent="0.25">
      <c r="B27" s="93" t="s">
        <v>2909</v>
      </c>
      <c r="C27" s="13">
        <f>SUMIFS(APT_HH,APT_CONTR,"BERTIOGA",APT_DATA,"&gt;="&amp;$C$4,APT_DATA,"&lt;="&amp;EOMONTH($C$4,0))</f>
        <v>792</v>
      </c>
      <c r="D27" s="13">
        <f>SUMIFS(APT_HH,APT_CONTR,"SANTOS",APT_DATA,"&gt;="&amp;$C$4,APT_DATA,"&lt;="&amp;EOMONTH($C$4,0))</f>
        <v>0</v>
      </c>
      <c r="E27" s="13">
        <f>C27+D27</f>
        <v>792</v>
      </c>
      <c r="F27" s="12"/>
      <c r="G27" s="94"/>
    </row>
    <row r="28" spans="2:7" x14ac:dyDescent="0.25">
      <c r="B28" s="93" t="s">
        <v>2910</v>
      </c>
      <c r="C28" s="51">
        <f>IF(C27=0,"",C16/C27)</f>
        <v>47.209621212121228</v>
      </c>
      <c r="D28" s="51" t="str">
        <f>IF(D27=0,"",D16/D27)</f>
        <v/>
      </c>
      <c r="E28" s="51">
        <f>IF(E27=0,"",E16/E27)</f>
        <v>47.209621212121228</v>
      </c>
      <c r="F28" s="12"/>
      <c r="G28" s="94" t="s">
        <v>2911</v>
      </c>
    </row>
    <row r="29" spans="2:7" x14ac:dyDescent="0.25">
      <c r="B29" s="93" t="s">
        <v>2912</v>
      </c>
      <c r="C29" s="52">
        <f>IFERROR(AVERAGEIFS(APT_PESSOAS,APT_CONTR,"BERTIOGA",APT_DATA,"&gt;="&amp;$C$4,APT_DATA,"&lt;="&amp;EOMONTH($C$4,0)),"")</f>
        <v>9</v>
      </c>
      <c r="D29" s="52" t="str">
        <f>IFERROR(AVERAGEIFS(APT_PESSOAS,APT_CONTR,"SANTOS",APT_DATA,"&gt;="&amp;$C$4,APT_DATA,"&lt;="&amp;EOMONTH($C$4,0)),"")</f>
        <v/>
      </c>
      <c r="E29" s="52"/>
      <c r="F29" s="12"/>
      <c r="G29" s="94" t="s">
        <v>2913</v>
      </c>
    </row>
    <row r="30" spans="2:7" x14ac:dyDescent="0.25">
      <c r="B30" s="93" t="s">
        <v>2914</v>
      </c>
      <c r="C30" s="52">
        <f>SUMIFS(APT_RETRO,APT_CONTR,"BERTIOGA",APT_DATA,"&gt;="&amp;$C$4,APT_DATA,"&lt;="&amp;EOMONTH($C$4,0))</f>
        <v>56</v>
      </c>
      <c r="D30" s="52">
        <f>SUMIFS(APT_RETRO,APT_CONTR,"SANTOS",APT_DATA,"&gt;="&amp;$C$4,APT_DATA,"&lt;="&amp;EOMONTH($C$4,0))</f>
        <v>0</v>
      </c>
      <c r="E30" s="52">
        <f>C30+D30</f>
        <v>56</v>
      </c>
      <c r="F30" s="12"/>
      <c r="G30" s="94" t="s">
        <v>2915</v>
      </c>
    </row>
    <row r="32" spans="2:7" x14ac:dyDescent="0.25">
      <c r="B32" s="93" t="s">
        <v>2916</v>
      </c>
      <c r="C32" s="13">
        <f>COUNTIFS(OC_CONTR,"BERTIOGA",OC_STATUS,"ABERTA")</f>
        <v>0</v>
      </c>
      <c r="D32" s="13">
        <f>COUNTIFS(OC_CONTR,"SANTOS",OC_STATUS,"ABERTA")</f>
        <v>0</v>
      </c>
      <c r="E32" s="13">
        <f>C32+D32</f>
        <v>0</v>
      </c>
      <c r="F32" s="12" t="s">
        <v>2886</v>
      </c>
      <c r="G32" s="94"/>
    </row>
    <row r="33" spans="1:11" x14ac:dyDescent="0.25">
      <c r="B33" s="93" t="s">
        <v>2917</v>
      </c>
      <c r="C33" s="13">
        <f>COUNTIFS(OC_CONTR,"BERTIOGA",OC_TIPO,"Retrabalho",OC_DATA,"&gt;="&amp;$C$4,OC_DATA,"&lt;="&amp;EOMONTH($C$4,0))</f>
        <v>0</v>
      </c>
      <c r="D33" s="13">
        <f>COUNTIFS(OC_CONTR,"SANTOS",OC_TIPO,"Retrabalho",OC_DATA,"&gt;="&amp;$C$4,OC_DATA,"&lt;="&amp;EOMONTH($C$4,0))</f>
        <v>0</v>
      </c>
      <c r="E33" s="13">
        <f>C33+D33</f>
        <v>0</v>
      </c>
      <c r="F33" s="12" t="s">
        <v>2886</v>
      </c>
      <c r="G33" s="94" t="s">
        <v>2918</v>
      </c>
    </row>
    <row r="36" spans="1:11" x14ac:dyDescent="0.25">
      <c r="A36" s="150" t="s">
        <v>2919</v>
      </c>
      <c r="B36" s="149"/>
      <c r="C36" s="149"/>
      <c r="D36" s="149"/>
      <c r="E36" s="149"/>
      <c r="F36" s="149"/>
      <c r="G36" s="149"/>
      <c r="H36" s="149"/>
      <c r="I36" s="149"/>
      <c r="J36" s="149"/>
    </row>
    <row r="37" spans="1:11" x14ac:dyDescent="0.25">
      <c r="A37" s="46"/>
      <c r="B37" s="46" t="s">
        <v>2843</v>
      </c>
      <c r="C37" s="46" t="s">
        <v>2920</v>
      </c>
      <c r="D37" s="46" t="s">
        <v>2921</v>
      </c>
      <c r="E37" s="46" t="s">
        <v>2922</v>
      </c>
      <c r="F37" s="46" t="s">
        <v>2923</v>
      </c>
      <c r="G37" s="46" t="s">
        <v>2924</v>
      </c>
      <c r="H37" s="46" t="s">
        <v>2925</v>
      </c>
      <c r="I37" s="46" t="s">
        <v>2926</v>
      </c>
      <c r="J37" s="46" t="s">
        <v>2927</v>
      </c>
      <c r="K37" s="46" t="s">
        <v>2928</v>
      </c>
    </row>
    <row r="38" spans="1:11" x14ac:dyDescent="0.25">
      <c r="B38" s="40">
        <v>46265</v>
      </c>
      <c r="C38" s="13">
        <f t="shared" ref="C38:C52" si="0">COUNTIFS(OS_CONTR,"BERTIOGA",OS_FIM,"&gt;="&amp;DATE(YEAR($B38),MONTH($B38),1),OS_FIM,"&lt;="&amp;$B38)</f>
        <v>0</v>
      </c>
      <c r="D38" s="13">
        <f t="shared" ref="D38:D52" si="1">COUNTIFS(OS_CONTR,"SANTOS",OS_FIM,"&gt;="&amp;DATE(YEAR($B38),MONTH($B38),1),OS_FIM,"&lt;="&amp;$B38)</f>
        <v>0</v>
      </c>
      <c r="E38" s="67">
        <f t="shared" ref="E38:E52" si="2">SUMIFS(MED_VLR,MED_CONTR,"BERTIOGA",MED_MES,$B38)</f>
        <v>0</v>
      </c>
      <c r="F38" s="67">
        <f t="shared" ref="F38:F52" si="3">SUMIFS(MED_VLR,MED_CONTR,"SANTOS",MED_MES,$B38)</f>
        <v>0</v>
      </c>
      <c r="G38" s="67">
        <f t="shared" ref="G38:G52" si="4">E38+F38</f>
        <v>0</v>
      </c>
      <c r="H38" s="67">
        <f>'01. CONFIGURAÇÕES'!$C$34+'01. CONFIGURAÇÕES'!$D$34</f>
        <v>775610.23076923075</v>
      </c>
      <c r="I38" s="67">
        <f>IF($G38=0,0,'01. CONFIGURAÇÕES'!$C$29+'01. CONFIGURAÇÕES'!$D$29)</f>
        <v>0</v>
      </c>
      <c r="J38" s="67">
        <f>$G38*(1-'01. CONFIGURAÇÕES'!$C$16)-$I38</f>
        <v>0</v>
      </c>
      <c r="K38" s="67">
        <f>J38</f>
        <v>0</v>
      </c>
    </row>
    <row r="39" spans="1:11" x14ac:dyDescent="0.25">
      <c r="B39" s="40">
        <v>46295</v>
      </c>
      <c r="C39" s="13">
        <f t="shared" si="0"/>
        <v>29</v>
      </c>
      <c r="D39" s="13">
        <f t="shared" si="1"/>
        <v>0</v>
      </c>
      <c r="E39" s="67">
        <f t="shared" si="2"/>
        <v>37390.020000000011</v>
      </c>
      <c r="F39" s="67">
        <f t="shared" si="3"/>
        <v>0</v>
      </c>
      <c r="G39" s="67">
        <f t="shared" si="4"/>
        <v>37390.020000000011</v>
      </c>
      <c r="H39" s="67">
        <f>'01. CONFIGURAÇÕES'!$C$34+'01. CONFIGURAÇÕES'!$D$34</f>
        <v>775610.23076923075</v>
      </c>
      <c r="I39" s="67">
        <f>IF($G39=0,0,'01. CONFIGURAÇÕES'!$C$29+'01. CONFIGURAÇÕES'!$D$29)</f>
        <v>504146.64999999997</v>
      </c>
      <c r="J39" s="67">
        <f>$G39*(1-'01. CONFIGURAÇÕES'!$C$16)-$I39</f>
        <v>-474982.43439999997</v>
      </c>
      <c r="K39" s="67">
        <f t="shared" ref="K39:K52" si="5">K38+J39</f>
        <v>-474982.43439999997</v>
      </c>
    </row>
    <row r="40" spans="1:11" x14ac:dyDescent="0.25">
      <c r="B40" s="40">
        <v>46326</v>
      </c>
      <c r="C40" s="13">
        <f t="shared" si="0"/>
        <v>0</v>
      </c>
      <c r="D40" s="13">
        <f t="shared" si="1"/>
        <v>0</v>
      </c>
      <c r="E40" s="67">
        <f t="shared" si="2"/>
        <v>0</v>
      </c>
      <c r="F40" s="67">
        <f t="shared" si="3"/>
        <v>0</v>
      </c>
      <c r="G40" s="67">
        <f t="shared" si="4"/>
        <v>0</v>
      </c>
      <c r="H40" s="67">
        <f>'01. CONFIGURAÇÕES'!$C$34+'01. CONFIGURAÇÕES'!$D$34</f>
        <v>775610.23076923075</v>
      </c>
      <c r="I40" s="67">
        <f>IF($G40=0,0,'01. CONFIGURAÇÕES'!$C$29+'01. CONFIGURAÇÕES'!$D$29)</f>
        <v>0</v>
      </c>
      <c r="J40" s="67">
        <f>$G40*(1-'01. CONFIGURAÇÕES'!$C$16)-$I40</f>
        <v>0</v>
      </c>
      <c r="K40" s="67">
        <f t="shared" si="5"/>
        <v>-474982.43439999997</v>
      </c>
    </row>
    <row r="41" spans="1:11" x14ac:dyDescent="0.25">
      <c r="B41" s="40">
        <v>46356</v>
      </c>
      <c r="C41" s="13">
        <f t="shared" si="0"/>
        <v>0</v>
      </c>
      <c r="D41" s="13">
        <f t="shared" si="1"/>
        <v>0</v>
      </c>
      <c r="E41" s="67">
        <f t="shared" si="2"/>
        <v>0</v>
      </c>
      <c r="F41" s="67">
        <f t="shared" si="3"/>
        <v>0</v>
      </c>
      <c r="G41" s="67">
        <f t="shared" si="4"/>
        <v>0</v>
      </c>
      <c r="H41" s="67">
        <f>'01. CONFIGURAÇÕES'!$C$34+'01. CONFIGURAÇÕES'!$D$34</f>
        <v>775610.23076923075</v>
      </c>
      <c r="I41" s="67">
        <f>IF($G41=0,0,'01. CONFIGURAÇÕES'!$C$29+'01. CONFIGURAÇÕES'!$D$29)</f>
        <v>0</v>
      </c>
      <c r="J41" s="67">
        <f>$G41*(1-'01. CONFIGURAÇÕES'!$C$16)-$I41</f>
        <v>0</v>
      </c>
      <c r="K41" s="67">
        <f t="shared" si="5"/>
        <v>-474982.43439999997</v>
      </c>
    </row>
    <row r="42" spans="1:11" x14ac:dyDescent="0.25">
      <c r="B42" s="40">
        <v>46387</v>
      </c>
      <c r="C42" s="13">
        <f t="shared" si="0"/>
        <v>0</v>
      </c>
      <c r="D42" s="13">
        <f t="shared" si="1"/>
        <v>0</v>
      </c>
      <c r="E42" s="67">
        <f t="shared" si="2"/>
        <v>0</v>
      </c>
      <c r="F42" s="67">
        <f t="shared" si="3"/>
        <v>0</v>
      </c>
      <c r="G42" s="67">
        <f t="shared" si="4"/>
        <v>0</v>
      </c>
      <c r="H42" s="67">
        <f>'01. CONFIGURAÇÕES'!$C$34+'01. CONFIGURAÇÕES'!$D$34</f>
        <v>775610.23076923075</v>
      </c>
      <c r="I42" s="67">
        <f>IF($G42=0,0,'01. CONFIGURAÇÕES'!$C$29+'01. CONFIGURAÇÕES'!$D$29)</f>
        <v>0</v>
      </c>
      <c r="J42" s="67">
        <f>$G42*(1-'01. CONFIGURAÇÕES'!$C$16)-$I42</f>
        <v>0</v>
      </c>
      <c r="K42" s="67">
        <f t="shared" si="5"/>
        <v>-474982.43439999997</v>
      </c>
    </row>
    <row r="43" spans="1:11" x14ac:dyDescent="0.25">
      <c r="B43" s="40">
        <v>46418</v>
      </c>
      <c r="C43" s="13">
        <f t="shared" si="0"/>
        <v>0</v>
      </c>
      <c r="D43" s="13">
        <f t="shared" si="1"/>
        <v>0</v>
      </c>
      <c r="E43" s="67">
        <f t="shared" si="2"/>
        <v>0</v>
      </c>
      <c r="F43" s="67">
        <f t="shared" si="3"/>
        <v>0</v>
      </c>
      <c r="G43" s="67">
        <f t="shared" si="4"/>
        <v>0</v>
      </c>
      <c r="H43" s="67">
        <f>'01. CONFIGURAÇÕES'!$C$34+'01. CONFIGURAÇÕES'!$D$34</f>
        <v>775610.23076923075</v>
      </c>
      <c r="I43" s="67">
        <f>IF($G43=0,0,'01. CONFIGURAÇÕES'!$C$29+'01. CONFIGURAÇÕES'!$D$29)</f>
        <v>0</v>
      </c>
      <c r="J43" s="67">
        <f>$G43*(1-'01. CONFIGURAÇÕES'!$C$16)-$I43</f>
        <v>0</v>
      </c>
      <c r="K43" s="67">
        <f t="shared" si="5"/>
        <v>-474982.43439999997</v>
      </c>
    </row>
    <row r="44" spans="1:11" x14ac:dyDescent="0.25">
      <c r="B44" s="40">
        <v>46446</v>
      </c>
      <c r="C44" s="13">
        <f t="shared" si="0"/>
        <v>0</v>
      </c>
      <c r="D44" s="13">
        <f t="shared" si="1"/>
        <v>0</v>
      </c>
      <c r="E44" s="67">
        <f t="shared" si="2"/>
        <v>0</v>
      </c>
      <c r="F44" s="67">
        <f t="shared" si="3"/>
        <v>0</v>
      </c>
      <c r="G44" s="67">
        <f t="shared" si="4"/>
        <v>0</v>
      </c>
      <c r="H44" s="67">
        <f>'01. CONFIGURAÇÕES'!$C$34+'01. CONFIGURAÇÕES'!$D$34</f>
        <v>775610.23076923075</v>
      </c>
      <c r="I44" s="67">
        <f>IF($G44=0,0,'01. CONFIGURAÇÕES'!$C$29+'01. CONFIGURAÇÕES'!$D$29)</f>
        <v>0</v>
      </c>
      <c r="J44" s="67">
        <f>$G44*(1-'01. CONFIGURAÇÕES'!$C$16)-$I44</f>
        <v>0</v>
      </c>
      <c r="K44" s="67">
        <f t="shared" si="5"/>
        <v>-474982.43439999997</v>
      </c>
    </row>
    <row r="45" spans="1:11" x14ac:dyDescent="0.25">
      <c r="B45" s="40">
        <v>46477</v>
      </c>
      <c r="C45" s="13">
        <f t="shared" si="0"/>
        <v>0</v>
      </c>
      <c r="D45" s="13">
        <f t="shared" si="1"/>
        <v>0</v>
      </c>
      <c r="E45" s="67">
        <f t="shared" si="2"/>
        <v>0</v>
      </c>
      <c r="F45" s="67">
        <f t="shared" si="3"/>
        <v>0</v>
      </c>
      <c r="G45" s="67">
        <f t="shared" si="4"/>
        <v>0</v>
      </c>
      <c r="H45" s="67">
        <f>'01. CONFIGURAÇÕES'!$C$34+'01. CONFIGURAÇÕES'!$D$34</f>
        <v>775610.23076923075</v>
      </c>
      <c r="I45" s="67">
        <f>IF($G45=0,0,'01. CONFIGURAÇÕES'!$C$29+'01. CONFIGURAÇÕES'!$D$29)</f>
        <v>0</v>
      </c>
      <c r="J45" s="67">
        <f>$G45*(1-'01. CONFIGURAÇÕES'!$C$16)-$I45</f>
        <v>0</v>
      </c>
      <c r="K45" s="67">
        <f t="shared" si="5"/>
        <v>-474982.43439999997</v>
      </c>
    </row>
    <row r="46" spans="1:11" x14ac:dyDescent="0.25">
      <c r="B46" s="40">
        <v>46507</v>
      </c>
      <c r="C46" s="13">
        <f t="shared" si="0"/>
        <v>0</v>
      </c>
      <c r="D46" s="13">
        <f t="shared" si="1"/>
        <v>0</v>
      </c>
      <c r="E46" s="67">
        <f t="shared" si="2"/>
        <v>0</v>
      </c>
      <c r="F46" s="67">
        <f t="shared" si="3"/>
        <v>0</v>
      </c>
      <c r="G46" s="67">
        <f t="shared" si="4"/>
        <v>0</v>
      </c>
      <c r="H46" s="67">
        <f>'01. CONFIGURAÇÕES'!$C$34+'01. CONFIGURAÇÕES'!$D$34</f>
        <v>775610.23076923075</v>
      </c>
      <c r="I46" s="67">
        <f>IF($G46=0,0,'01. CONFIGURAÇÕES'!$C$29+'01. CONFIGURAÇÕES'!$D$29)</f>
        <v>0</v>
      </c>
      <c r="J46" s="67">
        <f>$G46*(1-'01. CONFIGURAÇÕES'!$C$16)-$I46</f>
        <v>0</v>
      </c>
      <c r="K46" s="67">
        <f t="shared" si="5"/>
        <v>-474982.43439999997</v>
      </c>
    </row>
    <row r="47" spans="1:11" x14ac:dyDescent="0.25">
      <c r="B47" s="40">
        <v>46538</v>
      </c>
      <c r="C47" s="13">
        <f t="shared" si="0"/>
        <v>0</v>
      </c>
      <c r="D47" s="13">
        <f t="shared" si="1"/>
        <v>0</v>
      </c>
      <c r="E47" s="67">
        <f t="shared" si="2"/>
        <v>0</v>
      </c>
      <c r="F47" s="67">
        <f t="shared" si="3"/>
        <v>0</v>
      </c>
      <c r="G47" s="67">
        <f t="shared" si="4"/>
        <v>0</v>
      </c>
      <c r="H47" s="67">
        <f>'01. CONFIGURAÇÕES'!$C$34+'01. CONFIGURAÇÕES'!$D$34</f>
        <v>775610.23076923075</v>
      </c>
      <c r="I47" s="67">
        <f>IF($G47=0,0,'01. CONFIGURAÇÕES'!$C$29+'01. CONFIGURAÇÕES'!$D$29)</f>
        <v>0</v>
      </c>
      <c r="J47" s="67">
        <f>$G47*(1-'01. CONFIGURAÇÕES'!$C$16)-$I47</f>
        <v>0</v>
      </c>
      <c r="K47" s="67">
        <f t="shared" si="5"/>
        <v>-474982.43439999997</v>
      </c>
    </row>
    <row r="48" spans="1:11" x14ac:dyDescent="0.25">
      <c r="B48" s="40">
        <v>46568</v>
      </c>
      <c r="C48" s="13">
        <f t="shared" si="0"/>
        <v>0</v>
      </c>
      <c r="D48" s="13">
        <f t="shared" si="1"/>
        <v>0</v>
      </c>
      <c r="E48" s="67">
        <f t="shared" si="2"/>
        <v>0</v>
      </c>
      <c r="F48" s="67">
        <f t="shared" si="3"/>
        <v>0</v>
      </c>
      <c r="G48" s="67">
        <f t="shared" si="4"/>
        <v>0</v>
      </c>
      <c r="H48" s="67">
        <f>'01. CONFIGURAÇÕES'!$C$34+'01. CONFIGURAÇÕES'!$D$34</f>
        <v>775610.23076923075</v>
      </c>
      <c r="I48" s="67">
        <f>IF($G48=0,0,'01. CONFIGURAÇÕES'!$C$29+'01. CONFIGURAÇÕES'!$D$29)</f>
        <v>0</v>
      </c>
      <c r="J48" s="67">
        <f>$G48*(1-'01. CONFIGURAÇÕES'!$C$16)-$I48</f>
        <v>0</v>
      </c>
      <c r="K48" s="67">
        <f t="shared" si="5"/>
        <v>-474982.43439999997</v>
      </c>
    </row>
    <row r="49" spans="1:11" x14ac:dyDescent="0.25">
      <c r="B49" s="40">
        <v>46599</v>
      </c>
      <c r="C49" s="13">
        <f t="shared" si="0"/>
        <v>0</v>
      </c>
      <c r="D49" s="13">
        <f t="shared" si="1"/>
        <v>0</v>
      </c>
      <c r="E49" s="67">
        <f t="shared" si="2"/>
        <v>0</v>
      </c>
      <c r="F49" s="67">
        <f t="shared" si="3"/>
        <v>0</v>
      </c>
      <c r="G49" s="67">
        <f t="shared" si="4"/>
        <v>0</v>
      </c>
      <c r="H49" s="67">
        <f>'01. CONFIGURAÇÕES'!$C$34+'01. CONFIGURAÇÕES'!$D$34</f>
        <v>775610.23076923075</v>
      </c>
      <c r="I49" s="67">
        <f>IF($G49=0,0,'01. CONFIGURAÇÕES'!$C$29+'01. CONFIGURAÇÕES'!$D$29)</f>
        <v>0</v>
      </c>
      <c r="J49" s="67">
        <f>$G49*(1-'01. CONFIGURAÇÕES'!$C$16)-$I49</f>
        <v>0</v>
      </c>
      <c r="K49" s="67">
        <f t="shared" si="5"/>
        <v>-474982.43439999997</v>
      </c>
    </row>
    <row r="50" spans="1:11" x14ac:dyDescent="0.25">
      <c r="B50" s="40">
        <v>46630</v>
      </c>
      <c r="C50" s="13">
        <f t="shared" si="0"/>
        <v>0</v>
      </c>
      <c r="D50" s="13">
        <f t="shared" si="1"/>
        <v>0</v>
      </c>
      <c r="E50" s="67">
        <f t="shared" si="2"/>
        <v>0</v>
      </c>
      <c r="F50" s="67">
        <f t="shared" si="3"/>
        <v>0</v>
      </c>
      <c r="G50" s="67">
        <f t="shared" si="4"/>
        <v>0</v>
      </c>
      <c r="H50" s="67">
        <f>'01. CONFIGURAÇÕES'!$C$34+'01. CONFIGURAÇÕES'!$D$34</f>
        <v>775610.23076923075</v>
      </c>
      <c r="I50" s="67">
        <f>IF($G50=0,0,'01. CONFIGURAÇÕES'!$C$29+'01. CONFIGURAÇÕES'!$D$29)</f>
        <v>0</v>
      </c>
      <c r="J50" s="67">
        <f>$G50*(1-'01. CONFIGURAÇÕES'!$C$16)-$I50</f>
        <v>0</v>
      </c>
      <c r="K50" s="67">
        <f t="shared" si="5"/>
        <v>-474982.43439999997</v>
      </c>
    </row>
    <row r="51" spans="1:11" x14ac:dyDescent="0.25">
      <c r="B51" s="40">
        <v>46660</v>
      </c>
      <c r="C51" s="13">
        <f t="shared" si="0"/>
        <v>0</v>
      </c>
      <c r="D51" s="13">
        <f t="shared" si="1"/>
        <v>0</v>
      </c>
      <c r="E51" s="67">
        <f t="shared" si="2"/>
        <v>0</v>
      </c>
      <c r="F51" s="67">
        <f t="shared" si="3"/>
        <v>0</v>
      </c>
      <c r="G51" s="67">
        <f t="shared" si="4"/>
        <v>0</v>
      </c>
      <c r="H51" s="67">
        <f>'01. CONFIGURAÇÕES'!$C$34+'01. CONFIGURAÇÕES'!$D$34</f>
        <v>775610.23076923075</v>
      </c>
      <c r="I51" s="67">
        <f>IF($G51=0,0,'01. CONFIGURAÇÕES'!$C$29+'01. CONFIGURAÇÕES'!$D$29)</f>
        <v>0</v>
      </c>
      <c r="J51" s="67">
        <f>$G51*(1-'01. CONFIGURAÇÕES'!$C$16)-$I51</f>
        <v>0</v>
      </c>
      <c r="K51" s="67">
        <f t="shared" si="5"/>
        <v>-474982.43439999997</v>
      </c>
    </row>
    <row r="52" spans="1:11" x14ac:dyDescent="0.25">
      <c r="B52" s="40">
        <v>46691</v>
      </c>
      <c r="C52" s="13">
        <f t="shared" si="0"/>
        <v>0</v>
      </c>
      <c r="D52" s="13">
        <f t="shared" si="1"/>
        <v>0</v>
      </c>
      <c r="E52" s="67">
        <f t="shared" si="2"/>
        <v>0</v>
      </c>
      <c r="F52" s="67">
        <f t="shared" si="3"/>
        <v>0</v>
      </c>
      <c r="G52" s="67">
        <f t="shared" si="4"/>
        <v>0</v>
      </c>
      <c r="H52" s="67">
        <f>'01. CONFIGURAÇÕES'!$C$34+'01. CONFIGURAÇÕES'!$D$34</f>
        <v>775610.23076923075</v>
      </c>
      <c r="I52" s="67">
        <f>IF($G52=0,0,'01. CONFIGURAÇÕES'!$C$29+'01. CONFIGURAÇÕES'!$D$29)</f>
        <v>0</v>
      </c>
      <c r="J52" s="67">
        <f>$G52*(1-'01. CONFIGURAÇÕES'!$C$16)-$I52</f>
        <v>0</v>
      </c>
      <c r="K52" s="67">
        <f t="shared" si="5"/>
        <v>-474982.43439999997</v>
      </c>
    </row>
    <row r="54" spans="1:11" x14ac:dyDescent="0.25">
      <c r="A54" s="150" t="s">
        <v>2929</v>
      </c>
      <c r="B54" s="149"/>
      <c r="C54" s="149"/>
      <c r="D54" s="149"/>
      <c r="E54" s="149"/>
      <c r="F54" s="149"/>
      <c r="G54" s="149"/>
      <c r="H54" s="149"/>
      <c r="I54" s="149"/>
      <c r="J54" s="149"/>
    </row>
    <row r="55" spans="1:11" ht="24" customHeight="1" x14ac:dyDescent="0.25">
      <c r="A55" s="46"/>
      <c r="B55" s="46" t="s">
        <v>592</v>
      </c>
      <c r="C55" s="46" t="s">
        <v>591</v>
      </c>
      <c r="D55" s="46" t="s">
        <v>2930</v>
      </c>
      <c r="E55" s="46" t="s">
        <v>2931</v>
      </c>
      <c r="F55" s="46" t="s">
        <v>2644</v>
      </c>
      <c r="G55" s="46" t="s">
        <v>2645</v>
      </c>
      <c r="H55" s="46" t="s">
        <v>2544</v>
      </c>
      <c r="I55" s="46" t="s">
        <v>2433</v>
      </c>
      <c r="J55" s="46" t="s">
        <v>2932</v>
      </c>
      <c r="K55" s="46" t="s">
        <v>2933</v>
      </c>
    </row>
    <row r="56" spans="1:11" x14ac:dyDescent="0.25">
      <c r="B56" s="25" t="s">
        <v>618</v>
      </c>
      <c r="C56" s="25" t="s">
        <v>529</v>
      </c>
      <c r="D56" s="13">
        <f t="shared" ref="D56:D63" si="6">COUNTIFS(APT_EQUIPE,$B56,APT_DATA,"&gt;="&amp;$C$4,APT_DATA,"&lt;="&amp;EOMONTH($C$4,0))</f>
        <v>0</v>
      </c>
      <c r="E56" s="13">
        <f t="shared" ref="E56:E63" si="7">SUMIFS(APT_HH,APT_EQUIPE,$B56,APT_DATA,"&gt;="&amp;$C$4,APT_DATA,"&lt;="&amp;EOMONTH($C$4,0))</f>
        <v>0</v>
      </c>
      <c r="F56" s="13">
        <f t="shared" ref="F56:F63" si="8">COUNTIFS(PROG_EQUIPE,$B56,PROG_DATA,"&gt;="&amp;$C$4,PROG_DATA,"&lt;="&amp;EOMONTH($C$4,0))</f>
        <v>0</v>
      </c>
      <c r="G56" s="13">
        <f t="shared" ref="G56:G63" si="9">COUNTIFS(OS_EQUIPE,$B56,OS_FIM,"&gt;="&amp;$C$4,OS_FIM,"&lt;="&amp;EOMONTH($C$4,0))</f>
        <v>0</v>
      </c>
      <c r="H56" s="58" t="str">
        <f t="shared" ref="H56:H63" si="10">IF($F56=0,"",$G56/$F56)</f>
        <v/>
      </c>
      <c r="I56" s="54">
        <f t="shared" ref="I56:I63" si="11">SUMIFS(MED_VLR,MED_EQUIPE,$B56,MED_MES,EOMONTH($C$4,0))</f>
        <v>0</v>
      </c>
      <c r="J56" s="54" t="str">
        <f t="shared" ref="J56:J63" si="12">IF($E56=0,"",$I56/$E56)</f>
        <v/>
      </c>
      <c r="K56" s="58" t="str">
        <f>IF($D56=0,"",$I56/($D56*IF($C56='01. CONFIGURAÇÕES'!$C$8,'01. CONFIGURAÇÕES'!$C$38,'01. CONFIGURAÇÕES'!$D$38)))</f>
        <v/>
      </c>
    </row>
    <row r="57" spans="1:11" x14ac:dyDescent="0.25">
      <c r="B57" s="25" t="s">
        <v>641</v>
      </c>
      <c r="C57" s="25" t="s">
        <v>529</v>
      </c>
      <c r="D57" s="13">
        <f t="shared" si="6"/>
        <v>0</v>
      </c>
      <c r="E57" s="13">
        <f t="shared" si="7"/>
        <v>0</v>
      </c>
      <c r="F57" s="13">
        <f t="shared" si="8"/>
        <v>0</v>
      </c>
      <c r="G57" s="13">
        <f t="shared" si="9"/>
        <v>0</v>
      </c>
      <c r="H57" s="58" t="str">
        <f t="shared" si="10"/>
        <v/>
      </c>
      <c r="I57" s="54">
        <f t="shared" si="11"/>
        <v>0</v>
      </c>
      <c r="J57" s="54" t="str">
        <f t="shared" si="12"/>
        <v/>
      </c>
      <c r="K57" s="58" t="str">
        <f>IF($D57=0,"",$I57/($D57*IF($C57='01. CONFIGURAÇÕES'!$C$8,'01. CONFIGURAÇÕES'!$C$38,'01. CONFIGURAÇÕES'!$D$38)))</f>
        <v/>
      </c>
    </row>
    <row r="58" spans="1:11" x14ac:dyDescent="0.25">
      <c r="B58" s="25" t="s">
        <v>664</v>
      </c>
      <c r="C58" s="25" t="s">
        <v>529</v>
      </c>
      <c r="D58" s="13">
        <f t="shared" si="6"/>
        <v>0</v>
      </c>
      <c r="E58" s="13">
        <f t="shared" si="7"/>
        <v>0</v>
      </c>
      <c r="F58" s="13">
        <f t="shared" si="8"/>
        <v>0</v>
      </c>
      <c r="G58" s="13">
        <f t="shared" si="9"/>
        <v>0</v>
      </c>
      <c r="H58" s="58" t="str">
        <f t="shared" si="10"/>
        <v/>
      </c>
      <c r="I58" s="54">
        <f t="shared" si="11"/>
        <v>0</v>
      </c>
      <c r="J58" s="54" t="str">
        <f t="shared" si="12"/>
        <v/>
      </c>
      <c r="K58" s="58" t="str">
        <f>IF($D58=0,"",$I58/($D58*IF($C58='01. CONFIGURAÇÕES'!$C$8,'01. CONFIGURAÇÕES'!$C$38,'01. CONFIGURAÇÕES'!$D$38)))</f>
        <v/>
      </c>
    </row>
    <row r="59" spans="1:11" x14ac:dyDescent="0.25">
      <c r="B59" s="25" t="s">
        <v>686</v>
      </c>
      <c r="C59" s="25" t="s">
        <v>529</v>
      </c>
      <c r="D59" s="13">
        <f t="shared" si="6"/>
        <v>0</v>
      </c>
      <c r="E59" s="13">
        <f t="shared" si="7"/>
        <v>0</v>
      </c>
      <c r="F59" s="13">
        <f t="shared" si="8"/>
        <v>0</v>
      </c>
      <c r="G59" s="13">
        <f t="shared" si="9"/>
        <v>0</v>
      </c>
      <c r="H59" s="58" t="str">
        <f t="shared" si="10"/>
        <v/>
      </c>
      <c r="I59" s="54">
        <f t="shared" si="11"/>
        <v>0</v>
      </c>
      <c r="J59" s="54" t="str">
        <f t="shared" si="12"/>
        <v/>
      </c>
      <c r="K59" s="58" t="str">
        <f>IF($D59=0,"",$I59/($D59*IF($C59='01. CONFIGURAÇÕES'!$C$8,'01. CONFIGURAÇÕES'!$C$38,'01. CONFIGURAÇÕES'!$D$38)))</f>
        <v/>
      </c>
    </row>
    <row r="60" spans="1:11" x14ac:dyDescent="0.25">
      <c r="B60" s="25" t="s">
        <v>707</v>
      </c>
      <c r="C60" s="25" t="s">
        <v>533</v>
      </c>
      <c r="D60" s="13">
        <f t="shared" si="6"/>
        <v>0</v>
      </c>
      <c r="E60" s="13">
        <f t="shared" si="7"/>
        <v>0</v>
      </c>
      <c r="F60" s="13">
        <f t="shared" si="8"/>
        <v>0</v>
      </c>
      <c r="G60" s="13">
        <f t="shared" si="9"/>
        <v>0</v>
      </c>
      <c r="H60" s="58" t="str">
        <f t="shared" si="10"/>
        <v/>
      </c>
      <c r="I60" s="54">
        <f t="shared" si="11"/>
        <v>0</v>
      </c>
      <c r="J60" s="54" t="str">
        <f t="shared" si="12"/>
        <v/>
      </c>
      <c r="K60" s="58" t="str">
        <f>IF($D60=0,"",$I60/($D60*IF($C60='01. CONFIGURAÇÕES'!$C$8,'01. CONFIGURAÇÕES'!$C$38,'01. CONFIGURAÇÕES'!$D$38)))</f>
        <v/>
      </c>
    </row>
    <row r="61" spans="1:11" x14ac:dyDescent="0.25">
      <c r="B61" s="25" t="s">
        <v>727</v>
      </c>
      <c r="C61" s="25" t="s">
        <v>533</v>
      </c>
      <c r="D61" s="13">
        <f t="shared" si="6"/>
        <v>0</v>
      </c>
      <c r="E61" s="13">
        <f t="shared" si="7"/>
        <v>0</v>
      </c>
      <c r="F61" s="13">
        <f t="shared" si="8"/>
        <v>0</v>
      </c>
      <c r="G61" s="13">
        <f t="shared" si="9"/>
        <v>0</v>
      </c>
      <c r="H61" s="58" t="str">
        <f t="shared" si="10"/>
        <v/>
      </c>
      <c r="I61" s="54">
        <f t="shared" si="11"/>
        <v>0</v>
      </c>
      <c r="J61" s="54" t="str">
        <f t="shared" si="12"/>
        <v/>
      </c>
      <c r="K61" s="58" t="str">
        <f>IF($D61=0,"",$I61/($D61*IF($C61='01. CONFIGURAÇÕES'!$C$8,'01. CONFIGURAÇÕES'!$C$38,'01. CONFIGURAÇÕES'!$D$38)))</f>
        <v/>
      </c>
    </row>
    <row r="62" spans="1:11" x14ac:dyDescent="0.25">
      <c r="B62" s="25" t="s">
        <v>740</v>
      </c>
      <c r="C62" s="25" t="s">
        <v>533</v>
      </c>
      <c r="D62" s="13">
        <f t="shared" si="6"/>
        <v>0</v>
      </c>
      <c r="E62" s="13">
        <f t="shared" si="7"/>
        <v>0</v>
      </c>
      <c r="F62" s="13">
        <f t="shared" si="8"/>
        <v>0</v>
      </c>
      <c r="G62" s="13">
        <f t="shared" si="9"/>
        <v>0</v>
      </c>
      <c r="H62" s="58" t="str">
        <f t="shared" si="10"/>
        <v/>
      </c>
      <c r="I62" s="54">
        <f t="shared" si="11"/>
        <v>0</v>
      </c>
      <c r="J62" s="54" t="str">
        <f t="shared" si="12"/>
        <v/>
      </c>
      <c r="K62" s="58" t="str">
        <f>IF($D62=0,"",$I62/($D62*IF($C62='01. CONFIGURAÇÕES'!$C$8,'01. CONFIGURAÇÕES'!$C$38,'01. CONFIGURAÇÕES'!$D$38)))</f>
        <v/>
      </c>
    </row>
    <row r="63" spans="1:11" x14ac:dyDescent="0.25">
      <c r="B63" s="25" t="s">
        <v>753</v>
      </c>
      <c r="C63" s="25" t="s">
        <v>533</v>
      </c>
      <c r="D63" s="13">
        <f t="shared" si="6"/>
        <v>0</v>
      </c>
      <c r="E63" s="13">
        <f t="shared" si="7"/>
        <v>0</v>
      </c>
      <c r="F63" s="13">
        <f t="shared" si="8"/>
        <v>0</v>
      </c>
      <c r="G63" s="13">
        <f t="shared" si="9"/>
        <v>0</v>
      </c>
      <c r="H63" s="58" t="str">
        <f t="shared" si="10"/>
        <v/>
      </c>
      <c r="I63" s="54">
        <f t="shared" si="11"/>
        <v>0</v>
      </c>
      <c r="J63" s="54" t="str">
        <f t="shared" si="12"/>
        <v/>
      </c>
      <c r="K63" s="58" t="str">
        <f>IF($D63=0,"",$I63/($D63*IF($C63='01. CONFIGURAÇÕES'!$C$8,'01. CONFIGURAÇÕES'!$C$38,'01. CONFIGURAÇÕES'!$D$38)))</f>
        <v/>
      </c>
    </row>
    <row r="65" spans="1:10" x14ac:dyDescent="0.25">
      <c r="A65" s="150" t="s">
        <v>2934</v>
      </c>
      <c r="B65" s="149"/>
      <c r="C65" s="149"/>
      <c r="D65" s="149"/>
      <c r="E65" s="149"/>
      <c r="F65" s="149"/>
      <c r="G65" s="149"/>
      <c r="H65" s="149"/>
      <c r="I65" s="149"/>
      <c r="J65" s="149"/>
    </row>
    <row r="66" spans="1:10" x14ac:dyDescent="0.25">
      <c r="A66" s="46"/>
      <c r="B66" s="46" t="s">
        <v>2935</v>
      </c>
      <c r="C66" s="46" t="s">
        <v>2936</v>
      </c>
      <c r="D66" s="46" t="s">
        <v>2937</v>
      </c>
    </row>
    <row r="67" spans="1:10" x14ac:dyDescent="0.25">
      <c r="B67" s="28" t="s">
        <v>626</v>
      </c>
      <c r="C67" s="13">
        <f t="shared" ref="C67:C81" si="13">COUNTIFS(PROG_MOTIVO,$B67,PROG_DATA,"&gt;="&amp;$C$4,PROG_DATA,"&lt;="&amp;EOMONTH($C$4,0))</f>
        <v>0</v>
      </c>
      <c r="D67" s="58">
        <f t="shared" ref="D67:D81" si="14">IF(SUM($C$67:$C$81)=0,"",$C67/SUM($C$67:$C$81))</f>
        <v>0</v>
      </c>
    </row>
    <row r="68" spans="1:10" x14ac:dyDescent="0.25">
      <c r="B68" s="28" t="s">
        <v>648</v>
      </c>
      <c r="C68" s="13">
        <f t="shared" si="13"/>
        <v>0</v>
      </c>
      <c r="D68" s="58">
        <f t="shared" si="14"/>
        <v>0</v>
      </c>
    </row>
    <row r="69" spans="1:10" x14ac:dyDescent="0.25">
      <c r="B69" s="28" t="s">
        <v>669</v>
      </c>
      <c r="C69" s="13">
        <f t="shared" si="13"/>
        <v>0</v>
      </c>
      <c r="D69" s="58">
        <f t="shared" si="14"/>
        <v>0</v>
      </c>
    </row>
    <row r="70" spans="1:10" x14ac:dyDescent="0.25">
      <c r="B70" s="28" t="s">
        <v>649</v>
      </c>
      <c r="C70" s="13">
        <f t="shared" si="13"/>
        <v>3</v>
      </c>
      <c r="D70" s="58">
        <f t="shared" si="14"/>
        <v>1</v>
      </c>
    </row>
    <row r="71" spans="1:10" x14ac:dyDescent="0.25">
      <c r="B71" s="28" t="s">
        <v>714</v>
      </c>
      <c r="C71" s="13">
        <f t="shared" si="13"/>
        <v>0</v>
      </c>
      <c r="D71" s="58">
        <f t="shared" si="14"/>
        <v>0</v>
      </c>
    </row>
    <row r="72" spans="1:10" x14ac:dyDescent="0.25">
      <c r="B72" s="28" t="s">
        <v>731</v>
      </c>
      <c r="C72" s="13">
        <f t="shared" si="13"/>
        <v>0</v>
      </c>
      <c r="D72" s="58">
        <f t="shared" si="14"/>
        <v>0</v>
      </c>
    </row>
    <row r="73" spans="1:10" x14ac:dyDescent="0.25">
      <c r="B73" s="28" t="s">
        <v>680</v>
      </c>
      <c r="C73" s="13">
        <f t="shared" si="13"/>
        <v>0</v>
      </c>
      <c r="D73" s="58">
        <f t="shared" si="14"/>
        <v>0</v>
      </c>
    </row>
    <row r="74" spans="1:10" x14ac:dyDescent="0.25">
      <c r="B74" s="28" t="s">
        <v>755</v>
      </c>
      <c r="C74" s="13">
        <f t="shared" si="13"/>
        <v>0</v>
      </c>
      <c r="D74" s="58">
        <f t="shared" si="14"/>
        <v>0</v>
      </c>
    </row>
    <row r="75" spans="1:10" x14ac:dyDescent="0.25">
      <c r="B75" s="28" t="s">
        <v>765</v>
      </c>
      <c r="C75" s="13">
        <f t="shared" si="13"/>
        <v>0</v>
      </c>
      <c r="D75" s="58">
        <f t="shared" si="14"/>
        <v>0</v>
      </c>
    </row>
    <row r="76" spans="1:10" x14ac:dyDescent="0.25">
      <c r="B76" s="28" t="s">
        <v>776</v>
      </c>
      <c r="C76" s="13">
        <f t="shared" si="13"/>
        <v>0</v>
      </c>
      <c r="D76" s="58">
        <f t="shared" si="14"/>
        <v>0</v>
      </c>
    </row>
    <row r="77" spans="1:10" x14ac:dyDescent="0.25">
      <c r="B77" s="28" t="s">
        <v>785</v>
      </c>
      <c r="C77" s="13">
        <f t="shared" si="13"/>
        <v>0</v>
      </c>
      <c r="D77" s="58">
        <f t="shared" si="14"/>
        <v>0</v>
      </c>
    </row>
    <row r="78" spans="1:10" x14ac:dyDescent="0.25">
      <c r="B78" s="28" t="s">
        <v>793</v>
      </c>
      <c r="C78" s="13">
        <f t="shared" si="13"/>
        <v>0</v>
      </c>
      <c r="D78" s="58">
        <f t="shared" si="14"/>
        <v>0</v>
      </c>
    </row>
    <row r="79" spans="1:10" x14ac:dyDescent="0.25">
      <c r="B79" s="28" t="s">
        <v>715</v>
      </c>
      <c r="C79" s="13">
        <f t="shared" si="13"/>
        <v>0</v>
      </c>
      <c r="D79" s="58">
        <f t="shared" si="14"/>
        <v>0</v>
      </c>
    </row>
    <row r="80" spans="1:10" x14ac:dyDescent="0.25">
      <c r="B80" s="28" t="s">
        <v>798</v>
      </c>
      <c r="C80" s="13">
        <f t="shared" si="13"/>
        <v>0</v>
      </c>
      <c r="D80" s="58">
        <f t="shared" si="14"/>
        <v>0</v>
      </c>
    </row>
    <row r="81" spans="1:10" x14ac:dyDescent="0.25">
      <c r="B81" s="28" t="s">
        <v>777</v>
      </c>
      <c r="C81" s="13">
        <f t="shared" si="13"/>
        <v>0</v>
      </c>
      <c r="D81" s="58">
        <f t="shared" si="14"/>
        <v>0</v>
      </c>
    </row>
    <row r="83" spans="1:10" x14ac:dyDescent="0.25">
      <c r="A83" s="150" t="s">
        <v>2938</v>
      </c>
      <c r="B83" s="149"/>
      <c r="C83" s="149"/>
      <c r="D83" s="149"/>
      <c r="E83" s="149"/>
      <c r="F83" s="149"/>
      <c r="G83" s="149"/>
      <c r="H83" s="149"/>
      <c r="I83" s="149"/>
      <c r="J83" s="149"/>
    </row>
    <row r="84" spans="1:10" x14ac:dyDescent="0.25">
      <c r="A84" s="46"/>
      <c r="B84" s="46" t="s">
        <v>916</v>
      </c>
      <c r="C84" s="46" t="s">
        <v>2939</v>
      </c>
      <c r="D84" s="46" t="s">
        <v>2433</v>
      </c>
      <c r="E84" s="46" t="s">
        <v>2940</v>
      </c>
      <c r="F84" s="46" t="s">
        <v>2941</v>
      </c>
    </row>
    <row r="85" spans="1:10" x14ac:dyDescent="0.25">
      <c r="B85" s="28" t="s">
        <v>620</v>
      </c>
      <c r="C85" s="13">
        <f t="shared" ref="C85:C109" si="15">COUNTIFS(CAD_TIPO,$B85,CAD_DTEXEC,"&gt;="&amp;$C$4,CAD_DTEXEC,"&lt;="&amp;EOMONTH($C$4,0))</f>
        <v>4</v>
      </c>
      <c r="D85" s="54">
        <f t="shared" ref="D85:D109" si="16">SUMIFS(CAD_VLR,CAD_TIPO,$B85,CAD_DTEXEC,"&gt;="&amp;$C$4,CAD_DTEXEC,"&lt;="&amp;EOMONTH($C$4,0))</f>
        <v>2531.02</v>
      </c>
      <c r="E85" s="54">
        <f t="shared" ref="E85:E109" si="17">IF($C85=0,"",$D85/$C85)</f>
        <v>632.755</v>
      </c>
      <c r="F85" s="58">
        <f t="shared" ref="F85:F109" si="18">IF(SUM($D$85:$D$109)=0,"",$D85/SUM($D$85:$D$109))</f>
        <v>0.14173396783655531</v>
      </c>
    </row>
    <row r="86" spans="1:10" x14ac:dyDescent="0.25">
      <c r="B86" s="28" t="s">
        <v>643</v>
      </c>
      <c r="C86" s="13">
        <f t="shared" si="15"/>
        <v>5</v>
      </c>
      <c r="D86" s="54">
        <f t="shared" si="16"/>
        <v>4402.63</v>
      </c>
      <c r="E86" s="54">
        <f t="shared" si="17"/>
        <v>880.52600000000007</v>
      </c>
      <c r="F86" s="58">
        <f t="shared" si="18"/>
        <v>0.24654179691043671</v>
      </c>
    </row>
    <row r="87" spans="1:10" x14ac:dyDescent="0.25">
      <c r="B87" s="28" t="s">
        <v>665</v>
      </c>
      <c r="C87" s="13">
        <f t="shared" si="15"/>
        <v>0</v>
      </c>
      <c r="D87" s="54">
        <f t="shared" si="16"/>
        <v>0</v>
      </c>
      <c r="E87" s="54" t="str">
        <f t="shared" si="17"/>
        <v/>
      </c>
      <c r="F87" s="58">
        <f t="shared" si="18"/>
        <v>0</v>
      </c>
    </row>
    <row r="88" spans="1:10" x14ac:dyDescent="0.25">
      <c r="B88" s="28" t="s">
        <v>688</v>
      </c>
      <c r="C88" s="13">
        <f t="shared" si="15"/>
        <v>0</v>
      </c>
      <c r="D88" s="54">
        <f t="shared" si="16"/>
        <v>0</v>
      </c>
      <c r="E88" s="54" t="str">
        <f t="shared" si="17"/>
        <v/>
      </c>
      <c r="F88" s="58">
        <f t="shared" si="18"/>
        <v>0</v>
      </c>
    </row>
    <row r="89" spans="1:10" x14ac:dyDescent="0.25">
      <c r="B89" s="28" t="s">
        <v>708</v>
      </c>
      <c r="C89" s="13">
        <f t="shared" si="15"/>
        <v>5</v>
      </c>
      <c r="D89" s="54">
        <f t="shared" si="16"/>
        <v>2208.9899999999998</v>
      </c>
      <c r="E89" s="54">
        <f t="shared" si="17"/>
        <v>441.79799999999994</v>
      </c>
      <c r="F89" s="58">
        <f t="shared" si="18"/>
        <v>0.12370068889667891</v>
      </c>
    </row>
    <row r="90" spans="1:10" x14ac:dyDescent="0.25">
      <c r="B90" s="28" t="s">
        <v>728</v>
      </c>
      <c r="C90" s="13">
        <f t="shared" si="15"/>
        <v>2</v>
      </c>
      <c r="D90" s="54">
        <f t="shared" si="16"/>
        <v>2778.04</v>
      </c>
      <c r="E90" s="54">
        <f t="shared" si="17"/>
        <v>1389.02</v>
      </c>
      <c r="F90" s="58">
        <f t="shared" si="18"/>
        <v>0.15556678019480846</v>
      </c>
    </row>
    <row r="91" spans="1:10" x14ac:dyDescent="0.25">
      <c r="B91" s="28" t="s">
        <v>741</v>
      </c>
      <c r="C91" s="13">
        <f t="shared" si="15"/>
        <v>6</v>
      </c>
      <c r="D91" s="54">
        <f t="shared" si="16"/>
        <v>5936.86</v>
      </c>
      <c r="E91" s="54">
        <f t="shared" si="17"/>
        <v>989.47666666666657</v>
      </c>
      <c r="F91" s="58">
        <f t="shared" si="18"/>
        <v>0.33245676616152053</v>
      </c>
    </row>
    <row r="92" spans="1:10" x14ac:dyDescent="0.25">
      <c r="B92" s="28" t="s">
        <v>754</v>
      </c>
      <c r="C92" s="13">
        <f t="shared" si="15"/>
        <v>0</v>
      </c>
      <c r="D92" s="54">
        <f t="shared" si="16"/>
        <v>0</v>
      </c>
      <c r="E92" s="54" t="str">
        <f t="shared" si="17"/>
        <v/>
      </c>
      <c r="F92" s="58">
        <f t="shared" si="18"/>
        <v>0</v>
      </c>
    </row>
    <row r="93" spans="1:10" x14ac:dyDescent="0.25">
      <c r="B93" s="28" t="s">
        <v>764</v>
      </c>
      <c r="C93" s="13">
        <f t="shared" si="15"/>
        <v>0</v>
      </c>
      <c r="D93" s="54">
        <f t="shared" si="16"/>
        <v>0</v>
      </c>
      <c r="E93" s="54" t="str">
        <f t="shared" si="17"/>
        <v/>
      </c>
      <c r="F93" s="58">
        <f t="shared" si="18"/>
        <v>0</v>
      </c>
    </row>
    <row r="94" spans="1:10" x14ac:dyDescent="0.25">
      <c r="B94" s="28" t="s">
        <v>775</v>
      </c>
      <c r="C94" s="13">
        <f t="shared" si="15"/>
        <v>0</v>
      </c>
      <c r="D94" s="54">
        <f t="shared" si="16"/>
        <v>0</v>
      </c>
      <c r="E94" s="54" t="str">
        <f t="shared" si="17"/>
        <v/>
      </c>
      <c r="F94" s="58">
        <f t="shared" si="18"/>
        <v>0</v>
      </c>
    </row>
    <row r="95" spans="1:10" x14ac:dyDescent="0.25">
      <c r="B95" s="28" t="s">
        <v>784</v>
      </c>
      <c r="C95" s="13">
        <f t="shared" si="15"/>
        <v>0</v>
      </c>
      <c r="D95" s="54">
        <f t="shared" si="16"/>
        <v>0</v>
      </c>
      <c r="E95" s="54" t="str">
        <f t="shared" si="17"/>
        <v/>
      </c>
      <c r="F95" s="58">
        <f t="shared" si="18"/>
        <v>0</v>
      </c>
    </row>
    <row r="96" spans="1:10" x14ac:dyDescent="0.25">
      <c r="B96" s="28" t="s">
        <v>792</v>
      </c>
      <c r="C96" s="13">
        <f t="shared" si="15"/>
        <v>0</v>
      </c>
      <c r="D96" s="54">
        <f t="shared" si="16"/>
        <v>0</v>
      </c>
      <c r="E96" s="54" t="str">
        <f t="shared" si="17"/>
        <v/>
      </c>
      <c r="F96" s="58">
        <f t="shared" si="18"/>
        <v>0</v>
      </c>
    </row>
    <row r="97" spans="2:6" x14ac:dyDescent="0.25">
      <c r="B97" s="28" t="s">
        <v>799</v>
      </c>
      <c r="C97" s="13">
        <f t="shared" si="15"/>
        <v>0</v>
      </c>
      <c r="D97" s="54">
        <f t="shared" si="16"/>
        <v>0</v>
      </c>
      <c r="E97" s="54" t="str">
        <f t="shared" si="17"/>
        <v/>
      </c>
      <c r="F97" s="58">
        <f t="shared" si="18"/>
        <v>0</v>
      </c>
    </row>
    <row r="98" spans="2:6" x14ac:dyDescent="0.25">
      <c r="B98" s="28" t="s">
        <v>804</v>
      </c>
      <c r="C98" s="13">
        <f t="shared" si="15"/>
        <v>0</v>
      </c>
      <c r="D98" s="54">
        <f t="shared" si="16"/>
        <v>0</v>
      </c>
      <c r="E98" s="54" t="str">
        <f t="shared" si="17"/>
        <v/>
      </c>
      <c r="F98" s="58">
        <f t="shared" si="18"/>
        <v>0</v>
      </c>
    </row>
    <row r="99" spans="2:6" x14ac:dyDescent="0.25">
      <c r="B99" s="28" t="s">
        <v>808</v>
      </c>
      <c r="C99" s="13">
        <f t="shared" si="15"/>
        <v>0</v>
      </c>
      <c r="D99" s="54">
        <f t="shared" si="16"/>
        <v>0</v>
      </c>
      <c r="E99" s="54" t="str">
        <f t="shared" si="17"/>
        <v/>
      </c>
      <c r="F99" s="58">
        <f t="shared" si="18"/>
        <v>0</v>
      </c>
    </row>
    <row r="100" spans="2:6" x14ac:dyDescent="0.25">
      <c r="B100" s="28" t="s">
        <v>811</v>
      </c>
      <c r="C100" s="13">
        <f t="shared" si="15"/>
        <v>0</v>
      </c>
      <c r="D100" s="54">
        <f t="shared" si="16"/>
        <v>0</v>
      </c>
      <c r="E100" s="54" t="str">
        <f t="shared" si="17"/>
        <v/>
      </c>
      <c r="F100" s="58">
        <f t="shared" si="18"/>
        <v>0</v>
      </c>
    </row>
    <row r="101" spans="2:6" x14ac:dyDescent="0.25">
      <c r="B101" s="28" t="s">
        <v>814</v>
      </c>
      <c r="C101" s="13">
        <f t="shared" si="15"/>
        <v>0</v>
      </c>
      <c r="D101" s="54">
        <f t="shared" si="16"/>
        <v>0</v>
      </c>
      <c r="E101" s="54" t="str">
        <f t="shared" si="17"/>
        <v/>
      </c>
      <c r="F101" s="58">
        <f t="shared" si="18"/>
        <v>0</v>
      </c>
    </row>
    <row r="102" spans="2:6" x14ac:dyDescent="0.25">
      <c r="B102" s="28" t="s">
        <v>817</v>
      </c>
      <c r="C102" s="13">
        <f t="shared" si="15"/>
        <v>0</v>
      </c>
      <c r="D102" s="54">
        <f t="shared" si="16"/>
        <v>0</v>
      </c>
      <c r="E102" s="54" t="str">
        <f t="shared" si="17"/>
        <v/>
      </c>
      <c r="F102" s="58">
        <f t="shared" si="18"/>
        <v>0</v>
      </c>
    </row>
    <row r="103" spans="2:6" x14ac:dyDescent="0.25">
      <c r="B103" s="28" t="s">
        <v>820</v>
      </c>
      <c r="C103" s="13">
        <f t="shared" si="15"/>
        <v>0</v>
      </c>
      <c r="D103" s="54">
        <f t="shared" si="16"/>
        <v>0</v>
      </c>
      <c r="E103" s="54" t="str">
        <f t="shared" si="17"/>
        <v/>
      </c>
      <c r="F103" s="58">
        <f t="shared" si="18"/>
        <v>0</v>
      </c>
    </row>
    <row r="104" spans="2:6" x14ac:dyDescent="0.25">
      <c r="B104" s="28" t="s">
        <v>823</v>
      </c>
      <c r="C104" s="13">
        <f t="shared" si="15"/>
        <v>0</v>
      </c>
      <c r="D104" s="54">
        <f t="shared" si="16"/>
        <v>0</v>
      </c>
      <c r="E104" s="54" t="str">
        <f t="shared" si="17"/>
        <v/>
      </c>
      <c r="F104" s="58">
        <f t="shared" si="18"/>
        <v>0</v>
      </c>
    </row>
    <row r="105" spans="2:6" x14ac:dyDescent="0.25">
      <c r="B105" s="28" t="s">
        <v>826</v>
      </c>
      <c r="C105" s="13">
        <f t="shared" si="15"/>
        <v>0</v>
      </c>
      <c r="D105" s="54">
        <f t="shared" si="16"/>
        <v>0</v>
      </c>
      <c r="E105" s="54" t="str">
        <f t="shared" si="17"/>
        <v/>
      </c>
      <c r="F105" s="58">
        <f t="shared" si="18"/>
        <v>0</v>
      </c>
    </row>
    <row r="106" spans="2:6" x14ac:dyDescent="0.25">
      <c r="B106" s="28" t="s">
        <v>829</v>
      </c>
      <c r="C106" s="13">
        <f t="shared" si="15"/>
        <v>0</v>
      </c>
      <c r="D106" s="54">
        <f t="shared" si="16"/>
        <v>0</v>
      </c>
      <c r="E106" s="54" t="str">
        <f t="shared" si="17"/>
        <v/>
      </c>
      <c r="F106" s="58">
        <f t="shared" si="18"/>
        <v>0</v>
      </c>
    </row>
    <row r="107" spans="2:6" x14ac:dyDescent="0.25">
      <c r="B107" s="28" t="s">
        <v>832</v>
      </c>
      <c r="C107" s="13">
        <f t="shared" si="15"/>
        <v>0</v>
      </c>
      <c r="D107" s="54">
        <f t="shared" si="16"/>
        <v>0</v>
      </c>
      <c r="E107" s="54" t="str">
        <f t="shared" si="17"/>
        <v/>
      </c>
      <c r="F107" s="58">
        <f t="shared" si="18"/>
        <v>0</v>
      </c>
    </row>
    <row r="108" spans="2:6" x14ac:dyDescent="0.25">
      <c r="B108" s="28" t="s">
        <v>835</v>
      </c>
      <c r="C108" s="13">
        <f t="shared" si="15"/>
        <v>0</v>
      </c>
      <c r="D108" s="54">
        <f t="shared" si="16"/>
        <v>0</v>
      </c>
      <c r="E108" s="54" t="str">
        <f t="shared" si="17"/>
        <v/>
      </c>
      <c r="F108" s="58">
        <f t="shared" si="18"/>
        <v>0</v>
      </c>
    </row>
    <row r="109" spans="2:6" x14ac:dyDescent="0.25">
      <c r="B109" s="28" t="s">
        <v>777</v>
      </c>
      <c r="C109" s="13">
        <f t="shared" si="15"/>
        <v>0</v>
      </c>
      <c r="D109" s="54">
        <f t="shared" si="16"/>
        <v>0</v>
      </c>
      <c r="E109" s="54" t="str">
        <f t="shared" si="17"/>
        <v/>
      </c>
      <c r="F109" s="58">
        <f t="shared" si="18"/>
        <v>0</v>
      </c>
    </row>
  </sheetData>
  <mergeCells count="14">
    <mergeCell ref="A83:J83"/>
    <mergeCell ref="A65:J65"/>
    <mergeCell ref="A2:J2"/>
    <mergeCell ref="N1:S1"/>
    <mergeCell ref="N3:S3"/>
    <mergeCell ref="N4:S4"/>
    <mergeCell ref="A6:H6"/>
    <mergeCell ref="A54:J54"/>
    <mergeCell ref="N6:S6"/>
    <mergeCell ref="A1:J1"/>
    <mergeCell ref="N2:S2"/>
    <mergeCell ref="A36:J36"/>
    <mergeCell ref="N7:S7"/>
    <mergeCell ref="N5:S5"/>
  </mergeCells>
  <conditionalFormatting sqref="C67:C81">
    <cfRule type="colorScale" priority="30">
      <colorScale>
        <cfvo type="min"/>
        <cfvo type="max"/>
        <color rgb="FFFFFFFF"/>
        <color rgb="FFF8696B"/>
      </colorScale>
    </cfRule>
  </conditionalFormatting>
  <conditionalFormatting sqref="C11:E11">
    <cfRule type="cellIs" dxfId="24" priority="1" operator="greaterThanOrEqual">
      <formula>0.9</formula>
    </cfRule>
    <cfRule type="cellIs" dxfId="23" priority="2" operator="lessThan">
      <formula>0.9</formula>
    </cfRule>
  </conditionalFormatting>
  <conditionalFormatting sqref="C12:E12">
    <cfRule type="cellIs" dxfId="22" priority="5" operator="greaterThanOrEqual">
      <formula>0.95</formula>
    </cfRule>
    <cfRule type="cellIs" dxfId="21" priority="6" operator="lessThan">
      <formula>0.95</formula>
    </cfRule>
  </conditionalFormatting>
  <conditionalFormatting sqref="C14:E14">
    <cfRule type="cellIs" dxfId="20" priority="28" operator="greaterThan">
      <formula>0</formula>
    </cfRule>
  </conditionalFormatting>
  <conditionalFormatting sqref="C18:E18">
    <cfRule type="cellIs" dxfId="19" priority="3" operator="greaterThanOrEqual">
      <formula>1</formula>
    </cfRule>
    <cfRule type="cellIs" dxfId="18" priority="4" operator="lessThan">
      <formula>1</formula>
    </cfRule>
  </conditionalFormatting>
  <conditionalFormatting sqref="C24:E24">
    <cfRule type="cellIs" dxfId="17" priority="7" operator="lessThan">
      <formula>0</formula>
    </cfRule>
  </conditionalFormatting>
  <conditionalFormatting sqref="C25:E25">
    <cfRule type="cellIs" dxfId="16" priority="8" operator="greaterThanOrEqual">
      <formula>0.2</formula>
    </cfRule>
    <cfRule type="cellIs" dxfId="15" priority="9" operator="lessThan">
      <formula>0.2</formula>
    </cfRule>
  </conditionalFormatting>
  <conditionalFormatting sqref="F85:F109">
    <cfRule type="colorScale" priority="31">
      <colorScale>
        <cfvo type="min"/>
        <cfvo type="max"/>
        <color rgb="FFFFFFFF"/>
        <color rgb="FF63BE7B"/>
      </colorScale>
    </cfRule>
  </conditionalFormatting>
  <conditionalFormatting sqref="K56:K63">
    <cfRule type="colorScale" priority="29">
      <colorScale>
        <cfvo type="num" val="0.5"/>
        <cfvo type="num" val="1"/>
        <cfvo type="num" val="1.3"/>
        <color rgb="FFF8696B"/>
        <color rgb="FFFFEB84"/>
        <color rgb="FF63BE7B"/>
      </colorScale>
    </cfRule>
  </conditionalFormatting>
  <printOptions horizontalCentered="1"/>
  <pageMargins left="0.3" right="0.3" top="0.5" bottom="0.5" header="0.5" footer="0.5"/>
  <pageSetup paperSize="9" fitToHeight="0" orientation="portrait"/>
  <headerFooter>
    <oddFooter>&amp;L&amp;8 WCR Saneamento — Controle Operacional SABESP&amp;R&amp;8 Página &amp;P de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pageSetUpPr fitToPage="1"/>
  </sheetPr>
  <dimension ref="A1:V79"/>
  <sheetViews>
    <sheetView showGridLines="0" workbookViewId="0">
      <selection sqref="A1:N1"/>
    </sheetView>
  </sheetViews>
  <sheetFormatPr defaultRowHeight="15" x14ac:dyDescent="0.25"/>
  <cols>
    <col min="1" max="14" width="11" style="109" customWidth="1"/>
    <col min="17" max="22" width="10.42578125" style="109" customWidth="1"/>
  </cols>
  <sheetData>
    <row r="1" spans="1:22" ht="26.1" customHeight="1" x14ac:dyDescent="0.25">
      <c r="A1" s="151" t="s">
        <v>2942</v>
      </c>
      <c r="B1" s="149"/>
      <c r="C1" s="149"/>
      <c r="D1" s="149"/>
      <c r="E1" s="149"/>
      <c r="F1" s="149"/>
      <c r="G1" s="149"/>
      <c r="H1" s="149"/>
      <c r="I1" s="149"/>
      <c r="J1" s="149"/>
      <c r="K1" s="149"/>
      <c r="L1" s="149"/>
      <c r="M1" s="149"/>
      <c r="N1" s="149"/>
      <c r="Q1" s="154" t="s">
        <v>280</v>
      </c>
      <c r="R1" s="155"/>
      <c r="S1" s="155"/>
      <c r="T1" s="155"/>
      <c r="U1" s="155"/>
      <c r="V1" s="156"/>
    </row>
    <row r="2" spans="1:22" ht="14.1" customHeight="1" x14ac:dyDescent="0.25">
      <c r="A2" s="153" t="s">
        <v>2943</v>
      </c>
      <c r="B2" s="149"/>
      <c r="C2" s="149"/>
      <c r="D2" s="149"/>
      <c r="E2" s="149"/>
      <c r="F2" s="149"/>
      <c r="G2" s="149"/>
      <c r="H2" s="149"/>
      <c r="I2" s="149"/>
      <c r="J2" s="149"/>
      <c r="K2" s="149"/>
      <c r="L2" s="149"/>
      <c r="M2" s="149"/>
      <c r="N2" s="149"/>
      <c r="Q2" s="158" t="s">
        <v>216</v>
      </c>
      <c r="R2" s="155"/>
      <c r="S2" s="155"/>
      <c r="T2" s="155"/>
      <c r="U2" s="155"/>
      <c r="V2" s="156"/>
    </row>
    <row r="3" spans="1:22" x14ac:dyDescent="0.25">
      <c r="Q3" s="157" t="s">
        <v>217</v>
      </c>
      <c r="R3" s="155"/>
      <c r="S3" s="155"/>
      <c r="T3" s="155"/>
      <c r="U3" s="155"/>
      <c r="V3" s="156"/>
    </row>
    <row r="4" spans="1:22" ht="15.95" customHeight="1" x14ac:dyDescent="0.25">
      <c r="B4" s="178" t="s">
        <v>2944</v>
      </c>
      <c r="C4" s="155"/>
      <c r="D4" s="156"/>
      <c r="E4" s="178" t="s">
        <v>2945</v>
      </c>
      <c r="F4" s="155"/>
      <c r="G4" s="156"/>
      <c r="H4" s="178" t="s">
        <v>2946</v>
      </c>
      <c r="I4" s="155"/>
      <c r="J4" s="156"/>
      <c r="K4" s="178" t="s">
        <v>2947</v>
      </c>
      <c r="L4" s="155"/>
      <c r="M4" s="156"/>
      <c r="Q4" s="157" t="s">
        <v>218</v>
      </c>
      <c r="R4" s="155"/>
      <c r="S4" s="155"/>
      <c r="T4" s="155"/>
      <c r="U4" s="155"/>
      <c r="V4" s="156"/>
    </row>
    <row r="5" spans="1:22" ht="21.95" customHeight="1" x14ac:dyDescent="0.25">
      <c r="B5" s="172">
        <f>'13. RESUMO GERENCIAL'!$E$10</f>
        <v>29</v>
      </c>
      <c r="C5" s="173"/>
      <c r="D5" s="174"/>
      <c r="E5" s="179">
        <f>'13. RESUMO GERENCIAL'!$E$11</f>
        <v>0.65909090909090906</v>
      </c>
      <c r="F5" s="173"/>
      <c r="G5" s="174"/>
      <c r="H5" s="179">
        <f ca="1">'13. RESUMO GERENCIAL'!$E$12</f>
        <v>0.96551724137931039</v>
      </c>
      <c r="I5" s="173"/>
      <c r="J5" s="174"/>
      <c r="K5" s="172">
        <f>'13. RESUMO GERENCIAL'!$E$13</f>
        <v>25</v>
      </c>
      <c r="L5" s="173"/>
      <c r="M5" s="174"/>
    </row>
    <row r="6" spans="1:22" ht="12" customHeight="1" x14ac:dyDescent="0.25">
      <c r="B6" s="175"/>
      <c r="C6" s="176"/>
      <c r="D6" s="177"/>
      <c r="E6" s="175"/>
      <c r="F6" s="176"/>
      <c r="G6" s="177"/>
      <c r="H6" s="175"/>
      <c r="I6" s="176"/>
      <c r="J6" s="177"/>
      <c r="K6" s="175"/>
      <c r="L6" s="176"/>
      <c r="M6" s="177"/>
    </row>
    <row r="8" spans="1:22" ht="15.95" customHeight="1" x14ac:dyDescent="0.25">
      <c r="B8" s="178" t="s">
        <v>2948</v>
      </c>
      <c r="C8" s="155"/>
      <c r="D8" s="156"/>
      <c r="E8" s="178" t="s">
        <v>2933</v>
      </c>
      <c r="F8" s="155"/>
      <c r="G8" s="156"/>
      <c r="H8" s="178" t="s">
        <v>2949</v>
      </c>
      <c r="I8" s="155"/>
      <c r="J8" s="156"/>
      <c r="K8" s="178" t="s">
        <v>2950</v>
      </c>
      <c r="L8" s="155"/>
      <c r="M8" s="156"/>
    </row>
    <row r="9" spans="1:22" ht="21.95" customHeight="1" x14ac:dyDescent="0.25">
      <c r="B9" s="181">
        <f>'13. RESUMO GERENCIAL'!$E$16</f>
        <v>37390.020000000011</v>
      </c>
      <c r="C9" s="173"/>
      <c r="D9" s="174"/>
      <c r="E9" s="179">
        <f>'13. RESUMO GERENCIAL'!$E$18</f>
        <v>4.82072289878352E-2</v>
      </c>
      <c r="F9" s="173"/>
      <c r="G9" s="174"/>
      <c r="H9" s="181">
        <f>'13. RESUMO GERENCIAL'!$E$24</f>
        <v>-474982.43439999997</v>
      </c>
      <c r="I9" s="173"/>
      <c r="J9" s="174"/>
      <c r="K9" s="179">
        <f>'13. RESUMO GERENCIAL'!$E$25</f>
        <v>-12.703454943324443</v>
      </c>
      <c r="L9" s="173"/>
      <c r="M9" s="174"/>
    </row>
    <row r="10" spans="1:22" ht="12" customHeight="1" x14ac:dyDescent="0.25">
      <c r="B10" s="175"/>
      <c r="C10" s="176"/>
      <c r="D10" s="177"/>
      <c r="E10" s="175"/>
      <c r="F10" s="176"/>
      <c r="G10" s="177"/>
      <c r="H10" s="175"/>
      <c r="I10" s="176"/>
      <c r="J10" s="177"/>
      <c r="K10" s="175"/>
      <c r="L10" s="176"/>
      <c r="M10" s="177"/>
    </row>
    <row r="74" spans="2:14" x14ac:dyDescent="0.25">
      <c r="B74" s="166" t="s">
        <v>2951</v>
      </c>
      <c r="C74" s="149"/>
      <c r="D74" s="149"/>
      <c r="E74" s="149"/>
      <c r="F74" s="149"/>
      <c r="G74" s="149"/>
      <c r="H74" s="149"/>
      <c r="I74" s="149"/>
      <c r="J74" s="149"/>
      <c r="K74" s="149"/>
      <c r="L74" s="149"/>
      <c r="M74" s="149"/>
      <c r="N74" s="149"/>
    </row>
    <row r="75" spans="2:14" x14ac:dyDescent="0.25">
      <c r="B75" s="180" t="s">
        <v>2952</v>
      </c>
      <c r="C75" s="149"/>
      <c r="D75" s="149"/>
      <c r="E75" s="149"/>
      <c r="F75" s="149"/>
      <c r="G75" s="149"/>
      <c r="H75" s="149"/>
      <c r="I75" s="149"/>
      <c r="J75" s="149"/>
      <c r="K75" s="149"/>
      <c r="L75" s="149"/>
      <c r="M75" s="149"/>
      <c r="N75" s="149"/>
    </row>
    <row r="76" spans="2:14" x14ac:dyDescent="0.25">
      <c r="B76" s="180" t="s">
        <v>2953</v>
      </c>
      <c r="C76" s="149"/>
      <c r="D76" s="149"/>
      <c r="E76" s="149"/>
      <c r="F76" s="149"/>
      <c r="G76" s="149"/>
      <c r="H76" s="149"/>
      <c r="I76" s="149"/>
      <c r="J76" s="149"/>
      <c r="K76" s="149"/>
      <c r="L76" s="149"/>
      <c r="M76" s="149"/>
      <c r="N76" s="149"/>
    </row>
    <row r="77" spans="2:14" x14ac:dyDescent="0.25">
      <c r="B77" s="180" t="s">
        <v>2954</v>
      </c>
      <c r="C77" s="149"/>
      <c r="D77" s="149"/>
      <c r="E77" s="149"/>
      <c r="F77" s="149"/>
      <c r="G77" s="149"/>
      <c r="H77" s="149"/>
      <c r="I77" s="149"/>
      <c r="J77" s="149"/>
      <c r="K77" s="149"/>
      <c r="L77" s="149"/>
      <c r="M77" s="149"/>
      <c r="N77" s="149"/>
    </row>
    <row r="78" spans="2:14" x14ac:dyDescent="0.25">
      <c r="B78" s="180" t="s">
        <v>2955</v>
      </c>
      <c r="C78" s="149"/>
      <c r="D78" s="149"/>
      <c r="E78" s="149"/>
      <c r="F78" s="149"/>
      <c r="G78" s="149"/>
      <c r="H78" s="149"/>
      <c r="I78" s="149"/>
      <c r="J78" s="149"/>
      <c r="K78" s="149"/>
      <c r="L78" s="149"/>
      <c r="M78" s="149"/>
      <c r="N78" s="149"/>
    </row>
    <row r="79" spans="2:14" x14ac:dyDescent="0.25">
      <c r="B79" s="180" t="s">
        <v>2956</v>
      </c>
      <c r="C79" s="149"/>
      <c r="D79" s="149"/>
      <c r="E79" s="149"/>
      <c r="F79" s="149"/>
      <c r="G79" s="149"/>
      <c r="H79" s="149"/>
      <c r="I79" s="149"/>
      <c r="J79" s="149"/>
      <c r="K79" s="149"/>
      <c r="L79" s="149"/>
      <c r="M79" s="149"/>
      <c r="N79" s="149"/>
    </row>
  </sheetData>
  <mergeCells count="28">
    <mergeCell ref="Q3:V3"/>
    <mergeCell ref="E8:G8"/>
    <mergeCell ref="H4:J4"/>
    <mergeCell ref="B9:D10"/>
    <mergeCell ref="B78:N78"/>
    <mergeCell ref="E4:G4"/>
    <mergeCell ref="Q1:V1"/>
    <mergeCell ref="A1:N1"/>
    <mergeCell ref="K8:M8"/>
    <mergeCell ref="B76:N76"/>
    <mergeCell ref="B79:N79"/>
    <mergeCell ref="E5:G6"/>
    <mergeCell ref="B75:N75"/>
    <mergeCell ref="K5:M6"/>
    <mergeCell ref="H9:J10"/>
    <mergeCell ref="Q2:V2"/>
    <mergeCell ref="K4:M4"/>
    <mergeCell ref="A2:N2"/>
    <mergeCell ref="B4:D4"/>
    <mergeCell ref="H8:J8"/>
    <mergeCell ref="E9:G10"/>
    <mergeCell ref="B77:N77"/>
    <mergeCell ref="B5:D6"/>
    <mergeCell ref="B8:D8"/>
    <mergeCell ref="H5:J6"/>
    <mergeCell ref="B74:N74"/>
    <mergeCell ref="Q4:V4"/>
    <mergeCell ref="K9:M10"/>
  </mergeCells>
  <pageMargins left="0.75" right="0.75" top="1" bottom="1" header="0.5" footer="0.5"/>
  <pageSetup fitToHeight="0"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04"/>
  <sheetViews>
    <sheetView workbookViewId="0">
      <pane xSplit="2" ySplit="4" topLeftCell="C17" activePane="bottomRight" state="frozen"/>
      <selection pane="topRight"/>
      <selection pane="bottomLeft"/>
      <selection pane="bottomRight" sqref="A1:T1"/>
    </sheetView>
  </sheetViews>
  <sheetFormatPr defaultRowHeight="15" x14ac:dyDescent="0.25"/>
  <cols>
    <col min="1" max="1" width="15" style="109" customWidth="1"/>
    <col min="2" max="2" width="11" style="109" customWidth="1"/>
    <col min="3" max="3" width="7" style="109" customWidth="1"/>
    <col min="4" max="4" width="24" style="109" customWidth="1"/>
    <col min="5" max="5" width="12" style="109" customWidth="1"/>
    <col min="6" max="6" width="20" style="109" customWidth="1"/>
    <col min="7" max="7" width="26" style="109" customWidth="1"/>
    <col min="8" max="9" width="24" style="109" customWidth="1"/>
    <col min="10" max="10" width="72" style="109" customWidth="1"/>
    <col min="11" max="11" width="52" style="109" customWidth="1"/>
    <col min="12" max="12" width="54" style="109" customWidth="1"/>
    <col min="13" max="13" width="14" style="109" customWidth="1"/>
    <col min="14" max="14" width="11" style="109" customWidth="1"/>
    <col min="15" max="15" width="12" style="109" customWidth="1"/>
    <col min="16" max="16" width="14" style="109" customWidth="1"/>
    <col min="17" max="17" width="11" style="109" customWidth="1"/>
    <col min="18" max="18" width="15" style="109" customWidth="1"/>
    <col min="19" max="19" width="24" style="109" customWidth="1"/>
    <col min="20" max="20" width="80" style="109" customWidth="1"/>
    <col min="21" max="21" width="42" style="109" customWidth="1"/>
    <col min="22" max="22" width="30" style="109" customWidth="1"/>
    <col min="23" max="23" width="50" style="109" customWidth="1"/>
    <col min="24" max="24" width="16" style="109" customWidth="1"/>
  </cols>
  <sheetData>
    <row r="1" spans="1:24" ht="26.1" customHeight="1" x14ac:dyDescent="0.25">
      <c r="A1" s="182" t="s">
        <v>2957</v>
      </c>
      <c r="B1" s="149"/>
      <c r="C1" s="149"/>
      <c r="D1" s="149"/>
      <c r="E1" s="149"/>
      <c r="F1" s="149"/>
      <c r="G1" s="149"/>
      <c r="H1" s="149"/>
      <c r="I1" s="149"/>
      <c r="J1" s="149"/>
      <c r="K1" s="149"/>
      <c r="L1" s="149"/>
      <c r="M1" s="149"/>
      <c r="N1" s="149"/>
      <c r="O1" s="149"/>
      <c r="P1" s="149"/>
      <c r="Q1" s="149"/>
      <c r="R1" s="149"/>
      <c r="S1" s="149"/>
      <c r="T1" s="149"/>
    </row>
    <row r="2" spans="1:24" ht="20.100000000000001" customHeight="1" x14ac:dyDescent="0.25">
      <c r="A2" s="183" t="s">
        <v>2958</v>
      </c>
      <c r="B2" s="149"/>
      <c r="C2" s="149"/>
      <c r="D2" s="149"/>
      <c r="E2" s="149"/>
      <c r="F2" s="149"/>
      <c r="G2" s="149"/>
      <c r="H2" s="149"/>
      <c r="I2" s="149"/>
      <c r="J2" s="149"/>
      <c r="K2" s="149"/>
      <c r="L2" s="149"/>
      <c r="M2" s="149"/>
      <c r="N2" s="149"/>
      <c r="O2" s="149"/>
      <c r="P2" s="149"/>
      <c r="Q2" s="149"/>
      <c r="R2" s="149"/>
      <c r="S2" s="149"/>
      <c r="T2" s="149"/>
    </row>
    <row r="4" spans="1:24" ht="32.1" customHeight="1" x14ac:dyDescent="0.25">
      <c r="A4" s="95" t="s">
        <v>2959</v>
      </c>
      <c r="B4" s="95" t="s">
        <v>2536</v>
      </c>
      <c r="C4" s="95" t="s">
        <v>2960</v>
      </c>
      <c r="D4" s="95" t="s">
        <v>2961</v>
      </c>
      <c r="E4" s="95" t="s">
        <v>591</v>
      </c>
      <c r="F4" s="95" t="s">
        <v>2962</v>
      </c>
      <c r="G4" s="95" t="s">
        <v>2963</v>
      </c>
      <c r="H4" s="95" t="s">
        <v>2964</v>
      </c>
      <c r="I4" s="95" t="s">
        <v>2965</v>
      </c>
      <c r="J4" s="95" t="s">
        <v>2966</v>
      </c>
      <c r="K4" s="95" t="s">
        <v>2967</v>
      </c>
      <c r="L4" s="95" t="s">
        <v>2968</v>
      </c>
      <c r="M4" s="95" t="s">
        <v>2665</v>
      </c>
      <c r="N4" s="95" t="s">
        <v>2825</v>
      </c>
      <c r="O4" s="95" t="s">
        <v>593</v>
      </c>
      <c r="P4" s="95" t="s">
        <v>2430</v>
      </c>
      <c r="Q4" s="95" t="s">
        <v>2431</v>
      </c>
      <c r="R4" s="95" t="s">
        <v>2969</v>
      </c>
      <c r="S4" s="95" t="s">
        <v>2970</v>
      </c>
      <c r="T4" s="95" t="s">
        <v>2971</v>
      </c>
      <c r="U4" s="130" t="s">
        <v>2972</v>
      </c>
      <c r="V4" s="130" t="s">
        <v>2973</v>
      </c>
      <c r="W4" s="130" t="s">
        <v>2974</v>
      </c>
      <c r="X4" s="130" t="s">
        <v>2975</v>
      </c>
    </row>
    <row r="5" spans="1:24" ht="63.95" customHeight="1" x14ac:dyDescent="0.25">
      <c r="A5" s="96" t="str">
        <f t="shared" ref="A5:A68" si="0">IF($B5="","","ATA-"&amp;TEXT($B5,"yyyymmdd"))</f>
        <v>ATA-yyyy0915</v>
      </c>
      <c r="B5" s="97">
        <v>46280</v>
      </c>
      <c r="C5" s="98"/>
      <c r="D5" s="99" t="s">
        <v>2976</v>
      </c>
      <c r="E5" s="99" t="s">
        <v>529</v>
      </c>
      <c r="F5" s="99" t="s">
        <v>2977</v>
      </c>
      <c r="G5" s="99" t="s">
        <v>2978</v>
      </c>
      <c r="H5" s="99"/>
      <c r="I5" s="99" t="s">
        <v>2979</v>
      </c>
      <c r="J5" s="100" t="s">
        <v>2980</v>
      </c>
      <c r="K5" s="100" t="s">
        <v>2981</v>
      </c>
      <c r="L5" s="100" t="s">
        <v>2982</v>
      </c>
      <c r="M5" s="99" t="s">
        <v>2808</v>
      </c>
      <c r="N5" s="97"/>
      <c r="O5" s="99" t="s">
        <v>681</v>
      </c>
      <c r="P5" s="99" t="s">
        <v>623</v>
      </c>
      <c r="Q5" s="101">
        <f t="shared" ref="Q5:Q68" ca="1" si="1">IF(OR($B5="",$L5="",$P5="CONCLUÍDA"),"",TODAY()-$B5)</f>
        <v>1</v>
      </c>
      <c r="R5" s="99"/>
      <c r="S5" s="99"/>
      <c r="T5" s="100" t="s">
        <v>2983</v>
      </c>
      <c r="U5" s="131" t="s">
        <v>2984</v>
      </c>
      <c r="V5" s="131" t="s">
        <v>2985</v>
      </c>
      <c r="W5" s="131"/>
      <c r="X5" s="132"/>
    </row>
    <row r="6" spans="1:24" ht="63.95" customHeight="1" x14ac:dyDescent="0.25">
      <c r="A6" s="96" t="str">
        <f t="shared" si="0"/>
        <v>ATA-yyyy0915</v>
      </c>
      <c r="B6" s="97">
        <v>46280</v>
      </c>
      <c r="C6" s="98"/>
      <c r="D6" s="99" t="s">
        <v>2976</v>
      </c>
      <c r="E6" s="99" t="s">
        <v>529</v>
      </c>
      <c r="F6" s="99" t="s">
        <v>2977</v>
      </c>
      <c r="G6" s="99" t="s">
        <v>2978</v>
      </c>
      <c r="H6" s="99"/>
      <c r="I6" s="99" t="s">
        <v>2986</v>
      </c>
      <c r="J6" s="100" t="s">
        <v>2987</v>
      </c>
      <c r="K6" s="100" t="s">
        <v>2988</v>
      </c>
      <c r="L6" s="100" t="s">
        <v>2989</v>
      </c>
      <c r="M6" s="99" t="s">
        <v>2808</v>
      </c>
      <c r="N6" s="97"/>
      <c r="O6" s="99" t="s">
        <v>639</v>
      </c>
      <c r="P6" s="99" t="s">
        <v>623</v>
      </c>
      <c r="Q6" s="101">
        <f t="shared" ca="1" si="1"/>
        <v>1</v>
      </c>
      <c r="R6" s="99"/>
      <c r="S6" s="99"/>
      <c r="T6" s="100"/>
      <c r="U6" s="131" t="s">
        <v>2990</v>
      </c>
      <c r="V6" s="131" t="s">
        <v>2991</v>
      </c>
      <c r="W6" s="131"/>
      <c r="X6" s="132"/>
    </row>
    <row r="7" spans="1:24" ht="63.95" customHeight="1" x14ac:dyDescent="0.25">
      <c r="A7" s="96" t="str">
        <f t="shared" si="0"/>
        <v>ATA-yyyy0915</v>
      </c>
      <c r="B7" s="97">
        <v>46280</v>
      </c>
      <c r="C7" s="98"/>
      <c r="D7" s="99" t="s">
        <v>2976</v>
      </c>
      <c r="E7" s="99" t="s">
        <v>529</v>
      </c>
      <c r="F7" s="99" t="s">
        <v>2977</v>
      </c>
      <c r="G7" s="99" t="s">
        <v>2978</v>
      </c>
      <c r="H7" s="99"/>
      <c r="I7" s="99" t="s">
        <v>2992</v>
      </c>
      <c r="J7" s="100" t="s">
        <v>2993</v>
      </c>
      <c r="K7" s="100" t="s">
        <v>2994</v>
      </c>
      <c r="L7" s="100" t="s">
        <v>2995</v>
      </c>
      <c r="M7" s="99" t="s">
        <v>2808</v>
      </c>
      <c r="N7" s="97"/>
      <c r="O7" s="99" t="s">
        <v>681</v>
      </c>
      <c r="P7" s="99" t="s">
        <v>623</v>
      </c>
      <c r="Q7" s="101">
        <f t="shared" ca="1" si="1"/>
        <v>1</v>
      </c>
      <c r="R7" s="99"/>
      <c r="S7" s="99"/>
      <c r="T7" s="100"/>
      <c r="U7" s="131" t="s">
        <v>2996</v>
      </c>
      <c r="V7" s="131" t="s">
        <v>2997</v>
      </c>
      <c r="W7" s="131"/>
      <c r="X7" s="132"/>
    </row>
    <row r="8" spans="1:24" ht="63.95" customHeight="1" x14ac:dyDescent="0.25">
      <c r="A8" s="96" t="str">
        <f t="shared" si="0"/>
        <v>ATA-yyyy0915</v>
      </c>
      <c r="B8" s="97">
        <v>46280</v>
      </c>
      <c r="C8" s="98"/>
      <c r="D8" s="99" t="s">
        <v>2976</v>
      </c>
      <c r="E8" s="99" t="s">
        <v>529</v>
      </c>
      <c r="F8" s="99" t="s">
        <v>2977</v>
      </c>
      <c r="G8" s="99" t="s">
        <v>2978</v>
      </c>
      <c r="H8" s="99"/>
      <c r="I8" s="99" t="s">
        <v>2998</v>
      </c>
      <c r="J8" s="100" t="s">
        <v>2999</v>
      </c>
      <c r="K8" s="100" t="s">
        <v>3000</v>
      </c>
      <c r="L8" s="100" t="s">
        <v>3001</v>
      </c>
      <c r="M8" s="99" t="s">
        <v>2808</v>
      </c>
      <c r="N8" s="97">
        <v>46272</v>
      </c>
      <c r="O8" s="99" t="s">
        <v>681</v>
      </c>
      <c r="P8" s="99" t="s">
        <v>623</v>
      </c>
      <c r="Q8" s="101">
        <f t="shared" ca="1" si="1"/>
        <v>1</v>
      </c>
      <c r="R8" s="99"/>
      <c r="S8" s="99"/>
      <c r="T8" s="100"/>
      <c r="U8" s="131" t="s">
        <v>3002</v>
      </c>
      <c r="V8" s="131" t="s">
        <v>473</v>
      </c>
      <c r="W8" s="131"/>
      <c r="X8" s="132"/>
    </row>
    <row r="9" spans="1:24" ht="63.95" customHeight="1" x14ac:dyDescent="0.25">
      <c r="A9" s="96" t="str">
        <f t="shared" si="0"/>
        <v>ATA-yyyy0915</v>
      </c>
      <c r="B9" s="97">
        <v>46280</v>
      </c>
      <c r="C9" s="98"/>
      <c r="D9" s="99" t="s">
        <v>2976</v>
      </c>
      <c r="E9" s="99" t="s">
        <v>529</v>
      </c>
      <c r="F9" s="99" t="s">
        <v>2977</v>
      </c>
      <c r="G9" s="99" t="s">
        <v>2978</v>
      </c>
      <c r="H9" s="99"/>
      <c r="I9" s="99" t="s">
        <v>3003</v>
      </c>
      <c r="J9" s="100" t="s">
        <v>3004</v>
      </c>
      <c r="K9" s="100" t="s">
        <v>3005</v>
      </c>
      <c r="L9" s="100" t="s">
        <v>3006</v>
      </c>
      <c r="M9" s="99" t="s">
        <v>2808</v>
      </c>
      <c r="N9" s="97"/>
      <c r="O9" s="99" t="s">
        <v>639</v>
      </c>
      <c r="P9" s="99" t="s">
        <v>623</v>
      </c>
      <c r="Q9" s="101">
        <f t="shared" ca="1" si="1"/>
        <v>1</v>
      </c>
      <c r="R9" s="99"/>
      <c r="S9" s="99"/>
      <c r="T9" s="100"/>
      <c r="U9" s="131" t="s">
        <v>3007</v>
      </c>
      <c r="V9" s="131" t="s">
        <v>3008</v>
      </c>
      <c r="W9" s="131"/>
      <c r="X9" s="132"/>
    </row>
    <row r="10" spans="1:24" ht="63.95" customHeight="1" x14ac:dyDescent="0.25">
      <c r="A10" s="96" t="str">
        <f t="shared" si="0"/>
        <v>ATA-yyyy0915</v>
      </c>
      <c r="B10" s="97">
        <v>46280</v>
      </c>
      <c r="C10" s="98"/>
      <c r="D10" s="99" t="s">
        <v>2976</v>
      </c>
      <c r="E10" s="99" t="s">
        <v>529</v>
      </c>
      <c r="F10" s="99" t="s">
        <v>2977</v>
      </c>
      <c r="G10" s="99" t="s">
        <v>2978</v>
      </c>
      <c r="H10" s="99"/>
      <c r="I10" s="99" t="s">
        <v>3009</v>
      </c>
      <c r="J10" s="100" t="s">
        <v>3010</v>
      </c>
      <c r="K10" s="100" t="s">
        <v>3011</v>
      </c>
      <c r="L10" s="100" t="s">
        <v>3012</v>
      </c>
      <c r="M10" s="99" t="s">
        <v>2808</v>
      </c>
      <c r="N10" s="97"/>
      <c r="O10" s="99" t="s">
        <v>639</v>
      </c>
      <c r="P10" s="99" t="s">
        <v>623</v>
      </c>
      <c r="Q10" s="101">
        <f t="shared" ca="1" si="1"/>
        <v>1</v>
      </c>
      <c r="R10" s="99"/>
      <c r="S10" s="99"/>
      <c r="T10" s="100"/>
      <c r="U10" s="131" t="s">
        <v>3013</v>
      </c>
      <c r="V10" s="131" t="s">
        <v>3014</v>
      </c>
      <c r="W10" s="131"/>
      <c r="X10" s="132"/>
    </row>
    <row r="11" spans="1:24" ht="63.95" customHeight="1" x14ac:dyDescent="0.25">
      <c r="A11" s="96" t="str">
        <f t="shared" si="0"/>
        <v>ATA-yyyy0915</v>
      </c>
      <c r="B11" s="97">
        <v>46280</v>
      </c>
      <c r="C11" s="98"/>
      <c r="D11" s="99" t="s">
        <v>2976</v>
      </c>
      <c r="E11" s="99" t="s">
        <v>529</v>
      </c>
      <c r="F11" s="99" t="s">
        <v>2977</v>
      </c>
      <c r="G11" s="99" t="s">
        <v>2978</v>
      </c>
      <c r="H11" s="99"/>
      <c r="I11" s="99" t="s">
        <v>3015</v>
      </c>
      <c r="J11" s="100" t="s">
        <v>3016</v>
      </c>
      <c r="K11" s="100" t="s">
        <v>3017</v>
      </c>
      <c r="L11" s="100" t="s">
        <v>3018</v>
      </c>
      <c r="M11" s="99" t="s">
        <v>2808</v>
      </c>
      <c r="N11" s="97"/>
      <c r="O11" s="99"/>
      <c r="P11" s="99" t="s">
        <v>623</v>
      </c>
      <c r="Q11" s="101">
        <f t="shared" ca="1" si="1"/>
        <v>1</v>
      </c>
      <c r="R11" s="99"/>
      <c r="S11" s="99"/>
      <c r="T11" s="100"/>
      <c r="U11" s="131" t="s">
        <v>3019</v>
      </c>
      <c r="V11" s="131" t="s">
        <v>3020</v>
      </c>
      <c r="W11" s="131"/>
      <c r="X11" s="132"/>
    </row>
    <row r="12" spans="1:24" ht="63.95" customHeight="1" x14ac:dyDescent="0.25">
      <c r="A12" s="96" t="str">
        <f t="shared" si="0"/>
        <v>ATA-yyyy0915</v>
      </c>
      <c r="B12" s="97">
        <v>46280</v>
      </c>
      <c r="C12" s="98"/>
      <c r="D12" s="99" t="s">
        <v>2976</v>
      </c>
      <c r="E12" s="99" t="s">
        <v>529</v>
      </c>
      <c r="F12" s="99" t="s">
        <v>2977</v>
      </c>
      <c r="G12" s="99" t="s">
        <v>2978</v>
      </c>
      <c r="H12" s="99"/>
      <c r="I12" s="99" t="s">
        <v>3021</v>
      </c>
      <c r="J12" s="100" t="s">
        <v>3022</v>
      </c>
      <c r="K12" s="100" t="s">
        <v>3023</v>
      </c>
      <c r="L12" s="100" t="s">
        <v>3024</v>
      </c>
      <c r="M12" s="99" t="s">
        <v>3025</v>
      </c>
      <c r="N12" s="97">
        <v>46280</v>
      </c>
      <c r="O12" s="99" t="s">
        <v>639</v>
      </c>
      <c r="P12" s="99" t="s">
        <v>623</v>
      </c>
      <c r="Q12" s="101">
        <f t="shared" ca="1" si="1"/>
        <v>1</v>
      </c>
      <c r="R12" s="99"/>
      <c r="S12" s="99"/>
      <c r="T12" s="100"/>
      <c r="U12" s="131" t="s">
        <v>3026</v>
      </c>
      <c r="V12" s="131" t="s">
        <v>3027</v>
      </c>
      <c r="W12" s="131"/>
      <c r="X12" s="132"/>
    </row>
    <row r="13" spans="1:24" ht="63.95" customHeight="1" x14ac:dyDescent="0.25">
      <c r="A13" s="96" t="str">
        <f t="shared" si="0"/>
        <v>ATA-yyyy0915</v>
      </c>
      <c r="B13" s="97">
        <v>46280</v>
      </c>
      <c r="C13" s="98"/>
      <c r="D13" s="99" t="s">
        <v>2976</v>
      </c>
      <c r="E13" s="99" t="s">
        <v>529</v>
      </c>
      <c r="F13" s="99" t="s">
        <v>2977</v>
      </c>
      <c r="G13" s="99" t="s">
        <v>2978</v>
      </c>
      <c r="H13" s="99"/>
      <c r="I13" s="99" t="s">
        <v>762</v>
      </c>
      <c r="J13" s="100" t="s">
        <v>3028</v>
      </c>
      <c r="K13" s="100" t="s">
        <v>3029</v>
      </c>
      <c r="L13" s="100" t="s">
        <v>3030</v>
      </c>
      <c r="M13" s="99" t="s">
        <v>3025</v>
      </c>
      <c r="N13" s="97">
        <v>46280</v>
      </c>
      <c r="O13" s="99" t="s">
        <v>642</v>
      </c>
      <c r="P13" s="99" t="s">
        <v>623</v>
      </c>
      <c r="Q13" s="101">
        <f t="shared" ca="1" si="1"/>
        <v>1</v>
      </c>
      <c r="R13" s="99"/>
      <c r="S13" s="99"/>
      <c r="T13" s="100"/>
      <c r="U13" s="131" t="s">
        <v>3031</v>
      </c>
      <c r="V13" s="131" t="s">
        <v>3032</v>
      </c>
      <c r="W13" s="131"/>
      <c r="X13" s="132"/>
    </row>
    <row r="14" spans="1:24" ht="63.95" customHeight="1" x14ac:dyDescent="0.25">
      <c r="A14" s="96" t="str">
        <f t="shared" si="0"/>
        <v>ATA-yyyy0915</v>
      </c>
      <c r="B14" s="97">
        <v>46280</v>
      </c>
      <c r="C14" s="98"/>
      <c r="D14" s="99" t="s">
        <v>2976</v>
      </c>
      <c r="E14" s="99" t="s">
        <v>529</v>
      </c>
      <c r="F14" s="99" t="s">
        <v>2977</v>
      </c>
      <c r="G14" s="99" t="s">
        <v>2978</v>
      </c>
      <c r="H14" s="99"/>
      <c r="I14" s="99" t="s">
        <v>3033</v>
      </c>
      <c r="J14" s="100" t="s">
        <v>3034</v>
      </c>
      <c r="K14" s="100" t="s">
        <v>3035</v>
      </c>
      <c r="L14" s="100" t="s">
        <v>3036</v>
      </c>
      <c r="M14" s="99" t="s">
        <v>3025</v>
      </c>
      <c r="N14" s="97">
        <v>46280</v>
      </c>
      <c r="O14" s="99"/>
      <c r="P14" s="99" t="s">
        <v>623</v>
      </c>
      <c r="Q14" s="101">
        <f t="shared" ca="1" si="1"/>
        <v>1</v>
      </c>
      <c r="R14" s="99"/>
      <c r="S14" s="99"/>
      <c r="T14" s="100"/>
      <c r="U14" s="131" t="s">
        <v>3037</v>
      </c>
      <c r="V14" s="131" t="s">
        <v>3038</v>
      </c>
      <c r="W14" s="131"/>
      <c r="X14" s="132"/>
    </row>
    <row r="15" spans="1:24" ht="63.95" customHeight="1" x14ac:dyDescent="0.25">
      <c r="A15" s="96" t="str">
        <f t="shared" si="0"/>
        <v>ATA-yyyy0915</v>
      </c>
      <c r="B15" s="97">
        <v>46280</v>
      </c>
      <c r="C15" s="98"/>
      <c r="D15" s="99" t="s">
        <v>2976</v>
      </c>
      <c r="E15" s="99" t="s">
        <v>529</v>
      </c>
      <c r="F15" s="99" t="s">
        <v>2977</v>
      </c>
      <c r="G15" s="99" t="s">
        <v>2978</v>
      </c>
      <c r="H15" s="99"/>
      <c r="I15" s="99" t="s">
        <v>3039</v>
      </c>
      <c r="J15" s="100" t="s">
        <v>3040</v>
      </c>
      <c r="K15" s="100" t="s">
        <v>3041</v>
      </c>
      <c r="L15" s="100" t="s">
        <v>3042</v>
      </c>
      <c r="M15" s="99" t="s">
        <v>3025</v>
      </c>
      <c r="N15" s="97"/>
      <c r="O15" s="99"/>
      <c r="P15" s="99" t="s">
        <v>623</v>
      </c>
      <c r="Q15" s="101">
        <f t="shared" ca="1" si="1"/>
        <v>1</v>
      </c>
      <c r="R15" s="99"/>
      <c r="S15" s="99"/>
      <c r="T15" s="100"/>
      <c r="U15" s="131" t="s">
        <v>3043</v>
      </c>
      <c r="V15" s="131" t="s">
        <v>467</v>
      </c>
      <c r="W15" s="131"/>
      <c r="X15" s="132"/>
    </row>
    <row r="16" spans="1:24" ht="63.95" customHeight="1" x14ac:dyDescent="0.25">
      <c r="A16" s="96" t="str">
        <f t="shared" si="0"/>
        <v>ATA-yyyy0915</v>
      </c>
      <c r="B16" s="97">
        <v>46280</v>
      </c>
      <c r="C16" s="98"/>
      <c r="D16" s="99" t="s">
        <v>2976</v>
      </c>
      <c r="E16" s="99" t="s">
        <v>529</v>
      </c>
      <c r="F16" s="99" t="s">
        <v>2977</v>
      </c>
      <c r="G16" s="99" t="s">
        <v>2978</v>
      </c>
      <c r="H16" s="99"/>
      <c r="I16" s="99" t="s">
        <v>762</v>
      </c>
      <c r="J16" s="100" t="s">
        <v>3044</v>
      </c>
      <c r="K16" s="100" t="s">
        <v>3045</v>
      </c>
      <c r="L16" s="100" t="s">
        <v>3046</v>
      </c>
      <c r="M16" s="99" t="s">
        <v>3025</v>
      </c>
      <c r="N16" s="97"/>
      <c r="O16" s="99" t="s">
        <v>642</v>
      </c>
      <c r="P16" s="99" t="s">
        <v>623</v>
      </c>
      <c r="Q16" s="101">
        <f t="shared" ca="1" si="1"/>
        <v>1</v>
      </c>
      <c r="R16" s="99"/>
      <c r="S16" s="99"/>
      <c r="T16" s="100"/>
      <c r="U16" s="131" t="s">
        <v>3047</v>
      </c>
      <c r="V16" s="131" t="s">
        <v>3032</v>
      </c>
      <c r="W16" s="131"/>
      <c r="X16" s="132"/>
    </row>
    <row r="17" spans="1:24" ht="45.95" customHeight="1" x14ac:dyDescent="0.25">
      <c r="A17" s="96" t="str">
        <f t="shared" si="0"/>
        <v/>
      </c>
      <c r="B17" s="97"/>
      <c r="C17" s="98"/>
      <c r="D17" s="99"/>
      <c r="E17" s="99"/>
      <c r="F17" s="99"/>
      <c r="G17" s="99"/>
      <c r="H17" s="99"/>
      <c r="I17" s="99"/>
      <c r="J17" s="100"/>
      <c r="K17" s="100"/>
      <c r="L17" s="100"/>
      <c r="M17" s="99"/>
      <c r="N17" s="97"/>
      <c r="O17" s="99"/>
      <c r="P17" s="99"/>
      <c r="Q17" s="101" t="str">
        <f t="shared" ca="1" si="1"/>
        <v/>
      </c>
      <c r="R17" s="99"/>
      <c r="S17" s="99"/>
      <c r="T17" s="100"/>
      <c r="U17" s="131"/>
      <c r="V17" s="131"/>
      <c r="W17" s="131"/>
      <c r="X17" s="132"/>
    </row>
    <row r="18" spans="1:24" ht="45.95" customHeight="1" x14ac:dyDescent="0.25">
      <c r="A18" s="96" t="str">
        <f t="shared" si="0"/>
        <v/>
      </c>
      <c r="B18" s="97"/>
      <c r="C18" s="98"/>
      <c r="D18" s="99"/>
      <c r="E18" s="99"/>
      <c r="F18" s="99"/>
      <c r="G18" s="99"/>
      <c r="H18" s="99"/>
      <c r="I18" s="99"/>
      <c r="J18" s="100"/>
      <c r="K18" s="100"/>
      <c r="L18" s="100"/>
      <c r="M18" s="99"/>
      <c r="N18" s="97"/>
      <c r="O18" s="99"/>
      <c r="P18" s="99"/>
      <c r="Q18" s="101" t="str">
        <f t="shared" ca="1" si="1"/>
        <v/>
      </c>
      <c r="R18" s="99"/>
      <c r="S18" s="99"/>
      <c r="T18" s="100"/>
      <c r="U18" s="131"/>
      <c r="V18" s="131"/>
      <c r="W18" s="131"/>
      <c r="X18" s="132"/>
    </row>
    <row r="19" spans="1:24" ht="45.95" customHeight="1" x14ac:dyDescent="0.25">
      <c r="A19" s="96" t="str">
        <f t="shared" si="0"/>
        <v/>
      </c>
      <c r="B19" s="97"/>
      <c r="C19" s="98"/>
      <c r="D19" s="99"/>
      <c r="E19" s="99"/>
      <c r="F19" s="99"/>
      <c r="G19" s="99"/>
      <c r="H19" s="99"/>
      <c r="I19" s="99"/>
      <c r="J19" s="100"/>
      <c r="K19" s="100"/>
      <c r="L19" s="100"/>
      <c r="M19" s="99"/>
      <c r="N19" s="97"/>
      <c r="O19" s="99"/>
      <c r="P19" s="99"/>
      <c r="Q19" s="101" t="str">
        <f t="shared" ca="1" si="1"/>
        <v/>
      </c>
      <c r="R19" s="99"/>
      <c r="S19" s="99"/>
      <c r="T19" s="100"/>
      <c r="U19" s="131"/>
      <c r="V19" s="131"/>
      <c r="W19" s="131"/>
      <c r="X19" s="132"/>
    </row>
    <row r="20" spans="1:24" ht="45.95" customHeight="1" x14ac:dyDescent="0.25">
      <c r="A20" s="96" t="str">
        <f t="shared" si="0"/>
        <v/>
      </c>
      <c r="B20" s="97"/>
      <c r="C20" s="98"/>
      <c r="D20" s="99"/>
      <c r="E20" s="99"/>
      <c r="F20" s="99"/>
      <c r="G20" s="99"/>
      <c r="H20" s="99"/>
      <c r="I20" s="99"/>
      <c r="J20" s="100"/>
      <c r="K20" s="100"/>
      <c r="L20" s="100"/>
      <c r="M20" s="99"/>
      <c r="N20" s="97"/>
      <c r="O20" s="99"/>
      <c r="P20" s="99"/>
      <c r="Q20" s="101" t="str">
        <f t="shared" ca="1" si="1"/>
        <v/>
      </c>
      <c r="R20" s="99"/>
      <c r="S20" s="99"/>
      <c r="T20" s="100"/>
      <c r="U20" s="131"/>
      <c r="V20" s="131"/>
      <c r="W20" s="131"/>
      <c r="X20" s="132"/>
    </row>
    <row r="21" spans="1:24" ht="45.95" customHeight="1" x14ac:dyDescent="0.25">
      <c r="A21" s="96" t="str">
        <f t="shared" si="0"/>
        <v/>
      </c>
      <c r="B21" s="97"/>
      <c r="C21" s="98"/>
      <c r="D21" s="99"/>
      <c r="E21" s="99"/>
      <c r="F21" s="99"/>
      <c r="G21" s="99"/>
      <c r="H21" s="99"/>
      <c r="I21" s="99"/>
      <c r="J21" s="100"/>
      <c r="K21" s="100"/>
      <c r="L21" s="100"/>
      <c r="M21" s="99"/>
      <c r="N21" s="97"/>
      <c r="O21" s="99"/>
      <c r="P21" s="99"/>
      <c r="Q21" s="101" t="str">
        <f t="shared" ca="1" si="1"/>
        <v/>
      </c>
      <c r="R21" s="99"/>
      <c r="S21" s="99"/>
      <c r="T21" s="100"/>
      <c r="U21" s="131"/>
      <c r="V21" s="131"/>
      <c r="W21" s="131"/>
      <c r="X21" s="132"/>
    </row>
    <row r="22" spans="1:24" ht="45.95" customHeight="1" x14ac:dyDescent="0.25">
      <c r="A22" s="96" t="str">
        <f t="shared" si="0"/>
        <v/>
      </c>
      <c r="B22" s="97"/>
      <c r="C22" s="98"/>
      <c r="D22" s="99"/>
      <c r="E22" s="99"/>
      <c r="F22" s="99"/>
      <c r="G22" s="99"/>
      <c r="H22" s="99"/>
      <c r="I22" s="99"/>
      <c r="J22" s="100"/>
      <c r="K22" s="100"/>
      <c r="L22" s="100"/>
      <c r="M22" s="99"/>
      <c r="N22" s="97"/>
      <c r="O22" s="99"/>
      <c r="P22" s="99"/>
      <c r="Q22" s="101" t="str">
        <f t="shared" ca="1" si="1"/>
        <v/>
      </c>
      <c r="R22" s="99"/>
      <c r="S22" s="99"/>
      <c r="T22" s="100"/>
      <c r="U22" s="131"/>
      <c r="V22" s="131"/>
      <c r="W22" s="131"/>
      <c r="X22" s="132"/>
    </row>
    <row r="23" spans="1:24" ht="45.95" customHeight="1" x14ac:dyDescent="0.25">
      <c r="A23" s="96" t="str">
        <f t="shared" si="0"/>
        <v/>
      </c>
      <c r="B23" s="97"/>
      <c r="C23" s="98"/>
      <c r="D23" s="99"/>
      <c r="E23" s="99"/>
      <c r="F23" s="99"/>
      <c r="G23" s="99"/>
      <c r="H23" s="99"/>
      <c r="I23" s="99"/>
      <c r="J23" s="100"/>
      <c r="K23" s="100"/>
      <c r="L23" s="100"/>
      <c r="M23" s="99"/>
      <c r="N23" s="97"/>
      <c r="O23" s="99"/>
      <c r="P23" s="99"/>
      <c r="Q23" s="101" t="str">
        <f t="shared" ca="1" si="1"/>
        <v/>
      </c>
      <c r="R23" s="99"/>
      <c r="S23" s="99"/>
      <c r="T23" s="100"/>
      <c r="U23" s="131"/>
      <c r="V23" s="131"/>
      <c r="W23" s="131"/>
      <c r="X23" s="132"/>
    </row>
    <row r="24" spans="1:24" ht="45.95" customHeight="1" x14ac:dyDescent="0.25">
      <c r="A24" s="96" t="str">
        <f t="shared" si="0"/>
        <v/>
      </c>
      <c r="B24" s="97"/>
      <c r="C24" s="98"/>
      <c r="D24" s="99"/>
      <c r="E24" s="99"/>
      <c r="F24" s="99"/>
      <c r="G24" s="99"/>
      <c r="H24" s="99"/>
      <c r="I24" s="99"/>
      <c r="J24" s="100"/>
      <c r="K24" s="100"/>
      <c r="L24" s="100"/>
      <c r="M24" s="99"/>
      <c r="N24" s="97"/>
      <c r="O24" s="99"/>
      <c r="P24" s="99"/>
      <c r="Q24" s="101" t="str">
        <f t="shared" ca="1" si="1"/>
        <v/>
      </c>
      <c r="R24" s="99"/>
      <c r="S24" s="99"/>
      <c r="T24" s="100"/>
      <c r="U24" s="131"/>
      <c r="V24" s="131"/>
      <c r="W24" s="131"/>
      <c r="X24" s="132"/>
    </row>
    <row r="25" spans="1:24" ht="45.95" customHeight="1" x14ac:dyDescent="0.25">
      <c r="A25" s="96" t="str">
        <f t="shared" si="0"/>
        <v/>
      </c>
      <c r="B25" s="97"/>
      <c r="C25" s="98"/>
      <c r="D25" s="99"/>
      <c r="E25" s="99"/>
      <c r="F25" s="99"/>
      <c r="G25" s="99"/>
      <c r="H25" s="99"/>
      <c r="I25" s="99"/>
      <c r="J25" s="100"/>
      <c r="K25" s="100"/>
      <c r="L25" s="100"/>
      <c r="M25" s="99"/>
      <c r="N25" s="97"/>
      <c r="O25" s="99"/>
      <c r="P25" s="99"/>
      <c r="Q25" s="101" t="str">
        <f t="shared" ca="1" si="1"/>
        <v/>
      </c>
      <c r="R25" s="99"/>
      <c r="S25" s="99"/>
      <c r="T25" s="100"/>
      <c r="U25" s="131"/>
      <c r="V25" s="131"/>
      <c r="W25" s="131"/>
      <c r="X25" s="132"/>
    </row>
    <row r="26" spans="1:24" ht="45.95" customHeight="1" x14ac:dyDescent="0.25">
      <c r="A26" s="96" t="str">
        <f t="shared" si="0"/>
        <v/>
      </c>
      <c r="B26" s="97"/>
      <c r="C26" s="98"/>
      <c r="D26" s="99"/>
      <c r="E26" s="99"/>
      <c r="F26" s="99"/>
      <c r="G26" s="99"/>
      <c r="H26" s="99"/>
      <c r="I26" s="99"/>
      <c r="J26" s="100"/>
      <c r="K26" s="100"/>
      <c r="L26" s="100"/>
      <c r="M26" s="99"/>
      <c r="N26" s="97"/>
      <c r="O26" s="99"/>
      <c r="P26" s="99"/>
      <c r="Q26" s="101" t="str">
        <f t="shared" ca="1" si="1"/>
        <v/>
      </c>
      <c r="R26" s="99"/>
      <c r="S26" s="99"/>
      <c r="T26" s="100"/>
      <c r="U26" s="131"/>
      <c r="V26" s="131"/>
      <c r="W26" s="131"/>
      <c r="X26" s="132"/>
    </row>
    <row r="27" spans="1:24" ht="45.95" customHeight="1" x14ac:dyDescent="0.25">
      <c r="A27" s="96" t="str">
        <f t="shared" si="0"/>
        <v/>
      </c>
      <c r="B27" s="97"/>
      <c r="C27" s="98"/>
      <c r="D27" s="99"/>
      <c r="E27" s="99"/>
      <c r="F27" s="99"/>
      <c r="G27" s="99"/>
      <c r="H27" s="99"/>
      <c r="I27" s="99"/>
      <c r="J27" s="100"/>
      <c r="K27" s="100"/>
      <c r="L27" s="100"/>
      <c r="M27" s="99"/>
      <c r="N27" s="97"/>
      <c r="O27" s="99"/>
      <c r="P27" s="99"/>
      <c r="Q27" s="101" t="str">
        <f t="shared" ca="1" si="1"/>
        <v/>
      </c>
      <c r="R27" s="99"/>
      <c r="S27" s="99"/>
      <c r="T27" s="100"/>
      <c r="U27" s="131"/>
      <c r="V27" s="131"/>
      <c r="W27" s="131"/>
      <c r="X27" s="132"/>
    </row>
    <row r="28" spans="1:24" ht="45.95" customHeight="1" x14ac:dyDescent="0.25">
      <c r="A28" s="96" t="str">
        <f t="shared" si="0"/>
        <v/>
      </c>
      <c r="B28" s="97"/>
      <c r="C28" s="98"/>
      <c r="D28" s="99"/>
      <c r="E28" s="99"/>
      <c r="F28" s="99"/>
      <c r="G28" s="99"/>
      <c r="H28" s="99"/>
      <c r="I28" s="99"/>
      <c r="J28" s="100"/>
      <c r="K28" s="100"/>
      <c r="L28" s="100"/>
      <c r="M28" s="99"/>
      <c r="N28" s="97"/>
      <c r="O28" s="99"/>
      <c r="P28" s="99"/>
      <c r="Q28" s="101" t="str">
        <f t="shared" ca="1" si="1"/>
        <v/>
      </c>
      <c r="R28" s="99"/>
      <c r="S28" s="99"/>
      <c r="T28" s="100"/>
      <c r="U28" s="131"/>
      <c r="V28" s="131"/>
      <c r="W28" s="131"/>
      <c r="X28" s="132"/>
    </row>
    <row r="29" spans="1:24" ht="45.95" customHeight="1" x14ac:dyDescent="0.25">
      <c r="A29" s="96" t="str">
        <f t="shared" si="0"/>
        <v/>
      </c>
      <c r="B29" s="97"/>
      <c r="C29" s="98"/>
      <c r="D29" s="99"/>
      <c r="E29" s="99"/>
      <c r="F29" s="99"/>
      <c r="G29" s="99"/>
      <c r="H29" s="99"/>
      <c r="I29" s="99"/>
      <c r="J29" s="100"/>
      <c r="K29" s="100"/>
      <c r="L29" s="100"/>
      <c r="M29" s="99"/>
      <c r="N29" s="97"/>
      <c r="O29" s="99"/>
      <c r="P29" s="99"/>
      <c r="Q29" s="101" t="str">
        <f t="shared" ca="1" si="1"/>
        <v/>
      </c>
      <c r="R29" s="99"/>
      <c r="S29" s="99"/>
      <c r="T29" s="100"/>
      <c r="U29" s="131"/>
      <c r="V29" s="131"/>
      <c r="W29" s="131"/>
      <c r="X29" s="132"/>
    </row>
    <row r="30" spans="1:24" ht="45.95" customHeight="1" x14ac:dyDescent="0.25">
      <c r="A30" s="96" t="str">
        <f t="shared" si="0"/>
        <v/>
      </c>
      <c r="B30" s="97"/>
      <c r="C30" s="98"/>
      <c r="D30" s="99"/>
      <c r="E30" s="99"/>
      <c r="F30" s="99"/>
      <c r="G30" s="99"/>
      <c r="H30" s="99"/>
      <c r="I30" s="99"/>
      <c r="J30" s="100"/>
      <c r="K30" s="100"/>
      <c r="L30" s="100"/>
      <c r="M30" s="99"/>
      <c r="N30" s="97"/>
      <c r="O30" s="99"/>
      <c r="P30" s="99"/>
      <c r="Q30" s="101" t="str">
        <f t="shared" ca="1" si="1"/>
        <v/>
      </c>
      <c r="R30" s="99"/>
      <c r="S30" s="99"/>
      <c r="T30" s="100"/>
      <c r="U30" s="131"/>
      <c r="V30" s="131"/>
      <c r="W30" s="131"/>
      <c r="X30" s="132"/>
    </row>
    <row r="31" spans="1:24" ht="45.95" customHeight="1" x14ac:dyDescent="0.25">
      <c r="A31" s="96" t="str">
        <f t="shared" si="0"/>
        <v/>
      </c>
      <c r="B31" s="97"/>
      <c r="C31" s="98"/>
      <c r="D31" s="99"/>
      <c r="E31" s="99"/>
      <c r="F31" s="99"/>
      <c r="G31" s="99"/>
      <c r="H31" s="99"/>
      <c r="I31" s="99"/>
      <c r="J31" s="100"/>
      <c r="K31" s="100"/>
      <c r="L31" s="100"/>
      <c r="M31" s="99"/>
      <c r="N31" s="97"/>
      <c r="O31" s="99"/>
      <c r="P31" s="99"/>
      <c r="Q31" s="101" t="str">
        <f t="shared" ca="1" si="1"/>
        <v/>
      </c>
      <c r="R31" s="99"/>
      <c r="S31" s="99"/>
      <c r="T31" s="100"/>
      <c r="U31" s="131"/>
      <c r="V31" s="131"/>
      <c r="W31" s="131"/>
      <c r="X31" s="132"/>
    </row>
    <row r="32" spans="1:24" ht="45.95" customHeight="1" x14ac:dyDescent="0.25">
      <c r="A32" s="96" t="str">
        <f t="shared" si="0"/>
        <v/>
      </c>
      <c r="B32" s="97"/>
      <c r="C32" s="98"/>
      <c r="D32" s="99"/>
      <c r="E32" s="99"/>
      <c r="F32" s="99"/>
      <c r="G32" s="99"/>
      <c r="H32" s="99"/>
      <c r="I32" s="99"/>
      <c r="J32" s="100"/>
      <c r="K32" s="100"/>
      <c r="L32" s="100"/>
      <c r="M32" s="99"/>
      <c r="N32" s="97"/>
      <c r="O32" s="99"/>
      <c r="P32" s="99"/>
      <c r="Q32" s="101" t="str">
        <f t="shared" ca="1" si="1"/>
        <v/>
      </c>
      <c r="R32" s="99"/>
      <c r="S32" s="99"/>
      <c r="T32" s="100"/>
      <c r="U32" s="131"/>
      <c r="V32" s="131"/>
      <c r="W32" s="131"/>
      <c r="X32" s="132"/>
    </row>
    <row r="33" spans="1:24" ht="45.95" customHeight="1" x14ac:dyDescent="0.25">
      <c r="A33" s="96" t="str">
        <f t="shared" si="0"/>
        <v/>
      </c>
      <c r="B33" s="97"/>
      <c r="C33" s="98"/>
      <c r="D33" s="99"/>
      <c r="E33" s="99"/>
      <c r="F33" s="99"/>
      <c r="G33" s="99"/>
      <c r="H33" s="99"/>
      <c r="I33" s="99"/>
      <c r="J33" s="100"/>
      <c r="K33" s="100"/>
      <c r="L33" s="100"/>
      <c r="M33" s="99"/>
      <c r="N33" s="97"/>
      <c r="O33" s="99"/>
      <c r="P33" s="99"/>
      <c r="Q33" s="101" t="str">
        <f t="shared" ca="1" si="1"/>
        <v/>
      </c>
      <c r="R33" s="99"/>
      <c r="S33" s="99"/>
      <c r="T33" s="100"/>
      <c r="U33" s="131"/>
      <c r="V33" s="131"/>
      <c r="W33" s="131"/>
      <c r="X33" s="132"/>
    </row>
    <row r="34" spans="1:24" ht="45.95" customHeight="1" x14ac:dyDescent="0.25">
      <c r="A34" s="96" t="str">
        <f t="shared" si="0"/>
        <v/>
      </c>
      <c r="B34" s="97"/>
      <c r="C34" s="98"/>
      <c r="D34" s="99"/>
      <c r="E34" s="99"/>
      <c r="F34" s="99"/>
      <c r="G34" s="99"/>
      <c r="H34" s="99"/>
      <c r="I34" s="99"/>
      <c r="J34" s="100"/>
      <c r="K34" s="100"/>
      <c r="L34" s="100"/>
      <c r="M34" s="99"/>
      <c r="N34" s="97"/>
      <c r="O34" s="99"/>
      <c r="P34" s="99"/>
      <c r="Q34" s="101" t="str">
        <f t="shared" ca="1" si="1"/>
        <v/>
      </c>
      <c r="R34" s="99"/>
      <c r="S34" s="99"/>
      <c r="T34" s="100"/>
      <c r="U34" s="131"/>
      <c r="V34" s="131"/>
      <c r="W34" s="131"/>
      <c r="X34" s="132"/>
    </row>
    <row r="35" spans="1:24" ht="45.95" customHeight="1" x14ac:dyDescent="0.25">
      <c r="A35" s="96" t="str">
        <f t="shared" si="0"/>
        <v/>
      </c>
      <c r="B35" s="97"/>
      <c r="C35" s="98"/>
      <c r="D35" s="99"/>
      <c r="E35" s="99"/>
      <c r="F35" s="99"/>
      <c r="G35" s="99"/>
      <c r="H35" s="99"/>
      <c r="I35" s="99"/>
      <c r="J35" s="100"/>
      <c r="K35" s="100"/>
      <c r="L35" s="100"/>
      <c r="M35" s="99"/>
      <c r="N35" s="97"/>
      <c r="O35" s="99"/>
      <c r="P35" s="99"/>
      <c r="Q35" s="101" t="str">
        <f t="shared" ca="1" si="1"/>
        <v/>
      </c>
      <c r="R35" s="99"/>
      <c r="S35" s="99"/>
      <c r="T35" s="100"/>
      <c r="U35" s="131"/>
      <c r="V35" s="131"/>
      <c r="W35" s="131"/>
      <c r="X35" s="132"/>
    </row>
    <row r="36" spans="1:24" ht="45.95" customHeight="1" x14ac:dyDescent="0.25">
      <c r="A36" s="96" t="str">
        <f t="shared" si="0"/>
        <v/>
      </c>
      <c r="B36" s="97"/>
      <c r="C36" s="98"/>
      <c r="D36" s="99"/>
      <c r="E36" s="99"/>
      <c r="F36" s="99"/>
      <c r="G36" s="99"/>
      <c r="H36" s="99"/>
      <c r="I36" s="99"/>
      <c r="J36" s="100"/>
      <c r="K36" s="100"/>
      <c r="L36" s="100"/>
      <c r="M36" s="99"/>
      <c r="N36" s="97"/>
      <c r="O36" s="99"/>
      <c r="P36" s="99"/>
      <c r="Q36" s="101" t="str">
        <f t="shared" ca="1" si="1"/>
        <v/>
      </c>
      <c r="R36" s="99"/>
      <c r="S36" s="99"/>
      <c r="T36" s="100"/>
      <c r="U36" s="131"/>
      <c r="V36" s="131"/>
      <c r="W36" s="131"/>
      <c r="X36" s="132"/>
    </row>
    <row r="37" spans="1:24" ht="45.95" customHeight="1" x14ac:dyDescent="0.25">
      <c r="A37" s="96" t="str">
        <f t="shared" si="0"/>
        <v/>
      </c>
      <c r="B37" s="97"/>
      <c r="C37" s="98"/>
      <c r="D37" s="99"/>
      <c r="E37" s="99"/>
      <c r="F37" s="99"/>
      <c r="G37" s="99"/>
      <c r="H37" s="99"/>
      <c r="I37" s="99"/>
      <c r="J37" s="100"/>
      <c r="K37" s="100"/>
      <c r="L37" s="100"/>
      <c r="M37" s="99"/>
      <c r="N37" s="97"/>
      <c r="O37" s="99"/>
      <c r="P37" s="99"/>
      <c r="Q37" s="101" t="str">
        <f t="shared" ca="1" si="1"/>
        <v/>
      </c>
      <c r="R37" s="99"/>
      <c r="S37" s="99"/>
      <c r="T37" s="100"/>
      <c r="U37" s="131"/>
      <c r="V37" s="131"/>
      <c r="W37" s="131"/>
      <c r="X37" s="132"/>
    </row>
    <row r="38" spans="1:24" ht="45.95" customHeight="1" x14ac:dyDescent="0.25">
      <c r="A38" s="96" t="str">
        <f t="shared" si="0"/>
        <v/>
      </c>
      <c r="B38" s="97"/>
      <c r="C38" s="98"/>
      <c r="D38" s="99"/>
      <c r="E38" s="99"/>
      <c r="F38" s="99"/>
      <c r="G38" s="99"/>
      <c r="H38" s="99"/>
      <c r="I38" s="99"/>
      <c r="J38" s="100"/>
      <c r="K38" s="100"/>
      <c r="L38" s="100"/>
      <c r="M38" s="99"/>
      <c r="N38" s="97"/>
      <c r="O38" s="99"/>
      <c r="P38" s="99"/>
      <c r="Q38" s="101" t="str">
        <f t="shared" ca="1" si="1"/>
        <v/>
      </c>
      <c r="R38" s="99"/>
      <c r="S38" s="99"/>
      <c r="T38" s="100"/>
      <c r="U38" s="131"/>
      <c r="V38" s="131"/>
      <c r="W38" s="131"/>
      <c r="X38" s="132"/>
    </row>
    <row r="39" spans="1:24" ht="45.95" customHeight="1" x14ac:dyDescent="0.25">
      <c r="A39" s="96" t="str">
        <f t="shared" si="0"/>
        <v/>
      </c>
      <c r="B39" s="97"/>
      <c r="C39" s="98"/>
      <c r="D39" s="99"/>
      <c r="E39" s="99"/>
      <c r="F39" s="99"/>
      <c r="G39" s="99"/>
      <c r="H39" s="99"/>
      <c r="I39" s="99"/>
      <c r="J39" s="100"/>
      <c r="K39" s="100"/>
      <c r="L39" s="100"/>
      <c r="M39" s="99"/>
      <c r="N39" s="97"/>
      <c r="O39" s="99"/>
      <c r="P39" s="99"/>
      <c r="Q39" s="101" t="str">
        <f t="shared" ca="1" si="1"/>
        <v/>
      </c>
      <c r="R39" s="99"/>
      <c r="S39" s="99"/>
      <c r="T39" s="100"/>
      <c r="U39" s="131"/>
      <c r="V39" s="131"/>
      <c r="W39" s="131"/>
      <c r="X39" s="132"/>
    </row>
    <row r="40" spans="1:24" ht="45.95" customHeight="1" x14ac:dyDescent="0.25">
      <c r="A40" s="96" t="str">
        <f t="shared" si="0"/>
        <v/>
      </c>
      <c r="B40" s="97"/>
      <c r="C40" s="98"/>
      <c r="D40" s="99"/>
      <c r="E40" s="99"/>
      <c r="F40" s="99"/>
      <c r="G40" s="99"/>
      <c r="H40" s="99"/>
      <c r="I40" s="99"/>
      <c r="J40" s="100"/>
      <c r="K40" s="100"/>
      <c r="L40" s="100"/>
      <c r="M40" s="99"/>
      <c r="N40" s="97"/>
      <c r="O40" s="99"/>
      <c r="P40" s="99"/>
      <c r="Q40" s="101" t="str">
        <f t="shared" ca="1" si="1"/>
        <v/>
      </c>
      <c r="R40" s="99"/>
      <c r="S40" s="99"/>
      <c r="T40" s="100"/>
      <c r="U40" s="131"/>
      <c r="V40" s="131"/>
      <c r="W40" s="131"/>
      <c r="X40" s="132"/>
    </row>
    <row r="41" spans="1:24" ht="45.95" customHeight="1" x14ac:dyDescent="0.25">
      <c r="A41" s="96" t="str">
        <f t="shared" si="0"/>
        <v/>
      </c>
      <c r="B41" s="97"/>
      <c r="C41" s="98"/>
      <c r="D41" s="99"/>
      <c r="E41" s="99"/>
      <c r="F41" s="99"/>
      <c r="G41" s="99"/>
      <c r="H41" s="99"/>
      <c r="I41" s="99"/>
      <c r="J41" s="100"/>
      <c r="K41" s="100"/>
      <c r="L41" s="100"/>
      <c r="M41" s="99"/>
      <c r="N41" s="97"/>
      <c r="O41" s="99"/>
      <c r="P41" s="99"/>
      <c r="Q41" s="101" t="str">
        <f t="shared" ca="1" si="1"/>
        <v/>
      </c>
      <c r="R41" s="99"/>
      <c r="S41" s="99"/>
      <c r="T41" s="100"/>
      <c r="U41" s="131"/>
      <c r="V41" s="131"/>
      <c r="W41" s="131"/>
      <c r="X41" s="132"/>
    </row>
    <row r="42" spans="1:24" ht="45.95" customHeight="1" x14ac:dyDescent="0.25">
      <c r="A42" s="96" t="str">
        <f t="shared" si="0"/>
        <v/>
      </c>
      <c r="B42" s="97"/>
      <c r="C42" s="98"/>
      <c r="D42" s="99"/>
      <c r="E42" s="99"/>
      <c r="F42" s="99"/>
      <c r="G42" s="99"/>
      <c r="H42" s="99"/>
      <c r="I42" s="99"/>
      <c r="J42" s="100"/>
      <c r="K42" s="100"/>
      <c r="L42" s="100"/>
      <c r="M42" s="99"/>
      <c r="N42" s="97"/>
      <c r="O42" s="99"/>
      <c r="P42" s="99"/>
      <c r="Q42" s="101" t="str">
        <f t="shared" ca="1" si="1"/>
        <v/>
      </c>
      <c r="R42" s="99"/>
      <c r="S42" s="99"/>
      <c r="T42" s="100"/>
      <c r="U42" s="131"/>
      <c r="V42" s="131"/>
      <c r="W42" s="131"/>
      <c r="X42" s="132"/>
    </row>
    <row r="43" spans="1:24" ht="45.95" customHeight="1" x14ac:dyDescent="0.25">
      <c r="A43" s="96" t="str">
        <f t="shared" si="0"/>
        <v/>
      </c>
      <c r="B43" s="97"/>
      <c r="C43" s="98"/>
      <c r="D43" s="99"/>
      <c r="E43" s="99"/>
      <c r="F43" s="99"/>
      <c r="G43" s="99"/>
      <c r="H43" s="99"/>
      <c r="I43" s="99"/>
      <c r="J43" s="100"/>
      <c r="K43" s="100"/>
      <c r="L43" s="100"/>
      <c r="M43" s="99"/>
      <c r="N43" s="97"/>
      <c r="O43" s="99"/>
      <c r="P43" s="99"/>
      <c r="Q43" s="101" t="str">
        <f t="shared" ca="1" si="1"/>
        <v/>
      </c>
      <c r="R43" s="99"/>
      <c r="S43" s="99"/>
      <c r="T43" s="100"/>
      <c r="U43" s="131"/>
      <c r="V43" s="131"/>
      <c r="W43" s="131"/>
      <c r="X43" s="132"/>
    </row>
    <row r="44" spans="1:24" ht="45.95" customHeight="1" x14ac:dyDescent="0.25">
      <c r="A44" s="96" t="str">
        <f t="shared" si="0"/>
        <v/>
      </c>
      <c r="B44" s="97"/>
      <c r="C44" s="98"/>
      <c r="D44" s="99"/>
      <c r="E44" s="99"/>
      <c r="F44" s="99"/>
      <c r="G44" s="99"/>
      <c r="H44" s="99"/>
      <c r="I44" s="99"/>
      <c r="J44" s="100"/>
      <c r="K44" s="100"/>
      <c r="L44" s="100"/>
      <c r="M44" s="99"/>
      <c r="N44" s="97"/>
      <c r="O44" s="99"/>
      <c r="P44" s="99"/>
      <c r="Q44" s="101" t="str">
        <f t="shared" ca="1" si="1"/>
        <v/>
      </c>
      <c r="R44" s="99"/>
      <c r="S44" s="99"/>
      <c r="T44" s="100"/>
      <c r="U44" s="131"/>
      <c r="V44" s="131"/>
      <c r="W44" s="131"/>
      <c r="X44" s="132"/>
    </row>
    <row r="45" spans="1:24" ht="45.95" customHeight="1" x14ac:dyDescent="0.25">
      <c r="A45" s="96" t="str">
        <f t="shared" si="0"/>
        <v/>
      </c>
      <c r="B45" s="97"/>
      <c r="C45" s="98"/>
      <c r="D45" s="99"/>
      <c r="E45" s="99"/>
      <c r="F45" s="99"/>
      <c r="G45" s="99"/>
      <c r="H45" s="99"/>
      <c r="I45" s="99"/>
      <c r="J45" s="100"/>
      <c r="K45" s="100"/>
      <c r="L45" s="100"/>
      <c r="M45" s="99"/>
      <c r="N45" s="97"/>
      <c r="O45" s="99"/>
      <c r="P45" s="99"/>
      <c r="Q45" s="101" t="str">
        <f t="shared" ca="1" si="1"/>
        <v/>
      </c>
      <c r="R45" s="99"/>
      <c r="S45" s="99"/>
      <c r="T45" s="100"/>
      <c r="U45" s="131"/>
      <c r="V45" s="131"/>
      <c r="W45" s="131"/>
      <c r="X45" s="132"/>
    </row>
    <row r="46" spans="1:24" ht="45.95" customHeight="1" x14ac:dyDescent="0.25">
      <c r="A46" s="96" t="str">
        <f t="shared" si="0"/>
        <v/>
      </c>
      <c r="B46" s="97"/>
      <c r="C46" s="98"/>
      <c r="D46" s="99"/>
      <c r="E46" s="99"/>
      <c r="F46" s="99"/>
      <c r="G46" s="99"/>
      <c r="H46" s="99"/>
      <c r="I46" s="99"/>
      <c r="J46" s="100"/>
      <c r="K46" s="100"/>
      <c r="L46" s="100"/>
      <c r="M46" s="99"/>
      <c r="N46" s="97"/>
      <c r="O46" s="99"/>
      <c r="P46" s="99"/>
      <c r="Q46" s="101" t="str">
        <f t="shared" ca="1" si="1"/>
        <v/>
      </c>
      <c r="R46" s="99"/>
      <c r="S46" s="99"/>
      <c r="T46" s="100"/>
      <c r="U46" s="131"/>
      <c r="V46" s="131"/>
      <c r="W46" s="131"/>
      <c r="X46" s="132"/>
    </row>
    <row r="47" spans="1:24" ht="45.95" customHeight="1" x14ac:dyDescent="0.25">
      <c r="A47" s="96" t="str">
        <f t="shared" si="0"/>
        <v/>
      </c>
      <c r="B47" s="97"/>
      <c r="C47" s="98"/>
      <c r="D47" s="99"/>
      <c r="E47" s="99"/>
      <c r="F47" s="99"/>
      <c r="G47" s="99"/>
      <c r="H47" s="99"/>
      <c r="I47" s="99"/>
      <c r="J47" s="100"/>
      <c r="K47" s="100"/>
      <c r="L47" s="100"/>
      <c r="M47" s="99"/>
      <c r="N47" s="97"/>
      <c r="O47" s="99"/>
      <c r="P47" s="99"/>
      <c r="Q47" s="101" t="str">
        <f t="shared" ca="1" si="1"/>
        <v/>
      </c>
      <c r="R47" s="99"/>
      <c r="S47" s="99"/>
      <c r="T47" s="100"/>
      <c r="U47" s="131"/>
      <c r="V47" s="131"/>
      <c r="W47" s="131"/>
      <c r="X47" s="132"/>
    </row>
    <row r="48" spans="1:24" ht="45.95" customHeight="1" x14ac:dyDescent="0.25">
      <c r="A48" s="96" t="str">
        <f t="shared" si="0"/>
        <v/>
      </c>
      <c r="B48" s="97"/>
      <c r="C48" s="98"/>
      <c r="D48" s="99"/>
      <c r="E48" s="99"/>
      <c r="F48" s="99"/>
      <c r="G48" s="99"/>
      <c r="H48" s="99"/>
      <c r="I48" s="99"/>
      <c r="J48" s="100"/>
      <c r="K48" s="100"/>
      <c r="L48" s="100"/>
      <c r="M48" s="99"/>
      <c r="N48" s="97"/>
      <c r="O48" s="99"/>
      <c r="P48" s="99"/>
      <c r="Q48" s="101" t="str">
        <f t="shared" ca="1" si="1"/>
        <v/>
      </c>
      <c r="R48" s="99"/>
      <c r="S48" s="99"/>
      <c r="T48" s="100"/>
      <c r="U48" s="131"/>
      <c r="V48" s="131"/>
      <c r="W48" s="131"/>
      <c r="X48" s="132"/>
    </row>
    <row r="49" spans="1:24" ht="45.95" customHeight="1" x14ac:dyDescent="0.25">
      <c r="A49" s="96" t="str">
        <f t="shared" si="0"/>
        <v/>
      </c>
      <c r="B49" s="97"/>
      <c r="C49" s="98"/>
      <c r="D49" s="99"/>
      <c r="E49" s="99"/>
      <c r="F49" s="99"/>
      <c r="G49" s="99"/>
      <c r="H49" s="99"/>
      <c r="I49" s="99"/>
      <c r="J49" s="100"/>
      <c r="K49" s="100"/>
      <c r="L49" s="100"/>
      <c r="M49" s="99"/>
      <c r="N49" s="97"/>
      <c r="O49" s="99"/>
      <c r="P49" s="99"/>
      <c r="Q49" s="101" t="str">
        <f t="shared" ca="1" si="1"/>
        <v/>
      </c>
      <c r="R49" s="99"/>
      <c r="S49" s="99"/>
      <c r="T49" s="100"/>
      <c r="U49" s="131"/>
      <c r="V49" s="131"/>
      <c r="W49" s="131"/>
      <c r="X49" s="132"/>
    </row>
    <row r="50" spans="1:24" ht="45.95" customHeight="1" x14ac:dyDescent="0.25">
      <c r="A50" s="96" t="str">
        <f t="shared" si="0"/>
        <v/>
      </c>
      <c r="B50" s="97"/>
      <c r="C50" s="98"/>
      <c r="D50" s="99"/>
      <c r="E50" s="99"/>
      <c r="F50" s="99"/>
      <c r="G50" s="99"/>
      <c r="H50" s="99"/>
      <c r="I50" s="99"/>
      <c r="J50" s="100"/>
      <c r="K50" s="100"/>
      <c r="L50" s="100"/>
      <c r="M50" s="99"/>
      <c r="N50" s="97"/>
      <c r="O50" s="99"/>
      <c r="P50" s="99"/>
      <c r="Q50" s="101" t="str">
        <f t="shared" ca="1" si="1"/>
        <v/>
      </c>
      <c r="R50" s="99"/>
      <c r="S50" s="99"/>
      <c r="T50" s="100"/>
      <c r="U50" s="131"/>
      <c r="V50" s="131"/>
      <c r="W50" s="131"/>
      <c r="X50" s="132"/>
    </row>
    <row r="51" spans="1:24" ht="45.95" customHeight="1" x14ac:dyDescent="0.25">
      <c r="A51" s="96" t="str">
        <f t="shared" si="0"/>
        <v/>
      </c>
      <c r="B51" s="97"/>
      <c r="C51" s="98"/>
      <c r="D51" s="99"/>
      <c r="E51" s="99"/>
      <c r="F51" s="99"/>
      <c r="G51" s="99"/>
      <c r="H51" s="99"/>
      <c r="I51" s="99"/>
      <c r="J51" s="100"/>
      <c r="K51" s="100"/>
      <c r="L51" s="100"/>
      <c r="M51" s="99"/>
      <c r="N51" s="97"/>
      <c r="O51" s="99"/>
      <c r="P51" s="99"/>
      <c r="Q51" s="101" t="str">
        <f t="shared" ca="1" si="1"/>
        <v/>
      </c>
      <c r="R51" s="99"/>
      <c r="S51" s="99"/>
      <c r="T51" s="100"/>
      <c r="U51" s="131"/>
      <c r="V51" s="131"/>
      <c r="W51" s="131"/>
      <c r="X51" s="132"/>
    </row>
    <row r="52" spans="1:24" ht="45.95" customHeight="1" x14ac:dyDescent="0.25">
      <c r="A52" s="96" t="str">
        <f t="shared" si="0"/>
        <v/>
      </c>
      <c r="B52" s="97"/>
      <c r="C52" s="98"/>
      <c r="D52" s="99"/>
      <c r="E52" s="99"/>
      <c r="F52" s="99"/>
      <c r="G52" s="99"/>
      <c r="H52" s="99"/>
      <c r="I52" s="99"/>
      <c r="J52" s="100"/>
      <c r="K52" s="100"/>
      <c r="L52" s="100"/>
      <c r="M52" s="99"/>
      <c r="N52" s="97"/>
      <c r="O52" s="99"/>
      <c r="P52" s="99"/>
      <c r="Q52" s="101" t="str">
        <f t="shared" ca="1" si="1"/>
        <v/>
      </c>
      <c r="R52" s="99"/>
      <c r="S52" s="99"/>
      <c r="T52" s="100"/>
      <c r="U52" s="131"/>
      <c r="V52" s="131"/>
      <c r="W52" s="131"/>
      <c r="X52" s="132"/>
    </row>
    <row r="53" spans="1:24" ht="45.95" customHeight="1" x14ac:dyDescent="0.25">
      <c r="A53" s="96" t="str">
        <f t="shared" si="0"/>
        <v/>
      </c>
      <c r="B53" s="97"/>
      <c r="C53" s="98"/>
      <c r="D53" s="99"/>
      <c r="E53" s="99"/>
      <c r="F53" s="99"/>
      <c r="G53" s="99"/>
      <c r="H53" s="99"/>
      <c r="I53" s="99"/>
      <c r="J53" s="100"/>
      <c r="K53" s="100"/>
      <c r="L53" s="100"/>
      <c r="M53" s="99"/>
      <c r="N53" s="97"/>
      <c r="O53" s="99"/>
      <c r="P53" s="99"/>
      <c r="Q53" s="101" t="str">
        <f t="shared" ca="1" si="1"/>
        <v/>
      </c>
      <c r="R53" s="99"/>
      <c r="S53" s="99"/>
      <c r="T53" s="100"/>
      <c r="U53" s="131"/>
      <c r="V53" s="131"/>
      <c r="W53" s="131"/>
      <c r="X53" s="132"/>
    </row>
    <row r="54" spans="1:24" ht="45.95" customHeight="1" x14ac:dyDescent="0.25">
      <c r="A54" s="96" t="str">
        <f t="shared" si="0"/>
        <v/>
      </c>
      <c r="B54" s="97"/>
      <c r="C54" s="98"/>
      <c r="D54" s="99"/>
      <c r="E54" s="99"/>
      <c r="F54" s="99"/>
      <c r="G54" s="99"/>
      <c r="H54" s="99"/>
      <c r="I54" s="99"/>
      <c r="J54" s="100"/>
      <c r="K54" s="100"/>
      <c r="L54" s="100"/>
      <c r="M54" s="99"/>
      <c r="N54" s="97"/>
      <c r="O54" s="99"/>
      <c r="P54" s="99"/>
      <c r="Q54" s="101" t="str">
        <f t="shared" ca="1" si="1"/>
        <v/>
      </c>
      <c r="R54" s="99"/>
      <c r="S54" s="99"/>
      <c r="T54" s="100"/>
      <c r="U54" s="131"/>
      <c r="V54" s="131"/>
      <c r="W54" s="131"/>
      <c r="X54" s="132"/>
    </row>
    <row r="55" spans="1:24" ht="45.95" customHeight="1" x14ac:dyDescent="0.25">
      <c r="A55" s="96" t="str">
        <f t="shared" si="0"/>
        <v/>
      </c>
      <c r="B55" s="97"/>
      <c r="C55" s="98"/>
      <c r="D55" s="99"/>
      <c r="E55" s="99"/>
      <c r="F55" s="99"/>
      <c r="G55" s="99"/>
      <c r="H55" s="99"/>
      <c r="I55" s="99"/>
      <c r="J55" s="100"/>
      <c r="K55" s="100"/>
      <c r="L55" s="100"/>
      <c r="M55" s="99"/>
      <c r="N55" s="97"/>
      <c r="O55" s="99"/>
      <c r="P55" s="99"/>
      <c r="Q55" s="101" t="str">
        <f t="shared" ca="1" si="1"/>
        <v/>
      </c>
      <c r="R55" s="99"/>
      <c r="S55" s="99"/>
      <c r="T55" s="100"/>
      <c r="U55" s="131"/>
      <c r="V55" s="131"/>
      <c r="W55" s="131"/>
      <c r="X55" s="132"/>
    </row>
    <row r="56" spans="1:24" ht="45.95" customHeight="1" x14ac:dyDescent="0.25">
      <c r="A56" s="96" t="str">
        <f t="shared" si="0"/>
        <v/>
      </c>
      <c r="B56" s="97"/>
      <c r="C56" s="98"/>
      <c r="D56" s="99"/>
      <c r="E56" s="99"/>
      <c r="F56" s="99"/>
      <c r="G56" s="99"/>
      <c r="H56" s="99"/>
      <c r="I56" s="99"/>
      <c r="J56" s="100"/>
      <c r="K56" s="100"/>
      <c r="L56" s="100"/>
      <c r="M56" s="99"/>
      <c r="N56" s="97"/>
      <c r="O56" s="99"/>
      <c r="P56" s="99"/>
      <c r="Q56" s="101" t="str">
        <f t="shared" ca="1" si="1"/>
        <v/>
      </c>
      <c r="R56" s="99"/>
      <c r="S56" s="99"/>
      <c r="T56" s="100"/>
      <c r="U56" s="131"/>
      <c r="V56" s="131"/>
      <c r="W56" s="131"/>
      <c r="X56" s="132"/>
    </row>
    <row r="57" spans="1:24" ht="45.95" customHeight="1" x14ac:dyDescent="0.25">
      <c r="A57" s="96" t="str">
        <f t="shared" si="0"/>
        <v/>
      </c>
      <c r="B57" s="97"/>
      <c r="C57" s="98"/>
      <c r="D57" s="99"/>
      <c r="E57" s="99"/>
      <c r="F57" s="99"/>
      <c r="G57" s="99"/>
      <c r="H57" s="99"/>
      <c r="I57" s="99"/>
      <c r="J57" s="100"/>
      <c r="K57" s="100"/>
      <c r="L57" s="100"/>
      <c r="M57" s="99"/>
      <c r="N57" s="97"/>
      <c r="O57" s="99"/>
      <c r="P57" s="99"/>
      <c r="Q57" s="101" t="str">
        <f t="shared" ca="1" si="1"/>
        <v/>
      </c>
      <c r="R57" s="99"/>
      <c r="S57" s="99"/>
      <c r="T57" s="100"/>
      <c r="U57" s="131"/>
      <c r="V57" s="131"/>
      <c r="W57" s="131"/>
      <c r="X57" s="132"/>
    </row>
    <row r="58" spans="1:24" ht="45.95" customHeight="1" x14ac:dyDescent="0.25">
      <c r="A58" s="96" t="str">
        <f t="shared" si="0"/>
        <v/>
      </c>
      <c r="B58" s="97"/>
      <c r="C58" s="98"/>
      <c r="D58" s="99"/>
      <c r="E58" s="99"/>
      <c r="F58" s="99"/>
      <c r="G58" s="99"/>
      <c r="H58" s="99"/>
      <c r="I58" s="99"/>
      <c r="J58" s="100"/>
      <c r="K58" s="100"/>
      <c r="L58" s="100"/>
      <c r="M58" s="99"/>
      <c r="N58" s="97"/>
      <c r="O58" s="99"/>
      <c r="P58" s="99"/>
      <c r="Q58" s="101" t="str">
        <f t="shared" ca="1" si="1"/>
        <v/>
      </c>
      <c r="R58" s="99"/>
      <c r="S58" s="99"/>
      <c r="T58" s="100"/>
      <c r="U58" s="131"/>
      <c r="V58" s="131"/>
      <c r="W58" s="131"/>
      <c r="X58" s="132"/>
    </row>
    <row r="59" spans="1:24" ht="45.95" customHeight="1" x14ac:dyDescent="0.25">
      <c r="A59" s="96" t="str">
        <f t="shared" si="0"/>
        <v/>
      </c>
      <c r="B59" s="97"/>
      <c r="C59" s="98"/>
      <c r="D59" s="99"/>
      <c r="E59" s="99"/>
      <c r="F59" s="99"/>
      <c r="G59" s="99"/>
      <c r="H59" s="99"/>
      <c r="I59" s="99"/>
      <c r="J59" s="100"/>
      <c r="K59" s="100"/>
      <c r="L59" s="100"/>
      <c r="M59" s="99"/>
      <c r="N59" s="97"/>
      <c r="O59" s="99"/>
      <c r="P59" s="99"/>
      <c r="Q59" s="101" t="str">
        <f t="shared" ca="1" si="1"/>
        <v/>
      </c>
      <c r="R59" s="99"/>
      <c r="S59" s="99"/>
      <c r="T59" s="100"/>
      <c r="U59" s="131"/>
      <c r="V59" s="131"/>
      <c r="W59" s="131"/>
      <c r="X59" s="132"/>
    </row>
    <row r="60" spans="1:24" ht="45.95" customHeight="1" x14ac:dyDescent="0.25">
      <c r="A60" s="96" t="str">
        <f t="shared" si="0"/>
        <v/>
      </c>
      <c r="B60" s="97"/>
      <c r="C60" s="98"/>
      <c r="D60" s="99"/>
      <c r="E60" s="99"/>
      <c r="F60" s="99"/>
      <c r="G60" s="99"/>
      <c r="H60" s="99"/>
      <c r="I60" s="99"/>
      <c r="J60" s="100"/>
      <c r="K60" s="100"/>
      <c r="L60" s="100"/>
      <c r="M60" s="99"/>
      <c r="N60" s="97"/>
      <c r="O60" s="99"/>
      <c r="P60" s="99"/>
      <c r="Q60" s="101" t="str">
        <f t="shared" ca="1" si="1"/>
        <v/>
      </c>
      <c r="R60" s="99"/>
      <c r="S60" s="99"/>
      <c r="T60" s="100"/>
      <c r="U60" s="131"/>
      <c r="V60" s="131"/>
      <c r="W60" s="131"/>
      <c r="X60" s="132"/>
    </row>
    <row r="61" spans="1:24" ht="45.95" customHeight="1" x14ac:dyDescent="0.25">
      <c r="A61" s="96" t="str">
        <f t="shared" si="0"/>
        <v/>
      </c>
      <c r="B61" s="97"/>
      <c r="C61" s="98"/>
      <c r="D61" s="99"/>
      <c r="E61" s="99"/>
      <c r="F61" s="99"/>
      <c r="G61" s="99"/>
      <c r="H61" s="99"/>
      <c r="I61" s="99"/>
      <c r="J61" s="100"/>
      <c r="K61" s="100"/>
      <c r="L61" s="100"/>
      <c r="M61" s="99"/>
      <c r="N61" s="97"/>
      <c r="O61" s="99"/>
      <c r="P61" s="99"/>
      <c r="Q61" s="101" t="str">
        <f t="shared" ca="1" si="1"/>
        <v/>
      </c>
      <c r="R61" s="99"/>
      <c r="S61" s="99"/>
      <c r="T61" s="100"/>
      <c r="U61" s="131"/>
      <c r="V61" s="131"/>
      <c r="W61" s="131"/>
      <c r="X61" s="132"/>
    </row>
    <row r="62" spans="1:24" ht="45.95" customHeight="1" x14ac:dyDescent="0.25">
      <c r="A62" s="96" t="str">
        <f t="shared" si="0"/>
        <v/>
      </c>
      <c r="B62" s="97"/>
      <c r="C62" s="98"/>
      <c r="D62" s="99"/>
      <c r="E62" s="99"/>
      <c r="F62" s="99"/>
      <c r="G62" s="99"/>
      <c r="H62" s="99"/>
      <c r="I62" s="99"/>
      <c r="J62" s="100"/>
      <c r="K62" s="100"/>
      <c r="L62" s="100"/>
      <c r="M62" s="99"/>
      <c r="N62" s="97"/>
      <c r="O62" s="99"/>
      <c r="P62" s="99"/>
      <c r="Q62" s="101" t="str">
        <f t="shared" ca="1" si="1"/>
        <v/>
      </c>
      <c r="R62" s="99"/>
      <c r="S62" s="99"/>
      <c r="T62" s="100"/>
      <c r="U62" s="131"/>
      <c r="V62" s="131"/>
      <c r="W62" s="131"/>
      <c r="X62" s="132"/>
    </row>
    <row r="63" spans="1:24" ht="45.95" customHeight="1" x14ac:dyDescent="0.25">
      <c r="A63" s="96" t="str">
        <f t="shared" si="0"/>
        <v/>
      </c>
      <c r="B63" s="97"/>
      <c r="C63" s="98"/>
      <c r="D63" s="99"/>
      <c r="E63" s="99"/>
      <c r="F63" s="99"/>
      <c r="G63" s="99"/>
      <c r="H63" s="99"/>
      <c r="I63" s="99"/>
      <c r="J63" s="100"/>
      <c r="K63" s="100"/>
      <c r="L63" s="100"/>
      <c r="M63" s="99"/>
      <c r="N63" s="97"/>
      <c r="O63" s="99"/>
      <c r="P63" s="99"/>
      <c r="Q63" s="101" t="str">
        <f t="shared" ca="1" si="1"/>
        <v/>
      </c>
      <c r="R63" s="99"/>
      <c r="S63" s="99"/>
      <c r="T63" s="100"/>
      <c r="U63" s="131"/>
      <c r="V63" s="131"/>
      <c r="W63" s="131"/>
      <c r="X63" s="132"/>
    </row>
    <row r="64" spans="1:24" ht="45.95" customHeight="1" x14ac:dyDescent="0.25">
      <c r="A64" s="96" t="str">
        <f t="shared" si="0"/>
        <v/>
      </c>
      <c r="B64" s="97"/>
      <c r="C64" s="98"/>
      <c r="D64" s="99"/>
      <c r="E64" s="99"/>
      <c r="F64" s="99"/>
      <c r="G64" s="99"/>
      <c r="H64" s="99"/>
      <c r="I64" s="99"/>
      <c r="J64" s="100"/>
      <c r="K64" s="100"/>
      <c r="L64" s="100"/>
      <c r="M64" s="99"/>
      <c r="N64" s="97"/>
      <c r="O64" s="99"/>
      <c r="P64" s="99"/>
      <c r="Q64" s="101" t="str">
        <f t="shared" ca="1" si="1"/>
        <v/>
      </c>
      <c r="R64" s="99"/>
      <c r="S64" s="99"/>
      <c r="T64" s="100"/>
      <c r="U64" s="131"/>
      <c r="V64" s="131"/>
      <c r="W64" s="131"/>
      <c r="X64" s="132"/>
    </row>
    <row r="65" spans="1:24" ht="45.95" customHeight="1" x14ac:dyDescent="0.25">
      <c r="A65" s="96" t="str">
        <f t="shared" si="0"/>
        <v/>
      </c>
      <c r="B65" s="97"/>
      <c r="C65" s="98"/>
      <c r="D65" s="99"/>
      <c r="E65" s="99"/>
      <c r="F65" s="99"/>
      <c r="G65" s="99"/>
      <c r="H65" s="99"/>
      <c r="I65" s="99"/>
      <c r="J65" s="100"/>
      <c r="K65" s="100"/>
      <c r="L65" s="100"/>
      <c r="M65" s="99"/>
      <c r="N65" s="97"/>
      <c r="O65" s="99"/>
      <c r="P65" s="99"/>
      <c r="Q65" s="101" t="str">
        <f t="shared" ca="1" si="1"/>
        <v/>
      </c>
      <c r="R65" s="99"/>
      <c r="S65" s="99"/>
      <c r="T65" s="100"/>
      <c r="U65" s="131"/>
      <c r="V65" s="131"/>
      <c r="W65" s="131"/>
      <c r="X65" s="132"/>
    </row>
    <row r="66" spans="1:24" ht="45.95" customHeight="1" x14ac:dyDescent="0.25">
      <c r="A66" s="96" t="str">
        <f t="shared" si="0"/>
        <v/>
      </c>
      <c r="B66" s="97"/>
      <c r="C66" s="98"/>
      <c r="D66" s="99"/>
      <c r="E66" s="99"/>
      <c r="F66" s="99"/>
      <c r="G66" s="99"/>
      <c r="H66" s="99"/>
      <c r="I66" s="99"/>
      <c r="J66" s="100"/>
      <c r="K66" s="100"/>
      <c r="L66" s="100"/>
      <c r="M66" s="99"/>
      <c r="N66" s="97"/>
      <c r="O66" s="99"/>
      <c r="P66" s="99"/>
      <c r="Q66" s="101" t="str">
        <f t="shared" ca="1" si="1"/>
        <v/>
      </c>
      <c r="R66" s="99"/>
      <c r="S66" s="99"/>
      <c r="T66" s="100"/>
      <c r="U66" s="131"/>
      <c r="V66" s="131"/>
      <c r="W66" s="131"/>
      <c r="X66" s="132"/>
    </row>
    <row r="67" spans="1:24" ht="45.95" customHeight="1" x14ac:dyDescent="0.25">
      <c r="A67" s="96" t="str">
        <f t="shared" si="0"/>
        <v/>
      </c>
      <c r="B67" s="97"/>
      <c r="C67" s="98"/>
      <c r="D67" s="99"/>
      <c r="E67" s="99"/>
      <c r="F67" s="99"/>
      <c r="G67" s="99"/>
      <c r="H67" s="99"/>
      <c r="I67" s="99"/>
      <c r="J67" s="100"/>
      <c r="K67" s="100"/>
      <c r="L67" s="100"/>
      <c r="M67" s="99"/>
      <c r="N67" s="97"/>
      <c r="O67" s="99"/>
      <c r="P67" s="99"/>
      <c r="Q67" s="101" t="str">
        <f t="shared" ca="1" si="1"/>
        <v/>
      </c>
      <c r="R67" s="99"/>
      <c r="S67" s="99"/>
      <c r="T67" s="100"/>
      <c r="U67" s="131"/>
      <c r="V67" s="131"/>
      <c r="W67" s="131"/>
      <c r="X67" s="132"/>
    </row>
    <row r="68" spans="1:24" ht="45.95" customHeight="1" x14ac:dyDescent="0.25">
      <c r="A68" s="96" t="str">
        <f t="shared" si="0"/>
        <v/>
      </c>
      <c r="B68" s="97"/>
      <c r="C68" s="98"/>
      <c r="D68" s="99"/>
      <c r="E68" s="99"/>
      <c r="F68" s="99"/>
      <c r="G68" s="99"/>
      <c r="H68" s="99"/>
      <c r="I68" s="99"/>
      <c r="J68" s="100"/>
      <c r="K68" s="100"/>
      <c r="L68" s="100"/>
      <c r="M68" s="99"/>
      <c r="N68" s="97"/>
      <c r="O68" s="99"/>
      <c r="P68" s="99"/>
      <c r="Q68" s="101" t="str">
        <f t="shared" ca="1" si="1"/>
        <v/>
      </c>
      <c r="R68" s="99"/>
      <c r="S68" s="99"/>
      <c r="T68" s="100"/>
      <c r="U68" s="131"/>
      <c r="V68" s="131"/>
      <c r="W68" s="131"/>
      <c r="X68" s="132"/>
    </row>
    <row r="69" spans="1:24" ht="45.95" customHeight="1" x14ac:dyDescent="0.25">
      <c r="A69" s="96" t="str">
        <f t="shared" ref="A69:A132" si="2">IF($B69="","","ATA-"&amp;TEXT($B69,"yyyymmdd"))</f>
        <v/>
      </c>
      <c r="B69" s="97"/>
      <c r="C69" s="98"/>
      <c r="D69" s="99"/>
      <c r="E69" s="99"/>
      <c r="F69" s="99"/>
      <c r="G69" s="99"/>
      <c r="H69" s="99"/>
      <c r="I69" s="99"/>
      <c r="J69" s="100"/>
      <c r="K69" s="100"/>
      <c r="L69" s="100"/>
      <c r="M69" s="99"/>
      <c r="N69" s="97"/>
      <c r="O69" s="99"/>
      <c r="P69" s="99"/>
      <c r="Q69" s="101" t="str">
        <f t="shared" ref="Q69:Q132" ca="1" si="3">IF(OR($B69="",$L69="",$P69="CONCLUÍDA"),"",TODAY()-$B69)</f>
        <v/>
      </c>
      <c r="R69" s="99"/>
      <c r="S69" s="99"/>
      <c r="T69" s="100"/>
      <c r="U69" s="131"/>
      <c r="V69" s="131"/>
      <c r="W69" s="131"/>
      <c r="X69" s="132"/>
    </row>
    <row r="70" spans="1:24" ht="45.95" customHeight="1" x14ac:dyDescent="0.25">
      <c r="A70" s="96" t="str">
        <f t="shared" si="2"/>
        <v/>
      </c>
      <c r="B70" s="97"/>
      <c r="C70" s="98"/>
      <c r="D70" s="99"/>
      <c r="E70" s="99"/>
      <c r="F70" s="99"/>
      <c r="G70" s="99"/>
      <c r="H70" s="99"/>
      <c r="I70" s="99"/>
      <c r="J70" s="100"/>
      <c r="K70" s="100"/>
      <c r="L70" s="100"/>
      <c r="M70" s="99"/>
      <c r="N70" s="97"/>
      <c r="O70" s="99"/>
      <c r="P70" s="99"/>
      <c r="Q70" s="101" t="str">
        <f t="shared" ca="1" si="3"/>
        <v/>
      </c>
      <c r="R70" s="99"/>
      <c r="S70" s="99"/>
      <c r="T70" s="100"/>
      <c r="U70" s="131"/>
      <c r="V70" s="131"/>
      <c r="W70" s="131"/>
      <c r="X70" s="132"/>
    </row>
    <row r="71" spans="1:24" ht="45.95" customHeight="1" x14ac:dyDescent="0.25">
      <c r="A71" s="96" t="str">
        <f t="shared" si="2"/>
        <v/>
      </c>
      <c r="B71" s="97"/>
      <c r="C71" s="98"/>
      <c r="D71" s="99"/>
      <c r="E71" s="99"/>
      <c r="F71" s="99"/>
      <c r="G71" s="99"/>
      <c r="H71" s="99"/>
      <c r="I71" s="99"/>
      <c r="J71" s="100"/>
      <c r="K71" s="100"/>
      <c r="L71" s="100"/>
      <c r="M71" s="99"/>
      <c r="N71" s="97"/>
      <c r="O71" s="99"/>
      <c r="P71" s="99"/>
      <c r="Q71" s="101" t="str">
        <f t="shared" ca="1" si="3"/>
        <v/>
      </c>
      <c r="R71" s="99"/>
      <c r="S71" s="99"/>
      <c r="T71" s="100"/>
      <c r="U71" s="131"/>
      <c r="V71" s="131"/>
      <c r="W71" s="131"/>
      <c r="X71" s="132"/>
    </row>
    <row r="72" spans="1:24" ht="45.95" customHeight="1" x14ac:dyDescent="0.25">
      <c r="A72" s="96" t="str">
        <f t="shared" si="2"/>
        <v/>
      </c>
      <c r="B72" s="97"/>
      <c r="C72" s="98"/>
      <c r="D72" s="99"/>
      <c r="E72" s="99"/>
      <c r="F72" s="99"/>
      <c r="G72" s="99"/>
      <c r="H72" s="99"/>
      <c r="I72" s="99"/>
      <c r="J72" s="100"/>
      <c r="K72" s="100"/>
      <c r="L72" s="100"/>
      <c r="M72" s="99"/>
      <c r="N72" s="97"/>
      <c r="O72" s="99"/>
      <c r="P72" s="99"/>
      <c r="Q72" s="101" t="str">
        <f t="shared" ca="1" si="3"/>
        <v/>
      </c>
      <c r="R72" s="99"/>
      <c r="S72" s="99"/>
      <c r="T72" s="100"/>
      <c r="U72" s="131"/>
      <c r="V72" s="131"/>
      <c r="W72" s="131"/>
      <c r="X72" s="132"/>
    </row>
    <row r="73" spans="1:24" ht="45.95" customHeight="1" x14ac:dyDescent="0.25">
      <c r="A73" s="96" t="str">
        <f t="shared" si="2"/>
        <v/>
      </c>
      <c r="B73" s="97"/>
      <c r="C73" s="98"/>
      <c r="D73" s="99"/>
      <c r="E73" s="99"/>
      <c r="F73" s="99"/>
      <c r="G73" s="99"/>
      <c r="H73" s="99"/>
      <c r="I73" s="99"/>
      <c r="J73" s="100"/>
      <c r="K73" s="100"/>
      <c r="L73" s="100"/>
      <c r="M73" s="99"/>
      <c r="N73" s="97"/>
      <c r="O73" s="99"/>
      <c r="P73" s="99"/>
      <c r="Q73" s="101" t="str">
        <f t="shared" ca="1" si="3"/>
        <v/>
      </c>
      <c r="R73" s="99"/>
      <c r="S73" s="99"/>
      <c r="T73" s="100"/>
      <c r="U73" s="131"/>
      <c r="V73" s="131"/>
      <c r="W73" s="131"/>
      <c r="X73" s="132"/>
    </row>
    <row r="74" spans="1:24" ht="45.95" customHeight="1" x14ac:dyDescent="0.25">
      <c r="A74" s="96" t="str">
        <f t="shared" si="2"/>
        <v/>
      </c>
      <c r="B74" s="97"/>
      <c r="C74" s="98"/>
      <c r="D74" s="99"/>
      <c r="E74" s="99"/>
      <c r="F74" s="99"/>
      <c r="G74" s="99"/>
      <c r="H74" s="99"/>
      <c r="I74" s="99"/>
      <c r="J74" s="100"/>
      <c r="K74" s="100"/>
      <c r="L74" s="100"/>
      <c r="M74" s="99"/>
      <c r="N74" s="97"/>
      <c r="O74" s="99"/>
      <c r="P74" s="99"/>
      <c r="Q74" s="101" t="str">
        <f t="shared" ca="1" si="3"/>
        <v/>
      </c>
      <c r="R74" s="99"/>
      <c r="S74" s="99"/>
      <c r="T74" s="100"/>
      <c r="U74" s="131"/>
      <c r="V74" s="131"/>
      <c r="W74" s="131"/>
      <c r="X74" s="132"/>
    </row>
    <row r="75" spans="1:24" ht="45.95" customHeight="1" x14ac:dyDescent="0.25">
      <c r="A75" s="96" t="str">
        <f t="shared" si="2"/>
        <v/>
      </c>
      <c r="B75" s="97"/>
      <c r="C75" s="98"/>
      <c r="D75" s="99"/>
      <c r="E75" s="99"/>
      <c r="F75" s="99"/>
      <c r="G75" s="99"/>
      <c r="H75" s="99"/>
      <c r="I75" s="99"/>
      <c r="J75" s="100"/>
      <c r="K75" s="100"/>
      <c r="L75" s="100"/>
      <c r="M75" s="99"/>
      <c r="N75" s="97"/>
      <c r="O75" s="99"/>
      <c r="P75" s="99"/>
      <c r="Q75" s="101" t="str">
        <f t="shared" ca="1" si="3"/>
        <v/>
      </c>
      <c r="R75" s="99"/>
      <c r="S75" s="99"/>
      <c r="T75" s="100"/>
      <c r="U75" s="131"/>
      <c r="V75" s="131"/>
      <c r="W75" s="131"/>
      <c r="X75" s="132"/>
    </row>
    <row r="76" spans="1:24" ht="45.95" customHeight="1" x14ac:dyDescent="0.25">
      <c r="A76" s="96" t="str">
        <f t="shared" si="2"/>
        <v/>
      </c>
      <c r="B76" s="97"/>
      <c r="C76" s="98"/>
      <c r="D76" s="99"/>
      <c r="E76" s="99"/>
      <c r="F76" s="99"/>
      <c r="G76" s="99"/>
      <c r="H76" s="99"/>
      <c r="I76" s="99"/>
      <c r="J76" s="100"/>
      <c r="K76" s="100"/>
      <c r="L76" s="100"/>
      <c r="M76" s="99"/>
      <c r="N76" s="97"/>
      <c r="O76" s="99"/>
      <c r="P76" s="99"/>
      <c r="Q76" s="101" t="str">
        <f t="shared" ca="1" si="3"/>
        <v/>
      </c>
      <c r="R76" s="99"/>
      <c r="S76" s="99"/>
      <c r="T76" s="100"/>
      <c r="U76" s="131"/>
      <c r="V76" s="131"/>
      <c r="W76" s="131"/>
      <c r="X76" s="132"/>
    </row>
    <row r="77" spans="1:24" ht="45.95" customHeight="1" x14ac:dyDescent="0.25">
      <c r="A77" s="96" t="str">
        <f t="shared" si="2"/>
        <v/>
      </c>
      <c r="B77" s="97"/>
      <c r="C77" s="98"/>
      <c r="D77" s="99"/>
      <c r="E77" s="99"/>
      <c r="F77" s="99"/>
      <c r="G77" s="99"/>
      <c r="H77" s="99"/>
      <c r="I77" s="99"/>
      <c r="J77" s="100"/>
      <c r="K77" s="100"/>
      <c r="L77" s="100"/>
      <c r="M77" s="99"/>
      <c r="N77" s="97"/>
      <c r="O77" s="99"/>
      <c r="P77" s="99"/>
      <c r="Q77" s="101" t="str">
        <f t="shared" ca="1" si="3"/>
        <v/>
      </c>
      <c r="R77" s="99"/>
      <c r="S77" s="99"/>
      <c r="T77" s="100"/>
      <c r="U77" s="131"/>
      <c r="V77" s="131"/>
      <c r="W77" s="131"/>
      <c r="X77" s="132"/>
    </row>
    <row r="78" spans="1:24" ht="45.95" customHeight="1" x14ac:dyDescent="0.25">
      <c r="A78" s="96" t="str">
        <f t="shared" si="2"/>
        <v/>
      </c>
      <c r="B78" s="97"/>
      <c r="C78" s="98"/>
      <c r="D78" s="99"/>
      <c r="E78" s="99"/>
      <c r="F78" s="99"/>
      <c r="G78" s="99"/>
      <c r="H78" s="99"/>
      <c r="I78" s="99"/>
      <c r="J78" s="100"/>
      <c r="K78" s="100"/>
      <c r="L78" s="100"/>
      <c r="M78" s="99"/>
      <c r="N78" s="97"/>
      <c r="O78" s="99"/>
      <c r="P78" s="99"/>
      <c r="Q78" s="101" t="str">
        <f t="shared" ca="1" si="3"/>
        <v/>
      </c>
      <c r="R78" s="99"/>
      <c r="S78" s="99"/>
      <c r="T78" s="100"/>
      <c r="U78" s="131"/>
      <c r="V78" s="131"/>
      <c r="W78" s="131"/>
      <c r="X78" s="132"/>
    </row>
    <row r="79" spans="1:24" ht="45.95" customHeight="1" x14ac:dyDescent="0.25">
      <c r="A79" s="96" t="str">
        <f t="shared" si="2"/>
        <v/>
      </c>
      <c r="B79" s="97"/>
      <c r="C79" s="98"/>
      <c r="D79" s="99"/>
      <c r="E79" s="99"/>
      <c r="F79" s="99"/>
      <c r="G79" s="99"/>
      <c r="H79" s="99"/>
      <c r="I79" s="99"/>
      <c r="J79" s="100"/>
      <c r="K79" s="100"/>
      <c r="L79" s="100"/>
      <c r="M79" s="99"/>
      <c r="N79" s="97"/>
      <c r="O79" s="99"/>
      <c r="P79" s="99"/>
      <c r="Q79" s="101" t="str">
        <f t="shared" ca="1" si="3"/>
        <v/>
      </c>
      <c r="R79" s="99"/>
      <c r="S79" s="99"/>
      <c r="T79" s="100"/>
      <c r="U79" s="131"/>
      <c r="V79" s="131"/>
      <c r="W79" s="131"/>
      <c r="X79" s="132"/>
    </row>
    <row r="80" spans="1:24" ht="45.95" customHeight="1" x14ac:dyDescent="0.25">
      <c r="A80" s="96" t="str">
        <f t="shared" si="2"/>
        <v/>
      </c>
      <c r="B80" s="97"/>
      <c r="C80" s="98"/>
      <c r="D80" s="99"/>
      <c r="E80" s="99"/>
      <c r="F80" s="99"/>
      <c r="G80" s="99"/>
      <c r="H80" s="99"/>
      <c r="I80" s="99"/>
      <c r="J80" s="100"/>
      <c r="K80" s="100"/>
      <c r="L80" s="100"/>
      <c r="M80" s="99"/>
      <c r="N80" s="97"/>
      <c r="O80" s="99"/>
      <c r="P80" s="99"/>
      <c r="Q80" s="101" t="str">
        <f t="shared" ca="1" si="3"/>
        <v/>
      </c>
      <c r="R80" s="99"/>
      <c r="S80" s="99"/>
      <c r="T80" s="100"/>
      <c r="U80" s="131"/>
      <c r="V80" s="131"/>
      <c r="W80" s="131"/>
      <c r="X80" s="132"/>
    </row>
    <row r="81" spans="1:24" ht="45.95" customHeight="1" x14ac:dyDescent="0.25">
      <c r="A81" s="96" t="str">
        <f t="shared" si="2"/>
        <v/>
      </c>
      <c r="B81" s="97"/>
      <c r="C81" s="98"/>
      <c r="D81" s="99"/>
      <c r="E81" s="99"/>
      <c r="F81" s="99"/>
      <c r="G81" s="99"/>
      <c r="H81" s="99"/>
      <c r="I81" s="99"/>
      <c r="J81" s="100"/>
      <c r="K81" s="100"/>
      <c r="L81" s="100"/>
      <c r="M81" s="99"/>
      <c r="N81" s="97"/>
      <c r="O81" s="99"/>
      <c r="P81" s="99"/>
      <c r="Q81" s="101" t="str">
        <f t="shared" ca="1" si="3"/>
        <v/>
      </c>
      <c r="R81" s="99"/>
      <c r="S81" s="99"/>
      <c r="T81" s="100"/>
      <c r="U81" s="131"/>
      <c r="V81" s="131"/>
      <c r="W81" s="131"/>
      <c r="X81" s="132"/>
    </row>
    <row r="82" spans="1:24" ht="45.95" customHeight="1" x14ac:dyDescent="0.25">
      <c r="A82" s="96" t="str">
        <f t="shared" si="2"/>
        <v/>
      </c>
      <c r="B82" s="97"/>
      <c r="C82" s="98"/>
      <c r="D82" s="99"/>
      <c r="E82" s="99"/>
      <c r="F82" s="99"/>
      <c r="G82" s="99"/>
      <c r="H82" s="99"/>
      <c r="I82" s="99"/>
      <c r="J82" s="100"/>
      <c r="K82" s="100"/>
      <c r="L82" s="100"/>
      <c r="M82" s="99"/>
      <c r="N82" s="97"/>
      <c r="O82" s="99"/>
      <c r="P82" s="99"/>
      <c r="Q82" s="101" t="str">
        <f t="shared" ca="1" si="3"/>
        <v/>
      </c>
      <c r="R82" s="99"/>
      <c r="S82" s="99"/>
      <c r="T82" s="100"/>
      <c r="U82" s="131"/>
      <c r="V82" s="131"/>
      <c r="W82" s="131"/>
      <c r="X82" s="132"/>
    </row>
    <row r="83" spans="1:24" ht="45.95" customHeight="1" x14ac:dyDescent="0.25">
      <c r="A83" s="96" t="str">
        <f t="shared" si="2"/>
        <v/>
      </c>
      <c r="B83" s="97"/>
      <c r="C83" s="98"/>
      <c r="D83" s="99"/>
      <c r="E83" s="99"/>
      <c r="F83" s="99"/>
      <c r="G83" s="99"/>
      <c r="H83" s="99"/>
      <c r="I83" s="99"/>
      <c r="J83" s="100"/>
      <c r="K83" s="100"/>
      <c r="L83" s="100"/>
      <c r="M83" s="99"/>
      <c r="N83" s="97"/>
      <c r="O83" s="99"/>
      <c r="P83" s="99"/>
      <c r="Q83" s="101" t="str">
        <f t="shared" ca="1" si="3"/>
        <v/>
      </c>
      <c r="R83" s="99"/>
      <c r="S83" s="99"/>
      <c r="T83" s="100"/>
      <c r="U83" s="131"/>
      <c r="V83" s="131"/>
      <c r="W83" s="131"/>
      <c r="X83" s="132"/>
    </row>
    <row r="84" spans="1:24" ht="45.95" customHeight="1" x14ac:dyDescent="0.25">
      <c r="A84" s="96" t="str">
        <f t="shared" si="2"/>
        <v/>
      </c>
      <c r="B84" s="97"/>
      <c r="C84" s="98"/>
      <c r="D84" s="99"/>
      <c r="E84" s="99"/>
      <c r="F84" s="99"/>
      <c r="G84" s="99"/>
      <c r="H84" s="99"/>
      <c r="I84" s="99"/>
      <c r="J84" s="100"/>
      <c r="K84" s="100"/>
      <c r="L84" s="100"/>
      <c r="M84" s="99"/>
      <c r="N84" s="97"/>
      <c r="O84" s="99"/>
      <c r="P84" s="99"/>
      <c r="Q84" s="101" t="str">
        <f t="shared" ca="1" si="3"/>
        <v/>
      </c>
      <c r="R84" s="99"/>
      <c r="S84" s="99"/>
      <c r="T84" s="100"/>
      <c r="U84" s="131"/>
      <c r="V84" s="131"/>
      <c r="W84" s="131"/>
      <c r="X84" s="132"/>
    </row>
    <row r="85" spans="1:24" ht="45.95" customHeight="1" x14ac:dyDescent="0.25">
      <c r="A85" s="96" t="str">
        <f t="shared" si="2"/>
        <v/>
      </c>
      <c r="B85" s="97"/>
      <c r="C85" s="98"/>
      <c r="D85" s="99"/>
      <c r="E85" s="99"/>
      <c r="F85" s="99"/>
      <c r="G85" s="99"/>
      <c r="H85" s="99"/>
      <c r="I85" s="99"/>
      <c r="J85" s="100"/>
      <c r="K85" s="100"/>
      <c r="L85" s="100"/>
      <c r="M85" s="99"/>
      <c r="N85" s="97"/>
      <c r="O85" s="99"/>
      <c r="P85" s="99"/>
      <c r="Q85" s="101" t="str">
        <f t="shared" ca="1" si="3"/>
        <v/>
      </c>
      <c r="R85" s="99"/>
      <c r="S85" s="99"/>
      <c r="T85" s="100"/>
      <c r="U85" s="131"/>
      <c r="V85" s="131"/>
      <c r="W85" s="131"/>
      <c r="X85" s="132"/>
    </row>
    <row r="86" spans="1:24" ht="45.95" customHeight="1" x14ac:dyDescent="0.25">
      <c r="A86" s="96" t="str">
        <f t="shared" si="2"/>
        <v/>
      </c>
      <c r="B86" s="97"/>
      <c r="C86" s="98"/>
      <c r="D86" s="99"/>
      <c r="E86" s="99"/>
      <c r="F86" s="99"/>
      <c r="G86" s="99"/>
      <c r="H86" s="99"/>
      <c r="I86" s="99"/>
      <c r="J86" s="100"/>
      <c r="K86" s="100"/>
      <c r="L86" s="100"/>
      <c r="M86" s="99"/>
      <c r="N86" s="97"/>
      <c r="O86" s="99"/>
      <c r="P86" s="99"/>
      <c r="Q86" s="101" t="str">
        <f t="shared" ca="1" si="3"/>
        <v/>
      </c>
      <c r="R86" s="99"/>
      <c r="S86" s="99"/>
      <c r="T86" s="100"/>
      <c r="U86" s="131"/>
      <c r="V86" s="131"/>
      <c r="W86" s="131"/>
      <c r="X86" s="132"/>
    </row>
    <row r="87" spans="1:24" ht="45.95" customHeight="1" x14ac:dyDescent="0.25">
      <c r="A87" s="96" t="str">
        <f t="shared" si="2"/>
        <v/>
      </c>
      <c r="B87" s="97"/>
      <c r="C87" s="98"/>
      <c r="D87" s="99"/>
      <c r="E87" s="99"/>
      <c r="F87" s="99"/>
      <c r="G87" s="99"/>
      <c r="H87" s="99"/>
      <c r="I87" s="99"/>
      <c r="J87" s="100"/>
      <c r="K87" s="100"/>
      <c r="L87" s="100"/>
      <c r="M87" s="99"/>
      <c r="N87" s="97"/>
      <c r="O87" s="99"/>
      <c r="P87" s="99"/>
      <c r="Q87" s="101" t="str">
        <f t="shared" ca="1" si="3"/>
        <v/>
      </c>
      <c r="R87" s="99"/>
      <c r="S87" s="99"/>
      <c r="T87" s="100"/>
      <c r="U87" s="131"/>
      <c r="V87" s="131"/>
      <c r="W87" s="131"/>
      <c r="X87" s="132"/>
    </row>
    <row r="88" spans="1:24" ht="45.95" customHeight="1" x14ac:dyDescent="0.25">
      <c r="A88" s="96" t="str">
        <f t="shared" si="2"/>
        <v/>
      </c>
      <c r="B88" s="97"/>
      <c r="C88" s="98"/>
      <c r="D88" s="99"/>
      <c r="E88" s="99"/>
      <c r="F88" s="99"/>
      <c r="G88" s="99"/>
      <c r="H88" s="99"/>
      <c r="I88" s="99"/>
      <c r="J88" s="100"/>
      <c r="K88" s="100"/>
      <c r="L88" s="100"/>
      <c r="M88" s="99"/>
      <c r="N88" s="97"/>
      <c r="O88" s="99"/>
      <c r="P88" s="99"/>
      <c r="Q88" s="101" t="str">
        <f t="shared" ca="1" si="3"/>
        <v/>
      </c>
      <c r="R88" s="99"/>
      <c r="S88" s="99"/>
      <c r="T88" s="100"/>
      <c r="U88" s="131"/>
      <c r="V88" s="131"/>
      <c r="W88" s="131"/>
      <c r="X88" s="132"/>
    </row>
    <row r="89" spans="1:24" ht="45.95" customHeight="1" x14ac:dyDescent="0.25">
      <c r="A89" s="96" t="str">
        <f t="shared" si="2"/>
        <v/>
      </c>
      <c r="B89" s="97"/>
      <c r="C89" s="98"/>
      <c r="D89" s="99"/>
      <c r="E89" s="99"/>
      <c r="F89" s="99"/>
      <c r="G89" s="99"/>
      <c r="H89" s="99"/>
      <c r="I89" s="99"/>
      <c r="J89" s="100"/>
      <c r="K89" s="100"/>
      <c r="L89" s="100"/>
      <c r="M89" s="99"/>
      <c r="N89" s="97"/>
      <c r="O89" s="99"/>
      <c r="P89" s="99"/>
      <c r="Q89" s="101" t="str">
        <f t="shared" ca="1" si="3"/>
        <v/>
      </c>
      <c r="R89" s="99"/>
      <c r="S89" s="99"/>
      <c r="T89" s="100"/>
      <c r="U89" s="131"/>
      <c r="V89" s="131"/>
      <c r="W89" s="131"/>
      <c r="X89" s="132"/>
    </row>
    <row r="90" spans="1:24" ht="45.95" customHeight="1" x14ac:dyDescent="0.25">
      <c r="A90" s="96" t="str">
        <f t="shared" si="2"/>
        <v/>
      </c>
      <c r="B90" s="97"/>
      <c r="C90" s="98"/>
      <c r="D90" s="99"/>
      <c r="E90" s="99"/>
      <c r="F90" s="99"/>
      <c r="G90" s="99"/>
      <c r="H90" s="99"/>
      <c r="I90" s="99"/>
      <c r="J90" s="100"/>
      <c r="K90" s="100"/>
      <c r="L90" s="100"/>
      <c r="M90" s="99"/>
      <c r="N90" s="97"/>
      <c r="O90" s="99"/>
      <c r="P90" s="99"/>
      <c r="Q90" s="101" t="str">
        <f t="shared" ca="1" si="3"/>
        <v/>
      </c>
      <c r="R90" s="99"/>
      <c r="S90" s="99"/>
      <c r="T90" s="100"/>
      <c r="U90" s="131"/>
      <c r="V90" s="131"/>
      <c r="W90" s="131"/>
      <c r="X90" s="132"/>
    </row>
    <row r="91" spans="1:24" ht="45.95" customHeight="1" x14ac:dyDescent="0.25">
      <c r="A91" s="96" t="str">
        <f t="shared" si="2"/>
        <v/>
      </c>
      <c r="B91" s="97"/>
      <c r="C91" s="98"/>
      <c r="D91" s="99"/>
      <c r="E91" s="99"/>
      <c r="F91" s="99"/>
      <c r="G91" s="99"/>
      <c r="H91" s="99"/>
      <c r="I91" s="99"/>
      <c r="J91" s="100"/>
      <c r="K91" s="100"/>
      <c r="L91" s="100"/>
      <c r="M91" s="99"/>
      <c r="N91" s="97"/>
      <c r="O91" s="99"/>
      <c r="P91" s="99"/>
      <c r="Q91" s="101" t="str">
        <f t="shared" ca="1" si="3"/>
        <v/>
      </c>
      <c r="R91" s="99"/>
      <c r="S91" s="99"/>
      <c r="T91" s="100"/>
      <c r="U91" s="131"/>
      <c r="V91" s="131"/>
      <c r="W91" s="131"/>
      <c r="X91" s="132"/>
    </row>
    <row r="92" spans="1:24" ht="45.95" customHeight="1" x14ac:dyDescent="0.25">
      <c r="A92" s="96" t="str">
        <f t="shared" si="2"/>
        <v/>
      </c>
      <c r="B92" s="97"/>
      <c r="C92" s="98"/>
      <c r="D92" s="99"/>
      <c r="E92" s="99"/>
      <c r="F92" s="99"/>
      <c r="G92" s="99"/>
      <c r="H92" s="99"/>
      <c r="I92" s="99"/>
      <c r="J92" s="100"/>
      <c r="K92" s="100"/>
      <c r="L92" s="100"/>
      <c r="M92" s="99"/>
      <c r="N92" s="97"/>
      <c r="O92" s="99"/>
      <c r="P92" s="99"/>
      <c r="Q92" s="101" t="str">
        <f t="shared" ca="1" si="3"/>
        <v/>
      </c>
      <c r="R92" s="99"/>
      <c r="S92" s="99"/>
      <c r="T92" s="100"/>
      <c r="U92" s="131"/>
      <c r="V92" s="131"/>
      <c r="W92" s="131"/>
      <c r="X92" s="132"/>
    </row>
    <row r="93" spans="1:24" ht="45.95" customHeight="1" x14ac:dyDescent="0.25">
      <c r="A93" s="96" t="str">
        <f t="shared" si="2"/>
        <v/>
      </c>
      <c r="B93" s="97"/>
      <c r="C93" s="98"/>
      <c r="D93" s="99"/>
      <c r="E93" s="99"/>
      <c r="F93" s="99"/>
      <c r="G93" s="99"/>
      <c r="H93" s="99"/>
      <c r="I93" s="99"/>
      <c r="J93" s="100"/>
      <c r="K93" s="100"/>
      <c r="L93" s="100"/>
      <c r="M93" s="99"/>
      <c r="N93" s="97"/>
      <c r="O93" s="99"/>
      <c r="P93" s="99"/>
      <c r="Q93" s="101" t="str">
        <f t="shared" ca="1" si="3"/>
        <v/>
      </c>
      <c r="R93" s="99"/>
      <c r="S93" s="99"/>
      <c r="T93" s="100"/>
      <c r="U93" s="131"/>
      <c r="V93" s="131"/>
      <c r="W93" s="131"/>
      <c r="X93" s="132"/>
    </row>
    <row r="94" spans="1:24" ht="45.95" customHeight="1" x14ac:dyDescent="0.25">
      <c r="A94" s="96" t="str">
        <f t="shared" si="2"/>
        <v/>
      </c>
      <c r="B94" s="97"/>
      <c r="C94" s="98"/>
      <c r="D94" s="99"/>
      <c r="E94" s="99"/>
      <c r="F94" s="99"/>
      <c r="G94" s="99"/>
      <c r="H94" s="99"/>
      <c r="I94" s="99"/>
      <c r="J94" s="100"/>
      <c r="K94" s="100"/>
      <c r="L94" s="100"/>
      <c r="M94" s="99"/>
      <c r="N94" s="97"/>
      <c r="O94" s="99"/>
      <c r="P94" s="99"/>
      <c r="Q94" s="101" t="str">
        <f t="shared" ca="1" si="3"/>
        <v/>
      </c>
      <c r="R94" s="99"/>
      <c r="S94" s="99"/>
      <c r="T94" s="100"/>
      <c r="U94" s="131"/>
      <c r="V94" s="131"/>
      <c r="W94" s="131"/>
      <c r="X94" s="132"/>
    </row>
    <row r="95" spans="1:24" ht="45.95" customHeight="1" x14ac:dyDescent="0.25">
      <c r="A95" s="96" t="str">
        <f t="shared" si="2"/>
        <v/>
      </c>
      <c r="B95" s="97"/>
      <c r="C95" s="98"/>
      <c r="D95" s="99"/>
      <c r="E95" s="99"/>
      <c r="F95" s="99"/>
      <c r="G95" s="99"/>
      <c r="H95" s="99"/>
      <c r="I95" s="99"/>
      <c r="J95" s="100"/>
      <c r="K95" s="100"/>
      <c r="L95" s="100"/>
      <c r="M95" s="99"/>
      <c r="N95" s="97"/>
      <c r="O95" s="99"/>
      <c r="P95" s="99"/>
      <c r="Q95" s="101" t="str">
        <f t="shared" ca="1" si="3"/>
        <v/>
      </c>
      <c r="R95" s="99"/>
      <c r="S95" s="99"/>
      <c r="T95" s="100"/>
      <c r="U95" s="131"/>
      <c r="V95" s="131"/>
      <c r="W95" s="131"/>
      <c r="X95" s="132"/>
    </row>
    <row r="96" spans="1:24" ht="45.95" customHeight="1" x14ac:dyDescent="0.25">
      <c r="A96" s="96" t="str">
        <f t="shared" si="2"/>
        <v/>
      </c>
      <c r="B96" s="97"/>
      <c r="C96" s="98"/>
      <c r="D96" s="99"/>
      <c r="E96" s="99"/>
      <c r="F96" s="99"/>
      <c r="G96" s="99"/>
      <c r="H96" s="99"/>
      <c r="I96" s="99"/>
      <c r="J96" s="100"/>
      <c r="K96" s="100"/>
      <c r="L96" s="100"/>
      <c r="M96" s="99"/>
      <c r="N96" s="97"/>
      <c r="O96" s="99"/>
      <c r="P96" s="99"/>
      <c r="Q96" s="101" t="str">
        <f t="shared" ca="1" si="3"/>
        <v/>
      </c>
      <c r="R96" s="99"/>
      <c r="S96" s="99"/>
      <c r="T96" s="100"/>
      <c r="U96" s="131"/>
      <c r="V96" s="131"/>
      <c r="W96" s="131"/>
      <c r="X96" s="132"/>
    </row>
    <row r="97" spans="1:24" ht="45.95" customHeight="1" x14ac:dyDescent="0.25">
      <c r="A97" s="96" t="str">
        <f t="shared" si="2"/>
        <v/>
      </c>
      <c r="B97" s="97"/>
      <c r="C97" s="98"/>
      <c r="D97" s="99"/>
      <c r="E97" s="99"/>
      <c r="F97" s="99"/>
      <c r="G97" s="99"/>
      <c r="H97" s="99"/>
      <c r="I97" s="99"/>
      <c r="J97" s="100"/>
      <c r="K97" s="100"/>
      <c r="L97" s="100"/>
      <c r="M97" s="99"/>
      <c r="N97" s="97"/>
      <c r="O97" s="99"/>
      <c r="P97" s="99"/>
      <c r="Q97" s="101" t="str">
        <f t="shared" ca="1" si="3"/>
        <v/>
      </c>
      <c r="R97" s="99"/>
      <c r="S97" s="99"/>
      <c r="T97" s="100"/>
      <c r="U97" s="131"/>
      <c r="V97" s="131"/>
      <c r="W97" s="131"/>
      <c r="X97" s="132"/>
    </row>
    <row r="98" spans="1:24" ht="45.95" customHeight="1" x14ac:dyDescent="0.25">
      <c r="A98" s="96" t="str">
        <f t="shared" si="2"/>
        <v/>
      </c>
      <c r="B98" s="97"/>
      <c r="C98" s="98"/>
      <c r="D98" s="99"/>
      <c r="E98" s="99"/>
      <c r="F98" s="99"/>
      <c r="G98" s="99"/>
      <c r="H98" s="99"/>
      <c r="I98" s="99"/>
      <c r="J98" s="100"/>
      <c r="K98" s="100"/>
      <c r="L98" s="100"/>
      <c r="M98" s="99"/>
      <c r="N98" s="97"/>
      <c r="O98" s="99"/>
      <c r="P98" s="99"/>
      <c r="Q98" s="101" t="str">
        <f t="shared" ca="1" si="3"/>
        <v/>
      </c>
      <c r="R98" s="99"/>
      <c r="S98" s="99"/>
      <c r="T98" s="100"/>
      <c r="U98" s="131"/>
      <c r="V98" s="131"/>
      <c r="W98" s="131"/>
      <c r="X98" s="132"/>
    </row>
    <row r="99" spans="1:24" ht="45.95" customHeight="1" x14ac:dyDescent="0.25">
      <c r="A99" s="96" t="str">
        <f t="shared" si="2"/>
        <v/>
      </c>
      <c r="B99" s="97"/>
      <c r="C99" s="98"/>
      <c r="D99" s="99"/>
      <c r="E99" s="99"/>
      <c r="F99" s="99"/>
      <c r="G99" s="99"/>
      <c r="H99" s="99"/>
      <c r="I99" s="99"/>
      <c r="J99" s="100"/>
      <c r="K99" s="100"/>
      <c r="L99" s="100"/>
      <c r="M99" s="99"/>
      <c r="N99" s="97"/>
      <c r="O99" s="99"/>
      <c r="P99" s="99"/>
      <c r="Q99" s="101" t="str">
        <f t="shared" ca="1" si="3"/>
        <v/>
      </c>
      <c r="R99" s="99"/>
      <c r="S99" s="99"/>
      <c r="T99" s="100"/>
      <c r="U99" s="131"/>
      <c r="V99" s="131"/>
      <c r="W99" s="131"/>
      <c r="X99" s="132"/>
    </row>
    <row r="100" spans="1:24" ht="45.95" customHeight="1" x14ac:dyDescent="0.25">
      <c r="A100" s="96" t="str">
        <f t="shared" si="2"/>
        <v/>
      </c>
      <c r="B100" s="97"/>
      <c r="C100" s="98"/>
      <c r="D100" s="99"/>
      <c r="E100" s="99"/>
      <c r="F100" s="99"/>
      <c r="G100" s="99"/>
      <c r="H100" s="99"/>
      <c r="I100" s="99"/>
      <c r="J100" s="100"/>
      <c r="K100" s="100"/>
      <c r="L100" s="100"/>
      <c r="M100" s="99"/>
      <c r="N100" s="97"/>
      <c r="O100" s="99"/>
      <c r="P100" s="99"/>
      <c r="Q100" s="101" t="str">
        <f t="shared" ca="1" si="3"/>
        <v/>
      </c>
      <c r="R100" s="99"/>
      <c r="S100" s="99"/>
      <c r="T100" s="100"/>
      <c r="U100" s="131"/>
      <c r="V100" s="131"/>
      <c r="W100" s="131"/>
      <c r="X100" s="132"/>
    </row>
    <row r="101" spans="1:24" ht="45.95" customHeight="1" x14ac:dyDescent="0.25">
      <c r="A101" s="96" t="str">
        <f t="shared" si="2"/>
        <v/>
      </c>
      <c r="B101" s="97"/>
      <c r="C101" s="98"/>
      <c r="D101" s="99"/>
      <c r="E101" s="99"/>
      <c r="F101" s="99"/>
      <c r="G101" s="99"/>
      <c r="H101" s="99"/>
      <c r="I101" s="99"/>
      <c r="J101" s="100"/>
      <c r="K101" s="100"/>
      <c r="L101" s="100"/>
      <c r="M101" s="99"/>
      <c r="N101" s="97"/>
      <c r="O101" s="99"/>
      <c r="P101" s="99"/>
      <c r="Q101" s="101" t="str">
        <f t="shared" ca="1" si="3"/>
        <v/>
      </c>
      <c r="R101" s="99"/>
      <c r="S101" s="99"/>
      <c r="T101" s="100"/>
      <c r="U101" s="131"/>
      <c r="V101" s="131"/>
      <c r="W101" s="131"/>
      <c r="X101" s="132"/>
    </row>
    <row r="102" spans="1:24" ht="45.95" customHeight="1" x14ac:dyDescent="0.25">
      <c r="A102" s="96" t="str">
        <f t="shared" si="2"/>
        <v/>
      </c>
      <c r="B102" s="97"/>
      <c r="C102" s="98"/>
      <c r="D102" s="99"/>
      <c r="E102" s="99"/>
      <c r="F102" s="99"/>
      <c r="G102" s="99"/>
      <c r="H102" s="99"/>
      <c r="I102" s="99"/>
      <c r="J102" s="100"/>
      <c r="K102" s="100"/>
      <c r="L102" s="100"/>
      <c r="M102" s="99"/>
      <c r="N102" s="97"/>
      <c r="O102" s="99"/>
      <c r="P102" s="99"/>
      <c r="Q102" s="101" t="str">
        <f t="shared" ca="1" si="3"/>
        <v/>
      </c>
      <c r="R102" s="99"/>
      <c r="S102" s="99"/>
      <c r="T102" s="100"/>
      <c r="U102" s="131"/>
      <c r="V102" s="131"/>
      <c r="W102" s="131"/>
      <c r="X102" s="132"/>
    </row>
    <row r="103" spans="1:24" ht="45.95" customHeight="1" x14ac:dyDescent="0.25">
      <c r="A103" s="96" t="str">
        <f t="shared" si="2"/>
        <v/>
      </c>
      <c r="B103" s="97"/>
      <c r="C103" s="98"/>
      <c r="D103" s="99"/>
      <c r="E103" s="99"/>
      <c r="F103" s="99"/>
      <c r="G103" s="99"/>
      <c r="H103" s="99"/>
      <c r="I103" s="99"/>
      <c r="J103" s="100"/>
      <c r="K103" s="100"/>
      <c r="L103" s="100"/>
      <c r="M103" s="99"/>
      <c r="N103" s="97"/>
      <c r="O103" s="99"/>
      <c r="P103" s="99"/>
      <c r="Q103" s="101" t="str">
        <f t="shared" ca="1" si="3"/>
        <v/>
      </c>
      <c r="R103" s="99"/>
      <c r="S103" s="99"/>
      <c r="T103" s="100"/>
      <c r="U103" s="131"/>
      <c r="V103" s="131"/>
      <c r="W103" s="131"/>
      <c r="X103" s="132"/>
    </row>
    <row r="104" spans="1:24" ht="45.95" customHeight="1" x14ac:dyDescent="0.25">
      <c r="A104" s="96" t="str">
        <f t="shared" si="2"/>
        <v/>
      </c>
      <c r="B104" s="97"/>
      <c r="C104" s="98"/>
      <c r="D104" s="99"/>
      <c r="E104" s="99"/>
      <c r="F104" s="99"/>
      <c r="G104" s="99"/>
      <c r="H104" s="99"/>
      <c r="I104" s="99"/>
      <c r="J104" s="100"/>
      <c r="K104" s="100"/>
      <c r="L104" s="100"/>
      <c r="M104" s="99"/>
      <c r="N104" s="97"/>
      <c r="O104" s="99"/>
      <c r="P104" s="99"/>
      <c r="Q104" s="101" t="str">
        <f t="shared" ca="1" si="3"/>
        <v/>
      </c>
      <c r="R104" s="99"/>
      <c r="S104" s="99"/>
      <c r="T104" s="100"/>
      <c r="U104" s="131"/>
      <c r="V104" s="131"/>
      <c r="W104" s="131"/>
      <c r="X104" s="132"/>
    </row>
    <row r="105" spans="1:24" ht="45.95" customHeight="1" x14ac:dyDescent="0.25">
      <c r="A105" s="96" t="str">
        <f t="shared" si="2"/>
        <v/>
      </c>
      <c r="B105" s="97"/>
      <c r="C105" s="98"/>
      <c r="D105" s="99"/>
      <c r="E105" s="99"/>
      <c r="F105" s="99"/>
      <c r="G105" s="99"/>
      <c r="H105" s="99"/>
      <c r="I105" s="99"/>
      <c r="J105" s="100"/>
      <c r="K105" s="100"/>
      <c r="L105" s="100"/>
      <c r="M105" s="99"/>
      <c r="N105" s="97"/>
      <c r="O105" s="99"/>
      <c r="P105" s="99"/>
      <c r="Q105" s="101" t="str">
        <f t="shared" ca="1" si="3"/>
        <v/>
      </c>
      <c r="R105" s="99"/>
      <c r="S105" s="99"/>
      <c r="T105" s="100"/>
      <c r="U105" s="131"/>
      <c r="V105" s="131"/>
      <c r="W105" s="131"/>
      <c r="X105" s="132"/>
    </row>
    <row r="106" spans="1:24" ht="45.95" customHeight="1" x14ac:dyDescent="0.25">
      <c r="A106" s="96" t="str">
        <f t="shared" si="2"/>
        <v/>
      </c>
      <c r="B106" s="97"/>
      <c r="C106" s="98"/>
      <c r="D106" s="99"/>
      <c r="E106" s="99"/>
      <c r="F106" s="99"/>
      <c r="G106" s="99"/>
      <c r="H106" s="99"/>
      <c r="I106" s="99"/>
      <c r="J106" s="100"/>
      <c r="K106" s="100"/>
      <c r="L106" s="100"/>
      <c r="M106" s="99"/>
      <c r="N106" s="97"/>
      <c r="O106" s="99"/>
      <c r="P106" s="99"/>
      <c r="Q106" s="101" t="str">
        <f t="shared" ca="1" si="3"/>
        <v/>
      </c>
      <c r="R106" s="99"/>
      <c r="S106" s="99"/>
      <c r="T106" s="100"/>
      <c r="U106" s="131"/>
      <c r="V106" s="131"/>
      <c r="W106" s="131"/>
      <c r="X106" s="132"/>
    </row>
    <row r="107" spans="1:24" ht="45.95" customHeight="1" x14ac:dyDescent="0.25">
      <c r="A107" s="96" t="str">
        <f t="shared" si="2"/>
        <v/>
      </c>
      <c r="B107" s="97"/>
      <c r="C107" s="98"/>
      <c r="D107" s="99"/>
      <c r="E107" s="99"/>
      <c r="F107" s="99"/>
      <c r="G107" s="99"/>
      <c r="H107" s="99"/>
      <c r="I107" s="99"/>
      <c r="J107" s="100"/>
      <c r="K107" s="100"/>
      <c r="L107" s="100"/>
      <c r="M107" s="99"/>
      <c r="N107" s="97"/>
      <c r="O107" s="99"/>
      <c r="P107" s="99"/>
      <c r="Q107" s="101" t="str">
        <f t="shared" ca="1" si="3"/>
        <v/>
      </c>
      <c r="R107" s="99"/>
      <c r="S107" s="99"/>
      <c r="T107" s="100"/>
      <c r="U107" s="131"/>
      <c r="V107" s="131"/>
      <c r="W107" s="131"/>
      <c r="X107" s="132"/>
    </row>
    <row r="108" spans="1:24" ht="45.95" customHeight="1" x14ac:dyDescent="0.25">
      <c r="A108" s="96" t="str">
        <f t="shared" si="2"/>
        <v/>
      </c>
      <c r="B108" s="97"/>
      <c r="C108" s="98"/>
      <c r="D108" s="99"/>
      <c r="E108" s="99"/>
      <c r="F108" s="99"/>
      <c r="G108" s="99"/>
      <c r="H108" s="99"/>
      <c r="I108" s="99"/>
      <c r="J108" s="100"/>
      <c r="K108" s="100"/>
      <c r="L108" s="100"/>
      <c r="M108" s="99"/>
      <c r="N108" s="97"/>
      <c r="O108" s="99"/>
      <c r="P108" s="99"/>
      <c r="Q108" s="101" t="str">
        <f t="shared" ca="1" si="3"/>
        <v/>
      </c>
      <c r="R108" s="99"/>
      <c r="S108" s="99"/>
      <c r="T108" s="100"/>
      <c r="U108" s="131"/>
      <c r="V108" s="131"/>
      <c r="W108" s="131"/>
      <c r="X108" s="132"/>
    </row>
    <row r="109" spans="1:24" ht="45.95" customHeight="1" x14ac:dyDescent="0.25">
      <c r="A109" s="96" t="str">
        <f t="shared" si="2"/>
        <v/>
      </c>
      <c r="B109" s="97"/>
      <c r="C109" s="98"/>
      <c r="D109" s="99"/>
      <c r="E109" s="99"/>
      <c r="F109" s="99"/>
      <c r="G109" s="99"/>
      <c r="H109" s="99"/>
      <c r="I109" s="99"/>
      <c r="J109" s="100"/>
      <c r="K109" s="100"/>
      <c r="L109" s="100"/>
      <c r="M109" s="99"/>
      <c r="N109" s="97"/>
      <c r="O109" s="99"/>
      <c r="P109" s="99"/>
      <c r="Q109" s="101" t="str">
        <f t="shared" ca="1" si="3"/>
        <v/>
      </c>
      <c r="R109" s="99"/>
      <c r="S109" s="99"/>
      <c r="T109" s="100"/>
      <c r="U109" s="131"/>
      <c r="V109" s="131"/>
      <c r="W109" s="131"/>
      <c r="X109" s="132"/>
    </row>
    <row r="110" spans="1:24" ht="45.95" customHeight="1" x14ac:dyDescent="0.25">
      <c r="A110" s="96" t="str">
        <f t="shared" si="2"/>
        <v/>
      </c>
      <c r="B110" s="97"/>
      <c r="C110" s="98"/>
      <c r="D110" s="99"/>
      <c r="E110" s="99"/>
      <c r="F110" s="99"/>
      <c r="G110" s="99"/>
      <c r="H110" s="99"/>
      <c r="I110" s="99"/>
      <c r="J110" s="100"/>
      <c r="K110" s="100"/>
      <c r="L110" s="100"/>
      <c r="M110" s="99"/>
      <c r="N110" s="97"/>
      <c r="O110" s="99"/>
      <c r="P110" s="99"/>
      <c r="Q110" s="101" t="str">
        <f t="shared" ca="1" si="3"/>
        <v/>
      </c>
      <c r="R110" s="99"/>
      <c r="S110" s="99"/>
      <c r="T110" s="100"/>
      <c r="U110" s="131"/>
      <c r="V110" s="131"/>
      <c r="W110" s="131"/>
      <c r="X110" s="132"/>
    </row>
    <row r="111" spans="1:24" ht="45.95" customHeight="1" x14ac:dyDescent="0.25">
      <c r="A111" s="96" t="str">
        <f t="shared" si="2"/>
        <v/>
      </c>
      <c r="B111" s="97"/>
      <c r="C111" s="98"/>
      <c r="D111" s="99"/>
      <c r="E111" s="99"/>
      <c r="F111" s="99"/>
      <c r="G111" s="99"/>
      <c r="H111" s="99"/>
      <c r="I111" s="99"/>
      <c r="J111" s="100"/>
      <c r="K111" s="100"/>
      <c r="L111" s="100"/>
      <c r="M111" s="99"/>
      <c r="N111" s="97"/>
      <c r="O111" s="99"/>
      <c r="P111" s="99"/>
      <c r="Q111" s="101" t="str">
        <f t="shared" ca="1" si="3"/>
        <v/>
      </c>
      <c r="R111" s="99"/>
      <c r="S111" s="99"/>
      <c r="T111" s="100"/>
      <c r="U111" s="131"/>
      <c r="V111" s="131"/>
      <c r="W111" s="131"/>
      <c r="X111" s="132"/>
    </row>
    <row r="112" spans="1:24" ht="45.95" customHeight="1" x14ac:dyDescent="0.25">
      <c r="A112" s="96" t="str">
        <f t="shared" si="2"/>
        <v/>
      </c>
      <c r="B112" s="97"/>
      <c r="C112" s="98"/>
      <c r="D112" s="99"/>
      <c r="E112" s="99"/>
      <c r="F112" s="99"/>
      <c r="G112" s="99"/>
      <c r="H112" s="99"/>
      <c r="I112" s="99"/>
      <c r="J112" s="100"/>
      <c r="K112" s="100"/>
      <c r="L112" s="100"/>
      <c r="M112" s="99"/>
      <c r="N112" s="97"/>
      <c r="O112" s="99"/>
      <c r="P112" s="99"/>
      <c r="Q112" s="101" t="str">
        <f t="shared" ca="1" si="3"/>
        <v/>
      </c>
      <c r="R112" s="99"/>
      <c r="S112" s="99"/>
      <c r="T112" s="100"/>
      <c r="U112" s="131"/>
      <c r="V112" s="131"/>
      <c r="W112" s="131"/>
      <c r="X112" s="132"/>
    </row>
    <row r="113" spans="1:24" ht="45.95" customHeight="1" x14ac:dyDescent="0.25">
      <c r="A113" s="96" t="str">
        <f t="shared" si="2"/>
        <v/>
      </c>
      <c r="B113" s="97"/>
      <c r="C113" s="98"/>
      <c r="D113" s="99"/>
      <c r="E113" s="99"/>
      <c r="F113" s="99"/>
      <c r="G113" s="99"/>
      <c r="H113" s="99"/>
      <c r="I113" s="99"/>
      <c r="J113" s="100"/>
      <c r="K113" s="100"/>
      <c r="L113" s="100"/>
      <c r="M113" s="99"/>
      <c r="N113" s="97"/>
      <c r="O113" s="99"/>
      <c r="P113" s="99"/>
      <c r="Q113" s="101" t="str">
        <f t="shared" ca="1" si="3"/>
        <v/>
      </c>
      <c r="R113" s="99"/>
      <c r="S113" s="99"/>
      <c r="T113" s="100"/>
      <c r="U113" s="131"/>
      <c r="V113" s="131"/>
      <c r="W113" s="131"/>
      <c r="X113" s="132"/>
    </row>
    <row r="114" spans="1:24" ht="45.95" customHeight="1" x14ac:dyDescent="0.25">
      <c r="A114" s="96" t="str">
        <f t="shared" si="2"/>
        <v/>
      </c>
      <c r="B114" s="97"/>
      <c r="C114" s="98"/>
      <c r="D114" s="99"/>
      <c r="E114" s="99"/>
      <c r="F114" s="99"/>
      <c r="G114" s="99"/>
      <c r="H114" s="99"/>
      <c r="I114" s="99"/>
      <c r="J114" s="100"/>
      <c r="K114" s="100"/>
      <c r="L114" s="100"/>
      <c r="M114" s="99"/>
      <c r="N114" s="97"/>
      <c r="O114" s="99"/>
      <c r="P114" s="99"/>
      <c r="Q114" s="101" t="str">
        <f t="shared" ca="1" si="3"/>
        <v/>
      </c>
      <c r="R114" s="99"/>
      <c r="S114" s="99"/>
      <c r="T114" s="100"/>
      <c r="U114" s="131"/>
      <c r="V114" s="131"/>
      <c r="W114" s="131"/>
      <c r="X114" s="132"/>
    </row>
    <row r="115" spans="1:24" ht="45.95" customHeight="1" x14ac:dyDescent="0.25">
      <c r="A115" s="96" t="str">
        <f t="shared" si="2"/>
        <v/>
      </c>
      <c r="B115" s="97"/>
      <c r="C115" s="98"/>
      <c r="D115" s="99"/>
      <c r="E115" s="99"/>
      <c r="F115" s="99"/>
      <c r="G115" s="99"/>
      <c r="H115" s="99"/>
      <c r="I115" s="99"/>
      <c r="J115" s="100"/>
      <c r="K115" s="100"/>
      <c r="L115" s="100"/>
      <c r="M115" s="99"/>
      <c r="N115" s="97"/>
      <c r="O115" s="99"/>
      <c r="P115" s="99"/>
      <c r="Q115" s="101" t="str">
        <f t="shared" ca="1" si="3"/>
        <v/>
      </c>
      <c r="R115" s="99"/>
      <c r="S115" s="99"/>
      <c r="T115" s="100"/>
      <c r="U115" s="131"/>
      <c r="V115" s="131"/>
      <c r="W115" s="131"/>
      <c r="X115" s="132"/>
    </row>
    <row r="116" spans="1:24" ht="45.95" customHeight="1" x14ac:dyDescent="0.25">
      <c r="A116" s="96" t="str">
        <f t="shared" si="2"/>
        <v/>
      </c>
      <c r="B116" s="97"/>
      <c r="C116" s="98"/>
      <c r="D116" s="99"/>
      <c r="E116" s="99"/>
      <c r="F116" s="99"/>
      <c r="G116" s="99"/>
      <c r="H116" s="99"/>
      <c r="I116" s="99"/>
      <c r="J116" s="100"/>
      <c r="K116" s="100"/>
      <c r="L116" s="100"/>
      <c r="M116" s="99"/>
      <c r="N116" s="97"/>
      <c r="O116" s="99"/>
      <c r="P116" s="99"/>
      <c r="Q116" s="101" t="str">
        <f t="shared" ca="1" si="3"/>
        <v/>
      </c>
      <c r="R116" s="99"/>
      <c r="S116" s="99"/>
      <c r="T116" s="100"/>
      <c r="U116" s="131"/>
      <c r="V116" s="131"/>
      <c r="W116" s="131"/>
      <c r="X116" s="132"/>
    </row>
    <row r="117" spans="1:24" ht="45.95" customHeight="1" x14ac:dyDescent="0.25">
      <c r="A117" s="96" t="str">
        <f t="shared" si="2"/>
        <v/>
      </c>
      <c r="B117" s="97"/>
      <c r="C117" s="98"/>
      <c r="D117" s="99"/>
      <c r="E117" s="99"/>
      <c r="F117" s="99"/>
      <c r="G117" s="99"/>
      <c r="H117" s="99"/>
      <c r="I117" s="99"/>
      <c r="J117" s="100"/>
      <c r="K117" s="100"/>
      <c r="L117" s="100"/>
      <c r="M117" s="99"/>
      <c r="N117" s="97"/>
      <c r="O117" s="99"/>
      <c r="P117" s="99"/>
      <c r="Q117" s="101" t="str">
        <f t="shared" ca="1" si="3"/>
        <v/>
      </c>
      <c r="R117" s="99"/>
      <c r="S117" s="99"/>
      <c r="T117" s="100"/>
      <c r="U117" s="131"/>
      <c r="V117" s="131"/>
      <c r="W117" s="131"/>
      <c r="X117" s="132"/>
    </row>
    <row r="118" spans="1:24" ht="45.95" customHeight="1" x14ac:dyDescent="0.25">
      <c r="A118" s="96" t="str">
        <f t="shared" si="2"/>
        <v/>
      </c>
      <c r="B118" s="97"/>
      <c r="C118" s="98"/>
      <c r="D118" s="99"/>
      <c r="E118" s="99"/>
      <c r="F118" s="99"/>
      <c r="G118" s="99"/>
      <c r="H118" s="99"/>
      <c r="I118" s="99"/>
      <c r="J118" s="100"/>
      <c r="K118" s="100"/>
      <c r="L118" s="100"/>
      <c r="M118" s="99"/>
      <c r="N118" s="97"/>
      <c r="O118" s="99"/>
      <c r="P118" s="99"/>
      <c r="Q118" s="101" t="str">
        <f t="shared" ca="1" si="3"/>
        <v/>
      </c>
      <c r="R118" s="99"/>
      <c r="S118" s="99"/>
      <c r="T118" s="100"/>
      <c r="U118" s="131"/>
      <c r="V118" s="131"/>
      <c r="W118" s="131"/>
      <c r="X118" s="132"/>
    </row>
    <row r="119" spans="1:24" ht="45.95" customHeight="1" x14ac:dyDescent="0.25">
      <c r="A119" s="96" t="str">
        <f t="shared" si="2"/>
        <v/>
      </c>
      <c r="B119" s="97"/>
      <c r="C119" s="98"/>
      <c r="D119" s="99"/>
      <c r="E119" s="99"/>
      <c r="F119" s="99"/>
      <c r="G119" s="99"/>
      <c r="H119" s="99"/>
      <c r="I119" s="99"/>
      <c r="J119" s="100"/>
      <c r="K119" s="100"/>
      <c r="L119" s="100"/>
      <c r="M119" s="99"/>
      <c r="N119" s="97"/>
      <c r="O119" s="99"/>
      <c r="P119" s="99"/>
      <c r="Q119" s="101" t="str">
        <f t="shared" ca="1" si="3"/>
        <v/>
      </c>
      <c r="R119" s="99"/>
      <c r="S119" s="99"/>
      <c r="T119" s="100"/>
      <c r="U119" s="131"/>
      <c r="V119" s="131"/>
      <c r="W119" s="131"/>
      <c r="X119" s="132"/>
    </row>
    <row r="120" spans="1:24" ht="45.95" customHeight="1" x14ac:dyDescent="0.25">
      <c r="A120" s="96" t="str">
        <f t="shared" si="2"/>
        <v/>
      </c>
      <c r="B120" s="97"/>
      <c r="C120" s="98"/>
      <c r="D120" s="99"/>
      <c r="E120" s="99"/>
      <c r="F120" s="99"/>
      <c r="G120" s="99"/>
      <c r="H120" s="99"/>
      <c r="I120" s="99"/>
      <c r="J120" s="100"/>
      <c r="K120" s="100"/>
      <c r="L120" s="100"/>
      <c r="M120" s="99"/>
      <c r="N120" s="97"/>
      <c r="O120" s="99"/>
      <c r="P120" s="99"/>
      <c r="Q120" s="101" t="str">
        <f t="shared" ca="1" si="3"/>
        <v/>
      </c>
      <c r="R120" s="99"/>
      <c r="S120" s="99"/>
      <c r="T120" s="100"/>
      <c r="U120" s="131"/>
      <c r="V120" s="131"/>
      <c r="W120" s="131"/>
      <c r="X120" s="132"/>
    </row>
    <row r="121" spans="1:24" ht="45.95" customHeight="1" x14ac:dyDescent="0.25">
      <c r="A121" s="96" t="str">
        <f t="shared" si="2"/>
        <v/>
      </c>
      <c r="B121" s="97"/>
      <c r="C121" s="98"/>
      <c r="D121" s="99"/>
      <c r="E121" s="99"/>
      <c r="F121" s="99"/>
      <c r="G121" s="99"/>
      <c r="H121" s="99"/>
      <c r="I121" s="99"/>
      <c r="J121" s="100"/>
      <c r="K121" s="100"/>
      <c r="L121" s="100"/>
      <c r="M121" s="99"/>
      <c r="N121" s="97"/>
      <c r="O121" s="99"/>
      <c r="P121" s="99"/>
      <c r="Q121" s="101" t="str">
        <f t="shared" ca="1" si="3"/>
        <v/>
      </c>
      <c r="R121" s="99"/>
      <c r="S121" s="99"/>
      <c r="T121" s="100"/>
      <c r="U121" s="131"/>
      <c r="V121" s="131"/>
      <c r="W121" s="131"/>
      <c r="X121" s="132"/>
    </row>
    <row r="122" spans="1:24" ht="45.95" customHeight="1" x14ac:dyDescent="0.25">
      <c r="A122" s="96" t="str">
        <f t="shared" si="2"/>
        <v/>
      </c>
      <c r="B122" s="97"/>
      <c r="C122" s="98"/>
      <c r="D122" s="99"/>
      <c r="E122" s="99"/>
      <c r="F122" s="99"/>
      <c r="G122" s="99"/>
      <c r="H122" s="99"/>
      <c r="I122" s="99"/>
      <c r="J122" s="100"/>
      <c r="K122" s="100"/>
      <c r="L122" s="100"/>
      <c r="M122" s="99"/>
      <c r="N122" s="97"/>
      <c r="O122" s="99"/>
      <c r="P122" s="99"/>
      <c r="Q122" s="101" t="str">
        <f t="shared" ca="1" si="3"/>
        <v/>
      </c>
      <c r="R122" s="99"/>
      <c r="S122" s="99"/>
      <c r="T122" s="100"/>
      <c r="U122" s="131"/>
      <c r="V122" s="131"/>
      <c r="W122" s="131"/>
      <c r="X122" s="132"/>
    </row>
    <row r="123" spans="1:24" ht="45.95" customHeight="1" x14ac:dyDescent="0.25">
      <c r="A123" s="96" t="str">
        <f t="shared" si="2"/>
        <v/>
      </c>
      <c r="B123" s="97"/>
      <c r="C123" s="98"/>
      <c r="D123" s="99"/>
      <c r="E123" s="99"/>
      <c r="F123" s="99"/>
      <c r="G123" s="99"/>
      <c r="H123" s="99"/>
      <c r="I123" s="99"/>
      <c r="J123" s="100"/>
      <c r="K123" s="100"/>
      <c r="L123" s="100"/>
      <c r="M123" s="99"/>
      <c r="N123" s="97"/>
      <c r="O123" s="99"/>
      <c r="P123" s="99"/>
      <c r="Q123" s="101" t="str">
        <f t="shared" ca="1" si="3"/>
        <v/>
      </c>
      <c r="R123" s="99"/>
      <c r="S123" s="99"/>
      <c r="T123" s="100"/>
      <c r="U123" s="131"/>
      <c r="V123" s="131"/>
      <c r="W123" s="131"/>
      <c r="X123" s="132"/>
    </row>
    <row r="124" spans="1:24" ht="45.95" customHeight="1" x14ac:dyDescent="0.25">
      <c r="A124" s="96" t="str">
        <f t="shared" si="2"/>
        <v/>
      </c>
      <c r="B124" s="97"/>
      <c r="C124" s="98"/>
      <c r="D124" s="99"/>
      <c r="E124" s="99"/>
      <c r="F124" s="99"/>
      <c r="G124" s="99"/>
      <c r="H124" s="99"/>
      <c r="I124" s="99"/>
      <c r="J124" s="100"/>
      <c r="K124" s="100"/>
      <c r="L124" s="100"/>
      <c r="M124" s="99"/>
      <c r="N124" s="97"/>
      <c r="O124" s="99"/>
      <c r="P124" s="99"/>
      <c r="Q124" s="101" t="str">
        <f t="shared" ca="1" si="3"/>
        <v/>
      </c>
      <c r="R124" s="99"/>
      <c r="S124" s="99"/>
      <c r="T124" s="100"/>
      <c r="U124" s="131"/>
      <c r="V124" s="131"/>
      <c r="W124" s="131"/>
      <c r="X124" s="132"/>
    </row>
    <row r="125" spans="1:24" ht="45.95" customHeight="1" x14ac:dyDescent="0.25">
      <c r="A125" s="96" t="str">
        <f t="shared" si="2"/>
        <v/>
      </c>
      <c r="B125" s="97"/>
      <c r="C125" s="98"/>
      <c r="D125" s="99"/>
      <c r="E125" s="99"/>
      <c r="F125" s="99"/>
      <c r="G125" s="99"/>
      <c r="H125" s="99"/>
      <c r="I125" s="99"/>
      <c r="J125" s="100"/>
      <c r="K125" s="100"/>
      <c r="L125" s="100"/>
      <c r="M125" s="99"/>
      <c r="N125" s="97"/>
      <c r="O125" s="99"/>
      <c r="P125" s="99"/>
      <c r="Q125" s="101" t="str">
        <f t="shared" ca="1" si="3"/>
        <v/>
      </c>
      <c r="R125" s="99"/>
      <c r="S125" s="99"/>
      <c r="T125" s="100"/>
      <c r="U125" s="131"/>
      <c r="V125" s="131"/>
      <c r="W125" s="131"/>
      <c r="X125" s="132"/>
    </row>
    <row r="126" spans="1:24" ht="45.95" customHeight="1" x14ac:dyDescent="0.25">
      <c r="A126" s="96" t="str">
        <f t="shared" si="2"/>
        <v/>
      </c>
      <c r="B126" s="97"/>
      <c r="C126" s="98"/>
      <c r="D126" s="99"/>
      <c r="E126" s="99"/>
      <c r="F126" s="99"/>
      <c r="G126" s="99"/>
      <c r="H126" s="99"/>
      <c r="I126" s="99"/>
      <c r="J126" s="100"/>
      <c r="K126" s="100"/>
      <c r="L126" s="100"/>
      <c r="M126" s="99"/>
      <c r="N126" s="97"/>
      <c r="O126" s="99"/>
      <c r="P126" s="99"/>
      <c r="Q126" s="101" t="str">
        <f t="shared" ca="1" si="3"/>
        <v/>
      </c>
      <c r="R126" s="99"/>
      <c r="S126" s="99"/>
      <c r="T126" s="100"/>
      <c r="U126" s="131"/>
      <c r="V126" s="131"/>
      <c r="W126" s="131"/>
      <c r="X126" s="132"/>
    </row>
    <row r="127" spans="1:24" ht="45.95" customHeight="1" x14ac:dyDescent="0.25">
      <c r="A127" s="96" t="str">
        <f t="shared" si="2"/>
        <v/>
      </c>
      <c r="B127" s="97"/>
      <c r="C127" s="98"/>
      <c r="D127" s="99"/>
      <c r="E127" s="99"/>
      <c r="F127" s="99"/>
      <c r="G127" s="99"/>
      <c r="H127" s="99"/>
      <c r="I127" s="99"/>
      <c r="J127" s="100"/>
      <c r="K127" s="100"/>
      <c r="L127" s="100"/>
      <c r="M127" s="99"/>
      <c r="N127" s="97"/>
      <c r="O127" s="99"/>
      <c r="P127" s="99"/>
      <c r="Q127" s="101" t="str">
        <f t="shared" ca="1" si="3"/>
        <v/>
      </c>
      <c r="R127" s="99"/>
      <c r="S127" s="99"/>
      <c r="T127" s="100"/>
      <c r="U127" s="131"/>
      <c r="V127" s="131"/>
      <c r="W127" s="131"/>
      <c r="X127" s="132"/>
    </row>
    <row r="128" spans="1:24" ht="45.95" customHeight="1" x14ac:dyDescent="0.25">
      <c r="A128" s="96" t="str">
        <f t="shared" si="2"/>
        <v/>
      </c>
      <c r="B128" s="97"/>
      <c r="C128" s="98"/>
      <c r="D128" s="99"/>
      <c r="E128" s="99"/>
      <c r="F128" s="99"/>
      <c r="G128" s="99"/>
      <c r="H128" s="99"/>
      <c r="I128" s="99"/>
      <c r="J128" s="100"/>
      <c r="K128" s="100"/>
      <c r="L128" s="100"/>
      <c r="M128" s="99"/>
      <c r="N128" s="97"/>
      <c r="O128" s="99"/>
      <c r="P128" s="99"/>
      <c r="Q128" s="101" t="str">
        <f t="shared" ca="1" si="3"/>
        <v/>
      </c>
      <c r="R128" s="99"/>
      <c r="S128" s="99"/>
      <c r="T128" s="100"/>
      <c r="U128" s="131"/>
      <c r="V128" s="131"/>
      <c r="W128" s="131"/>
      <c r="X128" s="132"/>
    </row>
    <row r="129" spans="1:24" ht="45.95" customHeight="1" x14ac:dyDescent="0.25">
      <c r="A129" s="96" t="str">
        <f t="shared" si="2"/>
        <v/>
      </c>
      <c r="B129" s="97"/>
      <c r="C129" s="98"/>
      <c r="D129" s="99"/>
      <c r="E129" s="99"/>
      <c r="F129" s="99"/>
      <c r="G129" s="99"/>
      <c r="H129" s="99"/>
      <c r="I129" s="99"/>
      <c r="J129" s="100"/>
      <c r="K129" s="100"/>
      <c r="L129" s="100"/>
      <c r="M129" s="99"/>
      <c r="N129" s="97"/>
      <c r="O129" s="99"/>
      <c r="P129" s="99"/>
      <c r="Q129" s="101" t="str">
        <f t="shared" ca="1" si="3"/>
        <v/>
      </c>
      <c r="R129" s="99"/>
      <c r="S129" s="99"/>
      <c r="T129" s="100"/>
      <c r="U129" s="131"/>
      <c r="V129" s="131"/>
      <c r="W129" s="131"/>
      <c r="X129" s="132"/>
    </row>
    <row r="130" spans="1:24" ht="45.95" customHeight="1" x14ac:dyDescent="0.25">
      <c r="A130" s="96" t="str">
        <f t="shared" si="2"/>
        <v/>
      </c>
      <c r="B130" s="97"/>
      <c r="C130" s="98"/>
      <c r="D130" s="99"/>
      <c r="E130" s="99"/>
      <c r="F130" s="99"/>
      <c r="G130" s="99"/>
      <c r="H130" s="99"/>
      <c r="I130" s="99"/>
      <c r="J130" s="100"/>
      <c r="K130" s="100"/>
      <c r="L130" s="100"/>
      <c r="M130" s="99"/>
      <c r="N130" s="97"/>
      <c r="O130" s="99"/>
      <c r="P130" s="99"/>
      <c r="Q130" s="101" t="str">
        <f t="shared" ca="1" si="3"/>
        <v/>
      </c>
      <c r="R130" s="99"/>
      <c r="S130" s="99"/>
      <c r="T130" s="100"/>
      <c r="U130" s="131"/>
      <c r="V130" s="131"/>
      <c r="W130" s="131"/>
      <c r="X130" s="132"/>
    </row>
    <row r="131" spans="1:24" ht="45.95" customHeight="1" x14ac:dyDescent="0.25">
      <c r="A131" s="96" t="str">
        <f t="shared" si="2"/>
        <v/>
      </c>
      <c r="B131" s="97"/>
      <c r="C131" s="98"/>
      <c r="D131" s="99"/>
      <c r="E131" s="99"/>
      <c r="F131" s="99"/>
      <c r="G131" s="99"/>
      <c r="H131" s="99"/>
      <c r="I131" s="99"/>
      <c r="J131" s="100"/>
      <c r="K131" s="100"/>
      <c r="L131" s="100"/>
      <c r="M131" s="99"/>
      <c r="N131" s="97"/>
      <c r="O131" s="99"/>
      <c r="P131" s="99"/>
      <c r="Q131" s="101" t="str">
        <f t="shared" ca="1" si="3"/>
        <v/>
      </c>
      <c r="R131" s="99"/>
      <c r="S131" s="99"/>
      <c r="T131" s="100"/>
      <c r="U131" s="131"/>
      <c r="V131" s="131"/>
      <c r="W131" s="131"/>
      <c r="X131" s="132"/>
    </row>
    <row r="132" spans="1:24" ht="45.95" customHeight="1" x14ac:dyDescent="0.25">
      <c r="A132" s="96" t="str">
        <f t="shared" si="2"/>
        <v/>
      </c>
      <c r="B132" s="97"/>
      <c r="C132" s="98"/>
      <c r="D132" s="99"/>
      <c r="E132" s="99"/>
      <c r="F132" s="99"/>
      <c r="G132" s="99"/>
      <c r="H132" s="99"/>
      <c r="I132" s="99"/>
      <c r="J132" s="100"/>
      <c r="K132" s="100"/>
      <c r="L132" s="100"/>
      <c r="M132" s="99"/>
      <c r="N132" s="97"/>
      <c r="O132" s="99"/>
      <c r="P132" s="99"/>
      <c r="Q132" s="101" t="str">
        <f t="shared" ca="1" si="3"/>
        <v/>
      </c>
      <c r="R132" s="99"/>
      <c r="S132" s="99"/>
      <c r="T132" s="100"/>
      <c r="U132" s="131"/>
      <c r="V132" s="131"/>
      <c r="W132" s="131"/>
      <c r="X132" s="132"/>
    </row>
    <row r="133" spans="1:24" ht="45.95" customHeight="1" x14ac:dyDescent="0.25">
      <c r="A133" s="96" t="str">
        <f t="shared" ref="A133:A196" si="4">IF($B133="","","ATA-"&amp;TEXT($B133,"yyyymmdd"))</f>
        <v/>
      </c>
      <c r="B133" s="97"/>
      <c r="C133" s="98"/>
      <c r="D133" s="99"/>
      <c r="E133" s="99"/>
      <c r="F133" s="99"/>
      <c r="G133" s="99"/>
      <c r="H133" s="99"/>
      <c r="I133" s="99"/>
      <c r="J133" s="100"/>
      <c r="K133" s="100"/>
      <c r="L133" s="100"/>
      <c r="M133" s="99"/>
      <c r="N133" s="97"/>
      <c r="O133" s="99"/>
      <c r="P133" s="99"/>
      <c r="Q133" s="101" t="str">
        <f t="shared" ref="Q133:Q196" ca="1" si="5">IF(OR($B133="",$L133="",$P133="CONCLUÍDA"),"",TODAY()-$B133)</f>
        <v/>
      </c>
      <c r="R133" s="99"/>
      <c r="S133" s="99"/>
      <c r="T133" s="100"/>
      <c r="U133" s="131"/>
      <c r="V133" s="131"/>
      <c r="W133" s="131"/>
      <c r="X133" s="132"/>
    </row>
    <row r="134" spans="1:24" ht="45.95" customHeight="1" x14ac:dyDescent="0.25">
      <c r="A134" s="96" t="str">
        <f t="shared" si="4"/>
        <v/>
      </c>
      <c r="B134" s="97"/>
      <c r="C134" s="98"/>
      <c r="D134" s="99"/>
      <c r="E134" s="99"/>
      <c r="F134" s="99"/>
      <c r="G134" s="99"/>
      <c r="H134" s="99"/>
      <c r="I134" s="99"/>
      <c r="J134" s="100"/>
      <c r="K134" s="100"/>
      <c r="L134" s="100"/>
      <c r="M134" s="99"/>
      <c r="N134" s="97"/>
      <c r="O134" s="99"/>
      <c r="P134" s="99"/>
      <c r="Q134" s="101" t="str">
        <f t="shared" ca="1" si="5"/>
        <v/>
      </c>
      <c r="R134" s="99"/>
      <c r="S134" s="99"/>
      <c r="T134" s="100"/>
      <c r="U134" s="131"/>
      <c r="V134" s="131"/>
      <c r="W134" s="131"/>
      <c r="X134" s="132"/>
    </row>
    <row r="135" spans="1:24" ht="45.95" customHeight="1" x14ac:dyDescent="0.25">
      <c r="A135" s="96" t="str">
        <f t="shared" si="4"/>
        <v/>
      </c>
      <c r="B135" s="97"/>
      <c r="C135" s="98"/>
      <c r="D135" s="99"/>
      <c r="E135" s="99"/>
      <c r="F135" s="99"/>
      <c r="G135" s="99"/>
      <c r="H135" s="99"/>
      <c r="I135" s="99"/>
      <c r="J135" s="100"/>
      <c r="K135" s="100"/>
      <c r="L135" s="100"/>
      <c r="M135" s="99"/>
      <c r="N135" s="97"/>
      <c r="O135" s="99"/>
      <c r="P135" s="99"/>
      <c r="Q135" s="101" t="str">
        <f t="shared" ca="1" si="5"/>
        <v/>
      </c>
      <c r="R135" s="99"/>
      <c r="S135" s="99"/>
      <c r="T135" s="100"/>
      <c r="U135" s="131"/>
      <c r="V135" s="131"/>
      <c r="W135" s="131"/>
      <c r="X135" s="132"/>
    </row>
    <row r="136" spans="1:24" ht="45.95" customHeight="1" x14ac:dyDescent="0.25">
      <c r="A136" s="96" t="str">
        <f t="shared" si="4"/>
        <v/>
      </c>
      <c r="B136" s="97"/>
      <c r="C136" s="98"/>
      <c r="D136" s="99"/>
      <c r="E136" s="99"/>
      <c r="F136" s="99"/>
      <c r="G136" s="99"/>
      <c r="H136" s="99"/>
      <c r="I136" s="99"/>
      <c r="J136" s="100"/>
      <c r="K136" s="100"/>
      <c r="L136" s="100"/>
      <c r="M136" s="99"/>
      <c r="N136" s="97"/>
      <c r="O136" s="99"/>
      <c r="P136" s="99"/>
      <c r="Q136" s="101" t="str">
        <f t="shared" ca="1" si="5"/>
        <v/>
      </c>
      <c r="R136" s="99"/>
      <c r="S136" s="99"/>
      <c r="T136" s="100"/>
      <c r="U136" s="131"/>
      <c r="V136" s="131"/>
      <c r="W136" s="131"/>
      <c r="X136" s="132"/>
    </row>
    <row r="137" spans="1:24" ht="45.95" customHeight="1" x14ac:dyDescent="0.25">
      <c r="A137" s="96" t="str">
        <f t="shared" si="4"/>
        <v/>
      </c>
      <c r="B137" s="97"/>
      <c r="C137" s="98"/>
      <c r="D137" s="99"/>
      <c r="E137" s="99"/>
      <c r="F137" s="99"/>
      <c r="G137" s="99"/>
      <c r="H137" s="99"/>
      <c r="I137" s="99"/>
      <c r="J137" s="100"/>
      <c r="K137" s="100"/>
      <c r="L137" s="100"/>
      <c r="M137" s="99"/>
      <c r="N137" s="97"/>
      <c r="O137" s="99"/>
      <c r="P137" s="99"/>
      <c r="Q137" s="101" t="str">
        <f t="shared" ca="1" si="5"/>
        <v/>
      </c>
      <c r="R137" s="99"/>
      <c r="S137" s="99"/>
      <c r="T137" s="100"/>
      <c r="U137" s="131"/>
      <c r="V137" s="131"/>
      <c r="W137" s="131"/>
      <c r="X137" s="132"/>
    </row>
    <row r="138" spans="1:24" ht="45.95" customHeight="1" x14ac:dyDescent="0.25">
      <c r="A138" s="96" t="str">
        <f t="shared" si="4"/>
        <v/>
      </c>
      <c r="B138" s="97"/>
      <c r="C138" s="98"/>
      <c r="D138" s="99"/>
      <c r="E138" s="99"/>
      <c r="F138" s="99"/>
      <c r="G138" s="99"/>
      <c r="H138" s="99"/>
      <c r="I138" s="99"/>
      <c r="J138" s="100"/>
      <c r="K138" s="100"/>
      <c r="L138" s="100"/>
      <c r="M138" s="99"/>
      <c r="N138" s="97"/>
      <c r="O138" s="99"/>
      <c r="P138" s="99"/>
      <c r="Q138" s="101" t="str">
        <f t="shared" ca="1" si="5"/>
        <v/>
      </c>
      <c r="R138" s="99"/>
      <c r="S138" s="99"/>
      <c r="T138" s="100"/>
      <c r="U138" s="131"/>
      <c r="V138" s="131"/>
      <c r="W138" s="131"/>
      <c r="X138" s="132"/>
    </row>
    <row r="139" spans="1:24" ht="45.95" customHeight="1" x14ac:dyDescent="0.25">
      <c r="A139" s="96" t="str">
        <f t="shared" si="4"/>
        <v/>
      </c>
      <c r="B139" s="97"/>
      <c r="C139" s="98"/>
      <c r="D139" s="99"/>
      <c r="E139" s="99"/>
      <c r="F139" s="99"/>
      <c r="G139" s="99"/>
      <c r="H139" s="99"/>
      <c r="I139" s="99"/>
      <c r="J139" s="100"/>
      <c r="K139" s="100"/>
      <c r="L139" s="100"/>
      <c r="M139" s="99"/>
      <c r="N139" s="97"/>
      <c r="O139" s="99"/>
      <c r="P139" s="99"/>
      <c r="Q139" s="101" t="str">
        <f t="shared" ca="1" si="5"/>
        <v/>
      </c>
      <c r="R139" s="99"/>
      <c r="S139" s="99"/>
      <c r="T139" s="100"/>
      <c r="U139" s="131"/>
      <c r="V139" s="131"/>
      <c r="W139" s="131"/>
      <c r="X139" s="132"/>
    </row>
    <row r="140" spans="1:24" ht="45.95" customHeight="1" x14ac:dyDescent="0.25">
      <c r="A140" s="96" t="str">
        <f t="shared" si="4"/>
        <v/>
      </c>
      <c r="B140" s="97"/>
      <c r="C140" s="98"/>
      <c r="D140" s="99"/>
      <c r="E140" s="99"/>
      <c r="F140" s="99"/>
      <c r="G140" s="99"/>
      <c r="H140" s="99"/>
      <c r="I140" s="99"/>
      <c r="J140" s="100"/>
      <c r="K140" s="100"/>
      <c r="L140" s="100"/>
      <c r="M140" s="99"/>
      <c r="N140" s="97"/>
      <c r="O140" s="99"/>
      <c r="P140" s="99"/>
      <c r="Q140" s="101" t="str">
        <f t="shared" ca="1" si="5"/>
        <v/>
      </c>
      <c r="R140" s="99"/>
      <c r="S140" s="99"/>
      <c r="T140" s="100"/>
      <c r="U140" s="131"/>
      <c r="V140" s="131"/>
      <c r="W140" s="131"/>
      <c r="X140" s="132"/>
    </row>
    <row r="141" spans="1:24" ht="45.95" customHeight="1" x14ac:dyDescent="0.25">
      <c r="A141" s="96" t="str">
        <f t="shared" si="4"/>
        <v/>
      </c>
      <c r="B141" s="97"/>
      <c r="C141" s="98"/>
      <c r="D141" s="99"/>
      <c r="E141" s="99"/>
      <c r="F141" s="99"/>
      <c r="G141" s="99"/>
      <c r="H141" s="99"/>
      <c r="I141" s="99"/>
      <c r="J141" s="100"/>
      <c r="K141" s="100"/>
      <c r="L141" s="100"/>
      <c r="M141" s="99"/>
      <c r="N141" s="97"/>
      <c r="O141" s="99"/>
      <c r="P141" s="99"/>
      <c r="Q141" s="101" t="str">
        <f t="shared" ca="1" si="5"/>
        <v/>
      </c>
      <c r="R141" s="99"/>
      <c r="S141" s="99"/>
      <c r="T141" s="100"/>
      <c r="U141" s="131"/>
      <c r="V141" s="131"/>
      <c r="W141" s="131"/>
      <c r="X141" s="132"/>
    </row>
    <row r="142" spans="1:24" ht="45.95" customHeight="1" x14ac:dyDescent="0.25">
      <c r="A142" s="96" t="str">
        <f t="shared" si="4"/>
        <v/>
      </c>
      <c r="B142" s="97"/>
      <c r="C142" s="98"/>
      <c r="D142" s="99"/>
      <c r="E142" s="99"/>
      <c r="F142" s="99"/>
      <c r="G142" s="99"/>
      <c r="H142" s="99"/>
      <c r="I142" s="99"/>
      <c r="J142" s="100"/>
      <c r="K142" s="100"/>
      <c r="L142" s="100"/>
      <c r="M142" s="99"/>
      <c r="N142" s="97"/>
      <c r="O142" s="99"/>
      <c r="P142" s="99"/>
      <c r="Q142" s="101" t="str">
        <f t="shared" ca="1" si="5"/>
        <v/>
      </c>
      <c r="R142" s="99"/>
      <c r="S142" s="99"/>
      <c r="T142" s="100"/>
      <c r="U142" s="131"/>
      <c r="V142" s="131"/>
      <c r="W142" s="131"/>
      <c r="X142" s="132"/>
    </row>
    <row r="143" spans="1:24" ht="45.95" customHeight="1" x14ac:dyDescent="0.25">
      <c r="A143" s="96" t="str">
        <f t="shared" si="4"/>
        <v/>
      </c>
      <c r="B143" s="97"/>
      <c r="C143" s="98"/>
      <c r="D143" s="99"/>
      <c r="E143" s="99"/>
      <c r="F143" s="99"/>
      <c r="G143" s="99"/>
      <c r="H143" s="99"/>
      <c r="I143" s="99"/>
      <c r="J143" s="100"/>
      <c r="K143" s="100"/>
      <c r="L143" s="100"/>
      <c r="M143" s="99"/>
      <c r="N143" s="97"/>
      <c r="O143" s="99"/>
      <c r="P143" s="99"/>
      <c r="Q143" s="101" t="str">
        <f t="shared" ca="1" si="5"/>
        <v/>
      </c>
      <c r="R143" s="99"/>
      <c r="S143" s="99"/>
      <c r="T143" s="100"/>
      <c r="U143" s="131"/>
      <c r="V143" s="131"/>
      <c r="W143" s="131"/>
      <c r="X143" s="132"/>
    </row>
    <row r="144" spans="1:24" ht="45.95" customHeight="1" x14ac:dyDescent="0.25">
      <c r="A144" s="96" t="str">
        <f t="shared" si="4"/>
        <v/>
      </c>
      <c r="B144" s="97"/>
      <c r="C144" s="98"/>
      <c r="D144" s="99"/>
      <c r="E144" s="99"/>
      <c r="F144" s="99"/>
      <c r="G144" s="99"/>
      <c r="H144" s="99"/>
      <c r="I144" s="99"/>
      <c r="J144" s="100"/>
      <c r="K144" s="100"/>
      <c r="L144" s="100"/>
      <c r="M144" s="99"/>
      <c r="N144" s="97"/>
      <c r="O144" s="99"/>
      <c r="P144" s="99"/>
      <c r="Q144" s="101" t="str">
        <f t="shared" ca="1" si="5"/>
        <v/>
      </c>
      <c r="R144" s="99"/>
      <c r="S144" s="99"/>
      <c r="T144" s="100"/>
      <c r="U144" s="131"/>
      <c r="V144" s="131"/>
      <c r="W144" s="131"/>
      <c r="X144" s="132"/>
    </row>
    <row r="145" spans="1:24" ht="45.95" customHeight="1" x14ac:dyDescent="0.25">
      <c r="A145" s="96" t="str">
        <f t="shared" si="4"/>
        <v/>
      </c>
      <c r="B145" s="97"/>
      <c r="C145" s="98"/>
      <c r="D145" s="99"/>
      <c r="E145" s="99"/>
      <c r="F145" s="99"/>
      <c r="G145" s="99"/>
      <c r="H145" s="99"/>
      <c r="I145" s="99"/>
      <c r="J145" s="100"/>
      <c r="K145" s="100"/>
      <c r="L145" s="100"/>
      <c r="M145" s="99"/>
      <c r="N145" s="97"/>
      <c r="O145" s="99"/>
      <c r="P145" s="99"/>
      <c r="Q145" s="101" t="str">
        <f t="shared" ca="1" si="5"/>
        <v/>
      </c>
      <c r="R145" s="99"/>
      <c r="S145" s="99"/>
      <c r="T145" s="100"/>
      <c r="U145" s="131"/>
      <c r="V145" s="131"/>
      <c r="W145" s="131"/>
      <c r="X145" s="132"/>
    </row>
    <row r="146" spans="1:24" ht="45.95" customHeight="1" x14ac:dyDescent="0.25">
      <c r="A146" s="96" t="str">
        <f t="shared" si="4"/>
        <v/>
      </c>
      <c r="B146" s="97"/>
      <c r="C146" s="98"/>
      <c r="D146" s="99"/>
      <c r="E146" s="99"/>
      <c r="F146" s="99"/>
      <c r="G146" s="99"/>
      <c r="H146" s="99"/>
      <c r="I146" s="99"/>
      <c r="J146" s="100"/>
      <c r="K146" s="100"/>
      <c r="L146" s="100"/>
      <c r="M146" s="99"/>
      <c r="N146" s="97"/>
      <c r="O146" s="99"/>
      <c r="P146" s="99"/>
      <c r="Q146" s="101" t="str">
        <f t="shared" ca="1" si="5"/>
        <v/>
      </c>
      <c r="R146" s="99"/>
      <c r="S146" s="99"/>
      <c r="T146" s="100"/>
      <c r="U146" s="131"/>
      <c r="V146" s="131"/>
      <c r="W146" s="131"/>
      <c r="X146" s="132"/>
    </row>
    <row r="147" spans="1:24" ht="45.95" customHeight="1" x14ac:dyDescent="0.25">
      <c r="A147" s="96" t="str">
        <f t="shared" si="4"/>
        <v/>
      </c>
      <c r="B147" s="97"/>
      <c r="C147" s="98"/>
      <c r="D147" s="99"/>
      <c r="E147" s="99"/>
      <c r="F147" s="99"/>
      <c r="G147" s="99"/>
      <c r="H147" s="99"/>
      <c r="I147" s="99"/>
      <c r="J147" s="100"/>
      <c r="K147" s="100"/>
      <c r="L147" s="100"/>
      <c r="M147" s="99"/>
      <c r="N147" s="97"/>
      <c r="O147" s="99"/>
      <c r="P147" s="99"/>
      <c r="Q147" s="101" t="str">
        <f t="shared" ca="1" si="5"/>
        <v/>
      </c>
      <c r="R147" s="99"/>
      <c r="S147" s="99"/>
      <c r="T147" s="100"/>
      <c r="U147" s="131"/>
      <c r="V147" s="131"/>
      <c r="W147" s="131"/>
      <c r="X147" s="132"/>
    </row>
    <row r="148" spans="1:24" ht="45.95" customHeight="1" x14ac:dyDescent="0.25">
      <c r="A148" s="96" t="str">
        <f t="shared" si="4"/>
        <v/>
      </c>
      <c r="B148" s="97"/>
      <c r="C148" s="98"/>
      <c r="D148" s="99"/>
      <c r="E148" s="99"/>
      <c r="F148" s="99"/>
      <c r="G148" s="99"/>
      <c r="H148" s="99"/>
      <c r="I148" s="99"/>
      <c r="J148" s="100"/>
      <c r="K148" s="100"/>
      <c r="L148" s="100"/>
      <c r="M148" s="99"/>
      <c r="N148" s="97"/>
      <c r="O148" s="99"/>
      <c r="P148" s="99"/>
      <c r="Q148" s="101" t="str">
        <f t="shared" ca="1" si="5"/>
        <v/>
      </c>
      <c r="R148" s="99"/>
      <c r="S148" s="99"/>
      <c r="T148" s="100"/>
      <c r="U148" s="131"/>
      <c r="V148" s="131"/>
      <c r="W148" s="131"/>
      <c r="X148" s="132"/>
    </row>
    <row r="149" spans="1:24" ht="45.95" customHeight="1" x14ac:dyDescent="0.25">
      <c r="A149" s="96" t="str">
        <f t="shared" si="4"/>
        <v/>
      </c>
      <c r="B149" s="97"/>
      <c r="C149" s="98"/>
      <c r="D149" s="99"/>
      <c r="E149" s="99"/>
      <c r="F149" s="99"/>
      <c r="G149" s="99"/>
      <c r="H149" s="99"/>
      <c r="I149" s="99"/>
      <c r="J149" s="100"/>
      <c r="K149" s="100"/>
      <c r="L149" s="100"/>
      <c r="M149" s="99"/>
      <c r="N149" s="97"/>
      <c r="O149" s="99"/>
      <c r="P149" s="99"/>
      <c r="Q149" s="101" t="str">
        <f t="shared" ca="1" si="5"/>
        <v/>
      </c>
      <c r="R149" s="99"/>
      <c r="S149" s="99"/>
      <c r="T149" s="100"/>
      <c r="U149" s="131"/>
      <c r="V149" s="131"/>
      <c r="W149" s="131"/>
      <c r="X149" s="132"/>
    </row>
    <row r="150" spans="1:24" ht="45.95" customHeight="1" x14ac:dyDescent="0.25">
      <c r="A150" s="96" t="str">
        <f t="shared" si="4"/>
        <v/>
      </c>
      <c r="B150" s="97"/>
      <c r="C150" s="98"/>
      <c r="D150" s="99"/>
      <c r="E150" s="99"/>
      <c r="F150" s="99"/>
      <c r="G150" s="99"/>
      <c r="H150" s="99"/>
      <c r="I150" s="99"/>
      <c r="J150" s="100"/>
      <c r="K150" s="100"/>
      <c r="L150" s="100"/>
      <c r="M150" s="99"/>
      <c r="N150" s="97"/>
      <c r="O150" s="99"/>
      <c r="P150" s="99"/>
      <c r="Q150" s="101" t="str">
        <f t="shared" ca="1" si="5"/>
        <v/>
      </c>
      <c r="R150" s="99"/>
      <c r="S150" s="99"/>
      <c r="T150" s="100"/>
      <c r="U150" s="131"/>
      <c r="V150" s="131"/>
      <c r="W150" s="131"/>
      <c r="X150" s="132"/>
    </row>
    <row r="151" spans="1:24" ht="45.95" customHeight="1" x14ac:dyDescent="0.25">
      <c r="A151" s="96" t="str">
        <f t="shared" si="4"/>
        <v/>
      </c>
      <c r="B151" s="97"/>
      <c r="C151" s="98"/>
      <c r="D151" s="99"/>
      <c r="E151" s="99"/>
      <c r="F151" s="99"/>
      <c r="G151" s="99"/>
      <c r="H151" s="99"/>
      <c r="I151" s="99"/>
      <c r="J151" s="100"/>
      <c r="K151" s="100"/>
      <c r="L151" s="100"/>
      <c r="M151" s="99"/>
      <c r="N151" s="97"/>
      <c r="O151" s="99"/>
      <c r="P151" s="99"/>
      <c r="Q151" s="101" t="str">
        <f t="shared" ca="1" si="5"/>
        <v/>
      </c>
      <c r="R151" s="99"/>
      <c r="S151" s="99"/>
      <c r="T151" s="100"/>
      <c r="U151" s="131"/>
      <c r="V151" s="131"/>
      <c r="W151" s="131"/>
      <c r="X151" s="132"/>
    </row>
    <row r="152" spans="1:24" ht="45.95" customHeight="1" x14ac:dyDescent="0.25">
      <c r="A152" s="96" t="str">
        <f t="shared" si="4"/>
        <v/>
      </c>
      <c r="B152" s="97"/>
      <c r="C152" s="98"/>
      <c r="D152" s="99"/>
      <c r="E152" s="99"/>
      <c r="F152" s="99"/>
      <c r="G152" s="99"/>
      <c r="H152" s="99"/>
      <c r="I152" s="99"/>
      <c r="J152" s="100"/>
      <c r="K152" s="100"/>
      <c r="L152" s="100"/>
      <c r="M152" s="99"/>
      <c r="N152" s="97"/>
      <c r="O152" s="99"/>
      <c r="P152" s="99"/>
      <c r="Q152" s="101" t="str">
        <f t="shared" ca="1" si="5"/>
        <v/>
      </c>
      <c r="R152" s="99"/>
      <c r="S152" s="99"/>
      <c r="T152" s="100"/>
      <c r="U152" s="131"/>
      <c r="V152" s="131"/>
      <c r="W152" s="131"/>
      <c r="X152" s="132"/>
    </row>
    <row r="153" spans="1:24" ht="45.95" customHeight="1" x14ac:dyDescent="0.25">
      <c r="A153" s="96" t="str">
        <f t="shared" si="4"/>
        <v/>
      </c>
      <c r="B153" s="97"/>
      <c r="C153" s="98"/>
      <c r="D153" s="99"/>
      <c r="E153" s="99"/>
      <c r="F153" s="99"/>
      <c r="G153" s="99"/>
      <c r="H153" s="99"/>
      <c r="I153" s="99"/>
      <c r="J153" s="100"/>
      <c r="K153" s="100"/>
      <c r="L153" s="100"/>
      <c r="M153" s="99"/>
      <c r="N153" s="97"/>
      <c r="O153" s="99"/>
      <c r="P153" s="99"/>
      <c r="Q153" s="101" t="str">
        <f t="shared" ca="1" si="5"/>
        <v/>
      </c>
      <c r="R153" s="99"/>
      <c r="S153" s="99"/>
      <c r="T153" s="100"/>
      <c r="U153" s="131"/>
      <c r="V153" s="131"/>
      <c r="W153" s="131"/>
      <c r="X153" s="132"/>
    </row>
    <row r="154" spans="1:24" ht="45.95" customHeight="1" x14ac:dyDescent="0.25">
      <c r="A154" s="96" t="str">
        <f t="shared" si="4"/>
        <v/>
      </c>
      <c r="B154" s="97"/>
      <c r="C154" s="98"/>
      <c r="D154" s="99"/>
      <c r="E154" s="99"/>
      <c r="F154" s="99"/>
      <c r="G154" s="99"/>
      <c r="H154" s="99"/>
      <c r="I154" s="99"/>
      <c r="J154" s="100"/>
      <c r="K154" s="100"/>
      <c r="L154" s="100"/>
      <c r="M154" s="99"/>
      <c r="N154" s="97"/>
      <c r="O154" s="99"/>
      <c r="P154" s="99"/>
      <c r="Q154" s="101" t="str">
        <f t="shared" ca="1" si="5"/>
        <v/>
      </c>
      <c r="R154" s="99"/>
      <c r="S154" s="99"/>
      <c r="T154" s="100"/>
      <c r="U154" s="131"/>
      <c r="V154" s="131"/>
      <c r="W154" s="131"/>
      <c r="X154" s="132"/>
    </row>
    <row r="155" spans="1:24" ht="45.95" customHeight="1" x14ac:dyDescent="0.25">
      <c r="A155" s="96" t="str">
        <f t="shared" si="4"/>
        <v/>
      </c>
      <c r="B155" s="97"/>
      <c r="C155" s="98"/>
      <c r="D155" s="99"/>
      <c r="E155" s="99"/>
      <c r="F155" s="99"/>
      <c r="G155" s="99"/>
      <c r="H155" s="99"/>
      <c r="I155" s="99"/>
      <c r="J155" s="100"/>
      <c r="K155" s="100"/>
      <c r="L155" s="100"/>
      <c r="M155" s="99"/>
      <c r="N155" s="97"/>
      <c r="O155" s="99"/>
      <c r="P155" s="99"/>
      <c r="Q155" s="101" t="str">
        <f t="shared" ca="1" si="5"/>
        <v/>
      </c>
      <c r="R155" s="99"/>
      <c r="S155" s="99"/>
      <c r="T155" s="100"/>
      <c r="U155" s="131"/>
      <c r="V155" s="131"/>
      <c r="W155" s="131"/>
      <c r="X155" s="132"/>
    </row>
    <row r="156" spans="1:24" ht="45.95" customHeight="1" x14ac:dyDescent="0.25">
      <c r="A156" s="96" t="str">
        <f t="shared" si="4"/>
        <v/>
      </c>
      <c r="B156" s="97"/>
      <c r="C156" s="98"/>
      <c r="D156" s="99"/>
      <c r="E156" s="99"/>
      <c r="F156" s="99"/>
      <c r="G156" s="99"/>
      <c r="H156" s="99"/>
      <c r="I156" s="99"/>
      <c r="J156" s="100"/>
      <c r="K156" s="100"/>
      <c r="L156" s="100"/>
      <c r="M156" s="99"/>
      <c r="N156" s="97"/>
      <c r="O156" s="99"/>
      <c r="P156" s="99"/>
      <c r="Q156" s="101" t="str">
        <f t="shared" ca="1" si="5"/>
        <v/>
      </c>
      <c r="R156" s="99"/>
      <c r="S156" s="99"/>
      <c r="T156" s="100"/>
      <c r="U156" s="131"/>
      <c r="V156" s="131"/>
      <c r="W156" s="131"/>
      <c r="X156" s="132"/>
    </row>
    <row r="157" spans="1:24" ht="45.95" customHeight="1" x14ac:dyDescent="0.25">
      <c r="A157" s="96" t="str">
        <f t="shared" si="4"/>
        <v/>
      </c>
      <c r="B157" s="97"/>
      <c r="C157" s="98"/>
      <c r="D157" s="99"/>
      <c r="E157" s="99"/>
      <c r="F157" s="99"/>
      <c r="G157" s="99"/>
      <c r="H157" s="99"/>
      <c r="I157" s="99"/>
      <c r="J157" s="100"/>
      <c r="K157" s="100"/>
      <c r="L157" s="100"/>
      <c r="M157" s="99"/>
      <c r="N157" s="97"/>
      <c r="O157" s="99"/>
      <c r="P157" s="99"/>
      <c r="Q157" s="101" t="str">
        <f t="shared" ca="1" si="5"/>
        <v/>
      </c>
      <c r="R157" s="99"/>
      <c r="S157" s="99"/>
      <c r="T157" s="100"/>
      <c r="U157" s="131"/>
      <c r="V157" s="131"/>
      <c r="W157" s="131"/>
      <c r="X157" s="132"/>
    </row>
    <row r="158" spans="1:24" ht="45.95" customHeight="1" x14ac:dyDescent="0.25">
      <c r="A158" s="96" t="str">
        <f t="shared" si="4"/>
        <v/>
      </c>
      <c r="B158" s="97"/>
      <c r="C158" s="98"/>
      <c r="D158" s="99"/>
      <c r="E158" s="99"/>
      <c r="F158" s="99"/>
      <c r="G158" s="99"/>
      <c r="H158" s="99"/>
      <c r="I158" s="99"/>
      <c r="J158" s="100"/>
      <c r="K158" s="100"/>
      <c r="L158" s="100"/>
      <c r="M158" s="99"/>
      <c r="N158" s="97"/>
      <c r="O158" s="99"/>
      <c r="P158" s="99"/>
      <c r="Q158" s="101" t="str">
        <f t="shared" ca="1" si="5"/>
        <v/>
      </c>
      <c r="R158" s="99"/>
      <c r="S158" s="99"/>
      <c r="T158" s="100"/>
      <c r="U158" s="131"/>
      <c r="V158" s="131"/>
      <c r="W158" s="131"/>
      <c r="X158" s="132"/>
    </row>
    <row r="159" spans="1:24" ht="45.95" customHeight="1" x14ac:dyDescent="0.25">
      <c r="A159" s="96" t="str">
        <f t="shared" si="4"/>
        <v/>
      </c>
      <c r="B159" s="97"/>
      <c r="C159" s="98"/>
      <c r="D159" s="99"/>
      <c r="E159" s="99"/>
      <c r="F159" s="99"/>
      <c r="G159" s="99"/>
      <c r="H159" s="99"/>
      <c r="I159" s="99"/>
      <c r="J159" s="100"/>
      <c r="K159" s="100"/>
      <c r="L159" s="100"/>
      <c r="M159" s="99"/>
      <c r="N159" s="97"/>
      <c r="O159" s="99"/>
      <c r="P159" s="99"/>
      <c r="Q159" s="101" t="str">
        <f t="shared" ca="1" si="5"/>
        <v/>
      </c>
      <c r="R159" s="99"/>
      <c r="S159" s="99"/>
      <c r="T159" s="100"/>
      <c r="U159" s="131"/>
      <c r="V159" s="131"/>
      <c r="W159" s="131"/>
      <c r="X159" s="132"/>
    </row>
    <row r="160" spans="1:24" ht="45.95" customHeight="1" x14ac:dyDescent="0.25">
      <c r="A160" s="96" t="str">
        <f t="shared" si="4"/>
        <v/>
      </c>
      <c r="B160" s="97"/>
      <c r="C160" s="98"/>
      <c r="D160" s="99"/>
      <c r="E160" s="99"/>
      <c r="F160" s="99"/>
      <c r="G160" s="99"/>
      <c r="H160" s="99"/>
      <c r="I160" s="99"/>
      <c r="J160" s="100"/>
      <c r="K160" s="100"/>
      <c r="L160" s="100"/>
      <c r="M160" s="99"/>
      <c r="N160" s="97"/>
      <c r="O160" s="99"/>
      <c r="P160" s="99"/>
      <c r="Q160" s="101" t="str">
        <f t="shared" ca="1" si="5"/>
        <v/>
      </c>
      <c r="R160" s="99"/>
      <c r="S160" s="99"/>
      <c r="T160" s="100"/>
      <c r="U160" s="131"/>
      <c r="V160" s="131"/>
      <c r="W160" s="131"/>
      <c r="X160" s="132"/>
    </row>
    <row r="161" spans="1:24" ht="45.95" customHeight="1" x14ac:dyDescent="0.25">
      <c r="A161" s="96" t="str">
        <f t="shared" si="4"/>
        <v/>
      </c>
      <c r="B161" s="97"/>
      <c r="C161" s="98"/>
      <c r="D161" s="99"/>
      <c r="E161" s="99"/>
      <c r="F161" s="99"/>
      <c r="G161" s="99"/>
      <c r="H161" s="99"/>
      <c r="I161" s="99"/>
      <c r="J161" s="100"/>
      <c r="K161" s="100"/>
      <c r="L161" s="100"/>
      <c r="M161" s="99"/>
      <c r="N161" s="97"/>
      <c r="O161" s="99"/>
      <c r="P161" s="99"/>
      <c r="Q161" s="101" t="str">
        <f t="shared" ca="1" si="5"/>
        <v/>
      </c>
      <c r="R161" s="99"/>
      <c r="S161" s="99"/>
      <c r="T161" s="100"/>
      <c r="U161" s="131"/>
      <c r="V161" s="131"/>
      <c r="W161" s="131"/>
      <c r="X161" s="132"/>
    </row>
    <row r="162" spans="1:24" ht="45.95" customHeight="1" x14ac:dyDescent="0.25">
      <c r="A162" s="96" t="str">
        <f t="shared" si="4"/>
        <v/>
      </c>
      <c r="B162" s="97"/>
      <c r="C162" s="98"/>
      <c r="D162" s="99"/>
      <c r="E162" s="99"/>
      <c r="F162" s="99"/>
      <c r="G162" s="99"/>
      <c r="H162" s="99"/>
      <c r="I162" s="99"/>
      <c r="J162" s="100"/>
      <c r="K162" s="100"/>
      <c r="L162" s="100"/>
      <c r="M162" s="99"/>
      <c r="N162" s="97"/>
      <c r="O162" s="99"/>
      <c r="P162" s="99"/>
      <c r="Q162" s="101" t="str">
        <f t="shared" ca="1" si="5"/>
        <v/>
      </c>
      <c r="R162" s="99"/>
      <c r="S162" s="99"/>
      <c r="T162" s="100"/>
      <c r="U162" s="131"/>
      <c r="V162" s="131"/>
      <c r="W162" s="131"/>
      <c r="X162" s="132"/>
    </row>
    <row r="163" spans="1:24" ht="45.95" customHeight="1" x14ac:dyDescent="0.25">
      <c r="A163" s="96" t="str">
        <f t="shared" si="4"/>
        <v/>
      </c>
      <c r="B163" s="97"/>
      <c r="C163" s="98"/>
      <c r="D163" s="99"/>
      <c r="E163" s="99"/>
      <c r="F163" s="99"/>
      <c r="G163" s="99"/>
      <c r="H163" s="99"/>
      <c r="I163" s="99"/>
      <c r="J163" s="100"/>
      <c r="K163" s="100"/>
      <c r="L163" s="100"/>
      <c r="M163" s="99"/>
      <c r="N163" s="97"/>
      <c r="O163" s="99"/>
      <c r="P163" s="99"/>
      <c r="Q163" s="101" t="str">
        <f t="shared" ca="1" si="5"/>
        <v/>
      </c>
      <c r="R163" s="99"/>
      <c r="S163" s="99"/>
      <c r="T163" s="100"/>
      <c r="U163" s="131"/>
      <c r="V163" s="131"/>
      <c r="W163" s="131"/>
      <c r="X163" s="132"/>
    </row>
    <row r="164" spans="1:24" ht="45.95" customHeight="1" x14ac:dyDescent="0.25">
      <c r="A164" s="96" t="str">
        <f t="shared" si="4"/>
        <v/>
      </c>
      <c r="B164" s="97"/>
      <c r="C164" s="98"/>
      <c r="D164" s="99"/>
      <c r="E164" s="99"/>
      <c r="F164" s="99"/>
      <c r="G164" s="99"/>
      <c r="H164" s="99"/>
      <c r="I164" s="99"/>
      <c r="J164" s="100"/>
      <c r="K164" s="100"/>
      <c r="L164" s="100"/>
      <c r="M164" s="99"/>
      <c r="N164" s="97"/>
      <c r="O164" s="99"/>
      <c r="P164" s="99"/>
      <c r="Q164" s="101" t="str">
        <f t="shared" ca="1" si="5"/>
        <v/>
      </c>
      <c r="R164" s="99"/>
      <c r="S164" s="99"/>
      <c r="T164" s="100"/>
      <c r="U164" s="131"/>
      <c r="V164" s="131"/>
      <c r="W164" s="131"/>
      <c r="X164" s="132"/>
    </row>
    <row r="165" spans="1:24" ht="45.95" customHeight="1" x14ac:dyDescent="0.25">
      <c r="A165" s="96" t="str">
        <f t="shared" si="4"/>
        <v/>
      </c>
      <c r="B165" s="97"/>
      <c r="C165" s="98"/>
      <c r="D165" s="99"/>
      <c r="E165" s="99"/>
      <c r="F165" s="99"/>
      <c r="G165" s="99"/>
      <c r="H165" s="99"/>
      <c r="I165" s="99"/>
      <c r="J165" s="100"/>
      <c r="K165" s="100"/>
      <c r="L165" s="100"/>
      <c r="M165" s="99"/>
      <c r="N165" s="97"/>
      <c r="O165" s="99"/>
      <c r="P165" s="99"/>
      <c r="Q165" s="101" t="str">
        <f t="shared" ca="1" si="5"/>
        <v/>
      </c>
      <c r="R165" s="99"/>
      <c r="S165" s="99"/>
      <c r="T165" s="100"/>
      <c r="U165" s="131"/>
      <c r="V165" s="131"/>
      <c r="W165" s="131"/>
      <c r="X165" s="132"/>
    </row>
    <row r="166" spans="1:24" ht="45.95" customHeight="1" x14ac:dyDescent="0.25">
      <c r="A166" s="96" t="str">
        <f t="shared" si="4"/>
        <v/>
      </c>
      <c r="B166" s="97"/>
      <c r="C166" s="98"/>
      <c r="D166" s="99"/>
      <c r="E166" s="99"/>
      <c r="F166" s="99"/>
      <c r="G166" s="99"/>
      <c r="H166" s="99"/>
      <c r="I166" s="99"/>
      <c r="J166" s="100"/>
      <c r="K166" s="100"/>
      <c r="L166" s="100"/>
      <c r="M166" s="99"/>
      <c r="N166" s="97"/>
      <c r="O166" s="99"/>
      <c r="P166" s="99"/>
      <c r="Q166" s="101" t="str">
        <f t="shared" ca="1" si="5"/>
        <v/>
      </c>
      <c r="R166" s="99"/>
      <c r="S166" s="99"/>
      <c r="T166" s="100"/>
      <c r="U166" s="131"/>
      <c r="V166" s="131"/>
      <c r="W166" s="131"/>
      <c r="X166" s="132"/>
    </row>
    <row r="167" spans="1:24" ht="45.95" customHeight="1" x14ac:dyDescent="0.25">
      <c r="A167" s="96" t="str">
        <f t="shared" si="4"/>
        <v/>
      </c>
      <c r="B167" s="97"/>
      <c r="C167" s="98"/>
      <c r="D167" s="99"/>
      <c r="E167" s="99"/>
      <c r="F167" s="99"/>
      <c r="G167" s="99"/>
      <c r="H167" s="99"/>
      <c r="I167" s="99"/>
      <c r="J167" s="100"/>
      <c r="K167" s="100"/>
      <c r="L167" s="100"/>
      <c r="M167" s="99"/>
      <c r="N167" s="97"/>
      <c r="O167" s="99"/>
      <c r="P167" s="99"/>
      <c r="Q167" s="101" t="str">
        <f t="shared" ca="1" si="5"/>
        <v/>
      </c>
      <c r="R167" s="99"/>
      <c r="S167" s="99"/>
      <c r="T167" s="100"/>
      <c r="U167" s="131"/>
      <c r="V167" s="131"/>
      <c r="W167" s="131"/>
      <c r="X167" s="132"/>
    </row>
    <row r="168" spans="1:24" ht="45.95" customHeight="1" x14ac:dyDescent="0.25">
      <c r="A168" s="96" t="str">
        <f t="shared" si="4"/>
        <v/>
      </c>
      <c r="B168" s="97"/>
      <c r="C168" s="98"/>
      <c r="D168" s="99"/>
      <c r="E168" s="99"/>
      <c r="F168" s="99"/>
      <c r="G168" s="99"/>
      <c r="H168" s="99"/>
      <c r="I168" s="99"/>
      <c r="J168" s="100"/>
      <c r="K168" s="100"/>
      <c r="L168" s="100"/>
      <c r="M168" s="99"/>
      <c r="N168" s="97"/>
      <c r="O168" s="99"/>
      <c r="P168" s="99"/>
      <c r="Q168" s="101" t="str">
        <f t="shared" ca="1" si="5"/>
        <v/>
      </c>
      <c r="R168" s="99"/>
      <c r="S168" s="99"/>
      <c r="T168" s="100"/>
      <c r="U168" s="131"/>
      <c r="V168" s="131"/>
      <c r="W168" s="131"/>
      <c r="X168" s="132"/>
    </row>
    <row r="169" spans="1:24" ht="45.95" customHeight="1" x14ac:dyDescent="0.25">
      <c r="A169" s="96" t="str">
        <f t="shared" si="4"/>
        <v/>
      </c>
      <c r="B169" s="97"/>
      <c r="C169" s="98"/>
      <c r="D169" s="99"/>
      <c r="E169" s="99"/>
      <c r="F169" s="99"/>
      <c r="G169" s="99"/>
      <c r="H169" s="99"/>
      <c r="I169" s="99"/>
      <c r="J169" s="100"/>
      <c r="K169" s="100"/>
      <c r="L169" s="100"/>
      <c r="M169" s="99"/>
      <c r="N169" s="97"/>
      <c r="O169" s="99"/>
      <c r="P169" s="99"/>
      <c r="Q169" s="101" t="str">
        <f t="shared" ca="1" si="5"/>
        <v/>
      </c>
      <c r="R169" s="99"/>
      <c r="S169" s="99"/>
      <c r="T169" s="100"/>
      <c r="U169" s="131"/>
      <c r="V169" s="131"/>
      <c r="W169" s="131"/>
      <c r="X169" s="132"/>
    </row>
    <row r="170" spans="1:24" ht="45.95" customHeight="1" x14ac:dyDescent="0.25">
      <c r="A170" s="96" t="str">
        <f t="shared" si="4"/>
        <v/>
      </c>
      <c r="B170" s="97"/>
      <c r="C170" s="98"/>
      <c r="D170" s="99"/>
      <c r="E170" s="99"/>
      <c r="F170" s="99"/>
      <c r="G170" s="99"/>
      <c r="H170" s="99"/>
      <c r="I170" s="99"/>
      <c r="J170" s="100"/>
      <c r="K170" s="100"/>
      <c r="L170" s="100"/>
      <c r="M170" s="99"/>
      <c r="N170" s="97"/>
      <c r="O170" s="99"/>
      <c r="P170" s="99"/>
      <c r="Q170" s="101" t="str">
        <f t="shared" ca="1" si="5"/>
        <v/>
      </c>
      <c r="R170" s="99"/>
      <c r="S170" s="99"/>
      <c r="T170" s="100"/>
      <c r="U170" s="131"/>
      <c r="V170" s="131"/>
      <c r="W170" s="131"/>
      <c r="X170" s="132"/>
    </row>
    <row r="171" spans="1:24" ht="45.95" customHeight="1" x14ac:dyDescent="0.25">
      <c r="A171" s="96" t="str">
        <f t="shared" si="4"/>
        <v/>
      </c>
      <c r="B171" s="97"/>
      <c r="C171" s="98"/>
      <c r="D171" s="99"/>
      <c r="E171" s="99"/>
      <c r="F171" s="99"/>
      <c r="G171" s="99"/>
      <c r="H171" s="99"/>
      <c r="I171" s="99"/>
      <c r="J171" s="100"/>
      <c r="K171" s="100"/>
      <c r="L171" s="100"/>
      <c r="M171" s="99"/>
      <c r="N171" s="97"/>
      <c r="O171" s="99"/>
      <c r="P171" s="99"/>
      <c r="Q171" s="101" t="str">
        <f t="shared" ca="1" si="5"/>
        <v/>
      </c>
      <c r="R171" s="99"/>
      <c r="S171" s="99"/>
      <c r="T171" s="100"/>
      <c r="U171" s="131"/>
      <c r="V171" s="131"/>
      <c r="W171" s="131"/>
      <c r="X171" s="132"/>
    </row>
    <row r="172" spans="1:24" ht="45.95" customHeight="1" x14ac:dyDescent="0.25">
      <c r="A172" s="96" t="str">
        <f t="shared" si="4"/>
        <v/>
      </c>
      <c r="B172" s="97"/>
      <c r="C172" s="98"/>
      <c r="D172" s="99"/>
      <c r="E172" s="99"/>
      <c r="F172" s="99"/>
      <c r="G172" s="99"/>
      <c r="H172" s="99"/>
      <c r="I172" s="99"/>
      <c r="J172" s="100"/>
      <c r="K172" s="100"/>
      <c r="L172" s="100"/>
      <c r="M172" s="99"/>
      <c r="N172" s="97"/>
      <c r="O172" s="99"/>
      <c r="P172" s="99"/>
      <c r="Q172" s="101" t="str">
        <f t="shared" ca="1" si="5"/>
        <v/>
      </c>
      <c r="R172" s="99"/>
      <c r="S172" s="99"/>
      <c r="T172" s="100"/>
      <c r="U172" s="131"/>
      <c r="V172" s="131"/>
      <c r="W172" s="131"/>
      <c r="X172" s="132"/>
    </row>
    <row r="173" spans="1:24" ht="45.95" customHeight="1" x14ac:dyDescent="0.25">
      <c r="A173" s="96" t="str">
        <f t="shared" si="4"/>
        <v/>
      </c>
      <c r="B173" s="97"/>
      <c r="C173" s="98"/>
      <c r="D173" s="99"/>
      <c r="E173" s="99"/>
      <c r="F173" s="99"/>
      <c r="G173" s="99"/>
      <c r="H173" s="99"/>
      <c r="I173" s="99"/>
      <c r="J173" s="100"/>
      <c r="K173" s="100"/>
      <c r="L173" s="100"/>
      <c r="M173" s="99"/>
      <c r="N173" s="97"/>
      <c r="O173" s="99"/>
      <c r="P173" s="99"/>
      <c r="Q173" s="101" t="str">
        <f t="shared" ca="1" si="5"/>
        <v/>
      </c>
      <c r="R173" s="99"/>
      <c r="S173" s="99"/>
      <c r="T173" s="100"/>
      <c r="U173" s="131"/>
      <c r="V173" s="131"/>
      <c r="W173" s="131"/>
      <c r="X173" s="132"/>
    </row>
    <row r="174" spans="1:24" ht="45.95" customHeight="1" x14ac:dyDescent="0.25">
      <c r="A174" s="96" t="str">
        <f t="shared" si="4"/>
        <v/>
      </c>
      <c r="B174" s="97"/>
      <c r="C174" s="98"/>
      <c r="D174" s="99"/>
      <c r="E174" s="99"/>
      <c r="F174" s="99"/>
      <c r="G174" s="99"/>
      <c r="H174" s="99"/>
      <c r="I174" s="99"/>
      <c r="J174" s="100"/>
      <c r="K174" s="100"/>
      <c r="L174" s="100"/>
      <c r="M174" s="99"/>
      <c r="N174" s="97"/>
      <c r="O174" s="99"/>
      <c r="P174" s="99"/>
      <c r="Q174" s="101" t="str">
        <f t="shared" ca="1" si="5"/>
        <v/>
      </c>
      <c r="R174" s="99"/>
      <c r="S174" s="99"/>
      <c r="T174" s="100"/>
      <c r="U174" s="131"/>
      <c r="V174" s="131"/>
      <c r="W174" s="131"/>
      <c r="X174" s="132"/>
    </row>
    <row r="175" spans="1:24" ht="45.95" customHeight="1" x14ac:dyDescent="0.25">
      <c r="A175" s="96" t="str">
        <f t="shared" si="4"/>
        <v/>
      </c>
      <c r="B175" s="97"/>
      <c r="C175" s="98"/>
      <c r="D175" s="99"/>
      <c r="E175" s="99"/>
      <c r="F175" s="99"/>
      <c r="G175" s="99"/>
      <c r="H175" s="99"/>
      <c r="I175" s="99"/>
      <c r="J175" s="100"/>
      <c r="K175" s="100"/>
      <c r="L175" s="100"/>
      <c r="M175" s="99"/>
      <c r="N175" s="97"/>
      <c r="O175" s="99"/>
      <c r="P175" s="99"/>
      <c r="Q175" s="101" t="str">
        <f t="shared" ca="1" si="5"/>
        <v/>
      </c>
      <c r="R175" s="99"/>
      <c r="S175" s="99"/>
      <c r="T175" s="100"/>
      <c r="U175" s="131"/>
      <c r="V175" s="131"/>
      <c r="W175" s="131"/>
      <c r="X175" s="132"/>
    </row>
    <row r="176" spans="1:24" ht="45.95" customHeight="1" x14ac:dyDescent="0.25">
      <c r="A176" s="96" t="str">
        <f t="shared" si="4"/>
        <v/>
      </c>
      <c r="B176" s="97"/>
      <c r="C176" s="98"/>
      <c r="D176" s="99"/>
      <c r="E176" s="99"/>
      <c r="F176" s="99"/>
      <c r="G176" s="99"/>
      <c r="H176" s="99"/>
      <c r="I176" s="99"/>
      <c r="J176" s="100"/>
      <c r="K176" s="100"/>
      <c r="L176" s="100"/>
      <c r="M176" s="99"/>
      <c r="N176" s="97"/>
      <c r="O176" s="99"/>
      <c r="P176" s="99"/>
      <c r="Q176" s="101" t="str">
        <f t="shared" ca="1" si="5"/>
        <v/>
      </c>
      <c r="R176" s="99"/>
      <c r="S176" s="99"/>
      <c r="T176" s="100"/>
      <c r="U176" s="131"/>
      <c r="V176" s="131"/>
      <c r="W176" s="131"/>
      <c r="X176" s="132"/>
    </row>
    <row r="177" spans="1:24" ht="45.95" customHeight="1" x14ac:dyDescent="0.25">
      <c r="A177" s="96" t="str">
        <f t="shared" si="4"/>
        <v/>
      </c>
      <c r="B177" s="97"/>
      <c r="C177" s="98"/>
      <c r="D177" s="99"/>
      <c r="E177" s="99"/>
      <c r="F177" s="99"/>
      <c r="G177" s="99"/>
      <c r="H177" s="99"/>
      <c r="I177" s="99"/>
      <c r="J177" s="100"/>
      <c r="K177" s="100"/>
      <c r="L177" s="100"/>
      <c r="M177" s="99"/>
      <c r="N177" s="97"/>
      <c r="O177" s="99"/>
      <c r="P177" s="99"/>
      <c r="Q177" s="101" t="str">
        <f t="shared" ca="1" si="5"/>
        <v/>
      </c>
      <c r="R177" s="99"/>
      <c r="S177" s="99"/>
      <c r="T177" s="100"/>
      <c r="U177" s="131"/>
      <c r="V177" s="131"/>
      <c r="W177" s="131"/>
      <c r="X177" s="132"/>
    </row>
    <row r="178" spans="1:24" ht="45.95" customHeight="1" x14ac:dyDescent="0.25">
      <c r="A178" s="96" t="str">
        <f t="shared" si="4"/>
        <v/>
      </c>
      <c r="B178" s="97"/>
      <c r="C178" s="98"/>
      <c r="D178" s="99"/>
      <c r="E178" s="99"/>
      <c r="F178" s="99"/>
      <c r="G178" s="99"/>
      <c r="H178" s="99"/>
      <c r="I178" s="99"/>
      <c r="J178" s="100"/>
      <c r="K178" s="100"/>
      <c r="L178" s="100"/>
      <c r="M178" s="99"/>
      <c r="N178" s="97"/>
      <c r="O178" s="99"/>
      <c r="P178" s="99"/>
      <c r="Q178" s="101" t="str">
        <f t="shared" ca="1" si="5"/>
        <v/>
      </c>
      <c r="R178" s="99"/>
      <c r="S178" s="99"/>
      <c r="T178" s="100"/>
      <c r="U178" s="131"/>
      <c r="V178" s="131"/>
      <c r="W178" s="131"/>
      <c r="X178" s="132"/>
    </row>
    <row r="179" spans="1:24" ht="45.95" customHeight="1" x14ac:dyDescent="0.25">
      <c r="A179" s="96" t="str">
        <f t="shared" si="4"/>
        <v/>
      </c>
      <c r="B179" s="97"/>
      <c r="C179" s="98"/>
      <c r="D179" s="99"/>
      <c r="E179" s="99"/>
      <c r="F179" s="99"/>
      <c r="G179" s="99"/>
      <c r="H179" s="99"/>
      <c r="I179" s="99"/>
      <c r="J179" s="100"/>
      <c r="K179" s="100"/>
      <c r="L179" s="100"/>
      <c r="M179" s="99"/>
      <c r="N179" s="97"/>
      <c r="O179" s="99"/>
      <c r="P179" s="99"/>
      <c r="Q179" s="101" t="str">
        <f t="shared" ca="1" si="5"/>
        <v/>
      </c>
      <c r="R179" s="99"/>
      <c r="S179" s="99"/>
      <c r="T179" s="100"/>
      <c r="U179" s="131"/>
      <c r="V179" s="131"/>
      <c r="W179" s="131"/>
      <c r="X179" s="132"/>
    </row>
    <row r="180" spans="1:24" ht="45.95" customHeight="1" x14ac:dyDescent="0.25">
      <c r="A180" s="96" t="str">
        <f t="shared" si="4"/>
        <v/>
      </c>
      <c r="B180" s="97"/>
      <c r="C180" s="98"/>
      <c r="D180" s="99"/>
      <c r="E180" s="99"/>
      <c r="F180" s="99"/>
      <c r="G180" s="99"/>
      <c r="H180" s="99"/>
      <c r="I180" s="99"/>
      <c r="J180" s="100"/>
      <c r="K180" s="100"/>
      <c r="L180" s="100"/>
      <c r="M180" s="99"/>
      <c r="N180" s="97"/>
      <c r="O180" s="99"/>
      <c r="P180" s="99"/>
      <c r="Q180" s="101" t="str">
        <f t="shared" ca="1" si="5"/>
        <v/>
      </c>
      <c r="R180" s="99"/>
      <c r="S180" s="99"/>
      <c r="T180" s="100"/>
      <c r="U180" s="131"/>
      <c r="V180" s="131"/>
      <c r="W180" s="131"/>
      <c r="X180" s="132"/>
    </row>
    <row r="181" spans="1:24" ht="45.95" customHeight="1" x14ac:dyDescent="0.25">
      <c r="A181" s="96" t="str">
        <f t="shared" si="4"/>
        <v/>
      </c>
      <c r="B181" s="97"/>
      <c r="C181" s="98"/>
      <c r="D181" s="99"/>
      <c r="E181" s="99"/>
      <c r="F181" s="99"/>
      <c r="G181" s="99"/>
      <c r="H181" s="99"/>
      <c r="I181" s="99"/>
      <c r="J181" s="100"/>
      <c r="K181" s="100"/>
      <c r="L181" s="100"/>
      <c r="M181" s="99"/>
      <c r="N181" s="97"/>
      <c r="O181" s="99"/>
      <c r="P181" s="99"/>
      <c r="Q181" s="101" t="str">
        <f t="shared" ca="1" si="5"/>
        <v/>
      </c>
      <c r="R181" s="99"/>
      <c r="S181" s="99"/>
      <c r="T181" s="100"/>
      <c r="U181" s="131"/>
      <c r="V181" s="131"/>
      <c r="W181" s="131"/>
      <c r="X181" s="132"/>
    </row>
    <row r="182" spans="1:24" ht="45.95" customHeight="1" x14ac:dyDescent="0.25">
      <c r="A182" s="96" t="str">
        <f t="shared" si="4"/>
        <v/>
      </c>
      <c r="B182" s="97"/>
      <c r="C182" s="98"/>
      <c r="D182" s="99"/>
      <c r="E182" s="99"/>
      <c r="F182" s="99"/>
      <c r="G182" s="99"/>
      <c r="H182" s="99"/>
      <c r="I182" s="99"/>
      <c r="J182" s="100"/>
      <c r="K182" s="100"/>
      <c r="L182" s="100"/>
      <c r="M182" s="99"/>
      <c r="N182" s="97"/>
      <c r="O182" s="99"/>
      <c r="P182" s="99"/>
      <c r="Q182" s="101" t="str">
        <f t="shared" ca="1" si="5"/>
        <v/>
      </c>
      <c r="R182" s="99"/>
      <c r="S182" s="99"/>
      <c r="T182" s="100"/>
      <c r="U182" s="131"/>
      <c r="V182" s="131"/>
      <c r="W182" s="131"/>
      <c r="X182" s="132"/>
    </row>
    <row r="183" spans="1:24" ht="45.95" customHeight="1" x14ac:dyDescent="0.25">
      <c r="A183" s="96" t="str">
        <f t="shared" si="4"/>
        <v/>
      </c>
      <c r="B183" s="97"/>
      <c r="C183" s="98"/>
      <c r="D183" s="99"/>
      <c r="E183" s="99"/>
      <c r="F183" s="99"/>
      <c r="G183" s="99"/>
      <c r="H183" s="99"/>
      <c r="I183" s="99"/>
      <c r="J183" s="100"/>
      <c r="K183" s="100"/>
      <c r="L183" s="100"/>
      <c r="M183" s="99"/>
      <c r="N183" s="97"/>
      <c r="O183" s="99"/>
      <c r="P183" s="99"/>
      <c r="Q183" s="101" t="str">
        <f t="shared" ca="1" si="5"/>
        <v/>
      </c>
      <c r="R183" s="99"/>
      <c r="S183" s="99"/>
      <c r="T183" s="100"/>
      <c r="U183" s="131"/>
      <c r="V183" s="131"/>
      <c r="W183" s="131"/>
      <c r="X183" s="132"/>
    </row>
    <row r="184" spans="1:24" ht="45.95" customHeight="1" x14ac:dyDescent="0.25">
      <c r="A184" s="96" t="str">
        <f t="shared" si="4"/>
        <v/>
      </c>
      <c r="B184" s="97"/>
      <c r="C184" s="98"/>
      <c r="D184" s="99"/>
      <c r="E184" s="99"/>
      <c r="F184" s="99"/>
      <c r="G184" s="99"/>
      <c r="H184" s="99"/>
      <c r="I184" s="99"/>
      <c r="J184" s="100"/>
      <c r="K184" s="100"/>
      <c r="L184" s="100"/>
      <c r="M184" s="99"/>
      <c r="N184" s="97"/>
      <c r="O184" s="99"/>
      <c r="P184" s="99"/>
      <c r="Q184" s="101" t="str">
        <f t="shared" ca="1" si="5"/>
        <v/>
      </c>
      <c r="R184" s="99"/>
      <c r="S184" s="99"/>
      <c r="T184" s="100"/>
      <c r="U184" s="131"/>
      <c r="V184" s="131"/>
      <c r="W184" s="131"/>
      <c r="X184" s="132"/>
    </row>
    <row r="185" spans="1:24" ht="45.95" customHeight="1" x14ac:dyDescent="0.25">
      <c r="A185" s="96" t="str">
        <f t="shared" si="4"/>
        <v/>
      </c>
      <c r="B185" s="97"/>
      <c r="C185" s="98"/>
      <c r="D185" s="99"/>
      <c r="E185" s="99"/>
      <c r="F185" s="99"/>
      <c r="G185" s="99"/>
      <c r="H185" s="99"/>
      <c r="I185" s="99"/>
      <c r="J185" s="100"/>
      <c r="K185" s="100"/>
      <c r="L185" s="100"/>
      <c r="M185" s="99"/>
      <c r="N185" s="97"/>
      <c r="O185" s="99"/>
      <c r="P185" s="99"/>
      <c r="Q185" s="101" t="str">
        <f t="shared" ca="1" si="5"/>
        <v/>
      </c>
      <c r="R185" s="99"/>
      <c r="S185" s="99"/>
      <c r="T185" s="100"/>
      <c r="U185" s="131"/>
      <c r="V185" s="131"/>
      <c r="W185" s="131"/>
      <c r="X185" s="132"/>
    </row>
    <row r="186" spans="1:24" ht="45.95" customHeight="1" x14ac:dyDescent="0.25">
      <c r="A186" s="96" t="str">
        <f t="shared" si="4"/>
        <v/>
      </c>
      <c r="B186" s="97"/>
      <c r="C186" s="98"/>
      <c r="D186" s="99"/>
      <c r="E186" s="99"/>
      <c r="F186" s="99"/>
      <c r="G186" s="99"/>
      <c r="H186" s="99"/>
      <c r="I186" s="99"/>
      <c r="J186" s="100"/>
      <c r="K186" s="100"/>
      <c r="L186" s="100"/>
      <c r="M186" s="99"/>
      <c r="N186" s="97"/>
      <c r="O186" s="99"/>
      <c r="P186" s="99"/>
      <c r="Q186" s="101" t="str">
        <f t="shared" ca="1" si="5"/>
        <v/>
      </c>
      <c r="R186" s="99"/>
      <c r="S186" s="99"/>
      <c r="T186" s="100"/>
      <c r="U186" s="131"/>
      <c r="V186" s="131"/>
      <c r="W186" s="131"/>
      <c r="X186" s="132"/>
    </row>
    <row r="187" spans="1:24" ht="45.95" customHeight="1" x14ac:dyDescent="0.25">
      <c r="A187" s="96" t="str">
        <f t="shared" si="4"/>
        <v/>
      </c>
      <c r="B187" s="97"/>
      <c r="C187" s="98"/>
      <c r="D187" s="99"/>
      <c r="E187" s="99"/>
      <c r="F187" s="99"/>
      <c r="G187" s="99"/>
      <c r="H187" s="99"/>
      <c r="I187" s="99"/>
      <c r="J187" s="100"/>
      <c r="K187" s="100"/>
      <c r="L187" s="100"/>
      <c r="M187" s="99"/>
      <c r="N187" s="97"/>
      <c r="O187" s="99"/>
      <c r="P187" s="99"/>
      <c r="Q187" s="101" t="str">
        <f t="shared" ca="1" si="5"/>
        <v/>
      </c>
      <c r="R187" s="99"/>
      <c r="S187" s="99"/>
      <c r="T187" s="100"/>
      <c r="U187" s="131"/>
      <c r="V187" s="131"/>
      <c r="W187" s="131"/>
      <c r="X187" s="132"/>
    </row>
    <row r="188" spans="1:24" ht="45.95" customHeight="1" x14ac:dyDescent="0.25">
      <c r="A188" s="96" t="str">
        <f t="shared" si="4"/>
        <v/>
      </c>
      <c r="B188" s="97"/>
      <c r="C188" s="98"/>
      <c r="D188" s="99"/>
      <c r="E188" s="99"/>
      <c r="F188" s="99"/>
      <c r="G188" s="99"/>
      <c r="H188" s="99"/>
      <c r="I188" s="99"/>
      <c r="J188" s="100"/>
      <c r="K188" s="100"/>
      <c r="L188" s="100"/>
      <c r="M188" s="99"/>
      <c r="N188" s="97"/>
      <c r="O188" s="99"/>
      <c r="P188" s="99"/>
      <c r="Q188" s="101" t="str">
        <f t="shared" ca="1" si="5"/>
        <v/>
      </c>
      <c r="R188" s="99"/>
      <c r="S188" s="99"/>
      <c r="T188" s="100"/>
      <c r="U188" s="131"/>
      <c r="V188" s="131"/>
      <c r="W188" s="131"/>
      <c r="X188" s="132"/>
    </row>
    <row r="189" spans="1:24" ht="45.95" customHeight="1" x14ac:dyDescent="0.25">
      <c r="A189" s="96" t="str">
        <f t="shared" si="4"/>
        <v/>
      </c>
      <c r="B189" s="97"/>
      <c r="C189" s="98"/>
      <c r="D189" s="99"/>
      <c r="E189" s="99"/>
      <c r="F189" s="99"/>
      <c r="G189" s="99"/>
      <c r="H189" s="99"/>
      <c r="I189" s="99"/>
      <c r="J189" s="100"/>
      <c r="K189" s="100"/>
      <c r="L189" s="100"/>
      <c r="M189" s="99"/>
      <c r="N189" s="97"/>
      <c r="O189" s="99"/>
      <c r="P189" s="99"/>
      <c r="Q189" s="101" t="str">
        <f t="shared" ca="1" si="5"/>
        <v/>
      </c>
      <c r="R189" s="99"/>
      <c r="S189" s="99"/>
      <c r="T189" s="100"/>
      <c r="U189" s="131"/>
      <c r="V189" s="131"/>
      <c r="W189" s="131"/>
      <c r="X189" s="132"/>
    </row>
    <row r="190" spans="1:24" ht="45.95" customHeight="1" x14ac:dyDescent="0.25">
      <c r="A190" s="96" t="str">
        <f t="shared" si="4"/>
        <v/>
      </c>
      <c r="B190" s="97"/>
      <c r="C190" s="98"/>
      <c r="D190" s="99"/>
      <c r="E190" s="99"/>
      <c r="F190" s="99"/>
      <c r="G190" s="99"/>
      <c r="H190" s="99"/>
      <c r="I190" s="99"/>
      <c r="J190" s="100"/>
      <c r="K190" s="100"/>
      <c r="L190" s="100"/>
      <c r="M190" s="99"/>
      <c r="N190" s="97"/>
      <c r="O190" s="99"/>
      <c r="P190" s="99"/>
      <c r="Q190" s="101" t="str">
        <f t="shared" ca="1" si="5"/>
        <v/>
      </c>
      <c r="R190" s="99"/>
      <c r="S190" s="99"/>
      <c r="T190" s="100"/>
      <c r="U190" s="131"/>
      <c r="V190" s="131"/>
      <c r="W190" s="131"/>
      <c r="X190" s="132"/>
    </row>
    <row r="191" spans="1:24" ht="45.95" customHeight="1" x14ac:dyDescent="0.25">
      <c r="A191" s="96" t="str">
        <f t="shared" si="4"/>
        <v/>
      </c>
      <c r="B191" s="97"/>
      <c r="C191" s="98"/>
      <c r="D191" s="99"/>
      <c r="E191" s="99"/>
      <c r="F191" s="99"/>
      <c r="G191" s="99"/>
      <c r="H191" s="99"/>
      <c r="I191" s="99"/>
      <c r="J191" s="100"/>
      <c r="K191" s="100"/>
      <c r="L191" s="100"/>
      <c r="M191" s="99"/>
      <c r="N191" s="97"/>
      <c r="O191" s="99"/>
      <c r="P191" s="99"/>
      <c r="Q191" s="101" t="str">
        <f t="shared" ca="1" si="5"/>
        <v/>
      </c>
      <c r="R191" s="99"/>
      <c r="S191" s="99"/>
      <c r="T191" s="100"/>
      <c r="U191" s="131"/>
      <c r="V191" s="131"/>
      <c r="W191" s="131"/>
      <c r="X191" s="132"/>
    </row>
    <row r="192" spans="1:24" ht="45.95" customHeight="1" x14ac:dyDescent="0.25">
      <c r="A192" s="96" t="str">
        <f t="shared" si="4"/>
        <v/>
      </c>
      <c r="B192" s="97"/>
      <c r="C192" s="98"/>
      <c r="D192" s="99"/>
      <c r="E192" s="99"/>
      <c r="F192" s="99"/>
      <c r="G192" s="99"/>
      <c r="H192" s="99"/>
      <c r="I192" s="99"/>
      <c r="J192" s="100"/>
      <c r="K192" s="100"/>
      <c r="L192" s="100"/>
      <c r="M192" s="99"/>
      <c r="N192" s="97"/>
      <c r="O192" s="99"/>
      <c r="P192" s="99"/>
      <c r="Q192" s="101" t="str">
        <f t="shared" ca="1" si="5"/>
        <v/>
      </c>
      <c r="R192" s="99"/>
      <c r="S192" s="99"/>
      <c r="T192" s="100"/>
      <c r="U192" s="131"/>
      <c r="V192" s="131"/>
      <c r="W192" s="131"/>
      <c r="X192" s="132"/>
    </row>
    <row r="193" spans="1:24" ht="45.95" customHeight="1" x14ac:dyDescent="0.25">
      <c r="A193" s="96" t="str">
        <f t="shared" si="4"/>
        <v/>
      </c>
      <c r="B193" s="97"/>
      <c r="C193" s="98"/>
      <c r="D193" s="99"/>
      <c r="E193" s="99"/>
      <c r="F193" s="99"/>
      <c r="G193" s="99"/>
      <c r="H193" s="99"/>
      <c r="I193" s="99"/>
      <c r="J193" s="100"/>
      <c r="K193" s="100"/>
      <c r="L193" s="100"/>
      <c r="M193" s="99"/>
      <c r="N193" s="97"/>
      <c r="O193" s="99"/>
      <c r="P193" s="99"/>
      <c r="Q193" s="101" t="str">
        <f t="shared" ca="1" si="5"/>
        <v/>
      </c>
      <c r="R193" s="99"/>
      <c r="S193" s="99"/>
      <c r="T193" s="100"/>
      <c r="U193" s="131"/>
      <c r="V193" s="131"/>
      <c r="W193" s="131"/>
      <c r="X193" s="132"/>
    </row>
    <row r="194" spans="1:24" ht="45.95" customHeight="1" x14ac:dyDescent="0.25">
      <c r="A194" s="96" t="str">
        <f t="shared" si="4"/>
        <v/>
      </c>
      <c r="B194" s="97"/>
      <c r="C194" s="98"/>
      <c r="D194" s="99"/>
      <c r="E194" s="99"/>
      <c r="F194" s="99"/>
      <c r="G194" s="99"/>
      <c r="H194" s="99"/>
      <c r="I194" s="99"/>
      <c r="J194" s="100"/>
      <c r="K194" s="100"/>
      <c r="L194" s="100"/>
      <c r="M194" s="99"/>
      <c r="N194" s="97"/>
      <c r="O194" s="99"/>
      <c r="P194" s="99"/>
      <c r="Q194" s="101" t="str">
        <f t="shared" ca="1" si="5"/>
        <v/>
      </c>
      <c r="R194" s="99"/>
      <c r="S194" s="99"/>
      <c r="T194" s="100"/>
      <c r="U194" s="131"/>
      <c r="V194" s="131"/>
      <c r="W194" s="131"/>
      <c r="X194" s="132"/>
    </row>
    <row r="195" spans="1:24" ht="45.95" customHeight="1" x14ac:dyDescent="0.25">
      <c r="A195" s="96" t="str">
        <f t="shared" si="4"/>
        <v/>
      </c>
      <c r="B195" s="97"/>
      <c r="C195" s="98"/>
      <c r="D195" s="99"/>
      <c r="E195" s="99"/>
      <c r="F195" s="99"/>
      <c r="G195" s="99"/>
      <c r="H195" s="99"/>
      <c r="I195" s="99"/>
      <c r="J195" s="100"/>
      <c r="K195" s="100"/>
      <c r="L195" s="100"/>
      <c r="M195" s="99"/>
      <c r="N195" s="97"/>
      <c r="O195" s="99"/>
      <c r="P195" s="99"/>
      <c r="Q195" s="101" t="str">
        <f t="shared" ca="1" si="5"/>
        <v/>
      </c>
      <c r="R195" s="99"/>
      <c r="S195" s="99"/>
      <c r="T195" s="100"/>
      <c r="U195" s="131"/>
      <c r="V195" s="131"/>
      <c r="W195" s="131"/>
      <c r="X195" s="132"/>
    </row>
    <row r="196" spans="1:24" ht="45.95" customHeight="1" x14ac:dyDescent="0.25">
      <c r="A196" s="96" t="str">
        <f t="shared" si="4"/>
        <v/>
      </c>
      <c r="B196" s="97"/>
      <c r="C196" s="98"/>
      <c r="D196" s="99"/>
      <c r="E196" s="99"/>
      <c r="F196" s="99"/>
      <c r="G196" s="99"/>
      <c r="H196" s="99"/>
      <c r="I196" s="99"/>
      <c r="J196" s="100"/>
      <c r="K196" s="100"/>
      <c r="L196" s="100"/>
      <c r="M196" s="99"/>
      <c r="N196" s="97"/>
      <c r="O196" s="99"/>
      <c r="P196" s="99"/>
      <c r="Q196" s="101" t="str">
        <f t="shared" ca="1" si="5"/>
        <v/>
      </c>
      <c r="R196" s="99"/>
      <c r="S196" s="99"/>
      <c r="T196" s="100"/>
      <c r="U196" s="131"/>
      <c r="V196" s="131"/>
      <c r="W196" s="131"/>
      <c r="X196" s="132"/>
    </row>
    <row r="197" spans="1:24" ht="45.95" customHeight="1" x14ac:dyDescent="0.25">
      <c r="A197" s="96" t="str">
        <f t="shared" ref="A197:A260" si="6">IF($B197="","","ATA-"&amp;TEXT($B197,"yyyymmdd"))</f>
        <v/>
      </c>
      <c r="B197" s="97"/>
      <c r="C197" s="98"/>
      <c r="D197" s="99"/>
      <c r="E197" s="99"/>
      <c r="F197" s="99"/>
      <c r="G197" s="99"/>
      <c r="H197" s="99"/>
      <c r="I197" s="99"/>
      <c r="J197" s="100"/>
      <c r="K197" s="100"/>
      <c r="L197" s="100"/>
      <c r="M197" s="99"/>
      <c r="N197" s="97"/>
      <c r="O197" s="99"/>
      <c r="P197" s="99"/>
      <c r="Q197" s="101" t="str">
        <f t="shared" ref="Q197:Q260" ca="1" si="7">IF(OR($B197="",$L197="",$P197="CONCLUÍDA"),"",TODAY()-$B197)</f>
        <v/>
      </c>
      <c r="R197" s="99"/>
      <c r="S197" s="99"/>
      <c r="T197" s="100"/>
      <c r="U197" s="131"/>
      <c r="V197" s="131"/>
      <c r="W197" s="131"/>
      <c r="X197" s="132"/>
    </row>
    <row r="198" spans="1:24" ht="45.95" customHeight="1" x14ac:dyDescent="0.25">
      <c r="A198" s="96" t="str">
        <f t="shared" si="6"/>
        <v/>
      </c>
      <c r="B198" s="97"/>
      <c r="C198" s="98"/>
      <c r="D198" s="99"/>
      <c r="E198" s="99"/>
      <c r="F198" s="99"/>
      <c r="G198" s="99"/>
      <c r="H198" s="99"/>
      <c r="I198" s="99"/>
      <c r="J198" s="100"/>
      <c r="K198" s="100"/>
      <c r="L198" s="100"/>
      <c r="M198" s="99"/>
      <c r="N198" s="97"/>
      <c r="O198" s="99"/>
      <c r="P198" s="99"/>
      <c r="Q198" s="101" t="str">
        <f t="shared" ca="1" si="7"/>
        <v/>
      </c>
      <c r="R198" s="99"/>
      <c r="S198" s="99"/>
      <c r="T198" s="100"/>
      <c r="U198" s="131"/>
      <c r="V198" s="131"/>
      <c r="W198" s="131"/>
      <c r="X198" s="132"/>
    </row>
    <row r="199" spans="1:24" ht="45.95" customHeight="1" x14ac:dyDescent="0.25">
      <c r="A199" s="96" t="str">
        <f t="shared" si="6"/>
        <v/>
      </c>
      <c r="B199" s="97"/>
      <c r="C199" s="98"/>
      <c r="D199" s="99"/>
      <c r="E199" s="99"/>
      <c r="F199" s="99"/>
      <c r="G199" s="99"/>
      <c r="H199" s="99"/>
      <c r="I199" s="99"/>
      <c r="J199" s="100"/>
      <c r="K199" s="100"/>
      <c r="L199" s="100"/>
      <c r="M199" s="99"/>
      <c r="N199" s="97"/>
      <c r="O199" s="99"/>
      <c r="P199" s="99"/>
      <c r="Q199" s="101" t="str">
        <f t="shared" ca="1" si="7"/>
        <v/>
      </c>
      <c r="R199" s="99"/>
      <c r="S199" s="99"/>
      <c r="T199" s="100"/>
      <c r="U199" s="131"/>
      <c r="V199" s="131"/>
      <c r="W199" s="131"/>
      <c r="X199" s="132"/>
    </row>
    <row r="200" spans="1:24" ht="45.95" customHeight="1" x14ac:dyDescent="0.25">
      <c r="A200" s="96" t="str">
        <f t="shared" si="6"/>
        <v/>
      </c>
      <c r="B200" s="97"/>
      <c r="C200" s="98"/>
      <c r="D200" s="99"/>
      <c r="E200" s="99"/>
      <c r="F200" s="99"/>
      <c r="G200" s="99"/>
      <c r="H200" s="99"/>
      <c r="I200" s="99"/>
      <c r="J200" s="100"/>
      <c r="K200" s="100"/>
      <c r="L200" s="100"/>
      <c r="M200" s="99"/>
      <c r="N200" s="97"/>
      <c r="O200" s="99"/>
      <c r="P200" s="99"/>
      <c r="Q200" s="101" t="str">
        <f t="shared" ca="1" si="7"/>
        <v/>
      </c>
      <c r="R200" s="99"/>
      <c r="S200" s="99"/>
      <c r="T200" s="100"/>
      <c r="U200" s="131"/>
      <c r="V200" s="131"/>
      <c r="W200" s="131"/>
      <c r="X200" s="132"/>
    </row>
    <row r="201" spans="1:24" ht="45.95" customHeight="1" x14ac:dyDescent="0.25">
      <c r="A201" s="96" t="str">
        <f t="shared" si="6"/>
        <v/>
      </c>
      <c r="B201" s="97"/>
      <c r="C201" s="98"/>
      <c r="D201" s="99"/>
      <c r="E201" s="99"/>
      <c r="F201" s="99"/>
      <c r="G201" s="99"/>
      <c r="H201" s="99"/>
      <c r="I201" s="99"/>
      <c r="J201" s="100"/>
      <c r="K201" s="100"/>
      <c r="L201" s="100"/>
      <c r="M201" s="99"/>
      <c r="N201" s="97"/>
      <c r="O201" s="99"/>
      <c r="P201" s="99"/>
      <c r="Q201" s="101" t="str">
        <f t="shared" ca="1" si="7"/>
        <v/>
      </c>
      <c r="R201" s="99"/>
      <c r="S201" s="99"/>
      <c r="T201" s="100"/>
      <c r="U201" s="131"/>
      <c r="V201" s="131"/>
      <c r="W201" s="131"/>
      <c r="X201" s="132"/>
    </row>
    <row r="202" spans="1:24" ht="45.95" customHeight="1" x14ac:dyDescent="0.25">
      <c r="A202" s="96" t="str">
        <f t="shared" si="6"/>
        <v/>
      </c>
      <c r="B202" s="97"/>
      <c r="C202" s="98"/>
      <c r="D202" s="99"/>
      <c r="E202" s="99"/>
      <c r="F202" s="99"/>
      <c r="G202" s="99"/>
      <c r="H202" s="99"/>
      <c r="I202" s="99"/>
      <c r="J202" s="100"/>
      <c r="K202" s="100"/>
      <c r="L202" s="100"/>
      <c r="M202" s="99"/>
      <c r="N202" s="97"/>
      <c r="O202" s="99"/>
      <c r="P202" s="99"/>
      <c r="Q202" s="101" t="str">
        <f t="shared" ca="1" si="7"/>
        <v/>
      </c>
      <c r="R202" s="99"/>
      <c r="S202" s="99"/>
      <c r="T202" s="100"/>
      <c r="U202" s="131"/>
      <c r="V202" s="131"/>
      <c r="W202" s="131"/>
      <c r="X202" s="132"/>
    </row>
    <row r="203" spans="1:24" ht="45.95" customHeight="1" x14ac:dyDescent="0.25">
      <c r="A203" s="96" t="str">
        <f t="shared" si="6"/>
        <v/>
      </c>
      <c r="B203" s="97"/>
      <c r="C203" s="98"/>
      <c r="D203" s="99"/>
      <c r="E203" s="99"/>
      <c r="F203" s="99"/>
      <c r="G203" s="99"/>
      <c r="H203" s="99"/>
      <c r="I203" s="99"/>
      <c r="J203" s="100"/>
      <c r="K203" s="100"/>
      <c r="L203" s="100"/>
      <c r="M203" s="99"/>
      <c r="N203" s="97"/>
      <c r="O203" s="99"/>
      <c r="P203" s="99"/>
      <c r="Q203" s="101" t="str">
        <f t="shared" ca="1" si="7"/>
        <v/>
      </c>
      <c r="R203" s="99"/>
      <c r="S203" s="99"/>
      <c r="T203" s="100"/>
      <c r="U203" s="131"/>
      <c r="V203" s="131"/>
      <c r="W203" s="131"/>
      <c r="X203" s="132"/>
    </row>
    <row r="204" spans="1:24" ht="45.95" customHeight="1" x14ac:dyDescent="0.25">
      <c r="A204" s="96" t="str">
        <f t="shared" si="6"/>
        <v/>
      </c>
      <c r="B204" s="97"/>
      <c r="C204" s="98"/>
      <c r="D204" s="99"/>
      <c r="E204" s="99"/>
      <c r="F204" s="99"/>
      <c r="G204" s="99"/>
      <c r="H204" s="99"/>
      <c r="I204" s="99"/>
      <c r="J204" s="100"/>
      <c r="K204" s="100"/>
      <c r="L204" s="100"/>
      <c r="M204" s="99"/>
      <c r="N204" s="97"/>
      <c r="O204" s="99"/>
      <c r="P204" s="99"/>
      <c r="Q204" s="101" t="str">
        <f t="shared" ca="1" si="7"/>
        <v/>
      </c>
      <c r="R204" s="99"/>
      <c r="S204" s="99"/>
      <c r="T204" s="100"/>
      <c r="U204" s="131"/>
      <c r="V204" s="131"/>
      <c r="W204" s="131"/>
      <c r="X204" s="132"/>
    </row>
    <row r="205" spans="1:24" ht="45.95" customHeight="1" x14ac:dyDescent="0.25">
      <c r="A205" s="96" t="str">
        <f t="shared" si="6"/>
        <v/>
      </c>
      <c r="B205" s="97"/>
      <c r="C205" s="98"/>
      <c r="D205" s="99"/>
      <c r="E205" s="99"/>
      <c r="F205" s="99"/>
      <c r="G205" s="99"/>
      <c r="H205" s="99"/>
      <c r="I205" s="99"/>
      <c r="J205" s="100"/>
      <c r="K205" s="100"/>
      <c r="L205" s="100"/>
      <c r="M205" s="99"/>
      <c r="N205" s="97"/>
      <c r="O205" s="99"/>
      <c r="P205" s="99"/>
      <c r="Q205" s="101" t="str">
        <f t="shared" ca="1" si="7"/>
        <v/>
      </c>
      <c r="R205" s="99"/>
      <c r="S205" s="99"/>
      <c r="T205" s="100"/>
      <c r="U205" s="131"/>
      <c r="V205" s="131"/>
      <c r="W205" s="131"/>
      <c r="X205" s="132"/>
    </row>
    <row r="206" spans="1:24" ht="45.95" customHeight="1" x14ac:dyDescent="0.25">
      <c r="A206" s="96" t="str">
        <f t="shared" si="6"/>
        <v/>
      </c>
      <c r="B206" s="97"/>
      <c r="C206" s="98"/>
      <c r="D206" s="99"/>
      <c r="E206" s="99"/>
      <c r="F206" s="99"/>
      <c r="G206" s="99"/>
      <c r="H206" s="99"/>
      <c r="I206" s="99"/>
      <c r="J206" s="100"/>
      <c r="K206" s="100"/>
      <c r="L206" s="100"/>
      <c r="M206" s="99"/>
      <c r="N206" s="97"/>
      <c r="O206" s="99"/>
      <c r="P206" s="99"/>
      <c r="Q206" s="101" t="str">
        <f t="shared" ca="1" si="7"/>
        <v/>
      </c>
      <c r="R206" s="99"/>
      <c r="S206" s="99"/>
      <c r="T206" s="100"/>
      <c r="U206" s="131"/>
      <c r="V206" s="131"/>
      <c r="W206" s="131"/>
      <c r="X206" s="132"/>
    </row>
    <row r="207" spans="1:24" ht="45.95" customHeight="1" x14ac:dyDescent="0.25">
      <c r="A207" s="96" t="str">
        <f t="shared" si="6"/>
        <v/>
      </c>
      <c r="B207" s="97"/>
      <c r="C207" s="98"/>
      <c r="D207" s="99"/>
      <c r="E207" s="99"/>
      <c r="F207" s="99"/>
      <c r="G207" s="99"/>
      <c r="H207" s="99"/>
      <c r="I207" s="99"/>
      <c r="J207" s="100"/>
      <c r="K207" s="100"/>
      <c r="L207" s="100"/>
      <c r="M207" s="99"/>
      <c r="N207" s="97"/>
      <c r="O207" s="99"/>
      <c r="P207" s="99"/>
      <c r="Q207" s="101" t="str">
        <f t="shared" ca="1" si="7"/>
        <v/>
      </c>
      <c r="R207" s="99"/>
      <c r="S207" s="99"/>
      <c r="T207" s="100"/>
      <c r="U207" s="131"/>
      <c r="V207" s="131"/>
      <c r="W207" s="131"/>
      <c r="X207" s="132"/>
    </row>
    <row r="208" spans="1:24" ht="45.95" customHeight="1" x14ac:dyDescent="0.25">
      <c r="A208" s="96" t="str">
        <f t="shared" si="6"/>
        <v/>
      </c>
      <c r="B208" s="97"/>
      <c r="C208" s="98"/>
      <c r="D208" s="99"/>
      <c r="E208" s="99"/>
      <c r="F208" s="99"/>
      <c r="G208" s="99"/>
      <c r="H208" s="99"/>
      <c r="I208" s="99"/>
      <c r="J208" s="100"/>
      <c r="K208" s="100"/>
      <c r="L208" s="100"/>
      <c r="M208" s="99"/>
      <c r="N208" s="97"/>
      <c r="O208" s="99"/>
      <c r="P208" s="99"/>
      <c r="Q208" s="101" t="str">
        <f t="shared" ca="1" si="7"/>
        <v/>
      </c>
      <c r="R208" s="99"/>
      <c r="S208" s="99"/>
      <c r="T208" s="100"/>
      <c r="U208" s="131"/>
      <c r="V208" s="131"/>
      <c r="W208" s="131"/>
      <c r="X208" s="132"/>
    </row>
    <row r="209" spans="1:24" ht="45.95" customHeight="1" x14ac:dyDescent="0.25">
      <c r="A209" s="96" t="str">
        <f t="shared" si="6"/>
        <v/>
      </c>
      <c r="B209" s="97"/>
      <c r="C209" s="98"/>
      <c r="D209" s="99"/>
      <c r="E209" s="99"/>
      <c r="F209" s="99"/>
      <c r="G209" s="99"/>
      <c r="H209" s="99"/>
      <c r="I209" s="99"/>
      <c r="J209" s="100"/>
      <c r="K209" s="100"/>
      <c r="L209" s="100"/>
      <c r="M209" s="99"/>
      <c r="N209" s="97"/>
      <c r="O209" s="99"/>
      <c r="P209" s="99"/>
      <c r="Q209" s="101" t="str">
        <f t="shared" ca="1" si="7"/>
        <v/>
      </c>
      <c r="R209" s="99"/>
      <c r="S209" s="99"/>
      <c r="T209" s="100"/>
      <c r="U209" s="131"/>
      <c r="V209" s="131"/>
      <c r="W209" s="131"/>
      <c r="X209" s="132"/>
    </row>
    <row r="210" spans="1:24" ht="45.95" customHeight="1" x14ac:dyDescent="0.25">
      <c r="A210" s="96" t="str">
        <f t="shared" si="6"/>
        <v/>
      </c>
      <c r="B210" s="97"/>
      <c r="C210" s="98"/>
      <c r="D210" s="99"/>
      <c r="E210" s="99"/>
      <c r="F210" s="99"/>
      <c r="G210" s="99"/>
      <c r="H210" s="99"/>
      <c r="I210" s="99"/>
      <c r="J210" s="100"/>
      <c r="K210" s="100"/>
      <c r="L210" s="100"/>
      <c r="M210" s="99"/>
      <c r="N210" s="97"/>
      <c r="O210" s="99"/>
      <c r="P210" s="99"/>
      <c r="Q210" s="101" t="str">
        <f t="shared" ca="1" si="7"/>
        <v/>
      </c>
      <c r="R210" s="99"/>
      <c r="S210" s="99"/>
      <c r="T210" s="100"/>
      <c r="U210" s="131"/>
      <c r="V210" s="131"/>
      <c r="W210" s="131"/>
      <c r="X210" s="132"/>
    </row>
    <row r="211" spans="1:24" ht="45.95" customHeight="1" x14ac:dyDescent="0.25">
      <c r="A211" s="96" t="str">
        <f t="shared" si="6"/>
        <v/>
      </c>
      <c r="B211" s="97"/>
      <c r="C211" s="98"/>
      <c r="D211" s="99"/>
      <c r="E211" s="99"/>
      <c r="F211" s="99"/>
      <c r="G211" s="99"/>
      <c r="H211" s="99"/>
      <c r="I211" s="99"/>
      <c r="J211" s="100"/>
      <c r="K211" s="100"/>
      <c r="L211" s="100"/>
      <c r="M211" s="99"/>
      <c r="N211" s="97"/>
      <c r="O211" s="99"/>
      <c r="P211" s="99"/>
      <c r="Q211" s="101" t="str">
        <f t="shared" ca="1" si="7"/>
        <v/>
      </c>
      <c r="R211" s="99"/>
      <c r="S211" s="99"/>
      <c r="T211" s="100"/>
      <c r="U211" s="131"/>
      <c r="V211" s="131"/>
      <c r="W211" s="131"/>
      <c r="X211" s="132"/>
    </row>
    <row r="212" spans="1:24" ht="45.95" customHeight="1" x14ac:dyDescent="0.25">
      <c r="A212" s="96" t="str">
        <f t="shared" si="6"/>
        <v/>
      </c>
      <c r="B212" s="97"/>
      <c r="C212" s="98"/>
      <c r="D212" s="99"/>
      <c r="E212" s="99"/>
      <c r="F212" s="99"/>
      <c r="G212" s="99"/>
      <c r="H212" s="99"/>
      <c r="I212" s="99"/>
      <c r="J212" s="100"/>
      <c r="K212" s="100"/>
      <c r="L212" s="100"/>
      <c r="M212" s="99"/>
      <c r="N212" s="97"/>
      <c r="O212" s="99"/>
      <c r="P212" s="99"/>
      <c r="Q212" s="101" t="str">
        <f t="shared" ca="1" si="7"/>
        <v/>
      </c>
      <c r="R212" s="99"/>
      <c r="S212" s="99"/>
      <c r="T212" s="100"/>
      <c r="U212" s="131"/>
      <c r="V212" s="131"/>
      <c r="W212" s="131"/>
      <c r="X212" s="132"/>
    </row>
    <row r="213" spans="1:24" ht="45.95" customHeight="1" x14ac:dyDescent="0.25">
      <c r="A213" s="96" t="str">
        <f t="shared" si="6"/>
        <v/>
      </c>
      <c r="B213" s="97"/>
      <c r="C213" s="98"/>
      <c r="D213" s="99"/>
      <c r="E213" s="99"/>
      <c r="F213" s="99"/>
      <c r="G213" s="99"/>
      <c r="H213" s="99"/>
      <c r="I213" s="99"/>
      <c r="J213" s="100"/>
      <c r="K213" s="100"/>
      <c r="L213" s="100"/>
      <c r="M213" s="99"/>
      <c r="N213" s="97"/>
      <c r="O213" s="99"/>
      <c r="P213" s="99"/>
      <c r="Q213" s="101" t="str">
        <f t="shared" ca="1" si="7"/>
        <v/>
      </c>
      <c r="R213" s="99"/>
      <c r="S213" s="99"/>
      <c r="T213" s="100"/>
      <c r="U213" s="131"/>
      <c r="V213" s="131"/>
      <c r="W213" s="131"/>
      <c r="X213" s="132"/>
    </row>
    <row r="214" spans="1:24" ht="45.95" customHeight="1" x14ac:dyDescent="0.25">
      <c r="A214" s="96" t="str">
        <f t="shared" si="6"/>
        <v/>
      </c>
      <c r="B214" s="97"/>
      <c r="C214" s="98"/>
      <c r="D214" s="99"/>
      <c r="E214" s="99"/>
      <c r="F214" s="99"/>
      <c r="G214" s="99"/>
      <c r="H214" s="99"/>
      <c r="I214" s="99"/>
      <c r="J214" s="100"/>
      <c r="K214" s="100"/>
      <c r="L214" s="100"/>
      <c r="M214" s="99"/>
      <c r="N214" s="97"/>
      <c r="O214" s="99"/>
      <c r="P214" s="99"/>
      <c r="Q214" s="101" t="str">
        <f t="shared" ca="1" si="7"/>
        <v/>
      </c>
      <c r="R214" s="99"/>
      <c r="S214" s="99"/>
      <c r="T214" s="100"/>
      <c r="U214" s="131"/>
      <c r="V214" s="131"/>
      <c r="W214" s="131"/>
      <c r="X214" s="132"/>
    </row>
    <row r="215" spans="1:24" ht="45.95" customHeight="1" x14ac:dyDescent="0.25">
      <c r="A215" s="96" t="str">
        <f t="shared" si="6"/>
        <v/>
      </c>
      <c r="B215" s="97"/>
      <c r="C215" s="98"/>
      <c r="D215" s="99"/>
      <c r="E215" s="99"/>
      <c r="F215" s="99"/>
      <c r="G215" s="99"/>
      <c r="H215" s="99"/>
      <c r="I215" s="99"/>
      <c r="J215" s="100"/>
      <c r="K215" s="100"/>
      <c r="L215" s="100"/>
      <c r="M215" s="99"/>
      <c r="N215" s="97"/>
      <c r="O215" s="99"/>
      <c r="P215" s="99"/>
      <c r="Q215" s="101" t="str">
        <f t="shared" ca="1" si="7"/>
        <v/>
      </c>
      <c r="R215" s="99"/>
      <c r="S215" s="99"/>
      <c r="T215" s="100"/>
      <c r="U215" s="131"/>
      <c r="V215" s="131"/>
      <c r="W215" s="131"/>
      <c r="X215" s="132"/>
    </row>
    <row r="216" spans="1:24" ht="45.95" customHeight="1" x14ac:dyDescent="0.25">
      <c r="A216" s="96" t="str">
        <f t="shared" si="6"/>
        <v/>
      </c>
      <c r="B216" s="97"/>
      <c r="C216" s="98"/>
      <c r="D216" s="99"/>
      <c r="E216" s="99"/>
      <c r="F216" s="99"/>
      <c r="G216" s="99"/>
      <c r="H216" s="99"/>
      <c r="I216" s="99"/>
      <c r="J216" s="100"/>
      <c r="K216" s="100"/>
      <c r="L216" s="100"/>
      <c r="M216" s="99"/>
      <c r="N216" s="97"/>
      <c r="O216" s="99"/>
      <c r="P216" s="99"/>
      <c r="Q216" s="101" t="str">
        <f t="shared" ca="1" si="7"/>
        <v/>
      </c>
      <c r="R216" s="99"/>
      <c r="S216" s="99"/>
      <c r="T216" s="100"/>
      <c r="U216" s="131"/>
      <c r="V216" s="131"/>
      <c r="W216" s="131"/>
      <c r="X216" s="132"/>
    </row>
    <row r="217" spans="1:24" ht="45.95" customHeight="1" x14ac:dyDescent="0.25">
      <c r="A217" s="96" t="str">
        <f t="shared" si="6"/>
        <v/>
      </c>
      <c r="B217" s="97"/>
      <c r="C217" s="98"/>
      <c r="D217" s="99"/>
      <c r="E217" s="99"/>
      <c r="F217" s="99"/>
      <c r="G217" s="99"/>
      <c r="H217" s="99"/>
      <c r="I217" s="99"/>
      <c r="J217" s="100"/>
      <c r="K217" s="100"/>
      <c r="L217" s="100"/>
      <c r="M217" s="99"/>
      <c r="N217" s="97"/>
      <c r="O217" s="99"/>
      <c r="P217" s="99"/>
      <c r="Q217" s="101" t="str">
        <f t="shared" ca="1" si="7"/>
        <v/>
      </c>
      <c r="R217" s="99"/>
      <c r="S217" s="99"/>
      <c r="T217" s="100"/>
      <c r="U217" s="131"/>
      <c r="V217" s="131"/>
      <c r="W217" s="131"/>
      <c r="X217" s="132"/>
    </row>
    <row r="218" spans="1:24" ht="45.95" customHeight="1" x14ac:dyDescent="0.25">
      <c r="A218" s="96" t="str">
        <f t="shared" si="6"/>
        <v/>
      </c>
      <c r="B218" s="97"/>
      <c r="C218" s="98"/>
      <c r="D218" s="99"/>
      <c r="E218" s="99"/>
      <c r="F218" s="99"/>
      <c r="G218" s="99"/>
      <c r="H218" s="99"/>
      <c r="I218" s="99"/>
      <c r="J218" s="100"/>
      <c r="K218" s="100"/>
      <c r="L218" s="100"/>
      <c r="M218" s="99"/>
      <c r="N218" s="97"/>
      <c r="O218" s="99"/>
      <c r="P218" s="99"/>
      <c r="Q218" s="101" t="str">
        <f t="shared" ca="1" si="7"/>
        <v/>
      </c>
      <c r="R218" s="99"/>
      <c r="S218" s="99"/>
      <c r="T218" s="100"/>
      <c r="U218" s="131"/>
      <c r="V218" s="131"/>
      <c r="W218" s="131"/>
      <c r="X218" s="132"/>
    </row>
    <row r="219" spans="1:24" ht="45.95" customHeight="1" x14ac:dyDescent="0.25">
      <c r="A219" s="96" t="str">
        <f t="shared" si="6"/>
        <v/>
      </c>
      <c r="B219" s="97"/>
      <c r="C219" s="98"/>
      <c r="D219" s="99"/>
      <c r="E219" s="99"/>
      <c r="F219" s="99"/>
      <c r="G219" s="99"/>
      <c r="H219" s="99"/>
      <c r="I219" s="99"/>
      <c r="J219" s="100"/>
      <c r="K219" s="100"/>
      <c r="L219" s="100"/>
      <c r="M219" s="99"/>
      <c r="N219" s="97"/>
      <c r="O219" s="99"/>
      <c r="P219" s="99"/>
      <c r="Q219" s="101" t="str">
        <f t="shared" ca="1" si="7"/>
        <v/>
      </c>
      <c r="R219" s="99"/>
      <c r="S219" s="99"/>
      <c r="T219" s="100"/>
      <c r="U219" s="131"/>
      <c r="V219" s="131"/>
      <c r="W219" s="131"/>
      <c r="X219" s="132"/>
    </row>
    <row r="220" spans="1:24" ht="45.95" customHeight="1" x14ac:dyDescent="0.25">
      <c r="A220" s="96" t="str">
        <f t="shared" si="6"/>
        <v/>
      </c>
      <c r="B220" s="97"/>
      <c r="C220" s="98"/>
      <c r="D220" s="99"/>
      <c r="E220" s="99"/>
      <c r="F220" s="99"/>
      <c r="G220" s="99"/>
      <c r="H220" s="99"/>
      <c r="I220" s="99"/>
      <c r="J220" s="100"/>
      <c r="K220" s="100"/>
      <c r="L220" s="100"/>
      <c r="M220" s="99"/>
      <c r="N220" s="97"/>
      <c r="O220" s="99"/>
      <c r="P220" s="99"/>
      <c r="Q220" s="101" t="str">
        <f t="shared" ca="1" si="7"/>
        <v/>
      </c>
      <c r="R220" s="99"/>
      <c r="S220" s="99"/>
      <c r="T220" s="100"/>
      <c r="U220" s="131"/>
      <c r="V220" s="131"/>
      <c r="W220" s="131"/>
      <c r="X220" s="132"/>
    </row>
    <row r="221" spans="1:24" ht="45.95" customHeight="1" x14ac:dyDescent="0.25">
      <c r="A221" s="96" t="str">
        <f t="shared" si="6"/>
        <v/>
      </c>
      <c r="B221" s="97"/>
      <c r="C221" s="98"/>
      <c r="D221" s="99"/>
      <c r="E221" s="99"/>
      <c r="F221" s="99"/>
      <c r="G221" s="99"/>
      <c r="H221" s="99"/>
      <c r="I221" s="99"/>
      <c r="J221" s="100"/>
      <c r="K221" s="100"/>
      <c r="L221" s="100"/>
      <c r="M221" s="99"/>
      <c r="N221" s="97"/>
      <c r="O221" s="99"/>
      <c r="P221" s="99"/>
      <c r="Q221" s="101" t="str">
        <f t="shared" ca="1" si="7"/>
        <v/>
      </c>
      <c r="R221" s="99"/>
      <c r="S221" s="99"/>
      <c r="T221" s="100"/>
      <c r="U221" s="131"/>
      <c r="V221" s="131"/>
      <c r="W221" s="131"/>
      <c r="X221" s="132"/>
    </row>
    <row r="222" spans="1:24" ht="45.95" customHeight="1" x14ac:dyDescent="0.25">
      <c r="A222" s="96" t="str">
        <f t="shared" si="6"/>
        <v/>
      </c>
      <c r="B222" s="97"/>
      <c r="C222" s="98"/>
      <c r="D222" s="99"/>
      <c r="E222" s="99"/>
      <c r="F222" s="99"/>
      <c r="G222" s="99"/>
      <c r="H222" s="99"/>
      <c r="I222" s="99"/>
      <c r="J222" s="100"/>
      <c r="K222" s="100"/>
      <c r="L222" s="100"/>
      <c r="M222" s="99"/>
      <c r="N222" s="97"/>
      <c r="O222" s="99"/>
      <c r="P222" s="99"/>
      <c r="Q222" s="101" t="str">
        <f t="shared" ca="1" si="7"/>
        <v/>
      </c>
      <c r="R222" s="99"/>
      <c r="S222" s="99"/>
      <c r="T222" s="100"/>
      <c r="U222" s="131"/>
      <c r="V222" s="131"/>
      <c r="W222" s="131"/>
      <c r="X222" s="132"/>
    </row>
    <row r="223" spans="1:24" ht="45.95" customHeight="1" x14ac:dyDescent="0.25">
      <c r="A223" s="96" t="str">
        <f t="shared" si="6"/>
        <v/>
      </c>
      <c r="B223" s="97"/>
      <c r="C223" s="98"/>
      <c r="D223" s="99"/>
      <c r="E223" s="99"/>
      <c r="F223" s="99"/>
      <c r="G223" s="99"/>
      <c r="H223" s="99"/>
      <c r="I223" s="99"/>
      <c r="J223" s="100"/>
      <c r="K223" s="100"/>
      <c r="L223" s="100"/>
      <c r="M223" s="99"/>
      <c r="N223" s="97"/>
      <c r="O223" s="99"/>
      <c r="P223" s="99"/>
      <c r="Q223" s="101" t="str">
        <f t="shared" ca="1" si="7"/>
        <v/>
      </c>
      <c r="R223" s="99"/>
      <c r="S223" s="99"/>
      <c r="T223" s="100"/>
      <c r="U223" s="131"/>
      <c r="V223" s="131"/>
      <c r="W223" s="131"/>
      <c r="X223" s="132"/>
    </row>
    <row r="224" spans="1:24" ht="45.95" customHeight="1" x14ac:dyDescent="0.25">
      <c r="A224" s="96" t="str">
        <f t="shared" si="6"/>
        <v/>
      </c>
      <c r="B224" s="97"/>
      <c r="C224" s="98"/>
      <c r="D224" s="99"/>
      <c r="E224" s="99"/>
      <c r="F224" s="99"/>
      <c r="G224" s="99"/>
      <c r="H224" s="99"/>
      <c r="I224" s="99"/>
      <c r="J224" s="100"/>
      <c r="K224" s="100"/>
      <c r="L224" s="100"/>
      <c r="M224" s="99"/>
      <c r="N224" s="97"/>
      <c r="O224" s="99"/>
      <c r="P224" s="99"/>
      <c r="Q224" s="101" t="str">
        <f t="shared" ca="1" si="7"/>
        <v/>
      </c>
      <c r="R224" s="99"/>
      <c r="S224" s="99"/>
      <c r="T224" s="100"/>
      <c r="U224" s="131"/>
      <c r="V224" s="131"/>
      <c r="W224" s="131"/>
      <c r="X224" s="132"/>
    </row>
    <row r="225" spans="1:24" ht="45.95" customHeight="1" x14ac:dyDescent="0.25">
      <c r="A225" s="96" t="str">
        <f t="shared" si="6"/>
        <v/>
      </c>
      <c r="B225" s="97"/>
      <c r="C225" s="98"/>
      <c r="D225" s="99"/>
      <c r="E225" s="99"/>
      <c r="F225" s="99"/>
      <c r="G225" s="99"/>
      <c r="H225" s="99"/>
      <c r="I225" s="99"/>
      <c r="J225" s="100"/>
      <c r="K225" s="100"/>
      <c r="L225" s="100"/>
      <c r="M225" s="99"/>
      <c r="N225" s="97"/>
      <c r="O225" s="99"/>
      <c r="P225" s="99"/>
      <c r="Q225" s="101" t="str">
        <f t="shared" ca="1" si="7"/>
        <v/>
      </c>
      <c r="R225" s="99"/>
      <c r="S225" s="99"/>
      <c r="T225" s="100"/>
      <c r="U225" s="131"/>
      <c r="V225" s="131"/>
      <c r="W225" s="131"/>
      <c r="X225" s="132"/>
    </row>
    <row r="226" spans="1:24" ht="45.95" customHeight="1" x14ac:dyDescent="0.25">
      <c r="A226" s="96" t="str">
        <f t="shared" si="6"/>
        <v/>
      </c>
      <c r="B226" s="97"/>
      <c r="C226" s="98"/>
      <c r="D226" s="99"/>
      <c r="E226" s="99"/>
      <c r="F226" s="99"/>
      <c r="G226" s="99"/>
      <c r="H226" s="99"/>
      <c r="I226" s="99"/>
      <c r="J226" s="100"/>
      <c r="K226" s="100"/>
      <c r="L226" s="100"/>
      <c r="M226" s="99"/>
      <c r="N226" s="97"/>
      <c r="O226" s="99"/>
      <c r="P226" s="99"/>
      <c r="Q226" s="101" t="str">
        <f t="shared" ca="1" si="7"/>
        <v/>
      </c>
      <c r="R226" s="99"/>
      <c r="S226" s="99"/>
      <c r="T226" s="100"/>
      <c r="U226" s="131"/>
      <c r="V226" s="131"/>
      <c r="W226" s="131"/>
      <c r="X226" s="132"/>
    </row>
    <row r="227" spans="1:24" ht="45.95" customHeight="1" x14ac:dyDescent="0.25">
      <c r="A227" s="96" t="str">
        <f t="shared" si="6"/>
        <v/>
      </c>
      <c r="B227" s="97"/>
      <c r="C227" s="98"/>
      <c r="D227" s="99"/>
      <c r="E227" s="99"/>
      <c r="F227" s="99"/>
      <c r="G227" s="99"/>
      <c r="H227" s="99"/>
      <c r="I227" s="99"/>
      <c r="J227" s="100"/>
      <c r="K227" s="100"/>
      <c r="L227" s="100"/>
      <c r="M227" s="99"/>
      <c r="N227" s="97"/>
      <c r="O227" s="99"/>
      <c r="P227" s="99"/>
      <c r="Q227" s="101" t="str">
        <f t="shared" ca="1" si="7"/>
        <v/>
      </c>
      <c r="R227" s="99"/>
      <c r="S227" s="99"/>
      <c r="T227" s="100"/>
      <c r="U227" s="131"/>
      <c r="V227" s="131"/>
      <c r="W227" s="131"/>
      <c r="X227" s="132"/>
    </row>
    <row r="228" spans="1:24" ht="45.95" customHeight="1" x14ac:dyDescent="0.25">
      <c r="A228" s="96" t="str">
        <f t="shared" si="6"/>
        <v/>
      </c>
      <c r="B228" s="97"/>
      <c r="C228" s="98"/>
      <c r="D228" s="99"/>
      <c r="E228" s="99"/>
      <c r="F228" s="99"/>
      <c r="G228" s="99"/>
      <c r="H228" s="99"/>
      <c r="I228" s="99"/>
      <c r="J228" s="100"/>
      <c r="K228" s="100"/>
      <c r="L228" s="100"/>
      <c r="M228" s="99"/>
      <c r="N228" s="97"/>
      <c r="O228" s="99"/>
      <c r="P228" s="99"/>
      <c r="Q228" s="101" t="str">
        <f t="shared" ca="1" si="7"/>
        <v/>
      </c>
      <c r="R228" s="99"/>
      <c r="S228" s="99"/>
      <c r="T228" s="100"/>
      <c r="U228" s="131"/>
      <c r="V228" s="131"/>
      <c r="W228" s="131"/>
      <c r="X228" s="132"/>
    </row>
    <row r="229" spans="1:24" ht="45.95" customHeight="1" x14ac:dyDescent="0.25">
      <c r="A229" s="96" t="str">
        <f t="shared" si="6"/>
        <v/>
      </c>
      <c r="B229" s="97"/>
      <c r="C229" s="98"/>
      <c r="D229" s="99"/>
      <c r="E229" s="99"/>
      <c r="F229" s="99"/>
      <c r="G229" s="99"/>
      <c r="H229" s="99"/>
      <c r="I229" s="99"/>
      <c r="J229" s="100"/>
      <c r="K229" s="100"/>
      <c r="L229" s="100"/>
      <c r="M229" s="99"/>
      <c r="N229" s="97"/>
      <c r="O229" s="99"/>
      <c r="P229" s="99"/>
      <c r="Q229" s="101" t="str">
        <f t="shared" ca="1" si="7"/>
        <v/>
      </c>
      <c r="R229" s="99"/>
      <c r="S229" s="99"/>
      <c r="T229" s="100"/>
      <c r="U229" s="131"/>
      <c r="V229" s="131"/>
      <c r="W229" s="131"/>
      <c r="X229" s="132"/>
    </row>
    <row r="230" spans="1:24" ht="45.95" customHeight="1" x14ac:dyDescent="0.25">
      <c r="A230" s="96" t="str">
        <f t="shared" si="6"/>
        <v/>
      </c>
      <c r="B230" s="97"/>
      <c r="C230" s="98"/>
      <c r="D230" s="99"/>
      <c r="E230" s="99"/>
      <c r="F230" s="99"/>
      <c r="G230" s="99"/>
      <c r="H230" s="99"/>
      <c r="I230" s="99"/>
      <c r="J230" s="100"/>
      <c r="K230" s="100"/>
      <c r="L230" s="100"/>
      <c r="M230" s="99"/>
      <c r="N230" s="97"/>
      <c r="O230" s="99"/>
      <c r="P230" s="99"/>
      <c r="Q230" s="101" t="str">
        <f t="shared" ca="1" si="7"/>
        <v/>
      </c>
      <c r="R230" s="99"/>
      <c r="S230" s="99"/>
      <c r="T230" s="100"/>
      <c r="U230" s="131"/>
      <c r="V230" s="131"/>
      <c r="W230" s="131"/>
      <c r="X230" s="132"/>
    </row>
    <row r="231" spans="1:24" ht="45.95" customHeight="1" x14ac:dyDescent="0.25">
      <c r="A231" s="96" t="str">
        <f t="shared" si="6"/>
        <v/>
      </c>
      <c r="B231" s="97"/>
      <c r="C231" s="98"/>
      <c r="D231" s="99"/>
      <c r="E231" s="99"/>
      <c r="F231" s="99"/>
      <c r="G231" s="99"/>
      <c r="H231" s="99"/>
      <c r="I231" s="99"/>
      <c r="J231" s="100"/>
      <c r="K231" s="100"/>
      <c r="L231" s="100"/>
      <c r="M231" s="99"/>
      <c r="N231" s="97"/>
      <c r="O231" s="99"/>
      <c r="P231" s="99"/>
      <c r="Q231" s="101" t="str">
        <f t="shared" ca="1" si="7"/>
        <v/>
      </c>
      <c r="R231" s="99"/>
      <c r="S231" s="99"/>
      <c r="T231" s="100"/>
      <c r="U231" s="131"/>
      <c r="V231" s="131"/>
      <c r="W231" s="131"/>
      <c r="X231" s="132"/>
    </row>
    <row r="232" spans="1:24" ht="45.95" customHeight="1" x14ac:dyDescent="0.25">
      <c r="A232" s="96" t="str">
        <f t="shared" si="6"/>
        <v/>
      </c>
      <c r="B232" s="97"/>
      <c r="C232" s="98"/>
      <c r="D232" s="99"/>
      <c r="E232" s="99"/>
      <c r="F232" s="99"/>
      <c r="G232" s="99"/>
      <c r="H232" s="99"/>
      <c r="I232" s="99"/>
      <c r="J232" s="100"/>
      <c r="K232" s="100"/>
      <c r="L232" s="100"/>
      <c r="M232" s="99"/>
      <c r="N232" s="97"/>
      <c r="O232" s="99"/>
      <c r="P232" s="99"/>
      <c r="Q232" s="101" t="str">
        <f t="shared" ca="1" si="7"/>
        <v/>
      </c>
      <c r="R232" s="99"/>
      <c r="S232" s="99"/>
      <c r="T232" s="100"/>
      <c r="U232" s="131"/>
      <c r="V232" s="131"/>
      <c r="W232" s="131"/>
      <c r="X232" s="132"/>
    </row>
    <row r="233" spans="1:24" ht="45.95" customHeight="1" x14ac:dyDescent="0.25">
      <c r="A233" s="96" t="str">
        <f t="shared" si="6"/>
        <v/>
      </c>
      <c r="B233" s="97"/>
      <c r="C233" s="98"/>
      <c r="D233" s="99"/>
      <c r="E233" s="99"/>
      <c r="F233" s="99"/>
      <c r="G233" s="99"/>
      <c r="H233" s="99"/>
      <c r="I233" s="99"/>
      <c r="J233" s="100"/>
      <c r="K233" s="100"/>
      <c r="L233" s="100"/>
      <c r="M233" s="99"/>
      <c r="N233" s="97"/>
      <c r="O233" s="99"/>
      <c r="P233" s="99"/>
      <c r="Q233" s="101" t="str">
        <f t="shared" ca="1" si="7"/>
        <v/>
      </c>
      <c r="R233" s="99"/>
      <c r="S233" s="99"/>
      <c r="T233" s="100"/>
      <c r="U233" s="131"/>
      <c r="V233" s="131"/>
      <c r="W233" s="131"/>
      <c r="X233" s="132"/>
    </row>
    <row r="234" spans="1:24" ht="45.95" customHeight="1" x14ac:dyDescent="0.25">
      <c r="A234" s="96" t="str">
        <f t="shared" si="6"/>
        <v/>
      </c>
      <c r="B234" s="97"/>
      <c r="C234" s="98"/>
      <c r="D234" s="99"/>
      <c r="E234" s="99"/>
      <c r="F234" s="99"/>
      <c r="G234" s="99"/>
      <c r="H234" s="99"/>
      <c r="I234" s="99"/>
      <c r="J234" s="100"/>
      <c r="K234" s="100"/>
      <c r="L234" s="100"/>
      <c r="M234" s="99"/>
      <c r="N234" s="97"/>
      <c r="O234" s="99"/>
      <c r="P234" s="99"/>
      <c r="Q234" s="101" t="str">
        <f t="shared" ca="1" si="7"/>
        <v/>
      </c>
      <c r="R234" s="99"/>
      <c r="S234" s="99"/>
      <c r="T234" s="100"/>
      <c r="U234" s="131"/>
      <c r="V234" s="131"/>
      <c r="W234" s="131"/>
      <c r="X234" s="132"/>
    </row>
    <row r="235" spans="1:24" ht="45.95" customHeight="1" x14ac:dyDescent="0.25">
      <c r="A235" s="96" t="str">
        <f t="shared" si="6"/>
        <v/>
      </c>
      <c r="B235" s="97"/>
      <c r="C235" s="98"/>
      <c r="D235" s="99"/>
      <c r="E235" s="99"/>
      <c r="F235" s="99"/>
      <c r="G235" s="99"/>
      <c r="H235" s="99"/>
      <c r="I235" s="99"/>
      <c r="J235" s="100"/>
      <c r="K235" s="100"/>
      <c r="L235" s="100"/>
      <c r="M235" s="99"/>
      <c r="N235" s="97"/>
      <c r="O235" s="99"/>
      <c r="P235" s="99"/>
      <c r="Q235" s="101" t="str">
        <f t="shared" ca="1" si="7"/>
        <v/>
      </c>
      <c r="R235" s="99"/>
      <c r="S235" s="99"/>
      <c r="T235" s="100"/>
      <c r="U235" s="131"/>
      <c r="V235" s="131"/>
      <c r="W235" s="131"/>
      <c r="X235" s="132"/>
    </row>
    <row r="236" spans="1:24" ht="45.95" customHeight="1" x14ac:dyDescent="0.25">
      <c r="A236" s="96" t="str">
        <f t="shared" si="6"/>
        <v/>
      </c>
      <c r="B236" s="97"/>
      <c r="C236" s="98"/>
      <c r="D236" s="99"/>
      <c r="E236" s="99"/>
      <c r="F236" s="99"/>
      <c r="G236" s="99"/>
      <c r="H236" s="99"/>
      <c r="I236" s="99"/>
      <c r="J236" s="100"/>
      <c r="K236" s="100"/>
      <c r="L236" s="100"/>
      <c r="M236" s="99"/>
      <c r="N236" s="97"/>
      <c r="O236" s="99"/>
      <c r="P236" s="99"/>
      <c r="Q236" s="101" t="str">
        <f t="shared" ca="1" si="7"/>
        <v/>
      </c>
      <c r="R236" s="99"/>
      <c r="S236" s="99"/>
      <c r="T236" s="100"/>
      <c r="U236" s="131"/>
      <c r="V236" s="131"/>
      <c r="W236" s="131"/>
      <c r="X236" s="132"/>
    </row>
    <row r="237" spans="1:24" ht="45.95" customHeight="1" x14ac:dyDescent="0.25">
      <c r="A237" s="96" t="str">
        <f t="shared" si="6"/>
        <v/>
      </c>
      <c r="B237" s="97"/>
      <c r="C237" s="98"/>
      <c r="D237" s="99"/>
      <c r="E237" s="99"/>
      <c r="F237" s="99"/>
      <c r="G237" s="99"/>
      <c r="H237" s="99"/>
      <c r="I237" s="99"/>
      <c r="J237" s="100"/>
      <c r="K237" s="100"/>
      <c r="L237" s="100"/>
      <c r="M237" s="99"/>
      <c r="N237" s="97"/>
      <c r="O237" s="99"/>
      <c r="P237" s="99"/>
      <c r="Q237" s="101" t="str">
        <f t="shared" ca="1" si="7"/>
        <v/>
      </c>
      <c r="R237" s="99"/>
      <c r="S237" s="99"/>
      <c r="T237" s="100"/>
      <c r="U237" s="131"/>
      <c r="V237" s="131"/>
      <c r="W237" s="131"/>
      <c r="X237" s="132"/>
    </row>
    <row r="238" spans="1:24" ht="45.95" customHeight="1" x14ac:dyDescent="0.25">
      <c r="A238" s="96" t="str">
        <f t="shared" si="6"/>
        <v/>
      </c>
      <c r="B238" s="97"/>
      <c r="C238" s="98"/>
      <c r="D238" s="99"/>
      <c r="E238" s="99"/>
      <c r="F238" s="99"/>
      <c r="G238" s="99"/>
      <c r="H238" s="99"/>
      <c r="I238" s="99"/>
      <c r="J238" s="100"/>
      <c r="K238" s="100"/>
      <c r="L238" s="100"/>
      <c r="M238" s="99"/>
      <c r="N238" s="97"/>
      <c r="O238" s="99"/>
      <c r="P238" s="99"/>
      <c r="Q238" s="101" t="str">
        <f t="shared" ca="1" si="7"/>
        <v/>
      </c>
      <c r="R238" s="99"/>
      <c r="S238" s="99"/>
      <c r="T238" s="100"/>
      <c r="U238" s="131"/>
      <c r="V238" s="131"/>
      <c r="W238" s="131"/>
      <c r="X238" s="132"/>
    </row>
    <row r="239" spans="1:24" ht="45.95" customHeight="1" x14ac:dyDescent="0.25">
      <c r="A239" s="96" t="str">
        <f t="shared" si="6"/>
        <v/>
      </c>
      <c r="B239" s="97"/>
      <c r="C239" s="98"/>
      <c r="D239" s="99"/>
      <c r="E239" s="99"/>
      <c r="F239" s="99"/>
      <c r="G239" s="99"/>
      <c r="H239" s="99"/>
      <c r="I239" s="99"/>
      <c r="J239" s="100"/>
      <c r="K239" s="100"/>
      <c r="L239" s="100"/>
      <c r="M239" s="99"/>
      <c r="N239" s="97"/>
      <c r="O239" s="99"/>
      <c r="P239" s="99"/>
      <c r="Q239" s="101" t="str">
        <f t="shared" ca="1" si="7"/>
        <v/>
      </c>
      <c r="R239" s="99"/>
      <c r="S239" s="99"/>
      <c r="T239" s="100"/>
      <c r="U239" s="131"/>
      <c r="V239" s="131"/>
      <c r="W239" s="131"/>
      <c r="X239" s="132"/>
    </row>
    <row r="240" spans="1:24" ht="45.95" customHeight="1" x14ac:dyDescent="0.25">
      <c r="A240" s="96" t="str">
        <f t="shared" si="6"/>
        <v/>
      </c>
      <c r="B240" s="97"/>
      <c r="C240" s="98"/>
      <c r="D240" s="99"/>
      <c r="E240" s="99"/>
      <c r="F240" s="99"/>
      <c r="G240" s="99"/>
      <c r="H240" s="99"/>
      <c r="I240" s="99"/>
      <c r="J240" s="100"/>
      <c r="K240" s="100"/>
      <c r="L240" s="100"/>
      <c r="M240" s="99"/>
      <c r="N240" s="97"/>
      <c r="O240" s="99"/>
      <c r="P240" s="99"/>
      <c r="Q240" s="101" t="str">
        <f t="shared" ca="1" si="7"/>
        <v/>
      </c>
      <c r="R240" s="99"/>
      <c r="S240" s="99"/>
      <c r="T240" s="100"/>
      <c r="U240" s="131"/>
      <c r="V240" s="131"/>
      <c r="W240" s="131"/>
      <c r="X240" s="132"/>
    </row>
    <row r="241" spans="1:24" ht="45.95" customHeight="1" x14ac:dyDescent="0.25">
      <c r="A241" s="96" t="str">
        <f t="shared" si="6"/>
        <v/>
      </c>
      <c r="B241" s="97"/>
      <c r="C241" s="98"/>
      <c r="D241" s="99"/>
      <c r="E241" s="99"/>
      <c r="F241" s="99"/>
      <c r="G241" s="99"/>
      <c r="H241" s="99"/>
      <c r="I241" s="99"/>
      <c r="J241" s="100"/>
      <c r="K241" s="100"/>
      <c r="L241" s="100"/>
      <c r="M241" s="99"/>
      <c r="N241" s="97"/>
      <c r="O241" s="99"/>
      <c r="P241" s="99"/>
      <c r="Q241" s="101" t="str">
        <f t="shared" ca="1" si="7"/>
        <v/>
      </c>
      <c r="R241" s="99"/>
      <c r="S241" s="99"/>
      <c r="T241" s="100"/>
      <c r="U241" s="131"/>
      <c r="V241" s="131"/>
      <c r="W241" s="131"/>
      <c r="X241" s="132"/>
    </row>
    <row r="242" spans="1:24" ht="45.95" customHeight="1" x14ac:dyDescent="0.25">
      <c r="A242" s="96" t="str">
        <f t="shared" si="6"/>
        <v/>
      </c>
      <c r="B242" s="97"/>
      <c r="C242" s="98"/>
      <c r="D242" s="99"/>
      <c r="E242" s="99"/>
      <c r="F242" s="99"/>
      <c r="G242" s="99"/>
      <c r="H242" s="99"/>
      <c r="I242" s="99"/>
      <c r="J242" s="100"/>
      <c r="K242" s="100"/>
      <c r="L242" s="100"/>
      <c r="M242" s="99"/>
      <c r="N242" s="97"/>
      <c r="O242" s="99"/>
      <c r="P242" s="99"/>
      <c r="Q242" s="101" t="str">
        <f t="shared" ca="1" si="7"/>
        <v/>
      </c>
      <c r="R242" s="99"/>
      <c r="S242" s="99"/>
      <c r="T242" s="100"/>
      <c r="U242" s="131"/>
      <c r="V242" s="131"/>
      <c r="W242" s="131"/>
      <c r="X242" s="132"/>
    </row>
    <row r="243" spans="1:24" ht="45.95" customHeight="1" x14ac:dyDescent="0.25">
      <c r="A243" s="96" t="str">
        <f t="shared" si="6"/>
        <v/>
      </c>
      <c r="B243" s="97"/>
      <c r="C243" s="98"/>
      <c r="D243" s="99"/>
      <c r="E243" s="99"/>
      <c r="F243" s="99"/>
      <c r="G243" s="99"/>
      <c r="H243" s="99"/>
      <c r="I243" s="99"/>
      <c r="J243" s="100"/>
      <c r="K243" s="100"/>
      <c r="L243" s="100"/>
      <c r="M243" s="99"/>
      <c r="N243" s="97"/>
      <c r="O243" s="99"/>
      <c r="P243" s="99"/>
      <c r="Q243" s="101" t="str">
        <f t="shared" ca="1" si="7"/>
        <v/>
      </c>
      <c r="R243" s="99"/>
      <c r="S243" s="99"/>
      <c r="T243" s="100"/>
      <c r="U243" s="131"/>
      <c r="V243" s="131"/>
      <c r="W243" s="131"/>
      <c r="X243" s="132"/>
    </row>
    <row r="244" spans="1:24" ht="45.95" customHeight="1" x14ac:dyDescent="0.25">
      <c r="A244" s="96" t="str">
        <f t="shared" si="6"/>
        <v/>
      </c>
      <c r="B244" s="97"/>
      <c r="C244" s="98"/>
      <c r="D244" s="99"/>
      <c r="E244" s="99"/>
      <c r="F244" s="99"/>
      <c r="G244" s="99"/>
      <c r="H244" s="99"/>
      <c r="I244" s="99"/>
      <c r="J244" s="100"/>
      <c r="K244" s="100"/>
      <c r="L244" s="100"/>
      <c r="M244" s="99"/>
      <c r="N244" s="97"/>
      <c r="O244" s="99"/>
      <c r="P244" s="99"/>
      <c r="Q244" s="101" t="str">
        <f t="shared" ca="1" si="7"/>
        <v/>
      </c>
      <c r="R244" s="99"/>
      <c r="S244" s="99"/>
      <c r="T244" s="100"/>
      <c r="U244" s="131"/>
      <c r="V244" s="131"/>
      <c r="W244" s="131"/>
      <c r="X244" s="132"/>
    </row>
    <row r="245" spans="1:24" ht="45.95" customHeight="1" x14ac:dyDescent="0.25">
      <c r="A245" s="96" t="str">
        <f t="shared" si="6"/>
        <v/>
      </c>
      <c r="B245" s="97"/>
      <c r="C245" s="98"/>
      <c r="D245" s="99"/>
      <c r="E245" s="99"/>
      <c r="F245" s="99"/>
      <c r="G245" s="99"/>
      <c r="H245" s="99"/>
      <c r="I245" s="99"/>
      <c r="J245" s="100"/>
      <c r="K245" s="100"/>
      <c r="L245" s="100"/>
      <c r="M245" s="99"/>
      <c r="N245" s="97"/>
      <c r="O245" s="99"/>
      <c r="P245" s="99"/>
      <c r="Q245" s="101" t="str">
        <f t="shared" ca="1" si="7"/>
        <v/>
      </c>
      <c r="R245" s="99"/>
      <c r="S245" s="99"/>
      <c r="T245" s="100"/>
      <c r="U245" s="131"/>
      <c r="V245" s="131"/>
      <c r="W245" s="131"/>
      <c r="X245" s="132"/>
    </row>
    <row r="246" spans="1:24" ht="45.95" customHeight="1" x14ac:dyDescent="0.25">
      <c r="A246" s="96" t="str">
        <f t="shared" si="6"/>
        <v/>
      </c>
      <c r="B246" s="97"/>
      <c r="C246" s="98"/>
      <c r="D246" s="99"/>
      <c r="E246" s="99"/>
      <c r="F246" s="99"/>
      <c r="G246" s="99"/>
      <c r="H246" s="99"/>
      <c r="I246" s="99"/>
      <c r="J246" s="100"/>
      <c r="K246" s="100"/>
      <c r="L246" s="100"/>
      <c r="M246" s="99"/>
      <c r="N246" s="97"/>
      <c r="O246" s="99"/>
      <c r="P246" s="99"/>
      <c r="Q246" s="101" t="str">
        <f t="shared" ca="1" si="7"/>
        <v/>
      </c>
      <c r="R246" s="99"/>
      <c r="S246" s="99"/>
      <c r="T246" s="100"/>
      <c r="U246" s="131"/>
      <c r="V246" s="131"/>
      <c r="W246" s="131"/>
      <c r="X246" s="132"/>
    </row>
    <row r="247" spans="1:24" ht="45.95" customHeight="1" x14ac:dyDescent="0.25">
      <c r="A247" s="96" t="str">
        <f t="shared" si="6"/>
        <v/>
      </c>
      <c r="B247" s="97"/>
      <c r="C247" s="98"/>
      <c r="D247" s="99"/>
      <c r="E247" s="99"/>
      <c r="F247" s="99"/>
      <c r="G247" s="99"/>
      <c r="H247" s="99"/>
      <c r="I247" s="99"/>
      <c r="J247" s="100"/>
      <c r="K247" s="100"/>
      <c r="L247" s="100"/>
      <c r="M247" s="99"/>
      <c r="N247" s="97"/>
      <c r="O247" s="99"/>
      <c r="P247" s="99"/>
      <c r="Q247" s="101" t="str">
        <f t="shared" ca="1" si="7"/>
        <v/>
      </c>
      <c r="R247" s="99"/>
      <c r="S247" s="99"/>
      <c r="T247" s="100"/>
      <c r="U247" s="131"/>
      <c r="V247" s="131"/>
      <c r="W247" s="131"/>
      <c r="X247" s="132"/>
    </row>
    <row r="248" spans="1:24" ht="45.95" customHeight="1" x14ac:dyDescent="0.25">
      <c r="A248" s="96" t="str">
        <f t="shared" si="6"/>
        <v/>
      </c>
      <c r="B248" s="97"/>
      <c r="C248" s="98"/>
      <c r="D248" s="99"/>
      <c r="E248" s="99"/>
      <c r="F248" s="99"/>
      <c r="G248" s="99"/>
      <c r="H248" s="99"/>
      <c r="I248" s="99"/>
      <c r="J248" s="100"/>
      <c r="K248" s="100"/>
      <c r="L248" s="100"/>
      <c r="M248" s="99"/>
      <c r="N248" s="97"/>
      <c r="O248" s="99"/>
      <c r="P248" s="99"/>
      <c r="Q248" s="101" t="str">
        <f t="shared" ca="1" si="7"/>
        <v/>
      </c>
      <c r="R248" s="99"/>
      <c r="S248" s="99"/>
      <c r="T248" s="100"/>
      <c r="U248" s="131"/>
      <c r="V248" s="131"/>
      <c r="W248" s="131"/>
      <c r="X248" s="132"/>
    </row>
    <row r="249" spans="1:24" ht="45.95" customHeight="1" x14ac:dyDescent="0.25">
      <c r="A249" s="96" t="str">
        <f t="shared" si="6"/>
        <v/>
      </c>
      <c r="B249" s="97"/>
      <c r="C249" s="98"/>
      <c r="D249" s="99"/>
      <c r="E249" s="99"/>
      <c r="F249" s="99"/>
      <c r="G249" s="99"/>
      <c r="H249" s="99"/>
      <c r="I249" s="99"/>
      <c r="J249" s="100"/>
      <c r="K249" s="100"/>
      <c r="L249" s="100"/>
      <c r="M249" s="99"/>
      <c r="N249" s="97"/>
      <c r="O249" s="99"/>
      <c r="P249" s="99"/>
      <c r="Q249" s="101" t="str">
        <f t="shared" ca="1" si="7"/>
        <v/>
      </c>
      <c r="R249" s="99"/>
      <c r="S249" s="99"/>
      <c r="T249" s="100"/>
      <c r="U249" s="131"/>
      <c r="V249" s="131"/>
      <c r="W249" s="131"/>
      <c r="X249" s="132"/>
    </row>
    <row r="250" spans="1:24" ht="45.95" customHeight="1" x14ac:dyDescent="0.25">
      <c r="A250" s="96" t="str">
        <f t="shared" si="6"/>
        <v/>
      </c>
      <c r="B250" s="97"/>
      <c r="C250" s="98"/>
      <c r="D250" s="99"/>
      <c r="E250" s="99"/>
      <c r="F250" s="99"/>
      <c r="G250" s="99"/>
      <c r="H250" s="99"/>
      <c r="I250" s="99"/>
      <c r="J250" s="100"/>
      <c r="K250" s="100"/>
      <c r="L250" s="100"/>
      <c r="M250" s="99"/>
      <c r="N250" s="97"/>
      <c r="O250" s="99"/>
      <c r="P250" s="99"/>
      <c r="Q250" s="101" t="str">
        <f t="shared" ca="1" si="7"/>
        <v/>
      </c>
      <c r="R250" s="99"/>
      <c r="S250" s="99"/>
      <c r="T250" s="100"/>
      <c r="U250" s="131"/>
      <c r="V250" s="131"/>
      <c r="W250" s="131"/>
      <c r="X250" s="132"/>
    </row>
    <row r="251" spans="1:24" ht="45.95" customHeight="1" x14ac:dyDescent="0.25">
      <c r="A251" s="96" t="str">
        <f t="shared" si="6"/>
        <v/>
      </c>
      <c r="B251" s="97"/>
      <c r="C251" s="98"/>
      <c r="D251" s="99"/>
      <c r="E251" s="99"/>
      <c r="F251" s="99"/>
      <c r="G251" s="99"/>
      <c r="H251" s="99"/>
      <c r="I251" s="99"/>
      <c r="J251" s="100"/>
      <c r="K251" s="100"/>
      <c r="L251" s="100"/>
      <c r="M251" s="99"/>
      <c r="N251" s="97"/>
      <c r="O251" s="99"/>
      <c r="P251" s="99"/>
      <c r="Q251" s="101" t="str">
        <f t="shared" ca="1" si="7"/>
        <v/>
      </c>
      <c r="R251" s="99"/>
      <c r="S251" s="99"/>
      <c r="T251" s="100"/>
      <c r="U251" s="131"/>
      <c r="V251" s="131"/>
      <c r="W251" s="131"/>
      <c r="X251" s="132"/>
    </row>
    <row r="252" spans="1:24" ht="45.95" customHeight="1" x14ac:dyDescent="0.25">
      <c r="A252" s="96" t="str">
        <f t="shared" si="6"/>
        <v/>
      </c>
      <c r="B252" s="97"/>
      <c r="C252" s="98"/>
      <c r="D252" s="99"/>
      <c r="E252" s="99"/>
      <c r="F252" s="99"/>
      <c r="G252" s="99"/>
      <c r="H252" s="99"/>
      <c r="I252" s="99"/>
      <c r="J252" s="100"/>
      <c r="K252" s="100"/>
      <c r="L252" s="100"/>
      <c r="M252" s="99"/>
      <c r="N252" s="97"/>
      <c r="O252" s="99"/>
      <c r="P252" s="99"/>
      <c r="Q252" s="101" t="str">
        <f t="shared" ca="1" si="7"/>
        <v/>
      </c>
      <c r="R252" s="99"/>
      <c r="S252" s="99"/>
      <c r="T252" s="100"/>
      <c r="U252" s="131"/>
      <c r="V252" s="131"/>
      <c r="W252" s="131"/>
      <c r="X252" s="132"/>
    </row>
    <row r="253" spans="1:24" ht="45.95" customHeight="1" x14ac:dyDescent="0.25">
      <c r="A253" s="96" t="str">
        <f t="shared" si="6"/>
        <v/>
      </c>
      <c r="B253" s="97"/>
      <c r="C253" s="98"/>
      <c r="D253" s="99"/>
      <c r="E253" s="99"/>
      <c r="F253" s="99"/>
      <c r="G253" s="99"/>
      <c r="H253" s="99"/>
      <c r="I253" s="99"/>
      <c r="J253" s="100"/>
      <c r="K253" s="100"/>
      <c r="L253" s="100"/>
      <c r="M253" s="99"/>
      <c r="N253" s="97"/>
      <c r="O253" s="99"/>
      <c r="P253" s="99"/>
      <c r="Q253" s="101" t="str">
        <f t="shared" ca="1" si="7"/>
        <v/>
      </c>
      <c r="R253" s="99"/>
      <c r="S253" s="99"/>
      <c r="T253" s="100"/>
      <c r="U253" s="131"/>
      <c r="V253" s="131"/>
      <c r="W253" s="131"/>
      <c r="X253" s="132"/>
    </row>
    <row r="254" spans="1:24" ht="45.95" customHeight="1" x14ac:dyDescent="0.25">
      <c r="A254" s="96" t="str">
        <f t="shared" si="6"/>
        <v/>
      </c>
      <c r="B254" s="97"/>
      <c r="C254" s="98"/>
      <c r="D254" s="99"/>
      <c r="E254" s="99"/>
      <c r="F254" s="99"/>
      <c r="G254" s="99"/>
      <c r="H254" s="99"/>
      <c r="I254" s="99"/>
      <c r="J254" s="100"/>
      <c r="K254" s="100"/>
      <c r="L254" s="100"/>
      <c r="M254" s="99"/>
      <c r="N254" s="97"/>
      <c r="O254" s="99"/>
      <c r="P254" s="99"/>
      <c r="Q254" s="101" t="str">
        <f t="shared" ca="1" si="7"/>
        <v/>
      </c>
      <c r="R254" s="99"/>
      <c r="S254" s="99"/>
      <c r="T254" s="100"/>
      <c r="U254" s="131"/>
      <c r="V254" s="131"/>
      <c r="W254" s="131"/>
      <c r="X254" s="132"/>
    </row>
    <row r="255" spans="1:24" ht="45.95" customHeight="1" x14ac:dyDescent="0.25">
      <c r="A255" s="96" t="str">
        <f t="shared" si="6"/>
        <v/>
      </c>
      <c r="B255" s="97"/>
      <c r="C255" s="98"/>
      <c r="D255" s="99"/>
      <c r="E255" s="99"/>
      <c r="F255" s="99"/>
      <c r="G255" s="99"/>
      <c r="H255" s="99"/>
      <c r="I255" s="99"/>
      <c r="J255" s="100"/>
      <c r="K255" s="100"/>
      <c r="L255" s="100"/>
      <c r="M255" s="99"/>
      <c r="N255" s="97"/>
      <c r="O255" s="99"/>
      <c r="P255" s="99"/>
      <c r="Q255" s="101" t="str">
        <f t="shared" ca="1" si="7"/>
        <v/>
      </c>
      <c r="R255" s="99"/>
      <c r="S255" s="99"/>
      <c r="T255" s="100"/>
      <c r="U255" s="131"/>
      <c r="V255" s="131"/>
      <c r="W255" s="131"/>
      <c r="X255" s="132"/>
    </row>
    <row r="256" spans="1:24" ht="45.95" customHeight="1" x14ac:dyDescent="0.25">
      <c r="A256" s="96" t="str">
        <f t="shared" si="6"/>
        <v/>
      </c>
      <c r="B256" s="97"/>
      <c r="C256" s="98"/>
      <c r="D256" s="99"/>
      <c r="E256" s="99"/>
      <c r="F256" s="99"/>
      <c r="G256" s="99"/>
      <c r="H256" s="99"/>
      <c r="I256" s="99"/>
      <c r="J256" s="100"/>
      <c r="K256" s="100"/>
      <c r="L256" s="100"/>
      <c r="M256" s="99"/>
      <c r="N256" s="97"/>
      <c r="O256" s="99"/>
      <c r="P256" s="99"/>
      <c r="Q256" s="101" t="str">
        <f t="shared" ca="1" si="7"/>
        <v/>
      </c>
      <c r="R256" s="99"/>
      <c r="S256" s="99"/>
      <c r="T256" s="100"/>
      <c r="U256" s="131"/>
      <c r="V256" s="131"/>
      <c r="W256" s="131"/>
      <c r="X256" s="132"/>
    </row>
    <row r="257" spans="1:24" ht="45.95" customHeight="1" x14ac:dyDescent="0.25">
      <c r="A257" s="96" t="str">
        <f t="shared" si="6"/>
        <v/>
      </c>
      <c r="B257" s="97"/>
      <c r="C257" s="98"/>
      <c r="D257" s="99"/>
      <c r="E257" s="99"/>
      <c r="F257" s="99"/>
      <c r="G257" s="99"/>
      <c r="H257" s="99"/>
      <c r="I257" s="99"/>
      <c r="J257" s="100"/>
      <c r="K257" s="100"/>
      <c r="L257" s="100"/>
      <c r="M257" s="99"/>
      <c r="N257" s="97"/>
      <c r="O257" s="99"/>
      <c r="P257" s="99"/>
      <c r="Q257" s="101" t="str">
        <f t="shared" ca="1" si="7"/>
        <v/>
      </c>
      <c r="R257" s="99"/>
      <c r="S257" s="99"/>
      <c r="T257" s="100"/>
      <c r="U257" s="131"/>
      <c r="V257" s="131"/>
      <c r="W257" s="131"/>
      <c r="X257" s="132"/>
    </row>
    <row r="258" spans="1:24" ht="45.95" customHeight="1" x14ac:dyDescent="0.25">
      <c r="A258" s="96" t="str">
        <f t="shared" si="6"/>
        <v/>
      </c>
      <c r="B258" s="97"/>
      <c r="C258" s="98"/>
      <c r="D258" s="99"/>
      <c r="E258" s="99"/>
      <c r="F258" s="99"/>
      <c r="G258" s="99"/>
      <c r="H258" s="99"/>
      <c r="I258" s="99"/>
      <c r="J258" s="100"/>
      <c r="K258" s="100"/>
      <c r="L258" s="100"/>
      <c r="M258" s="99"/>
      <c r="N258" s="97"/>
      <c r="O258" s="99"/>
      <c r="P258" s="99"/>
      <c r="Q258" s="101" t="str">
        <f t="shared" ca="1" si="7"/>
        <v/>
      </c>
      <c r="R258" s="99"/>
      <c r="S258" s="99"/>
      <c r="T258" s="100"/>
      <c r="U258" s="131"/>
      <c r="V258" s="131"/>
      <c r="W258" s="131"/>
      <c r="X258" s="132"/>
    </row>
    <row r="259" spans="1:24" ht="45.95" customHeight="1" x14ac:dyDescent="0.25">
      <c r="A259" s="96" t="str">
        <f t="shared" si="6"/>
        <v/>
      </c>
      <c r="B259" s="97"/>
      <c r="C259" s="98"/>
      <c r="D259" s="99"/>
      <c r="E259" s="99"/>
      <c r="F259" s="99"/>
      <c r="G259" s="99"/>
      <c r="H259" s="99"/>
      <c r="I259" s="99"/>
      <c r="J259" s="100"/>
      <c r="K259" s="100"/>
      <c r="L259" s="100"/>
      <c r="M259" s="99"/>
      <c r="N259" s="97"/>
      <c r="O259" s="99"/>
      <c r="P259" s="99"/>
      <c r="Q259" s="101" t="str">
        <f t="shared" ca="1" si="7"/>
        <v/>
      </c>
      <c r="R259" s="99"/>
      <c r="S259" s="99"/>
      <c r="T259" s="100"/>
      <c r="U259" s="131"/>
      <c r="V259" s="131"/>
      <c r="W259" s="131"/>
      <c r="X259" s="132"/>
    </row>
    <row r="260" spans="1:24" ht="45.95" customHeight="1" x14ac:dyDescent="0.25">
      <c r="A260" s="96" t="str">
        <f t="shared" si="6"/>
        <v/>
      </c>
      <c r="B260" s="97"/>
      <c r="C260" s="98"/>
      <c r="D260" s="99"/>
      <c r="E260" s="99"/>
      <c r="F260" s="99"/>
      <c r="G260" s="99"/>
      <c r="H260" s="99"/>
      <c r="I260" s="99"/>
      <c r="J260" s="100"/>
      <c r="K260" s="100"/>
      <c r="L260" s="100"/>
      <c r="M260" s="99"/>
      <c r="N260" s="97"/>
      <c r="O260" s="99"/>
      <c r="P260" s="99"/>
      <c r="Q260" s="101" t="str">
        <f t="shared" ca="1" si="7"/>
        <v/>
      </c>
      <c r="R260" s="99"/>
      <c r="S260" s="99"/>
      <c r="T260" s="100"/>
      <c r="U260" s="131"/>
      <c r="V260" s="131"/>
      <c r="W260" s="131"/>
      <c r="X260" s="132"/>
    </row>
    <row r="261" spans="1:24" ht="45.95" customHeight="1" x14ac:dyDescent="0.25">
      <c r="A261" s="96" t="str">
        <f t="shared" ref="A261:A304" si="8">IF($B261="","","ATA-"&amp;TEXT($B261,"yyyymmdd"))</f>
        <v/>
      </c>
      <c r="B261" s="97"/>
      <c r="C261" s="98"/>
      <c r="D261" s="99"/>
      <c r="E261" s="99"/>
      <c r="F261" s="99"/>
      <c r="G261" s="99"/>
      <c r="H261" s="99"/>
      <c r="I261" s="99"/>
      <c r="J261" s="100"/>
      <c r="K261" s="100"/>
      <c r="L261" s="100"/>
      <c r="M261" s="99"/>
      <c r="N261" s="97"/>
      <c r="O261" s="99"/>
      <c r="P261" s="99"/>
      <c r="Q261" s="101" t="str">
        <f t="shared" ref="Q261:Q304" ca="1" si="9">IF(OR($B261="",$L261="",$P261="CONCLUÍDA"),"",TODAY()-$B261)</f>
        <v/>
      </c>
      <c r="R261" s="99"/>
      <c r="S261" s="99"/>
      <c r="T261" s="100"/>
      <c r="U261" s="131"/>
      <c r="V261" s="131"/>
      <c r="W261" s="131"/>
      <c r="X261" s="132"/>
    </row>
    <row r="262" spans="1:24" ht="45.95" customHeight="1" x14ac:dyDescent="0.25">
      <c r="A262" s="96" t="str">
        <f t="shared" si="8"/>
        <v/>
      </c>
      <c r="B262" s="97"/>
      <c r="C262" s="98"/>
      <c r="D262" s="99"/>
      <c r="E262" s="99"/>
      <c r="F262" s="99"/>
      <c r="G262" s="99"/>
      <c r="H262" s="99"/>
      <c r="I262" s="99"/>
      <c r="J262" s="100"/>
      <c r="K262" s="100"/>
      <c r="L262" s="100"/>
      <c r="M262" s="99"/>
      <c r="N262" s="97"/>
      <c r="O262" s="99"/>
      <c r="P262" s="99"/>
      <c r="Q262" s="101" t="str">
        <f t="shared" ca="1" si="9"/>
        <v/>
      </c>
      <c r="R262" s="99"/>
      <c r="S262" s="99"/>
      <c r="T262" s="100"/>
      <c r="U262" s="131"/>
      <c r="V262" s="131"/>
      <c r="W262" s="131"/>
      <c r="X262" s="132"/>
    </row>
    <row r="263" spans="1:24" ht="45.95" customHeight="1" x14ac:dyDescent="0.25">
      <c r="A263" s="96" t="str">
        <f t="shared" si="8"/>
        <v/>
      </c>
      <c r="B263" s="97"/>
      <c r="C263" s="98"/>
      <c r="D263" s="99"/>
      <c r="E263" s="99"/>
      <c r="F263" s="99"/>
      <c r="G263" s="99"/>
      <c r="H263" s="99"/>
      <c r="I263" s="99"/>
      <c r="J263" s="100"/>
      <c r="K263" s="100"/>
      <c r="L263" s="100"/>
      <c r="M263" s="99"/>
      <c r="N263" s="97"/>
      <c r="O263" s="99"/>
      <c r="P263" s="99"/>
      <c r="Q263" s="101" t="str">
        <f t="shared" ca="1" si="9"/>
        <v/>
      </c>
      <c r="R263" s="99"/>
      <c r="S263" s="99"/>
      <c r="T263" s="100"/>
      <c r="U263" s="131"/>
      <c r="V263" s="131"/>
      <c r="W263" s="131"/>
      <c r="X263" s="132"/>
    </row>
    <row r="264" spans="1:24" ht="45.95" customHeight="1" x14ac:dyDescent="0.25">
      <c r="A264" s="96" t="str">
        <f t="shared" si="8"/>
        <v/>
      </c>
      <c r="B264" s="97"/>
      <c r="C264" s="98"/>
      <c r="D264" s="99"/>
      <c r="E264" s="99"/>
      <c r="F264" s="99"/>
      <c r="G264" s="99"/>
      <c r="H264" s="99"/>
      <c r="I264" s="99"/>
      <c r="J264" s="100"/>
      <c r="K264" s="100"/>
      <c r="L264" s="100"/>
      <c r="M264" s="99"/>
      <c r="N264" s="97"/>
      <c r="O264" s="99"/>
      <c r="P264" s="99"/>
      <c r="Q264" s="101" t="str">
        <f t="shared" ca="1" si="9"/>
        <v/>
      </c>
      <c r="R264" s="99"/>
      <c r="S264" s="99"/>
      <c r="T264" s="100"/>
      <c r="U264" s="131"/>
      <c r="V264" s="131"/>
      <c r="W264" s="131"/>
      <c r="X264" s="132"/>
    </row>
    <row r="265" spans="1:24" ht="45.95" customHeight="1" x14ac:dyDescent="0.25">
      <c r="A265" s="96" t="str">
        <f t="shared" si="8"/>
        <v/>
      </c>
      <c r="B265" s="97"/>
      <c r="C265" s="98"/>
      <c r="D265" s="99"/>
      <c r="E265" s="99"/>
      <c r="F265" s="99"/>
      <c r="G265" s="99"/>
      <c r="H265" s="99"/>
      <c r="I265" s="99"/>
      <c r="J265" s="100"/>
      <c r="K265" s="100"/>
      <c r="L265" s="100"/>
      <c r="M265" s="99"/>
      <c r="N265" s="97"/>
      <c r="O265" s="99"/>
      <c r="P265" s="99"/>
      <c r="Q265" s="101" t="str">
        <f t="shared" ca="1" si="9"/>
        <v/>
      </c>
      <c r="R265" s="99"/>
      <c r="S265" s="99"/>
      <c r="T265" s="100"/>
      <c r="U265" s="131"/>
      <c r="V265" s="131"/>
      <c r="W265" s="131"/>
      <c r="X265" s="132"/>
    </row>
    <row r="266" spans="1:24" ht="45.95" customHeight="1" x14ac:dyDescent="0.25">
      <c r="A266" s="96" t="str">
        <f t="shared" si="8"/>
        <v/>
      </c>
      <c r="B266" s="97"/>
      <c r="C266" s="98"/>
      <c r="D266" s="99"/>
      <c r="E266" s="99"/>
      <c r="F266" s="99"/>
      <c r="G266" s="99"/>
      <c r="H266" s="99"/>
      <c r="I266" s="99"/>
      <c r="J266" s="100"/>
      <c r="K266" s="100"/>
      <c r="L266" s="100"/>
      <c r="M266" s="99"/>
      <c r="N266" s="97"/>
      <c r="O266" s="99"/>
      <c r="P266" s="99"/>
      <c r="Q266" s="101" t="str">
        <f t="shared" ca="1" si="9"/>
        <v/>
      </c>
      <c r="R266" s="99"/>
      <c r="S266" s="99"/>
      <c r="T266" s="100"/>
      <c r="U266" s="131"/>
      <c r="V266" s="131"/>
      <c r="W266" s="131"/>
      <c r="X266" s="132"/>
    </row>
    <row r="267" spans="1:24" ht="45.95" customHeight="1" x14ac:dyDescent="0.25">
      <c r="A267" s="96" t="str">
        <f t="shared" si="8"/>
        <v/>
      </c>
      <c r="B267" s="97"/>
      <c r="C267" s="98"/>
      <c r="D267" s="99"/>
      <c r="E267" s="99"/>
      <c r="F267" s="99"/>
      <c r="G267" s="99"/>
      <c r="H267" s="99"/>
      <c r="I267" s="99"/>
      <c r="J267" s="100"/>
      <c r="K267" s="100"/>
      <c r="L267" s="100"/>
      <c r="M267" s="99"/>
      <c r="N267" s="97"/>
      <c r="O267" s="99"/>
      <c r="P267" s="99"/>
      <c r="Q267" s="101" t="str">
        <f t="shared" ca="1" si="9"/>
        <v/>
      </c>
      <c r="R267" s="99"/>
      <c r="S267" s="99"/>
      <c r="T267" s="100"/>
      <c r="U267" s="131"/>
      <c r="V267" s="131"/>
      <c r="W267" s="131"/>
      <c r="X267" s="132"/>
    </row>
    <row r="268" spans="1:24" ht="45.95" customHeight="1" x14ac:dyDescent="0.25">
      <c r="A268" s="96" t="str">
        <f t="shared" si="8"/>
        <v/>
      </c>
      <c r="B268" s="97"/>
      <c r="C268" s="98"/>
      <c r="D268" s="99"/>
      <c r="E268" s="99"/>
      <c r="F268" s="99"/>
      <c r="G268" s="99"/>
      <c r="H268" s="99"/>
      <c r="I268" s="99"/>
      <c r="J268" s="100"/>
      <c r="K268" s="100"/>
      <c r="L268" s="100"/>
      <c r="M268" s="99"/>
      <c r="N268" s="97"/>
      <c r="O268" s="99"/>
      <c r="P268" s="99"/>
      <c r="Q268" s="101" t="str">
        <f t="shared" ca="1" si="9"/>
        <v/>
      </c>
      <c r="R268" s="99"/>
      <c r="S268" s="99"/>
      <c r="T268" s="100"/>
      <c r="U268" s="131"/>
      <c r="V268" s="131"/>
      <c r="W268" s="131"/>
      <c r="X268" s="132"/>
    </row>
    <row r="269" spans="1:24" ht="45.95" customHeight="1" x14ac:dyDescent="0.25">
      <c r="A269" s="96" t="str">
        <f t="shared" si="8"/>
        <v/>
      </c>
      <c r="B269" s="97"/>
      <c r="C269" s="98"/>
      <c r="D269" s="99"/>
      <c r="E269" s="99"/>
      <c r="F269" s="99"/>
      <c r="G269" s="99"/>
      <c r="H269" s="99"/>
      <c r="I269" s="99"/>
      <c r="J269" s="100"/>
      <c r="K269" s="100"/>
      <c r="L269" s="100"/>
      <c r="M269" s="99"/>
      <c r="N269" s="97"/>
      <c r="O269" s="99"/>
      <c r="P269" s="99"/>
      <c r="Q269" s="101" t="str">
        <f t="shared" ca="1" si="9"/>
        <v/>
      </c>
      <c r="R269" s="99"/>
      <c r="S269" s="99"/>
      <c r="T269" s="100"/>
      <c r="U269" s="131"/>
      <c r="V269" s="131"/>
      <c r="W269" s="131"/>
      <c r="X269" s="132"/>
    </row>
    <row r="270" spans="1:24" ht="45.95" customHeight="1" x14ac:dyDescent="0.25">
      <c r="A270" s="96" t="str">
        <f t="shared" si="8"/>
        <v/>
      </c>
      <c r="B270" s="97"/>
      <c r="C270" s="98"/>
      <c r="D270" s="99"/>
      <c r="E270" s="99"/>
      <c r="F270" s="99"/>
      <c r="G270" s="99"/>
      <c r="H270" s="99"/>
      <c r="I270" s="99"/>
      <c r="J270" s="100"/>
      <c r="K270" s="100"/>
      <c r="L270" s="100"/>
      <c r="M270" s="99"/>
      <c r="N270" s="97"/>
      <c r="O270" s="99"/>
      <c r="P270" s="99"/>
      <c r="Q270" s="101" t="str">
        <f t="shared" ca="1" si="9"/>
        <v/>
      </c>
      <c r="R270" s="99"/>
      <c r="S270" s="99"/>
      <c r="T270" s="100"/>
      <c r="U270" s="131"/>
      <c r="V270" s="131"/>
      <c r="W270" s="131"/>
      <c r="X270" s="132"/>
    </row>
    <row r="271" spans="1:24" ht="45.95" customHeight="1" x14ac:dyDescent="0.25">
      <c r="A271" s="96" t="str">
        <f t="shared" si="8"/>
        <v/>
      </c>
      <c r="B271" s="97"/>
      <c r="C271" s="98"/>
      <c r="D271" s="99"/>
      <c r="E271" s="99"/>
      <c r="F271" s="99"/>
      <c r="G271" s="99"/>
      <c r="H271" s="99"/>
      <c r="I271" s="99"/>
      <c r="J271" s="100"/>
      <c r="K271" s="100"/>
      <c r="L271" s="100"/>
      <c r="M271" s="99"/>
      <c r="N271" s="97"/>
      <c r="O271" s="99"/>
      <c r="P271" s="99"/>
      <c r="Q271" s="101" t="str">
        <f t="shared" ca="1" si="9"/>
        <v/>
      </c>
      <c r="R271" s="99"/>
      <c r="S271" s="99"/>
      <c r="T271" s="100"/>
      <c r="U271" s="131"/>
      <c r="V271" s="131"/>
      <c r="W271" s="131"/>
      <c r="X271" s="132"/>
    </row>
    <row r="272" spans="1:24" ht="45.95" customHeight="1" x14ac:dyDescent="0.25">
      <c r="A272" s="96" t="str">
        <f t="shared" si="8"/>
        <v/>
      </c>
      <c r="B272" s="97"/>
      <c r="C272" s="98"/>
      <c r="D272" s="99"/>
      <c r="E272" s="99"/>
      <c r="F272" s="99"/>
      <c r="G272" s="99"/>
      <c r="H272" s="99"/>
      <c r="I272" s="99"/>
      <c r="J272" s="100"/>
      <c r="K272" s="100"/>
      <c r="L272" s="100"/>
      <c r="M272" s="99"/>
      <c r="N272" s="97"/>
      <c r="O272" s="99"/>
      <c r="P272" s="99"/>
      <c r="Q272" s="101" t="str">
        <f t="shared" ca="1" si="9"/>
        <v/>
      </c>
      <c r="R272" s="99"/>
      <c r="S272" s="99"/>
      <c r="T272" s="100"/>
      <c r="U272" s="131"/>
      <c r="V272" s="131"/>
      <c r="W272" s="131"/>
      <c r="X272" s="132"/>
    </row>
    <row r="273" spans="1:24" ht="45.95" customHeight="1" x14ac:dyDescent="0.25">
      <c r="A273" s="96" t="str">
        <f t="shared" si="8"/>
        <v/>
      </c>
      <c r="B273" s="97"/>
      <c r="C273" s="98"/>
      <c r="D273" s="99"/>
      <c r="E273" s="99"/>
      <c r="F273" s="99"/>
      <c r="G273" s="99"/>
      <c r="H273" s="99"/>
      <c r="I273" s="99"/>
      <c r="J273" s="100"/>
      <c r="K273" s="100"/>
      <c r="L273" s="100"/>
      <c r="M273" s="99"/>
      <c r="N273" s="97"/>
      <c r="O273" s="99"/>
      <c r="P273" s="99"/>
      <c r="Q273" s="101" t="str">
        <f t="shared" ca="1" si="9"/>
        <v/>
      </c>
      <c r="R273" s="99"/>
      <c r="S273" s="99"/>
      <c r="T273" s="100"/>
      <c r="U273" s="131"/>
      <c r="V273" s="131"/>
      <c r="W273" s="131"/>
      <c r="X273" s="132"/>
    </row>
    <row r="274" spans="1:24" ht="45.95" customHeight="1" x14ac:dyDescent="0.25">
      <c r="A274" s="96" t="str">
        <f t="shared" si="8"/>
        <v/>
      </c>
      <c r="B274" s="97"/>
      <c r="C274" s="98"/>
      <c r="D274" s="99"/>
      <c r="E274" s="99"/>
      <c r="F274" s="99"/>
      <c r="G274" s="99"/>
      <c r="H274" s="99"/>
      <c r="I274" s="99"/>
      <c r="J274" s="100"/>
      <c r="K274" s="100"/>
      <c r="L274" s="100"/>
      <c r="M274" s="99"/>
      <c r="N274" s="97"/>
      <c r="O274" s="99"/>
      <c r="P274" s="99"/>
      <c r="Q274" s="101" t="str">
        <f t="shared" ca="1" si="9"/>
        <v/>
      </c>
      <c r="R274" s="99"/>
      <c r="S274" s="99"/>
      <c r="T274" s="100"/>
      <c r="U274" s="131"/>
      <c r="V274" s="131"/>
      <c r="W274" s="131"/>
      <c r="X274" s="132"/>
    </row>
    <row r="275" spans="1:24" ht="45.95" customHeight="1" x14ac:dyDescent="0.25">
      <c r="A275" s="96" t="str">
        <f t="shared" si="8"/>
        <v/>
      </c>
      <c r="B275" s="97"/>
      <c r="C275" s="98"/>
      <c r="D275" s="99"/>
      <c r="E275" s="99"/>
      <c r="F275" s="99"/>
      <c r="G275" s="99"/>
      <c r="H275" s="99"/>
      <c r="I275" s="99"/>
      <c r="J275" s="100"/>
      <c r="K275" s="100"/>
      <c r="L275" s="100"/>
      <c r="M275" s="99"/>
      <c r="N275" s="97"/>
      <c r="O275" s="99"/>
      <c r="P275" s="99"/>
      <c r="Q275" s="101" t="str">
        <f t="shared" ca="1" si="9"/>
        <v/>
      </c>
      <c r="R275" s="99"/>
      <c r="S275" s="99"/>
      <c r="T275" s="100"/>
      <c r="U275" s="131"/>
      <c r="V275" s="131"/>
      <c r="W275" s="131"/>
      <c r="X275" s="132"/>
    </row>
    <row r="276" spans="1:24" ht="45.95" customHeight="1" x14ac:dyDescent="0.25">
      <c r="A276" s="96" t="str">
        <f t="shared" si="8"/>
        <v/>
      </c>
      <c r="B276" s="97"/>
      <c r="C276" s="98"/>
      <c r="D276" s="99"/>
      <c r="E276" s="99"/>
      <c r="F276" s="99"/>
      <c r="G276" s="99"/>
      <c r="H276" s="99"/>
      <c r="I276" s="99"/>
      <c r="J276" s="100"/>
      <c r="K276" s="100"/>
      <c r="L276" s="100"/>
      <c r="M276" s="99"/>
      <c r="N276" s="97"/>
      <c r="O276" s="99"/>
      <c r="P276" s="99"/>
      <c r="Q276" s="101" t="str">
        <f t="shared" ca="1" si="9"/>
        <v/>
      </c>
      <c r="R276" s="99"/>
      <c r="S276" s="99"/>
      <c r="T276" s="100"/>
      <c r="U276" s="131"/>
      <c r="V276" s="131"/>
      <c r="W276" s="131"/>
      <c r="X276" s="132"/>
    </row>
    <row r="277" spans="1:24" ht="45.95" customHeight="1" x14ac:dyDescent="0.25">
      <c r="A277" s="96" t="str">
        <f t="shared" si="8"/>
        <v/>
      </c>
      <c r="B277" s="97"/>
      <c r="C277" s="98"/>
      <c r="D277" s="99"/>
      <c r="E277" s="99"/>
      <c r="F277" s="99"/>
      <c r="G277" s="99"/>
      <c r="H277" s="99"/>
      <c r="I277" s="99"/>
      <c r="J277" s="100"/>
      <c r="K277" s="100"/>
      <c r="L277" s="100"/>
      <c r="M277" s="99"/>
      <c r="N277" s="97"/>
      <c r="O277" s="99"/>
      <c r="P277" s="99"/>
      <c r="Q277" s="101" t="str">
        <f t="shared" ca="1" si="9"/>
        <v/>
      </c>
      <c r="R277" s="99"/>
      <c r="S277" s="99"/>
      <c r="T277" s="100"/>
      <c r="U277" s="131"/>
      <c r="V277" s="131"/>
      <c r="W277" s="131"/>
      <c r="X277" s="132"/>
    </row>
    <row r="278" spans="1:24" ht="45.95" customHeight="1" x14ac:dyDescent="0.25">
      <c r="A278" s="96" t="str">
        <f t="shared" si="8"/>
        <v/>
      </c>
      <c r="B278" s="97"/>
      <c r="C278" s="98"/>
      <c r="D278" s="99"/>
      <c r="E278" s="99"/>
      <c r="F278" s="99"/>
      <c r="G278" s="99"/>
      <c r="H278" s="99"/>
      <c r="I278" s="99"/>
      <c r="J278" s="100"/>
      <c r="K278" s="100"/>
      <c r="L278" s="100"/>
      <c r="M278" s="99"/>
      <c r="N278" s="97"/>
      <c r="O278" s="99"/>
      <c r="P278" s="99"/>
      <c r="Q278" s="101" t="str">
        <f t="shared" ca="1" si="9"/>
        <v/>
      </c>
      <c r="R278" s="99"/>
      <c r="S278" s="99"/>
      <c r="T278" s="100"/>
      <c r="U278" s="131"/>
      <c r="V278" s="131"/>
      <c r="W278" s="131"/>
      <c r="X278" s="132"/>
    </row>
    <row r="279" spans="1:24" ht="45.95" customHeight="1" x14ac:dyDescent="0.25">
      <c r="A279" s="96" t="str">
        <f t="shared" si="8"/>
        <v/>
      </c>
      <c r="B279" s="97"/>
      <c r="C279" s="98"/>
      <c r="D279" s="99"/>
      <c r="E279" s="99"/>
      <c r="F279" s="99"/>
      <c r="G279" s="99"/>
      <c r="H279" s="99"/>
      <c r="I279" s="99"/>
      <c r="J279" s="100"/>
      <c r="K279" s="100"/>
      <c r="L279" s="100"/>
      <c r="M279" s="99"/>
      <c r="N279" s="97"/>
      <c r="O279" s="99"/>
      <c r="P279" s="99"/>
      <c r="Q279" s="101" t="str">
        <f t="shared" ca="1" si="9"/>
        <v/>
      </c>
      <c r="R279" s="99"/>
      <c r="S279" s="99"/>
      <c r="T279" s="100"/>
      <c r="U279" s="131"/>
      <c r="V279" s="131"/>
      <c r="W279" s="131"/>
      <c r="X279" s="132"/>
    </row>
    <row r="280" spans="1:24" ht="45.95" customHeight="1" x14ac:dyDescent="0.25">
      <c r="A280" s="96" t="str">
        <f t="shared" si="8"/>
        <v/>
      </c>
      <c r="B280" s="97"/>
      <c r="C280" s="98"/>
      <c r="D280" s="99"/>
      <c r="E280" s="99"/>
      <c r="F280" s="99"/>
      <c r="G280" s="99"/>
      <c r="H280" s="99"/>
      <c r="I280" s="99"/>
      <c r="J280" s="100"/>
      <c r="K280" s="100"/>
      <c r="L280" s="100"/>
      <c r="M280" s="99"/>
      <c r="N280" s="97"/>
      <c r="O280" s="99"/>
      <c r="P280" s="99"/>
      <c r="Q280" s="101" t="str">
        <f t="shared" ca="1" si="9"/>
        <v/>
      </c>
      <c r="R280" s="99"/>
      <c r="S280" s="99"/>
      <c r="T280" s="100"/>
      <c r="U280" s="131"/>
      <c r="V280" s="131"/>
      <c r="W280" s="131"/>
      <c r="X280" s="132"/>
    </row>
    <row r="281" spans="1:24" ht="45.95" customHeight="1" x14ac:dyDescent="0.25">
      <c r="A281" s="96" t="str">
        <f t="shared" si="8"/>
        <v/>
      </c>
      <c r="B281" s="97"/>
      <c r="C281" s="98"/>
      <c r="D281" s="99"/>
      <c r="E281" s="99"/>
      <c r="F281" s="99"/>
      <c r="G281" s="99"/>
      <c r="H281" s="99"/>
      <c r="I281" s="99"/>
      <c r="J281" s="100"/>
      <c r="K281" s="100"/>
      <c r="L281" s="100"/>
      <c r="M281" s="99"/>
      <c r="N281" s="97"/>
      <c r="O281" s="99"/>
      <c r="P281" s="99"/>
      <c r="Q281" s="101" t="str">
        <f t="shared" ca="1" si="9"/>
        <v/>
      </c>
      <c r="R281" s="99"/>
      <c r="S281" s="99"/>
      <c r="T281" s="100"/>
      <c r="U281" s="131"/>
      <c r="V281" s="131"/>
      <c r="W281" s="131"/>
      <c r="X281" s="132"/>
    </row>
    <row r="282" spans="1:24" ht="45.95" customHeight="1" x14ac:dyDescent="0.25">
      <c r="A282" s="96" t="str">
        <f t="shared" si="8"/>
        <v/>
      </c>
      <c r="B282" s="97"/>
      <c r="C282" s="98"/>
      <c r="D282" s="99"/>
      <c r="E282" s="99"/>
      <c r="F282" s="99"/>
      <c r="G282" s="99"/>
      <c r="H282" s="99"/>
      <c r="I282" s="99"/>
      <c r="J282" s="100"/>
      <c r="K282" s="100"/>
      <c r="L282" s="100"/>
      <c r="M282" s="99"/>
      <c r="N282" s="97"/>
      <c r="O282" s="99"/>
      <c r="P282" s="99"/>
      <c r="Q282" s="101" t="str">
        <f t="shared" ca="1" si="9"/>
        <v/>
      </c>
      <c r="R282" s="99"/>
      <c r="S282" s="99"/>
      <c r="T282" s="100"/>
      <c r="U282" s="131"/>
      <c r="V282" s="131"/>
      <c r="W282" s="131"/>
      <c r="X282" s="132"/>
    </row>
    <row r="283" spans="1:24" ht="45.95" customHeight="1" x14ac:dyDescent="0.25">
      <c r="A283" s="96" t="str">
        <f t="shared" si="8"/>
        <v/>
      </c>
      <c r="B283" s="97"/>
      <c r="C283" s="98"/>
      <c r="D283" s="99"/>
      <c r="E283" s="99"/>
      <c r="F283" s="99"/>
      <c r="G283" s="99"/>
      <c r="H283" s="99"/>
      <c r="I283" s="99"/>
      <c r="J283" s="100"/>
      <c r="K283" s="100"/>
      <c r="L283" s="100"/>
      <c r="M283" s="99"/>
      <c r="N283" s="97"/>
      <c r="O283" s="99"/>
      <c r="P283" s="99"/>
      <c r="Q283" s="101" t="str">
        <f t="shared" ca="1" si="9"/>
        <v/>
      </c>
      <c r="R283" s="99"/>
      <c r="S283" s="99"/>
      <c r="T283" s="100"/>
      <c r="U283" s="131"/>
      <c r="V283" s="131"/>
      <c r="W283" s="131"/>
      <c r="X283" s="132"/>
    </row>
    <row r="284" spans="1:24" ht="45.95" customHeight="1" x14ac:dyDescent="0.25">
      <c r="A284" s="96" t="str">
        <f t="shared" si="8"/>
        <v/>
      </c>
      <c r="B284" s="97"/>
      <c r="C284" s="98"/>
      <c r="D284" s="99"/>
      <c r="E284" s="99"/>
      <c r="F284" s="99"/>
      <c r="G284" s="99"/>
      <c r="H284" s="99"/>
      <c r="I284" s="99"/>
      <c r="J284" s="100"/>
      <c r="K284" s="100"/>
      <c r="L284" s="100"/>
      <c r="M284" s="99"/>
      <c r="N284" s="97"/>
      <c r="O284" s="99"/>
      <c r="P284" s="99"/>
      <c r="Q284" s="101" t="str">
        <f t="shared" ca="1" si="9"/>
        <v/>
      </c>
      <c r="R284" s="99"/>
      <c r="S284" s="99"/>
      <c r="T284" s="100"/>
      <c r="U284" s="131"/>
      <c r="V284" s="131"/>
      <c r="W284" s="131"/>
      <c r="X284" s="132"/>
    </row>
    <row r="285" spans="1:24" ht="45.95" customHeight="1" x14ac:dyDescent="0.25">
      <c r="A285" s="96" t="str">
        <f t="shared" si="8"/>
        <v/>
      </c>
      <c r="B285" s="97"/>
      <c r="C285" s="98"/>
      <c r="D285" s="99"/>
      <c r="E285" s="99"/>
      <c r="F285" s="99"/>
      <c r="G285" s="99"/>
      <c r="H285" s="99"/>
      <c r="I285" s="99"/>
      <c r="J285" s="100"/>
      <c r="K285" s="100"/>
      <c r="L285" s="100"/>
      <c r="M285" s="99"/>
      <c r="N285" s="97"/>
      <c r="O285" s="99"/>
      <c r="P285" s="99"/>
      <c r="Q285" s="101" t="str">
        <f t="shared" ca="1" si="9"/>
        <v/>
      </c>
      <c r="R285" s="99"/>
      <c r="S285" s="99"/>
      <c r="T285" s="100"/>
      <c r="U285" s="131"/>
      <c r="V285" s="131"/>
      <c r="W285" s="131"/>
      <c r="X285" s="132"/>
    </row>
    <row r="286" spans="1:24" ht="45.95" customHeight="1" x14ac:dyDescent="0.25">
      <c r="A286" s="96" t="str">
        <f t="shared" si="8"/>
        <v/>
      </c>
      <c r="B286" s="97"/>
      <c r="C286" s="98"/>
      <c r="D286" s="99"/>
      <c r="E286" s="99"/>
      <c r="F286" s="99"/>
      <c r="G286" s="99"/>
      <c r="H286" s="99"/>
      <c r="I286" s="99"/>
      <c r="J286" s="100"/>
      <c r="K286" s="100"/>
      <c r="L286" s="100"/>
      <c r="M286" s="99"/>
      <c r="N286" s="97"/>
      <c r="O286" s="99"/>
      <c r="P286" s="99"/>
      <c r="Q286" s="101" t="str">
        <f t="shared" ca="1" si="9"/>
        <v/>
      </c>
      <c r="R286" s="99"/>
      <c r="S286" s="99"/>
      <c r="T286" s="100"/>
      <c r="U286" s="131"/>
      <c r="V286" s="131"/>
      <c r="W286" s="131"/>
      <c r="X286" s="132"/>
    </row>
    <row r="287" spans="1:24" ht="45.95" customHeight="1" x14ac:dyDescent="0.25">
      <c r="A287" s="96" t="str">
        <f t="shared" si="8"/>
        <v/>
      </c>
      <c r="B287" s="97"/>
      <c r="C287" s="98"/>
      <c r="D287" s="99"/>
      <c r="E287" s="99"/>
      <c r="F287" s="99"/>
      <c r="G287" s="99"/>
      <c r="H287" s="99"/>
      <c r="I287" s="99"/>
      <c r="J287" s="100"/>
      <c r="K287" s="100"/>
      <c r="L287" s="100"/>
      <c r="M287" s="99"/>
      <c r="N287" s="97"/>
      <c r="O287" s="99"/>
      <c r="P287" s="99"/>
      <c r="Q287" s="101" t="str">
        <f t="shared" ca="1" si="9"/>
        <v/>
      </c>
      <c r="R287" s="99"/>
      <c r="S287" s="99"/>
      <c r="T287" s="100"/>
      <c r="U287" s="131"/>
      <c r="V287" s="131"/>
      <c r="W287" s="131"/>
      <c r="X287" s="132"/>
    </row>
    <row r="288" spans="1:24" ht="45.95" customHeight="1" x14ac:dyDescent="0.25">
      <c r="A288" s="96" t="str">
        <f t="shared" si="8"/>
        <v/>
      </c>
      <c r="B288" s="97"/>
      <c r="C288" s="98"/>
      <c r="D288" s="99"/>
      <c r="E288" s="99"/>
      <c r="F288" s="99"/>
      <c r="G288" s="99"/>
      <c r="H288" s="99"/>
      <c r="I288" s="99"/>
      <c r="J288" s="100"/>
      <c r="K288" s="100"/>
      <c r="L288" s="100"/>
      <c r="M288" s="99"/>
      <c r="N288" s="97"/>
      <c r="O288" s="99"/>
      <c r="P288" s="99"/>
      <c r="Q288" s="101" t="str">
        <f t="shared" ca="1" si="9"/>
        <v/>
      </c>
      <c r="R288" s="99"/>
      <c r="S288" s="99"/>
      <c r="T288" s="100"/>
      <c r="U288" s="131"/>
      <c r="V288" s="131"/>
      <c r="W288" s="131"/>
      <c r="X288" s="132"/>
    </row>
    <row r="289" spans="1:24" ht="45.95" customHeight="1" x14ac:dyDescent="0.25">
      <c r="A289" s="96" t="str">
        <f t="shared" si="8"/>
        <v/>
      </c>
      <c r="B289" s="97"/>
      <c r="C289" s="98"/>
      <c r="D289" s="99"/>
      <c r="E289" s="99"/>
      <c r="F289" s="99"/>
      <c r="G289" s="99"/>
      <c r="H289" s="99"/>
      <c r="I289" s="99"/>
      <c r="J289" s="100"/>
      <c r="K289" s="100"/>
      <c r="L289" s="100"/>
      <c r="M289" s="99"/>
      <c r="N289" s="97"/>
      <c r="O289" s="99"/>
      <c r="P289" s="99"/>
      <c r="Q289" s="101" t="str">
        <f t="shared" ca="1" si="9"/>
        <v/>
      </c>
      <c r="R289" s="99"/>
      <c r="S289" s="99"/>
      <c r="T289" s="100"/>
      <c r="U289" s="131"/>
      <c r="V289" s="131"/>
      <c r="W289" s="131"/>
      <c r="X289" s="132"/>
    </row>
    <row r="290" spans="1:24" ht="45.95" customHeight="1" x14ac:dyDescent="0.25">
      <c r="A290" s="96" t="str">
        <f t="shared" si="8"/>
        <v/>
      </c>
      <c r="B290" s="97"/>
      <c r="C290" s="98"/>
      <c r="D290" s="99"/>
      <c r="E290" s="99"/>
      <c r="F290" s="99"/>
      <c r="G290" s="99"/>
      <c r="H290" s="99"/>
      <c r="I290" s="99"/>
      <c r="J290" s="100"/>
      <c r="K290" s="100"/>
      <c r="L290" s="100"/>
      <c r="M290" s="99"/>
      <c r="N290" s="97"/>
      <c r="O290" s="99"/>
      <c r="P290" s="99"/>
      <c r="Q290" s="101" t="str">
        <f t="shared" ca="1" si="9"/>
        <v/>
      </c>
      <c r="R290" s="99"/>
      <c r="S290" s="99"/>
      <c r="T290" s="100"/>
      <c r="U290" s="131"/>
      <c r="V290" s="131"/>
      <c r="W290" s="131"/>
      <c r="X290" s="132"/>
    </row>
    <row r="291" spans="1:24" ht="45.95" customHeight="1" x14ac:dyDescent="0.25">
      <c r="A291" s="96" t="str">
        <f t="shared" si="8"/>
        <v/>
      </c>
      <c r="B291" s="97"/>
      <c r="C291" s="98"/>
      <c r="D291" s="99"/>
      <c r="E291" s="99"/>
      <c r="F291" s="99"/>
      <c r="G291" s="99"/>
      <c r="H291" s="99"/>
      <c r="I291" s="99"/>
      <c r="J291" s="100"/>
      <c r="K291" s="100"/>
      <c r="L291" s="100"/>
      <c r="M291" s="99"/>
      <c r="N291" s="97"/>
      <c r="O291" s="99"/>
      <c r="P291" s="99"/>
      <c r="Q291" s="101" t="str">
        <f t="shared" ca="1" si="9"/>
        <v/>
      </c>
      <c r="R291" s="99"/>
      <c r="S291" s="99"/>
      <c r="T291" s="100"/>
      <c r="U291" s="131"/>
      <c r="V291" s="131"/>
      <c r="W291" s="131"/>
      <c r="X291" s="132"/>
    </row>
    <row r="292" spans="1:24" ht="45.95" customHeight="1" x14ac:dyDescent="0.25">
      <c r="A292" s="96" t="str">
        <f t="shared" si="8"/>
        <v/>
      </c>
      <c r="B292" s="97"/>
      <c r="C292" s="98"/>
      <c r="D292" s="99"/>
      <c r="E292" s="99"/>
      <c r="F292" s="99"/>
      <c r="G292" s="99"/>
      <c r="H292" s="99"/>
      <c r="I292" s="99"/>
      <c r="J292" s="100"/>
      <c r="K292" s="100"/>
      <c r="L292" s="100"/>
      <c r="M292" s="99"/>
      <c r="N292" s="97"/>
      <c r="O292" s="99"/>
      <c r="P292" s="99"/>
      <c r="Q292" s="101" t="str">
        <f t="shared" ca="1" si="9"/>
        <v/>
      </c>
      <c r="R292" s="99"/>
      <c r="S292" s="99"/>
      <c r="T292" s="100"/>
      <c r="U292" s="131"/>
      <c r="V292" s="131"/>
      <c r="W292" s="131"/>
      <c r="X292" s="132"/>
    </row>
    <row r="293" spans="1:24" ht="45.95" customHeight="1" x14ac:dyDescent="0.25">
      <c r="A293" s="96" t="str">
        <f t="shared" si="8"/>
        <v/>
      </c>
      <c r="B293" s="97"/>
      <c r="C293" s="98"/>
      <c r="D293" s="99"/>
      <c r="E293" s="99"/>
      <c r="F293" s="99"/>
      <c r="G293" s="99"/>
      <c r="H293" s="99"/>
      <c r="I293" s="99"/>
      <c r="J293" s="100"/>
      <c r="K293" s="100"/>
      <c r="L293" s="100"/>
      <c r="M293" s="99"/>
      <c r="N293" s="97"/>
      <c r="O293" s="99"/>
      <c r="P293" s="99"/>
      <c r="Q293" s="101" t="str">
        <f t="shared" ca="1" si="9"/>
        <v/>
      </c>
      <c r="R293" s="99"/>
      <c r="S293" s="99"/>
      <c r="T293" s="100"/>
      <c r="U293" s="131"/>
      <c r="V293" s="131"/>
      <c r="W293" s="131"/>
      <c r="X293" s="132"/>
    </row>
    <row r="294" spans="1:24" ht="45.95" customHeight="1" x14ac:dyDescent="0.25">
      <c r="A294" s="96" t="str">
        <f t="shared" si="8"/>
        <v/>
      </c>
      <c r="B294" s="97"/>
      <c r="C294" s="98"/>
      <c r="D294" s="99"/>
      <c r="E294" s="99"/>
      <c r="F294" s="99"/>
      <c r="G294" s="99"/>
      <c r="H294" s="99"/>
      <c r="I294" s="99"/>
      <c r="J294" s="100"/>
      <c r="K294" s="100"/>
      <c r="L294" s="100"/>
      <c r="M294" s="99"/>
      <c r="N294" s="97"/>
      <c r="O294" s="99"/>
      <c r="P294" s="99"/>
      <c r="Q294" s="101" t="str">
        <f t="shared" ca="1" si="9"/>
        <v/>
      </c>
      <c r="R294" s="99"/>
      <c r="S294" s="99"/>
      <c r="T294" s="100"/>
      <c r="U294" s="131"/>
      <c r="V294" s="131"/>
      <c r="W294" s="131"/>
      <c r="X294" s="132"/>
    </row>
    <row r="295" spans="1:24" ht="45.95" customHeight="1" x14ac:dyDescent="0.25">
      <c r="A295" s="96" t="str">
        <f t="shared" si="8"/>
        <v/>
      </c>
      <c r="B295" s="97"/>
      <c r="C295" s="98"/>
      <c r="D295" s="99"/>
      <c r="E295" s="99"/>
      <c r="F295" s="99"/>
      <c r="G295" s="99"/>
      <c r="H295" s="99"/>
      <c r="I295" s="99"/>
      <c r="J295" s="100"/>
      <c r="K295" s="100"/>
      <c r="L295" s="100"/>
      <c r="M295" s="99"/>
      <c r="N295" s="97"/>
      <c r="O295" s="99"/>
      <c r="P295" s="99"/>
      <c r="Q295" s="101" t="str">
        <f t="shared" ca="1" si="9"/>
        <v/>
      </c>
      <c r="R295" s="99"/>
      <c r="S295" s="99"/>
      <c r="T295" s="100"/>
      <c r="U295" s="131"/>
      <c r="V295" s="131"/>
      <c r="W295" s="131"/>
      <c r="X295" s="132"/>
    </row>
    <row r="296" spans="1:24" ht="45.95" customHeight="1" x14ac:dyDescent="0.25">
      <c r="A296" s="96" t="str">
        <f t="shared" si="8"/>
        <v/>
      </c>
      <c r="B296" s="97"/>
      <c r="C296" s="98"/>
      <c r="D296" s="99"/>
      <c r="E296" s="99"/>
      <c r="F296" s="99"/>
      <c r="G296" s="99"/>
      <c r="H296" s="99"/>
      <c r="I296" s="99"/>
      <c r="J296" s="100"/>
      <c r="K296" s="100"/>
      <c r="L296" s="100"/>
      <c r="M296" s="99"/>
      <c r="N296" s="97"/>
      <c r="O296" s="99"/>
      <c r="P296" s="99"/>
      <c r="Q296" s="101" t="str">
        <f t="shared" ca="1" si="9"/>
        <v/>
      </c>
      <c r="R296" s="99"/>
      <c r="S296" s="99"/>
      <c r="T296" s="100"/>
      <c r="U296" s="131"/>
      <c r="V296" s="131"/>
      <c r="W296" s="131"/>
      <c r="X296" s="132"/>
    </row>
    <row r="297" spans="1:24" ht="45.95" customHeight="1" x14ac:dyDescent="0.25">
      <c r="A297" s="96" t="str">
        <f t="shared" si="8"/>
        <v/>
      </c>
      <c r="B297" s="97"/>
      <c r="C297" s="98"/>
      <c r="D297" s="99"/>
      <c r="E297" s="99"/>
      <c r="F297" s="99"/>
      <c r="G297" s="99"/>
      <c r="H297" s="99"/>
      <c r="I297" s="99"/>
      <c r="J297" s="100"/>
      <c r="K297" s="100"/>
      <c r="L297" s="100"/>
      <c r="M297" s="99"/>
      <c r="N297" s="97"/>
      <c r="O297" s="99"/>
      <c r="P297" s="99"/>
      <c r="Q297" s="101" t="str">
        <f t="shared" ca="1" si="9"/>
        <v/>
      </c>
      <c r="R297" s="99"/>
      <c r="S297" s="99"/>
      <c r="T297" s="100"/>
      <c r="U297" s="131"/>
      <c r="V297" s="131"/>
      <c r="W297" s="131"/>
      <c r="X297" s="132"/>
    </row>
    <row r="298" spans="1:24" ht="45.95" customHeight="1" x14ac:dyDescent="0.25">
      <c r="A298" s="96" t="str">
        <f t="shared" si="8"/>
        <v/>
      </c>
      <c r="B298" s="97"/>
      <c r="C298" s="98"/>
      <c r="D298" s="99"/>
      <c r="E298" s="99"/>
      <c r="F298" s="99"/>
      <c r="G298" s="99"/>
      <c r="H298" s="99"/>
      <c r="I298" s="99"/>
      <c r="J298" s="100"/>
      <c r="K298" s="100"/>
      <c r="L298" s="100"/>
      <c r="M298" s="99"/>
      <c r="N298" s="97"/>
      <c r="O298" s="99"/>
      <c r="P298" s="99"/>
      <c r="Q298" s="101" t="str">
        <f t="shared" ca="1" si="9"/>
        <v/>
      </c>
      <c r="R298" s="99"/>
      <c r="S298" s="99"/>
      <c r="T298" s="100"/>
      <c r="U298" s="131"/>
      <c r="V298" s="131"/>
      <c r="W298" s="131"/>
      <c r="X298" s="132"/>
    </row>
    <row r="299" spans="1:24" ht="45.95" customHeight="1" x14ac:dyDescent="0.25">
      <c r="A299" s="96" t="str">
        <f t="shared" si="8"/>
        <v/>
      </c>
      <c r="B299" s="97"/>
      <c r="C299" s="98"/>
      <c r="D299" s="99"/>
      <c r="E299" s="99"/>
      <c r="F299" s="99"/>
      <c r="G299" s="99"/>
      <c r="H299" s="99"/>
      <c r="I299" s="99"/>
      <c r="J299" s="100"/>
      <c r="K299" s="100"/>
      <c r="L299" s="100"/>
      <c r="M299" s="99"/>
      <c r="N299" s="97"/>
      <c r="O299" s="99"/>
      <c r="P299" s="99"/>
      <c r="Q299" s="101" t="str">
        <f t="shared" ca="1" si="9"/>
        <v/>
      </c>
      <c r="R299" s="99"/>
      <c r="S299" s="99"/>
      <c r="T299" s="100"/>
      <c r="U299" s="131"/>
      <c r="V299" s="131"/>
      <c r="W299" s="131"/>
      <c r="X299" s="132"/>
    </row>
    <row r="300" spans="1:24" ht="45.95" customHeight="1" x14ac:dyDescent="0.25">
      <c r="A300" s="96" t="str">
        <f t="shared" si="8"/>
        <v/>
      </c>
      <c r="B300" s="97"/>
      <c r="C300" s="98"/>
      <c r="D300" s="99"/>
      <c r="E300" s="99"/>
      <c r="F300" s="99"/>
      <c r="G300" s="99"/>
      <c r="H300" s="99"/>
      <c r="I300" s="99"/>
      <c r="J300" s="100"/>
      <c r="K300" s="100"/>
      <c r="L300" s="100"/>
      <c r="M300" s="99"/>
      <c r="N300" s="97"/>
      <c r="O300" s="99"/>
      <c r="P300" s="99"/>
      <c r="Q300" s="101" t="str">
        <f t="shared" ca="1" si="9"/>
        <v/>
      </c>
      <c r="R300" s="99"/>
      <c r="S300" s="99"/>
      <c r="T300" s="100"/>
      <c r="U300" s="131"/>
      <c r="V300" s="131"/>
      <c r="W300" s="131"/>
      <c r="X300" s="132"/>
    </row>
    <row r="301" spans="1:24" ht="45.95" customHeight="1" x14ac:dyDescent="0.25">
      <c r="A301" s="96" t="str">
        <f t="shared" si="8"/>
        <v/>
      </c>
      <c r="B301" s="97"/>
      <c r="C301" s="98"/>
      <c r="D301" s="99"/>
      <c r="E301" s="99"/>
      <c r="F301" s="99"/>
      <c r="G301" s="99"/>
      <c r="H301" s="99"/>
      <c r="I301" s="99"/>
      <c r="J301" s="100"/>
      <c r="K301" s="100"/>
      <c r="L301" s="100"/>
      <c r="M301" s="99"/>
      <c r="N301" s="97"/>
      <c r="O301" s="99"/>
      <c r="P301" s="99"/>
      <c r="Q301" s="101" t="str">
        <f t="shared" ca="1" si="9"/>
        <v/>
      </c>
      <c r="R301" s="99"/>
      <c r="S301" s="99"/>
      <c r="T301" s="100"/>
      <c r="U301" s="131"/>
      <c r="V301" s="131"/>
      <c r="W301" s="131"/>
      <c r="X301" s="132"/>
    </row>
    <row r="302" spans="1:24" ht="45.95" customHeight="1" x14ac:dyDescent="0.25">
      <c r="A302" s="96" t="str">
        <f t="shared" si="8"/>
        <v/>
      </c>
      <c r="B302" s="97"/>
      <c r="C302" s="98"/>
      <c r="D302" s="99"/>
      <c r="E302" s="99"/>
      <c r="F302" s="99"/>
      <c r="G302" s="99"/>
      <c r="H302" s="99"/>
      <c r="I302" s="99"/>
      <c r="J302" s="100"/>
      <c r="K302" s="100"/>
      <c r="L302" s="100"/>
      <c r="M302" s="99"/>
      <c r="N302" s="97"/>
      <c r="O302" s="99"/>
      <c r="P302" s="99"/>
      <c r="Q302" s="101" t="str">
        <f t="shared" ca="1" si="9"/>
        <v/>
      </c>
      <c r="R302" s="99"/>
      <c r="S302" s="99"/>
      <c r="T302" s="100"/>
      <c r="U302" s="131"/>
      <c r="V302" s="131"/>
      <c r="W302" s="131"/>
      <c r="X302" s="132"/>
    </row>
    <row r="303" spans="1:24" ht="45.95" customHeight="1" x14ac:dyDescent="0.25">
      <c r="A303" s="96" t="str">
        <f t="shared" si="8"/>
        <v/>
      </c>
      <c r="B303" s="97"/>
      <c r="C303" s="98"/>
      <c r="D303" s="99"/>
      <c r="E303" s="99"/>
      <c r="F303" s="99"/>
      <c r="G303" s="99"/>
      <c r="H303" s="99"/>
      <c r="I303" s="99"/>
      <c r="J303" s="100"/>
      <c r="K303" s="100"/>
      <c r="L303" s="100"/>
      <c r="M303" s="99"/>
      <c r="N303" s="97"/>
      <c r="O303" s="99"/>
      <c r="P303" s="99"/>
      <c r="Q303" s="101" t="str">
        <f t="shared" ca="1" si="9"/>
        <v/>
      </c>
      <c r="R303" s="99"/>
      <c r="S303" s="99"/>
      <c r="T303" s="100"/>
      <c r="U303" s="131"/>
      <c r="V303" s="131"/>
      <c r="W303" s="131"/>
      <c r="X303" s="132"/>
    </row>
    <row r="304" spans="1:24" ht="45.95" customHeight="1" x14ac:dyDescent="0.25">
      <c r="A304" s="96" t="str">
        <f t="shared" si="8"/>
        <v/>
      </c>
      <c r="B304" s="97"/>
      <c r="C304" s="98"/>
      <c r="D304" s="99"/>
      <c r="E304" s="99"/>
      <c r="F304" s="99"/>
      <c r="G304" s="99"/>
      <c r="H304" s="99"/>
      <c r="I304" s="99"/>
      <c r="J304" s="100"/>
      <c r="K304" s="100"/>
      <c r="L304" s="100"/>
      <c r="M304" s="99"/>
      <c r="N304" s="97"/>
      <c r="O304" s="99"/>
      <c r="P304" s="99"/>
      <c r="Q304" s="101" t="str">
        <f t="shared" ca="1" si="9"/>
        <v/>
      </c>
      <c r="R304" s="99"/>
      <c r="S304" s="99"/>
      <c r="T304" s="100"/>
      <c r="U304" s="131"/>
      <c r="V304" s="131"/>
      <c r="W304" s="131"/>
      <c r="X304" s="132"/>
    </row>
  </sheetData>
  <mergeCells count="2">
    <mergeCell ref="A1:T1"/>
    <mergeCell ref="A2:T2"/>
  </mergeCells>
  <conditionalFormatting sqref="A5:T304">
    <cfRule type="expression" dxfId="14" priority="1">
      <formula>AND($L5&lt;&gt;"",$N5&lt;&gt;"",$N5&lt;TODAY(),$P5&lt;&gt;"CONCLUÍDA")</formula>
    </cfRule>
  </conditionalFormatting>
  <conditionalFormatting sqref="P5:P304">
    <cfRule type="cellIs" dxfId="13" priority="2" operator="equal">
      <formula>"CONCLUÍDA"</formula>
    </cfRule>
  </conditionalFormatting>
  <conditionalFormatting sqref="O5:O304">
    <cfRule type="cellIs" dxfId="12" priority="3" operator="equal">
      <formula>"URGENTE"</formula>
    </cfRule>
  </conditionalFormatting>
  <dataValidations count="5">
    <dataValidation type="list" allowBlank="1" sqref="D5:D304">
      <formula1>"Interna WCR,Com a fiscalização SABESP,Com o consórcio,Com o cliente,Com fornecedor,Alinhamento de equipe,Outra"</formula1>
    </dataValidation>
    <dataValidation type="list" allowBlank="1" sqref="E5:E304">
      <formula1>LST_CONTRATO</formula1>
    </dataValidation>
    <dataValidation type="list" allowBlank="1" sqref="O5:O304">
      <formula1>"URGENTE,ALTA,NORMAL,BAIXA"</formula1>
    </dataValidation>
    <dataValidation type="list" allowBlank="1" sqref="P5:P304">
      <formula1>"ABERTA,EM ANDAMENTO,CONCLUÍDA,CANCELADA"</formula1>
    </dataValidation>
    <dataValidation type="list" allowBlank="1" sqref="R5:R304">
      <formula1>LST_SN</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04"/>
  <sheetViews>
    <sheetView workbookViewId="0">
      <pane xSplit="3" ySplit="4" topLeftCell="D5" activePane="bottomRight" state="frozen"/>
      <selection pane="topRight"/>
      <selection pane="bottomLeft"/>
      <selection pane="bottomRight"/>
    </sheetView>
  </sheetViews>
  <sheetFormatPr defaultRowHeight="15" x14ac:dyDescent="0.25"/>
  <cols>
    <col min="1" max="1" width="16" style="109" customWidth="1"/>
    <col min="2" max="2" width="12" style="109" customWidth="1"/>
    <col min="3" max="3" width="13" style="109" customWidth="1"/>
    <col min="4" max="4" width="30" style="109" customWidth="1"/>
    <col min="5" max="5" width="32" style="109" customWidth="1"/>
    <col min="6" max="7" width="12" style="109" customWidth="1"/>
    <col min="8" max="8" width="13" style="109" customWidth="1"/>
    <col min="9" max="9" width="14" style="109" customWidth="1"/>
    <col min="10" max="10" width="12" style="109" customWidth="1"/>
    <col min="11" max="11" width="14" style="109" customWidth="1"/>
    <col min="12" max="12" width="11" style="109" customWidth="1"/>
    <col min="13" max="13" width="14" style="109" customWidth="1"/>
    <col min="14" max="14" width="24" style="109" customWidth="1"/>
    <col min="15" max="15" width="20" style="109" customWidth="1"/>
    <col min="16" max="16" width="15" style="109" customWidth="1"/>
    <col min="19" max="24" width="10.42578125" style="109" customWidth="1"/>
  </cols>
  <sheetData>
    <row r="1" spans="1:24" ht="26.1" customHeight="1" x14ac:dyDescent="0.25">
      <c r="A1" s="189" t="s">
        <v>3048</v>
      </c>
      <c r="B1" s="149"/>
      <c r="C1" s="149"/>
      <c r="D1" s="149"/>
      <c r="E1" s="149"/>
      <c r="F1" s="149"/>
      <c r="G1" s="149"/>
      <c r="H1" s="149"/>
      <c r="I1" s="149"/>
      <c r="J1" s="149"/>
      <c r="K1" s="149"/>
      <c r="L1" s="149"/>
      <c r="M1" s="149"/>
      <c r="N1" s="149"/>
      <c r="O1" s="149"/>
      <c r="P1" s="149"/>
      <c r="S1" s="188" t="s">
        <v>280</v>
      </c>
      <c r="T1" s="185"/>
      <c r="U1" s="185"/>
      <c r="V1" s="185"/>
      <c r="W1" s="185"/>
      <c r="X1" s="185"/>
    </row>
    <row r="2" spans="1:24" ht="15.6" customHeight="1" x14ac:dyDescent="0.25">
      <c r="A2" s="190" t="s">
        <v>3049</v>
      </c>
      <c r="B2" s="149"/>
      <c r="C2" s="149"/>
      <c r="D2" s="149"/>
      <c r="E2" s="149"/>
      <c r="F2" s="149"/>
      <c r="G2" s="149"/>
      <c r="H2" s="149"/>
      <c r="I2" s="149"/>
      <c r="J2" s="149"/>
      <c r="K2" s="149"/>
      <c r="L2" s="149"/>
      <c r="M2" s="149"/>
      <c r="N2" s="149"/>
      <c r="O2" s="149"/>
      <c r="P2" s="149"/>
      <c r="S2" s="184" t="s">
        <v>230</v>
      </c>
      <c r="T2" s="185"/>
      <c r="U2" s="185"/>
      <c r="V2" s="185"/>
      <c r="W2" s="185"/>
      <c r="X2" s="185"/>
    </row>
    <row r="3" spans="1:24" ht="15.6" customHeight="1" x14ac:dyDescent="0.25">
      <c r="S3" s="184" t="s">
        <v>231</v>
      </c>
      <c r="T3" s="185"/>
      <c r="U3" s="185"/>
      <c r="V3" s="185"/>
      <c r="W3" s="185"/>
      <c r="X3" s="185"/>
    </row>
    <row r="4" spans="1:24" ht="15.6" customHeight="1" x14ac:dyDescent="0.25">
      <c r="A4" s="130" t="s">
        <v>3050</v>
      </c>
      <c r="B4" s="130" t="s">
        <v>591</v>
      </c>
      <c r="C4" s="130" t="s">
        <v>2538</v>
      </c>
      <c r="D4" s="130" t="s">
        <v>916</v>
      </c>
      <c r="E4" s="130" t="s">
        <v>2422</v>
      </c>
      <c r="F4" s="130" t="s">
        <v>3051</v>
      </c>
      <c r="G4" s="130" t="s">
        <v>3052</v>
      </c>
      <c r="H4" s="130" t="s">
        <v>3053</v>
      </c>
      <c r="I4" s="130" t="s">
        <v>3054</v>
      </c>
      <c r="J4" s="130" t="s">
        <v>3055</v>
      </c>
      <c r="K4" s="130" t="s">
        <v>3056</v>
      </c>
      <c r="L4" s="130" t="s">
        <v>3057</v>
      </c>
      <c r="M4" s="130" t="s">
        <v>3058</v>
      </c>
      <c r="N4" s="130" t="s">
        <v>3059</v>
      </c>
      <c r="O4" s="130" t="s">
        <v>3060</v>
      </c>
      <c r="P4" s="130" t="s">
        <v>3061</v>
      </c>
      <c r="S4" s="187" t="s">
        <v>232</v>
      </c>
      <c r="T4" s="185"/>
      <c r="U4" s="185"/>
      <c r="V4" s="185"/>
      <c r="W4" s="185"/>
      <c r="X4" s="185"/>
    </row>
    <row r="5" spans="1:24" ht="15.6" customHeight="1" x14ac:dyDescent="0.25">
      <c r="A5" s="133"/>
      <c r="B5" s="129"/>
      <c r="C5" s="129"/>
      <c r="D5" s="134" t="str">
        <f t="shared" ref="D5:D68" si="0">IFERROR(IF($C5="","",VLOOKUP($C5,CAD_TAB,8,FALSE)),"")</f>
        <v/>
      </c>
      <c r="E5" s="134" t="str">
        <f t="shared" ref="E5:E68" si="1">IFERROR(IF($C5="","",VLOOKUP($C5,CAD_TAB,9,FALSE)),"")</f>
        <v/>
      </c>
      <c r="F5" s="135" t="str">
        <f t="shared" ref="F5:F68" si="2">IFERROR(IF($C5="","",VLOOKUP($C5,CAD_TAB,6,FALSE)),"")</f>
        <v/>
      </c>
      <c r="G5" s="129"/>
      <c r="H5" s="129"/>
      <c r="I5" s="129"/>
      <c r="J5" s="129"/>
      <c r="K5" s="129"/>
      <c r="L5" s="129"/>
      <c r="M5" s="134" t="str">
        <f t="shared" ref="M5:M68" si="3">IF($C5="","",COUNTIF($G5:$L5,"NÃO"))</f>
        <v/>
      </c>
      <c r="N5" s="134" t="str">
        <f t="shared" ref="N5:N68" si="4">IF($C5="","",IF($M5=0,"LIVRE PARA PROGRAMAR","COM RESTRIÇÃO — "&amp;$M5&amp;" pendência(s)"))</f>
        <v/>
      </c>
      <c r="O5" s="129"/>
      <c r="P5" s="133"/>
      <c r="S5" s="187" t="s">
        <v>233</v>
      </c>
      <c r="T5" s="185"/>
      <c r="U5" s="185"/>
      <c r="V5" s="185"/>
      <c r="W5" s="185"/>
      <c r="X5" s="185"/>
    </row>
    <row r="6" spans="1:24" ht="15.6" customHeight="1" x14ac:dyDescent="0.25">
      <c r="A6" s="133"/>
      <c r="B6" s="129"/>
      <c r="C6" s="129"/>
      <c r="D6" s="134" t="str">
        <f t="shared" si="0"/>
        <v/>
      </c>
      <c r="E6" s="134" t="str">
        <f t="shared" si="1"/>
        <v/>
      </c>
      <c r="F6" s="135" t="str">
        <f t="shared" si="2"/>
        <v/>
      </c>
      <c r="G6" s="129"/>
      <c r="H6" s="129"/>
      <c r="I6" s="129"/>
      <c r="J6" s="129"/>
      <c r="K6" s="129"/>
      <c r="L6" s="129"/>
      <c r="M6" s="134" t="str">
        <f t="shared" si="3"/>
        <v/>
      </c>
      <c r="N6" s="134" t="str">
        <f t="shared" si="4"/>
        <v/>
      </c>
      <c r="O6" s="129"/>
      <c r="P6" s="133"/>
      <c r="S6" s="186" t="s">
        <v>234</v>
      </c>
      <c r="T6" s="185"/>
      <c r="U6" s="185"/>
      <c r="V6" s="185"/>
      <c r="W6" s="185"/>
      <c r="X6" s="185"/>
    </row>
    <row r="7" spans="1:24" ht="15.6" customHeight="1" x14ac:dyDescent="0.25">
      <c r="A7" s="133"/>
      <c r="B7" s="129"/>
      <c r="C7" s="129"/>
      <c r="D7" s="134" t="str">
        <f t="shared" si="0"/>
        <v/>
      </c>
      <c r="E7" s="134" t="str">
        <f t="shared" si="1"/>
        <v/>
      </c>
      <c r="F7" s="135" t="str">
        <f t="shared" si="2"/>
        <v/>
      </c>
      <c r="G7" s="129"/>
      <c r="H7" s="129"/>
      <c r="I7" s="129"/>
      <c r="J7" s="129"/>
      <c r="K7" s="129"/>
      <c r="L7" s="129"/>
      <c r="M7" s="134" t="str">
        <f t="shared" si="3"/>
        <v/>
      </c>
      <c r="N7" s="134" t="str">
        <f t="shared" si="4"/>
        <v/>
      </c>
      <c r="O7" s="129"/>
      <c r="P7" s="133"/>
      <c r="S7" s="186" t="s">
        <v>123</v>
      </c>
      <c r="T7" s="185"/>
      <c r="U7" s="185"/>
      <c r="V7" s="185"/>
      <c r="W7" s="185"/>
      <c r="X7" s="185"/>
    </row>
    <row r="8" spans="1:24" ht="15.6" customHeight="1" x14ac:dyDescent="0.25">
      <c r="A8" s="133"/>
      <c r="B8" s="129"/>
      <c r="C8" s="129"/>
      <c r="D8" s="134" t="str">
        <f t="shared" si="0"/>
        <v/>
      </c>
      <c r="E8" s="134" t="str">
        <f t="shared" si="1"/>
        <v/>
      </c>
      <c r="F8" s="135" t="str">
        <f t="shared" si="2"/>
        <v/>
      </c>
      <c r="G8" s="129"/>
      <c r="H8" s="129"/>
      <c r="I8" s="129"/>
      <c r="J8" s="129"/>
      <c r="K8" s="129"/>
      <c r="L8" s="129"/>
      <c r="M8" s="134" t="str">
        <f t="shared" si="3"/>
        <v/>
      </c>
      <c r="N8" s="134" t="str">
        <f t="shared" si="4"/>
        <v/>
      </c>
      <c r="O8" s="129"/>
      <c r="P8" s="133"/>
      <c r="S8" s="186" t="s">
        <v>235</v>
      </c>
      <c r="T8" s="185"/>
      <c r="U8" s="185"/>
      <c r="V8" s="185"/>
      <c r="W8" s="185"/>
      <c r="X8" s="185"/>
    </row>
    <row r="9" spans="1:24" ht="15.6" customHeight="1" x14ac:dyDescent="0.25">
      <c r="A9" s="133"/>
      <c r="B9" s="129"/>
      <c r="C9" s="129"/>
      <c r="D9" s="134" t="str">
        <f t="shared" si="0"/>
        <v/>
      </c>
      <c r="E9" s="134" t="str">
        <f t="shared" si="1"/>
        <v/>
      </c>
      <c r="F9" s="135" t="str">
        <f t="shared" si="2"/>
        <v/>
      </c>
      <c r="G9" s="129"/>
      <c r="H9" s="129"/>
      <c r="I9" s="129"/>
      <c r="J9" s="129"/>
      <c r="K9" s="129"/>
      <c r="L9" s="129"/>
      <c r="M9" s="134" t="str">
        <f t="shared" si="3"/>
        <v/>
      </c>
      <c r="N9" s="134" t="str">
        <f t="shared" si="4"/>
        <v/>
      </c>
      <c r="O9" s="129"/>
      <c r="P9" s="133"/>
      <c r="S9" s="186" t="s">
        <v>236</v>
      </c>
      <c r="T9" s="185"/>
      <c r="U9" s="185"/>
      <c r="V9" s="185"/>
      <c r="W9" s="185"/>
      <c r="X9" s="185"/>
    </row>
    <row r="10" spans="1:24" ht="15.6" customHeight="1" x14ac:dyDescent="0.25">
      <c r="A10" s="133"/>
      <c r="B10" s="129"/>
      <c r="C10" s="129"/>
      <c r="D10" s="134" t="str">
        <f t="shared" si="0"/>
        <v/>
      </c>
      <c r="E10" s="134" t="str">
        <f t="shared" si="1"/>
        <v/>
      </c>
      <c r="F10" s="135" t="str">
        <f t="shared" si="2"/>
        <v/>
      </c>
      <c r="G10" s="129"/>
      <c r="H10" s="129"/>
      <c r="I10" s="129"/>
      <c r="J10" s="129"/>
      <c r="K10" s="129"/>
      <c r="L10" s="129"/>
      <c r="M10" s="134" t="str">
        <f t="shared" si="3"/>
        <v/>
      </c>
      <c r="N10" s="134" t="str">
        <f t="shared" si="4"/>
        <v/>
      </c>
      <c r="O10" s="129"/>
      <c r="P10" s="133"/>
      <c r="S10" s="184" t="s">
        <v>237</v>
      </c>
      <c r="T10" s="185"/>
      <c r="U10" s="185"/>
      <c r="V10" s="185"/>
      <c r="W10" s="185"/>
      <c r="X10" s="185"/>
    </row>
    <row r="11" spans="1:24" ht="15.6" customHeight="1" x14ac:dyDescent="0.25">
      <c r="A11" s="133"/>
      <c r="B11" s="129"/>
      <c r="C11" s="129"/>
      <c r="D11" s="134" t="str">
        <f t="shared" si="0"/>
        <v/>
      </c>
      <c r="E11" s="134" t="str">
        <f t="shared" si="1"/>
        <v/>
      </c>
      <c r="F11" s="135" t="str">
        <f t="shared" si="2"/>
        <v/>
      </c>
      <c r="G11" s="129"/>
      <c r="H11" s="129"/>
      <c r="I11" s="129"/>
      <c r="J11" s="129"/>
      <c r="K11" s="129"/>
      <c r="L11" s="129"/>
      <c r="M11" s="134" t="str">
        <f t="shared" si="3"/>
        <v/>
      </c>
      <c r="N11" s="134" t="str">
        <f t="shared" si="4"/>
        <v/>
      </c>
      <c r="O11" s="129"/>
      <c r="P11" s="133"/>
      <c r="S11" s="186" t="s">
        <v>238</v>
      </c>
      <c r="T11" s="185"/>
      <c r="U11" s="185"/>
      <c r="V11" s="185"/>
      <c r="W11" s="185"/>
      <c r="X11" s="185"/>
    </row>
    <row r="12" spans="1:24" ht="15.6" customHeight="1" x14ac:dyDescent="0.25">
      <c r="A12" s="133"/>
      <c r="B12" s="129"/>
      <c r="C12" s="129"/>
      <c r="D12" s="134" t="str">
        <f t="shared" si="0"/>
        <v/>
      </c>
      <c r="E12" s="134" t="str">
        <f t="shared" si="1"/>
        <v/>
      </c>
      <c r="F12" s="135" t="str">
        <f t="shared" si="2"/>
        <v/>
      </c>
      <c r="G12" s="129"/>
      <c r="H12" s="129"/>
      <c r="I12" s="129"/>
      <c r="J12" s="129"/>
      <c r="K12" s="129"/>
      <c r="L12" s="129"/>
      <c r="M12" s="134" t="str">
        <f t="shared" si="3"/>
        <v/>
      </c>
      <c r="N12" s="134" t="str">
        <f t="shared" si="4"/>
        <v/>
      </c>
      <c r="O12" s="129"/>
      <c r="P12" s="133"/>
      <c r="S12" s="186" t="s">
        <v>239</v>
      </c>
      <c r="T12" s="185"/>
      <c r="U12" s="185"/>
      <c r="V12" s="185"/>
      <c r="W12" s="185"/>
      <c r="X12" s="185"/>
    </row>
    <row r="13" spans="1:24" ht="15.6" customHeight="1" x14ac:dyDescent="0.25">
      <c r="A13" s="133"/>
      <c r="B13" s="129"/>
      <c r="C13" s="129"/>
      <c r="D13" s="134" t="str">
        <f t="shared" si="0"/>
        <v/>
      </c>
      <c r="E13" s="134" t="str">
        <f t="shared" si="1"/>
        <v/>
      </c>
      <c r="F13" s="135" t="str">
        <f t="shared" si="2"/>
        <v/>
      </c>
      <c r="G13" s="129"/>
      <c r="H13" s="129"/>
      <c r="I13" s="129"/>
      <c r="J13" s="129"/>
      <c r="K13" s="129"/>
      <c r="L13" s="129"/>
      <c r="M13" s="134" t="str">
        <f t="shared" si="3"/>
        <v/>
      </c>
      <c r="N13" s="134" t="str">
        <f t="shared" si="4"/>
        <v/>
      </c>
      <c r="O13" s="129"/>
      <c r="P13" s="133"/>
      <c r="S13" s="186" t="s">
        <v>240</v>
      </c>
      <c r="T13" s="185"/>
      <c r="U13" s="185"/>
      <c r="V13" s="185"/>
      <c r="W13" s="185"/>
      <c r="X13" s="185"/>
    </row>
    <row r="14" spans="1:24" ht="15.6" customHeight="1" x14ac:dyDescent="0.25">
      <c r="A14" s="133"/>
      <c r="B14" s="129"/>
      <c r="C14" s="129"/>
      <c r="D14" s="134" t="str">
        <f t="shared" si="0"/>
        <v/>
      </c>
      <c r="E14" s="134" t="str">
        <f t="shared" si="1"/>
        <v/>
      </c>
      <c r="F14" s="135" t="str">
        <f t="shared" si="2"/>
        <v/>
      </c>
      <c r="G14" s="129"/>
      <c r="H14" s="129"/>
      <c r="I14" s="129"/>
      <c r="J14" s="129"/>
      <c r="K14" s="129"/>
      <c r="L14" s="129"/>
      <c r="M14" s="134" t="str">
        <f t="shared" si="3"/>
        <v/>
      </c>
      <c r="N14" s="134" t="str">
        <f t="shared" si="4"/>
        <v/>
      </c>
      <c r="O14" s="129"/>
      <c r="P14" s="133"/>
      <c r="S14" s="186" t="s">
        <v>241</v>
      </c>
      <c r="T14" s="185"/>
      <c r="U14" s="185"/>
      <c r="V14" s="185"/>
      <c r="W14" s="185"/>
      <c r="X14" s="185"/>
    </row>
    <row r="15" spans="1:24" ht="15.6" customHeight="1" x14ac:dyDescent="0.25">
      <c r="A15" s="133"/>
      <c r="B15" s="129"/>
      <c r="C15" s="129"/>
      <c r="D15" s="134" t="str">
        <f t="shared" si="0"/>
        <v/>
      </c>
      <c r="E15" s="134" t="str">
        <f t="shared" si="1"/>
        <v/>
      </c>
      <c r="F15" s="135" t="str">
        <f t="shared" si="2"/>
        <v/>
      </c>
      <c r="G15" s="129"/>
      <c r="H15" s="129"/>
      <c r="I15" s="129"/>
      <c r="J15" s="129"/>
      <c r="K15" s="129"/>
      <c r="L15" s="129"/>
      <c r="M15" s="134" t="str">
        <f t="shared" si="3"/>
        <v/>
      </c>
      <c r="N15" s="134" t="str">
        <f t="shared" si="4"/>
        <v/>
      </c>
      <c r="O15" s="129"/>
      <c r="P15" s="133"/>
      <c r="S15" s="186" t="s">
        <v>242</v>
      </c>
      <c r="T15" s="185"/>
      <c r="U15" s="185"/>
      <c r="V15" s="185"/>
      <c r="W15" s="185"/>
      <c r="X15" s="185"/>
    </row>
    <row r="16" spans="1:24" ht="15.6" customHeight="1" x14ac:dyDescent="0.25">
      <c r="A16" s="133"/>
      <c r="B16" s="129"/>
      <c r="C16" s="129"/>
      <c r="D16" s="134" t="str">
        <f t="shared" si="0"/>
        <v/>
      </c>
      <c r="E16" s="134" t="str">
        <f t="shared" si="1"/>
        <v/>
      </c>
      <c r="F16" s="135" t="str">
        <f t="shared" si="2"/>
        <v/>
      </c>
      <c r="G16" s="129"/>
      <c r="H16" s="129"/>
      <c r="I16" s="129"/>
      <c r="J16" s="129"/>
      <c r="K16" s="129"/>
      <c r="L16" s="129"/>
      <c r="M16" s="134" t="str">
        <f t="shared" si="3"/>
        <v/>
      </c>
      <c r="N16" s="134" t="str">
        <f t="shared" si="4"/>
        <v/>
      </c>
      <c r="O16" s="129"/>
      <c r="P16" s="133"/>
      <c r="S16" s="186" t="s">
        <v>243</v>
      </c>
      <c r="T16" s="185"/>
      <c r="U16" s="185"/>
      <c r="V16" s="185"/>
      <c r="W16" s="185"/>
      <c r="X16" s="185"/>
    </row>
    <row r="17" spans="1:24" ht="15.6" customHeight="1" x14ac:dyDescent="0.25">
      <c r="A17" s="133"/>
      <c r="B17" s="129"/>
      <c r="C17" s="129"/>
      <c r="D17" s="134" t="str">
        <f t="shared" si="0"/>
        <v/>
      </c>
      <c r="E17" s="134" t="str">
        <f t="shared" si="1"/>
        <v/>
      </c>
      <c r="F17" s="135" t="str">
        <f t="shared" si="2"/>
        <v/>
      </c>
      <c r="G17" s="129"/>
      <c r="H17" s="129"/>
      <c r="I17" s="129"/>
      <c r="J17" s="129"/>
      <c r="K17" s="129"/>
      <c r="L17" s="129"/>
      <c r="M17" s="134" t="str">
        <f t="shared" si="3"/>
        <v/>
      </c>
      <c r="N17" s="134" t="str">
        <f t="shared" si="4"/>
        <v/>
      </c>
      <c r="O17" s="129"/>
      <c r="P17" s="133"/>
      <c r="S17" s="187" t="s">
        <v>244</v>
      </c>
      <c r="T17" s="185"/>
      <c r="U17" s="185"/>
      <c r="V17" s="185"/>
      <c r="W17" s="185"/>
      <c r="X17" s="185"/>
    </row>
    <row r="18" spans="1:24" x14ac:dyDescent="0.25">
      <c r="A18" s="133"/>
      <c r="B18" s="129"/>
      <c r="C18" s="129"/>
      <c r="D18" s="134" t="str">
        <f t="shared" si="0"/>
        <v/>
      </c>
      <c r="E18" s="134" t="str">
        <f t="shared" si="1"/>
        <v/>
      </c>
      <c r="F18" s="135" t="str">
        <f t="shared" si="2"/>
        <v/>
      </c>
      <c r="G18" s="129"/>
      <c r="H18" s="129"/>
      <c r="I18" s="129"/>
      <c r="J18" s="129"/>
      <c r="K18" s="129"/>
      <c r="L18" s="129"/>
      <c r="M18" s="134" t="str">
        <f t="shared" si="3"/>
        <v/>
      </c>
      <c r="N18" s="134" t="str">
        <f t="shared" si="4"/>
        <v/>
      </c>
      <c r="O18" s="129"/>
      <c r="P18" s="133"/>
    </row>
    <row r="19" spans="1:24" x14ac:dyDescent="0.25">
      <c r="A19" s="133"/>
      <c r="B19" s="129"/>
      <c r="C19" s="129"/>
      <c r="D19" s="134" t="str">
        <f t="shared" si="0"/>
        <v/>
      </c>
      <c r="E19" s="134" t="str">
        <f t="shared" si="1"/>
        <v/>
      </c>
      <c r="F19" s="135" t="str">
        <f t="shared" si="2"/>
        <v/>
      </c>
      <c r="G19" s="129"/>
      <c r="H19" s="129"/>
      <c r="I19" s="129"/>
      <c r="J19" s="129"/>
      <c r="K19" s="129"/>
      <c r="L19" s="129"/>
      <c r="M19" s="134" t="str">
        <f t="shared" si="3"/>
        <v/>
      </c>
      <c r="N19" s="134" t="str">
        <f t="shared" si="4"/>
        <v/>
      </c>
      <c r="O19" s="129"/>
      <c r="P19" s="133"/>
    </row>
    <row r="20" spans="1:24" x14ac:dyDescent="0.25">
      <c r="A20" s="133"/>
      <c r="B20" s="129"/>
      <c r="C20" s="129"/>
      <c r="D20" s="134" t="str">
        <f t="shared" si="0"/>
        <v/>
      </c>
      <c r="E20" s="134" t="str">
        <f t="shared" si="1"/>
        <v/>
      </c>
      <c r="F20" s="135" t="str">
        <f t="shared" si="2"/>
        <v/>
      </c>
      <c r="G20" s="129"/>
      <c r="H20" s="129"/>
      <c r="I20" s="129"/>
      <c r="J20" s="129"/>
      <c r="K20" s="129"/>
      <c r="L20" s="129"/>
      <c r="M20" s="134" t="str">
        <f t="shared" si="3"/>
        <v/>
      </c>
      <c r="N20" s="134" t="str">
        <f t="shared" si="4"/>
        <v/>
      </c>
      <c r="O20" s="129"/>
      <c r="P20" s="133"/>
    </row>
    <row r="21" spans="1:24" x14ac:dyDescent="0.25">
      <c r="A21" s="133"/>
      <c r="B21" s="129"/>
      <c r="C21" s="129"/>
      <c r="D21" s="134" t="str">
        <f t="shared" si="0"/>
        <v/>
      </c>
      <c r="E21" s="134" t="str">
        <f t="shared" si="1"/>
        <v/>
      </c>
      <c r="F21" s="135" t="str">
        <f t="shared" si="2"/>
        <v/>
      </c>
      <c r="G21" s="129"/>
      <c r="H21" s="129"/>
      <c r="I21" s="129"/>
      <c r="J21" s="129"/>
      <c r="K21" s="129"/>
      <c r="L21" s="129"/>
      <c r="M21" s="134" t="str">
        <f t="shared" si="3"/>
        <v/>
      </c>
      <c r="N21" s="134" t="str">
        <f t="shared" si="4"/>
        <v/>
      </c>
      <c r="O21" s="129"/>
      <c r="P21" s="133"/>
    </row>
    <row r="22" spans="1:24" x14ac:dyDescent="0.25">
      <c r="A22" s="133"/>
      <c r="B22" s="129"/>
      <c r="C22" s="129"/>
      <c r="D22" s="134" t="str">
        <f t="shared" si="0"/>
        <v/>
      </c>
      <c r="E22" s="134" t="str">
        <f t="shared" si="1"/>
        <v/>
      </c>
      <c r="F22" s="135" t="str">
        <f t="shared" si="2"/>
        <v/>
      </c>
      <c r="G22" s="129"/>
      <c r="H22" s="129"/>
      <c r="I22" s="129"/>
      <c r="J22" s="129"/>
      <c r="K22" s="129"/>
      <c r="L22" s="129"/>
      <c r="M22" s="134" t="str">
        <f t="shared" si="3"/>
        <v/>
      </c>
      <c r="N22" s="134" t="str">
        <f t="shared" si="4"/>
        <v/>
      </c>
      <c r="O22" s="129"/>
      <c r="P22" s="133"/>
    </row>
    <row r="23" spans="1:24" x14ac:dyDescent="0.25">
      <c r="A23" s="133"/>
      <c r="B23" s="129"/>
      <c r="C23" s="129"/>
      <c r="D23" s="134" t="str">
        <f t="shared" si="0"/>
        <v/>
      </c>
      <c r="E23" s="134" t="str">
        <f t="shared" si="1"/>
        <v/>
      </c>
      <c r="F23" s="135" t="str">
        <f t="shared" si="2"/>
        <v/>
      </c>
      <c r="G23" s="129"/>
      <c r="H23" s="129"/>
      <c r="I23" s="129"/>
      <c r="J23" s="129"/>
      <c r="K23" s="129"/>
      <c r="L23" s="129"/>
      <c r="M23" s="134" t="str">
        <f t="shared" si="3"/>
        <v/>
      </c>
      <c r="N23" s="134" t="str">
        <f t="shared" si="4"/>
        <v/>
      </c>
      <c r="O23" s="129"/>
      <c r="P23" s="133"/>
    </row>
    <row r="24" spans="1:24" x14ac:dyDescent="0.25">
      <c r="A24" s="133"/>
      <c r="B24" s="129"/>
      <c r="C24" s="129"/>
      <c r="D24" s="134" t="str">
        <f t="shared" si="0"/>
        <v/>
      </c>
      <c r="E24" s="134" t="str">
        <f t="shared" si="1"/>
        <v/>
      </c>
      <c r="F24" s="135" t="str">
        <f t="shared" si="2"/>
        <v/>
      </c>
      <c r="G24" s="129"/>
      <c r="H24" s="129"/>
      <c r="I24" s="129"/>
      <c r="J24" s="129"/>
      <c r="K24" s="129"/>
      <c r="L24" s="129"/>
      <c r="M24" s="134" t="str">
        <f t="shared" si="3"/>
        <v/>
      </c>
      <c r="N24" s="134" t="str">
        <f t="shared" si="4"/>
        <v/>
      </c>
      <c r="O24" s="129"/>
      <c r="P24" s="133"/>
    </row>
    <row r="25" spans="1:24" x14ac:dyDescent="0.25">
      <c r="A25" s="133"/>
      <c r="B25" s="129"/>
      <c r="C25" s="129"/>
      <c r="D25" s="134" t="str">
        <f t="shared" si="0"/>
        <v/>
      </c>
      <c r="E25" s="134" t="str">
        <f t="shared" si="1"/>
        <v/>
      </c>
      <c r="F25" s="135" t="str">
        <f t="shared" si="2"/>
        <v/>
      </c>
      <c r="G25" s="129"/>
      <c r="H25" s="129"/>
      <c r="I25" s="129"/>
      <c r="J25" s="129"/>
      <c r="K25" s="129"/>
      <c r="L25" s="129"/>
      <c r="M25" s="134" t="str">
        <f t="shared" si="3"/>
        <v/>
      </c>
      <c r="N25" s="134" t="str">
        <f t="shared" si="4"/>
        <v/>
      </c>
      <c r="O25" s="129"/>
      <c r="P25" s="133"/>
    </row>
    <row r="26" spans="1:24" x14ac:dyDescent="0.25">
      <c r="A26" s="133"/>
      <c r="B26" s="129"/>
      <c r="C26" s="129"/>
      <c r="D26" s="134" t="str">
        <f t="shared" si="0"/>
        <v/>
      </c>
      <c r="E26" s="134" t="str">
        <f t="shared" si="1"/>
        <v/>
      </c>
      <c r="F26" s="135" t="str">
        <f t="shared" si="2"/>
        <v/>
      </c>
      <c r="G26" s="129"/>
      <c r="H26" s="129"/>
      <c r="I26" s="129"/>
      <c r="J26" s="129"/>
      <c r="K26" s="129"/>
      <c r="L26" s="129"/>
      <c r="M26" s="134" t="str">
        <f t="shared" si="3"/>
        <v/>
      </c>
      <c r="N26" s="134" t="str">
        <f t="shared" si="4"/>
        <v/>
      </c>
      <c r="O26" s="129"/>
      <c r="P26" s="133"/>
    </row>
    <row r="27" spans="1:24" x14ac:dyDescent="0.25">
      <c r="A27" s="133"/>
      <c r="B27" s="129"/>
      <c r="C27" s="129"/>
      <c r="D27" s="134" t="str">
        <f t="shared" si="0"/>
        <v/>
      </c>
      <c r="E27" s="134" t="str">
        <f t="shared" si="1"/>
        <v/>
      </c>
      <c r="F27" s="135" t="str">
        <f t="shared" si="2"/>
        <v/>
      </c>
      <c r="G27" s="129"/>
      <c r="H27" s="129"/>
      <c r="I27" s="129"/>
      <c r="J27" s="129"/>
      <c r="K27" s="129"/>
      <c r="L27" s="129"/>
      <c r="M27" s="134" t="str">
        <f t="shared" si="3"/>
        <v/>
      </c>
      <c r="N27" s="134" t="str">
        <f t="shared" si="4"/>
        <v/>
      </c>
      <c r="O27" s="129"/>
      <c r="P27" s="133"/>
    </row>
    <row r="28" spans="1:24" x14ac:dyDescent="0.25">
      <c r="A28" s="133"/>
      <c r="B28" s="129"/>
      <c r="C28" s="129"/>
      <c r="D28" s="134" t="str">
        <f t="shared" si="0"/>
        <v/>
      </c>
      <c r="E28" s="134" t="str">
        <f t="shared" si="1"/>
        <v/>
      </c>
      <c r="F28" s="135" t="str">
        <f t="shared" si="2"/>
        <v/>
      </c>
      <c r="G28" s="129"/>
      <c r="H28" s="129"/>
      <c r="I28" s="129"/>
      <c r="J28" s="129"/>
      <c r="K28" s="129"/>
      <c r="L28" s="129"/>
      <c r="M28" s="134" t="str">
        <f t="shared" si="3"/>
        <v/>
      </c>
      <c r="N28" s="134" t="str">
        <f t="shared" si="4"/>
        <v/>
      </c>
      <c r="O28" s="129"/>
      <c r="P28" s="133"/>
    </row>
    <row r="29" spans="1:24" x14ac:dyDescent="0.25">
      <c r="A29" s="133"/>
      <c r="B29" s="129"/>
      <c r="C29" s="129"/>
      <c r="D29" s="134" t="str">
        <f t="shared" si="0"/>
        <v/>
      </c>
      <c r="E29" s="134" t="str">
        <f t="shared" si="1"/>
        <v/>
      </c>
      <c r="F29" s="135" t="str">
        <f t="shared" si="2"/>
        <v/>
      </c>
      <c r="G29" s="129"/>
      <c r="H29" s="129"/>
      <c r="I29" s="129"/>
      <c r="J29" s="129"/>
      <c r="K29" s="129"/>
      <c r="L29" s="129"/>
      <c r="M29" s="134" t="str">
        <f t="shared" si="3"/>
        <v/>
      </c>
      <c r="N29" s="134" t="str">
        <f t="shared" si="4"/>
        <v/>
      </c>
      <c r="O29" s="129"/>
      <c r="P29" s="133"/>
    </row>
    <row r="30" spans="1:24" x14ac:dyDescent="0.25">
      <c r="A30" s="133"/>
      <c r="B30" s="129"/>
      <c r="C30" s="129"/>
      <c r="D30" s="134" t="str">
        <f t="shared" si="0"/>
        <v/>
      </c>
      <c r="E30" s="134" t="str">
        <f t="shared" si="1"/>
        <v/>
      </c>
      <c r="F30" s="135" t="str">
        <f t="shared" si="2"/>
        <v/>
      </c>
      <c r="G30" s="129"/>
      <c r="H30" s="129"/>
      <c r="I30" s="129"/>
      <c r="J30" s="129"/>
      <c r="K30" s="129"/>
      <c r="L30" s="129"/>
      <c r="M30" s="134" t="str">
        <f t="shared" si="3"/>
        <v/>
      </c>
      <c r="N30" s="134" t="str">
        <f t="shared" si="4"/>
        <v/>
      </c>
      <c r="O30" s="129"/>
      <c r="P30" s="133"/>
    </row>
    <row r="31" spans="1:24" x14ac:dyDescent="0.25">
      <c r="A31" s="133"/>
      <c r="B31" s="129"/>
      <c r="C31" s="129"/>
      <c r="D31" s="134" t="str">
        <f t="shared" si="0"/>
        <v/>
      </c>
      <c r="E31" s="134" t="str">
        <f t="shared" si="1"/>
        <v/>
      </c>
      <c r="F31" s="135" t="str">
        <f t="shared" si="2"/>
        <v/>
      </c>
      <c r="G31" s="129"/>
      <c r="H31" s="129"/>
      <c r="I31" s="129"/>
      <c r="J31" s="129"/>
      <c r="K31" s="129"/>
      <c r="L31" s="129"/>
      <c r="M31" s="134" t="str">
        <f t="shared" si="3"/>
        <v/>
      </c>
      <c r="N31" s="134" t="str">
        <f t="shared" si="4"/>
        <v/>
      </c>
      <c r="O31" s="129"/>
      <c r="P31" s="133"/>
    </row>
    <row r="32" spans="1:24" x14ac:dyDescent="0.25">
      <c r="A32" s="133"/>
      <c r="B32" s="129"/>
      <c r="C32" s="129"/>
      <c r="D32" s="134" t="str">
        <f t="shared" si="0"/>
        <v/>
      </c>
      <c r="E32" s="134" t="str">
        <f t="shared" si="1"/>
        <v/>
      </c>
      <c r="F32" s="135" t="str">
        <f t="shared" si="2"/>
        <v/>
      </c>
      <c r="G32" s="129"/>
      <c r="H32" s="129"/>
      <c r="I32" s="129"/>
      <c r="J32" s="129"/>
      <c r="K32" s="129"/>
      <c r="L32" s="129"/>
      <c r="M32" s="134" t="str">
        <f t="shared" si="3"/>
        <v/>
      </c>
      <c r="N32" s="134" t="str">
        <f t="shared" si="4"/>
        <v/>
      </c>
      <c r="O32" s="129"/>
      <c r="P32" s="133"/>
    </row>
    <row r="33" spans="1:16" x14ac:dyDescent="0.25">
      <c r="A33" s="133"/>
      <c r="B33" s="129"/>
      <c r="C33" s="129"/>
      <c r="D33" s="134" t="str">
        <f t="shared" si="0"/>
        <v/>
      </c>
      <c r="E33" s="134" t="str">
        <f t="shared" si="1"/>
        <v/>
      </c>
      <c r="F33" s="135" t="str">
        <f t="shared" si="2"/>
        <v/>
      </c>
      <c r="G33" s="129"/>
      <c r="H33" s="129"/>
      <c r="I33" s="129"/>
      <c r="J33" s="129"/>
      <c r="K33" s="129"/>
      <c r="L33" s="129"/>
      <c r="M33" s="134" t="str">
        <f t="shared" si="3"/>
        <v/>
      </c>
      <c r="N33" s="134" t="str">
        <f t="shared" si="4"/>
        <v/>
      </c>
      <c r="O33" s="129"/>
      <c r="P33" s="133"/>
    </row>
    <row r="34" spans="1:16" x14ac:dyDescent="0.25">
      <c r="A34" s="133"/>
      <c r="B34" s="129"/>
      <c r="C34" s="129"/>
      <c r="D34" s="134" t="str">
        <f t="shared" si="0"/>
        <v/>
      </c>
      <c r="E34" s="134" t="str">
        <f t="shared" si="1"/>
        <v/>
      </c>
      <c r="F34" s="135" t="str">
        <f t="shared" si="2"/>
        <v/>
      </c>
      <c r="G34" s="129"/>
      <c r="H34" s="129"/>
      <c r="I34" s="129"/>
      <c r="J34" s="129"/>
      <c r="K34" s="129"/>
      <c r="L34" s="129"/>
      <c r="M34" s="134" t="str">
        <f t="shared" si="3"/>
        <v/>
      </c>
      <c r="N34" s="134" t="str">
        <f t="shared" si="4"/>
        <v/>
      </c>
      <c r="O34" s="129"/>
      <c r="P34" s="133"/>
    </row>
    <row r="35" spans="1:16" x14ac:dyDescent="0.25">
      <c r="A35" s="133"/>
      <c r="B35" s="129"/>
      <c r="C35" s="129"/>
      <c r="D35" s="134" t="str">
        <f t="shared" si="0"/>
        <v/>
      </c>
      <c r="E35" s="134" t="str">
        <f t="shared" si="1"/>
        <v/>
      </c>
      <c r="F35" s="135" t="str">
        <f t="shared" si="2"/>
        <v/>
      </c>
      <c r="G35" s="129"/>
      <c r="H35" s="129"/>
      <c r="I35" s="129"/>
      <c r="J35" s="129"/>
      <c r="K35" s="129"/>
      <c r="L35" s="129"/>
      <c r="M35" s="134" t="str">
        <f t="shared" si="3"/>
        <v/>
      </c>
      <c r="N35" s="134" t="str">
        <f t="shared" si="4"/>
        <v/>
      </c>
      <c r="O35" s="129"/>
      <c r="P35" s="133"/>
    </row>
    <row r="36" spans="1:16" x14ac:dyDescent="0.25">
      <c r="A36" s="133"/>
      <c r="B36" s="129"/>
      <c r="C36" s="129"/>
      <c r="D36" s="134" t="str">
        <f t="shared" si="0"/>
        <v/>
      </c>
      <c r="E36" s="134" t="str">
        <f t="shared" si="1"/>
        <v/>
      </c>
      <c r="F36" s="135" t="str">
        <f t="shared" si="2"/>
        <v/>
      </c>
      <c r="G36" s="129"/>
      <c r="H36" s="129"/>
      <c r="I36" s="129"/>
      <c r="J36" s="129"/>
      <c r="K36" s="129"/>
      <c r="L36" s="129"/>
      <c r="M36" s="134" t="str">
        <f t="shared" si="3"/>
        <v/>
      </c>
      <c r="N36" s="134" t="str">
        <f t="shared" si="4"/>
        <v/>
      </c>
      <c r="O36" s="129"/>
      <c r="P36" s="133"/>
    </row>
    <row r="37" spans="1:16" x14ac:dyDescent="0.25">
      <c r="A37" s="133"/>
      <c r="B37" s="129"/>
      <c r="C37" s="129"/>
      <c r="D37" s="134" t="str">
        <f t="shared" si="0"/>
        <v/>
      </c>
      <c r="E37" s="134" t="str">
        <f t="shared" si="1"/>
        <v/>
      </c>
      <c r="F37" s="135" t="str">
        <f t="shared" si="2"/>
        <v/>
      </c>
      <c r="G37" s="129"/>
      <c r="H37" s="129"/>
      <c r="I37" s="129"/>
      <c r="J37" s="129"/>
      <c r="K37" s="129"/>
      <c r="L37" s="129"/>
      <c r="M37" s="134" t="str">
        <f t="shared" si="3"/>
        <v/>
      </c>
      <c r="N37" s="134" t="str">
        <f t="shared" si="4"/>
        <v/>
      </c>
      <c r="O37" s="129"/>
      <c r="P37" s="133"/>
    </row>
    <row r="38" spans="1:16" x14ac:dyDescent="0.25">
      <c r="A38" s="133"/>
      <c r="B38" s="129"/>
      <c r="C38" s="129"/>
      <c r="D38" s="134" t="str">
        <f t="shared" si="0"/>
        <v/>
      </c>
      <c r="E38" s="134" t="str">
        <f t="shared" si="1"/>
        <v/>
      </c>
      <c r="F38" s="135" t="str">
        <f t="shared" si="2"/>
        <v/>
      </c>
      <c r="G38" s="129"/>
      <c r="H38" s="129"/>
      <c r="I38" s="129"/>
      <c r="J38" s="129"/>
      <c r="K38" s="129"/>
      <c r="L38" s="129"/>
      <c r="M38" s="134" t="str">
        <f t="shared" si="3"/>
        <v/>
      </c>
      <c r="N38" s="134" t="str">
        <f t="shared" si="4"/>
        <v/>
      </c>
      <c r="O38" s="129"/>
      <c r="P38" s="133"/>
    </row>
    <row r="39" spans="1:16" x14ac:dyDescent="0.25">
      <c r="A39" s="133"/>
      <c r="B39" s="129"/>
      <c r="C39" s="129"/>
      <c r="D39" s="134" t="str">
        <f t="shared" si="0"/>
        <v/>
      </c>
      <c r="E39" s="134" t="str">
        <f t="shared" si="1"/>
        <v/>
      </c>
      <c r="F39" s="135" t="str">
        <f t="shared" si="2"/>
        <v/>
      </c>
      <c r="G39" s="129"/>
      <c r="H39" s="129"/>
      <c r="I39" s="129"/>
      <c r="J39" s="129"/>
      <c r="K39" s="129"/>
      <c r="L39" s="129"/>
      <c r="M39" s="134" t="str">
        <f t="shared" si="3"/>
        <v/>
      </c>
      <c r="N39" s="134" t="str">
        <f t="shared" si="4"/>
        <v/>
      </c>
      <c r="O39" s="129"/>
      <c r="P39" s="133"/>
    </row>
    <row r="40" spans="1:16" x14ac:dyDescent="0.25">
      <c r="A40" s="133"/>
      <c r="B40" s="129"/>
      <c r="C40" s="129"/>
      <c r="D40" s="134" t="str">
        <f t="shared" si="0"/>
        <v/>
      </c>
      <c r="E40" s="134" t="str">
        <f t="shared" si="1"/>
        <v/>
      </c>
      <c r="F40" s="135" t="str">
        <f t="shared" si="2"/>
        <v/>
      </c>
      <c r="G40" s="129"/>
      <c r="H40" s="129"/>
      <c r="I40" s="129"/>
      <c r="J40" s="129"/>
      <c r="K40" s="129"/>
      <c r="L40" s="129"/>
      <c r="M40" s="134" t="str">
        <f t="shared" si="3"/>
        <v/>
      </c>
      <c r="N40" s="134" t="str">
        <f t="shared" si="4"/>
        <v/>
      </c>
      <c r="O40" s="129"/>
      <c r="P40" s="133"/>
    </row>
    <row r="41" spans="1:16" x14ac:dyDescent="0.25">
      <c r="A41" s="133"/>
      <c r="B41" s="129"/>
      <c r="C41" s="129"/>
      <c r="D41" s="134" t="str">
        <f t="shared" si="0"/>
        <v/>
      </c>
      <c r="E41" s="134" t="str">
        <f t="shared" si="1"/>
        <v/>
      </c>
      <c r="F41" s="135" t="str">
        <f t="shared" si="2"/>
        <v/>
      </c>
      <c r="G41" s="129"/>
      <c r="H41" s="129"/>
      <c r="I41" s="129"/>
      <c r="J41" s="129"/>
      <c r="K41" s="129"/>
      <c r="L41" s="129"/>
      <c r="M41" s="134" t="str">
        <f t="shared" si="3"/>
        <v/>
      </c>
      <c r="N41" s="134" t="str">
        <f t="shared" si="4"/>
        <v/>
      </c>
      <c r="O41" s="129"/>
      <c r="P41" s="133"/>
    </row>
    <row r="42" spans="1:16" x14ac:dyDescent="0.25">
      <c r="A42" s="133"/>
      <c r="B42" s="129"/>
      <c r="C42" s="129"/>
      <c r="D42" s="134" t="str">
        <f t="shared" si="0"/>
        <v/>
      </c>
      <c r="E42" s="134" t="str">
        <f t="shared" si="1"/>
        <v/>
      </c>
      <c r="F42" s="135" t="str">
        <f t="shared" si="2"/>
        <v/>
      </c>
      <c r="G42" s="129"/>
      <c r="H42" s="129"/>
      <c r="I42" s="129"/>
      <c r="J42" s="129"/>
      <c r="K42" s="129"/>
      <c r="L42" s="129"/>
      <c r="M42" s="134" t="str">
        <f t="shared" si="3"/>
        <v/>
      </c>
      <c r="N42" s="134" t="str">
        <f t="shared" si="4"/>
        <v/>
      </c>
      <c r="O42" s="129"/>
      <c r="P42" s="133"/>
    </row>
    <row r="43" spans="1:16" x14ac:dyDescent="0.25">
      <c r="A43" s="133"/>
      <c r="B43" s="129"/>
      <c r="C43" s="129"/>
      <c r="D43" s="134" t="str">
        <f t="shared" si="0"/>
        <v/>
      </c>
      <c r="E43" s="134" t="str">
        <f t="shared" si="1"/>
        <v/>
      </c>
      <c r="F43" s="135" t="str">
        <f t="shared" si="2"/>
        <v/>
      </c>
      <c r="G43" s="129"/>
      <c r="H43" s="129"/>
      <c r="I43" s="129"/>
      <c r="J43" s="129"/>
      <c r="K43" s="129"/>
      <c r="L43" s="129"/>
      <c r="M43" s="134" t="str">
        <f t="shared" si="3"/>
        <v/>
      </c>
      <c r="N43" s="134" t="str">
        <f t="shared" si="4"/>
        <v/>
      </c>
      <c r="O43" s="129"/>
      <c r="P43" s="133"/>
    </row>
    <row r="44" spans="1:16" x14ac:dyDescent="0.25">
      <c r="A44" s="133"/>
      <c r="B44" s="129"/>
      <c r="C44" s="129"/>
      <c r="D44" s="134" t="str">
        <f t="shared" si="0"/>
        <v/>
      </c>
      <c r="E44" s="134" t="str">
        <f t="shared" si="1"/>
        <v/>
      </c>
      <c r="F44" s="135" t="str">
        <f t="shared" si="2"/>
        <v/>
      </c>
      <c r="G44" s="129"/>
      <c r="H44" s="129"/>
      <c r="I44" s="129"/>
      <c r="J44" s="129"/>
      <c r="K44" s="129"/>
      <c r="L44" s="129"/>
      <c r="M44" s="134" t="str">
        <f t="shared" si="3"/>
        <v/>
      </c>
      <c r="N44" s="134" t="str">
        <f t="shared" si="4"/>
        <v/>
      </c>
      <c r="O44" s="129"/>
      <c r="P44" s="133"/>
    </row>
    <row r="45" spans="1:16" x14ac:dyDescent="0.25">
      <c r="A45" s="133"/>
      <c r="B45" s="129"/>
      <c r="C45" s="129"/>
      <c r="D45" s="134" t="str">
        <f t="shared" si="0"/>
        <v/>
      </c>
      <c r="E45" s="134" t="str">
        <f t="shared" si="1"/>
        <v/>
      </c>
      <c r="F45" s="135" t="str">
        <f t="shared" si="2"/>
        <v/>
      </c>
      <c r="G45" s="129"/>
      <c r="H45" s="129"/>
      <c r="I45" s="129"/>
      <c r="J45" s="129"/>
      <c r="K45" s="129"/>
      <c r="L45" s="129"/>
      <c r="M45" s="134" t="str">
        <f t="shared" si="3"/>
        <v/>
      </c>
      <c r="N45" s="134" t="str">
        <f t="shared" si="4"/>
        <v/>
      </c>
      <c r="O45" s="129"/>
      <c r="P45" s="133"/>
    </row>
    <row r="46" spans="1:16" x14ac:dyDescent="0.25">
      <c r="A46" s="133"/>
      <c r="B46" s="129"/>
      <c r="C46" s="129"/>
      <c r="D46" s="134" t="str">
        <f t="shared" si="0"/>
        <v/>
      </c>
      <c r="E46" s="134" t="str">
        <f t="shared" si="1"/>
        <v/>
      </c>
      <c r="F46" s="135" t="str">
        <f t="shared" si="2"/>
        <v/>
      </c>
      <c r="G46" s="129"/>
      <c r="H46" s="129"/>
      <c r="I46" s="129"/>
      <c r="J46" s="129"/>
      <c r="K46" s="129"/>
      <c r="L46" s="129"/>
      <c r="M46" s="134" t="str">
        <f t="shared" si="3"/>
        <v/>
      </c>
      <c r="N46" s="134" t="str">
        <f t="shared" si="4"/>
        <v/>
      </c>
      <c r="O46" s="129"/>
      <c r="P46" s="133"/>
    </row>
    <row r="47" spans="1:16" x14ac:dyDescent="0.25">
      <c r="A47" s="133"/>
      <c r="B47" s="129"/>
      <c r="C47" s="129"/>
      <c r="D47" s="134" t="str">
        <f t="shared" si="0"/>
        <v/>
      </c>
      <c r="E47" s="134" t="str">
        <f t="shared" si="1"/>
        <v/>
      </c>
      <c r="F47" s="135" t="str">
        <f t="shared" si="2"/>
        <v/>
      </c>
      <c r="G47" s="129"/>
      <c r="H47" s="129"/>
      <c r="I47" s="129"/>
      <c r="J47" s="129"/>
      <c r="K47" s="129"/>
      <c r="L47" s="129"/>
      <c r="M47" s="134" t="str">
        <f t="shared" si="3"/>
        <v/>
      </c>
      <c r="N47" s="134" t="str">
        <f t="shared" si="4"/>
        <v/>
      </c>
      <c r="O47" s="129"/>
      <c r="P47" s="133"/>
    </row>
    <row r="48" spans="1:16" x14ac:dyDescent="0.25">
      <c r="A48" s="133"/>
      <c r="B48" s="129"/>
      <c r="C48" s="129"/>
      <c r="D48" s="134" t="str">
        <f t="shared" si="0"/>
        <v/>
      </c>
      <c r="E48" s="134" t="str">
        <f t="shared" si="1"/>
        <v/>
      </c>
      <c r="F48" s="135" t="str">
        <f t="shared" si="2"/>
        <v/>
      </c>
      <c r="G48" s="129"/>
      <c r="H48" s="129"/>
      <c r="I48" s="129"/>
      <c r="J48" s="129"/>
      <c r="K48" s="129"/>
      <c r="L48" s="129"/>
      <c r="M48" s="134" t="str">
        <f t="shared" si="3"/>
        <v/>
      </c>
      <c r="N48" s="134" t="str">
        <f t="shared" si="4"/>
        <v/>
      </c>
      <c r="O48" s="129"/>
      <c r="P48" s="133"/>
    </row>
    <row r="49" spans="1:16" x14ac:dyDescent="0.25">
      <c r="A49" s="133"/>
      <c r="B49" s="129"/>
      <c r="C49" s="129"/>
      <c r="D49" s="134" t="str">
        <f t="shared" si="0"/>
        <v/>
      </c>
      <c r="E49" s="134" t="str">
        <f t="shared" si="1"/>
        <v/>
      </c>
      <c r="F49" s="135" t="str">
        <f t="shared" si="2"/>
        <v/>
      </c>
      <c r="G49" s="129"/>
      <c r="H49" s="129"/>
      <c r="I49" s="129"/>
      <c r="J49" s="129"/>
      <c r="K49" s="129"/>
      <c r="L49" s="129"/>
      <c r="M49" s="134" t="str">
        <f t="shared" si="3"/>
        <v/>
      </c>
      <c r="N49" s="134" t="str">
        <f t="shared" si="4"/>
        <v/>
      </c>
      <c r="O49" s="129"/>
      <c r="P49" s="133"/>
    </row>
    <row r="50" spans="1:16" x14ac:dyDescent="0.25">
      <c r="A50" s="133"/>
      <c r="B50" s="129"/>
      <c r="C50" s="129"/>
      <c r="D50" s="134" t="str">
        <f t="shared" si="0"/>
        <v/>
      </c>
      <c r="E50" s="134" t="str">
        <f t="shared" si="1"/>
        <v/>
      </c>
      <c r="F50" s="135" t="str">
        <f t="shared" si="2"/>
        <v/>
      </c>
      <c r="G50" s="129"/>
      <c r="H50" s="129"/>
      <c r="I50" s="129"/>
      <c r="J50" s="129"/>
      <c r="K50" s="129"/>
      <c r="L50" s="129"/>
      <c r="M50" s="134" t="str">
        <f t="shared" si="3"/>
        <v/>
      </c>
      <c r="N50" s="134" t="str">
        <f t="shared" si="4"/>
        <v/>
      </c>
      <c r="O50" s="129"/>
      <c r="P50" s="133"/>
    </row>
    <row r="51" spans="1:16" x14ac:dyDescent="0.25">
      <c r="A51" s="133"/>
      <c r="B51" s="129"/>
      <c r="C51" s="129"/>
      <c r="D51" s="134" t="str">
        <f t="shared" si="0"/>
        <v/>
      </c>
      <c r="E51" s="134" t="str">
        <f t="shared" si="1"/>
        <v/>
      </c>
      <c r="F51" s="135" t="str">
        <f t="shared" si="2"/>
        <v/>
      </c>
      <c r="G51" s="129"/>
      <c r="H51" s="129"/>
      <c r="I51" s="129"/>
      <c r="J51" s="129"/>
      <c r="K51" s="129"/>
      <c r="L51" s="129"/>
      <c r="M51" s="134" t="str">
        <f t="shared" si="3"/>
        <v/>
      </c>
      <c r="N51" s="134" t="str">
        <f t="shared" si="4"/>
        <v/>
      </c>
      <c r="O51" s="129"/>
      <c r="P51" s="133"/>
    </row>
    <row r="52" spans="1:16" x14ac:dyDescent="0.25">
      <c r="A52" s="133"/>
      <c r="B52" s="129"/>
      <c r="C52" s="129"/>
      <c r="D52" s="134" t="str">
        <f t="shared" si="0"/>
        <v/>
      </c>
      <c r="E52" s="134" t="str">
        <f t="shared" si="1"/>
        <v/>
      </c>
      <c r="F52" s="135" t="str">
        <f t="shared" si="2"/>
        <v/>
      </c>
      <c r="G52" s="129"/>
      <c r="H52" s="129"/>
      <c r="I52" s="129"/>
      <c r="J52" s="129"/>
      <c r="K52" s="129"/>
      <c r="L52" s="129"/>
      <c r="M52" s="134" t="str">
        <f t="shared" si="3"/>
        <v/>
      </c>
      <c r="N52" s="134" t="str">
        <f t="shared" si="4"/>
        <v/>
      </c>
      <c r="O52" s="129"/>
      <c r="P52" s="133"/>
    </row>
    <row r="53" spans="1:16" x14ac:dyDescent="0.25">
      <c r="A53" s="133"/>
      <c r="B53" s="129"/>
      <c r="C53" s="129"/>
      <c r="D53" s="134" t="str">
        <f t="shared" si="0"/>
        <v/>
      </c>
      <c r="E53" s="134" t="str">
        <f t="shared" si="1"/>
        <v/>
      </c>
      <c r="F53" s="135" t="str">
        <f t="shared" si="2"/>
        <v/>
      </c>
      <c r="G53" s="129"/>
      <c r="H53" s="129"/>
      <c r="I53" s="129"/>
      <c r="J53" s="129"/>
      <c r="K53" s="129"/>
      <c r="L53" s="129"/>
      <c r="M53" s="134" t="str">
        <f t="shared" si="3"/>
        <v/>
      </c>
      <c r="N53" s="134" t="str">
        <f t="shared" si="4"/>
        <v/>
      </c>
      <c r="O53" s="129"/>
      <c r="P53" s="133"/>
    </row>
    <row r="54" spans="1:16" x14ac:dyDescent="0.25">
      <c r="A54" s="133"/>
      <c r="B54" s="129"/>
      <c r="C54" s="129"/>
      <c r="D54" s="134" t="str">
        <f t="shared" si="0"/>
        <v/>
      </c>
      <c r="E54" s="134" t="str">
        <f t="shared" si="1"/>
        <v/>
      </c>
      <c r="F54" s="135" t="str">
        <f t="shared" si="2"/>
        <v/>
      </c>
      <c r="G54" s="129"/>
      <c r="H54" s="129"/>
      <c r="I54" s="129"/>
      <c r="J54" s="129"/>
      <c r="K54" s="129"/>
      <c r="L54" s="129"/>
      <c r="M54" s="134" t="str">
        <f t="shared" si="3"/>
        <v/>
      </c>
      <c r="N54" s="134" t="str">
        <f t="shared" si="4"/>
        <v/>
      </c>
      <c r="O54" s="129"/>
      <c r="P54" s="133"/>
    </row>
    <row r="55" spans="1:16" x14ac:dyDescent="0.25">
      <c r="A55" s="133"/>
      <c r="B55" s="129"/>
      <c r="C55" s="129"/>
      <c r="D55" s="134" t="str">
        <f t="shared" si="0"/>
        <v/>
      </c>
      <c r="E55" s="134" t="str">
        <f t="shared" si="1"/>
        <v/>
      </c>
      <c r="F55" s="135" t="str">
        <f t="shared" si="2"/>
        <v/>
      </c>
      <c r="G55" s="129"/>
      <c r="H55" s="129"/>
      <c r="I55" s="129"/>
      <c r="J55" s="129"/>
      <c r="K55" s="129"/>
      <c r="L55" s="129"/>
      <c r="M55" s="134" t="str">
        <f t="shared" si="3"/>
        <v/>
      </c>
      <c r="N55" s="134" t="str">
        <f t="shared" si="4"/>
        <v/>
      </c>
      <c r="O55" s="129"/>
      <c r="P55" s="133"/>
    </row>
    <row r="56" spans="1:16" x14ac:dyDescent="0.25">
      <c r="A56" s="133"/>
      <c r="B56" s="129"/>
      <c r="C56" s="129"/>
      <c r="D56" s="134" t="str">
        <f t="shared" si="0"/>
        <v/>
      </c>
      <c r="E56" s="134" t="str">
        <f t="shared" si="1"/>
        <v/>
      </c>
      <c r="F56" s="135" t="str">
        <f t="shared" si="2"/>
        <v/>
      </c>
      <c r="G56" s="129"/>
      <c r="H56" s="129"/>
      <c r="I56" s="129"/>
      <c r="J56" s="129"/>
      <c r="K56" s="129"/>
      <c r="L56" s="129"/>
      <c r="M56" s="134" t="str">
        <f t="shared" si="3"/>
        <v/>
      </c>
      <c r="N56" s="134" t="str">
        <f t="shared" si="4"/>
        <v/>
      </c>
      <c r="O56" s="129"/>
      <c r="P56" s="133"/>
    </row>
    <row r="57" spans="1:16" x14ac:dyDescent="0.25">
      <c r="A57" s="133"/>
      <c r="B57" s="129"/>
      <c r="C57" s="129"/>
      <c r="D57" s="134" t="str">
        <f t="shared" si="0"/>
        <v/>
      </c>
      <c r="E57" s="134" t="str">
        <f t="shared" si="1"/>
        <v/>
      </c>
      <c r="F57" s="135" t="str">
        <f t="shared" si="2"/>
        <v/>
      </c>
      <c r="G57" s="129"/>
      <c r="H57" s="129"/>
      <c r="I57" s="129"/>
      <c r="J57" s="129"/>
      <c r="K57" s="129"/>
      <c r="L57" s="129"/>
      <c r="M57" s="134" t="str">
        <f t="shared" si="3"/>
        <v/>
      </c>
      <c r="N57" s="134" t="str">
        <f t="shared" si="4"/>
        <v/>
      </c>
      <c r="O57" s="129"/>
      <c r="P57" s="133"/>
    </row>
    <row r="58" spans="1:16" x14ac:dyDescent="0.25">
      <c r="A58" s="133"/>
      <c r="B58" s="129"/>
      <c r="C58" s="129"/>
      <c r="D58" s="134" t="str">
        <f t="shared" si="0"/>
        <v/>
      </c>
      <c r="E58" s="134" t="str">
        <f t="shared" si="1"/>
        <v/>
      </c>
      <c r="F58" s="135" t="str">
        <f t="shared" si="2"/>
        <v/>
      </c>
      <c r="G58" s="129"/>
      <c r="H58" s="129"/>
      <c r="I58" s="129"/>
      <c r="J58" s="129"/>
      <c r="K58" s="129"/>
      <c r="L58" s="129"/>
      <c r="M58" s="134" t="str">
        <f t="shared" si="3"/>
        <v/>
      </c>
      <c r="N58" s="134" t="str">
        <f t="shared" si="4"/>
        <v/>
      </c>
      <c r="O58" s="129"/>
      <c r="P58" s="133"/>
    </row>
    <row r="59" spans="1:16" x14ac:dyDescent="0.25">
      <c r="A59" s="133"/>
      <c r="B59" s="129"/>
      <c r="C59" s="129"/>
      <c r="D59" s="134" t="str">
        <f t="shared" si="0"/>
        <v/>
      </c>
      <c r="E59" s="134" t="str">
        <f t="shared" si="1"/>
        <v/>
      </c>
      <c r="F59" s="135" t="str">
        <f t="shared" si="2"/>
        <v/>
      </c>
      <c r="G59" s="129"/>
      <c r="H59" s="129"/>
      <c r="I59" s="129"/>
      <c r="J59" s="129"/>
      <c r="K59" s="129"/>
      <c r="L59" s="129"/>
      <c r="M59" s="134" t="str">
        <f t="shared" si="3"/>
        <v/>
      </c>
      <c r="N59" s="134" t="str">
        <f t="shared" si="4"/>
        <v/>
      </c>
      <c r="O59" s="129"/>
      <c r="P59" s="133"/>
    </row>
    <row r="60" spans="1:16" x14ac:dyDescent="0.25">
      <c r="A60" s="133"/>
      <c r="B60" s="129"/>
      <c r="C60" s="129"/>
      <c r="D60" s="134" t="str">
        <f t="shared" si="0"/>
        <v/>
      </c>
      <c r="E60" s="134" t="str">
        <f t="shared" si="1"/>
        <v/>
      </c>
      <c r="F60" s="135" t="str">
        <f t="shared" si="2"/>
        <v/>
      </c>
      <c r="G60" s="129"/>
      <c r="H60" s="129"/>
      <c r="I60" s="129"/>
      <c r="J60" s="129"/>
      <c r="K60" s="129"/>
      <c r="L60" s="129"/>
      <c r="M60" s="134" t="str">
        <f t="shared" si="3"/>
        <v/>
      </c>
      <c r="N60" s="134" t="str">
        <f t="shared" si="4"/>
        <v/>
      </c>
      <c r="O60" s="129"/>
      <c r="P60" s="133"/>
    </row>
    <row r="61" spans="1:16" x14ac:dyDescent="0.25">
      <c r="A61" s="133"/>
      <c r="B61" s="129"/>
      <c r="C61" s="129"/>
      <c r="D61" s="134" t="str">
        <f t="shared" si="0"/>
        <v/>
      </c>
      <c r="E61" s="134" t="str">
        <f t="shared" si="1"/>
        <v/>
      </c>
      <c r="F61" s="135" t="str">
        <f t="shared" si="2"/>
        <v/>
      </c>
      <c r="G61" s="129"/>
      <c r="H61" s="129"/>
      <c r="I61" s="129"/>
      <c r="J61" s="129"/>
      <c r="K61" s="129"/>
      <c r="L61" s="129"/>
      <c r="M61" s="134" t="str">
        <f t="shared" si="3"/>
        <v/>
      </c>
      <c r="N61" s="134" t="str">
        <f t="shared" si="4"/>
        <v/>
      </c>
      <c r="O61" s="129"/>
      <c r="P61" s="133"/>
    </row>
    <row r="62" spans="1:16" x14ac:dyDescent="0.25">
      <c r="A62" s="133"/>
      <c r="B62" s="129"/>
      <c r="C62" s="129"/>
      <c r="D62" s="134" t="str">
        <f t="shared" si="0"/>
        <v/>
      </c>
      <c r="E62" s="134" t="str">
        <f t="shared" si="1"/>
        <v/>
      </c>
      <c r="F62" s="135" t="str">
        <f t="shared" si="2"/>
        <v/>
      </c>
      <c r="G62" s="129"/>
      <c r="H62" s="129"/>
      <c r="I62" s="129"/>
      <c r="J62" s="129"/>
      <c r="K62" s="129"/>
      <c r="L62" s="129"/>
      <c r="M62" s="134" t="str">
        <f t="shared" si="3"/>
        <v/>
      </c>
      <c r="N62" s="134" t="str">
        <f t="shared" si="4"/>
        <v/>
      </c>
      <c r="O62" s="129"/>
      <c r="P62" s="133"/>
    </row>
    <row r="63" spans="1:16" x14ac:dyDescent="0.25">
      <c r="A63" s="133"/>
      <c r="B63" s="129"/>
      <c r="C63" s="129"/>
      <c r="D63" s="134" t="str">
        <f t="shared" si="0"/>
        <v/>
      </c>
      <c r="E63" s="134" t="str">
        <f t="shared" si="1"/>
        <v/>
      </c>
      <c r="F63" s="135" t="str">
        <f t="shared" si="2"/>
        <v/>
      </c>
      <c r="G63" s="129"/>
      <c r="H63" s="129"/>
      <c r="I63" s="129"/>
      <c r="J63" s="129"/>
      <c r="K63" s="129"/>
      <c r="L63" s="129"/>
      <c r="M63" s="134" t="str">
        <f t="shared" si="3"/>
        <v/>
      </c>
      <c r="N63" s="134" t="str">
        <f t="shared" si="4"/>
        <v/>
      </c>
      <c r="O63" s="129"/>
      <c r="P63" s="133"/>
    </row>
    <row r="64" spans="1:16" x14ac:dyDescent="0.25">
      <c r="A64" s="133"/>
      <c r="B64" s="129"/>
      <c r="C64" s="129"/>
      <c r="D64" s="134" t="str">
        <f t="shared" si="0"/>
        <v/>
      </c>
      <c r="E64" s="134" t="str">
        <f t="shared" si="1"/>
        <v/>
      </c>
      <c r="F64" s="135" t="str">
        <f t="shared" si="2"/>
        <v/>
      </c>
      <c r="G64" s="129"/>
      <c r="H64" s="129"/>
      <c r="I64" s="129"/>
      <c r="J64" s="129"/>
      <c r="K64" s="129"/>
      <c r="L64" s="129"/>
      <c r="M64" s="134" t="str">
        <f t="shared" si="3"/>
        <v/>
      </c>
      <c r="N64" s="134" t="str">
        <f t="shared" si="4"/>
        <v/>
      </c>
      <c r="O64" s="129"/>
      <c r="P64" s="133"/>
    </row>
    <row r="65" spans="1:16" x14ac:dyDescent="0.25">
      <c r="A65" s="133"/>
      <c r="B65" s="129"/>
      <c r="C65" s="129"/>
      <c r="D65" s="134" t="str">
        <f t="shared" si="0"/>
        <v/>
      </c>
      <c r="E65" s="134" t="str">
        <f t="shared" si="1"/>
        <v/>
      </c>
      <c r="F65" s="135" t="str">
        <f t="shared" si="2"/>
        <v/>
      </c>
      <c r="G65" s="129"/>
      <c r="H65" s="129"/>
      <c r="I65" s="129"/>
      <c r="J65" s="129"/>
      <c r="K65" s="129"/>
      <c r="L65" s="129"/>
      <c r="M65" s="134" t="str">
        <f t="shared" si="3"/>
        <v/>
      </c>
      <c r="N65" s="134" t="str">
        <f t="shared" si="4"/>
        <v/>
      </c>
      <c r="O65" s="129"/>
      <c r="P65" s="133"/>
    </row>
    <row r="66" spans="1:16" x14ac:dyDescent="0.25">
      <c r="A66" s="133"/>
      <c r="B66" s="129"/>
      <c r="C66" s="129"/>
      <c r="D66" s="134" t="str">
        <f t="shared" si="0"/>
        <v/>
      </c>
      <c r="E66" s="134" t="str">
        <f t="shared" si="1"/>
        <v/>
      </c>
      <c r="F66" s="135" t="str">
        <f t="shared" si="2"/>
        <v/>
      </c>
      <c r="G66" s="129"/>
      <c r="H66" s="129"/>
      <c r="I66" s="129"/>
      <c r="J66" s="129"/>
      <c r="K66" s="129"/>
      <c r="L66" s="129"/>
      <c r="M66" s="134" t="str">
        <f t="shared" si="3"/>
        <v/>
      </c>
      <c r="N66" s="134" t="str">
        <f t="shared" si="4"/>
        <v/>
      </c>
      <c r="O66" s="129"/>
      <c r="P66" s="133"/>
    </row>
    <row r="67" spans="1:16" x14ac:dyDescent="0.25">
      <c r="A67" s="133"/>
      <c r="B67" s="129"/>
      <c r="C67" s="129"/>
      <c r="D67" s="134" t="str">
        <f t="shared" si="0"/>
        <v/>
      </c>
      <c r="E67" s="134" t="str">
        <f t="shared" si="1"/>
        <v/>
      </c>
      <c r="F67" s="135" t="str">
        <f t="shared" si="2"/>
        <v/>
      </c>
      <c r="G67" s="129"/>
      <c r="H67" s="129"/>
      <c r="I67" s="129"/>
      <c r="J67" s="129"/>
      <c r="K67" s="129"/>
      <c r="L67" s="129"/>
      <c r="M67" s="134" t="str">
        <f t="shared" si="3"/>
        <v/>
      </c>
      <c r="N67" s="134" t="str">
        <f t="shared" si="4"/>
        <v/>
      </c>
      <c r="O67" s="129"/>
      <c r="P67" s="133"/>
    </row>
    <row r="68" spans="1:16" x14ac:dyDescent="0.25">
      <c r="A68" s="133"/>
      <c r="B68" s="129"/>
      <c r="C68" s="129"/>
      <c r="D68" s="134" t="str">
        <f t="shared" si="0"/>
        <v/>
      </c>
      <c r="E68" s="134" t="str">
        <f t="shared" si="1"/>
        <v/>
      </c>
      <c r="F68" s="135" t="str">
        <f t="shared" si="2"/>
        <v/>
      </c>
      <c r="G68" s="129"/>
      <c r="H68" s="129"/>
      <c r="I68" s="129"/>
      <c r="J68" s="129"/>
      <c r="K68" s="129"/>
      <c r="L68" s="129"/>
      <c r="M68" s="134" t="str">
        <f t="shared" si="3"/>
        <v/>
      </c>
      <c r="N68" s="134" t="str">
        <f t="shared" si="4"/>
        <v/>
      </c>
      <c r="O68" s="129"/>
      <c r="P68" s="133"/>
    </row>
    <row r="69" spans="1:16" x14ac:dyDescent="0.25">
      <c r="A69" s="133"/>
      <c r="B69" s="129"/>
      <c r="C69" s="129"/>
      <c r="D69" s="134" t="str">
        <f t="shared" ref="D69:D132" si="5">IFERROR(IF($C69="","",VLOOKUP($C69,CAD_TAB,8,FALSE)),"")</f>
        <v/>
      </c>
      <c r="E69" s="134" t="str">
        <f t="shared" ref="E69:E132" si="6">IFERROR(IF($C69="","",VLOOKUP($C69,CAD_TAB,9,FALSE)),"")</f>
        <v/>
      </c>
      <c r="F69" s="135" t="str">
        <f t="shared" ref="F69:F132" si="7">IFERROR(IF($C69="","",VLOOKUP($C69,CAD_TAB,6,FALSE)),"")</f>
        <v/>
      </c>
      <c r="G69" s="129"/>
      <c r="H69" s="129"/>
      <c r="I69" s="129"/>
      <c r="J69" s="129"/>
      <c r="K69" s="129"/>
      <c r="L69" s="129"/>
      <c r="M69" s="134" t="str">
        <f t="shared" ref="M69:M132" si="8">IF($C69="","",COUNTIF($G69:$L69,"NÃO"))</f>
        <v/>
      </c>
      <c r="N69" s="134" t="str">
        <f t="shared" ref="N69:N132" si="9">IF($C69="","",IF($M69=0,"LIVRE PARA PROGRAMAR","COM RESTRIÇÃO — "&amp;$M69&amp;" pendência(s)"))</f>
        <v/>
      </c>
      <c r="O69" s="129"/>
      <c r="P69" s="133"/>
    </row>
    <row r="70" spans="1:16" x14ac:dyDescent="0.25">
      <c r="A70" s="133"/>
      <c r="B70" s="129"/>
      <c r="C70" s="129"/>
      <c r="D70" s="134" t="str">
        <f t="shared" si="5"/>
        <v/>
      </c>
      <c r="E70" s="134" t="str">
        <f t="shared" si="6"/>
        <v/>
      </c>
      <c r="F70" s="135" t="str">
        <f t="shared" si="7"/>
        <v/>
      </c>
      <c r="G70" s="129"/>
      <c r="H70" s="129"/>
      <c r="I70" s="129"/>
      <c r="J70" s="129"/>
      <c r="K70" s="129"/>
      <c r="L70" s="129"/>
      <c r="M70" s="134" t="str">
        <f t="shared" si="8"/>
        <v/>
      </c>
      <c r="N70" s="134" t="str">
        <f t="shared" si="9"/>
        <v/>
      </c>
      <c r="O70" s="129"/>
      <c r="P70" s="133"/>
    </row>
    <row r="71" spans="1:16" x14ac:dyDescent="0.25">
      <c r="A71" s="133"/>
      <c r="B71" s="129"/>
      <c r="C71" s="129"/>
      <c r="D71" s="134" t="str">
        <f t="shared" si="5"/>
        <v/>
      </c>
      <c r="E71" s="134" t="str">
        <f t="shared" si="6"/>
        <v/>
      </c>
      <c r="F71" s="135" t="str">
        <f t="shared" si="7"/>
        <v/>
      </c>
      <c r="G71" s="129"/>
      <c r="H71" s="129"/>
      <c r="I71" s="129"/>
      <c r="J71" s="129"/>
      <c r="K71" s="129"/>
      <c r="L71" s="129"/>
      <c r="M71" s="134" t="str">
        <f t="shared" si="8"/>
        <v/>
      </c>
      <c r="N71" s="134" t="str">
        <f t="shared" si="9"/>
        <v/>
      </c>
      <c r="O71" s="129"/>
      <c r="P71" s="133"/>
    </row>
    <row r="72" spans="1:16" x14ac:dyDescent="0.25">
      <c r="A72" s="133"/>
      <c r="B72" s="129"/>
      <c r="C72" s="129"/>
      <c r="D72" s="134" t="str">
        <f t="shared" si="5"/>
        <v/>
      </c>
      <c r="E72" s="134" t="str">
        <f t="shared" si="6"/>
        <v/>
      </c>
      <c r="F72" s="135" t="str">
        <f t="shared" si="7"/>
        <v/>
      </c>
      <c r="G72" s="129"/>
      <c r="H72" s="129"/>
      <c r="I72" s="129"/>
      <c r="J72" s="129"/>
      <c r="K72" s="129"/>
      <c r="L72" s="129"/>
      <c r="M72" s="134" t="str">
        <f t="shared" si="8"/>
        <v/>
      </c>
      <c r="N72" s="134" t="str">
        <f t="shared" si="9"/>
        <v/>
      </c>
      <c r="O72" s="129"/>
      <c r="P72" s="133"/>
    </row>
    <row r="73" spans="1:16" x14ac:dyDescent="0.25">
      <c r="A73" s="133"/>
      <c r="B73" s="129"/>
      <c r="C73" s="129"/>
      <c r="D73" s="134" t="str">
        <f t="shared" si="5"/>
        <v/>
      </c>
      <c r="E73" s="134" t="str">
        <f t="shared" si="6"/>
        <v/>
      </c>
      <c r="F73" s="135" t="str">
        <f t="shared" si="7"/>
        <v/>
      </c>
      <c r="G73" s="129"/>
      <c r="H73" s="129"/>
      <c r="I73" s="129"/>
      <c r="J73" s="129"/>
      <c r="K73" s="129"/>
      <c r="L73" s="129"/>
      <c r="M73" s="134" t="str">
        <f t="shared" si="8"/>
        <v/>
      </c>
      <c r="N73" s="134" t="str">
        <f t="shared" si="9"/>
        <v/>
      </c>
      <c r="O73" s="129"/>
      <c r="P73" s="133"/>
    </row>
    <row r="74" spans="1:16" x14ac:dyDescent="0.25">
      <c r="A74" s="133"/>
      <c r="B74" s="129"/>
      <c r="C74" s="129"/>
      <c r="D74" s="134" t="str">
        <f t="shared" si="5"/>
        <v/>
      </c>
      <c r="E74" s="134" t="str">
        <f t="shared" si="6"/>
        <v/>
      </c>
      <c r="F74" s="135" t="str">
        <f t="shared" si="7"/>
        <v/>
      </c>
      <c r="G74" s="129"/>
      <c r="H74" s="129"/>
      <c r="I74" s="129"/>
      <c r="J74" s="129"/>
      <c r="K74" s="129"/>
      <c r="L74" s="129"/>
      <c r="M74" s="134" t="str">
        <f t="shared" si="8"/>
        <v/>
      </c>
      <c r="N74" s="134" t="str">
        <f t="shared" si="9"/>
        <v/>
      </c>
      <c r="O74" s="129"/>
      <c r="P74" s="133"/>
    </row>
    <row r="75" spans="1:16" x14ac:dyDescent="0.25">
      <c r="A75" s="133"/>
      <c r="B75" s="129"/>
      <c r="C75" s="129"/>
      <c r="D75" s="134" t="str">
        <f t="shared" si="5"/>
        <v/>
      </c>
      <c r="E75" s="134" t="str">
        <f t="shared" si="6"/>
        <v/>
      </c>
      <c r="F75" s="135" t="str">
        <f t="shared" si="7"/>
        <v/>
      </c>
      <c r="G75" s="129"/>
      <c r="H75" s="129"/>
      <c r="I75" s="129"/>
      <c r="J75" s="129"/>
      <c r="K75" s="129"/>
      <c r="L75" s="129"/>
      <c r="M75" s="134" t="str">
        <f t="shared" si="8"/>
        <v/>
      </c>
      <c r="N75" s="134" t="str">
        <f t="shared" si="9"/>
        <v/>
      </c>
      <c r="O75" s="129"/>
      <c r="P75" s="133"/>
    </row>
    <row r="76" spans="1:16" x14ac:dyDescent="0.25">
      <c r="A76" s="133"/>
      <c r="B76" s="129"/>
      <c r="C76" s="129"/>
      <c r="D76" s="134" t="str">
        <f t="shared" si="5"/>
        <v/>
      </c>
      <c r="E76" s="134" t="str">
        <f t="shared" si="6"/>
        <v/>
      </c>
      <c r="F76" s="135" t="str">
        <f t="shared" si="7"/>
        <v/>
      </c>
      <c r="G76" s="129"/>
      <c r="H76" s="129"/>
      <c r="I76" s="129"/>
      <c r="J76" s="129"/>
      <c r="K76" s="129"/>
      <c r="L76" s="129"/>
      <c r="M76" s="134" t="str">
        <f t="shared" si="8"/>
        <v/>
      </c>
      <c r="N76" s="134" t="str">
        <f t="shared" si="9"/>
        <v/>
      </c>
      <c r="O76" s="129"/>
      <c r="P76" s="133"/>
    </row>
    <row r="77" spans="1:16" x14ac:dyDescent="0.25">
      <c r="A77" s="133"/>
      <c r="B77" s="129"/>
      <c r="C77" s="129"/>
      <c r="D77" s="134" t="str">
        <f t="shared" si="5"/>
        <v/>
      </c>
      <c r="E77" s="134" t="str">
        <f t="shared" si="6"/>
        <v/>
      </c>
      <c r="F77" s="135" t="str">
        <f t="shared" si="7"/>
        <v/>
      </c>
      <c r="G77" s="129"/>
      <c r="H77" s="129"/>
      <c r="I77" s="129"/>
      <c r="J77" s="129"/>
      <c r="K77" s="129"/>
      <c r="L77" s="129"/>
      <c r="M77" s="134" t="str">
        <f t="shared" si="8"/>
        <v/>
      </c>
      <c r="N77" s="134" t="str">
        <f t="shared" si="9"/>
        <v/>
      </c>
      <c r="O77" s="129"/>
      <c r="P77" s="133"/>
    </row>
    <row r="78" spans="1:16" x14ac:dyDescent="0.25">
      <c r="A78" s="133"/>
      <c r="B78" s="129"/>
      <c r="C78" s="129"/>
      <c r="D78" s="134" t="str">
        <f t="shared" si="5"/>
        <v/>
      </c>
      <c r="E78" s="134" t="str">
        <f t="shared" si="6"/>
        <v/>
      </c>
      <c r="F78" s="135" t="str">
        <f t="shared" si="7"/>
        <v/>
      </c>
      <c r="G78" s="129"/>
      <c r="H78" s="129"/>
      <c r="I78" s="129"/>
      <c r="J78" s="129"/>
      <c r="K78" s="129"/>
      <c r="L78" s="129"/>
      <c r="M78" s="134" t="str">
        <f t="shared" si="8"/>
        <v/>
      </c>
      <c r="N78" s="134" t="str">
        <f t="shared" si="9"/>
        <v/>
      </c>
      <c r="O78" s="129"/>
      <c r="P78" s="133"/>
    </row>
    <row r="79" spans="1:16" x14ac:dyDescent="0.25">
      <c r="A79" s="133"/>
      <c r="B79" s="129"/>
      <c r="C79" s="129"/>
      <c r="D79" s="134" t="str">
        <f t="shared" si="5"/>
        <v/>
      </c>
      <c r="E79" s="134" t="str">
        <f t="shared" si="6"/>
        <v/>
      </c>
      <c r="F79" s="135" t="str">
        <f t="shared" si="7"/>
        <v/>
      </c>
      <c r="G79" s="129"/>
      <c r="H79" s="129"/>
      <c r="I79" s="129"/>
      <c r="J79" s="129"/>
      <c r="K79" s="129"/>
      <c r="L79" s="129"/>
      <c r="M79" s="134" t="str">
        <f t="shared" si="8"/>
        <v/>
      </c>
      <c r="N79" s="134" t="str">
        <f t="shared" si="9"/>
        <v/>
      </c>
      <c r="O79" s="129"/>
      <c r="P79" s="133"/>
    </row>
    <row r="80" spans="1:16" x14ac:dyDescent="0.25">
      <c r="A80" s="133"/>
      <c r="B80" s="129"/>
      <c r="C80" s="129"/>
      <c r="D80" s="134" t="str">
        <f t="shared" si="5"/>
        <v/>
      </c>
      <c r="E80" s="134" t="str">
        <f t="shared" si="6"/>
        <v/>
      </c>
      <c r="F80" s="135" t="str">
        <f t="shared" si="7"/>
        <v/>
      </c>
      <c r="G80" s="129"/>
      <c r="H80" s="129"/>
      <c r="I80" s="129"/>
      <c r="J80" s="129"/>
      <c r="K80" s="129"/>
      <c r="L80" s="129"/>
      <c r="M80" s="134" t="str">
        <f t="shared" si="8"/>
        <v/>
      </c>
      <c r="N80" s="134" t="str">
        <f t="shared" si="9"/>
        <v/>
      </c>
      <c r="O80" s="129"/>
      <c r="P80" s="133"/>
    </row>
    <row r="81" spans="1:16" x14ac:dyDescent="0.25">
      <c r="A81" s="133"/>
      <c r="B81" s="129"/>
      <c r="C81" s="129"/>
      <c r="D81" s="134" t="str">
        <f t="shared" si="5"/>
        <v/>
      </c>
      <c r="E81" s="134" t="str">
        <f t="shared" si="6"/>
        <v/>
      </c>
      <c r="F81" s="135" t="str">
        <f t="shared" si="7"/>
        <v/>
      </c>
      <c r="G81" s="129"/>
      <c r="H81" s="129"/>
      <c r="I81" s="129"/>
      <c r="J81" s="129"/>
      <c r="K81" s="129"/>
      <c r="L81" s="129"/>
      <c r="M81" s="134" t="str">
        <f t="shared" si="8"/>
        <v/>
      </c>
      <c r="N81" s="134" t="str">
        <f t="shared" si="9"/>
        <v/>
      </c>
      <c r="O81" s="129"/>
      <c r="P81" s="133"/>
    </row>
    <row r="82" spans="1:16" x14ac:dyDescent="0.25">
      <c r="A82" s="133"/>
      <c r="B82" s="129"/>
      <c r="C82" s="129"/>
      <c r="D82" s="134" t="str">
        <f t="shared" si="5"/>
        <v/>
      </c>
      <c r="E82" s="134" t="str">
        <f t="shared" si="6"/>
        <v/>
      </c>
      <c r="F82" s="135" t="str">
        <f t="shared" si="7"/>
        <v/>
      </c>
      <c r="G82" s="129"/>
      <c r="H82" s="129"/>
      <c r="I82" s="129"/>
      <c r="J82" s="129"/>
      <c r="K82" s="129"/>
      <c r="L82" s="129"/>
      <c r="M82" s="134" t="str">
        <f t="shared" si="8"/>
        <v/>
      </c>
      <c r="N82" s="134" t="str">
        <f t="shared" si="9"/>
        <v/>
      </c>
      <c r="O82" s="129"/>
      <c r="P82" s="133"/>
    </row>
    <row r="83" spans="1:16" x14ac:dyDescent="0.25">
      <c r="A83" s="133"/>
      <c r="B83" s="129"/>
      <c r="C83" s="129"/>
      <c r="D83" s="134" t="str">
        <f t="shared" si="5"/>
        <v/>
      </c>
      <c r="E83" s="134" t="str">
        <f t="shared" si="6"/>
        <v/>
      </c>
      <c r="F83" s="135" t="str">
        <f t="shared" si="7"/>
        <v/>
      </c>
      <c r="G83" s="129"/>
      <c r="H83" s="129"/>
      <c r="I83" s="129"/>
      <c r="J83" s="129"/>
      <c r="K83" s="129"/>
      <c r="L83" s="129"/>
      <c r="M83" s="134" t="str">
        <f t="shared" si="8"/>
        <v/>
      </c>
      <c r="N83" s="134" t="str">
        <f t="shared" si="9"/>
        <v/>
      </c>
      <c r="O83" s="129"/>
      <c r="P83" s="133"/>
    </row>
    <row r="84" spans="1:16" x14ac:dyDescent="0.25">
      <c r="A84" s="133"/>
      <c r="B84" s="129"/>
      <c r="C84" s="129"/>
      <c r="D84" s="134" t="str">
        <f t="shared" si="5"/>
        <v/>
      </c>
      <c r="E84" s="134" t="str">
        <f t="shared" si="6"/>
        <v/>
      </c>
      <c r="F84" s="135" t="str">
        <f t="shared" si="7"/>
        <v/>
      </c>
      <c r="G84" s="129"/>
      <c r="H84" s="129"/>
      <c r="I84" s="129"/>
      <c r="J84" s="129"/>
      <c r="K84" s="129"/>
      <c r="L84" s="129"/>
      <c r="M84" s="134" t="str">
        <f t="shared" si="8"/>
        <v/>
      </c>
      <c r="N84" s="134" t="str">
        <f t="shared" si="9"/>
        <v/>
      </c>
      <c r="O84" s="129"/>
      <c r="P84" s="133"/>
    </row>
    <row r="85" spans="1:16" x14ac:dyDescent="0.25">
      <c r="A85" s="133"/>
      <c r="B85" s="129"/>
      <c r="C85" s="129"/>
      <c r="D85" s="134" t="str">
        <f t="shared" si="5"/>
        <v/>
      </c>
      <c r="E85" s="134" t="str">
        <f t="shared" si="6"/>
        <v/>
      </c>
      <c r="F85" s="135" t="str">
        <f t="shared" si="7"/>
        <v/>
      </c>
      <c r="G85" s="129"/>
      <c r="H85" s="129"/>
      <c r="I85" s="129"/>
      <c r="J85" s="129"/>
      <c r="K85" s="129"/>
      <c r="L85" s="129"/>
      <c r="M85" s="134" t="str">
        <f t="shared" si="8"/>
        <v/>
      </c>
      <c r="N85" s="134" t="str">
        <f t="shared" si="9"/>
        <v/>
      </c>
      <c r="O85" s="129"/>
      <c r="P85" s="133"/>
    </row>
    <row r="86" spans="1:16" x14ac:dyDescent="0.25">
      <c r="A86" s="133"/>
      <c r="B86" s="129"/>
      <c r="C86" s="129"/>
      <c r="D86" s="134" t="str">
        <f t="shared" si="5"/>
        <v/>
      </c>
      <c r="E86" s="134" t="str">
        <f t="shared" si="6"/>
        <v/>
      </c>
      <c r="F86" s="135" t="str">
        <f t="shared" si="7"/>
        <v/>
      </c>
      <c r="G86" s="129"/>
      <c r="H86" s="129"/>
      <c r="I86" s="129"/>
      <c r="J86" s="129"/>
      <c r="K86" s="129"/>
      <c r="L86" s="129"/>
      <c r="M86" s="134" t="str">
        <f t="shared" si="8"/>
        <v/>
      </c>
      <c r="N86" s="134" t="str">
        <f t="shared" si="9"/>
        <v/>
      </c>
      <c r="O86" s="129"/>
      <c r="P86" s="133"/>
    </row>
    <row r="87" spans="1:16" x14ac:dyDescent="0.25">
      <c r="A87" s="133"/>
      <c r="B87" s="129"/>
      <c r="C87" s="129"/>
      <c r="D87" s="134" t="str">
        <f t="shared" si="5"/>
        <v/>
      </c>
      <c r="E87" s="134" t="str">
        <f t="shared" si="6"/>
        <v/>
      </c>
      <c r="F87" s="135" t="str">
        <f t="shared" si="7"/>
        <v/>
      </c>
      <c r="G87" s="129"/>
      <c r="H87" s="129"/>
      <c r="I87" s="129"/>
      <c r="J87" s="129"/>
      <c r="K87" s="129"/>
      <c r="L87" s="129"/>
      <c r="M87" s="134" t="str">
        <f t="shared" si="8"/>
        <v/>
      </c>
      <c r="N87" s="134" t="str">
        <f t="shared" si="9"/>
        <v/>
      </c>
      <c r="O87" s="129"/>
      <c r="P87" s="133"/>
    </row>
    <row r="88" spans="1:16" x14ac:dyDescent="0.25">
      <c r="A88" s="133"/>
      <c r="B88" s="129"/>
      <c r="C88" s="129"/>
      <c r="D88" s="134" t="str">
        <f t="shared" si="5"/>
        <v/>
      </c>
      <c r="E88" s="134" t="str">
        <f t="shared" si="6"/>
        <v/>
      </c>
      <c r="F88" s="135" t="str">
        <f t="shared" si="7"/>
        <v/>
      </c>
      <c r="G88" s="129"/>
      <c r="H88" s="129"/>
      <c r="I88" s="129"/>
      <c r="J88" s="129"/>
      <c r="K88" s="129"/>
      <c r="L88" s="129"/>
      <c r="M88" s="134" t="str">
        <f t="shared" si="8"/>
        <v/>
      </c>
      <c r="N88" s="134" t="str">
        <f t="shared" si="9"/>
        <v/>
      </c>
      <c r="O88" s="129"/>
      <c r="P88" s="133"/>
    </row>
    <row r="89" spans="1:16" x14ac:dyDescent="0.25">
      <c r="A89" s="133"/>
      <c r="B89" s="129"/>
      <c r="C89" s="129"/>
      <c r="D89" s="134" t="str">
        <f t="shared" si="5"/>
        <v/>
      </c>
      <c r="E89" s="134" t="str">
        <f t="shared" si="6"/>
        <v/>
      </c>
      <c r="F89" s="135" t="str">
        <f t="shared" si="7"/>
        <v/>
      </c>
      <c r="G89" s="129"/>
      <c r="H89" s="129"/>
      <c r="I89" s="129"/>
      <c r="J89" s="129"/>
      <c r="K89" s="129"/>
      <c r="L89" s="129"/>
      <c r="M89" s="134" t="str">
        <f t="shared" si="8"/>
        <v/>
      </c>
      <c r="N89" s="134" t="str">
        <f t="shared" si="9"/>
        <v/>
      </c>
      <c r="O89" s="129"/>
      <c r="P89" s="133"/>
    </row>
    <row r="90" spans="1:16" x14ac:dyDescent="0.25">
      <c r="A90" s="133"/>
      <c r="B90" s="129"/>
      <c r="C90" s="129"/>
      <c r="D90" s="134" t="str">
        <f t="shared" si="5"/>
        <v/>
      </c>
      <c r="E90" s="134" t="str">
        <f t="shared" si="6"/>
        <v/>
      </c>
      <c r="F90" s="135" t="str">
        <f t="shared" si="7"/>
        <v/>
      </c>
      <c r="G90" s="129"/>
      <c r="H90" s="129"/>
      <c r="I90" s="129"/>
      <c r="J90" s="129"/>
      <c r="K90" s="129"/>
      <c r="L90" s="129"/>
      <c r="M90" s="134" t="str">
        <f t="shared" si="8"/>
        <v/>
      </c>
      <c r="N90" s="134" t="str">
        <f t="shared" si="9"/>
        <v/>
      </c>
      <c r="O90" s="129"/>
      <c r="P90" s="133"/>
    </row>
    <row r="91" spans="1:16" x14ac:dyDescent="0.25">
      <c r="A91" s="133"/>
      <c r="B91" s="129"/>
      <c r="C91" s="129"/>
      <c r="D91" s="134" t="str">
        <f t="shared" si="5"/>
        <v/>
      </c>
      <c r="E91" s="134" t="str">
        <f t="shared" si="6"/>
        <v/>
      </c>
      <c r="F91" s="135" t="str">
        <f t="shared" si="7"/>
        <v/>
      </c>
      <c r="G91" s="129"/>
      <c r="H91" s="129"/>
      <c r="I91" s="129"/>
      <c r="J91" s="129"/>
      <c r="K91" s="129"/>
      <c r="L91" s="129"/>
      <c r="M91" s="134" t="str">
        <f t="shared" si="8"/>
        <v/>
      </c>
      <c r="N91" s="134" t="str">
        <f t="shared" si="9"/>
        <v/>
      </c>
      <c r="O91" s="129"/>
      <c r="P91" s="133"/>
    </row>
    <row r="92" spans="1:16" x14ac:dyDescent="0.25">
      <c r="A92" s="133"/>
      <c r="B92" s="129"/>
      <c r="C92" s="129"/>
      <c r="D92" s="134" t="str">
        <f t="shared" si="5"/>
        <v/>
      </c>
      <c r="E92" s="134" t="str">
        <f t="shared" si="6"/>
        <v/>
      </c>
      <c r="F92" s="135" t="str">
        <f t="shared" si="7"/>
        <v/>
      </c>
      <c r="G92" s="129"/>
      <c r="H92" s="129"/>
      <c r="I92" s="129"/>
      <c r="J92" s="129"/>
      <c r="K92" s="129"/>
      <c r="L92" s="129"/>
      <c r="M92" s="134" t="str">
        <f t="shared" si="8"/>
        <v/>
      </c>
      <c r="N92" s="134" t="str">
        <f t="shared" si="9"/>
        <v/>
      </c>
      <c r="O92" s="129"/>
      <c r="P92" s="133"/>
    </row>
    <row r="93" spans="1:16" x14ac:dyDescent="0.25">
      <c r="A93" s="133"/>
      <c r="B93" s="129"/>
      <c r="C93" s="129"/>
      <c r="D93" s="134" t="str">
        <f t="shared" si="5"/>
        <v/>
      </c>
      <c r="E93" s="134" t="str">
        <f t="shared" si="6"/>
        <v/>
      </c>
      <c r="F93" s="135" t="str">
        <f t="shared" si="7"/>
        <v/>
      </c>
      <c r="G93" s="129"/>
      <c r="H93" s="129"/>
      <c r="I93" s="129"/>
      <c r="J93" s="129"/>
      <c r="K93" s="129"/>
      <c r="L93" s="129"/>
      <c r="M93" s="134" t="str">
        <f t="shared" si="8"/>
        <v/>
      </c>
      <c r="N93" s="134" t="str">
        <f t="shared" si="9"/>
        <v/>
      </c>
      <c r="O93" s="129"/>
      <c r="P93" s="133"/>
    </row>
    <row r="94" spans="1:16" x14ac:dyDescent="0.25">
      <c r="A94" s="133"/>
      <c r="B94" s="129"/>
      <c r="C94" s="129"/>
      <c r="D94" s="134" t="str">
        <f t="shared" si="5"/>
        <v/>
      </c>
      <c r="E94" s="134" t="str">
        <f t="shared" si="6"/>
        <v/>
      </c>
      <c r="F94" s="135" t="str">
        <f t="shared" si="7"/>
        <v/>
      </c>
      <c r="G94" s="129"/>
      <c r="H94" s="129"/>
      <c r="I94" s="129"/>
      <c r="J94" s="129"/>
      <c r="K94" s="129"/>
      <c r="L94" s="129"/>
      <c r="M94" s="134" t="str">
        <f t="shared" si="8"/>
        <v/>
      </c>
      <c r="N94" s="134" t="str">
        <f t="shared" si="9"/>
        <v/>
      </c>
      <c r="O94" s="129"/>
      <c r="P94" s="133"/>
    </row>
    <row r="95" spans="1:16" x14ac:dyDescent="0.25">
      <c r="A95" s="133"/>
      <c r="B95" s="129"/>
      <c r="C95" s="129"/>
      <c r="D95" s="134" t="str">
        <f t="shared" si="5"/>
        <v/>
      </c>
      <c r="E95" s="134" t="str">
        <f t="shared" si="6"/>
        <v/>
      </c>
      <c r="F95" s="135" t="str">
        <f t="shared" si="7"/>
        <v/>
      </c>
      <c r="G95" s="129"/>
      <c r="H95" s="129"/>
      <c r="I95" s="129"/>
      <c r="J95" s="129"/>
      <c r="K95" s="129"/>
      <c r="L95" s="129"/>
      <c r="M95" s="134" t="str">
        <f t="shared" si="8"/>
        <v/>
      </c>
      <c r="N95" s="134" t="str">
        <f t="shared" si="9"/>
        <v/>
      </c>
      <c r="O95" s="129"/>
      <c r="P95" s="133"/>
    </row>
    <row r="96" spans="1:16" x14ac:dyDescent="0.25">
      <c r="A96" s="133"/>
      <c r="B96" s="129"/>
      <c r="C96" s="129"/>
      <c r="D96" s="134" t="str">
        <f t="shared" si="5"/>
        <v/>
      </c>
      <c r="E96" s="134" t="str">
        <f t="shared" si="6"/>
        <v/>
      </c>
      <c r="F96" s="135" t="str">
        <f t="shared" si="7"/>
        <v/>
      </c>
      <c r="G96" s="129"/>
      <c r="H96" s="129"/>
      <c r="I96" s="129"/>
      <c r="J96" s="129"/>
      <c r="K96" s="129"/>
      <c r="L96" s="129"/>
      <c r="M96" s="134" t="str">
        <f t="shared" si="8"/>
        <v/>
      </c>
      <c r="N96" s="134" t="str">
        <f t="shared" si="9"/>
        <v/>
      </c>
      <c r="O96" s="129"/>
      <c r="P96" s="133"/>
    </row>
    <row r="97" spans="1:16" x14ac:dyDescent="0.25">
      <c r="A97" s="133"/>
      <c r="B97" s="129"/>
      <c r="C97" s="129"/>
      <c r="D97" s="134" t="str">
        <f t="shared" si="5"/>
        <v/>
      </c>
      <c r="E97" s="134" t="str">
        <f t="shared" si="6"/>
        <v/>
      </c>
      <c r="F97" s="135" t="str">
        <f t="shared" si="7"/>
        <v/>
      </c>
      <c r="G97" s="129"/>
      <c r="H97" s="129"/>
      <c r="I97" s="129"/>
      <c r="J97" s="129"/>
      <c r="K97" s="129"/>
      <c r="L97" s="129"/>
      <c r="M97" s="134" t="str">
        <f t="shared" si="8"/>
        <v/>
      </c>
      <c r="N97" s="134" t="str">
        <f t="shared" si="9"/>
        <v/>
      </c>
      <c r="O97" s="129"/>
      <c r="P97" s="133"/>
    </row>
    <row r="98" spans="1:16" x14ac:dyDescent="0.25">
      <c r="A98" s="133"/>
      <c r="B98" s="129"/>
      <c r="C98" s="129"/>
      <c r="D98" s="134" t="str">
        <f t="shared" si="5"/>
        <v/>
      </c>
      <c r="E98" s="134" t="str">
        <f t="shared" si="6"/>
        <v/>
      </c>
      <c r="F98" s="135" t="str">
        <f t="shared" si="7"/>
        <v/>
      </c>
      <c r="G98" s="129"/>
      <c r="H98" s="129"/>
      <c r="I98" s="129"/>
      <c r="J98" s="129"/>
      <c r="K98" s="129"/>
      <c r="L98" s="129"/>
      <c r="M98" s="134" t="str">
        <f t="shared" si="8"/>
        <v/>
      </c>
      <c r="N98" s="134" t="str">
        <f t="shared" si="9"/>
        <v/>
      </c>
      <c r="O98" s="129"/>
      <c r="P98" s="133"/>
    </row>
    <row r="99" spans="1:16" x14ac:dyDescent="0.25">
      <c r="A99" s="133"/>
      <c r="B99" s="129"/>
      <c r="C99" s="129"/>
      <c r="D99" s="134" t="str">
        <f t="shared" si="5"/>
        <v/>
      </c>
      <c r="E99" s="134" t="str">
        <f t="shared" si="6"/>
        <v/>
      </c>
      <c r="F99" s="135" t="str">
        <f t="shared" si="7"/>
        <v/>
      </c>
      <c r="G99" s="129"/>
      <c r="H99" s="129"/>
      <c r="I99" s="129"/>
      <c r="J99" s="129"/>
      <c r="K99" s="129"/>
      <c r="L99" s="129"/>
      <c r="M99" s="134" t="str">
        <f t="shared" si="8"/>
        <v/>
      </c>
      <c r="N99" s="134" t="str">
        <f t="shared" si="9"/>
        <v/>
      </c>
      <c r="O99" s="129"/>
      <c r="P99" s="133"/>
    </row>
    <row r="100" spans="1:16" x14ac:dyDescent="0.25">
      <c r="A100" s="133"/>
      <c r="B100" s="129"/>
      <c r="C100" s="129"/>
      <c r="D100" s="134" t="str">
        <f t="shared" si="5"/>
        <v/>
      </c>
      <c r="E100" s="134" t="str">
        <f t="shared" si="6"/>
        <v/>
      </c>
      <c r="F100" s="135" t="str">
        <f t="shared" si="7"/>
        <v/>
      </c>
      <c r="G100" s="129"/>
      <c r="H100" s="129"/>
      <c r="I100" s="129"/>
      <c r="J100" s="129"/>
      <c r="K100" s="129"/>
      <c r="L100" s="129"/>
      <c r="M100" s="134" t="str">
        <f t="shared" si="8"/>
        <v/>
      </c>
      <c r="N100" s="134" t="str">
        <f t="shared" si="9"/>
        <v/>
      </c>
      <c r="O100" s="129"/>
      <c r="P100" s="133"/>
    </row>
    <row r="101" spans="1:16" x14ac:dyDescent="0.25">
      <c r="A101" s="133"/>
      <c r="B101" s="129"/>
      <c r="C101" s="129"/>
      <c r="D101" s="134" t="str">
        <f t="shared" si="5"/>
        <v/>
      </c>
      <c r="E101" s="134" t="str">
        <f t="shared" si="6"/>
        <v/>
      </c>
      <c r="F101" s="135" t="str">
        <f t="shared" si="7"/>
        <v/>
      </c>
      <c r="G101" s="129"/>
      <c r="H101" s="129"/>
      <c r="I101" s="129"/>
      <c r="J101" s="129"/>
      <c r="K101" s="129"/>
      <c r="L101" s="129"/>
      <c r="M101" s="134" t="str">
        <f t="shared" si="8"/>
        <v/>
      </c>
      <c r="N101" s="134" t="str">
        <f t="shared" si="9"/>
        <v/>
      </c>
      <c r="O101" s="129"/>
      <c r="P101" s="133"/>
    </row>
    <row r="102" spans="1:16" x14ac:dyDescent="0.25">
      <c r="A102" s="133"/>
      <c r="B102" s="129"/>
      <c r="C102" s="129"/>
      <c r="D102" s="134" t="str">
        <f t="shared" si="5"/>
        <v/>
      </c>
      <c r="E102" s="134" t="str">
        <f t="shared" si="6"/>
        <v/>
      </c>
      <c r="F102" s="135" t="str">
        <f t="shared" si="7"/>
        <v/>
      </c>
      <c r="G102" s="129"/>
      <c r="H102" s="129"/>
      <c r="I102" s="129"/>
      <c r="J102" s="129"/>
      <c r="K102" s="129"/>
      <c r="L102" s="129"/>
      <c r="M102" s="134" t="str">
        <f t="shared" si="8"/>
        <v/>
      </c>
      <c r="N102" s="134" t="str">
        <f t="shared" si="9"/>
        <v/>
      </c>
      <c r="O102" s="129"/>
      <c r="P102" s="133"/>
    </row>
    <row r="103" spans="1:16" x14ac:dyDescent="0.25">
      <c r="A103" s="133"/>
      <c r="B103" s="129"/>
      <c r="C103" s="129"/>
      <c r="D103" s="134" t="str">
        <f t="shared" si="5"/>
        <v/>
      </c>
      <c r="E103" s="134" t="str">
        <f t="shared" si="6"/>
        <v/>
      </c>
      <c r="F103" s="135" t="str">
        <f t="shared" si="7"/>
        <v/>
      </c>
      <c r="G103" s="129"/>
      <c r="H103" s="129"/>
      <c r="I103" s="129"/>
      <c r="J103" s="129"/>
      <c r="K103" s="129"/>
      <c r="L103" s="129"/>
      <c r="M103" s="134" t="str">
        <f t="shared" si="8"/>
        <v/>
      </c>
      <c r="N103" s="134" t="str">
        <f t="shared" si="9"/>
        <v/>
      </c>
      <c r="O103" s="129"/>
      <c r="P103" s="133"/>
    </row>
    <row r="104" spans="1:16" x14ac:dyDescent="0.25">
      <c r="A104" s="133"/>
      <c r="B104" s="129"/>
      <c r="C104" s="129"/>
      <c r="D104" s="134" t="str">
        <f t="shared" si="5"/>
        <v/>
      </c>
      <c r="E104" s="134" t="str">
        <f t="shared" si="6"/>
        <v/>
      </c>
      <c r="F104" s="135" t="str">
        <f t="shared" si="7"/>
        <v/>
      </c>
      <c r="G104" s="129"/>
      <c r="H104" s="129"/>
      <c r="I104" s="129"/>
      <c r="J104" s="129"/>
      <c r="K104" s="129"/>
      <c r="L104" s="129"/>
      <c r="M104" s="134" t="str">
        <f t="shared" si="8"/>
        <v/>
      </c>
      <c r="N104" s="134" t="str">
        <f t="shared" si="9"/>
        <v/>
      </c>
      <c r="O104" s="129"/>
      <c r="P104" s="133"/>
    </row>
    <row r="105" spans="1:16" x14ac:dyDescent="0.25">
      <c r="A105" s="133"/>
      <c r="B105" s="129"/>
      <c r="C105" s="129"/>
      <c r="D105" s="134" t="str">
        <f t="shared" si="5"/>
        <v/>
      </c>
      <c r="E105" s="134" t="str">
        <f t="shared" si="6"/>
        <v/>
      </c>
      <c r="F105" s="135" t="str">
        <f t="shared" si="7"/>
        <v/>
      </c>
      <c r="G105" s="129"/>
      <c r="H105" s="129"/>
      <c r="I105" s="129"/>
      <c r="J105" s="129"/>
      <c r="K105" s="129"/>
      <c r="L105" s="129"/>
      <c r="M105" s="134" t="str">
        <f t="shared" si="8"/>
        <v/>
      </c>
      <c r="N105" s="134" t="str">
        <f t="shared" si="9"/>
        <v/>
      </c>
      <c r="O105" s="129"/>
      <c r="P105" s="133"/>
    </row>
    <row r="106" spans="1:16" x14ac:dyDescent="0.25">
      <c r="A106" s="133"/>
      <c r="B106" s="129"/>
      <c r="C106" s="129"/>
      <c r="D106" s="134" t="str">
        <f t="shared" si="5"/>
        <v/>
      </c>
      <c r="E106" s="134" t="str">
        <f t="shared" si="6"/>
        <v/>
      </c>
      <c r="F106" s="135" t="str">
        <f t="shared" si="7"/>
        <v/>
      </c>
      <c r="G106" s="129"/>
      <c r="H106" s="129"/>
      <c r="I106" s="129"/>
      <c r="J106" s="129"/>
      <c r="K106" s="129"/>
      <c r="L106" s="129"/>
      <c r="M106" s="134" t="str">
        <f t="shared" si="8"/>
        <v/>
      </c>
      <c r="N106" s="134" t="str">
        <f t="shared" si="9"/>
        <v/>
      </c>
      <c r="O106" s="129"/>
      <c r="P106" s="133"/>
    </row>
    <row r="107" spans="1:16" x14ac:dyDescent="0.25">
      <c r="A107" s="133"/>
      <c r="B107" s="129"/>
      <c r="C107" s="129"/>
      <c r="D107" s="134" t="str">
        <f t="shared" si="5"/>
        <v/>
      </c>
      <c r="E107" s="134" t="str">
        <f t="shared" si="6"/>
        <v/>
      </c>
      <c r="F107" s="135" t="str">
        <f t="shared" si="7"/>
        <v/>
      </c>
      <c r="G107" s="129"/>
      <c r="H107" s="129"/>
      <c r="I107" s="129"/>
      <c r="J107" s="129"/>
      <c r="K107" s="129"/>
      <c r="L107" s="129"/>
      <c r="M107" s="134" t="str">
        <f t="shared" si="8"/>
        <v/>
      </c>
      <c r="N107" s="134" t="str">
        <f t="shared" si="9"/>
        <v/>
      </c>
      <c r="O107" s="129"/>
      <c r="P107" s="133"/>
    </row>
    <row r="108" spans="1:16" x14ac:dyDescent="0.25">
      <c r="A108" s="133"/>
      <c r="B108" s="129"/>
      <c r="C108" s="129"/>
      <c r="D108" s="134" t="str">
        <f t="shared" si="5"/>
        <v/>
      </c>
      <c r="E108" s="134" t="str">
        <f t="shared" si="6"/>
        <v/>
      </c>
      <c r="F108" s="135" t="str">
        <f t="shared" si="7"/>
        <v/>
      </c>
      <c r="G108" s="129"/>
      <c r="H108" s="129"/>
      <c r="I108" s="129"/>
      <c r="J108" s="129"/>
      <c r="K108" s="129"/>
      <c r="L108" s="129"/>
      <c r="M108" s="134" t="str">
        <f t="shared" si="8"/>
        <v/>
      </c>
      <c r="N108" s="134" t="str">
        <f t="shared" si="9"/>
        <v/>
      </c>
      <c r="O108" s="129"/>
      <c r="P108" s="133"/>
    </row>
    <row r="109" spans="1:16" x14ac:dyDescent="0.25">
      <c r="A109" s="133"/>
      <c r="B109" s="129"/>
      <c r="C109" s="129"/>
      <c r="D109" s="134" t="str">
        <f t="shared" si="5"/>
        <v/>
      </c>
      <c r="E109" s="134" t="str">
        <f t="shared" si="6"/>
        <v/>
      </c>
      <c r="F109" s="135" t="str">
        <f t="shared" si="7"/>
        <v/>
      </c>
      <c r="G109" s="129"/>
      <c r="H109" s="129"/>
      <c r="I109" s="129"/>
      <c r="J109" s="129"/>
      <c r="K109" s="129"/>
      <c r="L109" s="129"/>
      <c r="M109" s="134" t="str">
        <f t="shared" si="8"/>
        <v/>
      </c>
      <c r="N109" s="134" t="str">
        <f t="shared" si="9"/>
        <v/>
      </c>
      <c r="O109" s="129"/>
      <c r="P109" s="133"/>
    </row>
    <row r="110" spans="1:16" x14ac:dyDescent="0.25">
      <c r="A110" s="133"/>
      <c r="B110" s="129"/>
      <c r="C110" s="129"/>
      <c r="D110" s="134" t="str">
        <f t="shared" si="5"/>
        <v/>
      </c>
      <c r="E110" s="134" t="str">
        <f t="shared" si="6"/>
        <v/>
      </c>
      <c r="F110" s="135" t="str">
        <f t="shared" si="7"/>
        <v/>
      </c>
      <c r="G110" s="129"/>
      <c r="H110" s="129"/>
      <c r="I110" s="129"/>
      <c r="J110" s="129"/>
      <c r="K110" s="129"/>
      <c r="L110" s="129"/>
      <c r="M110" s="134" t="str">
        <f t="shared" si="8"/>
        <v/>
      </c>
      <c r="N110" s="134" t="str">
        <f t="shared" si="9"/>
        <v/>
      </c>
      <c r="O110" s="129"/>
      <c r="P110" s="133"/>
    </row>
    <row r="111" spans="1:16" x14ac:dyDescent="0.25">
      <c r="A111" s="133"/>
      <c r="B111" s="129"/>
      <c r="C111" s="129"/>
      <c r="D111" s="134" t="str">
        <f t="shared" si="5"/>
        <v/>
      </c>
      <c r="E111" s="134" t="str">
        <f t="shared" si="6"/>
        <v/>
      </c>
      <c r="F111" s="135" t="str">
        <f t="shared" si="7"/>
        <v/>
      </c>
      <c r="G111" s="129"/>
      <c r="H111" s="129"/>
      <c r="I111" s="129"/>
      <c r="J111" s="129"/>
      <c r="K111" s="129"/>
      <c r="L111" s="129"/>
      <c r="M111" s="134" t="str">
        <f t="shared" si="8"/>
        <v/>
      </c>
      <c r="N111" s="134" t="str">
        <f t="shared" si="9"/>
        <v/>
      </c>
      <c r="O111" s="129"/>
      <c r="P111" s="133"/>
    </row>
    <row r="112" spans="1:16" x14ac:dyDescent="0.25">
      <c r="A112" s="133"/>
      <c r="B112" s="129"/>
      <c r="C112" s="129"/>
      <c r="D112" s="134" t="str">
        <f t="shared" si="5"/>
        <v/>
      </c>
      <c r="E112" s="134" t="str">
        <f t="shared" si="6"/>
        <v/>
      </c>
      <c r="F112" s="135" t="str">
        <f t="shared" si="7"/>
        <v/>
      </c>
      <c r="G112" s="129"/>
      <c r="H112" s="129"/>
      <c r="I112" s="129"/>
      <c r="J112" s="129"/>
      <c r="K112" s="129"/>
      <c r="L112" s="129"/>
      <c r="M112" s="134" t="str">
        <f t="shared" si="8"/>
        <v/>
      </c>
      <c r="N112" s="134" t="str">
        <f t="shared" si="9"/>
        <v/>
      </c>
      <c r="O112" s="129"/>
      <c r="P112" s="133"/>
    </row>
    <row r="113" spans="1:16" x14ac:dyDescent="0.25">
      <c r="A113" s="133"/>
      <c r="B113" s="129"/>
      <c r="C113" s="129"/>
      <c r="D113" s="134" t="str">
        <f t="shared" si="5"/>
        <v/>
      </c>
      <c r="E113" s="134" t="str">
        <f t="shared" si="6"/>
        <v/>
      </c>
      <c r="F113" s="135" t="str">
        <f t="shared" si="7"/>
        <v/>
      </c>
      <c r="G113" s="129"/>
      <c r="H113" s="129"/>
      <c r="I113" s="129"/>
      <c r="J113" s="129"/>
      <c r="K113" s="129"/>
      <c r="L113" s="129"/>
      <c r="M113" s="134" t="str">
        <f t="shared" si="8"/>
        <v/>
      </c>
      <c r="N113" s="134" t="str">
        <f t="shared" si="9"/>
        <v/>
      </c>
      <c r="O113" s="129"/>
      <c r="P113" s="133"/>
    </row>
    <row r="114" spans="1:16" x14ac:dyDescent="0.25">
      <c r="A114" s="133"/>
      <c r="B114" s="129"/>
      <c r="C114" s="129"/>
      <c r="D114" s="134" t="str">
        <f t="shared" si="5"/>
        <v/>
      </c>
      <c r="E114" s="134" t="str">
        <f t="shared" si="6"/>
        <v/>
      </c>
      <c r="F114" s="135" t="str">
        <f t="shared" si="7"/>
        <v/>
      </c>
      <c r="G114" s="129"/>
      <c r="H114" s="129"/>
      <c r="I114" s="129"/>
      <c r="J114" s="129"/>
      <c r="K114" s="129"/>
      <c r="L114" s="129"/>
      <c r="M114" s="134" t="str">
        <f t="shared" si="8"/>
        <v/>
      </c>
      <c r="N114" s="134" t="str">
        <f t="shared" si="9"/>
        <v/>
      </c>
      <c r="O114" s="129"/>
      <c r="P114" s="133"/>
    </row>
    <row r="115" spans="1:16" x14ac:dyDescent="0.25">
      <c r="A115" s="133"/>
      <c r="B115" s="129"/>
      <c r="C115" s="129"/>
      <c r="D115" s="134" t="str">
        <f t="shared" si="5"/>
        <v/>
      </c>
      <c r="E115" s="134" t="str">
        <f t="shared" si="6"/>
        <v/>
      </c>
      <c r="F115" s="135" t="str">
        <f t="shared" si="7"/>
        <v/>
      </c>
      <c r="G115" s="129"/>
      <c r="H115" s="129"/>
      <c r="I115" s="129"/>
      <c r="J115" s="129"/>
      <c r="K115" s="129"/>
      <c r="L115" s="129"/>
      <c r="M115" s="134" t="str">
        <f t="shared" si="8"/>
        <v/>
      </c>
      <c r="N115" s="134" t="str">
        <f t="shared" si="9"/>
        <v/>
      </c>
      <c r="O115" s="129"/>
      <c r="P115" s="133"/>
    </row>
    <row r="116" spans="1:16" x14ac:dyDescent="0.25">
      <c r="A116" s="133"/>
      <c r="B116" s="129"/>
      <c r="C116" s="129"/>
      <c r="D116" s="134" t="str">
        <f t="shared" si="5"/>
        <v/>
      </c>
      <c r="E116" s="134" t="str">
        <f t="shared" si="6"/>
        <v/>
      </c>
      <c r="F116" s="135" t="str">
        <f t="shared" si="7"/>
        <v/>
      </c>
      <c r="G116" s="129"/>
      <c r="H116" s="129"/>
      <c r="I116" s="129"/>
      <c r="J116" s="129"/>
      <c r="K116" s="129"/>
      <c r="L116" s="129"/>
      <c r="M116" s="134" t="str">
        <f t="shared" si="8"/>
        <v/>
      </c>
      <c r="N116" s="134" t="str">
        <f t="shared" si="9"/>
        <v/>
      </c>
      <c r="O116" s="129"/>
      <c r="P116" s="133"/>
    </row>
    <row r="117" spans="1:16" x14ac:dyDescent="0.25">
      <c r="A117" s="133"/>
      <c r="B117" s="129"/>
      <c r="C117" s="129"/>
      <c r="D117" s="134" t="str">
        <f t="shared" si="5"/>
        <v/>
      </c>
      <c r="E117" s="134" t="str">
        <f t="shared" si="6"/>
        <v/>
      </c>
      <c r="F117" s="135" t="str">
        <f t="shared" si="7"/>
        <v/>
      </c>
      <c r="G117" s="129"/>
      <c r="H117" s="129"/>
      <c r="I117" s="129"/>
      <c r="J117" s="129"/>
      <c r="K117" s="129"/>
      <c r="L117" s="129"/>
      <c r="M117" s="134" t="str">
        <f t="shared" si="8"/>
        <v/>
      </c>
      <c r="N117" s="134" t="str">
        <f t="shared" si="9"/>
        <v/>
      </c>
      <c r="O117" s="129"/>
      <c r="P117" s="133"/>
    </row>
    <row r="118" spans="1:16" x14ac:dyDescent="0.25">
      <c r="A118" s="133"/>
      <c r="B118" s="129"/>
      <c r="C118" s="129"/>
      <c r="D118" s="134" t="str">
        <f t="shared" si="5"/>
        <v/>
      </c>
      <c r="E118" s="134" t="str">
        <f t="shared" si="6"/>
        <v/>
      </c>
      <c r="F118" s="135" t="str">
        <f t="shared" si="7"/>
        <v/>
      </c>
      <c r="G118" s="129"/>
      <c r="H118" s="129"/>
      <c r="I118" s="129"/>
      <c r="J118" s="129"/>
      <c r="K118" s="129"/>
      <c r="L118" s="129"/>
      <c r="M118" s="134" t="str">
        <f t="shared" si="8"/>
        <v/>
      </c>
      <c r="N118" s="134" t="str">
        <f t="shared" si="9"/>
        <v/>
      </c>
      <c r="O118" s="129"/>
      <c r="P118" s="133"/>
    </row>
    <row r="119" spans="1:16" x14ac:dyDescent="0.25">
      <c r="A119" s="133"/>
      <c r="B119" s="129"/>
      <c r="C119" s="129"/>
      <c r="D119" s="134" t="str">
        <f t="shared" si="5"/>
        <v/>
      </c>
      <c r="E119" s="134" t="str">
        <f t="shared" si="6"/>
        <v/>
      </c>
      <c r="F119" s="135" t="str">
        <f t="shared" si="7"/>
        <v/>
      </c>
      <c r="G119" s="129"/>
      <c r="H119" s="129"/>
      <c r="I119" s="129"/>
      <c r="J119" s="129"/>
      <c r="K119" s="129"/>
      <c r="L119" s="129"/>
      <c r="M119" s="134" t="str">
        <f t="shared" si="8"/>
        <v/>
      </c>
      <c r="N119" s="134" t="str">
        <f t="shared" si="9"/>
        <v/>
      </c>
      <c r="O119" s="129"/>
      <c r="P119" s="133"/>
    </row>
    <row r="120" spans="1:16" x14ac:dyDescent="0.25">
      <c r="A120" s="133"/>
      <c r="B120" s="129"/>
      <c r="C120" s="129"/>
      <c r="D120" s="134" t="str">
        <f t="shared" si="5"/>
        <v/>
      </c>
      <c r="E120" s="134" t="str">
        <f t="shared" si="6"/>
        <v/>
      </c>
      <c r="F120" s="135" t="str">
        <f t="shared" si="7"/>
        <v/>
      </c>
      <c r="G120" s="129"/>
      <c r="H120" s="129"/>
      <c r="I120" s="129"/>
      <c r="J120" s="129"/>
      <c r="K120" s="129"/>
      <c r="L120" s="129"/>
      <c r="M120" s="134" t="str">
        <f t="shared" si="8"/>
        <v/>
      </c>
      <c r="N120" s="134" t="str">
        <f t="shared" si="9"/>
        <v/>
      </c>
      <c r="O120" s="129"/>
      <c r="P120" s="133"/>
    </row>
    <row r="121" spans="1:16" x14ac:dyDescent="0.25">
      <c r="A121" s="133"/>
      <c r="B121" s="129"/>
      <c r="C121" s="129"/>
      <c r="D121" s="134" t="str">
        <f t="shared" si="5"/>
        <v/>
      </c>
      <c r="E121" s="134" t="str">
        <f t="shared" si="6"/>
        <v/>
      </c>
      <c r="F121" s="135" t="str">
        <f t="shared" si="7"/>
        <v/>
      </c>
      <c r="G121" s="129"/>
      <c r="H121" s="129"/>
      <c r="I121" s="129"/>
      <c r="J121" s="129"/>
      <c r="K121" s="129"/>
      <c r="L121" s="129"/>
      <c r="M121" s="134" t="str">
        <f t="shared" si="8"/>
        <v/>
      </c>
      <c r="N121" s="134" t="str">
        <f t="shared" si="9"/>
        <v/>
      </c>
      <c r="O121" s="129"/>
      <c r="P121" s="133"/>
    </row>
    <row r="122" spans="1:16" x14ac:dyDescent="0.25">
      <c r="A122" s="133"/>
      <c r="B122" s="129"/>
      <c r="C122" s="129"/>
      <c r="D122" s="134" t="str">
        <f t="shared" si="5"/>
        <v/>
      </c>
      <c r="E122" s="134" t="str">
        <f t="shared" si="6"/>
        <v/>
      </c>
      <c r="F122" s="135" t="str">
        <f t="shared" si="7"/>
        <v/>
      </c>
      <c r="G122" s="129"/>
      <c r="H122" s="129"/>
      <c r="I122" s="129"/>
      <c r="J122" s="129"/>
      <c r="K122" s="129"/>
      <c r="L122" s="129"/>
      <c r="M122" s="134" t="str">
        <f t="shared" si="8"/>
        <v/>
      </c>
      <c r="N122" s="134" t="str">
        <f t="shared" si="9"/>
        <v/>
      </c>
      <c r="O122" s="129"/>
      <c r="P122" s="133"/>
    </row>
    <row r="123" spans="1:16" x14ac:dyDescent="0.25">
      <c r="A123" s="133"/>
      <c r="B123" s="129"/>
      <c r="C123" s="129"/>
      <c r="D123" s="134" t="str">
        <f t="shared" si="5"/>
        <v/>
      </c>
      <c r="E123" s="134" t="str">
        <f t="shared" si="6"/>
        <v/>
      </c>
      <c r="F123" s="135" t="str">
        <f t="shared" si="7"/>
        <v/>
      </c>
      <c r="G123" s="129"/>
      <c r="H123" s="129"/>
      <c r="I123" s="129"/>
      <c r="J123" s="129"/>
      <c r="K123" s="129"/>
      <c r="L123" s="129"/>
      <c r="M123" s="134" t="str">
        <f t="shared" si="8"/>
        <v/>
      </c>
      <c r="N123" s="134" t="str">
        <f t="shared" si="9"/>
        <v/>
      </c>
      <c r="O123" s="129"/>
      <c r="P123" s="133"/>
    </row>
    <row r="124" spans="1:16" x14ac:dyDescent="0.25">
      <c r="A124" s="133"/>
      <c r="B124" s="129"/>
      <c r="C124" s="129"/>
      <c r="D124" s="134" t="str">
        <f t="shared" si="5"/>
        <v/>
      </c>
      <c r="E124" s="134" t="str">
        <f t="shared" si="6"/>
        <v/>
      </c>
      <c r="F124" s="135" t="str">
        <f t="shared" si="7"/>
        <v/>
      </c>
      <c r="G124" s="129"/>
      <c r="H124" s="129"/>
      <c r="I124" s="129"/>
      <c r="J124" s="129"/>
      <c r="K124" s="129"/>
      <c r="L124" s="129"/>
      <c r="M124" s="134" t="str">
        <f t="shared" si="8"/>
        <v/>
      </c>
      <c r="N124" s="134" t="str">
        <f t="shared" si="9"/>
        <v/>
      </c>
      <c r="O124" s="129"/>
      <c r="P124" s="133"/>
    </row>
    <row r="125" spans="1:16" x14ac:dyDescent="0.25">
      <c r="A125" s="133"/>
      <c r="B125" s="129"/>
      <c r="C125" s="129"/>
      <c r="D125" s="134" t="str">
        <f t="shared" si="5"/>
        <v/>
      </c>
      <c r="E125" s="134" t="str">
        <f t="shared" si="6"/>
        <v/>
      </c>
      <c r="F125" s="135" t="str">
        <f t="shared" si="7"/>
        <v/>
      </c>
      <c r="G125" s="129"/>
      <c r="H125" s="129"/>
      <c r="I125" s="129"/>
      <c r="J125" s="129"/>
      <c r="K125" s="129"/>
      <c r="L125" s="129"/>
      <c r="M125" s="134" t="str">
        <f t="shared" si="8"/>
        <v/>
      </c>
      <c r="N125" s="134" t="str">
        <f t="shared" si="9"/>
        <v/>
      </c>
      <c r="O125" s="129"/>
      <c r="P125" s="133"/>
    </row>
    <row r="126" spans="1:16" x14ac:dyDescent="0.25">
      <c r="A126" s="133"/>
      <c r="B126" s="129"/>
      <c r="C126" s="129"/>
      <c r="D126" s="134" t="str">
        <f t="shared" si="5"/>
        <v/>
      </c>
      <c r="E126" s="134" t="str">
        <f t="shared" si="6"/>
        <v/>
      </c>
      <c r="F126" s="135" t="str">
        <f t="shared" si="7"/>
        <v/>
      </c>
      <c r="G126" s="129"/>
      <c r="H126" s="129"/>
      <c r="I126" s="129"/>
      <c r="J126" s="129"/>
      <c r="K126" s="129"/>
      <c r="L126" s="129"/>
      <c r="M126" s="134" t="str">
        <f t="shared" si="8"/>
        <v/>
      </c>
      <c r="N126" s="134" t="str">
        <f t="shared" si="9"/>
        <v/>
      </c>
      <c r="O126" s="129"/>
      <c r="P126" s="133"/>
    </row>
    <row r="127" spans="1:16" x14ac:dyDescent="0.25">
      <c r="A127" s="133"/>
      <c r="B127" s="129"/>
      <c r="C127" s="129"/>
      <c r="D127" s="134" t="str">
        <f t="shared" si="5"/>
        <v/>
      </c>
      <c r="E127" s="134" t="str">
        <f t="shared" si="6"/>
        <v/>
      </c>
      <c r="F127" s="135" t="str">
        <f t="shared" si="7"/>
        <v/>
      </c>
      <c r="G127" s="129"/>
      <c r="H127" s="129"/>
      <c r="I127" s="129"/>
      <c r="J127" s="129"/>
      <c r="K127" s="129"/>
      <c r="L127" s="129"/>
      <c r="M127" s="134" t="str">
        <f t="shared" si="8"/>
        <v/>
      </c>
      <c r="N127" s="134" t="str">
        <f t="shared" si="9"/>
        <v/>
      </c>
      <c r="O127" s="129"/>
      <c r="P127" s="133"/>
    </row>
    <row r="128" spans="1:16" x14ac:dyDescent="0.25">
      <c r="A128" s="133"/>
      <c r="B128" s="129"/>
      <c r="C128" s="129"/>
      <c r="D128" s="134" t="str">
        <f t="shared" si="5"/>
        <v/>
      </c>
      <c r="E128" s="134" t="str">
        <f t="shared" si="6"/>
        <v/>
      </c>
      <c r="F128" s="135" t="str">
        <f t="shared" si="7"/>
        <v/>
      </c>
      <c r="G128" s="129"/>
      <c r="H128" s="129"/>
      <c r="I128" s="129"/>
      <c r="J128" s="129"/>
      <c r="K128" s="129"/>
      <c r="L128" s="129"/>
      <c r="M128" s="134" t="str">
        <f t="shared" si="8"/>
        <v/>
      </c>
      <c r="N128" s="134" t="str">
        <f t="shared" si="9"/>
        <v/>
      </c>
      <c r="O128" s="129"/>
      <c r="P128" s="133"/>
    </row>
    <row r="129" spans="1:16" x14ac:dyDescent="0.25">
      <c r="A129" s="133"/>
      <c r="B129" s="129"/>
      <c r="C129" s="129"/>
      <c r="D129" s="134" t="str">
        <f t="shared" si="5"/>
        <v/>
      </c>
      <c r="E129" s="134" t="str">
        <f t="shared" si="6"/>
        <v/>
      </c>
      <c r="F129" s="135" t="str">
        <f t="shared" si="7"/>
        <v/>
      </c>
      <c r="G129" s="129"/>
      <c r="H129" s="129"/>
      <c r="I129" s="129"/>
      <c r="J129" s="129"/>
      <c r="K129" s="129"/>
      <c r="L129" s="129"/>
      <c r="M129" s="134" t="str">
        <f t="shared" si="8"/>
        <v/>
      </c>
      <c r="N129" s="134" t="str">
        <f t="shared" si="9"/>
        <v/>
      </c>
      <c r="O129" s="129"/>
      <c r="P129" s="133"/>
    </row>
    <row r="130" spans="1:16" x14ac:dyDescent="0.25">
      <c r="A130" s="133"/>
      <c r="B130" s="129"/>
      <c r="C130" s="129"/>
      <c r="D130" s="134" t="str">
        <f t="shared" si="5"/>
        <v/>
      </c>
      <c r="E130" s="134" t="str">
        <f t="shared" si="6"/>
        <v/>
      </c>
      <c r="F130" s="135" t="str">
        <f t="shared" si="7"/>
        <v/>
      </c>
      <c r="G130" s="129"/>
      <c r="H130" s="129"/>
      <c r="I130" s="129"/>
      <c r="J130" s="129"/>
      <c r="K130" s="129"/>
      <c r="L130" s="129"/>
      <c r="M130" s="134" t="str">
        <f t="shared" si="8"/>
        <v/>
      </c>
      <c r="N130" s="134" t="str">
        <f t="shared" si="9"/>
        <v/>
      </c>
      <c r="O130" s="129"/>
      <c r="P130" s="133"/>
    </row>
    <row r="131" spans="1:16" x14ac:dyDescent="0.25">
      <c r="A131" s="133"/>
      <c r="B131" s="129"/>
      <c r="C131" s="129"/>
      <c r="D131" s="134" t="str">
        <f t="shared" si="5"/>
        <v/>
      </c>
      <c r="E131" s="134" t="str">
        <f t="shared" si="6"/>
        <v/>
      </c>
      <c r="F131" s="135" t="str">
        <f t="shared" si="7"/>
        <v/>
      </c>
      <c r="G131" s="129"/>
      <c r="H131" s="129"/>
      <c r="I131" s="129"/>
      <c r="J131" s="129"/>
      <c r="K131" s="129"/>
      <c r="L131" s="129"/>
      <c r="M131" s="134" t="str">
        <f t="shared" si="8"/>
        <v/>
      </c>
      <c r="N131" s="134" t="str">
        <f t="shared" si="9"/>
        <v/>
      </c>
      <c r="O131" s="129"/>
      <c r="P131" s="133"/>
    </row>
    <row r="132" spans="1:16" x14ac:dyDescent="0.25">
      <c r="A132" s="133"/>
      <c r="B132" s="129"/>
      <c r="C132" s="129"/>
      <c r="D132" s="134" t="str">
        <f t="shared" si="5"/>
        <v/>
      </c>
      <c r="E132" s="134" t="str">
        <f t="shared" si="6"/>
        <v/>
      </c>
      <c r="F132" s="135" t="str">
        <f t="shared" si="7"/>
        <v/>
      </c>
      <c r="G132" s="129"/>
      <c r="H132" s="129"/>
      <c r="I132" s="129"/>
      <c r="J132" s="129"/>
      <c r="K132" s="129"/>
      <c r="L132" s="129"/>
      <c r="M132" s="134" t="str">
        <f t="shared" si="8"/>
        <v/>
      </c>
      <c r="N132" s="134" t="str">
        <f t="shared" si="9"/>
        <v/>
      </c>
      <c r="O132" s="129"/>
      <c r="P132" s="133"/>
    </row>
    <row r="133" spans="1:16" x14ac:dyDescent="0.25">
      <c r="A133" s="133"/>
      <c r="B133" s="129"/>
      <c r="C133" s="129"/>
      <c r="D133" s="134" t="str">
        <f t="shared" ref="D133:D196" si="10">IFERROR(IF($C133="","",VLOOKUP($C133,CAD_TAB,8,FALSE)),"")</f>
        <v/>
      </c>
      <c r="E133" s="134" t="str">
        <f t="shared" ref="E133:E196" si="11">IFERROR(IF($C133="","",VLOOKUP($C133,CAD_TAB,9,FALSE)),"")</f>
        <v/>
      </c>
      <c r="F133" s="135" t="str">
        <f t="shared" ref="F133:F196" si="12">IFERROR(IF($C133="","",VLOOKUP($C133,CAD_TAB,6,FALSE)),"")</f>
        <v/>
      </c>
      <c r="G133" s="129"/>
      <c r="H133" s="129"/>
      <c r="I133" s="129"/>
      <c r="J133" s="129"/>
      <c r="K133" s="129"/>
      <c r="L133" s="129"/>
      <c r="M133" s="134" t="str">
        <f t="shared" ref="M133:M196" si="13">IF($C133="","",COUNTIF($G133:$L133,"NÃO"))</f>
        <v/>
      </c>
      <c r="N133" s="134" t="str">
        <f t="shared" ref="N133:N196" si="14">IF($C133="","",IF($M133=0,"LIVRE PARA PROGRAMAR","COM RESTRIÇÃO — "&amp;$M133&amp;" pendência(s)"))</f>
        <v/>
      </c>
      <c r="O133" s="129"/>
      <c r="P133" s="133"/>
    </row>
    <row r="134" spans="1:16" x14ac:dyDescent="0.25">
      <c r="A134" s="133"/>
      <c r="B134" s="129"/>
      <c r="C134" s="129"/>
      <c r="D134" s="134" t="str">
        <f t="shared" si="10"/>
        <v/>
      </c>
      <c r="E134" s="134" t="str">
        <f t="shared" si="11"/>
        <v/>
      </c>
      <c r="F134" s="135" t="str">
        <f t="shared" si="12"/>
        <v/>
      </c>
      <c r="G134" s="129"/>
      <c r="H134" s="129"/>
      <c r="I134" s="129"/>
      <c r="J134" s="129"/>
      <c r="K134" s="129"/>
      <c r="L134" s="129"/>
      <c r="M134" s="134" t="str">
        <f t="shared" si="13"/>
        <v/>
      </c>
      <c r="N134" s="134" t="str">
        <f t="shared" si="14"/>
        <v/>
      </c>
      <c r="O134" s="129"/>
      <c r="P134" s="133"/>
    </row>
    <row r="135" spans="1:16" x14ac:dyDescent="0.25">
      <c r="A135" s="133"/>
      <c r="B135" s="129"/>
      <c r="C135" s="129"/>
      <c r="D135" s="134" t="str">
        <f t="shared" si="10"/>
        <v/>
      </c>
      <c r="E135" s="134" t="str">
        <f t="shared" si="11"/>
        <v/>
      </c>
      <c r="F135" s="135" t="str">
        <f t="shared" si="12"/>
        <v/>
      </c>
      <c r="G135" s="129"/>
      <c r="H135" s="129"/>
      <c r="I135" s="129"/>
      <c r="J135" s="129"/>
      <c r="K135" s="129"/>
      <c r="L135" s="129"/>
      <c r="M135" s="134" t="str">
        <f t="shared" si="13"/>
        <v/>
      </c>
      <c r="N135" s="134" t="str">
        <f t="shared" si="14"/>
        <v/>
      </c>
      <c r="O135" s="129"/>
      <c r="P135" s="133"/>
    </row>
    <row r="136" spans="1:16" x14ac:dyDescent="0.25">
      <c r="A136" s="133"/>
      <c r="B136" s="129"/>
      <c r="C136" s="129"/>
      <c r="D136" s="134" t="str">
        <f t="shared" si="10"/>
        <v/>
      </c>
      <c r="E136" s="134" t="str">
        <f t="shared" si="11"/>
        <v/>
      </c>
      <c r="F136" s="135" t="str">
        <f t="shared" si="12"/>
        <v/>
      </c>
      <c r="G136" s="129"/>
      <c r="H136" s="129"/>
      <c r="I136" s="129"/>
      <c r="J136" s="129"/>
      <c r="K136" s="129"/>
      <c r="L136" s="129"/>
      <c r="M136" s="134" t="str">
        <f t="shared" si="13"/>
        <v/>
      </c>
      <c r="N136" s="134" t="str">
        <f t="shared" si="14"/>
        <v/>
      </c>
      <c r="O136" s="129"/>
      <c r="P136" s="133"/>
    </row>
    <row r="137" spans="1:16" x14ac:dyDescent="0.25">
      <c r="A137" s="133"/>
      <c r="B137" s="129"/>
      <c r="C137" s="129"/>
      <c r="D137" s="134" t="str">
        <f t="shared" si="10"/>
        <v/>
      </c>
      <c r="E137" s="134" t="str">
        <f t="shared" si="11"/>
        <v/>
      </c>
      <c r="F137" s="135" t="str">
        <f t="shared" si="12"/>
        <v/>
      </c>
      <c r="G137" s="129"/>
      <c r="H137" s="129"/>
      <c r="I137" s="129"/>
      <c r="J137" s="129"/>
      <c r="K137" s="129"/>
      <c r="L137" s="129"/>
      <c r="M137" s="134" t="str">
        <f t="shared" si="13"/>
        <v/>
      </c>
      <c r="N137" s="134" t="str">
        <f t="shared" si="14"/>
        <v/>
      </c>
      <c r="O137" s="129"/>
      <c r="P137" s="133"/>
    </row>
    <row r="138" spans="1:16" x14ac:dyDescent="0.25">
      <c r="A138" s="133"/>
      <c r="B138" s="129"/>
      <c r="C138" s="129"/>
      <c r="D138" s="134" t="str">
        <f t="shared" si="10"/>
        <v/>
      </c>
      <c r="E138" s="134" t="str">
        <f t="shared" si="11"/>
        <v/>
      </c>
      <c r="F138" s="135" t="str">
        <f t="shared" si="12"/>
        <v/>
      </c>
      <c r="G138" s="129"/>
      <c r="H138" s="129"/>
      <c r="I138" s="129"/>
      <c r="J138" s="129"/>
      <c r="K138" s="129"/>
      <c r="L138" s="129"/>
      <c r="M138" s="134" t="str">
        <f t="shared" si="13"/>
        <v/>
      </c>
      <c r="N138" s="134" t="str">
        <f t="shared" si="14"/>
        <v/>
      </c>
      <c r="O138" s="129"/>
      <c r="P138" s="133"/>
    </row>
    <row r="139" spans="1:16" x14ac:dyDescent="0.25">
      <c r="A139" s="133"/>
      <c r="B139" s="129"/>
      <c r="C139" s="129"/>
      <c r="D139" s="134" t="str">
        <f t="shared" si="10"/>
        <v/>
      </c>
      <c r="E139" s="134" t="str">
        <f t="shared" si="11"/>
        <v/>
      </c>
      <c r="F139" s="135" t="str">
        <f t="shared" si="12"/>
        <v/>
      </c>
      <c r="G139" s="129"/>
      <c r="H139" s="129"/>
      <c r="I139" s="129"/>
      <c r="J139" s="129"/>
      <c r="K139" s="129"/>
      <c r="L139" s="129"/>
      <c r="M139" s="134" t="str">
        <f t="shared" si="13"/>
        <v/>
      </c>
      <c r="N139" s="134" t="str">
        <f t="shared" si="14"/>
        <v/>
      </c>
      <c r="O139" s="129"/>
      <c r="P139" s="133"/>
    </row>
    <row r="140" spans="1:16" x14ac:dyDescent="0.25">
      <c r="A140" s="133"/>
      <c r="B140" s="129"/>
      <c r="C140" s="129"/>
      <c r="D140" s="134" t="str">
        <f t="shared" si="10"/>
        <v/>
      </c>
      <c r="E140" s="134" t="str">
        <f t="shared" si="11"/>
        <v/>
      </c>
      <c r="F140" s="135" t="str">
        <f t="shared" si="12"/>
        <v/>
      </c>
      <c r="G140" s="129"/>
      <c r="H140" s="129"/>
      <c r="I140" s="129"/>
      <c r="J140" s="129"/>
      <c r="K140" s="129"/>
      <c r="L140" s="129"/>
      <c r="M140" s="134" t="str">
        <f t="shared" si="13"/>
        <v/>
      </c>
      <c r="N140" s="134" t="str">
        <f t="shared" si="14"/>
        <v/>
      </c>
      <c r="O140" s="129"/>
      <c r="P140" s="133"/>
    </row>
    <row r="141" spans="1:16" x14ac:dyDescent="0.25">
      <c r="A141" s="133"/>
      <c r="B141" s="129"/>
      <c r="C141" s="129"/>
      <c r="D141" s="134" t="str">
        <f t="shared" si="10"/>
        <v/>
      </c>
      <c r="E141" s="134" t="str">
        <f t="shared" si="11"/>
        <v/>
      </c>
      <c r="F141" s="135" t="str">
        <f t="shared" si="12"/>
        <v/>
      </c>
      <c r="G141" s="129"/>
      <c r="H141" s="129"/>
      <c r="I141" s="129"/>
      <c r="J141" s="129"/>
      <c r="K141" s="129"/>
      <c r="L141" s="129"/>
      <c r="M141" s="134" t="str">
        <f t="shared" si="13"/>
        <v/>
      </c>
      <c r="N141" s="134" t="str">
        <f t="shared" si="14"/>
        <v/>
      </c>
      <c r="O141" s="129"/>
      <c r="P141" s="133"/>
    </row>
    <row r="142" spans="1:16" x14ac:dyDescent="0.25">
      <c r="A142" s="133"/>
      <c r="B142" s="129"/>
      <c r="C142" s="129"/>
      <c r="D142" s="134" t="str">
        <f t="shared" si="10"/>
        <v/>
      </c>
      <c r="E142" s="134" t="str">
        <f t="shared" si="11"/>
        <v/>
      </c>
      <c r="F142" s="135" t="str">
        <f t="shared" si="12"/>
        <v/>
      </c>
      <c r="G142" s="129"/>
      <c r="H142" s="129"/>
      <c r="I142" s="129"/>
      <c r="J142" s="129"/>
      <c r="K142" s="129"/>
      <c r="L142" s="129"/>
      <c r="M142" s="134" t="str">
        <f t="shared" si="13"/>
        <v/>
      </c>
      <c r="N142" s="134" t="str">
        <f t="shared" si="14"/>
        <v/>
      </c>
      <c r="O142" s="129"/>
      <c r="P142" s="133"/>
    </row>
    <row r="143" spans="1:16" x14ac:dyDescent="0.25">
      <c r="A143" s="133"/>
      <c r="B143" s="129"/>
      <c r="C143" s="129"/>
      <c r="D143" s="134" t="str">
        <f t="shared" si="10"/>
        <v/>
      </c>
      <c r="E143" s="134" t="str">
        <f t="shared" si="11"/>
        <v/>
      </c>
      <c r="F143" s="135" t="str">
        <f t="shared" si="12"/>
        <v/>
      </c>
      <c r="G143" s="129"/>
      <c r="H143" s="129"/>
      <c r="I143" s="129"/>
      <c r="J143" s="129"/>
      <c r="K143" s="129"/>
      <c r="L143" s="129"/>
      <c r="M143" s="134" t="str">
        <f t="shared" si="13"/>
        <v/>
      </c>
      <c r="N143" s="134" t="str">
        <f t="shared" si="14"/>
        <v/>
      </c>
      <c r="O143" s="129"/>
      <c r="P143" s="133"/>
    </row>
    <row r="144" spans="1:16" x14ac:dyDescent="0.25">
      <c r="A144" s="133"/>
      <c r="B144" s="129"/>
      <c r="C144" s="129"/>
      <c r="D144" s="134" t="str">
        <f t="shared" si="10"/>
        <v/>
      </c>
      <c r="E144" s="134" t="str">
        <f t="shared" si="11"/>
        <v/>
      </c>
      <c r="F144" s="135" t="str">
        <f t="shared" si="12"/>
        <v/>
      </c>
      <c r="G144" s="129"/>
      <c r="H144" s="129"/>
      <c r="I144" s="129"/>
      <c r="J144" s="129"/>
      <c r="K144" s="129"/>
      <c r="L144" s="129"/>
      <c r="M144" s="134" t="str">
        <f t="shared" si="13"/>
        <v/>
      </c>
      <c r="N144" s="134" t="str">
        <f t="shared" si="14"/>
        <v/>
      </c>
      <c r="O144" s="129"/>
      <c r="P144" s="133"/>
    </row>
    <row r="145" spans="1:16" x14ac:dyDescent="0.25">
      <c r="A145" s="133"/>
      <c r="B145" s="129"/>
      <c r="C145" s="129"/>
      <c r="D145" s="134" t="str">
        <f t="shared" si="10"/>
        <v/>
      </c>
      <c r="E145" s="134" t="str">
        <f t="shared" si="11"/>
        <v/>
      </c>
      <c r="F145" s="135" t="str">
        <f t="shared" si="12"/>
        <v/>
      </c>
      <c r="G145" s="129"/>
      <c r="H145" s="129"/>
      <c r="I145" s="129"/>
      <c r="J145" s="129"/>
      <c r="K145" s="129"/>
      <c r="L145" s="129"/>
      <c r="M145" s="134" t="str">
        <f t="shared" si="13"/>
        <v/>
      </c>
      <c r="N145" s="134" t="str">
        <f t="shared" si="14"/>
        <v/>
      </c>
      <c r="O145" s="129"/>
      <c r="P145" s="133"/>
    </row>
    <row r="146" spans="1:16" x14ac:dyDescent="0.25">
      <c r="A146" s="133"/>
      <c r="B146" s="129"/>
      <c r="C146" s="129"/>
      <c r="D146" s="134" t="str">
        <f t="shared" si="10"/>
        <v/>
      </c>
      <c r="E146" s="134" t="str">
        <f t="shared" si="11"/>
        <v/>
      </c>
      <c r="F146" s="135" t="str">
        <f t="shared" si="12"/>
        <v/>
      </c>
      <c r="G146" s="129"/>
      <c r="H146" s="129"/>
      <c r="I146" s="129"/>
      <c r="J146" s="129"/>
      <c r="K146" s="129"/>
      <c r="L146" s="129"/>
      <c r="M146" s="134" t="str">
        <f t="shared" si="13"/>
        <v/>
      </c>
      <c r="N146" s="134" t="str">
        <f t="shared" si="14"/>
        <v/>
      </c>
      <c r="O146" s="129"/>
      <c r="P146" s="133"/>
    </row>
    <row r="147" spans="1:16" x14ac:dyDescent="0.25">
      <c r="A147" s="133"/>
      <c r="B147" s="129"/>
      <c r="C147" s="129"/>
      <c r="D147" s="134" t="str">
        <f t="shared" si="10"/>
        <v/>
      </c>
      <c r="E147" s="134" t="str">
        <f t="shared" si="11"/>
        <v/>
      </c>
      <c r="F147" s="135" t="str">
        <f t="shared" si="12"/>
        <v/>
      </c>
      <c r="G147" s="129"/>
      <c r="H147" s="129"/>
      <c r="I147" s="129"/>
      <c r="J147" s="129"/>
      <c r="K147" s="129"/>
      <c r="L147" s="129"/>
      <c r="M147" s="134" t="str">
        <f t="shared" si="13"/>
        <v/>
      </c>
      <c r="N147" s="134" t="str">
        <f t="shared" si="14"/>
        <v/>
      </c>
      <c r="O147" s="129"/>
      <c r="P147" s="133"/>
    </row>
    <row r="148" spans="1:16" x14ac:dyDescent="0.25">
      <c r="A148" s="133"/>
      <c r="B148" s="129"/>
      <c r="C148" s="129"/>
      <c r="D148" s="134" t="str">
        <f t="shared" si="10"/>
        <v/>
      </c>
      <c r="E148" s="134" t="str">
        <f t="shared" si="11"/>
        <v/>
      </c>
      <c r="F148" s="135" t="str">
        <f t="shared" si="12"/>
        <v/>
      </c>
      <c r="G148" s="129"/>
      <c r="H148" s="129"/>
      <c r="I148" s="129"/>
      <c r="J148" s="129"/>
      <c r="K148" s="129"/>
      <c r="L148" s="129"/>
      <c r="M148" s="134" t="str">
        <f t="shared" si="13"/>
        <v/>
      </c>
      <c r="N148" s="134" t="str">
        <f t="shared" si="14"/>
        <v/>
      </c>
      <c r="O148" s="129"/>
      <c r="P148" s="133"/>
    </row>
    <row r="149" spans="1:16" x14ac:dyDescent="0.25">
      <c r="A149" s="133"/>
      <c r="B149" s="129"/>
      <c r="C149" s="129"/>
      <c r="D149" s="134" t="str">
        <f t="shared" si="10"/>
        <v/>
      </c>
      <c r="E149" s="134" t="str">
        <f t="shared" si="11"/>
        <v/>
      </c>
      <c r="F149" s="135" t="str">
        <f t="shared" si="12"/>
        <v/>
      </c>
      <c r="G149" s="129"/>
      <c r="H149" s="129"/>
      <c r="I149" s="129"/>
      <c r="J149" s="129"/>
      <c r="K149" s="129"/>
      <c r="L149" s="129"/>
      <c r="M149" s="134" t="str">
        <f t="shared" si="13"/>
        <v/>
      </c>
      <c r="N149" s="134" t="str">
        <f t="shared" si="14"/>
        <v/>
      </c>
      <c r="O149" s="129"/>
      <c r="P149" s="133"/>
    </row>
    <row r="150" spans="1:16" x14ac:dyDescent="0.25">
      <c r="A150" s="133"/>
      <c r="B150" s="129"/>
      <c r="C150" s="129"/>
      <c r="D150" s="134" t="str">
        <f t="shared" si="10"/>
        <v/>
      </c>
      <c r="E150" s="134" t="str">
        <f t="shared" si="11"/>
        <v/>
      </c>
      <c r="F150" s="135" t="str">
        <f t="shared" si="12"/>
        <v/>
      </c>
      <c r="G150" s="129"/>
      <c r="H150" s="129"/>
      <c r="I150" s="129"/>
      <c r="J150" s="129"/>
      <c r="K150" s="129"/>
      <c r="L150" s="129"/>
      <c r="M150" s="134" t="str">
        <f t="shared" si="13"/>
        <v/>
      </c>
      <c r="N150" s="134" t="str">
        <f t="shared" si="14"/>
        <v/>
      </c>
      <c r="O150" s="129"/>
      <c r="P150" s="133"/>
    </row>
    <row r="151" spans="1:16" x14ac:dyDescent="0.25">
      <c r="A151" s="133"/>
      <c r="B151" s="129"/>
      <c r="C151" s="129"/>
      <c r="D151" s="134" t="str">
        <f t="shared" si="10"/>
        <v/>
      </c>
      <c r="E151" s="134" t="str">
        <f t="shared" si="11"/>
        <v/>
      </c>
      <c r="F151" s="135" t="str">
        <f t="shared" si="12"/>
        <v/>
      </c>
      <c r="G151" s="129"/>
      <c r="H151" s="129"/>
      <c r="I151" s="129"/>
      <c r="J151" s="129"/>
      <c r="K151" s="129"/>
      <c r="L151" s="129"/>
      <c r="M151" s="134" t="str">
        <f t="shared" si="13"/>
        <v/>
      </c>
      <c r="N151" s="134" t="str">
        <f t="shared" si="14"/>
        <v/>
      </c>
      <c r="O151" s="129"/>
      <c r="P151" s="133"/>
    </row>
    <row r="152" spans="1:16" x14ac:dyDescent="0.25">
      <c r="A152" s="133"/>
      <c r="B152" s="129"/>
      <c r="C152" s="129"/>
      <c r="D152" s="134" t="str">
        <f t="shared" si="10"/>
        <v/>
      </c>
      <c r="E152" s="134" t="str">
        <f t="shared" si="11"/>
        <v/>
      </c>
      <c r="F152" s="135" t="str">
        <f t="shared" si="12"/>
        <v/>
      </c>
      <c r="G152" s="129"/>
      <c r="H152" s="129"/>
      <c r="I152" s="129"/>
      <c r="J152" s="129"/>
      <c r="K152" s="129"/>
      <c r="L152" s="129"/>
      <c r="M152" s="134" t="str">
        <f t="shared" si="13"/>
        <v/>
      </c>
      <c r="N152" s="134" t="str">
        <f t="shared" si="14"/>
        <v/>
      </c>
      <c r="O152" s="129"/>
      <c r="P152" s="133"/>
    </row>
    <row r="153" spans="1:16" x14ac:dyDescent="0.25">
      <c r="A153" s="133"/>
      <c r="B153" s="129"/>
      <c r="C153" s="129"/>
      <c r="D153" s="134" t="str">
        <f t="shared" si="10"/>
        <v/>
      </c>
      <c r="E153" s="134" t="str">
        <f t="shared" si="11"/>
        <v/>
      </c>
      <c r="F153" s="135" t="str">
        <f t="shared" si="12"/>
        <v/>
      </c>
      <c r="G153" s="129"/>
      <c r="H153" s="129"/>
      <c r="I153" s="129"/>
      <c r="J153" s="129"/>
      <c r="K153" s="129"/>
      <c r="L153" s="129"/>
      <c r="M153" s="134" t="str">
        <f t="shared" si="13"/>
        <v/>
      </c>
      <c r="N153" s="134" t="str">
        <f t="shared" si="14"/>
        <v/>
      </c>
      <c r="O153" s="129"/>
      <c r="P153" s="133"/>
    </row>
    <row r="154" spans="1:16" x14ac:dyDescent="0.25">
      <c r="A154" s="133"/>
      <c r="B154" s="129"/>
      <c r="C154" s="129"/>
      <c r="D154" s="134" t="str">
        <f t="shared" si="10"/>
        <v/>
      </c>
      <c r="E154" s="134" t="str">
        <f t="shared" si="11"/>
        <v/>
      </c>
      <c r="F154" s="135" t="str">
        <f t="shared" si="12"/>
        <v/>
      </c>
      <c r="G154" s="129"/>
      <c r="H154" s="129"/>
      <c r="I154" s="129"/>
      <c r="J154" s="129"/>
      <c r="K154" s="129"/>
      <c r="L154" s="129"/>
      <c r="M154" s="134" t="str">
        <f t="shared" si="13"/>
        <v/>
      </c>
      <c r="N154" s="134" t="str">
        <f t="shared" si="14"/>
        <v/>
      </c>
      <c r="O154" s="129"/>
      <c r="P154" s="133"/>
    </row>
    <row r="155" spans="1:16" x14ac:dyDescent="0.25">
      <c r="A155" s="133"/>
      <c r="B155" s="129"/>
      <c r="C155" s="129"/>
      <c r="D155" s="134" t="str">
        <f t="shared" si="10"/>
        <v/>
      </c>
      <c r="E155" s="134" t="str">
        <f t="shared" si="11"/>
        <v/>
      </c>
      <c r="F155" s="135" t="str">
        <f t="shared" si="12"/>
        <v/>
      </c>
      <c r="G155" s="129"/>
      <c r="H155" s="129"/>
      <c r="I155" s="129"/>
      <c r="J155" s="129"/>
      <c r="K155" s="129"/>
      <c r="L155" s="129"/>
      <c r="M155" s="134" t="str">
        <f t="shared" si="13"/>
        <v/>
      </c>
      <c r="N155" s="134" t="str">
        <f t="shared" si="14"/>
        <v/>
      </c>
      <c r="O155" s="129"/>
      <c r="P155" s="133"/>
    </row>
    <row r="156" spans="1:16" x14ac:dyDescent="0.25">
      <c r="A156" s="133"/>
      <c r="B156" s="129"/>
      <c r="C156" s="129"/>
      <c r="D156" s="134" t="str">
        <f t="shared" si="10"/>
        <v/>
      </c>
      <c r="E156" s="134" t="str">
        <f t="shared" si="11"/>
        <v/>
      </c>
      <c r="F156" s="135" t="str">
        <f t="shared" si="12"/>
        <v/>
      </c>
      <c r="G156" s="129"/>
      <c r="H156" s="129"/>
      <c r="I156" s="129"/>
      <c r="J156" s="129"/>
      <c r="K156" s="129"/>
      <c r="L156" s="129"/>
      <c r="M156" s="134" t="str">
        <f t="shared" si="13"/>
        <v/>
      </c>
      <c r="N156" s="134" t="str">
        <f t="shared" si="14"/>
        <v/>
      </c>
      <c r="O156" s="129"/>
      <c r="P156" s="133"/>
    </row>
    <row r="157" spans="1:16" x14ac:dyDescent="0.25">
      <c r="A157" s="133"/>
      <c r="B157" s="129"/>
      <c r="C157" s="129"/>
      <c r="D157" s="134" t="str">
        <f t="shared" si="10"/>
        <v/>
      </c>
      <c r="E157" s="134" t="str">
        <f t="shared" si="11"/>
        <v/>
      </c>
      <c r="F157" s="135" t="str">
        <f t="shared" si="12"/>
        <v/>
      </c>
      <c r="G157" s="129"/>
      <c r="H157" s="129"/>
      <c r="I157" s="129"/>
      <c r="J157" s="129"/>
      <c r="K157" s="129"/>
      <c r="L157" s="129"/>
      <c r="M157" s="134" t="str">
        <f t="shared" si="13"/>
        <v/>
      </c>
      <c r="N157" s="134" t="str">
        <f t="shared" si="14"/>
        <v/>
      </c>
      <c r="O157" s="129"/>
      <c r="P157" s="133"/>
    </row>
    <row r="158" spans="1:16" x14ac:dyDescent="0.25">
      <c r="A158" s="133"/>
      <c r="B158" s="129"/>
      <c r="C158" s="129"/>
      <c r="D158" s="134" t="str">
        <f t="shared" si="10"/>
        <v/>
      </c>
      <c r="E158" s="134" t="str">
        <f t="shared" si="11"/>
        <v/>
      </c>
      <c r="F158" s="135" t="str">
        <f t="shared" si="12"/>
        <v/>
      </c>
      <c r="G158" s="129"/>
      <c r="H158" s="129"/>
      <c r="I158" s="129"/>
      <c r="J158" s="129"/>
      <c r="K158" s="129"/>
      <c r="L158" s="129"/>
      <c r="M158" s="134" t="str">
        <f t="shared" si="13"/>
        <v/>
      </c>
      <c r="N158" s="134" t="str">
        <f t="shared" si="14"/>
        <v/>
      </c>
      <c r="O158" s="129"/>
      <c r="P158" s="133"/>
    </row>
    <row r="159" spans="1:16" x14ac:dyDescent="0.25">
      <c r="A159" s="133"/>
      <c r="B159" s="129"/>
      <c r="C159" s="129"/>
      <c r="D159" s="134" t="str">
        <f t="shared" si="10"/>
        <v/>
      </c>
      <c r="E159" s="134" t="str">
        <f t="shared" si="11"/>
        <v/>
      </c>
      <c r="F159" s="135" t="str">
        <f t="shared" si="12"/>
        <v/>
      </c>
      <c r="G159" s="129"/>
      <c r="H159" s="129"/>
      <c r="I159" s="129"/>
      <c r="J159" s="129"/>
      <c r="K159" s="129"/>
      <c r="L159" s="129"/>
      <c r="M159" s="134" t="str">
        <f t="shared" si="13"/>
        <v/>
      </c>
      <c r="N159" s="134" t="str">
        <f t="shared" si="14"/>
        <v/>
      </c>
      <c r="O159" s="129"/>
      <c r="P159" s="133"/>
    </row>
    <row r="160" spans="1:16" x14ac:dyDescent="0.25">
      <c r="A160" s="133"/>
      <c r="B160" s="129"/>
      <c r="C160" s="129"/>
      <c r="D160" s="134" t="str">
        <f t="shared" si="10"/>
        <v/>
      </c>
      <c r="E160" s="134" t="str">
        <f t="shared" si="11"/>
        <v/>
      </c>
      <c r="F160" s="135" t="str">
        <f t="shared" si="12"/>
        <v/>
      </c>
      <c r="G160" s="129"/>
      <c r="H160" s="129"/>
      <c r="I160" s="129"/>
      <c r="J160" s="129"/>
      <c r="K160" s="129"/>
      <c r="L160" s="129"/>
      <c r="M160" s="134" t="str">
        <f t="shared" si="13"/>
        <v/>
      </c>
      <c r="N160" s="134" t="str">
        <f t="shared" si="14"/>
        <v/>
      </c>
      <c r="O160" s="129"/>
      <c r="P160" s="133"/>
    </row>
    <row r="161" spans="1:16" x14ac:dyDescent="0.25">
      <c r="A161" s="133"/>
      <c r="B161" s="129"/>
      <c r="C161" s="129"/>
      <c r="D161" s="134" t="str">
        <f t="shared" si="10"/>
        <v/>
      </c>
      <c r="E161" s="134" t="str">
        <f t="shared" si="11"/>
        <v/>
      </c>
      <c r="F161" s="135" t="str">
        <f t="shared" si="12"/>
        <v/>
      </c>
      <c r="G161" s="129"/>
      <c r="H161" s="129"/>
      <c r="I161" s="129"/>
      <c r="J161" s="129"/>
      <c r="K161" s="129"/>
      <c r="L161" s="129"/>
      <c r="M161" s="134" t="str">
        <f t="shared" si="13"/>
        <v/>
      </c>
      <c r="N161" s="134" t="str">
        <f t="shared" si="14"/>
        <v/>
      </c>
      <c r="O161" s="129"/>
      <c r="P161" s="133"/>
    </row>
    <row r="162" spans="1:16" x14ac:dyDescent="0.25">
      <c r="A162" s="133"/>
      <c r="B162" s="129"/>
      <c r="C162" s="129"/>
      <c r="D162" s="134" t="str">
        <f t="shared" si="10"/>
        <v/>
      </c>
      <c r="E162" s="134" t="str">
        <f t="shared" si="11"/>
        <v/>
      </c>
      <c r="F162" s="135" t="str">
        <f t="shared" si="12"/>
        <v/>
      </c>
      <c r="G162" s="129"/>
      <c r="H162" s="129"/>
      <c r="I162" s="129"/>
      <c r="J162" s="129"/>
      <c r="K162" s="129"/>
      <c r="L162" s="129"/>
      <c r="M162" s="134" t="str">
        <f t="shared" si="13"/>
        <v/>
      </c>
      <c r="N162" s="134" t="str">
        <f t="shared" si="14"/>
        <v/>
      </c>
      <c r="O162" s="129"/>
      <c r="P162" s="133"/>
    </row>
    <row r="163" spans="1:16" x14ac:dyDescent="0.25">
      <c r="A163" s="133"/>
      <c r="B163" s="129"/>
      <c r="C163" s="129"/>
      <c r="D163" s="134" t="str">
        <f t="shared" si="10"/>
        <v/>
      </c>
      <c r="E163" s="134" t="str">
        <f t="shared" si="11"/>
        <v/>
      </c>
      <c r="F163" s="135" t="str">
        <f t="shared" si="12"/>
        <v/>
      </c>
      <c r="G163" s="129"/>
      <c r="H163" s="129"/>
      <c r="I163" s="129"/>
      <c r="J163" s="129"/>
      <c r="K163" s="129"/>
      <c r="L163" s="129"/>
      <c r="M163" s="134" t="str">
        <f t="shared" si="13"/>
        <v/>
      </c>
      <c r="N163" s="134" t="str">
        <f t="shared" si="14"/>
        <v/>
      </c>
      <c r="O163" s="129"/>
      <c r="P163" s="133"/>
    </row>
    <row r="164" spans="1:16" x14ac:dyDescent="0.25">
      <c r="A164" s="133"/>
      <c r="B164" s="129"/>
      <c r="C164" s="129"/>
      <c r="D164" s="134" t="str">
        <f t="shared" si="10"/>
        <v/>
      </c>
      <c r="E164" s="134" t="str">
        <f t="shared" si="11"/>
        <v/>
      </c>
      <c r="F164" s="135" t="str">
        <f t="shared" si="12"/>
        <v/>
      </c>
      <c r="G164" s="129"/>
      <c r="H164" s="129"/>
      <c r="I164" s="129"/>
      <c r="J164" s="129"/>
      <c r="K164" s="129"/>
      <c r="L164" s="129"/>
      <c r="M164" s="134" t="str">
        <f t="shared" si="13"/>
        <v/>
      </c>
      <c r="N164" s="134" t="str">
        <f t="shared" si="14"/>
        <v/>
      </c>
      <c r="O164" s="129"/>
      <c r="P164" s="133"/>
    </row>
    <row r="165" spans="1:16" x14ac:dyDescent="0.25">
      <c r="A165" s="133"/>
      <c r="B165" s="129"/>
      <c r="C165" s="129"/>
      <c r="D165" s="134" t="str">
        <f t="shared" si="10"/>
        <v/>
      </c>
      <c r="E165" s="134" t="str">
        <f t="shared" si="11"/>
        <v/>
      </c>
      <c r="F165" s="135" t="str">
        <f t="shared" si="12"/>
        <v/>
      </c>
      <c r="G165" s="129"/>
      <c r="H165" s="129"/>
      <c r="I165" s="129"/>
      <c r="J165" s="129"/>
      <c r="K165" s="129"/>
      <c r="L165" s="129"/>
      <c r="M165" s="134" t="str">
        <f t="shared" si="13"/>
        <v/>
      </c>
      <c r="N165" s="134" t="str">
        <f t="shared" si="14"/>
        <v/>
      </c>
      <c r="O165" s="129"/>
      <c r="P165" s="133"/>
    </row>
    <row r="166" spans="1:16" x14ac:dyDescent="0.25">
      <c r="A166" s="133"/>
      <c r="B166" s="129"/>
      <c r="C166" s="129"/>
      <c r="D166" s="134" t="str">
        <f t="shared" si="10"/>
        <v/>
      </c>
      <c r="E166" s="134" t="str">
        <f t="shared" si="11"/>
        <v/>
      </c>
      <c r="F166" s="135" t="str">
        <f t="shared" si="12"/>
        <v/>
      </c>
      <c r="G166" s="129"/>
      <c r="H166" s="129"/>
      <c r="I166" s="129"/>
      <c r="J166" s="129"/>
      <c r="K166" s="129"/>
      <c r="L166" s="129"/>
      <c r="M166" s="134" t="str">
        <f t="shared" si="13"/>
        <v/>
      </c>
      <c r="N166" s="134" t="str">
        <f t="shared" si="14"/>
        <v/>
      </c>
      <c r="O166" s="129"/>
      <c r="P166" s="133"/>
    </row>
    <row r="167" spans="1:16" x14ac:dyDescent="0.25">
      <c r="A167" s="133"/>
      <c r="B167" s="129"/>
      <c r="C167" s="129"/>
      <c r="D167" s="134" t="str">
        <f t="shared" si="10"/>
        <v/>
      </c>
      <c r="E167" s="134" t="str">
        <f t="shared" si="11"/>
        <v/>
      </c>
      <c r="F167" s="135" t="str">
        <f t="shared" si="12"/>
        <v/>
      </c>
      <c r="G167" s="129"/>
      <c r="H167" s="129"/>
      <c r="I167" s="129"/>
      <c r="J167" s="129"/>
      <c r="K167" s="129"/>
      <c r="L167" s="129"/>
      <c r="M167" s="134" t="str">
        <f t="shared" si="13"/>
        <v/>
      </c>
      <c r="N167" s="134" t="str">
        <f t="shared" si="14"/>
        <v/>
      </c>
      <c r="O167" s="129"/>
      <c r="P167" s="133"/>
    </row>
    <row r="168" spans="1:16" x14ac:dyDescent="0.25">
      <c r="A168" s="133"/>
      <c r="B168" s="129"/>
      <c r="C168" s="129"/>
      <c r="D168" s="134" t="str">
        <f t="shared" si="10"/>
        <v/>
      </c>
      <c r="E168" s="134" t="str">
        <f t="shared" si="11"/>
        <v/>
      </c>
      <c r="F168" s="135" t="str">
        <f t="shared" si="12"/>
        <v/>
      </c>
      <c r="G168" s="129"/>
      <c r="H168" s="129"/>
      <c r="I168" s="129"/>
      <c r="J168" s="129"/>
      <c r="K168" s="129"/>
      <c r="L168" s="129"/>
      <c r="M168" s="134" t="str">
        <f t="shared" si="13"/>
        <v/>
      </c>
      <c r="N168" s="134" t="str">
        <f t="shared" si="14"/>
        <v/>
      </c>
      <c r="O168" s="129"/>
      <c r="P168" s="133"/>
    </row>
    <row r="169" spans="1:16" x14ac:dyDescent="0.25">
      <c r="A169" s="133"/>
      <c r="B169" s="129"/>
      <c r="C169" s="129"/>
      <c r="D169" s="134" t="str">
        <f t="shared" si="10"/>
        <v/>
      </c>
      <c r="E169" s="134" t="str">
        <f t="shared" si="11"/>
        <v/>
      </c>
      <c r="F169" s="135" t="str">
        <f t="shared" si="12"/>
        <v/>
      </c>
      <c r="G169" s="129"/>
      <c r="H169" s="129"/>
      <c r="I169" s="129"/>
      <c r="J169" s="129"/>
      <c r="K169" s="129"/>
      <c r="L169" s="129"/>
      <c r="M169" s="134" t="str">
        <f t="shared" si="13"/>
        <v/>
      </c>
      <c r="N169" s="134" t="str">
        <f t="shared" si="14"/>
        <v/>
      </c>
      <c r="O169" s="129"/>
      <c r="P169" s="133"/>
    </row>
    <row r="170" spans="1:16" x14ac:dyDescent="0.25">
      <c r="A170" s="133"/>
      <c r="B170" s="129"/>
      <c r="C170" s="129"/>
      <c r="D170" s="134" t="str">
        <f t="shared" si="10"/>
        <v/>
      </c>
      <c r="E170" s="134" t="str">
        <f t="shared" si="11"/>
        <v/>
      </c>
      <c r="F170" s="135" t="str">
        <f t="shared" si="12"/>
        <v/>
      </c>
      <c r="G170" s="129"/>
      <c r="H170" s="129"/>
      <c r="I170" s="129"/>
      <c r="J170" s="129"/>
      <c r="K170" s="129"/>
      <c r="L170" s="129"/>
      <c r="M170" s="134" t="str">
        <f t="shared" si="13"/>
        <v/>
      </c>
      <c r="N170" s="134" t="str">
        <f t="shared" si="14"/>
        <v/>
      </c>
      <c r="O170" s="129"/>
      <c r="P170" s="133"/>
    </row>
    <row r="171" spans="1:16" x14ac:dyDescent="0.25">
      <c r="A171" s="133"/>
      <c r="B171" s="129"/>
      <c r="C171" s="129"/>
      <c r="D171" s="134" t="str">
        <f t="shared" si="10"/>
        <v/>
      </c>
      <c r="E171" s="134" t="str">
        <f t="shared" si="11"/>
        <v/>
      </c>
      <c r="F171" s="135" t="str">
        <f t="shared" si="12"/>
        <v/>
      </c>
      <c r="G171" s="129"/>
      <c r="H171" s="129"/>
      <c r="I171" s="129"/>
      <c r="J171" s="129"/>
      <c r="K171" s="129"/>
      <c r="L171" s="129"/>
      <c r="M171" s="134" t="str">
        <f t="shared" si="13"/>
        <v/>
      </c>
      <c r="N171" s="134" t="str">
        <f t="shared" si="14"/>
        <v/>
      </c>
      <c r="O171" s="129"/>
      <c r="P171" s="133"/>
    </row>
    <row r="172" spans="1:16" x14ac:dyDescent="0.25">
      <c r="A172" s="133"/>
      <c r="B172" s="129"/>
      <c r="C172" s="129"/>
      <c r="D172" s="134" t="str">
        <f t="shared" si="10"/>
        <v/>
      </c>
      <c r="E172" s="134" t="str">
        <f t="shared" si="11"/>
        <v/>
      </c>
      <c r="F172" s="135" t="str">
        <f t="shared" si="12"/>
        <v/>
      </c>
      <c r="G172" s="129"/>
      <c r="H172" s="129"/>
      <c r="I172" s="129"/>
      <c r="J172" s="129"/>
      <c r="K172" s="129"/>
      <c r="L172" s="129"/>
      <c r="M172" s="134" t="str">
        <f t="shared" si="13"/>
        <v/>
      </c>
      <c r="N172" s="134" t="str">
        <f t="shared" si="14"/>
        <v/>
      </c>
      <c r="O172" s="129"/>
      <c r="P172" s="133"/>
    </row>
    <row r="173" spans="1:16" x14ac:dyDescent="0.25">
      <c r="A173" s="133"/>
      <c r="B173" s="129"/>
      <c r="C173" s="129"/>
      <c r="D173" s="134" t="str">
        <f t="shared" si="10"/>
        <v/>
      </c>
      <c r="E173" s="134" t="str">
        <f t="shared" si="11"/>
        <v/>
      </c>
      <c r="F173" s="135" t="str">
        <f t="shared" si="12"/>
        <v/>
      </c>
      <c r="G173" s="129"/>
      <c r="H173" s="129"/>
      <c r="I173" s="129"/>
      <c r="J173" s="129"/>
      <c r="K173" s="129"/>
      <c r="L173" s="129"/>
      <c r="M173" s="134" t="str">
        <f t="shared" si="13"/>
        <v/>
      </c>
      <c r="N173" s="134" t="str">
        <f t="shared" si="14"/>
        <v/>
      </c>
      <c r="O173" s="129"/>
      <c r="P173" s="133"/>
    </row>
    <row r="174" spans="1:16" x14ac:dyDescent="0.25">
      <c r="A174" s="133"/>
      <c r="B174" s="129"/>
      <c r="C174" s="129"/>
      <c r="D174" s="134" t="str">
        <f t="shared" si="10"/>
        <v/>
      </c>
      <c r="E174" s="134" t="str">
        <f t="shared" si="11"/>
        <v/>
      </c>
      <c r="F174" s="135" t="str">
        <f t="shared" si="12"/>
        <v/>
      </c>
      <c r="G174" s="129"/>
      <c r="H174" s="129"/>
      <c r="I174" s="129"/>
      <c r="J174" s="129"/>
      <c r="K174" s="129"/>
      <c r="L174" s="129"/>
      <c r="M174" s="134" t="str">
        <f t="shared" si="13"/>
        <v/>
      </c>
      <c r="N174" s="134" t="str">
        <f t="shared" si="14"/>
        <v/>
      </c>
      <c r="O174" s="129"/>
      <c r="P174" s="133"/>
    </row>
    <row r="175" spans="1:16" x14ac:dyDescent="0.25">
      <c r="A175" s="133"/>
      <c r="B175" s="129"/>
      <c r="C175" s="129"/>
      <c r="D175" s="134" t="str">
        <f t="shared" si="10"/>
        <v/>
      </c>
      <c r="E175" s="134" t="str">
        <f t="shared" si="11"/>
        <v/>
      </c>
      <c r="F175" s="135" t="str">
        <f t="shared" si="12"/>
        <v/>
      </c>
      <c r="G175" s="129"/>
      <c r="H175" s="129"/>
      <c r="I175" s="129"/>
      <c r="J175" s="129"/>
      <c r="K175" s="129"/>
      <c r="L175" s="129"/>
      <c r="M175" s="134" t="str">
        <f t="shared" si="13"/>
        <v/>
      </c>
      <c r="N175" s="134" t="str">
        <f t="shared" si="14"/>
        <v/>
      </c>
      <c r="O175" s="129"/>
      <c r="P175" s="133"/>
    </row>
    <row r="176" spans="1:16" x14ac:dyDescent="0.25">
      <c r="A176" s="133"/>
      <c r="B176" s="129"/>
      <c r="C176" s="129"/>
      <c r="D176" s="134" t="str">
        <f t="shared" si="10"/>
        <v/>
      </c>
      <c r="E176" s="134" t="str">
        <f t="shared" si="11"/>
        <v/>
      </c>
      <c r="F176" s="135" t="str">
        <f t="shared" si="12"/>
        <v/>
      </c>
      <c r="G176" s="129"/>
      <c r="H176" s="129"/>
      <c r="I176" s="129"/>
      <c r="J176" s="129"/>
      <c r="K176" s="129"/>
      <c r="L176" s="129"/>
      <c r="M176" s="134" t="str">
        <f t="shared" si="13"/>
        <v/>
      </c>
      <c r="N176" s="134" t="str">
        <f t="shared" si="14"/>
        <v/>
      </c>
      <c r="O176" s="129"/>
      <c r="P176" s="133"/>
    </row>
    <row r="177" spans="1:16" x14ac:dyDescent="0.25">
      <c r="A177" s="133"/>
      <c r="B177" s="129"/>
      <c r="C177" s="129"/>
      <c r="D177" s="134" t="str">
        <f t="shared" si="10"/>
        <v/>
      </c>
      <c r="E177" s="134" t="str">
        <f t="shared" si="11"/>
        <v/>
      </c>
      <c r="F177" s="135" t="str">
        <f t="shared" si="12"/>
        <v/>
      </c>
      <c r="G177" s="129"/>
      <c r="H177" s="129"/>
      <c r="I177" s="129"/>
      <c r="J177" s="129"/>
      <c r="K177" s="129"/>
      <c r="L177" s="129"/>
      <c r="M177" s="134" t="str">
        <f t="shared" si="13"/>
        <v/>
      </c>
      <c r="N177" s="134" t="str">
        <f t="shared" si="14"/>
        <v/>
      </c>
      <c r="O177" s="129"/>
      <c r="P177" s="133"/>
    </row>
    <row r="178" spans="1:16" x14ac:dyDescent="0.25">
      <c r="A178" s="133"/>
      <c r="B178" s="129"/>
      <c r="C178" s="129"/>
      <c r="D178" s="134" t="str">
        <f t="shared" si="10"/>
        <v/>
      </c>
      <c r="E178" s="134" t="str">
        <f t="shared" si="11"/>
        <v/>
      </c>
      <c r="F178" s="135" t="str">
        <f t="shared" si="12"/>
        <v/>
      </c>
      <c r="G178" s="129"/>
      <c r="H178" s="129"/>
      <c r="I178" s="129"/>
      <c r="J178" s="129"/>
      <c r="K178" s="129"/>
      <c r="L178" s="129"/>
      <c r="M178" s="134" t="str">
        <f t="shared" si="13"/>
        <v/>
      </c>
      <c r="N178" s="134" t="str">
        <f t="shared" si="14"/>
        <v/>
      </c>
      <c r="O178" s="129"/>
      <c r="P178" s="133"/>
    </row>
    <row r="179" spans="1:16" x14ac:dyDescent="0.25">
      <c r="A179" s="133"/>
      <c r="B179" s="129"/>
      <c r="C179" s="129"/>
      <c r="D179" s="134" t="str">
        <f t="shared" si="10"/>
        <v/>
      </c>
      <c r="E179" s="134" t="str">
        <f t="shared" si="11"/>
        <v/>
      </c>
      <c r="F179" s="135" t="str">
        <f t="shared" si="12"/>
        <v/>
      </c>
      <c r="G179" s="129"/>
      <c r="H179" s="129"/>
      <c r="I179" s="129"/>
      <c r="J179" s="129"/>
      <c r="K179" s="129"/>
      <c r="L179" s="129"/>
      <c r="M179" s="134" t="str">
        <f t="shared" si="13"/>
        <v/>
      </c>
      <c r="N179" s="134" t="str">
        <f t="shared" si="14"/>
        <v/>
      </c>
      <c r="O179" s="129"/>
      <c r="P179" s="133"/>
    </row>
    <row r="180" spans="1:16" x14ac:dyDescent="0.25">
      <c r="A180" s="133"/>
      <c r="B180" s="129"/>
      <c r="C180" s="129"/>
      <c r="D180" s="134" t="str">
        <f t="shared" si="10"/>
        <v/>
      </c>
      <c r="E180" s="134" t="str">
        <f t="shared" si="11"/>
        <v/>
      </c>
      <c r="F180" s="135" t="str">
        <f t="shared" si="12"/>
        <v/>
      </c>
      <c r="G180" s="129"/>
      <c r="H180" s="129"/>
      <c r="I180" s="129"/>
      <c r="J180" s="129"/>
      <c r="K180" s="129"/>
      <c r="L180" s="129"/>
      <c r="M180" s="134" t="str">
        <f t="shared" si="13"/>
        <v/>
      </c>
      <c r="N180" s="134" t="str">
        <f t="shared" si="14"/>
        <v/>
      </c>
      <c r="O180" s="129"/>
      <c r="P180" s="133"/>
    </row>
    <row r="181" spans="1:16" x14ac:dyDescent="0.25">
      <c r="A181" s="133"/>
      <c r="B181" s="129"/>
      <c r="C181" s="129"/>
      <c r="D181" s="134" t="str">
        <f t="shared" si="10"/>
        <v/>
      </c>
      <c r="E181" s="134" t="str">
        <f t="shared" si="11"/>
        <v/>
      </c>
      <c r="F181" s="135" t="str">
        <f t="shared" si="12"/>
        <v/>
      </c>
      <c r="G181" s="129"/>
      <c r="H181" s="129"/>
      <c r="I181" s="129"/>
      <c r="J181" s="129"/>
      <c r="K181" s="129"/>
      <c r="L181" s="129"/>
      <c r="M181" s="134" t="str">
        <f t="shared" si="13"/>
        <v/>
      </c>
      <c r="N181" s="134" t="str">
        <f t="shared" si="14"/>
        <v/>
      </c>
      <c r="O181" s="129"/>
      <c r="P181" s="133"/>
    </row>
    <row r="182" spans="1:16" x14ac:dyDescent="0.25">
      <c r="A182" s="133"/>
      <c r="B182" s="129"/>
      <c r="C182" s="129"/>
      <c r="D182" s="134" t="str">
        <f t="shared" si="10"/>
        <v/>
      </c>
      <c r="E182" s="134" t="str">
        <f t="shared" si="11"/>
        <v/>
      </c>
      <c r="F182" s="135" t="str">
        <f t="shared" si="12"/>
        <v/>
      </c>
      <c r="G182" s="129"/>
      <c r="H182" s="129"/>
      <c r="I182" s="129"/>
      <c r="J182" s="129"/>
      <c r="K182" s="129"/>
      <c r="L182" s="129"/>
      <c r="M182" s="134" t="str">
        <f t="shared" si="13"/>
        <v/>
      </c>
      <c r="N182" s="134" t="str">
        <f t="shared" si="14"/>
        <v/>
      </c>
      <c r="O182" s="129"/>
      <c r="P182" s="133"/>
    </row>
    <row r="183" spans="1:16" x14ac:dyDescent="0.25">
      <c r="A183" s="133"/>
      <c r="B183" s="129"/>
      <c r="C183" s="129"/>
      <c r="D183" s="134" t="str">
        <f t="shared" si="10"/>
        <v/>
      </c>
      <c r="E183" s="134" t="str">
        <f t="shared" si="11"/>
        <v/>
      </c>
      <c r="F183" s="135" t="str">
        <f t="shared" si="12"/>
        <v/>
      </c>
      <c r="G183" s="129"/>
      <c r="H183" s="129"/>
      <c r="I183" s="129"/>
      <c r="J183" s="129"/>
      <c r="K183" s="129"/>
      <c r="L183" s="129"/>
      <c r="M183" s="134" t="str">
        <f t="shared" si="13"/>
        <v/>
      </c>
      <c r="N183" s="134" t="str">
        <f t="shared" si="14"/>
        <v/>
      </c>
      <c r="O183" s="129"/>
      <c r="P183" s="133"/>
    </row>
    <row r="184" spans="1:16" x14ac:dyDescent="0.25">
      <c r="A184" s="133"/>
      <c r="B184" s="129"/>
      <c r="C184" s="129"/>
      <c r="D184" s="134" t="str">
        <f t="shared" si="10"/>
        <v/>
      </c>
      <c r="E184" s="134" t="str">
        <f t="shared" si="11"/>
        <v/>
      </c>
      <c r="F184" s="135" t="str">
        <f t="shared" si="12"/>
        <v/>
      </c>
      <c r="G184" s="129"/>
      <c r="H184" s="129"/>
      <c r="I184" s="129"/>
      <c r="J184" s="129"/>
      <c r="K184" s="129"/>
      <c r="L184" s="129"/>
      <c r="M184" s="134" t="str">
        <f t="shared" si="13"/>
        <v/>
      </c>
      <c r="N184" s="134" t="str">
        <f t="shared" si="14"/>
        <v/>
      </c>
      <c r="O184" s="129"/>
      <c r="P184" s="133"/>
    </row>
    <row r="185" spans="1:16" x14ac:dyDescent="0.25">
      <c r="A185" s="133"/>
      <c r="B185" s="129"/>
      <c r="C185" s="129"/>
      <c r="D185" s="134" t="str">
        <f t="shared" si="10"/>
        <v/>
      </c>
      <c r="E185" s="134" t="str">
        <f t="shared" si="11"/>
        <v/>
      </c>
      <c r="F185" s="135" t="str">
        <f t="shared" si="12"/>
        <v/>
      </c>
      <c r="G185" s="129"/>
      <c r="H185" s="129"/>
      <c r="I185" s="129"/>
      <c r="J185" s="129"/>
      <c r="K185" s="129"/>
      <c r="L185" s="129"/>
      <c r="M185" s="134" t="str">
        <f t="shared" si="13"/>
        <v/>
      </c>
      <c r="N185" s="134" t="str">
        <f t="shared" si="14"/>
        <v/>
      </c>
      <c r="O185" s="129"/>
      <c r="P185" s="133"/>
    </row>
    <row r="186" spans="1:16" x14ac:dyDescent="0.25">
      <c r="A186" s="133"/>
      <c r="B186" s="129"/>
      <c r="C186" s="129"/>
      <c r="D186" s="134" t="str">
        <f t="shared" si="10"/>
        <v/>
      </c>
      <c r="E186" s="134" t="str">
        <f t="shared" si="11"/>
        <v/>
      </c>
      <c r="F186" s="135" t="str">
        <f t="shared" si="12"/>
        <v/>
      </c>
      <c r="G186" s="129"/>
      <c r="H186" s="129"/>
      <c r="I186" s="129"/>
      <c r="J186" s="129"/>
      <c r="K186" s="129"/>
      <c r="L186" s="129"/>
      <c r="M186" s="134" t="str">
        <f t="shared" si="13"/>
        <v/>
      </c>
      <c r="N186" s="134" t="str">
        <f t="shared" si="14"/>
        <v/>
      </c>
      <c r="O186" s="129"/>
      <c r="P186" s="133"/>
    </row>
    <row r="187" spans="1:16" x14ac:dyDescent="0.25">
      <c r="A187" s="133"/>
      <c r="B187" s="129"/>
      <c r="C187" s="129"/>
      <c r="D187" s="134" t="str">
        <f t="shared" si="10"/>
        <v/>
      </c>
      <c r="E187" s="134" t="str">
        <f t="shared" si="11"/>
        <v/>
      </c>
      <c r="F187" s="135" t="str">
        <f t="shared" si="12"/>
        <v/>
      </c>
      <c r="G187" s="129"/>
      <c r="H187" s="129"/>
      <c r="I187" s="129"/>
      <c r="J187" s="129"/>
      <c r="K187" s="129"/>
      <c r="L187" s="129"/>
      <c r="M187" s="134" t="str">
        <f t="shared" si="13"/>
        <v/>
      </c>
      <c r="N187" s="134" t="str">
        <f t="shared" si="14"/>
        <v/>
      </c>
      <c r="O187" s="129"/>
      <c r="P187" s="133"/>
    </row>
    <row r="188" spans="1:16" x14ac:dyDescent="0.25">
      <c r="A188" s="133"/>
      <c r="B188" s="129"/>
      <c r="C188" s="129"/>
      <c r="D188" s="134" t="str">
        <f t="shared" si="10"/>
        <v/>
      </c>
      <c r="E188" s="134" t="str">
        <f t="shared" si="11"/>
        <v/>
      </c>
      <c r="F188" s="135" t="str">
        <f t="shared" si="12"/>
        <v/>
      </c>
      <c r="G188" s="129"/>
      <c r="H188" s="129"/>
      <c r="I188" s="129"/>
      <c r="J188" s="129"/>
      <c r="K188" s="129"/>
      <c r="L188" s="129"/>
      <c r="M188" s="134" t="str">
        <f t="shared" si="13"/>
        <v/>
      </c>
      <c r="N188" s="134" t="str">
        <f t="shared" si="14"/>
        <v/>
      </c>
      <c r="O188" s="129"/>
      <c r="P188" s="133"/>
    </row>
    <row r="189" spans="1:16" x14ac:dyDescent="0.25">
      <c r="A189" s="133"/>
      <c r="B189" s="129"/>
      <c r="C189" s="129"/>
      <c r="D189" s="134" t="str">
        <f t="shared" si="10"/>
        <v/>
      </c>
      <c r="E189" s="134" t="str">
        <f t="shared" si="11"/>
        <v/>
      </c>
      <c r="F189" s="135" t="str">
        <f t="shared" si="12"/>
        <v/>
      </c>
      <c r="G189" s="129"/>
      <c r="H189" s="129"/>
      <c r="I189" s="129"/>
      <c r="J189" s="129"/>
      <c r="K189" s="129"/>
      <c r="L189" s="129"/>
      <c r="M189" s="134" t="str">
        <f t="shared" si="13"/>
        <v/>
      </c>
      <c r="N189" s="134" t="str">
        <f t="shared" si="14"/>
        <v/>
      </c>
      <c r="O189" s="129"/>
      <c r="P189" s="133"/>
    </row>
    <row r="190" spans="1:16" x14ac:dyDescent="0.25">
      <c r="A190" s="133"/>
      <c r="B190" s="129"/>
      <c r="C190" s="129"/>
      <c r="D190" s="134" t="str">
        <f t="shared" si="10"/>
        <v/>
      </c>
      <c r="E190" s="134" t="str">
        <f t="shared" si="11"/>
        <v/>
      </c>
      <c r="F190" s="135" t="str">
        <f t="shared" si="12"/>
        <v/>
      </c>
      <c r="G190" s="129"/>
      <c r="H190" s="129"/>
      <c r="I190" s="129"/>
      <c r="J190" s="129"/>
      <c r="K190" s="129"/>
      <c r="L190" s="129"/>
      <c r="M190" s="134" t="str">
        <f t="shared" si="13"/>
        <v/>
      </c>
      <c r="N190" s="134" t="str">
        <f t="shared" si="14"/>
        <v/>
      </c>
      <c r="O190" s="129"/>
      <c r="P190" s="133"/>
    </row>
    <row r="191" spans="1:16" x14ac:dyDescent="0.25">
      <c r="A191" s="133"/>
      <c r="B191" s="129"/>
      <c r="C191" s="129"/>
      <c r="D191" s="134" t="str">
        <f t="shared" si="10"/>
        <v/>
      </c>
      <c r="E191" s="134" t="str">
        <f t="shared" si="11"/>
        <v/>
      </c>
      <c r="F191" s="135" t="str">
        <f t="shared" si="12"/>
        <v/>
      </c>
      <c r="G191" s="129"/>
      <c r="H191" s="129"/>
      <c r="I191" s="129"/>
      <c r="J191" s="129"/>
      <c r="K191" s="129"/>
      <c r="L191" s="129"/>
      <c r="M191" s="134" t="str">
        <f t="shared" si="13"/>
        <v/>
      </c>
      <c r="N191" s="134" t="str">
        <f t="shared" si="14"/>
        <v/>
      </c>
      <c r="O191" s="129"/>
      <c r="P191" s="133"/>
    </row>
    <row r="192" spans="1:16" x14ac:dyDescent="0.25">
      <c r="A192" s="133"/>
      <c r="B192" s="129"/>
      <c r="C192" s="129"/>
      <c r="D192" s="134" t="str">
        <f t="shared" si="10"/>
        <v/>
      </c>
      <c r="E192" s="134" t="str">
        <f t="shared" si="11"/>
        <v/>
      </c>
      <c r="F192" s="135" t="str">
        <f t="shared" si="12"/>
        <v/>
      </c>
      <c r="G192" s="129"/>
      <c r="H192" s="129"/>
      <c r="I192" s="129"/>
      <c r="J192" s="129"/>
      <c r="K192" s="129"/>
      <c r="L192" s="129"/>
      <c r="M192" s="134" t="str">
        <f t="shared" si="13"/>
        <v/>
      </c>
      <c r="N192" s="134" t="str">
        <f t="shared" si="14"/>
        <v/>
      </c>
      <c r="O192" s="129"/>
      <c r="P192" s="133"/>
    </row>
    <row r="193" spans="1:16" x14ac:dyDescent="0.25">
      <c r="A193" s="133"/>
      <c r="B193" s="129"/>
      <c r="C193" s="129"/>
      <c r="D193" s="134" t="str">
        <f t="shared" si="10"/>
        <v/>
      </c>
      <c r="E193" s="134" t="str">
        <f t="shared" si="11"/>
        <v/>
      </c>
      <c r="F193" s="135" t="str">
        <f t="shared" si="12"/>
        <v/>
      </c>
      <c r="G193" s="129"/>
      <c r="H193" s="129"/>
      <c r="I193" s="129"/>
      <c r="J193" s="129"/>
      <c r="K193" s="129"/>
      <c r="L193" s="129"/>
      <c r="M193" s="134" t="str">
        <f t="shared" si="13"/>
        <v/>
      </c>
      <c r="N193" s="134" t="str">
        <f t="shared" si="14"/>
        <v/>
      </c>
      <c r="O193" s="129"/>
      <c r="P193" s="133"/>
    </row>
    <row r="194" spans="1:16" x14ac:dyDescent="0.25">
      <c r="A194" s="133"/>
      <c r="B194" s="129"/>
      <c r="C194" s="129"/>
      <c r="D194" s="134" t="str">
        <f t="shared" si="10"/>
        <v/>
      </c>
      <c r="E194" s="134" t="str">
        <f t="shared" si="11"/>
        <v/>
      </c>
      <c r="F194" s="135" t="str">
        <f t="shared" si="12"/>
        <v/>
      </c>
      <c r="G194" s="129"/>
      <c r="H194" s="129"/>
      <c r="I194" s="129"/>
      <c r="J194" s="129"/>
      <c r="K194" s="129"/>
      <c r="L194" s="129"/>
      <c r="M194" s="134" t="str">
        <f t="shared" si="13"/>
        <v/>
      </c>
      <c r="N194" s="134" t="str">
        <f t="shared" si="14"/>
        <v/>
      </c>
      <c r="O194" s="129"/>
      <c r="P194" s="133"/>
    </row>
    <row r="195" spans="1:16" x14ac:dyDescent="0.25">
      <c r="A195" s="133"/>
      <c r="B195" s="129"/>
      <c r="C195" s="129"/>
      <c r="D195" s="134" t="str">
        <f t="shared" si="10"/>
        <v/>
      </c>
      <c r="E195" s="134" t="str">
        <f t="shared" si="11"/>
        <v/>
      </c>
      <c r="F195" s="135" t="str">
        <f t="shared" si="12"/>
        <v/>
      </c>
      <c r="G195" s="129"/>
      <c r="H195" s="129"/>
      <c r="I195" s="129"/>
      <c r="J195" s="129"/>
      <c r="K195" s="129"/>
      <c r="L195" s="129"/>
      <c r="M195" s="134" t="str">
        <f t="shared" si="13"/>
        <v/>
      </c>
      <c r="N195" s="134" t="str">
        <f t="shared" si="14"/>
        <v/>
      </c>
      <c r="O195" s="129"/>
      <c r="P195" s="133"/>
    </row>
    <row r="196" spans="1:16" x14ac:dyDescent="0.25">
      <c r="A196" s="133"/>
      <c r="B196" s="129"/>
      <c r="C196" s="129"/>
      <c r="D196" s="134" t="str">
        <f t="shared" si="10"/>
        <v/>
      </c>
      <c r="E196" s="134" t="str">
        <f t="shared" si="11"/>
        <v/>
      </c>
      <c r="F196" s="135" t="str">
        <f t="shared" si="12"/>
        <v/>
      </c>
      <c r="G196" s="129"/>
      <c r="H196" s="129"/>
      <c r="I196" s="129"/>
      <c r="J196" s="129"/>
      <c r="K196" s="129"/>
      <c r="L196" s="129"/>
      <c r="M196" s="134" t="str">
        <f t="shared" si="13"/>
        <v/>
      </c>
      <c r="N196" s="134" t="str">
        <f t="shared" si="14"/>
        <v/>
      </c>
      <c r="O196" s="129"/>
      <c r="P196" s="133"/>
    </row>
    <row r="197" spans="1:16" x14ac:dyDescent="0.25">
      <c r="A197" s="133"/>
      <c r="B197" s="129"/>
      <c r="C197" s="129"/>
      <c r="D197" s="134" t="str">
        <f t="shared" ref="D197:D260" si="15">IFERROR(IF($C197="","",VLOOKUP($C197,CAD_TAB,8,FALSE)),"")</f>
        <v/>
      </c>
      <c r="E197" s="134" t="str">
        <f t="shared" ref="E197:E260" si="16">IFERROR(IF($C197="","",VLOOKUP($C197,CAD_TAB,9,FALSE)),"")</f>
        <v/>
      </c>
      <c r="F197" s="135" t="str">
        <f t="shared" ref="F197:F260" si="17">IFERROR(IF($C197="","",VLOOKUP($C197,CAD_TAB,6,FALSE)),"")</f>
        <v/>
      </c>
      <c r="G197" s="129"/>
      <c r="H197" s="129"/>
      <c r="I197" s="129"/>
      <c r="J197" s="129"/>
      <c r="K197" s="129"/>
      <c r="L197" s="129"/>
      <c r="M197" s="134" t="str">
        <f t="shared" ref="M197:M260" si="18">IF($C197="","",COUNTIF($G197:$L197,"NÃO"))</f>
        <v/>
      </c>
      <c r="N197" s="134" t="str">
        <f t="shared" ref="N197:N260" si="19">IF($C197="","",IF($M197=0,"LIVRE PARA PROGRAMAR","COM RESTRIÇÃO — "&amp;$M197&amp;" pendência(s)"))</f>
        <v/>
      </c>
      <c r="O197" s="129"/>
      <c r="P197" s="133"/>
    </row>
    <row r="198" spans="1:16" x14ac:dyDescent="0.25">
      <c r="A198" s="133"/>
      <c r="B198" s="129"/>
      <c r="C198" s="129"/>
      <c r="D198" s="134" t="str">
        <f t="shared" si="15"/>
        <v/>
      </c>
      <c r="E198" s="134" t="str">
        <f t="shared" si="16"/>
        <v/>
      </c>
      <c r="F198" s="135" t="str">
        <f t="shared" si="17"/>
        <v/>
      </c>
      <c r="G198" s="129"/>
      <c r="H198" s="129"/>
      <c r="I198" s="129"/>
      <c r="J198" s="129"/>
      <c r="K198" s="129"/>
      <c r="L198" s="129"/>
      <c r="M198" s="134" t="str">
        <f t="shared" si="18"/>
        <v/>
      </c>
      <c r="N198" s="134" t="str">
        <f t="shared" si="19"/>
        <v/>
      </c>
      <c r="O198" s="129"/>
      <c r="P198" s="133"/>
    </row>
    <row r="199" spans="1:16" x14ac:dyDescent="0.25">
      <c r="A199" s="133"/>
      <c r="B199" s="129"/>
      <c r="C199" s="129"/>
      <c r="D199" s="134" t="str">
        <f t="shared" si="15"/>
        <v/>
      </c>
      <c r="E199" s="134" t="str">
        <f t="shared" si="16"/>
        <v/>
      </c>
      <c r="F199" s="135" t="str">
        <f t="shared" si="17"/>
        <v/>
      </c>
      <c r="G199" s="129"/>
      <c r="H199" s="129"/>
      <c r="I199" s="129"/>
      <c r="J199" s="129"/>
      <c r="K199" s="129"/>
      <c r="L199" s="129"/>
      <c r="M199" s="134" t="str">
        <f t="shared" si="18"/>
        <v/>
      </c>
      <c r="N199" s="134" t="str">
        <f t="shared" si="19"/>
        <v/>
      </c>
      <c r="O199" s="129"/>
      <c r="P199" s="133"/>
    </row>
    <row r="200" spans="1:16" x14ac:dyDescent="0.25">
      <c r="A200" s="133"/>
      <c r="B200" s="129"/>
      <c r="C200" s="129"/>
      <c r="D200" s="134" t="str">
        <f t="shared" si="15"/>
        <v/>
      </c>
      <c r="E200" s="134" t="str">
        <f t="shared" si="16"/>
        <v/>
      </c>
      <c r="F200" s="135" t="str">
        <f t="shared" si="17"/>
        <v/>
      </c>
      <c r="G200" s="129"/>
      <c r="H200" s="129"/>
      <c r="I200" s="129"/>
      <c r="J200" s="129"/>
      <c r="K200" s="129"/>
      <c r="L200" s="129"/>
      <c r="M200" s="134" t="str">
        <f t="shared" si="18"/>
        <v/>
      </c>
      <c r="N200" s="134" t="str">
        <f t="shared" si="19"/>
        <v/>
      </c>
      <c r="O200" s="129"/>
      <c r="P200" s="133"/>
    </row>
    <row r="201" spans="1:16" x14ac:dyDescent="0.25">
      <c r="A201" s="133"/>
      <c r="B201" s="129"/>
      <c r="C201" s="129"/>
      <c r="D201" s="134" t="str">
        <f t="shared" si="15"/>
        <v/>
      </c>
      <c r="E201" s="134" t="str">
        <f t="shared" si="16"/>
        <v/>
      </c>
      <c r="F201" s="135" t="str">
        <f t="shared" si="17"/>
        <v/>
      </c>
      <c r="G201" s="129"/>
      <c r="H201" s="129"/>
      <c r="I201" s="129"/>
      <c r="J201" s="129"/>
      <c r="K201" s="129"/>
      <c r="L201" s="129"/>
      <c r="M201" s="134" t="str">
        <f t="shared" si="18"/>
        <v/>
      </c>
      <c r="N201" s="134" t="str">
        <f t="shared" si="19"/>
        <v/>
      </c>
      <c r="O201" s="129"/>
      <c r="P201" s="133"/>
    </row>
    <row r="202" spans="1:16" x14ac:dyDescent="0.25">
      <c r="A202" s="133"/>
      <c r="B202" s="129"/>
      <c r="C202" s="129"/>
      <c r="D202" s="134" t="str">
        <f t="shared" si="15"/>
        <v/>
      </c>
      <c r="E202" s="134" t="str">
        <f t="shared" si="16"/>
        <v/>
      </c>
      <c r="F202" s="135" t="str">
        <f t="shared" si="17"/>
        <v/>
      </c>
      <c r="G202" s="129"/>
      <c r="H202" s="129"/>
      <c r="I202" s="129"/>
      <c r="J202" s="129"/>
      <c r="K202" s="129"/>
      <c r="L202" s="129"/>
      <c r="M202" s="134" t="str">
        <f t="shared" si="18"/>
        <v/>
      </c>
      <c r="N202" s="134" t="str">
        <f t="shared" si="19"/>
        <v/>
      </c>
      <c r="O202" s="129"/>
      <c r="P202" s="133"/>
    </row>
    <row r="203" spans="1:16" x14ac:dyDescent="0.25">
      <c r="A203" s="133"/>
      <c r="B203" s="129"/>
      <c r="C203" s="129"/>
      <c r="D203" s="134" t="str">
        <f t="shared" si="15"/>
        <v/>
      </c>
      <c r="E203" s="134" t="str">
        <f t="shared" si="16"/>
        <v/>
      </c>
      <c r="F203" s="135" t="str">
        <f t="shared" si="17"/>
        <v/>
      </c>
      <c r="G203" s="129"/>
      <c r="H203" s="129"/>
      <c r="I203" s="129"/>
      <c r="J203" s="129"/>
      <c r="K203" s="129"/>
      <c r="L203" s="129"/>
      <c r="M203" s="134" t="str">
        <f t="shared" si="18"/>
        <v/>
      </c>
      <c r="N203" s="134" t="str">
        <f t="shared" si="19"/>
        <v/>
      </c>
      <c r="O203" s="129"/>
      <c r="P203" s="133"/>
    </row>
    <row r="204" spans="1:16" x14ac:dyDescent="0.25">
      <c r="A204" s="133"/>
      <c r="B204" s="129"/>
      <c r="C204" s="129"/>
      <c r="D204" s="134" t="str">
        <f t="shared" si="15"/>
        <v/>
      </c>
      <c r="E204" s="134" t="str">
        <f t="shared" si="16"/>
        <v/>
      </c>
      <c r="F204" s="135" t="str">
        <f t="shared" si="17"/>
        <v/>
      </c>
      <c r="G204" s="129"/>
      <c r="H204" s="129"/>
      <c r="I204" s="129"/>
      <c r="J204" s="129"/>
      <c r="K204" s="129"/>
      <c r="L204" s="129"/>
      <c r="M204" s="134" t="str">
        <f t="shared" si="18"/>
        <v/>
      </c>
      <c r="N204" s="134" t="str">
        <f t="shared" si="19"/>
        <v/>
      </c>
      <c r="O204" s="129"/>
      <c r="P204" s="133"/>
    </row>
    <row r="205" spans="1:16" x14ac:dyDescent="0.25">
      <c r="A205" s="133"/>
      <c r="B205" s="129"/>
      <c r="C205" s="129"/>
      <c r="D205" s="134" t="str">
        <f t="shared" si="15"/>
        <v/>
      </c>
      <c r="E205" s="134" t="str">
        <f t="shared" si="16"/>
        <v/>
      </c>
      <c r="F205" s="135" t="str">
        <f t="shared" si="17"/>
        <v/>
      </c>
      <c r="G205" s="129"/>
      <c r="H205" s="129"/>
      <c r="I205" s="129"/>
      <c r="J205" s="129"/>
      <c r="K205" s="129"/>
      <c r="L205" s="129"/>
      <c r="M205" s="134" t="str">
        <f t="shared" si="18"/>
        <v/>
      </c>
      <c r="N205" s="134" t="str">
        <f t="shared" si="19"/>
        <v/>
      </c>
      <c r="O205" s="129"/>
      <c r="P205" s="133"/>
    </row>
    <row r="206" spans="1:16" x14ac:dyDescent="0.25">
      <c r="A206" s="133"/>
      <c r="B206" s="129"/>
      <c r="C206" s="129"/>
      <c r="D206" s="134" t="str">
        <f t="shared" si="15"/>
        <v/>
      </c>
      <c r="E206" s="134" t="str">
        <f t="shared" si="16"/>
        <v/>
      </c>
      <c r="F206" s="135" t="str">
        <f t="shared" si="17"/>
        <v/>
      </c>
      <c r="G206" s="129"/>
      <c r="H206" s="129"/>
      <c r="I206" s="129"/>
      <c r="J206" s="129"/>
      <c r="K206" s="129"/>
      <c r="L206" s="129"/>
      <c r="M206" s="134" t="str">
        <f t="shared" si="18"/>
        <v/>
      </c>
      <c r="N206" s="134" t="str">
        <f t="shared" si="19"/>
        <v/>
      </c>
      <c r="O206" s="129"/>
      <c r="P206" s="133"/>
    </row>
    <row r="207" spans="1:16" x14ac:dyDescent="0.25">
      <c r="A207" s="133"/>
      <c r="B207" s="129"/>
      <c r="C207" s="129"/>
      <c r="D207" s="134" t="str">
        <f t="shared" si="15"/>
        <v/>
      </c>
      <c r="E207" s="134" t="str">
        <f t="shared" si="16"/>
        <v/>
      </c>
      <c r="F207" s="135" t="str">
        <f t="shared" si="17"/>
        <v/>
      </c>
      <c r="G207" s="129"/>
      <c r="H207" s="129"/>
      <c r="I207" s="129"/>
      <c r="J207" s="129"/>
      <c r="K207" s="129"/>
      <c r="L207" s="129"/>
      <c r="M207" s="134" t="str">
        <f t="shared" si="18"/>
        <v/>
      </c>
      <c r="N207" s="134" t="str">
        <f t="shared" si="19"/>
        <v/>
      </c>
      <c r="O207" s="129"/>
      <c r="P207" s="133"/>
    </row>
    <row r="208" spans="1:16" x14ac:dyDescent="0.25">
      <c r="A208" s="133"/>
      <c r="B208" s="129"/>
      <c r="C208" s="129"/>
      <c r="D208" s="134" t="str">
        <f t="shared" si="15"/>
        <v/>
      </c>
      <c r="E208" s="134" t="str">
        <f t="shared" si="16"/>
        <v/>
      </c>
      <c r="F208" s="135" t="str">
        <f t="shared" si="17"/>
        <v/>
      </c>
      <c r="G208" s="129"/>
      <c r="H208" s="129"/>
      <c r="I208" s="129"/>
      <c r="J208" s="129"/>
      <c r="K208" s="129"/>
      <c r="L208" s="129"/>
      <c r="M208" s="134" t="str">
        <f t="shared" si="18"/>
        <v/>
      </c>
      <c r="N208" s="134" t="str">
        <f t="shared" si="19"/>
        <v/>
      </c>
      <c r="O208" s="129"/>
      <c r="P208" s="133"/>
    </row>
    <row r="209" spans="1:16" x14ac:dyDescent="0.25">
      <c r="A209" s="133"/>
      <c r="B209" s="129"/>
      <c r="C209" s="129"/>
      <c r="D209" s="134" t="str">
        <f t="shared" si="15"/>
        <v/>
      </c>
      <c r="E209" s="134" t="str">
        <f t="shared" si="16"/>
        <v/>
      </c>
      <c r="F209" s="135" t="str">
        <f t="shared" si="17"/>
        <v/>
      </c>
      <c r="G209" s="129"/>
      <c r="H209" s="129"/>
      <c r="I209" s="129"/>
      <c r="J209" s="129"/>
      <c r="K209" s="129"/>
      <c r="L209" s="129"/>
      <c r="M209" s="134" t="str">
        <f t="shared" si="18"/>
        <v/>
      </c>
      <c r="N209" s="134" t="str">
        <f t="shared" si="19"/>
        <v/>
      </c>
      <c r="O209" s="129"/>
      <c r="P209" s="133"/>
    </row>
    <row r="210" spans="1:16" x14ac:dyDescent="0.25">
      <c r="A210" s="133"/>
      <c r="B210" s="129"/>
      <c r="C210" s="129"/>
      <c r="D210" s="134" t="str">
        <f t="shared" si="15"/>
        <v/>
      </c>
      <c r="E210" s="134" t="str">
        <f t="shared" si="16"/>
        <v/>
      </c>
      <c r="F210" s="135" t="str">
        <f t="shared" si="17"/>
        <v/>
      </c>
      <c r="G210" s="129"/>
      <c r="H210" s="129"/>
      <c r="I210" s="129"/>
      <c r="J210" s="129"/>
      <c r="K210" s="129"/>
      <c r="L210" s="129"/>
      <c r="M210" s="134" t="str">
        <f t="shared" si="18"/>
        <v/>
      </c>
      <c r="N210" s="134" t="str">
        <f t="shared" si="19"/>
        <v/>
      </c>
      <c r="O210" s="129"/>
      <c r="P210" s="133"/>
    </row>
    <row r="211" spans="1:16" x14ac:dyDescent="0.25">
      <c r="A211" s="133"/>
      <c r="B211" s="129"/>
      <c r="C211" s="129"/>
      <c r="D211" s="134" t="str">
        <f t="shared" si="15"/>
        <v/>
      </c>
      <c r="E211" s="134" t="str">
        <f t="shared" si="16"/>
        <v/>
      </c>
      <c r="F211" s="135" t="str">
        <f t="shared" si="17"/>
        <v/>
      </c>
      <c r="G211" s="129"/>
      <c r="H211" s="129"/>
      <c r="I211" s="129"/>
      <c r="J211" s="129"/>
      <c r="K211" s="129"/>
      <c r="L211" s="129"/>
      <c r="M211" s="134" t="str">
        <f t="shared" si="18"/>
        <v/>
      </c>
      <c r="N211" s="134" t="str">
        <f t="shared" si="19"/>
        <v/>
      </c>
      <c r="O211" s="129"/>
      <c r="P211" s="133"/>
    </row>
    <row r="212" spans="1:16" x14ac:dyDescent="0.25">
      <c r="A212" s="133"/>
      <c r="B212" s="129"/>
      <c r="C212" s="129"/>
      <c r="D212" s="134" t="str">
        <f t="shared" si="15"/>
        <v/>
      </c>
      <c r="E212" s="134" t="str">
        <f t="shared" si="16"/>
        <v/>
      </c>
      <c r="F212" s="135" t="str">
        <f t="shared" si="17"/>
        <v/>
      </c>
      <c r="G212" s="129"/>
      <c r="H212" s="129"/>
      <c r="I212" s="129"/>
      <c r="J212" s="129"/>
      <c r="K212" s="129"/>
      <c r="L212" s="129"/>
      <c r="M212" s="134" t="str">
        <f t="shared" si="18"/>
        <v/>
      </c>
      <c r="N212" s="134" t="str">
        <f t="shared" si="19"/>
        <v/>
      </c>
      <c r="O212" s="129"/>
      <c r="P212" s="133"/>
    </row>
    <row r="213" spans="1:16" x14ac:dyDescent="0.25">
      <c r="A213" s="133"/>
      <c r="B213" s="129"/>
      <c r="C213" s="129"/>
      <c r="D213" s="134" t="str">
        <f t="shared" si="15"/>
        <v/>
      </c>
      <c r="E213" s="134" t="str">
        <f t="shared" si="16"/>
        <v/>
      </c>
      <c r="F213" s="135" t="str">
        <f t="shared" si="17"/>
        <v/>
      </c>
      <c r="G213" s="129"/>
      <c r="H213" s="129"/>
      <c r="I213" s="129"/>
      <c r="J213" s="129"/>
      <c r="K213" s="129"/>
      <c r="L213" s="129"/>
      <c r="M213" s="134" t="str">
        <f t="shared" si="18"/>
        <v/>
      </c>
      <c r="N213" s="134" t="str">
        <f t="shared" si="19"/>
        <v/>
      </c>
      <c r="O213" s="129"/>
      <c r="P213" s="133"/>
    </row>
    <row r="214" spans="1:16" x14ac:dyDescent="0.25">
      <c r="A214" s="133"/>
      <c r="B214" s="129"/>
      <c r="C214" s="129"/>
      <c r="D214" s="134" t="str">
        <f t="shared" si="15"/>
        <v/>
      </c>
      <c r="E214" s="134" t="str">
        <f t="shared" si="16"/>
        <v/>
      </c>
      <c r="F214" s="135" t="str">
        <f t="shared" si="17"/>
        <v/>
      </c>
      <c r="G214" s="129"/>
      <c r="H214" s="129"/>
      <c r="I214" s="129"/>
      <c r="J214" s="129"/>
      <c r="K214" s="129"/>
      <c r="L214" s="129"/>
      <c r="M214" s="134" t="str">
        <f t="shared" si="18"/>
        <v/>
      </c>
      <c r="N214" s="134" t="str">
        <f t="shared" si="19"/>
        <v/>
      </c>
      <c r="O214" s="129"/>
      <c r="P214" s="133"/>
    </row>
    <row r="215" spans="1:16" x14ac:dyDescent="0.25">
      <c r="A215" s="133"/>
      <c r="B215" s="129"/>
      <c r="C215" s="129"/>
      <c r="D215" s="134" t="str">
        <f t="shared" si="15"/>
        <v/>
      </c>
      <c r="E215" s="134" t="str">
        <f t="shared" si="16"/>
        <v/>
      </c>
      <c r="F215" s="135" t="str">
        <f t="shared" si="17"/>
        <v/>
      </c>
      <c r="G215" s="129"/>
      <c r="H215" s="129"/>
      <c r="I215" s="129"/>
      <c r="J215" s="129"/>
      <c r="K215" s="129"/>
      <c r="L215" s="129"/>
      <c r="M215" s="134" t="str">
        <f t="shared" si="18"/>
        <v/>
      </c>
      <c r="N215" s="134" t="str">
        <f t="shared" si="19"/>
        <v/>
      </c>
      <c r="O215" s="129"/>
      <c r="P215" s="133"/>
    </row>
    <row r="216" spans="1:16" x14ac:dyDescent="0.25">
      <c r="A216" s="133"/>
      <c r="B216" s="129"/>
      <c r="C216" s="129"/>
      <c r="D216" s="134" t="str">
        <f t="shared" si="15"/>
        <v/>
      </c>
      <c r="E216" s="134" t="str">
        <f t="shared" si="16"/>
        <v/>
      </c>
      <c r="F216" s="135" t="str">
        <f t="shared" si="17"/>
        <v/>
      </c>
      <c r="G216" s="129"/>
      <c r="H216" s="129"/>
      <c r="I216" s="129"/>
      <c r="J216" s="129"/>
      <c r="K216" s="129"/>
      <c r="L216" s="129"/>
      <c r="M216" s="134" t="str">
        <f t="shared" si="18"/>
        <v/>
      </c>
      <c r="N216" s="134" t="str">
        <f t="shared" si="19"/>
        <v/>
      </c>
      <c r="O216" s="129"/>
      <c r="P216" s="133"/>
    </row>
    <row r="217" spans="1:16" x14ac:dyDescent="0.25">
      <c r="A217" s="133"/>
      <c r="B217" s="129"/>
      <c r="C217" s="129"/>
      <c r="D217" s="134" t="str">
        <f t="shared" si="15"/>
        <v/>
      </c>
      <c r="E217" s="134" t="str">
        <f t="shared" si="16"/>
        <v/>
      </c>
      <c r="F217" s="135" t="str">
        <f t="shared" si="17"/>
        <v/>
      </c>
      <c r="G217" s="129"/>
      <c r="H217" s="129"/>
      <c r="I217" s="129"/>
      <c r="J217" s="129"/>
      <c r="K217" s="129"/>
      <c r="L217" s="129"/>
      <c r="M217" s="134" t="str">
        <f t="shared" si="18"/>
        <v/>
      </c>
      <c r="N217" s="134" t="str">
        <f t="shared" si="19"/>
        <v/>
      </c>
      <c r="O217" s="129"/>
      <c r="P217" s="133"/>
    </row>
    <row r="218" spans="1:16" x14ac:dyDescent="0.25">
      <c r="A218" s="133"/>
      <c r="B218" s="129"/>
      <c r="C218" s="129"/>
      <c r="D218" s="134" t="str">
        <f t="shared" si="15"/>
        <v/>
      </c>
      <c r="E218" s="134" t="str">
        <f t="shared" si="16"/>
        <v/>
      </c>
      <c r="F218" s="135" t="str">
        <f t="shared" si="17"/>
        <v/>
      </c>
      <c r="G218" s="129"/>
      <c r="H218" s="129"/>
      <c r="I218" s="129"/>
      <c r="J218" s="129"/>
      <c r="K218" s="129"/>
      <c r="L218" s="129"/>
      <c r="M218" s="134" t="str">
        <f t="shared" si="18"/>
        <v/>
      </c>
      <c r="N218" s="134" t="str">
        <f t="shared" si="19"/>
        <v/>
      </c>
      <c r="O218" s="129"/>
      <c r="P218" s="133"/>
    </row>
    <row r="219" spans="1:16" x14ac:dyDescent="0.25">
      <c r="A219" s="133"/>
      <c r="B219" s="129"/>
      <c r="C219" s="129"/>
      <c r="D219" s="134" t="str">
        <f t="shared" si="15"/>
        <v/>
      </c>
      <c r="E219" s="134" t="str">
        <f t="shared" si="16"/>
        <v/>
      </c>
      <c r="F219" s="135" t="str">
        <f t="shared" si="17"/>
        <v/>
      </c>
      <c r="G219" s="129"/>
      <c r="H219" s="129"/>
      <c r="I219" s="129"/>
      <c r="J219" s="129"/>
      <c r="K219" s="129"/>
      <c r="L219" s="129"/>
      <c r="M219" s="134" t="str">
        <f t="shared" si="18"/>
        <v/>
      </c>
      <c r="N219" s="134" t="str">
        <f t="shared" si="19"/>
        <v/>
      </c>
      <c r="O219" s="129"/>
      <c r="P219" s="133"/>
    </row>
    <row r="220" spans="1:16" x14ac:dyDescent="0.25">
      <c r="A220" s="133"/>
      <c r="B220" s="129"/>
      <c r="C220" s="129"/>
      <c r="D220" s="134" t="str">
        <f t="shared" si="15"/>
        <v/>
      </c>
      <c r="E220" s="134" t="str">
        <f t="shared" si="16"/>
        <v/>
      </c>
      <c r="F220" s="135" t="str">
        <f t="shared" si="17"/>
        <v/>
      </c>
      <c r="G220" s="129"/>
      <c r="H220" s="129"/>
      <c r="I220" s="129"/>
      <c r="J220" s="129"/>
      <c r="K220" s="129"/>
      <c r="L220" s="129"/>
      <c r="M220" s="134" t="str">
        <f t="shared" si="18"/>
        <v/>
      </c>
      <c r="N220" s="134" t="str">
        <f t="shared" si="19"/>
        <v/>
      </c>
      <c r="O220" s="129"/>
      <c r="P220" s="133"/>
    </row>
    <row r="221" spans="1:16" x14ac:dyDescent="0.25">
      <c r="A221" s="133"/>
      <c r="B221" s="129"/>
      <c r="C221" s="129"/>
      <c r="D221" s="134" t="str">
        <f t="shared" si="15"/>
        <v/>
      </c>
      <c r="E221" s="134" t="str">
        <f t="shared" si="16"/>
        <v/>
      </c>
      <c r="F221" s="135" t="str">
        <f t="shared" si="17"/>
        <v/>
      </c>
      <c r="G221" s="129"/>
      <c r="H221" s="129"/>
      <c r="I221" s="129"/>
      <c r="J221" s="129"/>
      <c r="K221" s="129"/>
      <c r="L221" s="129"/>
      <c r="M221" s="134" t="str">
        <f t="shared" si="18"/>
        <v/>
      </c>
      <c r="N221" s="134" t="str">
        <f t="shared" si="19"/>
        <v/>
      </c>
      <c r="O221" s="129"/>
      <c r="P221" s="133"/>
    </row>
    <row r="222" spans="1:16" x14ac:dyDescent="0.25">
      <c r="A222" s="133"/>
      <c r="B222" s="129"/>
      <c r="C222" s="129"/>
      <c r="D222" s="134" t="str">
        <f t="shared" si="15"/>
        <v/>
      </c>
      <c r="E222" s="134" t="str">
        <f t="shared" si="16"/>
        <v/>
      </c>
      <c r="F222" s="135" t="str">
        <f t="shared" si="17"/>
        <v/>
      </c>
      <c r="G222" s="129"/>
      <c r="H222" s="129"/>
      <c r="I222" s="129"/>
      <c r="J222" s="129"/>
      <c r="K222" s="129"/>
      <c r="L222" s="129"/>
      <c r="M222" s="134" t="str">
        <f t="shared" si="18"/>
        <v/>
      </c>
      <c r="N222" s="134" t="str">
        <f t="shared" si="19"/>
        <v/>
      </c>
      <c r="O222" s="129"/>
      <c r="P222" s="133"/>
    </row>
    <row r="223" spans="1:16" x14ac:dyDescent="0.25">
      <c r="A223" s="133"/>
      <c r="B223" s="129"/>
      <c r="C223" s="129"/>
      <c r="D223" s="134" t="str">
        <f t="shared" si="15"/>
        <v/>
      </c>
      <c r="E223" s="134" t="str">
        <f t="shared" si="16"/>
        <v/>
      </c>
      <c r="F223" s="135" t="str">
        <f t="shared" si="17"/>
        <v/>
      </c>
      <c r="G223" s="129"/>
      <c r="H223" s="129"/>
      <c r="I223" s="129"/>
      <c r="J223" s="129"/>
      <c r="K223" s="129"/>
      <c r="L223" s="129"/>
      <c r="M223" s="134" t="str">
        <f t="shared" si="18"/>
        <v/>
      </c>
      <c r="N223" s="134" t="str">
        <f t="shared" si="19"/>
        <v/>
      </c>
      <c r="O223" s="129"/>
      <c r="P223" s="133"/>
    </row>
    <row r="224" spans="1:16" x14ac:dyDescent="0.25">
      <c r="A224" s="133"/>
      <c r="B224" s="129"/>
      <c r="C224" s="129"/>
      <c r="D224" s="134" t="str">
        <f t="shared" si="15"/>
        <v/>
      </c>
      <c r="E224" s="134" t="str">
        <f t="shared" si="16"/>
        <v/>
      </c>
      <c r="F224" s="135" t="str">
        <f t="shared" si="17"/>
        <v/>
      </c>
      <c r="G224" s="129"/>
      <c r="H224" s="129"/>
      <c r="I224" s="129"/>
      <c r="J224" s="129"/>
      <c r="K224" s="129"/>
      <c r="L224" s="129"/>
      <c r="M224" s="134" t="str">
        <f t="shared" si="18"/>
        <v/>
      </c>
      <c r="N224" s="134" t="str">
        <f t="shared" si="19"/>
        <v/>
      </c>
      <c r="O224" s="129"/>
      <c r="P224" s="133"/>
    </row>
    <row r="225" spans="1:16" x14ac:dyDescent="0.25">
      <c r="A225" s="133"/>
      <c r="B225" s="129"/>
      <c r="C225" s="129"/>
      <c r="D225" s="134" t="str">
        <f t="shared" si="15"/>
        <v/>
      </c>
      <c r="E225" s="134" t="str">
        <f t="shared" si="16"/>
        <v/>
      </c>
      <c r="F225" s="135" t="str">
        <f t="shared" si="17"/>
        <v/>
      </c>
      <c r="G225" s="129"/>
      <c r="H225" s="129"/>
      <c r="I225" s="129"/>
      <c r="J225" s="129"/>
      <c r="K225" s="129"/>
      <c r="L225" s="129"/>
      <c r="M225" s="134" t="str">
        <f t="shared" si="18"/>
        <v/>
      </c>
      <c r="N225" s="134" t="str">
        <f t="shared" si="19"/>
        <v/>
      </c>
      <c r="O225" s="129"/>
      <c r="P225" s="133"/>
    </row>
    <row r="226" spans="1:16" x14ac:dyDescent="0.25">
      <c r="A226" s="133"/>
      <c r="B226" s="129"/>
      <c r="C226" s="129"/>
      <c r="D226" s="134" t="str">
        <f t="shared" si="15"/>
        <v/>
      </c>
      <c r="E226" s="134" t="str">
        <f t="shared" si="16"/>
        <v/>
      </c>
      <c r="F226" s="135" t="str">
        <f t="shared" si="17"/>
        <v/>
      </c>
      <c r="G226" s="129"/>
      <c r="H226" s="129"/>
      <c r="I226" s="129"/>
      <c r="J226" s="129"/>
      <c r="K226" s="129"/>
      <c r="L226" s="129"/>
      <c r="M226" s="134" t="str">
        <f t="shared" si="18"/>
        <v/>
      </c>
      <c r="N226" s="134" t="str">
        <f t="shared" si="19"/>
        <v/>
      </c>
      <c r="O226" s="129"/>
      <c r="P226" s="133"/>
    </row>
    <row r="227" spans="1:16" x14ac:dyDescent="0.25">
      <c r="A227" s="133"/>
      <c r="B227" s="129"/>
      <c r="C227" s="129"/>
      <c r="D227" s="134" t="str">
        <f t="shared" si="15"/>
        <v/>
      </c>
      <c r="E227" s="134" t="str">
        <f t="shared" si="16"/>
        <v/>
      </c>
      <c r="F227" s="135" t="str">
        <f t="shared" si="17"/>
        <v/>
      </c>
      <c r="G227" s="129"/>
      <c r="H227" s="129"/>
      <c r="I227" s="129"/>
      <c r="J227" s="129"/>
      <c r="K227" s="129"/>
      <c r="L227" s="129"/>
      <c r="M227" s="134" t="str">
        <f t="shared" si="18"/>
        <v/>
      </c>
      <c r="N227" s="134" t="str">
        <f t="shared" si="19"/>
        <v/>
      </c>
      <c r="O227" s="129"/>
      <c r="P227" s="133"/>
    </row>
    <row r="228" spans="1:16" x14ac:dyDescent="0.25">
      <c r="A228" s="133"/>
      <c r="B228" s="129"/>
      <c r="C228" s="129"/>
      <c r="D228" s="134" t="str">
        <f t="shared" si="15"/>
        <v/>
      </c>
      <c r="E228" s="134" t="str">
        <f t="shared" si="16"/>
        <v/>
      </c>
      <c r="F228" s="135" t="str">
        <f t="shared" si="17"/>
        <v/>
      </c>
      <c r="G228" s="129"/>
      <c r="H228" s="129"/>
      <c r="I228" s="129"/>
      <c r="J228" s="129"/>
      <c r="K228" s="129"/>
      <c r="L228" s="129"/>
      <c r="M228" s="134" t="str">
        <f t="shared" si="18"/>
        <v/>
      </c>
      <c r="N228" s="134" t="str">
        <f t="shared" si="19"/>
        <v/>
      </c>
      <c r="O228" s="129"/>
      <c r="P228" s="133"/>
    </row>
    <row r="229" spans="1:16" x14ac:dyDescent="0.25">
      <c r="A229" s="133"/>
      <c r="B229" s="129"/>
      <c r="C229" s="129"/>
      <c r="D229" s="134" t="str">
        <f t="shared" si="15"/>
        <v/>
      </c>
      <c r="E229" s="134" t="str">
        <f t="shared" si="16"/>
        <v/>
      </c>
      <c r="F229" s="135" t="str">
        <f t="shared" si="17"/>
        <v/>
      </c>
      <c r="G229" s="129"/>
      <c r="H229" s="129"/>
      <c r="I229" s="129"/>
      <c r="J229" s="129"/>
      <c r="K229" s="129"/>
      <c r="L229" s="129"/>
      <c r="M229" s="134" t="str">
        <f t="shared" si="18"/>
        <v/>
      </c>
      <c r="N229" s="134" t="str">
        <f t="shared" si="19"/>
        <v/>
      </c>
      <c r="O229" s="129"/>
      <c r="P229" s="133"/>
    </row>
    <row r="230" spans="1:16" x14ac:dyDescent="0.25">
      <c r="A230" s="133"/>
      <c r="B230" s="129"/>
      <c r="C230" s="129"/>
      <c r="D230" s="134" t="str">
        <f t="shared" si="15"/>
        <v/>
      </c>
      <c r="E230" s="134" t="str">
        <f t="shared" si="16"/>
        <v/>
      </c>
      <c r="F230" s="135" t="str">
        <f t="shared" si="17"/>
        <v/>
      </c>
      <c r="G230" s="129"/>
      <c r="H230" s="129"/>
      <c r="I230" s="129"/>
      <c r="J230" s="129"/>
      <c r="K230" s="129"/>
      <c r="L230" s="129"/>
      <c r="M230" s="134" t="str">
        <f t="shared" si="18"/>
        <v/>
      </c>
      <c r="N230" s="134" t="str">
        <f t="shared" si="19"/>
        <v/>
      </c>
      <c r="O230" s="129"/>
      <c r="P230" s="133"/>
    </row>
    <row r="231" spans="1:16" x14ac:dyDescent="0.25">
      <c r="A231" s="133"/>
      <c r="B231" s="129"/>
      <c r="C231" s="129"/>
      <c r="D231" s="134" t="str">
        <f t="shared" si="15"/>
        <v/>
      </c>
      <c r="E231" s="134" t="str">
        <f t="shared" si="16"/>
        <v/>
      </c>
      <c r="F231" s="135" t="str">
        <f t="shared" si="17"/>
        <v/>
      </c>
      <c r="G231" s="129"/>
      <c r="H231" s="129"/>
      <c r="I231" s="129"/>
      <c r="J231" s="129"/>
      <c r="K231" s="129"/>
      <c r="L231" s="129"/>
      <c r="M231" s="134" t="str">
        <f t="shared" si="18"/>
        <v/>
      </c>
      <c r="N231" s="134" t="str">
        <f t="shared" si="19"/>
        <v/>
      </c>
      <c r="O231" s="129"/>
      <c r="P231" s="133"/>
    </row>
    <row r="232" spans="1:16" x14ac:dyDescent="0.25">
      <c r="A232" s="133"/>
      <c r="B232" s="129"/>
      <c r="C232" s="129"/>
      <c r="D232" s="134" t="str">
        <f t="shared" si="15"/>
        <v/>
      </c>
      <c r="E232" s="134" t="str">
        <f t="shared" si="16"/>
        <v/>
      </c>
      <c r="F232" s="135" t="str">
        <f t="shared" si="17"/>
        <v/>
      </c>
      <c r="G232" s="129"/>
      <c r="H232" s="129"/>
      <c r="I232" s="129"/>
      <c r="J232" s="129"/>
      <c r="K232" s="129"/>
      <c r="L232" s="129"/>
      <c r="M232" s="134" t="str">
        <f t="shared" si="18"/>
        <v/>
      </c>
      <c r="N232" s="134" t="str">
        <f t="shared" si="19"/>
        <v/>
      </c>
      <c r="O232" s="129"/>
      <c r="P232" s="133"/>
    </row>
    <row r="233" spans="1:16" x14ac:dyDescent="0.25">
      <c r="A233" s="133"/>
      <c r="B233" s="129"/>
      <c r="C233" s="129"/>
      <c r="D233" s="134" t="str">
        <f t="shared" si="15"/>
        <v/>
      </c>
      <c r="E233" s="134" t="str">
        <f t="shared" si="16"/>
        <v/>
      </c>
      <c r="F233" s="135" t="str">
        <f t="shared" si="17"/>
        <v/>
      </c>
      <c r="G233" s="129"/>
      <c r="H233" s="129"/>
      <c r="I233" s="129"/>
      <c r="J233" s="129"/>
      <c r="K233" s="129"/>
      <c r="L233" s="129"/>
      <c r="M233" s="134" t="str">
        <f t="shared" si="18"/>
        <v/>
      </c>
      <c r="N233" s="134" t="str">
        <f t="shared" si="19"/>
        <v/>
      </c>
      <c r="O233" s="129"/>
      <c r="P233" s="133"/>
    </row>
    <row r="234" spans="1:16" x14ac:dyDescent="0.25">
      <c r="A234" s="133"/>
      <c r="B234" s="129"/>
      <c r="C234" s="129"/>
      <c r="D234" s="134" t="str">
        <f t="shared" si="15"/>
        <v/>
      </c>
      <c r="E234" s="134" t="str">
        <f t="shared" si="16"/>
        <v/>
      </c>
      <c r="F234" s="135" t="str">
        <f t="shared" si="17"/>
        <v/>
      </c>
      <c r="G234" s="129"/>
      <c r="H234" s="129"/>
      <c r="I234" s="129"/>
      <c r="J234" s="129"/>
      <c r="K234" s="129"/>
      <c r="L234" s="129"/>
      <c r="M234" s="134" t="str">
        <f t="shared" si="18"/>
        <v/>
      </c>
      <c r="N234" s="134" t="str">
        <f t="shared" si="19"/>
        <v/>
      </c>
      <c r="O234" s="129"/>
      <c r="P234" s="133"/>
    </row>
    <row r="235" spans="1:16" x14ac:dyDescent="0.25">
      <c r="A235" s="133"/>
      <c r="B235" s="129"/>
      <c r="C235" s="129"/>
      <c r="D235" s="134" t="str">
        <f t="shared" si="15"/>
        <v/>
      </c>
      <c r="E235" s="134" t="str">
        <f t="shared" si="16"/>
        <v/>
      </c>
      <c r="F235" s="135" t="str">
        <f t="shared" si="17"/>
        <v/>
      </c>
      <c r="G235" s="129"/>
      <c r="H235" s="129"/>
      <c r="I235" s="129"/>
      <c r="J235" s="129"/>
      <c r="K235" s="129"/>
      <c r="L235" s="129"/>
      <c r="M235" s="134" t="str">
        <f t="shared" si="18"/>
        <v/>
      </c>
      <c r="N235" s="134" t="str">
        <f t="shared" si="19"/>
        <v/>
      </c>
      <c r="O235" s="129"/>
      <c r="P235" s="133"/>
    </row>
    <row r="236" spans="1:16" x14ac:dyDescent="0.25">
      <c r="A236" s="133"/>
      <c r="B236" s="129"/>
      <c r="C236" s="129"/>
      <c r="D236" s="134" t="str">
        <f t="shared" si="15"/>
        <v/>
      </c>
      <c r="E236" s="134" t="str">
        <f t="shared" si="16"/>
        <v/>
      </c>
      <c r="F236" s="135" t="str">
        <f t="shared" si="17"/>
        <v/>
      </c>
      <c r="G236" s="129"/>
      <c r="H236" s="129"/>
      <c r="I236" s="129"/>
      <c r="J236" s="129"/>
      <c r="K236" s="129"/>
      <c r="L236" s="129"/>
      <c r="M236" s="134" t="str">
        <f t="shared" si="18"/>
        <v/>
      </c>
      <c r="N236" s="134" t="str">
        <f t="shared" si="19"/>
        <v/>
      </c>
      <c r="O236" s="129"/>
      <c r="P236" s="133"/>
    </row>
    <row r="237" spans="1:16" x14ac:dyDescent="0.25">
      <c r="A237" s="133"/>
      <c r="B237" s="129"/>
      <c r="C237" s="129"/>
      <c r="D237" s="134" t="str">
        <f t="shared" si="15"/>
        <v/>
      </c>
      <c r="E237" s="134" t="str">
        <f t="shared" si="16"/>
        <v/>
      </c>
      <c r="F237" s="135" t="str">
        <f t="shared" si="17"/>
        <v/>
      </c>
      <c r="G237" s="129"/>
      <c r="H237" s="129"/>
      <c r="I237" s="129"/>
      <c r="J237" s="129"/>
      <c r="K237" s="129"/>
      <c r="L237" s="129"/>
      <c r="M237" s="134" t="str">
        <f t="shared" si="18"/>
        <v/>
      </c>
      <c r="N237" s="134" t="str">
        <f t="shared" si="19"/>
        <v/>
      </c>
      <c r="O237" s="129"/>
      <c r="P237" s="133"/>
    </row>
    <row r="238" spans="1:16" x14ac:dyDescent="0.25">
      <c r="A238" s="133"/>
      <c r="B238" s="129"/>
      <c r="C238" s="129"/>
      <c r="D238" s="134" t="str">
        <f t="shared" si="15"/>
        <v/>
      </c>
      <c r="E238" s="134" t="str">
        <f t="shared" si="16"/>
        <v/>
      </c>
      <c r="F238" s="135" t="str">
        <f t="shared" si="17"/>
        <v/>
      </c>
      <c r="G238" s="129"/>
      <c r="H238" s="129"/>
      <c r="I238" s="129"/>
      <c r="J238" s="129"/>
      <c r="K238" s="129"/>
      <c r="L238" s="129"/>
      <c r="M238" s="134" t="str">
        <f t="shared" si="18"/>
        <v/>
      </c>
      <c r="N238" s="134" t="str">
        <f t="shared" si="19"/>
        <v/>
      </c>
      <c r="O238" s="129"/>
      <c r="P238" s="133"/>
    </row>
    <row r="239" spans="1:16" x14ac:dyDescent="0.25">
      <c r="A239" s="133"/>
      <c r="B239" s="129"/>
      <c r="C239" s="129"/>
      <c r="D239" s="134" t="str">
        <f t="shared" si="15"/>
        <v/>
      </c>
      <c r="E239" s="134" t="str">
        <f t="shared" si="16"/>
        <v/>
      </c>
      <c r="F239" s="135" t="str">
        <f t="shared" si="17"/>
        <v/>
      </c>
      <c r="G239" s="129"/>
      <c r="H239" s="129"/>
      <c r="I239" s="129"/>
      <c r="J239" s="129"/>
      <c r="K239" s="129"/>
      <c r="L239" s="129"/>
      <c r="M239" s="134" t="str">
        <f t="shared" si="18"/>
        <v/>
      </c>
      <c r="N239" s="134" t="str">
        <f t="shared" si="19"/>
        <v/>
      </c>
      <c r="O239" s="129"/>
      <c r="P239" s="133"/>
    </row>
    <row r="240" spans="1:16" x14ac:dyDescent="0.25">
      <c r="A240" s="133"/>
      <c r="B240" s="129"/>
      <c r="C240" s="129"/>
      <c r="D240" s="134" t="str">
        <f t="shared" si="15"/>
        <v/>
      </c>
      <c r="E240" s="134" t="str">
        <f t="shared" si="16"/>
        <v/>
      </c>
      <c r="F240" s="135" t="str">
        <f t="shared" si="17"/>
        <v/>
      </c>
      <c r="G240" s="129"/>
      <c r="H240" s="129"/>
      <c r="I240" s="129"/>
      <c r="J240" s="129"/>
      <c r="K240" s="129"/>
      <c r="L240" s="129"/>
      <c r="M240" s="134" t="str">
        <f t="shared" si="18"/>
        <v/>
      </c>
      <c r="N240" s="134" t="str">
        <f t="shared" si="19"/>
        <v/>
      </c>
      <c r="O240" s="129"/>
      <c r="P240" s="133"/>
    </row>
    <row r="241" spans="1:16" x14ac:dyDescent="0.25">
      <c r="A241" s="133"/>
      <c r="B241" s="129"/>
      <c r="C241" s="129"/>
      <c r="D241" s="134" t="str">
        <f t="shared" si="15"/>
        <v/>
      </c>
      <c r="E241" s="134" t="str">
        <f t="shared" si="16"/>
        <v/>
      </c>
      <c r="F241" s="135" t="str">
        <f t="shared" si="17"/>
        <v/>
      </c>
      <c r="G241" s="129"/>
      <c r="H241" s="129"/>
      <c r="I241" s="129"/>
      <c r="J241" s="129"/>
      <c r="K241" s="129"/>
      <c r="L241" s="129"/>
      <c r="M241" s="134" t="str">
        <f t="shared" si="18"/>
        <v/>
      </c>
      <c r="N241" s="134" t="str">
        <f t="shared" si="19"/>
        <v/>
      </c>
      <c r="O241" s="129"/>
      <c r="P241" s="133"/>
    </row>
    <row r="242" spans="1:16" x14ac:dyDescent="0.25">
      <c r="A242" s="133"/>
      <c r="B242" s="129"/>
      <c r="C242" s="129"/>
      <c r="D242" s="134" t="str">
        <f t="shared" si="15"/>
        <v/>
      </c>
      <c r="E242" s="134" t="str">
        <f t="shared" si="16"/>
        <v/>
      </c>
      <c r="F242" s="135" t="str">
        <f t="shared" si="17"/>
        <v/>
      </c>
      <c r="G242" s="129"/>
      <c r="H242" s="129"/>
      <c r="I242" s="129"/>
      <c r="J242" s="129"/>
      <c r="K242" s="129"/>
      <c r="L242" s="129"/>
      <c r="M242" s="134" t="str">
        <f t="shared" si="18"/>
        <v/>
      </c>
      <c r="N242" s="134" t="str">
        <f t="shared" si="19"/>
        <v/>
      </c>
      <c r="O242" s="129"/>
      <c r="P242" s="133"/>
    </row>
    <row r="243" spans="1:16" x14ac:dyDescent="0.25">
      <c r="A243" s="133"/>
      <c r="B243" s="129"/>
      <c r="C243" s="129"/>
      <c r="D243" s="134" t="str">
        <f t="shared" si="15"/>
        <v/>
      </c>
      <c r="E243" s="134" t="str">
        <f t="shared" si="16"/>
        <v/>
      </c>
      <c r="F243" s="135" t="str">
        <f t="shared" si="17"/>
        <v/>
      </c>
      <c r="G243" s="129"/>
      <c r="H243" s="129"/>
      <c r="I243" s="129"/>
      <c r="J243" s="129"/>
      <c r="K243" s="129"/>
      <c r="L243" s="129"/>
      <c r="M243" s="134" t="str">
        <f t="shared" si="18"/>
        <v/>
      </c>
      <c r="N243" s="134" t="str">
        <f t="shared" si="19"/>
        <v/>
      </c>
      <c r="O243" s="129"/>
      <c r="P243" s="133"/>
    </row>
    <row r="244" spans="1:16" x14ac:dyDescent="0.25">
      <c r="A244" s="133"/>
      <c r="B244" s="129"/>
      <c r="C244" s="129"/>
      <c r="D244" s="134" t="str">
        <f t="shared" si="15"/>
        <v/>
      </c>
      <c r="E244" s="134" t="str">
        <f t="shared" si="16"/>
        <v/>
      </c>
      <c r="F244" s="135" t="str">
        <f t="shared" si="17"/>
        <v/>
      </c>
      <c r="G244" s="129"/>
      <c r="H244" s="129"/>
      <c r="I244" s="129"/>
      <c r="J244" s="129"/>
      <c r="K244" s="129"/>
      <c r="L244" s="129"/>
      <c r="M244" s="134" t="str">
        <f t="shared" si="18"/>
        <v/>
      </c>
      <c r="N244" s="134" t="str">
        <f t="shared" si="19"/>
        <v/>
      </c>
      <c r="O244" s="129"/>
      <c r="P244" s="133"/>
    </row>
    <row r="245" spans="1:16" x14ac:dyDescent="0.25">
      <c r="A245" s="133"/>
      <c r="B245" s="129"/>
      <c r="C245" s="129"/>
      <c r="D245" s="134" t="str">
        <f t="shared" si="15"/>
        <v/>
      </c>
      <c r="E245" s="134" t="str">
        <f t="shared" si="16"/>
        <v/>
      </c>
      <c r="F245" s="135" t="str">
        <f t="shared" si="17"/>
        <v/>
      </c>
      <c r="G245" s="129"/>
      <c r="H245" s="129"/>
      <c r="I245" s="129"/>
      <c r="J245" s="129"/>
      <c r="K245" s="129"/>
      <c r="L245" s="129"/>
      <c r="M245" s="134" t="str">
        <f t="shared" si="18"/>
        <v/>
      </c>
      <c r="N245" s="134" t="str">
        <f t="shared" si="19"/>
        <v/>
      </c>
      <c r="O245" s="129"/>
      <c r="P245" s="133"/>
    </row>
    <row r="246" spans="1:16" x14ac:dyDescent="0.25">
      <c r="A246" s="133"/>
      <c r="B246" s="129"/>
      <c r="C246" s="129"/>
      <c r="D246" s="134" t="str">
        <f t="shared" si="15"/>
        <v/>
      </c>
      <c r="E246" s="134" t="str">
        <f t="shared" si="16"/>
        <v/>
      </c>
      <c r="F246" s="135" t="str">
        <f t="shared" si="17"/>
        <v/>
      </c>
      <c r="G246" s="129"/>
      <c r="H246" s="129"/>
      <c r="I246" s="129"/>
      <c r="J246" s="129"/>
      <c r="K246" s="129"/>
      <c r="L246" s="129"/>
      <c r="M246" s="134" t="str">
        <f t="shared" si="18"/>
        <v/>
      </c>
      <c r="N246" s="134" t="str">
        <f t="shared" si="19"/>
        <v/>
      </c>
      <c r="O246" s="129"/>
      <c r="P246" s="133"/>
    </row>
    <row r="247" spans="1:16" x14ac:dyDescent="0.25">
      <c r="A247" s="133"/>
      <c r="B247" s="129"/>
      <c r="C247" s="129"/>
      <c r="D247" s="134" t="str">
        <f t="shared" si="15"/>
        <v/>
      </c>
      <c r="E247" s="134" t="str">
        <f t="shared" si="16"/>
        <v/>
      </c>
      <c r="F247" s="135" t="str">
        <f t="shared" si="17"/>
        <v/>
      </c>
      <c r="G247" s="129"/>
      <c r="H247" s="129"/>
      <c r="I247" s="129"/>
      <c r="J247" s="129"/>
      <c r="K247" s="129"/>
      <c r="L247" s="129"/>
      <c r="M247" s="134" t="str">
        <f t="shared" si="18"/>
        <v/>
      </c>
      <c r="N247" s="134" t="str">
        <f t="shared" si="19"/>
        <v/>
      </c>
      <c r="O247" s="129"/>
      <c r="P247" s="133"/>
    </row>
    <row r="248" spans="1:16" x14ac:dyDescent="0.25">
      <c r="A248" s="133"/>
      <c r="B248" s="129"/>
      <c r="C248" s="129"/>
      <c r="D248" s="134" t="str">
        <f t="shared" si="15"/>
        <v/>
      </c>
      <c r="E248" s="134" t="str">
        <f t="shared" si="16"/>
        <v/>
      </c>
      <c r="F248" s="135" t="str">
        <f t="shared" si="17"/>
        <v/>
      </c>
      <c r="G248" s="129"/>
      <c r="H248" s="129"/>
      <c r="I248" s="129"/>
      <c r="J248" s="129"/>
      <c r="K248" s="129"/>
      <c r="L248" s="129"/>
      <c r="M248" s="134" t="str">
        <f t="shared" si="18"/>
        <v/>
      </c>
      <c r="N248" s="134" t="str">
        <f t="shared" si="19"/>
        <v/>
      </c>
      <c r="O248" s="129"/>
      <c r="P248" s="133"/>
    </row>
    <row r="249" spans="1:16" x14ac:dyDescent="0.25">
      <c r="A249" s="133"/>
      <c r="B249" s="129"/>
      <c r="C249" s="129"/>
      <c r="D249" s="134" t="str">
        <f t="shared" si="15"/>
        <v/>
      </c>
      <c r="E249" s="134" t="str">
        <f t="shared" si="16"/>
        <v/>
      </c>
      <c r="F249" s="135" t="str">
        <f t="shared" si="17"/>
        <v/>
      </c>
      <c r="G249" s="129"/>
      <c r="H249" s="129"/>
      <c r="I249" s="129"/>
      <c r="J249" s="129"/>
      <c r="K249" s="129"/>
      <c r="L249" s="129"/>
      <c r="M249" s="134" t="str">
        <f t="shared" si="18"/>
        <v/>
      </c>
      <c r="N249" s="134" t="str">
        <f t="shared" si="19"/>
        <v/>
      </c>
      <c r="O249" s="129"/>
      <c r="P249" s="133"/>
    </row>
    <row r="250" spans="1:16" x14ac:dyDescent="0.25">
      <c r="A250" s="133"/>
      <c r="B250" s="129"/>
      <c r="C250" s="129"/>
      <c r="D250" s="134" t="str">
        <f t="shared" si="15"/>
        <v/>
      </c>
      <c r="E250" s="134" t="str">
        <f t="shared" si="16"/>
        <v/>
      </c>
      <c r="F250" s="135" t="str">
        <f t="shared" si="17"/>
        <v/>
      </c>
      <c r="G250" s="129"/>
      <c r="H250" s="129"/>
      <c r="I250" s="129"/>
      <c r="J250" s="129"/>
      <c r="K250" s="129"/>
      <c r="L250" s="129"/>
      <c r="M250" s="134" t="str">
        <f t="shared" si="18"/>
        <v/>
      </c>
      <c r="N250" s="134" t="str">
        <f t="shared" si="19"/>
        <v/>
      </c>
      <c r="O250" s="129"/>
      <c r="P250" s="133"/>
    </row>
    <row r="251" spans="1:16" x14ac:dyDescent="0.25">
      <c r="A251" s="133"/>
      <c r="B251" s="129"/>
      <c r="C251" s="129"/>
      <c r="D251" s="134" t="str">
        <f t="shared" si="15"/>
        <v/>
      </c>
      <c r="E251" s="134" t="str">
        <f t="shared" si="16"/>
        <v/>
      </c>
      <c r="F251" s="135" t="str">
        <f t="shared" si="17"/>
        <v/>
      </c>
      <c r="G251" s="129"/>
      <c r="H251" s="129"/>
      <c r="I251" s="129"/>
      <c r="J251" s="129"/>
      <c r="K251" s="129"/>
      <c r="L251" s="129"/>
      <c r="M251" s="134" t="str">
        <f t="shared" si="18"/>
        <v/>
      </c>
      <c r="N251" s="134" t="str">
        <f t="shared" si="19"/>
        <v/>
      </c>
      <c r="O251" s="129"/>
      <c r="P251" s="133"/>
    </row>
    <row r="252" spans="1:16" x14ac:dyDescent="0.25">
      <c r="A252" s="133"/>
      <c r="B252" s="129"/>
      <c r="C252" s="129"/>
      <c r="D252" s="134" t="str">
        <f t="shared" si="15"/>
        <v/>
      </c>
      <c r="E252" s="134" t="str">
        <f t="shared" si="16"/>
        <v/>
      </c>
      <c r="F252" s="135" t="str">
        <f t="shared" si="17"/>
        <v/>
      </c>
      <c r="G252" s="129"/>
      <c r="H252" s="129"/>
      <c r="I252" s="129"/>
      <c r="J252" s="129"/>
      <c r="K252" s="129"/>
      <c r="L252" s="129"/>
      <c r="M252" s="134" t="str">
        <f t="shared" si="18"/>
        <v/>
      </c>
      <c r="N252" s="134" t="str">
        <f t="shared" si="19"/>
        <v/>
      </c>
      <c r="O252" s="129"/>
      <c r="P252" s="133"/>
    </row>
    <row r="253" spans="1:16" x14ac:dyDescent="0.25">
      <c r="A253" s="133"/>
      <c r="B253" s="129"/>
      <c r="C253" s="129"/>
      <c r="D253" s="134" t="str">
        <f t="shared" si="15"/>
        <v/>
      </c>
      <c r="E253" s="134" t="str">
        <f t="shared" si="16"/>
        <v/>
      </c>
      <c r="F253" s="135" t="str">
        <f t="shared" si="17"/>
        <v/>
      </c>
      <c r="G253" s="129"/>
      <c r="H253" s="129"/>
      <c r="I253" s="129"/>
      <c r="J253" s="129"/>
      <c r="K253" s="129"/>
      <c r="L253" s="129"/>
      <c r="M253" s="134" t="str">
        <f t="shared" si="18"/>
        <v/>
      </c>
      <c r="N253" s="134" t="str">
        <f t="shared" si="19"/>
        <v/>
      </c>
      <c r="O253" s="129"/>
      <c r="P253" s="133"/>
    </row>
    <row r="254" spans="1:16" x14ac:dyDescent="0.25">
      <c r="A254" s="133"/>
      <c r="B254" s="129"/>
      <c r="C254" s="129"/>
      <c r="D254" s="134" t="str">
        <f t="shared" si="15"/>
        <v/>
      </c>
      <c r="E254" s="134" t="str">
        <f t="shared" si="16"/>
        <v/>
      </c>
      <c r="F254" s="135" t="str">
        <f t="shared" si="17"/>
        <v/>
      </c>
      <c r="G254" s="129"/>
      <c r="H254" s="129"/>
      <c r="I254" s="129"/>
      <c r="J254" s="129"/>
      <c r="K254" s="129"/>
      <c r="L254" s="129"/>
      <c r="M254" s="134" t="str">
        <f t="shared" si="18"/>
        <v/>
      </c>
      <c r="N254" s="134" t="str">
        <f t="shared" si="19"/>
        <v/>
      </c>
      <c r="O254" s="129"/>
      <c r="P254" s="133"/>
    </row>
    <row r="255" spans="1:16" x14ac:dyDescent="0.25">
      <c r="A255" s="133"/>
      <c r="B255" s="129"/>
      <c r="C255" s="129"/>
      <c r="D255" s="134" t="str">
        <f t="shared" si="15"/>
        <v/>
      </c>
      <c r="E255" s="134" t="str">
        <f t="shared" si="16"/>
        <v/>
      </c>
      <c r="F255" s="135" t="str">
        <f t="shared" si="17"/>
        <v/>
      </c>
      <c r="G255" s="129"/>
      <c r="H255" s="129"/>
      <c r="I255" s="129"/>
      <c r="J255" s="129"/>
      <c r="K255" s="129"/>
      <c r="L255" s="129"/>
      <c r="M255" s="134" t="str">
        <f t="shared" si="18"/>
        <v/>
      </c>
      <c r="N255" s="134" t="str">
        <f t="shared" si="19"/>
        <v/>
      </c>
      <c r="O255" s="129"/>
      <c r="P255" s="133"/>
    </row>
    <row r="256" spans="1:16" x14ac:dyDescent="0.25">
      <c r="A256" s="133"/>
      <c r="B256" s="129"/>
      <c r="C256" s="129"/>
      <c r="D256" s="134" t="str">
        <f t="shared" si="15"/>
        <v/>
      </c>
      <c r="E256" s="134" t="str">
        <f t="shared" si="16"/>
        <v/>
      </c>
      <c r="F256" s="135" t="str">
        <f t="shared" si="17"/>
        <v/>
      </c>
      <c r="G256" s="129"/>
      <c r="H256" s="129"/>
      <c r="I256" s="129"/>
      <c r="J256" s="129"/>
      <c r="K256" s="129"/>
      <c r="L256" s="129"/>
      <c r="M256" s="134" t="str">
        <f t="shared" si="18"/>
        <v/>
      </c>
      <c r="N256" s="134" t="str">
        <f t="shared" si="19"/>
        <v/>
      </c>
      <c r="O256" s="129"/>
      <c r="P256" s="133"/>
    </row>
    <row r="257" spans="1:16" x14ac:dyDescent="0.25">
      <c r="A257" s="133"/>
      <c r="B257" s="129"/>
      <c r="C257" s="129"/>
      <c r="D257" s="134" t="str">
        <f t="shared" si="15"/>
        <v/>
      </c>
      <c r="E257" s="134" t="str">
        <f t="shared" si="16"/>
        <v/>
      </c>
      <c r="F257" s="135" t="str">
        <f t="shared" si="17"/>
        <v/>
      </c>
      <c r="G257" s="129"/>
      <c r="H257" s="129"/>
      <c r="I257" s="129"/>
      <c r="J257" s="129"/>
      <c r="K257" s="129"/>
      <c r="L257" s="129"/>
      <c r="M257" s="134" t="str">
        <f t="shared" si="18"/>
        <v/>
      </c>
      <c r="N257" s="134" t="str">
        <f t="shared" si="19"/>
        <v/>
      </c>
      <c r="O257" s="129"/>
      <c r="P257" s="133"/>
    </row>
    <row r="258" spans="1:16" x14ac:dyDescent="0.25">
      <c r="A258" s="133"/>
      <c r="B258" s="129"/>
      <c r="C258" s="129"/>
      <c r="D258" s="134" t="str">
        <f t="shared" si="15"/>
        <v/>
      </c>
      <c r="E258" s="134" t="str">
        <f t="shared" si="16"/>
        <v/>
      </c>
      <c r="F258" s="135" t="str">
        <f t="shared" si="17"/>
        <v/>
      </c>
      <c r="G258" s="129"/>
      <c r="H258" s="129"/>
      <c r="I258" s="129"/>
      <c r="J258" s="129"/>
      <c r="K258" s="129"/>
      <c r="L258" s="129"/>
      <c r="M258" s="134" t="str">
        <f t="shared" si="18"/>
        <v/>
      </c>
      <c r="N258" s="134" t="str">
        <f t="shared" si="19"/>
        <v/>
      </c>
      <c r="O258" s="129"/>
      <c r="P258" s="133"/>
    </row>
    <row r="259" spans="1:16" x14ac:dyDescent="0.25">
      <c r="A259" s="133"/>
      <c r="B259" s="129"/>
      <c r="C259" s="129"/>
      <c r="D259" s="134" t="str">
        <f t="shared" si="15"/>
        <v/>
      </c>
      <c r="E259" s="134" t="str">
        <f t="shared" si="16"/>
        <v/>
      </c>
      <c r="F259" s="135" t="str">
        <f t="shared" si="17"/>
        <v/>
      </c>
      <c r="G259" s="129"/>
      <c r="H259" s="129"/>
      <c r="I259" s="129"/>
      <c r="J259" s="129"/>
      <c r="K259" s="129"/>
      <c r="L259" s="129"/>
      <c r="M259" s="134" t="str">
        <f t="shared" si="18"/>
        <v/>
      </c>
      <c r="N259" s="134" t="str">
        <f t="shared" si="19"/>
        <v/>
      </c>
      <c r="O259" s="129"/>
      <c r="P259" s="133"/>
    </row>
    <row r="260" spans="1:16" x14ac:dyDescent="0.25">
      <c r="A260" s="133"/>
      <c r="B260" s="129"/>
      <c r="C260" s="129"/>
      <c r="D260" s="134" t="str">
        <f t="shared" si="15"/>
        <v/>
      </c>
      <c r="E260" s="134" t="str">
        <f t="shared" si="16"/>
        <v/>
      </c>
      <c r="F260" s="135" t="str">
        <f t="shared" si="17"/>
        <v/>
      </c>
      <c r="G260" s="129"/>
      <c r="H260" s="129"/>
      <c r="I260" s="129"/>
      <c r="J260" s="129"/>
      <c r="K260" s="129"/>
      <c r="L260" s="129"/>
      <c r="M260" s="134" t="str">
        <f t="shared" si="18"/>
        <v/>
      </c>
      <c r="N260" s="134" t="str">
        <f t="shared" si="19"/>
        <v/>
      </c>
      <c r="O260" s="129"/>
      <c r="P260" s="133"/>
    </row>
    <row r="261" spans="1:16" x14ac:dyDescent="0.25">
      <c r="A261" s="133"/>
      <c r="B261" s="129"/>
      <c r="C261" s="129"/>
      <c r="D261" s="134" t="str">
        <f t="shared" ref="D261:D324" si="20">IFERROR(IF($C261="","",VLOOKUP($C261,CAD_TAB,8,FALSE)),"")</f>
        <v/>
      </c>
      <c r="E261" s="134" t="str">
        <f t="shared" ref="E261:E324" si="21">IFERROR(IF($C261="","",VLOOKUP($C261,CAD_TAB,9,FALSE)),"")</f>
        <v/>
      </c>
      <c r="F261" s="135" t="str">
        <f t="shared" ref="F261:F324" si="22">IFERROR(IF($C261="","",VLOOKUP($C261,CAD_TAB,6,FALSE)),"")</f>
        <v/>
      </c>
      <c r="G261" s="129"/>
      <c r="H261" s="129"/>
      <c r="I261" s="129"/>
      <c r="J261" s="129"/>
      <c r="K261" s="129"/>
      <c r="L261" s="129"/>
      <c r="M261" s="134" t="str">
        <f t="shared" ref="M261:M324" si="23">IF($C261="","",COUNTIF($G261:$L261,"NÃO"))</f>
        <v/>
      </c>
      <c r="N261" s="134" t="str">
        <f t="shared" ref="N261:N324" si="24">IF($C261="","",IF($M261=0,"LIVRE PARA PROGRAMAR","COM RESTRIÇÃO — "&amp;$M261&amp;" pendência(s)"))</f>
        <v/>
      </c>
      <c r="O261" s="129"/>
      <c r="P261" s="133"/>
    </row>
    <row r="262" spans="1:16" x14ac:dyDescent="0.25">
      <c r="A262" s="133"/>
      <c r="B262" s="129"/>
      <c r="C262" s="129"/>
      <c r="D262" s="134" t="str">
        <f t="shared" si="20"/>
        <v/>
      </c>
      <c r="E262" s="134" t="str">
        <f t="shared" si="21"/>
        <v/>
      </c>
      <c r="F262" s="135" t="str">
        <f t="shared" si="22"/>
        <v/>
      </c>
      <c r="G262" s="129"/>
      <c r="H262" s="129"/>
      <c r="I262" s="129"/>
      <c r="J262" s="129"/>
      <c r="K262" s="129"/>
      <c r="L262" s="129"/>
      <c r="M262" s="134" t="str">
        <f t="shared" si="23"/>
        <v/>
      </c>
      <c r="N262" s="134" t="str">
        <f t="shared" si="24"/>
        <v/>
      </c>
      <c r="O262" s="129"/>
      <c r="P262" s="133"/>
    </row>
    <row r="263" spans="1:16" x14ac:dyDescent="0.25">
      <c r="A263" s="133"/>
      <c r="B263" s="129"/>
      <c r="C263" s="129"/>
      <c r="D263" s="134" t="str">
        <f t="shared" si="20"/>
        <v/>
      </c>
      <c r="E263" s="134" t="str">
        <f t="shared" si="21"/>
        <v/>
      </c>
      <c r="F263" s="135" t="str">
        <f t="shared" si="22"/>
        <v/>
      </c>
      <c r="G263" s="129"/>
      <c r="H263" s="129"/>
      <c r="I263" s="129"/>
      <c r="J263" s="129"/>
      <c r="K263" s="129"/>
      <c r="L263" s="129"/>
      <c r="M263" s="134" t="str">
        <f t="shared" si="23"/>
        <v/>
      </c>
      <c r="N263" s="134" t="str">
        <f t="shared" si="24"/>
        <v/>
      </c>
      <c r="O263" s="129"/>
      <c r="P263" s="133"/>
    </row>
    <row r="264" spans="1:16" x14ac:dyDescent="0.25">
      <c r="A264" s="133"/>
      <c r="B264" s="129"/>
      <c r="C264" s="129"/>
      <c r="D264" s="134" t="str">
        <f t="shared" si="20"/>
        <v/>
      </c>
      <c r="E264" s="134" t="str">
        <f t="shared" si="21"/>
        <v/>
      </c>
      <c r="F264" s="135" t="str">
        <f t="shared" si="22"/>
        <v/>
      </c>
      <c r="G264" s="129"/>
      <c r="H264" s="129"/>
      <c r="I264" s="129"/>
      <c r="J264" s="129"/>
      <c r="K264" s="129"/>
      <c r="L264" s="129"/>
      <c r="M264" s="134" t="str">
        <f t="shared" si="23"/>
        <v/>
      </c>
      <c r="N264" s="134" t="str">
        <f t="shared" si="24"/>
        <v/>
      </c>
      <c r="O264" s="129"/>
      <c r="P264" s="133"/>
    </row>
    <row r="265" spans="1:16" x14ac:dyDescent="0.25">
      <c r="A265" s="133"/>
      <c r="B265" s="129"/>
      <c r="C265" s="129"/>
      <c r="D265" s="134" t="str">
        <f t="shared" si="20"/>
        <v/>
      </c>
      <c r="E265" s="134" t="str">
        <f t="shared" si="21"/>
        <v/>
      </c>
      <c r="F265" s="135" t="str">
        <f t="shared" si="22"/>
        <v/>
      </c>
      <c r="G265" s="129"/>
      <c r="H265" s="129"/>
      <c r="I265" s="129"/>
      <c r="J265" s="129"/>
      <c r="K265" s="129"/>
      <c r="L265" s="129"/>
      <c r="M265" s="134" t="str">
        <f t="shared" si="23"/>
        <v/>
      </c>
      <c r="N265" s="134" t="str">
        <f t="shared" si="24"/>
        <v/>
      </c>
      <c r="O265" s="129"/>
      <c r="P265" s="133"/>
    </row>
    <row r="266" spans="1:16" x14ac:dyDescent="0.25">
      <c r="A266" s="133"/>
      <c r="B266" s="129"/>
      <c r="C266" s="129"/>
      <c r="D266" s="134" t="str">
        <f t="shared" si="20"/>
        <v/>
      </c>
      <c r="E266" s="134" t="str">
        <f t="shared" si="21"/>
        <v/>
      </c>
      <c r="F266" s="135" t="str">
        <f t="shared" si="22"/>
        <v/>
      </c>
      <c r="G266" s="129"/>
      <c r="H266" s="129"/>
      <c r="I266" s="129"/>
      <c r="J266" s="129"/>
      <c r="K266" s="129"/>
      <c r="L266" s="129"/>
      <c r="M266" s="134" t="str">
        <f t="shared" si="23"/>
        <v/>
      </c>
      <c r="N266" s="134" t="str">
        <f t="shared" si="24"/>
        <v/>
      </c>
      <c r="O266" s="129"/>
      <c r="P266" s="133"/>
    </row>
    <row r="267" spans="1:16" x14ac:dyDescent="0.25">
      <c r="A267" s="133"/>
      <c r="B267" s="129"/>
      <c r="C267" s="129"/>
      <c r="D267" s="134" t="str">
        <f t="shared" si="20"/>
        <v/>
      </c>
      <c r="E267" s="134" t="str">
        <f t="shared" si="21"/>
        <v/>
      </c>
      <c r="F267" s="135" t="str">
        <f t="shared" si="22"/>
        <v/>
      </c>
      <c r="G267" s="129"/>
      <c r="H267" s="129"/>
      <c r="I267" s="129"/>
      <c r="J267" s="129"/>
      <c r="K267" s="129"/>
      <c r="L267" s="129"/>
      <c r="M267" s="134" t="str">
        <f t="shared" si="23"/>
        <v/>
      </c>
      <c r="N267" s="134" t="str">
        <f t="shared" si="24"/>
        <v/>
      </c>
      <c r="O267" s="129"/>
      <c r="P267" s="133"/>
    </row>
    <row r="268" spans="1:16" x14ac:dyDescent="0.25">
      <c r="A268" s="133"/>
      <c r="B268" s="129"/>
      <c r="C268" s="129"/>
      <c r="D268" s="134" t="str">
        <f t="shared" si="20"/>
        <v/>
      </c>
      <c r="E268" s="134" t="str">
        <f t="shared" si="21"/>
        <v/>
      </c>
      <c r="F268" s="135" t="str">
        <f t="shared" si="22"/>
        <v/>
      </c>
      <c r="G268" s="129"/>
      <c r="H268" s="129"/>
      <c r="I268" s="129"/>
      <c r="J268" s="129"/>
      <c r="K268" s="129"/>
      <c r="L268" s="129"/>
      <c r="M268" s="134" t="str">
        <f t="shared" si="23"/>
        <v/>
      </c>
      <c r="N268" s="134" t="str">
        <f t="shared" si="24"/>
        <v/>
      </c>
      <c r="O268" s="129"/>
      <c r="P268" s="133"/>
    </row>
    <row r="269" spans="1:16" x14ac:dyDescent="0.25">
      <c r="A269" s="133"/>
      <c r="B269" s="129"/>
      <c r="C269" s="129"/>
      <c r="D269" s="134" t="str">
        <f t="shared" si="20"/>
        <v/>
      </c>
      <c r="E269" s="134" t="str">
        <f t="shared" si="21"/>
        <v/>
      </c>
      <c r="F269" s="135" t="str">
        <f t="shared" si="22"/>
        <v/>
      </c>
      <c r="G269" s="129"/>
      <c r="H269" s="129"/>
      <c r="I269" s="129"/>
      <c r="J269" s="129"/>
      <c r="K269" s="129"/>
      <c r="L269" s="129"/>
      <c r="M269" s="134" t="str">
        <f t="shared" si="23"/>
        <v/>
      </c>
      <c r="N269" s="134" t="str">
        <f t="shared" si="24"/>
        <v/>
      </c>
      <c r="O269" s="129"/>
      <c r="P269" s="133"/>
    </row>
    <row r="270" spans="1:16" x14ac:dyDescent="0.25">
      <c r="A270" s="133"/>
      <c r="B270" s="129"/>
      <c r="C270" s="129"/>
      <c r="D270" s="134" t="str">
        <f t="shared" si="20"/>
        <v/>
      </c>
      <c r="E270" s="134" t="str">
        <f t="shared" si="21"/>
        <v/>
      </c>
      <c r="F270" s="135" t="str">
        <f t="shared" si="22"/>
        <v/>
      </c>
      <c r="G270" s="129"/>
      <c r="H270" s="129"/>
      <c r="I270" s="129"/>
      <c r="J270" s="129"/>
      <c r="K270" s="129"/>
      <c r="L270" s="129"/>
      <c r="M270" s="134" t="str">
        <f t="shared" si="23"/>
        <v/>
      </c>
      <c r="N270" s="134" t="str">
        <f t="shared" si="24"/>
        <v/>
      </c>
      <c r="O270" s="129"/>
      <c r="P270" s="133"/>
    </row>
    <row r="271" spans="1:16" x14ac:dyDescent="0.25">
      <c r="A271" s="133"/>
      <c r="B271" s="129"/>
      <c r="C271" s="129"/>
      <c r="D271" s="134" t="str">
        <f t="shared" si="20"/>
        <v/>
      </c>
      <c r="E271" s="134" t="str">
        <f t="shared" si="21"/>
        <v/>
      </c>
      <c r="F271" s="135" t="str">
        <f t="shared" si="22"/>
        <v/>
      </c>
      <c r="G271" s="129"/>
      <c r="H271" s="129"/>
      <c r="I271" s="129"/>
      <c r="J271" s="129"/>
      <c r="K271" s="129"/>
      <c r="L271" s="129"/>
      <c r="M271" s="134" t="str">
        <f t="shared" si="23"/>
        <v/>
      </c>
      <c r="N271" s="134" t="str">
        <f t="shared" si="24"/>
        <v/>
      </c>
      <c r="O271" s="129"/>
      <c r="P271" s="133"/>
    </row>
    <row r="272" spans="1:16" x14ac:dyDescent="0.25">
      <c r="A272" s="133"/>
      <c r="B272" s="129"/>
      <c r="C272" s="129"/>
      <c r="D272" s="134" t="str">
        <f t="shared" si="20"/>
        <v/>
      </c>
      <c r="E272" s="134" t="str">
        <f t="shared" si="21"/>
        <v/>
      </c>
      <c r="F272" s="135" t="str">
        <f t="shared" si="22"/>
        <v/>
      </c>
      <c r="G272" s="129"/>
      <c r="H272" s="129"/>
      <c r="I272" s="129"/>
      <c r="J272" s="129"/>
      <c r="K272" s="129"/>
      <c r="L272" s="129"/>
      <c r="M272" s="134" t="str">
        <f t="shared" si="23"/>
        <v/>
      </c>
      <c r="N272" s="134" t="str">
        <f t="shared" si="24"/>
        <v/>
      </c>
      <c r="O272" s="129"/>
      <c r="P272" s="133"/>
    </row>
    <row r="273" spans="1:16" x14ac:dyDescent="0.25">
      <c r="A273" s="133"/>
      <c r="B273" s="129"/>
      <c r="C273" s="129"/>
      <c r="D273" s="134" t="str">
        <f t="shared" si="20"/>
        <v/>
      </c>
      <c r="E273" s="134" t="str">
        <f t="shared" si="21"/>
        <v/>
      </c>
      <c r="F273" s="135" t="str">
        <f t="shared" si="22"/>
        <v/>
      </c>
      <c r="G273" s="129"/>
      <c r="H273" s="129"/>
      <c r="I273" s="129"/>
      <c r="J273" s="129"/>
      <c r="K273" s="129"/>
      <c r="L273" s="129"/>
      <c r="M273" s="134" t="str">
        <f t="shared" si="23"/>
        <v/>
      </c>
      <c r="N273" s="134" t="str">
        <f t="shared" si="24"/>
        <v/>
      </c>
      <c r="O273" s="129"/>
      <c r="P273" s="133"/>
    </row>
    <row r="274" spans="1:16" x14ac:dyDescent="0.25">
      <c r="A274" s="133"/>
      <c r="B274" s="129"/>
      <c r="C274" s="129"/>
      <c r="D274" s="134" t="str">
        <f t="shared" si="20"/>
        <v/>
      </c>
      <c r="E274" s="134" t="str">
        <f t="shared" si="21"/>
        <v/>
      </c>
      <c r="F274" s="135" t="str">
        <f t="shared" si="22"/>
        <v/>
      </c>
      <c r="G274" s="129"/>
      <c r="H274" s="129"/>
      <c r="I274" s="129"/>
      <c r="J274" s="129"/>
      <c r="K274" s="129"/>
      <c r="L274" s="129"/>
      <c r="M274" s="134" t="str">
        <f t="shared" si="23"/>
        <v/>
      </c>
      <c r="N274" s="134" t="str">
        <f t="shared" si="24"/>
        <v/>
      </c>
      <c r="O274" s="129"/>
      <c r="P274" s="133"/>
    </row>
    <row r="275" spans="1:16" x14ac:dyDescent="0.25">
      <c r="A275" s="133"/>
      <c r="B275" s="129"/>
      <c r="C275" s="129"/>
      <c r="D275" s="134" t="str">
        <f t="shared" si="20"/>
        <v/>
      </c>
      <c r="E275" s="134" t="str">
        <f t="shared" si="21"/>
        <v/>
      </c>
      <c r="F275" s="135" t="str">
        <f t="shared" si="22"/>
        <v/>
      </c>
      <c r="G275" s="129"/>
      <c r="H275" s="129"/>
      <c r="I275" s="129"/>
      <c r="J275" s="129"/>
      <c r="K275" s="129"/>
      <c r="L275" s="129"/>
      <c r="M275" s="134" t="str">
        <f t="shared" si="23"/>
        <v/>
      </c>
      <c r="N275" s="134" t="str">
        <f t="shared" si="24"/>
        <v/>
      </c>
      <c r="O275" s="129"/>
      <c r="P275" s="133"/>
    </row>
    <row r="276" spans="1:16" x14ac:dyDescent="0.25">
      <c r="A276" s="133"/>
      <c r="B276" s="129"/>
      <c r="C276" s="129"/>
      <c r="D276" s="134" t="str">
        <f t="shared" si="20"/>
        <v/>
      </c>
      <c r="E276" s="134" t="str">
        <f t="shared" si="21"/>
        <v/>
      </c>
      <c r="F276" s="135" t="str">
        <f t="shared" si="22"/>
        <v/>
      </c>
      <c r="G276" s="129"/>
      <c r="H276" s="129"/>
      <c r="I276" s="129"/>
      <c r="J276" s="129"/>
      <c r="K276" s="129"/>
      <c r="L276" s="129"/>
      <c r="M276" s="134" t="str">
        <f t="shared" si="23"/>
        <v/>
      </c>
      <c r="N276" s="134" t="str">
        <f t="shared" si="24"/>
        <v/>
      </c>
      <c r="O276" s="129"/>
      <c r="P276" s="133"/>
    </row>
    <row r="277" spans="1:16" x14ac:dyDescent="0.25">
      <c r="A277" s="133"/>
      <c r="B277" s="129"/>
      <c r="C277" s="129"/>
      <c r="D277" s="134" t="str">
        <f t="shared" si="20"/>
        <v/>
      </c>
      <c r="E277" s="134" t="str">
        <f t="shared" si="21"/>
        <v/>
      </c>
      <c r="F277" s="135" t="str">
        <f t="shared" si="22"/>
        <v/>
      </c>
      <c r="G277" s="129"/>
      <c r="H277" s="129"/>
      <c r="I277" s="129"/>
      <c r="J277" s="129"/>
      <c r="K277" s="129"/>
      <c r="L277" s="129"/>
      <c r="M277" s="134" t="str">
        <f t="shared" si="23"/>
        <v/>
      </c>
      <c r="N277" s="134" t="str">
        <f t="shared" si="24"/>
        <v/>
      </c>
      <c r="O277" s="129"/>
      <c r="P277" s="133"/>
    </row>
    <row r="278" spans="1:16" x14ac:dyDescent="0.25">
      <c r="A278" s="133"/>
      <c r="B278" s="129"/>
      <c r="C278" s="129"/>
      <c r="D278" s="134" t="str">
        <f t="shared" si="20"/>
        <v/>
      </c>
      <c r="E278" s="134" t="str">
        <f t="shared" si="21"/>
        <v/>
      </c>
      <c r="F278" s="135" t="str">
        <f t="shared" si="22"/>
        <v/>
      </c>
      <c r="G278" s="129"/>
      <c r="H278" s="129"/>
      <c r="I278" s="129"/>
      <c r="J278" s="129"/>
      <c r="K278" s="129"/>
      <c r="L278" s="129"/>
      <c r="M278" s="134" t="str">
        <f t="shared" si="23"/>
        <v/>
      </c>
      <c r="N278" s="134" t="str">
        <f t="shared" si="24"/>
        <v/>
      </c>
      <c r="O278" s="129"/>
      <c r="P278" s="133"/>
    </row>
    <row r="279" spans="1:16" x14ac:dyDescent="0.25">
      <c r="A279" s="133"/>
      <c r="B279" s="129"/>
      <c r="C279" s="129"/>
      <c r="D279" s="134" t="str">
        <f t="shared" si="20"/>
        <v/>
      </c>
      <c r="E279" s="134" t="str">
        <f t="shared" si="21"/>
        <v/>
      </c>
      <c r="F279" s="135" t="str">
        <f t="shared" si="22"/>
        <v/>
      </c>
      <c r="G279" s="129"/>
      <c r="H279" s="129"/>
      <c r="I279" s="129"/>
      <c r="J279" s="129"/>
      <c r="K279" s="129"/>
      <c r="L279" s="129"/>
      <c r="M279" s="134" t="str">
        <f t="shared" si="23"/>
        <v/>
      </c>
      <c r="N279" s="134" t="str">
        <f t="shared" si="24"/>
        <v/>
      </c>
      <c r="O279" s="129"/>
      <c r="P279" s="133"/>
    </row>
    <row r="280" spans="1:16" x14ac:dyDescent="0.25">
      <c r="A280" s="133"/>
      <c r="B280" s="129"/>
      <c r="C280" s="129"/>
      <c r="D280" s="134" t="str">
        <f t="shared" si="20"/>
        <v/>
      </c>
      <c r="E280" s="134" t="str">
        <f t="shared" si="21"/>
        <v/>
      </c>
      <c r="F280" s="135" t="str">
        <f t="shared" si="22"/>
        <v/>
      </c>
      <c r="G280" s="129"/>
      <c r="H280" s="129"/>
      <c r="I280" s="129"/>
      <c r="J280" s="129"/>
      <c r="K280" s="129"/>
      <c r="L280" s="129"/>
      <c r="M280" s="134" t="str">
        <f t="shared" si="23"/>
        <v/>
      </c>
      <c r="N280" s="134" t="str">
        <f t="shared" si="24"/>
        <v/>
      </c>
      <c r="O280" s="129"/>
      <c r="P280" s="133"/>
    </row>
    <row r="281" spans="1:16" x14ac:dyDescent="0.25">
      <c r="A281" s="133"/>
      <c r="B281" s="129"/>
      <c r="C281" s="129"/>
      <c r="D281" s="134" t="str">
        <f t="shared" si="20"/>
        <v/>
      </c>
      <c r="E281" s="134" t="str">
        <f t="shared" si="21"/>
        <v/>
      </c>
      <c r="F281" s="135" t="str">
        <f t="shared" si="22"/>
        <v/>
      </c>
      <c r="G281" s="129"/>
      <c r="H281" s="129"/>
      <c r="I281" s="129"/>
      <c r="J281" s="129"/>
      <c r="K281" s="129"/>
      <c r="L281" s="129"/>
      <c r="M281" s="134" t="str">
        <f t="shared" si="23"/>
        <v/>
      </c>
      <c r="N281" s="134" t="str">
        <f t="shared" si="24"/>
        <v/>
      </c>
      <c r="O281" s="129"/>
      <c r="P281" s="133"/>
    </row>
    <row r="282" spans="1:16" x14ac:dyDescent="0.25">
      <c r="A282" s="133"/>
      <c r="B282" s="129"/>
      <c r="C282" s="129"/>
      <c r="D282" s="134" t="str">
        <f t="shared" si="20"/>
        <v/>
      </c>
      <c r="E282" s="134" t="str">
        <f t="shared" si="21"/>
        <v/>
      </c>
      <c r="F282" s="135" t="str">
        <f t="shared" si="22"/>
        <v/>
      </c>
      <c r="G282" s="129"/>
      <c r="H282" s="129"/>
      <c r="I282" s="129"/>
      <c r="J282" s="129"/>
      <c r="K282" s="129"/>
      <c r="L282" s="129"/>
      <c r="M282" s="134" t="str">
        <f t="shared" si="23"/>
        <v/>
      </c>
      <c r="N282" s="134" t="str">
        <f t="shared" si="24"/>
        <v/>
      </c>
      <c r="O282" s="129"/>
      <c r="P282" s="133"/>
    </row>
    <row r="283" spans="1:16" x14ac:dyDescent="0.25">
      <c r="A283" s="133"/>
      <c r="B283" s="129"/>
      <c r="C283" s="129"/>
      <c r="D283" s="134" t="str">
        <f t="shared" si="20"/>
        <v/>
      </c>
      <c r="E283" s="134" t="str">
        <f t="shared" si="21"/>
        <v/>
      </c>
      <c r="F283" s="135" t="str">
        <f t="shared" si="22"/>
        <v/>
      </c>
      <c r="G283" s="129"/>
      <c r="H283" s="129"/>
      <c r="I283" s="129"/>
      <c r="J283" s="129"/>
      <c r="K283" s="129"/>
      <c r="L283" s="129"/>
      <c r="M283" s="134" t="str">
        <f t="shared" si="23"/>
        <v/>
      </c>
      <c r="N283" s="134" t="str">
        <f t="shared" si="24"/>
        <v/>
      </c>
      <c r="O283" s="129"/>
      <c r="P283" s="133"/>
    </row>
    <row r="284" spans="1:16" x14ac:dyDescent="0.25">
      <c r="A284" s="133"/>
      <c r="B284" s="129"/>
      <c r="C284" s="129"/>
      <c r="D284" s="134" t="str">
        <f t="shared" si="20"/>
        <v/>
      </c>
      <c r="E284" s="134" t="str">
        <f t="shared" si="21"/>
        <v/>
      </c>
      <c r="F284" s="135" t="str">
        <f t="shared" si="22"/>
        <v/>
      </c>
      <c r="G284" s="129"/>
      <c r="H284" s="129"/>
      <c r="I284" s="129"/>
      <c r="J284" s="129"/>
      <c r="K284" s="129"/>
      <c r="L284" s="129"/>
      <c r="M284" s="134" t="str">
        <f t="shared" si="23"/>
        <v/>
      </c>
      <c r="N284" s="134" t="str">
        <f t="shared" si="24"/>
        <v/>
      </c>
      <c r="O284" s="129"/>
      <c r="P284" s="133"/>
    </row>
    <row r="285" spans="1:16" x14ac:dyDescent="0.25">
      <c r="A285" s="133"/>
      <c r="B285" s="129"/>
      <c r="C285" s="129"/>
      <c r="D285" s="134" t="str">
        <f t="shared" si="20"/>
        <v/>
      </c>
      <c r="E285" s="134" t="str">
        <f t="shared" si="21"/>
        <v/>
      </c>
      <c r="F285" s="135" t="str">
        <f t="shared" si="22"/>
        <v/>
      </c>
      <c r="G285" s="129"/>
      <c r="H285" s="129"/>
      <c r="I285" s="129"/>
      <c r="J285" s="129"/>
      <c r="K285" s="129"/>
      <c r="L285" s="129"/>
      <c r="M285" s="134" t="str">
        <f t="shared" si="23"/>
        <v/>
      </c>
      <c r="N285" s="134" t="str">
        <f t="shared" si="24"/>
        <v/>
      </c>
      <c r="O285" s="129"/>
      <c r="P285" s="133"/>
    </row>
    <row r="286" spans="1:16" x14ac:dyDescent="0.25">
      <c r="A286" s="133"/>
      <c r="B286" s="129"/>
      <c r="C286" s="129"/>
      <c r="D286" s="134" t="str">
        <f t="shared" si="20"/>
        <v/>
      </c>
      <c r="E286" s="134" t="str">
        <f t="shared" si="21"/>
        <v/>
      </c>
      <c r="F286" s="135" t="str">
        <f t="shared" si="22"/>
        <v/>
      </c>
      <c r="G286" s="129"/>
      <c r="H286" s="129"/>
      <c r="I286" s="129"/>
      <c r="J286" s="129"/>
      <c r="K286" s="129"/>
      <c r="L286" s="129"/>
      <c r="M286" s="134" t="str">
        <f t="shared" si="23"/>
        <v/>
      </c>
      <c r="N286" s="134" t="str">
        <f t="shared" si="24"/>
        <v/>
      </c>
      <c r="O286" s="129"/>
      <c r="P286" s="133"/>
    </row>
    <row r="287" spans="1:16" x14ac:dyDescent="0.25">
      <c r="A287" s="133"/>
      <c r="B287" s="129"/>
      <c r="C287" s="129"/>
      <c r="D287" s="134" t="str">
        <f t="shared" si="20"/>
        <v/>
      </c>
      <c r="E287" s="134" t="str">
        <f t="shared" si="21"/>
        <v/>
      </c>
      <c r="F287" s="135" t="str">
        <f t="shared" si="22"/>
        <v/>
      </c>
      <c r="G287" s="129"/>
      <c r="H287" s="129"/>
      <c r="I287" s="129"/>
      <c r="J287" s="129"/>
      <c r="K287" s="129"/>
      <c r="L287" s="129"/>
      <c r="M287" s="134" t="str">
        <f t="shared" si="23"/>
        <v/>
      </c>
      <c r="N287" s="134" t="str">
        <f t="shared" si="24"/>
        <v/>
      </c>
      <c r="O287" s="129"/>
      <c r="P287" s="133"/>
    </row>
    <row r="288" spans="1:16" x14ac:dyDescent="0.25">
      <c r="A288" s="133"/>
      <c r="B288" s="129"/>
      <c r="C288" s="129"/>
      <c r="D288" s="134" t="str">
        <f t="shared" si="20"/>
        <v/>
      </c>
      <c r="E288" s="134" t="str">
        <f t="shared" si="21"/>
        <v/>
      </c>
      <c r="F288" s="135" t="str">
        <f t="shared" si="22"/>
        <v/>
      </c>
      <c r="G288" s="129"/>
      <c r="H288" s="129"/>
      <c r="I288" s="129"/>
      <c r="J288" s="129"/>
      <c r="K288" s="129"/>
      <c r="L288" s="129"/>
      <c r="M288" s="134" t="str">
        <f t="shared" si="23"/>
        <v/>
      </c>
      <c r="N288" s="134" t="str">
        <f t="shared" si="24"/>
        <v/>
      </c>
      <c r="O288" s="129"/>
      <c r="P288" s="133"/>
    </row>
    <row r="289" spans="1:16" x14ac:dyDescent="0.25">
      <c r="A289" s="133"/>
      <c r="B289" s="129"/>
      <c r="C289" s="129"/>
      <c r="D289" s="134" t="str">
        <f t="shared" si="20"/>
        <v/>
      </c>
      <c r="E289" s="134" t="str">
        <f t="shared" si="21"/>
        <v/>
      </c>
      <c r="F289" s="135" t="str">
        <f t="shared" si="22"/>
        <v/>
      </c>
      <c r="G289" s="129"/>
      <c r="H289" s="129"/>
      <c r="I289" s="129"/>
      <c r="J289" s="129"/>
      <c r="K289" s="129"/>
      <c r="L289" s="129"/>
      <c r="M289" s="134" t="str">
        <f t="shared" si="23"/>
        <v/>
      </c>
      <c r="N289" s="134" t="str">
        <f t="shared" si="24"/>
        <v/>
      </c>
      <c r="O289" s="129"/>
      <c r="P289" s="133"/>
    </row>
    <row r="290" spans="1:16" x14ac:dyDescent="0.25">
      <c r="A290" s="133"/>
      <c r="B290" s="129"/>
      <c r="C290" s="129"/>
      <c r="D290" s="134" t="str">
        <f t="shared" si="20"/>
        <v/>
      </c>
      <c r="E290" s="134" t="str">
        <f t="shared" si="21"/>
        <v/>
      </c>
      <c r="F290" s="135" t="str">
        <f t="shared" si="22"/>
        <v/>
      </c>
      <c r="G290" s="129"/>
      <c r="H290" s="129"/>
      <c r="I290" s="129"/>
      <c r="J290" s="129"/>
      <c r="K290" s="129"/>
      <c r="L290" s="129"/>
      <c r="M290" s="134" t="str">
        <f t="shared" si="23"/>
        <v/>
      </c>
      <c r="N290" s="134" t="str">
        <f t="shared" si="24"/>
        <v/>
      </c>
      <c r="O290" s="129"/>
      <c r="P290" s="133"/>
    </row>
    <row r="291" spans="1:16" x14ac:dyDescent="0.25">
      <c r="A291" s="133"/>
      <c r="B291" s="129"/>
      <c r="C291" s="129"/>
      <c r="D291" s="134" t="str">
        <f t="shared" si="20"/>
        <v/>
      </c>
      <c r="E291" s="134" t="str">
        <f t="shared" si="21"/>
        <v/>
      </c>
      <c r="F291" s="135" t="str">
        <f t="shared" si="22"/>
        <v/>
      </c>
      <c r="G291" s="129"/>
      <c r="H291" s="129"/>
      <c r="I291" s="129"/>
      <c r="J291" s="129"/>
      <c r="K291" s="129"/>
      <c r="L291" s="129"/>
      <c r="M291" s="134" t="str">
        <f t="shared" si="23"/>
        <v/>
      </c>
      <c r="N291" s="134" t="str">
        <f t="shared" si="24"/>
        <v/>
      </c>
      <c r="O291" s="129"/>
      <c r="P291" s="133"/>
    </row>
    <row r="292" spans="1:16" x14ac:dyDescent="0.25">
      <c r="A292" s="133"/>
      <c r="B292" s="129"/>
      <c r="C292" s="129"/>
      <c r="D292" s="134" t="str">
        <f t="shared" si="20"/>
        <v/>
      </c>
      <c r="E292" s="134" t="str">
        <f t="shared" si="21"/>
        <v/>
      </c>
      <c r="F292" s="135" t="str">
        <f t="shared" si="22"/>
        <v/>
      </c>
      <c r="G292" s="129"/>
      <c r="H292" s="129"/>
      <c r="I292" s="129"/>
      <c r="J292" s="129"/>
      <c r="K292" s="129"/>
      <c r="L292" s="129"/>
      <c r="M292" s="134" t="str">
        <f t="shared" si="23"/>
        <v/>
      </c>
      <c r="N292" s="134" t="str">
        <f t="shared" si="24"/>
        <v/>
      </c>
      <c r="O292" s="129"/>
      <c r="P292" s="133"/>
    </row>
    <row r="293" spans="1:16" x14ac:dyDescent="0.25">
      <c r="A293" s="133"/>
      <c r="B293" s="129"/>
      <c r="C293" s="129"/>
      <c r="D293" s="134" t="str">
        <f t="shared" si="20"/>
        <v/>
      </c>
      <c r="E293" s="134" t="str">
        <f t="shared" si="21"/>
        <v/>
      </c>
      <c r="F293" s="135" t="str">
        <f t="shared" si="22"/>
        <v/>
      </c>
      <c r="G293" s="129"/>
      <c r="H293" s="129"/>
      <c r="I293" s="129"/>
      <c r="J293" s="129"/>
      <c r="K293" s="129"/>
      <c r="L293" s="129"/>
      <c r="M293" s="134" t="str">
        <f t="shared" si="23"/>
        <v/>
      </c>
      <c r="N293" s="134" t="str">
        <f t="shared" si="24"/>
        <v/>
      </c>
      <c r="O293" s="129"/>
      <c r="P293" s="133"/>
    </row>
    <row r="294" spans="1:16" x14ac:dyDescent="0.25">
      <c r="A294" s="133"/>
      <c r="B294" s="129"/>
      <c r="C294" s="129"/>
      <c r="D294" s="134" t="str">
        <f t="shared" si="20"/>
        <v/>
      </c>
      <c r="E294" s="134" t="str">
        <f t="shared" si="21"/>
        <v/>
      </c>
      <c r="F294" s="135" t="str">
        <f t="shared" si="22"/>
        <v/>
      </c>
      <c r="G294" s="129"/>
      <c r="H294" s="129"/>
      <c r="I294" s="129"/>
      <c r="J294" s="129"/>
      <c r="K294" s="129"/>
      <c r="L294" s="129"/>
      <c r="M294" s="134" t="str">
        <f t="shared" si="23"/>
        <v/>
      </c>
      <c r="N294" s="134" t="str">
        <f t="shared" si="24"/>
        <v/>
      </c>
      <c r="O294" s="129"/>
      <c r="P294" s="133"/>
    </row>
    <row r="295" spans="1:16" x14ac:dyDescent="0.25">
      <c r="A295" s="133"/>
      <c r="B295" s="129"/>
      <c r="C295" s="129"/>
      <c r="D295" s="134" t="str">
        <f t="shared" si="20"/>
        <v/>
      </c>
      <c r="E295" s="134" t="str">
        <f t="shared" si="21"/>
        <v/>
      </c>
      <c r="F295" s="135" t="str">
        <f t="shared" si="22"/>
        <v/>
      </c>
      <c r="G295" s="129"/>
      <c r="H295" s="129"/>
      <c r="I295" s="129"/>
      <c r="J295" s="129"/>
      <c r="K295" s="129"/>
      <c r="L295" s="129"/>
      <c r="M295" s="134" t="str">
        <f t="shared" si="23"/>
        <v/>
      </c>
      <c r="N295" s="134" t="str">
        <f t="shared" si="24"/>
        <v/>
      </c>
      <c r="O295" s="129"/>
      <c r="P295" s="133"/>
    </row>
    <row r="296" spans="1:16" x14ac:dyDescent="0.25">
      <c r="A296" s="133"/>
      <c r="B296" s="129"/>
      <c r="C296" s="129"/>
      <c r="D296" s="134" t="str">
        <f t="shared" si="20"/>
        <v/>
      </c>
      <c r="E296" s="134" t="str">
        <f t="shared" si="21"/>
        <v/>
      </c>
      <c r="F296" s="135" t="str">
        <f t="shared" si="22"/>
        <v/>
      </c>
      <c r="G296" s="129"/>
      <c r="H296" s="129"/>
      <c r="I296" s="129"/>
      <c r="J296" s="129"/>
      <c r="K296" s="129"/>
      <c r="L296" s="129"/>
      <c r="M296" s="134" t="str">
        <f t="shared" si="23"/>
        <v/>
      </c>
      <c r="N296" s="134" t="str">
        <f t="shared" si="24"/>
        <v/>
      </c>
      <c r="O296" s="129"/>
      <c r="P296" s="133"/>
    </row>
    <row r="297" spans="1:16" x14ac:dyDescent="0.25">
      <c r="A297" s="133"/>
      <c r="B297" s="129"/>
      <c r="C297" s="129"/>
      <c r="D297" s="134" t="str">
        <f t="shared" si="20"/>
        <v/>
      </c>
      <c r="E297" s="134" t="str">
        <f t="shared" si="21"/>
        <v/>
      </c>
      <c r="F297" s="135" t="str">
        <f t="shared" si="22"/>
        <v/>
      </c>
      <c r="G297" s="129"/>
      <c r="H297" s="129"/>
      <c r="I297" s="129"/>
      <c r="J297" s="129"/>
      <c r="K297" s="129"/>
      <c r="L297" s="129"/>
      <c r="M297" s="134" t="str">
        <f t="shared" si="23"/>
        <v/>
      </c>
      <c r="N297" s="134" t="str">
        <f t="shared" si="24"/>
        <v/>
      </c>
      <c r="O297" s="129"/>
      <c r="P297" s="133"/>
    </row>
    <row r="298" spans="1:16" x14ac:dyDescent="0.25">
      <c r="A298" s="133"/>
      <c r="B298" s="129"/>
      <c r="C298" s="129"/>
      <c r="D298" s="134" t="str">
        <f t="shared" si="20"/>
        <v/>
      </c>
      <c r="E298" s="134" t="str">
        <f t="shared" si="21"/>
        <v/>
      </c>
      <c r="F298" s="135" t="str">
        <f t="shared" si="22"/>
        <v/>
      </c>
      <c r="G298" s="129"/>
      <c r="H298" s="129"/>
      <c r="I298" s="129"/>
      <c r="J298" s="129"/>
      <c r="K298" s="129"/>
      <c r="L298" s="129"/>
      <c r="M298" s="134" t="str">
        <f t="shared" si="23"/>
        <v/>
      </c>
      <c r="N298" s="134" t="str">
        <f t="shared" si="24"/>
        <v/>
      </c>
      <c r="O298" s="129"/>
      <c r="P298" s="133"/>
    </row>
    <row r="299" spans="1:16" x14ac:dyDescent="0.25">
      <c r="A299" s="133"/>
      <c r="B299" s="129"/>
      <c r="C299" s="129"/>
      <c r="D299" s="134" t="str">
        <f t="shared" si="20"/>
        <v/>
      </c>
      <c r="E299" s="134" t="str">
        <f t="shared" si="21"/>
        <v/>
      </c>
      <c r="F299" s="135" t="str">
        <f t="shared" si="22"/>
        <v/>
      </c>
      <c r="G299" s="129"/>
      <c r="H299" s="129"/>
      <c r="I299" s="129"/>
      <c r="J299" s="129"/>
      <c r="K299" s="129"/>
      <c r="L299" s="129"/>
      <c r="M299" s="134" t="str">
        <f t="shared" si="23"/>
        <v/>
      </c>
      <c r="N299" s="134" t="str">
        <f t="shared" si="24"/>
        <v/>
      </c>
      <c r="O299" s="129"/>
      <c r="P299" s="133"/>
    </row>
    <row r="300" spans="1:16" x14ac:dyDescent="0.25">
      <c r="A300" s="133"/>
      <c r="B300" s="129"/>
      <c r="C300" s="129"/>
      <c r="D300" s="134" t="str">
        <f t="shared" si="20"/>
        <v/>
      </c>
      <c r="E300" s="134" t="str">
        <f t="shared" si="21"/>
        <v/>
      </c>
      <c r="F300" s="135" t="str">
        <f t="shared" si="22"/>
        <v/>
      </c>
      <c r="G300" s="129"/>
      <c r="H300" s="129"/>
      <c r="I300" s="129"/>
      <c r="J300" s="129"/>
      <c r="K300" s="129"/>
      <c r="L300" s="129"/>
      <c r="M300" s="134" t="str">
        <f t="shared" si="23"/>
        <v/>
      </c>
      <c r="N300" s="134" t="str">
        <f t="shared" si="24"/>
        <v/>
      </c>
      <c r="O300" s="129"/>
      <c r="P300" s="133"/>
    </row>
    <row r="301" spans="1:16" x14ac:dyDescent="0.25">
      <c r="A301" s="133"/>
      <c r="B301" s="129"/>
      <c r="C301" s="129"/>
      <c r="D301" s="134" t="str">
        <f t="shared" si="20"/>
        <v/>
      </c>
      <c r="E301" s="134" t="str">
        <f t="shared" si="21"/>
        <v/>
      </c>
      <c r="F301" s="135" t="str">
        <f t="shared" si="22"/>
        <v/>
      </c>
      <c r="G301" s="129"/>
      <c r="H301" s="129"/>
      <c r="I301" s="129"/>
      <c r="J301" s="129"/>
      <c r="K301" s="129"/>
      <c r="L301" s="129"/>
      <c r="M301" s="134" t="str">
        <f t="shared" si="23"/>
        <v/>
      </c>
      <c r="N301" s="134" t="str">
        <f t="shared" si="24"/>
        <v/>
      </c>
      <c r="O301" s="129"/>
      <c r="P301" s="133"/>
    </row>
    <row r="302" spans="1:16" x14ac:dyDescent="0.25">
      <c r="A302" s="133"/>
      <c r="B302" s="129"/>
      <c r="C302" s="129"/>
      <c r="D302" s="134" t="str">
        <f t="shared" si="20"/>
        <v/>
      </c>
      <c r="E302" s="134" t="str">
        <f t="shared" si="21"/>
        <v/>
      </c>
      <c r="F302" s="135" t="str">
        <f t="shared" si="22"/>
        <v/>
      </c>
      <c r="G302" s="129"/>
      <c r="H302" s="129"/>
      <c r="I302" s="129"/>
      <c r="J302" s="129"/>
      <c r="K302" s="129"/>
      <c r="L302" s="129"/>
      <c r="M302" s="134" t="str">
        <f t="shared" si="23"/>
        <v/>
      </c>
      <c r="N302" s="134" t="str">
        <f t="shared" si="24"/>
        <v/>
      </c>
      <c r="O302" s="129"/>
      <c r="P302" s="133"/>
    </row>
    <row r="303" spans="1:16" x14ac:dyDescent="0.25">
      <c r="A303" s="133"/>
      <c r="B303" s="129"/>
      <c r="C303" s="129"/>
      <c r="D303" s="134" t="str">
        <f t="shared" si="20"/>
        <v/>
      </c>
      <c r="E303" s="134" t="str">
        <f t="shared" si="21"/>
        <v/>
      </c>
      <c r="F303" s="135" t="str">
        <f t="shared" si="22"/>
        <v/>
      </c>
      <c r="G303" s="129"/>
      <c r="H303" s="129"/>
      <c r="I303" s="129"/>
      <c r="J303" s="129"/>
      <c r="K303" s="129"/>
      <c r="L303" s="129"/>
      <c r="M303" s="134" t="str">
        <f t="shared" si="23"/>
        <v/>
      </c>
      <c r="N303" s="134" t="str">
        <f t="shared" si="24"/>
        <v/>
      </c>
      <c r="O303" s="129"/>
      <c r="P303" s="133"/>
    </row>
    <row r="304" spans="1:16" x14ac:dyDescent="0.25">
      <c r="A304" s="133"/>
      <c r="B304" s="129"/>
      <c r="C304" s="129"/>
      <c r="D304" s="134" t="str">
        <f t="shared" si="20"/>
        <v/>
      </c>
      <c r="E304" s="134" t="str">
        <f t="shared" si="21"/>
        <v/>
      </c>
      <c r="F304" s="135" t="str">
        <f t="shared" si="22"/>
        <v/>
      </c>
      <c r="G304" s="129"/>
      <c r="H304" s="129"/>
      <c r="I304" s="129"/>
      <c r="J304" s="129"/>
      <c r="K304" s="129"/>
      <c r="L304" s="129"/>
      <c r="M304" s="134" t="str">
        <f t="shared" si="23"/>
        <v/>
      </c>
      <c r="N304" s="134" t="str">
        <f t="shared" si="24"/>
        <v/>
      </c>
      <c r="O304" s="129"/>
      <c r="P304" s="133"/>
    </row>
    <row r="305" spans="1:16" x14ac:dyDescent="0.25">
      <c r="A305" s="133"/>
      <c r="B305" s="129"/>
      <c r="C305" s="129"/>
      <c r="D305" s="134" t="str">
        <f t="shared" si="20"/>
        <v/>
      </c>
      <c r="E305" s="134" t="str">
        <f t="shared" si="21"/>
        <v/>
      </c>
      <c r="F305" s="135" t="str">
        <f t="shared" si="22"/>
        <v/>
      </c>
      <c r="G305" s="129"/>
      <c r="H305" s="129"/>
      <c r="I305" s="129"/>
      <c r="J305" s="129"/>
      <c r="K305" s="129"/>
      <c r="L305" s="129"/>
      <c r="M305" s="134" t="str">
        <f t="shared" si="23"/>
        <v/>
      </c>
      <c r="N305" s="134" t="str">
        <f t="shared" si="24"/>
        <v/>
      </c>
      <c r="O305" s="129"/>
      <c r="P305" s="133"/>
    </row>
    <row r="306" spans="1:16" x14ac:dyDescent="0.25">
      <c r="A306" s="133"/>
      <c r="B306" s="129"/>
      <c r="C306" s="129"/>
      <c r="D306" s="134" t="str">
        <f t="shared" si="20"/>
        <v/>
      </c>
      <c r="E306" s="134" t="str">
        <f t="shared" si="21"/>
        <v/>
      </c>
      <c r="F306" s="135" t="str">
        <f t="shared" si="22"/>
        <v/>
      </c>
      <c r="G306" s="129"/>
      <c r="H306" s="129"/>
      <c r="I306" s="129"/>
      <c r="J306" s="129"/>
      <c r="K306" s="129"/>
      <c r="L306" s="129"/>
      <c r="M306" s="134" t="str">
        <f t="shared" si="23"/>
        <v/>
      </c>
      <c r="N306" s="134" t="str">
        <f t="shared" si="24"/>
        <v/>
      </c>
      <c r="O306" s="129"/>
      <c r="P306" s="133"/>
    </row>
    <row r="307" spans="1:16" x14ac:dyDescent="0.25">
      <c r="A307" s="133"/>
      <c r="B307" s="129"/>
      <c r="C307" s="129"/>
      <c r="D307" s="134" t="str">
        <f t="shared" si="20"/>
        <v/>
      </c>
      <c r="E307" s="134" t="str">
        <f t="shared" si="21"/>
        <v/>
      </c>
      <c r="F307" s="135" t="str">
        <f t="shared" si="22"/>
        <v/>
      </c>
      <c r="G307" s="129"/>
      <c r="H307" s="129"/>
      <c r="I307" s="129"/>
      <c r="J307" s="129"/>
      <c r="K307" s="129"/>
      <c r="L307" s="129"/>
      <c r="M307" s="134" t="str">
        <f t="shared" si="23"/>
        <v/>
      </c>
      <c r="N307" s="134" t="str">
        <f t="shared" si="24"/>
        <v/>
      </c>
      <c r="O307" s="129"/>
      <c r="P307" s="133"/>
    </row>
    <row r="308" spans="1:16" x14ac:dyDescent="0.25">
      <c r="A308" s="133"/>
      <c r="B308" s="129"/>
      <c r="C308" s="129"/>
      <c r="D308" s="134" t="str">
        <f t="shared" si="20"/>
        <v/>
      </c>
      <c r="E308" s="134" t="str">
        <f t="shared" si="21"/>
        <v/>
      </c>
      <c r="F308" s="135" t="str">
        <f t="shared" si="22"/>
        <v/>
      </c>
      <c r="G308" s="129"/>
      <c r="H308" s="129"/>
      <c r="I308" s="129"/>
      <c r="J308" s="129"/>
      <c r="K308" s="129"/>
      <c r="L308" s="129"/>
      <c r="M308" s="134" t="str">
        <f t="shared" si="23"/>
        <v/>
      </c>
      <c r="N308" s="134" t="str">
        <f t="shared" si="24"/>
        <v/>
      </c>
      <c r="O308" s="129"/>
      <c r="P308" s="133"/>
    </row>
    <row r="309" spans="1:16" x14ac:dyDescent="0.25">
      <c r="A309" s="133"/>
      <c r="B309" s="129"/>
      <c r="C309" s="129"/>
      <c r="D309" s="134" t="str">
        <f t="shared" si="20"/>
        <v/>
      </c>
      <c r="E309" s="134" t="str">
        <f t="shared" si="21"/>
        <v/>
      </c>
      <c r="F309" s="135" t="str">
        <f t="shared" si="22"/>
        <v/>
      </c>
      <c r="G309" s="129"/>
      <c r="H309" s="129"/>
      <c r="I309" s="129"/>
      <c r="J309" s="129"/>
      <c r="K309" s="129"/>
      <c r="L309" s="129"/>
      <c r="M309" s="134" t="str">
        <f t="shared" si="23"/>
        <v/>
      </c>
      <c r="N309" s="134" t="str">
        <f t="shared" si="24"/>
        <v/>
      </c>
      <c r="O309" s="129"/>
      <c r="P309" s="133"/>
    </row>
    <row r="310" spans="1:16" x14ac:dyDescent="0.25">
      <c r="A310" s="133"/>
      <c r="B310" s="129"/>
      <c r="C310" s="129"/>
      <c r="D310" s="134" t="str">
        <f t="shared" si="20"/>
        <v/>
      </c>
      <c r="E310" s="134" t="str">
        <f t="shared" si="21"/>
        <v/>
      </c>
      <c r="F310" s="135" t="str">
        <f t="shared" si="22"/>
        <v/>
      </c>
      <c r="G310" s="129"/>
      <c r="H310" s="129"/>
      <c r="I310" s="129"/>
      <c r="J310" s="129"/>
      <c r="K310" s="129"/>
      <c r="L310" s="129"/>
      <c r="M310" s="134" t="str">
        <f t="shared" si="23"/>
        <v/>
      </c>
      <c r="N310" s="134" t="str">
        <f t="shared" si="24"/>
        <v/>
      </c>
      <c r="O310" s="129"/>
      <c r="P310" s="133"/>
    </row>
    <row r="311" spans="1:16" x14ac:dyDescent="0.25">
      <c r="A311" s="133"/>
      <c r="B311" s="129"/>
      <c r="C311" s="129"/>
      <c r="D311" s="134" t="str">
        <f t="shared" si="20"/>
        <v/>
      </c>
      <c r="E311" s="134" t="str">
        <f t="shared" si="21"/>
        <v/>
      </c>
      <c r="F311" s="135" t="str">
        <f t="shared" si="22"/>
        <v/>
      </c>
      <c r="G311" s="129"/>
      <c r="H311" s="129"/>
      <c r="I311" s="129"/>
      <c r="J311" s="129"/>
      <c r="K311" s="129"/>
      <c r="L311" s="129"/>
      <c r="M311" s="134" t="str">
        <f t="shared" si="23"/>
        <v/>
      </c>
      <c r="N311" s="134" t="str">
        <f t="shared" si="24"/>
        <v/>
      </c>
      <c r="O311" s="129"/>
      <c r="P311" s="133"/>
    </row>
    <row r="312" spans="1:16" x14ac:dyDescent="0.25">
      <c r="A312" s="133"/>
      <c r="B312" s="129"/>
      <c r="C312" s="129"/>
      <c r="D312" s="134" t="str">
        <f t="shared" si="20"/>
        <v/>
      </c>
      <c r="E312" s="134" t="str">
        <f t="shared" si="21"/>
        <v/>
      </c>
      <c r="F312" s="135" t="str">
        <f t="shared" si="22"/>
        <v/>
      </c>
      <c r="G312" s="129"/>
      <c r="H312" s="129"/>
      <c r="I312" s="129"/>
      <c r="J312" s="129"/>
      <c r="K312" s="129"/>
      <c r="L312" s="129"/>
      <c r="M312" s="134" t="str">
        <f t="shared" si="23"/>
        <v/>
      </c>
      <c r="N312" s="134" t="str">
        <f t="shared" si="24"/>
        <v/>
      </c>
      <c r="O312" s="129"/>
      <c r="P312" s="133"/>
    </row>
    <row r="313" spans="1:16" x14ac:dyDescent="0.25">
      <c r="A313" s="133"/>
      <c r="B313" s="129"/>
      <c r="C313" s="129"/>
      <c r="D313" s="134" t="str">
        <f t="shared" si="20"/>
        <v/>
      </c>
      <c r="E313" s="134" t="str">
        <f t="shared" si="21"/>
        <v/>
      </c>
      <c r="F313" s="135" t="str">
        <f t="shared" si="22"/>
        <v/>
      </c>
      <c r="G313" s="129"/>
      <c r="H313" s="129"/>
      <c r="I313" s="129"/>
      <c r="J313" s="129"/>
      <c r="K313" s="129"/>
      <c r="L313" s="129"/>
      <c r="M313" s="134" t="str">
        <f t="shared" si="23"/>
        <v/>
      </c>
      <c r="N313" s="134" t="str">
        <f t="shared" si="24"/>
        <v/>
      </c>
      <c r="O313" s="129"/>
      <c r="P313" s="133"/>
    </row>
    <row r="314" spans="1:16" x14ac:dyDescent="0.25">
      <c r="A314" s="133"/>
      <c r="B314" s="129"/>
      <c r="C314" s="129"/>
      <c r="D314" s="134" t="str">
        <f t="shared" si="20"/>
        <v/>
      </c>
      <c r="E314" s="134" t="str">
        <f t="shared" si="21"/>
        <v/>
      </c>
      <c r="F314" s="135" t="str">
        <f t="shared" si="22"/>
        <v/>
      </c>
      <c r="G314" s="129"/>
      <c r="H314" s="129"/>
      <c r="I314" s="129"/>
      <c r="J314" s="129"/>
      <c r="K314" s="129"/>
      <c r="L314" s="129"/>
      <c r="M314" s="134" t="str">
        <f t="shared" si="23"/>
        <v/>
      </c>
      <c r="N314" s="134" t="str">
        <f t="shared" si="24"/>
        <v/>
      </c>
      <c r="O314" s="129"/>
      <c r="P314" s="133"/>
    </row>
    <row r="315" spans="1:16" x14ac:dyDescent="0.25">
      <c r="A315" s="133"/>
      <c r="B315" s="129"/>
      <c r="C315" s="129"/>
      <c r="D315" s="134" t="str">
        <f t="shared" si="20"/>
        <v/>
      </c>
      <c r="E315" s="134" t="str">
        <f t="shared" si="21"/>
        <v/>
      </c>
      <c r="F315" s="135" t="str">
        <f t="shared" si="22"/>
        <v/>
      </c>
      <c r="G315" s="129"/>
      <c r="H315" s="129"/>
      <c r="I315" s="129"/>
      <c r="J315" s="129"/>
      <c r="K315" s="129"/>
      <c r="L315" s="129"/>
      <c r="M315" s="134" t="str">
        <f t="shared" si="23"/>
        <v/>
      </c>
      <c r="N315" s="134" t="str">
        <f t="shared" si="24"/>
        <v/>
      </c>
      <c r="O315" s="129"/>
      <c r="P315" s="133"/>
    </row>
    <row r="316" spans="1:16" x14ac:dyDescent="0.25">
      <c r="A316" s="133"/>
      <c r="B316" s="129"/>
      <c r="C316" s="129"/>
      <c r="D316" s="134" t="str">
        <f t="shared" si="20"/>
        <v/>
      </c>
      <c r="E316" s="134" t="str">
        <f t="shared" si="21"/>
        <v/>
      </c>
      <c r="F316" s="135" t="str">
        <f t="shared" si="22"/>
        <v/>
      </c>
      <c r="G316" s="129"/>
      <c r="H316" s="129"/>
      <c r="I316" s="129"/>
      <c r="J316" s="129"/>
      <c r="K316" s="129"/>
      <c r="L316" s="129"/>
      <c r="M316" s="134" t="str">
        <f t="shared" si="23"/>
        <v/>
      </c>
      <c r="N316" s="134" t="str">
        <f t="shared" si="24"/>
        <v/>
      </c>
      <c r="O316" s="129"/>
      <c r="P316" s="133"/>
    </row>
    <row r="317" spans="1:16" x14ac:dyDescent="0.25">
      <c r="A317" s="133"/>
      <c r="B317" s="129"/>
      <c r="C317" s="129"/>
      <c r="D317" s="134" t="str">
        <f t="shared" si="20"/>
        <v/>
      </c>
      <c r="E317" s="134" t="str">
        <f t="shared" si="21"/>
        <v/>
      </c>
      <c r="F317" s="135" t="str">
        <f t="shared" si="22"/>
        <v/>
      </c>
      <c r="G317" s="129"/>
      <c r="H317" s="129"/>
      <c r="I317" s="129"/>
      <c r="J317" s="129"/>
      <c r="K317" s="129"/>
      <c r="L317" s="129"/>
      <c r="M317" s="134" t="str">
        <f t="shared" si="23"/>
        <v/>
      </c>
      <c r="N317" s="134" t="str">
        <f t="shared" si="24"/>
        <v/>
      </c>
      <c r="O317" s="129"/>
      <c r="P317" s="133"/>
    </row>
    <row r="318" spans="1:16" x14ac:dyDescent="0.25">
      <c r="A318" s="133"/>
      <c r="B318" s="129"/>
      <c r="C318" s="129"/>
      <c r="D318" s="134" t="str">
        <f t="shared" si="20"/>
        <v/>
      </c>
      <c r="E318" s="134" t="str">
        <f t="shared" si="21"/>
        <v/>
      </c>
      <c r="F318" s="135" t="str">
        <f t="shared" si="22"/>
        <v/>
      </c>
      <c r="G318" s="129"/>
      <c r="H318" s="129"/>
      <c r="I318" s="129"/>
      <c r="J318" s="129"/>
      <c r="K318" s="129"/>
      <c r="L318" s="129"/>
      <c r="M318" s="134" t="str">
        <f t="shared" si="23"/>
        <v/>
      </c>
      <c r="N318" s="134" t="str">
        <f t="shared" si="24"/>
        <v/>
      </c>
      <c r="O318" s="129"/>
      <c r="P318" s="133"/>
    </row>
    <row r="319" spans="1:16" x14ac:dyDescent="0.25">
      <c r="A319" s="133"/>
      <c r="B319" s="129"/>
      <c r="C319" s="129"/>
      <c r="D319" s="134" t="str">
        <f t="shared" si="20"/>
        <v/>
      </c>
      <c r="E319" s="134" t="str">
        <f t="shared" si="21"/>
        <v/>
      </c>
      <c r="F319" s="135" t="str">
        <f t="shared" si="22"/>
        <v/>
      </c>
      <c r="G319" s="129"/>
      <c r="H319" s="129"/>
      <c r="I319" s="129"/>
      <c r="J319" s="129"/>
      <c r="K319" s="129"/>
      <c r="L319" s="129"/>
      <c r="M319" s="134" t="str">
        <f t="shared" si="23"/>
        <v/>
      </c>
      <c r="N319" s="134" t="str">
        <f t="shared" si="24"/>
        <v/>
      </c>
      <c r="O319" s="129"/>
      <c r="P319" s="133"/>
    </row>
    <row r="320" spans="1:16" x14ac:dyDescent="0.25">
      <c r="A320" s="133"/>
      <c r="B320" s="129"/>
      <c r="C320" s="129"/>
      <c r="D320" s="134" t="str">
        <f t="shared" si="20"/>
        <v/>
      </c>
      <c r="E320" s="134" t="str">
        <f t="shared" si="21"/>
        <v/>
      </c>
      <c r="F320" s="135" t="str">
        <f t="shared" si="22"/>
        <v/>
      </c>
      <c r="G320" s="129"/>
      <c r="H320" s="129"/>
      <c r="I320" s="129"/>
      <c r="J320" s="129"/>
      <c r="K320" s="129"/>
      <c r="L320" s="129"/>
      <c r="M320" s="134" t="str">
        <f t="shared" si="23"/>
        <v/>
      </c>
      <c r="N320" s="134" t="str">
        <f t="shared" si="24"/>
        <v/>
      </c>
      <c r="O320" s="129"/>
      <c r="P320" s="133"/>
    </row>
    <row r="321" spans="1:16" x14ac:dyDescent="0.25">
      <c r="A321" s="133"/>
      <c r="B321" s="129"/>
      <c r="C321" s="129"/>
      <c r="D321" s="134" t="str">
        <f t="shared" si="20"/>
        <v/>
      </c>
      <c r="E321" s="134" t="str">
        <f t="shared" si="21"/>
        <v/>
      </c>
      <c r="F321" s="135" t="str">
        <f t="shared" si="22"/>
        <v/>
      </c>
      <c r="G321" s="129"/>
      <c r="H321" s="129"/>
      <c r="I321" s="129"/>
      <c r="J321" s="129"/>
      <c r="K321" s="129"/>
      <c r="L321" s="129"/>
      <c r="M321" s="134" t="str">
        <f t="shared" si="23"/>
        <v/>
      </c>
      <c r="N321" s="134" t="str">
        <f t="shared" si="24"/>
        <v/>
      </c>
      <c r="O321" s="129"/>
      <c r="P321" s="133"/>
    </row>
    <row r="322" spans="1:16" x14ac:dyDescent="0.25">
      <c r="A322" s="133"/>
      <c r="B322" s="129"/>
      <c r="C322" s="129"/>
      <c r="D322" s="134" t="str">
        <f t="shared" si="20"/>
        <v/>
      </c>
      <c r="E322" s="134" t="str">
        <f t="shared" si="21"/>
        <v/>
      </c>
      <c r="F322" s="135" t="str">
        <f t="shared" si="22"/>
        <v/>
      </c>
      <c r="G322" s="129"/>
      <c r="H322" s="129"/>
      <c r="I322" s="129"/>
      <c r="J322" s="129"/>
      <c r="K322" s="129"/>
      <c r="L322" s="129"/>
      <c r="M322" s="134" t="str">
        <f t="shared" si="23"/>
        <v/>
      </c>
      <c r="N322" s="134" t="str">
        <f t="shared" si="24"/>
        <v/>
      </c>
      <c r="O322" s="129"/>
      <c r="P322" s="133"/>
    </row>
    <row r="323" spans="1:16" x14ac:dyDescent="0.25">
      <c r="A323" s="133"/>
      <c r="B323" s="129"/>
      <c r="C323" s="129"/>
      <c r="D323" s="134" t="str">
        <f t="shared" si="20"/>
        <v/>
      </c>
      <c r="E323" s="134" t="str">
        <f t="shared" si="21"/>
        <v/>
      </c>
      <c r="F323" s="135" t="str">
        <f t="shared" si="22"/>
        <v/>
      </c>
      <c r="G323" s="129"/>
      <c r="H323" s="129"/>
      <c r="I323" s="129"/>
      <c r="J323" s="129"/>
      <c r="K323" s="129"/>
      <c r="L323" s="129"/>
      <c r="M323" s="134" t="str">
        <f t="shared" si="23"/>
        <v/>
      </c>
      <c r="N323" s="134" t="str">
        <f t="shared" si="24"/>
        <v/>
      </c>
      <c r="O323" s="129"/>
      <c r="P323" s="133"/>
    </row>
    <row r="324" spans="1:16" x14ac:dyDescent="0.25">
      <c r="A324" s="133"/>
      <c r="B324" s="129"/>
      <c r="C324" s="129"/>
      <c r="D324" s="134" t="str">
        <f t="shared" si="20"/>
        <v/>
      </c>
      <c r="E324" s="134" t="str">
        <f t="shared" si="21"/>
        <v/>
      </c>
      <c r="F324" s="135" t="str">
        <f t="shared" si="22"/>
        <v/>
      </c>
      <c r="G324" s="129"/>
      <c r="H324" s="129"/>
      <c r="I324" s="129"/>
      <c r="J324" s="129"/>
      <c r="K324" s="129"/>
      <c r="L324" s="129"/>
      <c r="M324" s="134" t="str">
        <f t="shared" si="23"/>
        <v/>
      </c>
      <c r="N324" s="134" t="str">
        <f t="shared" si="24"/>
        <v/>
      </c>
      <c r="O324" s="129"/>
      <c r="P324" s="133"/>
    </row>
    <row r="325" spans="1:16" x14ac:dyDescent="0.25">
      <c r="A325" s="133"/>
      <c r="B325" s="129"/>
      <c r="C325" s="129"/>
      <c r="D325" s="134" t="str">
        <f t="shared" ref="D325:D388" si="25">IFERROR(IF($C325="","",VLOOKUP($C325,CAD_TAB,8,FALSE)),"")</f>
        <v/>
      </c>
      <c r="E325" s="134" t="str">
        <f t="shared" ref="E325:E388" si="26">IFERROR(IF($C325="","",VLOOKUP($C325,CAD_TAB,9,FALSE)),"")</f>
        <v/>
      </c>
      <c r="F325" s="135" t="str">
        <f t="shared" ref="F325:F388" si="27">IFERROR(IF($C325="","",VLOOKUP($C325,CAD_TAB,6,FALSE)),"")</f>
        <v/>
      </c>
      <c r="G325" s="129"/>
      <c r="H325" s="129"/>
      <c r="I325" s="129"/>
      <c r="J325" s="129"/>
      <c r="K325" s="129"/>
      <c r="L325" s="129"/>
      <c r="M325" s="134" t="str">
        <f t="shared" ref="M325:M388" si="28">IF($C325="","",COUNTIF($G325:$L325,"NÃO"))</f>
        <v/>
      </c>
      <c r="N325" s="134" t="str">
        <f t="shared" ref="N325:N388" si="29">IF($C325="","",IF($M325=0,"LIVRE PARA PROGRAMAR","COM RESTRIÇÃO — "&amp;$M325&amp;" pendência(s)"))</f>
        <v/>
      </c>
      <c r="O325" s="129"/>
      <c r="P325" s="133"/>
    </row>
    <row r="326" spans="1:16" x14ac:dyDescent="0.25">
      <c r="A326" s="133"/>
      <c r="B326" s="129"/>
      <c r="C326" s="129"/>
      <c r="D326" s="134" t="str">
        <f t="shared" si="25"/>
        <v/>
      </c>
      <c r="E326" s="134" t="str">
        <f t="shared" si="26"/>
        <v/>
      </c>
      <c r="F326" s="135" t="str">
        <f t="shared" si="27"/>
        <v/>
      </c>
      <c r="G326" s="129"/>
      <c r="H326" s="129"/>
      <c r="I326" s="129"/>
      <c r="J326" s="129"/>
      <c r="K326" s="129"/>
      <c r="L326" s="129"/>
      <c r="M326" s="134" t="str">
        <f t="shared" si="28"/>
        <v/>
      </c>
      <c r="N326" s="134" t="str">
        <f t="shared" si="29"/>
        <v/>
      </c>
      <c r="O326" s="129"/>
      <c r="P326" s="133"/>
    </row>
    <row r="327" spans="1:16" x14ac:dyDescent="0.25">
      <c r="A327" s="133"/>
      <c r="B327" s="129"/>
      <c r="C327" s="129"/>
      <c r="D327" s="134" t="str">
        <f t="shared" si="25"/>
        <v/>
      </c>
      <c r="E327" s="134" t="str">
        <f t="shared" si="26"/>
        <v/>
      </c>
      <c r="F327" s="135" t="str">
        <f t="shared" si="27"/>
        <v/>
      </c>
      <c r="G327" s="129"/>
      <c r="H327" s="129"/>
      <c r="I327" s="129"/>
      <c r="J327" s="129"/>
      <c r="K327" s="129"/>
      <c r="L327" s="129"/>
      <c r="M327" s="134" t="str">
        <f t="shared" si="28"/>
        <v/>
      </c>
      <c r="N327" s="134" t="str">
        <f t="shared" si="29"/>
        <v/>
      </c>
      <c r="O327" s="129"/>
      <c r="P327" s="133"/>
    </row>
    <row r="328" spans="1:16" x14ac:dyDescent="0.25">
      <c r="A328" s="133"/>
      <c r="B328" s="129"/>
      <c r="C328" s="129"/>
      <c r="D328" s="134" t="str">
        <f t="shared" si="25"/>
        <v/>
      </c>
      <c r="E328" s="134" t="str">
        <f t="shared" si="26"/>
        <v/>
      </c>
      <c r="F328" s="135" t="str">
        <f t="shared" si="27"/>
        <v/>
      </c>
      <c r="G328" s="129"/>
      <c r="H328" s="129"/>
      <c r="I328" s="129"/>
      <c r="J328" s="129"/>
      <c r="K328" s="129"/>
      <c r="L328" s="129"/>
      <c r="M328" s="134" t="str">
        <f t="shared" si="28"/>
        <v/>
      </c>
      <c r="N328" s="134" t="str">
        <f t="shared" si="29"/>
        <v/>
      </c>
      <c r="O328" s="129"/>
      <c r="P328" s="133"/>
    </row>
    <row r="329" spans="1:16" x14ac:dyDescent="0.25">
      <c r="A329" s="133"/>
      <c r="B329" s="129"/>
      <c r="C329" s="129"/>
      <c r="D329" s="134" t="str">
        <f t="shared" si="25"/>
        <v/>
      </c>
      <c r="E329" s="134" t="str">
        <f t="shared" si="26"/>
        <v/>
      </c>
      <c r="F329" s="135" t="str">
        <f t="shared" si="27"/>
        <v/>
      </c>
      <c r="G329" s="129"/>
      <c r="H329" s="129"/>
      <c r="I329" s="129"/>
      <c r="J329" s="129"/>
      <c r="K329" s="129"/>
      <c r="L329" s="129"/>
      <c r="M329" s="134" t="str">
        <f t="shared" si="28"/>
        <v/>
      </c>
      <c r="N329" s="134" t="str">
        <f t="shared" si="29"/>
        <v/>
      </c>
      <c r="O329" s="129"/>
      <c r="P329" s="133"/>
    </row>
    <row r="330" spans="1:16" x14ac:dyDescent="0.25">
      <c r="A330" s="133"/>
      <c r="B330" s="129"/>
      <c r="C330" s="129"/>
      <c r="D330" s="134" t="str">
        <f t="shared" si="25"/>
        <v/>
      </c>
      <c r="E330" s="134" t="str">
        <f t="shared" si="26"/>
        <v/>
      </c>
      <c r="F330" s="135" t="str">
        <f t="shared" si="27"/>
        <v/>
      </c>
      <c r="G330" s="129"/>
      <c r="H330" s="129"/>
      <c r="I330" s="129"/>
      <c r="J330" s="129"/>
      <c r="K330" s="129"/>
      <c r="L330" s="129"/>
      <c r="M330" s="134" t="str">
        <f t="shared" si="28"/>
        <v/>
      </c>
      <c r="N330" s="134" t="str">
        <f t="shared" si="29"/>
        <v/>
      </c>
      <c r="O330" s="129"/>
      <c r="P330" s="133"/>
    </row>
    <row r="331" spans="1:16" x14ac:dyDescent="0.25">
      <c r="A331" s="133"/>
      <c r="B331" s="129"/>
      <c r="C331" s="129"/>
      <c r="D331" s="134" t="str">
        <f t="shared" si="25"/>
        <v/>
      </c>
      <c r="E331" s="134" t="str">
        <f t="shared" si="26"/>
        <v/>
      </c>
      <c r="F331" s="135" t="str">
        <f t="shared" si="27"/>
        <v/>
      </c>
      <c r="G331" s="129"/>
      <c r="H331" s="129"/>
      <c r="I331" s="129"/>
      <c r="J331" s="129"/>
      <c r="K331" s="129"/>
      <c r="L331" s="129"/>
      <c r="M331" s="134" t="str">
        <f t="shared" si="28"/>
        <v/>
      </c>
      <c r="N331" s="134" t="str">
        <f t="shared" si="29"/>
        <v/>
      </c>
      <c r="O331" s="129"/>
      <c r="P331" s="133"/>
    </row>
    <row r="332" spans="1:16" x14ac:dyDescent="0.25">
      <c r="A332" s="133"/>
      <c r="B332" s="129"/>
      <c r="C332" s="129"/>
      <c r="D332" s="134" t="str">
        <f t="shared" si="25"/>
        <v/>
      </c>
      <c r="E332" s="134" t="str">
        <f t="shared" si="26"/>
        <v/>
      </c>
      <c r="F332" s="135" t="str">
        <f t="shared" si="27"/>
        <v/>
      </c>
      <c r="G332" s="129"/>
      <c r="H332" s="129"/>
      <c r="I332" s="129"/>
      <c r="J332" s="129"/>
      <c r="K332" s="129"/>
      <c r="L332" s="129"/>
      <c r="M332" s="134" t="str">
        <f t="shared" si="28"/>
        <v/>
      </c>
      <c r="N332" s="134" t="str">
        <f t="shared" si="29"/>
        <v/>
      </c>
      <c r="O332" s="129"/>
      <c r="P332" s="133"/>
    </row>
    <row r="333" spans="1:16" x14ac:dyDescent="0.25">
      <c r="A333" s="133"/>
      <c r="B333" s="129"/>
      <c r="C333" s="129"/>
      <c r="D333" s="134" t="str">
        <f t="shared" si="25"/>
        <v/>
      </c>
      <c r="E333" s="134" t="str">
        <f t="shared" si="26"/>
        <v/>
      </c>
      <c r="F333" s="135" t="str">
        <f t="shared" si="27"/>
        <v/>
      </c>
      <c r="G333" s="129"/>
      <c r="H333" s="129"/>
      <c r="I333" s="129"/>
      <c r="J333" s="129"/>
      <c r="K333" s="129"/>
      <c r="L333" s="129"/>
      <c r="M333" s="134" t="str">
        <f t="shared" si="28"/>
        <v/>
      </c>
      <c r="N333" s="134" t="str">
        <f t="shared" si="29"/>
        <v/>
      </c>
      <c r="O333" s="129"/>
      <c r="P333" s="133"/>
    </row>
    <row r="334" spans="1:16" x14ac:dyDescent="0.25">
      <c r="A334" s="133"/>
      <c r="B334" s="129"/>
      <c r="C334" s="129"/>
      <c r="D334" s="134" t="str">
        <f t="shared" si="25"/>
        <v/>
      </c>
      <c r="E334" s="134" t="str">
        <f t="shared" si="26"/>
        <v/>
      </c>
      <c r="F334" s="135" t="str">
        <f t="shared" si="27"/>
        <v/>
      </c>
      <c r="G334" s="129"/>
      <c r="H334" s="129"/>
      <c r="I334" s="129"/>
      <c r="J334" s="129"/>
      <c r="K334" s="129"/>
      <c r="L334" s="129"/>
      <c r="M334" s="134" t="str">
        <f t="shared" si="28"/>
        <v/>
      </c>
      <c r="N334" s="134" t="str">
        <f t="shared" si="29"/>
        <v/>
      </c>
      <c r="O334" s="129"/>
      <c r="P334" s="133"/>
    </row>
    <row r="335" spans="1:16" x14ac:dyDescent="0.25">
      <c r="A335" s="133"/>
      <c r="B335" s="129"/>
      <c r="C335" s="129"/>
      <c r="D335" s="134" t="str">
        <f t="shared" si="25"/>
        <v/>
      </c>
      <c r="E335" s="134" t="str">
        <f t="shared" si="26"/>
        <v/>
      </c>
      <c r="F335" s="135" t="str">
        <f t="shared" si="27"/>
        <v/>
      </c>
      <c r="G335" s="129"/>
      <c r="H335" s="129"/>
      <c r="I335" s="129"/>
      <c r="J335" s="129"/>
      <c r="K335" s="129"/>
      <c r="L335" s="129"/>
      <c r="M335" s="134" t="str">
        <f t="shared" si="28"/>
        <v/>
      </c>
      <c r="N335" s="134" t="str">
        <f t="shared" si="29"/>
        <v/>
      </c>
      <c r="O335" s="129"/>
      <c r="P335" s="133"/>
    </row>
    <row r="336" spans="1:16" x14ac:dyDescent="0.25">
      <c r="A336" s="133"/>
      <c r="B336" s="129"/>
      <c r="C336" s="129"/>
      <c r="D336" s="134" t="str">
        <f t="shared" si="25"/>
        <v/>
      </c>
      <c r="E336" s="134" t="str">
        <f t="shared" si="26"/>
        <v/>
      </c>
      <c r="F336" s="135" t="str">
        <f t="shared" si="27"/>
        <v/>
      </c>
      <c r="G336" s="129"/>
      <c r="H336" s="129"/>
      <c r="I336" s="129"/>
      <c r="J336" s="129"/>
      <c r="K336" s="129"/>
      <c r="L336" s="129"/>
      <c r="M336" s="134" t="str">
        <f t="shared" si="28"/>
        <v/>
      </c>
      <c r="N336" s="134" t="str">
        <f t="shared" si="29"/>
        <v/>
      </c>
      <c r="O336" s="129"/>
      <c r="P336" s="133"/>
    </row>
    <row r="337" spans="1:16" x14ac:dyDescent="0.25">
      <c r="A337" s="133"/>
      <c r="B337" s="129"/>
      <c r="C337" s="129"/>
      <c r="D337" s="134" t="str">
        <f t="shared" si="25"/>
        <v/>
      </c>
      <c r="E337" s="134" t="str">
        <f t="shared" si="26"/>
        <v/>
      </c>
      <c r="F337" s="135" t="str">
        <f t="shared" si="27"/>
        <v/>
      </c>
      <c r="G337" s="129"/>
      <c r="H337" s="129"/>
      <c r="I337" s="129"/>
      <c r="J337" s="129"/>
      <c r="K337" s="129"/>
      <c r="L337" s="129"/>
      <c r="M337" s="134" t="str">
        <f t="shared" si="28"/>
        <v/>
      </c>
      <c r="N337" s="134" t="str">
        <f t="shared" si="29"/>
        <v/>
      </c>
      <c r="O337" s="129"/>
      <c r="P337" s="133"/>
    </row>
    <row r="338" spans="1:16" x14ac:dyDescent="0.25">
      <c r="A338" s="133"/>
      <c r="B338" s="129"/>
      <c r="C338" s="129"/>
      <c r="D338" s="134" t="str">
        <f t="shared" si="25"/>
        <v/>
      </c>
      <c r="E338" s="134" t="str">
        <f t="shared" si="26"/>
        <v/>
      </c>
      <c r="F338" s="135" t="str">
        <f t="shared" si="27"/>
        <v/>
      </c>
      <c r="G338" s="129"/>
      <c r="H338" s="129"/>
      <c r="I338" s="129"/>
      <c r="J338" s="129"/>
      <c r="K338" s="129"/>
      <c r="L338" s="129"/>
      <c r="M338" s="134" t="str">
        <f t="shared" si="28"/>
        <v/>
      </c>
      <c r="N338" s="134" t="str">
        <f t="shared" si="29"/>
        <v/>
      </c>
      <c r="O338" s="129"/>
      <c r="P338" s="133"/>
    </row>
    <row r="339" spans="1:16" x14ac:dyDescent="0.25">
      <c r="A339" s="133"/>
      <c r="B339" s="129"/>
      <c r="C339" s="129"/>
      <c r="D339" s="134" t="str">
        <f t="shared" si="25"/>
        <v/>
      </c>
      <c r="E339" s="134" t="str">
        <f t="shared" si="26"/>
        <v/>
      </c>
      <c r="F339" s="135" t="str">
        <f t="shared" si="27"/>
        <v/>
      </c>
      <c r="G339" s="129"/>
      <c r="H339" s="129"/>
      <c r="I339" s="129"/>
      <c r="J339" s="129"/>
      <c r="K339" s="129"/>
      <c r="L339" s="129"/>
      <c r="M339" s="134" t="str">
        <f t="shared" si="28"/>
        <v/>
      </c>
      <c r="N339" s="134" t="str">
        <f t="shared" si="29"/>
        <v/>
      </c>
      <c r="O339" s="129"/>
      <c r="P339" s="133"/>
    </row>
    <row r="340" spans="1:16" x14ac:dyDescent="0.25">
      <c r="A340" s="133"/>
      <c r="B340" s="129"/>
      <c r="C340" s="129"/>
      <c r="D340" s="134" t="str">
        <f t="shared" si="25"/>
        <v/>
      </c>
      <c r="E340" s="134" t="str">
        <f t="shared" si="26"/>
        <v/>
      </c>
      <c r="F340" s="135" t="str">
        <f t="shared" si="27"/>
        <v/>
      </c>
      <c r="G340" s="129"/>
      <c r="H340" s="129"/>
      <c r="I340" s="129"/>
      <c r="J340" s="129"/>
      <c r="K340" s="129"/>
      <c r="L340" s="129"/>
      <c r="M340" s="134" t="str">
        <f t="shared" si="28"/>
        <v/>
      </c>
      <c r="N340" s="134" t="str">
        <f t="shared" si="29"/>
        <v/>
      </c>
      <c r="O340" s="129"/>
      <c r="P340" s="133"/>
    </row>
    <row r="341" spans="1:16" x14ac:dyDescent="0.25">
      <c r="A341" s="133"/>
      <c r="B341" s="129"/>
      <c r="C341" s="129"/>
      <c r="D341" s="134" t="str">
        <f t="shared" si="25"/>
        <v/>
      </c>
      <c r="E341" s="134" t="str">
        <f t="shared" si="26"/>
        <v/>
      </c>
      <c r="F341" s="135" t="str">
        <f t="shared" si="27"/>
        <v/>
      </c>
      <c r="G341" s="129"/>
      <c r="H341" s="129"/>
      <c r="I341" s="129"/>
      <c r="J341" s="129"/>
      <c r="K341" s="129"/>
      <c r="L341" s="129"/>
      <c r="M341" s="134" t="str">
        <f t="shared" si="28"/>
        <v/>
      </c>
      <c r="N341" s="134" t="str">
        <f t="shared" si="29"/>
        <v/>
      </c>
      <c r="O341" s="129"/>
      <c r="P341" s="133"/>
    </row>
    <row r="342" spans="1:16" x14ac:dyDescent="0.25">
      <c r="A342" s="133"/>
      <c r="B342" s="129"/>
      <c r="C342" s="129"/>
      <c r="D342" s="134" t="str">
        <f t="shared" si="25"/>
        <v/>
      </c>
      <c r="E342" s="134" t="str">
        <f t="shared" si="26"/>
        <v/>
      </c>
      <c r="F342" s="135" t="str">
        <f t="shared" si="27"/>
        <v/>
      </c>
      <c r="G342" s="129"/>
      <c r="H342" s="129"/>
      <c r="I342" s="129"/>
      <c r="J342" s="129"/>
      <c r="K342" s="129"/>
      <c r="L342" s="129"/>
      <c r="M342" s="134" t="str">
        <f t="shared" si="28"/>
        <v/>
      </c>
      <c r="N342" s="134" t="str">
        <f t="shared" si="29"/>
        <v/>
      </c>
      <c r="O342" s="129"/>
      <c r="P342" s="133"/>
    </row>
    <row r="343" spans="1:16" x14ac:dyDescent="0.25">
      <c r="A343" s="133"/>
      <c r="B343" s="129"/>
      <c r="C343" s="129"/>
      <c r="D343" s="134" t="str">
        <f t="shared" si="25"/>
        <v/>
      </c>
      <c r="E343" s="134" t="str">
        <f t="shared" si="26"/>
        <v/>
      </c>
      <c r="F343" s="135" t="str">
        <f t="shared" si="27"/>
        <v/>
      </c>
      <c r="G343" s="129"/>
      <c r="H343" s="129"/>
      <c r="I343" s="129"/>
      <c r="J343" s="129"/>
      <c r="K343" s="129"/>
      <c r="L343" s="129"/>
      <c r="M343" s="134" t="str">
        <f t="shared" si="28"/>
        <v/>
      </c>
      <c r="N343" s="134" t="str">
        <f t="shared" si="29"/>
        <v/>
      </c>
      <c r="O343" s="129"/>
      <c r="P343" s="133"/>
    </row>
    <row r="344" spans="1:16" x14ac:dyDescent="0.25">
      <c r="A344" s="133"/>
      <c r="B344" s="129"/>
      <c r="C344" s="129"/>
      <c r="D344" s="134" t="str">
        <f t="shared" si="25"/>
        <v/>
      </c>
      <c r="E344" s="134" t="str">
        <f t="shared" si="26"/>
        <v/>
      </c>
      <c r="F344" s="135" t="str">
        <f t="shared" si="27"/>
        <v/>
      </c>
      <c r="G344" s="129"/>
      <c r="H344" s="129"/>
      <c r="I344" s="129"/>
      <c r="J344" s="129"/>
      <c r="K344" s="129"/>
      <c r="L344" s="129"/>
      <c r="M344" s="134" t="str">
        <f t="shared" si="28"/>
        <v/>
      </c>
      <c r="N344" s="134" t="str">
        <f t="shared" si="29"/>
        <v/>
      </c>
      <c r="O344" s="129"/>
      <c r="P344" s="133"/>
    </row>
    <row r="345" spans="1:16" x14ac:dyDescent="0.25">
      <c r="A345" s="133"/>
      <c r="B345" s="129"/>
      <c r="C345" s="129"/>
      <c r="D345" s="134" t="str">
        <f t="shared" si="25"/>
        <v/>
      </c>
      <c r="E345" s="134" t="str">
        <f t="shared" si="26"/>
        <v/>
      </c>
      <c r="F345" s="135" t="str">
        <f t="shared" si="27"/>
        <v/>
      </c>
      <c r="G345" s="129"/>
      <c r="H345" s="129"/>
      <c r="I345" s="129"/>
      <c r="J345" s="129"/>
      <c r="K345" s="129"/>
      <c r="L345" s="129"/>
      <c r="M345" s="134" t="str">
        <f t="shared" si="28"/>
        <v/>
      </c>
      <c r="N345" s="134" t="str">
        <f t="shared" si="29"/>
        <v/>
      </c>
      <c r="O345" s="129"/>
      <c r="P345" s="133"/>
    </row>
    <row r="346" spans="1:16" x14ac:dyDescent="0.25">
      <c r="A346" s="133"/>
      <c r="B346" s="129"/>
      <c r="C346" s="129"/>
      <c r="D346" s="134" t="str">
        <f t="shared" si="25"/>
        <v/>
      </c>
      <c r="E346" s="134" t="str">
        <f t="shared" si="26"/>
        <v/>
      </c>
      <c r="F346" s="135" t="str">
        <f t="shared" si="27"/>
        <v/>
      </c>
      <c r="G346" s="129"/>
      <c r="H346" s="129"/>
      <c r="I346" s="129"/>
      <c r="J346" s="129"/>
      <c r="K346" s="129"/>
      <c r="L346" s="129"/>
      <c r="M346" s="134" t="str">
        <f t="shared" si="28"/>
        <v/>
      </c>
      <c r="N346" s="134" t="str">
        <f t="shared" si="29"/>
        <v/>
      </c>
      <c r="O346" s="129"/>
      <c r="P346" s="133"/>
    </row>
    <row r="347" spans="1:16" x14ac:dyDescent="0.25">
      <c r="A347" s="133"/>
      <c r="B347" s="129"/>
      <c r="C347" s="129"/>
      <c r="D347" s="134" t="str">
        <f t="shared" si="25"/>
        <v/>
      </c>
      <c r="E347" s="134" t="str">
        <f t="shared" si="26"/>
        <v/>
      </c>
      <c r="F347" s="135" t="str">
        <f t="shared" si="27"/>
        <v/>
      </c>
      <c r="G347" s="129"/>
      <c r="H347" s="129"/>
      <c r="I347" s="129"/>
      <c r="J347" s="129"/>
      <c r="K347" s="129"/>
      <c r="L347" s="129"/>
      <c r="M347" s="134" t="str">
        <f t="shared" si="28"/>
        <v/>
      </c>
      <c r="N347" s="134" t="str">
        <f t="shared" si="29"/>
        <v/>
      </c>
      <c r="O347" s="129"/>
      <c r="P347" s="133"/>
    </row>
    <row r="348" spans="1:16" x14ac:dyDescent="0.25">
      <c r="A348" s="133"/>
      <c r="B348" s="129"/>
      <c r="C348" s="129"/>
      <c r="D348" s="134" t="str">
        <f t="shared" si="25"/>
        <v/>
      </c>
      <c r="E348" s="134" t="str">
        <f t="shared" si="26"/>
        <v/>
      </c>
      <c r="F348" s="135" t="str">
        <f t="shared" si="27"/>
        <v/>
      </c>
      <c r="G348" s="129"/>
      <c r="H348" s="129"/>
      <c r="I348" s="129"/>
      <c r="J348" s="129"/>
      <c r="K348" s="129"/>
      <c r="L348" s="129"/>
      <c r="M348" s="134" t="str">
        <f t="shared" si="28"/>
        <v/>
      </c>
      <c r="N348" s="134" t="str">
        <f t="shared" si="29"/>
        <v/>
      </c>
      <c r="O348" s="129"/>
      <c r="P348" s="133"/>
    </row>
    <row r="349" spans="1:16" x14ac:dyDescent="0.25">
      <c r="A349" s="133"/>
      <c r="B349" s="129"/>
      <c r="C349" s="129"/>
      <c r="D349" s="134" t="str">
        <f t="shared" si="25"/>
        <v/>
      </c>
      <c r="E349" s="134" t="str">
        <f t="shared" si="26"/>
        <v/>
      </c>
      <c r="F349" s="135" t="str">
        <f t="shared" si="27"/>
        <v/>
      </c>
      <c r="G349" s="129"/>
      <c r="H349" s="129"/>
      <c r="I349" s="129"/>
      <c r="J349" s="129"/>
      <c r="K349" s="129"/>
      <c r="L349" s="129"/>
      <c r="M349" s="134" t="str">
        <f t="shared" si="28"/>
        <v/>
      </c>
      <c r="N349" s="134" t="str">
        <f t="shared" si="29"/>
        <v/>
      </c>
      <c r="O349" s="129"/>
      <c r="P349" s="133"/>
    </row>
    <row r="350" spans="1:16" x14ac:dyDescent="0.25">
      <c r="A350" s="133"/>
      <c r="B350" s="129"/>
      <c r="C350" s="129"/>
      <c r="D350" s="134" t="str">
        <f t="shared" si="25"/>
        <v/>
      </c>
      <c r="E350" s="134" t="str">
        <f t="shared" si="26"/>
        <v/>
      </c>
      <c r="F350" s="135" t="str">
        <f t="shared" si="27"/>
        <v/>
      </c>
      <c r="G350" s="129"/>
      <c r="H350" s="129"/>
      <c r="I350" s="129"/>
      <c r="J350" s="129"/>
      <c r="K350" s="129"/>
      <c r="L350" s="129"/>
      <c r="M350" s="134" t="str">
        <f t="shared" si="28"/>
        <v/>
      </c>
      <c r="N350" s="134" t="str">
        <f t="shared" si="29"/>
        <v/>
      </c>
      <c r="O350" s="129"/>
      <c r="P350" s="133"/>
    </row>
    <row r="351" spans="1:16" x14ac:dyDescent="0.25">
      <c r="A351" s="133"/>
      <c r="B351" s="129"/>
      <c r="C351" s="129"/>
      <c r="D351" s="134" t="str">
        <f t="shared" si="25"/>
        <v/>
      </c>
      <c r="E351" s="134" t="str">
        <f t="shared" si="26"/>
        <v/>
      </c>
      <c r="F351" s="135" t="str">
        <f t="shared" si="27"/>
        <v/>
      </c>
      <c r="G351" s="129"/>
      <c r="H351" s="129"/>
      <c r="I351" s="129"/>
      <c r="J351" s="129"/>
      <c r="K351" s="129"/>
      <c r="L351" s="129"/>
      <c r="M351" s="134" t="str">
        <f t="shared" si="28"/>
        <v/>
      </c>
      <c r="N351" s="134" t="str">
        <f t="shared" si="29"/>
        <v/>
      </c>
      <c r="O351" s="129"/>
      <c r="P351" s="133"/>
    </row>
    <row r="352" spans="1:16" x14ac:dyDescent="0.25">
      <c r="A352" s="133"/>
      <c r="B352" s="129"/>
      <c r="C352" s="129"/>
      <c r="D352" s="134" t="str">
        <f t="shared" si="25"/>
        <v/>
      </c>
      <c r="E352" s="134" t="str">
        <f t="shared" si="26"/>
        <v/>
      </c>
      <c r="F352" s="135" t="str">
        <f t="shared" si="27"/>
        <v/>
      </c>
      <c r="G352" s="129"/>
      <c r="H352" s="129"/>
      <c r="I352" s="129"/>
      <c r="J352" s="129"/>
      <c r="K352" s="129"/>
      <c r="L352" s="129"/>
      <c r="M352" s="134" t="str">
        <f t="shared" si="28"/>
        <v/>
      </c>
      <c r="N352" s="134" t="str">
        <f t="shared" si="29"/>
        <v/>
      </c>
      <c r="O352" s="129"/>
      <c r="P352" s="133"/>
    </row>
    <row r="353" spans="1:16" x14ac:dyDescent="0.25">
      <c r="A353" s="133"/>
      <c r="B353" s="129"/>
      <c r="C353" s="129"/>
      <c r="D353" s="134" t="str">
        <f t="shared" si="25"/>
        <v/>
      </c>
      <c r="E353" s="134" t="str">
        <f t="shared" si="26"/>
        <v/>
      </c>
      <c r="F353" s="135" t="str">
        <f t="shared" si="27"/>
        <v/>
      </c>
      <c r="G353" s="129"/>
      <c r="H353" s="129"/>
      <c r="I353" s="129"/>
      <c r="J353" s="129"/>
      <c r="K353" s="129"/>
      <c r="L353" s="129"/>
      <c r="M353" s="134" t="str">
        <f t="shared" si="28"/>
        <v/>
      </c>
      <c r="N353" s="134" t="str">
        <f t="shared" si="29"/>
        <v/>
      </c>
      <c r="O353" s="129"/>
      <c r="P353" s="133"/>
    </row>
    <row r="354" spans="1:16" x14ac:dyDescent="0.25">
      <c r="A354" s="133"/>
      <c r="B354" s="129"/>
      <c r="C354" s="129"/>
      <c r="D354" s="134" t="str">
        <f t="shared" si="25"/>
        <v/>
      </c>
      <c r="E354" s="134" t="str">
        <f t="shared" si="26"/>
        <v/>
      </c>
      <c r="F354" s="135" t="str">
        <f t="shared" si="27"/>
        <v/>
      </c>
      <c r="G354" s="129"/>
      <c r="H354" s="129"/>
      <c r="I354" s="129"/>
      <c r="J354" s="129"/>
      <c r="K354" s="129"/>
      <c r="L354" s="129"/>
      <c r="M354" s="134" t="str">
        <f t="shared" si="28"/>
        <v/>
      </c>
      <c r="N354" s="134" t="str">
        <f t="shared" si="29"/>
        <v/>
      </c>
      <c r="O354" s="129"/>
      <c r="P354" s="133"/>
    </row>
    <row r="355" spans="1:16" x14ac:dyDescent="0.25">
      <c r="A355" s="133"/>
      <c r="B355" s="129"/>
      <c r="C355" s="129"/>
      <c r="D355" s="134" t="str">
        <f t="shared" si="25"/>
        <v/>
      </c>
      <c r="E355" s="134" t="str">
        <f t="shared" si="26"/>
        <v/>
      </c>
      <c r="F355" s="135" t="str">
        <f t="shared" si="27"/>
        <v/>
      </c>
      <c r="G355" s="129"/>
      <c r="H355" s="129"/>
      <c r="I355" s="129"/>
      <c r="J355" s="129"/>
      <c r="K355" s="129"/>
      <c r="L355" s="129"/>
      <c r="M355" s="134" t="str">
        <f t="shared" si="28"/>
        <v/>
      </c>
      <c r="N355" s="134" t="str">
        <f t="shared" si="29"/>
        <v/>
      </c>
      <c r="O355" s="129"/>
      <c r="P355" s="133"/>
    </row>
    <row r="356" spans="1:16" x14ac:dyDescent="0.25">
      <c r="A356" s="133"/>
      <c r="B356" s="129"/>
      <c r="C356" s="129"/>
      <c r="D356" s="134" t="str">
        <f t="shared" si="25"/>
        <v/>
      </c>
      <c r="E356" s="134" t="str">
        <f t="shared" si="26"/>
        <v/>
      </c>
      <c r="F356" s="135" t="str">
        <f t="shared" si="27"/>
        <v/>
      </c>
      <c r="G356" s="129"/>
      <c r="H356" s="129"/>
      <c r="I356" s="129"/>
      <c r="J356" s="129"/>
      <c r="K356" s="129"/>
      <c r="L356" s="129"/>
      <c r="M356" s="134" t="str">
        <f t="shared" si="28"/>
        <v/>
      </c>
      <c r="N356" s="134" t="str">
        <f t="shared" si="29"/>
        <v/>
      </c>
      <c r="O356" s="129"/>
      <c r="P356" s="133"/>
    </row>
    <row r="357" spans="1:16" x14ac:dyDescent="0.25">
      <c r="A357" s="133"/>
      <c r="B357" s="129"/>
      <c r="C357" s="129"/>
      <c r="D357" s="134" t="str">
        <f t="shared" si="25"/>
        <v/>
      </c>
      <c r="E357" s="134" t="str">
        <f t="shared" si="26"/>
        <v/>
      </c>
      <c r="F357" s="135" t="str">
        <f t="shared" si="27"/>
        <v/>
      </c>
      <c r="G357" s="129"/>
      <c r="H357" s="129"/>
      <c r="I357" s="129"/>
      <c r="J357" s="129"/>
      <c r="K357" s="129"/>
      <c r="L357" s="129"/>
      <c r="M357" s="134" t="str">
        <f t="shared" si="28"/>
        <v/>
      </c>
      <c r="N357" s="134" t="str">
        <f t="shared" si="29"/>
        <v/>
      </c>
      <c r="O357" s="129"/>
      <c r="P357" s="133"/>
    </row>
    <row r="358" spans="1:16" x14ac:dyDescent="0.25">
      <c r="A358" s="133"/>
      <c r="B358" s="129"/>
      <c r="C358" s="129"/>
      <c r="D358" s="134" t="str">
        <f t="shared" si="25"/>
        <v/>
      </c>
      <c r="E358" s="134" t="str">
        <f t="shared" si="26"/>
        <v/>
      </c>
      <c r="F358" s="135" t="str">
        <f t="shared" si="27"/>
        <v/>
      </c>
      <c r="G358" s="129"/>
      <c r="H358" s="129"/>
      <c r="I358" s="129"/>
      <c r="J358" s="129"/>
      <c r="K358" s="129"/>
      <c r="L358" s="129"/>
      <c r="M358" s="134" t="str">
        <f t="shared" si="28"/>
        <v/>
      </c>
      <c r="N358" s="134" t="str">
        <f t="shared" si="29"/>
        <v/>
      </c>
      <c r="O358" s="129"/>
      <c r="P358" s="133"/>
    </row>
    <row r="359" spans="1:16" x14ac:dyDescent="0.25">
      <c r="A359" s="133"/>
      <c r="B359" s="129"/>
      <c r="C359" s="129"/>
      <c r="D359" s="134" t="str">
        <f t="shared" si="25"/>
        <v/>
      </c>
      <c r="E359" s="134" t="str">
        <f t="shared" si="26"/>
        <v/>
      </c>
      <c r="F359" s="135" t="str">
        <f t="shared" si="27"/>
        <v/>
      </c>
      <c r="G359" s="129"/>
      <c r="H359" s="129"/>
      <c r="I359" s="129"/>
      <c r="J359" s="129"/>
      <c r="K359" s="129"/>
      <c r="L359" s="129"/>
      <c r="M359" s="134" t="str">
        <f t="shared" si="28"/>
        <v/>
      </c>
      <c r="N359" s="134" t="str">
        <f t="shared" si="29"/>
        <v/>
      </c>
      <c r="O359" s="129"/>
      <c r="P359" s="133"/>
    </row>
    <row r="360" spans="1:16" x14ac:dyDescent="0.25">
      <c r="A360" s="133"/>
      <c r="B360" s="129"/>
      <c r="C360" s="129"/>
      <c r="D360" s="134" t="str">
        <f t="shared" si="25"/>
        <v/>
      </c>
      <c r="E360" s="134" t="str">
        <f t="shared" si="26"/>
        <v/>
      </c>
      <c r="F360" s="135" t="str">
        <f t="shared" si="27"/>
        <v/>
      </c>
      <c r="G360" s="129"/>
      <c r="H360" s="129"/>
      <c r="I360" s="129"/>
      <c r="J360" s="129"/>
      <c r="K360" s="129"/>
      <c r="L360" s="129"/>
      <c r="M360" s="134" t="str">
        <f t="shared" si="28"/>
        <v/>
      </c>
      <c r="N360" s="134" t="str">
        <f t="shared" si="29"/>
        <v/>
      </c>
      <c r="O360" s="129"/>
      <c r="P360" s="133"/>
    </row>
    <row r="361" spans="1:16" x14ac:dyDescent="0.25">
      <c r="A361" s="133"/>
      <c r="B361" s="129"/>
      <c r="C361" s="129"/>
      <c r="D361" s="134" t="str">
        <f t="shared" si="25"/>
        <v/>
      </c>
      <c r="E361" s="134" t="str">
        <f t="shared" si="26"/>
        <v/>
      </c>
      <c r="F361" s="135" t="str">
        <f t="shared" si="27"/>
        <v/>
      </c>
      <c r="G361" s="129"/>
      <c r="H361" s="129"/>
      <c r="I361" s="129"/>
      <c r="J361" s="129"/>
      <c r="K361" s="129"/>
      <c r="L361" s="129"/>
      <c r="M361" s="134" t="str">
        <f t="shared" si="28"/>
        <v/>
      </c>
      <c r="N361" s="134" t="str">
        <f t="shared" si="29"/>
        <v/>
      </c>
      <c r="O361" s="129"/>
      <c r="P361" s="133"/>
    </row>
    <row r="362" spans="1:16" x14ac:dyDescent="0.25">
      <c r="A362" s="133"/>
      <c r="B362" s="129"/>
      <c r="C362" s="129"/>
      <c r="D362" s="134" t="str">
        <f t="shared" si="25"/>
        <v/>
      </c>
      <c r="E362" s="134" t="str">
        <f t="shared" si="26"/>
        <v/>
      </c>
      <c r="F362" s="135" t="str">
        <f t="shared" si="27"/>
        <v/>
      </c>
      <c r="G362" s="129"/>
      <c r="H362" s="129"/>
      <c r="I362" s="129"/>
      <c r="J362" s="129"/>
      <c r="K362" s="129"/>
      <c r="L362" s="129"/>
      <c r="M362" s="134" t="str">
        <f t="shared" si="28"/>
        <v/>
      </c>
      <c r="N362" s="134" t="str">
        <f t="shared" si="29"/>
        <v/>
      </c>
      <c r="O362" s="129"/>
      <c r="P362" s="133"/>
    </row>
    <row r="363" spans="1:16" x14ac:dyDescent="0.25">
      <c r="A363" s="133"/>
      <c r="B363" s="129"/>
      <c r="C363" s="129"/>
      <c r="D363" s="134" t="str">
        <f t="shared" si="25"/>
        <v/>
      </c>
      <c r="E363" s="134" t="str">
        <f t="shared" si="26"/>
        <v/>
      </c>
      <c r="F363" s="135" t="str">
        <f t="shared" si="27"/>
        <v/>
      </c>
      <c r="G363" s="129"/>
      <c r="H363" s="129"/>
      <c r="I363" s="129"/>
      <c r="J363" s="129"/>
      <c r="K363" s="129"/>
      <c r="L363" s="129"/>
      <c r="M363" s="134" t="str">
        <f t="shared" si="28"/>
        <v/>
      </c>
      <c r="N363" s="134" t="str">
        <f t="shared" si="29"/>
        <v/>
      </c>
      <c r="O363" s="129"/>
      <c r="P363" s="133"/>
    </row>
    <row r="364" spans="1:16" x14ac:dyDescent="0.25">
      <c r="A364" s="133"/>
      <c r="B364" s="129"/>
      <c r="C364" s="129"/>
      <c r="D364" s="134" t="str">
        <f t="shared" si="25"/>
        <v/>
      </c>
      <c r="E364" s="134" t="str">
        <f t="shared" si="26"/>
        <v/>
      </c>
      <c r="F364" s="135" t="str">
        <f t="shared" si="27"/>
        <v/>
      </c>
      <c r="G364" s="129"/>
      <c r="H364" s="129"/>
      <c r="I364" s="129"/>
      <c r="J364" s="129"/>
      <c r="K364" s="129"/>
      <c r="L364" s="129"/>
      <c r="M364" s="134" t="str">
        <f t="shared" si="28"/>
        <v/>
      </c>
      <c r="N364" s="134" t="str">
        <f t="shared" si="29"/>
        <v/>
      </c>
      <c r="O364" s="129"/>
      <c r="P364" s="133"/>
    </row>
    <row r="365" spans="1:16" x14ac:dyDescent="0.25">
      <c r="A365" s="133"/>
      <c r="B365" s="129"/>
      <c r="C365" s="129"/>
      <c r="D365" s="134" t="str">
        <f t="shared" si="25"/>
        <v/>
      </c>
      <c r="E365" s="134" t="str">
        <f t="shared" si="26"/>
        <v/>
      </c>
      <c r="F365" s="135" t="str">
        <f t="shared" si="27"/>
        <v/>
      </c>
      <c r="G365" s="129"/>
      <c r="H365" s="129"/>
      <c r="I365" s="129"/>
      <c r="J365" s="129"/>
      <c r="K365" s="129"/>
      <c r="L365" s="129"/>
      <c r="M365" s="134" t="str">
        <f t="shared" si="28"/>
        <v/>
      </c>
      <c r="N365" s="134" t="str">
        <f t="shared" si="29"/>
        <v/>
      </c>
      <c r="O365" s="129"/>
      <c r="P365" s="133"/>
    </row>
    <row r="366" spans="1:16" x14ac:dyDescent="0.25">
      <c r="A366" s="133"/>
      <c r="B366" s="129"/>
      <c r="C366" s="129"/>
      <c r="D366" s="134" t="str">
        <f t="shared" si="25"/>
        <v/>
      </c>
      <c r="E366" s="134" t="str">
        <f t="shared" si="26"/>
        <v/>
      </c>
      <c r="F366" s="135" t="str">
        <f t="shared" si="27"/>
        <v/>
      </c>
      <c r="G366" s="129"/>
      <c r="H366" s="129"/>
      <c r="I366" s="129"/>
      <c r="J366" s="129"/>
      <c r="K366" s="129"/>
      <c r="L366" s="129"/>
      <c r="M366" s="134" t="str">
        <f t="shared" si="28"/>
        <v/>
      </c>
      <c r="N366" s="134" t="str">
        <f t="shared" si="29"/>
        <v/>
      </c>
      <c r="O366" s="129"/>
      <c r="P366" s="133"/>
    </row>
    <row r="367" spans="1:16" x14ac:dyDescent="0.25">
      <c r="A367" s="133"/>
      <c r="B367" s="129"/>
      <c r="C367" s="129"/>
      <c r="D367" s="134" t="str">
        <f t="shared" si="25"/>
        <v/>
      </c>
      <c r="E367" s="134" t="str">
        <f t="shared" si="26"/>
        <v/>
      </c>
      <c r="F367" s="135" t="str">
        <f t="shared" si="27"/>
        <v/>
      </c>
      <c r="G367" s="129"/>
      <c r="H367" s="129"/>
      <c r="I367" s="129"/>
      <c r="J367" s="129"/>
      <c r="K367" s="129"/>
      <c r="L367" s="129"/>
      <c r="M367" s="134" t="str">
        <f t="shared" si="28"/>
        <v/>
      </c>
      <c r="N367" s="134" t="str">
        <f t="shared" si="29"/>
        <v/>
      </c>
      <c r="O367" s="129"/>
      <c r="P367" s="133"/>
    </row>
    <row r="368" spans="1:16" x14ac:dyDescent="0.25">
      <c r="A368" s="133"/>
      <c r="B368" s="129"/>
      <c r="C368" s="129"/>
      <c r="D368" s="134" t="str">
        <f t="shared" si="25"/>
        <v/>
      </c>
      <c r="E368" s="134" t="str">
        <f t="shared" si="26"/>
        <v/>
      </c>
      <c r="F368" s="135" t="str">
        <f t="shared" si="27"/>
        <v/>
      </c>
      <c r="G368" s="129"/>
      <c r="H368" s="129"/>
      <c r="I368" s="129"/>
      <c r="J368" s="129"/>
      <c r="K368" s="129"/>
      <c r="L368" s="129"/>
      <c r="M368" s="134" t="str">
        <f t="shared" si="28"/>
        <v/>
      </c>
      <c r="N368" s="134" t="str">
        <f t="shared" si="29"/>
        <v/>
      </c>
      <c r="O368" s="129"/>
      <c r="P368" s="133"/>
    </row>
    <row r="369" spans="1:16" x14ac:dyDescent="0.25">
      <c r="A369" s="133"/>
      <c r="B369" s="129"/>
      <c r="C369" s="129"/>
      <c r="D369" s="134" t="str">
        <f t="shared" si="25"/>
        <v/>
      </c>
      <c r="E369" s="134" t="str">
        <f t="shared" si="26"/>
        <v/>
      </c>
      <c r="F369" s="135" t="str">
        <f t="shared" si="27"/>
        <v/>
      </c>
      <c r="G369" s="129"/>
      <c r="H369" s="129"/>
      <c r="I369" s="129"/>
      <c r="J369" s="129"/>
      <c r="K369" s="129"/>
      <c r="L369" s="129"/>
      <c r="M369" s="134" t="str">
        <f t="shared" si="28"/>
        <v/>
      </c>
      <c r="N369" s="134" t="str">
        <f t="shared" si="29"/>
        <v/>
      </c>
      <c r="O369" s="129"/>
      <c r="P369" s="133"/>
    </row>
    <row r="370" spans="1:16" x14ac:dyDescent="0.25">
      <c r="A370" s="133"/>
      <c r="B370" s="129"/>
      <c r="C370" s="129"/>
      <c r="D370" s="134" t="str">
        <f t="shared" si="25"/>
        <v/>
      </c>
      <c r="E370" s="134" t="str">
        <f t="shared" si="26"/>
        <v/>
      </c>
      <c r="F370" s="135" t="str">
        <f t="shared" si="27"/>
        <v/>
      </c>
      <c r="G370" s="129"/>
      <c r="H370" s="129"/>
      <c r="I370" s="129"/>
      <c r="J370" s="129"/>
      <c r="K370" s="129"/>
      <c r="L370" s="129"/>
      <c r="M370" s="134" t="str">
        <f t="shared" si="28"/>
        <v/>
      </c>
      <c r="N370" s="134" t="str">
        <f t="shared" si="29"/>
        <v/>
      </c>
      <c r="O370" s="129"/>
      <c r="P370" s="133"/>
    </row>
    <row r="371" spans="1:16" x14ac:dyDescent="0.25">
      <c r="A371" s="133"/>
      <c r="B371" s="129"/>
      <c r="C371" s="129"/>
      <c r="D371" s="134" t="str">
        <f t="shared" si="25"/>
        <v/>
      </c>
      <c r="E371" s="134" t="str">
        <f t="shared" si="26"/>
        <v/>
      </c>
      <c r="F371" s="135" t="str">
        <f t="shared" si="27"/>
        <v/>
      </c>
      <c r="G371" s="129"/>
      <c r="H371" s="129"/>
      <c r="I371" s="129"/>
      <c r="J371" s="129"/>
      <c r="K371" s="129"/>
      <c r="L371" s="129"/>
      <c r="M371" s="134" t="str">
        <f t="shared" si="28"/>
        <v/>
      </c>
      <c r="N371" s="134" t="str">
        <f t="shared" si="29"/>
        <v/>
      </c>
      <c r="O371" s="129"/>
      <c r="P371" s="133"/>
    </row>
    <row r="372" spans="1:16" x14ac:dyDescent="0.25">
      <c r="A372" s="133"/>
      <c r="B372" s="129"/>
      <c r="C372" s="129"/>
      <c r="D372" s="134" t="str">
        <f t="shared" si="25"/>
        <v/>
      </c>
      <c r="E372" s="134" t="str">
        <f t="shared" si="26"/>
        <v/>
      </c>
      <c r="F372" s="135" t="str">
        <f t="shared" si="27"/>
        <v/>
      </c>
      <c r="G372" s="129"/>
      <c r="H372" s="129"/>
      <c r="I372" s="129"/>
      <c r="J372" s="129"/>
      <c r="K372" s="129"/>
      <c r="L372" s="129"/>
      <c r="M372" s="134" t="str">
        <f t="shared" si="28"/>
        <v/>
      </c>
      <c r="N372" s="134" t="str">
        <f t="shared" si="29"/>
        <v/>
      </c>
      <c r="O372" s="129"/>
      <c r="P372" s="133"/>
    </row>
    <row r="373" spans="1:16" x14ac:dyDescent="0.25">
      <c r="A373" s="133"/>
      <c r="B373" s="129"/>
      <c r="C373" s="129"/>
      <c r="D373" s="134" t="str">
        <f t="shared" si="25"/>
        <v/>
      </c>
      <c r="E373" s="134" t="str">
        <f t="shared" si="26"/>
        <v/>
      </c>
      <c r="F373" s="135" t="str">
        <f t="shared" si="27"/>
        <v/>
      </c>
      <c r="G373" s="129"/>
      <c r="H373" s="129"/>
      <c r="I373" s="129"/>
      <c r="J373" s="129"/>
      <c r="K373" s="129"/>
      <c r="L373" s="129"/>
      <c r="M373" s="134" t="str">
        <f t="shared" si="28"/>
        <v/>
      </c>
      <c r="N373" s="134" t="str">
        <f t="shared" si="29"/>
        <v/>
      </c>
      <c r="O373" s="129"/>
      <c r="P373" s="133"/>
    </row>
    <row r="374" spans="1:16" x14ac:dyDescent="0.25">
      <c r="A374" s="133"/>
      <c r="B374" s="129"/>
      <c r="C374" s="129"/>
      <c r="D374" s="134" t="str">
        <f t="shared" si="25"/>
        <v/>
      </c>
      <c r="E374" s="134" t="str">
        <f t="shared" si="26"/>
        <v/>
      </c>
      <c r="F374" s="135" t="str">
        <f t="shared" si="27"/>
        <v/>
      </c>
      <c r="G374" s="129"/>
      <c r="H374" s="129"/>
      <c r="I374" s="129"/>
      <c r="J374" s="129"/>
      <c r="K374" s="129"/>
      <c r="L374" s="129"/>
      <c r="M374" s="134" t="str">
        <f t="shared" si="28"/>
        <v/>
      </c>
      <c r="N374" s="134" t="str">
        <f t="shared" si="29"/>
        <v/>
      </c>
      <c r="O374" s="129"/>
      <c r="P374" s="133"/>
    </row>
    <row r="375" spans="1:16" x14ac:dyDescent="0.25">
      <c r="A375" s="133"/>
      <c r="B375" s="129"/>
      <c r="C375" s="129"/>
      <c r="D375" s="134" t="str">
        <f t="shared" si="25"/>
        <v/>
      </c>
      <c r="E375" s="134" t="str">
        <f t="shared" si="26"/>
        <v/>
      </c>
      <c r="F375" s="135" t="str">
        <f t="shared" si="27"/>
        <v/>
      </c>
      <c r="G375" s="129"/>
      <c r="H375" s="129"/>
      <c r="I375" s="129"/>
      <c r="J375" s="129"/>
      <c r="K375" s="129"/>
      <c r="L375" s="129"/>
      <c r="M375" s="134" t="str">
        <f t="shared" si="28"/>
        <v/>
      </c>
      <c r="N375" s="134" t="str">
        <f t="shared" si="29"/>
        <v/>
      </c>
      <c r="O375" s="129"/>
      <c r="P375" s="133"/>
    </row>
    <row r="376" spans="1:16" x14ac:dyDescent="0.25">
      <c r="A376" s="133"/>
      <c r="B376" s="129"/>
      <c r="C376" s="129"/>
      <c r="D376" s="134" t="str">
        <f t="shared" si="25"/>
        <v/>
      </c>
      <c r="E376" s="134" t="str">
        <f t="shared" si="26"/>
        <v/>
      </c>
      <c r="F376" s="135" t="str">
        <f t="shared" si="27"/>
        <v/>
      </c>
      <c r="G376" s="129"/>
      <c r="H376" s="129"/>
      <c r="I376" s="129"/>
      <c r="J376" s="129"/>
      <c r="K376" s="129"/>
      <c r="L376" s="129"/>
      <c r="M376" s="134" t="str">
        <f t="shared" si="28"/>
        <v/>
      </c>
      <c r="N376" s="134" t="str">
        <f t="shared" si="29"/>
        <v/>
      </c>
      <c r="O376" s="129"/>
      <c r="P376" s="133"/>
    </row>
    <row r="377" spans="1:16" x14ac:dyDescent="0.25">
      <c r="A377" s="133"/>
      <c r="B377" s="129"/>
      <c r="C377" s="129"/>
      <c r="D377" s="134" t="str">
        <f t="shared" si="25"/>
        <v/>
      </c>
      <c r="E377" s="134" t="str">
        <f t="shared" si="26"/>
        <v/>
      </c>
      <c r="F377" s="135" t="str">
        <f t="shared" si="27"/>
        <v/>
      </c>
      <c r="G377" s="129"/>
      <c r="H377" s="129"/>
      <c r="I377" s="129"/>
      <c r="J377" s="129"/>
      <c r="K377" s="129"/>
      <c r="L377" s="129"/>
      <c r="M377" s="134" t="str">
        <f t="shared" si="28"/>
        <v/>
      </c>
      <c r="N377" s="134" t="str">
        <f t="shared" si="29"/>
        <v/>
      </c>
      <c r="O377" s="129"/>
      <c r="P377" s="133"/>
    </row>
    <row r="378" spans="1:16" x14ac:dyDescent="0.25">
      <c r="A378" s="133"/>
      <c r="B378" s="129"/>
      <c r="C378" s="129"/>
      <c r="D378" s="134" t="str">
        <f t="shared" si="25"/>
        <v/>
      </c>
      <c r="E378" s="134" t="str">
        <f t="shared" si="26"/>
        <v/>
      </c>
      <c r="F378" s="135" t="str">
        <f t="shared" si="27"/>
        <v/>
      </c>
      <c r="G378" s="129"/>
      <c r="H378" s="129"/>
      <c r="I378" s="129"/>
      <c r="J378" s="129"/>
      <c r="K378" s="129"/>
      <c r="L378" s="129"/>
      <c r="M378" s="134" t="str">
        <f t="shared" si="28"/>
        <v/>
      </c>
      <c r="N378" s="134" t="str">
        <f t="shared" si="29"/>
        <v/>
      </c>
      <c r="O378" s="129"/>
      <c r="P378" s="133"/>
    </row>
    <row r="379" spans="1:16" x14ac:dyDescent="0.25">
      <c r="A379" s="133"/>
      <c r="B379" s="129"/>
      <c r="C379" s="129"/>
      <c r="D379" s="134" t="str">
        <f t="shared" si="25"/>
        <v/>
      </c>
      <c r="E379" s="134" t="str">
        <f t="shared" si="26"/>
        <v/>
      </c>
      <c r="F379" s="135" t="str">
        <f t="shared" si="27"/>
        <v/>
      </c>
      <c r="G379" s="129"/>
      <c r="H379" s="129"/>
      <c r="I379" s="129"/>
      <c r="J379" s="129"/>
      <c r="K379" s="129"/>
      <c r="L379" s="129"/>
      <c r="M379" s="134" t="str">
        <f t="shared" si="28"/>
        <v/>
      </c>
      <c r="N379" s="134" t="str">
        <f t="shared" si="29"/>
        <v/>
      </c>
      <c r="O379" s="129"/>
      <c r="P379" s="133"/>
    </row>
    <row r="380" spans="1:16" x14ac:dyDescent="0.25">
      <c r="A380" s="133"/>
      <c r="B380" s="129"/>
      <c r="C380" s="129"/>
      <c r="D380" s="134" t="str">
        <f t="shared" si="25"/>
        <v/>
      </c>
      <c r="E380" s="134" t="str">
        <f t="shared" si="26"/>
        <v/>
      </c>
      <c r="F380" s="135" t="str">
        <f t="shared" si="27"/>
        <v/>
      </c>
      <c r="G380" s="129"/>
      <c r="H380" s="129"/>
      <c r="I380" s="129"/>
      <c r="J380" s="129"/>
      <c r="K380" s="129"/>
      <c r="L380" s="129"/>
      <c r="M380" s="134" t="str">
        <f t="shared" si="28"/>
        <v/>
      </c>
      <c r="N380" s="134" t="str">
        <f t="shared" si="29"/>
        <v/>
      </c>
      <c r="O380" s="129"/>
      <c r="P380" s="133"/>
    </row>
    <row r="381" spans="1:16" x14ac:dyDescent="0.25">
      <c r="A381" s="133"/>
      <c r="B381" s="129"/>
      <c r="C381" s="129"/>
      <c r="D381" s="134" t="str">
        <f t="shared" si="25"/>
        <v/>
      </c>
      <c r="E381" s="134" t="str">
        <f t="shared" si="26"/>
        <v/>
      </c>
      <c r="F381" s="135" t="str">
        <f t="shared" si="27"/>
        <v/>
      </c>
      <c r="G381" s="129"/>
      <c r="H381" s="129"/>
      <c r="I381" s="129"/>
      <c r="J381" s="129"/>
      <c r="K381" s="129"/>
      <c r="L381" s="129"/>
      <c r="M381" s="134" t="str">
        <f t="shared" si="28"/>
        <v/>
      </c>
      <c r="N381" s="134" t="str">
        <f t="shared" si="29"/>
        <v/>
      </c>
      <c r="O381" s="129"/>
      <c r="P381" s="133"/>
    </row>
    <row r="382" spans="1:16" x14ac:dyDescent="0.25">
      <c r="A382" s="133"/>
      <c r="B382" s="129"/>
      <c r="C382" s="129"/>
      <c r="D382" s="134" t="str">
        <f t="shared" si="25"/>
        <v/>
      </c>
      <c r="E382" s="134" t="str">
        <f t="shared" si="26"/>
        <v/>
      </c>
      <c r="F382" s="135" t="str">
        <f t="shared" si="27"/>
        <v/>
      </c>
      <c r="G382" s="129"/>
      <c r="H382" s="129"/>
      <c r="I382" s="129"/>
      <c r="J382" s="129"/>
      <c r="K382" s="129"/>
      <c r="L382" s="129"/>
      <c r="M382" s="134" t="str">
        <f t="shared" si="28"/>
        <v/>
      </c>
      <c r="N382" s="134" t="str">
        <f t="shared" si="29"/>
        <v/>
      </c>
      <c r="O382" s="129"/>
      <c r="P382" s="133"/>
    </row>
    <row r="383" spans="1:16" x14ac:dyDescent="0.25">
      <c r="A383" s="133"/>
      <c r="B383" s="129"/>
      <c r="C383" s="129"/>
      <c r="D383" s="134" t="str">
        <f t="shared" si="25"/>
        <v/>
      </c>
      <c r="E383" s="134" t="str">
        <f t="shared" si="26"/>
        <v/>
      </c>
      <c r="F383" s="135" t="str">
        <f t="shared" si="27"/>
        <v/>
      </c>
      <c r="G383" s="129"/>
      <c r="H383" s="129"/>
      <c r="I383" s="129"/>
      <c r="J383" s="129"/>
      <c r="K383" s="129"/>
      <c r="L383" s="129"/>
      <c r="M383" s="134" t="str">
        <f t="shared" si="28"/>
        <v/>
      </c>
      <c r="N383" s="134" t="str">
        <f t="shared" si="29"/>
        <v/>
      </c>
      <c r="O383" s="129"/>
      <c r="P383" s="133"/>
    </row>
    <row r="384" spans="1:16" x14ac:dyDescent="0.25">
      <c r="A384" s="133"/>
      <c r="B384" s="129"/>
      <c r="C384" s="129"/>
      <c r="D384" s="134" t="str">
        <f t="shared" si="25"/>
        <v/>
      </c>
      <c r="E384" s="134" t="str">
        <f t="shared" si="26"/>
        <v/>
      </c>
      <c r="F384" s="135" t="str">
        <f t="shared" si="27"/>
        <v/>
      </c>
      <c r="G384" s="129"/>
      <c r="H384" s="129"/>
      <c r="I384" s="129"/>
      <c r="J384" s="129"/>
      <c r="K384" s="129"/>
      <c r="L384" s="129"/>
      <c r="M384" s="134" t="str">
        <f t="shared" si="28"/>
        <v/>
      </c>
      <c r="N384" s="134" t="str">
        <f t="shared" si="29"/>
        <v/>
      </c>
      <c r="O384" s="129"/>
      <c r="P384" s="133"/>
    </row>
    <row r="385" spans="1:16" x14ac:dyDescent="0.25">
      <c r="A385" s="133"/>
      <c r="B385" s="129"/>
      <c r="C385" s="129"/>
      <c r="D385" s="134" t="str">
        <f t="shared" si="25"/>
        <v/>
      </c>
      <c r="E385" s="134" t="str">
        <f t="shared" si="26"/>
        <v/>
      </c>
      <c r="F385" s="135" t="str">
        <f t="shared" si="27"/>
        <v/>
      </c>
      <c r="G385" s="129"/>
      <c r="H385" s="129"/>
      <c r="I385" s="129"/>
      <c r="J385" s="129"/>
      <c r="K385" s="129"/>
      <c r="L385" s="129"/>
      <c r="M385" s="134" t="str">
        <f t="shared" si="28"/>
        <v/>
      </c>
      <c r="N385" s="134" t="str">
        <f t="shared" si="29"/>
        <v/>
      </c>
      <c r="O385" s="129"/>
      <c r="P385" s="133"/>
    </row>
    <row r="386" spans="1:16" x14ac:dyDescent="0.25">
      <c r="A386" s="133"/>
      <c r="B386" s="129"/>
      <c r="C386" s="129"/>
      <c r="D386" s="134" t="str">
        <f t="shared" si="25"/>
        <v/>
      </c>
      <c r="E386" s="134" t="str">
        <f t="shared" si="26"/>
        <v/>
      </c>
      <c r="F386" s="135" t="str">
        <f t="shared" si="27"/>
        <v/>
      </c>
      <c r="G386" s="129"/>
      <c r="H386" s="129"/>
      <c r="I386" s="129"/>
      <c r="J386" s="129"/>
      <c r="K386" s="129"/>
      <c r="L386" s="129"/>
      <c r="M386" s="134" t="str">
        <f t="shared" si="28"/>
        <v/>
      </c>
      <c r="N386" s="134" t="str">
        <f t="shared" si="29"/>
        <v/>
      </c>
      <c r="O386" s="129"/>
      <c r="P386" s="133"/>
    </row>
    <row r="387" spans="1:16" x14ac:dyDescent="0.25">
      <c r="A387" s="133"/>
      <c r="B387" s="129"/>
      <c r="C387" s="129"/>
      <c r="D387" s="134" t="str">
        <f t="shared" si="25"/>
        <v/>
      </c>
      <c r="E387" s="134" t="str">
        <f t="shared" si="26"/>
        <v/>
      </c>
      <c r="F387" s="135" t="str">
        <f t="shared" si="27"/>
        <v/>
      </c>
      <c r="G387" s="129"/>
      <c r="H387" s="129"/>
      <c r="I387" s="129"/>
      <c r="J387" s="129"/>
      <c r="K387" s="129"/>
      <c r="L387" s="129"/>
      <c r="M387" s="134" t="str">
        <f t="shared" si="28"/>
        <v/>
      </c>
      <c r="N387" s="134" t="str">
        <f t="shared" si="29"/>
        <v/>
      </c>
      <c r="O387" s="129"/>
      <c r="P387" s="133"/>
    </row>
    <row r="388" spans="1:16" x14ac:dyDescent="0.25">
      <c r="A388" s="133"/>
      <c r="B388" s="129"/>
      <c r="C388" s="129"/>
      <c r="D388" s="134" t="str">
        <f t="shared" si="25"/>
        <v/>
      </c>
      <c r="E388" s="134" t="str">
        <f t="shared" si="26"/>
        <v/>
      </c>
      <c r="F388" s="135" t="str">
        <f t="shared" si="27"/>
        <v/>
      </c>
      <c r="G388" s="129"/>
      <c r="H388" s="129"/>
      <c r="I388" s="129"/>
      <c r="J388" s="129"/>
      <c r="K388" s="129"/>
      <c r="L388" s="129"/>
      <c r="M388" s="134" t="str">
        <f t="shared" si="28"/>
        <v/>
      </c>
      <c r="N388" s="134" t="str">
        <f t="shared" si="29"/>
        <v/>
      </c>
      <c r="O388" s="129"/>
      <c r="P388" s="133"/>
    </row>
    <row r="389" spans="1:16" x14ac:dyDescent="0.25">
      <c r="A389" s="133"/>
      <c r="B389" s="129"/>
      <c r="C389" s="129"/>
      <c r="D389" s="134" t="str">
        <f t="shared" ref="D389:D404" si="30">IFERROR(IF($C389="","",VLOOKUP($C389,CAD_TAB,8,FALSE)),"")</f>
        <v/>
      </c>
      <c r="E389" s="134" t="str">
        <f t="shared" ref="E389:E404" si="31">IFERROR(IF($C389="","",VLOOKUP($C389,CAD_TAB,9,FALSE)),"")</f>
        <v/>
      </c>
      <c r="F389" s="135" t="str">
        <f t="shared" ref="F389:F404" si="32">IFERROR(IF($C389="","",VLOOKUP($C389,CAD_TAB,6,FALSE)),"")</f>
        <v/>
      </c>
      <c r="G389" s="129"/>
      <c r="H389" s="129"/>
      <c r="I389" s="129"/>
      <c r="J389" s="129"/>
      <c r="K389" s="129"/>
      <c r="L389" s="129"/>
      <c r="M389" s="134" t="str">
        <f t="shared" ref="M389:M404" si="33">IF($C389="","",COUNTIF($G389:$L389,"NÃO"))</f>
        <v/>
      </c>
      <c r="N389" s="134" t="str">
        <f t="shared" ref="N389:N404" si="34">IF($C389="","",IF($M389=0,"LIVRE PARA PROGRAMAR","COM RESTRIÇÃO — "&amp;$M389&amp;" pendência(s)"))</f>
        <v/>
      </c>
      <c r="O389" s="129"/>
      <c r="P389" s="133"/>
    </row>
    <row r="390" spans="1:16" x14ac:dyDescent="0.25">
      <c r="A390" s="133"/>
      <c r="B390" s="129"/>
      <c r="C390" s="129"/>
      <c r="D390" s="134" t="str">
        <f t="shared" si="30"/>
        <v/>
      </c>
      <c r="E390" s="134" t="str">
        <f t="shared" si="31"/>
        <v/>
      </c>
      <c r="F390" s="135" t="str">
        <f t="shared" si="32"/>
        <v/>
      </c>
      <c r="G390" s="129"/>
      <c r="H390" s="129"/>
      <c r="I390" s="129"/>
      <c r="J390" s="129"/>
      <c r="K390" s="129"/>
      <c r="L390" s="129"/>
      <c r="M390" s="134" t="str">
        <f t="shared" si="33"/>
        <v/>
      </c>
      <c r="N390" s="134" t="str">
        <f t="shared" si="34"/>
        <v/>
      </c>
      <c r="O390" s="129"/>
      <c r="P390" s="133"/>
    </row>
    <row r="391" spans="1:16" x14ac:dyDescent="0.25">
      <c r="A391" s="133"/>
      <c r="B391" s="129"/>
      <c r="C391" s="129"/>
      <c r="D391" s="134" t="str">
        <f t="shared" si="30"/>
        <v/>
      </c>
      <c r="E391" s="134" t="str">
        <f t="shared" si="31"/>
        <v/>
      </c>
      <c r="F391" s="135" t="str">
        <f t="shared" si="32"/>
        <v/>
      </c>
      <c r="G391" s="129"/>
      <c r="H391" s="129"/>
      <c r="I391" s="129"/>
      <c r="J391" s="129"/>
      <c r="K391" s="129"/>
      <c r="L391" s="129"/>
      <c r="M391" s="134" t="str">
        <f t="shared" si="33"/>
        <v/>
      </c>
      <c r="N391" s="134" t="str">
        <f t="shared" si="34"/>
        <v/>
      </c>
      <c r="O391" s="129"/>
      <c r="P391" s="133"/>
    </row>
    <row r="392" spans="1:16" x14ac:dyDescent="0.25">
      <c r="A392" s="133"/>
      <c r="B392" s="129"/>
      <c r="C392" s="129"/>
      <c r="D392" s="134" t="str">
        <f t="shared" si="30"/>
        <v/>
      </c>
      <c r="E392" s="134" t="str">
        <f t="shared" si="31"/>
        <v/>
      </c>
      <c r="F392" s="135" t="str">
        <f t="shared" si="32"/>
        <v/>
      </c>
      <c r="G392" s="129"/>
      <c r="H392" s="129"/>
      <c r="I392" s="129"/>
      <c r="J392" s="129"/>
      <c r="K392" s="129"/>
      <c r="L392" s="129"/>
      <c r="M392" s="134" t="str">
        <f t="shared" si="33"/>
        <v/>
      </c>
      <c r="N392" s="134" t="str">
        <f t="shared" si="34"/>
        <v/>
      </c>
      <c r="O392" s="129"/>
      <c r="P392" s="133"/>
    </row>
    <row r="393" spans="1:16" x14ac:dyDescent="0.25">
      <c r="A393" s="133"/>
      <c r="B393" s="129"/>
      <c r="C393" s="129"/>
      <c r="D393" s="134" t="str">
        <f t="shared" si="30"/>
        <v/>
      </c>
      <c r="E393" s="134" t="str">
        <f t="shared" si="31"/>
        <v/>
      </c>
      <c r="F393" s="135" t="str">
        <f t="shared" si="32"/>
        <v/>
      </c>
      <c r="G393" s="129"/>
      <c r="H393" s="129"/>
      <c r="I393" s="129"/>
      <c r="J393" s="129"/>
      <c r="K393" s="129"/>
      <c r="L393" s="129"/>
      <c r="M393" s="134" t="str">
        <f t="shared" si="33"/>
        <v/>
      </c>
      <c r="N393" s="134" t="str">
        <f t="shared" si="34"/>
        <v/>
      </c>
      <c r="O393" s="129"/>
      <c r="P393" s="133"/>
    </row>
    <row r="394" spans="1:16" x14ac:dyDescent="0.25">
      <c r="A394" s="133"/>
      <c r="B394" s="129"/>
      <c r="C394" s="129"/>
      <c r="D394" s="134" t="str">
        <f t="shared" si="30"/>
        <v/>
      </c>
      <c r="E394" s="134" t="str">
        <f t="shared" si="31"/>
        <v/>
      </c>
      <c r="F394" s="135" t="str">
        <f t="shared" si="32"/>
        <v/>
      </c>
      <c r="G394" s="129"/>
      <c r="H394" s="129"/>
      <c r="I394" s="129"/>
      <c r="J394" s="129"/>
      <c r="K394" s="129"/>
      <c r="L394" s="129"/>
      <c r="M394" s="134" t="str">
        <f t="shared" si="33"/>
        <v/>
      </c>
      <c r="N394" s="134" t="str">
        <f t="shared" si="34"/>
        <v/>
      </c>
      <c r="O394" s="129"/>
      <c r="P394" s="133"/>
    </row>
    <row r="395" spans="1:16" x14ac:dyDescent="0.25">
      <c r="A395" s="133"/>
      <c r="B395" s="129"/>
      <c r="C395" s="129"/>
      <c r="D395" s="134" t="str">
        <f t="shared" si="30"/>
        <v/>
      </c>
      <c r="E395" s="134" t="str">
        <f t="shared" si="31"/>
        <v/>
      </c>
      <c r="F395" s="135" t="str">
        <f t="shared" si="32"/>
        <v/>
      </c>
      <c r="G395" s="129"/>
      <c r="H395" s="129"/>
      <c r="I395" s="129"/>
      <c r="J395" s="129"/>
      <c r="K395" s="129"/>
      <c r="L395" s="129"/>
      <c r="M395" s="134" t="str">
        <f t="shared" si="33"/>
        <v/>
      </c>
      <c r="N395" s="134" t="str">
        <f t="shared" si="34"/>
        <v/>
      </c>
      <c r="O395" s="129"/>
      <c r="P395" s="133"/>
    </row>
    <row r="396" spans="1:16" x14ac:dyDescent="0.25">
      <c r="A396" s="133"/>
      <c r="B396" s="129"/>
      <c r="C396" s="129"/>
      <c r="D396" s="134" t="str">
        <f t="shared" si="30"/>
        <v/>
      </c>
      <c r="E396" s="134" t="str">
        <f t="shared" si="31"/>
        <v/>
      </c>
      <c r="F396" s="135" t="str">
        <f t="shared" si="32"/>
        <v/>
      </c>
      <c r="G396" s="129"/>
      <c r="H396" s="129"/>
      <c r="I396" s="129"/>
      <c r="J396" s="129"/>
      <c r="K396" s="129"/>
      <c r="L396" s="129"/>
      <c r="M396" s="134" t="str">
        <f t="shared" si="33"/>
        <v/>
      </c>
      <c r="N396" s="134" t="str">
        <f t="shared" si="34"/>
        <v/>
      </c>
      <c r="O396" s="129"/>
      <c r="P396" s="133"/>
    </row>
    <row r="397" spans="1:16" x14ac:dyDescent="0.25">
      <c r="A397" s="133"/>
      <c r="B397" s="129"/>
      <c r="C397" s="129"/>
      <c r="D397" s="134" t="str">
        <f t="shared" si="30"/>
        <v/>
      </c>
      <c r="E397" s="134" t="str">
        <f t="shared" si="31"/>
        <v/>
      </c>
      <c r="F397" s="135" t="str">
        <f t="shared" si="32"/>
        <v/>
      </c>
      <c r="G397" s="129"/>
      <c r="H397" s="129"/>
      <c r="I397" s="129"/>
      <c r="J397" s="129"/>
      <c r="K397" s="129"/>
      <c r="L397" s="129"/>
      <c r="M397" s="134" t="str">
        <f t="shared" si="33"/>
        <v/>
      </c>
      <c r="N397" s="134" t="str">
        <f t="shared" si="34"/>
        <v/>
      </c>
      <c r="O397" s="129"/>
      <c r="P397" s="133"/>
    </row>
    <row r="398" spans="1:16" x14ac:dyDescent="0.25">
      <c r="A398" s="133"/>
      <c r="B398" s="129"/>
      <c r="C398" s="129"/>
      <c r="D398" s="134" t="str">
        <f t="shared" si="30"/>
        <v/>
      </c>
      <c r="E398" s="134" t="str">
        <f t="shared" si="31"/>
        <v/>
      </c>
      <c r="F398" s="135" t="str">
        <f t="shared" si="32"/>
        <v/>
      </c>
      <c r="G398" s="129"/>
      <c r="H398" s="129"/>
      <c r="I398" s="129"/>
      <c r="J398" s="129"/>
      <c r="K398" s="129"/>
      <c r="L398" s="129"/>
      <c r="M398" s="134" t="str">
        <f t="shared" si="33"/>
        <v/>
      </c>
      <c r="N398" s="134" t="str">
        <f t="shared" si="34"/>
        <v/>
      </c>
      <c r="O398" s="129"/>
      <c r="P398" s="133"/>
    </row>
    <row r="399" spans="1:16" x14ac:dyDescent="0.25">
      <c r="A399" s="133"/>
      <c r="B399" s="129"/>
      <c r="C399" s="129"/>
      <c r="D399" s="134" t="str">
        <f t="shared" si="30"/>
        <v/>
      </c>
      <c r="E399" s="134" t="str">
        <f t="shared" si="31"/>
        <v/>
      </c>
      <c r="F399" s="135" t="str">
        <f t="shared" si="32"/>
        <v/>
      </c>
      <c r="G399" s="129"/>
      <c r="H399" s="129"/>
      <c r="I399" s="129"/>
      <c r="J399" s="129"/>
      <c r="K399" s="129"/>
      <c r="L399" s="129"/>
      <c r="M399" s="134" t="str">
        <f t="shared" si="33"/>
        <v/>
      </c>
      <c r="N399" s="134" t="str">
        <f t="shared" si="34"/>
        <v/>
      </c>
      <c r="O399" s="129"/>
      <c r="P399" s="133"/>
    </row>
    <row r="400" spans="1:16" x14ac:dyDescent="0.25">
      <c r="A400" s="133"/>
      <c r="B400" s="129"/>
      <c r="C400" s="129"/>
      <c r="D400" s="134" t="str">
        <f t="shared" si="30"/>
        <v/>
      </c>
      <c r="E400" s="134" t="str">
        <f t="shared" si="31"/>
        <v/>
      </c>
      <c r="F400" s="135" t="str">
        <f t="shared" si="32"/>
        <v/>
      </c>
      <c r="G400" s="129"/>
      <c r="H400" s="129"/>
      <c r="I400" s="129"/>
      <c r="J400" s="129"/>
      <c r="K400" s="129"/>
      <c r="L400" s="129"/>
      <c r="M400" s="134" t="str">
        <f t="shared" si="33"/>
        <v/>
      </c>
      <c r="N400" s="134" t="str">
        <f t="shared" si="34"/>
        <v/>
      </c>
      <c r="O400" s="129"/>
      <c r="P400" s="133"/>
    </row>
    <row r="401" spans="1:16" x14ac:dyDescent="0.25">
      <c r="A401" s="133"/>
      <c r="B401" s="129"/>
      <c r="C401" s="129"/>
      <c r="D401" s="134" t="str">
        <f t="shared" si="30"/>
        <v/>
      </c>
      <c r="E401" s="134" t="str">
        <f t="shared" si="31"/>
        <v/>
      </c>
      <c r="F401" s="135" t="str">
        <f t="shared" si="32"/>
        <v/>
      </c>
      <c r="G401" s="129"/>
      <c r="H401" s="129"/>
      <c r="I401" s="129"/>
      <c r="J401" s="129"/>
      <c r="K401" s="129"/>
      <c r="L401" s="129"/>
      <c r="M401" s="134" t="str">
        <f t="shared" si="33"/>
        <v/>
      </c>
      <c r="N401" s="134" t="str">
        <f t="shared" si="34"/>
        <v/>
      </c>
      <c r="O401" s="129"/>
      <c r="P401" s="133"/>
    </row>
    <row r="402" spans="1:16" x14ac:dyDescent="0.25">
      <c r="A402" s="133"/>
      <c r="B402" s="129"/>
      <c r="C402" s="129"/>
      <c r="D402" s="134" t="str">
        <f t="shared" si="30"/>
        <v/>
      </c>
      <c r="E402" s="134" t="str">
        <f t="shared" si="31"/>
        <v/>
      </c>
      <c r="F402" s="135" t="str">
        <f t="shared" si="32"/>
        <v/>
      </c>
      <c r="G402" s="129"/>
      <c r="H402" s="129"/>
      <c r="I402" s="129"/>
      <c r="J402" s="129"/>
      <c r="K402" s="129"/>
      <c r="L402" s="129"/>
      <c r="M402" s="134" t="str">
        <f t="shared" si="33"/>
        <v/>
      </c>
      <c r="N402" s="134" t="str">
        <f t="shared" si="34"/>
        <v/>
      </c>
      <c r="O402" s="129"/>
      <c r="P402" s="133"/>
    </row>
    <row r="403" spans="1:16" x14ac:dyDescent="0.25">
      <c r="A403" s="133"/>
      <c r="B403" s="129"/>
      <c r="C403" s="129"/>
      <c r="D403" s="134" t="str">
        <f t="shared" si="30"/>
        <v/>
      </c>
      <c r="E403" s="134" t="str">
        <f t="shared" si="31"/>
        <v/>
      </c>
      <c r="F403" s="135" t="str">
        <f t="shared" si="32"/>
        <v/>
      </c>
      <c r="G403" s="129"/>
      <c r="H403" s="129"/>
      <c r="I403" s="129"/>
      <c r="J403" s="129"/>
      <c r="K403" s="129"/>
      <c r="L403" s="129"/>
      <c r="M403" s="134" t="str">
        <f t="shared" si="33"/>
        <v/>
      </c>
      <c r="N403" s="134" t="str">
        <f t="shared" si="34"/>
        <v/>
      </c>
      <c r="O403" s="129"/>
      <c r="P403" s="133"/>
    </row>
    <row r="404" spans="1:16" x14ac:dyDescent="0.25">
      <c r="A404" s="133"/>
      <c r="B404" s="129"/>
      <c r="C404" s="129"/>
      <c r="D404" s="134" t="str">
        <f t="shared" si="30"/>
        <v/>
      </c>
      <c r="E404" s="134" t="str">
        <f t="shared" si="31"/>
        <v/>
      </c>
      <c r="F404" s="135" t="str">
        <f t="shared" si="32"/>
        <v/>
      </c>
      <c r="G404" s="129"/>
      <c r="H404" s="129"/>
      <c r="I404" s="129"/>
      <c r="J404" s="129"/>
      <c r="K404" s="129"/>
      <c r="L404" s="129"/>
      <c r="M404" s="134" t="str">
        <f t="shared" si="33"/>
        <v/>
      </c>
      <c r="N404" s="134" t="str">
        <f t="shared" si="34"/>
        <v/>
      </c>
      <c r="O404" s="129"/>
      <c r="P404" s="133"/>
    </row>
  </sheetData>
  <mergeCells count="19">
    <mergeCell ref="S16:X16"/>
    <mergeCell ref="S12:X12"/>
    <mergeCell ref="S8:X8"/>
    <mergeCell ref="S3:X3"/>
    <mergeCell ref="S17:X17"/>
    <mergeCell ref="S11:X11"/>
    <mergeCell ref="S15:X15"/>
    <mergeCell ref="S9:X9"/>
    <mergeCell ref="S5:X5"/>
    <mergeCell ref="S1:X1"/>
    <mergeCell ref="A1:P1"/>
    <mergeCell ref="S4:X4"/>
    <mergeCell ref="A2:P2"/>
    <mergeCell ref="S2:X2"/>
    <mergeCell ref="S7:X7"/>
    <mergeCell ref="S14:X14"/>
    <mergeCell ref="S13:X13"/>
    <mergeCell ref="S10:X10"/>
    <mergeCell ref="S6:X6"/>
  </mergeCells>
  <conditionalFormatting sqref="A5:P404">
    <cfRule type="expression" dxfId="11" priority="1">
      <formula>AND($C5&lt;&gt;"",$M5&gt;0)</formula>
    </cfRule>
  </conditionalFormatting>
  <conditionalFormatting sqref="N5:N404">
    <cfRule type="cellIs" dxfId="10" priority="2" operator="equal">
      <formula>"LIVRE PARA PROGRAMAR"</formula>
    </cfRule>
  </conditionalFormatting>
  <dataValidations count="8">
    <dataValidation type="list" allowBlank="1" sqref="B5:B404">
      <formula1>LST_CONTRATO</formula1>
    </dataValidation>
    <dataValidation type="list" allowBlank="1" sqref="G5:G404">
      <formula1>"SIM,NÃO"</formula1>
    </dataValidation>
    <dataValidation type="list" allowBlank="1" sqref="H5:H404">
      <formula1>"SIM,NÃO"</formula1>
    </dataValidation>
    <dataValidation type="list" allowBlank="1" sqref="I5:I404">
      <formula1>"SIM,NÃO"</formula1>
    </dataValidation>
    <dataValidation type="list" allowBlank="1" sqref="J5:J404">
      <formula1>"SIM,NÃO"</formula1>
    </dataValidation>
    <dataValidation type="list" allowBlank="1" sqref="K5:K404">
      <formula1>"SIM,NÃO"</formula1>
    </dataValidation>
    <dataValidation type="list" allowBlank="1" sqref="L5:L404">
      <formula1>"SIM,NÃO"</formula1>
    </dataValidation>
    <dataValidation type="list" allowBlank="1" sqref="O5:O404">
      <formula1>EQP_NOMES</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504"/>
  <sheetViews>
    <sheetView workbookViewId="0">
      <pane xSplit="4" ySplit="4" topLeftCell="E5" activePane="bottomRight" state="frozen"/>
      <selection pane="topRight"/>
      <selection pane="bottomLeft"/>
      <selection pane="bottomRight"/>
    </sheetView>
  </sheetViews>
  <sheetFormatPr defaultRowHeight="15" x14ac:dyDescent="0.25"/>
  <cols>
    <col min="1" max="1" width="16" style="109" customWidth="1"/>
    <col min="2" max="2" width="12" style="109" customWidth="1"/>
    <col min="3" max="3" width="14" style="109" customWidth="1"/>
    <col min="4" max="4" width="13" style="109" customWidth="1"/>
    <col min="5" max="5" width="28" style="109" customWidth="1"/>
    <col min="6" max="6" width="30" style="109" customWidth="1"/>
    <col min="7" max="7" width="34" style="109" customWidth="1"/>
    <col min="8" max="8" width="12" style="109" customWidth="1"/>
    <col min="9" max="9" width="15" style="109" customWidth="1"/>
    <col min="10" max="10" width="32" style="109" customWidth="1"/>
    <col min="11" max="11" width="15" style="109" customWidth="1"/>
    <col min="12" max="12" width="30" style="109" customWidth="1"/>
    <col min="14" max="17" width="15" style="109" customWidth="1"/>
    <col min="19" max="19" width="34" style="109" customWidth="1"/>
    <col min="20" max="21" width="14" style="109" customWidth="1"/>
    <col min="24" max="29" width="10.42578125" style="109" customWidth="1"/>
  </cols>
  <sheetData>
    <row r="1" spans="1:29" ht="26.1" customHeight="1" x14ac:dyDescent="0.25">
      <c r="A1" s="189" t="s">
        <v>3062</v>
      </c>
      <c r="B1" s="149"/>
      <c r="C1" s="149"/>
      <c r="D1" s="149"/>
      <c r="E1" s="149"/>
      <c r="F1" s="149"/>
      <c r="G1" s="149"/>
      <c r="H1" s="149"/>
      <c r="I1" s="149"/>
      <c r="J1" s="149"/>
      <c r="K1" s="149"/>
      <c r="L1" s="149"/>
      <c r="X1" s="188" t="s">
        <v>280</v>
      </c>
      <c r="Y1" s="185"/>
      <c r="Z1" s="185"/>
      <c r="AA1" s="185"/>
      <c r="AB1" s="185"/>
      <c r="AC1" s="185"/>
    </row>
    <row r="2" spans="1:29" ht="15.6" customHeight="1" x14ac:dyDescent="0.25">
      <c r="A2" s="190" t="s">
        <v>3063</v>
      </c>
      <c r="B2" s="149"/>
      <c r="C2" s="149"/>
      <c r="D2" s="149"/>
      <c r="E2" s="149"/>
      <c r="F2" s="149"/>
      <c r="G2" s="149"/>
      <c r="H2" s="149"/>
      <c r="I2" s="149"/>
      <c r="J2" s="149"/>
      <c r="K2" s="149"/>
      <c r="L2" s="149"/>
      <c r="X2" s="184" t="s">
        <v>246</v>
      </c>
      <c r="Y2" s="185"/>
      <c r="Z2" s="185"/>
      <c r="AA2" s="185"/>
      <c r="AB2" s="185"/>
      <c r="AC2" s="185"/>
    </row>
    <row r="3" spans="1:29" ht="15.6" customHeight="1" x14ac:dyDescent="0.25">
      <c r="X3" s="184" t="s">
        <v>247</v>
      </c>
      <c r="Y3" s="185"/>
      <c r="Z3" s="185"/>
      <c r="AA3" s="185"/>
      <c r="AB3" s="185"/>
      <c r="AC3" s="185"/>
    </row>
    <row r="4" spans="1:29" ht="15.6" customHeight="1" x14ac:dyDescent="0.25">
      <c r="A4" s="130" t="s">
        <v>3050</v>
      </c>
      <c r="B4" s="130" t="s">
        <v>591</v>
      </c>
      <c r="C4" s="130" t="s">
        <v>592</v>
      </c>
      <c r="D4" s="130" t="s">
        <v>2538</v>
      </c>
      <c r="E4" s="130" t="s">
        <v>916</v>
      </c>
      <c r="F4" s="130" t="s">
        <v>2422</v>
      </c>
      <c r="G4" s="130" t="s">
        <v>3064</v>
      </c>
      <c r="H4" s="130" t="s">
        <v>3065</v>
      </c>
      <c r="I4" s="130" t="s">
        <v>3066</v>
      </c>
      <c r="J4" s="130" t="s">
        <v>3067</v>
      </c>
      <c r="K4" s="130" t="s">
        <v>3068</v>
      </c>
      <c r="L4" s="130" t="s">
        <v>561</v>
      </c>
      <c r="N4" s="191" t="s">
        <v>3069</v>
      </c>
      <c r="O4" s="149"/>
      <c r="P4" s="149"/>
      <c r="Q4" s="149"/>
      <c r="S4" s="191" t="s">
        <v>3070</v>
      </c>
      <c r="T4" s="149"/>
      <c r="U4" s="149"/>
      <c r="X4" s="187" t="s">
        <v>248</v>
      </c>
      <c r="Y4" s="185"/>
      <c r="Z4" s="185"/>
      <c r="AA4" s="185"/>
      <c r="AB4" s="185"/>
      <c r="AC4" s="185"/>
    </row>
    <row r="5" spans="1:29" ht="15.6" customHeight="1" x14ac:dyDescent="0.25">
      <c r="A5" s="133"/>
      <c r="B5" s="129"/>
      <c r="C5" s="129"/>
      <c r="D5" s="129"/>
      <c r="E5" s="134" t="str">
        <f t="shared" ref="E5:E68" si="0">IFERROR(IF($D5="","",VLOOKUP($D5,CAD_TAB,8,FALSE)),"")</f>
        <v/>
      </c>
      <c r="F5" s="134" t="str">
        <f t="shared" ref="F5:F68" si="1">IFERROR(IF($D5="","",VLOOKUP($D5,CAD_TAB,9,FALSE)),"")</f>
        <v/>
      </c>
      <c r="G5" s="129"/>
      <c r="H5" s="129"/>
      <c r="I5" s="133"/>
      <c r="J5" s="129"/>
      <c r="K5" s="133"/>
      <c r="L5" s="129"/>
      <c r="N5" s="136" t="s">
        <v>2632</v>
      </c>
      <c r="O5" s="136" t="s">
        <v>622</v>
      </c>
      <c r="P5" s="136" t="s">
        <v>3071</v>
      </c>
      <c r="Q5" s="136" t="s">
        <v>3072</v>
      </c>
      <c r="S5" s="136" t="s">
        <v>3073</v>
      </c>
      <c r="T5" s="136" t="s">
        <v>2936</v>
      </c>
      <c r="U5" s="136" t="s">
        <v>2937</v>
      </c>
      <c r="X5" s="186" t="s">
        <v>249</v>
      </c>
      <c r="Y5" s="185"/>
      <c r="Z5" s="185"/>
      <c r="AA5" s="185"/>
      <c r="AB5" s="185"/>
      <c r="AC5" s="185"/>
    </row>
    <row r="6" spans="1:29" ht="15.6" customHeight="1" x14ac:dyDescent="0.25">
      <c r="A6" s="133"/>
      <c r="B6" s="129"/>
      <c r="C6" s="129"/>
      <c r="D6" s="129"/>
      <c r="E6" s="134" t="str">
        <f t="shared" si="0"/>
        <v/>
      </c>
      <c r="F6" s="134" t="str">
        <f t="shared" si="1"/>
        <v/>
      </c>
      <c r="G6" s="129"/>
      <c r="H6" s="129"/>
      <c r="I6" s="133"/>
      <c r="J6" s="129"/>
      <c r="K6" s="133"/>
      <c r="L6" s="129"/>
      <c r="N6" s="133"/>
      <c r="O6" s="134" t="str">
        <f t="shared" ref="O6:O31" si="2">IF($N6="","",COUNTIFS(PS_SEM,$N6,PS_ID,"&lt;&gt;"))</f>
        <v/>
      </c>
      <c r="P6" s="134" t="str">
        <f t="shared" ref="P6:P31" si="3">IF($N6="","",COUNTIFS(PS_SEM,$N6,PS_OK,"SIM"))</f>
        <v/>
      </c>
      <c r="Q6" s="137" t="str">
        <f t="shared" ref="Q6:Q31" si="4">IF(OR($N6="",O6=0),"",P6/O6)</f>
        <v/>
      </c>
      <c r="S6" s="134" t="s">
        <v>626</v>
      </c>
      <c r="T6" s="134">
        <f t="shared" ref="T6:T18" si="5">COUNTIF(PS_CAUSA,$S6)</f>
        <v>0</v>
      </c>
      <c r="U6" s="137" t="str">
        <f t="shared" ref="U6:U18" si="6">IF(SUM(T$6:T$18)=0,"",T6/SUM(T$6:T$18))</f>
        <v/>
      </c>
      <c r="X6" s="186" t="s">
        <v>250</v>
      </c>
      <c r="Y6" s="185"/>
      <c r="Z6" s="185"/>
      <c r="AA6" s="185"/>
      <c r="AB6" s="185"/>
      <c r="AC6" s="185"/>
    </row>
    <row r="7" spans="1:29" ht="15.6" customHeight="1" x14ac:dyDescent="0.25">
      <c r="A7" s="133"/>
      <c r="B7" s="129"/>
      <c r="C7" s="129"/>
      <c r="D7" s="129"/>
      <c r="E7" s="134" t="str">
        <f t="shared" si="0"/>
        <v/>
      </c>
      <c r="F7" s="134" t="str">
        <f t="shared" si="1"/>
        <v/>
      </c>
      <c r="G7" s="129"/>
      <c r="H7" s="129"/>
      <c r="I7" s="133"/>
      <c r="J7" s="129"/>
      <c r="K7" s="133"/>
      <c r="L7" s="129"/>
      <c r="N7" s="133"/>
      <c r="O7" s="134" t="str">
        <f t="shared" si="2"/>
        <v/>
      </c>
      <c r="P7" s="134" t="str">
        <f t="shared" si="3"/>
        <v/>
      </c>
      <c r="Q7" s="137" t="str">
        <f t="shared" si="4"/>
        <v/>
      </c>
      <c r="S7" s="134" t="s">
        <v>648</v>
      </c>
      <c r="T7" s="134">
        <f t="shared" si="5"/>
        <v>0</v>
      </c>
      <c r="U7" s="137" t="str">
        <f t="shared" si="6"/>
        <v/>
      </c>
      <c r="X7" s="186" t="s">
        <v>251</v>
      </c>
      <c r="Y7" s="185"/>
      <c r="Z7" s="185"/>
      <c r="AA7" s="185"/>
      <c r="AB7" s="185"/>
      <c r="AC7" s="185"/>
    </row>
    <row r="8" spans="1:29" ht="15.6" customHeight="1" x14ac:dyDescent="0.25">
      <c r="A8" s="133"/>
      <c r="B8" s="129"/>
      <c r="C8" s="129"/>
      <c r="D8" s="129"/>
      <c r="E8" s="134" t="str">
        <f t="shared" si="0"/>
        <v/>
      </c>
      <c r="F8" s="134" t="str">
        <f t="shared" si="1"/>
        <v/>
      </c>
      <c r="G8" s="129"/>
      <c r="H8" s="129"/>
      <c r="I8" s="133"/>
      <c r="J8" s="129"/>
      <c r="K8" s="133"/>
      <c r="L8" s="129"/>
      <c r="N8" s="133"/>
      <c r="O8" s="134" t="str">
        <f t="shared" si="2"/>
        <v/>
      </c>
      <c r="P8" s="134" t="str">
        <f t="shared" si="3"/>
        <v/>
      </c>
      <c r="Q8" s="137" t="str">
        <f t="shared" si="4"/>
        <v/>
      </c>
      <c r="S8" s="134" t="s">
        <v>684</v>
      </c>
      <c r="T8" s="134">
        <f t="shared" si="5"/>
        <v>0</v>
      </c>
      <c r="U8" s="137" t="str">
        <f t="shared" si="6"/>
        <v/>
      </c>
      <c r="X8" s="186" t="s">
        <v>252</v>
      </c>
      <c r="Y8" s="185"/>
      <c r="Z8" s="185"/>
      <c r="AA8" s="185"/>
      <c r="AB8" s="185"/>
      <c r="AC8" s="185"/>
    </row>
    <row r="9" spans="1:29" ht="15.6" customHeight="1" x14ac:dyDescent="0.25">
      <c r="A9" s="133"/>
      <c r="B9" s="129"/>
      <c r="C9" s="129"/>
      <c r="D9" s="129"/>
      <c r="E9" s="134" t="str">
        <f t="shared" si="0"/>
        <v/>
      </c>
      <c r="F9" s="134" t="str">
        <f t="shared" si="1"/>
        <v/>
      </c>
      <c r="G9" s="129"/>
      <c r="H9" s="129"/>
      <c r="I9" s="133"/>
      <c r="J9" s="129"/>
      <c r="K9" s="133"/>
      <c r="L9" s="129"/>
      <c r="N9" s="133"/>
      <c r="O9" s="134" t="str">
        <f t="shared" si="2"/>
        <v/>
      </c>
      <c r="P9" s="134" t="str">
        <f t="shared" si="3"/>
        <v/>
      </c>
      <c r="Q9" s="137" t="str">
        <f t="shared" si="4"/>
        <v/>
      </c>
      <c r="S9" s="134" t="s">
        <v>705</v>
      </c>
      <c r="T9" s="134">
        <f t="shared" si="5"/>
        <v>0</v>
      </c>
      <c r="U9" s="137" t="str">
        <f t="shared" si="6"/>
        <v/>
      </c>
      <c r="X9" s="184" t="s">
        <v>253</v>
      </c>
      <c r="Y9" s="185"/>
      <c r="Z9" s="185"/>
      <c r="AA9" s="185"/>
      <c r="AB9" s="185"/>
      <c r="AC9" s="185"/>
    </row>
    <row r="10" spans="1:29" ht="15.6" customHeight="1" x14ac:dyDescent="0.25">
      <c r="A10" s="133"/>
      <c r="B10" s="129"/>
      <c r="C10" s="129"/>
      <c r="D10" s="129"/>
      <c r="E10" s="134" t="str">
        <f t="shared" si="0"/>
        <v/>
      </c>
      <c r="F10" s="134" t="str">
        <f t="shared" si="1"/>
        <v/>
      </c>
      <c r="G10" s="129"/>
      <c r="H10" s="129"/>
      <c r="I10" s="133"/>
      <c r="J10" s="129"/>
      <c r="K10" s="133"/>
      <c r="L10" s="129"/>
      <c r="N10" s="133"/>
      <c r="O10" s="134" t="str">
        <f t="shared" si="2"/>
        <v/>
      </c>
      <c r="P10" s="134" t="str">
        <f t="shared" si="3"/>
        <v/>
      </c>
      <c r="Q10" s="137" t="str">
        <f t="shared" si="4"/>
        <v/>
      </c>
      <c r="S10" s="134" t="s">
        <v>725</v>
      </c>
      <c r="T10" s="134">
        <f t="shared" si="5"/>
        <v>0</v>
      </c>
      <c r="U10" s="137" t="str">
        <f t="shared" si="6"/>
        <v/>
      </c>
      <c r="X10" s="186" t="s">
        <v>254</v>
      </c>
      <c r="Y10" s="185"/>
      <c r="Z10" s="185"/>
      <c r="AA10" s="185"/>
      <c r="AB10" s="185"/>
      <c r="AC10" s="185"/>
    </row>
    <row r="11" spans="1:29" ht="15.6" customHeight="1" x14ac:dyDescent="0.25">
      <c r="A11" s="133"/>
      <c r="B11" s="129"/>
      <c r="C11" s="129"/>
      <c r="D11" s="129"/>
      <c r="E11" s="134" t="str">
        <f t="shared" si="0"/>
        <v/>
      </c>
      <c r="F11" s="134" t="str">
        <f t="shared" si="1"/>
        <v/>
      </c>
      <c r="G11" s="129"/>
      <c r="H11" s="129"/>
      <c r="I11" s="133"/>
      <c r="J11" s="129"/>
      <c r="K11" s="133"/>
      <c r="L11" s="129"/>
      <c r="N11" s="133"/>
      <c r="O11" s="134" t="str">
        <f t="shared" si="2"/>
        <v/>
      </c>
      <c r="P11" s="134" t="str">
        <f t="shared" si="3"/>
        <v/>
      </c>
      <c r="Q11" s="137" t="str">
        <f t="shared" si="4"/>
        <v/>
      </c>
      <c r="S11" s="134" t="s">
        <v>738</v>
      </c>
      <c r="T11" s="134">
        <f t="shared" si="5"/>
        <v>0</v>
      </c>
      <c r="U11" s="137" t="str">
        <f t="shared" si="6"/>
        <v/>
      </c>
      <c r="X11" s="186" t="s">
        <v>255</v>
      </c>
      <c r="Y11" s="185"/>
      <c r="Z11" s="185"/>
      <c r="AA11" s="185"/>
      <c r="AB11" s="185"/>
      <c r="AC11" s="185"/>
    </row>
    <row r="12" spans="1:29" ht="15.6" customHeight="1" x14ac:dyDescent="0.25">
      <c r="A12" s="133"/>
      <c r="B12" s="129"/>
      <c r="C12" s="129"/>
      <c r="D12" s="129"/>
      <c r="E12" s="134" t="str">
        <f t="shared" si="0"/>
        <v/>
      </c>
      <c r="F12" s="134" t="str">
        <f t="shared" si="1"/>
        <v/>
      </c>
      <c r="G12" s="129"/>
      <c r="H12" s="129"/>
      <c r="I12" s="133"/>
      <c r="J12" s="129"/>
      <c r="K12" s="133"/>
      <c r="L12" s="129"/>
      <c r="N12" s="133"/>
      <c r="O12" s="134" t="str">
        <f t="shared" si="2"/>
        <v/>
      </c>
      <c r="P12" s="134" t="str">
        <f t="shared" si="3"/>
        <v/>
      </c>
      <c r="Q12" s="137" t="str">
        <f t="shared" si="4"/>
        <v/>
      </c>
      <c r="S12" s="134" t="s">
        <v>751</v>
      </c>
      <c r="T12" s="134">
        <f t="shared" si="5"/>
        <v>0</v>
      </c>
      <c r="U12" s="137" t="str">
        <f t="shared" si="6"/>
        <v/>
      </c>
      <c r="X12" s="187" t="s">
        <v>256</v>
      </c>
      <c r="Y12" s="185"/>
      <c r="Z12" s="185"/>
      <c r="AA12" s="185"/>
      <c r="AB12" s="185"/>
      <c r="AC12" s="185"/>
    </row>
    <row r="13" spans="1:29" ht="15.6" customHeight="1" x14ac:dyDescent="0.25">
      <c r="A13" s="133"/>
      <c r="B13" s="129"/>
      <c r="C13" s="129"/>
      <c r="D13" s="129"/>
      <c r="E13" s="134" t="str">
        <f t="shared" si="0"/>
        <v/>
      </c>
      <c r="F13" s="134" t="str">
        <f t="shared" si="1"/>
        <v/>
      </c>
      <c r="G13" s="129"/>
      <c r="H13" s="129"/>
      <c r="I13" s="133"/>
      <c r="J13" s="129"/>
      <c r="K13" s="133"/>
      <c r="L13" s="129"/>
      <c r="N13" s="133"/>
      <c r="O13" s="134" t="str">
        <f t="shared" si="2"/>
        <v/>
      </c>
      <c r="P13" s="134" t="str">
        <f t="shared" si="3"/>
        <v/>
      </c>
      <c r="Q13" s="137" t="str">
        <f t="shared" si="4"/>
        <v/>
      </c>
      <c r="S13" s="134" t="s">
        <v>761</v>
      </c>
      <c r="T13" s="134">
        <f t="shared" si="5"/>
        <v>0</v>
      </c>
      <c r="U13" s="137" t="str">
        <f t="shared" si="6"/>
        <v/>
      </c>
      <c r="X13" s="187" t="s">
        <v>257</v>
      </c>
      <c r="Y13" s="185"/>
      <c r="Z13" s="185"/>
      <c r="AA13" s="185"/>
      <c r="AB13" s="185"/>
      <c r="AC13" s="185"/>
    </row>
    <row r="14" spans="1:29" ht="15.6" customHeight="1" x14ac:dyDescent="0.25">
      <c r="A14" s="133"/>
      <c r="B14" s="129"/>
      <c r="C14" s="129"/>
      <c r="D14" s="129"/>
      <c r="E14" s="134" t="str">
        <f t="shared" si="0"/>
        <v/>
      </c>
      <c r="F14" s="134" t="str">
        <f t="shared" si="1"/>
        <v/>
      </c>
      <c r="G14" s="129"/>
      <c r="H14" s="129"/>
      <c r="I14" s="133"/>
      <c r="J14" s="129"/>
      <c r="K14" s="133"/>
      <c r="L14" s="129"/>
      <c r="N14" s="133"/>
      <c r="O14" s="134" t="str">
        <f t="shared" si="2"/>
        <v/>
      </c>
      <c r="P14" s="134" t="str">
        <f t="shared" si="3"/>
        <v/>
      </c>
      <c r="Q14" s="137" t="str">
        <f t="shared" si="4"/>
        <v/>
      </c>
      <c r="S14" s="134" t="s">
        <v>772</v>
      </c>
      <c r="T14" s="134">
        <f t="shared" si="5"/>
        <v>0</v>
      </c>
      <c r="U14" s="137" t="str">
        <f t="shared" si="6"/>
        <v/>
      </c>
      <c r="X14" s="186" t="s">
        <v>258</v>
      </c>
      <c r="Y14" s="185"/>
      <c r="Z14" s="185"/>
      <c r="AA14" s="185"/>
      <c r="AB14" s="185"/>
      <c r="AC14" s="185"/>
    </row>
    <row r="15" spans="1:29" ht="15.6" customHeight="1" x14ac:dyDescent="0.25">
      <c r="A15" s="133"/>
      <c r="B15" s="129"/>
      <c r="C15" s="129"/>
      <c r="D15" s="129"/>
      <c r="E15" s="134" t="str">
        <f t="shared" si="0"/>
        <v/>
      </c>
      <c r="F15" s="134" t="str">
        <f t="shared" si="1"/>
        <v/>
      </c>
      <c r="G15" s="129"/>
      <c r="H15" s="129"/>
      <c r="I15" s="133"/>
      <c r="J15" s="129"/>
      <c r="K15" s="133"/>
      <c r="L15" s="129"/>
      <c r="N15" s="133"/>
      <c r="O15" s="134" t="str">
        <f t="shared" si="2"/>
        <v/>
      </c>
      <c r="P15" s="134" t="str">
        <f t="shared" si="3"/>
        <v/>
      </c>
      <c r="Q15" s="137" t="str">
        <f t="shared" si="4"/>
        <v/>
      </c>
      <c r="S15" s="134" t="s">
        <v>783</v>
      </c>
      <c r="T15" s="134">
        <f t="shared" si="5"/>
        <v>0</v>
      </c>
      <c r="U15" s="137" t="str">
        <f t="shared" si="6"/>
        <v/>
      </c>
      <c r="X15" s="184" t="s">
        <v>259</v>
      </c>
      <c r="Y15" s="185"/>
      <c r="Z15" s="185"/>
      <c r="AA15" s="185"/>
      <c r="AB15" s="185"/>
      <c r="AC15" s="185"/>
    </row>
    <row r="16" spans="1:29" ht="15.6" customHeight="1" x14ac:dyDescent="0.25">
      <c r="A16" s="133"/>
      <c r="B16" s="129"/>
      <c r="C16" s="129"/>
      <c r="D16" s="129"/>
      <c r="E16" s="134" t="str">
        <f t="shared" si="0"/>
        <v/>
      </c>
      <c r="F16" s="134" t="str">
        <f t="shared" si="1"/>
        <v/>
      </c>
      <c r="G16" s="129"/>
      <c r="H16" s="129"/>
      <c r="I16" s="133"/>
      <c r="J16" s="129"/>
      <c r="K16" s="133"/>
      <c r="L16" s="129"/>
      <c r="N16" s="133"/>
      <c r="O16" s="134" t="str">
        <f t="shared" si="2"/>
        <v/>
      </c>
      <c r="P16" s="134" t="str">
        <f t="shared" si="3"/>
        <v/>
      </c>
      <c r="Q16" s="137" t="str">
        <f t="shared" si="4"/>
        <v/>
      </c>
      <c r="S16" s="134" t="s">
        <v>791</v>
      </c>
      <c r="T16" s="134">
        <f t="shared" si="5"/>
        <v>0</v>
      </c>
      <c r="U16" s="137" t="str">
        <f t="shared" si="6"/>
        <v/>
      </c>
      <c r="X16" s="186" t="s">
        <v>260</v>
      </c>
      <c r="Y16" s="185"/>
      <c r="Z16" s="185"/>
      <c r="AA16" s="185"/>
      <c r="AB16" s="185"/>
      <c r="AC16" s="185"/>
    </row>
    <row r="17" spans="1:29" ht="15.6" customHeight="1" x14ac:dyDescent="0.25">
      <c r="A17" s="133"/>
      <c r="B17" s="129"/>
      <c r="C17" s="129"/>
      <c r="D17" s="129"/>
      <c r="E17" s="134" t="str">
        <f t="shared" si="0"/>
        <v/>
      </c>
      <c r="F17" s="134" t="str">
        <f t="shared" si="1"/>
        <v/>
      </c>
      <c r="G17" s="129"/>
      <c r="H17" s="129"/>
      <c r="I17" s="133"/>
      <c r="J17" s="129"/>
      <c r="K17" s="133"/>
      <c r="L17" s="129"/>
      <c r="N17" s="133"/>
      <c r="O17" s="134" t="str">
        <f t="shared" si="2"/>
        <v/>
      </c>
      <c r="P17" s="134" t="str">
        <f t="shared" si="3"/>
        <v/>
      </c>
      <c r="Q17" s="137" t="str">
        <f t="shared" si="4"/>
        <v/>
      </c>
      <c r="S17" s="134" t="s">
        <v>798</v>
      </c>
      <c r="T17" s="134">
        <f t="shared" si="5"/>
        <v>0</v>
      </c>
      <c r="U17" s="137" t="str">
        <f t="shared" si="6"/>
        <v/>
      </c>
      <c r="X17" s="186" t="s">
        <v>261</v>
      </c>
      <c r="Y17" s="185"/>
      <c r="Z17" s="185"/>
      <c r="AA17" s="185"/>
      <c r="AB17" s="185"/>
      <c r="AC17" s="185"/>
    </row>
    <row r="18" spans="1:29" ht="15.6" customHeight="1" x14ac:dyDescent="0.25">
      <c r="A18" s="133"/>
      <c r="B18" s="129"/>
      <c r="C18" s="129"/>
      <c r="D18" s="129"/>
      <c r="E18" s="134" t="str">
        <f t="shared" si="0"/>
        <v/>
      </c>
      <c r="F18" s="134" t="str">
        <f t="shared" si="1"/>
        <v/>
      </c>
      <c r="G18" s="129"/>
      <c r="H18" s="129"/>
      <c r="I18" s="133"/>
      <c r="J18" s="129"/>
      <c r="K18" s="133"/>
      <c r="L18" s="129"/>
      <c r="N18" s="133"/>
      <c r="O18" s="134" t="str">
        <f t="shared" si="2"/>
        <v/>
      </c>
      <c r="P18" s="134" t="str">
        <f t="shared" si="3"/>
        <v/>
      </c>
      <c r="Q18" s="137" t="str">
        <f t="shared" si="4"/>
        <v/>
      </c>
      <c r="S18" s="134" t="s">
        <v>777</v>
      </c>
      <c r="T18" s="134">
        <f t="shared" si="5"/>
        <v>0</v>
      </c>
      <c r="U18" s="137" t="str">
        <f t="shared" si="6"/>
        <v/>
      </c>
      <c r="X18" s="186" t="s">
        <v>262</v>
      </c>
      <c r="Y18" s="185"/>
      <c r="Z18" s="185"/>
      <c r="AA18" s="185"/>
      <c r="AB18" s="185"/>
      <c r="AC18" s="185"/>
    </row>
    <row r="19" spans="1:29" ht="15.6" customHeight="1" x14ac:dyDescent="0.25">
      <c r="A19" s="133"/>
      <c r="B19" s="129"/>
      <c r="C19" s="129"/>
      <c r="D19" s="129"/>
      <c r="E19" s="134" t="str">
        <f t="shared" si="0"/>
        <v/>
      </c>
      <c r="F19" s="134" t="str">
        <f t="shared" si="1"/>
        <v/>
      </c>
      <c r="G19" s="129"/>
      <c r="H19" s="129"/>
      <c r="I19" s="133"/>
      <c r="J19" s="129"/>
      <c r="K19" s="133"/>
      <c r="L19" s="129"/>
      <c r="N19" s="133"/>
      <c r="O19" s="134" t="str">
        <f t="shared" si="2"/>
        <v/>
      </c>
      <c r="P19" s="134" t="str">
        <f t="shared" si="3"/>
        <v/>
      </c>
      <c r="Q19" s="137" t="str">
        <f t="shared" si="4"/>
        <v/>
      </c>
      <c r="S19" s="138" t="s">
        <v>3074</v>
      </c>
      <c r="T19" s="138">
        <f>SUM(T6:T18)</f>
        <v>0</v>
      </c>
      <c r="U19" s="139"/>
      <c r="X19" s="186" t="s">
        <v>263</v>
      </c>
      <c r="Y19" s="185"/>
      <c r="Z19" s="185"/>
      <c r="AA19" s="185"/>
      <c r="AB19" s="185"/>
      <c r="AC19" s="185"/>
    </row>
    <row r="20" spans="1:29" ht="15.6" customHeight="1" x14ac:dyDescent="0.25">
      <c r="A20" s="133"/>
      <c r="B20" s="129"/>
      <c r="C20" s="129"/>
      <c r="D20" s="129"/>
      <c r="E20" s="134" t="str">
        <f t="shared" si="0"/>
        <v/>
      </c>
      <c r="F20" s="134" t="str">
        <f t="shared" si="1"/>
        <v/>
      </c>
      <c r="G20" s="129"/>
      <c r="H20" s="129"/>
      <c r="I20" s="133"/>
      <c r="J20" s="129"/>
      <c r="K20" s="133"/>
      <c r="L20" s="129"/>
      <c r="N20" s="133"/>
      <c r="O20" s="134" t="str">
        <f t="shared" si="2"/>
        <v/>
      </c>
      <c r="P20" s="134" t="str">
        <f t="shared" si="3"/>
        <v/>
      </c>
      <c r="Q20" s="137" t="str">
        <f t="shared" si="4"/>
        <v/>
      </c>
      <c r="X20" s="186" t="s">
        <v>264</v>
      </c>
      <c r="Y20" s="185"/>
      <c r="Z20" s="185"/>
      <c r="AA20" s="185"/>
      <c r="AB20" s="185"/>
      <c r="AC20" s="185"/>
    </row>
    <row r="21" spans="1:29" x14ac:dyDescent="0.25">
      <c r="A21" s="133"/>
      <c r="B21" s="129"/>
      <c r="C21" s="129"/>
      <c r="D21" s="129"/>
      <c r="E21" s="134" t="str">
        <f t="shared" si="0"/>
        <v/>
      </c>
      <c r="F21" s="134" t="str">
        <f t="shared" si="1"/>
        <v/>
      </c>
      <c r="G21" s="129"/>
      <c r="H21" s="129"/>
      <c r="I21" s="133"/>
      <c r="J21" s="129"/>
      <c r="K21" s="133"/>
      <c r="L21" s="129"/>
      <c r="N21" s="133"/>
      <c r="O21" s="134" t="str">
        <f t="shared" si="2"/>
        <v/>
      </c>
      <c r="P21" s="134" t="str">
        <f t="shared" si="3"/>
        <v/>
      </c>
      <c r="Q21" s="137" t="str">
        <f t="shared" si="4"/>
        <v/>
      </c>
    </row>
    <row r="22" spans="1:29" x14ac:dyDescent="0.25">
      <c r="A22" s="133"/>
      <c r="B22" s="129"/>
      <c r="C22" s="129"/>
      <c r="D22" s="129"/>
      <c r="E22" s="134" t="str">
        <f t="shared" si="0"/>
        <v/>
      </c>
      <c r="F22" s="134" t="str">
        <f t="shared" si="1"/>
        <v/>
      </c>
      <c r="G22" s="129"/>
      <c r="H22" s="129"/>
      <c r="I22" s="133"/>
      <c r="J22" s="129"/>
      <c r="K22" s="133"/>
      <c r="L22" s="129"/>
      <c r="N22" s="133"/>
      <c r="O22" s="134" t="str">
        <f t="shared" si="2"/>
        <v/>
      </c>
      <c r="P22" s="134" t="str">
        <f t="shared" si="3"/>
        <v/>
      </c>
      <c r="Q22" s="137" t="str">
        <f t="shared" si="4"/>
        <v/>
      </c>
    </row>
    <row r="23" spans="1:29" x14ac:dyDescent="0.25">
      <c r="A23" s="133"/>
      <c r="B23" s="129"/>
      <c r="C23" s="129"/>
      <c r="D23" s="129"/>
      <c r="E23" s="134" t="str">
        <f t="shared" si="0"/>
        <v/>
      </c>
      <c r="F23" s="134" t="str">
        <f t="shared" si="1"/>
        <v/>
      </c>
      <c r="G23" s="129"/>
      <c r="H23" s="129"/>
      <c r="I23" s="133"/>
      <c r="J23" s="129"/>
      <c r="K23" s="133"/>
      <c r="L23" s="129"/>
      <c r="N23" s="133"/>
      <c r="O23" s="134" t="str">
        <f t="shared" si="2"/>
        <v/>
      </c>
      <c r="P23" s="134" t="str">
        <f t="shared" si="3"/>
        <v/>
      </c>
      <c r="Q23" s="137" t="str">
        <f t="shared" si="4"/>
        <v/>
      </c>
    </row>
    <row r="24" spans="1:29" x14ac:dyDescent="0.25">
      <c r="A24" s="133"/>
      <c r="B24" s="129"/>
      <c r="C24" s="129"/>
      <c r="D24" s="129"/>
      <c r="E24" s="134" t="str">
        <f t="shared" si="0"/>
        <v/>
      </c>
      <c r="F24" s="134" t="str">
        <f t="shared" si="1"/>
        <v/>
      </c>
      <c r="G24" s="129"/>
      <c r="H24" s="129"/>
      <c r="I24" s="133"/>
      <c r="J24" s="129"/>
      <c r="K24" s="133"/>
      <c r="L24" s="129"/>
      <c r="N24" s="133"/>
      <c r="O24" s="134" t="str">
        <f t="shared" si="2"/>
        <v/>
      </c>
      <c r="P24" s="134" t="str">
        <f t="shared" si="3"/>
        <v/>
      </c>
      <c r="Q24" s="137" t="str">
        <f t="shared" si="4"/>
        <v/>
      </c>
    </row>
    <row r="25" spans="1:29" x14ac:dyDescent="0.25">
      <c r="A25" s="133"/>
      <c r="B25" s="129"/>
      <c r="C25" s="129"/>
      <c r="D25" s="129"/>
      <c r="E25" s="134" t="str">
        <f t="shared" si="0"/>
        <v/>
      </c>
      <c r="F25" s="134" t="str">
        <f t="shared" si="1"/>
        <v/>
      </c>
      <c r="G25" s="129"/>
      <c r="H25" s="129"/>
      <c r="I25" s="133"/>
      <c r="J25" s="129"/>
      <c r="K25" s="133"/>
      <c r="L25" s="129"/>
      <c r="N25" s="133"/>
      <c r="O25" s="134" t="str">
        <f t="shared" si="2"/>
        <v/>
      </c>
      <c r="P25" s="134" t="str">
        <f t="shared" si="3"/>
        <v/>
      </c>
      <c r="Q25" s="137" t="str">
        <f t="shared" si="4"/>
        <v/>
      </c>
    </row>
    <row r="26" spans="1:29" x14ac:dyDescent="0.25">
      <c r="A26" s="133"/>
      <c r="B26" s="129"/>
      <c r="C26" s="129"/>
      <c r="D26" s="129"/>
      <c r="E26" s="134" t="str">
        <f t="shared" si="0"/>
        <v/>
      </c>
      <c r="F26" s="134" t="str">
        <f t="shared" si="1"/>
        <v/>
      </c>
      <c r="G26" s="129"/>
      <c r="H26" s="129"/>
      <c r="I26" s="133"/>
      <c r="J26" s="129"/>
      <c r="K26" s="133"/>
      <c r="L26" s="129"/>
      <c r="N26" s="133"/>
      <c r="O26" s="134" t="str">
        <f t="shared" si="2"/>
        <v/>
      </c>
      <c r="P26" s="134" t="str">
        <f t="shared" si="3"/>
        <v/>
      </c>
      <c r="Q26" s="137" t="str">
        <f t="shared" si="4"/>
        <v/>
      </c>
    </row>
    <row r="27" spans="1:29" x14ac:dyDescent="0.25">
      <c r="A27" s="133"/>
      <c r="B27" s="129"/>
      <c r="C27" s="129"/>
      <c r="D27" s="129"/>
      <c r="E27" s="134" t="str">
        <f t="shared" si="0"/>
        <v/>
      </c>
      <c r="F27" s="134" t="str">
        <f t="shared" si="1"/>
        <v/>
      </c>
      <c r="G27" s="129"/>
      <c r="H27" s="129"/>
      <c r="I27" s="133"/>
      <c r="J27" s="129"/>
      <c r="K27" s="133"/>
      <c r="L27" s="129"/>
      <c r="N27" s="133"/>
      <c r="O27" s="134" t="str">
        <f t="shared" si="2"/>
        <v/>
      </c>
      <c r="P27" s="134" t="str">
        <f t="shared" si="3"/>
        <v/>
      </c>
      <c r="Q27" s="137" t="str">
        <f t="shared" si="4"/>
        <v/>
      </c>
    </row>
    <row r="28" spans="1:29" x14ac:dyDescent="0.25">
      <c r="A28" s="133"/>
      <c r="B28" s="129"/>
      <c r="C28" s="129"/>
      <c r="D28" s="129"/>
      <c r="E28" s="134" t="str">
        <f t="shared" si="0"/>
        <v/>
      </c>
      <c r="F28" s="134" t="str">
        <f t="shared" si="1"/>
        <v/>
      </c>
      <c r="G28" s="129"/>
      <c r="H28" s="129"/>
      <c r="I28" s="133"/>
      <c r="J28" s="129"/>
      <c r="K28" s="133"/>
      <c r="L28" s="129"/>
      <c r="N28" s="133"/>
      <c r="O28" s="134" t="str">
        <f t="shared" si="2"/>
        <v/>
      </c>
      <c r="P28" s="134" t="str">
        <f t="shared" si="3"/>
        <v/>
      </c>
      <c r="Q28" s="137" t="str">
        <f t="shared" si="4"/>
        <v/>
      </c>
    </row>
    <row r="29" spans="1:29" x14ac:dyDescent="0.25">
      <c r="A29" s="133"/>
      <c r="B29" s="129"/>
      <c r="C29" s="129"/>
      <c r="D29" s="129"/>
      <c r="E29" s="134" t="str">
        <f t="shared" si="0"/>
        <v/>
      </c>
      <c r="F29" s="134" t="str">
        <f t="shared" si="1"/>
        <v/>
      </c>
      <c r="G29" s="129"/>
      <c r="H29" s="129"/>
      <c r="I29" s="133"/>
      <c r="J29" s="129"/>
      <c r="K29" s="133"/>
      <c r="L29" s="129"/>
      <c r="N29" s="133"/>
      <c r="O29" s="134" t="str">
        <f t="shared" si="2"/>
        <v/>
      </c>
      <c r="P29" s="134" t="str">
        <f t="shared" si="3"/>
        <v/>
      </c>
      <c r="Q29" s="137" t="str">
        <f t="shared" si="4"/>
        <v/>
      </c>
    </row>
    <row r="30" spans="1:29" x14ac:dyDescent="0.25">
      <c r="A30" s="133"/>
      <c r="B30" s="129"/>
      <c r="C30" s="129"/>
      <c r="D30" s="129"/>
      <c r="E30" s="134" t="str">
        <f t="shared" si="0"/>
        <v/>
      </c>
      <c r="F30" s="134" t="str">
        <f t="shared" si="1"/>
        <v/>
      </c>
      <c r="G30" s="129"/>
      <c r="H30" s="129"/>
      <c r="I30" s="133"/>
      <c r="J30" s="129"/>
      <c r="K30" s="133"/>
      <c r="L30" s="129"/>
      <c r="N30" s="133"/>
      <c r="O30" s="134" t="str">
        <f t="shared" si="2"/>
        <v/>
      </c>
      <c r="P30" s="134" t="str">
        <f t="shared" si="3"/>
        <v/>
      </c>
      <c r="Q30" s="137" t="str">
        <f t="shared" si="4"/>
        <v/>
      </c>
    </row>
    <row r="31" spans="1:29" x14ac:dyDescent="0.25">
      <c r="A31" s="133"/>
      <c r="B31" s="129"/>
      <c r="C31" s="129"/>
      <c r="D31" s="129"/>
      <c r="E31" s="134" t="str">
        <f t="shared" si="0"/>
        <v/>
      </c>
      <c r="F31" s="134" t="str">
        <f t="shared" si="1"/>
        <v/>
      </c>
      <c r="G31" s="129"/>
      <c r="H31" s="129"/>
      <c r="I31" s="133"/>
      <c r="J31" s="129"/>
      <c r="K31" s="133"/>
      <c r="L31" s="129"/>
      <c r="N31" s="133"/>
      <c r="O31" s="134" t="str">
        <f t="shared" si="2"/>
        <v/>
      </c>
      <c r="P31" s="134" t="str">
        <f t="shared" si="3"/>
        <v/>
      </c>
      <c r="Q31" s="137" t="str">
        <f t="shared" si="4"/>
        <v/>
      </c>
    </row>
    <row r="32" spans="1:29" x14ac:dyDescent="0.25">
      <c r="A32" s="133"/>
      <c r="B32" s="129"/>
      <c r="C32" s="129"/>
      <c r="D32" s="129"/>
      <c r="E32" s="134" t="str">
        <f t="shared" si="0"/>
        <v/>
      </c>
      <c r="F32" s="134" t="str">
        <f t="shared" si="1"/>
        <v/>
      </c>
      <c r="G32" s="129"/>
      <c r="H32" s="129"/>
      <c r="I32" s="133"/>
      <c r="J32" s="129"/>
      <c r="K32" s="133"/>
      <c r="L32" s="129"/>
    </row>
    <row r="33" spans="1:12" x14ac:dyDescent="0.25">
      <c r="A33" s="133"/>
      <c r="B33" s="129"/>
      <c r="C33" s="129"/>
      <c r="D33" s="129"/>
      <c r="E33" s="134" t="str">
        <f t="shared" si="0"/>
        <v/>
      </c>
      <c r="F33" s="134" t="str">
        <f t="shared" si="1"/>
        <v/>
      </c>
      <c r="G33" s="129"/>
      <c r="H33" s="129"/>
      <c r="I33" s="133"/>
      <c r="J33" s="129"/>
      <c r="K33" s="133"/>
      <c r="L33" s="129"/>
    </row>
    <row r="34" spans="1:12" x14ac:dyDescent="0.25">
      <c r="A34" s="133"/>
      <c r="B34" s="129"/>
      <c r="C34" s="129"/>
      <c r="D34" s="129"/>
      <c r="E34" s="134" t="str">
        <f t="shared" si="0"/>
        <v/>
      </c>
      <c r="F34" s="134" t="str">
        <f t="shared" si="1"/>
        <v/>
      </c>
      <c r="G34" s="129"/>
      <c r="H34" s="129"/>
      <c r="I34" s="133"/>
      <c r="J34" s="129"/>
      <c r="K34" s="133"/>
      <c r="L34" s="129"/>
    </row>
    <row r="35" spans="1:12" x14ac:dyDescent="0.25">
      <c r="A35" s="133"/>
      <c r="B35" s="129"/>
      <c r="C35" s="129"/>
      <c r="D35" s="129"/>
      <c r="E35" s="134" t="str">
        <f t="shared" si="0"/>
        <v/>
      </c>
      <c r="F35" s="134" t="str">
        <f t="shared" si="1"/>
        <v/>
      </c>
      <c r="G35" s="129"/>
      <c r="H35" s="129"/>
      <c r="I35" s="133"/>
      <c r="J35" s="129"/>
      <c r="K35" s="133"/>
      <c r="L35" s="129"/>
    </row>
    <row r="36" spans="1:12" x14ac:dyDescent="0.25">
      <c r="A36" s="133"/>
      <c r="B36" s="129"/>
      <c r="C36" s="129"/>
      <c r="D36" s="129"/>
      <c r="E36" s="134" t="str">
        <f t="shared" si="0"/>
        <v/>
      </c>
      <c r="F36" s="134" t="str">
        <f t="shared" si="1"/>
        <v/>
      </c>
      <c r="G36" s="129"/>
      <c r="H36" s="129"/>
      <c r="I36" s="133"/>
      <c r="J36" s="129"/>
      <c r="K36" s="133"/>
      <c r="L36" s="129"/>
    </row>
    <row r="37" spans="1:12" x14ac:dyDescent="0.25">
      <c r="A37" s="133"/>
      <c r="B37" s="129"/>
      <c r="C37" s="129"/>
      <c r="D37" s="129"/>
      <c r="E37" s="134" t="str">
        <f t="shared" si="0"/>
        <v/>
      </c>
      <c r="F37" s="134" t="str">
        <f t="shared" si="1"/>
        <v/>
      </c>
      <c r="G37" s="129"/>
      <c r="H37" s="129"/>
      <c r="I37" s="133"/>
      <c r="J37" s="129"/>
      <c r="K37" s="133"/>
      <c r="L37" s="129"/>
    </row>
    <row r="38" spans="1:12" x14ac:dyDescent="0.25">
      <c r="A38" s="133"/>
      <c r="B38" s="129"/>
      <c r="C38" s="129"/>
      <c r="D38" s="129"/>
      <c r="E38" s="134" t="str">
        <f t="shared" si="0"/>
        <v/>
      </c>
      <c r="F38" s="134" t="str">
        <f t="shared" si="1"/>
        <v/>
      </c>
      <c r="G38" s="129"/>
      <c r="H38" s="129"/>
      <c r="I38" s="133"/>
      <c r="J38" s="129"/>
      <c r="K38" s="133"/>
      <c r="L38" s="129"/>
    </row>
    <row r="39" spans="1:12" x14ac:dyDescent="0.25">
      <c r="A39" s="133"/>
      <c r="B39" s="129"/>
      <c r="C39" s="129"/>
      <c r="D39" s="129"/>
      <c r="E39" s="134" t="str">
        <f t="shared" si="0"/>
        <v/>
      </c>
      <c r="F39" s="134" t="str">
        <f t="shared" si="1"/>
        <v/>
      </c>
      <c r="G39" s="129"/>
      <c r="H39" s="129"/>
      <c r="I39" s="133"/>
      <c r="J39" s="129"/>
      <c r="K39" s="133"/>
      <c r="L39" s="129"/>
    </row>
    <row r="40" spans="1:12" x14ac:dyDescent="0.25">
      <c r="A40" s="133"/>
      <c r="B40" s="129"/>
      <c r="C40" s="129"/>
      <c r="D40" s="129"/>
      <c r="E40" s="134" t="str">
        <f t="shared" si="0"/>
        <v/>
      </c>
      <c r="F40" s="134" t="str">
        <f t="shared" si="1"/>
        <v/>
      </c>
      <c r="G40" s="129"/>
      <c r="H40" s="129"/>
      <c r="I40" s="133"/>
      <c r="J40" s="129"/>
      <c r="K40" s="133"/>
      <c r="L40" s="129"/>
    </row>
    <row r="41" spans="1:12" x14ac:dyDescent="0.25">
      <c r="A41" s="133"/>
      <c r="B41" s="129"/>
      <c r="C41" s="129"/>
      <c r="D41" s="129"/>
      <c r="E41" s="134" t="str">
        <f t="shared" si="0"/>
        <v/>
      </c>
      <c r="F41" s="134" t="str">
        <f t="shared" si="1"/>
        <v/>
      </c>
      <c r="G41" s="129"/>
      <c r="H41" s="129"/>
      <c r="I41" s="133"/>
      <c r="J41" s="129"/>
      <c r="K41" s="133"/>
      <c r="L41" s="129"/>
    </row>
    <row r="42" spans="1:12" x14ac:dyDescent="0.25">
      <c r="A42" s="133"/>
      <c r="B42" s="129"/>
      <c r="C42" s="129"/>
      <c r="D42" s="129"/>
      <c r="E42" s="134" t="str">
        <f t="shared" si="0"/>
        <v/>
      </c>
      <c r="F42" s="134" t="str">
        <f t="shared" si="1"/>
        <v/>
      </c>
      <c r="G42" s="129"/>
      <c r="H42" s="129"/>
      <c r="I42" s="133"/>
      <c r="J42" s="129"/>
      <c r="K42" s="133"/>
      <c r="L42" s="129"/>
    </row>
    <row r="43" spans="1:12" x14ac:dyDescent="0.25">
      <c r="A43" s="133"/>
      <c r="B43" s="129"/>
      <c r="C43" s="129"/>
      <c r="D43" s="129"/>
      <c r="E43" s="134" t="str">
        <f t="shared" si="0"/>
        <v/>
      </c>
      <c r="F43" s="134" t="str">
        <f t="shared" si="1"/>
        <v/>
      </c>
      <c r="G43" s="129"/>
      <c r="H43" s="129"/>
      <c r="I43" s="133"/>
      <c r="J43" s="129"/>
      <c r="K43" s="133"/>
      <c r="L43" s="129"/>
    </row>
    <row r="44" spans="1:12" x14ac:dyDescent="0.25">
      <c r="A44" s="133"/>
      <c r="B44" s="129"/>
      <c r="C44" s="129"/>
      <c r="D44" s="129"/>
      <c r="E44" s="134" t="str">
        <f t="shared" si="0"/>
        <v/>
      </c>
      <c r="F44" s="134" t="str">
        <f t="shared" si="1"/>
        <v/>
      </c>
      <c r="G44" s="129"/>
      <c r="H44" s="129"/>
      <c r="I44" s="133"/>
      <c r="J44" s="129"/>
      <c r="K44" s="133"/>
      <c r="L44" s="129"/>
    </row>
    <row r="45" spans="1:12" x14ac:dyDescent="0.25">
      <c r="A45" s="133"/>
      <c r="B45" s="129"/>
      <c r="C45" s="129"/>
      <c r="D45" s="129"/>
      <c r="E45" s="134" t="str">
        <f t="shared" si="0"/>
        <v/>
      </c>
      <c r="F45" s="134" t="str">
        <f t="shared" si="1"/>
        <v/>
      </c>
      <c r="G45" s="129"/>
      <c r="H45" s="129"/>
      <c r="I45" s="133"/>
      <c r="J45" s="129"/>
      <c r="K45" s="133"/>
      <c r="L45" s="129"/>
    </row>
    <row r="46" spans="1:12" x14ac:dyDescent="0.25">
      <c r="A46" s="133"/>
      <c r="B46" s="129"/>
      <c r="C46" s="129"/>
      <c r="D46" s="129"/>
      <c r="E46" s="134" t="str">
        <f t="shared" si="0"/>
        <v/>
      </c>
      <c r="F46" s="134" t="str">
        <f t="shared" si="1"/>
        <v/>
      </c>
      <c r="G46" s="129"/>
      <c r="H46" s="129"/>
      <c r="I46" s="133"/>
      <c r="J46" s="129"/>
      <c r="K46" s="133"/>
      <c r="L46" s="129"/>
    </row>
    <row r="47" spans="1:12" x14ac:dyDescent="0.25">
      <c r="A47" s="133"/>
      <c r="B47" s="129"/>
      <c r="C47" s="129"/>
      <c r="D47" s="129"/>
      <c r="E47" s="134" t="str">
        <f t="shared" si="0"/>
        <v/>
      </c>
      <c r="F47" s="134" t="str">
        <f t="shared" si="1"/>
        <v/>
      </c>
      <c r="G47" s="129"/>
      <c r="H47" s="129"/>
      <c r="I47" s="133"/>
      <c r="J47" s="129"/>
      <c r="K47" s="133"/>
      <c r="L47" s="129"/>
    </row>
    <row r="48" spans="1:12" x14ac:dyDescent="0.25">
      <c r="A48" s="133"/>
      <c r="B48" s="129"/>
      <c r="C48" s="129"/>
      <c r="D48" s="129"/>
      <c r="E48" s="134" t="str">
        <f t="shared" si="0"/>
        <v/>
      </c>
      <c r="F48" s="134" t="str">
        <f t="shared" si="1"/>
        <v/>
      </c>
      <c r="G48" s="129"/>
      <c r="H48" s="129"/>
      <c r="I48" s="133"/>
      <c r="J48" s="129"/>
      <c r="K48" s="133"/>
      <c r="L48" s="129"/>
    </row>
    <row r="49" spans="1:12" x14ac:dyDescent="0.25">
      <c r="A49" s="133"/>
      <c r="B49" s="129"/>
      <c r="C49" s="129"/>
      <c r="D49" s="129"/>
      <c r="E49" s="134" t="str">
        <f t="shared" si="0"/>
        <v/>
      </c>
      <c r="F49" s="134" t="str">
        <f t="shared" si="1"/>
        <v/>
      </c>
      <c r="G49" s="129"/>
      <c r="H49" s="129"/>
      <c r="I49" s="133"/>
      <c r="J49" s="129"/>
      <c r="K49" s="133"/>
      <c r="L49" s="129"/>
    </row>
    <row r="50" spans="1:12" x14ac:dyDescent="0.25">
      <c r="A50" s="133"/>
      <c r="B50" s="129"/>
      <c r="C50" s="129"/>
      <c r="D50" s="129"/>
      <c r="E50" s="134" t="str">
        <f t="shared" si="0"/>
        <v/>
      </c>
      <c r="F50" s="134" t="str">
        <f t="shared" si="1"/>
        <v/>
      </c>
      <c r="G50" s="129"/>
      <c r="H50" s="129"/>
      <c r="I50" s="133"/>
      <c r="J50" s="129"/>
      <c r="K50" s="133"/>
      <c r="L50" s="129"/>
    </row>
    <row r="51" spans="1:12" x14ac:dyDescent="0.25">
      <c r="A51" s="133"/>
      <c r="B51" s="129"/>
      <c r="C51" s="129"/>
      <c r="D51" s="129"/>
      <c r="E51" s="134" t="str">
        <f t="shared" si="0"/>
        <v/>
      </c>
      <c r="F51" s="134" t="str">
        <f t="shared" si="1"/>
        <v/>
      </c>
      <c r="G51" s="129"/>
      <c r="H51" s="129"/>
      <c r="I51" s="133"/>
      <c r="J51" s="129"/>
      <c r="K51" s="133"/>
      <c r="L51" s="129"/>
    </row>
    <row r="52" spans="1:12" x14ac:dyDescent="0.25">
      <c r="A52" s="133"/>
      <c r="B52" s="129"/>
      <c r="C52" s="129"/>
      <c r="D52" s="129"/>
      <c r="E52" s="134" t="str">
        <f t="shared" si="0"/>
        <v/>
      </c>
      <c r="F52" s="134" t="str">
        <f t="shared" si="1"/>
        <v/>
      </c>
      <c r="G52" s="129"/>
      <c r="H52" s="129"/>
      <c r="I52" s="133"/>
      <c r="J52" s="129"/>
      <c r="K52" s="133"/>
      <c r="L52" s="129"/>
    </row>
    <row r="53" spans="1:12" x14ac:dyDescent="0.25">
      <c r="A53" s="133"/>
      <c r="B53" s="129"/>
      <c r="C53" s="129"/>
      <c r="D53" s="129"/>
      <c r="E53" s="134" t="str">
        <f t="shared" si="0"/>
        <v/>
      </c>
      <c r="F53" s="134" t="str">
        <f t="shared" si="1"/>
        <v/>
      </c>
      <c r="G53" s="129"/>
      <c r="H53" s="129"/>
      <c r="I53" s="133"/>
      <c r="J53" s="129"/>
      <c r="K53" s="133"/>
      <c r="L53" s="129"/>
    </row>
    <row r="54" spans="1:12" x14ac:dyDescent="0.25">
      <c r="A54" s="133"/>
      <c r="B54" s="129"/>
      <c r="C54" s="129"/>
      <c r="D54" s="129"/>
      <c r="E54" s="134" t="str">
        <f t="shared" si="0"/>
        <v/>
      </c>
      <c r="F54" s="134" t="str">
        <f t="shared" si="1"/>
        <v/>
      </c>
      <c r="G54" s="129"/>
      <c r="H54" s="129"/>
      <c r="I54" s="133"/>
      <c r="J54" s="129"/>
      <c r="K54" s="133"/>
      <c r="L54" s="129"/>
    </row>
    <row r="55" spans="1:12" x14ac:dyDescent="0.25">
      <c r="A55" s="133"/>
      <c r="B55" s="129"/>
      <c r="C55" s="129"/>
      <c r="D55" s="129"/>
      <c r="E55" s="134" t="str">
        <f t="shared" si="0"/>
        <v/>
      </c>
      <c r="F55" s="134" t="str">
        <f t="shared" si="1"/>
        <v/>
      </c>
      <c r="G55" s="129"/>
      <c r="H55" s="129"/>
      <c r="I55" s="133"/>
      <c r="J55" s="129"/>
      <c r="K55" s="133"/>
      <c r="L55" s="129"/>
    </row>
    <row r="56" spans="1:12" x14ac:dyDescent="0.25">
      <c r="A56" s="133"/>
      <c r="B56" s="129"/>
      <c r="C56" s="129"/>
      <c r="D56" s="129"/>
      <c r="E56" s="134" t="str">
        <f t="shared" si="0"/>
        <v/>
      </c>
      <c r="F56" s="134" t="str">
        <f t="shared" si="1"/>
        <v/>
      </c>
      <c r="G56" s="129"/>
      <c r="H56" s="129"/>
      <c r="I56" s="133"/>
      <c r="J56" s="129"/>
      <c r="K56" s="133"/>
      <c r="L56" s="129"/>
    </row>
    <row r="57" spans="1:12" x14ac:dyDescent="0.25">
      <c r="A57" s="133"/>
      <c r="B57" s="129"/>
      <c r="C57" s="129"/>
      <c r="D57" s="129"/>
      <c r="E57" s="134" t="str">
        <f t="shared" si="0"/>
        <v/>
      </c>
      <c r="F57" s="134" t="str">
        <f t="shared" si="1"/>
        <v/>
      </c>
      <c r="G57" s="129"/>
      <c r="H57" s="129"/>
      <c r="I57" s="133"/>
      <c r="J57" s="129"/>
      <c r="K57" s="133"/>
      <c r="L57" s="129"/>
    </row>
    <row r="58" spans="1:12" x14ac:dyDescent="0.25">
      <c r="A58" s="133"/>
      <c r="B58" s="129"/>
      <c r="C58" s="129"/>
      <c r="D58" s="129"/>
      <c r="E58" s="134" t="str">
        <f t="shared" si="0"/>
        <v/>
      </c>
      <c r="F58" s="134" t="str">
        <f t="shared" si="1"/>
        <v/>
      </c>
      <c r="G58" s="129"/>
      <c r="H58" s="129"/>
      <c r="I58" s="133"/>
      <c r="J58" s="129"/>
      <c r="K58" s="133"/>
      <c r="L58" s="129"/>
    </row>
    <row r="59" spans="1:12" x14ac:dyDescent="0.25">
      <c r="A59" s="133"/>
      <c r="B59" s="129"/>
      <c r="C59" s="129"/>
      <c r="D59" s="129"/>
      <c r="E59" s="134" t="str">
        <f t="shared" si="0"/>
        <v/>
      </c>
      <c r="F59" s="134" t="str">
        <f t="shared" si="1"/>
        <v/>
      </c>
      <c r="G59" s="129"/>
      <c r="H59" s="129"/>
      <c r="I59" s="133"/>
      <c r="J59" s="129"/>
      <c r="K59" s="133"/>
      <c r="L59" s="129"/>
    </row>
    <row r="60" spans="1:12" x14ac:dyDescent="0.25">
      <c r="A60" s="133"/>
      <c r="B60" s="129"/>
      <c r="C60" s="129"/>
      <c r="D60" s="129"/>
      <c r="E60" s="134" t="str">
        <f t="shared" si="0"/>
        <v/>
      </c>
      <c r="F60" s="134" t="str">
        <f t="shared" si="1"/>
        <v/>
      </c>
      <c r="G60" s="129"/>
      <c r="H60" s="129"/>
      <c r="I60" s="133"/>
      <c r="J60" s="129"/>
      <c r="K60" s="133"/>
      <c r="L60" s="129"/>
    </row>
    <row r="61" spans="1:12" x14ac:dyDescent="0.25">
      <c r="A61" s="133"/>
      <c r="B61" s="129"/>
      <c r="C61" s="129"/>
      <c r="D61" s="129"/>
      <c r="E61" s="134" t="str">
        <f t="shared" si="0"/>
        <v/>
      </c>
      <c r="F61" s="134" t="str">
        <f t="shared" si="1"/>
        <v/>
      </c>
      <c r="G61" s="129"/>
      <c r="H61" s="129"/>
      <c r="I61" s="133"/>
      <c r="J61" s="129"/>
      <c r="K61" s="133"/>
      <c r="L61" s="129"/>
    </row>
    <row r="62" spans="1:12" x14ac:dyDescent="0.25">
      <c r="A62" s="133"/>
      <c r="B62" s="129"/>
      <c r="C62" s="129"/>
      <c r="D62" s="129"/>
      <c r="E62" s="134" t="str">
        <f t="shared" si="0"/>
        <v/>
      </c>
      <c r="F62" s="134" t="str">
        <f t="shared" si="1"/>
        <v/>
      </c>
      <c r="G62" s="129"/>
      <c r="H62" s="129"/>
      <c r="I62" s="133"/>
      <c r="J62" s="129"/>
      <c r="K62" s="133"/>
      <c r="L62" s="129"/>
    </row>
    <row r="63" spans="1:12" x14ac:dyDescent="0.25">
      <c r="A63" s="133"/>
      <c r="B63" s="129"/>
      <c r="C63" s="129"/>
      <c r="D63" s="129"/>
      <c r="E63" s="134" t="str">
        <f t="shared" si="0"/>
        <v/>
      </c>
      <c r="F63" s="134" t="str">
        <f t="shared" si="1"/>
        <v/>
      </c>
      <c r="G63" s="129"/>
      <c r="H63" s="129"/>
      <c r="I63" s="133"/>
      <c r="J63" s="129"/>
      <c r="K63" s="133"/>
      <c r="L63" s="129"/>
    </row>
    <row r="64" spans="1:12" x14ac:dyDescent="0.25">
      <c r="A64" s="133"/>
      <c r="B64" s="129"/>
      <c r="C64" s="129"/>
      <c r="D64" s="129"/>
      <c r="E64" s="134" t="str">
        <f t="shared" si="0"/>
        <v/>
      </c>
      <c r="F64" s="134" t="str">
        <f t="shared" si="1"/>
        <v/>
      </c>
      <c r="G64" s="129"/>
      <c r="H64" s="129"/>
      <c r="I64" s="133"/>
      <c r="J64" s="129"/>
      <c r="K64" s="133"/>
      <c r="L64" s="129"/>
    </row>
    <row r="65" spans="1:12" x14ac:dyDescent="0.25">
      <c r="A65" s="133"/>
      <c r="B65" s="129"/>
      <c r="C65" s="129"/>
      <c r="D65" s="129"/>
      <c r="E65" s="134" t="str">
        <f t="shared" si="0"/>
        <v/>
      </c>
      <c r="F65" s="134" t="str">
        <f t="shared" si="1"/>
        <v/>
      </c>
      <c r="G65" s="129"/>
      <c r="H65" s="129"/>
      <c r="I65" s="133"/>
      <c r="J65" s="129"/>
      <c r="K65" s="133"/>
      <c r="L65" s="129"/>
    </row>
    <row r="66" spans="1:12" x14ac:dyDescent="0.25">
      <c r="A66" s="133"/>
      <c r="B66" s="129"/>
      <c r="C66" s="129"/>
      <c r="D66" s="129"/>
      <c r="E66" s="134" t="str">
        <f t="shared" si="0"/>
        <v/>
      </c>
      <c r="F66" s="134" t="str">
        <f t="shared" si="1"/>
        <v/>
      </c>
      <c r="G66" s="129"/>
      <c r="H66" s="129"/>
      <c r="I66" s="133"/>
      <c r="J66" s="129"/>
      <c r="K66" s="133"/>
      <c r="L66" s="129"/>
    </row>
    <row r="67" spans="1:12" x14ac:dyDescent="0.25">
      <c r="A67" s="133"/>
      <c r="B67" s="129"/>
      <c r="C67" s="129"/>
      <c r="D67" s="129"/>
      <c r="E67" s="134" t="str">
        <f t="shared" si="0"/>
        <v/>
      </c>
      <c r="F67" s="134" t="str">
        <f t="shared" si="1"/>
        <v/>
      </c>
      <c r="G67" s="129"/>
      <c r="H67" s="129"/>
      <c r="I67" s="133"/>
      <c r="J67" s="129"/>
      <c r="K67" s="133"/>
      <c r="L67" s="129"/>
    </row>
    <row r="68" spans="1:12" x14ac:dyDescent="0.25">
      <c r="A68" s="133"/>
      <c r="B68" s="129"/>
      <c r="C68" s="129"/>
      <c r="D68" s="129"/>
      <c r="E68" s="134" t="str">
        <f t="shared" si="0"/>
        <v/>
      </c>
      <c r="F68" s="134" t="str">
        <f t="shared" si="1"/>
        <v/>
      </c>
      <c r="G68" s="129"/>
      <c r="H68" s="129"/>
      <c r="I68" s="133"/>
      <c r="J68" s="129"/>
      <c r="K68" s="133"/>
      <c r="L68" s="129"/>
    </row>
    <row r="69" spans="1:12" x14ac:dyDescent="0.25">
      <c r="A69" s="133"/>
      <c r="B69" s="129"/>
      <c r="C69" s="129"/>
      <c r="D69" s="129"/>
      <c r="E69" s="134" t="str">
        <f t="shared" ref="E69:E132" si="7">IFERROR(IF($D69="","",VLOOKUP($D69,CAD_TAB,8,FALSE)),"")</f>
        <v/>
      </c>
      <c r="F69" s="134" t="str">
        <f t="shared" ref="F69:F132" si="8">IFERROR(IF($D69="","",VLOOKUP($D69,CAD_TAB,9,FALSE)),"")</f>
        <v/>
      </c>
      <c r="G69" s="129"/>
      <c r="H69" s="129"/>
      <c r="I69" s="133"/>
      <c r="J69" s="129"/>
      <c r="K69" s="133"/>
      <c r="L69" s="129"/>
    </row>
    <row r="70" spans="1:12" x14ac:dyDescent="0.25">
      <c r="A70" s="133"/>
      <c r="B70" s="129"/>
      <c r="C70" s="129"/>
      <c r="D70" s="129"/>
      <c r="E70" s="134" t="str">
        <f t="shared" si="7"/>
        <v/>
      </c>
      <c r="F70" s="134" t="str">
        <f t="shared" si="8"/>
        <v/>
      </c>
      <c r="G70" s="129"/>
      <c r="H70" s="129"/>
      <c r="I70" s="133"/>
      <c r="J70" s="129"/>
      <c r="K70" s="133"/>
      <c r="L70" s="129"/>
    </row>
    <row r="71" spans="1:12" x14ac:dyDescent="0.25">
      <c r="A71" s="133"/>
      <c r="B71" s="129"/>
      <c r="C71" s="129"/>
      <c r="D71" s="129"/>
      <c r="E71" s="134" t="str">
        <f t="shared" si="7"/>
        <v/>
      </c>
      <c r="F71" s="134" t="str">
        <f t="shared" si="8"/>
        <v/>
      </c>
      <c r="G71" s="129"/>
      <c r="H71" s="129"/>
      <c r="I71" s="133"/>
      <c r="J71" s="129"/>
      <c r="K71" s="133"/>
      <c r="L71" s="129"/>
    </row>
    <row r="72" spans="1:12" x14ac:dyDescent="0.25">
      <c r="A72" s="133"/>
      <c r="B72" s="129"/>
      <c r="C72" s="129"/>
      <c r="D72" s="129"/>
      <c r="E72" s="134" t="str">
        <f t="shared" si="7"/>
        <v/>
      </c>
      <c r="F72" s="134" t="str">
        <f t="shared" si="8"/>
        <v/>
      </c>
      <c r="G72" s="129"/>
      <c r="H72" s="129"/>
      <c r="I72" s="133"/>
      <c r="J72" s="129"/>
      <c r="K72" s="133"/>
      <c r="L72" s="129"/>
    </row>
    <row r="73" spans="1:12" x14ac:dyDescent="0.25">
      <c r="A73" s="133"/>
      <c r="B73" s="129"/>
      <c r="C73" s="129"/>
      <c r="D73" s="129"/>
      <c r="E73" s="134" t="str">
        <f t="shared" si="7"/>
        <v/>
      </c>
      <c r="F73" s="134" t="str">
        <f t="shared" si="8"/>
        <v/>
      </c>
      <c r="G73" s="129"/>
      <c r="H73" s="129"/>
      <c r="I73" s="133"/>
      <c r="J73" s="129"/>
      <c r="K73" s="133"/>
      <c r="L73" s="129"/>
    </row>
    <row r="74" spans="1:12" x14ac:dyDescent="0.25">
      <c r="A74" s="133"/>
      <c r="B74" s="129"/>
      <c r="C74" s="129"/>
      <c r="D74" s="129"/>
      <c r="E74" s="134" t="str">
        <f t="shared" si="7"/>
        <v/>
      </c>
      <c r="F74" s="134" t="str">
        <f t="shared" si="8"/>
        <v/>
      </c>
      <c r="G74" s="129"/>
      <c r="H74" s="129"/>
      <c r="I74" s="133"/>
      <c r="J74" s="129"/>
      <c r="K74" s="133"/>
      <c r="L74" s="129"/>
    </row>
    <row r="75" spans="1:12" x14ac:dyDescent="0.25">
      <c r="A75" s="133"/>
      <c r="B75" s="129"/>
      <c r="C75" s="129"/>
      <c r="D75" s="129"/>
      <c r="E75" s="134" t="str">
        <f t="shared" si="7"/>
        <v/>
      </c>
      <c r="F75" s="134" t="str">
        <f t="shared" si="8"/>
        <v/>
      </c>
      <c r="G75" s="129"/>
      <c r="H75" s="129"/>
      <c r="I75" s="133"/>
      <c r="J75" s="129"/>
      <c r="K75" s="133"/>
      <c r="L75" s="129"/>
    </row>
    <row r="76" spans="1:12" x14ac:dyDescent="0.25">
      <c r="A76" s="133"/>
      <c r="B76" s="129"/>
      <c r="C76" s="129"/>
      <c r="D76" s="129"/>
      <c r="E76" s="134" t="str">
        <f t="shared" si="7"/>
        <v/>
      </c>
      <c r="F76" s="134" t="str">
        <f t="shared" si="8"/>
        <v/>
      </c>
      <c r="G76" s="129"/>
      <c r="H76" s="129"/>
      <c r="I76" s="133"/>
      <c r="J76" s="129"/>
      <c r="K76" s="133"/>
      <c r="L76" s="129"/>
    </row>
    <row r="77" spans="1:12" x14ac:dyDescent="0.25">
      <c r="A77" s="133"/>
      <c r="B77" s="129"/>
      <c r="C77" s="129"/>
      <c r="D77" s="129"/>
      <c r="E77" s="134" t="str">
        <f t="shared" si="7"/>
        <v/>
      </c>
      <c r="F77" s="134" t="str">
        <f t="shared" si="8"/>
        <v/>
      </c>
      <c r="G77" s="129"/>
      <c r="H77" s="129"/>
      <c r="I77" s="133"/>
      <c r="J77" s="129"/>
      <c r="K77" s="133"/>
      <c r="L77" s="129"/>
    </row>
    <row r="78" spans="1:12" x14ac:dyDescent="0.25">
      <c r="A78" s="133"/>
      <c r="B78" s="129"/>
      <c r="C78" s="129"/>
      <c r="D78" s="129"/>
      <c r="E78" s="134" t="str">
        <f t="shared" si="7"/>
        <v/>
      </c>
      <c r="F78" s="134" t="str">
        <f t="shared" si="8"/>
        <v/>
      </c>
      <c r="G78" s="129"/>
      <c r="H78" s="129"/>
      <c r="I78" s="133"/>
      <c r="J78" s="129"/>
      <c r="K78" s="133"/>
      <c r="L78" s="129"/>
    </row>
    <row r="79" spans="1:12" x14ac:dyDescent="0.25">
      <c r="A79" s="133"/>
      <c r="B79" s="129"/>
      <c r="C79" s="129"/>
      <c r="D79" s="129"/>
      <c r="E79" s="134" t="str">
        <f t="shared" si="7"/>
        <v/>
      </c>
      <c r="F79" s="134" t="str">
        <f t="shared" si="8"/>
        <v/>
      </c>
      <c r="G79" s="129"/>
      <c r="H79" s="129"/>
      <c r="I79" s="133"/>
      <c r="J79" s="129"/>
      <c r="K79" s="133"/>
      <c r="L79" s="129"/>
    </row>
    <row r="80" spans="1:12" x14ac:dyDescent="0.25">
      <c r="A80" s="133"/>
      <c r="B80" s="129"/>
      <c r="C80" s="129"/>
      <c r="D80" s="129"/>
      <c r="E80" s="134" t="str">
        <f t="shared" si="7"/>
        <v/>
      </c>
      <c r="F80" s="134" t="str">
        <f t="shared" si="8"/>
        <v/>
      </c>
      <c r="G80" s="129"/>
      <c r="H80" s="129"/>
      <c r="I80" s="133"/>
      <c r="J80" s="129"/>
      <c r="K80" s="133"/>
      <c r="L80" s="129"/>
    </row>
    <row r="81" spans="1:12" x14ac:dyDescent="0.25">
      <c r="A81" s="133"/>
      <c r="B81" s="129"/>
      <c r="C81" s="129"/>
      <c r="D81" s="129"/>
      <c r="E81" s="134" t="str">
        <f t="shared" si="7"/>
        <v/>
      </c>
      <c r="F81" s="134" t="str">
        <f t="shared" si="8"/>
        <v/>
      </c>
      <c r="G81" s="129"/>
      <c r="H81" s="129"/>
      <c r="I81" s="133"/>
      <c r="J81" s="129"/>
      <c r="K81" s="133"/>
      <c r="L81" s="129"/>
    </row>
    <row r="82" spans="1:12" x14ac:dyDescent="0.25">
      <c r="A82" s="133"/>
      <c r="B82" s="129"/>
      <c r="C82" s="129"/>
      <c r="D82" s="129"/>
      <c r="E82" s="134" t="str">
        <f t="shared" si="7"/>
        <v/>
      </c>
      <c r="F82" s="134" t="str">
        <f t="shared" si="8"/>
        <v/>
      </c>
      <c r="G82" s="129"/>
      <c r="H82" s="129"/>
      <c r="I82" s="133"/>
      <c r="J82" s="129"/>
      <c r="K82" s="133"/>
      <c r="L82" s="129"/>
    </row>
    <row r="83" spans="1:12" x14ac:dyDescent="0.25">
      <c r="A83" s="133"/>
      <c r="B83" s="129"/>
      <c r="C83" s="129"/>
      <c r="D83" s="129"/>
      <c r="E83" s="134" t="str">
        <f t="shared" si="7"/>
        <v/>
      </c>
      <c r="F83" s="134" t="str">
        <f t="shared" si="8"/>
        <v/>
      </c>
      <c r="G83" s="129"/>
      <c r="H83" s="129"/>
      <c r="I83" s="133"/>
      <c r="J83" s="129"/>
      <c r="K83" s="133"/>
      <c r="L83" s="129"/>
    </row>
    <row r="84" spans="1:12" x14ac:dyDescent="0.25">
      <c r="A84" s="133"/>
      <c r="B84" s="129"/>
      <c r="C84" s="129"/>
      <c r="D84" s="129"/>
      <c r="E84" s="134" t="str">
        <f t="shared" si="7"/>
        <v/>
      </c>
      <c r="F84" s="134" t="str">
        <f t="shared" si="8"/>
        <v/>
      </c>
      <c r="G84" s="129"/>
      <c r="H84" s="129"/>
      <c r="I84" s="133"/>
      <c r="J84" s="129"/>
      <c r="K84" s="133"/>
      <c r="L84" s="129"/>
    </row>
    <row r="85" spans="1:12" x14ac:dyDescent="0.25">
      <c r="A85" s="133"/>
      <c r="B85" s="129"/>
      <c r="C85" s="129"/>
      <c r="D85" s="129"/>
      <c r="E85" s="134" t="str">
        <f t="shared" si="7"/>
        <v/>
      </c>
      <c r="F85" s="134" t="str">
        <f t="shared" si="8"/>
        <v/>
      </c>
      <c r="G85" s="129"/>
      <c r="H85" s="129"/>
      <c r="I85" s="133"/>
      <c r="J85" s="129"/>
      <c r="K85" s="133"/>
      <c r="L85" s="129"/>
    </row>
    <row r="86" spans="1:12" x14ac:dyDescent="0.25">
      <c r="A86" s="133"/>
      <c r="B86" s="129"/>
      <c r="C86" s="129"/>
      <c r="D86" s="129"/>
      <c r="E86" s="134" t="str">
        <f t="shared" si="7"/>
        <v/>
      </c>
      <c r="F86" s="134" t="str">
        <f t="shared" si="8"/>
        <v/>
      </c>
      <c r="G86" s="129"/>
      <c r="H86" s="129"/>
      <c r="I86" s="133"/>
      <c r="J86" s="129"/>
      <c r="K86" s="133"/>
      <c r="L86" s="129"/>
    </row>
    <row r="87" spans="1:12" x14ac:dyDescent="0.25">
      <c r="A87" s="133"/>
      <c r="B87" s="129"/>
      <c r="C87" s="129"/>
      <c r="D87" s="129"/>
      <c r="E87" s="134" t="str">
        <f t="shared" si="7"/>
        <v/>
      </c>
      <c r="F87" s="134" t="str">
        <f t="shared" si="8"/>
        <v/>
      </c>
      <c r="G87" s="129"/>
      <c r="H87" s="129"/>
      <c r="I87" s="133"/>
      <c r="J87" s="129"/>
      <c r="K87" s="133"/>
      <c r="L87" s="129"/>
    </row>
    <row r="88" spans="1:12" x14ac:dyDescent="0.25">
      <c r="A88" s="133"/>
      <c r="B88" s="129"/>
      <c r="C88" s="129"/>
      <c r="D88" s="129"/>
      <c r="E88" s="134" t="str">
        <f t="shared" si="7"/>
        <v/>
      </c>
      <c r="F88" s="134" t="str">
        <f t="shared" si="8"/>
        <v/>
      </c>
      <c r="G88" s="129"/>
      <c r="H88" s="129"/>
      <c r="I88" s="133"/>
      <c r="J88" s="129"/>
      <c r="K88" s="133"/>
      <c r="L88" s="129"/>
    </row>
    <row r="89" spans="1:12" x14ac:dyDescent="0.25">
      <c r="A89" s="133"/>
      <c r="B89" s="129"/>
      <c r="C89" s="129"/>
      <c r="D89" s="129"/>
      <c r="E89" s="134" t="str">
        <f t="shared" si="7"/>
        <v/>
      </c>
      <c r="F89" s="134" t="str">
        <f t="shared" si="8"/>
        <v/>
      </c>
      <c r="G89" s="129"/>
      <c r="H89" s="129"/>
      <c r="I89" s="133"/>
      <c r="J89" s="129"/>
      <c r="K89" s="133"/>
      <c r="L89" s="129"/>
    </row>
    <row r="90" spans="1:12" x14ac:dyDescent="0.25">
      <c r="A90" s="133"/>
      <c r="B90" s="129"/>
      <c r="C90" s="129"/>
      <c r="D90" s="129"/>
      <c r="E90" s="134" t="str">
        <f t="shared" si="7"/>
        <v/>
      </c>
      <c r="F90" s="134" t="str">
        <f t="shared" si="8"/>
        <v/>
      </c>
      <c r="G90" s="129"/>
      <c r="H90" s="129"/>
      <c r="I90" s="133"/>
      <c r="J90" s="129"/>
      <c r="K90" s="133"/>
      <c r="L90" s="129"/>
    </row>
    <row r="91" spans="1:12" x14ac:dyDescent="0.25">
      <c r="A91" s="133"/>
      <c r="B91" s="129"/>
      <c r="C91" s="129"/>
      <c r="D91" s="129"/>
      <c r="E91" s="134" t="str">
        <f t="shared" si="7"/>
        <v/>
      </c>
      <c r="F91" s="134" t="str">
        <f t="shared" si="8"/>
        <v/>
      </c>
      <c r="G91" s="129"/>
      <c r="H91" s="129"/>
      <c r="I91" s="133"/>
      <c r="J91" s="129"/>
      <c r="K91" s="133"/>
      <c r="L91" s="129"/>
    </row>
    <row r="92" spans="1:12" x14ac:dyDescent="0.25">
      <c r="A92" s="133"/>
      <c r="B92" s="129"/>
      <c r="C92" s="129"/>
      <c r="D92" s="129"/>
      <c r="E92" s="134" t="str">
        <f t="shared" si="7"/>
        <v/>
      </c>
      <c r="F92" s="134" t="str">
        <f t="shared" si="8"/>
        <v/>
      </c>
      <c r="G92" s="129"/>
      <c r="H92" s="129"/>
      <c r="I92" s="133"/>
      <c r="J92" s="129"/>
      <c r="K92" s="133"/>
      <c r="L92" s="129"/>
    </row>
    <row r="93" spans="1:12" x14ac:dyDescent="0.25">
      <c r="A93" s="133"/>
      <c r="B93" s="129"/>
      <c r="C93" s="129"/>
      <c r="D93" s="129"/>
      <c r="E93" s="134" t="str">
        <f t="shared" si="7"/>
        <v/>
      </c>
      <c r="F93" s="134" t="str">
        <f t="shared" si="8"/>
        <v/>
      </c>
      <c r="G93" s="129"/>
      <c r="H93" s="129"/>
      <c r="I93" s="133"/>
      <c r="J93" s="129"/>
      <c r="K93" s="133"/>
      <c r="L93" s="129"/>
    </row>
    <row r="94" spans="1:12" x14ac:dyDescent="0.25">
      <c r="A94" s="133"/>
      <c r="B94" s="129"/>
      <c r="C94" s="129"/>
      <c r="D94" s="129"/>
      <c r="E94" s="134" t="str">
        <f t="shared" si="7"/>
        <v/>
      </c>
      <c r="F94" s="134" t="str">
        <f t="shared" si="8"/>
        <v/>
      </c>
      <c r="G94" s="129"/>
      <c r="H94" s="129"/>
      <c r="I94" s="133"/>
      <c r="J94" s="129"/>
      <c r="K94" s="133"/>
      <c r="L94" s="129"/>
    </row>
    <row r="95" spans="1:12" x14ac:dyDescent="0.25">
      <c r="A95" s="133"/>
      <c r="B95" s="129"/>
      <c r="C95" s="129"/>
      <c r="D95" s="129"/>
      <c r="E95" s="134" t="str">
        <f t="shared" si="7"/>
        <v/>
      </c>
      <c r="F95" s="134" t="str">
        <f t="shared" si="8"/>
        <v/>
      </c>
      <c r="G95" s="129"/>
      <c r="H95" s="129"/>
      <c r="I95" s="133"/>
      <c r="J95" s="129"/>
      <c r="K95" s="133"/>
      <c r="L95" s="129"/>
    </row>
    <row r="96" spans="1:12" x14ac:dyDescent="0.25">
      <c r="A96" s="133"/>
      <c r="B96" s="129"/>
      <c r="C96" s="129"/>
      <c r="D96" s="129"/>
      <c r="E96" s="134" t="str">
        <f t="shared" si="7"/>
        <v/>
      </c>
      <c r="F96" s="134" t="str">
        <f t="shared" si="8"/>
        <v/>
      </c>
      <c r="G96" s="129"/>
      <c r="H96" s="129"/>
      <c r="I96" s="133"/>
      <c r="J96" s="129"/>
      <c r="K96" s="133"/>
      <c r="L96" s="129"/>
    </row>
    <row r="97" spans="1:12" x14ac:dyDescent="0.25">
      <c r="A97" s="133"/>
      <c r="B97" s="129"/>
      <c r="C97" s="129"/>
      <c r="D97" s="129"/>
      <c r="E97" s="134" t="str">
        <f t="shared" si="7"/>
        <v/>
      </c>
      <c r="F97" s="134" t="str">
        <f t="shared" si="8"/>
        <v/>
      </c>
      <c r="G97" s="129"/>
      <c r="H97" s="129"/>
      <c r="I97" s="133"/>
      <c r="J97" s="129"/>
      <c r="K97" s="133"/>
      <c r="L97" s="129"/>
    </row>
    <row r="98" spans="1:12" x14ac:dyDescent="0.25">
      <c r="A98" s="133"/>
      <c r="B98" s="129"/>
      <c r="C98" s="129"/>
      <c r="D98" s="129"/>
      <c r="E98" s="134" t="str">
        <f t="shared" si="7"/>
        <v/>
      </c>
      <c r="F98" s="134" t="str">
        <f t="shared" si="8"/>
        <v/>
      </c>
      <c r="G98" s="129"/>
      <c r="H98" s="129"/>
      <c r="I98" s="133"/>
      <c r="J98" s="129"/>
      <c r="K98" s="133"/>
      <c r="L98" s="129"/>
    </row>
    <row r="99" spans="1:12" x14ac:dyDescent="0.25">
      <c r="A99" s="133"/>
      <c r="B99" s="129"/>
      <c r="C99" s="129"/>
      <c r="D99" s="129"/>
      <c r="E99" s="134" t="str">
        <f t="shared" si="7"/>
        <v/>
      </c>
      <c r="F99" s="134" t="str">
        <f t="shared" si="8"/>
        <v/>
      </c>
      <c r="G99" s="129"/>
      <c r="H99" s="129"/>
      <c r="I99" s="133"/>
      <c r="J99" s="129"/>
      <c r="K99" s="133"/>
      <c r="L99" s="129"/>
    </row>
    <row r="100" spans="1:12" x14ac:dyDescent="0.25">
      <c r="A100" s="133"/>
      <c r="B100" s="129"/>
      <c r="C100" s="129"/>
      <c r="D100" s="129"/>
      <c r="E100" s="134" t="str">
        <f t="shared" si="7"/>
        <v/>
      </c>
      <c r="F100" s="134" t="str">
        <f t="shared" si="8"/>
        <v/>
      </c>
      <c r="G100" s="129"/>
      <c r="H100" s="129"/>
      <c r="I100" s="133"/>
      <c r="J100" s="129"/>
      <c r="K100" s="133"/>
      <c r="L100" s="129"/>
    </row>
    <row r="101" spans="1:12" x14ac:dyDescent="0.25">
      <c r="A101" s="133"/>
      <c r="B101" s="129"/>
      <c r="C101" s="129"/>
      <c r="D101" s="129"/>
      <c r="E101" s="134" t="str">
        <f t="shared" si="7"/>
        <v/>
      </c>
      <c r="F101" s="134" t="str">
        <f t="shared" si="8"/>
        <v/>
      </c>
      <c r="G101" s="129"/>
      <c r="H101" s="129"/>
      <c r="I101" s="133"/>
      <c r="J101" s="129"/>
      <c r="K101" s="133"/>
      <c r="L101" s="129"/>
    </row>
    <row r="102" spans="1:12" x14ac:dyDescent="0.25">
      <c r="A102" s="133"/>
      <c r="B102" s="129"/>
      <c r="C102" s="129"/>
      <c r="D102" s="129"/>
      <c r="E102" s="134" t="str">
        <f t="shared" si="7"/>
        <v/>
      </c>
      <c r="F102" s="134" t="str">
        <f t="shared" si="8"/>
        <v/>
      </c>
      <c r="G102" s="129"/>
      <c r="H102" s="129"/>
      <c r="I102" s="133"/>
      <c r="J102" s="129"/>
      <c r="K102" s="133"/>
      <c r="L102" s="129"/>
    </row>
    <row r="103" spans="1:12" x14ac:dyDescent="0.25">
      <c r="A103" s="133"/>
      <c r="B103" s="129"/>
      <c r="C103" s="129"/>
      <c r="D103" s="129"/>
      <c r="E103" s="134" t="str">
        <f t="shared" si="7"/>
        <v/>
      </c>
      <c r="F103" s="134" t="str">
        <f t="shared" si="8"/>
        <v/>
      </c>
      <c r="G103" s="129"/>
      <c r="H103" s="129"/>
      <c r="I103" s="133"/>
      <c r="J103" s="129"/>
      <c r="K103" s="133"/>
      <c r="L103" s="129"/>
    </row>
    <row r="104" spans="1:12" x14ac:dyDescent="0.25">
      <c r="A104" s="133"/>
      <c r="B104" s="129"/>
      <c r="C104" s="129"/>
      <c r="D104" s="129"/>
      <c r="E104" s="134" t="str">
        <f t="shared" si="7"/>
        <v/>
      </c>
      <c r="F104" s="134" t="str">
        <f t="shared" si="8"/>
        <v/>
      </c>
      <c r="G104" s="129"/>
      <c r="H104" s="129"/>
      <c r="I104" s="133"/>
      <c r="J104" s="129"/>
      <c r="K104" s="133"/>
      <c r="L104" s="129"/>
    </row>
    <row r="105" spans="1:12" x14ac:dyDescent="0.25">
      <c r="A105" s="133"/>
      <c r="B105" s="129"/>
      <c r="C105" s="129"/>
      <c r="D105" s="129"/>
      <c r="E105" s="134" t="str">
        <f t="shared" si="7"/>
        <v/>
      </c>
      <c r="F105" s="134" t="str">
        <f t="shared" si="8"/>
        <v/>
      </c>
      <c r="G105" s="129"/>
      <c r="H105" s="129"/>
      <c r="I105" s="133"/>
      <c r="J105" s="129"/>
      <c r="K105" s="133"/>
      <c r="L105" s="129"/>
    </row>
    <row r="106" spans="1:12" x14ac:dyDescent="0.25">
      <c r="A106" s="133"/>
      <c r="B106" s="129"/>
      <c r="C106" s="129"/>
      <c r="D106" s="129"/>
      <c r="E106" s="134" t="str">
        <f t="shared" si="7"/>
        <v/>
      </c>
      <c r="F106" s="134" t="str">
        <f t="shared" si="8"/>
        <v/>
      </c>
      <c r="G106" s="129"/>
      <c r="H106" s="129"/>
      <c r="I106" s="133"/>
      <c r="J106" s="129"/>
      <c r="K106" s="133"/>
      <c r="L106" s="129"/>
    </row>
    <row r="107" spans="1:12" x14ac:dyDescent="0.25">
      <c r="A107" s="133"/>
      <c r="B107" s="129"/>
      <c r="C107" s="129"/>
      <c r="D107" s="129"/>
      <c r="E107" s="134" t="str">
        <f t="shared" si="7"/>
        <v/>
      </c>
      <c r="F107" s="134" t="str">
        <f t="shared" si="8"/>
        <v/>
      </c>
      <c r="G107" s="129"/>
      <c r="H107" s="129"/>
      <c r="I107" s="133"/>
      <c r="J107" s="129"/>
      <c r="K107" s="133"/>
      <c r="L107" s="129"/>
    </row>
    <row r="108" spans="1:12" x14ac:dyDescent="0.25">
      <c r="A108" s="133"/>
      <c r="B108" s="129"/>
      <c r="C108" s="129"/>
      <c r="D108" s="129"/>
      <c r="E108" s="134" t="str">
        <f t="shared" si="7"/>
        <v/>
      </c>
      <c r="F108" s="134" t="str">
        <f t="shared" si="8"/>
        <v/>
      </c>
      <c r="G108" s="129"/>
      <c r="H108" s="129"/>
      <c r="I108" s="133"/>
      <c r="J108" s="129"/>
      <c r="K108" s="133"/>
      <c r="L108" s="129"/>
    </row>
    <row r="109" spans="1:12" x14ac:dyDescent="0.25">
      <c r="A109" s="133"/>
      <c r="B109" s="129"/>
      <c r="C109" s="129"/>
      <c r="D109" s="129"/>
      <c r="E109" s="134" t="str">
        <f t="shared" si="7"/>
        <v/>
      </c>
      <c r="F109" s="134" t="str">
        <f t="shared" si="8"/>
        <v/>
      </c>
      <c r="G109" s="129"/>
      <c r="H109" s="129"/>
      <c r="I109" s="133"/>
      <c r="J109" s="129"/>
      <c r="K109" s="133"/>
      <c r="L109" s="129"/>
    </row>
    <row r="110" spans="1:12" x14ac:dyDescent="0.25">
      <c r="A110" s="133"/>
      <c r="B110" s="129"/>
      <c r="C110" s="129"/>
      <c r="D110" s="129"/>
      <c r="E110" s="134" t="str">
        <f t="shared" si="7"/>
        <v/>
      </c>
      <c r="F110" s="134" t="str">
        <f t="shared" si="8"/>
        <v/>
      </c>
      <c r="G110" s="129"/>
      <c r="H110" s="129"/>
      <c r="I110" s="133"/>
      <c r="J110" s="129"/>
      <c r="K110" s="133"/>
      <c r="L110" s="129"/>
    </row>
    <row r="111" spans="1:12" x14ac:dyDescent="0.25">
      <c r="A111" s="133"/>
      <c r="B111" s="129"/>
      <c r="C111" s="129"/>
      <c r="D111" s="129"/>
      <c r="E111" s="134" t="str">
        <f t="shared" si="7"/>
        <v/>
      </c>
      <c r="F111" s="134" t="str">
        <f t="shared" si="8"/>
        <v/>
      </c>
      <c r="G111" s="129"/>
      <c r="H111" s="129"/>
      <c r="I111" s="133"/>
      <c r="J111" s="129"/>
      <c r="K111" s="133"/>
      <c r="L111" s="129"/>
    </row>
    <row r="112" spans="1:12" x14ac:dyDescent="0.25">
      <c r="A112" s="133"/>
      <c r="B112" s="129"/>
      <c r="C112" s="129"/>
      <c r="D112" s="129"/>
      <c r="E112" s="134" t="str">
        <f t="shared" si="7"/>
        <v/>
      </c>
      <c r="F112" s="134" t="str">
        <f t="shared" si="8"/>
        <v/>
      </c>
      <c r="G112" s="129"/>
      <c r="H112" s="129"/>
      <c r="I112" s="133"/>
      <c r="J112" s="129"/>
      <c r="K112" s="133"/>
      <c r="L112" s="129"/>
    </row>
    <row r="113" spans="1:12" x14ac:dyDescent="0.25">
      <c r="A113" s="133"/>
      <c r="B113" s="129"/>
      <c r="C113" s="129"/>
      <c r="D113" s="129"/>
      <c r="E113" s="134" t="str">
        <f t="shared" si="7"/>
        <v/>
      </c>
      <c r="F113" s="134" t="str">
        <f t="shared" si="8"/>
        <v/>
      </c>
      <c r="G113" s="129"/>
      <c r="H113" s="129"/>
      <c r="I113" s="133"/>
      <c r="J113" s="129"/>
      <c r="K113" s="133"/>
      <c r="L113" s="129"/>
    </row>
    <row r="114" spans="1:12" x14ac:dyDescent="0.25">
      <c r="A114" s="133"/>
      <c r="B114" s="129"/>
      <c r="C114" s="129"/>
      <c r="D114" s="129"/>
      <c r="E114" s="134" t="str">
        <f t="shared" si="7"/>
        <v/>
      </c>
      <c r="F114" s="134" t="str">
        <f t="shared" si="8"/>
        <v/>
      </c>
      <c r="G114" s="129"/>
      <c r="H114" s="129"/>
      <c r="I114" s="133"/>
      <c r="J114" s="129"/>
      <c r="K114" s="133"/>
      <c r="L114" s="129"/>
    </row>
    <row r="115" spans="1:12" x14ac:dyDescent="0.25">
      <c r="A115" s="133"/>
      <c r="B115" s="129"/>
      <c r="C115" s="129"/>
      <c r="D115" s="129"/>
      <c r="E115" s="134" t="str">
        <f t="shared" si="7"/>
        <v/>
      </c>
      <c r="F115" s="134" t="str">
        <f t="shared" si="8"/>
        <v/>
      </c>
      <c r="G115" s="129"/>
      <c r="H115" s="129"/>
      <c r="I115" s="133"/>
      <c r="J115" s="129"/>
      <c r="K115" s="133"/>
      <c r="L115" s="129"/>
    </row>
    <row r="116" spans="1:12" x14ac:dyDescent="0.25">
      <c r="A116" s="133"/>
      <c r="B116" s="129"/>
      <c r="C116" s="129"/>
      <c r="D116" s="129"/>
      <c r="E116" s="134" t="str">
        <f t="shared" si="7"/>
        <v/>
      </c>
      <c r="F116" s="134" t="str">
        <f t="shared" si="8"/>
        <v/>
      </c>
      <c r="G116" s="129"/>
      <c r="H116" s="129"/>
      <c r="I116" s="133"/>
      <c r="J116" s="129"/>
      <c r="K116" s="133"/>
      <c r="L116" s="129"/>
    </row>
    <row r="117" spans="1:12" x14ac:dyDescent="0.25">
      <c r="A117" s="133"/>
      <c r="B117" s="129"/>
      <c r="C117" s="129"/>
      <c r="D117" s="129"/>
      <c r="E117" s="134" t="str">
        <f t="shared" si="7"/>
        <v/>
      </c>
      <c r="F117" s="134" t="str">
        <f t="shared" si="8"/>
        <v/>
      </c>
      <c r="G117" s="129"/>
      <c r="H117" s="129"/>
      <c r="I117" s="133"/>
      <c r="J117" s="129"/>
      <c r="K117" s="133"/>
      <c r="L117" s="129"/>
    </row>
    <row r="118" spans="1:12" x14ac:dyDescent="0.25">
      <c r="A118" s="133"/>
      <c r="B118" s="129"/>
      <c r="C118" s="129"/>
      <c r="D118" s="129"/>
      <c r="E118" s="134" t="str">
        <f t="shared" si="7"/>
        <v/>
      </c>
      <c r="F118" s="134" t="str">
        <f t="shared" si="8"/>
        <v/>
      </c>
      <c r="G118" s="129"/>
      <c r="H118" s="129"/>
      <c r="I118" s="133"/>
      <c r="J118" s="129"/>
      <c r="K118" s="133"/>
      <c r="L118" s="129"/>
    </row>
    <row r="119" spans="1:12" x14ac:dyDescent="0.25">
      <c r="A119" s="133"/>
      <c r="B119" s="129"/>
      <c r="C119" s="129"/>
      <c r="D119" s="129"/>
      <c r="E119" s="134" t="str">
        <f t="shared" si="7"/>
        <v/>
      </c>
      <c r="F119" s="134" t="str">
        <f t="shared" si="8"/>
        <v/>
      </c>
      <c r="G119" s="129"/>
      <c r="H119" s="129"/>
      <c r="I119" s="133"/>
      <c r="J119" s="129"/>
      <c r="K119" s="133"/>
      <c r="L119" s="129"/>
    </row>
    <row r="120" spans="1:12" x14ac:dyDescent="0.25">
      <c r="A120" s="133"/>
      <c r="B120" s="129"/>
      <c r="C120" s="129"/>
      <c r="D120" s="129"/>
      <c r="E120" s="134" t="str">
        <f t="shared" si="7"/>
        <v/>
      </c>
      <c r="F120" s="134" t="str">
        <f t="shared" si="8"/>
        <v/>
      </c>
      <c r="G120" s="129"/>
      <c r="H120" s="129"/>
      <c r="I120" s="133"/>
      <c r="J120" s="129"/>
      <c r="K120" s="133"/>
      <c r="L120" s="129"/>
    </row>
    <row r="121" spans="1:12" x14ac:dyDescent="0.25">
      <c r="A121" s="133"/>
      <c r="B121" s="129"/>
      <c r="C121" s="129"/>
      <c r="D121" s="129"/>
      <c r="E121" s="134" t="str">
        <f t="shared" si="7"/>
        <v/>
      </c>
      <c r="F121" s="134" t="str">
        <f t="shared" si="8"/>
        <v/>
      </c>
      <c r="G121" s="129"/>
      <c r="H121" s="129"/>
      <c r="I121" s="133"/>
      <c r="J121" s="129"/>
      <c r="K121" s="133"/>
      <c r="L121" s="129"/>
    </row>
    <row r="122" spans="1:12" x14ac:dyDescent="0.25">
      <c r="A122" s="133"/>
      <c r="B122" s="129"/>
      <c r="C122" s="129"/>
      <c r="D122" s="129"/>
      <c r="E122" s="134" t="str">
        <f t="shared" si="7"/>
        <v/>
      </c>
      <c r="F122" s="134" t="str">
        <f t="shared" si="8"/>
        <v/>
      </c>
      <c r="G122" s="129"/>
      <c r="H122" s="129"/>
      <c r="I122" s="133"/>
      <c r="J122" s="129"/>
      <c r="K122" s="133"/>
      <c r="L122" s="129"/>
    </row>
    <row r="123" spans="1:12" x14ac:dyDescent="0.25">
      <c r="A123" s="133"/>
      <c r="B123" s="129"/>
      <c r="C123" s="129"/>
      <c r="D123" s="129"/>
      <c r="E123" s="134" t="str">
        <f t="shared" si="7"/>
        <v/>
      </c>
      <c r="F123" s="134" t="str">
        <f t="shared" si="8"/>
        <v/>
      </c>
      <c r="G123" s="129"/>
      <c r="H123" s="129"/>
      <c r="I123" s="133"/>
      <c r="J123" s="129"/>
      <c r="K123" s="133"/>
      <c r="L123" s="129"/>
    </row>
    <row r="124" spans="1:12" x14ac:dyDescent="0.25">
      <c r="A124" s="133"/>
      <c r="B124" s="129"/>
      <c r="C124" s="129"/>
      <c r="D124" s="129"/>
      <c r="E124" s="134" t="str">
        <f t="shared" si="7"/>
        <v/>
      </c>
      <c r="F124" s="134" t="str">
        <f t="shared" si="8"/>
        <v/>
      </c>
      <c r="G124" s="129"/>
      <c r="H124" s="129"/>
      <c r="I124" s="133"/>
      <c r="J124" s="129"/>
      <c r="K124" s="133"/>
      <c r="L124" s="129"/>
    </row>
    <row r="125" spans="1:12" x14ac:dyDescent="0.25">
      <c r="A125" s="133"/>
      <c r="B125" s="129"/>
      <c r="C125" s="129"/>
      <c r="D125" s="129"/>
      <c r="E125" s="134" t="str">
        <f t="shared" si="7"/>
        <v/>
      </c>
      <c r="F125" s="134" t="str">
        <f t="shared" si="8"/>
        <v/>
      </c>
      <c r="G125" s="129"/>
      <c r="H125" s="129"/>
      <c r="I125" s="133"/>
      <c r="J125" s="129"/>
      <c r="K125" s="133"/>
      <c r="L125" s="129"/>
    </row>
    <row r="126" spans="1:12" x14ac:dyDescent="0.25">
      <c r="A126" s="133"/>
      <c r="B126" s="129"/>
      <c r="C126" s="129"/>
      <c r="D126" s="129"/>
      <c r="E126" s="134" t="str">
        <f t="shared" si="7"/>
        <v/>
      </c>
      <c r="F126" s="134" t="str">
        <f t="shared" si="8"/>
        <v/>
      </c>
      <c r="G126" s="129"/>
      <c r="H126" s="129"/>
      <c r="I126" s="133"/>
      <c r="J126" s="129"/>
      <c r="K126" s="133"/>
      <c r="L126" s="129"/>
    </row>
    <row r="127" spans="1:12" x14ac:dyDescent="0.25">
      <c r="A127" s="133"/>
      <c r="B127" s="129"/>
      <c r="C127" s="129"/>
      <c r="D127" s="129"/>
      <c r="E127" s="134" t="str">
        <f t="shared" si="7"/>
        <v/>
      </c>
      <c r="F127" s="134" t="str">
        <f t="shared" si="8"/>
        <v/>
      </c>
      <c r="G127" s="129"/>
      <c r="H127" s="129"/>
      <c r="I127" s="133"/>
      <c r="J127" s="129"/>
      <c r="K127" s="133"/>
      <c r="L127" s="129"/>
    </row>
    <row r="128" spans="1:12" x14ac:dyDescent="0.25">
      <c r="A128" s="133"/>
      <c r="B128" s="129"/>
      <c r="C128" s="129"/>
      <c r="D128" s="129"/>
      <c r="E128" s="134" t="str">
        <f t="shared" si="7"/>
        <v/>
      </c>
      <c r="F128" s="134" t="str">
        <f t="shared" si="8"/>
        <v/>
      </c>
      <c r="G128" s="129"/>
      <c r="H128" s="129"/>
      <c r="I128" s="133"/>
      <c r="J128" s="129"/>
      <c r="K128" s="133"/>
      <c r="L128" s="129"/>
    </row>
    <row r="129" spans="1:12" x14ac:dyDescent="0.25">
      <c r="A129" s="133"/>
      <c r="B129" s="129"/>
      <c r="C129" s="129"/>
      <c r="D129" s="129"/>
      <c r="E129" s="134" t="str">
        <f t="shared" si="7"/>
        <v/>
      </c>
      <c r="F129" s="134" t="str">
        <f t="shared" si="8"/>
        <v/>
      </c>
      <c r="G129" s="129"/>
      <c r="H129" s="129"/>
      <c r="I129" s="133"/>
      <c r="J129" s="129"/>
      <c r="K129" s="133"/>
      <c r="L129" s="129"/>
    </row>
    <row r="130" spans="1:12" x14ac:dyDescent="0.25">
      <c r="A130" s="133"/>
      <c r="B130" s="129"/>
      <c r="C130" s="129"/>
      <c r="D130" s="129"/>
      <c r="E130" s="134" t="str">
        <f t="shared" si="7"/>
        <v/>
      </c>
      <c r="F130" s="134" t="str">
        <f t="shared" si="8"/>
        <v/>
      </c>
      <c r="G130" s="129"/>
      <c r="H130" s="129"/>
      <c r="I130" s="133"/>
      <c r="J130" s="129"/>
      <c r="K130" s="133"/>
      <c r="L130" s="129"/>
    </row>
    <row r="131" spans="1:12" x14ac:dyDescent="0.25">
      <c r="A131" s="133"/>
      <c r="B131" s="129"/>
      <c r="C131" s="129"/>
      <c r="D131" s="129"/>
      <c r="E131" s="134" t="str">
        <f t="shared" si="7"/>
        <v/>
      </c>
      <c r="F131" s="134" t="str">
        <f t="shared" si="8"/>
        <v/>
      </c>
      <c r="G131" s="129"/>
      <c r="H131" s="129"/>
      <c r="I131" s="133"/>
      <c r="J131" s="129"/>
      <c r="K131" s="133"/>
      <c r="L131" s="129"/>
    </row>
    <row r="132" spans="1:12" x14ac:dyDescent="0.25">
      <c r="A132" s="133"/>
      <c r="B132" s="129"/>
      <c r="C132" s="129"/>
      <c r="D132" s="129"/>
      <c r="E132" s="134" t="str">
        <f t="shared" si="7"/>
        <v/>
      </c>
      <c r="F132" s="134" t="str">
        <f t="shared" si="8"/>
        <v/>
      </c>
      <c r="G132" s="129"/>
      <c r="H132" s="129"/>
      <c r="I132" s="133"/>
      <c r="J132" s="129"/>
      <c r="K132" s="133"/>
      <c r="L132" s="129"/>
    </row>
    <row r="133" spans="1:12" x14ac:dyDescent="0.25">
      <c r="A133" s="133"/>
      <c r="B133" s="129"/>
      <c r="C133" s="129"/>
      <c r="D133" s="129"/>
      <c r="E133" s="134" t="str">
        <f t="shared" ref="E133:E196" si="9">IFERROR(IF($D133="","",VLOOKUP($D133,CAD_TAB,8,FALSE)),"")</f>
        <v/>
      </c>
      <c r="F133" s="134" t="str">
        <f t="shared" ref="F133:F196" si="10">IFERROR(IF($D133="","",VLOOKUP($D133,CAD_TAB,9,FALSE)),"")</f>
        <v/>
      </c>
      <c r="G133" s="129"/>
      <c r="H133" s="129"/>
      <c r="I133" s="133"/>
      <c r="J133" s="129"/>
      <c r="K133" s="133"/>
      <c r="L133" s="129"/>
    </row>
    <row r="134" spans="1:12" x14ac:dyDescent="0.25">
      <c r="A134" s="133"/>
      <c r="B134" s="129"/>
      <c r="C134" s="129"/>
      <c r="D134" s="129"/>
      <c r="E134" s="134" t="str">
        <f t="shared" si="9"/>
        <v/>
      </c>
      <c r="F134" s="134" t="str">
        <f t="shared" si="10"/>
        <v/>
      </c>
      <c r="G134" s="129"/>
      <c r="H134" s="129"/>
      <c r="I134" s="133"/>
      <c r="J134" s="129"/>
      <c r="K134" s="133"/>
      <c r="L134" s="129"/>
    </row>
    <row r="135" spans="1:12" x14ac:dyDescent="0.25">
      <c r="A135" s="133"/>
      <c r="B135" s="129"/>
      <c r="C135" s="129"/>
      <c r="D135" s="129"/>
      <c r="E135" s="134" t="str">
        <f t="shared" si="9"/>
        <v/>
      </c>
      <c r="F135" s="134" t="str">
        <f t="shared" si="10"/>
        <v/>
      </c>
      <c r="G135" s="129"/>
      <c r="H135" s="129"/>
      <c r="I135" s="133"/>
      <c r="J135" s="129"/>
      <c r="K135" s="133"/>
      <c r="L135" s="129"/>
    </row>
    <row r="136" spans="1:12" x14ac:dyDescent="0.25">
      <c r="A136" s="133"/>
      <c r="B136" s="129"/>
      <c r="C136" s="129"/>
      <c r="D136" s="129"/>
      <c r="E136" s="134" t="str">
        <f t="shared" si="9"/>
        <v/>
      </c>
      <c r="F136" s="134" t="str">
        <f t="shared" si="10"/>
        <v/>
      </c>
      <c r="G136" s="129"/>
      <c r="H136" s="129"/>
      <c r="I136" s="133"/>
      <c r="J136" s="129"/>
      <c r="K136" s="133"/>
      <c r="L136" s="129"/>
    </row>
    <row r="137" spans="1:12" x14ac:dyDescent="0.25">
      <c r="A137" s="133"/>
      <c r="B137" s="129"/>
      <c r="C137" s="129"/>
      <c r="D137" s="129"/>
      <c r="E137" s="134" t="str">
        <f t="shared" si="9"/>
        <v/>
      </c>
      <c r="F137" s="134" t="str">
        <f t="shared" si="10"/>
        <v/>
      </c>
      <c r="G137" s="129"/>
      <c r="H137" s="129"/>
      <c r="I137" s="133"/>
      <c r="J137" s="129"/>
      <c r="K137" s="133"/>
      <c r="L137" s="129"/>
    </row>
    <row r="138" spans="1:12" x14ac:dyDescent="0.25">
      <c r="A138" s="133"/>
      <c r="B138" s="129"/>
      <c r="C138" s="129"/>
      <c r="D138" s="129"/>
      <c r="E138" s="134" t="str">
        <f t="shared" si="9"/>
        <v/>
      </c>
      <c r="F138" s="134" t="str">
        <f t="shared" si="10"/>
        <v/>
      </c>
      <c r="G138" s="129"/>
      <c r="H138" s="129"/>
      <c r="I138" s="133"/>
      <c r="J138" s="129"/>
      <c r="K138" s="133"/>
      <c r="L138" s="129"/>
    </row>
    <row r="139" spans="1:12" x14ac:dyDescent="0.25">
      <c r="A139" s="133"/>
      <c r="B139" s="129"/>
      <c r="C139" s="129"/>
      <c r="D139" s="129"/>
      <c r="E139" s="134" t="str">
        <f t="shared" si="9"/>
        <v/>
      </c>
      <c r="F139" s="134" t="str">
        <f t="shared" si="10"/>
        <v/>
      </c>
      <c r="G139" s="129"/>
      <c r="H139" s="129"/>
      <c r="I139" s="133"/>
      <c r="J139" s="129"/>
      <c r="K139" s="133"/>
      <c r="L139" s="129"/>
    </row>
    <row r="140" spans="1:12" x14ac:dyDescent="0.25">
      <c r="A140" s="133"/>
      <c r="B140" s="129"/>
      <c r="C140" s="129"/>
      <c r="D140" s="129"/>
      <c r="E140" s="134" t="str">
        <f t="shared" si="9"/>
        <v/>
      </c>
      <c r="F140" s="134" t="str">
        <f t="shared" si="10"/>
        <v/>
      </c>
      <c r="G140" s="129"/>
      <c r="H140" s="129"/>
      <c r="I140" s="133"/>
      <c r="J140" s="129"/>
      <c r="K140" s="133"/>
      <c r="L140" s="129"/>
    </row>
    <row r="141" spans="1:12" x14ac:dyDescent="0.25">
      <c r="A141" s="133"/>
      <c r="B141" s="129"/>
      <c r="C141" s="129"/>
      <c r="D141" s="129"/>
      <c r="E141" s="134" t="str">
        <f t="shared" si="9"/>
        <v/>
      </c>
      <c r="F141" s="134" t="str">
        <f t="shared" si="10"/>
        <v/>
      </c>
      <c r="G141" s="129"/>
      <c r="H141" s="129"/>
      <c r="I141" s="133"/>
      <c r="J141" s="129"/>
      <c r="K141" s="133"/>
      <c r="L141" s="129"/>
    </row>
    <row r="142" spans="1:12" x14ac:dyDescent="0.25">
      <c r="A142" s="133"/>
      <c r="B142" s="129"/>
      <c r="C142" s="129"/>
      <c r="D142" s="129"/>
      <c r="E142" s="134" t="str">
        <f t="shared" si="9"/>
        <v/>
      </c>
      <c r="F142" s="134" t="str">
        <f t="shared" si="10"/>
        <v/>
      </c>
      <c r="G142" s="129"/>
      <c r="H142" s="129"/>
      <c r="I142" s="133"/>
      <c r="J142" s="129"/>
      <c r="K142" s="133"/>
      <c r="L142" s="129"/>
    </row>
    <row r="143" spans="1:12" x14ac:dyDescent="0.25">
      <c r="A143" s="133"/>
      <c r="B143" s="129"/>
      <c r="C143" s="129"/>
      <c r="D143" s="129"/>
      <c r="E143" s="134" t="str">
        <f t="shared" si="9"/>
        <v/>
      </c>
      <c r="F143" s="134" t="str">
        <f t="shared" si="10"/>
        <v/>
      </c>
      <c r="G143" s="129"/>
      <c r="H143" s="129"/>
      <c r="I143" s="133"/>
      <c r="J143" s="129"/>
      <c r="K143" s="133"/>
      <c r="L143" s="129"/>
    </row>
    <row r="144" spans="1:12" x14ac:dyDescent="0.25">
      <c r="A144" s="133"/>
      <c r="B144" s="129"/>
      <c r="C144" s="129"/>
      <c r="D144" s="129"/>
      <c r="E144" s="134" t="str">
        <f t="shared" si="9"/>
        <v/>
      </c>
      <c r="F144" s="134" t="str">
        <f t="shared" si="10"/>
        <v/>
      </c>
      <c r="G144" s="129"/>
      <c r="H144" s="129"/>
      <c r="I144" s="133"/>
      <c r="J144" s="129"/>
      <c r="K144" s="133"/>
      <c r="L144" s="129"/>
    </row>
    <row r="145" spans="1:12" x14ac:dyDescent="0.25">
      <c r="A145" s="133"/>
      <c r="B145" s="129"/>
      <c r="C145" s="129"/>
      <c r="D145" s="129"/>
      <c r="E145" s="134" t="str">
        <f t="shared" si="9"/>
        <v/>
      </c>
      <c r="F145" s="134" t="str">
        <f t="shared" si="10"/>
        <v/>
      </c>
      <c r="G145" s="129"/>
      <c r="H145" s="129"/>
      <c r="I145" s="133"/>
      <c r="J145" s="129"/>
      <c r="K145" s="133"/>
      <c r="L145" s="129"/>
    </row>
    <row r="146" spans="1:12" x14ac:dyDescent="0.25">
      <c r="A146" s="133"/>
      <c r="B146" s="129"/>
      <c r="C146" s="129"/>
      <c r="D146" s="129"/>
      <c r="E146" s="134" t="str">
        <f t="shared" si="9"/>
        <v/>
      </c>
      <c r="F146" s="134" t="str">
        <f t="shared" si="10"/>
        <v/>
      </c>
      <c r="G146" s="129"/>
      <c r="H146" s="129"/>
      <c r="I146" s="133"/>
      <c r="J146" s="129"/>
      <c r="K146" s="133"/>
      <c r="L146" s="129"/>
    </row>
    <row r="147" spans="1:12" x14ac:dyDescent="0.25">
      <c r="A147" s="133"/>
      <c r="B147" s="129"/>
      <c r="C147" s="129"/>
      <c r="D147" s="129"/>
      <c r="E147" s="134" t="str">
        <f t="shared" si="9"/>
        <v/>
      </c>
      <c r="F147" s="134" t="str">
        <f t="shared" si="10"/>
        <v/>
      </c>
      <c r="G147" s="129"/>
      <c r="H147" s="129"/>
      <c r="I147" s="133"/>
      <c r="J147" s="129"/>
      <c r="K147" s="133"/>
      <c r="L147" s="129"/>
    </row>
    <row r="148" spans="1:12" x14ac:dyDescent="0.25">
      <c r="A148" s="133"/>
      <c r="B148" s="129"/>
      <c r="C148" s="129"/>
      <c r="D148" s="129"/>
      <c r="E148" s="134" t="str">
        <f t="shared" si="9"/>
        <v/>
      </c>
      <c r="F148" s="134" t="str">
        <f t="shared" si="10"/>
        <v/>
      </c>
      <c r="G148" s="129"/>
      <c r="H148" s="129"/>
      <c r="I148" s="133"/>
      <c r="J148" s="129"/>
      <c r="K148" s="133"/>
      <c r="L148" s="129"/>
    </row>
    <row r="149" spans="1:12" x14ac:dyDescent="0.25">
      <c r="A149" s="133"/>
      <c r="B149" s="129"/>
      <c r="C149" s="129"/>
      <c r="D149" s="129"/>
      <c r="E149" s="134" t="str">
        <f t="shared" si="9"/>
        <v/>
      </c>
      <c r="F149" s="134" t="str">
        <f t="shared" si="10"/>
        <v/>
      </c>
      <c r="G149" s="129"/>
      <c r="H149" s="129"/>
      <c r="I149" s="133"/>
      <c r="J149" s="129"/>
      <c r="K149" s="133"/>
      <c r="L149" s="129"/>
    </row>
    <row r="150" spans="1:12" x14ac:dyDescent="0.25">
      <c r="A150" s="133"/>
      <c r="B150" s="129"/>
      <c r="C150" s="129"/>
      <c r="D150" s="129"/>
      <c r="E150" s="134" t="str">
        <f t="shared" si="9"/>
        <v/>
      </c>
      <c r="F150" s="134" t="str">
        <f t="shared" si="10"/>
        <v/>
      </c>
      <c r="G150" s="129"/>
      <c r="H150" s="129"/>
      <c r="I150" s="133"/>
      <c r="J150" s="129"/>
      <c r="K150" s="133"/>
      <c r="L150" s="129"/>
    </row>
    <row r="151" spans="1:12" x14ac:dyDescent="0.25">
      <c r="A151" s="133"/>
      <c r="B151" s="129"/>
      <c r="C151" s="129"/>
      <c r="D151" s="129"/>
      <c r="E151" s="134" t="str">
        <f t="shared" si="9"/>
        <v/>
      </c>
      <c r="F151" s="134" t="str">
        <f t="shared" si="10"/>
        <v/>
      </c>
      <c r="G151" s="129"/>
      <c r="H151" s="129"/>
      <c r="I151" s="133"/>
      <c r="J151" s="129"/>
      <c r="K151" s="133"/>
      <c r="L151" s="129"/>
    </row>
    <row r="152" spans="1:12" x14ac:dyDescent="0.25">
      <c r="A152" s="133"/>
      <c r="B152" s="129"/>
      <c r="C152" s="129"/>
      <c r="D152" s="129"/>
      <c r="E152" s="134" t="str">
        <f t="shared" si="9"/>
        <v/>
      </c>
      <c r="F152" s="134" t="str">
        <f t="shared" si="10"/>
        <v/>
      </c>
      <c r="G152" s="129"/>
      <c r="H152" s="129"/>
      <c r="I152" s="133"/>
      <c r="J152" s="129"/>
      <c r="K152" s="133"/>
      <c r="L152" s="129"/>
    </row>
    <row r="153" spans="1:12" x14ac:dyDescent="0.25">
      <c r="A153" s="133"/>
      <c r="B153" s="129"/>
      <c r="C153" s="129"/>
      <c r="D153" s="129"/>
      <c r="E153" s="134" t="str">
        <f t="shared" si="9"/>
        <v/>
      </c>
      <c r="F153" s="134" t="str">
        <f t="shared" si="10"/>
        <v/>
      </c>
      <c r="G153" s="129"/>
      <c r="H153" s="129"/>
      <c r="I153" s="133"/>
      <c r="J153" s="129"/>
      <c r="K153" s="133"/>
      <c r="L153" s="129"/>
    </row>
    <row r="154" spans="1:12" x14ac:dyDescent="0.25">
      <c r="A154" s="133"/>
      <c r="B154" s="129"/>
      <c r="C154" s="129"/>
      <c r="D154" s="129"/>
      <c r="E154" s="134" t="str">
        <f t="shared" si="9"/>
        <v/>
      </c>
      <c r="F154" s="134" t="str">
        <f t="shared" si="10"/>
        <v/>
      </c>
      <c r="G154" s="129"/>
      <c r="H154" s="129"/>
      <c r="I154" s="133"/>
      <c r="J154" s="129"/>
      <c r="K154" s="133"/>
      <c r="L154" s="129"/>
    </row>
    <row r="155" spans="1:12" x14ac:dyDescent="0.25">
      <c r="A155" s="133"/>
      <c r="B155" s="129"/>
      <c r="C155" s="129"/>
      <c r="D155" s="129"/>
      <c r="E155" s="134" t="str">
        <f t="shared" si="9"/>
        <v/>
      </c>
      <c r="F155" s="134" t="str">
        <f t="shared" si="10"/>
        <v/>
      </c>
      <c r="G155" s="129"/>
      <c r="H155" s="129"/>
      <c r="I155" s="133"/>
      <c r="J155" s="129"/>
      <c r="K155" s="133"/>
      <c r="L155" s="129"/>
    </row>
    <row r="156" spans="1:12" x14ac:dyDescent="0.25">
      <c r="A156" s="133"/>
      <c r="B156" s="129"/>
      <c r="C156" s="129"/>
      <c r="D156" s="129"/>
      <c r="E156" s="134" t="str">
        <f t="shared" si="9"/>
        <v/>
      </c>
      <c r="F156" s="134" t="str">
        <f t="shared" si="10"/>
        <v/>
      </c>
      <c r="G156" s="129"/>
      <c r="H156" s="129"/>
      <c r="I156" s="133"/>
      <c r="J156" s="129"/>
      <c r="K156" s="133"/>
      <c r="L156" s="129"/>
    </row>
    <row r="157" spans="1:12" x14ac:dyDescent="0.25">
      <c r="A157" s="133"/>
      <c r="B157" s="129"/>
      <c r="C157" s="129"/>
      <c r="D157" s="129"/>
      <c r="E157" s="134" t="str">
        <f t="shared" si="9"/>
        <v/>
      </c>
      <c r="F157" s="134" t="str">
        <f t="shared" si="10"/>
        <v/>
      </c>
      <c r="G157" s="129"/>
      <c r="H157" s="129"/>
      <c r="I157" s="133"/>
      <c r="J157" s="129"/>
      <c r="K157" s="133"/>
      <c r="L157" s="129"/>
    </row>
    <row r="158" spans="1:12" x14ac:dyDescent="0.25">
      <c r="A158" s="133"/>
      <c r="B158" s="129"/>
      <c r="C158" s="129"/>
      <c r="D158" s="129"/>
      <c r="E158" s="134" t="str">
        <f t="shared" si="9"/>
        <v/>
      </c>
      <c r="F158" s="134" t="str">
        <f t="shared" si="10"/>
        <v/>
      </c>
      <c r="G158" s="129"/>
      <c r="H158" s="129"/>
      <c r="I158" s="133"/>
      <c r="J158" s="129"/>
      <c r="K158" s="133"/>
      <c r="L158" s="129"/>
    </row>
    <row r="159" spans="1:12" x14ac:dyDescent="0.25">
      <c r="A159" s="133"/>
      <c r="B159" s="129"/>
      <c r="C159" s="129"/>
      <c r="D159" s="129"/>
      <c r="E159" s="134" t="str">
        <f t="shared" si="9"/>
        <v/>
      </c>
      <c r="F159" s="134" t="str">
        <f t="shared" si="10"/>
        <v/>
      </c>
      <c r="G159" s="129"/>
      <c r="H159" s="129"/>
      <c r="I159" s="133"/>
      <c r="J159" s="129"/>
      <c r="K159" s="133"/>
      <c r="L159" s="129"/>
    </row>
    <row r="160" spans="1:12" x14ac:dyDescent="0.25">
      <c r="A160" s="133"/>
      <c r="B160" s="129"/>
      <c r="C160" s="129"/>
      <c r="D160" s="129"/>
      <c r="E160" s="134" t="str">
        <f t="shared" si="9"/>
        <v/>
      </c>
      <c r="F160" s="134" t="str">
        <f t="shared" si="10"/>
        <v/>
      </c>
      <c r="G160" s="129"/>
      <c r="H160" s="129"/>
      <c r="I160" s="133"/>
      <c r="J160" s="129"/>
      <c r="K160" s="133"/>
      <c r="L160" s="129"/>
    </row>
    <row r="161" spans="1:12" x14ac:dyDescent="0.25">
      <c r="A161" s="133"/>
      <c r="B161" s="129"/>
      <c r="C161" s="129"/>
      <c r="D161" s="129"/>
      <c r="E161" s="134" t="str">
        <f t="shared" si="9"/>
        <v/>
      </c>
      <c r="F161" s="134" t="str">
        <f t="shared" si="10"/>
        <v/>
      </c>
      <c r="G161" s="129"/>
      <c r="H161" s="129"/>
      <c r="I161" s="133"/>
      <c r="J161" s="129"/>
      <c r="K161" s="133"/>
      <c r="L161" s="129"/>
    </row>
    <row r="162" spans="1:12" x14ac:dyDescent="0.25">
      <c r="A162" s="133"/>
      <c r="B162" s="129"/>
      <c r="C162" s="129"/>
      <c r="D162" s="129"/>
      <c r="E162" s="134" t="str">
        <f t="shared" si="9"/>
        <v/>
      </c>
      <c r="F162" s="134" t="str">
        <f t="shared" si="10"/>
        <v/>
      </c>
      <c r="G162" s="129"/>
      <c r="H162" s="129"/>
      <c r="I162" s="133"/>
      <c r="J162" s="129"/>
      <c r="K162" s="133"/>
      <c r="L162" s="129"/>
    </row>
    <row r="163" spans="1:12" x14ac:dyDescent="0.25">
      <c r="A163" s="133"/>
      <c r="B163" s="129"/>
      <c r="C163" s="129"/>
      <c r="D163" s="129"/>
      <c r="E163" s="134" t="str">
        <f t="shared" si="9"/>
        <v/>
      </c>
      <c r="F163" s="134" t="str">
        <f t="shared" si="10"/>
        <v/>
      </c>
      <c r="G163" s="129"/>
      <c r="H163" s="129"/>
      <c r="I163" s="133"/>
      <c r="J163" s="129"/>
      <c r="K163" s="133"/>
      <c r="L163" s="129"/>
    </row>
    <row r="164" spans="1:12" x14ac:dyDescent="0.25">
      <c r="A164" s="133"/>
      <c r="B164" s="129"/>
      <c r="C164" s="129"/>
      <c r="D164" s="129"/>
      <c r="E164" s="134" t="str">
        <f t="shared" si="9"/>
        <v/>
      </c>
      <c r="F164" s="134" t="str">
        <f t="shared" si="10"/>
        <v/>
      </c>
      <c r="G164" s="129"/>
      <c r="H164" s="129"/>
      <c r="I164" s="133"/>
      <c r="J164" s="129"/>
      <c r="K164" s="133"/>
      <c r="L164" s="129"/>
    </row>
    <row r="165" spans="1:12" x14ac:dyDescent="0.25">
      <c r="A165" s="133"/>
      <c r="B165" s="129"/>
      <c r="C165" s="129"/>
      <c r="D165" s="129"/>
      <c r="E165" s="134" t="str">
        <f t="shared" si="9"/>
        <v/>
      </c>
      <c r="F165" s="134" t="str">
        <f t="shared" si="10"/>
        <v/>
      </c>
      <c r="G165" s="129"/>
      <c r="H165" s="129"/>
      <c r="I165" s="133"/>
      <c r="J165" s="129"/>
      <c r="K165" s="133"/>
      <c r="L165" s="129"/>
    </row>
    <row r="166" spans="1:12" x14ac:dyDescent="0.25">
      <c r="A166" s="133"/>
      <c r="B166" s="129"/>
      <c r="C166" s="129"/>
      <c r="D166" s="129"/>
      <c r="E166" s="134" t="str">
        <f t="shared" si="9"/>
        <v/>
      </c>
      <c r="F166" s="134" t="str">
        <f t="shared" si="10"/>
        <v/>
      </c>
      <c r="G166" s="129"/>
      <c r="H166" s="129"/>
      <c r="I166" s="133"/>
      <c r="J166" s="129"/>
      <c r="K166" s="133"/>
      <c r="L166" s="129"/>
    </row>
    <row r="167" spans="1:12" x14ac:dyDescent="0.25">
      <c r="A167" s="133"/>
      <c r="B167" s="129"/>
      <c r="C167" s="129"/>
      <c r="D167" s="129"/>
      <c r="E167" s="134" t="str">
        <f t="shared" si="9"/>
        <v/>
      </c>
      <c r="F167" s="134" t="str">
        <f t="shared" si="10"/>
        <v/>
      </c>
      <c r="G167" s="129"/>
      <c r="H167" s="129"/>
      <c r="I167" s="133"/>
      <c r="J167" s="129"/>
      <c r="K167" s="133"/>
      <c r="L167" s="129"/>
    </row>
    <row r="168" spans="1:12" x14ac:dyDescent="0.25">
      <c r="A168" s="133"/>
      <c r="B168" s="129"/>
      <c r="C168" s="129"/>
      <c r="D168" s="129"/>
      <c r="E168" s="134" t="str">
        <f t="shared" si="9"/>
        <v/>
      </c>
      <c r="F168" s="134" t="str">
        <f t="shared" si="10"/>
        <v/>
      </c>
      <c r="G168" s="129"/>
      <c r="H168" s="129"/>
      <c r="I168" s="133"/>
      <c r="J168" s="129"/>
      <c r="K168" s="133"/>
      <c r="L168" s="129"/>
    </row>
    <row r="169" spans="1:12" x14ac:dyDescent="0.25">
      <c r="A169" s="133"/>
      <c r="B169" s="129"/>
      <c r="C169" s="129"/>
      <c r="D169" s="129"/>
      <c r="E169" s="134" t="str">
        <f t="shared" si="9"/>
        <v/>
      </c>
      <c r="F169" s="134" t="str">
        <f t="shared" si="10"/>
        <v/>
      </c>
      <c r="G169" s="129"/>
      <c r="H169" s="129"/>
      <c r="I169" s="133"/>
      <c r="J169" s="129"/>
      <c r="K169" s="133"/>
      <c r="L169" s="129"/>
    </row>
    <row r="170" spans="1:12" x14ac:dyDescent="0.25">
      <c r="A170" s="133"/>
      <c r="B170" s="129"/>
      <c r="C170" s="129"/>
      <c r="D170" s="129"/>
      <c r="E170" s="134" t="str">
        <f t="shared" si="9"/>
        <v/>
      </c>
      <c r="F170" s="134" t="str">
        <f t="shared" si="10"/>
        <v/>
      </c>
      <c r="G170" s="129"/>
      <c r="H170" s="129"/>
      <c r="I170" s="133"/>
      <c r="J170" s="129"/>
      <c r="K170" s="133"/>
      <c r="L170" s="129"/>
    </row>
    <row r="171" spans="1:12" x14ac:dyDescent="0.25">
      <c r="A171" s="133"/>
      <c r="B171" s="129"/>
      <c r="C171" s="129"/>
      <c r="D171" s="129"/>
      <c r="E171" s="134" t="str">
        <f t="shared" si="9"/>
        <v/>
      </c>
      <c r="F171" s="134" t="str">
        <f t="shared" si="10"/>
        <v/>
      </c>
      <c r="G171" s="129"/>
      <c r="H171" s="129"/>
      <c r="I171" s="133"/>
      <c r="J171" s="129"/>
      <c r="K171" s="133"/>
      <c r="L171" s="129"/>
    </row>
    <row r="172" spans="1:12" x14ac:dyDescent="0.25">
      <c r="A172" s="133"/>
      <c r="B172" s="129"/>
      <c r="C172" s="129"/>
      <c r="D172" s="129"/>
      <c r="E172" s="134" t="str">
        <f t="shared" si="9"/>
        <v/>
      </c>
      <c r="F172" s="134" t="str">
        <f t="shared" si="10"/>
        <v/>
      </c>
      <c r="G172" s="129"/>
      <c r="H172" s="129"/>
      <c r="I172" s="133"/>
      <c r="J172" s="129"/>
      <c r="K172" s="133"/>
      <c r="L172" s="129"/>
    </row>
    <row r="173" spans="1:12" x14ac:dyDescent="0.25">
      <c r="A173" s="133"/>
      <c r="B173" s="129"/>
      <c r="C173" s="129"/>
      <c r="D173" s="129"/>
      <c r="E173" s="134" t="str">
        <f t="shared" si="9"/>
        <v/>
      </c>
      <c r="F173" s="134" t="str">
        <f t="shared" si="10"/>
        <v/>
      </c>
      <c r="G173" s="129"/>
      <c r="H173" s="129"/>
      <c r="I173" s="133"/>
      <c r="J173" s="129"/>
      <c r="K173" s="133"/>
      <c r="L173" s="129"/>
    </row>
    <row r="174" spans="1:12" x14ac:dyDescent="0.25">
      <c r="A174" s="133"/>
      <c r="B174" s="129"/>
      <c r="C174" s="129"/>
      <c r="D174" s="129"/>
      <c r="E174" s="134" t="str">
        <f t="shared" si="9"/>
        <v/>
      </c>
      <c r="F174" s="134" t="str">
        <f t="shared" si="10"/>
        <v/>
      </c>
      <c r="G174" s="129"/>
      <c r="H174" s="129"/>
      <c r="I174" s="133"/>
      <c r="J174" s="129"/>
      <c r="K174" s="133"/>
      <c r="L174" s="129"/>
    </row>
    <row r="175" spans="1:12" x14ac:dyDescent="0.25">
      <c r="A175" s="133"/>
      <c r="B175" s="129"/>
      <c r="C175" s="129"/>
      <c r="D175" s="129"/>
      <c r="E175" s="134" t="str">
        <f t="shared" si="9"/>
        <v/>
      </c>
      <c r="F175" s="134" t="str">
        <f t="shared" si="10"/>
        <v/>
      </c>
      <c r="G175" s="129"/>
      <c r="H175" s="129"/>
      <c r="I175" s="133"/>
      <c r="J175" s="129"/>
      <c r="K175" s="133"/>
      <c r="L175" s="129"/>
    </row>
    <row r="176" spans="1:12" x14ac:dyDescent="0.25">
      <c r="A176" s="133"/>
      <c r="B176" s="129"/>
      <c r="C176" s="129"/>
      <c r="D176" s="129"/>
      <c r="E176" s="134" t="str">
        <f t="shared" si="9"/>
        <v/>
      </c>
      <c r="F176" s="134" t="str">
        <f t="shared" si="10"/>
        <v/>
      </c>
      <c r="G176" s="129"/>
      <c r="H176" s="129"/>
      <c r="I176" s="133"/>
      <c r="J176" s="129"/>
      <c r="K176" s="133"/>
      <c r="L176" s="129"/>
    </row>
    <row r="177" spans="1:12" x14ac:dyDescent="0.25">
      <c r="A177" s="133"/>
      <c r="B177" s="129"/>
      <c r="C177" s="129"/>
      <c r="D177" s="129"/>
      <c r="E177" s="134" t="str">
        <f t="shared" si="9"/>
        <v/>
      </c>
      <c r="F177" s="134" t="str">
        <f t="shared" si="10"/>
        <v/>
      </c>
      <c r="G177" s="129"/>
      <c r="H177" s="129"/>
      <c r="I177" s="133"/>
      <c r="J177" s="129"/>
      <c r="K177" s="133"/>
      <c r="L177" s="129"/>
    </row>
    <row r="178" spans="1:12" x14ac:dyDescent="0.25">
      <c r="A178" s="133"/>
      <c r="B178" s="129"/>
      <c r="C178" s="129"/>
      <c r="D178" s="129"/>
      <c r="E178" s="134" t="str">
        <f t="shared" si="9"/>
        <v/>
      </c>
      <c r="F178" s="134" t="str">
        <f t="shared" si="10"/>
        <v/>
      </c>
      <c r="G178" s="129"/>
      <c r="H178" s="129"/>
      <c r="I178" s="133"/>
      <c r="J178" s="129"/>
      <c r="K178" s="133"/>
      <c r="L178" s="129"/>
    </row>
    <row r="179" spans="1:12" x14ac:dyDescent="0.25">
      <c r="A179" s="133"/>
      <c r="B179" s="129"/>
      <c r="C179" s="129"/>
      <c r="D179" s="129"/>
      <c r="E179" s="134" t="str">
        <f t="shared" si="9"/>
        <v/>
      </c>
      <c r="F179" s="134" t="str">
        <f t="shared" si="10"/>
        <v/>
      </c>
      <c r="G179" s="129"/>
      <c r="H179" s="129"/>
      <c r="I179" s="133"/>
      <c r="J179" s="129"/>
      <c r="K179" s="133"/>
      <c r="L179" s="129"/>
    </row>
    <row r="180" spans="1:12" x14ac:dyDescent="0.25">
      <c r="A180" s="133"/>
      <c r="B180" s="129"/>
      <c r="C180" s="129"/>
      <c r="D180" s="129"/>
      <c r="E180" s="134" t="str">
        <f t="shared" si="9"/>
        <v/>
      </c>
      <c r="F180" s="134" t="str">
        <f t="shared" si="10"/>
        <v/>
      </c>
      <c r="G180" s="129"/>
      <c r="H180" s="129"/>
      <c r="I180" s="133"/>
      <c r="J180" s="129"/>
      <c r="K180" s="133"/>
      <c r="L180" s="129"/>
    </row>
    <row r="181" spans="1:12" x14ac:dyDescent="0.25">
      <c r="A181" s="133"/>
      <c r="B181" s="129"/>
      <c r="C181" s="129"/>
      <c r="D181" s="129"/>
      <c r="E181" s="134" t="str">
        <f t="shared" si="9"/>
        <v/>
      </c>
      <c r="F181" s="134" t="str">
        <f t="shared" si="10"/>
        <v/>
      </c>
      <c r="G181" s="129"/>
      <c r="H181" s="129"/>
      <c r="I181" s="133"/>
      <c r="J181" s="129"/>
      <c r="K181" s="133"/>
      <c r="L181" s="129"/>
    </row>
    <row r="182" spans="1:12" x14ac:dyDescent="0.25">
      <c r="A182" s="133"/>
      <c r="B182" s="129"/>
      <c r="C182" s="129"/>
      <c r="D182" s="129"/>
      <c r="E182" s="134" t="str">
        <f t="shared" si="9"/>
        <v/>
      </c>
      <c r="F182" s="134" t="str">
        <f t="shared" si="10"/>
        <v/>
      </c>
      <c r="G182" s="129"/>
      <c r="H182" s="129"/>
      <c r="I182" s="133"/>
      <c r="J182" s="129"/>
      <c r="K182" s="133"/>
      <c r="L182" s="129"/>
    </row>
    <row r="183" spans="1:12" x14ac:dyDescent="0.25">
      <c r="A183" s="133"/>
      <c r="B183" s="129"/>
      <c r="C183" s="129"/>
      <c r="D183" s="129"/>
      <c r="E183" s="134" t="str">
        <f t="shared" si="9"/>
        <v/>
      </c>
      <c r="F183" s="134" t="str">
        <f t="shared" si="10"/>
        <v/>
      </c>
      <c r="G183" s="129"/>
      <c r="H183" s="129"/>
      <c r="I183" s="133"/>
      <c r="J183" s="129"/>
      <c r="K183" s="133"/>
      <c r="L183" s="129"/>
    </row>
    <row r="184" spans="1:12" x14ac:dyDescent="0.25">
      <c r="A184" s="133"/>
      <c r="B184" s="129"/>
      <c r="C184" s="129"/>
      <c r="D184" s="129"/>
      <c r="E184" s="134" t="str">
        <f t="shared" si="9"/>
        <v/>
      </c>
      <c r="F184" s="134" t="str">
        <f t="shared" si="10"/>
        <v/>
      </c>
      <c r="G184" s="129"/>
      <c r="H184" s="129"/>
      <c r="I184" s="133"/>
      <c r="J184" s="129"/>
      <c r="K184" s="133"/>
      <c r="L184" s="129"/>
    </row>
    <row r="185" spans="1:12" x14ac:dyDescent="0.25">
      <c r="A185" s="133"/>
      <c r="B185" s="129"/>
      <c r="C185" s="129"/>
      <c r="D185" s="129"/>
      <c r="E185" s="134" t="str">
        <f t="shared" si="9"/>
        <v/>
      </c>
      <c r="F185" s="134" t="str">
        <f t="shared" si="10"/>
        <v/>
      </c>
      <c r="G185" s="129"/>
      <c r="H185" s="129"/>
      <c r="I185" s="133"/>
      <c r="J185" s="129"/>
      <c r="K185" s="133"/>
      <c r="L185" s="129"/>
    </row>
    <row r="186" spans="1:12" x14ac:dyDescent="0.25">
      <c r="A186" s="133"/>
      <c r="B186" s="129"/>
      <c r="C186" s="129"/>
      <c r="D186" s="129"/>
      <c r="E186" s="134" t="str">
        <f t="shared" si="9"/>
        <v/>
      </c>
      <c r="F186" s="134" t="str">
        <f t="shared" si="10"/>
        <v/>
      </c>
      <c r="G186" s="129"/>
      <c r="H186" s="129"/>
      <c r="I186" s="133"/>
      <c r="J186" s="129"/>
      <c r="K186" s="133"/>
      <c r="L186" s="129"/>
    </row>
    <row r="187" spans="1:12" x14ac:dyDescent="0.25">
      <c r="A187" s="133"/>
      <c r="B187" s="129"/>
      <c r="C187" s="129"/>
      <c r="D187" s="129"/>
      <c r="E187" s="134" t="str">
        <f t="shared" si="9"/>
        <v/>
      </c>
      <c r="F187" s="134" t="str">
        <f t="shared" si="10"/>
        <v/>
      </c>
      <c r="G187" s="129"/>
      <c r="H187" s="129"/>
      <c r="I187" s="133"/>
      <c r="J187" s="129"/>
      <c r="K187" s="133"/>
      <c r="L187" s="129"/>
    </row>
    <row r="188" spans="1:12" x14ac:dyDescent="0.25">
      <c r="A188" s="133"/>
      <c r="B188" s="129"/>
      <c r="C188" s="129"/>
      <c r="D188" s="129"/>
      <c r="E188" s="134" t="str">
        <f t="shared" si="9"/>
        <v/>
      </c>
      <c r="F188" s="134" t="str">
        <f t="shared" si="10"/>
        <v/>
      </c>
      <c r="G188" s="129"/>
      <c r="H188" s="129"/>
      <c r="I188" s="133"/>
      <c r="J188" s="129"/>
      <c r="K188" s="133"/>
      <c r="L188" s="129"/>
    </row>
    <row r="189" spans="1:12" x14ac:dyDescent="0.25">
      <c r="A189" s="133"/>
      <c r="B189" s="129"/>
      <c r="C189" s="129"/>
      <c r="D189" s="129"/>
      <c r="E189" s="134" t="str">
        <f t="shared" si="9"/>
        <v/>
      </c>
      <c r="F189" s="134" t="str">
        <f t="shared" si="10"/>
        <v/>
      </c>
      <c r="G189" s="129"/>
      <c r="H189" s="129"/>
      <c r="I189" s="133"/>
      <c r="J189" s="129"/>
      <c r="K189" s="133"/>
      <c r="L189" s="129"/>
    </row>
    <row r="190" spans="1:12" x14ac:dyDescent="0.25">
      <c r="A190" s="133"/>
      <c r="B190" s="129"/>
      <c r="C190" s="129"/>
      <c r="D190" s="129"/>
      <c r="E190" s="134" t="str">
        <f t="shared" si="9"/>
        <v/>
      </c>
      <c r="F190" s="134" t="str">
        <f t="shared" si="10"/>
        <v/>
      </c>
      <c r="G190" s="129"/>
      <c r="H190" s="129"/>
      <c r="I190" s="133"/>
      <c r="J190" s="129"/>
      <c r="K190" s="133"/>
      <c r="L190" s="129"/>
    </row>
    <row r="191" spans="1:12" x14ac:dyDescent="0.25">
      <c r="A191" s="133"/>
      <c r="B191" s="129"/>
      <c r="C191" s="129"/>
      <c r="D191" s="129"/>
      <c r="E191" s="134" t="str">
        <f t="shared" si="9"/>
        <v/>
      </c>
      <c r="F191" s="134" t="str">
        <f t="shared" si="10"/>
        <v/>
      </c>
      <c r="G191" s="129"/>
      <c r="H191" s="129"/>
      <c r="I191" s="133"/>
      <c r="J191" s="129"/>
      <c r="K191" s="133"/>
      <c r="L191" s="129"/>
    </row>
    <row r="192" spans="1:12" x14ac:dyDescent="0.25">
      <c r="A192" s="133"/>
      <c r="B192" s="129"/>
      <c r="C192" s="129"/>
      <c r="D192" s="129"/>
      <c r="E192" s="134" t="str">
        <f t="shared" si="9"/>
        <v/>
      </c>
      <c r="F192" s="134" t="str">
        <f t="shared" si="10"/>
        <v/>
      </c>
      <c r="G192" s="129"/>
      <c r="H192" s="129"/>
      <c r="I192" s="133"/>
      <c r="J192" s="129"/>
      <c r="K192" s="133"/>
      <c r="L192" s="129"/>
    </row>
    <row r="193" spans="1:12" x14ac:dyDescent="0.25">
      <c r="A193" s="133"/>
      <c r="B193" s="129"/>
      <c r="C193" s="129"/>
      <c r="D193" s="129"/>
      <c r="E193" s="134" t="str">
        <f t="shared" si="9"/>
        <v/>
      </c>
      <c r="F193" s="134" t="str">
        <f t="shared" si="10"/>
        <v/>
      </c>
      <c r="G193" s="129"/>
      <c r="H193" s="129"/>
      <c r="I193" s="133"/>
      <c r="J193" s="129"/>
      <c r="K193" s="133"/>
      <c r="L193" s="129"/>
    </row>
    <row r="194" spans="1:12" x14ac:dyDescent="0.25">
      <c r="A194" s="133"/>
      <c r="B194" s="129"/>
      <c r="C194" s="129"/>
      <c r="D194" s="129"/>
      <c r="E194" s="134" t="str">
        <f t="shared" si="9"/>
        <v/>
      </c>
      <c r="F194" s="134" t="str">
        <f t="shared" si="10"/>
        <v/>
      </c>
      <c r="G194" s="129"/>
      <c r="H194" s="129"/>
      <c r="I194" s="133"/>
      <c r="J194" s="129"/>
      <c r="K194" s="133"/>
      <c r="L194" s="129"/>
    </row>
    <row r="195" spans="1:12" x14ac:dyDescent="0.25">
      <c r="A195" s="133"/>
      <c r="B195" s="129"/>
      <c r="C195" s="129"/>
      <c r="D195" s="129"/>
      <c r="E195" s="134" t="str">
        <f t="shared" si="9"/>
        <v/>
      </c>
      <c r="F195" s="134" t="str">
        <f t="shared" si="10"/>
        <v/>
      </c>
      <c r="G195" s="129"/>
      <c r="H195" s="129"/>
      <c r="I195" s="133"/>
      <c r="J195" s="129"/>
      <c r="K195" s="133"/>
      <c r="L195" s="129"/>
    </row>
    <row r="196" spans="1:12" x14ac:dyDescent="0.25">
      <c r="A196" s="133"/>
      <c r="B196" s="129"/>
      <c r="C196" s="129"/>
      <c r="D196" s="129"/>
      <c r="E196" s="134" t="str">
        <f t="shared" si="9"/>
        <v/>
      </c>
      <c r="F196" s="134" t="str">
        <f t="shared" si="10"/>
        <v/>
      </c>
      <c r="G196" s="129"/>
      <c r="H196" s="129"/>
      <c r="I196" s="133"/>
      <c r="J196" s="129"/>
      <c r="K196" s="133"/>
      <c r="L196" s="129"/>
    </row>
    <row r="197" spans="1:12" x14ac:dyDescent="0.25">
      <c r="A197" s="133"/>
      <c r="B197" s="129"/>
      <c r="C197" s="129"/>
      <c r="D197" s="129"/>
      <c r="E197" s="134" t="str">
        <f t="shared" ref="E197:E260" si="11">IFERROR(IF($D197="","",VLOOKUP($D197,CAD_TAB,8,FALSE)),"")</f>
        <v/>
      </c>
      <c r="F197" s="134" t="str">
        <f t="shared" ref="F197:F260" si="12">IFERROR(IF($D197="","",VLOOKUP($D197,CAD_TAB,9,FALSE)),"")</f>
        <v/>
      </c>
      <c r="G197" s="129"/>
      <c r="H197" s="129"/>
      <c r="I197" s="133"/>
      <c r="J197" s="129"/>
      <c r="K197" s="133"/>
      <c r="L197" s="129"/>
    </row>
    <row r="198" spans="1:12" x14ac:dyDescent="0.25">
      <c r="A198" s="133"/>
      <c r="B198" s="129"/>
      <c r="C198" s="129"/>
      <c r="D198" s="129"/>
      <c r="E198" s="134" t="str">
        <f t="shared" si="11"/>
        <v/>
      </c>
      <c r="F198" s="134" t="str">
        <f t="shared" si="12"/>
        <v/>
      </c>
      <c r="G198" s="129"/>
      <c r="H198" s="129"/>
      <c r="I198" s="133"/>
      <c r="J198" s="129"/>
      <c r="K198" s="133"/>
      <c r="L198" s="129"/>
    </row>
    <row r="199" spans="1:12" x14ac:dyDescent="0.25">
      <c r="A199" s="133"/>
      <c r="B199" s="129"/>
      <c r="C199" s="129"/>
      <c r="D199" s="129"/>
      <c r="E199" s="134" t="str">
        <f t="shared" si="11"/>
        <v/>
      </c>
      <c r="F199" s="134" t="str">
        <f t="shared" si="12"/>
        <v/>
      </c>
      <c r="G199" s="129"/>
      <c r="H199" s="129"/>
      <c r="I199" s="133"/>
      <c r="J199" s="129"/>
      <c r="K199" s="133"/>
      <c r="L199" s="129"/>
    </row>
    <row r="200" spans="1:12" x14ac:dyDescent="0.25">
      <c r="A200" s="133"/>
      <c r="B200" s="129"/>
      <c r="C200" s="129"/>
      <c r="D200" s="129"/>
      <c r="E200" s="134" t="str">
        <f t="shared" si="11"/>
        <v/>
      </c>
      <c r="F200" s="134" t="str">
        <f t="shared" si="12"/>
        <v/>
      </c>
      <c r="G200" s="129"/>
      <c r="H200" s="129"/>
      <c r="I200" s="133"/>
      <c r="J200" s="129"/>
      <c r="K200" s="133"/>
      <c r="L200" s="129"/>
    </row>
    <row r="201" spans="1:12" x14ac:dyDescent="0.25">
      <c r="A201" s="133"/>
      <c r="B201" s="129"/>
      <c r="C201" s="129"/>
      <c r="D201" s="129"/>
      <c r="E201" s="134" t="str">
        <f t="shared" si="11"/>
        <v/>
      </c>
      <c r="F201" s="134" t="str">
        <f t="shared" si="12"/>
        <v/>
      </c>
      <c r="G201" s="129"/>
      <c r="H201" s="129"/>
      <c r="I201" s="133"/>
      <c r="J201" s="129"/>
      <c r="K201" s="133"/>
      <c r="L201" s="129"/>
    </row>
    <row r="202" spans="1:12" x14ac:dyDescent="0.25">
      <c r="A202" s="133"/>
      <c r="B202" s="129"/>
      <c r="C202" s="129"/>
      <c r="D202" s="129"/>
      <c r="E202" s="134" t="str">
        <f t="shared" si="11"/>
        <v/>
      </c>
      <c r="F202" s="134" t="str">
        <f t="shared" si="12"/>
        <v/>
      </c>
      <c r="G202" s="129"/>
      <c r="H202" s="129"/>
      <c r="I202" s="133"/>
      <c r="J202" s="129"/>
      <c r="K202" s="133"/>
      <c r="L202" s="129"/>
    </row>
    <row r="203" spans="1:12" x14ac:dyDescent="0.25">
      <c r="A203" s="133"/>
      <c r="B203" s="129"/>
      <c r="C203" s="129"/>
      <c r="D203" s="129"/>
      <c r="E203" s="134" t="str">
        <f t="shared" si="11"/>
        <v/>
      </c>
      <c r="F203" s="134" t="str">
        <f t="shared" si="12"/>
        <v/>
      </c>
      <c r="G203" s="129"/>
      <c r="H203" s="129"/>
      <c r="I203" s="133"/>
      <c r="J203" s="129"/>
      <c r="K203" s="133"/>
      <c r="L203" s="129"/>
    </row>
    <row r="204" spans="1:12" x14ac:dyDescent="0.25">
      <c r="A204" s="133"/>
      <c r="B204" s="129"/>
      <c r="C204" s="129"/>
      <c r="D204" s="129"/>
      <c r="E204" s="134" t="str">
        <f t="shared" si="11"/>
        <v/>
      </c>
      <c r="F204" s="134" t="str">
        <f t="shared" si="12"/>
        <v/>
      </c>
      <c r="G204" s="129"/>
      <c r="H204" s="129"/>
      <c r="I204" s="133"/>
      <c r="J204" s="129"/>
      <c r="K204" s="133"/>
      <c r="L204" s="129"/>
    </row>
    <row r="205" spans="1:12" x14ac:dyDescent="0.25">
      <c r="A205" s="133"/>
      <c r="B205" s="129"/>
      <c r="C205" s="129"/>
      <c r="D205" s="129"/>
      <c r="E205" s="134" t="str">
        <f t="shared" si="11"/>
        <v/>
      </c>
      <c r="F205" s="134" t="str">
        <f t="shared" si="12"/>
        <v/>
      </c>
      <c r="G205" s="129"/>
      <c r="H205" s="129"/>
      <c r="I205" s="133"/>
      <c r="J205" s="129"/>
      <c r="K205" s="133"/>
      <c r="L205" s="129"/>
    </row>
    <row r="206" spans="1:12" x14ac:dyDescent="0.25">
      <c r="A206" s="133"/>
      <c r="B206" s="129"/>
      <c r="C206" s="129"/>
      <c r="D206" s="129"/>
      <c r="E206" s="134" t="str">
        <f t="shared" si="11"/>
        <v/>
      </c>
      <c r="F206" s="134" t="str">
        <f t="shared" si="12"/>
        <v/>
      </c>
      <c r="G206" s="129"/>
      <c r="H206" s="129"/>
      <c r="I206" s="133"/>
      <c r="J206" s="129"/>
      <c r="K206" s="133"/>
      <c r="L206" s="129"/>
    </row>
    <row r="207" spans="1:12" x14ac:dyDescent="0.25">
      <c r="A207" s="133"/>
      <c r="B207" s="129"/>
      <c r="C207" s="129"/>
      <c r="D207" s="129"/>
      <c r="E207" s="134" t="str">
        <f t="shared" si="11"/>
        <v/>
      </c>
      <c r="F207" s="134" t="str">
        <f t="shared" si="12"/>
        <v/>
      </c>
      <c r="G207" s="129"/>
      <c r="H207" s="129"/>
      <c r="I207" s="133"/>
      <c r="J207" s="129"/>
      <c r="K207" s="133"/>
      <c r="L207" s="129"/>
    </row>
    <row r="208" spans="1:12" x14ac:dyDescent="0.25">
      <c r="A208" s="133"/>
      <c r="B208" s="129"/>
      <c r="C208" s="129"/>
      <c r="D208" s="129"/>
      <c r="E208" s="134" t="str">
        <f t="shared" si="11"/>
        <v/>
      </c>
      <c r="F208" s="134" t="str">
        <f t="shared" si="12"/>
        <v/>
      </c>
      <c r="G208" s="129"/>
      <c r="H208" s="129"/>
      <c r="I208" s="133"/>
      <c r="J208" s="129"/>
      <c r="K208" s="133"/>
      <c r="L208" s="129"/>
    </row>
    <row r="209" spans="1:12" x14ac:dyDescent="0.25">
      <c r="A209" s="133"/>
      <c r="B209" s="129"/>
      <c r="C209" s="129"/>
      <c r="D209" s="129"/>
      <c r="E209" s="134" t="str">
        <f t="shared" si="11"/>
        <v/>
      </c>
      <c r="F209" s="134" t="str">
        <f t="shared" si="12"/>
        <v/>
      </c>
      <c r="G209" s="129"/>
      <c r="H209" s="129"/>
      <c r="I209" s="133"/>
      <c r="J209" s="129"/>
      <c r="K209" s="133"/>
      <c r="L209" s="129"/>
    </row>
    <row r="210" spans="1:12" x14ac:dyDescent="0.25">
      <c r="A210" s="133"/>
      <c r="B210" s="129"/>
      <c r="C210" s="129"/>
      <c r="D210" s="129"/>
      <c r="E210" s="134" t="str">
        <f t="shared" si="11"/>
        <v/>
      </c>
      <c r="F210" s="134" t="str">
        <f t="shared" si="12"/>
        <v/>
      </c>
      <c r="G210" s="129"/>
      <c r="H210" s="129"/>
      <c r="I210" s="133"/>
      <c r="J210" s="129"/>
      <c r="K210" s="133"/>
      <c r="L210" s="129"/>
    </row>
    <row r="211" spans="1:12" x14ac:dyDescent="0.25">
      <c r="A211" s="133"/>
      <c r="B211" s="129"/>
      <c r="C211" s="129"/>
      <c r="D211" s="129"/>
      <c r="E211" s="134" t="str">
        <f t="shared" si="11"/>
        <v/>
      </c>
      <c r="F211" s="134" t="str">
        <f t="shared" si="12"/>
        <v/>
      </c>
      <c r="G211" s="129"/>
      <c r="H211" s="129"/>
      <c r="I211" s="133"/>
      <c r="J211" s="129"/>
      <c r="K211" s="133"/>
      <c r="L211" s="129"/>
    </row>
    <row r="212" spans="1:12" x14ac:dyDescent="0.25">
      <c r="A212" s="133"/>
      <c r="B212" s="129"/>
      <c r="C212" s="129"/>
      <c r="D212" s="129"/>
      <c r="E212" s="134" t="str">
        <f t="shared" si="11"/>
        <v/>
      </c>
      <c r="F212" s="134" t="str">
        <f t="shared" si="12"/>
        <v/>
      </c>
      <c r="G212" s="129"/>
      <c r="H212" s="129"/>
      <c r="I212" s="133"/>
      <c r="J212" s="129"/>
      <c r="K212" s="133"/>
      <c r="L212" s="129"/>
    </row>
    <row r="213" spans="1:12" x14ac:dyDescent="0.25">
      <c r="A213" s="133"/>
      <c r="B213" s="129"/>
      <c r="C213" s="129"/>
      <c r="D213" s="129"/>
      <c r="E213" s="134" t="str">
        <f t="shared" si="11"/>
        <v/>
      </c>
      <c r="F213" s="134" t="str">
        <f t="shared" si="12"/>
        <v/>
      </c>
      <c r="G213" s="129"/>
      <c r="H213" s="129"/>
      <c r="I213" s="133"/>
      <c r="J213" s="129"/>
      <c r="K213" s="133"/>
      <c r="L213" s="129"/>
    </row>
    <row r="214" spans="1:12" x14ac:dyDescent="0.25">
      <c r="A214" s="133"/>
      <c r="B214" s="129"/>
      <c r="C214" s="129"/>
      <c r="D214" s="129"/>
      <c r="E214" s="134" t="str">
        <f t="shared" si="11"/>
        <v/>
      </c>
      <c r="F214" s="134" t="str">
        <f t="shared" si="12"/>
        <v/>
      </c>
      <c r="G214" s="129"/>
      <c r="H214" s="129"/>
      <c r="I214" s="133"/>
      <c r="J214" s="129"/>
      <c r="K214" s="133"/>
      <c r="L214" s="129"/>
    </row>
    <row r="215" spans="1:12" x14ac:dyDescent="0.25">
      <c r="A215" s="133"/>
      <c r="B215" s="129"/>
      <c r="C215" s="129"/>
      <c r="D215" s="129"/>
      <c r="E215" s="134" t="str">
        <f t="shared" si="11"/>
        <v/>
      </c>
      <c r="F215" s="134" t="str">
        <f t="shared" si="12"/>
        <v/>
      </c>
      <c r="G215" s="129"/>
      <c r="H215" s="129"/>
      <c r="I215" s="133"/>
      <c r="J215" s="129"/>
      <c r="K215" s="133"/>
      <c r="L215" s="129"/>
    </row>
    <row r="216" spans="1:12" x14ac:dyDescent="0.25">
      <c r="A216" s="133"/>
      <c r="B216" s="129"/>
      <c r="C216" s="129"/>
      <c r="D216" s="129"/>
      <c r="E216" s="134" t="str">
        <f t="shared" si="11"/>
        <v/>
      </c>
      <c r="F216" s="134" t="str">
        <f t="shared" si="12"/>
        <v/>
      </c>
      <c r="G216" s="129"/>
      <c r="H216" s="129"/>
      <c r="I216" s="133"/>
      <c r="J216" s="129"/>
      <c r="K216" s="133"/>
      <c r="L216" s="129"/>
    </row>
    <row r="217" spans="1:12" x14ac:dyDescent="0.25">
      <c r="A217" s="133"/>
      <c r="B217" s="129"/>
      <c r="C217" s="129"/>
      <c r="D217" s="129"/>
      <c r="E217" s="134" t="str">
        <f t="shared" si="11"/>
        <v/>
      </c>
      <c r="F217" s="134" t="str">
        <f t="shared" si="12"/>
        <v/>
      </c>
      <c r="G217" s="129"/>
      <c r="H217" s="129"/>
      <c r="I217" s="133"/>
      <c r="J217" s="129"/>
      <c r="K217" s="133"/>
      <c r="L217" s="129"/>
    </row>
    <row r="218" spans="1:12" x14ac:dyDescent="0.25">
      <c r="A218" s="133"/>
      <c r="B218" s="129"/>
      <c r="C218" s="129"/>
      <c r="D218" s="129"/>
      <c r="E218" s="134" t="str">
        <f t="shared" si="11"/>
        <v/>
      </c>
      <c r="F218" s="134" t="str">
        <f t="shared" si="12"/>
        <v/>
      </c>
      <c r="G218" s="129"/>
      <c r="H218" s="129"/>
      <c r="I218" s="133"/>
      <c r="J218" s="129"/>
      <c r="K218" s="133"/>
      <c r="L218" s="129"/>
    </row>
    <row r="219" spans="1:12" x14ac:dyDescent="0.25">
      <c r="A219" s="133"/>
      <c r="B219" s="129"/>
      <c r="C219" s="129"/>
      <c r="D219" s="129"/>
      <c r="E219" s="134" t="str">
        <f t="shared" si="11"/>
        <v/>
      </c>
      <c r="F219" s="134" t="str">
        <f t="shared" si="12"/>
        <v/>
      </c>
      <c r="G219" s="129"/>
      <c r="H219" s="129"/>
      <c r="I219" s="133"/>
      <c r="J219" s="129"/>
      <c r="K219" s="133"/>
      <c r="L219" s="129"/>
    </row>
    <row r="220" spans="1:12" x14ac:dyDescent="0.25">
      <c r="A220" s="133"/>
      <c r="B220" s="129"/>
      <c r="C220" s="129"/>
      <c r="D220" s="129"/>
      <c r="E220" s="134" t="str">
        <f t="shared" si="11"/>
        <v/>
      </c>
      <c r="F220" s="134" t="str">
        <f t="shared" si="12"/>
        <v/>
      </c>
      <c r="G220" s="129"/>
      <c r="H220" s="129"/>
      <c r="I220" s="133"/>
      <c r="J220" s="129"/>
      <c r="K220" s="133"/>
      <c r="L220" s="129"/>
    </row>
    <row r="221" spans="1:12" x14ac:dyDescent="0.25">
      <c r="A221" s="133"/>
      <c r="B221" s="129"/>
      <c r="C221" s="129"/>
      <c r="D221" s="129"/>
      <c r="E221" s="134" t="str">
        <f t="shared" si="11"/>
        <v/>
      </c>
      <c r="F221" s="134" t="str">
        <f t="shared" si="12"/>
        <v/>
      </c>
      <c r="G221" s="129"/>
      <c r="H221" s="129"/>
      <c r="I221" s="133"/>
      <c r="J221" s="129"/>
      <c r="K221" s="133"/>
      <c r="L221" s="129"/>
    </row>
    <row r="222" spans="1:12" x14ac:dyDescent="0.25">
      <c r="A222" s="133"/>
      <c r="B222" s="129"/>
      <c r="C222" s="129"/>
      <c r="D222" s="129"/>
      <c r="E222" s="134" t="str">
        <f t="shared" si="11"/>
        <v/>
      </c>
      <c r="F222" s="134" t="str">
        <f t="shared" si="12"/>
        <v/>
      </c>
      <c r="G222" s="129"/>
      <c r="H222" s="129"/>
      <c r="I222" s="133"/>
      <c r="J222" s="129"/>
      <c r="K222" s="133"/>
      <c r="L222" s="129"/>
    </row>
    <row r="223" spans="1:12" x14ac:dyDescent="0.25">
      <c r="A223" s="133"/>
      <c r="B223" s="129"/>
      <c r="C223" s="129"/>
      <c r="D223" s="129"/>
      <c r="E223" s="134" t="str">
        <f t="shared" si="11"/>
        <v/>
      </c>
      <c r="F223" s="134" t="str">
        <f t="shared" si="12"/>
        <v/>
      </c>
      <c r="G223" s="129"/>
      <c r="H223" s="129"/>
      <c r="I223" s="133"/>
      <c r="J223" s="129"/>
      <c r="K223" s="133"/>
      <c r="L223" s="129"/>
    </row>
    <row r="224" spans="1:12" x14ac:dyDescent="0.25">
      <c r="A224" s="133"/>
      <c r="B224" s="129"/>
      <c r="C224" s="129"/>
      <c r="D224" s="129"/>
      <c r="E224" s="134" t="str">
        <f t="shared" si="11"/>
        <v/>
      </c>
      <c r="F224" s="134" t="str">
        <f t="shared" si="12"/>
        <v/>
      </c>
      <c r="G224" s="129"/>
      <c r="H224" s="129"/>
      <c r="I224" s="133"/>
      <c r="J224" s="129"/>
      <c r="K224" s="133"/>
      <c r="L224" s="129"/>
    </row>
    <row r="225" spans="1:12" x14ac:dyDescent="0.25">
      <c r="A225" s="133"/>
      <c r="B225" s="129"/>
      <c r="C225" s="129"/>
      <c r="D225" s="129"/>
      <c r="E225" s="134" t="str">
        <f t="shared" si="11"/>
        <v/>
      </c>
      <c r="F225" s="134" t="str">
        <f t="shared" si="12"/>
        <v/>
      </c>
      <c r="G225" s="129"/>
      <c r="H225" s="129"/>
      <c r="I225" s="133"/>
      <c r="J225" s="129"/>
      <c r="K225" s="133"/>
      <c r="L225" s="129"/>
    </row>
    <row r="226" spans="1:12" x14ac:dyDescent="0.25">
      <c r="A226" s="133"/>
      <c r="B226" s="129"/>
      <c r="C226" s="129"/>
      <c r="D226" s="129"/>
      <c r="E226" s="134" t="str">
        <f t="shared" si="11"/>
        <v/>
      </c>
      <c r="F226" s="134" t="str">
        <f t="shared" si="12"/>
        <v/>
      </c>
      <c r="G226" s="129"/>
      <c r="H226" s="129"/>
      <c r="I226" s="133"/>
      <c r="J226" s="129"/>
      <c r="K226" s="133"/>
      <c r="L226" s="129"/>
    </row>
    <row r="227" spans="1:12" x14ac:dyDescent="0.25">
      <c r="A227" s="133"/>
      <c r="B227" s="129"/>
      <c r="C227" s="129"/>
      <c r="D227" s="129"/>
      <c r="E227" s="134" t="str">
        <f t="shared" si="11"/>
        <v/>
      </c>
      <c r="F227" s="134" t="str">
        <f t="shared" si="12"/>
        <v/>
      </c>
      <c r="G227" s="129"/>
      <c r="H227" s="129"/>
      <c r="I227" s="133"/>
      <c r="J227" s="129"/>
      <c r="K227" s="133"/>
      <c r="L227" s="129"/>
    </row>
    <row r="228" spans="1:12" x14ac:dyDescent="0.25">
      <c r="A228" s="133"/>
      <c r="B228" s="129"/>
      <c r="C228" s="129"/>
      <c r="D228" s="129"/>
      <c r="E228" s="134" t="str">
        <f t="shared" si="11"/>
        <v/>
      </c>
      <c r="F228" s="134" t="str">
        <f t="shared" si="12"/>
        <v/>
      </c>
      <c r="G228" s="129"/>
      <c r="H228" s="129"/>
      <c r="I228" s="133"/>
      <c r="J228" s="129"/>
      <c r="K228" s="133"/>
      <c r="L228" s="129"/>
    </row>
    <row r="229" spans="1:12" x14ac:dyDescent="0.25">
      <c r="A229" s="133"/>
      <c r="B229" s="129"/>
      <c r="C229" s="129"/>
      <c r="D229" s="129"/>
      <c r="E229" s="134" t="str">
        <f t="shared" si="11"/>
        <v/>
      </c>
      <c r="F229" s="134" t="str">
        <f t="shared" si="12"/>
        <v/>
      </c>
      <c r="G229" s="129"/>
      <c r="H229" s="129"/>
      <c r="I229" s="133"/>
      <c r="J229" s="129"/>
      <c r="K229" s="133"/>
      <c r="L229" s="129"/>
    </row>
    <row r="230" spans="1:12" x14ac:dyDescent="0.25">
      <c r="A230" s="133"/>
      <c r="B230" s="129"/>
      <c r="C230" s="129"/>
      <c r="D230" s="129"/>
      <c r="E230" s="134" t="str">
        <f t="shared" si="11"/>
        <v/>
      </c>
      <c r="F230" s="134" t="str">
        <f t="shared" si="12"/>
        <v/>
      </c>
      <c r="G230" s="129"/>
      <c r="H230" s="129"/>
      <c r="I230" s="133"/>
      <c r="J230" s="129"/>
      <c r="K230" s="133"/>
      <c r="L230" s="129"/>
    </row>
    <row r="231" spans="1:12" x14ac:dyDescent="0.25">
      <c r="A231" s="133"/>
      <c r="B231" s="129"/>
      <c r="C231" s="129"/>
      <c r="D231" s="129"/>
      <c r="E231" s="134" t="str">
        <f t="shared" si="11"/>
        <v/>
      </c>
      <c r="F231" s="134" t="str">
        <f t="shared" si="12"/>
        <v/>
      </c>
      <c r="G231" s="129"/>
      <c r="H231" s="129"/>
      <c r="I231" s="133"/>
      <c r="J231" s="129"/>
      <c r="K231" s="133"/>
      <c r="L231" s="129"/>
    </row>
    <row r="232" spans="1:12" x14ac:dyDescent="0.25">
      <c r="A232" s="133"/>
      <c r="B232" s="129"/>
      <c r="C232" s="129"/>
      <c r="D232" s="129"/>
      <c r="E232" s="134" t="str">
        <f t="shared" si="11"/>
        <v/>
      </c>
      <c r="F232" s="134" t="str">
        <f t="shared" si="12"/>
        <v/>
      </c>
      <c r="G232" s="129"/>
      <c r="H232" s="129"/>
      <c r="I232" s="133"/>
      <c r="J232" s="129"/>
      <c r="K232" s="133"/>
      <c r="L232" s="129"/>
    </row>
    <row r="233" spans="1:12" x14ac:dyDescent="0.25">
      <c r="A233" s="133"/>
      <c r="B233" s="129"/>
      <c r="C233" s="129"/>
      <c r="D233" s="129"/>
      <c r="E233" s="134" t="str">
        <f t="shared" si="11"/>
        <v/>
      </c>
      <c r="F233" s="134" t="str">
        <f t="shared" si="12"/>
        <v/>
      </c>
      <c r="G233" s="129"/>
      <c r="H233" s="129"/>
      <c r="I233" s="133"/>
      <c r="J233" s="129"/>
      <c r="K233" s="133"/>
      <c r="L233" s="129"/>
    </row>
    <row r="234" spans="1:12" x14ac:dyDescent="0.25">
      <c r="A234" s="133"/>
      <c r="B234" s="129"/>
      <c r="C234" s="129"/>
      <c r="D234" s="129"/>
      <c r="E234" s="134" t="str">
        <f t="shared" si="11"/>
        <v/>
      </c>
      <c r="F234" s="134" t="str">
        <f t="shared" si="12"/>
        <v/>
      </c>
      <c r="G234" s="129"/>
      <c r="H234" s="129"/>
      <c r="I234" s="133"/>
      <c r="J234" s="129"/>
      <c r="K234" s="133"/>
      <c r="L234" s="129"/>
    </row>
    <row r="235" spans="1:12" x14ac:dyDescent="0.25">
      <c r="A235" s="133"/>
      <c r="B235" s="129"/>
      <c r="C235" s="129"/>
      <c r="D235" s="129"/>
      <c r="E235" s="134" t="str">
        <f t="shared" si="11"/>
        <v/>
      </c>
      <c r="F235" s="134" t="str">
        <f t="shared" si="12"/>
        <v/>
      </c>
      <c r="G235" s="129"/>
      <c r="H235" s="129"/>
      <c r="I235" s="133"/>
      <c r="J235" s="129"/>
      <c r="K235" s="133"/>
      <c r="L235" s="129"/>
    </row>
    <row r="236" spans="1:12" x14ac:dyDescent="0.25">
      <c r="A236" s="133"/>
      <c r="B236" s="129"/>
      <c r="C236" s="129"/>
      <c r="D236" s="129"/>
      <c r="E236" s="134" t="str">
        <f t="shared" si="11"/>
        <v/>
      </c>
      <c r="F236" s="134" t="str">
        <f t="shared" si="12"/>
        <v/>
      </c>
      <c r="G236" s="129"/>
      <c r="H236" s="129"/>
      <c r="I236" s="133"/>
      <c r="J236" s="129"/>
      <c r="K236" s="133"/>
      <c r="L236" s="129"/>
    </row>
    <row r="237" spans="1:12" x14ac:dyDescent="0.25">
      <c r="A237" s="133"/>
      <c r="B237" s="129"/>
      <c r="C237" s="129"/>
      <c r="D237" s="129"/>
      <c r="E237" s="134" t="str">
        <f t="shared" si="11"/>
        <v/>
      </c>
      <c r="F237" s="134" t="str">
        <f t="shared" si="12"/>
        <v/>
      </c>
      <c r="G237" s="129"/>
      <c r="H237" s="129"/>
      <c r="I237" s="133"/>
      <c r="J237" s="129"/>
      <c r="K237" s="133"/>
      <c r="L237" s="129"/>
    </row>
    <row r="238" spans="1:12" x14ac:dyDescent="0.25">
      <c r="A238" s="133"/>
      <c r="B238" s="129"/>
      <c r="C238" s="129"/>
      <c r="D238" s="129"/>
      <c r="E238" s="134" t="str">
        <f t="shared" si="11"/>
        <v/>
      </c>
      <c r="F238" s="134" t="str">
        <f t="shared" si="12"/>
        <v/>
      </c>
      <c r="G238" s="129"/>
      <c r="H238" s="129"/>
      <c r="I238" s="133"/>
      <c r="J238" s="129"/>
      <c r="K238" s="133"/>
      <c r="L238" s="129"/>
    </row>
    <row r="239" spans="1:12" x14ac:dyDescent="0.25">
      <c r="A239" s="133"/>
      <c r="B239" s="129"/>
      <c r="C239" s="129"/>
      <c r="D239" s="129"/>
      <c r="E239" s="134" t="str">
        <f t="shared" si="11"/>
        <v/>
      </c>
      <c r="F239" s="134" t="str">
        <f t="shared" si="12"/>
        <v/>
      </c>
      <c r="G239" s="129"/>
      <c r="H239" s="129"/>
      <c r="I239" s="133"/>
      <c r="J239" s="129"/>
      <c r="K239" s="133"/>
      <c r="L239" s="129"/>
    </row>
    <row r="240" spans="1:12" x14ac:dyDescent="0.25">
      <c r="A240" s="133"/>
      <c r="B240" s="129"/>
      <c r="C240" s="129"/>
      <c r="D240" s="129"/>
      <c r="E240" s="134" t="str">
        <f t="shared" si="11"/>
        <v/>
      </c>
      <c r="F240" s="134" t="str">
        <f t="shared" si="12"/>
        <v/>
      </c>
      <c r="G240" s="129"/>
      <c r="H240" s="129"/>
      <c r="I240" s="133"/>
      <c r="J240" s="129"/>
      <c r="K240" s="133"/>
      <c r="L240" s="129"/>
    </row>
    <row r="241" spans="1:12" x14ac:dyDescent="0.25">
      <c r="A241" s="133"/>
      <c r="B241" s="129"/>
      <c r="C241" s="129"/>
      <c r="D241" s="129"/>
      <c r="E241" s="134" t="str">
        <f t="shared" si="11"/>
        <v/>
      </c>
      <c r="F241" s="134" t="str">
        <f t="shared" si="12"/>
        <v/>
      </c>
      <c r="G241" s="129"/>
      <c r="H241" s="129"/>
      <c r="I241" s="133"/>
      <c r="J241" s="129"/>
      <c r="K241" s="133"/>
      <c r="L241" s="129"/>
    </row>
    <row r="242" spans="1:12" x14ac:dyDescent="0.25">
      <c r="A242" s="133"/>
      <c r="B242" s="129"/>
      <c r="C242" s="129"/>
      <c r="D242" s="129"/>
      <c r="E242" s="134" t="str">
        <f t="shared" si="11"/>
        <v/>
      </c>
      <c r="F242" s="134" t="str">
        <f t="shared" si="12"/>
        <v/>
      </c>
      <c r="G242" s="129"/>
      <c r="H242" s="129"/>
      <c r="I242" s="133"/>
      <c r="J242" s="129"/>
      <c r="K242" s="133"/>
      <c r="L242" s="129"/>
    </row>
    <row r="243" spans="1:12" x14ac:dyDescent="0.25">
      <c r="A243" s="133"/>
      <c r="B243" s="129"/>
      <c r="C243" s="129"/>
      <c r="D243" s="129"/>
      <c r="E243" s="134" t="str">
        <f t="shared" si="11"/>
        <v/>
      </c>
      <c r="F243" s="134" t="str">
        <f t="shared" si="12"/>
        <v/>
      </c>
      <c r="G243" s="129"/>
      <c r="H243" s="129"/>
      <c r="I243" s="133"/>
      <c r="J243" s="129"/>
      <c r="K243" s="133"/>
      <c r="L243" s="129"/>
    </row>
    <row r="244" spans="1:12" x14ac:dyDescent="0.25">
      <c r="A244" s="133"/>
      <c r="B244" s="129"/>
      <c r="C244" s="129"/>
      <c r="D244" s="129"/>
      <c r="E244" s="134" t="str">
        <f t="shared" si="11"/>
        <v/>
      </c>
      <c r="F244" s="134" t="str">
        <f t="shared" si="12"/>
        <v/>
      </c>
      <c r="G244" s="129"/>
      <c r="H244" s="129"/>
      <c r="I244" s="133"/>
      <c r="J244" s="129"/>
      <c r="K244" s="133"/>
      <c r="L244" s="129"/>
    </row>
    <row r="245" spans="1:12" x14ac:dyDescent="0.25">
      <c r="A245" s="133"/>
      <c r="B245" s="129"/>
      <c r="C245" s="129"/>
      <c r="D245" s="129"/>
      <c r="E245" s="134" t="str">
        <f t="shared" si="11"/>
        <v/>
      </c>
      <c r="F245" s="134" t="str">
        <f t="shared" si="12"/>
        <v/>
      </c>
      <c r="G245" s="129"/>
      <c r="H245" s="129"/>
      <c r="I245" s="133"/>
      <c r="J245" s="129"/>
      <c r="K245" s="133"/>
      <c r="L245" s="129"/>
    </row>
    <row r="246" spans="1:12" x14ac:dyDescent="0.25">
      <c r="A246" s="133"/>
      <c r="B246" s="129"/>
      <c r="C246" s="129"/>
      <c r="D246" s="129"/>
      <c r="E246" s="134" t="str">
        <f t="shared" si="11"/>
        <v/>
      </c>
      <c r="F246" s="134" t="str">
        <f t="shared" si="12"/>
        <v/>
      </c>
      <c r="G246" s="129"/>
      <c r="H246" s="129"/>
      <c r="I246" s="133"/>
      <c r="J246" s="129"/>
      <c r="K246" s="133"/>
      <c r="L246" s="129"/>
    </row>
    <row r="247" spans="1:12" x14ac:dyDescent="0.25">
      <c r="A247" s="133"/>
      <c r="B247" s="129"/>
      <c r="C247" s="129"/>
      <c r="D247" s="129"/>
      <c r="E247" s="134" t="str">
        <f t="shared" si="11"/>
        <v/>
      </c>
      <c r="F247" s="134" t="str">
        <f t="shared" si="12"/>
        <v/>
      </c>
      <c r="G247" s="129"/>
      <c r="H247" s="129"/>
      <c r="I247" s="133"/>
      <c r="J247" s="129"/>
      <c r="K247" s="133"/>
      <c r="L247" s="129"/>
    </row>
    <row r="248" spans="1:12" x14ac:dyDescent="0.25">
      <c r="A248" s="133"/>
      <c r="B248" s="129"/>
      <c r="C248" s="129"/>
      <c r="D248" s="129"/>
      <c r="E248" s="134" t="str">
        <f t="shared" si="11"/>
        <v/>
      </c>
      <c r="F248" s="134" t="str">
        <f t="shared" si="12"/>
        <v/>
      </c>
      <c r="G248" s="129"/>
      <c r="H248" s="129"/>
      <c r="I248" s="133"/>
      <c r="J248" s="129"/>
      <c r="K248" s="133"/>
      <c r="L248" s="129"/>
    </row>
    <row r="249" spans="1:12" x14ac:dyDescent="0.25">
      <c r="A249" s="133"/>
      <c r="B249" s="129"/>
      <c r="C249" s="129"/>
      <c r="D249" s="129"/>
      <c r="E249" s="134" t="str">
        <f t="shared" si="11"/>
        <v/>
      </c>
      <c r="F249" s="134" t="str">
        <f t="shared" si="12"/>
        <v/>
      </c>
      <c r="G249" s="129"/>
      <c r="H249" s="129"/>
      <c r="I249" s="133"/>
      <c r="J249" s="129"/>
      <c r="K249" s="133"/>
      <c r="L249" s="129"/>
    </row>
    <row r="250" spans="1:12" x14ac:dyDescent="0.25">
      <c r="A250" s="133"/>
      <c r="B250" s="129"/>
      <c r="C250" s="129"/>
      <c r="D250" s="129"/>
      <c r="E250" s="134" t="str">
        <f t="shared" si="11"/>
        <v/>
      </c>
      <c r="F250" s="134" t="str">
        <f t="shared" si="12"/>
        <v/>
      </c>
      <c r="G250" s="129"/>
      <c r="H250" s="129"/>
      <c r="I250" s="133"/>
      <c r="J250" s="129"/>
      <c r="K250" s="133"/>
      <c r="L250" s="129"/>
    </row>
    <row r="251" spans="1:12" x14ac:dyDescent="0.25">
      <c r="A251" s="133"/>
      <c r="B251" s="129"/>
      <c r="C251" s="129"/>
      <c r="D251" s="129"/>
      <c r="E251" s="134" t="str">
        <f t="shared" si="11"/>
        <v/>
      </c>
      <c r="F251" s="134" t="str">
        <f t="shared" si="12"/>
        <v/>
      </c>
      <c r="G251" s="129"/>
      <c r="H251" s="129"/>
      <c r="I251" s="133"/>
      <c r="J251" s="129"/>
      <c r="K251" s="133"/>
      <c r="L251" s="129"/>
    </row>
    <row r="252" spans="1:12" x14ac:dyDescent="0.25">
      <c r="A252" s="133"/>
      <c r="B252" s="129"/>
      <c r="C252" s="129"/>
      <c r="D252" s="129"/>
      <c r="E252" s="134" t="str">
        <f t="shared" si="11"/>
        <v/>
      </c>
      <c r="F252" s="134" t="str">
        <f t="shared" si="12"/>
        <v/>
      </c>
      <c r="G252" s="129"/>
      <c r="H252" s="129"/>
      <c r="I252" s="133"/>
      <c r="J252" s="129"/>
      <c r="K252" s="133"/>
      <c r="L252" s="129"/>
    </row>
    <row r="253" spans="1:12" x14ac:dyDescent="0.25">
      <c r="A253" s="133"/>
      <c r="B253" s="129"/>
      <c r="C253" s="129"/>
      <c r="D253" s="129"/>
      <c r="E253" s="134" t="str">
        <f t="shared" si="11"/>
        <v/>
      </c>
      <c r="F253" s="134" t="str">
        <f t="shared" si="12"/>
        <v/>
      </c>
      <c r="G253" s="129"/>
      <c r="H253" s="129"/>
      <c r="I253" s="133"/>
      <c r="J253" s="129"/>
      <c r="K253" s="133"/>
      <c r="L253" s="129"/>
    </row>
    <row r="254" spans="1:12" x14ac:dyDescent="0.25">
      <c r="A254" s="133"/>
      <c r="B254" s="129"/>
      <c r="C254" s="129"/>
      <c r="D254" s="129"/>
      <c r="E254" s="134" t="str">
        <f t="shared" si="11"/>
        <v/>
      </c>
      <c r="F254" s="134" t="str">
        <f t="shared" si="12"/>
        <v/>
      </c>
      <c r="G254" s="129"/>
      <c r="H254" s="129"/>
      <c r="I254" s="133"/>
      <c r="J254" s="129"/>
      <c r="K254" s="133"/>
      <c r="L254" s="129"/>
    </row>
    <row r="255" spans="1:12" x14ac:dyDescent="0.25">
      <c r="A255" s="133"/>
      <c r="B255" s="129"/>
      <c r="C255" s="129"/>
      <c r="D255" s="129"/>
      <c r="E255" s="134" t="str">
        <f t="shared" si="11"/>
        <v/>
      </c>
      <c r="F255" s="134" t="str">
        <f t="shared" si="12"/>
        <v/>
      </c>
      <c r="G255" s="129"/>
      <c r="H255" s="129"/>
      <c r="I255" s="133"/>
      <c r="J255" s="129"/>
      <c r="K255" s="133"/>
      <c r="L255" s="129"/>
    </row>
    <row r="256" spans="1:12" x14ac:dyDescent="0.25">
      <c r="A256" s="133"/>
      <c r="B256" s="129"/>
      <c r="C256" s="129"/>
      <c r="D256" s="129"/>
      <c r="E256" s="134" t="str">
        <f t="shared" si="11"/>
        <v/>
      </c>
      <c r="F256" s="134" t="str">
        <f t="shared" si="12"/>
        <v/>
      </c>
      <c r="G256" s="129"/>
      <c r="H256" s="129"/>
      <c r="I256" s="133"/>
      <c r="J256" s="129"/>
      <c r="K256" s="133"/>
      <c r="L256" s="129"/>
    </row>
    <row r="257" spans="1:12" x14ac:dyDescent="0.25">
      <c r="A257" s="133"/>
      <c r="B257" s="129"/>
      <c r="C257" s="129"/>
      <c r="D257" s="129"/>
      <c r="E257" s="134" t="str">
        <f t="shared" si="11"/>
        <v/>
      </c>
      <c r="F257" s="134" t="str">
        <f t="shared" si="12"/>
        <v/>
      </c>
      <c r="G257" s="129"/>
      <c r="H257" s="129"/>
      <c r="I257" s="133"/>
      <c r="J257" s="129"/>
      <c r="K257" s="133"/>
      <c r="L257" s="129"/>
    </row>
    <row r="258" spans="1:12" x14ac:dyDescent="0.25">
      <c r="A258" s="133"/>
      <c r="B258" s="129"/>
      <c r="C258" s="129"/>
      <c r="D258" s="129"/>
      <c r="E258" s="134" t="str">
        <f t="shared" si="11"/>
        <v/>
      </c>
      <c r="F258" s="134" t="str">
        <f t="shared" si="12"/>
        <v/>
      </c>
      <c r="G258" s="129"/>
      <c r="H258" s="129"/>
      <c r="I258" s="133"/>
      <c r="J258" s="129"/>
      <c r="K258" s="133"/>
      <c r="L258" s="129"/>
    </row>
    <row r="259" spans="1:12" x14ac:dyDescent="0.25">
      <c r="A259" s="133"/>
      <c r="B259" s="129"/>
      <c r="C259" s="129"/>
      <c r="D259" s="129"/>
      <c r="E259" s="134" t="str">
        <f t="shared" si="11"/>
        <v/>
      </c>
      <c r="F259" s="134" t="str">
        <f t="shared" si="12"/>
        <v/>
      </c>
      <c r="G259" s="129"/>
      <c r="H259" s="129"/>
      <c r="I259" s="133"/>
      <c r="J259" s="129"/>
      <c r="K259" s="133"/>
      <c r="L259" s="129"/>
    </row>
    <row r="260" spans="1:12" x14ac:dyDescent="0.25">
      <c r="A260" s="133"/>
      <c r="B260" s="129"/>
      <c r="C260" s="129"/>
      <c r="D260" s="129"/>
      <c r="E260" s="134" t="str">
        <f t="shared" si="11"/>
        <v/>
      </c>
      <c r="F260" s="134" t="str">
        <f t="shared" si="12"/>
        <v/>
      </c>
      <c r="G260" s="129"/>
      <c r="H260" s="129"/>
      <c r="I260" s="133"/>
      <c r="J260" s="129"/>
      <c r="K260" s="133"/>
      <c r="L260" s="129"/>
    </row>
    <row r="261" spans="1:12" x14ac:dyDescent="0.25">
      <c r="A261" s="133"/>
      <c r="B261" s="129"/>
      <c r="C261" s="129"/>
      <c r="D261" s="129"/>
      <c r="E261" s="134" t="str">
        <f t="shared" ref="E261:E324" si="13">IFERROR(IF($D261="","",VLOOKUP($D261,CAD_TAB,8,FALSE)),"")</f>
        <v/>
      </c>
      <c r="F261" s="134" t="str">
        <f t="shared" ref="F261:F324" si="14">IFERROR(IF($D261="","",VLOOKUP($D261,CAD_TAB,9,FALSE)),"")</f>
        <v/>
      </c>
      <c r="G261" s="129"/>
      <c r="H261" s="129"/>
      <c r="I261" s="133"/>
      <c r="J261" s="129"/>
      <c r="K261" s="133"/>
      <c r="L261" s="129"/>
    </row>
    <row r="262" spans="1:12" x14ac:dyDescent="0.25">
      <c r="A262" s="133"/>
      <c r="B262" s="129"/>
      <c r="C262" s="129"/>
      <c r="D262" s="129"/>
      <c r="E262" s="134" t="str">
        <f t="shared" si="13"/>
        <v/>
      </c>
      <c r="F262" s="134" t="str">
        <f t="shared" si="14"/>
        <v/>
      </c>
      <c r="G262" s="129"/>
      <c r="H262" s="129"/>
      <c r="I262" s="133"/>
      <c r="J262" s="129"/>
      <c r="K262" s="133"/>
      <c r="L262" s="129"/>
    </row>
    <row r="263" spans="1:12" x14ac:dyDescent="0.25">
      <c r="A263" s="133"/>
      <c r="B263" s="129"/>
      <c r="C263" s="129"/>
      <c r="D263" s="129"/>
      <c r="E263" s="134" t="str">
        <f t="shared" si="13"/>
        <v/>
      </c>
      <c r="F263" s="134" t="str">
        <f t="shared" si="14"/>
        <v/>
      </c>
      <c r="G263" s="129"/>
      <c r="H263" s="129"/>
      <c r="I263" s="133"/>
      <c r="J263" s="129"/>
      <c r="K263" s="133"/>
      <c r="L263" s="129"/>
    </row>
    <row r="264" spans="1:12" x14ac:dyDescent="0.25">
      <c r="A264" s="133"/>
      <c r="B264" s="129"/>
      <c r="C264" s="129"/>
      <c r="D264" s="129"/>
      <c r="E264" s="134" t="str">
        <f t="shared" si="13"/>
        <v/>
      </c>
      <c r="F264" s="134" t="str">
        <f t="shared" si="14"/>
        <v/>
      </c>
      <c r="G264" s="129"/>
      <c r="H264" s="129"/>
      <c r="I264" s="133"/>
      <c r="J264" s="129"/>
      <c r="K264" s="133"/>
      <c r="L264" s="129"/>
    </row>
    <row r="265" spans="1:12" x14ac:dyDescent="0.25">
      <c r="A265" s="133"/>
      <c r="B265" s="129"/>
      <c r="C265" s="129"/>
      <c r="D265" s="129"/>
      <c r="E265" s="134" t="str">
        <f t="shared" si="13"/>
        <v/>
      </c>
      <c r="F265" s="134" t="str">
        <f t="shared" si="14"/>
        <v/>
      </c>
      <c r="G265" s="129"/>
      <c r="H265" s="129"/>
      <c r="I265" s="133"/>
      <c r="J265" s="129"/>
      <c r="K265" s="133"/>
      <c r="L265" s="129"/>
    </row>
    <row r="266" spans="1:12" x14ac:dyDescent="0.25">
      <c r="A266" s="133"/>
      <c r="B266" s="129"/>
      <c r="C266" s="129"/>
      <c r="D266" s="129"/>
      <c r="E266" s="134" t="str">
        <f t="shared" si="13"/>
        <v/>
      </c>
      <c r="F266" s="134" t="str">
        <f t="shared" si="14"/>
        <v/>
      </c>
      <c r="G266" s="129"/>
      <c r="H266" s="129"/>
      <c r="I266" s="133"/>
      <c r="J266" s="129"/>
      <c r="K266" s="133"/>
      <c r="L266" s="129"/>
    </row>
    <row r="267" spans="1:12" x14ac:dyDescent="0.25">
      <c r="A267" s="133"/>
      <c r="B267" s="129"/>
      <c r="C267" s="129"/>
      <c r="D267" s="129"/>
      <c r="E267" s="134" t="str">
        <f t="shared" si="13"/>
        <v/>
      </c>
      <c r="F267" s="134" t="str">
        <f t="shared" si="14"/>
        <v/>
      </c>
      <c r="G267" s="129"/>
      <c r="H267" s="129"/>
      <c r="I267" s="133"/>
      <c r="J267" s="129"/>
      <c r="K267" s="133"/>
      <c r="L267" s="129"/>
    </row>
    <row r="268" spans="1:12" x14ac:dyDescent="0.25">
      <c r="A268" s="133"/>
      <c r="B268" s="129"/>
      <c r="C268" s="129"/>
      <c r="D268" s="129"/>
      <c r="E268" s="134" t="str">
        <f t="shared" si="13"/>
        <v/>
      </c>
      <c r="F268" s="134" t="str">
        <f t="shared" si="14"/>
        <v/>
      </c>
      <c r="G268" s="129"/>
      <c r="H268" s="129"/>
      <c r="I268" s="133"/>
      <c r="J268" s="129"/>
      <c r="K268" s="133"/>
      <c r="L268" s="129"/>
    </row>
    <row r="269" spans="1:12" x14ac:dyDescent="0.25">
      <c r="A269" s="133"/>
      <c r="B269" s="129"/>
      <c r="C269" s="129"/>
      <c r="D269" s="129"/>
      <c r="E269" s="134" t="str">
        <f t="shared" si="13"/>
        <v/>
      </c>
      <c r="F269" s="134" t="str">
        <f t="shared" si="14"/>
        <v/>
      </c>
      <c r="G269" s="129"/>
      <c r="H269" s="129"/>
      <c r="I269" s="133"/>
      <c r="J269" s="129"/>
      <c r="K269" s="133"/>
      <c r="L269" s="129"/>
    </row>
    <row r="270" spans="1:12" x14ac:dyDescent="0.25">
      <c r="A270" s="133"/>
      <c r="B270" s="129"/>
      <c r="C270" s="129"/>
      <c r="D270" s="129"/>
      <c r="E270" s="134" t="str">
        <f t="shared" si="13"/>
        <v/>
      </c>
      <c r="F270" s="134" t="str">
        <f t="shared" si="14"/>
        <v/>
      </c>
      <c r="G270" s="129"/>
      <c r="H270" s="129"/>
      <c r="I270" s="133"/>
      <c r="J270" s="129"/>
      <c r="K270" s="133"/>
      <c r="L270" s="129"/>
    </row>
    <row r="271" spans="1:12" x14ac:dyDescent="0.25">
      <c r="A271" s="133"/>
      <c r="B271" s="129"/>
      <c r="C271" s="129"/>
      <c r="D271" s="129"/>
      <c r="E271" s="134" t="str">
        <f t="shared" si="13"/>
        <v/>
      </c>
      <c r="F271" s="134" t="str">
        <f t="shared" si="14"/>
        <v/>
      </c>
      <c r="G271" s="129"/>
      <c r="H271" s="129"/>
      <c r="I271" s="133"/>
      <c r="J271" s="129"/>
      <c r="K271" s="133"/>
      <c r="L271" s="129"/>
    </row>
    <row r="272" spans="1:12" x14ac:dyDescent="0.25">
      <c r="A272" s="133"/>
      <c r="B272" s="129"/>
      <c r="C272" s="129"/>
      <c r="D272" s="129"/>
      <c r="E272" s="134" t="str">
        <f t="shared" si="13"/>
        <v/>
      </c>
      <c r="F272" s="134" t="str">
        <f t="shared" si="14"/>
        <v/>
      </c>
      <c r="G272" s="129"/>
      <c r="H272" s="129"/>
      <c r="I272" s="133"/>
      <c r="J272" s="129"/>
      <c r="K272" s="133"/>
      <c r="L272" s="129"/>
    </row>
    <row r="273" spans="1:12" x14ac:dyDescent="0.25">
      <c r="A273" s="133"/>
      <c r="B273" s="129"/>
      <c r="C273" s="129"/>
      <c r="D273" s="129"/>
      <c r="E273" s="134" t="str">
        <f t="shared" si="13"/>
        <v/>
      </c>
      <c r="F273" s="134" t="str">
        <f t="shared" si="14"/>
        <v/>
      </c>
      <c r="G273" s="129"/>
      <c r="H273" s="129"/>
      <c r="I273" s="133"/>
      <c r="J273" s="129"/>
      <c r="K273" s="133"/>
      <c r="L273" s="129"/>
    </row>
    <row r="274" spans="1:12" x14ac:dyDescent="0.25">
      <c r="A274" s="133"/>
      <c r="B274" s="129"/>
      <c r="C274" s="129"/>
      <c r="D274" s="129"/>
      <c r="E274" s="134" t="str">
        <f t="shared" si="13"/>
        <v/>
      </c>
      <c r="F274" s="134" t="str">
        <f t="shared" si="14"/>
        <v/>
      </c>
      <c r="G274" s="129"/>
      <c r="H274" s="129"/>
      <c r="I274" s="133"/>
      <c r="J274" s="129"/>
      <c r="K274" s="133"/>
      <c r="L274" s="129"/>
    </row>
    <row r="275" spans="1:12" x14ac:dyDescent="0.25">
      <c r="A275" s="133"/>
      <c r="B275" s="129"/>
      <c r="C275" s="129"/>
      <c r="D275" s="129"/>
      <c r="E275" s="134" t="str">
        <f t="shared" si="13"/>
        <v/>
      </c>
      <c r="F275" s="134" t="str">
        <f t="shared" si="14"/>
        <v/>
      </c>
      <c r="G275" s="129"/>
      <c r="H275" s="129"/>
      <c r="I275" s="133"/>
      <c r="J275" s="129"/>
      <c r="K275" s="133"/>
      <c r="L275" s="129"/>
    </row>
    <row r="276" spans="1:12" x14ac:dyDescent="0.25">
      <c r="A276" s="133"/>
      <c r="B276" s="129"/>
      <c r="C276" s="129"/>
      <c r="D276" s="129"/>
      <c r="E276" s="134" t="str">
        <f t="shared" si="13"/>
        <v/>
      </c>
      <c r="F276" s="134" t="str">
        <f t="shared" si="14"/>
        <v/>
      </c>
      <c r="G276" s="129"/>
      <c r="H276" s="129"/>
      <c r="I276" s="133"/>
      <c r="J276" s="129"/>
      <c r="K276" s="133"/>
      <c r="L276" s="129"/>
    </row>
    <row r="277" spans="1:12" x14ac:dyDescent="0.25">
      <c r="A277" s="133"/>
      <c r="B277" s="129"/>
      <c r="C277" s="129"/>
      <c r="D277" s="129"/>
      <c r="E277" s="134" t="str">
        <f t="shared" si="13"/>
        <v/>
      </c>
      <c r="F277" s="134" t="str">
        <f t="shared" si="14"/>
        <v/>
      </c>
      <c r="G277" s="129"/>
      <c r="H277" s="129"/>
      <c r="I277" s="133"/>
      <c r="J277" s="129"/>
      <c r="K277" s="133"/>
      <c r="L277" s="129"/>
    </row>
    <row r="278" spans="1:12" x14ac:dyDescent="0.25">
      <c r="A278" s="133"/>
      <c r="B278" s="129"/>
      <c r="C278" s="129"/>
      <c r="D278" s="129"/>
      <c r="E278" s="134" t="str">
        <f t="shared" si="13"/>
        <v/>
      </c>
      <c r="F278" s="134" t="str">
        <f t="shared" si="14"/>
        <v/>
      </c>
      <c r="G278" s="129"/>
      <c r="H278" s="129"/>
      <c r="I278" s="133"/>
      <c r="J278" s="129"/>
      <c r="K278" s="133"/>
      <c r="L278" s="129"/>
    </row>
    <row r="279" spans="1:12" x14ac:dyDescent="0.25">
      <c r="A279" s="133"/>
      <c r="B279" s="129"/>
      <c r="C279" s="129"/>
      <c r="D279" s="129"/>
      <c r="E279" s="134" t="str">
        <f t="shared" si="13"/>
        <v/>
      </c>
      <c r="F279" s="134" t="str">
        <f t="shared" si="14"/>
        <v/>
      </c>
      <c r="G279" s="129"/>
      <c r="H279" s="129"/>
      <c r="I279" s="133"/>
      <c r="J279" s="129"/>
      <c r="K279" s="133"/>
      <c r="L279" s="129"/>
    </row>
    <row r="280" spans="1:12" x14ac:dyDescent="0.25">
      <c r="A280" s="133"/>
      <c r="B280" s="129"/>
      <c r="C280" s="129"/>
      <c r="D280" s="129"/>
      <c r="E280" s="134" t="str">
        <f t="shared" si="13"/>
        <v/>
      </c>
      <c r="F280" s="134" t="str">
        <f t="shared" si="14"/>
        <v/>
      </c>
      <c r="G280" s="129"/>
      <c r="H280" s="129"/>
      <c r="I280" s="133"/>
      <c r="J280" s="129"/>
      <c r="K280" s="133"/>
      <c r="L280" s="129"/>
    </row>
    <row r="281" spans="1:12" x14ac:dyDescent="0.25">
      <c r="A281" s="133"/>
      <c r="B281" s="129"/>
      <c r="C281" s="129"/>
      <c r="D281" s="129"/>
      <c r="E281" s="134" t="str">
        <f t="shared" si="13"/>
        <v/>
      </c>
      <c r="F281" s="134" t="str">
        <f t="shared" si="14"/>
        <v/>
      </c>
      <c r="G281" s="129"/>
      <c r="H281" s="129"/>
      <c r="I281" s="133"/>
      <c r="J281" s="129"/>
      <c r="K281" s="133"/>
      <c r="L281" s="129"/>
    </row>
    <row r="282" spans="1:12" x14ac:dyDescent="0.25">
      <c r="A282" s="133"/>
      <c r="B282" s="129"/>
      <c r="C282" s="129"/>
      <c r="D282" s="129"/>
      <c r="E282" s="134" t="str">
        <f t="shared" si="13"/>
        <v/>
      </c>
      <c r="F282" s="134" t="str">
        <f t="shared" si="14"/>
        <v/>
      </c>
      <c r="G282" s="129"/>
      <c r="H282" s="129"/>
      <c r="I282" s="133"/>
      <c r="J282" s="129"/>
      <c r="K282" s="133"/>
      <c r="L282" s="129"/>
    </row>
    <row r="283" spans="1:12" x14ac:dyDescent="0.25">
      <c r="A283" s="133"/>
      <c r="B283" s="129"/>
      <c r="C283" s="129"/>
      <c r="D283" s="129"/>
      <c r="E283" s="134" t="str">
        <f t="shared" si="13"/>
        <v/>
      </c>
      <c r="F283" s="134" t="str">
        <f t="shared" si="14"/>
        <v/>
      </c>
      <c r="G283" s="129"/>
      <c r="H283" s="129"/>
      <c r="I283" s="133"/>
      <c r="J283" s="129"/>
      <c r="K283" s="133"/>
      <c r="L283" s="129"/>
    </row>
    <row r="284" spans="1:12" x14ac:dyDescent="0.25">
      <c r="A284" s="133"/>
      <c r="B284" s="129"/>
      <c r="C284" s="129"/>
      <c r="D284" s="129"/>
      <c r="E284" s="134" t="str">
        <f t="shared" si="13"/>
        <v/>
      </c>
      <c r="F284" s="134" t="str">
        <f t="shared" si="14"/>
        <v/>
      </c>
      <c r="G284" s="129"/>
      <c r="H284" s="129"/>
      <c r="I284" s="133"/>
      <c r="J284" s="129"/>
      <c r="K284" s="133"/>
      <c r="L284" s="129"/>
    </row>
    <row r="285" spans="1:12" x14ac:dyDescent="0.25">
      <c r="A285" s="133"/>
      <c r="B285" s="129"/>
      <c r="C285" s="129"/>
      <c r="D285" s="129"/>
      <c r="E285" s="134" t="str">
        <f t="shared" si="13"/>
        <v/>
      </c>
      <c r="F285" s="134" t="str">
        <f t="shared" si="14"/>
        <v/>
      </c>
      <c r="G285" s="129"/>
      <c r="H285" s="129"/>
      <c r="I285" s="133"/>
      <c r="J285" s="129"/>
      <c r="K285" s="133"/>
      <c r="L285" s="129"/>
    </row>
    <row r="286" spans="1:12" x14ac:dyDescent="0.25">
      <c r="A286" s="133"/>
      <c r="B286" s="129"/>
      <c r="C286" s="129"/>
      <c r="D286" s="129"/>
      <c r="E286" s="134" t="str">
        <f t="shared" si="13"/>
        <v/>
      </c>
      <c r="F286" s="134" t="str">
        <f t="shared" si="14"/>
        <v/>
      </c>
      <c r="G286" s="129"/>
      <c r="H286" s="129"/>
      <c r="I286" s="133"/>
      <c r="J286" s="129"/>
      <c r="K286" s="133"/>
      <c r="L286" s="129"/>
    </row>
    <row r="287" spans="1:12" x14ac:dyDescent="0.25">
      <c r="A287" s="133"/>
      <c r="B287" s="129"/>
      <c r="C287" s="129"/>
      <c r="D287" s="129"/>
      <c r="E287" s="134" t="str">
        <f t="shared" si="13"/>
        <v/>
      </c>
      <c r="F287" s="134" t="str">
        <f t="shared" si="14"/>
        <v/>
      </c>
      <c r="G287" s="129"/>
      <c r="H287" s="129"/>
      <c r="I287" s="133"/>
      <c r="J287" s="129"/>
      <c r="K287" s="133"/>
      <c r="L287" s="129"/>
    </row>
    <row r="288" spans="1:12" x14ac:dyDescent="0.25">
      <c r="A288" s="133"/>
      <c r="B288" s="129"/>
      <c r="C288" s="129"/>
      <c r="D288" s="129"/>
      <c r="E288" s="134" t="str">
        <f t="shared" si="13"/>
        <v/>
      </c>
      <c r="F288" s="134" t="str">
        <f t="shared" si="14"/>
        <v/>
      </c>
      <c r="G288" s="129"/>
      <c r="H288" s="129"/>
      <c r="I288" s="133"/>
      <c r="J288" s="129"/>
      <c r="K288" s="133"/>
      <c r="L288" s="129"/>
    </row>
    <row r="289" spans="1:12" x14ac:dyDescent="0.25">
      <c r="A289" s="133"/>
      <c r="B289" s="129"/>
      <c r="C289" s="129"/>
      <c r="D289" s="129"/>
      <c r="E289" s="134" t="str">
        <f t="shared" si="13"/>
        <v/>
      </c>
      <c r="F289" s="134" t="str">
        <f t="shared" si="14"/>
        <v/>
      </c>
      <c r="G289" s="129"/>
      <c r="H289" s="129"/>
      <c r="I289" s="133"/>
      <c r="J289" s="129"/>
      <c r="K289" s="133"/>
      <c r="L289" s="129"/>
    </row>
    <row r="290" spans="1:12" x14ac:dyDescent="0.25">
      <c r="A290" s="133"/>
      <c r="B290" s="129"/>
      <c r="C290" s="129"/>
      <c r="D290" s="129"/>
      <c r="E290" s="134" t="str">
        <f t="shared" si="13"/>
        <v/>
      </c>
      <c r="F290" s="134" t="str">
        <f t="shared" si="14"/>
        <v/>
      </c>
      <c r="G290" s="129"/>
      <c r="H290" s="129"/>
      <c r="I290" s="133"/>
      <c r="J290" s="129"/>
      <c r="K290" s="133"/>
      <c r="L290" s="129"/>
    </row>
    <row r="291" spans="1:12" x14ac:dyDescent="0.25">
      <c r="A291" s="133"/>
      <c r="B291" s="129"/>
      <c r="C291" s="129"/>
      <c r="D291" s="129"/>
      <c r="E291" s="134" t="str">
        <f t="shared" si="13"/>
        <v/>
      </c>
      <c r="F291" s="134" t="str">
        <f t="shared" si="14"/>
        <v/>
      </c>
      <c r="G291" s="129"/>
      <c r="H291" s="129"/>
      <c r="I291" s="133"/>
      <c r="J291" s="129"/>
      <c r="K291" s="133"/>
      <c r="L291" s="129"/>
    </row>
    <row r="292" spans="1:12" x14ac:dyDescent="0.25">
      <c r="A292" s="133"/>
      <c r="B292" s="129"/>
      <c r="C292" s="129"/>
      <c r="D292" s="129"/>
      <c r="E292" s="134" t="str">
        <f t="shared" si="13"/>
        <v/>
      </c>
      <c r="F292" s="134" t="str">
        <f t="shared" si="14"/>
        <v/>
      </c>
      <c r="G292" s="129"/>
      <c r="H292" s="129"/>
      <c r="I292" s="133"/>
      <c r="J292" s="129"/>
      <c r="K292" s="133"/>
      <c r="L292" s="129"/>
    </row>
    <row r="293" spans="1:12" x14ac:dyDescent="0.25">
      <c r="A293" s="133"/>
      <c r="B293" s="129"/>
      <c r="C293" s="129"/>
      <c r="D293" s="129"/>
      <c r="E293" s="134" t="str">
        <f t="shared" si="13"/>
        <v/>
      </c>
      <c r="F293" s="134" t="str">
        <f t="shared" si="14"/>
        <v/>
      </c>
      <c r="G293" s="129"/>
      <c r="H293" s="129"/>
      <c r="I293" s="133"/>
      <c r="J293" s="129"/>
      <c r="K293" s="133"/>
      <c r="L293" s="129"/>
    </row>
    <row r="294" spans="1:12" x14ac:dyDescent="0.25">
      <c r="A294" s="133"/>
      <c r="B294" s="129"/>
      <c r="C294" s="129"/>
      <c r="D294" s="129"/>
      <c r="E294" s="134" t="str">
        <f t="shared" si="13"/>
        <v/>
      </c>
      <c r="F294" s="134" t="str">
        <f t="shared" si="14"/>
        <v/>
      </c>
      <c r="G294" s="129"/>
      <c r="H294" s="129"/>
      <c r="I294" s="133"/>
      <c r="J294" s="129"/>
      <c r="K294" s="133"/>
      <c r="L294" s="129"/>
    </row>
    <row r="295" spans="1:12" x14ac:dyDescent="0.25">
      <c r="A295" s="133"/>
      <c r="B295" s="129"/>
      <c r="C295" s="129"/>
      <c r="D295" s="129"/>
      <c r="E295" s="134" t="str">
        <f t="shared" si="13"/>
        <v/>
      </c>
      <c r="F295" s="134" t="str">
        <f t="shared" si="14"/>
        <v/>
      </c>
      <c r="G295" s="129"/>
      <c r="H295" s="129"/>
      <c r="I295" s="133"/>
      <c r="J295" s="129"/>
      <c r="K295" s="133"/>
      <c r="L295" s="129"/>
    </row>
    <row r="296" spans="1:12" x14ac:dyDescent="0.25">
      <c r="A296" s="133"/>
      <c r="B296" s="129"/>
      <c r="C296" s="129"/>
      <c r="D296" s="129"/>
      <c r="E296" s="134" t="str">
        <f t="shared" si="13"/>
        <v/>
      </c>
      <c r="F296" s="134" t="str">
        <f t="shared" si="14"/>
        <v/>
      </c>
      <c r="G296" s="129"/>
      <c r="H296" s="129"/>
      <c r="I296" s="133"/>
      <c r="J296" s="129"/>
      <c r="K296" s="133"/>
      <c r="L296" s="129"/>
    </row>
    <row r="297" spans="1:12" x14ac:dyDescent="0.25">
      <c r="A297" s="133"/>
      <c r="B297" s="129"/>
      <c r="C297" s="129"/>
      <c r="D297" s="129"/>
      <c r="E297" s="134" t="str">
        <f t="shared" si="13"/>
        <v/>
      </c>
      <c r="F297" s="134" t="str">
        <f t="shared" si="14"/>
        <v/>
      </c>
      <c r="G297" s="129"/>
      <c r="H297" s="129"/>
      <c r="I297" s="133"/>
      <c r="J297" s="129"/>
      <c r="K297" s="133"/>
      <c r="L297" s="129"/>
    </row>
    <row r="298" spans="1:12" x14ac:dyDescent="0.25">
      <c r="A298" s="133"/>
      <c r="B298" s="129"/>
      <c r="C298" s="129"/>
      <c r="D298" s="129"/>
      <c r="E298" s="134" t="str">
        <f t="shared" si="13"/>
        <v/>
      </c>
      <c r="F298" s="134" t="str">
        <f t="shared" si="14"/>
        <v/>
      </c>
      <c r="G298" s="129"/>
      <c r="H298" s="129"/>
      <c r="I298" s="133"/>
      <c r="J298" s="129"/>
      <c r="K298" s="133"/>
      <c r="L298" s="129"/>
    </row>
    <row r="299" spans="1:12" x14ac:dyDescent="0.25">
      <c r="A299" s="133"/>
      <c r="B299" s="129"/>
      <c r="C299" s="129"/>
      <c r="D299" s="129"/>
      <c r="E299" s="134" t="str">
        <f t="shared" si="13"/>
        <v/>
      </c>
      <c r="F299" s="134" t="str">
        <f t="shared" si="14"/>
        <v/>
      </c>
      <c r="G299" s="129"/>
      <c r="H299" s="129"/>
      <c r="I299" s="133"/>
      <c r="J299" s="129"/>
      <c r="K299" s="133"/>
      <c r="L299" s="129"/>
    </row>
    <row r="300" spans="1:12" x14ac:dyDescent="0.25">
      <c r="A300" s="133"/>
      <c r="B300" s="129"/>
      <c r="C300" s="129"/>
      <c r="D300" s="129"/>
      <c r="E300" s="134" t="str">
        <f t="shared" si="13"/>
        <v/>
      </c>
      <c r="F300" s="134" t="str">
        <f t="shared" si="14"/>
        <v/>
      </c>
      <c r="G300" s="129"/>
      <c r="H300" s="129"/>
      <c r="I300" s="133"/>
      <c r="J300" s="129"/>
      <c r="K300" s="133"/>
      <c r="L300" s="129"/>
    </row>
    <row r="301" spans="1:12" x14ac:dyDescent="0.25">
      <c r="A301" s="133"/>
      <c r="B301" s="129"/>
      <c r="C301" s="129"/>
      <c r="D301" s="129"/>
      <c r="E301" s="134" t="str">
        <f t="shared" si="13"/>
        <v/>
      </c>
      <c r="F301" s="134" t="str">
        <f t="shared" si="14"/>
        <v/>
      </c>
      <c r="G301" s="129"/>
      <c r="H301" s="129"/>
      <c r="I301" s="133"/>
      <c r="J301" s="129"/>
      <c r="K301" s="133"/>
      <c r="L301" s="129"/>
    </row>
    <row r="302" spans="1:12" x14ac:dyDescent="0.25">
      <c r="A302" s="133"/>
      <c r="B302" s="129"/>
      <c r="C302" s="129"/>
      <c r="D302" s="129"/>
      <c r="E302" s="134" t="str">
        <f t="shared" si="13"/>
        <v/>
      </c>
      <c r="F302" s="134" t="str">
        <f t="shared" si="14"/>
        <v/>
      </c>
      <c r="G302" s="129"/>
      <c r="H302" s="129"/>
      <c r="I302" s="133"/>
      <c r="J302" s="129"/>
      <c r="K302" s="133"/>
      <c r="L302" s="129"/>
    </row>
    <row r="303" spans="1:12" x14ac:dyDescent="0.25">
      <c r="A303" s="133"/>
      <c r="B303" s="129"/>
      <c r="C303" s="129"/>
      <c r="D303" s="129"/>
      <c r="E303" s="134" t="str">
        <f t="shared" si="13"/>
        <v/>
      </c>
      <c r="F303" s="134" t="str">
        <f t="shared" si="14"/>
        <v/>
      </c>
      <c r="G303" s="129"/>
      <c r="H303" s="129"/>
      <c r="I303" s="133"/>
      <c r="J303" s="129"/>
      <c r="K303" s="133"/>
      <c r="L303" s="129"/>
    </row>
    <row r="304" spans="1:12" x14ac:dyDescent="0.25">
      <c r="A304" s="133"/>
      <c r="B304" s="129"/>
      <c r="C304" s="129"/>
      <c r="D304" s="129"/>
      <c r="E304" s="134" t="str">
        <f t="shared" si="13"/>
        <v/>
      </c>
      <c r="F304" s="134" t="str">
        <f t="shared" si="14"/>
        <v/>
      </c>
      <c r="G304" s="129"/>
      <c r="H304" s="129"/>
      <c r="I304" s="133"/>
      <c r="J304" s="129"/>
      <c r="K304" s="133"/>
      <c r="L304" s="129"/>
    </row>
    <row r="305" spans="1:12" x14ac:dyDescent="0.25">
      <c r="A305" s="133"/>
      <c r="B305" s="129"/>
      <c r="C305" s="129"/>
      <c r="D305" s="129"/>
      <c r="E305" s="134" t="str">
        <f t="shared" si="13"/>
        <v/>
      </c>
      <c r="F305" s="134" t="str">
        <f t="shared" si="14"/>
        <v/>
      </c>
      <c r="G305" s="129"/>
      <c r="H305" s="129"/>
      <c r="I305" s="133"/>
      <c r="J305" s="129"/>
      <c r="K305" s="133"/>
      <c r="L305" s="129"/>
    </row>
    <row r="306" spans="1:12" x14ac:dyDescent="0.25">
      <c r="A306" s="133"/>
      <c r="B306" s="129"/>
      <c r="C306" s="129"/>
      <c r="D306" s="129"/>
      <c r="E306" s="134" t="str">
        <f t="shared" si="13"/>
        <v/>
      </c>
      <c r="F306" s="134" t="str">
        <f t="shared" si="14"/>
        <v/>
      </c>
      <c r="G306" s="129"/>
      <c r="H306" s="129"/>
      <c r="I306" s="133"/>
      <c r="J306" s="129"/>
      <c r="K306" s="133"/>
      <c r="L306" s="129"/>
    </row>
    <row r="307" spans="1:12" x14ac:dyDescent="0.25">
      <c r="A307" s="133"/>
      <c r="B307" s="129"/>
      <c r="C307" s="129"/>
      <c r="D307" s="129"/>
      <c r="E307" s="134" t="str">
        <f t="shared" si="13"/>
        <v/>
      </c>
      <c r="F307" s="134" t="str">
        <f t="shared" si="14"/>
        <v/>
      </c>
      <c r="G307" s="129"/>
      <c r="H307" s="129"/>
      <c r="I307" s="133"/>
      <c r="J307" s="129"/>
      <c r="K307" s="133"/>
      <c r="L307" s="129"/>
    </row>
    <row r="308" spans="1:12" x14ac:dyDescent="0.25">
      <c r="A308" s="133"/>
      <c r="B308" s="129"/>
      <c r="C308" s="129"/>
      <c r="D308" s="129"/>
      <c r="E308" s="134" t="str">
        <f t="shared" si="13"/>
        <v/>
      </c>
      <c r="F308" s="134" t="str">
        <f t="shared" si="14"/>
        <v/>
      </c>
      <c r="G308" s="129"/>
      <c r="H308" s="129"/>
      <c r="I308" s="133"/>
      <c r="J308" s="129"/>
      <c r="K308" s="133"/>
      <c r="L308" s="129"/>
    </row>
    <row r="309" spans="1:12" x14ac:dyDescent="0.25">
      <c r="A309" s="133"/>
      <c r="B309" s="129"/>
      <c r="C309" s="129"/>
      <c r="D309" s="129"/>
      <c r="E309" s="134" t="str">
        <f t="shared" si="13"/>
        <v/>
      </c>
      <c r="F309" s="134" t="str">
        <f t="shared" si="14"/>
        <v/>
      </c>
      <c r="G309" s="129"/>
      <c r="H309" s="129"/>
      <c r="I309" s="133"/>
      <c r="J309" s="129"/>
      <c r="K309" s="133"/>
      <c r="L309" s="129"/>
    </row>
    <row r="310" spans="1:12" x14ac:dyDescent="0.25">
      <c r="A310" s="133"/>
      <c r="B310" s="129"/>
      <c r="C310" s="129"/>
      <c r="D310" s="129"/>
      <c r="E310" s="134" t="str">
        <f t="shared" si="13"/>
        <v/>
      </c>
      <c r="F310" s="134" t="str">
        <f t="shared" si="14"/>
        <v/>
      </c>
      <c r="G310" s="129"/>
      <c r="H310" s="129"/>
      <c r="I310" s="133"/>
      <c r="J310" s="129"/>
      <c r="K310" s="133"/>
      <c r="L310" s="129"/>
    </row>
    <row r="311" spans="1:12" x14ac:dyDescent="0.25">
      <c r="A311" s="133"/>
      <c r="B311" s="129"/>
      <c r="C311" s="129"/>
      <c r="D311" s="129"/>
      <c r="E311" s="134" t="str">
        <f t="shared" si="13"/>
        <v/>
      </c>
      <c r="F311" s="134" t="str">
        <f t="shared" si="14"/>
        <v/>
      </c>
      <c r="G311" s="129"/>
      <c r="H311" s="129"/>
      <c r="I311" s="133"/>
      <c r="J311" s="129"/>
      <c r="K311" s="133"/>
      <c r="L311" s="129"/>
    </row>
    <row r="312" spans="1:12" x14ac:dyDescent="0.25">
      <c r="A312" s="133"/>
      <c r="B312" s="129"/>
      <c r="C312" s="129"/>
      <c r="D312" s="129"/>
      <c r="E312" s="134" t="str">
        <f t="shared" si="13"/>
        <v/>
      </c>
      <c r="F312" s="134" t="str">
        <f t="shared" si="14"/>
        <v/>
      </c>
      <c r="G312" s="129"/>
      <c r="H312" s="129"/>
      <c r="I312" s="133"/>
      <c r="J312" s="129"/>
      <c r="K312" s="133"/>
      <c r="L312" s="129"/>
    </row>
    <row r="313" spans="1:12" x14ac:dyDescent="0.25">
      <c r="A313" s="133"/>
      <c r="B313" s="129"/>
      <c r="C313" s="129"/>
      <c r="D313" s="129"/>
      <c r="E313" s="134" t="str">
        <f t="shared" si="13"/>
        <v/>
      </c>
      <c r="F313" s="134" t="str">
        <f t="shared" si="14"/>
        <v/>
      </c>
      <c r="G313" s="129"/>
      <c r="H313" s="129"/>
      <c r="I313" s="133"/>
      <c r="J313" s="129"/>
      <c r="K313" s="133"/>
      <c r="L313" s="129"/>
    </row>
    <row r="314" spans="1:12" x14ac:dyDescent="0.25">
      <c r="A314" s="133"/>
      <c r="B314" s="129"/>
      <c r="C314" s="129"/>
      <c r="D314" s="129"/>
      <c r="E314" s="134" t="str">
        <f t="shared" si="13"/>
        <v/>
      </c>
      <c r="F314" s="134" t="str">
        <f t="shared" si="14"/>
        <v/>
      </c>
      <c r="G314" s="129"/>
      <c r="H314" s="129"/>
      <c r="I314" s="133"/>
      <c r="J314" s="129"/>
      <c r="K314" s="133"/>
      <c r="L314" s="129"/>
    </row>
    <row r="315" spans="1:12" x14ac:dyDescent="0.25">
      <c r="A315" s="133"/>
      <c r="B315" s="129"/>
      <c r="C315" s="129"/>
      <c r="D315" s="129"/>
      <c r="E315" s="134" t="str">
        <f t="shared" si="13"/>
        <v/>
      </c>
      <c r="F315" s="134" t="str">
        <f t="shared" si="14"/>
        <v/>
      </c>
      <c r="G315" s="129"/>
      <c r="H315" s="129"/>
      <c r="I315" s="133"/>
      <c r="J315" s="129"/>
      <c r="K315" s="133"/>
      <c r="L315" s="129"/>
    </row>
    <row r="316" spans="1:12" x14ac:dyDescent="0.25">
      <c r="A316" s="133"/>
      <c r="B316" s="129"/>
      <c r="C316" s="129"/>
      <c r="D316" s="129"/>
      <c r="E316" s="134" t="str">
        <f t="shared" si="13"/>
        <v/>
      </c>
      <c r="F316" s="134" t="str">
        <f t="shared" si="14"/>
        <v/>
      </c>
      <c r="G316" s="129"/>
      <c r="H316" s="129"/>
      <c r="I316" s="133"/>
      <c r="J316" s="129"/>
      <c r="K316" s="133"/>
      <c r="L316" s="129"/>
    </row>
    <row r="317" spans="1:12" x14ac:dyDescent="0.25">
      <c r="A317" s="133"/>
      <c r="B317" s="129"/>
      <c r="C317" s="129"/>
      <c r="D317" s="129"/>
      <c r="E317" s="134" t="str">
        <f t="shared" si="13"/>
        <v/>
      </c>
      <c r="F317" s="134" t="str">
        <f t="shared" si="14"/>
        <v/>
      </c>
      <c r="G317" s="129"/>
      <c r="H317" s="129"/>
      <c r="I317" s="133"/>
      <c r="J317" s="129"/>
      <c r="K317" s="133"/>
      <c r="L317" s="129"/>
    </row>
    <row r="318" spans="1:12" x14ac:dyDescent="0.25">
      <c r="A318" s="133"/>
      <c r="B318" s="129"/>
      <c r="C318" s="129"/>
      <c r="D318" s="129"/>
      <c r="E318" s="134" t="str">
        <f t="shared" si="13"/>
        <v/>
      </c>
      <c r="F318" s="134" t="str">
        <f t="shared" si="14"/>
        <v/>
      </c>
      <c r="G318" s="129"/>
      <c r="H318" s="129"/>
      <c r="I318" s="133"/>
      <c r="J318" s="129"/>
      <c r="K318" s="133"/>
      <c r="L318" s="129"/>
    </row>
    <row r="319" spans="1:12" x14ac:dyDescent="0.25">
      <c r="A319" s="133"/>
      <c r="B319" s="129"/>
      <c r="C319" s="129"/>
      <c r="D319" s="129"/>
      <c r="E319" s="134" t="str">
        <f t="shared" si="13"/>
        <v/>
      </c>
      <c r="F319" s="134" t="str">
        <f t="shared" si="14"/>
        <v/>
      </c>
      <c r="G319" s="129"/>
      <c r="H319" s="129"/>
      <c r="I319" s="133"/>
      <c r="J319" s="129"/>
      <c r="K319" s="133"/>
      <c r="L319" s="129"/>
    </row>
    <row r="320" spans="1:12" x14ac:dyDescent="0.25">
      <c r="A320" s="133"/>
      <c r="B320" s="129"/>
      <c r="C320" s="129"/>
      <c r="D320" s="129"/>
      <c r="E320" s="134" t="str">
        <f t="shared" si="13"/>
        <v/>
      </c>
      <c r="F320" s="134" t="str">
        <f t="shared" si="14"/>
        <v/>
      </c>
      <c r="G320" s="129"/>
      <c r="H320" s="129"/>
      <c r="I320" s="133"/>
      <c r="J320" s="129"/>
      <c r="K320" s="133"/>
      <c r="L320" s="129"/>
    </row>
    <row r="321" spans="1:12" x14ac:dyDescent="0.25">
      <c r="A321" s="133"/>
      <c r="B321" s="129"/>
      <c r="C321" s="129"/>
      <c r="D321" s="129"/>
      <c r="E321" s="134" t="str">
        <f t="shared" si="13"/>
        <v/>
      </c>
      <c r="F321" s="134" t="str">
        <f t="shared" si="14"/>
        <v/>
      </c>
      <c r="G321" s="129"/>
      <c r="H321" s="129"/>
      <c r="I321" s="133"/>
      <c r="J321" s="129"/>
      <c r="K321" s="133"/>
      <c r="L321" s="129"/>
    </row>
    <row r="322" spans="1:12" x14ac:dyDescent="0.25">
      <c r="A322" s="133"/>
      <c r="B322" s="129"/>
      <c r="C322" s="129"/>
      <c r="D322" s="129"/>
      <c r="E322" s="134" t="str">
        <f t="shared" si="13"/>
        <v/>
      </c>
      <c r="F322" s="134" t="str">
        <f t="shared" si="14"/>
        <v/>
      </c>
      <c r="G322" s="129"/>
      <c r="H322" s="129"/>
      <c r="I322" s="133"/>
      <c r="J322" s="129"/>
      <c r="K322" s="133"/>
      <c r="L322" s="129"/>
    </row>
    <row r="323" spans="1:12" x14ac:dyDescent="0.25">
      <c r="A323" s="133"/>
      <c r="B323" s="129"/>
      <c r="C323" s="129"/>
      <c r="D323" s="129"/>
      <c r="E323" s="134" t="str">
        <f t="shared" si="13"/>
        <v/>
      </c>
      <c r="F323" s="134" t="str">
        <f t="shared" si="14"/>
        <v/>
      </c>
      <c r="G323" s="129"/>
      <c r="H323" s="129"/>
      <c r="I323" s="133"/>
      <c r="J323" s="129"/>
      <c r="K323" s="133"/>
      <c r="L323" s="129"/>
    </row>
    <row r="324" spans="1:12" x14ac:dyDescent="0.25">
      <c r="A324" s="133"/>
      <c r="B324" s="129"/>
      <c r="C324" s="129"/>
      <c r="D324" s="129"/>
      <c r="E324" s="134" t="str">
        <f t="shared" si="13"/>
        <v/>
      </c>
      <c r="F324" s="134" t="str">
        <f t="shared" si="14"/>
        <v/>
      </c>
      <c r="G324" s="129"/>
      <c r="H324" s="129"/>
      <c r="I324" s="133"/>
      <c r="J324" s="129"/>
      <c r="K324" s="133"/>
      <c r="L324" s="129"/>
    </row>
    <row r="325" spans="1:12" x14ac:dyDescent="0.25">
      <c r="A325" s="133"/>
      <c r="B325" s="129"/>
      <c r="C325" s="129"/>
      <c r="D325" s="129"/>
      <c r="E325" s="134" t="str">
        <f t="shared" ref="E325:E388" si="15">IFERROR(IF($D325="","",VLOOKUP($D325,CAD_TAB,8,FALSE)),"")</f>
        <v/>
      </c>
      <c r="F325" s="134" t="str">
        <f t="shared" ref="F325:F388" si="16">IFERROR(IF($D325="","",VLOOKUP($D325,CAD_TAB,9,FALSE)),"")</f>
        <v/>
      </c>
      <c r="G325" s="129"/>
      <c r="H325" s="129"/>
      <c r="I325" s="133"/>
      <c r="J325" s="129"/>
      <c r="K325" s="133"/>
      <c r="L325" s="129"/>
    </row>
    <row r="326" spans="1:12" x14ac:dyDescent="0.25">
      <c r="A326" s="133"/>
      <c r="B326" s="129"/>
      <c r="C326" s="129"/>
      <c r="D326" s="129"/>
      <c r="E326" s="134" t="str">
        <f t="shared" si="15"/>
        <v/>
      </c>
      <c r="F326" s="134" t="str">
        <f t="shared" si="16"/>
        <v/>
      </c>
      <c r="G326" s="129"/>
      <c r="H326" s="129"/>
      <c r="I326" s="133"/>
      <c r="J326" s="129"/>
      <c r="K326" s="133"/>
      <c r="L326" s="129"/>
    </row>
    <row r="327" spans="1:12" x14ac:dyDescent="0.25">
      <c r="A327" s="133"/>
      <c r="B327" s="129"/>
      <c r="C327" s="129"/>
      <c r="D327" s="129"/>
      <c r="E327" s="134" t="str">
        <f t="shared" si="15"/>
        <v/>
      </c>
      <c r="F327" s="134" t="str">
        <f t="shared" si="16"/>
        <v/>
      </c>
      <c r="G327" s="129"/>
      <c r="H327" s="129"/>
      <c r="I327" s="133"/>
      <c r="J327" s="129"/>
      <c r="K327" s="133"/>
      <c r="L327" s="129"/>
    </row>
    <row r="328" spans="1:12" x14ac:dyDescent="0.25">
      <c r="A328" s="133"/>
      <c r="B328" s="129"/>
      <c r="C328" s="129"/>
      <c r="D328" s="129"/>
      <c r="E328" s="134" t="str">
        <f t="shared" si="15"/>
        <v/>
      </c>
      <c r="F328" s="134" t="str">
        <f t="shared" si="16"/>
        <v/>
      </c>
      <c r="G328" s="129"/>
      <c r="H328" s="129"/>
      <c r="I328" s="133"/>
      <c r="J328" s="129"/>
      <c r="K328" s="133"/>
      <c r="L328" s="129"/>
    </row>
    <row r="329" spans="1:12" x14ac:dyDescent="0.25">
      <c r="A329" s="133"/>
      <c r="B329" s="129"/>
      <c r="C329" s="129"/>
      <c r="D329" s="129"/>
      <c r="E329" s="134" t="str">
        <f t="shared" si="15"/>
        <v/>
      </c>
      <c r="F329" s="134" t="str">
        <f t="shared" si="16"/>
        <v/>
      </c>
      <c r="G329" s="129"/>
      <c r="H329" s="129"/>
      <c r="I329" s="133"/>
      <c r="J329" s="129"/>
      <c r="K329" s="133"/>
      <c r="L329" s="129"/>
    </row>
    <row r="330" spans="1:12" x14ac:dyDescent="0.25">
      <c r="A330" s="133"/>
      <c r="B330" s="129"/>
      <c r="C330" s="129"/>
      <c r="D330" s="129"/>
      <c r="E330" s="134" t="str">
        <f t="shared" si="15"/>
        <v/>
      </c>
      <c r="F330" s="134" t="str">
        <f t="shared" si="16"/>
        <v/>
      </c>
      <c r="G330" s="129"/>
      <c r="H330" s="129"/>
      <c r="I330" s="133"/>
      <c r="J330" s="129"/>
      <c r="K330" s="133"/>
      <c r="L330" s="129"/>
    </row>
    <row r="331" spans="1:12" x14ac:dyDescent="0.25">
      <c r="A331" s="133"/>
      <c r="B331" s="129"/>
      <c r="C331" s="129"/>
      <c r="D331" s="129"/>
      <c r="E331" s="134" t="str">
        <f t="shared" si="15"/>
        <v/>
      </c>
      <c r="F331" s="134" t="str">
        <f t="shared" si="16"/>
        <v/>
      </c>
      <c r="G331" s="129"/>
      <c r="H331" s="129"/>
      <c r="I331" s="133"/>
      <c r="J331" s="129"/>
      <c r="K331" s="133"/>
      <c r="L331" s="129"/>
    </row>
    <row r="332" spans="1:12" x14ac:dyDescent="0.25">
      <c r="A332" s="133"/>
      <c r="B332" s="129"/>
      <c r="C332" s="129"/>
      <c r="D332" s="129"/>
      <c r="E332" s="134" t="str">
        <f t="shared" si="15"/>
        <v/>
      </c>
      <c r="F332" s="134" t="str">
        <f t="shared" si="16"/>
        <v/>
      </c>
      <c r="G332" s="129"/>
      <c r="H332" s="129"/>
      <c r="I332" s="133"/>
      <c r="J332" s="129"/>
      <c r="K332" s="133"/>
      <c r="L332" s="129"/>
    </row>
    <row r="333" spans="1:12" x14ac:dyDescent="0.25">
      <c r="A333" s="133"/>
      <c r="B333" s="129"/>
      <c r="C333" s="129"/>
      <c r="D333" s="129"/>
      <c r="E333" s="134" t="str">
        <f t="shared" si="15"/>
        <v/>
      </c>
      <c r="F333" s="134" t="str">
        <f t="shared" si="16"/>
        <v/>
      </c>
      <c r="G333" s="129"/>
      <c r="H333" s="129"/>
      <c r="I333" s="133"/>
      <c r="J333" s="129"/>
      <c r="K333" s="133"/>
      <c r="L333" s="129"/>
    </row>
    <row r="334" spans="1:12" x14ac:dyDescent="0.25">
      <c r="A334" s="133"/>
      <c r="B334" s="129"/>
      <c r="C334" s="129"/>
      <c r="D334" s="129"/>
      <c r="E334" s="134" t="str">
        <f t="shared" si="15"/>
        <v/>
      </c>
      <c r="F334" s="134" t="str">
        <f t="shared" si="16"/>
        <v/>
      </c>
      <c r="G334" s="129"/>
      <c r="H334" s="129"/>
      <c r="I334" s="133"/>
      <c r="J334" s="129"/>
      <c r="K334" s="133"/>
      <c r="L334" s="129"/>
    </row>
    <row r="335" spans="1:12" x14ac:dyDescent="0.25">
      <c r="A335" s="133"/>
      <c r="B335" s="129"/>
      <c r="C335" s="129"/>
      <c r="D335" s="129"/>
      <c r="E335" s="134" t="str">
        <f t="shared" si="15"/>
        <v/>
      </c>
      <c r="F335" s="134" t="str">
        <f t="shared" si="16"/>
        <v/>
      </c>
      <c r="G335" s="129"/>
      <c r="H335" s="129"/>
      <c r="I335" s="133"/>
      <c r="J335" s="129"/>
      <c r="K335" s="133"/>
      <c r="L335" s="129"/>
    </row>
    <row r="336" spans="1:12" x14ac:dyDescent="0.25">
      <c r="A336" s="133"/>
      <c r="B336" s="129"/>
      <c r="C336" s="129"/>
      <c r="D336" s="129"/>
      <c r="E336" s="134" t="str">
        <f t="shared" si="15"/>
        <v/>
      </c>
      <c r="F336" s="134" t="str">
        <f t="shared" si="16"/>
        <v/>
      </c>
      <c r="G336" s="129"/>
      <c r="H336" s="129"/>
      <c r="I336" s="133"/>
      <c r="J336" s="129"/>
      <c r="K336" s="133"/>
      <c r="L336" s="129"/>
    </row>
    <row r="337" spans="1:12" x14ac:dyDescent="0.25">
      <c r="A337" s="133"/>
      <c r="B337" s="129"/>
      <c r="C337" s="129"/>
      <c r="D337" s="129"/>
      <c r="E337" s="134" t="str">
        <f t="shared" si="15"/>
        <v/>
      </c>
      <c r="F337" s="134" t="str">
        <f t="shared" si="16"/>
        <v/>
      </c>
      <c r="G337" s="129"/>
      <c r="H337" s="129"/>
      <c r="I337" s="133"/>
      <c r="J337" s="129"/>
      <c r="K337" s="133"/>
      <c r="L337" s="129"/>
    </row>
    <row r="338" spans="1:12" x14ac:dyDescent="0.25">
      <c r="A338" s="133"/>
      <c r="B338" s="129"/>
      <c r="C338" s="129"/>
      <c r="D338" s="129"/>
      <c r="E338" s="134" t="str">
        <f t="shared" si="15"/>
        <v/>
      </c>
      <c r="F338" s="134" t="str">
        <f t="shared" si="16"/>
        <v/>
      </c>
      <c r="G338" s="129"/>
      <c r="H338" s="129"/>
      <c r="I338" s="133"/>
      <c r="J338" s="129"/>
      <c r="K338" s="133"/>
      <c r="L338" s="129"/>
    </row>
    <row r="339" spans="1:12" x14ac:dyDescent="0.25">
      <c r="A339" s="133"/>
      <c r="B339" s="129"/>
      <c r="C339" s="129"/>
      <c r="D339" s="129"/>
      <c r="E339" s="134" t="str">
        <f t="shared" si="15"/>
        <v/>
      </c>
      <c r="F339" s="134" t="str">
        <f t="shared" si="16"/>
        <v/>
      </c>
      <c r="G339" s="129"/>
      <c r="H339" s="129"/>
      <c r="I339" s="133"/>
      <c r="J339" s="129"/>
      <c r="K339" s="133"/>
      <c r="L339" s="129"/>
    </row>
    <row r="340" spans="1:12" x14ac:dyDescent="0.25">
      <c r="A340" s="133"/>
      <c r="B340" s="129"/>
      <c r="C340" s="129"/>
      <c r="D340" s="129"/>
      <c r="E340" s="134" t="str">
        <f t="shared" si="15"/>
        <v/>
      </c>
      <c r="F340" s="134" t="str">
        <f t="shared" si="16"/>
        <v/>
      </c>
      <c r="G340" s="129"/>
      <c r="H340" s="129"/>
      <c r="I340" s="133"/>
      <c r="J340" s="129"/>
      <c r="K340" s="133"/>
      <c r="L340" s="129"/>
    </row>
    <row r="341" spans="1:12" x14ac:dyDescent="0.25">
      <c r="A341" s="133"/>
      <c r="B341" s="129"/>
      <c r="C341" s="129"/>
      <c r="D341" s="129"/>
      <c r="E341" s="134" t="str">
        <f t="shared" si="15"/>
        <v/>
      </c>
      <c r="F341" s="134" t="str">
        <f t="shared" si="16"/>
        <v/>
      </c>
      <c r="G341" s="129"/>
      <c r="H341" s="129"/>
      <c r="I341" s="133"/>
      <c r="J341" s="129"/>
      <c r="K341" s="133"/>
      <c r="L341" s="129"/>
    </row>
    <row r="342" spans="1:12" x14ac:dyDescent="0.25">
      <c r="A342" s="133"/>
      <c r="B342" s="129"/>
      <c r="C342" s="129"/>
      <c r="D342" s="129"/>
      <c r="E342" s="134" t="str">
        <f t="shared" si="15"/>
        <v/>
      </c>
      <c r="F342" s="134" t="str">
        <f t="shared" si="16"/>
        <v/>
      </c>
      <c r="G342" s="129"/>
      <c r="H342" s="129"/>
      <c r="I342" s="133"/>
      <c r="J342" s="129"/>
      <c r="K342" s="133"/>
      <c r="L342" s="129"/>
    </row>
    <row r="343" spans="1:12" x14ac:dyDescent="0.25">
      <c r="A343" s="133"/>
      <c r="B343" s="129"/>
      <c r="C343" s="129"/>
      <c r="D343" s="129"/>
      <c r="E343" s="134" t="str">
        <f t="shared" si="15"/>
        <v/>
      </c>
      <c r="F343" s="134" t="str">
        <f t="shared" si="16"/>
        <v/>
      </c>
      <c r="G343" s="129"/>
      <c r="H343" s="129"/>
      <c r="I343" s="133"/>
      <c r="J343" s="129"/>
      <c r="K343" s="133"/>
      <c r="L343" s="129"/>
    </row>
    <row r="344" spans="1:12" x14ac:dyDescent="0.25">
      <c r="A344" s="133"/>
      <c r="B344" s="129"/>
      <c r="C344" s="129"/>
      <c r="D344" s="129"/>
      <c r="E344" s="134" t="str">
        <f t="shared" si="15"/>
        <v/>
      </c>
      <c r="F344" s="134" t="str">
        <f t="shared" si="16"/>
        <v/>
      </c>
      <c r="G344" s="129"/>
      <c r="H344" s="129"/>
      <c r="I344" s="133"/>
      <c r="J344" s="129"/>
      <c r="K344" s="133"/>
      <c r="L344" s="129"/>
    </row>
    <row r="345" spans="1:12" x14ac:dyDescent="0.25">
      <c r="A345" s="133"/>
      <c r="B345" s="129"/>
      <c r="C345" s="129"/>
      <c r="D345" s="129"/>
      <c r="E345" s="134" t="str">
        <f t="shared" si="15"/>
        <v/>
      </c>
      <c r="F345" s="134" t="str">
        <f t="shared" si="16"/>
        <v/>
      </c>
      <c r="G345" s="129"/>
      <c r="H345" s="129"/>
      <c r="I345" s="133"/>
      <c r="J345" s="129"/>
      <c r="K345" s="133"/>
      <c r="L345" s="129"/>
    </row>
    <row r="346" spans="1:12" x14ac:dyDescent="0.25">
      <c r="A346" s="133"/>
      <c r="B346" s="129"/>
      <c r="C346" s="129"/>
      <c r="D346" s="129"/>
      <c r="E346" s="134" t="str">
        <f t="shared" si="15"/>
        <v/>
      </c>
      <c r="F346" s="134" t="str">
        <f t="shared" si="16"/>
        <v/>
      </c>
      <c r="G346" s="129"/>
      <c r="H346" s="129"/>
      <c r="I346" s="133"/>
      <c r="J346" s="129"/>
      <c r="K346" s="133"/>
      <c r="L346" s="129"/>
    </row>
    <row r="347" spans="1:12" x14ac:dyDescent="0.25">
      <c r="A347" s="133"/>
      <c r="B347" s="129"/>
      <c r="C347" s="129"/>
      <c r="D347" s="129"/>
      <c r="E347" s="134" t="str">
        <f t="shared" si="15"/>
        <v/>
      </c>
      <c r="F347" s="134" t="str">
        <f t="shared" si="16"/>
        <v/>
      </c>
      <c r="G347" s="129"/>
      <c r="H347" s="129"/>
      <c r="I347" s="133"/>
      <c r="J347" s="129"/>
      <c r="K347" s="133"/>
      <c r="L347" s="129"/>
    </row>
    <row r="348" spans="1:12" x14ac:dyDescent="0.25">
      <c r="A348" s="133"/>
      <c r="B348" s="129"/>
      <c r="C348" s="129"/>
      <c r="D348" s="129"/>
      <c r="E348" s="134" t="str">
        <f t="shared" si="15"/>
        <v/>
      </c>
      <c r="F348" s="134" t="str">
        <f t="shared" si="16"/>
        <v/>
      </c>
      <c r="G348" s="129"/>
      <c r="H348" s="129"/>
      <c r="I348" s="133"/>
      <c r="J348" s="129"/>
      <c r="K348" s="133"/>
      <c r="L348" s="129"/>
    </row>
    <row r="349" spans="1:12" x14ac:dyDescent="0.25">
      <c r="A349" s="133"/>
      <c r="B349" s="129"/>
      <c r="C349" s="129"/>
      <c r="D349" s="129"/>
      <c r="E349" s="134" t="str">
        <f t="shared" si="15"/>
        <v/>
      </c>
      <c r="F349" s="134" t="str">
        <f t="shared" si="16"/>
        <v/>
      </c>
      <c r="G349" s="129"/>
      <c r="H349" s="129"/>
      <c r="I349" s="133"/>
      <c r="J349" s="129"/>
      <c r="K349" s="133"/>
      <c r="L349" s="129"/>
    </row>
    <row r="350" spans="1:12" x14ac:dyDescent="0.25">
      <c r="A350" s="133"/>
      <c r="B350" s="129"/>
      <c r="C350" s="129"/>
      <c r="D350" s="129"/>
      <c r="E350" s="134" t="str">
        <f t="shared" si="15"/>
        <v/>
      </c>
      <c r="F350" s="134" t="str">
        <f t="shared" si="16"/>
        <v/>
      </c>
      <c r="G350" s="129"/>
      <c r="H350" s="129"/>
      <c r="I350" s="133"/>
      <c r="J350" s="129"/>
      <c r="K350" s="133"/>
      <c r="L350" s="129"/>
    </row>
    <row r="351" spans="1:12" x14ac:dyDescent="0.25">
      <c r="A351" s="133"/>
      <c r="B351" s="129"/>
      <c r="C351" s="129"/>
      <c r="D351" s="129"/>
      <c r="E351" s="134" t="str">
        <f t="shared" si="15"/>
        <v/>
      </c>
      <c r="F351" s="134" t="str">
        <f t="shared" si="16"/>
        <v/>
      </c>
      <c r="G351" s="129"/>
      <c r="H351" s="129"/>
      <c r="I351" s="133"/>
      <c r="J351" s="129"/>
      <c r="K351" s="133"/>
      <c r="L351" s="129"/>
    </row>
    <row r="352" spans="1:12" x14ac:dyDescent="0.25">
      <c r="A352" s="133"/>
      <c r="B352" s="129"/>
      <c r="C352" s="129"/>
      <c r="D352" s="129"/>
      <c r="E352" s="134" t="str">
        <f t="shared" si="15"/>
        <v/>
      </c>
      <c r="F352" s="134" t="str">
        <f t="shared" si="16"/>
        <v/>
      </c>
      <c r="G352" s="129"/>
      <c r="H352" s="129"/>
      <c r="I352" s="133"/>
      <c r="J352" s="129"/>
      <c r="K352" s="133"/>
      <c r="L352" s="129"/>
    </row>
    <row r="353" spans="1:12" x14ac:dyDescent="0.25">
      <c r="A353" s="133"/>
      <c r="B353" s="129"/>
      <c r="C353" s="129"/>
      <c r="D353" s="129"/>
      <c r="E353" s="134" t="str">
        <f t="shared" si="15"/>
        <v/>
      </c>
      <c r="F353" s="134" t="str">
        <f t="shared" si="16"/>
        <v/>
      </c>
      <c r="G353" s="129"/>
      <c r="H353" s="129"/>
      <c r="I353" s="133"/>
      <c r="J353" s="129"/>
      <c r="K353" s="133"/>
      <c r="L353" s="129"/>
    </row>
    <row r="354" spans="1:12" x14ac:dyDescent="0.25">
      <c r="A354" s="133"/>
      <c r="B354" s="129"/>
      <c r="C354" s="129"/>
      <c r="D354" s="129"/>
      <c r="E354" s="134" t="str">
        <f t="shared" si="15"/>
        <v/>
      </c>
      <c r="F354" s="134" t="str">
        <f t="shared" si="16"/>
        <v/>
      </c>
      <c r="G354" s="129"/>
      <c r="H354" s="129"/>
      <c r="I354" s="133"/>
      <c r="J354" s="129"/>
      <c r="K354" s="133"/>
      <c r="L354" s="129"/>
    </row>
    <row r="355" spans="1:12" x14ac:dyDescent="0.25">
      <c r="A355" s="133"/>
      <c r="B355" s="129"/>
      <c r="C355" s="129"/>
      <c r="D355" s="129"/>
      <c r="E355" s="134" t="str">
        <f t="shared" si="15"/>
        <v/>
      </c>
      <c r="F355" s="134" t="str">
        <f t="shared" si="16"/>
        <v/>
      </c>
      <c r="G355" s="129"/>
      <c r="H355" s="129"/>
      <c r="I355" s="133"/>
      <c r="J355" s="129"/>
      <c r="K355" s="133"/>
      <c r="L355" s="129"/>
    </row>
    <row r="356" spans="1:12" x14ac:dyDescent="0.25">
      <c r="A356" s="133"/>
      <c r="B356" s="129"/>
      <c r="C356" s="129"/>
      <c r="D356" s="129"/>
      <c r="E356" s="134" t="str">
        <f t="shared" si="15"/>
        <v/>
      </c>
      <c r="F356" s="134" t="str">
        <f t="shared" si="16"/>
        <v/>
      </c>
      <c r="G356" s="129"/>
      <c r="H356" s="129"/>
      <c r="I356" s="133"/>
      <c r="J356" s="129"/>
      <c r="K356" s="133"/>
      <c r="L356" s="129"/>
    </row>
    <row r="357" spans="1:12" x14ac:dyDescent="0.25">
      <c r="A357" s="133"/>
      <c r="B357" s="129"/>
      <c r="C357" s="129"/>
      <c r="D357" s="129"/>
      <c r="E357" s="134" t="str">
        <f t="shared" si="15"/>
        <v/>
      </c>
      <c r="F357" s="134" t="str">
        <f t="shared" si="16"/>
        <v/>
      </c>
      <c r="G357" s="129"/>
      <c r="H357" s="129"/>
      <c r="I357" s="133"/>
      <c r="J357" s="129"/>
      <c r="K357" s="133"/>
      <c r="L357" s="129"/>
    </row>
    <row r="358" spans="1:12" x14ac:dyDescent="0.25">
      <c r="A358" s="133"/>
      <c r="B358" s="129"/>
      <c r="C358" s="129"/>
      <c r="D358" s="129"/>
      <c r="E358" s="134" t="str">
        <f t="shared" si="15"/>
        <v/>
      </c>
      <c r="F358" s="134" t="str">
        <f t="shared" si="16"/>
        <v/>
      </c>
      <c r="G358" s="129"/>
      <c r="H358" s="129"/>
      <c r="I358" s="133"/>
      <c r="J358" s="129"/>
      <c r="K358" s="133"/>
      <c r="L358" s="129"/>
    </row>
    <row r="359" spans="1:12" x14ac:dyDescent="0.25">
      <c r="A359" s="133"/>
      <c r="B359" s="129"/>
      <c r="C359" s="129"/>
      <c r="D359" s="129"/>
      <c r="E359" s="134" t="str">
        <f t="shared" si="15"/>
        <v/>
      </c>
      <c r="F359" s="134" t="str">
        <f t="shared" si="16"/>
        <v/>
      </c>
      <c r="G359" s="129"/>
      <c r="H359" s="129"/>
      <c r="I359" s="133"/>
      <c r="J359" s="129"/>
      <c r="K359" s="133"/>
      <c r="L359" s="129"/>
    </row>
    <row r="360" spans="1:12" x14ac:dyDescent="0.25">
      <c r="A360" s="133"/>
      <c r="B360" s="129"/>
      <c r="C360" s="129"/>
      <c r="D360" s="129"/>
      <c r="E360" s="134" t="str">
        <f t="shared" si="15"/>
        <v/>
      </c>
      <c r="F360" s="134" t="str">
        <f t="shared" si="16"/>
        <v/>
      </c>
      <c r="G360" s="129"/>
      <c r="H360" s="129"/>
      <c r="I360" s="133"/>
      <c r="J360" s="129"/>
      <c r="K360" s="133"/>
      <c r="L360" s="129"/>
    </row>
    <row r="361" spans="1:12" x14ac:dyDescent="0.25">
      <c r="A361" s="133"/>
      <c r="B361" s="129"/>
      <c r="C361" s="129"/>
      <c r="D361" s="129"/>
      <c r="E361" s="134" t="str">
        <f t="shared" si="15"/>
        <v/>
      </c>
      <c r="F361" s="134" t="str">
        <f t="shared" si="16"/>
        <v/>
      </c>
      <c r="G361" s="129"/>
      <c r="H361" s="129"/>
      <c r="I361" s="133"/>
      <c r="J361" s="129"/>
      <c r="K361" s="133"/>
      <c r="L361" s="129"/>
    </row>
    <row r="362" spans="1:12" x14ac:dyDescent="0.25">
      <c r="A362" s="133"/>
      <c r="B362" s="129"/>
      <c r="C362" s="129"/>
      <c r="D362" s="129"/>
      <c r="E362" s="134" t="str">
        <f t="shared" si="15"/>
        <v/>
      </c>
      <c r="F362" s="134" t="str">
        <f t="shared" si="16"/>
        <v/>
      </c>
      <c r="G362" s="129"/>
      <c r="H362" s="129"/>
      <c r="I362" s="133"/>
      <c r="J362" s="129"/>
      <c r="K362" s="133"/>
      <c r="L362" s="129"/>
    </row>
    <row r="363" spans="1:12" x14ac:dyDescent="0.25">
      <c r="A363" s="133"/>
      <c r="B363" s="129"/>
      <c r="C363" s="129"/>
      <c r="D363" s="129"/>
      <c r="E363" s="134" t="str">
        <f t="shared" si="15"/>
        <v/>
      </c>
      <c r="F363" s="134" t="str">
        <f t="shared" si="16"/>
        <v/>
      </c>
      <c r="G363" s="129"/>
      <c r="H363" s="129"/>
      <c r="I363" s="133"/>
      <c r="J363" s="129"/>
      <c r="K363" s="133"/>
      <c r="L363" s="129"/>
    </row>
    <row r="364" spans="1:12" x14ac:dyDescent="0.25">
      <c r="A364" s="133"/>
      <c r="B364" s="129"/>
      <c r="C364" s="129"/>
      <c r="D364" s="129"/>
      <c r="E364" s="134" t="str">
        <f t="shared" si="15"/>
        <v/>
      </c>
      <c r="F364" s="134" t="str">
        <f t="shared" si="16"/>
        <v/>
      </c>
      <c r="G364" s="129"/>
      <c r="H364" s="129"/>
      <c r="I364" s="133"/>
      <c r="J364" s="129"/>
      <c r="K364" s="133"/>
      <c r="L364" s="129"/>
    </row>
    <row r="365" spans="1:12" x14ac:dyDescent="0.25">
      <c r="A365" s="133"/>
      <c r="B365" s="129"/>
      <c r="C365" s="129"/>
      <c r="D365" s="129"/>
      <c r="E365" s="134" t="str">
        <f t="shared" si="15"/>
        <v/>
      </c>
      <c r="F365" s="134" t="str">
        <f t="shared" si="16"/>
        <v/>
      </c>
      <c r="G365" s="129"/>
      <c r="H365" s="129"/>
      <c r="I365" s="133"/>
      <c r="J365" s="129"/>
      <c r="K365" s="133"/>
      <c r="L365" s="129"/>
    </row>
    <row r="366" spans="1:12" x14ac:dyDescent="0.25">
      <c r="A366" s="133"/>
      <c r="B366" s="129"/>
      <c r="C366" s="129"/>
      <c r="D366" s="129"/>
      <c r="E366" s="134" t="str">
        <f t="shared" si="15"/>
        <v/>
      </c>
      <c r="F366" s="134" t="str">
        <f t="shared" si="16"/>
        <v/>
      </c>
      <c r="G366" s="129"/>
      <c r="H366" s="129"/>
      <c r="I366" s="133"/>
      <c r="J366" s="129"/>
      <c r="K366" s="133"/>
      <c r="L366" s="129"/>
    </row>
    <row r="367" spans="1:12" x14ac:dyDescent="0.25">
      <c r="A367" s="133"/>
      <c r="B367" s="129"/>
      <c r="C367" s="129"/>
      <c r="D367" s="129"/>
      <c r="E367" s="134" t="str">
        <f t="shared" si="15"/>
        <v/>
      </c>
      <c r="F367" s="134" t="str">
        <f t="shared" si="16"/>
        <v/>
      </c>
      <c r="G367" s="129"/>
      <c r="H367" s="129"/>
      <c r="I367" s="133"/>
      <c r="J367" s="129"/>
      <c r="K367" s="133"/>
      <c r="L367" s="129"/>
    </row>
    <row r="368" spans="1:12" x14ac:dyDescent="0.25">
      <c r="A368" s="133"/>
      <c r="B368" s="129"/>
      <c r="C368" s="129"/>
      <c r="D368" s="129"/>
      <c r="E368" s="134" t="str">
        <f t="shared" si="15"/>
        <v/>
      </c>
      <c r="F368" s="134" t="str">
        <f t="shared" si="16"/>
        <v/>
      </c>
      <c r="G368" s="129"/>
      <c r="H368" s="129"/>
      <c r="I368" s="133"/>
      <c r="J368" s="129"/>
      <c r="K368" s="133"/>
      <c r="L368" s="129"/>
    </row>
    <row r="369" spans="1:12" x14ac:dyDescent="0.25">
      <c r="A369" s="133"/>
      <c r="B369" s="129"/>
      <c r="C369" s="129"/>
      <c r="D369" s="129"/>
      <c r="E369" s="134" t="str">
        <f t="shared" si="15"/>
        <v/>
      </c>
      <c r="F369" s="134" t="str">
        <f t="shared" si="16"/>
        <v/>
      </c>
      <c r="G369" s="129"/>
      <c r="H369" s="129"/>
      <c r="I369" s="133"/>
      <c r="J369" s="129"/>
      <c r="K369" s="133"/>
      <c r="L369" s="129"/>
    </row>
    <row r="370" spans="1:12" x14ac:dyDescent="0.25">
      <c r="A370" s="133"/>
      <c r="B370" s="129"/>
      <c r="C370" s="129"/>
      <c r="D370" s="129"/>
      <c r="E370" s="134" t="str">
        <f t="shared" si="15"/>
        <v/>
      </c>
      <c r="F370" s="134" t="str">
        <f t="shared" si="16"/>
        <v/>
      </c>
      <c r="G370" s="129"/>
      <c r="H370" s="129"/>
      <c r="I370" s="133"/>
      <c r="J370" s="129"/>
      <c r="K370" s="133"/>
      <c r="L370" s="129"/>
    </row>
    <row r="371" spans="1:12" x14ac:dyDescent="0.25">
      <c r="A371" s="133"/>
      <c r="B371" s="129"/>
      <c r="C371" s="129"/>
      <c r="D371" s="129"/>
      <c r="E371" s="134" t="str">
        <f t="shared" si="15"/>
        <v/>
      </c>
      <c r="F371" s="134" t="str">
        <f t="shared" si="16"/>
        <v/>
      </c>
      <c r="G371" s="129"/>
      <c r="H371" s="129"/>
      <c r="I371" s="133"/>
      <c r="J371" s="129"/>
      <c r="K371" s="133"/>
      <c r="L371" s="129"/>
    </row>
    <row r="372" spans="1:12" x14ac:dyDescent="0.25">
      <c r="A372" s="133"/>
      <c r="B372" s="129"/>
      <c r="C372" s="129"/>
      <c r="D372" s="129"/>
      <c r="E372" s="134" t="str">
        <f t="shared" si="15"/>
        <v/>
      </c>
      <c r="F372" s="134" t="str">
        <f t="shared" si="16"/>
        <v/>
      </c>
      <c r="G372" s="129"/>
      <c r="H372" s="129"/>
      <c r="I372" s="133"/>
      <c r="J372" s="129"/>
      <c r="K372" s="133"/>
      <c r="L372" s="129"/>
    </row>
    <row r="373" spans="1:12" x14ac:dyDescent="0.25">
      <c r="A373" s="133"/>
      <c r="B373" s="129"/>
      <c r="C373" s="129"/>
      <c r="D373" s="129"/>
      <c r="E373" s="134" t="str">
        <f t="shared" si="15"/>
        <v/>
      </c>
      <c r="F373" s="134" t="str">
        <f t="shared" si="16"/>
        <v/>
      </c>
      <c r="G373" s="129"/>
      <c r="H373" s="129"/>
      <c r="I373" s="133"/>
      <c r="J373" s="129"/>
      <c r="K373" s="133"/>
      <c r="L373" s="129"/>
    </row>
    <row r="374" spans="1:12" x14ac:dyDescent="0.25">
      <c r="A374" s="133"/>
      <c r="B374" s="129"/>
      <c r="C374" s="129"/>
      <c r="D374" s="129"/>
      <c r="E374" s="134" t="str">
        <f t="shared" si="15"/>
        <v/>
      </c>
      <c r="F374" s="134" t="str">
        <f t="shared" si="16"/>
        <v/>
      </c>
      <c r="G374" s="129"/>
      <c r="H374" s="129"/>
      <c r="I374" s="133"/>
      <c r="J374" s="129"/>
      <c r="K374" s="133"/>
      <c r="L374" s="129"/>
    </row>
    <row r="375" spans="1:12" x14ac:dyDescent="0.25">
      <c r="A375" s="133"/>
      <c r="B375" s="129"/>
      <c r="C375" s="129"/>
      <c r="D375" s="129"/>
      <c r="E375" s="134" t="str">
        <f t="shared" si="15"/>
        <v/>
      </c>
      <c r="F375" s="134" t="str">
        <f t="shared" si="16"/>
        <v/>
      </c>
      <c r="G375" s="129"/>
      <c r="H375" s="129"/>
      <c r="I375" s="133"/>
      <c r="J375" s="129"/>
      <c r="K375" s="133"/>
      <c r="L375" s="129"/>
    </row>
    <row r="376" spans="1:12" x14ac:dyDescent="0.25">
      <c r="A376" s="133"/>
      <c r="B376" s="129"/>
      <c r="C376" s="129"/>
      <c r="D376" s="129"/>
      <c r="E376" s="134" t="str">
        <f t="shared" si="15"/>
        <v/>
      </c>
      <c r="F376" s="134" t="str">
        <f t="shared" si="16"/>
        <v/>
      </c>
      <c r="G376" s="129"/>
      <c r="H376" s="129"/>
      <c r="I376" s="133"/>
      <c r="J376" s="129"/>
      <c r="K376" s="133"/>
      <c r="L376" s="129"/>
    </row>
    <row r="377" spans="1:12" x14ac:dyDescent="0.25">
      <c r="A377" s="133"/>
      <c r="B377" s="129"/>
      <c r="C377" s="129"/>
      <c r="D377" s="129"/>
      <c r="E377" s="134" t="str">
        <f t="shared" si="15"/>
        <v/>
      </c>
      <c r="F377" s="134" t="str">
        <f t="shared" si="16"/>
        <v/>
      </c>
      <c r="G377" s="129"/>
      <c r="H377" s="129"/>
      <c r="I377" s="133"/>
      <c r="J377" s="129"/>
      <c r="K377" s="133"/>
      <c r="L377" s="129"/>
    </row>
    <row r="378" spans="1:12" x14ac:dyDescent="0.25">
      <c r="A378" s="133"/>
      <c r="B378" s="129"/>
      <c r="C378" s="129"/>
      <c r="D378" s="129"/>
      <c r="E378" s="134" t="str">
        <f t="shared" si="15"/>
        <v/>
      </c>
      <c r="F378" s="134" t="str">
        <f t="shared" si="16"/>
        <v/>
      </c>
      <c r="G378" s="129"/>
      <c r="H378" s="129"/>
      <c r="I378" s="133"/>
      <c r="J378" s="129"/>
      <c r="K378" s="133"/>
      <c r="L378" s="129"/>
    </row>
    <row r="379" spans="1:12" x14ac:dyDescent="0.25">
      <c r="A379" s="133"/>
      <c r="B379" s="129"/>
      <c r="C379" s="129"/>
      <c r="D379" s="129"/>
      <c r="E379" s="134" t="str">
        <f t="shared" si="15"/>
        <v/>
      </c>
      <c r="F379" s="134" t="str">
        <f t="shared" si="16"/>
        <v/>
      </c>
      <c r="G379" s="129"/>
      <c r="H379" s="129"/>
      <c r="I379" s="133"/>
      <c r="J379" s="129"/>
      <c r="K379" s="133"/>
      <c r="L379" s="129"/>
    </row>
    <row r="380" spans="1:12" x14ac:dyDescent="0.25">
      <c r="A380" s="133"/>
      <c r="B380" s="129"/>
      <c r="C380" s="129"/>
      <c r="D380" s="129"/>
      <c r="E380" s="134" t="str">
        <f t="shared" si="15"/>
        <v/>
      </c>
      <c r="F380" s="134" t="str">
        <f t="shared" si="16"/>
        <v/>
      </c>
      <c r="G380" s="129"/>
      <c r="H380" s="129"/>
      <c r="I380" s="133"/>
      <c r="J380" s="129"/>
      <c r="K380" s="133"/>
      <c r="L380" s="129"/>
    </row>
    <row r="381" spans="1:12" x14ac:dyDescent="0.25">
      <c r="A381" s="133"/>
      <c r="B381" s="129"/>
      <c r="C381" s="129"/>
      <c r="D381" s="129"/>
      <c r="E381" s="134" t="str">
        <f t="shared" si="15"/>
        <v/>
      </c>
      <c r="F381" s="134" t="str">
        <f t="shared" si="16"/>
        <v/>
      </c>
      <c r="G381" s="129"/>
      <c r="H381" s="129"/>
      <c r="I381" s="133"/>
      <c r="J381" s="129"/>
      <c r="K381" s="133"/>
      <c r="L381" s="129"/>
    </row>
    <row r="382" spans="1:12" x14ac:dyDescent="0.25">
      <c r="A382" s="133"/>
      <c r="B382" s="129"/>
      <c r="C382" s="129"/>
      <c r="D382" s="129"/>
      <c r="E382" s="134" t="str">
        <f t="shared" si="15"/>
        <v/>
      </c>
      <c r="F382" s="134" t="str">
        <f t="shared" si="16"/>
        <v/>
      </c>
      <c r="G382" s="129"/>
      <c r="H382" s="129"/>
      <c r="I382" s="133"/>
      <c r="J382" s="129"/>
      <c r="K382" s="133"/>
      <c r="L382" s="129"/>
    </row>
    <row r="383" spans="1:12" x14ac:dyDescent="0.25">
      <c r="A383" s="133"/>
      <c r="B383" s="129"/>
      <c r="C383" s="129"/>
      <c r="D383" s="129"/>
      <c r="E383" s="134" t="str">
        <f t="shared" si="15"/>
        <v/>
      </c>
      <c r="F383" s="134" t="str">
        <f t="shared" si="16"/>
        <v/>
      </c>
      <c r="G383" s="129"/>
      <c r="H383" s="129"/>
      <c r="I383" s="133"/>
      <c r="J383" s="129"/>
      <c r="K383" s="133"/>
      <c r="L383" s="129"/>
    </row>
    <row r="384" spans="1:12" x14ac:dyDescent="0.25">
      <c r="A384" s="133"/>
      <c r="B384" s="129"/>
      <c r="C384" s="129"/>
      <c r="D384" s="129"/>
      <c r="E384" s="134" t="str">
        <f t="shared" si="15"/>
        <v/>
      </c>
      <c r="F384" s="134" t="str">
        <f t="shared" si="16"/>
        <v/>
      </c>
      <c r="G384" s="129"/>
      <c r="H384" s="129"/>
      <c r="I384" s="133"/>
      <c r="J384" s="129"/>
      <c r="K384" s="133"/>
      <c r="L384" s="129"/>
    </row>
    <row r="385" spans="1:12" x14ac:dyDescent="0.25">
      <c r="A385" s="133"/>
      <c r="B385" s="129"/>
      <c r="C385" s="129"/>
      <c r="D385" s="129"/>
      <c r="E385" s="134" t="str">
        <f t="shared" si="15"/>
        <v/>
      </c>
      <c r="F385" s="134" t="str">
        <f t="shared" si="16"/>
        <v/>
      </c>
      <c r="G385" s="129"/>
      <c r="H385" s="129"/>
      <c r="I385" s="133"/>
      <c r="J385" s="129"/>
      <c r="K385" s="133"/>
      <c r="L385" s="129"/>
    </row>
    <row r="386" spans="1:12" x14ac:dyDescent="0.25">
      <c r="A386" s="133"/>
      <c r="B386" s="129"/>
      <c r="C386" s="129"/>
      <c r="D386" s="129"/>
      <c r="E386" s="134" t="str">
        <f t="shared" si="15"/>
        <v/>
      </c>
      <c r="F386" s="134" t="str">
        <f t="shared" si="16"/>
        <v/>
      </c>
      <c r="G386" s="129"/>
      <c r="H386" s="129"/>
      <c r="I386" s="133"/>
      <c r="J386" s="129"/>
      <c r="K386" s="133"/>
      <c r="L386" s="129"/>
    </row>
    <row r="387" spans="1:12" x14ac:dyDescent="0.25">
      <c r="A387" s="133"/>
      <c r="B387" s="129"/>
      <c r="C387" s="129"/>
      <c r="D387" s="129"/>
      <c r="E387" s="134" t="str">
        <f t="shared" si="15"/>
        <v/>
      </c>
      <c r="F387" s="134" t="str">
        <f t="shared" si="16"/>
        <v/>
      </c>
      <c r="G387" s="129"/>
      <c r="H387" s="129"/>
      <c r="I387" s="133"/>
      <c r="J387" s="129"/>
      <c r="K387" s="133"/>
      <c r="L387" s="129"/>
    </row>
    <row r="388" spans="1:12" x14ac:dyDescent="0.25">
      <c r="A388" s="133"/>
      <c r="B388" s="129"/>
      <c r="C388" s="129"/>
      <c r="D388" s="129"/>
      <c r="E388" s="134" t="str">
        <f t="shared" si="15"/>
        <v/>
      </c>
      <c r="F388" s="134" t="str">
        <f t="shared" si="16"/>
        <v/>
      </c>
      <c r="G388" s="129"/>
      <c r="H388" s="129"/>
      <c r="I388" s="133"/>
      <c r="J388" s="129"/>
      <c r="K388" s="133"/>
      <c r="L388" s="129"/>
    </row>
    <row r="389" spans="1:12" x14ac:dyDescent="0.25">
      <c r="A389" s="133"/>
      <c r="B389" s="129"/>
      <c r="C389" s="129"/>
      <c r="D389" s="129"/>
      <c r="E389" s="134" t="str">
        <f t="shared" ref="E389:E452" si="17">IFERROR(IF($D389="","",VLOOKUP($D389,CAD_TAB,8,FALSE)),"")</f>
        <v/>
      </c>
      <c r="F389" s="134" t="str">
        <f t="shared" ref="F389:F452" si="18">IFERROR(IF($D389="","",VLOOKUP($D389,CAD_TAB,9,FALSE)),"")</f>
        <v/>
      </c>
      <c r="G389" s="129"/>
      <c r="H389" s="129"/>
      <c r="I389" s="133"/>
      <c r="J389" s="129"/>
      <c r="K389" s="133"/>
      <c r="L389" s="129"/>
    </row>
    <row r="390" spans="1:12" x14ac:dyDescent="0.25">
      <c r="A390" s="133"/>
      <c r="B390" s="129"/>
      <c r="C390" s="129"/>
      <c r="D390" s="129"/>
      <c r="E390" s="134" t="str">
        <f t="shared" si="17"/>
        <v/>
      </c>
      <c r="F390" s="134" t="str">
        <f t="shared" si="18"/>
        <v/>
      </c>
      <c r="G390" s="129"/>
      <c r="H390" s="129"/>
      <c r="I390" s="133"/>
      <c r="J390" s="129"/>
      <c r="K390" s="133"/>
      <c r="L390" s="129"/>
    </row>
    <row r="391" spans="1:12" x14ac:dyDescent="0.25">
      <c r="A391" s="133"/>
      <c r="B391" s="129"/>
      <c r="C391" s="129"/>
      <c r="D391" s="129"/>
      <c r="E391" s="134" t="str">
        <f t="shared" si="17"/>
        <v/>
      </c>
      <c r="F391" s="134" t="str">
        <f t="shared" si="18"/>
        <v/>
      </c>
      <c r="G391" s="129"/>
      <c r="H391" s="129"/>
      <c r="I391" s="133"/>
      <c r="J391" s="129"/>
      <c r="K391" s="133"/>
      <c r="L391" s="129"/>
    </row>
    <row r="392" spans="1:12" x14ac:dyDescent="0.25">
      <c r="A392" s="133"/>
      <c r="B392" s="129"/>
      <c r="C392" s="129"/>
      <c r="D392" s="129"/>
      <c r="E392" s="134" t="str">
        <f t="shared" si="17"/>
        <v/>
      </c>
      <c r="F392" s="134" t="str">
        <f t="shared" si="18"/>
        <v/>
      </c>
      <c r="G392" s="129"/>
      <c r="H392" s="129"/>
      <c r="I392" s="133"/>
      <c r="J392" s="129"/>
      <c r="K392" s="133"/>
      <c r="L392" s="129"/>
    </row>
    <row r="393" spans="1:12" x14ac:dyDescent="0.25">
      <c r="A393" s="133"/>
      <c r="B393" s="129"/>
      <c r="C393" s="129"/>
      <c r="D393" s="129"/>
      <c r="E393" s="134" t="str">
        <f t="shared" si="17"/>
        <v/>
      </c>
      <c r="F393" s="134" t="str">
        <f t="shared" si="18"/>
        <v/>
      </c>
      <c r="G393" s="129"/>
      <c r="H393" s="129"/>
      <c r="I393" s="133"/>
      <c r="J393" s="129"/>
      <c r="K393" s="133"/>
      <c r="L393" s="129"/>
    </row>
    <row r="394" spans="1:12" x14ac:dyDescent="0.25">
      <c r="A394" s="133"/>
      <c r="B394" s="129"/>
      <c r="C394" s="129"/>
      <c r="D394" s="129"/>
      <c r="E394" s="134" t="str">
        <f t="shared" si="17"/>
        <v/>
      </c>
      <c r="F394" s="134" t="str">
        <f t="shared" si="18"/>
        <v/>
      </c>
      <c r="G394" s="129"/>
      <c r="H394" s="129"/>
      <c r="I394" s="133"/>
      <c r="J394" s="129"/>
      <c r="K394" s="133"/>
      <c r="L394" s="129"/>
    </row>
    <row r="395" spans="1:12" x14ac:dyDescent="0.25">
      <c r="A395" s="133"/>
      <c r="B395" s="129"/>
      <c r="C395" s="129"/>
      <c r="D395" s="129"/>
      <c r="E395" s="134" t="str">
        <f t="shared" si="17"/>
        <v/>
      </c>
      <c r="F395" s="134" t="str">
        <f t="shared" si="18"/>
        <v/>
      </c>
      <c r="G395" s="129"/>
      <c r="H395" s="129"/>
      <c r="I395" s="133"/>
      <c r="J395" s="129"/>
      <c r="K395" s="133"/>
      <c r="L395" s="129"/>
    </row>
    <row r="396" spans="1:12" x14ac:dyDescent="0.25">
      <c r="A396" s="133"/>
      <c r="B396" s="129"/>
      <c r="C396" s="129"/>
      <c r="D396" s="129"/>
      <c r="E396" s="134" t="str">
        <f t="shared" si="17"/>
        <v/>
      </c>
      <c r="F396" s="134" t="str">
        <f t="shared" si="18"/>
        <v/>
      </c>
      <c r="G396" s="129"/>
      <c r="H396" s="129"/>
      <c r="I396" s="133"/>
      <c r="J396" s="129"/>
      <c r="K396" s="133"/>
      <c r="L396" s="129"/>
    </row>
    <row r="397" spans="1:12" x14ac:dyDescent="0.25">
      <c r="A397" s="133"/>
      <c r="B397" s="129"/>
      <c r="C397" s="129"/>
      <c r="D397" s="129"/>
      <c r="E397" s="134" t="str">
        <f t="shared" si="17"/>
        <v/>
      </c>
      <c r="F397" s="134" t="str">
        <f t="shared" si="18"/>
        <v/>
      </c>
      <c r="G397" s="129"/>
      <c r="H397" s="129"/>
      <c r="I397" s="133"/>
      <c r="J397" s="129"/>
      <c r="K397" s="133"/>
      <c r="L397" s="129"/>
    </row>
    <row r="398" spans="1:12" x14ac:dyDescent="0.25">
      <c r="A398" s="133"/>
      <c r="B398" s="129"/>
      <c r="C398" s="129"/>
      <c r="D398" s="129"/>
      <c r="E398" s="134" t="str">
        <f t="shared" si="17"/>
        <v/>
      </c>
      <c r="F398" s="134" t="str">
        <f t="shared" si="18"/>
        <v/>
      </c>
      <c r="G398" s="129"/>
      <c r="H398" s="129"/>
      <c r="I398" s="133"/>
      <c r="J398" s="129"/>
      <c r="K398" s="133"/>
      <c r="L398" s="129"/>
    </row>
    <row r="399" spans="1:12" x14ac:dyDescent="0.25">
      <c r="A399" s="133"/>
      <c r="B399" s="129"/>
      <c r="C399" s="129"/>
      <c r="D399" s="129"/>
      <c r="E399" s="134" t="str">
        <f t="shared" si="17"/>
        <v/>
      </c>
      <c r="F399" s="134" t="str">
        <f t="shared" si="18"/>
        <v/>
      </c>
      <c r="G399" s="129"/>
      <c r="H399" s="129"/>
      <c r="I399" s="133"/>
      <c r="J399" s="129"/>
      <c r="K399" s="133"/>
      <c r="L399" s="129"/>
    </row>
    <row r="400" spans="1:12" x14ac:dyDescent="0.25">
      <c r="A400" s="133"/>
      <c r="B400" s="129"/>
      <c r="C400" s="129"/>
      <c r="D400" s="129"/>
      <c r="E400" s="134" t="str">
        <f t="shared" si="17"/>
        <v/>
      </c>
      <c r="F400" s="134" t="str">
        <f t="shared" si="18"/>
        <v/>
      </c>
      <c r="G400" s="129"/>
      <c r="H400" s="129"/>
      <c r="I400" s="133"/>
      <c r="J400" s="129"/>
      <c r="K400" s="133"/>
      <c r="L400" s="129"/>
    </row>
    <row r="401" spans="1:12" x14ac:dyDescent="0.25">
      <c r="A401" s="133"/>
      <c r="B401" s="129"/>
      <c r="C401" s="129"/>
      <c r="D401" s="129"/>
      <c r="E401" s="134" t="str">
        <f t="shared" si="17"/>
        <v/>
      </c>
      <c r="F401" s="134" t="str">
        <f t="shared" si="18"/>
        <v/>
      </c>
      <c r="G401" s="129"/>
      <c r="H401" s="129"/>
      <c r="I401" s="133"/>
      <c r="J401" s="129"/>
      <c r="K401" s="133"/>
      <c r="L401" s="129"/>
    </row>
    <row r="402" spans="1:12" x14ac:dyDescent="0.25">
      <c r="A402" s="133"/>
      <c r="B402" s="129"/>
      <c r="C402" s="129"/>
      <c r="D402" s="129"/>
      <c r="E402" s="134" t="str">
        <f t="shared" si="17"/>
        <v/>
      </c>
      <c r="F402" s="134" t="str">
        <f t="shared" si="18"/>
        <v/>
      </c>
      <c r="G402" s="129"/>
      <c r="H402" s="129"/>
      <c r="I402" s="133"/>
      <c r="J402" s="129"/>
      <c r="K402" s="133"/>
      <c r="L402" s="129"/>
    </row>
    <row r="403" spans="1:12" x14ac:dyDescent="0.25">
      <c r="A403" s="133"/>
      <c r="B403" s="129"/>
      <c r="C403" s="129"/>
      <c r="D403" s="129"/>
      <c r="E403" s="134" t="str">
        <f t="shared" si="17"/>
        <v/>
      </c>
      <c r="F403" s="134" t="str">
        <f t="shared" si="18"/>
        <v/>
      </c>
      <c r="G403" s="129"/>
      <c r="H403" s="129"/>
      <c r="I403" s="133"/>
      <c r="J403" s="129"/>
      <c r="K403" s="133"/>
      <c r="L403" s="129"/>
    </row>
    <row r="404" spans="1:12" x14ac:dyDescent="0.25">
      <c r="A404" s="133"/>
      <c r="B404" s="129"/>
      <c r="C404" s="129"/>
      <c r="D404" s="129"/>
      <c r="E404" s="134" t="str">
        <f t="shared" si="17"/>
        <v/>
      </c>
      <c r="F404" s="134" t="str">
        <f t="shared" si="18"/>
        <v/>
      </c>
      <c r="G404" s="129"/>
      <c r="H404" s="129"/>
      <c r="I404" s="133"/>
      <c r="J404" s="129"/>
      <c r="K404" s="133"/>
      <c r="L404" s="129"/>
    </row>
    <row r="405" spans="1:12" x14ac:dyDescent="0.25">
      <c r="A405" s="133"/>
      <c r="B405" s="129"/>
      <c r="C405" s="129"/>
      <c r="D405" s="129"/>
      <c r="E405" s="134" t="str">
        <f t="shared" si="17"/>
        <v/>
      </c>
      <c r="F405" s="134" t="str">
        <f t="shared" si="18"/>
        <v/>
      </c>
      <c r="G405" s="129"/>
      <c r="H405" s="129"/>
      <c r="I405" s="133"/>
      <c r="J405" s="129"/>
      <c r="K405" s="133"/>
      <c r="L405" s="129"/>
    </row>
    <row r="406" spans="1:12" x14ac:dyDescent="0.25">
      <c r="A406" s="133"/>
      <c r="B406" s="129"/>
      <c r="C406" s="129"/>
      <c r="D406" s="129"/>
      <c r="E406" s="134" t="str">
        <f t="shared" si="17"/>
        <v/>
      </c>
      <c r="F406" s="134" t="str">
        <f t="shared" si="18"/>
        <v/>
      </c>
      <c r="G406" s="129"/>
      <c r="H406" s="129"/>
      <c r="I406" s="133"/>
      <c r="J406" s="129"/>
      <c r="K406" s="133"/>
      <c r="L406" s="129"/>
    </row>
    <row r="407" spans="1:12" x14ac:dyDescent="0.25">
      <c r="A407" s="133"/>
      <c r="B407" s="129"/>
      <c r="C407" s="129"/>
      <c r="D407" s="129"/>
      <c r="E407" s="134" t="str">
        <f t="shared" si="17"/>
        <v/>
      </c>
      <c r="F407" s="134" t="str">
        <f t="shared" si="18"/>
        <v/>
      </c>
      <c r="G407" s="129"/>
      <c r="H407" s="129"/>
      <c r="I407" s="133"/>
      <c r="J407" s="129"/>
      <c r="K407" s="133"/>
      <c r="L407" s="129"/>
    </row>
    <row r="408" spans="1:12" x14ac:dyDescent="0.25">
      <c r="A408" s="133"/>
      <c r="B408" s="129"/>
      <c r="C408" s="129"/>
      <c r="D408" s="129"/>
      <c r="E408" s="134" t="str">
        <f t="shared" si="17"/>
        <v/>
      </c>
      <c r="F408" s="134" t="str">
        <f t="shared" si="18"/>
        <v/>
      </c>
      <c r="G408" s="129"/>
      <c r="H408" s="129"/>
      <c r="I408" s="133"/>
      <c r="J408" s="129"/>
      <c r="K408" s="133"/>
      <c r="L408" s="129"/>
    </row>
    <row r="409" spans="1:12" x14ac:dyDescent="0.25">
      <c r="A409" s="133"/>
      <c r="B409" s="129"/>
      <c r="C409" s="129"/>
      <c r="D409" s="129"/>
      <c r="E409" s="134" t="str">
        <f t="shared" si="17"/>
        <v/>
      </c>
      <c r="F409" s="134" t="str">
        <f t="shared" si="18"/>
        <v/>
      </c>
      <c r="G409" s="129"/>
      <c r="H409" s="129"/>
      <c r="I409" s="133"/>
      <c r="J409" s="129"/>
      <c r="K409" s="133"/>
      <c r="L409" s="129"/>
    </row>
    <row r="410" spans="1:12" x14ac:dyDescent="0.25">
      <c r="A410" s="133"/>
      <c r="B410" s="129"/>
      <c r="C410" s="129"/>
      <c r="D410" s="129"/>
      <c r="E410" s="134" t="str">
        <f t="shared" si="17"/>
        <v/>
      </c>
      <c r="F410" s="134" t="str">
        <f t="shared" si="18"/>
        <v/>
      </c>
      <c r="G410" s="129"/>
      <c r="H410" s="129"/>
      <c r="I410" s="133"/>
      <c r="J410" s="129"/>
      <c r="K410" s="133"/>
      <c r="L410" s="129"/>
    </row>
    <row r="411" spans="1:12" x14ac:dyDescent="0.25">
      <c r="A411" s="133"/>
      <c r="B411" s="129"/>
      <c r="C411" s="129"/>
      <c r="D411" s="129"/>
      <c r="E411" s="134" t="str">
        <f t="shared" si="17"/>
        <v/>
      </c>
      <c r="F411" s="134" t="str">
        <f t="shared" si="18"/>
        <v/>
      </c>
      <c r="G411" s="129"/>
      <c r="H411" s="129"/>
      <c r="I411" s="133"/>
      <c r="J411" s="129"/>
      <c r="K411" s="133"/>
      <c r="L411" s="129"/>
    </row>
    <row r="412" spans="1:12" x14ac:dyDescent="0.25">
      <c r="A412" s="133"/>
      <c r="B412" s="129"/>
      <c r="C412" s="129"/>
      <c r="D412" s="129"/>
      <c r="E412" s="134" t="str">
        <f t="shared" si="17"/>
        <v/>
      </c>
      <c r="F412" s="134" t="str">
        <f t="shared" si="18"/>
        <v/>
      </c>
      <c r="G412" s="129"/>
      <c r="H412" s="129"/>
      <c r="I412" s="133"/>
      <c r="J412" s="129"/>
      <c r="K412" s="133"/>
      <c r="L412" s="129"/>
    </row>
    <row r="413" spans="1:12" x14ac:dyDescent="0.25">
      <c r="A413" s="133"/>
      <c r="B413" s="129"/>
      <c r="C413" s="129"/>
      <c r="D413" s="129"/>
      <c r="E413" s="134" t="str">
        <f t="shared" si="17"/>
        <v/>
      </c>
      <c r="F413" s="134" t="str">
        <f t="shared" si="18"/>
        <v/>
      </c>
      <c r="G413" s="129"/>
      <c r="H413" s="129"/>
      <c r="I413" s="133"/>
      <c r="J413" s="129"/>
      <c r="K413" s="133"/>
      <c r="L413" s="129"/>
    </row>
    <row r="414" spans="1:12" x14ac:dyDescent="0.25">
      <c r="A414" s="133"/>
      <c r="B414" s="129"/>
      <c r="C414" s="129"/>
      <c r="D414" s="129"/>
      <c r="E414" s="134" t="str">
        <f t="shared" si="17"/>
        <v/>
      </c>
      <c r="F414" s="134" t="str">
        <f t="shared" si="18"/>
        <v/>
      </c>
      <c r="G414" s="129"/>
      <c r="H414" s="129"/>
      <c r="I414" s="133"/>
      <c r="J414" s="129"/>
      <c r="K414" s="133"/>
      <c r="L414" s="129"/>
    </row>
    <row r="415" spans="1:12" x14ac:dyDescent="0.25">
      <c r="A415" s="133"/>
      <c r="B415" s="129"/>
      <c r="C415" s="129"/>
      <c r="D415" s="129"/>
      <c r="E415" s="134" t="str">
        <f t="shared" si="17"/>
        <v/>
      </c>
      <c r="F415" s="134" t="str">
        <f t="shared" si="18"/>
        <v/>
      </c>
      <c r="G415" s="129"/>
      <c r="H415" s="129"/>
      <c r="I415" s="133"/>
      <c r="J415" s="129"/>
      <c r="K415" s="133"/>
      <c r="L415" s="129"/>
    </row>
    <row r="416" spans="1:12" x14ac:dyDescent="0.25">
      <c r="A416" s="133"/>
      <c r="B416" s="129"/>
      <c r="C416" s="129"/>
      <c r="D416" s="129"/>
      <c r="E416" s="134" t="str">
        <f t="shared" si="17"/>
        <v/>
      </c>
      <c r="F416" s="134" t="str">
        <f t="shared" si="18"/>
        <v/>
      </c>
      <c r="G416" s="129"/>
      <c r="H416" s="129"/>
      <c r="I416" s="133"/>
      <c r="J416" s="129"/>
      <c r="K416" s="133"/>
      <c r="L416" s="129"/>
    </row>
    <row r="417" spans="1:12" x14ac:dyDescent="0.25">
      <c r="A417" s="133"/>
      <c r="B417" s="129"/>
      <c r="C417" s="129"/>
      <c r="D417" s="129"/>
      <c r="E417" s="134" t="str">
        <f t="shared" si="17"/>
        <v/>
      </c>
      <c r="F417" s="134" t="str">
        <f t="shared" si="18"/>
        <v/>
      </c>
      <c r="G417" s="129"/>
      <c r="H417" s="129"/>
      <c r="I417" s="133"/>
      <c r="J417" s="129"/>
      <c r="K417" s="133"/>
      <c r="L417" s="129"/>
    </row>
    <row r="418" spans="1:12" x14ac:dyDescent="0.25">
      <c r="A418" s="133"/>
      <c r="B418" s="129"/>
      <c r="C418" s="129"/>
      <c r="D418" s="129"/>
      <c r="E418" s="134" t="str">
        <f t="shared" si="17"/>
        <v/>
      </c>
      <c r="F418" s="134" t="str">
        <f t="shared" si="18"/>
        <v/>
      </c>
      <c r="G418" s="129"/>
      <c r="H418" s="129"/>
      <c r="I418" s="133"/>
      <c r="J418" s="129"/>
      <c r="K418" s="133"/>
      <c r="L418" s="129"/>
    </row>
    <row r="419" spans="1:12" x14ac:dyDescent="0.25">
      <c r="A419" s="133"/>
      <c r="B419" s="129"/>
      <c r="C419" s="129"/>
      <c r="D419" s="129"/>
      <c r="E419" s="134" t="str">
        <f t="shared" si="17"/>
        <v/>
      </c>
      <c r="F419" s="134" t="str">
        <f t="shared" si="18"/>
        <v/>
      </c>
      <c r="G419" s="129"/>
      <c r="H419" s="129"/>
      <c r="I419" s="133"/>
      <c r="J419" s="129"/>
      <c r="K419" s="133"/>
      <c r="L419" s="129"/>
    </row>
    <row r="420" spans="1:12" x14ac:dyDescent="0.25">
      <c r="A420" s="133"/>
      <c r="B420" s="129"/>
      <c r="C420" s="129"/>
      <c r="D420" s="129"/>
      <c r="E420" s="134" t="str">
        <f t="shared" si="17"/>
        <v/>
      </c>
      <c r="F420" s="134" t="str">
        <f t="shared" si="18"/>
        <v/>
      </c>
      <c r="G420" s="129"/>
      <c r="H420" s="129"/>
      <c r="I420" s="133"/>
      <c r="J420" s="129"/>
      <c r="K420" s="133"/>
      <c r="L420" s="129"/>
    </row>
    <row r="421" spans="1:12" x14ac:dyDescent="0.25">
      <c r="A421" s="133"/>
      <c r="B421" s="129"/>
      <c r="C421" s="129"/>
      <c r="D421" s="129"/>
      <c r="E421" s="134" t="str">
        <f t="shared" si="17"/>
        <v/>
      </c>
      <c r="F421" s="134" t="str">
        <f t="shared" si="18"/>
        <v/>
      </c>
      <c r="G421" s="129"/>
      <c r="H421" s="129"/>
      <c r="I421" s="133"/>
      <c r="J421" s="129"/>
      <c r="K421" s="133"/>
      <c r="L421" s="129"/>
    </row>
    <row r="422" spans="1:12" x14ac:dyDescent="0.25">
      <c r="A422" s="133"/>
      <c r="B422" s="129"/>
      <c r="C422" s="129"/>
      <c r="D422" s="129"/>
      <c r="E422" s="134" t="str">
        <f t="shared" si="17"/>
        <v/>
      </c>
      <c r="F422" s="134" t="str">
        <f t="shared" si="18"/>
        <v/>
      </c>
      <c r="G422" s="129"/>
      <c r="H422" s="129"/>
      <c r="I422" s="133"/>
      <c r="J422" s="129"/>
      <c r="K422" s="133"/>
      <c r="L422" s="129"/>
    </row>
    <row r="423" spans="1:12" x14ac:dyDescent="0.25">
      <c r="A423" s="133"/>
      <c r="B423" s="129"/>
      <c r="C423" s="129"/>
      <c r="D423" s="129"/>
      <c r="E423" s="134" t="str">
        <f t="shared" si="17"/>
        <v/>
      </c>
      <c r="F423" s="134" t="str">
        <f t="shared" si="18"/>
        <v/>
      </c>
      <c r="G423" s="129"/>
      <c r="H423" s="129"/>
      <c r="I423" s="133"/>
      <c r="J423" s="129"/>
      <c r="K423" s="133"/>
      <c r="L423" s="129"/>
    </row>
    <row r="424" spans="1:12" x14ac:dyDescent="0.25">
      <c r="A424" s="133"/>
      <c r="B424" s="129"/>
      <c r="C424" s="129"/>
      <c r="D424" s="129"/>
      <c r="E424" s="134" t="str">
        <f t="shared" si="17"/>
        <v/>
      </c>
      <c r="F424" s="134" t="str">
        <f t="shared" si="18"/>
        <v/>
      </c>
      <c r="G424" s="129"/>
      <c r="H424" s="129"/>
      <c r="I424" s="133"/>
      <c r="J424" s="129"/>
      <c r="K424" s="133"/>
      <c r="L424" s="129"/>
    </row>
    <row r="425" spans="1:12" x14ac:dyDescent="0.25">
      <c r="A425" s="133"/>
      <c r="B425" s="129"/>
      <c r="C425" s="129"/>
      <c r="D425" s="129"/>
      <c r="E425" s="134" t="str">
        <f t="shared" si="17"/>
        <v/>
      </c>
      <c r="F425" s="134" t="str">
        <f t="shared" si="18"/>
        <v/>
      </c>
      <c r="G425" s="129"/>
      <c r="H425" s="129"/>
      <c r="I425" s="133"/>
      <c r="J425" s="129"/>
      <c r="K425" s="133"/>
      <c r="L425" s="129"/>
    </row>
    <row r="426" spans="1:12" x14ac:dyDescent="0.25">
      <c r="A426" s="133"/>
      <c r="B426" s="129"/>
      <c r="C426" s="129"/>
      <c r="D426" s="129"/>
      <c r="E426" s="134" t="str">
        <f t="shared" si="17"/>
        <v/>
      </c>
      <c r="F426" s="134" t="str">
        <f t="shared" si="18"/>
        <v/>
      </c>
      <c r="G426" s="129"/>
      <c r="H426" s="129"/>
      <c r="I426" s="133"/>
      <c r="J426" s="129"/>
      <c r="K426" s="133"/>
      <c r="L426" s="129"/>
    </row>
    <row r="427" spans="1:12" x14ac:dyDescent="0.25">
      <c r="A427" s="133"/>
      <c r="B427" s="129"/>
      <c r="C427" s="129"/>
      <c r="D427" s="129"/>
      <c r="E427" s="134" t="str">
        <f t="shared" si="17"/>
        <v/>
      </c>
      <c r="F427" s="134" t="str">
        <f t="shared" si="18"/>
        <v/>
      </c>
      <c r="G427" s="129"/>
      <c r="H427" s="129"/>
      <c r="I427" s="133"/>
      <c r="J427" s="129"/>
      <c r="K427" s="133"/>
      <c r="L427" s="129"/>
    </row>
    <row r="428" spans="1:12" x14ac:dyDescent="0.25">
      <c r="A428" s="133"/>
      <c r="B428" s="129"/>
      <c r="C428" s="129"/>
      <c r="D428" s="129"/>
      <c r="E428" s="134" t="str">
        <f t="shared" si="17"/>
        <v/>
      </c>
      <c r="F428" s="134" t="str">
        <f t="shared" si="18"/>
        <v/>
      </c>
      <c r="G428" s="129"/>
      <c r="H428" s="129"/>
      <c r="I428" s="133"/>
      <c r="J428" s="129"/>
      <c r="K428" s="133"/>
      <c r="L428" s="129"/>
    </row>
    <row r="429" spans="1:12" x14ac:dyDescent="0.25">
      <c r="A429" s="133"/>
      <c r="B429" s="129"/>
      <c r="C429" s="129"/>
      <c r="D429" s="129"/>
      <c r="E429" s="134" t="str">
        <f t="shared" si="17"/>
        <v/>
      </c>
      <c r="F429" s="134" t="str">
        <f t="shared" si="18"/>
        <v/>
      </c>
      <c r="G429" s="129"/>
      <c r="H429" s="129"/>
      <c r="I429" s="133"/>
      <c r="J429" s="129"/>
      <c r="K429" s="133"/>
      <c r="L429" s="129"/>
    </row>
    <row r="430" spans="1:12" x14ac:dyDescent="0.25">
      <c r="A430" s="133"/>
      <c r="B430" s="129"/>
      <c r="C430" s="129"/>
      <c r="D430" s="129"/>
      <c r="E430" s="134" t="str">
        <f t="shared" si="17"/>
        <v/>
      </c>
      <c r="F430" s="134" t="str">
        <f t="shared" si="18"/>
        <v/>
      </c>
      <c r="G430" s="129"/>
      <c r="H430" s="129"/>
      <c r="I430" s="133"/>
      <c r="J430" s="129"/>
      <c r="K430" s="133"/>
      <c r="L430" s="129"/>
    </row>
    <row r="431" spans="1:12" x14ac:dyDescent="0.25">
      <c r="A431" s="133"/>
      <c r="B431" s="129"/>
      <c r="C431" s="129"/>
      <c r="D431" s="129"/>
      <c r="E431" s="134" t="str">
        <f t="shared" si="17"/>
        <v/>
      </c>
      <c r="F431" s="134" t="str">
        <f t="shared" si="18"/>
        <v/>
      </c>
      <c r="G431" s="129"/>
      <c r="H431" s="129"/>
      <c r="I431" s="133"/>
      <c r="J431" s="129"/>
      <c r="K431" s="133"/>
      <c r="L431" s="129"/>
    </row>
    <row r="432" spans="1:12" x14ac:dyDescent="0.25">
      <c r="A432" s="133"/>
      <c r="B432" s="129"/>
      <c r="C432" s="129"/>
      <c r="D432" s="129"/>
      <c r="E432" s="134" t="str">
        <f t="shared" si="17"/>
        <v/>
      </c>
      <c r="F432" s="134" t="str">
        <f t="shared" si="18"/>
        <v/>
      </c>
      <c r="G432" s="129"/>
      <c r="H432" s="129"/>
      <c r="I432" s="133"/>
      <c r="J432" s="129"/>
      <c r="K432" s="133"/>
      <c r="L432" s="129"/>
    </row>
    <row r="433" spans="1:12" x14ac:dyDescent="0.25">
      <c r="A433" s="133"/>
      <c r="B433" s="129"/>
      <c r="C433" s="129"/>
      <c r="D433" s="129"/>
      <c r="E433" s="134" t="str">
        <f t="shared" si="17"/>
        <v/>
      </c>
      <c r="F433" s="134" t="str">
        <f t="shared" si="18"/>
        <v/>
      </c>
      <c r="G433" s="129"/>
      <c r="H433" s="129"/>
      <c r="I433" s="133"/>
      <c r="J433" s="129"/>
      <c r="K433" s="133"/>
      <c r="L433" s="129"/>
    </row>
    <row r="434" spans="1:12" x14ac:dyDescent="0.25">
      <c r="A434" s="133"/>
      <c r="B434" s="129"/>
      <c r="C434" s="129"/>
      <c r="D434" s="129"/>
      <c r="E434" s="134" t="str">
        <f t="shared" si="17"/>
        <v/>
      </c>
      <c r="F434" s="134" t="str">
        <f t="shared" si="18"/>
        <v/>
      </c>
      <c r="G434" s="129"/>
      <c r="H434" s="129"/>
      <c r="I434" s="133"/>
      <c r="J434" s="129"/>
      <c r="K434" s="133"/>
      <c r="L434" s="129"/>
    </row>
    <row r="435" spans="1:12" x14ac:dyDescent="0.25">
      <c r="A435" s="133"/>
      <c r="B435" s="129"/>
      <c r="C435" s="129"/>
      <c r="D435" s="129"/>
      <c r="E435" s="134" t="str">
        <f t="shared" si="17"/>
        <v/>
      </c>
      <c r="F435" s="134" t="str">
        <f t="shared" si="18"/>
        <v/>
      </c>
      <c r="G435" s="129"/>
      <c r="H435" s="129"/>
      <c r="I435" s="133"/>
      <c r="J435" s="129"/>
      <c r="K435" s="133"/>
      <c r="L435" s="129"/>
    </row>
    <row r="436" spans="1:12" x14ac:dyDescent="0.25">
      <c r="A436" s="133"/>
      <c r="B436" s="129"/>
      <c r="C436" s="129"/>
      <c r="D436" s="129"/>
      <c r="E436" s="134" t="str">
        <f t="shared" si="17"/>
        <v/>
      </c>
      <c r="F436" s="134" t="str">
        <f t="shared" si="18"/>
        <v/>
      </c>
      <c r="G436" s="129"/>
      <c r="H436" s="129"/>
      <c r="I436" s="133"/>
      <c r="J436" s="129"/>
      <c r="K436" s="133"/>
      <c r="L436" s="129"/>
    </row>
    <row r="437" spans="1:12" x14ac:dyDescent="0.25">
      <c r="A437" s="133"/>
      <c r="B437" s="129"/>
      <c r="C437" s="129"/>
      <c r="D437" s="129"/>
      <c r="E437" s="134" t="str">
        <f t="shared" si="17"/>
        <v/>
      </c>
      <c r="F437" s="134" t="str">
        <f t="shared" si="18"/>
        <v/>
      </c>
      <c r="G437" s="129"/>
      <c r="H437" s="129"/>
      <c r="I437" s="133"/>
      <c r="J437" s="129"/>
      <c r="K437" s="133"/>
      <c r="L437" s="129"/>
    </row>
    <row r="438" spans="1:12" x14ac:dyDescent="0.25">
      <c r="A438" s="133"/>
      <c r="B438" s="129"/>
      <c r="C438" s="129"/>
      <c r="D438" s="129"/>
      <c r="E438" s="134" t="str">
        <f t="shared" si="17"/>
        <v/>
      </c>
      <c r="F438" s="134" t="str">
        <f t="shared" si="18"/>
        <v/>
      </c>
      <c r="G438" s="129"/>
      <c r="H438" s="129"/>
      <c r="I438" s="133"/>
      <c r="J438" s="129"/>
      <c r="K438" s="133"/>
      <c r="L438" s="129"/>
    </row>
    <row r="439" spans="1:12" x14ac:dyDescent="0.25">
      <c r="A439" s="133"/>
      <c r="B439" s="129"/>
      <c r="C439" s="129"/>
      <c r="D439" s="129"/>
      <c r="E439" s="134" t="str">
        <f t="shared" si="17"/>
        <v/>
      </c>
      <c r="F439" s="134" t="str">
        <f t="shared" si="18"/>
        <v/>
      </c>
      <c r="G439" s="129"/>
      <c r="H439" s="129"/>
      <c r="I439" s="133"/>
      <c r="J439" s="129"/>
      <c r="K439" s="133"/>
      <c r="L439" s="129"/>
    </row>
    <row r="440" spans="1:12" x14ac:dyDescent="0.25">
      <c r="A440" s="133"/>
      <c r="B440" s="129"/>
      <c r="C440" s="129"/>
      <c r="D440" s="129"/>
      <c r="E440" s="134" t="str">
        <f t="shared" si="17"/>
        <v/>
      </c>
      <c r="F440" s="134" t="str">
        <f t="shared" si="18"/>
        <v/>
      </c>
      <c r="G440" s="129"/>
      <c r="H440" s="129"/>
      <c r="I440" s="133"/>
      <c r="J440" s="129"/>
      <c r="K440" s="133"/>
      <c r="L440" s="129"/>
    </row>
    <row r="441" spans="1:12" x14ac:dyDescent="0.25">
      <c r="A441" s="133"/>
      <c r="B441" s="129"/>
      <c r="C441" s="129"/>
      <c r="D441" s="129"/>
      <c r="E441" s="134" t="str">
        <f t="shared" si="17"/>
        <v/>
      </c>
      <c r="F441" s="134" t="str">
        <f t="shared" si="18"/>
        <v/>
      </c>
      <c r="G441" s="129"/>
      <c r="H441" s="129"/>
      <c r="I441" s="133"/>
      <c r="J441" s="129"/>
      <c r="K441" s="133"/>
      <c r="L441" s="129"/>
    </row>
    <row r="442" spans="1:12" x14ac:dyDescent="0.25">
      <c r="A442" s="133"/>
      <c r="B442" s="129"/>
      <c r="C442" s="129"/>
      <c r="D442" s="129"/>
      <c r="E442" s="134" t="str">
        <f t="shared" si="17"/>
        <v/>
      </c>
      <c r="F442" s="134" t="str">
        <f t="shared" si="18"/>
        <v/>
      </c>
      <c r="G442" s="129"/>
      <c r="H442" s="129"/>
      <c r="I442" s="133"/>
      <c r="J442" s="129"/>
      <c r="K442" s="133"/>
      <c r="L442" s="129"/>
    </row>
    <row r="443" spans="1:12" x14ac:dyDescent="0.25">
      <c r="A443" s="133"/>
      <c r="B443" s="129"/>
      <c r="C443" s="129"/>
      <c r="D443" s="129"/>
      <c r="E443" s="134" t="str">
        <f t="shared" si="17"/>
        <v/>
      </c>
      <c r="F443" s="134" t="str">
        <f t="shared" si="18"/>
        <v/>
      </c>
      <c r="G443" s="129"/>
      <c r="H443" s="129"/>
      <c r="I443" s="133"/>
      <c r="J443" s="129"/>
      <c r="K443" s="133"/>
      <c r="L443" s="129"/>
    </row>
    <row r="444" spans="1:12" x14ac:dyDescent="0.25">
      <c r="A444" s="133"/>
      <c r="B444" s="129"/>
      <c r="C444" s="129"/>
      <c r="D444" s="129"/>
      <c r="E444" s="134" t="str">
        <f t="shared" si="17"/>
        <v/>
      </c>
      <c r="F444" s="134" t="str">
        <f t="shared" si="18"/>
        <v/>
      </c>
      <c r="G444" s="129"/>
      <c r="H444" s="129"/>
      <c r="I444" s="133"/>
      <c r="J444" s="129"/>
      <c r="K444" s="133"/>
      <c r="L444" s="129"/>
    </row>
    <row r="445" spans="1:12" x14ac:dyDescent="0.25">
      <c r="A445" s="133"/>
      <c r="B445" s="129"/>
      <c r="C445" s="129"/>
      <c r="D445" s="129"/>
      <c r="E445" s="134" t="str">
        <f t="shared" si="17"/>
        <v/>
      </c>
      <c r="F445" s="134" t="str">
        <f t="shared" si="18"/>
        <v/>
      </c>
      <c r="G445" s="129"/>
      <c r="H445" s="129"/>
      <c r="I445" s="133"/>
      <c r="J445" s="129"/>
      <c r="K445" s="133"/>
      <c r="L445" s="129"/>
    </row>
    <row r="446" spans="1:12" x14ac:dyDescent="0.25">
      <c r="A446" s="133"/>
      <c r="B446" s="129"/>
      <c r="C446" s="129"/>
      <c r="D446" s="129"/>
      <c r="E446" s="134" t="str">
        <f t="shared" si="17"/>
        <v/>
      </c>
      <c r="F446" s="134" t="str">
        <f t="shared" si="18"/>
        <v/>
      </c>
      <c r="G446" s="129"/>
      <c r="H446" s="129"/>
      <c r="I446" s="133"/>
      <c r="J446" s="129"/>
      <c r="K446" s="133"/>
      <c r="L446" s="129"/>
    </row>
    <row r="447" spans="1:12" x14ac:dyDescent="0.25">
      <c r="A447" s="133"/>
      <c r="B447" s="129"/>
      <c r="C447" s="129"/>
      <c r="D447" s="129"/>
      <c r="E447" s="134" t="str">
        <f t="shared" si="17"/>
        <v/>
      </c>
      <c r="F447" s="134" t="str">
        <f t="shared" si="18"/>
        <v/>
      </c>
      <c r="G447" s="129"/>
      <c r="H447" s="129"/>
      <c r="I447" s="133"/>
      <c r="J447" s="129"/>
      <c r="K447" s="133"/>
      <c r="L447" s="129"/>
    </row>
    <row r="448" spans="1:12" x14ac:dyDescent="0.25">
      <c r="A448" s="133"/>
      <c r="B448" s="129"/>
      <c r="C448" s="129"/>
      <c r="D448" s="129"/>
      <c r="E448" s="134" t="str">
        <f t="shared" si="17"/>
        <v/>
      </c>
      <c r="F448" s="134" t="str">
        <f t="shared" si="18"/>
        <v/>
      </c>
      <c r="G448" s="129"/>
      <c r="H448" s="129"/>
      <c r="I448" s="133"/>
      <c r="J448" s="129"/>
      <c r="K448" s="133"/>
      <c r="L448" s="129"/>
    </row>
    <row r="449" spans="1:12" x14ac:dyDescent="0.25">
      <c r="A449" s="133"/>
      <c r="B449" s="129"/>
      <c r="C449" s="129"/>
      <c r="D449" s="129"/>
      <c r="E449" s="134" t="str">
        <f t="shared" si="17"/>
        <v/>
      </c>
      <c r="F449" s="134" t="str">
        <f t="shared" si="18"/>
        <v/>
      </c>
      <c r="G449" s="129"/>
      <c r="H449" s="129"/>
      <c r="I449" s="133"/>
      <c r="J449" s="129"/>
      <c r="K449" s="133"/>
      <c r="L449" s="129"/>
    </row>
    <row r="450" spans="1:12" x14ac:dyDescent="0.25">
      <c r="A450" s="133"/>
      <c r="B450" s="129"/>
      <c r="C450" s="129"/>
      <c r="D450" s="129"/>
      <c r="E450" s="134" t="str">
        <f t="shared" si="17"/>
        <v/>
      </c>
      <c r="F450" s="134" t="str">
        <f t="shared" si="18"/>
        <v/>
      </c>
      <c r="G450" s="129"/>
      <c r="H450" s="129"/>
      <c r="I450" s="133"/>
      <c r="J450" s="129"/>
      <c r="K450" s="133"/>
      <c r="L450" s="129"/>
    </row>
    <row r="451" spans="1:12" x14ac:dyDescent="0.25">
      <c r="A451" s="133"/>
      <c r="B451" s="129"/>
      <c r="C451" s="129"/>
      <c r="D451" s="129"/>
      <c r="E451" s="134" t="str">
        <f t="shared" si="17"/>
        <v/>
      </c>
      <c r="F451" s="134" t="str">
        <f t="shared" si="18"/>
        <v/>
      </c>
      <c r="G451" s="129"/>
      <c r="H451" s="129"/>
      <c r="I451" s="133"/>
      <c r="J451" s="129"/>
      <c r="K451" s="133"/>
      <c r="L451" s="129"/>
    </row>
    <row r="452" spans="1:12" x14ac:dyDescent="0.25">
      <c r="A452" s="133"/>
      <c r="B452" s="129"/>
      <c r="C452" s="129"/>
      <c r="D452" s="129"/>
      <c r="E452" s="134" t="str">
        <f t="shared" si="17"/>
        <v/>
      </c>
      <c r="F452" s="134" t="str">
        <f t="shared" si="18"/>
        <v/>
      </c>
      <c r="G452" s="129"/>
      <c r="H452" s="129"/>
      <c r="I452" s="133"/>
      <c r="J452" s="129"/>
      <c r="K452" s="133"/>
      <c r="L452" s="129"/>
    </row>
    <row r="453" spans="1:12" x14ac:dyDescent="0.25">
      <c r="A453" s="133"/>
      <c r="B453" s="129"/>
      <c r="C453" s="129"/>
      <c r="D453" s="129"/>
      <c r="E453" s="134" t="str">
        <f t="shared" ref="E453:E504" si="19">IFERROR(IF($D453="","",VLOOKUP($D453,CAD_TAB,8,FALSE)),"")</f>
        <v/>
      </c>
      <c r="F453" s="134" t="str">
        <f t="shared" ref="F453:F504" si="20">IFERROR(IF($D453="","",VLOOKUP($D453,CAD_TAB,9,FALSE)),"")</f>
        <v/>
      </c>
      <c r="G453" s="129"/>
      <c r="H453" s="129"/>
      <c r="I453" s="133"/>
      <c r="J453" s="129"/>
      <c r="K453" s="133"/>
      <c r="L453" s="129"/>
    </row>
    <row r="454" spans="1:12" x14ac:dyDescent="0.25">
      <c r="A454" s="133"/>
      <c r="B454" s="129"/>
      <c r="C454" s="129"/>
      <c r="D454" s="129"/>
      <c r="E454" s="134" t="str">
        <f t="shared" si="19"/>
        <v/>
      </c>
      <c r="F454" s="134" t="str">
        <f t="shared" si="20"/>
        <v/>
      </c>
      <c r="G454" s="129"/>
      <c r="H454" s="129"/>
      <c r="I454" s="133"/>
      <c r="J454" s="129"/>
      <c r="K454" s="133"/>
      <c r="L454" s="129"/>
    </row>
    <row r="455" spans="1:12" x14ac:dyDescent="0.25">
      <c r="A455" s="133"/>
      <c r="B455" s="129"/>
      <c r="C455" s="129"/>
      <c r="D455" s="129"/>
      <c r="E455" s="134" t="str">
        <f t="shared" si="19"/>
        <v/>
      </c>
      <c r="F455" s="134" t="str">
        <f t="shared" si="20"/>
        <v/>
      </c>
      <c r="G455" s="129"/>
      <c r="H455" s="129"/>
      <c r="I455" s="133"/>
      <c r="J455" s="129"/>
      <c r="K455" s="133"/>
      <c r="L455" s="129"/>
    </row>
    <row r="456" spans="1:12" x14ac:dyDescent="0.25">
      <c r="A456" s="133"/>
      <c r="B456" s="129"/>
      <c r="C456" s="129"/>
      <c r="D456" s="129"/>
      <c r="E456" s="134" t="str">
        <f t="shared" si="19"/>
        <v/>
      </c>
      <c r="F456" s="134" t="str">
        <f t="shared" si="20"/>
        <v/>
      </c>
      <c r="G456" s="129"/>
      <c r="H456" s="129"/>
      <c r="I456" s="133"/>
      <c r="J456" s="129"/>
      <c r="K456" s="133"/>
      <c r="L456" s="129"/>
    </row>
    <row r="457" spans="1:12" x14ac:dyDescent="0.25">
      <c r="A457" s="133"/>
      <c r="B457" s="129"/>
      <c r="C457" s="129"/>
      <c r="D457" s="129"/>
      <c r="E457" s="134" t="str">
        <f t="shared" si="19"/>
        <v/>
      </c>
      <c r="F457" s="134" t="str">
        <f t="shared" si="20"/>
        <v/>
      </c>
      <c r="G457" s="129"/>
      <c r="H457" s="129"/>
      <c r="I457" s="133"/>
      <c r="J457" s="129"/>
      <c r="K457" s="133"/>
      <c r="L457" s="129"/>
    </row>
    <row r="458" spans="1:12" x14ac:dyDescent="0.25">
      <c r="A458" s="133"/>
      <c r="B458" s="129"/>
      <c r="C458" s="129"/>
      <c r="D458" s="129"/>
      <c r="E458" s="134" t="str">
        <f t="shared" si="19"/>
        <v/>
      </c>
      <c r="F458" s="134" t="str">
        <f t="shared" si="20"/>
        <v/>
      </c>
      <c r="G458" s="129"/>
      <c r="H458" s="129"/>
      <c r="I458" s="133"/>
      <c r="J458" s="129"/>
      <c r="K458" s="133"/>
      <c r="L458" s="129"/>
    </row>
    <row r="459" spans="1:12" x14ac:dyDescent="0.25">
      <c r="A459" s="133"/>
      <c r="B459" s="129"/>
      <c r="C459" s="129"/>
      <c r="D459" s="129"/>
      <c r="E459" s="134" t="str">
        <f t="shared" si="19"/>
        <v/>
      </c>
      <c r="F459" s="134" t="str">
        <f t="shared" si="20"/>
        <v/>
      </c>
      <c r="G459" s="129"/>
      <c r="H459" s="129"/>
      <c r="I459" s="133"/>
      <c r="J459" s="129"/>
      <c r="K459" s="133"/>
      <c r="L459" s="129"/>
    </row>
    <row r="460" spans="1:12" x14ac:dyDescent="0.25">
      <c r="A460" s="133"/>
      <c r="B460" s="129"/>
      <c r="C460" s="129"/>
      <c r="D460" s="129"/>
      <c r="E460" s="134" t="str">
        <f t="shared" si="19"/>
        <v/>
      </c>
      <c r="F460" s="134" t="str">
        <f t="shared" si="20"/>
        <v/>
      </c>
      <c r="G460" s="129"/>
      <c r="H460" s="129"/>
      <c r="I460" s="133"/>
      <c r="J460" s="129"/>
      <c r="K460" s="133"/>
      <c r="L460" s="129"/>
    </row>
    <row r="461" spans="1:12" x14ac:dyDescent="0.25">
      <c r="A461" s="133"/>
      <c r="B461" s="129"/>
      <c r="C461" s="129"/>
      <c r="D461" s="129"/>
      <c r="E461" s="134" t="str">
        <f t="shared" si="19"/>
        <v/>
      </c>
      <c r="F461" s="134" t="str">
        <f t="shared" si="20"/>
        <v/>
      </c>
      <c r="G461" s="129"/>
      <c r="H461" s="129"/>
      <c r="I461" s="133"/>
      <c r="J461" s="129"/>
      <c r="K461" s="133"/>
      <c r="L461" s="129"/>
    </row>
    <row r="462" spans="1:12" x14ac:dyDescent="0.25">
      <c r="A462" s="133"/>
      <c r="B462" s="129"/>
      <c r="C462" s="129"/>
      <c r="D462" s="129"/>
      <c r="E462" s="134" t="str">
        <f t="shared" si="19"/>
        <v/>
      </c>
      <c r="F462" s="134" t="str">
        <f t="shared" si="20"/>
        <v/>
      </c>
      <c r="G462" s="129"/>
      <c r="H462" s="129"/>
      <c r="I462" s="133"/>
      <c r="J462" s="129"/>
      <c r="K462" s="133"/>
      <c r="L462" s="129"/>
    </row>
    <row r="463" spans="1:12" x14ac:dyDescent="0.25">
      <c r="A463" s="133"/>
      <c r="B463" s="129"/>
      <c r="C463" s="129"/>
      <c r="D463" s="129"/>
      <c r="E463" s="134" t="str">
        <f t="shared" si="19"/>
        <v/>
      </c>
      <c r="F463" s="134" t="str">
        <f t="shared" si="20"/>
        <v/>
      </c>
      <c r="G463" s="129"/>
      <c r="H463" s="129"/>
      <c r="I463" s="133"/>
      <c r="J463" s="129"/>
      <c r="K463" s="133"/>
      <c r="L463" s="129"/>
    </row>
    <row r="464" spans="1:12" x14ac:dyDescent="0.25">
      <c r="A464" s="133"/>
      <c r="B464" s="129"/>
      <c r="C464" s="129"/>
      <c r="D464" s="129"/>
      <c r="E464" s="134" t="str">
        <f t="shared" si="19"/>
        <v/>
      </c>
      <c r="F464" s="134" t="str">
        <f t="shared" si="20"/>
        <v/>
      </c>
      <c r="G464" s="129"/>
      <c r="H464" s="129"/>
      <c r="I464" s="133"/>
      <c r="J464" s="129"/>
      <c r="K464" s="133"/>
      <c r="L464" s="129"/>
    </row>
    <row r="465" spans="1:12" x14ac:dyDescent="0.25">
      <c r="A465" s="133"/>
      <c r="B465" s="129"/>
      <c r="C465" s="129"/>
      <c r="D465" s="129"/>
      <c r="E465" s="134" t="str">
        <f t="shared" si="19"/>
        <v/>
      </c>
      <c r="F465" s="134" t="str">
        <f t="shared" si="20"/>
        <v/>
      </c>
      <c r="G465" s="129"/>
      <c r="H465" s="129"/>
      <c r="I465" s="133"/>
      <c r="J465" s="129"/>
      <c r="K465" s="133"/>
      <c r="L465" s="129"/>
    </row>
    <row r="466" spans="1:12" x14ac:dyDescent="0.25">
      <c r="A466" s="133"/>
      <c r="B466" s="129"/>
      <c r="C466" s="129"/>
      <c r="D466" s="129"/>
      <c r="E466" s="134" t="str">
        <f t="shared" si="19"/>
        <v/>
      </c>
      <c r="F466" s="134" t="str">
        <f t="shared" si="20"/>
        <v/>
      </c>
      <c r="G466" s="129"/>
      <c r="H466" s="129"/>
      <c r="I466" s="133"/>
      <c r="J466" s="129"/>
      <c r="K466" s="133"/>
      <c r="L466" s="129"/>
    </row>
    <row r="467" spans="1:12" x14ac:dyDescent="0.25">
      <c r="A467" s="133"/>
      <c r="B467" s="129"/>
      <c r="C467" s="129"/>
      <c r="D467" s="129"/>
      <c r="E467" s="134" t="str">
        <f t="shared" si="19"/>
        <v/>
      </c>
      <c r="F467" s="134" t="str">
        <f t="shared" si="20"/>
        <v/>
      </c>
      <c r="G467" s="129"/>
      <c r="H467" s="129"/>
      <c r="I467" s="133"/>
      <c r="J467" s="129"/>
      <c r="K467" s="133"/>
      <c r="L467" s="129"/>
    </row>
    <row r="468" spans="1:12" x14ac:dyDescent="0.25">
      <c r="A468" s="133"/>
      <c r="B468" s="129"/>
      <c r="C468" s="129"/>
      <c r="D468" s="129"/>
      <c r="E468" s="134" t="str">
        <f t="shared" si="19"/>
        <v/>
      </c>
      <c r="F468" s="134" t="str">
        <f t="shared" si="20"/>
        <v/>
      </c>
      <c r="G468" s="129"/>
      <c r="H468" s="129"/>
      <c r="I468" s="133"/>
      <c r="J468" s="129"/>
      <c r="K468" s="133"/>
      <c r="L468" s="129"/>
    </row>
    <row r="469" spans="1:12" x14ac:dyDescent="0.25">
      <c r="A469" s="133"/>
      <c r="B469" s="129"/>
      <c r="C469" s="129"/>
      <c r="D469" s="129"/>
      <c r="E469" s="134" t="str">
        <f t="shared" si="19"/>
        <v/>
      </c>
      <c r="F469" s="134" t="str">
        <f t="shared" si="20"/>
        <v/>
      </c>
      <c r="G469" s="129"/>
      <c r="H469" s="129"/>
      <c r="I469" s="133"/>
      <c r="J469" s="129"/>
      <c r="K469" s="133"/>
      <c r="L469" s="129"/>
    </row>
    <row r="470" spans="1:12" x14ac:dyDescent="0.25">
      <c r="A470" s="133"/>
      <c r="B470" s="129"/>
      <c r="C470" s="129"/>
      <c r="D470" s="129"/>
      <c r="E470" s="134" t="str">
        <f t="shared" si="19"/>
        <v/>
      </c>
      <c r="F470" s="134" t="str">
        <f t="shared" si="20"/>
        <v/>
      </c>
      <c r="G470" s="129"/>
      <c r="H470" s="129"/>
      <c r="I470" s="133"/>
      <c r="J470" s="129"/>
      <c r="K470" s="133"/>
      <c r="L470" s="129"/>
    </row>
    <row r="471" spans="1:12" x14ac:dyDescent="0.25">
      <c r="A471" s="133"/>
      <c r="B471" s="129"/>
      <c r="C471" s="129"/>
      <c r="D471" s="129"/>
      <c r="E471" s="134" t="str">
        <f t="shared" si="19"/>
        <v/>
      </c>
      <c r="F471" s="134" t="str">
        <f t="shared" si="20"/>
        <v/>
      </c>
      <c r="G471" s="129"/>
      <c r="H471" s="129"/>
      <c r="I471" s="133"/>
      <c r="J471" s="129"/>
      <c r="K471" s="133"/>
      <c r="L471" s="129"/>
    </row>
    <row r="472" spans="1:12" x14ac:dyDescent="0.25">
      <c r="A472" s="133"/>
      <c r="B472" s="129"/>
      <c r="C472" s="129"/>
      <c r="D472" s="129"/>
      <c r="E472" s="134" t="str">
        <f t="shared" si="19"/>
        <v/>
      </c>
      <c r="F472" s="134" t="str">
        <f t="shared" si="20"/>
        <v/>
      </c>
      <c r="G472" s="129"/>
      <c r="H472" s="129"/>
      <c r="I472" s="133"/>
      <c r="J472" s="129"/>
      <c r="K472" s="133"/>
      <c r="L472" s="129"/>
    </row>
    <row r="473" spans="1:12" x14ac:dyDescent="0.25">
      <c r="A473" s="133"/>
      <c r="B473" s="129"/>
      <c r="C473" s="129"/>
      <c r="D473" s="129"/>
      <c r="E473" s="134" t="str">
        <f t="shared" si="19"/>
        <v/>
      </c>
      <c r="F473" s="134" t="str">
        <f t="shared" si="20"/>
        <v/>
      </c>
      <c r="G473" s="129"/>
      <c r="H473" s="129"/>
      <c r="I473" s="133"/>
      <c r="J473" s="129"/>
      <c r="K473" s="133"/>
      <c r="L473" s="129"/>
    </row>
    <row r="474" spans="1:12" x14ac:dyDescent="0.25">
      <c r="A474" s="133"/>
      <c r="B474" s="129"/>
      <c r="C474" s="129"/>
      <c r="D474" s="129"/>
      <c r="E474" s="134" t="str">
        <f t="shared" si="19"/>
        <v/>
      </c>
      <c r="F474" s="134" t="str">
        <f t="shared" si="20"/>
        <v/>
      </c>
      <c r="G474" s="129"/>
      <c r="H474" s="129"/>
      <c r="I474" s="133"/>
      <c r="J474" s="129"/>
      <c r="K474" s="133"/>
      <c r="L474" s="129"/>
    </row>
    <row r="475" spans="1:12" x14ac:dyDescent="0.25">
      <c r="A475" s="133"/>
      <c r="B475" s="129"/>
      <c r="C475" s="129"/>
      <c r="D475" s="129"/>
      <c r="E475" s="134" t="str">
        <f t="shared" si="19"/>
        <v/>
      </c>
      <c r="F475" s="134" t="str">
        <f t="shared" si="20"/>
        <v/>
      </c>
      <c r="G475" s="129"/>
      <c r="H475" s="129"/>
      <c r="I475" s="133"/>
      <c r="J475" s="129"/>
      <c r="K475" s="133"/>
      <c r="L475" s="129"/>
    </row>
    <row r="476" spans="1:12" x14ac:dyDescent="0.25">
      <c r="A476" s="133"/>
      <c r="B476" s="129"/>
      <c r="C476" s="129"/>
      <c r="D476" s="129"/>
      <c r="E476" s="134" t="str">
        <f t="shared" si="19"/>
        <v/>
      </c>
      <c r="F476" s="134" t="str">
        <f t="shared" si="20"/>
        <v/>
      </c>
      <c r="G476" s="129"/>
      <c r="H476" s="129"/>
      <c r="I476" s="133"/>
      <c r="J476" s="129"/>
      <c r="K476" s="133"/>
      <c r="L476" s="129"/>
    </row>
    <row r="477" spans="1:12" x14ac:dyDescent="0.25">
      <c r="A477" s="133"/>
      <c r="B477" s="129"/>
      <c r="C477" s="129"/>
      <c r="D477" s="129"/>
      <c r="E477" s="134" t="str">
        <f t="shared" si="19"/>
        <v/>
      </c>
      <c r="F477" s="134" t="str">
        <f t="shared" si="20"/>
        <v/>
      </c>
      <c r="G477" s="129"/>
      <c r="H477" s="129"/>
      <c r="I477" s="133"/>
      <c r="J477" s="129"/>
      <c r="K477" s="133"/>
      <c r="L477" s="129"/>
    </row>
    <row r="478" spans="1:12" x14ac:dyDescent="0.25">
      <c r="A478" s="133"/>
      <c r="B478" s="129"/>
      <c r="C478" s="129"/>
      <c r="D478" s="129"/>
      <c r="E478" s="134" t="str">
        <f t="shared" si="19"/>
        <v/>
      </c>
      <c r="F478" s="134" t="str">
        <f t="shared" si="20"/>
        <v/>
      </c>
      <c r="G478" s="129"/>
      <c r="H478" s="129"/>
      <c r="I478" s="133"/>
      <c r="J478" s="129"/>
      <c r="K478" s="133"/>
      <c r="L478" s="129"/>
    </row>
    <row r="479" spans="1:12" x14ac:dyDescent="0.25">
      <c r="A479" s="133"/>
      <c r="B479" s="129"/>
      <c r="C479" s="129"/>
      <c r="D479" s="129"/>
      <c r="E479" s="134" t="str">
        <f t="shared" si="19"/>
        <v/>
      </c>
      <c r="F479" s="134" t="str">
        <f t="shared" si="20"/>
        <v/>
      </c>
      <c r="G479" s="129"/>
      <c r="H479" s="129"/>
      <c r="I479" s="133"/>
      <c r="J479" s="129"/>
      <c r="K479" s="133"/>
      <c r="L479" s="129"/>
    </row>
    <row r="480" spans="1:12" x14ac:dyDescent="0.25">
      <c r="A480" s="133"/>
      <c r="B480" s="129"/>
      <c r="C480" s="129"/>
      <c r="D480" s="129"/>
      <c r="E480" s="134" t="str">
        <f t="shared" si="19"/>
        <v/>
      </c>
      <c r="F480" s="134" t="str">
        <f t="shared" si="20"/>
        <v/>
      </c>
      <c r="G480" s="129"/>
      <c r="H480" s="129"/>
      <c r="I480" s="133"/>
      <c r="J480" s="129"/>
      <c r="K480" s="133"/>
      <c r="L480" s="129"/>
    </row>
    <row r="481" spans="1:12" x14ac:dyDescent="0.25">
      <c r="A481" s="133"/>
      <c r="B481" s="129"/>
      <c r="C481" s="129"/>
      <c r="D481" s="129"/>
      <c r="E481" s="134" t="str">
        <f t="shared" si="19"/>
        <v/>
      </c>
      <c r="F481" s="134" t="str">
        <f t="shared" si="20"/>
        <v/>
      </c>
      <c r="G481" s="129"/>
      <c r="H481" s="129"/>
      <c r="I481" s="133"/>
      <c r="J481" s="129"/>
      <c r="K481" s="133"/>
      <c r="L481" s="129"/>
    </row>
    <row r="482" spans="1:12" x14ac:dyDescent="0.25">
      <c r="A482" s="133"/>
      <c r="B482" s="129"/>
      <c r="C482" s="129"/>
      <c r="D482" s="129"/>
      <c r="E482" s="134" t="str">
        <f t="shared" si="19"/>
        <v/>
      </c>
      <c r="F482" s="134" t="str">
        <f t="shared" si="20"/>
        <v/>
      </c>
      <c r="G482" s="129"/>
      <c r="H482" s="129"/>
      <c r="I482" s="133"/>
      <c r="J482" s="129"/>
      <c r="K482" s="133"/>
      <c r="L482" s="129"/>
    </row>
    <row r="483" spans="1:12" x14ac:dyDescent="0.25">
      <c r="A483" s="133"/>
      <c r="B483" s="129"/>
      <c r="C483" s="129"/>
      <c r="D483" s="129"/>
      <c r="E483" s="134" t="str">
        <f t="shared" si="19"/>
        <v/>
      </c>
      <c r="F483" s="134" t="str">
        <f t="shared" si="20"/>
        <v/>
      </c>
      <c r="G483" s="129"/>
      <c r="H483" s="129"/>
      <c r="I483" s="133"/>
      <c r="J483" s="129"/>
      <c r="K483" s="133"/>
      <c r="L483" s="129"/>
    </row>
    <row r="484" spans="1:12" x14ac:dyDescent="0.25">
      <c r="A484" s="133"/>
      <c r="B484" s="129"/>
      <c r="C484" s="129"/>
      <c r="D484" s="129"/>
      <c r="E484" s="134" t="str">
        <f t="shared" si="19"/>
        <v/>
      </c>
      <c r="F484" s="134" t="str">
        <f t="shared" si="20"/>
        <v/>
      </c>
      <c r="G484" s="129"/>
      <c r="H484" s="129"/>
      <c r="I484" s="133"/>
      <c r="J484" s="129"/>
      <c r="K484" s="133"/>
      <c r="L484" s="129"/>
    </row>
    <row r="485" spans="1:12" x14ac:dyDescent="0.25">
      <c r="A485" s="133"/>
      <c r="B485" s="129"/>
      <c r="C485" s="129"/>
      <c r="D485" s="129"/>
      <c r="E485" s="134" t="str">
        <f t="shared" si="19"/>
        <v/>
      </c>
      <c r="F485" s="134" t="str">
        <f t="shared" si="20"/>
        <v/>
      </c>
      <c r="G485" s="129"/>
      <c r="H485" s="129"/>
      <c r="I485" s="133"/>
      <c r="J485" s="129"/>
      <c r="K485" s="133"/>
      <c r="L485" s="129"/>
    </row>
    <row r="486" spans="1:12" x14ac:dyDescent="0.25">
      <c r="A486" s="133"/>
      <c r="B486" s="129"/>
      <c r="C486" s="129"/>
      <c r="D486" s="129"/>
      <c r="E486" s="134" t="str">
        <f t="shared" si="19"/>
        <v/>
      </c>
      <c r="F486" s="134" t="str">
        <f t="shared" si="20"/>
        <v/>
      </c>
      <c r="G486" s="129"/>
      <c r="H486" s="129"/>
      <c r="I486" s="133"/>
      <c r="J486" s="129"/>
      <c r="K486" s="133"/>
      <c r="L486" s="129"/>
    </row>
    <row r="487" spans="1:12" x14ac:dyDescent="0.25">
      <c r="A487" s="133"/>
      <c r="B487" s="129"/>
      <c r="C487" s="129"/>
      <c r="D487" s="129"/>
      <c r="E487" s="134" t="str">
        <f t="shared" si="19"/>
        <v/>
      </c>
      <c r="F487" s="134" t="str">
        <f t="shared" si="20"/>
        <v/>
      </c>
      <c r="G487" s="129"/>
      <c r="H487" s="129"/>
      <c r="I487" s="133"/>
      <c r="J487" s="129"/>
      <c r="K487" s="133"/>
      <c r="L487" s="129"/>
    </row>
    <row r="488" spans="1:12" x14ac:dyDescent="0.25">
      <c r="A488" s="133"/>
      <c r="B488" s="129"/>
      <c r="C488" s="129"/>
      <c r="D488" s="129"/>
      <c r="E488" s="134" t="str">
        <f t="shared" si="19"/>
        <v/>
      </c>
      <c r="F488" s="134" t="str">
        <f t="shared" si="20"/>
        <v/>
      </c>
      <c r="G488" s="129"/>
      <c r="H488" s="129"/>
      <c r="I488" s="133"/>
      <c r="J488" s="129"/>
      <c r="K488" s="133"/>
      <c r="L488" s="129"/>
    </row>
    <row r="489" spans="1:12" x14ac:dyDescent="0.25">
      <c r="A489" s="133"/>
      <c r="B489" s="129"/>
      <c r="C489" s="129"/>
      <c r="D489" s="129"/>
      <c r="E489" s="134" t="str">
        <f t="shared" si="19"/>
        <v/>
      </c>
      <c r="F489" s="134" t="str">
        <f t="shared" si="20"/>
        <v/>
      </c>
      <c r="G489" s="129"/>
      <c r="H489" s="129"/>
      <c r="I489" s="133"/>
      <c r="J489" s="129"/>
      <c r="K489" s="133"/>
      <c r="L489" s="129"/>
    </row>
    <row r="490" spans="1:12" x14ac:dyDescent="0.25">
      <c r="A490" s="133"/>
      <c r="B490" s="129"/>
      <c r="C490" s="129"/>
      <c r="D490" s="129"/>
      <c r="E490" s="134" t="str">
        <f t="shared" si="19"/>
        <v/>
      </c>
      <c r="F490" s="134" t="str">
        <f t="shared" si="20"/>
        <v/>
      </c>
      <c r="G490" s="129"/>
      <c r="H490" s="129"/>
      <c r="I490" s="133"/>
      <c r="J490" s="129"/>
      <c r="K490" s="133"/>
      <c r="L490" s="129"/>
    </row>
    <row r="491" spans="1:12" x14ac:dyDescent="0.25">
      <c r="A491" s="133"/>
      <c r="B491" s="129"/>
      <c r="C491" s="129"/>
      <c r="D491" s="129"/>
      <c r="E491" s="134" t="str">
        <f t="shared" si="19"/>
        <v/>
      </c>
      <c r="F491" s="134" t="str">
        <f t="shared" si="20"/>
        <v/>
      </c>
      <c r="G491" s="129"/>
      <c r="H491" s="129"/>
      <c r="I491" s="133"/>
      <c r="J491" s="129"/>
      <c r="K491" s="133"/>
      <c r="L491" s="129"/>
    </row>
    <row r="492" spans="1:12" x14ac:dyDescent="0.25">
      <c r="A492" s="133"/>
      <c r="B492" s="129"/>
      <c r="C492" s="129"/>
      <c r="D492" s="129"/>
      <c r="E492" s="134" t="str">
        <f t="shared" si="19"/>
        <v/>
      </c>
      <c r="F492" s="134" t="str">
        <f t="shared" si="20"/>
        <v/>
      </c>
      <c r="G492" s="129"/>
      <c r="H492" s="129"/>
      <c r="I492" s="133"/>
      <c r="J492" s="129"/>
      <c r="K492" s="133"/>
      <c r="L492" s="129"/>
    </row>
    <row r="493" spans="1:12" x14ac:dyDescent="0.25">
      <c r="A493" s="133"/>
      <c r="B493" s="129"/>
      <c r="C493" s="129"/>
      <c r="D493" s="129"/>
      <c r="E493" s="134" t="str">
        <f t="shared" si="19"/>
        <v/>
      </c>
      <c r="F493" s="134" t="str">
        <f t="shared" si="20"/>
        <v/>
      </c>
      <c r="G493" s="129"/>
      <c r="H493" s="129"/>
      <c r="I493" s="133"/>
      <c r="J493" s="129"/>
      <c r="K493" s="133"/>
      <c r="L493" s="129"/>
    </row>
    <row r="494" spans="1:12" x14ac:dyDescent="0.25">
      <c r="A494" s="133"/>
      <c r="B494" s="129"/>
      <c r="C494" s="129"/>
      <c r="D494" s="129"/>
      <c r="E494" s="134" t="str">
        <f t="shared" si="19"/>
        <v/>
      </c>
      <c r="F494" s="134" t="str">
        <f t="shared" si="20"/>
        <v/>
      </c>
      <c r="G494" s="129"/>
      <c r="H494" s="129"/>
      <c r="I494" s="133"/>
      <c r="J494" s="129"/>
      <c r="K494" s="133"/>
      <c r="L494" s="129"/>
    </row>
    <row r="495" spans="1:12" x14ac:dyDescent="0.25">
      <c r="A495" s="133"/>
      <c r="B495" s="129"/>
      <c r="C495" s="129"/>
      <c r="D495" s="129"/>
      <c r="E495" s="134" t="str">
        <f t="shared" si="19"/>
        <v/>
      </c>
      <c r="F495" s="134" t="str">
        <f t="shared" si="20"/>
        <v/>
      </c>
      <c r="G495" s="129"/>
      <c r="H495" s="129"/>
      <c r="I495" s="133"/>
      <c r="J495" s="129"/>
      <c r="K495" s="133"/>
      <c r="L495" s="129"/>
    </row>
    <row r="496" spans="1:12" x14ac:dyDescent="0.25">
      <c r="A496" s="133"/>
      <c r="B496" s="129"/>
      <c r="C496" s="129"/>
      <c r="D496" s="129"/>
      <c r="E496" s="134" t="str">
        <f t="shared" si="19"/>
        <v/>
      </c>
      <c r="F496" s="134" t="str">
        <f t="shared" si="20"/>
        <v/>
      </c>
      <c r="G496" s="129"/>
      <c r="H496" s="129"/>
      <c r="I496" s="133"/>
      <c r="J496" s="129"/>
      <c r="K496" s="133"/>
      <c r="L496" s="129"/>
    </row>
    <row r="497" spans="1:12" x14ac:dyDescent="0.25">
      <c r="A497" s="133"/>
      <c r="B497" s="129"/>
      <c r="C497" s="129"/>
      <c r="D497" s="129"/>
      <c r="E497" s="134" t="str">
        <f t="shared" si="19"/>
        <v/>
      </c>
      <c r="F497" s="134" t="str">
        <f t="shared" si="20"/>
        <v/>
      </c>
      <c r="G497" s="129"/>
      <c r="H497" s="129"/>
      <c r="I497" s="133"/>
      <c r="J497" s="129"/>
      <c r="K497" s="133"/>
      <c r="L497" s="129"/>
    </row>
    <row r="498" spans="1:12" x14ac:dyDescent="0.25">
      <c r="A498" s="133"/>
      <c r="B498" s="129"/>
      <c r="C498" s="129"/>
      <c r="D498" s="129"/>
      <c r="E498" s="134" t="str">
        <f t="shared" si="19"/>
        <v/>
      </c>
      <c r="F498" s="134" t="str">
        <f t="shared" si="20"/>
        <v/>
      </c>
      <c r="G498" s="129"/>
      <c r="H498" s="129"/>
      <c r="I498" s="133"/>
      <c r="J498" s="129"/>
      <c r="K498" s="133"/>
      <c r="L498" s="129"/>
    </row>
    <row r="499" spans="1:12" x14ac:dyDescent="0.25">
      <c r="A499" s="133"/>
      <c r="B499" s="129"/>
      <c r="C499" s="129"/>
      <c r="D499" s="129"/>
      <c r="E499" s="134" t="str">
        <f t="shared" si="19"/>
        <v/>
      </c>
      <c r="F499" s="134" t="str">
        <f t="shared" si="20"/>
        <v/>
      </c>
      <c r="G499" s="129"/>
      <c r="H499" s="129"/>
      <c r="I499" s="133"/>
      <c r="J499" s="129"/>
      <c r="K499" s="133"/>
      <c r="L499" s="129"/>
    </row>
    <row r="500" spans="1:12" x14ac:dyDescent="0.25">
      <c r="A500" s="133"/>
      <c r="B500" s="129"/>
      <c r="C500" s="129"/>
      <c r="D500" s="129"/>
      <c r="E500" s="134" t="str">
        <f t="shared" si="19"/>
        <v/>
      </c>
      <c r="F500" s="134" t="str">
        <f t="shared" si="20"/>
        <v/>
      </c>
      <c r="G500" s="129"/>
      <c r="H500" s="129"/>
      <c r="I500" s="133"/>
      <c r="J500" s="129"/>
      <c r="K500" s="133"/>
      <c r="L500" s="129"/>
    </row>
    <row r="501" spans="1:12" x14ac:dyDescent="0.25">
      <c r="A501" s="133"/>
      <c r="B501" s="129"/>
      <c r="C501" s="129"/>
      <c r="D501" s="129"/>
      <c r="E501" s="134" t="str">
        <f t="shared" si="19"/>
        <v/>
      </c>
      <c r="F501" s="134" t="str">
        <f t="shared" si="20"/>
        <v/>
      </c>
      <c r="G501" s="129"/>
      <c r="H501" s="129"/>
      <c r="I501" s="133"/>
      <c r="J501" s="129"/>
      <c r="K501" s="133"/>
      <c r="L501" s="129"/>
    </row>
    <row r="502" spans="1:12" x14ac:dyDescent="0.25">
      <c r="A502" s="133"/>
      <c r="B502" s="129"/>
      <c r="C502" s="129"/>
      <c r="D502" s="129"/>
      <c r="E502" s="134" t="str">
        <f t="shared" si="19"/>
        <v/>
      </c>
      <c r="F502" s="134" t="str">
        <f t="shared" si="20"/>
        <v/>
      </c>
      <c r="G502" s="129"/>
      <c r="H502" s="129"/>
      <c r="I502" s="133"/>
      <c r="J502" s="129"/>
      <c r="K502" s="133"/>
      <c r="L502" s="129"/>
    </row>
    <row r="503" spans="1:12" x14ac:dyDescent="0.25">
      <c r="A503" s="133"/>
      <c r="B503" s="129"/>
      <c r="C503" s="129"/>
      <c r="D503" s="129"/>
      <c r="E503" s="134" t="str">
        <f t="shared" si="19"/>
        <v/>
      </c>
      <c r="F503" s="134" t="str">
        <f t="shared" si="20"/>
        <v/>
      </c>
      <c r="G503" s="129"/>
      <c r="H503" s="129"/>
      <c r="I503" s="133"/>
      <c r="J503" s="129"/>
      <c r="K503" s="133"/>
      <c r="L503" s="129"/>
    </row>
    <row r="504" spans="1:12" x14ac:dyDescent="0.25">
      <c r="A504" s="133"/>
      <c r="B504" s="129"/>
      <c r="C504" s="129"/>
      <c r="D504" s="129"/>
      <c r="E504" s="134" t="str">
        <f t="shared" si="19"/>
        <v/>
      </c>
      <c r="F504" s="134" t="str">
        <f t="shared" si="20"/>
        <v/>
      </c>
      <c r="G504" s="129"/>
      <c r="H504" s="129"/>
      <c r="I504" s="133"/>
      <c r="J504" s="129"/>
      <c r="K504" s="133"/>
      <c r="L504" s="129"/>
    </row>
  </sheetData>
  <mergeCells count="24">
    <mergeCell ref="A1:L1"/>
    <mergeCell ref="X17:AC17"/>
    <mergeCell ref="X16:AC16"/>
    <mergeCell ref="X8:AC8"/>
    <mergeCell ref="X13:AC13"/>
    <mergeCell ref="X7:AC7"/>
    <mergeCell ref="X1:AC1"/>
    <mergeCell ref="X10:AC10"/>
    <mergeCell ref="S4:U4"/>
    <mergeCell ref="X9:AC9"/>
    <mergeCell ref="X12:AC12"/>
    <mergeCell ref="X2:AC2"/>
    <mergeCell ref="X11:AC11"/>
    <mergeCell ref="A2:L2"/>
    <mergeCell ref="X5:AC5"/>
    <mergeCell ref="X20:AC20"/>
    <mergeCell ref="X14:AC14"/>
    <mergeCell ref="N4:Q4"/>
    <mergeCell ref="X4:AC4"/>
    <mergeCell ref="X19:AC19"/>
    <mergeCell ref="X18:AC18"/>
    <mergeCell ref="X3:AC3"/>
    <mergeCell ref="X6:AC6"/>
    <mergeCell ref="X15:AC15"/>
  </mergeCells>
  <conditionalFormatting sqref="A5:L504">
    <cfRule type="expression" dxfId="9" priority="1">
      <formula>AND($D5&lt;&gt;"",$H5="NÃO")</formula>
    </cfRule>
  </conditionalFormatting>
  <conditionalFormatting sqref="H5:H504">
    <cfRule type="cellIs" dxfId="8" priority="2" operator="equal">
      <formula>"SIM"</formula>
    </cfRule>
  </conditionalFormatting>
  <conditionalFormatting sqref="Q6:Q31">
    <cfRule type="cellIs" dxfId="7" priority="3" operator="lessThan">
      <formula>0.7</formula>
    </cfRule>
    <cfRule type="cellIs" dxfId="6" priority="4" operator="greaterThanOrEqual">
      <formula>0.85</formula>
    </cfRule>
  </conditionalFormatting>
  <dataValidations count="4">
    <dataValidation type="list" allowBlank="1" sqref="B5:B504">
      <formula1>LST_CONTRATO</formula1>
    </dataValidation>
    <dataValidation type="list" allowBlank="1" sqref="C5:C504">
      <formula1>LST_EQUIPE</formula1>
    </dataValidation>
    <dataValidation type="list" allowBlank="1" sqref="H5:H504">
      <formula1>"SIM,NÃO"</formula1>
    </dataValidation>
    <dataValidation type="list" allowBlank="1" sqref="J5:J504">
      <formula1>LST_CAUSA_NC</formula1>
    </dataValidation>
  </dataValidation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
  <sheetViews>
    <sheetView workbookViewId="0">
      <pane xSplit="2" ySplit="4" topLeftCell="C5" activePane="bottomRight" state="frozen"/>
      <selection pane="topRight"/>
      <selection pane="bottomLeft"/>
      <selection pane="bottomRight"/>
    </sheetView>
  </sheetViews>
  <sheetFormatPr defaultRowHeight="15" x14ac:dyDescent="0.25"/>
  <cols>
    <col min="1" max="1" width="2.42578125" style="109" customWidth="1"/>
    <col min="2" max="2" width="17" style="109" customWidth="1"/>
    <col min="3" max="4" width="18" style="109" customWidth="1"/>
    <col min="5" max="5" width="12" style="109" customWidth="1"/>
    <col min="6" max="9" width="13" style="109" customWidth="1"/>
    <col min="10" max="10" width="17" style="109" customWidth="1"/>
    <col min="11" max="11" width="16" style="109" customWidth="1"/>
    <col min="12" max="12" width="12" style="109" customWidth="1"/>
    <col min="13" max="13" width="40" style="109" customWidth="1"/>
    <col min="16" max="21" width="10.42578125" style="109" customWidth="1"/>
  </cols>
  <sheetData>
    <row r="1" spans="1:21" ht="26.1" customHeight="1" x14ac:dyDescent="0.25">
      <c r="A1" s="189" t="s">
        <v>3075</v>
      </c>
      <c r="B1" s="149"/>
      <c r="C1" s="149"/>
      <c r="D1" s="149"/>
      <c r="E1" s="149"/>
      <c r="F1" s="149"/>
      <c r="G1" s="149"/>
      <c r="H1" s="149"/>
      <c r="I1" s="149"/>
      <c r="J1" s="149"/>
      <c r="K1" s="149"/>
      <c r="L1" s="149"/>
      <c r="M1" s="149"/>
      <c r="P1" s="188" t="s">
        <v>280</v>
      </c>
      <c r="Q1" s="185"/>
      <c r="R1" s="185"/>
      <c r="S1" s="185"/>
      <c r="T1" s="185"/>
      <c r="U1" s="185"/>
    </row>
    <row r="2" spans="1:21" ht="15.6" customHeight="1" x14ac:dyDescent="0.25">
      <c r="A2" s="190" t="s">
        <v>3076</v>
      </c>
      <c r="B2" s="149"/>
      <c r="C2" s="149"/>
      <c r="D2" s="149"/>
      <c r="E2" s="149"/>
      <c r="F2" s="149"/>
      <c r="G2" s="149"/>
      <c r="H2" s="149"/>
      <c r="I2" s="149"/>
      <c r="J2" s="149"/>
      <c r="K2" s="149"/>
      <c r="L2" s="149"/>
      <c r="M2" s="149"/>
      <c r="P2" s="184" t="s">
        <v>266</v>
      </c>
      <c r="Q2" s="185"/>
      <c r="R2" s="185"/>
      <c r="S2" s="185"/>
      <c r="T2" s="185"/>
      <c r="U2" s="185"/>
    </row>
    <row r="3" spans="1:21" ht="15.6" customHeight="1" x14ac:dyDescent="0.25">
      <c r="P3" s="186" t="s">
        <v>267</v>
      </c>
      <c r="Q3" s="185"/>
      <c r="R3" s="185"/>
      <c r="S3" s="185"/>
      <c r="T3" s="185"/>
      <c r="U3" s="185"/>
    </row>
    <row r="4" spans="1:21" ht="15.6" customHeight="1" x14ac:dyDescent="0.25">
      <c r="A4" s="130"/>
      <c r="B4" s="130" t="s">
        <v>3050</v>
      </c>
      <c r="C4" s="130" t="s">
        <v>3077</v>
      </c>
      <c r="D4" s="130" t="s">
        <v>2801</v>
      </c>
      <c r="E4" s="130" t="s">
        <v>2544</v>
      </c>
      <c r="F4" s="130" t="s">
        <v>3078</v>
      </c>
      <c r="G4" s="130" t="s">
        <v>3079</v>
      </c>
      <c r="H4" s="130" t="s">
        <v>3080</v>
      </c>
      <c r="I4" s="130" t="s">
        <v>3081</v>
      </c>
      <c r="J4" s="130" t="s">
        <v>3082</v>
      </c>
      <c r="K4" s="130" t="s">
        <v>3083</v>
      </c>
      <c r="L4" s="130" t="s">
        <v>2648</v>
      </c>
      <c r="M4" s="130" t="s">
        <v>2869</v>
      </c>
      <c r="P4" s="186" t="s">
        <v>268</v>
      </c>
      <c r="Q4" s="185"/>
      <c r="R4" s="185"/>
      <c r="S4" s="185"/>
      <c r="T4" s="185"/>
      <c r="U4" s="185"/>
    </row>
    <row r="5" spans="1:21" ht="15.6" customHeight="1" x14ac:dyDescent="0.25">
      <c r="B5" s="133"/>
      <c r="C5" s="134" t="str">
        <f t="shared" ref="C5:C30" si="0">IF($B5="","",COUNTIFS(PROG_DATA,"&gt;="&amp;$B5,PROG_DATA,"&lt;"&amp;$B5+7))</f>
        <v/>
      </c>
      <c r="D5" s="134" t="str">
        <f t="shared" ref="D5:D30" si="1">IF($B5="","",COUNTIFS(PROG_DATA,"&gt;="&amp;$B5,PROG_DATA,"&lt;"&amp;$B5+7,PROG_EXEC,"SIM"))</f>
        <v/>
      </c>
      <c r="E5" s="137" t="str">
        <f t="shared" ref="E5:E30" si="2">IF(OR($B5="",$C5=0),"",$D5/$C5)</f>
        <v/>
      </c>
      <c r="F5" s="137" t="str">
        <f t="shared" ref="F5:F30" si="3">IF($B5="","",IFERROR(COUNTIFS(PS_SEM,$B5,PS_OK,"SIM")/COUNTIFS(PS_SEM,$B5,PS_ID,"&lt;&gt;"),""))</f>
        <v/>
      </c>
      <c r="G5" s="140" t="str">
        <f t="shared" ref="G5:G30" si="4">IF($B5="","",SUMIFS(PROG_HPREV,PROG_DATA,"&gt;="&amp;$B5,PROG_DATA,"&lt;"&amp;$B5+7))</f>
        <v/>
      </c>
      <c r="H5" s="140" t="str">
        <f t="shared" ref="H5:H30" si="5">IF($B5="","",SUMIFS(APT_HH,APT_DATA,"&gt;="&amp;$B5,APT_DATA,"&lt;"&amp;$B5+7))</f>
        <v/>
      </c>
      <c r="I5" s="137" t="str">
        <f t="shared" ref="I5:I30" si="6">IF(OR($B5="",$G5=0),"",$H5/$G5-1)</f>
        <v/>
      </c>
      <c r="J5" s="141" t="str">
        <f t="shared" ref="J5:J30" si="7">IF($B5="","",SUMIFS(MED_VLR,MED_DATAEX,"&gt;="&amp;$B5,MED_DATAEX,"&lt;"&amp;$B5+7))</f>
        <v/>
      </c>
      <c r="K5" s="141" t="str">
        <f>IF($B5="","",('01. CONFIGURAÇÕES'!$C$34+'01. CONFIGURAÇÕES'!$D$34)/4.33)</f>
        <v/>
      </c>
      <c r="L5" s="137" t="str">
        <f t="shared" ref="L5:L30" si="8">IF(OR($B5="",$K5=0),"",$J5/$K5)</f>
        <v/>
      </c>
      <c r="M5" s="134" t="str">
        <f t="shared" ref="M5:M30" si="9">IF($B5="","",IF($F5="","sem plano semanal lançado",IF($F5&gt;=0.85,"Semana boa",IF($F5&gt;=0.7,"Atenção — veja as causas na aba 17","PPC baixo — plano não está sendo cumprido"))))</f>
        <v/>
      </c>
      <c r="P5" s="186" t="s">
        <v>269</v>
      </c>
      <c r="Q5" s="185"/>
      <c r="R5" s="185"/>
      <c r="S5" s="185"/>
      <c r="T5" s="185"/>
      <c r="U5" s="185"/>
    </row>
    <row r="6" spans="1:21" ht="15.6" customHeight="1" x14ac:dyDescent="0.25">
      <c r="B6" s="133"/>
      <c r="C6" s="134" t="str">
        <f t="shared" si="0"/>
        <v/>
      </c>
      <c r="D6" s="134" t="str">
        <f t="shared" si="1"/>
        <v/>
      </c>
      <c r="E6" s="137" t="str">
        <f t="shared" si="2"/>
        <v/>
      </c>
      <c r="F6" s="137" t="str">
        <f t="shared" si="3"/>
        <v/>
      </c>
      <c r="G6" s="140" t="str">
        <f t="shared" si="4"/>
        <v/>
      </c>
      <c r="H6" s="140" t="str">
        <f t="shared" si="5"/>
        <v/>
      </c>
      <c r="I6" s="137" t="str">
        <f t="shared" si="6"/>
        <v/>
      </c>
      <c r="J6" s="141" t="str">
        <f t="shared" si="7"/>
        <v/>
      </c>
      <c r="K6" s="141" t="str">
        <f>IF($B6="","",('01. CONFIGURAÇÕES'!$C$34+'01. CONFIGURAÇÕES'!$D$34)/4.33)</f>
        <v/>
      </c>
      <c r="L6" s="137" t="str">
        <f t="shared" si="8"/>
        <v/>
      </c>
      <c r="M6" s="134" t="str">
        <f t="shared" si="9"/>
        <v/>
      </c>
      <c r="P6" s="184" t="s">
        <v>270</v>
      </c>
      <c r="Q6" s="185"/>
      <c r="R6" s="185"/>
      <c r="S6" s="185"/>
      <c r="T6" s="185"/>
      <c r="U6" s="185"/>
    </row>
    <row r="7" spans="1:21" ht="15.6" customHeight="1" x14ac:dyDescent="0.25">
      <c r="B7" s="133"/>
      <c r="C7" s="134" t="str">
        <f t="shared" si="0"/>
        <v/>
      </c>
      <c r="D7" s="134" t="str">
        <f t="shared" si="1"/>
        <v/>
      </c>
      <c r="E7" s="137" t="str">
        <f t="shared" si="2"/>
        <v/>
      </c>
      <c r="F7" s="137" t="str">
        <f t="shared" si="3"/>
        <v/>
      </c>
      <c r="G7" s="140" t="str">
        <f t="shared" si="4"/>
        <v/>
      </c>
      <c r="H7" s="140" t="str">
        <f t="shared" si="5"/>
        <v/>
      </c>
      <c r="I7" s="137" t="str">
        <f t="shared" si="6"/>
        <v/>
      </c>
      <c r="J7" s="141" t="str">
        <f t="shared" si="7"/>
        <v/>
      </c>
      <c r="K7" s="141" t="str">
        <f>IF($B7="","",('01. CONFIGURAÇÕES'!$C$34+'01. CONFIGURAÇÕES'!$D$34)/4.33)</f>
        <v/>
      </c>
      <c r="L7" s="137" t="str">
        <f t="shared" si="8"/>
        <v/>
      </c>
      <c r="M7" s="134" t="str">
        <f t="shared" si="9"/>
        <v/>
      </c>
      <c r="P7" s="186" t="s">
        <v>271</v>
      </c>
      <c r="Q7" s="185"/>
      <c r="R7" s="185"/>
      <c r="S7" s="185"/>
      <c r="T7" s="185"/>
      <c r="U7" s="185"/>
    </row>
    <row r="8" spans="1:21" ht="15.6" customHeight="1" x14ac:dyDescent="0.25">
      <c r="B8" s="133"/>
      <c r="C8" s="134" t="str">
        <f t="shared" si="0"/>
        <v/>
      </c>
      <c r="D8" s="134" t="str">
        <f t="shared" si="1"/>
        <v/>
      </c>
      <c r="E8" s="137" t="str">
        <f t="shared" si="2"/>
        <v/>
      </c>
      <c r="F8" s="137" t="str">
        <f t="shared" si="3"/>
        <v/>
      </c>
      <c r="G8" s="140" t="str">
        <f t="shared" si="4"/>
        <v/>
      </c>
      <c r="H8" s="140" t="str">
        <f t="shared" si="5"/>
        <v/>
      </c>
      <c r="I8" s="137" t="str">
        <f t="shared" si="6"/>
        <v/>
      </c>
      <c r="J8" s="141" t="str">
        <f t="shared" si="7"/>
        <v/>
      </c>
      <c r="K8" s="141" t="str">
        <f>IF($B8="","",('01. CONFIGURAÇÕES'!$C$34+'01. CONFIGURAÇÕES'!$D$34)/4.33)</f>
        <v/>
      </c>
      <c r="L8" s="137" t="str">
        <f t="shared" si="8"/>
        <v/>
      </c>
      <c r="M8" s="134" t="str">
        <f t="shared" si="9"/>
        <v/>
      </c>
      <c r="P8" s="186" t="s">
        <v>272</v>
      </c>
      <c r="Q8" s="185"/>
      <c r="R8" s="185"/>
      <c r="S8" s="185"/>
      <c r="T8" s="185"/>
      <c r="U8" s="185"/>
    </row>
    <row r="9" spans="1:21" ht="15.6" customHeight="1" x14ac:dyDescent="0.25">
      <c r="B9" s="133"/>
      <c r="C9" s="134" t="str">
        <f t="shared" si="0"/>
        <v/>
      </c>
      <c r="D9" s="134" t="str">
        <f t="shared" si="1"/>
        <v/>
      </c>
      <c r="E9" s="137" t="str">
        <f t="shared" si="2"/>
        <v/>
      </c>
      <c r="F9" s="137" t="str">
        <f t="shared" si="3"/>
        <v/>
      </c>
      <c r="G9" s="140" t="str">
        <f t="shared" si="4"/>
        <v/>
      </c>
      <c r="H9" s="140" t="str">
        <f t="shared" si="5"/>
        <v/>
      </c>
      <c r="I9" s="137" t="str">
        <f t="shared" si="6"/>
        <v/>
      </c>
      <c r="J9" s="141" t="str">
        <f t="shared" si="7"/>
        <v/>
      </c>
      <c r="K9" s="141" t="str">
        <f>IF($B9="","",('01. CONFIGURAÇÕES'!$C$34+'01. CONFIGURAÇÕES'!$D$34)/4.33)</f>
        <v/>
      </c>
      <c r="L9" s="137" t="str">
        <f t="shared" si="8"/>
        <v/>
      </c>
      <c r="M9" s="134" t="str">
        <f t="shared" si="9"/>
        <v/>
      </c>
      <c r="P9" s="186" t="s">
        <v>273</v>
      </c>
      <c r="Q9" s="185"/>
      <c r="R9" s="185"/>
      <c r="S9" s="185"/>
      <c r="T9" s="185"/>
      <c r="U9" s="185"/>
    </row>
    <row r="10" spans="1:21" ht="15.6" customHeight="1" x14ac:dyDescent="0.25">
      <c r="B10" s="133"/>
      <c r="C10" s="134" t="str">
        <f t="shared" si="0"/>
        <v/>
      </c>
      <c r="D10" s="134" t="str">
        <f t="shared" si="1"/>
        <v/>
      </c>
      <c r="E10" s="137" t="str">
        <f t="shared" si="2"/>
        <v/>
      </c>
      <c r="F10" s="137" t="str">
        <f t="shared" si="3"/>
        <v/>
      </c>
      <c r="G10" s="140" t="str">
        <f t="shared" si="4"/>
        <v/>
      </c>
      <c r="H10" s="140" t="str">
        <f t="shared" si="5"/>
        <v/>
      </c>
      <c r="I10" s="137" t="str">
        <f t="shared" si="6"/>
        <v/>
      </c>
      <c r="J10" s="141" t="str">
        <f t="shared" si="7"/>
        <v/>
      </c>
      <c r="K10" s="141" t="str">
        <f>IF($B10="","",('01. CONFIGURAÇÕES'!$C$34+'01. CONFIGURAÇÕES'!$D$34)/4.33)</f>
        <v/>
      </c>
      <c r="L10" s="137" t="str">
        <f t="shared" si="8"/>
        <v/>
      </c>
      <c r="M10" s="134" t="str">
        <f t="shared" si="9"/>
        <v/>
      </c>
      <c r="P10" s="186" t="s">
        <v>274</v>
      </c>
      <c r="Q10" s="185"/>
      <c r="R10" s="185"/>
      <c r="S10" s="185"/>
      <c r="T10" s="185"/>
      <c r="U10" s="185"/>
    </row>
    <row r="11" spans="1:21" ht="15.6" customHeight="1" x14ac:dyDescent="0.25">
      <c r="B11" s="133"/>
      <c r="C11" s="134" t="str">
        <f t="shared" si="0"/>
        <v/>
      </c>
      <c r="D11" s="134" t="str">
        <f t="shared" si="1"/>
        <v/>
      </c>
      <c r="E11" s="137" t="str">
        <f t="shared" si="2"/>
        <v/>
      </c>
      <c r="F11" s="137" t="str">
        <f t="shared" si="3"/>
        <v/>
      </c>
      <c r="G11" s="140" t="str">
        <f t="shared" si="4"/>
        <v/>
      </c>
      <c r="H11" s="140" t="str">
        <f t="shared" si="5"/>
        <v/>
      </c>
      <c r="I11" s="137" t="str">
        <f t="shared" si="6"/>
        <v/>
      </c>
      <c r="J11" s="141" t="str">
        <f t="shared" si="7"/>
        <v/>
      </c>
      <c r="K11" s="141" t="str">
        <f>IF($B11="","",('01. CONFIGURAÇÕES'!$C$34+'01. CONFIGURAÇÕES'!$D$34)/4.33)</f>
        <v/>
      </c>
      <c r="L11" s="137" t="str">
        <f t="shared" si="8"/>
        <v/>
      </c>
      <c r="M11" s="134" t="str">
        <f t="shared" si="9"/>
        <v/>
      </c>
      <c r="P11" s="186" t="s">
        <v>275</v>
      </c>
      <c r="Q11" s="185"/>
      <c r="R11" s="185"/>
      <c r="S11" s="185"/>
      <c r="T11" s="185"/>
      <c r="U11" s="185"/>
    </row>
    <row r="12" spans="1:21" ht="15.6" customHeight="1" x14ac:dyDescent="0.25">
      <c r="B12" s="133"/>
      <c r="C12" s="134" t="str">
        <f t="shared" si="0"/>
        <v/>
      </c>
      <c r="D12" s="134" t="str">
        <f t="shared" si="1"/>
        <v/>
      </c>
      <c r="E12" s="137" t="str">
        <f t="shared" si="2"/>
        <v/>
      </c>
      <c r="F12" s="137" t="str">
        <f t="shared" si="3"/>
        <v/>
      </c>
      <c r="G12" s="140" t="str">
        <f t="shared" si="4"/>
        <v/>
      </c>
      <c r="H12" s="140" t="str">
        <f t="shared" si="5"/>
        <v/>
      </c>
      <c r="I12" s="137" t="str">
        <f t="shared" si="6"/>
        <v/>
      </c>
      <c r="J12" s="141" t="str">
        <f t="shared" si="7"/>
        <v/>
      </c>
      <c r="K12" s="141" t="str">
        <f>IF($B12="","",('01. CONFIGURAÇÕES'!$C$34+'01. CONFIGURAÇÕES'!$D$34)/4.33)</f>
        <v/>
      </c>
      <c r="L12" s="137" t="str">
        <f t="shared" si="8"/>
        <v/>
      </c>
      <c r="M12" s="134" t="str">
        <f t="shared" si="9"/>
        <v/>
      </c>
      <c r="P12" s="186" t="s">
        <v>276</v>
      </c>
      <c r="Q12" s="185"/>
      <c r="R12" s="185"/>
      <c r="S12" s="185"/>
      <c r="T12" s="185"/>
      <c r="U12" s="185"/>
    </row>
    <row r="13" spans="1:21" ht="15.6" customHeight="1" x14ac:dyDescent="0.25">
      <c r="B13" s="133"/>
      <c r="C13" s="134" t="str">
        <f t="shared" si="0"/>
        <v/>
      </c>
      <c r="D13" s="134" t="str">
        <f t="shared" si="1"/>
        <v/>
      </c>
      <c r="E13" s="137" t="str">
        <f t="shared" si="2"/>
        <v/>
      </c>
      <c r="F13" s="137" t="str">
        <f t="shared" si="3"/>
        <v/>
      </c>
      <c r="G13" s="140" t="str">
        <f t="shared" si="4"/>
        <v/>
      </c>
      <c r="H13" s="140" t="str">
        <f t="shared" si="5"/>
        <v/>
      </c>
      <c r="I13" s="137" t="str">
        <f t="shared" si="6"/>
        <v/>
      </c>
      <c r="J13" s="141" t="str">
        <f t="shared" si="7"/>
        <v/>
      </c>
      <c r="K13" s="141" t="str">
        <f>IF($B13="","",('01. CONFIGURAÇÕES'!$C$34+'01. CONFIGURAÇÕES'!$D$34)/4.33)</f>
        <v/>
      </c>
      <c r="L13" s="137" t="str">
        <f t="shared" si="8"/>
        <v/>
      </c>
      <c r="M13" s="134" t="str">
        <f t="shared" si="9"/>
        <v/>
      </c>
      <c r="P13" s="187" t="s">
        <v>277</v>
      </c>
      <c r="Q13" s="185"/>
      <c r="R13" s="185"/>
      <c r="S13" s="185"/>
      <c r="T13" s="185"/>
      <c r="U13" s="185"/>
    </row>
    <row r="14" spans="1:21" ht="15.6" customHeight="1" x14ac:dyDescent="0.25">
      <c r="B14" s="133"/>
      <c r="C14" s="134" t="str">
        <f t="shared" si="0"/>
        <v/>
      </c>
      <c r="D14" s="134" t="str">
        <f t="shared" si="1"/>
        <v/>
      </c>
      <c r="E14" s="137" t="str">
        <f t="shared" si="2"/>
        <v/>
      </c>
      <c r="F14" s="137" t="str">
        <f t="shared" si="3"/>
        <v/>
      </c>
      <c r="G14" s="140" t="str">
        <f t="shared" si="4"/>
        <v/>
      </c>
      <c r="H14" s="140" t="str">
        <f t="shared" si="5"/>
        <v/>
      </c>
      <c r="I14" s="137" t="str">
        <f t="shared" si="6"/>
        <v/>
      </c>
      <c r="J14" s="141" t="str">
        <f t="shared" si="7"/>
        <v/>
      </c>
      <c r="K14" s="141" t="str">
        <f>IF($B14="","",('01. CONFIGURAÇÕES'!$C$34+'01. CONFIGURAÇÕES'!$D$34)/4.33)</f>
        <v/>
      </c>
      <c r="L14" s="137" t="str">
        <f t="shared" si="8"/>
        <v/>
      </c>
      <c r="M14" s="134" t="str">
        <f t="shared" si="9"/>
        <v/>
      </c>
      <c r="P14" s="187" t="s">
        <v>278</v>
      </c>
      <c r="Q14" s="185"/>
      <c r="R14" s="185"/>
      <c r="S14" s="185"/>
      <c r="T14" s="185"/>
      <c r="U14" s="185"/>
    </row>
    <row r="15" spans="1:21" x14ac:dyDescent="0.25">
      <c r="B15" s="133"/>
      <c r="C15" s="134" t="str">
        <f t="shared" si="0"/>
        <v/>
      </c>
      <c r="D15" s="134" t="str">
        <f t="shared" si="1"/>
        <v/>
      </c>
      <c r="E15" s="137" t="str">
        <f t="shared" si="2"/>
        <v/>
      </c>
      <c r="F15" s="137" t="str">
        <f t="shared" si="3"/>
        <v/>
      </c>
      <c r="G15" s="140" t="str">
        <f t="shared" si="4"/>
        <v/>
      </c>
      <c r="H15" s="140" t="str">
        <f t="shared" si="5"/>
        <v/>
      </c>
      <c r="I15" s="137" t="str">
        <f t="shared" si="6"/>
        <v/>
      </c>
      <c r="J15" s="141" t="str">
        <f t="shared" si="7"/>
        <v/>
      </c>
      <c r="K15" s="141" t="str">
        <f>IF($B15="","",('01. CONFIGURAÇÕES'!$C$34+'01. CONFIGURAÇÕES'!$D$34)/4.33)</f>
        <v/>
      </c>
      <c r="L15" s="137" t="str">
        <f t="shared" si="8"/>
        <v/>
      </c>
      <c r="M15" s="134" t="str">
        <f t="shared" si="9"/>
        <v/>
      </c>
    </row>
    <row r="16" spans="1:21" x14ac:dyDescent="0.25">
      <c r="B16" s="133"/>
      <c r="C16" s="134" t="str">
        <f t="shared" si="0"/>
        <v/>
      </c>
      <c r="D16" s="134" t="str">
        <f t="shared" si="1"/>
        <v/>
      </c>
      <c r="E16" s="137" t="str">
        <f t="shared" si="2"/>
        <v/>
      </c>
      <c r="F16" s="137" t="str">
        <f t="shared" si="3"/>
        <v/>
      </c>
      <c r="G16" s="140" t="str">
        <f t="shared" si="4"/>
        <v/>
      </c>
      <c r="H16" s="140" t="str">
        <f t="shared" si="5"/>
        <v/>
      </c>
      <c r="I16" s="137" t="str">
        <f t="shared" si="6"/>
        <v/>
      </c>
      <c r="J16" s="141" t="str">
        <f t="shared" si="7"/>
        <v/>
      </c>
      <c r="K16" s="141" t="str">
        <f>IF($B16="","",('01. CONFIGURAÇÕES'!$C$34+'01. CONFIGURAÇÕES'!$D$34)/4.33)</f>
        <v/>
      </c>
      <c r="L16" s="137" t="str">
        <f t="shared" si="8"/>
        <v/>
      </c>
      <c r="M16" s="134" t="str">
        <f t="shared" si="9"/>
        <v/>
      </c>
    </row>
    <row r="17" spans="2:13" x14ac:dyDescent="0.25">
      <c r="B17" s="133"/>
      <c r="C17" s="134" t="str">
        <f t="shared" si="0"/>
        <v/>
      </c>
      <c r="D17" s="134" t="str">
        <f t="shared" si="1"/>
        <v/>
      </c>
      <c r="E17" s="137" t="str">
        <f t="shared" si="2"/>
        <v/>
      </c>
      <c r="F17" s="137" t="str">
        <f t="shared" si="3"/>
        <v/>
      </c>
      <c r="G17" s="140" t="str">
        <f t="shared" si="4"/>
        <v/>
      </c>
      <c r="H17" s="140" t="str">
        <f t="shared" si="5"/>
        <v/>
      </c>
      <c r="I17" s="137" t="str">
        <f t="shared" si="6"/>
        <v/>
      </c>
      <c r="J17" s="141" t="str">
        <f t="shared" si="7"/>
        <v/>
      </c>
      <c r="K17" s="141" t="str">
        <f>IF($B17="","",('01. CONFIGURAÇÕES'!$C$34+'01. CONFIGURAÇÕES'!$D$34)/4.33)</f>
        <v/>
      </c>
      <c r="L17" s="137" t="str">
        <f t="shared" si="8"/>
        <v/>
      </c>
      <c r="M17" s="134" t="str">
        <f t="shared" si="9"/>
        <v/>
      </c>
    </row>
    <row r="18" spans="2:13" x14ac:dyDescent="0.25">
      <c r="B18" s="133"/>
      <c r="C18" s="134" t="str">
        <f t="shared" si="0"/>
        <v/>
      </c>
      <c r="D18" s="134" t="str">
        <f t="shared" si="1"/>
        <v/>
      </c>
      <c r="E18" s="137" t="str">
        <f t="shared" si="2"/>
        <v/>
      </c>
      <c r="F18" s="137" t="str">
        <f t="shared" si="3"/>
        <v/>
      </c>
      <c r="G18" s="140" t="str">
        <f t="shared" si="4"/>
        <v/>
      </c>
      <c r="H18" s="140" t="str">
        <f t="shared" si="5"/>
        <v/>
      </c>
      <c r="I18" s="137" t="str">
        <f t="shared" si="6"/>
        <v/>
      </c>
      <c r="J18" s="141" t="str">
        <f t="shared" si="7"/>
        <v/>
      </c>
      <c r="K18" s="141" t="str">
        <f>IF($B18="","",('01. CONFIGURAÇÕES'!$C$34+'01. CONFIGURAÇÕES'!$D$34)/4.33)</f>
        <v/>
      </c>
      <c r="L18" s="137" t="str">
        <f t="shared" si="8"/>
        <v/>
      </c>
      <c r="M18" s="134" t="str">
        <f t="shared" si="9"/>
        <v/>
      </c>
    </row>
    <row r="19" spans="2:13" x14ac:dyDescent="0.25">
      <c r="B19" s="133"/>
      <c r="C19" s="134" t="str">
        <f t="shared" si="0"/>
        <v/>
      </c>
      <c r="D19" s="134" t="str">
        <f t="shared" si="1"/>
        <v/>
      </c>
      <c r="E19" s="137" t="str">
        <f t="shared" si="2"/>
        <v/>
      </c>
      <c r="F19" s="137" t="str">
        <f t="shared" si="3"/>
        <v/>
      </c>
      <c r="G19" s="140" t="str">
        <f t="shared" si="4"/>
        <v/>
      </c>
      <c r="H19" s="140" t="str">
        <f t="shared" si="5"/>
        <v/>
      </c>
      <c r="I19" s="137" t="str">
        <f t="shared" si="6"/>
        <v/>
      </c>
      <c r="J19" s="141" t="str">
        <f t="shared" si="7"/>
        <v/>
      </c>
      <c r="K19" s="141" t="str">
        <f>IF($B19="","",('01. CONFIGURAÇÕES'!$C$34+'01. CONFIGURAÇÕES'!$D$34)/4.33)</f>
        <v/>
      </c>
      <c r="L19" s="137" t="str">
        <f t="shared" si="8"/>
        <v/>
      </c>
      <c r="M19" s="134" t="str">
        <f t="shared" si="9"/>
        <v/>
      </c>
    </row>
    <row r="20" spans="2:13" x14ac:dyDescent="0.25">
      <c r="B20" s="133"/>
      <c r="C20" s="134" t="str">
        <f t="shared" si="0"/>
        <v/>
      </c>
      <c r="D20" s="134" t="str">
        <f t="shared" si="1"/>
        <v/>
      </c>
      <c r="E20" s="137" t="str">
        <f t="shared" si="2"/>
        <v/>
      </c>
      <c r="F20" s="137" t="str">
        <f t="shared" si="3"/>
        <v/>
      </c>
      <c r="G20" s="140" t="str">
        <f t="shared" si="4"/>
        <v/>
      </c>
      <c r="H20" s="140" t="str">
        <f t="shared" si="5"/>
        <v/>
      </c>
      <c r="I20" s="137" t="str">
        <f t="shared" si="6"/>
        <v/>
      </c>
      <c r="J20" s="141" t="str">
        <f t="shared" si="7"/>
        <v/>
      </c>
      <c r="K20" s="141" t="str">
        <f>IF($B20="","",('01. CONFIGURAÇÕES'!$C$34+'01. CONFIGURAÇÕES'!$D$34)/4.33)</f>
        <v/>
      </c>
      <c r="L20" s="137" t="str">
        <f t="shared" si="8"/>
        <v/>
      </c>
      <c r="M20" s="134" t="str">
        <f t="shared" si="9"/>
        <v/>
      </c>
    </row>
    <row r="21" spans="2:13" x14ac:dyDescent="0.25">
      <c r="B21" s="133"/>
      <c r="C21" s="134" t="str">
        <f t="shared" si="0"/>
        <v/>
      </c>
      <c r="D21" s="134" t="str">
        <f t="shared" si="1"/>
        <v/>
      </c>
      <c r="E21" s="137" t="str">
        <f t="shared" si="2"/>
        <v/>
      </c>
      <c r="F21" s="137" t="str">
        <f t="shared" si="3"/>
        <v/>
      </c>
      <c r="G21" s="140" t="str">
        <f t="shared" si="4"/>
        <v/>
      </c>
      <c r="H21" s="140" t="str">
        <f t="shared" si="5"/>
        <v/>
      </c>
      <c r="I21" s="137" t="str">
        <f t="shared" si="6"/>
        <v/>
      </c>
      <c r="J21" s="141" t="str">
        <f t="shared" si="7"/>
        <v/>
      </c>
      <c r="K21" s="141" t="str">
        <f>IF($B21="","",('01. CONFIGURAÇÕES'!$C$34+'01. CONFIGURAÇÕES'!$D$34)/4.33)</f>
        <v/>
      </c>
      <c r="L21" s="137" t="str">
        <f t="shared" si="8"/>
        <v/>
      </c>
      <c r="M21" s="134" t="str">
        <f t="shared" si="9"/>
        <v/>
      </c>
    </row>
    <row r="22" spans="2:13" x14ac:dyDescent="0.25">
      <c r="B22" s="133"/>
      <c r="C22" s="134" t="str">
        <f t="shared" si="0"/>
        <v/>
      </c>
      <c r="D22" s="134" t="str">
        <f t="shared" si="1"/>
        <v/>
      </c>
      <c r="E22" s="137" t="str">
        <f t="shared" si="2"/>
        <v/>
      </c>
      <c r="F22" s="137" t="str">
        <f t="shared" si="3"/>
        <v/>
      </c>
      <c r="G22" s="140" t="str">
        <f t="shared" si="4"/>
        <v/>
      </c>
      <c r="H22" s="140" t="str">
        <f t="shared" si="5"/>
        <v/>
      </c>
      <c r="I22" s="137" t="str">
        <f t="shared" si="6"/>
        <v/>
      </c>
      <c r="J22" s="141" t="str">
        <f t="shared" si="7"/>
        <v/>
      </c>
      <c r="K22" s="141" t="str">
        <f>IF($B22="","",('01. CONFIGURAÇÕES'!$C$34+'01. CONFIGURAÇÕES'!$D$34)/4.33)</f>
        <v/>
      </c>
      <c r="L22" s="137" t="str">
        <f t="shared" si="8"/>
        <v/>
      </c>
      <c r="M22" s="134" t="str">
        <f t="shared" si="9"/>
        <v/>
      </c>
    </row>
    <row r="23" spans="2:13" x14ac:dyDescent="0.25">
      <c r="B23" s="133"/>
      <c r="C23" s="134" t="str">
        <f t="shared" si="0"/>
        <v/>
      </c>
      <c r="D23" s="134" t="str">
        <f t="shared" si="1"/>
        <v/>
      </c>
      <c r="E23" s="137" t="str">
        <f t="shared" si="2"/>
        <v/>
      </c>
      <c r="F23" s="137" t="str">
        <f t="shared" si="3"/>
        <v/>
      </c>
      <c r="G23" s="140" t="str">
        <f t="shared" si="4"/>
        <v/>
      </c>
      <c r="H23" s="140" t="str">
        <f t="shared" si="5"/>
        <v/>
      </c>
      <c r="I23" s="137" t="str">
        <f t="shared" si="6"/>
        <v/>
      </c>
      <c r="J23" s="141" t="str">
        <f t="shared" si="7"/>
        <v/>
      </c>
      <c r="K23" s="141" t="str">
        <f>IF($B23="","",('01. CONFIGURAÇÕES'!$C$34+'01. CONFIGURAÇÕES'!$D$34)/4.33)</f>
        <v/>
      </c>
      <c r="L23" s="137" t="str">
        <f t="shared" si="8"/>
        <v/>
      </c>
      <c r="M23" s="134" t="str">
        <f t="shared" si="9"/>
        <v/>
      </c>
    </row>
    <row r="24" spans="2:13" x14ac:dyDescent="0.25">
      <c r="B24" s="133"/>
      <c r="C24" s="134" t="str">
        <f t="shared" si="0"/>
        <v/>
      </c>
      <c r="D24" s="134" t="str">
        <f t="shared" si="1"/>
        <v/>
      </c>
      <c r="E24" s="137" t="str">
        <f t="shared" si="2"/>
        <v/>
      </c>
      <c r="F24" s="137" t="str">
        <f t="shared" si="3"/>
        <v/>
      </c>
      <c r="G24" s="140" t="str">
        <f t="shared" si="4"/>
        <v/>
      </c>
      <c r="H24" s="140" t="str">
        <f t="shared" si="5"/>
        <v/>
      </c>
      <c r="I24" s="137" t="str">
        <f t="shared" si="6"/>
        <v/>
      </c>
      <c r="J24" s="141" t="str">
        <f t="shared" si="7"/>
        <v/>
      </c>
      <c r="K24" s="141" t="str">
        <f>IF($B24="","",('01. CONFIGURAÇÕES'!$C$34+'01. CONFIGURAÇÕES'!$D$34)/4.33)</f>
        <v/>
      </c>
      <c r="L24" s="137" t="str">
        <f t="shared" si="8"/>
        <v/>
      </c>
      <c r="M24" s="134" t="str">
        <f t="shared" si="9"/>
        <v/>
      </c>
    </row>
    <row r="25" spans="2:13" x14ac:dyDescent="0.25">
      <c r="B25" s="133"/>
      <c r="C25" s="134" t="str">
        <f t="shared" si="0"/>
        <v/>
      </c>
      <c r="D25" s="134" t="str">
        <f t="shared" si="1"/>
        <v/>
      </c>
      <c r="E25" s="137" t="str">
        <f t="shared" si="2"/>
        <v/>
      </c>
      <c r="F25" s="137" t="str">
        <f t="shared" si="3"/>
        <v/>
      </c>
      <c r="G25" s="140" t="str">
        <f t="shared" si="4"/>
        <v/>
      </c>
      <c r="H25" s="140" t="str">
        <f t="shared" si="5"/>
        <v/>
      </c>
      <c r="I25" s="137" t="str">
        <f t="shared" si="6"/>
        <v/>
      </c>
      <c r="J25" s="141" t="str">
        <f t="shared" si="7"/>
        <v/>
      </c>
      <c r="K25" s="141" t="str">
        <f>IF($B25="","",('01. CONFIGURAÇÕES'!$C$34+'01. CONFIGURAÇÕES'!$D$34)/4.33)</f>
        <v/>
      </c>
      <c r="L25" s="137" t="str">
        <f t="shared" si="8"/>
        <v/>
      </c>
      <c r="M25" s="134" t="str">
        <f t="shared" si="9"/>
        <v/>
      </c>
    </row>
    <row r="26" spans="2:13" x14ac:dyDescent="0.25">
      <c r="B26" s="133"/>
      <c r="C26" s="134" t="str">
        <f t="shared" si="0"/>
        <v/>
      </c>
      <c r="D26" s="134" t="str">
        <f t="shared" si="1"/>
        <v/>
      </c>
      <c r="E26" s="137" t="str">
        <f t="shared" si="2"/>
        <v/>
      </c>
      <c r="F26" s="137" t="str">
        <f t="shared" si="3"/>
        <v/>
      </c>
      <c r="G26" s="140" t="str">
        <f t="shared" si="4"/>
        <v/>
      </c>
      <c r="H26" s="140" t="str">
        <f t="shared" si="5"/>
        <v/>
      </c>
      <c r="I26" s="137" t="str">
        <f t="shared" si="6"/>
        <v/>
      </c>
      <c r="J26" s="141" t="str">
        <f t="shared" si="7"/>
        <v/>
      </c>
      <c r="K26" s="141" t="str">
        <f>IF($B26="","",('01. CONFIGURAÇÕES'!$C$34+'01. CONFIGURAÇÕES'!$D$34)/4.33)</f>
        <v/>
      </c>
      <c r="L26" s="137" t="str">
        <f t="shared" si="8"/>
        <v/>
      </c>
      <c r="M26" s="134" t="str">
        <f t="shared" si="9"/>
        <v/>
      </c>
    </row>
    <row r="27" spans="2:13" x14ac:dyDescent="0.25">
      <c r="B27" s="133"/>
      <c r="C27" s="134" t="str">
        <f t="shared" si="0"/>
        <v/>
      </c>
      <c r="D27" s="134" t="str">
        <f t="shared" si="1"/>
        <v/>
      </c>
      <c r="E27" s="137" t="str">
        <f t="shared" si="2"/>
        <v/>
      </c>
      <c r="F27" s="137" t="str">
        <f t="shared" si="3"/>
        <v/>
      </c>
      <c r="G27" s="140" t="str">
        <f t="shared" si="4"/>
        <v/>
      </c>
      <c r="H27" s="140" t="str">
        <f t="shared" si="5"/>
        <v/>
      </c>
      <c r="I27" s="137" t="str">
        <f t="shared" si="6"/>
        <v/>
      </c>
      <c r="J27" s="141" t="str">
        <f t="shared" si="7"/>
        <v/>
      </c>
      <c r="K27" s="141" t="str">
        <f>IF($B27="","",('01. CONFIGURAÇÕES'!$C$34+'01. CONFIGURAÇÕES'!$D$34)/4.33)</f>
        <v/>
      </c>
      <c r="L27" s="137" t="str">
        <f t="shared" si="8"/>
        <v/>
      </c>
      <c r="M27" s="134" t="str">
        <f t="shared" si="9"/>
        <v/>
      </c>
    </row>
    <row r="28" spans="2:13" x14ac:dyDescent="0.25">
      <c r="B28" s="133"/>
      <c r="C28" s="134" t="str">
        <f t="shared" si="0"/>
        <v/>
      </c>
      <c r="D28" s="134" t="str">
        <f t="shared" si="1"/>
        <v/>
      </c>
      <c r="E28" s="137" t="str">
        <f t="shared" si="2"/>
        <v/>
      </c>
      <c r="F28" s="137" t="str">
        <f t="shared" si="3"/>
        <v/>
      </c>
      <c r="G28" s="140" t="str">
        <f t="shared" si="4"/>
        <v/>
      </c>
      <c r="H28" s="140" t="str">
        <f t="shared" si="5"/>
        <v/>
      </c>
      <c r="I28" s="137" t="str">
        <f t="shared" si="6"/>
        <v/>
      </c>
      <c r="J28" s="141" t="str">
        <f t="shared" si="7"/>
        <v/>
      </c>
      <c r="K28" s="141" t="str">
        <f>IF($B28="","",('01. CONFIGURAÇÕES'!$C$34+'01. CONFIGURAÇÕES'!$D$34)/4.33)</f>
        <v/>
      </c>
      <c r="L28" s="137" t="str">
        <f t="shared" si="8"/>
        <v/>
      </c>
      <c r="M28" s="134" t="str">
        <f t="shared" si="9"/>
        <v/>
      </c>
    </row>
    <row r="29" spans="2:13" x14ac:dyDescent="0.25">
      <c r="B29" s="133"/>
      <c r="C29" s="134" t="str">
        <f t="shared" si="0"/>
        <v/>
      </c>
      <c r="D29" s="134" t="str">
        <f t="shared" si="1"/>
        <v/>
      </c>
      <c r="E29" s="137" t="str">
        <f t="shared" si="2"/>
        <v/>
      </c>
      <c r="F29" s="137" t="str">
        <f t="shared" si="3"/>
        <v/>
      </c>
      <c r="G29" s="140" t="str">
        <f t="shared" si="4"/>
        <v/>
      </c>
      <c r="H29" s="140" t="str">
        <f t="shared" si="5"/>
        <v/>
      </c>
      <c r="I29" s="137" t="str">
        <f t="shared" si="6"/>
        <v/>
      </c>
      <c r="J29" s="141" t="str">
        <f t="shared" si="7"/>
        <v/>
      </c>
      <c r="K29" s="141" t="str">
        <f>IF($B29="","",('01. CONFIGURAÇÕES'!$C$34+'01. CONFIGURAÇÕES'!$D$34)/4.33)</f>
        <v/>
      </c>
      <c r="L29" s="137" t="str">
        <f t="shared" si="8"/>
        <v/>
      </c>
      <c r="M29" s="134" t="str">
        <f t="shared" si="9"/>
        <v/>
      </c>
    </row>
    <row r="30" spans="2:13" x14ac:dyDescent="0.25">
      <c r="B30" s="133"/>
      <c r="C30" s="134" t="str">
        <f t="shared" si="0"/>
        <v/>
      </c>
      <c r="D30" s="134" t="str">
        <f t="shared" si="1"/>
        <v/>
      </c>
      <c r="E30" s="137" t="str">
        <f t="shared" si="2"/>
        <v/>
      </c>
      <c r="F30" s="137" t="str">
        <f t="shared" si="3"/>
        <v/>
      </c>
      <c r="G30" s="140" t="str">
        <f t="shared" si="4"/>
        <v/>
      </c>
      <c r="H30" s="140" t="str">
        <f t="shared" si="5"/>
        <v/>
      </c>
      <c r="I30" s="137" t="str">
        <f t="shared" si="6"/>
        <v/>
      </c>
      <c r="J30" s="141" t="str">
        <f t="shared" si="7"/>
        <v/>
      </c>
      <c r="K30" s="141" t="str">
        <f>IF($B30="","",('01. CONFIGURAÇÕES'!$C$34+'01. CONFIGURAÇÕES'!$D$34)/4.33)</f>
        <v/>
      </c>
      <c r="L30" s="137" t="str">
        <f t="shared" si="8"/>
        <v/>
      </c>
      <c r="M30" s="134" t="str">
        <f t="shared" si="9"/>
        <v/>
      </c>
    </row>
    <row r="33" spans="1:13" x14ac:dyDescent="0.25">
      <c r="A33" s="192" t="s">
        <v>3084</v>
      </c>
      <c r="B33" s="149"/>
      <c r="C33" s="149"/>
      <c r="D33" s="149"/>
      <c r="E33" s="149"/>
      <c r="F33" s="149"/>
      <c r="G33" s="149"/>
      <c r="H33" s="149"/>
      <c r="I33" s="149"/>
      <c r="J33" s="149"/>
      <c r="K33" s="149"/>
      <c r="L33" s="149"/>
      <c r="M33" s="149"/>
    </row>
    <row r="34" spans="1:13" ht="24" x14ac:dyDescent="0.25">
      <c r="B34" s="130" t="s">
        <v>2843</v>
      </c>
      <c r="C34" s="130" t="s">
        <v>3077</v>
      </c>
      <c r="D34" s="130" t="s">
        <v>2801</v>
      </c>
      <c r="E34" s="130" t="s">
        <v>2544</v>
      </c>
      <c r="G34" s="130" t="s">
        <v>3080</v>
      </c>
      <c r="I34" s="130" t="s">
        <v>3085</v>
      </c>
      <c r="J34" s="130" t="s">
        <v>3086</v>
      </c>
      <c r="K34" s="130" t="s">
        <v>2648</v>
      </c>
      <c r="L34" s="130" t="s">
        <v>3087</v>
      </c>
    </row>
    <row r="35" spans="1:13" x14ac:dyDescent="0.25">
      <c r="B35" s="142"/>
      <c r="C35" s="134" t="str">
        <f t="shared" ref="C35:C40" si="10">IF($B35="","",COUNTIFS(PROG_DATA,"&gt;="&amp;$B35,PROG_DATA,"&lt;"&amp;EDATE($B35,1)))</f>
        <v/>
      </c>
      <c r="D35" s="134" t="str">
        <f t="shared" ref="D35:D40" si="11">IF($B35="","",COUNTIFS(PROG_DATA,"&gt;="&amp;$B35,PROG_DATA,"&lt;"&amp;EDATE($B35,1),PROG_EXEC,"SIM"))</f>
        <v/>
      </c>
      <c r="E35" s="137" t="str">
        <f t="shared" ref="E35:E40" si="12">IF(OR($B35="",$C35=0),"",$D35/$C35)</f>
        <v/>
      </c>
      <c r="G35" s="140" t="str">
        <f t="shared" ref="G35:G40" si="13">IF($B35="","",SUMIFS(APT_HH,APT_DATA,"&gt;="&amp;$B35,APT_DATA,"&lt;"&amp;EDATE($B35,1)))</f>
        <v/>
      </c>
      <c r="I35" s="141" t="str">
        <f t="shared" ref="I35:I40" si="14">IF($B35="","",SUMIFS(MED_VLR,MED_DATAEX,"&gt;="&amp;$B35,MED_DATAEX,"&lt;"&amp;EDATE($B35,1)))</f>
        <v/>
      </c>
      <c r="J35" s="141" t="str">
        <f>IF($B35="","",('01. CONFIGURAÇÕES'!$C$34+'01. CONFIGURAÇÕES'!$D$34))</f>
        <v/>
      </c>
      <c r="K35" s="137" t="str">
        <f t="shared" ref="K35:K40" si="15">IF(OR($B35="",$J35=0),"",$I35/$J35)</f>
        <v/>
      </c>
      <c r="L35" s="141" t="str">
        <f>IF($B35="","",$I35*(1-'01. CONFIGURAÇÕES'!$C$16)-('01. CONFIGURAÇÕES'!$C$29+'01. CONFIGURAÇÕES'!$D$29))</f>
        <v/>
      </c>
    </row>
    <row r="36" spans="1:13" x14ac:dyDescent="0.25">
      <c r="B36" s="142"/>
      <c r="C36" s="134" t="str">
        <f t="shared" si="10"/>
        <v/>
      </c>
      <c r="D36" s="134" t="str">
        <f t="shared" si="11"/>
        <v/>
      </c>
      <c r="E36" s="137" t="str">
        <f t="shared" si="12"/>
        <v/>
      </c>
      <c r="G36" s="140" t="str">
        <f t="shared" si="13"/>
        <v/>
      </c>
      <c r="I36" s="141" t="str">
        <f t="shared" si="14"/>
        <v/>
      </c>
      <c r="J36" s="141" t="str">
        <f>IF($B36="","",('01. CONFIGURAÇÕES'!$C$34+'01. CONFIGURAÇÕES'!$D$34))</f>
        <v/>
      </c>
      <c r="K36" s="137" t="str">
        <f t="shared" si="15"/>
        <v/>
      </c>
      <c r="L36" s="141" t="str">
        <f>IF($B36="","",$I36*(1-'01. CONFIGURAÇÕES'!$C$16)-('01. CONFIGURAÇÕES'!$C$29+'01. CONFIGURAÇÕES'!$D$29))</f>
        <v/>
      </c>
    </row>
    <row r="37" spans="1:13" x14ac:dyDescent="0.25">
      <c r="B37" s="142"/>
      <c r="C37" s="134" t="str">
        <f t="shared" si="10"/>
        <v/>
      </c>
      <c r="D37" s="134" t="str">
        <f t="shared" si="11"/>
        <v/>
      </c>
      <c r="E37" s="137" t="str">
        <f t="shared" si="12"/>
        <v/>
      </c>
      <c r="G37" s="140" t="str">
        <f t="shared" si="13"/>
        <v/>
      </c>
      <c r="I37" s="141" t="str">
        <f t="shared" si="14"/>
        <v/>
      </c>
      <c r="J37" s="141" t="str">
        <f>IF($B37="","",('01. CONFIGURAÇÕES'!$C$34+'01. CONFIGURAÇÕES'!$D$34))</f>
        <v/>
      </c>
      <c r="K37" s="137" t="str">
        <f t="shared" si="15"/>
        <v/>
      </c>
      <c r="L37" s="141" t="str">
        <f>IF($B37="","",$I37*(1-'01. CONFIGURAÇÕES'!$C$16)-('01. CONFIGURAÇÕES'!$C$29+'01. CONFIGURAÇÕES'!$D$29))</f>
        <v/>
      </c>
    </row>
    <row r="38" spans="1:13" x14ac:dyDescent="0.25">
      <c r="B38" s="142"/>
      <c r="C38" s="134" t="str">
        <f t="shared" si="10"/>
        <v/>
      </c>
      <c r="D38" s="134" t="str">
        <f t="shared" si="11"/>
        <v/>
      </c>
      <c r="E38" s="137" t="str">
        <f t="shared" si="12"/>
        <v/>
      </c>
      <c r="G38" s="140" t="str">
        <f t="shared" si="13"/>
        <v/>
      </c>
      <c r="I38" s="141" t="str">
        <f t="shared" si="14"/>
        <v/>
      </c>
      <c r="J38" s="141" t="str">
        <f>IF($B38="","",('01. CONFIGURAÇÕES'!$C$34+'01. CONFIGURAÇÕES'!$D$34))</f>
        <v/>
      </c>
      <c r="K38" s="137" t="str">
        <f t="shared" si="15"/>
        <v/>
      </c>
      <c r="L38" s="141" t="str">
        <f>IF($B38="","",$I38*(1-'01. CONFIGURAÇÕES'!$C$16)-('01. CONFIGURAÇÕES'!$C$29+'01. CONFIGURAÇÕES'!$D$29))</f>
        <v/>
      </c>
    </row>
    <row r="39" spans="1:13" x14ac:dyDescent="0.25">
      <c r="B39" s="142"/>
      <c r="C39" s="134" t="str">
        <f t="shared" si="10"/>
        <v/>
      </c>
      <c r="D39" s="134" t="str">
        <f t="shared" si="11"/>
        <v/>
      </c>
      <c r="E39" s="137" t="str">
        <f t="shared" si="12"/>
        <v/>
      </c>
      <c r="G39" s="140" t="str">
        <f t="shared" si="13"/>
        <v/>
      </c>
      <c r="I39" s="141" t="str">
        <f t="shared" si="14"/>
        <v/>
      </c>
      <c r="J39" s="141" t="str">
        <f>IF($B39="","",('01. CONFIGURAÇÕES'!$C$34+'01. CONFIGURAÇÕES'!$D$34))</f>
        <v/>
      </c>
      <c r="K39" s="137" t="str">
        <f t="shared" si="15"/>
        <v/>
      </c>
      <c r="L39" s="141" t="str">
        <f>IF($B39="","",$I39*(1-'01. CONFIGURAÇÕES'!$C$16)-('01. CONFIGURAÇÕES'!$C$29+'01. CONFIGURAÇÕES'!$D$29))</f>
        <v/>
      </c>
    </row>
    <row r="40" spans="1:13" x14ac:dyDescent="0.25">
      <c r="B40" s="142"/>
      <c r="C40" s="134" t="str">
        <f t="shared" si="10"/>
        <v/>
      </c>
      <c r="D40" s="134" t="str">
        <f t="shared" si="11"/>
        <v/>
      </c>
      <c r="E40" s="137" t="str">
        <f t="shared" si="12"/>
        <v/>
      </c>
      <c r="G40" s="140" t="str">
        <f t="shared" si="13"/>
        <v/>
      </c>
      <c r="I40" s="141" t="str">
        <f t="shared" si="14"/>
        <v/>
      </c>
      <c r="J40" s="141" t="str">
        <f>IF($B40="","",('01. CONFIGURAÇÕES'!$C$34+'01. CONFIGURAÇÕES'!$D$34))</f>
        <v/>
      </c>
      <c r="K40" s="137" t="str">
        <f t="shared" si="15"/>
        <v/>
      </c>
      <c r="L40" s="141" t="str">
        <f>IF($B40="","",$I40*(1-'01. CONFIGURAÇÕES'!$C$16)-('01. CONFIGURAÇÕES'!$C$29+'01. CONFIGURAÇÕES'!$D$29))</f>
        <v/>
      </c>
    </row>
  </sheetData>
  <mergeCells count="17">
    <mergeCell ref="A33:M33"/>
    <mergeCell ref="P12:U12"/>
    <mergeCell ref="P4:U4"/>
    <mergeCell ref="P10:U10"/>
    <mergeCell ref="P11:U11"/>
    <mergeCell ref="P5:U5"/>
    <mergeCell ref="P14:U14"/>
    <mergeCell ref="P13:U13"/>
    <mergeCell ref="P9:U9"/>
    <mergeCell ref="P6:U6"/>
    <mergeCell ref="P8:U8"/>
    <mergeCell ref="P7:U7"/>
    <mergeCell ref="P2:U2"/>
    <mergeCell ref="A1:M1"/>
    <mergeCell ref="P1:U1"/>
    <mergeCell ref="A2:M2"/>
    <mergeCell ref="P3:U3"/>
  </mergeCells>
  <conditionalFormatting sqref="E5:E30">
    <cfRule type="cellIs" dxfId="5" priority="1" operator="lessThan">
      <formula>0.7</formula>
    </cfRule>
    <cfRule type="cellIs" dxfId="4" priority="2" operator="greaterThanOrEqual">
      <formula>0.9</formula>
    </cfRule>
  </conditionalFormatting>
  <conditionalFormatting sqref="F5:F30">
    <cfRule type="cellIs" dxfId="3" priority="3" operator="lessThan">
      <formula>0.7</formula>
    </cfRule>
    <cfRule type="cellIs" dxfId="2" priority="4" operator="greaterThanOrEqual">
      <formula>0.85</formula>
    </cfRule>
  </conditionalFormatting>
  <conditionalFormatting sqref="L5:L30">
    <cfRule type="cellIs" dxfId="1" priority="5" operator="lessThan">
      <formula>0.8</formula>
    </cfRule>
    <cfRule type="cellIs" dxfId="0" priority="6" operator="greaterThanOrEqual">
      <formula>0.95</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22</vt:i4>
      </vt:variant>
      <vt:variant>
        <vt:lpstr>Intervalos nomeados</vt:lpstr>
      </vt:variant>
      <vt:variant>
        <vt:i4>118</vt:i4>
      </vt:variant>
    </vt:vector>
  </HeadingPairs>
  <TitlesOfParts>
    <vt:vector size="140" baseType="lpstr">
      <vt:lpstr>GUIA RÁPIDO</vt:lpstr>
      <vt:lpstr>00. LEIA-ME</vt:lpstr>
      <vt:lpstr>01. CONFIGURAÇÕES</vt:lpstr>
      <vt:lpstr>01A. BANCO DE CUSTOS</vt:lpstr>
      <vt:lpstr>01B. CARTEIRA E TICKET</vt:lpstr>
      <vt:lpstr>02. TABELA DE PREÇOS</vt:lpstr>
      <vt:lpstr>03. CADASTRO DE SERVIÇOS</vt:lpstr>
      <vt:lpstr>04. PROGRAMAÇÃO DIÁRIA</vt:lpstr>
      <vt:lpstr>05. ORDENS DE SERVIÇO</vt:lpstr>
      <vt:lpstr>06. APONTAMENTO DIÁRIO</vt:lpstr>
      <vt:lpstr>07. MATERIAIS</vt:lpstr>
      <vt:lpstr>08. EQUIPE</vt:lpstr>
      <vt:lpstr>09. MEDIÇÃO</vt:lpstr>
      <vt:lpstr>10. DIÁRIO DE OBRA</vt:lpstr>
      <vt:lpstr>11. OCORRÊNCIAS</vt:lpstr>
      <vt:lpstr>12. FATURAMENTO</vt:lpstr>
      <vt:lpstr>13. RESUMO GERENCIAL</vt:lpstr>
      <vt:lpstr>14. DASHBOARD</vt:lpstr>
      <vt:lpstr>15. ATAS DE REUNIÃO</vt:lpstr>
      <vt:lpstr>16. LOOKAHEAD E RESTRIÇÕES</vt:lpstr>
      <vt:lpstr>17. PLANO SEMANAL E PPC</vt:lpstr>
      <vt:lpstr>18. PLANEJADO x REALIZADO</vt:lpstr>
      <vt:lpstr>APT_CONTR</vt:lpstr>
      <vt:lpstr>APT_DATA</vt:lpstr>
      <vt:lpstr>APT_EQUIPE</vt:lpstr>
      <vt:lpstr>APT_HH</vt:lpstr>
      <vt:lpstr>APT_KM</vt:lpstr>
      <vt:lpstr>APT_PARADA</vt:lpstr>
      <vt:lpstr>APT_PESSOAS</vt:lpstr>
      <vt:lpstr>APT_RETRO</vt:lpstr>
      <vt:lpstr>'GUIA RÁPIDO'!Area_de_impressao</vt:lpstr>
      <vt:lpstr>ATA_CONTR</vt:lpstr>
      <vt:lpstr>ATA_DATA</vt:lpstr>
      <vt:lpstr>ATA_NUM</vt:lpstr>
      <vt:lpstr>ATA_PEND</vt:lpstr>
      <vt:lpstr>ATA_PRAZO</vt:lpstr>
      <vt:lpstr>ATA_PRIO</vt:lpstr>
      <vt:lpstr>ATA_RESP</vt:lpstr>
      <vt:lpstr>ATA_STATUS</vt:lpstr>
      <vt:lpstr>ATA_TIPO</vt:lpstr>
      <vt:lpstr>BEN_PESSOA</vt:lpstr>
      <vt:lpstr>CAD_BAIRRO</vt:lpstr>
      <vt:lpstr>CAD_CONTR</vt:lpstr>
      <vt:lpstr>CAD_DTEXEC</vt:lpstr>
      <vt:lpstr>CAD_DTSOL</vt:lpstr>
      <vt:lpstr>CAD_ID</vt:lpstr>
      <vt:lpstr>CAD_SITPZ</vt:lpstr>
      <vt:lpstr>CAD_STATUS</vt:lpstr>
      <vt:lpstr>CAD_TAB</vt:lpstr>
      <vt:lpstr>CAD_TIPO</vt:lpstr>
      <vt:lpstr>CAD_VLR</vt:lpstr>
      <vt:lpstr>ENC_FATOR</vt:lpstr>
      <vt:lpstr>EQP_ATIVO</vt:lpstr>
      <vt:lpstr>EQP_CONTR</vt:lpstr>
      <vt:lpstr>EQP_CUSTOMES</vt:lpstr>
      <vt:lpstr>EQP_EQUIPE</vt:lpstr>
      <vt:lpstr>EQP_NOMES</vt:lpstr>
      <vt:lpstr>FAT_BRUTO</vt:lpstr>
      <vt:lpstr>FAT_CONTR</vt:lpstr>
      <vt:lpstr>FAT_MES</vt:lpstr>
      <vt:lpstr>FAT_RESULT</vt:lpstr>
      <vt:lpstr>LK_ID</vt:lpstr>
      <vt:lpstr>LK_PEND</vt:lpstr>
      <vt:lpstr>LK_SEM</vt:lpstr>
      <vt:lpstr>LK_SIT</vt:lpstr>
      <vt:lpstr>LST_BAIRRO</vt:lpstr>
      <vt:lpstr>LST_CAUSA_NC</vt:lpstr>
      <vt:lpstr>LST_CLIMA</vt:lpstr>
      <vt:lpstr>LST_CONTRATO</vt:lpstr>
      <vt:lpstr>LST_DIA</vt:lpstr>
      <vt:lpstr>LST_EQUIPAMENTO</vt:lpstr>
      <vt:lpstr>LST_EQUIPE</vt:lpstr>
      <vt:lpstr>LST_FUNCAO</vt:lpstr>
      <vt:lpstr>LST_GRAVIDADE</vt:lpstr>
      <vt:lpstr>LST_MATERIAL</vt:lpstr>
      <vt:lpstr>LST_MOTIVO_NE</vt:lpstr>
      <vt:lpstr>LST_MOTIVO_PARADA</vt:lpstr>
      <vt:lpstr>LST_MOVIMENTO</vt:lpstr>
      <vt:lpstr>LST_PAVIMENTO</vt:lpstr>
      <vt:lpstr>LST_PRIORIDADE</vt:lpstr>
      <vt:lpstr>LST_RESTRICAO</vt:lpstr>
      <vt:lpstr>LST_SN</vt:lpstr>
      <vt:lpstr>LST_SNP</vt:lpstr>
      <vt:lpstr>LST_SOLO</vt:lpstr>
      <vt:lpstr>LST_STATUS_CAD</vt:lpstr>
      <vt:lpstr>LST_STATUS_FAT</vt:lpstr>
      <vt:lpstr>LST_STATUS_MED</vt:lpstr>
      <vt:lpstr>LST_STATUS_OC</vt:lpstr>
      <vt:lpstr>LST_STATUS_OS</vt:lpstr>
      <vt:lpstr>LST_STATUS_PROG</vt:lpstr>
      <vt:lpstr>LST_TIPO</vt:lpstr>
      <vt:lpstr>LST_TIPO_OCOR</vt:lpstr>
      <vt:lpstr>MED_CONTR</vt:lpstr>
      <vt:lpstr>MED_DATA</vt:lpstr>
      <vt:lpstr>MED_DATAEX</vt:lpstr>
      <vt:lpstr>MED_EQUIPE</vt:lpstr>
      <vt:lpstr>MED_GLOSA</vt:lpstr>
      <vt:lpstr>MED_ID</vt:lpstr>
      <vt:lpstr>MED_MES</vt:lpstr>
      <vt:lpstr>MED_STATUS</vt:lpstr>
      <vt:lpstr>MED_VLR</vt:lpstr>
      <vt:lpstr>OC_CONTR</vt:lpstr>
      <vt:lpstr>OC_DATA</vt:lpstr>
      <vt:lpstr>OC_STATUS</vt:lpstr>
      <vt:lpstr>OC_TIPO</vt:lpstr>
      <vt:lpstr>OS_CONTR</vt:lpstr>
      <vt:lpstr>OS_EQUIPE</vt:lpstr>
      <vt:lpstr>OS_FIM</vt:lpstr>
      <vt:lpstr>OS_ID</vt:lpstr>
      <vt:lpstr>OS_INI</vt:lpstr>
      <vt:lpstr>OS_STATUS</vt:lpstr>
      <vt:lpstr>OS_TAB</vt:lpstr>
      <vt:lpstr>PRE_TAB</vt:lpstr>
      <vt:lpstr>PROG_CONTR</vt:lpstr>
      <vt:lpstr>PROG_DATA</vt:lpstr>
      <vt:lpstr>PROG_EQUIPE</vt:lpstr>
      <vt:lpstr>PROG_EXEC</vt:lpstr>
      <vt:lpstr>PROG_HPREV</vt:lpstr>
      <vt:lpstr>PROG_ID</vt:lpstr>
      <vt:lpstr>PROG_MOTIVO</vt:lpstr>
      <vt:lpstr>PROG_STATUS</vt:lpstr>
      <vt:lpstr>PS_CAUSA</vt:lpstr>
      <vt:lpstr>PS_EQUIPE</vt:lpstr>
      <vt:lpstr>PS_ID</vt:lpstr>
      <vt:lpstr>PS_OK</vt:lpstr>
      <vt:lpstr>PS_SEM</vt:lpstr>
      <vt:lpstr>'00. LEIA-ME'!Titulos_de_impressao</vt:lpstr>
      <vt:lpstr>'02. TABELA DE PREÇOS'!Titulos_de_impressao</vt:lpstr>
      <vt:lpstr>'03. CADASTRO DE SERVIÇOS'!Titulos_de_impressao</vt:lpstr>
      <vt:lpstr>'04. PROGRAMAÇÃO DIÁRIA'!Titulos_de_impressao</vt:lpstr>
      <vt:lpstr>'05. ORDENS DE SERVIÇO'!Titulos_de_impressao</vt:lpstr>
      <vt:lpstr>'06. APONTAMENTO DIÁRIO'!Titulos_de_impressao</vt:lpstr>
      <vt:lpstr>'07. MATERIAIS'!Titulos_de_impressao</vt:lpstr>
      <vt:lpstr>'08. EQUIPE'!Titulos_de_impressao</vt:lpstr>
      <vt:lpstr>'09. MEDIÇÃO'!Titulos_de_impressao</vt:lpstr>
      <vt:lpstr>'10. DIÁRIO DE OBRA'!Titulos_de_impressao</vt:lpstr>
      <vt:lpstr>'11. OCORRÊNCIAS'!Titulos_de_impressao</vt:lpstr>
      <vt:lpstr>'12. FATURAMENTO'!Titulos_de_impressao</vt:lpstr>
      <vt:lpstr>'13. RESUMO GERENCIAL'!Titulos_de_impressao</vt:lpstr>
      <vt:lpstr>TRIB_TOTAL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Ícaro Átila</cp:lastModifiedBy>
  <dcterms:created xsi:type="dcterms:W3CDTF">2026-09-10T21:28:41Z</dcterms:created>
  <dcterms:modified xsi:type="dcterms:W3CDTF">2026-09-17T01:00:41Z</dcterms:modified>
</cp:coreProperties>
</file>