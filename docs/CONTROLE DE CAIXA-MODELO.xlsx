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921D35C3-8BB1-48CD-BC23-0AE79721DC58}" xr6:coauthVersionLast="47" xr6:coauthVersionMax="47" xr10:uidLastSave="{00000000-0000-0000-0000-000000000000}"/>
  <bookViews>
    <workbookView xWindow="-108" yWindow="-108" windowWidth="23256" windowHeight="13896" xr2:uid="{24B6AF2D-77E7-44F9-959E-AD3DFF08F742}"/>
  </bookViews>
  <sheets>
    <sheet name="DESPESAS" sheetId="1" r:id="rId1"/>
    <sheet name="HORAS EXTRAS 0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2" l="1"/>
  <c r="C56" i="2"/>
  <c r="D120" i="1"/>
  <c r="A120" i="1"/>
  <c r="F120" i="1" l="1"/>
</calcChain>
</file>

<file path=xl/sharedStrings.xml><?xml version="1.0" encoding="utf-8"?>
<sst xmlns="http://schemas.openxmlformats.org/spreadsheetml/2006/main" count="469" uniqueCount="218">
  <si>
    <t>DATA</t>
  </si>
  <si>
    <t>DESCRIÇÃO</t>
  </si>
  <si>
    <t>SOLICITANTE</t>
  </si>
  <si>
    <t>CONSERTO DE 2 PNEUS DA RETRO</t>
  </si>
  <si>
    <t>ÉDER</t>
  </si>
  <si>
    <t>DATA DA DESPESA</t>
  </si>
  <si>
    <t>SINISTRO - MÓVEIS - HERMÍNIO</t>
  </si>
  <si>
    <t>SERGIO</t>
  </si>
  <si>
    <t>ÁGUA BICA</t>
  </si>
  <si>
    <t>JESSÉ</t>
  </si>
  <si>
    <t>WIL LIDER COMUNIDADE RETORNO</t>
  </si>
  <si>
    <t>FELIPE</t>
  </si>
  <si>
    <t>HORA EXTRA JUAN</t>
  </si>
  <si>
    <t>HUMBERTO</t>
  </si>
  <si>
    <t>FELIPE RH</t>
  </si>
  <si>
    <t>ENTRADA</t>
  </si>
  <si>
    <t>SINISTRO - CARRO BRAVO - WELLINGTON</t>
  </si>
  <si>
    <t>WELLINGTON</t>
  </si>
  <si>
    <t>RECEITAS</t>
  </si>
  <si>
    <t>DESPESAS</t>
  </si>
  <si>
    <t>VR REF. JANTA 06 A 12/07 E VT SÁBADOS - EQUIPE JOÃO</t>
  </si>
  <si>
    <t>VALOR</t>
  </si>
  <si>
    <t>MATERIAIS DEPÓSITO VAPT VUPT - FERNANDO</t>
  </si>
  <si>
    <t>MATERIAL DE LIMPEZA - ALOJAMENTO EQUIPE JAILTON</t>
  </si>
  <si>
    <t>JAILTON</t>
  </si>
  <si>
    <t>DEPÓSITO JK SALDÃO DE OBRAS - RETORNO - FERRAMENTAS</t>
  </si>
  <si>
    <t>01 A 10/07/2026</t>
  </si>
  <si>
    <t>DIESEL - MÁQUINA JAILTON</t>
  </si>
  <si>
    <t>DIESEL - CARRO JAILTON</t>
  </si>
  <si>
    <t>BORRACHARIA - CONSERTO DE PNEU FURADO</t>
  </si>
  <si>
    <t>GASOLINA PARA SERRA CLIPE</t>
  </si>
  <si>
    <t>20 UNIDADES DE TELA DE AÇO MALHA TOP 20X20 - 2X3 METROS - ELITE DEP.</t>
  </si>
  <si>
    <t>3 DIÁRIAS APONTADOR GUSTAVO HENRIQUE (KELLY)</t>
  </si>
  <si>
    <t>KELLY</t>
  </si>
  <si>
    <t>UBER EQUIPE HUMBERTO PARA VOLTAR AO CANTEIRO DE NOITE</t>
  </si>
  <si>
    <t>UBER EQUIPE HUMBERTO DO CANTEIRO PRO MORRO DOCE - ALOJAMENTO</t>
  </si>
  <si>
    <t>UBER EQUIPE HUMBERTO - MORRO DOCE PARA CANTEIRO</t>
  </si>
  <si>
    <t>MATERIAIS DEPÓSITO AREMAX - talhadeira, marretas, extensão e plumo</t>
  </si>
  <si>
    <t>VALE TRANSPORTE JULHO - EQUIPE ALOJADA (JOÃO + 3)</t>
  </si>
  <si>
    <t>30 UNIDADES DE TELA DE AÇO MALHA TOP 20X20 - 2X3 METROS - ELITE DEP.</t>
  </si>
  <si>
    <t>60 UNIDADES DE TELA DE AÇO MALHA TOP 20X20 - 2X3 METROS - ELITE DEP.</t>
  </si>
  <si>
    <t>CARLOS</t>
  </si>
  <si>
    <t>CAMINHÃO PIPA AVULSO 3 DIAS - JOSÉ CARLOS - 30/06, 01/07 E 02/07</t>
  </si>
  <si>
    <t>GASOLINA PRA SERRA CLIPE - GILVAM - PIX</t>
  </si>
  <si>
    <t>GILVAM</t>
  </si>
  <si>
    <t>SERRA MÁRMORE MAKITA 1300W - 220V</t>
  </si>
  <si>
    <t>DAMIÃO/WELLINGTON</t>
  </si>
  <si>
    <t>UBER E ALMOÇO EQUIPE HUMBERTO</t>
  </si>
  <si>
    <t>MARCOS</t>
  </si>
  <si>
    <t>IGOR</t>
  </si>
  <si>
    <t>UBER  PARA O RETORNO - EQUIPE</t>
  </si>
  <si>
    <t>BORRACHEIRO - CONSERTO PNEU CAMINHÃO JAILTON</t>
  </si>
  <si>
    <t>MATERIAIS ELITE - WD40 + ADAPTADOR CUBO 4 TOMADAS</t>
  </si>
  <si>
    <t>UBER JOÃO BATISTA - VOLTA PARA O CANTEIRO DIA 20/07 À NOITE</t>
  </si>
  <si>
    <t>JOÃO BATISTA</t>
  </si>
  <si>
    <t>KALUNGA - TINTA IMPRESSORA + SULFITE+ CAIXA DE ENTRADA + PALSTAS L</t>
  </si>
  <si>
    <t>COMBUSTÍVEL CARRO JAILTON - GJE0188 - SANTA FÉ</t>
  </si>
  <si>
    <t>DAMIÃO</t>
  </si>
  <si>
    <t>BORRACHEIRO + UBER (IGOR)</t>
  </si>
  <si>
    <t>PEDRO SILVA FONSECA - PREMIAÇÃO</t>
  </si>
  <si>
    <t>GUINCHO PREA LEVAR KOMBI  PRO CANTEIRO - PAULO ROBERTO ALVES</t>
  </si>
  <si>
    <t>RENAM</t>
  </si>
  <si>
    <t>PAULO ZN</t>
  </si>
  <si>
    <t>HE Michael Douglas, João Batista e Leonardo (19/07) - PIX pro Wellington, que já pagou</t>
  </si>
  <si>
    <r>
      <t xml:space="preserve">M&amp;M CONSTRUÇÕES - MATERIAIS QUE O </t>
    </r>
    <r>
      <rPr>
        <sz val="9"/>
        <color rgb="FFFF0000"/>
        <rFont val="Aptos Narrow"/>
        <family val="2"/>
        <scheme val="minor"/>
      </rPr>
      <t>ZN NÃO TINHA</t>
    </r>
    <r>
      <rPr>
        <sz val="9"/>
        <color theme="1"/>
        <rFont val="Aptos Narrow"/>
        <family val="2"/>
        <scheme val="minor"/>
      </rPr>
      <t xml:space="preserve"> - MARCOS PAULINO</t>
    </r>
  </si>
  <si>
    <r>
      <t xml:space="preserve">M&amp;M CONSTRUÇÕES - SARRAFOS QUE O </t>
    </r>
    <r>
      <rPr>
        <sz val="9"/>
        <color rgb="FFFF0000"/>
        <rFont val="Aptos Narrow"/>
        <family val="2"/>
        <scheme val="minor"/>
      </rPr>
      <t>ZN NÃO TINHA</t>
    </r>
    <r>
      <rPr>
        <sz val="9"/>
        <color theme="1"/>
        <rFont val="Aptos Narrow"/>
        <family val="2"/>
        <scheme val="minor"/>
      </rPr>
      <t xml:space="preserve"> - MARCOS PAULINO</t>
    </r>
  </si>
  <si>
    <t>HE DAMIÃO FIRMINO DOS SANTOS - DIA PENDENTE DE JUNHO</t>
  </si>
  <si>
    <t>GUINCHO PARA SOCORRER A KOMBI NA NOITE DE 23/07/2026</t>
  </si>
  <si>
    <t>ÉVERTON - BOI MALHADO - HUMBERTO PEDIU E WILL APROVOU</t>
  </si>
  <si>
    <t>DIEGO</t>
  </si>
  <si>
    <t>BORRACHEIRO - PNEU USADO PARA A KOMBI</t>
  </si>
  <si>
    <t>VASSOURÕES COMPRADOS PELO HUMBERTO</t>
  </si>
  <si>
    <t>ALUGUEL ALOJHAMENTO BOI MALHADO - SR. JOSÉ HORLANDO</t>
  </si>
  <si>
    <t>CADEADO PARA O NOVO CONTAINNER</t>
  </si>
  <si>
    <t>SINISTRO - MECÂNICO GLEIDOSN</t>
  </si>
  <si>
    <t>Hora Extra dia 25/07: Paulo Henrique, Rodrigo Crivelaro, Raquel e Felipe Bahia</t>
  </si>
  <si>
    <t>Hora Extra dia 25/07: Edson, Marcos, Diego, Cristian, Patrick, Agenor, Tatiane (semana)</t>
  </si>
  <si>
    <t>Hora extra dia 21/07: Agenor e Michael Dougllas (300) + combustível e janta (dia 25/07)</t>
  </si>
  <si>
    <t>ESCAPAMENTO DA KOMBI - RC PNEUS</t>
  </si>
  <si>
    <t>SALDO==&gt;&gt;</t>
  </si>
  <si>
    <t>HORAS EXTRAS ÉDERSON - ACERTO ATÉ 26/07</t>
  </si>
  <si>
    <t>HE ANDERSON MARQUES LOBATO - ACERTO DE SÁBADO TRABALHADO EM JUNHO</t>
  </si>
  <si>
    <t>ACERTO DE PONTO NEGATIVO DESCONTADO INDEVIDAMENTE DE SERAFIM ANTONIO</t>
  </si>
  <si>
    <t>UBER PARA EDSON IR DO JAÇANÃ AO BOI MALHADO</t>
  </si>
  <si>
    <t>ÁGUA BICA - HIDRORAMOS</t>
  </si>
  <si>
    <t>UBER EQUIPE HUMBERTO</t>
  </si>
  <si>
    <t>JOÃO BATISTA JESUS TEIXEIRA: DIAS 04 E 17 DE JULHO</t>
  </si>
  <si>
    <t>MARCOS: HE 18/07 - 19/07 E DIFERENÇA DE PREMIAÇÃO</t>
  </si>
  <si>
    <t>MICHAEL DOUGLAS: HE ATRASADAS DE JULHO</t>
  </si>
  <si>
    <t>HE ANDERSON DE ASSIS DA SILVA - 09/07</t>
  </si>
  <si>
    <t>HE CRISTIANO DOS SANTOS - 27/06</t>
  </si>
  <si>
    <t>HE JOÃO BATISTA - 4 NOITES QUE BATEU O PONTO E DEPOIS TRABALHOU ATÉ TARDE (CONCRETAGEM)</t>
  </si>
  <si>
    <t>JUAN</t>
  </si>
  <si>
    <t>CONSERTO PNEU RETROESCAVADEIRA - JUAN PAGOU E FIZ O PIX PRA ELE</t>
  </si>
  <si>
    <t>DEPÓSITO DE MATERIAIS VAPT VUPT - ELIANA DA SILVA FARIAS</t>
  </si>
  <si>
    <t>GILVAN</t>
  </si>
  <si>
    <t>GASOLINA PARA GERADOR E SERRA SABRE</t>
  </si>
  <si>
    <t>RAQUEL 6 DIAS (120*6=720,00) E TATIANE 8 DIAS (120*8=960,00) + VT 8 DIAS (84,80) - PIX P/ WELLINGTON</t>
  </si>
  <si>
    <t>HE APARECIDO DIAS 09 E 11 DE JULHO E OUTRAS 5 NOITES (20 HORAS)</t>
  </si>
  <si>
    <t>HE ALMIR JR - DIA 18/07</t>
  </si>
  <si>
    <t>ALUGUEL CARRO DAMIÃO - 01 A 31/07</t>
  </si>
  <si>
    <t>EDERSON - DIFERENÇA DE SALÁRIO</t>
  </si>
  <si>
    <t>JESSÉ/WELLINGTON</t>
  </si>
  <si>
    <t>UBER PARA ALMIR G. SANTOS DIA 29/07</t>
  </si>
  <si>
    <t>UBER PARA EDSON OLIMPIO DIA 29/07</t>
  </si>
  <si>
    <t>20 UNIDADES DE TELA DE AÇO MALHA TOP 20X20 + 3 BARRAS DE FERRO 3/8 12 MTS</t>
  </si>
  <si>
    <t>VT - ÔNIBUS (R$ 6,30) REFERENTE AOS DIAS 30/07 (VOLTA), 31/07 E 03 A 07/08 (IDA E VOLTA)</t>
  </si>
  <si>
    <t>DEPÓSITO JOSÉ FERRAGENS: 7 BARRAS DE FERRO 3/8, 2 TRENAS 5MT, 4 DISCOS FERRO</t>
  </si>
  <si>
    <t>BORRACHEIRO - CONSERTO DE 2 PNEUS DA RETRO + SOCORRO</t>
  </si>
  <si>
    <t>DAMIÃO/GILVAN</t>
  </si>
  <si>
    <t>MATERIAIS - 3 BARRAS DE FERRO</t>
  </si>
  <si>
    <t>RAPAZ QUE CONSERTOU A REDE DE LUZ QUE O CAMINHÃO DE CONCRETO DERRUBOU</t>
  </si>
  <si>
    <t>JANTAR DA EQUIPE QUE FICOU ATÉ TARDE DA NOITE NO DIA 30/07 + UBER</t>
  </si>
  <si>
    <t>HE EXTRA LEONARDO FIGUEIREDO - 2 DIAS QUE BATEU O PONTO E DEPOIS TRABALHOU ATÉ DE NOITE</t>
  </si>
  <si>
    <t>Conferido</t>
  </si>
  <si>
    <t>VT 21 DIAS (08/26) PARA FELIPE GLEISON, JOÃO BATISTA, LEONARDO FIGUEIREDO E MICHAEL DOUGAS (R$ 222,60 CADA)</t>
  </si>
  <si>
    <t>UBER JOÃO REF. ÚLTIMA VIAGEM PRO RIO - ELE PASSOU PRO FELIPE, MAS NÃO TINHA RECEBIDO AINDA</t>
  </si>
  <si>
    <t>LEROY MERLIN - 2 MAKITAS NA PROMOÇÃO (FICOU 1 COM BETÃO E OUTRA COM WELLINGTON)</t>
  </si>
  <si>
    <t>UBER ALMIR 31/07 À NOITE</t>
  </si>
  <si>
    <t>ALMIR</t>
  </si>
  <si>
    <t>PAGAMENTO DA RAQUEL DA SEMANA - 27/07 A 01/08</t>
  </si>
  <si>
    <t>PAGAMENTO DA TATIANE DA SEMANA - 27/07 A 31/07.</t>
  </si>
  <si>
    <t>WILLIANS</t>
  </si>
  <si>
    <t>INTERNET ALOJAMENTO</t>
  </si>
  <si>
    <t>UBER MARCOS SÁBADO</t>
  </si>
  <si>
    <t>COMBUSTÍVEL SÁBADO HUMBERTO + CIMENTO</t>
  </si>
  <si>
    <t>ALMOÇO EQUIPE QUE TRABALHOU DOMINGO 02/08</t>
  </si>
  <si>
    <t>BAIXADA JOÃO BATISTA - PASSAGEM DE ÔNIBUS DE IDA  - DIA 07</t>
  </si>
  <si>
    <t>UBER AUTORIZADO PELO WILL, PARA SAKURA</t>
  </si>
  <si>
    <t>UBER - ANDERSON DE ASSIS DA SILVA - SÁBADO DIA 01/08 À NOITE</t>
  </si>
  <si>
    <t>ANDERSON</t>
  </si>
  <si>
    <t>NOME</t>
  </si>
  <si>
    <t>Cargo</t>
  </si>
  <si>
    <t>01</t>
  </si>
  <si>
    <t>02</t>
  </si>
  <si>
    <t>08</t>
  </si>
  <si>
    <t>09</t>
  </si>
  <si>
    <t>15</t>
  </si>
  <si>
    <t>16</t>
  </si>
  <si>
    <t>22</t>
  </si>
  <si>
    <t>23</t>
  </si>
  <si>
    <t>29</t>
  </si>
  <si>
    <t>30</t>
  </si>
  <si>
    <t>AGENOR BAHIA (EM CONTRATAÇÃO)</t>
  </si>
  <si>
    <t>OPERADOR DE RETRO</t>
  </si>
  <si>
    <t>PG</t>
  </si>
  <si>
    <t>ALINE SANTOS BARBOSA</t>
  </si>
  <si>
    <t>AUXILIAR DE CADASTRO II</t>
  </si>
  <si>
    <t>ALMIR GOMES DOS SANTOS JUNIOR</t>
  </si>
  <si>
    <t>AJUDANTE GERAL I</t>
  </si>
  <si>
    <t>ANDERSON DE ASSIS DA SILVA</t>
  </si>
  <si>
    <t>ANDERSON DE JESUS SOUZA</t>
  </si>
  <si>
    <t>ANDERSON MARQUES LOBATO</t>
  </si>
  <si>
    <t>APARECIDO RODRIGUES CIRIACO</t>
  </si>
  <si>
    <t>ENCANADOR DE ESGOTO III</t>
  </si>
  <si>
    <t>BRENO EDUARDO DA CONCEIÇÃO</t>
  </si>
  <si>
    <t>CICERO DA SILVA GOMES</t>
  </si>
  <si>
    <t>CRISTIAN RICHARD SIMONETO DE ARAUJO</t>
  </si>
  <si>
    <t>ENCANADOR DE ESGOTO I</t>
  </si>
  <si>
    <t>CRISTIANO DOS SANTOS</t>
  </si>
  <si>
    <t>DAMIÃO ALVES DA SILVA</t>
  </si>
  <si>
    <t>ENCARREGADO DE OBRA I</t>
  </si>
  <si>
    <t>DAMIÃO FIRMINO DOS SANTOS</t>
  </si>
  <si>
    <t>PEDREIRO I</t>
  </si>
  <si>
    <t>DANILO VASCONCELOS DE JESUS</t>
  </si>
  <si>
    <t>DENILSON SILVA DE SOUZA</t>
  </si>
  <si>
    <t>ENCANADOR DE ÁGUA I</t>
  </si>
  <si>
    <t>DIEGO JHONSON LOBO DOS SANTOS</t>
  </si>
  <si>
    <t>ENCANADOR DE AGUA I</t>
  </si>
  <si>
    <t>EDERSON DOS SANTOS CARDOSO</t>
  </si>
  <si>
    <t>EDIEL NOVAIS SILVA PEREIRA</t>
  </si>
  <si>
    <t>EDIVAN MOREIRA DOS SANTOS</t>
  </si>
  <si>
    <t>EDSON DA SILVA MOREIRA</t>
  </si>
  <si>
    <t>ENCANADOR IV</t>
  </si>
  <si>
    <t>EDSON OLIMPIO DE SOUZA</t>
  </si>
  <si>
    <t>ENEIAS RAMIRES</t>
  </si>
  <si>
    <t>ENCANADOR DE ÁGUA III</t>
  </si>
  <si>
    <t>ÉVERTON  SABINO LOPES DA SILVA</t>
  </si>
  <si>
    <t>FABIO FRANCISCO DO NASCIMENTO</t>
  </si>
  <si>
    <t>FELIPE FERRAZ RIBEIRO</t>
  </si>
  <si>
    <t>FELIPE GLEISON RODRIGUES DA SILVA</t>
  </si>
  <si>
    <t>IGOR BARBOSA DE MENESES</t>
  </si>
  <si>
    <t>JOÃO BATISTA DE JESUS TEIXEIRA</t>
  </si>
  <si>
    <t>JOSALIM JOSE ALVES</t>
  </si>
  <si>
    <t>JOSE JAILTON DA SILVA</t>
  </si>
  <si>
    <t>JOSE REGINALDO RAFAEL BEZERRA</t>
  </si>
  <si>
    <t>JUAN CARLOS GARCIA AVENDANO</t>
  </si>
  <si>
    <t>KAUE WERICK LOPES DE SOUZA</t>
  </si>
  <si>
    <t>SOLDADOR PEAD</t>
  </si>
  <si>
    <t xml:space="preserve">KELY CRISTINA ROBERTO NUNES </t>
  </si>
  <si>
    <t>LENILSON FRANÇA DA SILVA</t>
  </si>
  <si>
    <t>ENCANADOR</t>
  </si>
  <si>
    <t>LEONARDO FIGUEIREDO DA SILVA PASSOS</t>
  </si>
  <si>
    <t>LEONARDO PAULO DOS SANTOS</t>
  </si>
  <si>
    <t>MAELSON SANTOS PEREIRA</t>
  </si>
  <si>
    <t>MARCELO CAMARGO</t>
  </si>
  <si>
    <t>MARCIO MATIAS DE OLIVEIRA</t>
  </si>
  <si>
    <t>MARCOS JOSÉ FARIAS DA SILVA</t>
  </si>
  <si>
    <t>ENCANADOR DE AGUA III</t>
  </si>
  <si>
    <t>MARCOS VINICIUS SANTOS DO NASCIMENTO</t>
  </si>
  <si>
    <t>MAURICIO BELICIO ALVES</t>
  </si>
  <si>
    <t xml:space="preserve">MICHAEL DOUGLAS TELES MASCARENHAS </t>
  </si>
  <si>
    <t>PATRICK MOURA DA SILVA</t>
  </si>
  <si>
    <t>PAULO HENRIQUE DE SOUZA</t>
  </si>
  <si>
    <t>PEDRO SILVA DA FONSECA</t>
  </si>
  <si>
    <t>RAIMUNDO NONATO LEITE</t>
  </si>
  <si>
    <t>RENAN KRYSLEN FAZOLIN ALVES</t>
  </si>
  <si>
    <t>RODRIGO DA SILVA CRIVELLARO</t>
  </si>
  <si>
    <t>SERAFIM ANTONIO DOS SANTOS</t>
  </si>
  <si>
    <t>WELLINGTON DA SILVA AQUINO</t>
  </si>
  <si>
    <t>WELLINGTON LUIZ DE MORAES</t>
  </si>
  <si>
    <t>WESLEY LEITE DA SILVA</t>
  </si>
  <si>
    <t>TOTAIS</t>
  </si>
  <si>
    <t>OBS. DIAS 01 E 02</t>
  </si>
  <si>
    <t>HORAS EXTRAS - SÁBADO E DOMINGO 01 E 02/08 - PRESENTE PLANILHA ABA HORAS EXTRAS</t>
  </si>
  <si>
    <t>4 CAMISAS QUE O HUMEBRTO COMPROU EM 04/08 PRA EQUIPE DO RETORNO</t>
  </si>
  <si>
    <t>COMPRA DE MATERIAIS QUE O JESSÉ TINHA PEGO EMPRESTADO DO CONSÓRCIO (PAULO)</t>
  </si>
  <si>
    <t>JESSÉ / PAULO 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</si>
</sst>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ptos"/>
      <family val="2"/>
    </font>
    <font>
      <sz val="9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rgb="FFE2EFDA"/>
      </patternFill>
    </fill>
    <fill>
      <patternFill patternType="solid">
        <fgColor theme="0" tint="-0.14999847407452621"/>
        <bgColor rgb="FFE2EFDA"/>
      </patternFill>
    </fill>
    <fill>
      <patternFill patternType="solid">
        <fgColor theme="6" tint="0.79998168889431442"/>
        <bgColor rgb="FFE2EFDA"/>
      </patternFill>
    </fill>
    <fill>
      <patternFill patternType="solid">
        <fgColor rgb="FFFFFF00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3" tint="0.499984740745262"/>
        <bgColor rgb="FF333333"/>
      </patternFill>
    </fill>
    <fill>
      <patternFill patternType="solid">
        <fgColor theme="3" tint="0.499984740745262"/>
        <bgColor rgb="FF1F3864"/>
      </patternFill>
    </fill>
    <fill>
      <patternFill patternType="solid">
        <fgColor theme="1" tint="0.499984740745262"/>
        <bgColor rgb="FF333333"/>
      </patternFill>
    </fill>
    <fill>
      <patternFill patternType="solid">
        <fgColor theme="6" tint="0.59999389629810485"/>
        <bgColor rgb="FF1F38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4" fontId="2" fillId="5" borderId="1" xfId="1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2" fillId="6" borderId="7" xfId="1" applyFont="1" applyFill="1" applyBorder="1" applyAlignment="1">
      <alignment horizontal="center" vertical="center"/>
    </xf>
    <xf numFmtId="14" fontId="2" fillId="6" borderId="7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44" fontId="2" fillId="6" borderId="7" xfId="0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0" xfId="0" applyFont="1"/>
    <xf numFmtId="46" fontId="11" fillId="8" borderId="7" xfId="0" applyNumberFormat="1" applyFont="1" applyFill="1" applyBorder="1" applyAlignment="1">
      <alignment horizontal="center" vertical="center"/>
    </xf>
    <xf numFmtId="44" fontId="10" fillId="8" borderId="7" xfId="1" applyFont="1" applyFill="1" applyBorder="1" applyAlignment="1">
      <alignment horizontal="center" vertical="center"/>
    </xf>
    <xf numFmtId="44" fontId="10" fillId="9" borderId="7" xfId="1" applyFont="1" applyFill="1" applyBorder="1" applyAlignment="1">
      <alignment horizontal="center" vertical="center"/>
    </xf>
    <xf numFmtId="46" fontId="11" fillId="10" borderId="7" xfId="0" applyNumberFormat="1" applyFont="1" applyFill="1" applyBorder="1" applyAlignment="1">
      <alignment horizontal="center" vertical="center"/>
    </xf>
    <xf numFmtId="44" fontId="10" fillId="10" borderId="7" xfId="1" applyFont="1" applyFill="1" applyBorder="1" applyAlignment="1">
      <alignment horizontal="center" vertical="center"/>
    </xf>
    <xf numFmtId="46" fontId="11" fillId="11" borderId="7" xfId="0" applyNumberFormat="1" applyFont="1" applyFill="1" applyBorder="1" applyAlignment="1">
      <alignment horizontal="center" vertical="center"/>
    </xf>
    <xf numFmtId="44" fontId="10" fillId="11" borderId="7" xfId="1" applyFont="1" applyFill="1" applyBorder="1" applyAlignment="1">
      <alignment horizontal="center" vertical="center"/>
    </xf>
    <xf numFmtId="44" fontId="10" fillId="12" borderId="7" xfId="1" applyFont="1" applyFill="1" applyBorder="1" applyAlignment="1">
      <alignment horizontal="center" vertical="center"/>
    </xf>
    <xf numFmtId="44" fontId="10" fillId="13" borderId="7" xfId="1" applyFont="1" applyFill="1" applyBorder="1" applyAlignment="1">
      <alignment horizontal="center" vertical="center"/>
    </xf>
    <xf numFmtId="49" fontId="10" fillId="14" borderId="7" xfId="0" applyNumberFormat="1" applyFont="1" applyFill="1" applyBorder="1" applyAlignment="1">
      <alignment horizontal="center" vertical="center"/>
    </xf>
    <xf numFmtId="49" fontId="10" fillId="15" borderId="7" xfId="1" applyNumberFormat="1" applyFont="1" applyFill="1" applyBorder="1" applyAlignment="1">
      <alignment horizontal="center" vertical="center" wrapText="1"/>
    </xf>
    <xf numFmtId="44" fontId="10" fillId="16" borderId="7" xfId="1" applyFont="1" applyFill="1" applyBorder="1" applyAlignment="1">
      <alignment horizontal="center" vertical="center"/>
    </xf>
    <xf numFmtId="44" fontId="12" fillId="16" borderId="7" xfId="1" applyFont="1" applyFill="1" applyBorder="1" applyAlignment="1">
      <alignment horizontal="center" vertical="center"/>
    </xf>
    <xf numFmtId="49" fontId="10" fillId="17" borderId="7" xfId="1" applyNumberFormat="1" applyFont="1" applyFill="1" applyBorder="1" applyAlignment="1">
      <alignment horizontal="center" vertical="center" wrapText="1"/>
    </xf>
    <xf numFmtId="0" fontId="13" fillId="0" borderId="0" xfId="0" applyFont="1"/>
    <xf numFmtId="44" fontId="11" fillId="10" borderId="7" xfId="1" applyFont="1" applyFill="1" applyBorder="1" applyAlignment="1">
      <alignment horizontal="center" vertical="center"/>
    </xf>
    <xf numFmtId="44" fontId="4" fillId="3" borderId="1" xfId="1" applyFont="1" applyFill="1" applyBorder="1" applyAlignment="1">
      <alignment horizontal="center" vertical="center"/>
    </xf>
    <xf numFmtId="44" fontId="4" fillId="3" borderId="2" xfId="1" applyFont="1" applyFill="1" applyBorder="1" applyAlignment="1">
      <alignment horizontal="center" vertical="center"/>
    </xf>
    <xf numFmtId="44" fontId="4" fillId="4" borderId="6" xfId="1" applyFont="1" applyFill="1" applyBorder="1" applyAlignment="1">
      <alignment horizontal="center" vertical="center"/>
    </xf>
    <xf numFmtId="44" fontId="4" fillId="4" borderId="3" xfId="1" applyFont="1" applyFill="1" applyBorder="1" applyAlignment="1">
      <alignment horizontal="center" vertical="center"/>
    </xf>
    <xf numFmtId="44" fontId="4" fillId="4" borderId="4" xfId="1" applyFont="1" applyFill="1" applyBorder="1" applyAlignment="1">
      <alignment horizontal="center" vertical="center"/>
    </xf>
    <xf numFmtId="0" fontId="12" fillId="16" borderId="8" xfId="0" applyFont="1" applyFill="1" applyBorder="1" applyAlignment="1">
      <alignment horizontal="center" vertical="center"/>
    </xf>
    <xf numFmtId="0" fontId="12" fillId="16" borderId="9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C7ED-4DC7-4188-9301-A0E313E34DC6}">
  <sheetPr>
    <pageSetUpPr fitToPage="1"/>
  </sheetPr>
  <dimension ref="A1:G120"/>
  <sheetViews>
    <sheetView tabSelected="1" zoomScale="98" zoomScaleNormal="98" workbookViewId="0">
      <selection activeCell="H6" sqref="H6"/>
    </sheetView>
  </sheetViews>
  <sheetFormatPr defaultColWidth="8.85546875" defaultRowHeight="17.45" customHeight="1" x14ac:dyDescent="0.25"/>
  <cols>
    <col min="1" max="1" width="17.7109375" style="3" customWidth="1"/>
    <col min="2" max="2" width="13.7109375" style="1" customWidth="1"/>
    <col min="3" max="3" width="74.7109375" style="22" customWidth="1"/>
    <col min="4" max="4" width="16.140625" style="3" customWidth="1"/>
    <col min="5" max="5" width="17.140625" style="1" customWidth="1"/>
    <col min="6" max="6" width="21.7109375" style="2" customWidth="1"/>
    <col min="7" max="7" width="9.5703125" style="2" customWidth="1"/>
    <col min="8" max="16384" width="8.85546875" style="2"/>
  </cols>
  <sheetData>
    <row r="1" spans="1:7" ht="17.45" customHeight="1" thickBot="1" x14ac:dyDescent="0.3">
      <c r="A1" s="46" t="s">
        <v>18</v>
      </c>
      <c r="B1" s="47"/>
      <c r="C1" s="48" t="s">
        <v>19</v>
      </c>
      <c r="D1" s="49"/>
      <c r="E1" s="49"/>
      <c r="F1" s="50"/>
    </row>
    <row r="2" spans="1:7" s="4" customFormat="1" ht="17.45" customHeight="1" thickBot="1" x14ac:dyDescent="0.3">
      <c r="A2" s="5" t="s">
        <v>15</v>
      </c>
      <c r="B2" s="11" t="s">
        <v>0</v>
      </c>
      <c r="C2" s="17" t="s">
        <v>1</v>
      </c>
      <c r="D2" s="5" t="s">
        <v>21</v>
      </c>
      <c r="E2" s="6" t="s">
        <v>5</v>
      </c>
      <c r="F2" s="7" t="s">
        <v>2</v>
      </c>
    </row>
    <row r="3" spans="1:7" ht="15" customHeight="1" thickBot="1" x14ac:dyDescent="0.3">
      <c r="A3" s="14">
        <v>2000</v>
      </c>
      <c r="B3" s="15">
        <v>46209</v>
      </c>
      <c r="C3" s="18" t="s">
        <v>3</v>
      </c>
      <c r="D3" s="8">
        <v>1000</v>
      </c>
      <c r="E3" s="9">
        <v>46209</v>
      </c>
      <c r="F3" s="10" t="s">
        <v>4</v>
      </c>
      <c r="G3" s="2" t="s">
        <v>114</v>
      </c>
    </row>
    <row r="4" spans="1:7" ht="15" customHeight="1" thickBot="1" x14ac:dyDescent="0.3">
      <c r="A4" s="8">
        <v>0</v>
      </c>
      <c r="B4" s="12"/>
      <c r="C4" s="18" t="s">
        <v>6</v>
      </c>
      <c r="D4" s="8">
        <v>1000</v>
      </c>
      <c r="E4" s="9">
        <v>46209</v>
      </c>
      <c r="F4" s="10" t="s">
        <v>7</v>
      </c>
      <c r="G4" s="2" t="s">
        <v>114</v>
      </c>
    </row>
    <row r="5" spans="1:7" ht="15" customHeight="1" thickBot="1" x14ac:dyDescent="0.3">
      <c r="A5" s="8">
        <v>0</v>
      </c>
      <c r="B5" s="12"/>
      <c r="C5" s="19" t="s">
        <v>8</v>
      </c>
      <c r="D5" s="8">
        <v>1000</v>
      </c>
      <c r="E5" s="9">
        <v>46209</v>
      </c>
      <c r="F5" s="10" t="s">
        <v>9</v>
      </c>
      <c r="G5" s="2" t="s">
        <v>114</v>
      </c>
    </row>
    <row r="6" spans="1:7" ht="15" customHeight="1" thickBot="1" x14ac:dyDescent="0.3">
      <c r="A6" s="8">
        <v>0</v>
      </c>
      <c r="B6" s="12"/>
      <c r="C6" s="18" t="s">
        <v>10</v>
      </c>
      <c r="D6" s="8">
        <v>1000</v>
      </c>
      <c r="E6" s="9">
        <v>46210</v>
      </c>
      <c r="F6" s="10" t="s">
        <v>11</v>
      </c>
      <c r="G6" s="2" t="s">
        <v>114</v>
      </c>
    </row>
    <row r="7" spans="1:7" ht="15" customHeight="1" thickBot="1" x14ac:dyDescent="0.3">
      <c r="A7" s="8">
        <v>0</v>
      </c>
      <c r="B7" s="12"/>
      <c r="C7" s="18" t="s">
        <v>84</v>
      </c>
      <c r="D7" s="8">
        <v>1000</v>
      </c>
      <c r="E7" s="9">
        <v>46210</v>
      </c>
      <c r="F7" s="10" t="s">
        <v>9</v>
      </c>
      <c r="G7" s="2" t="s">
        <v>114</v>
      </c>
    </row>
    <row r="8" spans="1:7" ht="15" customHeight="1" thickBot="1" x14ac:dyDescent="0.3">
      <c r="A8" s="8">
        <v>0</v>
      </c>
      <c r="B8" s="12"/>
      <c r="C8" s="18" t="s">
        <v>12</v>
      </c>
      <c r="D8" s="8">
        <v>1000</v>
      </c>
      <c r="E8" s="9">
        <v>46211</v>
      </c>
      <c r="F8" s="10" t="s">
        <v>13</v>
      </c>
      <c r="G8" s="2" t="s">
        <v>114</v>
      </c>
    </row>
    <row r="9" spans="1:7" ht="15" customHeight="1" thickBot="1" x14ac:dyDescent="0.3">
      <c r="A9" s="8">
        <v>0</v>
      </c>
      <c r="B9" s="12"/>
      <c r="C9" s="20" t="s">
        <v>20</v>
      </c>
      <c r="D9" s="8">
        <v>1000</v>
      </c>
      <c r="E9" s="9">
        <v>46211</v>
      </c>
      <c r="F9" s="10" t="s">
        <v>14</v>
      </c>
      <c r="G9" s="2" t="s">
        <v>114</v>
      </c>
    </row>
    <row r="10" spans="1:7" ht="15" customHeight="1" thickBot="1" x14ac:dyDescent="0.3">
      <c r="A10" s="8">
        <v>0</v>
      </c>
      <c r="B10" s="12"/>
      <c r="C10" s="21" t="s">
        <v>23</v>
      </c>
      <c r="D10" s="8">
        <v>1000</v>
      </c>
      <c r="E10" s="9">
        <v>46211</v>
      </c>
      <c r="F10" s="10" t="s">
        <v>24</v>
      </c>
      <c r="G10" s="2" t="s">
        <v>114</v>
      </c>
    </row>
    <row r="11" spans="1:7" ht="15" customHeight="1" thickBot="1" x14ac:dyDescent="0.3">
      <c r="A11" s="14">
        <v>2000</v>
      </c>
      <c r="B11" s="15">
        <v>46211</v>
      </c>
      <c r="C11" s="18" t="s">
        <v>16</v>
      </c>
      <c r="D11" s="8">
        <v>1000</v>
      </c>
      <c r="E11" s="9">
        <v>46212</v>
      </c>
      <c r="F11" s="10" t="s">
        <v>17</v>
      </c>
      <c r="G11" s="2" t="s">
        <v>114</v>
      </c>
    </row>
    <row r="12" spans="1:7" ht="15" customHeight="1" thickBot="1" x14ac:dyDescent="0.3">
      <c r="A12" s="8">
        <v>0</v>
      </c>
      <c r="B12" s="12"/>
      <c r="C12" s="21" t="s">
        <v>25</v>
      </c>
      <c r="D12" s="8">
        <v>1000</v>
      </c>
      <c r="E12" s="13" t="s">
        <v>26</v>
      </c>
      <c r="F12" s="10" t="s">
        <v>24</v>
      </c>
      <c r="G12" s="2" t="s">
        <v>114</v>
      </c>
    </row>
    <row r="13" spans="1:7" ht="15" customHeight="1" thickBot="1" x14ac:dyDescent="0.3">
      <c r="A13" s="8">
        <v>0</v>
      </c>
      <c r="B13" s="12"/>
      <c r="C13" s="21" t="s">
        <v>22</v>
      </c>
      <c r="D13" s="8">
        <v>1000</v>
      </c>
      <c r="E13" s="9">
        <v>46213</v>
      </c>
      <c r="F13" s="10"/>
      <c r="G13" s="2" t="s">
        <v>114</v>
      </c>
    </row>
    <row r="14" spans="1:7" ht="15" customHeight="1" thickBot="1" x14ac:dyDescent="0.3">
      <c r="A14" s="8">
        <v>0</v>
      </c>
      <c r="B14" s="12"/>
      <c r="C14" s="18" t="s">
        <v>29</v>
      </c>
      <c r="D14" s="8">
        <v>1000</v>
      </c>
      <c r="E14" s="9">
        <v>46216</v>
      </c>
      <c r="F14" s="10" t="s">
        <v>24</v>
      </c>
      <c r="G14" s="2" t="s">
        <v>114</v>
      </c>
    </row>
    <row r="15" spans="1:7" ht="15" customHeight="1" thickBot="1" x14ac:dyDescent="0.3">
      <c r="A15" s="8">
        <v>0</v>
      </c>
      <c r="B15" s="12"/>
      <c r="C15" s="21" t="s">
        <v>27</v>
      </c>
      <c r="D15" s="8">
        <v>1000</v>
      </c>
      <c r="E15" s="9">
        <v>46218</v>
      </c>
      <c r="F15" s="10" t="s">
        <v>24</v>
      </c>
      <c r="G15" s="2" t="s">
        <v>114</v>
      </c>
    </row>
    <row r="16" spans="1:7" ht="15" customHeight="1" thickBot="1" x14ac:dyDescent="0.3">
      <c r="A16" s="8">
        <v>0</v>
      </c>
      <c r="B16" s="12"/>
      <c r="C16" s="21" t="s">
        <v>28</v>
      </c>
      <c r="D16" s="8">
        <v>1000</v>
      </c>
      <c r="E16" s="9">
        <v>46218</v>
      </c>
      <c r="F16" s="10" t="s">
        <v>24</v>
      </c>
      <c r="G16" s="2" t="s">
        <v>114</v>
      </c>
    </row>
    <row r="17" spans="1:7" ht="15" customHeight="1" thickBot="1" x14ac:dyDescent="0.3">
      <c r="A17" s="8">
        <v>0</v>
      </c>
      <c r="B17" s="12"/>
      <c r="C17" s="18" t="s">
        <v>30</v>
      </c>
      <c r="D17" s="8">
        <v>1000</v>
      </c>
      <c r="E17" s="9">
        <v>46218</v>
      </c>
      <c r="F17" s="10" t="s">
        <v>24</v>
      </c>
      <c r="G17" s="2" t="s">
        <v>114</v>
      </c>
    </row>
    <row r="18" spans="1:7" ht="15" customHeight="1" thickBot="1" x14ac:dyDescent="0.3">
      <c r="A18" s="8">
        <v>0</v>
      </c>
      <c r="B18" s="12"/>
      <c r="C18" s="18" t="s">
        <v>31</v>
      </c>
      <c r="D18" s="8">
        <v>1000</v>
      </c>
      <c r="E18" s="9">
        <v>46218</v>
      </c>
      <c r="F18" s="10" t="s">
        <v>11</v>
      </c>
      <c r="G18" s="2" t="s">
        <v>114</v>
      </c>
    </row>
    <row r="19" spans="1:7" ht="15" customHeight="1" thickBot="1" x14ac:dyDescent="0.3">
      <c r="A19" s="14">
        <v>2000</v>
      </c>
      <c r="B19" s="15">
        <v>46218</v>
      </c>
      <c r="C19" s="18" t="s">
        <v>32</v>
      </c>
      <c r="D19" s="8">
        <v>1000</v>
      </c>
      <c r="E19" s="9">
        <v>46218</v>
      </c>
      <c r="F19" s="10" t="s">
        <v>33</v>
      </c>
      <c r="G19" s="2" t="s">
        <v>114</v>
      </c>
    </row>
    <row r="20" spans="1:7" ht="15" customHeight="1" thickBot="1" x14ac:dyDescent="0.3">
      <c r="A20" s="8">
        <v>0</v>
      </c>
      <c r="B20" s="12"/>
      <c r="C20" s="18" t="s">
        <v>34</v>
      </c>
      <c r="D20" s="8">
        <v>1000</v>
      </c>
      <c r="E20" s="9">
        <v>46218</v>
      </c>
      <c r="F20" s="10" t="s">
        <v>13</v>
      </c>
      <c r="G20" s="2" t="s">
        <v>114</v>
      </c>
    </row>
    <row r="21" spans="1:7" ht="15" customHeight="1" thickBot="1" x14ac:dyDescent="0.3">
      <c r="A21" s="8">
        <v>0</v>
      </c>
      <c r="B21" s="12"/>
      <c r="C21" s="18" t="s">
        <v>35</v>
      </c>
      <c r="D21" s="8">
        <v>1000</v>
      </c>
      <c r="E21" s="9">
        <v>46218</v>
      </c>
      <c r="F21" s="10" t="s">
        <v>13</v>
      </c>
      <c r="G21" s="2" t="s">
        <v>114</v>
      </c>
    </row>
    <row r="22" spans="1:7" ht="15" customHeight="1" thickBot="1" x14ac:dyDescent="0.3">
      <c r="A22" s="8">
        <v>0</v>
      </c>
      <c r="B22" s="12"/>
      <c r="C22" s="18" t="s">
        <v>36</v>
      </c>
      <c r="D22" s="8">
        <v>1000</v>
      </c>
      <c r="E22" s="9">
        <v>46219</v>
      </c>
      <c r="F22" s="10" t="s">
        <v>13</v>
      </c>
      <c r="G22" s="2" t="s">
        <v>114</v>
      </c>
    </row>
    <row r="23" spans="1:7" ht="15" customHeight="1" thickBot="1" x14ac:dyDescent="0.3">
      <c r="A23" s="8">
        <v>0</v>
      </c>
      <c r="B23" s="12"/>
      <c r="C23" s="18" t="s">
        <v>37</v>
      </c>
      <c r="D23" s="8">
        <v>1000</v>
      </c>
      <c r="E23" s="9">
        <v>46219</v>
      </c>
      <c r="F23" s="10" t="s">
        <v>13</v>
      </c>
      <c r="G23" s="2" t="s">
        <v>114</v>
      </c>
    </row>
    <row r="24" spans="1:7" ht="15" customHeight="1" thickBot="1" x14ac:dyDescent="0.3">
      <c r="A24" s="8">
        <v>0</v>
      </c>
      <c r="B24" s="12"/>
      <c r="C24" s="18" t="s">
        <v>38</v>
      </c>
      <c r="D24" s="8">
        <v>1000</v>
      </c>
      <c r="E24" s="9">
        <v>46219</v>
      </c>
      <c r="F24" s="10" t="s">
        <v>14</v>
      </c>
      <c r="G24" s="2" t="s">
        <v>114</v>
      </c>
    </row>
    <row r="25" spans="1:7" ht="15" customHeight="1" thickBot="1" x14ac:dyDescent="0.3">
      <c r="A25" s="8">
        <v>0</v>
      </c>
      <c r="B25" s="12"/>
      <c r="C25" s="18" t="s">
        <v>39</v>
      </c>
      <c r="D25" s="8">
        <v>1000</v>
      </c>
      <c r="E25" s="9">
        <v>46219</v>
      </c>
      <c r="F25" s="10" t="s">
        <v>17</v>
      </c>
      <c r="G25" s="2" t="s">
        <v>114</v>
      </c>
    </row>
    <row r="26" spans="1:7" ht="15" customHeight="1" thickBot="1" x14ac:dyDescent="0.3">
      <c r="A26" s="8">
        <v>0</v>
      </c>
      <c r="B26" s="12"/>
      <c r="C26" s="18" t="s">
        <v>35</v>
      </c>
      <c r="D26" s="8">
        <v>1000</v>
      </c>
      <c r="E26" s="9">
        <v>46219</v>
      </c>
      <c r="F26" s="10" t="s">
        <v>13</v>
      </c>
      <c r="G26" s="2" t="s">
        <v>114</v>
      </c>
    </row>
    <row r="27" spans="1:7" ht="15" customHeight="1" thickBot="1" x14ac:dyDescent="0.3">
      <c r="A27" s="8">
        <v>0</v>
      </c>
      <c r="B27" s="12"/>
      <c r="C27" s="18" t="s">
        <v>36</v>
      </c>
      <c r="D27" s="8">
        <v>1000</v>
      </c>
      <c r="E27" s="9">
        <v>46220</v>
      </c>
      <c r="F27" s="10" t="s">
        <v>13</v>
      </c>
      <c r="G27" s="2" t="s">
        <v>114</v>
      </c>
    </row>
    <row r="28" spans="1:7" ht="15" customHeight="1" thickBot="1" x14ac:dyDescent="0.3">
      <c r="A28" s="8">
        <v>0</v>
      </c>
      <c r="B28" s="12"/>
      <c r="C28" s="18" t="s">
        <v>40</v>
      </c>
      <c r="D28" s="8">
        <v>1000</v>
      </c>
      <c r="E28" s="9">
        <v>46220</v>
      </c>
      <c r="F28" s="10" t="s">
        <v>11</v>
      </c>
      <c r="G28" s="2" t="s">
        <v>114</v>
      </c>
    </row>
    <row r="29" spans="1:7" ht="15" customHeight="1" thickBot="1" x14ac:dyDescent="0.3">
      <c r="A29" s="14">
        <v>2000</v>
      </c>
      <c r="B29" s="15">
        <v>46220</v>
      </c>
      <c r="C29" s="18" t="s">
        <v>42</v>
      </c>
      <c r="D29" s="8">
        <v>1000</v>
      </c>
      <c r="E29" s="9">
        <v>46220</v>
      </c>
      <c r="F29" s="10" t="s">
        <v>41</v>
      </c>
      <c r="G29" s="2" t="s">
        <v>114</v>
      </c>
    </row>
    <row r="30" spans="1:7" ht="15" customHeight="1" thickBot="1" x14ac:dyDescent="0.3">
      <c r="A30" s="8">
        <v>0</v>
      </c>
      <c r="B30" s="12"/>
      <c r="C30" s="18" t="s">
        <v>43</v>
      </c>
      <c r="D30" s="8">
        <v>1000</v>
      </c>
      <c r="E30" s="9">
        <v>46220</v>
      </c>
      <c r="F30" s="10" t="s">
        <v>44</v>
      </c>
      <c r="G30" s="2" t="s">
        <v>114</v>
      </c>
    </row>
    <row r="31" spans="1:7" ht="15" customHeight="1" thickBot="1" x14ac:dyDescent="0.3">
      <c r="A31" s="8">
        <v>0</v>
      </c>
      <c r="B31" s="12"/>
      <c r="C31" s="18" t="s">
        <v>45</v>
      </c>
      <c r="D31" s="8">
        <v>1000</v>
      </c>
      <c r="E31" s="9">
        <v>46220</v>
      </c>
      <c r="F31" s="10" t="s">
        <v>46</v>
      </c>
      <c r="G31" s="2" t="s">
        <v>114</v>
      </c>
    </row>
    <row r="32" spans="1:7" ht="15" customHeight="1" thickBot="1" x14ac:dyDescent="0.3">
      <c r="A32" s="8">
        <v>0</v>
      </c>
      <c r="B32" s="12"/>
      <c r="C32" s="18" t="s">
        <v>36</v>
      </c>
      <c r="D32" s="8">
        <v>1000</v>
      </c>
      <c r="E32" s="9">
        <v>46220</v>
      </c>
      <c r="F32" s="10" t="s">
        <v>13</v>
      </c>
      <c r="G32" s="2" t="s">
        <v>114</v>
      </c>
    </row>
    <row r="33" spans="1:7" ht="15" customHeight="1" thickBot="1" x14ac:dyDescent="0.3">
      <c r="A33" s="8">
        <v>0</v>
      </c>
      <c r="B33" s="12"/>
      <c r="C33" s="18" t="s">
        <v>47</v>
      </c>
      <c r="D33" s="8">
        <v>1000</v>
      </c>
      <c r="E33" s="9">
        <v>46221</v>
      </c>
      <c r="F33" s="10" t="s">
        <v>13</v>
      </c>
      <c r="G33" s="2" t="s">
        <v>114</v>
      </c>
    </row>
    <row r="34" spans="1:7" ht="15" customHeight="1" thickBot="1" x14ac:dyDescent="0.3">
      <c r="A34" s="8">
        <v>0</v>
      </c>
      <c r="B34" s="12"/>
      <c r="C34" s="18" t="s">
        <v>35</v>
      </c>
      <c r="D34" s="8">
        <v>1000</v>
      </c>
      <c r="E34" s="9">
        <v>46221</v>
      </c>
      <c r="F34" s="10" t="s">
        <v>13</v>
      </c>
      <c r="G34" s="2" t="s">
        <v>114</v>
      </c>
    </row>
    <row r="35" spans="1:7" ht="15" customHeight="1" thickBot="1" x14ac:dyDescent="0.3">
      <c r="A35" s="8">
        <v>0</v>
      </c>
      <c r="B35" s="12"/>
      <c r="C35" s="18" t="s">
        <v>36</v>
      </c>
      <c r="D35" s="8">
        <v>1000</v>
      </c>
      <c r="E35" s="9">
        <v>46223</v>
      </c>
      <c r="F35" s="10" t="s">
        <v>48</v>
      </c>
      <c r="G35" s="2" t="s">
        <v>114</v>
      </c>
    </row>
    <row r="36" spans="1:7" ht="15" customHeight="1" thickBot="1" x14ac:dyDescent="0.3">
      <c r="A36" s="8"/>
      <c r="B36" s="12"/>
      <c r="C36" s="18" t="s">
        <v>85</v>
      </c>
      <c r="D36" s="8">
        <v>1000</v>
      </c>
      <c r="E36" s="9">
        <v>46223</v>
      </c>
      <c r="F36" s="10" t="s">
        <v>48</v>
      </c>
      <c r="G36" s="2" t="s">
        <v>114</v>
      </c>
    </row>
    <row r="37" spans="1:7" ht="15" customHeight="1" thickBot="1" x14ac:dyDescent="0.3">
      <c r="A37" s="8">
        <v>0</v>
      </c>
      <c r="B37" s="12"/>
      <c r="C37" s="18" t="s">
        <v>50</v>
      </c>
      <c r="D37" s="8">
        <v>1000</v>
      </c>
      <c r="E37" s="9">
        <v>46223</v>
      </c>
      <c r="F37" s="10" t="s">
        <v>49</v>
      </c>
      <c r="G37" s="2" t="s">
        <v>114</v>
      </c>
    </row>
    <row r="38" spans="1:7" ht="15" customHeight="1" thickBot="1" x14ac:dyDescent="0.3">
      <c r="A38" s="8">
        <v>0</v>
      </c>
      <c r="B38" s="12"/>
      <c r="C38" s="18" t="s">
        <v>51</v>
      </c>
      <c r="D38" s="8">
        <v>1000</v>
      </c>
      <c r="E38" s="9">
        <v>46223</v>
      </c>
      <c r="F38" s="10" t="s">
        <v>24</v>
      </c>
      <c r="G38" s="2" t="s">
        <v>114</v>
      </c>
    </row>
    <row r="39" spans="1:7" ht="15" customHeight="1" thickBot="1" x14ac:dyDescent="0.3">
      <c r="A39" s="8">
        <v>0</v>
      </c>
      <c r="B39" s="12"/>
      <c r="C39" s="18" t="s">
        <v>55</v>
      </c>
      <c r="D39" s="8">
        <v>1000</v>
      </c>
      <c r="E39" s="9">
        <v>46223</v>
      </c>
      <c r="F39" s="10" t="s">
        <v>7</v>
      </c>
      <c r="G39" s="2" t="s">
        <v>114</v>
      </c>
    </row>
    <row r="40" spans="1:7" ht="15" customHeight="1" thickBot="1" x14ac:dyDescent="0.3">
      <c r="A40" s="14">
        <v>2000</v>
      </c>
      <c r="B40" s="15">
        <v>46224</v>
      </c>
      <c r="C40" s="18" t="s">
        <v>52</v>
      </c>
      <c r="D40" s="8">
        <v>1000</v>
      </c>
      <c r="E40" s="9">
        <v>46224</v>
      </c>
      <c r="F40" s="10" t="s">
        <v>7</v>
      </c>
      <c r="G40" s="2" t="s">
        <v>114</v>
      </c>
    </row>
    <row r="41" spans="1:7" ht="15" customHeight="1" thickBot="1" x14ac:dyDescent="0.3">
      <c r="A41" s="8">
        <v>0</v>
      </c>
      <c r="B41" s="12"/>
      <c r="C41" s="18" t="s">
        <v>36</v>
      </c>
      <c r="D41" s="8">
        <v>1000</v>
      </c>
      <c r="E41" s="9">
        <v>46224</v>
      </c>
      <c r="F41" s="10" t="s">
        <v>48</v>
      </c>
      <c r="G41" s="2" t="s">
        <v>114</v>
      </c>
    </row>
    <row r="42" spans="1:7" ht="15" customHeight="1" thickBot="1" x14ac:dyDescent="0.3">
      <c r="A42" s="8">
        <v>0</v>
      </c>
      <c r="B42" s="12"/>
      <c r="C42" s="18" t="s">
        <v>53</v>
      </c>
      <c r="D42" s="8">
        <v>1000</v>
      </c>
      <c r="E42" s="9">
        <v>46224</v>
      </c>
      <c r="F42" s="10" t="s">
        <v>54</v>
      </c>
      <c r="G42" s="2" t="s">
        <v>114</v>
      </c>
    </row>
    <row r="43" spans="1:7" ht="15" customHeight="1" thickBot="1" x14ac:dyDescent="0.3">
      <c r="A43" s="8">
        <v>0</v>
      </c>
      <c r="B43" s="12"/>
      <c r="C43" s="18" t="s">
        <v>56</v>
      </c>
      <c r="D43" s="8">
        <v>1000</v>
      </c>
      <c r="E43" s="9">
        <v>46224</v>
      </c>
      <c r="F43" s="10" t="s">
        <v>24</v>
      </c>
      <c r="G43" s="2" t="s">
        <v>114</v>
      </c>
    </row>
    <row r="44" spans="1:7" ht="15" customHeight="1" thickBot="1" x14ac:dyDescent="0.3">
      <c r="A44" s="8">
        <v>0</v>
      </c>
      <c r="B44" s="12"/>
      <c r="C44" s="18" t="s">
        <v>35</v>
      </c>
      <c r="D44" s="8">
        <v>1000</v>
      </c>
      <c r="E44" s="9">
        <v>46224</v>
      </c>
      <c r="F44" s="10" t="s">
        <v>48</v>
      </c>
      <c r="G44" s="2" t="s">
        <v>114</v>
      </c>
    </row>
    <row r="45" spans="1:7" ht="15" customHeight="1" thickBot="1" x14ac:dyDescent="0.3">
      <c r="A45" s="8">
        <v>0</v>
      </c>
      <c r="B45" s="12"/>
      <c r="C45" s="18" t="s">
        <v>36</v>
      </c>
      <c r="D45" s="8">
        <v>1000</v>
      </c>
      <c r="E45" s="9">
        <v>46225</v>
      </c>
      <c r="F45" s="10" t="s">
        <v>48</v>
      </c>
      <c r="G45" s="2" t="s">
        <v>114</v>
      </c>
    </row>
    <row r="46" spans="1:7" ht="15" customHeight="1" thickBot="1" x14ac:dyDescent="0.3">
      <c r="A46" s="8">
        <v>0</v>
      </c>
      <c r="B46" s="12"/>
      <c r="C46" s="18" t="s">
        <v>58</v>
      </c>
      <c r="D46" s="8">
        <v>1000</v>
      </c>
      <c r="E46" s="9">
        <v>46225</v>
      </c>
      <c r="F46" s="10" t="s">
        <v>57</v>
      </c>
      <c r="G46" s="2" t="s">
        <v>114</v>
      </c>
    </row>
    <row r="47" spans="1:7" ht="15" customHeight="1" thickBot="1" x14ac:dyDescent="0.3">
      <c r="A47" s="8">
        <v>0</v>
      </c>
      <c r="B47" s="12"/>
      <c r="C47" s="18" t="s">
        <v>86</v>
      </c>
      <c r="D47" s="8">
        <v>1000</v>
      </c>
      <c r="E47" s="9">
        <v>46225</v>
      </c>
      <c r="F47" s="16" t="s">
        <v>13</v>
      </c>
      <c r="G47" s="2" t="s">
        <v>114</v>
      </c>
    </row>
    <row r="48" spans="1:7" ht="15" customHeight="1" thickBot="1" x14ac:dyDescent="0.3">
      <c r="A48" s="8">
        <v>0</v>
      </c>
      <c r="B48" s="12"/>
      <c r="C48" s="18" t="s">
        <v>59</v>
      </c>
      <c r="D48" s="8">
        <v>1000</v>
      </c>
      <c r="E48" s="9">
        <v>46225</v>
      </c>
      <c r="F48" s="10" t="s">
        <v>13</v>
      </c>
      <c r="G48" s="2" t="s">
        <v>114</v>
      </c>
    </row>
    <row r="49" spans="1:7" ht="15" customHeight="1" thickBot="1" x14ac:dyDescent="0.3">
      <c r="A49" s="8">
        <v>0</v>
      </c>
      <c r="B49" s="12"/>
      <c r="C49" s="18" t="s">
        <v>60</v>
      </c>
      <c r="D49" s="8">
        <v>1000</v>
      </c>
      <c r="E49" s="9">
        <v>46225</v>
      </c>
      <c r="F49" s="10" t="s">
        <v>61</v>
      </c>
      <c r="G49" s="2" t="s">
        <v>114</v>
      </c>
    </row>
    <row r="50" spans="1:7" ht="15" customHeight="1" thickBot="1" x14ac:dyDescent="0.3">
      <c r="A50" s="8">
        <v>0</v>
      </c>
      <c r="B50" s="12"/>
      <c r="C50" s="18" t="s">
        <v>68</v>
      </c>
      <c r="D50" s="8">
        <v>1000</v>
      </c>
      <c r="E50" s="9">
        <v>46225</v>
      </c>
      <c r="F50" s="10" t="s">
        <v>13</v>
      </c>
      <c r="G50" s="2" t="s">
        <v>114</v>
      </c>
    </row>
    <row r="51" spans="1:7" ht="15" customHeight="1" thickBot="1" x14ac:dyDescent="0.3">
      <c r="A51" s="8">
        <v>0</v>
      </c>
      <c r="B51" s="12"/>
      <c r="C51" s="18" t="s">
        <v>64</v>
      </c>
      <c r="D51" s="8">
        <v>1000</v>
      </c>
      <c r="E51" s="9">
        <v>46225</v>
      </c>
      <c r="F51" s="10" t="s">
        <v>62</v>
      </c>
      <c r="G51" s="2" t="s">
        <v>114</v>
      </c>
    </row>
    <row r="52" spans="1:7" ht="15" customHeight="1" thickBot="1" x14ac:dyDescent="0.3">
      <c r="A52" s="8">
        <v>0</v>
      </c>
      <c r="B52" s="12"/>
      <c r="C52" s="18" t="s">
        <v>65</v>
      </c>
      <c r="D52" s="8">
        <v>1000</v>
      </c>
      <c r="E52" s="9">
        <v>46225</v>
      </c>
      <c r="F52" s="10" t="s">
        <v>9</v>
      </c>
      <c r="G52" s="2" t="s">
        <v>114</v>
      </c>
    </row>
    <row r="53" spans="1:7" ht="15" customHeight="1" thickBot="1" x14ac:dyDescent="0.3">
      <c r="A53" s="8">
        <v>0</v>
      </c>
      <c r="B53" s="12"/>
      <c r="C53" s="18" t="s">
        <v>63</v>
      </c>
      <c r="D53" s="8">
        <v>1000</v>
      </c>
      <c r="E53" s="9">
        <v>46225</v>
      </c>
      <c r="F53" s="10" t="s">
        <v>17</v>
      </c>
      <c r="G53" s="2" t="s">
        <v>114</v>
      </c>
    </row>
    <row r="54" spans="1:7" ht="15" customHeight="1" thickBot="1" x14ac:dyDescent="0.3">
      <c r="A54" s="8">
        <v>0</v>
      </c>
      <c r="B54" s="12"/>
      <c r="C54" s="18" t="s">
        <v>66</v>
      </c>
      <c r="D54" s="8">
        <v>1000</v>
      </c>
      <c r="E54" s="9">
        <v>46225</v>
      </c>
      <c r="F54" s="10" t="s">
        <v>9</v>
      </c>
      <c r="G54" s="2" t="s">
        <v>114</v>
      </c>
    </row>
    <row r="55" spans="1:7" ht="15" customHeight="1" thickBot="1" x14ac:dyDescent="0.3">
      <c r="A55" s="8">
        <v>0</v>
      </c>
      <c r="B55" s="12"/>
      <c r="C55" s="18" t="s">
        <v>67</v>
      </c>
      <c r="D55" s="8">
        <v>1000</v>
      </c>
      <c r="E55" s="9">
        <v>46226</v>
      </c>
      <c r="F55" s="10" t="s">
        <v>69</v>
      </c>
      <c r="G55" s="2" t="s">
        <v>114</v>
      </c>
    </row>
    <row r="56" spans="1:7" ht="15" customHeight="1" thickBot="1" x14ac:dyDescent="0.3">
      <c r="A56" s="8">
        <v>0</v>
      </c>
      <c r="B56" s="12"/>
      <c r="C56" s="18" t="s">
        <v>70</v>
      </c>
      <c r="D56" s="8">
        <v>1000</v>
      </c>
      <c r="E56" s="9">
        <v>46226</v>
      </c>
      <c r="F56" s="10" t="s">
        <v>69</v>
      </c>
      <c r="G56" s="2" t="s">
        <v>114</v>
      </c>
    </row>
    <row r="57" spans="1:7" ht="15" customHeight="1" thickBot="1" x14ac:dyDescent="0.3">
      <c r="A57" s="8">
        <v>0</v>
      </c>
      <c r="B57" s="12"/>
      <c r="C57" s="18" t="s">
        <v>71</v>
      </c>
      <c r="D57" s="8">
        <v>1000</v>
      </c>
      <c r="E57" s="9">
        <v>46227</v>
      </c>
      <c r="F57" s="10" t="s">
        <v>13</v>
      </c>
      <c r="G57" s="2" t="s">
        <v>114</v>
      </c>
    </row>
    <row r="58" spans="1:7" ht="15" customHeight="1" thickBot="1" x14ac:dyDescent="0.3">
      <c r="A58" s="8">
        <v>0</v>
      </c>
      <c r="B58" s="12"/>
      <c r="C58" s="18" t="s">
        <v>72</v>
      </c>
      <c r="D58" s="8">
        <v>1000</v>
      </c>
      <c r="E58" s="9">
        <v>46227</v>
      </c>
      <c r="F58" s="10" t="s">
        <v>13</v>
      </c>
      <c r="G58" s="2" t="s">
        <v>114</v>
      </c>
    </row>
    <row r="59" spans="1:7" ht="15" customHeight="1" thickBot="1" x14ac:dyDescent="0.3">
      <c r="A59" s="8">
        <v>0</v>
      </c>
      <c r="B59" s="12"/>
      <c r="C59" s="18" t="s">
        <v>73</v>
      </c>
      <c r="D59" s="8">
        <v>1000</v>
      </c>
      <c r="E59" s="9">
        <v>46227</v>
      </c>
      <c r="F59" s="16" t="s">
        <v>7</v>
      </c>
      <c r="G59" s="2" t="s">
        <v>114</v>
      </c>
    </row>
    <row r="60" spans="1:7" ht="15" customHeight="1" thickBot="1" x14ac:dyDescent="0.3">
      <c r="A60" s="8">
        <v>0</v>
      </c>
      <c r="B60" s="12"/>
      <c r="C60" s="18" t="s">
        <v>78</v>
      </c>
      <c r="D60" s="8">
        <v>1000</v>
      </c>
      <c r="E60" s="9">
        <v>46227</v>
      </c>
      <c r="F60" s="10" t="s">
        <v>7</v>
      </c>
      <c r="G60" s="2" t="s">
        <v>114</v>
      </c>
    </row>
    <row r="61" spans="1:7" ht="15" customHeight="1" thickBot="1" x14ac:dyDescent="0.3">
      <c r="A61" s="14">
        <v>2000</v>
      </c>
      <c r="B61" s="15">
        <v>46228</v>
      </c>
      <c r="C61" s="18" t="s">
        <v>74</v>
      </c>
      <c r="D61" s="8">
        <v>1000</v>
      </c>
      <c r="E61" s="9">
        <v>46228</v>
      </c>
      <c r="F61" s="10" t="s">
        <v>13</v>
      </c>
      <c r="G61" s="2" t="s">
        <v>114</v>
      </c>
    </row>
    <row r="62" spans="1:7" ht="15" customHeight="1" thickBot="1" x14ac:dyDescent="0.3">
      <c r="A62" s="8">
        <v>0</v>
      </c>
      <c r="B62" s="12"/>
      <c r="C62" s="18" t="s">
        <v>75</v>
      </c>
      <c r="D62" s="8">
        <v>1000</v>
      </c>
      <c r="E62" s="9">
        <v>46228</v>
      </c>
      <c r="F62" s="10" t="s">
        <v>13</v>
      </c>
      <c r="G62" s="2" t="s">
        <v>114</v>
      </c>
    </row>
    <row r="63" spans="1:7" ht="15" customHeight="1" thickBot="1" x14ac:dyDescent="0.3">
      <c r="A63" s="8">
        <v>0</v>
      </c>
      <c r="B63" s="12"/>
      <c r="C63" s="18" t="s">
        <v>77</v>
      </c>
      <c r="D63" s="8">
        <v>1000</v>
      </c>
      <c r="E63" s="9">
        <v>46228</v>
      </c>
      <c r="F63" s="10" t="s">
        <v>13</v>
      </c>
      <c r="G63" s="2" t="s">
        <v>114</v>
      </c>
    </row>
    <row r="64" spans="1:7" ht="15" customHeight="1" thickBot="1" x14ac:dyDescent="0.3">
      <c r="A64" s="14">
        <v>2000</v>
      </c>
      <c r="B64" s="15">
        <v>46229</v>
      </c>
      <c r="C64" s="27" t="s">
        <v>76</v>
      </c>
      <c r="D64" s="8">
        <v>1000</v>
      </c>
      <c r="E64" s="9">
        <v>46229</v>
      </c>
      <c r="F64" s="10" t="s">
        <v>13</v>
      </c>
      <c r="G64" s="2" t="s">
        <v>114</v>
      </c>
    </row>
    <row r="65" spans="1:7" ht="15" customHeight="1" thickBot="1" x14ac:dyDescent="0.3">
      <c r="A65" s="8">
        <v>0</v>
      </c>
      <c r="B65" s="2"/>
      <c r="C65" s="18" t="s">
        <v>80</v>
      </c>
      <c r="D65" s="8">
        <v>1000</v>
      </c>
      <c r="E65" s="9">
        <v>46229</v>
      </c>
      <c r="F65" s="10" t="s">
        <v>9</v>
      </c>
      <c r="G65" s="2" t="s">
        <v>114</v>
      </c>
    </row>
    <row r="66" spans="1:7" ht="15" customHeight="1" thickBot="1" x14ac:dyDescent="0.3">
      <c r="A66" s="8">
        <v>0</v>
      </c>
      <c r="B66" s="12"/>
      <c r="C66" s="18" t="s">
        <v>81</v>
      </c>
      <c r="D66" s="8">
        <v>1000</v>
      </c>
      <c r="E66" s="9">
        <v>46229</v>
      </c>
      <c r="F66" s="10" t="s">
        <v>9</v>
      </c>
      <c r="G66" s="2" t="s">
        <v>114</v>
      </c>
    </row>
    <row r="67" spans="1:7" ht="15" customHeight="1" thickBot="1" x14ac:dyDescent="0.3">
      <c r="A67" s="8">
        <v>0</v>
      </c>
      <c r="B67" s="12"/>
      <c r="C67" s="18" t="s">
        <v>82</v>
      </c>
      <c r="D67" s="8">
        <v>1000</v>
      </c>
      <c r="E67" s="9">
        <v>46229</v>
      </c>
      <c r="F67" s="10" t="s">
        <v>9</v>
      </c>
      <c r="G67" s="2" t="s">
        <v>114</v>
      </c>
    </row>
    <row r="68" spans="1:7" ht="15" customHeight="1" thickBot="1" x14ac:dyDescent="0.3">
      <c r="A68" s="8">
        <v>0</v>
      </c>
      <c r="B68" s="12"/>
      <c r="C68" s="18" t="s">
        <v>83</v>
      </c>
      <c r="D68" s="8">
        <v>1000</v>
      </c>
      <c r="E68" s="9">
        <v>46230</v>
      </c>
      <c r="F68" s="10" t="s">
        <v>13</v>
      </c>
      <c r="G68" s="2" t="s">
        <v>114</v>
      </c>
    </row>
    <row r="69" spans="1:7" ht="15" customHeight="1" thickBot="1" x14ac:dyDescent="0.3">
      <c r="A69" s="8">
        <v>0</v>
      </c>
      <c r="B69" s="12"/>
      <c r="C69" s="18" t="s">
        <v>87</v>
      </c>
      <c r="D69" s="8">
        <v>1000</v>
      </c>
      <c r="E69" s="9">
        <v>46230</v>
      </c>
      <c r="F69" s="16" t="s">
        <v>13</v>
      </c>
      <c r="G69" s="2" t="s">
        <v>114</v>
      </c>
    </row>
    <row r="70" spans="1:7" ht="15" customHeight="1" thickBot="1" x14ac:dyDescent="0.3">
      <c r="A70" s="8">
        <v>0</v>
      </c>
      <c r="B70" s="12"/>
      <c r="C70" s="18" t="s">
        <v>88</v>
      </c>
      <c r="D70" s="8">
        <v>1000</v>
      </c>
      <c r="E70" s="9">
        <v>46230</v>
      </c>
      <c r="F70" s="10" t="s">
        <v>13</v>
      </c>
      <c r="G70" s="2" t="s">
        <v>114</v>
      </c>
    </row>
    <row r="71" spans="1:7" ht="15" customHeight="1" thickBot="1" x14ac:dyDescent="0.3">
      <c r="A71" s="8">
        <v>0</v>
      </c>
      <c r="B71" s="12"/>
      <c r="C71" s="18" t="s">
        <v>89</v>
      </c>
      <c r="D71" s="8">
        <v>1000</v>
      </c>
      <c r="E71" s="9">
        <v>46230</v>
      </c>
      <c r="F71" s="10" t="s">
        <v>13</v>
      </c>
      <c r="G71" s="2" t="s">
        <v>114</v>
      </c>
    </row>
    <row r="72" spans="1:7" ht="15" customHeight="1" thickBot="1" x14ac:dyDescent="0.3">
      <c r="A72" s="8">
        <v>0</v>
      </c>
      <c r="B72" s="12"/>
      <c r="C72" s="18" t="s">
        <v>90</v>
      </c>
      <c r="D72" s="8">
        <v>1000</v>
      </c>
      <c r="E72" s="9">
        <v>46230</v>
      </c>
      <c r="F72" s="10" t="s">
        <v>13</v>
      </c>
      <c r="G72" s="2" t="s">
        <v>114</v>
      </c>
    </row>
    <row r="73" spans="1:7" ht="15" customHeight="1" thickBot="1" x14ac:dyDescent="0.3">
      <c r="A73" s="8">
        <v>0</v>
      </c>
      <c r="B73" s="12"/>
      <c r="C73" s="18" t="s">
        <v>91</v>
      </c>
      <c r="D73" s="8">
        <v>1000</v>
      </c>
      <c r="E73" s="9">
        <v>46230</v>
      </c>
      <c r="F73" s="10" t="s">
        <v>13</v>
      </c>
      <c r="G73" s="2" t="s">
        <v>114</v>
      </c>
    </row>
    <row r="74" spans="1:7" ht="15" customHeight="1" thickBot="1" x14ac:dyDescent="0.3">
      <c r="A74" s="8">
        <v>0</v>
      </c>
      <c r="B74" s="12"/>
      <c r="C74" s="18" t="s">
        <v>93</v>
      </c>
      <c r="D74" s="8">
        <v>1000</v>
      </c>
      <c r="E74" s="9">
        <v>46230</v>
      </c>
      <c r="F74" s="10" t="s">
        <v>92</v>
      </c>
      <c r="G74" s="2" t="s">
        <v>114</v>
      </c>
    </row>
    <row r="75" spans="1:7" ht="15" customHeight="1" thickBot="1" x14ac:dyDescent="0.3">
      <c r="A75" s="8">
        <v>0</v>
      </c>
      <c r="B75" s="12"/>
      <c r="C75" s="18" t="s">
        <v>94</v>
      </c>
      <c r="D75" s="8">
        <v>1000</v>
      </c>
      <c r="E75" s="9">
        <v>46230</v>
      </c>
      <c r="F75" s="10" t="s">
        <v>7</v>
      </c>
      <c r="G75" s="2" t="s">
        <v>114</v>
      </c>
    </row>
    <row r="76" spans="1:7" ht="15" customHeight="1" thickBot="1" x14ac:dyDescent="0.3">
      <c r="A76" s="8">
        <v>0</v>
      </c>
      <c r="B76" s="12"/>
      <c r="C76" s="18" t="s">
        <v>96</v>
      </c>
      <c r="D76" s="8">
        <v>1000</v>
      </c>
      <c r="E76" s="9">
        <v>46231</v>
      </c>
      <c r="F76" s="10" t="s">
        <v>95</v>
      </c>
      <c r="G76" s="2" t="s">
        <v>114</v>
      </c>
    </row>
    <row r="77" spans="1:7" ht="15" customHeight="1" thickBot="1" x14ac:dyDescent="0.3">
      <c r="A77" s="8">
        <v>0</v>
      </c>
      <c r="B77" s="12"/>
      <c r="C77" s="18" t="s">
        <v>97</v>
      </c>
      <c r="D77" s="8">
        <v>1000</v>
      </c>
      <c r="E77" s="9">
        <v>46231</v>
      </c>
      <c r="F77" s="10" t="s">
        <v>17</v>
      </c>
      <c r="G77" s="2" t="s">
        <v>114</v>
      </c>
    </row>
    <row r="78" spans="1:7" ht="15" customHeight="1" thickBot="1" x14ac:dyDescent="0.3">
      <c r="A78" s="8">
        <v>0</v>
      </c>
      <c r="B78" s="12"/>
      <c r="C78" s="18" t="s">
        <v>98</v>
      </c>
      <c r="D78" s="8">
        <v>1000</v>
      </c>
      <c r="E78" s="9">
        <v>46231</v>
      </c>
      <c r="F78" s="10" t="s">
        <v>9</v>
      </c>
      <c r="G78" s="2" t="s">
        <v>114</v>
      </c>
    </row>
    <row r="79" spans="1:7" ht="15" customHeight="1" thickBot="1" x14ac:dyDescent="0.3">
      <c r="A79" s="8">
        <v>0</v>
      </c>
      <c r="B79" s="12"/>
      <c r="C79" s="18" t="s">
        <v>99</v>
      </c>
      <c r="D79" s="8">
        <v>1000</v>
      </c>
      <c r="E79" s="9">
        <v>46231</v>
      </c>
      <c r="F79" s="10" t="s">
        <v>9</v>
      </c>
      <c r="G79" s="2" t="s">
        <v>114</v>
      </c>
    </row>
    <row r="80" spans="1:7" ht="15" customHeight="1" thickBot="1" x14ac:dyDescent="0.3">
      <c r="A80" s="8">
        <v>0</v>
      </c>
      <c r="B80" s="12"/>
      <c r="C80" s="18" t="s">
        <v>100</v>
      </c>
      <c r="D80" s="8">
        <v>1000</v>
      </c>
      <c r="E80" s="9">
        <v>46232</v>
      </c>
      <c r="F80" s="10" t="s">
        <v>57</v>
      </c>
      <c r="G80" s="2" t="s">
        <v>114</v>
      </c>
    </row>
    <row r="81" spans="1:7" ht="15" customHeight="1" thickBot="1" x14ac:dyDescent="0.3">
      <c r="A81" s="8">
        <v>0</v>
      </c>
      <c r="B81" s="12"/>
      <c r="C81" s="18" t="s">
        <v>101</v>
      </c>
      <c r="D81" s="8">
        <v>1000</v>
      </c>
      <c r="E81" s="9">
        <v>46232</v>
      </c>
      <c r="F81" s="10" t="s">
        <v>102</v>
      </c>
      <c r="G81" s="2" t="s">
        <v>114</v>
      </c>
    </row>
    <row r="82" spans="1:7" ht="15" customHeight="1" thickBot="1" x14ac:dyDescent="0.3">
      <c r="A82" s="8">
        <v>0</v>
      </c>
      <c r="B82" s="12"/>
      <c r="C82" s="18" t="s">
        <v>117</v>
      </c>
      <c r="D82" s="8">
        <v>1000</v>
      </c>
      <c r="E82" s="9">
        <v>46232</v>
      </c>
      <c r="F82" s="10" t="s">
        <v>7</v>
      </c>
      <c r="G82" s="2" t="s">
        <v>114</v>
      </c>
    </row>
    <row r="83" spans="1:7" ht="15" customHeight="1" thickBot="1" x14ac:dyDescent="0.3">
      <c r="A83" s="8">
        <v>0</v>
      </c>
      <c r="B83" s="12"/>
      <c r="C83" s="18" t="s">
        <v>104</v>
      </c>
      <c r="D83" s="8">
        <v>1000</v>
      </c>
      <c r="E83" s="9">
        <v>46233</v>
      </c>
      <c r="F83" s="10" t="s">
        <v>24</v>
      </c>
      <c r="G83" s="2" t="s">
        <v>114</v>
      </c>
    </row>
    <row r="84" spans="1:7" ht="15" customHeight="1" thickBot="1" x14ac:dyDescent="0.3">
      <c r="A84" s="14">
        <v>2000</v>
      </c>
      <c r="B84" s="15">
        <v>46233</v>
      </c>
      <c r="C84" s="18" t="s">
        <v>103</v>
      </c>
      <c r="D84" s="8">
        <v>1000</v>
      </c>
      <c r="E84" s="9">
        <v>46233</v>
      </c>
      <c r="F84" s="10" t="s">
        <v>13</v>
      </c>
      <c r="G84" s="2" t="s">
        <v>114</v>
      </c>
    </row>
    <row r="85" spans="1:7" ht="17.45" customHeight="1" thickBot="1" x14ac:dyDescent="0.3">
      <c r="A85" s="8">
        <v>0</v>
      </c>
      <c r="B85" s="12"/>
      <c r="C85" s="18" t="s">
        <v>105</v>
      </c>
      <c r="D85" s="8">
        <v>1000</v>
      </c>
      <c r="E85" s="9">
        <v>46233</v>
      </c>
      <c r="F85" s="10" t="s">
        <v>17</v>
      </c>
      <c r="G85" s="2" t="s">
        <v>114</v>
      </c>
    </row>
    <row r="86" spans="1:7" ht="17.45" customHeight="1" thickBot="1" x14ac:dyDescent="0.3">
      <c r="A86" s="8">
        <v>0</v>
      </c>
      <c r="B86" s="12"/>
      <c r="C86" s="18" t="s">
        <v>106</v>
      </c>
      <c r="D86" s="8">
        <v>1000</v>
      </c>
      <c r="E86" s="9">
        <v>46233</v>
      </c>
      <c r="F86" s="10" t="s">
        <v>24</v>
      </c>
      <c r="G86" s="2" t="s">
        <v>114</v>
      </c>
    </row>
    <row r="87" spans="1:7" ht="17.45" customHeight="1" thickBot="1" x14ac:dyDescent="0.3">
      <c r="A87" s="8">
        <v>0</v>
      </c>
      <c r="B87" s="12"/>
      <c r="C87" s="18" t="s">
        <v>107</v>
      </c>
      <c r="D87" s="8">
        <v>1000</v>
      </c>
      <c r="E87" s="9">
        <v>46233</v>
      </c>
      <c r="F87" s="10" t="s">
        <v>13</v>
      </c>
      <c r="G87" s="2" t="s">
        <v>114</v>
      </c>
    </row>
    <row r="88" spans="1:7" ht="17.45" customHeight="1" thickBot="1" x14ac:dyDescent="0.3">
      <c r="A88" s="8">
        <v>0</v>
      </c>
      <c r="B88" s="12"/>
      <c r="C88" s="18" t="s">
        <v>108</v>
      </c>
      <c r="D88" s="8">
        <v>1000</v>
      </c>
      <c r="E88" s="9">
        <v>46233</v>
      </c>
      <c r="F88" s="10" t="s">
        <v>109</v>
      </c>
      <c r="G88" s="2" t="s">
        <v>114</v>
      </c>
    </row>
    <row r="89" spans="1:7" ht="17.45" customHeight="1" thickBot="1" x14ac:dyDescent="0.3">
      <c r="A89" s="8">
        <v>0</v>
      </c>
      <c r="B89" s="12"/>
      <c r="C89" s="18" t="s">
        <v>110</v>
      </c>
      <c r="D89" s="8">
        <v>1000</v>
      </c>
      <c r="E89" s="9">
        <v>46234</v>
      </c>
      <c r="F89" s="10" t="s">
        <v>9</v>
      </c>
      <c r="G89" s="2" t="s">
        <v>114</v>
      </c>
    </row>
    <row r="90" spans="1:7" ht="17.45" customHeight="1" thickBot="1" x14ac:dyDescent="0.3">
      <c r="A90" s="8">
        <v>0</v>
      </c>
      <c r="B90" s="12"/>
      <c r="C90" s="18" t="s">
        <v>111</v>
      </c>
      <c r="D90" s="8">
        <v>1000</v>
      </c>
      <c r="E90" s="9">
        <v>46233</v>
      </c>
      <c r="F90" s="10" t="s">
        <v>13</v>
      </c>
      <c r="G90" s="2" t="s">
        <v>114</v>
      </c>
    </row>
    <row r="91" spans="1:7" ht="17.45" customHeight="1" thickBot="1" x14ac:dyDescent="0.3">
      <c r="A91" s="8">
        <v>0</v>
      </c>
      <c r="B91" s="12"/>
      <c r="C91" s="18" t="s">
        <v>112</v>
      </c>
      <c r="D91" s="8">
        <v>1000</v>
      </c>
      <c r="E91" s="9">
        <v>46234</v>
      </c>
      <c r="F91" s="10" t="s">
        <v>13</v>
      </c>
      <c r="G91" s="2" t="s">
        <v>114</v>
      </c>
    </row>
    <row r="92" spans="1:7" ht="17.45" customHeight="1" thickBot="1" x14ac:dyDescent="0.3">
      <c r="A92" s="8">
        <v>0</v>
      </c>
      <c r="B92" s="12"/>
      <c r="C92" s="18" t="s">
        <v>113</v>
      </c>
      <c r="D92" s="8">
        <v>1000</v>
      </c>
      <c r="E92" s="9">
        <v>46233</v>
      </c>
      <c r="F92" s="10" t="s">
        <v>13</v>
      </c>
      <c r="G92" s="2" t="s">
        <v>114</v>
      </c>
    </row>
    <row r="93" spans="1:7" ht="17.45" customHeight="1" thickBot="1" x14ac:dyDescent="0.3">
      <c r="A93" s="8">
        <v>0</v>
      </c>
      <c r="B93" s="12"/>
      <c r="C93" s="28" t="s">
        <v>115</v>
      </c>
      <c r="D93" s="8">
        <v>1000</v>
      </c>
      <c r="E93" s="9">
        <v>46234</v>
      </c>
      <c r="F93" s="10" t="s">
        <v>7</v>
      </c>
      <c r="G93" s="2" t="s">
        <v>114</v>
      </c>
    </row>
    <row r="94" spans="1:7" ht="17.45" customHeight="1" thickBot="1" x14ac:dyDescent="0.3">
      <c r="A94" s="8">
        <v>0</v>
      </c>
      <c r="B94" s="12"/>
      <c r="C94" s="18" t="s">
        <v>116</v>
      </c>
      <c r="D94" s="8">
        <v>1000</v>
      </c>
      <c r="E94" s="9">
        <v>46234</v>
      </c>
      <c r="F94" s="10" t="s">
        <v>7</v>
      </c>
      <c r="G94" s="2" t="s">
        <v>114</v>
      </c>
    </row>
    <row r="95" spans="1:7" ht="17.45" customHeight="1" thickBot="1" x14ac:dyDescent="0.3">
      <c r="A95" s="8">
        <v>0</v>
      </c>
      <c r="B95" s="12"/>
      <c r="C95" s="18" t="s">
        <v>118</v>
      </c>
      <c r="D95" s="8">
        <v>1000</v>
      </c>
      <c r="E95" s="9">
        <v>46234</v>
      </c>
      <c r="F95" s="10" t="s">
        <v>119</v>
      </c>
      <c r="G95" s="2" t="s">
        <v>114</v>
      </c>
    </row>
    <row r="96" spans="1:7" ht="17.45" customHeight="1" thickBot="1" x14ac:dyDescent="0.3">
      <c r="A96" s="8">
        <v>0</v>
      </c>
      <c r="B96" s="12"/>
      <c r="C96" s="18" t="s">
        <v>120</v>
      </c>
      <c r="D96" s="8">
        <v>1000</v>
      </c>
      <c r="E96" s="9">
        <v>46234</v>
      </c>
      <c r="F96" s="10" t="s">
        <v>122</v>
      </c>
      <c r="G96" s="2" t="s">
        <v>114</v>
      </c>
    </row>
    <row r="97" spans="1:7" ht="17.45" customHeight="1" thickBot="1" x14ac:dyDescent="0.3">
      <c r="A97" s="8">
        <v>0</v>
      </c>
      <c r="B97" s="12"/>
      <c r="C97" s="18" t="s">
        <v>121</v>
      </c>
      <c r="D97" s="8">
        <v>1000</v>
      </c>
      <c r="E97" s="9">
        <v>46234</v>
      </c>
      <c r="F97" s="10" t="s">
        <v>122</v>
      </c>
      <c r="G97" s="2" t="s">
        <v>114</v>
      </c>
    </row>
    <row r="98" spans="1:7" ht="17.45" customHeight="1" thickBot="1" x14ac:dyDescent="0.3">
      <c r="A98" s="8">
        <v>0</v>
      </c>
      <c r="B98" s="12"/>
      <c r="C98" s="18" t="s">
        <v>123</v>
      </c>
      <c r="D98" s="8">
        <v>1000</v>
      </c>
      <c r="E98" s="9">
        <v>46234</v>
      </c>
      <c r="F98" s="10" t="s">
        <v>122</v>
      </c>
      <c r="G98" s="2" t="s">
        <v>114</v>
      </c>
    </row>
    <row r="99" spans="1:7" ht="17.45" customHeight="1" thickBot="1" x14ac:dyDescent="0.3">
      <c r="A99" s="8">
        <v>0</v>
      </c>
      <c r="B99" s="12"/>
      <c r="C99" s="18" t="s">
        <v>124</v>
      </c>
      <c r="D99" s="8">
        <v>1000</v>
      </c>
      <c r="E99" s="9">
        <v>46235</v>
      </c>
      <c r="F99" s="10" t="s">
        <v>48</v>
      </c>
      <c r="G99" s="2" t="s">
        <v>114</v>
      </c>
    </row>
    <row r="100" spans="1:7" ht="17.45" customHeight="1" thickBot="1" x14ac:dyDescent="0.3">
      <c r="A100" s="8">
        <v>0</v>
      </c>
      <c r="B100" s="12"/>
      <c r="C100" s="18" t="s">
        <v>125</v>
      </c>
      <c r="D100" s="8">
        <v>1000</v>
      </c>
      <c r="E100" s="9">
        <v>46235</v>
      </c>
      <c r="F100" s="10" t="s">
        <v>13</v>
      </c>
      <c r="G100" s="2" t="s">
        <v>114</v>
      </c>
    </row>
    <row r="101" spans="1:7" ht="17.45" customHeight="1" thickBot="1" x14ac:dyDescent="0.3">
      <c r="A101" s="8">
        <v>0</v>
      </c>
      <c r="B101" s="12"/>
      <c r="C101" s="18" t="s">
        <v>126</v>
      </c>
      <c r="D101" s="8">
        <v>1000</v>
      </c>
      <c r="E101" s="9">
        <v>46236</v>
      </c>
      <c r="F101" s="10" t="s">
        <v>13</v>
      </c>
      <c r="G101" s="2" t="s">
        <v>114</v>
      </c>
    </row>
    <row r="102" spans="1:7" ht="17.45" customHeight="1" thickBot="1" x14ac:dyDescent="0.3">
      <c r="A102" s="14">
        <v>2000</v>
      </c>
      <c r="B102" s="15">
        <v>46237</v>
      </c>
      <c r="C102" s="18" t="s">
        <v>127</v>
      </c>
      <c r="D102" s="8">
        <v>1000</v>
      </c>
      <c r="E102" s="9">
        <v>46237</v>
      </c>
      <c r="F102" s="10" t="s">
        <v>7</v>
      </c>
      <c r="G102" s="2" t="s">
        <v>114</v>
      </c>
    </row>
    <row r="103" spans="1:7" ht="17.45" customHeight="1" thickBot="1" x14ac:dyDescent="0.3">
      <c r="A103" s="8">
        <v>0</v>
      </c>
      <c r="B103" s="12"/>
      <c r="C103" s="18" t="s">
        <v>128</v>
      </c>
      <c r="D103" s="8">
        <v>1000</v>
      </c>
      <c r="E103" s="9">
        <v>46237</v>
      </c>
      <c r="F103" s="10" t="s">
        <v>33</v>
      </c>
      <c r="G103" s="2" t="s">
        <v>114</v>
      </c>
    </row>
    <row r="104" spans="1:7" ht="17.45" customHeight="1" thickBot="1" x14ac:dyDescent="0.3">
      <c r="A104" s="8">
        <v>0</v>
      </c>
      <c r="B104" s="12"/>
      <c r="C104" s="18" t="s">
        <v>108</v>
      </c>
      <c r="D104" s="8">
        <v>1000</v>
      </c>
      <c r="E104" s="9">
        <v>46237</v>
      </c>
      <c r="F104" s="10" t="s">
        <v>95</v>
      </c>
      <c r="G104" s="2" t="s">
        <v>114</v>
      </c>
    </row>
    <row r="105" spans="1:7" ht="17.45" customHeight="1" thickBot="1" x14ac:dyDescent="0.3">
      <c r="A105" s="8">
        <v>0</v>
      </c>
      <c r="B105" s="12"/>
      <c r="C105" s="18" t="s">
        <v>129</v>
      </c>
      <c r="D105" s="8">
        <v>1000</v>
      </c>
      <c r="E105" s="9">
        <v>46237</v>
      </c>
      <c r="F105" s="10" t="s">
        <v>130</v>
      </c>
      <c r="G105" s="2" t="s">
        <v>114</v>
      </c>
    </row>
    <row r="106" spans="1:7" ht="17.45" customHeight="1" thickBot="1" x14ac:dyDescent="0.3">
      <c r="A106" s="8">
        <v>0</v>
      </c>
      <c r="B106" s="12"/>
      <c r="C106" s="18" t="s">
        <v>214</v>
      </c>
      <c r="D106" s="8">
        <v>1000</v>
      </c>
      <c r="E106" s="9">
        <v>46237</v>
      </c>
      <c r="F106" s="10" t="s">
        <v>7</v>
      </c>
      <c r="G106" s="2" t="s">
        <v>114</v>
      </c>
    </row>
    <row r="107" spans="1:7" ht="17.45" customHeight="1" thickBot="1" x14ac:dyDescent="0.3">
      <c r="A107" s="8">
        <v>0</v>
      </c>
      <c r="B107" s="12"/>
      <c r="C107" s="18" t="s">
        <v>215</v>
      </c>
      <c r="D107" s="8">
        <v>1000</v>
      </c>
      <c r="E107" s="9">
        <v>46238</v>
      </c>
      <c r="F107" s="10" t="s">
        <v>13</v>
      </c>
      <c r="G107" s="2" t="s">
        <v>114</v>
      </c>
    </row>
    <row r="108" spans="1:7" ht="17.45" customHeight="1" thickBot="1" x14ac:dyDescent="0.3">
      <c r="A108" s="8">
        <v>0</v>
      </c>
      <c r="B108" s="12"/>
      <c r="C108" s="18" t="s">
        <v>216</v>
      </c>
      <c r="D108" s="8">
        <v>1000</v>
      </c>
      <c r="E108" s="9">
        <v>46238</v>
      </c>
      <c r="F108" s="10" t="s">
        <v>217</v>
      </c>
      <c r="G108" s="2" t="s">
        <v>114</v>
      </c>
    </row>
    <row r="109" spans="1:7" ht="17.45" customHeight="1" thickBot="1" x14ac:dyDescent="0.3">
      <c r="A109" s="8">
        <v>0</v>
      </c>
      <c r="B109" s="12"/>
      <c r="C109" s="18"/>
      <c r="D109" s="8"/>
      <c r="E109" s="9"/>
      <c r="F109" s="10"/>
    </row>
    <row r="110" spans="1:7" ht="17.45" customHeight="1" thickBot="1" x14ac:dyDescent="0.3">
      <c r="A110" s="8">
        <v>0</v>
      </c>
      <c r="B110" s="12"/>
      <c r="C110" s="18"/>
      <c r="D110" s="8"/>
      <c r="E110" s="9"/>
      <c r="F110" s="10"/>
    </row>
    <row r="111" spans="1:7" ht="17.45" customHeight="1" thickBot="1" x14ac:dyDescent="0.3">
      <c r="A111" s="8">
        <v>0</v>
      </c>
      <c r="B111" s="12"/>
      <c r="C111" s="18"/>
      <c r="D111" s="8"/>
      <c r="E111" s="9"/>
      <c r="F111" s="10"/>
    </row>
    <row r="112" spans="1:7" ht="17.45" customHeight="1" thickBot="1" x14ac:dyDescent="0.3">
      <c r="A112" s="8">
        <v>0</v>
      </c>
      <c r="B112" s="12"/>
      <c r="C112" s="18"/>
      <c r="D112" s="8"/>
      <c r="E112" s="9"/>
      <c r="F112" s="10"/>
    </row>
    <row r="113" spans="1:6" ht="17.45" customHeight="1" thickBot="1" x14ac:dyDescent="0.3">
      <c r="A113" s="8">
        <v>0</v>
      </c>
      <c r="B113" s="12"/>
      <c r="C113" s="18"/>
      <c r="D113" s="8"/>
      <c r="E113" s="9"/>
      <c r="F113" s="10"/>
    </row>
    <row r="114" spans="1:6" ht="17.45" customHeight="1" thickBot="1" x14ac:dyDescent="0.3">
      <c r="A114" s="8">
        <v>0</v>
      </c>
      <c r="B114" s="12"/>
      <c r="C114" s="18"/>
      <c r="D114" s="8"/>
      <c r="E114" s="9"/>
      <c r="F114" s="10"/>
    </row>
    <row r="115" spans="1:6" ht="17.45" customHeight="1" thickBot="1" x14ac:dyDescent="0.3">
      <c r="A115" s="8">
        <v>0</v>
      </c>
      <c r="B115" s="12"/>
      <c r="C115" s="18"/>
      <c r="D115" s="8"/>
      <c r="E115" s="9"/>
      <c r="F115" s="10"/>
    </row>
    <row r="116" spans="1:6" ht="17.45" customHeight="1" thickBot="1" x14ac:dyDescent="0.3">
      <c r="A116" s="8">
        <v>0</v>
      </c>
      <c r="B116" s="12"/>
      <c r="C116" s="18"/>
      <c r="D116" s="8"/>
      <c r="E116" s="9"/>
      <c r="F116" s="10"/>
    </row>
    <row r="117" spans="1:6" ht="17.45" customHeight="1" thickBot="1" x14ac:dyDescent="0.3">
      <c r="A117" s="8">
        <v>0</v>
      </c>
      <c r="B117" s="12"/>
      <c r="C117" s="18"/>
      <c r="D117" s="8"/>
      <c r="E117" s="9"/>
      <c r="F117" s="10"/>
    </row>
    <row r="118" spans="1:6" ht="17.45" customHeight="1" thickBot="1" x14ac:dyDescent="0.3">
      <c r="A118" s="8">
        <v>0</v>
      </c>
      <c r="B118" s="12"/>
      <c r="C118" s="18"/>
      <c r="D118" s="8"/>
      <c r="E118" s="9"/>
      <c r="F118" s="10"/>
    </row>
    <row r="119" spans="1:6" ht="17.45" customHeight="1" thickBot="1" x14ac:dyDescent="0.3">
      <c r="A119" s="8">
        <v>0</v>
      </c>
      <c r="B119" s="12"/>
      <c r="C119" s="18"/>
      <c r="D119" s="8"/>
      <c r="E119" s="9"/>
      <c r="F119" s="10"/>
    </row>
    <row r="120" spans="1:6" ht="17.45" customHeight="1" x14ac:dyDescent="0.25">
      <c r="A120" s="23">
        <f>SUM(A3:A119)</f>
        <v>18000</v>
      </c>
      <c r="B120" s="24"/>
      <c r="C120" s="25"/>
      <c r="D120" s="23">
        <f>SUM(D3:D119)</f>
        <v>106000</v>
      </c>
      <c r="E120" s="24" t="s">
        <v>79</v>
      </c>
      <c r="F120" s="26">
        <f>A120-D120</f>
        <v>-88000</v>
      </c>
    </row>
  </sheetData>
  <sortState xmlns:xlrd2="http://schemas.microsoft.com/office/spreadsheetml/2017/richdata2" ref="A3:F84">
    <sortCondition ref="E2:E84"/>
  </sortState>
  <mergeCells count="2">
    <mergeCell ref="A1:B1"/>
    <mergeCell ref="C1:F1"/>
  </mergeCells>
  <phoneticPr fontId="3" type="noConversion"/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4747-D07B-457E-9BD8-0701E4071FC7}">
  <dimension ref="A1:M56"/>
  <sheetViews>
    <sheetView workbookViewId="0">
      <selection activeCell="E59" sqref="E59"/>
    </sheetView>
  </sheetViews>
  <sheetFormatPr defaultColWidth="8.85546875" defaultRowHeight="12" x14ac:dyDescent="0.2"/>
  <cols>
    <col min="1" max="1" width="36.7109375" style="29" bestFit="1" customWidth="1"/>
    <col min="2" max="2" width="23.28515625" style="29" bestFit="1" customWidth="1"/>
    <col min="3" max="4" width="12.28515625" style="29" bestFit="1" customWidth="1"/>
    <col min="5" max="5" width="17.7109375" style="29" bestFit="1" customWidth="1"/>
    <col min="6" max="13" width="12.7109375" style="29" customWidth="1"/>
    <col min="14" max="16384" width="8.85546875" style="29"/>
  </cols>
  <sheetData>
    <row r="1" spans="1:13" ht="17.45" customHeight="1" x14ac:dyDescent="0.2">
      <c r="A1" s="39" t="s">
        <v>131</v>
      </c>
      <c r="B1" s="39" t="s">
        <v>132</v>
      </c>
      <c r="C1" s="43" t="s">
        <v>133</v>
      </c>
      <c r="D1" s="43" t="s">
        <v>134</v>
      </c>
      <c r="E1" s="43" t="s">
        <v>213</v>
      </c>
      <c r="F1" s="40" t="s">
        <v>135</v>
      </c>
      <c r="G1" s="40" t="s">
        <v>136</v>
      </c>
      <c r="H1" s="40" t="s">
        <v>137</v>
      </c>
      <c r="I1" s="40" t="s">
        <v>138</v>
      </c>
      <c r="J1" s="40" t="s">
        <v>139</v>
      </c>
      <c r="K1" s="40" t="s">
        <v>140</v>
      </c>
      <c r="L1" s="40" t="s">
        <v>141</v>
      </c>
      <c r="M1" s="40" t="s">
        <v>142</v>
      </c>
    </row>
    <row r="2" spans="1:13" x14ac:dyDescent="0.2">
      <c r="A2" s="30" t="s">
        <v>143</v>
      </c>
      <c r="B2" s="30" t="s">
        <v>144</v>
      </c>
      <c r="C2" s="31"/>
      <c r="D2" s="32">
        <v>350</v>
      </c>
      <c r="E2" s="31" t="s">
        <v>145</v>
      </c>
      <c r="F2" s="31"/>
      <c r="G2" s="31"/>
      <c r="H2" s="31"/>
      <c r="I2" s="31"/>
      <c r="J2" s="31"/>
      <c r="K2" s="31"/>
      <c r="L2" s="31"/>
      <c r="M2" s="31"/>
    </row>
    <row r="3" spans="1:13" x14ac:dyDescent="0.2">
      <c r="A3" s="33" t="s">
        <v>146</v>
      </c>
      <c r="B3" s="33" t="s">
        <v>147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x14ac:dyDescent="0.2">
      <c r="A4" s="30" t="s">
        <v>148</v>
      </c>
      <c r="B4" s="30" t="s">
        <v>149</v>
      </c>
      <c r="C4" s="32">
        <v>300</v>
      </c>
      <c r="D4" s="32">
        <v>300</v>
      </c>
      <c r="E4" s="31" t="s">
        <v>145</v>
      </c>
      <c r="F4" s="31"/>
      <c r="G4" s="31"/>
      <c r="H4" s="31"/>
      <c r="I4" s="31"/>
      <c r="J4" s="31"/>
      <c r="K4" s="31"/>
      <c r="L4" s="31"/>
      <c r="M4" s="31"/>
    </row>
    <row r="5" spans="1:13" x14ac:dyDescent="0.2">
      <c r="A5" s="33" t="s">
        <v>150</v>
      </c>
      <c r="B5" s="33" t="s">
        <v>149</v>
      </c>
      <c r="C5" s="32">
        <v>300</v>
      </c>
      <c r="D5" s="34"/>
      <c r="E5" s="34" t="s">
        <v>145</v>
      </c>
      <c r="F5" s="34"/>
      <c r="G5" s="34"/>
      <c r="H5" s="34"/>
      <c r="I5" s="34"/>
      <c r="J5" s="34"/>
      <c r="K5" s="34"/>
      <c r="L5" s="34"/>
      <c r="M5" s="34"/>
    </row>
    <row r="6" spans="1:13" x14ac:dyDescent="0.2">
      <c r="A6" s="30" t="s">
        <v>151</v>
      </c>
      <c r="B6" s="30" t="s">
        <v>144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13" x14ac:dyDescent="0.2">
      <c r="A7" s="33" t="s">
        <v>152</v>
      </c>
      <c r="B7" s="33" t="s">
        <v>149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3" x14ac:dyDescent="0.2">
      <c r="A8" s="30" t="s">
        <v>153</v>
      </c>
      <c r="B8" s="30" t="s">
        <v>154</v>
      </c>
      <c r="C8" s="32">
        <v>350</v>
      </c>
      <c r="D8" s="32">
        <v>350</v>
      </c>
      <c r="E8" s="31" t="s">
        <v>145</v>
      </c>
      <c r="F8" s="31"/>
      <c r="G8" s="31"/>
      <c r="H8" s="31"/>
      <c r="I8" s="31"/>
      <c r="J8" s="31"/>
      <c r="K8" s="31"/>
      <c r="L8" s="31"/>
      <c r="M8" s="31"/>
    </row>
    <row r="9" spans="1:13" x14ac:dyDescent="0.2">
      <c r="A9" s="33" t="s">
        <v>155</v>
      </c>
      <c r="B9" s="33" t="s">
        <v>149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 x14ac:dyDescent="0.2">
      <c r="A10" s="30" t="s">
        <v>156</v>
      </c>
      <c r="B10" s="30" t="s">
        <v>149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1:13" x14ac:dyDescent="0.2">
      <c r="A11" s="33" t="s">
        <v>157</v>
      </c>
      <c r="B11" s="33" t="s">
        <v>158</v>
      </c>
      <c r="C11" s="32">
        <v>350</v>
      </c>
      <c r="D11" s="32">
        <v>350</v>
      </c>
      <c r="E11" s="34" t="s">
        <v>145</v>
      </c>
      <c r="F11" s="34"/>
      <c r="G11" s="34"/>
      <c r="H11" s="34"/>
      <c r="I11" s="34"/>
      <c r="J11" s="34"/>
      <c r="K11" s="34"/>
      <c r="L11" s="34"/>
      <c r="M11" s="34"/>
    </row>
    <row r="12" spans="1:13" x14ac:dyDescent="0.2">
      <c r="A12" s="30" t="s">
        <v>159</v>
      </c>
      <c r="B12" s="30" t="s">
        <v>149</v>
      </c>
      <c r="C12" s="32">
        <v>300</v>
      </c>
      <c r="D12" s="31"/>
      <c r="E12" s="31" t="s">
        <v>145</v>
      </c>
      <c r="F12" s="31"/>
      <c r="G12" s="31"/>
      <c r="H12" s="31"/>
      <c r="I12" s="31"/>
      <c r="J12" s="31"/>
      <c r="K12" s="31"/>
      <c r="L12" s="31"/>
      <c r="M12" s="31"/>
    </row>
    <row r="13" spans="1:13" x14ac:dyDescent="0.2">
      <c r="A13" s="33" t="s">
        <v>160</v>
      </c>
      <c r="B13" s="33" t="s">
        <v>161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3" x14ac:dyDescent="0.2">
      <c r="A14" s="30" t="s">
        <v>162</v>
      </c>
      <c r="B14" s="30" t="s">
        <v>163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x14ac:dyDescent="0.2">
      <c r="A15" s="33" t="s">
        <v>164</v>
      </c>
      <c r="B15" s="33" t="s">
        <v>149</v>
      </c>
      <c r="C15" s="32">
        <v>300</v>
      </c>
      <c r="D15" s="34"/>
      <c r="E15" s="34" t="s">
        <v>145</v>
      </c>
      <c r="F15" s="34"/>
      <c r="G15" s="34"/>
      <c r="H15" s="34"/>
      <c r="I15" s="34"/>
      <c r="J15" s="34"/>
      <c r="K15" s="34"/>
      <c r="L15" s="34"/>
      <c r="M15" s="34"/>
    </row>
    <row r="16" spans="1:13" x14ac:dyDescent="0.2">
      <c r="A16" s="30" t="s">
        <v>165</v>
      </c>
      <c r="B16" s="30" t="s">
        <v>166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 x14ac:dyDescent="0.2">
      <c r="A17" s="33" t="s">
        <v>167</v>
      </c>
      <c r="B17" s="33" t="s">
        <v>168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 spans="1:13" x14ac:dyDescent="0.2">
      <c r="A18" s="30" t="s">
        <v>169</v>
      </c>
      <c r="B18" s="30" t="s">
        <v>154</v>
      </c>
      <c r="C18" s="32">
        <v>350</v>
      </c>
      <c r="D18" s="31"/>
      <c r="E18" s="31" t="s">
        <v>145</v>
      </c>
      <c r="F18" s="31"/>
      <c r="G18" s="31"/>
      <c r="H18" s="31"/>
      <c r="I18" s="31"/>
      <c r="J18" s="31"/>
      <c r="K18" s="31"/>
      <c r="L18" s="31"/>
      <c r="M18" s="31"/>
    </row>
    <row r="19" spans="1:13" x14ac:dyDescent="0.2">
      <c r="A19" s="33" t="s">
        <v>170</v>
      </c>
      <c r="B19" s="33" t="s">
        <v>158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spans="1:13" x14ac:dyDescent="0.2">
      <c r="A20" s="30" t="s">
        <v>171</v>
      </c>
      <c r="B20" s="30" t="s">
        <v>149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1:13" x14ac:dyDescent="0.2">
      <c r="A21" s="33" t="s">
        <v>172</v>
      </c>
      <c r="B21" s="33" t="s">
        <v>173</v>
      </c>
      <c r="C21" s="32">
        <v>350</v>
      </c>
      <c r="D21" s="32">
        <v>350</v>
      </c>
      <c r="E21" s="34" t="s">
        <v>145</v>
      </c>
      <c r="F21" s="34"/>
      <c r="G21" s="34"/>
      <c r="H21" s="34"/>
      <c r="I21" s="34"/>
      <c r="J21" s="34"/>
      <c r="K21" s="34"/>
      <c r="L21" s="34"/>
      <c r="M21" s="34"/>
    </row>
    <row r="22" spans="1:13" x14ac:dyDescent="0.2">
      <c r="A22" s="30" t="s">
        <v>174</v>
      </c>
      <c r="B22" s="30" t="s">
        <v>149</v>
      </c>
      <c r="C22" s="31"/>
      <c r="D22" s="32">
        <v>250</v>
      </c>
      <c r="E22" s="31" t="s">
        <v>145</v>
      </c>
      <c r="F22" s="31"/>
      <c r="G22" s="31"/>
      <c r="H22" s="31"/>
      <c r="I22" s="31"/>
      <c r="J22" s="31"/>
      <c r="K22" s="31"/>
      <c r="L22" s="31"/>
      <c r="M22" s="31"/>
    </row>
    <row r="23" spans="1:13" x14ac:dyDescent="0.2">
      <c r="A23" s="33" t="s">
        <v>175</v>
      </c>
      <c r="B23" s="33" t="s">
        <v>176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</row>
    <row r="24" spans="1:13" x14ac:dyDescent="0.2">
      <c r="A24" s="35" t="s">
        <v>177</v>
      </c>
      <c r="B24" s="35"/>
      <c r="C24" s="32">
        <v>350</v>
      </c>
      <c r="D24" s="32">
        <v>300</v>
      </c>
      <c r="E24" s="36" t="s">
        <v>145</v>
      </c>
      <c r="F24" s="36"/>
      <c r="G24" s="36"/>
      <c r="H24" s="36"/>
      <c r="I24" s="36"/>
      <c r="J24" s="36"/>
      <c r="K24" s="36"/>
      <c r="L24" s="36"/>
      <c r="M24" s="36"/>
    </row>
    <row r="25" spans="1:13" x14ac:dyDescent="0.2">
      <c r="A25" s="30" t="s">
        <v>178</v>
      </c>
      <c r="B25" s="30" t="s">
        <v>149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 x14ac:dyDescent="0.2">
      <c r="A26" s="33" t="s">
        <v>179</v>
      </c>
      <c r="B26" s="33" t="s">
        <v>166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</row>
    <row r="27" spans="1:13" x14ac:dyDescent="0.2">
      <c r="A27" s="30" t="s">
        <v>180</v>
      </c>
      <c r="B27" s="30" t="s">
        <v>163</v>
      </c>
      <c r="C27" s="32">
        <v>300</v>
      </c>
      <c r="D27" s="32">
        <v>300</v>
      </c>
      <c r="E27" s="31" t="s">
        <v>145</v>
      </c>
      <c r="F27" s="31"/>
      <c r="G27" s="31"/>
      <c r="H27" s="31"/>
      <c r="I27" s="31"/>
      <c r="J27" s="31"/>
      <c r="K27" s="31"/>
      <c r="L27" s="31"/>
      <c r="M27" s="31"/>
    </row>
    <row r="28" spans="1:13" x14ac:dyDescent="0.2">
      <c r="A28" s="33" t="s">
        <v>181</v>
      </c>
      <c r="B28" s="33" t="s">
        <v>149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</row>
    <row r="29" spans="1:13" x14ac:dyDescent="0.2">
      <c r="A29" s="30" t="s">
        <v>182</v>
      </c>
      <c r="B29" s="30" t="s">
        <v>173</v>
      </c>
      <c r="C29" s="32">
        <v>350</v>
      </c>
      <c r="D29" s="32">
        <v>350</v>
      </c>
      <c r="E29" s="31" t="s">
        <v>145</v>
      </c>
      <c r="F29" s="31"/>
      <c r="G29" s="31"/>
      <c r="H29" s="31"/>
      <c r="I29" s="31"/>
      <c r="J29" s="31"/>
      <c r="K29" s="31"/>
      <c r="L29" s="31"/>
      <c r="M29" s="31"/>
    </row>
    <row r="30" spans="1:13" x14ac:dyDescent="0.2">
      <c r="A30" s="33" t="s">
        <v>183</v>
      </c>
      <c r="B30" s="33" t="s">
        <v>176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</row>
    <row r="31" spans="1:13" x14ac:dyDescent="0.2">
      <c r="A31" s="30" t="s">
        <v>184</v>
      </c>
      <c r="B31" s="30" t="s">
        <v>161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1:13" x14ac:dyDescent="0.2">
      <c r="A32" s="33" t="s">
        <v>185</v>
      </c>
      <c r="B32" s="33" t="s">
        <v>163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</row>
    <row r="33" spans="1:13" x14ac:dyDescent="0.2">
      <c r="A33" s="30" t="s">
        <v>186</v>
      </c>
      <c r="B33" s="30" t="s">
        <v>166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spans="1:13" x14ac:dyDescent="0.2">
      <c r="A34" s="33" t="s">
        <v>187</v>
      </c>
      <c r="B34" s="33" t="s">
        <v>188</v>
      </c>
      <c r="C34" s="32">
        <v>350</v>
      </c>
      <c r="D34" s="32">
        <v>350</v>
      </c>
      <c r="E34" s="34" t="s">
        <v>145</v>
      </c>
      <c r="F34" s="34"/>
      <c r="G34" s="34"/>
      <c r="H34" s="34"/>
      <c r="I34" s="34"/>
      <c r="J34" s="34"/>
      <c r="K34" s="34"/>
      <c r="L34" s="34"/>
      <c r="M34" s="34"/>
    </row>
    <row r="35" spans="1:13" x14ac:dyDescent="0.2">
      <c r="A35" s="30" t="s">
        <v>189</v>
      </c>
      <c r="B35" s="30" t="s">
        <v>147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1:13" s="44" customFormat="1" x14ac:dyDescent="0.2">
      <c r="A36" s="33" t="s">
        <v>190</v>
      </c>
      <c r="B36" s="33" t="s">
        <v>191</v>
      </c>
      <c r="C36" s="32">
        <v>350</v>
      </c>
      <c r="D36" s="32">
        <v>350</v>
      </c>
      <c r="E36" s="45" t="s">
        <v>145</v>
      </c>
      <c r="F36" s="45"/>
      <c r="G36" s="45"/>
      <c r="H36" s="45"/>
      <c r="I36" s="45"/>
      <c r="J36" s="45"/>
      <c r="K36" s="45"/>
      <c r="L36" s="45"/>
      <c r="M36" s="45"/>
    </row>
    <row r="37" spans="1:13" x14ac:dyDescent="0.2">
      <c r="A37" s="30" t="s">
        <v>192</v>
      </c>
      <c r="B37" s="30" t="s">
        <v>163</v>
      </c>
      <c r="C37" s="37">
        <v>300</v>
      </c>
      <c r="D37" s="38"/>
      <c r="E37" s="38" t="s">
        <v>145</v>
      </c>
      <c r="F37" s="38"/>
      <c r="G37" s="38"/>
      <c r="H37" s="38"/>
      <c r="I37" s="38"/>
      <c r="J37" s="38"/>
      <c r="K37" s="38"/>
      <c r="L37" s="38"/>
      <c r="M37" s="38"/>
    </row>
    <row r="38" spans="1:13" x14ac:dyDescent="0.2">
      <c r="A38" s="33" t="s">
        <v>193</v>
      </c>
      <c r="B38" s="33" t="s">
        <v>149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</row>
    <row r="39" spans="1:13" x14ac:dyDescent="0.2">
      <c r="A39" s="30" t="s">
        <v>194</v>
      </c>
      <c r="B39" s="30" t="s">
        <v>173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1:13" x14ac:dyDescent="0.2">
      <c r="A40" s="33" t="s">
        <v>195</v>
      </c>
      <c r="B40" s="33" t="s">
        <v>163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1:13" x14ac:dyDescent="0.2">
      <c r="A41" s="30" t="s">
        <v>196</v>
      </c>
      <c r="B41" s="30" t="s">
        <v>149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</row>
    <row r="42" spans="1:13" x14ac:dyDescent="0.2">
      <c r="A42" s="33" t="s">
        <v>197</v>
      </c>
      <c r="B42" s="33" t="s">
        <v>198</v>
      </c>
      <c r="C42" s="32">
        <v>350</v>
      </c>
      <c r="D42" s="32">
        <v>350</v>
      </c>
      <c r="E42" s="34" t="s">
        <v>145</v>
      </c>
      <c r="F42" s="34"/>
      <c r="G42" s="34"/>
      <c r="H42" s="34"/>
      <c r="I42" s="34"/>
      <c r="J42" s="34"/>
      <c r="K42" s="34"/>
      <c r="L42" s="34"/>
      <c r="M42" s="34"/>
    </row>
    <row r="43" spans="1:13" x14ac:dyDescent="0.2">
      <c r="A43" s="30" t="s">
        <v>199</v>
      </c>
      <c r="B43" s="30" t="s">
        <v>149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</row>
    <row r="44" spans="1:13" x14ac:dyDescent="0.2">
      <c r="A44" s="33" t="s">
        <v>200</v>
      </c>
      <c r="B44" s="33" t="s">
        <v>163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</row>
    <row r="45" spans="1:13" x14ac:dyDescent="0.2">
      <c r="A45" s="30" t="s">
        <v>201</v>
      </c>
      <c r="B45" s="30" t="s">
        <v>163</v>
      </c>
      <c r="C45" s="37">
        <v>350</v>
      </c>
      <c r="D45" s="37">
        <v>350</v>
      </c>
      <c r="E45" s="38" t="s">
        <v>145</v>
      </c>
      <c r="F45" s="38"/>
      <c r="G45" s="38"/>
      <c r="H45" s="38"/>
      <c r="I45" s="38"/>
      <c r="J45" s="38"/>
      <c r="K45" s="38"/>
      <c r="L45" s="38"/>
      <c r="M45" s="38"/>
    </row>
    <row r="46" spans="1:13" x14ac:dyDescent="0.2">
      <c r="A46" s="33" t="s">
        <v>202</v>
      </c>
      <c r="B46" s="33" t="s">
        <v>149</v>
      </c>
      <c r="C46" s="32">
        <v>300</v>
      </c>
      <c r="D46" s="34"/>
      <c r="E46" s="34" t="s">
        <v>145</v>
      </c>
      <c r="F46" s="34"/>
      <c r="G46" s="34"/>
      <c r="H46" s="34"/>
      <c r="I46" s="34"/>
      <c r="J46" s="34"/>
      <c r="K46" s="34"/>
      <c r="L46" s="34"/>
      <c r="M46" s="34"/>
    </row>
    <row r="47" spans="1:13" x14ac:dyDescent="0.2">
      <c r="A47" s="30" t="s">
        <v>203</v>
      </c>
      <c r="B47" s="30" t="s">
        <v>149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</row>
    <row r="48" spans="1:13" x14ac:dyDescent="0.2">
      <c r="A48" s="33" t="s">
        <v>204</v>
      </c>
      <c r="B48" s="33" t="s">
        <v>163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</row>
    <row r="49" spans="1:13" x14ac:dyDescent="0.2">
      <c r="A49" s="30" t="s">
        <v>205</v>
      </c>
      <c r="B49" s="30" t="s">
        <v>168</v>
      </c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</row>
    <row r="50" spans="1:13" x14ac:dyDescent="0.2">
      <c r="A50" s="33" t="s">
        <v>206</v>
      </c>
      <c r="B50" s="33" t="s">
        <v>188</v>
      </c>
      <c r="C50" s="32">
        <v>350</v>
      </c>
      <c r="D50" s="34"/>
      <c r="E50" s="34" t="s">
        <v>145</v>
      </c>
      <c r="F50" s="34"/>
      <c r="G50" s="34"/>
      <c r="H50" s="34"/>
      <c r="I50" s="34"/>
      <c r="J50" s="34"/>
      <c r="K50" s="34"/>
      <c r="L50" s="34"/>
      <c r="M50" s="34"/>
    </row>
    <row r="51" spans="1:13" x14ac:dyDescent="0.2">
      <c r="A51" s="30" t="s">
        <v>207</v>
      </c>
      <c r="B51" s="30" t="s">
        <v>173</v>
      </c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</row>
    <row r="52" spans="1:13" x14ac:dyDescent="0.2">
      <c r="A52" s="33" t="s">
        <v>208</v>
      </c>
      <c r="B52" s="33" t="s">
        <v>149</v>
      </c>
      <c r="C52" s="32">
        <v>350</v>
      </c>
      <c r="D52" s="34"/>
      <c r="E52" s="34" t="s">
        <v>145</v>
      </c>
      <c r="F52" s="34"/>
      <c r="G52" s="34"/>
      <c r="H52" s="34"/>
      <c r="I52" s="34"/>
      <c r="J52" s="34"/>
      <c r="K52" s="34"/>
      <c r="L52" s="34"/>
      <c r="M52" s="34"/>
    </row>
    <row r="53" spans="1:13" x14ac:dyDescent="0.2">
      <c r="A53" s="30" t="s">
        <v>209</v>
      </c>
      <c r="B53" s="30" t="s">
        <v>166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</row>
    <row r="54" spans="1:13" x14ac:dyDescent="0.2">
      <c r="A54" s="33" t="s">
        <v>210</v>
      </c>
      <c r="B54" s="33" t="s">
        <v>149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</row>
    <row r="55" spans="1:13" x14ac:dyDescent="0.2">
      <c r="A55" s="30" t="s">
        <v>211</v>
      </c>
      <c r="B55" s="30" t="s">
        <v>149</v>
      </c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</row>
    <row r="56" spans="1:13" ht="14.45" customHeight="1" x14ac:dyDescent="0.2">
      <c r="A56" s="51" t="s">
        <v>212</v>
      </c>
      <c r="B56" s="52"/>
      <c r="C56" s="42">
        <f>SUM(C2:C55)</f>
        <v>6300</v>
      </c>
      <c r="D56" s="42">
        <f>SUM(D2:D55)</f>
        <v>4300</v>
      </c>
      <c r="E56" s="41"/>
      <c r="F56" s="42"/>
      <c r="G56" s="42"/>
      <c r="H56" s="42"/>
      <c r="I56" s="42"/>
      <c r="J56" s="42"/>
      <c r="K56" s="42"/>
      <c r="L56" s="42"/>
      <c r="M56" s="42"/>
    </row>
  </sheetData>
  <mergeCells count="1">
    <mergeCell ref="A56:B5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DESPESAS</vt:lpstr>
      <vt:lpstr>HORAS EXTRAS 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GUIMARÃES</dc:creator>
  <cp:lastModifiedBy>LEONARDO RUBEN DA COSTA CANALES</cp:lastModifiedBy>
  <cp:lastPrinted>2026-07-17T11:42:24Z</cp:lastPrinted>
  <dcterms:created xsi:type="dcterms:W3CDTF">2026-07-06T10:30:15Z</dcterms:created>
  <dcterms:modified xsi:type="dcterms:W3CDTF">2026-08-26T13:59:25Z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2026-08-26T13:59:08Z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cf35a1c4-6f9a-4b14-a1aa-35bb819631a7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